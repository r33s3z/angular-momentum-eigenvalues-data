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0" documentId="11_F25DC773A252ABDACC104818919D74545ADE58F5" xr6:coauthVersionLast="47" xr6:coauthVersionMax="47" xr10:uidLastSave="{79E93FBD-8E02-492C-898F-E47754093702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14a35179d3ab5a9/Desktop/Julia/AD_2024/circ_transition/pdf/pdf_ell6_N9.xlsx" TargetMode="External"/><Relationship Id="rId1" Type="http://schemas.openxmlformats.org/officeDocument/2006/relationships/externalLinkPath" Target="/614a35179d3ab5a9/Desktop/Julia/AD_2024/circ_transition/pdf/pdf_ell6_N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ody"/>
      <sheetName val="0.0001"/>
      <sheetName val="0.001"/>
      <sheetName val="0.005"/>
      <sheetName val="0.01"/>
      <sheetName val="0.025"/>
      <sheetName val="0.05"/>
      <sheetName val="0.075"/>
      <sheetName val="0.1"/>
      <sheetName val="0.15"/>
      <sheetName val="0.2"/>
      <sheetName val="0.25"/>
      <sheetName val="0.3"/>
      <sheetName val="0.35"/>
      <sheetName val="0.4"/>
      <sheetName val="0.45"/>
      <sheetName val="0.5"/>
      <sheetName val="0.55"/>
      <sheetName val="0.6"/>
      <sheetName val="0.65"/>
      <sheetName val="0.7"/>
      <sheetName val="0.75"/>
      <sheetName val="0.8"/>
      <sheetName val="0.85"/>
      <sheetName val="0.9"/>
      <sheetName val="0.925"/>
      <sheetName val="0.95"/>
      <sheetName val="0.975"/>
      <sheetName val="0.99"/>
      <sheetName val="0.995"/>
      <sheetName val="0.999"/>
      <sheetName val="0.9999"/>
    </sheetNames>
    <sheetDataSet>
      <sheetData sheetId="0"/>
      <sheetData sheetId="1">
        <row r="1">
          <cell r="H1">
            <v>5.9519396928268832E-2</v>
          </cell>
        </row>
      </sheetData>
      <sheetData sheetId="2">
        <row r="1">
          <cell r="H1">
            <v>7.6030884490700085E-2</v>
          </cell>
        </row>
      </sheetData>
      <sheetData sheetId="3">
        <row r="1">
          <cell r="H1">
            <v>0.12824008714263777</v>
          </cell>
        </row>
      </sheetData>
      <sheetData sheetId="4">
        <row r="1">
          <cell r="H1">
            <v>0.14746463605788057</v>
          </cell>
        </row>
      </sheetData>
      <sheetData sheetId="5">
        <row r="1">
          <cell r="H1">
            <v>0.19206898580918375</v>
          </cell>
        </row>
      </sheetData>
      <sheetData sheetId="6">
        <row r="1">
          <cell r="H1">
            <v>0.23142781692334494</v>
          </cell>
        </row>
      </sheetData>
      <sheetData sheetId="7">
        <row r="1">
          <cell r="H1">
            <v>0.26346254075441866</v>
          </cell>
        </row>
      </sheetData>
      <sheetData sheetId="8">
        <row r="1">
          <cell r="H1">
            <v>0.28882948184079893</v>
          </cell>
        </row>
      </sheetData>
      <sheetData sheetId="9">
        <row r="1">
          <cell r="H1">
            <v>0.32968835961997539</v>
          </cell>
        </row>
      </sheetData>
      <sheetData sheetId="10">
        <row r="1">
          <cell r="H1">
            <v>0.37682702137284646</v>
          </cell>
        </row>
      </sheetData>
      <sheetData sheetId="11">
        <row r="1">
          <cell r="H1">
            <v>0.42601247535804992</v>
          </cell>
        </row>
      </sheetData>
      <sheetData sheetId="12">
        <row r="1">
          <cell r="H1">
            <v>0.4769003457473977</v>
          </cell>
        </row>
      </sheetData>
      <sheetData sheetId="13">
        <row r="1">
          <cell r="H1">
            <v>0.53264632627920394</v>
          </cell>
        </row>
      </sheetData>
      <sheetData sheetId="14">
        <row r="1">
          <cell r="H1">
            <v>0.58376592225257529</v>
          </cell>
        </row>
      </sheetData>
      <sheetData sheetId="15">
        <row r="1">
          <cell r="H1">
            <v>0.64828755701514518</v>
          </cell>
        </row>
      </sheetData>
      <sheetData sheetId="16">
        <row r="1">
          <cell r="H1">
            <v>0.71785477747818871</v>
          </cell>
        </row>
      </sheetData>
      <sheetData sheetId="17">
        <row r="1">
          <cell r="H1">
            <v>0.80497675062672114</v>
          </cell>
        </row>
      </sheetData>
      <sheetData sheetId="18">
        <row r="1">
          <cell r="H1">
            <v>0.90245386013896467</v>
          </cell>
        </row>
      </sheetData>
      <sheetData sheetId="19">
        <row r="1">
          <cell r="H1">
            <v>1.0190927644120207</v>
          </cell>
        </row>
      </sheetData>
      <sheetData sheetId="20">
        <row r="1">
          <cell r="H1">
            <v>1.1562850909828455</v>
          </cell>
        </row>
      </sheetData>
      <sheetData sheetId="21">
        <row r="1">
          <cell r="H1">
            <v>1.3387576665483583</v>
          </cell>
        </row>
      </sheetData>
      <sheetData sheetId="22">
        <row r="1">
          <cell r="H1">
            <v>1.5937201277089397</v>
          </cell>
        </row>
      </sheetData>
      <sheetData sheetId="23">
        <row r="1">
          <cell r="H1">
            <v>1.9627436585530083</v>
          </cell>
        </row>
      </sheetData>
      <sheetData sheetId="24">
        <row r="1">
          <cell r="H1">
            <v>2.579596313325613</v>
          </cell>
        </row>
      </sheetData>
      <sheetData sheetId="25">
        <row r="1">
          <cell r="H1">
            <v>3.0977368924567164</v>
          </cell>
        </row>
      </sheetData>
      <sheetData sheetId="26">
        <row r="1">
          <cell r="H1">
            <v>3.9926242688787759</v>
          </cell>
        </row>
      </sheetData>
      <sheetData sheetId="27">
        <row r="1">
          <cell r="H1">
            <v>5.9971603911280509</v>
          </cell>
        </row>
      </sheetData>
      <sheetData sheetId="28">
        <row r="1">
          <cell r="H1">
            <v>9.9477497759474556</v>
          </cell>
        </row>
      </sheetData>
      <sheetData sheetId="29">
        <row r="1">
          <cell r="H1">
            <v>14.147528844741148</v>
          </cell>
        </row>
      </sheetData>
      <sheetData sheetId="30">
        <row r="1">
          <cell r="H1">
            <v>30.578120742088352</v>
          </cell>
        </row>
      </sheetData>
      <sheetData sheetId="31">
        <row r="1">
          <cell r="H1">
            <v>50.231473179192101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30" sqref="D30"/>
    </sheetView>
  </sheetViews>
  <sheetFormatPr defaultRowHeight="15" x14ac:dyDescent="0.25"/>
  <sheetData>
    <row r="1" spans="1:8" x14ac:dyDescent="0.25">
      <c r="A1">
        <v>1E-4</v>
      </c>
      <c r="B1">
        <f>'[1]0.0001'!$H$1</f>
        <v>5.9519396928268832E-2</v>
      </c>
    </row>
    <row r="2" spans="1:8" x14ac:dyDescent="0.25">
      <c r="A2">
        <v>1E-3</v>
      </c>
      <c r="B2">
        <f>'[1]0.001'!$H$1</f>
        <v>7.6030884490700085E-2</v>
      </c>
    </row>
    <row r="3" spans="1:8" x14ac:dyDescent="0.25">
      <c r="A3">
        <v>5.0000000000000001E-3</v>
      </c>
      <c r="B3">
        <f>'[1]0.005'!$H$1</f>
        <v>0.12824008714263777</v>
      </c>
    </row>
    <row r="4" spans="1:8" x14ac:dyDescent="0.25">
      <c r="A4">
        <v>0.01</v>
      </c>
      <c r="B4">
        <f>'[1]0.01'!$H$1</f>
        <v>0.14746463605788057</v>
      </c>
    </row>
    <row r="5" spans="1:8" x14ac:dyDescent="0.25">
      <c r="A5">
        <v>2.5000000000000001E-2</v>
      </c>
      <c r="B5">
        <f>'[1]0.025'!$H$1</f>
        <v>0.19206898580918375</v>
      </c>
      <c r="H5">
        <v>7.6030884490700099E-2</v>
      </c>
    </row>
    <row r="6" spans="1:8" x14ac:dyDescent="0.25">
      <c r="A6">
        <v>0.05</v>
      </c>
      <c r="B6">
        <f>'[1]0.05'!$H$1</f>
        <v>0.23142781692334494</v>
      </c>
    </row>
    <row r="7" spans="1:8" x14ac:dyDescent="0.25">
      <c r="A7">
        <v>7.4999999999999997E-2</v>
      </c>
      <c r="B7">
        <f>'[1]0.075'!$H$1</f>
        <v>0.26346254075441866</v>
      </c>
    </row>
    <row r="8" spans="1:8" x14ac:dyDescent="0.25">
      <c r="A8">
        <v>0.1</v>
      </c>
      <c r="B8">
        <f>'[1]0.1'!$H$1</f>
        <v>0.28882948184079893</v>
      </c>
    </row>
    <row r="9" spans="1:8" x14ac:dyDescent="0.25">
      <c r="A9">
        <v>0.15</v>
      </c>
      <c r="B9">
        <f>'[1]0.15'!$H$1</f>
        <v>0.32968835961997539</v>
      </c>
    </row>
    <row r="10" spans="1:8" x14ac:dyDescent="0.25">
      <c r="A10">
        <v>0.2</v>
      </c>
      <c r="B10">
        <f>'[1]0.2'!$H$1</f>
        <v>0.37682702137284646</v>
      </c>
    </row>
    <row r="11" spans="1:8" x14ac:dyDescent="0.25">
      <c r="A11">
        <v>0.25</v>
      </c>
      <c r="B11">
        <f>'[1]0.25'!$H$1</f>
        <v>0.42601247535804992</v>
      </c>
    </row>
    <row r="12" spans="1:8" x14ac:dyDescent="0.25">
      <c r="A12">
        <v>0.3</v>
      </c>
      <c r="B12">
        <f>'[1]0.3'!$H$1</f>
        <v>0.4769003457473977</v>
      </c>
    </row>
    <row r="13" spans="1:8" x14ac:dyDescent="0.25">
      <c r="A13">
        <v>0.35</v>
      </c>
      <c r="B13">
        <f>'[1]0.35'!$H$1</f>
        <v>0.53264632627920394</v>
      </c>
      <c r="D13">
        <v>0.53264632627920405</v>
      </c>
    </row>
    <row r="14" spans="1:8" x14ac:dyDescent="0.25">
      <c r="A14">
        <v>0.4</v>
      </c>
      <c r="B14">
        <f>'[1]0.4'!$H$1</f>
        <v>0.58376592225257529</v>
      </c>
    </row>
    <row r="15" spans="1:8" x14ac:dyDescent="0.25">
      <c r="A15">
        <v>0.45</v>
      </c>
      <c r="B15">
        <f>'[1]0.45'!$H$1</f>
        <v>0.64828755701514518</v>
      </c>
    </row>
    <row r="16" spans="1:8" x14ac:dyDescent="0.25">
      <c r="A16">
        <v>0.5</v>
      </c>
      <c r="B16">
        <f>'[1]0.5'!$H$1</f>
        <v>0.71785477747818871</v>
      </c>
    </row>
    <row r="17" spans="1:4" x14ac:dyDescent="0.25">
      <c r="A17">
        <v>0.55000000000000004</v>
      </c>
      <c r="B17">
        <f>'[1]0.55'!$H$1</f>
        <v>0.80497675062672114</v>
      </c>
    </row>
    <row r="18" spans="1:4" x14ac:dyDescent="0.25">
      <c r="A18">
        <v>0.6</v>
      </c>
      <c r="B18">
        <f>'[1]0.6'!$H$1</f>
        <v>0.90245386013896467</v>
      </c>
    </row>
    <row r="19" spans="1:4" x14ac:dyDescent="0.25">
      <c r="A19">
        <v>0.65</v>
      </c>
      <c r="B19">
        <f>'[1]0.65'!$H$1</f>
        <v>1.0190927644120207</v>
      </c>
      <c r="D19">
        <v>1.01909276441202</v>
      </c>
    </row>
    <row r="20" spans="1:4" x14ac:dyDescent="0.25">
      <c r="A20">
        <v>0.7</v>
      </c>
      <c r="B20">
        <f>'[1]0.7'!$H$1</f>
        <v>1.1562850909828455</v>
      </c>
    </row>
    <row r="21" spans="1:4" x14ac:dyDescent="0.25">
      <c r="A21">
        <v>0.75</v>
      </c>
      <c r="B21">
        <f>'[1]0.75'!$H$1</f>
        <v>1.3387576665483583</v>
      </c>
    </row>
    <row r="22" spans="1:4" x14ac:dyDescent="0.25">
      <c r="A22">
        <v>0.8</v>
      </c>
      <c r="B22">
        <f>'[1]0.8'!$H$1</f>
        <v>1.5937201277089397</v>
      </c>
    </row>
    <row r="23" spans="1:4" x14ac:dyDescent="0.25">
      <c r="A23">
        <v>0.85</v>
      </c>
      <c r="B23">
        <f>'[1]0.85'!$H$1</f>
        <v>1.9627436585530083</v>
      </c>
    </row>
    <row r="24" spans="1:4" x14ac:dyDescent="0.25">
      <c r="A24">
        <v>0.9</v>
      </c>
      <c r="B24">
        <f>'[1]0.9'!$H$1</f>
        <v>2.579596313325613</v>
      </c>
    </row>
    <row r="25" spans="1:4" x14ac:dyDescent="0.25">
      <c r="A25">
        <v>0.92500000000000004</v>
      </c>
      <c r="B25">
        <f>'[1]0.925'!$H$1</f>
        <v>3.0977368924567164</v>
      </c>
    </row>
    <row r="26" spans="1:4" x14ac:dyDescent="0.25">
      <c r="A26">
        <v>0.95</v>
      </c>
      <c r="B26">
        <f>'[1]0.95'!$H$1</f>
        <v>3.9926242688787759</v>
      </c>
    </row>
    <row r="27" spans="1:4" x14ac:dyDescent="0.25">
      <c r="A27">
        <v>0.97499999999999998</v>
      </c>
      <c r="B27">
        <f>'[1]0.975'!$H$1</f>
        <v>5.9971603911280509</v>
      </c>
    </row>
    <row r="28" spans="1:4" x14ac:dyDescent="0.25">
      <c r="A28">
        <v>0.99</v>
      </c>
      <c r="B28">
        <f>'[1]0.99'!$H$1</f>
        <v>9.9477497759474556</v>
      </c>
    </row>
    <row r="29" spans="1:4" x14ac:dyDescent="0.25">
      <c r="A29">
        <v>0.995</v>
      </c>
      <c r="B29">
        <f>'[1]0.995'!$H$1</f>
        <v>14.147528844741148</v>
      </c>
    </row>
    <row r="30" spans="1:4" x14ac:dyDescent="0.25">
      <c r="A30">
        <v>0.999</v>
      </c>
      <c r="B30">
        <f>'[1]0.999'!$H$1</f>
        <v>30.578120742088352</v>
      </c>
      <c r="D30">
        <v>30.578120742088402</v>
      </c>
    </row>
    <row r="31" spans="1:4" x14ac:dyDescent="0.25">
      <c r="A31">
        <v>0.99990000000000001</v>
      </c>
      <c r="B31">
        <f>'[1]0.9999'!$H$1</f>
        <v>50.231473179192101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2024-11-10T03:55:32Z</dcterms:modified>
</cp:coreProperties>
</file>