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496" documentId="115_{25DAC23C-C034-44D0-A994-0B52D9F04D92}" xr6:coauthVersionLast="47" xr6:coauthVersionMax="47" xr10:uidLastSave="{31B72050-1E91-4D65-B6FD-05D7501BFB5F}"/>
  <bookViews>
    <workbookView xWindow="-120" yWindow="-120" windowWidth="29040" windowHeight="15720" tabRatio="1000" activeTab="31" xr2:uid="{52D9C27D-0EF6-DD41-9728-0267E68F7539}"/>
  </bookViews>
  <sheets>
    <sheet name="Brody" sheetId="33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1" i="31" s="1"/>
  <c r="D1" i="31" s="1"/>
  <c r="E1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1" i="15" s="1"/>
  <c r="D1" i="15" s="1"/>
  <c r="E1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4" i="11" s="1"/>
  <c r="D4" i="11" s="1"/>
  <c r="E4" i="11" s="1"/>
  <c r="H3" i="10"/>
  <c r="C5" i="10" s="1"/>
  <c r="D5" i="10" s="1"/>
  <c r="E5" i="10" s="1"/>
  <c r="H3" i="9"/>
  <c r="C5" i="9" s="1"/>
  <c r="D5" i="9" s="1"/>
  <c r="E5" i="9" s="1"/>
  <c r="H3" i="8"/>
  <c r="C1" i="8" s="1"/>
  <c r="D1" i="8" s="1"/>
  <c r="E1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1" i="3" s="1"/>
  <c r="D1" i="3" s="1"/>
  <c r="E1" i="3" s="1"/>
  <c r="H3" i="2"/>
  <c r="C5" i="2" s="1"/>
  <c r="D5" i="2" s="1"/>
  <c r="E5" i="2" s="1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1" i="33"/>
  <c r="C8" i="32" l="1"/>
  <c r="D8" i="32" s="1"/>
  <c r="E8" i="32" s="1"/>
  <c r="C9" i="32"/>
  <c r="D9" i="32" s="1"/>
  <c r="E9" i="32" s="1"/>
  <c r="C13" i="32"/>
  <c r="D13" i="32" s="1"/>
  <c r="E13" i="32" s="1"/>
  <c r="C24" i="32"/>
  <c r="D24" i="32" s="1"/>
  <c r="E24" i="32" s="1"/>
  <c r="C25" i="32"/>
  <c r="D25" i="32" s="1"/>
  <c r="E25" i="32" s="1"/>
  <c r="C29" i="32"/>
  <c r="D29" i="32" s="1"/>
  <c r="E29" i="32" s="1"/>
  <c r="C40" i="32"/>
  <c r="D40" i="32" s="1"/>
  <c r="E40" i="32" s="1"/>
  <c r="C10" i="32"/>
  <c r="D10" i="32" s="1"/>
  <c r="E10" i="32" s="1"/>
  <c r="C26" i="32"/>
  <c r="D26" i="32" s="1"/>
  <c r="E26" i="32" s="1"/>
  <c r="C12" i="32"/>
  <c r="D12" i="32" s="1"/>
  <c r="E12" i="32" s="1"/>
  <c r="C28" i="32"/>
  <c r="D28" i="32" s="1"/>
  <c r="E28" i="32" s="1"/>
  <c r="C14" i="32"/>
  <c r="D14" i="32" s="1"/>
  <c r="E14" i="32" s="1"/>
  <c r="C30" i="32"/>
  <c r="D30" i="32" s="1"/>
  <c r="E30" i="32" s="1"/>
  <c r="C1" i="32"/>
  <c r="D1" i="32" s="1"/>
  <c r="E1" i="32" s="1"/>
  <c r="C16" i="32"/>
  <c r="D16" i="32" s="1"/>
  <c r="E16" i="32" s="1"/>
  <c r="C32" i="32"/>
  <c r="D32" i="32" s="1"/>
  <c r="E32" i="32" s="1"/>
  <c r="C2" i="32"/>
  <c r="D2" i="32" s="1"/>
  <c r="E2" i="32" s="1"/>
  <c r="C17" i="32"/>
  <c r="D17" i="32" s="1"/>
  <c r="E17" i="32" s="1"/>
  <c r="C33" i="32"/>
  <c r="D33" i="32" s="1"/>
  <c r="E33" i="32" s="1"/>
  <c r="C18" i="32"/>
  <c r="D18" i="32" s="1"/>
  <c r="E18" i="32" s="1"/>
  <c r="C34" i="32"/>
  <c r="D34" i="32" s="1"/>
  <c r="E34" i="32" s="1"/>
  <c r="C20" i="32"/>
  <c r="D20" i="32" s="1"/>
  <c r="E20" i="32" s="1"/>
  <c r="C36" i="32"/>
  <c r="D36" i="32" s="1"/>
  <c r="E36" i="32" s="1"/>
  <c r="C21" i="32"/>
  <c r="D21" i="32" s="1"/>
  <c r="E21" i="32" s="1"/>
  <c r="C37" i="32"/>
  <c r="D37" i="32" s="1"/>
  <c r="E37" i="32" s="1"/>
  <c r="C6" i="32"/>
  <c r="D6" i="32" s="1"/>
  <c r="E6" i="32" s="1"/>
  <c r="C22" i="32"/>
  <c r="D22" i="32" s="1"/>
  <c r="E22" i="32" s="1"/>
  <c r="C38" i="32"/>
  <c r="D38" i="32" s="1"/>
  <c r="E38" i="32" s="1"/>
  <c r="C5" i="31"/>
  <c r="D5" i="31" s="1"/>
  <c r="E5" i="31" s="1"/>
  <c r="C20" i="31"/>
  <c r="D20" i="31" s="1"/>
  <c r="E20" i="31" s="1"/>
  <c r="C36" i="31"/>
  <c r="D36" i="31" s="1"/>
  <c r="E36" i="31" s="1"/>
  <c r="C35" i="31"/>
  <c r="D35" i="31" s="1"/>
  <c r="E35" i="31" s="1"/>
  <c r="C21" i="31"/>
  <c r="D21" i="31" s="1"/>
  <c r="E21" i="31" s="1"/>
  <c r="C37" i="31"/>
  <c r="D37" i="31" s="1"/>
  <c r="E37" i="31" s="1"/>
  <c r="C7" i="31"/>
  <c r="D7" i="31" s="1"/>
  <c r="E7" i="31" s="1"/>
  <c r="C23" i="31"/>
  <c r="D23" i="31" s="1"/>
  <c r="E23" i="31" s="1"/>
  <c r="C39" i="31"/>
  <c r="D39" i="31" s="1"/>
  <c r="E39" i="31" s="1"/>
  <c r="C8" i="31"/>
  <c r="D8" i="31" s="1"/>
  <c r="E8" i="31" s="1"/>
  <c r="C24" i="31"/>
  <c r="D24" i="31" s="1"/>
  <c r="E24" i="31" s="1"/>
  <c r="C40" i="31"/>
  <c r="D40" i="31" s="1"/>
  <c r="E40" i="31" s="1"/>
  <c r="C9" i="31"/>
  <c r="D9" i="31" s="1"/>
  <c r="E9" i="31" s="1"/>
  <c r="C25" i="31"/>
  <c r="D25" i="31" s="1"/>
  <c r="E25" i="31" s="1"/>
  <c r="C11" i="31"/>
  <c r="D11" i="31" s="1"/>
  <c r="E11" i="31" s="1"/>
  <c r="C27" i="31"/>
  <c r="D27" i="31" s="1"/>
  <c r="E27" i="31" s="1"/>
  <c r="C19" i="31"/>
  <c r="D19" i="31" s="1"/>
  <c r="E19" i="31" s="1"/>
  <c r="C12" i="31"/>
  <c r="D12" i="31" s="1"/>
  <c r="E12" i="31" s="1"/>
  <c r="C28" i="31"/>
  <c r="D28" i="31" s="1"/>
  <c r="E28" i="31" s="1"/>
  <c r="C13" i="31"/>
  <c r="D13" i="31" s="1"/>
  <c r="E13" i="31" s="1"/>
  <c r="C29" i="31"/>
  <c r="D29" i="31" s="1"/>
  <c r="E29" i="31" s="1"/>
  <c r="C15" i="31"/>
  <c r="D15" i="31" s="1"/>
  <c r="E15" i="31" s="1"/>
  <c r="C31" i="31"/>
  <c r="D31" i="31" s="1"/>
  <c r="E31" i="31" s="1"/>
  <c r="C16" i="31"/>
  <c r="D16" i="31" s="1"/>
  <c r="E16" i="31" s="1"/>
  <c r="C32" i="31"/>
  <c r="D32" i="31" s="1"/>
  <c r="E32" i="31" s="1"/>
  <c r="C17" i="31"/>
  <c r="D17" i="31" s="1"/>
  <c r="E17" i="31" s="1"/>
  <c r="C33" i="31"/>
  <c r="D33" i="31" s="1"/>
  <c r="E33" i="31" s="1"/>
  <c r="C9" i="30"/>
  <c r="D9" i="30" s="1"/>
  <c r="E9" i="30" s="1"/>
  <c r="C33" i="30"/>
  <c r="D33" i="30" s="1"/>
  <c r="E33" i="30" s="1"/>
  <c r="C13" i="30"/>
  <c r="D13" i="30" s="1"/>
  <c r="E13" i="30" s="1"/>
  <c r="C17" i="30"/>
  <c r="D17" i="30" s="1"/>
  <c r="E17" i="30" s="1"/>
  <c r="C21" i="30"/>
  <c r="D21" i="30" s="1"/>
  <c r="E21" i="30" s="1"/>
  <c r="C25" i="30"/>
  <c r="D25" i="30" s="1"/>
  <c r="E25" i="30" s="1"/>
  <c r="C29" i="30"/>
  <c r="D29" i="30" s="1"/>
  <c r="E29" i="30" s="1"/>
  <c r="C37" i="30"/>
  <c r="D37" i="30" s="1"/>
  <c r="E37" i="30" s="1"/>
  <c r="C6" i="29"/>
  <c r="D6" i="29" s="1"/>
  <c r="E6" i="29" s="1"/>
  <c r="C22" i="29"/>
  <c r="D22" i="29" s="1"/>
  <c r="E22" i="29" s="1"/>
  <c r="C38" i="29"/>
  <c r="D38" i="29" s="1"/>
  <c r="E38" i="29" s="1"/>
  <c r="C8" i="29"/>
  <c r="D8" i="29" s="1"/>
  <c r="E8" i="29" s="1"/>
  <c r="C24" i="29"/>
  <c r="D24" i="29" s="1"/>
  <c r="E24" i="29" s="1"/>
  <c r="C40" i="29"/>
  <c r="D40" i="29" s="1"/>
  <c r="E40" i="29" s="1"/>
  <c r="C9" i="29"/>
  <c r="D9" i="29" s="1"/>
  <c r="E9" i="29" s="1"/>
  <c r="C25" i="29"/>
  <c r="D25" i="29" s="1"/>
  <c r="E25" i="29" s="1"/>
  <c r="C10" i="29"/>
  <c r="D10" i="29" s="1"/>
  <c r="E10" i="29" s="1"/>
  <c r="C26" i="29"/>
  <c r="D26" i="29" s="1"/>
  <c r="E26" i="29" s="1"/>
  <c r="C12" i="29"/>
  <c r="D12" i="29" s="1"/>
  <c r="E12" i="29" s="1"/>
  <c r="C28" i="29"/>
  <c r="D28" i="29" s="1"/>
  <c r="E28" i="29" s="1"/>
  <c r="C37" i="29"/>
  <c r="D37" i="29" s="1"/>
  <c r="E37" i="29" s="1"/>
  <c r="C13" i="29"/>
  <c r="D13" i="29" s="1"/>
  <c r="E13" i="29" s="1"/>
  <c r="C29" i="29"/>
  <c r="D29" i="29" s="1"/>
  <c r="E29" i="29" s="1"/>
  <c r="C14" i="29"/>
  <c r="D14" i="29" s="1"/>
  <c r="E14" i="29" s="1"/>
  <c r="C30" i="29"/>
  <c r="D30" i="29" s="1"/>
  <c r="E30" i="29" s="1"/>
  <c r="C16" i="29"/>
  <c r="D16" i="29" s="1"/>
  <c r="E16" i="29" s="1"/>
  <c r="C32" i="29"/>
  <c r="D32" i="29" s="1"/>
  <c r="E32" i="29" s="1"/>
  <c r="C17" i="29"/>
  <c r="D17" i="29" s="1"/>
  <c r="E17" i="29" s="1"/>
  <c r="C33" i="29"/>
  <c r="D33" i="29" s="1"/>
  <c r="E33" i="29" s="1"/>
  <c r="C1" i="29"/>
  <c r="D1" i="29" s="1"/>
  <c r="E1" i="29" s="1"/>
  <c r="C18" i="29"/>
  <c r="D18" i="29" s="1"/>
  <c r="E18" i="29" s="1"/>
  <c r="C34" i="29"/>
  <c r="D34" i="29" s="1"/>
  <c r="E34" i="29" s="1"/>
  <c r="C21" i="29"/>
  <c r="D21" i="29" s="1"/>
  <c r="E21" i="29" s="1"/>
  <c r="C3" i="29"/>
  <c r="D3" i="29" s="1"/>
  <c r="E3" i="29" s="1"/>
  <c r="C20" i="29"/>
  <c r="D20" i="29" s="1"/>
  <c r="E20" i="29" s="1"/>
  <c r="C36" i="29"/>
  <c r="D36" i="29" s="1"/>
  <c r="E36" i="29" s="1"/>
  <c r="C4" i="28"/>
  <c r="D4" i="28" s="1"/>
  <c r="E4" i="28" s="1"/>
  <c r="C10" i="28"/>
  <c r="D10" i="28" s="1"/>
  <c r="E10" i="28" s="1"/>
  <c r="C12" i="28"/>
  <c r="D12" i="28" s="1"/>
  <c r="E12" i="28" s="1"/>
  <c r="C20" i="28"/>
  <c r="D20" i="28" s="1"/>
  <c r="E20" i="28" s="1"/>
  <c r="C26" i="28"/>
  <c r="D26" i="28" s="1"/>
  <c r="E26" i="28" s="1"/>
  <c r="C28" i="28"/>
  <c r="D28" i="28" s="1"/>
  <c r="E28" i="28" s="1"/>
  <c r="C36" i="28"/>
  <c r="D36" i="28" s="1"/>
  <c r="E36" i="28" s="1"/>
  <c r="C13" i="28"/>
  <c r="D13" i="28" s="1"/>
  <c r="E13" i="28" s="1"/>
  <c r="C29" i="28"/>
  <c r="D29" i="28" s="1"/>
  <c r="E29" i="28" s="1"/>
  <c r="C14" i="28"/>
  <c r="D14" i="28" s="1"/>
  <c r="E14" i="28" s="1"/>
  <c r="C30" i="28"/>
  <c r="D30" i="28" s="1"/>
  <c r="E30" i="28" s="1"/>
  <c r="C16" i="28"/>
  <c r="D16" i="28" s="1"/>
  <c r="E16" i="28" s="1"/>
  <c r="C32" i="28"/>
  <c r="D32" i="28" s="1"/>
  <c r="E32" i="28" s="1"/>
  <c r="C3" i="28"/>
  <c r="D3" i="28" s="1"/>
  <c r="E3" i="28" s="1"/>
  <c r="C17" i="28"/>
  <c r="D17" i="28" s="1"/>
  <c r="E17" i="28" s="1"/>
  <c r="C33" i="28"/>
  <c r="D33" i="28" s="1"/>
  <c r="E33" i="28" s="1"/>
  <c r="C18" i="28"/>
  <c r="D18" i="28" s="1"/>
  <c r="E18" i="28" s="1"/>
  <c r="C34" i="28"/>
  <c r="D34" i="28" s="1"/>
  <c r="E34" i="28" s="1"/>
  <c r="C21" i="28"/>
  <c r="D21" i="28" s="1"/>
  <c r="E21" i="28" s="1"/>
  <c r="C37" i="28"/>
  <c r="D37" i="28" s="1"/>
  <c r="E37" i="28" s="1"/>
  <c r="C6" i="28"/>
  <c r="D6" i="28" s="1"/>
  <c r="E6" i="28" s="1"/>
  <c r="C22" i="28"/>
  <c r="D22" i="28" s="1"/>
  <c r="E22" i="28" s="1"/>
  <c r="C38" i="28"/>
  <c r="D38" i="28" s="1"/>
  <c r="E38" i="28" s="1"/>
  <c r="C8" i="28"/>
  <c r="D8" i="28" s="1"/>
  <c r="E8" i="28" s="1"/>
  <c r="C24" i="28"/>
  <c r="D24" i="28" s="1"/>
  <c r="E24" i="28" s="1"/>
  <c r="C40" i="28"/>
  <c r="D40" i="28" s="1"/>
  <c r="E40" i="28" s="1"/>
  <c r="C9" i="28"/>
  <c r="D9" i="28" s="1"/>
  <c r="E9" i="28" s="1"/>
  <c r="C25" i="28"/>
  <c r="D25" i="28" s="1"/>
  <c r="E25" i="28" s="1"/>
  <c r="C28" i="27"/>
  <c r="D28" i="27" s="1"/>
  <c r="E28" i="27" s="1"/>
  <c r="C21" i="27"/>
  <c r="D21" i="27" s="1"/>
  <c r="E21" i="27" s="1"/>
  <c r="C29" i="27"/>
  <c r="D29" i="27" s="1"/>
  <c r="E29" i="27" s="1"/>
  <c r="C38" i="27"/>
  <c r="D38" i="27" s="1"/>
  <c r="E38" i="27" s="1"/>
  <c r="C1" i="27"/>
  <c r="D1" i="27" s="1"/>
  <c r="E1" i="27" s="1"/>
  <c r="C19" i="27"/>
  <c r="D19" i="27" s="1"/>
  <c r="E19" i="27" s="1"/>
  <c r="C2" i="27"/>
  <c r="D2" i="27" s="1"/>
  <c r="E2" i="27" s="1"/>
  <c r="C9" i="27"/>
  <c r="D9" i="27" s="1"/>
  <c r="E9" i="27" s="1"/>
  <c r="C10" i="27"/>
  <c r="D10" i="27" s="1"/>
  <c r="E10" i="27" s="1"/>
  <c r="C11" i="27"/>
  <c r="D11" i="27" s="1"/>
  <c r="E11" i="27" s="1"/>
  <c r="C20" i="27"/>
  <c r="D20" i="27" s="1"/>
  <c r="E20" i="27" s="1"/>
  <c r="C30" i="27"/>
  <c r="D30" i="27" s="1"/>
  <c r="E30" i="27" s="1"/>
  <c r="C39" i="27"/>
  <c r="D39" i="27" s="1"/>
  <c r="E39" i="27" s="1"/>
  <c r="C40" i="27"/>
  <c r="D40" i="27" s="1"/>
  <c r="E40" i="27" s="1"/>
  <c r="C12" i="27"/>
  <c r="D12" i="27" s="1"/>
  <c r="E12" i="27" s="1"/>
  <c r="C22" i="27"/>
  <c r="D22" i="27" s="1"/>
  <c r="E22" i="27" s="1"/>
  <c r="C31" i="27"/>
  <c r="D31" i="27" s="1"/>
  <c r="E31" i="27" s="1"/>
  <c r="C3" i="27"/>
  <c r="D3" i="27" s="1"/>
  <c r="E3" i="27" s="1"/>
  <c r="C13" i="27"/>
  <c r="D13" i="27" s="1"/>
  <c r="E13" i="27" s="1"/>
  <c r="C32" i="27"/>
  <c r="D32" i="27" s="1"/>
  <c r="E32" i="27" s="1"/>
  <c r="C14" i="27"/>
  <c r="D14" i="27" s="1"/>
  <c r="E14" i="27" s="1"/>
  <c r="C23" i="27"/>
  <c r="D23" i="27" s="1"/>
  <c r="E23" i="27" s="1"/>
  <c r="C33" i="27"/>
  <c r="D33" i="27" s="1"/>
  <c r="E33" i="27" s="1"/>
  <c r="C4" i="27"/>
  <c r="D4" i="27" s="1"/>
  <c r="E4" i="27" s="1"/>
  <c r="C24" i="27"/>
  <c r="D24" i="27" s="1"/>
  <c r="E24" i="27" s="1"/>
  <c r="C34" i="27"/>
  <c r="D34" i="27" s="1"/>
  <c r="E34" i="27" s="1"/>
  <c r="C6" i="27"/>
  <c r="D6" i="27" s="1"/>
  <c r="E6" i="27" s="1"/>
  <c r="C15" i="27"/>
  <c r="D15" i="27" s="1"/>
  <c r="E15" i="27" s="1"/>
  <c r="C25" i="27"/>
  <c r="D25" i="27" s="1"/>
  <c r="E25" i="27" s="1"/>
  <c r="C16" i="27"/>
  <c r="D16" i="27" s="1"/>
  <c r="E16" i="27" s="1"/>
  <c r="C26" i="27"/>
  <c r="D26" i="27" s="1"/>
  <c r="E26" i="27" s="1"/>
  <c r="C35" i="27"/>
  <c r="D35" i="27" s="1"/>
  <c r="E35" i="27" s="1"/>
  <c r="C7" i="27"/>
  <c r="D7" i="27" s="1"/>
  <c r="E7" i="27" s="1"/>
  <c r="C17" i="27"/>
  <c r="D17" i="27" s="1"/>
  <c r="E17" i="27" s="1"/>
  <c r="C36" i="27"/>
  <c r="D36" i="27" s="1"/>
  <c r="E36" i="27" s="1"/>
  <c r="C8" i="27"/>
  <c r="D8" i="27" s="1"/>
  <c r="E8" i="27" s="1"/>
  <c r="C18" i="27"/>
  <c r="D18" i="27" s="1"/>
  <c r="E18" i="27" s="1"/>
  <c r="C27" i="27"/>
  <c r="D27" i="27" s="1"/>
  <c r="E27" i="27" s="1"/>
  <c r="C37" i="27"/>
  <c r="D37" i="27" s="1"/>
  <c r="E37" i="27" s="1"/>
  <c r="C32" i="26"/>
  <c r="D32" i="26" s="1"/>
  <c r="E32" i="26" s="1"/>
  <c r="C37" i="26"/>
  <c r="D37" i="26" s="1"/>
  <c r="E37" i="26" s="1"/>
  <c r="C8" i="26"/>
  <c r="D8" i="26" s="1"/>
  <c r="E8" i="26" s="1"/>
  <c r="C16" i="26"/>
  <c r="D16" i="26" s="1"/>
  <c r="E16" i="26" s="1"/>
  <c r="C20" i="26"/>
  <c r="D20" i="26" s="1"/>
  <c r="E20" i="26" s="1"/>
  <c r="C21" i="26"/>
  <c r="D21" i="26" s="1"/>
  <c r="E21" i="26" s="1"/>
  <c r="C40" i="26"/>
  <c r="D40" i="26" s="1"/>
  <c r="E40" i="26" s="1"/>
  <c r="C6" i="26"/>
  <c r="D6" i="26" s="1"/>
  <c r="E6" i="26" s="1"/>
  <c r="C22" i="26"/>
  <c r="D22" i="26" s="1"/>
  <c r="E22" i="26" s="1"/>
  <c r="C24" i="26"/>
  <c r="D24" i="26" s="1"/>
  <c r="E24" i="26" s="1"/>
  <c r="C9" i="26"/>
  <c r="D9" i="26" s="1"/>
  <c r="E9" i="26" s="1"/>
  <c r="C25" i="26"/>
  <c r="D25" i="26" s="1"/>
  <c r="E25" i="26" s="1"/>
  <c r="C10" i="26"/>
  <c r="D10" i="26" s="1"/>
  <c r="E10" i="26" s="1"/>
  <c r="C26" i="26"/>
  <c r="D26" i="26" s="1"/>
  <c r="E26" i="26" s="1"/>
  <c r="C12" i="26"/>
  <c r="D12" i="26" s="1"/>
  <c r="E12" i="26" s="1"/>
  <c r="C28" i="26"/>
  <c r="D28" i="26" s="1"/>
  <c r="E28" i="26" s="1"/>
  <c r="C13" i="26"/>
  <c r="D13" i="26" s="1"/>
  <c r="E13" i="26" s="1"/>
  <c r="C29" i="26"/>
  <c r="D29" i="26" s="1"/>
  <c r="E29" i="26" s="1"/>
  <c r="C14" i="26"/>
  <c r="D14" i="26" s="1"/>
  <c r="E14" i="26" s="1"/>
  <c r="C30" i="26"/>
  <c r="D30" i="26" s="1"/>
  <c r="E30" i="26" s="1"/>
  <c r="C17" i="26"/>
  <c r="D17" i="26" s="1"/>
  <c r="E17" i="26" s="1"/>
  <c r="C33" i="26"/>
  <c r="D33" i="26" s="1"/>
  <c r="E33" i="26" s="1"/>
  <c r="C18" i="26"/>
  <c r="D18" i="26" s="1"/>
  <c r="E18" i="26" s="1"/>
  <c r="C36" i="26"/>
  <c r="D36" i="26" s="1"/>
  <c r="E36" i="26" s="1"/>
  <c r="C25" i="25"/>
  <c r="D25" i="25" s="1"/>
  <c r="E25" i="25" s="1"/>
  <c r="C37" i="25"/>
  <c r="D37" i="25" s="1"/>
  <c r="E37" i="25" s="1"/>
  <c r="C13" i="25"/>
  <c r="D13" i="25" s="1"/>
  <c r="E13" i="25" s="1"/>
  <c r="C17" i="25"/>
  <c r="D17" i="25" s="1"/>
  <c r="E17" i="25" s="1"/>
  <c r="C14" i="25"/>
  <c r="D14" i="25" s="1"/>
  <c r="E14" i="25" s="1"/>
  <c r="C38" i="25"/>
  <c r="D38" i="25" s="1"/>
  <c r="E38" i="25" s="1"/>
  <c r="C18" i="25"/>
  <c r="D18" i="25" s="1"/>
  <c r="E18" i="25" s="1"/>
  <c r="C21" i="25"/>
  <c r="D21" i="25" s="1"/>
  <c r="E21" i="25" s="1"/>
  <c r="C22" i="25"/>
  <c r="D22" i="25" s="1"/>
  <c r="E22" i="25" s="1"/>
  <c r="C2" i="25"/>
  <c r="D2" i="25" s="1"/>
  <c r="E2" i="25" s="1"/>
  <c r="C26" i="25"/>
  <c r="D26" i="25" s="1"/>
  <c r="E26" i="25" s="1"/>
  <c r="C29" i="25"/>
  <c r="D29" i="25" s="1"/>
  <c r="E29" i="25" s="1"/>
  <c r="C6" i="25"/>
  <c r="D6" i="25" s="1"/>
  <c r="E6" i="25" s="1"/>
  <c r="C30" i="25"/>
  <c r="D30" i="25" s="1"/>
  <c r="E30" i="25" s="1"/>
  <c r="C9" i="25"/>
  <c r="D9" i="25" s="1"/>
  <c r="E9" i="25" s="1"/>
  <c r="C33" i="25"/>
  <c r="D33" i="25" s="1"/>
  <c r="E33" i="25" s="1"/>
  <c r="C10" i="25"/>
  <c r="D10" i="25" s="1"/>
  <c r="E10" i="25" s="1"/>
  <c r="C34" i="25"/>
  <c r="D34" i="25" s="1"/>
  <c r="E34" i="25" s="1"/>
  <c r="C21" i="24"/>
  <c r="D21" i="24" s="1"/>
  <c r="E21" i="24" s="1"/>
  <c r="C25" i="24"/>
  <c r="D25" i="24" s="1"/>
  <c r="E25" i="24" s="1"/>
  <c r="C17" i="24"/>
  <c r="D17" i="24" s="1"/>
  <c r="E17" i="24" s="1"/>
  <c r="C29" i="24"/>
  <c r="D29" i="24" s="1"/>
  <c r="E29" i="24" s="1"/>
  <c r="C37" i="24"/>
  <c r="D37" i="24" s="1"/>
  <c r="E37" i="24" s="1"/>
  <c r="C33" i="24"/>
  <c r="D33" i="24" s="1"/>
  <c r="E33" i="24" s="1"/>
  <c r="C9" i="24"/>
  <c r="D9" i="24" s="1"/>
  <c r="E9" i="24" s="1"/>
  <c r="C13" i="24"/>
  <c r="D13" i="24" s="1"/>
  <c r="E13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3" i="23"/>
  <c r="D33" i="23" s="1"/>
  <c r="E33" i="23" s="1"/>
  <c r="C37" i="23"/>
  <c r="D37" i="23" s="1"/>
  <c r="E37" i="23" s="1"/>
  <c r="C3" i="23"/>
  <c r="D3" i="23" s="1"/>
  <c r="E3" i="23" s="1"/>
  <c r="C18" i="22"/>
  <c r="D18" i="22" s="1"/>
  <c r="E18" i="22" s="1"/>
  <c r="C21" i="22"/>
  <c r="D21" i="22" s="1"/>
  <c r="E21" i="22" s="1"/>
  <c r="C22" i="22"/>
  <c r="D22" i="22" s="1"/>
  <c r="E22" i="22" s="1"/>
  <c r="C25" i="22"/>
  <c r="D25" i="22" s="1"/>
  <c r="E25" i="22" s="1"/>
  <c r="C26" i="22"/>
  <c r="D26" i="22" s="1"/>
  <c r="E26" i="22" s="1"/>
  <c r="C4" i="22"/>
  <c r="D4" i="22" s="1"/>
  <c r="E4" i="22" s="1"/>
  <c r="C29" i="22"/>
  <c r="D29" i="22" s="1"/>
  <c r="E29" i="22" s="1"/>
  <c r="C6" i="22"/>
  <c r="D6" i="22" s="1"/>
  <c r="E6" i="22" s="1"/>
  <c r="C30" i="22"/>
  <c r="D30" i="22" s="1"/>
  <c r="E30" i="22" s="1"/>
  <c r="C9" i="22"/>
  <c r="D9" i="22" s="1"/>
  <c r="E9" i="22" s="1"/>
  <c r="C33" i="22"/>
  <c r="D33" i="22" s="1"/>
  <c r="E33" i="22" s="1"/>
  <c r="C10" i="22"/>
  <c r="D10" i="22" s="1"/>
  <c r="E10" i="22" s="1"/>
  <c r="C34" i="22"/>
  <c r="D34" i="22" s="1"/>
  <c r="E34" i="22" s="1"/>
  <c r="C13" i="22"/>
  <c r="D13" i="22" s="1"/>
  <c r="E13" i="22" s="1"/>
  <c r="C37" i="22"/>
  <c r="D37" i="22" s="1"/>
  <c r="E37" i="22" s="1"/>
  <c r="C14" i="22"/>
  <c r="D14" i="22" s="1"/>
  <c r="E14" i="22" s="1"/>
  <c r="C38" i="22"/>
  <c r="D38" i="22" s="1"/>
  <c r="E38" i="22" s="1"/>
  <c r="C17" i="22"/>
  <c r="D17" i="22" s="1"/>
  <c r="E17" i="22" s="1"/>
  <c r="C33" i="21"/>
  <c r="D33" i="21" s="1"/>
  <c r="E33" i="21" s="1"/>
  <c r="C6" i="21"/>
  <c r="D6" i="21" s="1"/>
  <c r="E6" i="21" s="1"/>
  <c r="C35" i="21"/>
  <c r="D35" i="21" s="1"/>
  <c r="E35" i="21" s="1"/>
  <c r="C39" i="21"/>
  <c r="D39" i="21" s="1"/>
  <c r="E39" i="21" s="1"/>
  <c r="C9" i="21"/>
  <c r="D9" i="21" s="1"/>
  <c r="E9" i="21" s="1"/>
  <c r="C11" i="21"/>
  <c r="D11" i="21" s="1"/>
  <c r="E11" i="21" s="1"/>
  <c r="C13" i="21"/>
  <c r="D13" i="21" s="1"/>
  <c r="E13" i="21" s="1"/>
  <c r="C14" i="21"/>
  <c r="D14" i="21" s="1"/>
  <c r="E14" i="21" s="1"/>
  <c r="C18" i="21"/>
  <c r="D18" i="21" s="1"/>
  <c r="E18" i="21" s="1"/>
  <c r="C21" i="21"/>
  <c r="D21" i="21" s="1"/>
  <c r="E21" i="21" s="1"/>
  <c r="C25" i="21"/>
  <c r="D25" i="21" s="1"/>
  <c r="E25" i="21" s="1"/>
  <c r="C1" i="21"/>
  <c r="D1" i="21" s="1"/>
  <c r="E1" i="21" s="1"/>
  <c r="C26" i="21"/>
  <c r="D26" i="21" s="1"/>
  <c r="E26" i="21" s="1"/>
  <c r="C37" i="21"/>
  <c r="D37" i="21" s="1"/>
  <c r="E37" i="21" s="1"/>
  <c r="C23" i="21"/>
  <c r="D23" i="21" s="1"/>
  <c r="E23" i="21" s="1"/>
  <c r="C3" i="21"/>
  <c r="D3" i="21" s="1"/>
  <c r="E3" i="21" s="1"/>
  <c r="C30" i="21"/>
  <c r="D30" i="21" s="1"/>
  <c r="E30" i="21" s="1"/>
  <c r="C15" i="21"/>
  <c r="D15" i="21" s="1"/>
  <c r="E15" i="21" s="1"/>
  <c r="C27" i="21"/>
  <c r="D27" i="21" s="1"/>
  <c r="E27" i="21" s="1"/>
  <c r="C4" i="21"/>
  <c r="D4" i="21" s="1"/>
  <c r="E4" i="21" s="1"/>
  <c r="C17" i="21"/>
  <c r="D17" i="21" s="1"/>
  <c r="E17" i="21" s="1"/>
  <c r="C29" i="21"/>
  <c r="D29" i="21" s="1"/>
  <c r="E29" i="21" s="1"/>
  <c r="C7" i="21"/>
  <c r="D7" i="21" s="1"/>
  <c r="E7" i="21" s="1"/>
  <c r="C19" i="21"/>
  <c r="D19" i="21" s="1"/>
  <c r="E19" i="21" s="1"/>
  <c r="C31" i="21"/>
  <c r="D31" i="21" s="1"/>
  <c r="E31" i="21" s="1"/>
  <c r="C10" i="21"/>
  <c r="D10" i="21" s="1"/>
  <c r="E10" i="21" s="1"/>
  <c r="C22" i="21"/>
  <c r="D22" i="21" s="1"/>
  <c r="E22" i="21" s="1"/>
  <c r="C34" i="21"/>
  <c r="D34" i="21" s="1"/>
  <c r="E34" i="21" s="1"/>
  <c r="C16" i="20"/>
  <c r="D16" i="20" s="1"/>
  <c r="E16" i="20" s="1"/>
  <c r="C26" i="20"/>
  <c r="D26" i="20" s="1"/>
  <c r="E26" i="20" s="1"/>
  <c r="C29" i="20"/>
  <c r="D29" i="20" s="1"/>
  <c r="E29" i="20" s="1"/>
  <c r="C30" i="20"/>
  <c r="D30" i="20" s="1"/>
  <c r="E30" i="20" s="1"/>
  <c r="C32" i="20"/>
  <c r="D32" i="20" s="1"/>
  <c r="E32" i="20" s="1"/>
  <c r="C10" i="20"/>
  <c r="D10" i="20" s="1"/>
  <c r="E10" i="20" s="1"/>
  <c r="C13" i="20"/>
  <c r="D13" i="20" s="1"/>
  <c r="E13" i="20" s="1"/>
  <c r="C14" i="20"/>
  <c r="D14" i="20" s="1"/>
  <c r="E14" i="20" s="1"/>
  <c r="C21" i="20"/>
  <c r="D21" i="20" s="1"/>
  <c r="E21" i="20" s="1"/>
  <c r="C37" i="20"/>
  <c r="D37" i="20" s="1"/>
  <c r="E37" i="20" s="1"/>
  <c r="C6" i="20"/>
  <c r="D6" i="20" s="1"/>
  <c r="E6" i="20" s="1"/>
  <c r="C22" i="20"/>
  <c r="D22" i="20" s="1"/>
  <c r="E22" i="20" s="1"/>
  <c r="C38" i="20"/>
  <c r="D38" i="20" s="1"/>
  <c r="E38" i="20" s="1"/>
  <c r="C8" i="20"/>
  <c r="D8" i="20" s="1"/>
  <c r="E8" i="20" s="1"/>
  <c r="C24" i="20"/>
  <c r="D24" i="20" s="1"/>
  <c r="E24" i="20" s="1"/>
  <c r="C40" i="20"/>
  <c r="D40" i="20" s="1"/>
  <c r="E40" i="20" s="1"/>
  <c r="C9" i="20"/>
  <c r="D9" i="20" s="1"/>
  <c r="E9" i="20" s="1"/>
  <c r="C25" i="20"/>
  <c r="D25" i="20" s="1"/>
  <c r="E25" i="20" s="1"/>
  <c r="C12" i="20"/>
  <c r="D12" i="20" s="1"/>
  <c r="E12" i="20" s="1"/>
  <c r="C28" i="20"/>
  <c r="D28" i="20" s="1"/>
  <c r="E28" i="20" s="1"/>
  <c r="C17" i="20"/>
  <c r="D17" i="20" s="1"/>
  <c r="E17" i="20" s="1"/>
  <c r="C33" i="20"/>
  <c r="D33" i="20" s="1"/>
  <c r="E33" i="20" s="1"/>
  <c r="C18" i="20"/>
  <c r="D18" i="20" s="1"/>
  <c r="E18" i="20" s="1"/>
  <c r="C34" i="20"/>
  <c r="D34" i="20" s="1"/>
  <c r="E34" i="20" s="1"/>
  <c r="C20" i="20"/>
  <c r="D20" i="20" s="1"/>
  <c r="E20" i="20" s="1"/>
  <c r="C36" i="20"/>
  <c r="D36" i="20" s="1"/>
  <c r="E36" i="20" s="1"/>
  <c r="C22" i="19"/>
  <c r="D22" i="19" s="1"/>
  <c r="E22" i="19" s="1"/>
  <c r="C17" i="19"/>
  <c r="D17" i="19" s="1"/>
  <c r="E17" i="19" s="1"/>
  <c r="C25" i="19"/>
  <c r="D25" i="19" s="1"/>
  <c r="E25" i="19" s="1"/>
  <c r="C14" i="19"/>
  <c r="D14" i="19" s="1"/>
  <c r="E14" i="19" s="1"/>
  <c r="C38" i="19"/>
  <c r="D38" i="19" s="1"/>
  <c r="E38" i="19" s="1"/>
  <c r="C18" i="19"/>
  <c r="D18" i="19" s="1"/>
  <c r="E18" i="19" s="1"/>
  <c r="C21" i="19"/>
  <c r="D21" i="19" s="1"/>
  <c r="E21" i="19" s="1"/>
  <c r="C26" i="19"/>
  <c r="D26" i="19" s="1"/>
  <c r="E26" i="19" s="1"/>
  <c r="C29" i="19"/>
  <c r="D29" i="19" s="1"/>
  <c r="E29" i="19" s="1"/>
  <c r="C6" i="19"/>
  <c r="D6" i="19" s="1"/>
  <c r="E6" i="19" s="1"/>
  <c r="C30" i="19"/>
  <c r="D30" i="19" s="1"/>
  <c r="E30" i="19" s="1"/>
  <c r="C9" i="19"/>
  <c r="D9" i="19" s="1"/>
  <c r="E9" i="19" s="1"/>
  <c r="C33" i="19"/>
  <c r="D33" i="19" s="1"/>
  <c r="E33" i="19" s="1"/>
  <c r="C10" i="19"/>
  <c r="D10" i="19" s="1"/>
  <c r="E10" i="19" s="1"/>
  <c r="C34" i="19"/>
  <c r="D34" i="19" s="1"/>
  <c r="E34" i="19" s="1"/>
  <c r="C13" i="19"/>
  <c r="D13" i="19" s="1"/>
  <c r="E13" i="19" s="1"/>
  <c r="C37" i="19"/>
  <c r="D37" i="19" s="1"/>
  <c r="E37" i="19" s="1"/>
  <c r="C6" i="18"/>
  <c r="D6" i="18" s="1"/>
  <c r="E6" i="18" s="1"/>
  <c r="C30" i="18"/>
  <c r="D30" i="18" s="1"/>
  <c r="E30" i="18" s="1"/>
  <c r="C33" i="18"/>
  <c r="D33" i="18" s="1"/>
  <c r="E33" i="18" s="1"/>
  <c r="C13" i="18"/>
  <c r="D13" i="18" s="1"/>
  <c r="E13" i="18" s="1"/>
  <c r="C37" i="18"/>
  <c r="D37" i="18" s="1"/>
  <c r="E37" i="18" s="1"/>
  <c r="C10" i="18"/>
  <c r="D10" i="18" s="1"/>
  <c r="E10" i="18" s="1"/>
  <c r="C14" i="18"/>
  <c r="D14" i="18" s="1"/>
  <c r="E14" i="18" s="1"/>
  <c r="C38" i="18"/>
  <c r="D38" i="18" s="1"/>
  <c r="E38" i="18" s="1"/>
  <c r="C17" i="18"/>
  <c r="D17" i="18" s="1"/>
  <c r="E17" i="18" s="1"/>
  <c r="C18" i="18"/>
  <c r="D18" i="18" s="1"/>
  <c r="E18" i="18" s="1"/>
  <c r="C29" i="18"/>
  <c r="D29" i="18" s="1"/>
  <c r="E29" i="18" s="1"/>
  <c r="C21" i="18"/>
  <c r="D21" i="18" s="1"/>
  <c r="E21" i="18" s="1"/>
  <c r="C9" i="18"/>
  <c r="D9" i="18" s="1"/>
  <c r="E9" i="18" s="1"/>
  <c r="C34" i="18"/>
  <c r="D34" i="18" s="1"/>
  <c r="E34" i="18" s="1"/>
  <c r="C22" i="18"/>
  <c r="D22" i="18" s="1"/>
  <c r="E22" i="18" s="1"/>
  <c r="C2" i="18"/>
  <c r="D2" i="18" s="1"/>
  <c r="E2" i="18" s="1"/>
  <c r="C25" i="18"/>
  <c r="D25" i="18" s="1"/>
  <c r="E25" i="18" s="1"/>
  <c r="C26" i="18"/>
  <c r="D26" i="18" s="1"/>
  <c r="E26" i="18" s="1"/>
  <c r="C14" i="17"/>
  <c r="D14" i="17" s="1"/>
  <c r="E14" i="17" s="1"/>
  <c r="C20" i="17"/>
  <c r="D20" i="17" s="1"/>
  <c r="E20" i="17" s="1"/>
  <c r="C16" i="17"/>
  <c r="D16" i="17" s="1"/>
  <c r="E16" i="17" s="1"/>
  <c r="C17" i="17"/>
  <c r="D17" i="17" s="1"/>
  <c r="E17" i="17" s="1"/>
  <c r="C24" i="17"/>
  <c r="D24" i="17" s="1"/>
  <c r="E24" i="17" s="1"/>
  <c r="C28" i="17"/>
  <c r="D28" i="17" s="1"/>
  <c r="E28" i="17" s="1"/>
  <c r="C29" i="17"/>
  <c r="D29" i="17" s="1"/>
  <c r="E29" i="17" s="1"/>
  <c r="C30" i="17"/>
  <c r="D30" i="17" s="1"/>
  <c r="E30" i="17" s="1"/>
  <c r="C33" i="17"/>
  <c r="D33" i="17" s="1"/>
  <c r="E33" i="17" s="1"/>
  <c r="C8" i="17"/>
  <c r="D8" i="17" s="1"/>
  <c r="E8" i="17" s="1"/>
  <c r="C40" i="17"/>
  <c r="D40" i="17" s="1"/>
  <c r="E40" i="17" s="1"/>
  <c r="C12" i="17"/>
  <c r="D12" i="17" s="1"/>
  <c r="E12" i="17" s="1"/>
  <c r="C13" i="17"/>
  <c r="D13" i="17" s="1"/>
  <c r="E13" i="17" s="1"/>
  <c r="C32" i="17"/>
  <c r="D32" i="17" s="1"/>
  <c r="E32" i="17" s="1"/>
  <c r="C18" i="17"/>
  <c r="D18" i="17" s="1"/>
  <c r="E18" i="17" s="1"/>
  <c r="C34" i="17"/>
  <c r="D34" i="17" s="1"/>
  <c r="E34" i="17" s="1"/>
  <c r="C36" i="17"/>
  <c r="D36" i="17" s="1"/>
  <c r="E36" i="17" s="1"/>
  <c r="C21" i="17"/>
  <c r="D21" i="17" s="1"/>
  <c r="E21" i="17" s="1"/>
  <c r="C37" i="17"/>
  <c r="D37" i="17" s="1"/>
  <c r="E37" i="17" s="1"/>
  <c r="C6" i="17"/>
  <c r="D6" i="17" s="1"/>
  <c r="E6" i="17" s="1"/>
  <c r="C22" i="17"/>
  <c r="D22" i="17" s="1"/>
  <c r="E22" i="17" s="1"/>
  <c r="C38" i="17"/>
  <c r="D38" i="17" s="1"/>
  <c r="E38" i="17" s="1"/>
  <c r="C9" i="17"/>
  <c r="D9" i="17" s="1"/>
  <c r="E9" i="17" s="1"/>
  <c r="C25" i="17"/>
  <c r="D25" i="17" s="1"/>
  <c r="E25" i="17" s="1"/>
  <c r="C10" i="17"/>
  <c r="D10" i="17" s="1"/>
  <c r="E10" i="17" s="1"/>
  <c r="C26" i="17"/>
  <c r="D26" i="17" s="1"/>
  <c r="E26" i="17" s="1"/>
  <c r="C9" i="16"/>
  <c r="D9" i="16" s="1"/>
  <c r="E9" i="16" s="1"/>
  <c r="C17" i="16"/>
  <c r="D17" i="16" s="1"/>
  <c r="E17" i="16" s="1"/>
  <c r="C33" i="16"/>
  <c r="D33" i="16" s="1"/>
  <c r="E33" i="16" s="1"/>
  <c r="C13" i="16"/>
  <c r="D13" i="16" s="1"/>
  <c r="E13" i="16" s="1"/>
  <c r="C21" i="16"/>
  <c r="D21" i="16" s="1"/>
  <c r="E21" i="16" s="1"/>
  <c r="C25" i="16"/>
  <c r="D25" i="16" s="1"/>
  <c r="E25" i="16" s="1"/>
  <c r="C29" i="16"/>
  <c r="D29" i="16" s="1"/>
  <c r="E29" i="16" s="1"/>
  <c r="C37" i="16"/>
  <c r="D37" i="16" s="1"/>
  <c r="E37" i="16" s="1"/>
  <c r="C21" i="15"/>
  <c r="D21" i="15" s="1"/>
  <c r="E21" i="15" s="1"/>
  <c r="C3" i="15"/>
  <c r="D3" i="15" s="1"/>
  <c r="E3" i="15" s="1"/>
  <c r="C22" i="15"/>
  <c r="D22" i="15" s="1"/>
  <c r="E22" i="15" s="1"/>
  <c r="C25" i="15"/>
  <c r="D25" i="15" s="1"/>
  <c r="E25" i="15" s="1"/>
  <c r="C5" i="15"/>
  <c r="D5" i="15" s="1"/>
  <c r="E5" i="15" s="1"/>
  <c r="C26" i="15"/>
  <c r="D26" i="15" s="1"/>
  <c r="E26" i="15" s="1"/>
  <c r="C29" i="15"/>
  <c r="D29" i="15" s="1"/>
  <c r="E29" i="15" s="1"/>
  <c r="C6" i="15"/>
  <c r="D6" i="15" s="1"/>
  <c r="E6" i="15" s="1"/>
  <c r="C30" i="15"/>
  <c r="D30" i="15" s="1"/>
  <c r="E30" i="15" s="1"/>
  <c r="C9" i="15"/>
  <c r="D9" i="15" s="1"/>
  <c r="E9" i="15" s="1"/>
  <c r="C33" i="15"/>
  <c r="D33" i="15" s="1"/>
  <c r="E33" i="15" s="1"/>
  <c r="C10" i="15"/>
  <c r="D10" i="15" s="1"/>
  <c r="E10" i="15" s="1"/>
  <c r="C34" i="15"/>
  <c r="D34" i="15" s="1"/>
  <c r="E34" i="15" s="1"/>
  <c r="C13" i="15"/>
  <c r="D13" i="15" s="1"/>
  <c r="E13" i="15" s="1"/>
  <c r="C37" i="15"/>
  <c r="D37" i="15" s="1"/>
  <c r="E37" i="15" s="1"/>
  <c r="C14" i="15"/>
  <c r="D14" i="15" s="1"/>
  <c r="E14" i="15" s="1"/>
  <c r="C38" i="15"/>
  <c r="D38" i="15" s="1"/>
  <c r="E38" i="15" s="1"/>
  <c r="C17" i="15"/>
  <c r="D17" i="15" s="1"/>
  <c r="E17" i="15" s="1"/>
  <c r="C18" i="15"/>
  <c r="D18" i="15" s="1"/>
  <c r="E18" i="15" s="1"/>
  <c r="C38" i="14"/>
  <c r="D38" i="14" s="1"/>
  <c r="E38" i="14" s="1"/>
  <c r="C6" i="14"/>
  <c r="D6" i="14" s="1"/>
  <c r="E6" i="14" s="1"/>
  <c r="C14" i="14"/>
  <c r="D14" i="14" s="1"/>
  <c r="E14" i="14" s="1"/>
  <c r="C18" i="14"/>
  <c r="D18" i="14" s="1"/>
  <c r="E18" i="14" s="1"/>
  <c r="C30" i="14"/>
  <c r="D30" i="14" s="1"/>
  <c r="E30" i="14" s="1"/>
  <c r="C17" i="14"/>
  <c r="D17" i="14" s="1"/>
  <c r="E17" i="14" s="1"/>
  <c r="C21" i="14"/>
  <c r="D21" i="14" s="1"/>
  <c r="E21" i="14" s="1"/>
  <c r="C22" i="14"/>
  <c r="D22" i="14" s="1"/>
  <c r="E22" i="14" s="1"/>
  <c r="C1" i="14"/>
  <c r="D1" i="14" s="1"/>
  <c r="E1" i="14" s="1"/>
  <c r="C25" i="14"/>
  <c r="D25" i="14" s="1"/>
  <c r="E25" i="14" s="1"/>
  <c r="C3" i="14"/>
  <c r="D3" i="14" s="1"/>
  <c r="E3" i="14" s="1"/>
  <c r="C26" i="14"/>
  <c r="D26" i="14" s="1"/>
  <c r="E26" i="14" s="1"/>
  <c r="C29" i="14"/>
  <c r="D29" i="14" s="1"/>
  <c r="E29" i="14" s="1"/>
  <c r="C9" i="14"/>
  <c r="D9" i="14" s="1"/>
  <c r="E9" i="14" s="1"/>
  <c r="C33" i="14"/>
  <c r="D33" i="14" s="1"/>
  <c r="E33" i="14" s="1"/>
  <c r="C10" i="14"/>
  <c r="D10" i="14" s="1"/>
  <c r="E10" i="14" s="1"/>
  <c r="C34" i="14"/>
  <c r="D34" i="14" s="1"/>
  <c r="E34" i="14" s="1"/>
  <c r="C13" i="14"/>
  <c r="D13" i="14" s="1"/>
  <c r="E13" i="14" s="1"/>
  <c r="C37" i="14"/>
  <c r="D37" i="14" s="1"/>
  <c r="E37" i="14" s="1"/>
  <c r="C29" i="13"/>
  <c r="D29" i="13" s="1"/>
  <c r="E29" i="13" s="1"/>
  <c r="C10" i="13"/>
  <c r="D10" i="13" s="1"/>
  <c r="E10" i="13" s="1"/>
  <c r="C14" i="13"/>
  <c r="D14" i="13" s="1"/>
  <c r="E14" i="13" s="1"/>
  <c r="C25" i="13"/>
  <c r="D25" i="13" s="1"/>
  <c r="E25" i="13" s="1"/>
  <c r="C34" i="13"/>
  <c r="D34" i="13" s="1"/>
  <c r="E34" i="13" s="1"/>
  <c r="C7" i="13"/>
  <c r="D7" i="13" s="1"/>
  <c r="E7" i="13" s="1"/>
  <c r="C11" i="13"/>
  <c r="D11" i="13" s="1"/>
  <c r="E11" i="13" s="1"/>
  <c r="C30" i="13"/>
  <c r="D30" i="13" s="1"/>
  <c r="E30" i="13" s="1"/>
  <c r="C13" i="13"/>
  <c r="D13" i="13" s="1"/>
  <c r="E13" i="13" s="1"/>
  <c r="C33" i="13"/>
  <c r="D33" i="13" s="1"/>
  <c r="E33" i="13" s="1"/>
  <c r="C15" i="13"/>
  <c r="D15" i="13" s="1"/>
  <c r="E15" i="13" s="1"/>
  <c r="C37" i="13"/>
  <c r="D37" i="13" s="1"/>
  <c r="E37" i="13" s="1"/>
  <c r="C17" i="13"/>
  <c r="D17" i="13" s="1"/>
  <c r="E17" i="13" s="1"/>
  <c r="C18" i="13"/>
  <c r="D18" i="13" s="1"/>
  <c r="E18" i="13" s="1"/>
  <c r="C1" i="13"/>
  <c r="D1" i="13" s="1"/>
  <c r="E1" i="13" s="1"/>
  <c r="C19" i="13"/>
  <c r="D19" i="13" s="1"/>
  <c r="E19" i="13" s="1"/>
  <c r="C21" i="13"/>
  <c r="D21" i="13" s="1"/>
  <c r="E21" i="13" s="1"/>
  <c r="C6" i="13"/>
  <c r="D6" i="13" s="1"/>
  <c r="E6" i="13" s="1"/>
  <c r="C22" i="13"/>
  <c r="D22" i="13" s="1"/>
  <c r="E22" i="13" s="1"/>
  <c r="C9" i="13"/>
  <c r="D9" i="13" s="1"/>
  <c r="E9" i="13" s="1"/>
  <c r="C26" i="13"/>
  <c r="D26" i="13" s="1"/>
  <c r="E26" i="13" s="1"/>
  <c r="C13" i="12"/>
  <c r="D13" i="12" s="1"/>
  <c r="E13" i="12" s="1"/>
  <c r="C21" i="12"/>
  <c r="D21" i="12" s="1"/>
  <c r="E21" i="12" s="1"/>
  <c r="C17" i="12"/>
  <c r="D17" i="12" s="1"/>
  <c r="E17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9" i="12"/>
  <c r="D9" i="12" s="1"/>
  <c r="E9" i="12" s="1"/>
  <c r="C12" i="11"/>
  <c r="D12" i="11" s="1"/>
  <c r="E12" i="11" s="1"/>
  <c r="C28" i="11"/>
  <c r="D28" i="11" s="1"/>
  <c r="E28" i="11" s="1"/>
  <c r="C1" i="11"/>
  <c r="D1" i="11" s="1"/>
  <c r="E1" i="11" s="1"/>
  <c r="C13" i="11"/>
  <c r="D13" i="11" s="1"/>
  <c r="E13" i="11" s="1"/>
  <c r="C29" i="11"/>
  <c r="D29" i="11" s="1"/>
  <c r="E29" i="11" s="1"/>
  <c r="C15" i="11"/>
  <c r="D15" i="11" s="1"/>
  <c r="E15" i="11" s="1"/>
  <c r="C31" i="11"/>
  <c r="D31" i="11" s="1"/>
  <c r="E31" i="11" s="1"/>
  <c r="C16" i="11"/>
  <c r="D16" i="11" s="1"/>
  <c r="E16" i="11" s="1"/>
  <c r="C32" i="11"/>
  <c r="D32" i="11" s="1"/>
  <c r="E32" i="11" s="1"/>
  <c r="C3" i="11"/>
  <c r="D3" i="11" s="1"/>
  <c r="E3" i="11" s="1"/>
  <c r="C17" i="11"/>
  <c r="D17" i="11" s="1"/>
  <c r="E17" i="11" s="1"/>
  <c r="C33" i="11"/>
  <c r="D33" i="11" s="1"/>
  <c r="E33" i="11" s="1"/>
  <c r="C19" i="11"/>
  <c r="D19" i="11" s="1"/>
  <c r="E19" i="11" s="1"/>
  <c r="C35" i="11"/>
  <c r="D35" i="11" s="1"/>
  <c r="E35" i="11" s="1"/>
  <c r="C5" i="11"/>
  <c r="D5" i="11" s="1"/>
  <c r="E5" i="11" s="1"/>
  <c r="C20" i="11"/>
  <c r="D20" i="11" s="1"/>
  <c r="E20" i="11" s="1"/>
  <c r="C36" i="11"/>
  <c r="D36" i="11" s="1"/>
  <c r="E36" i="11" s="1"/>
  <c r="C21" i="11"/>
  <c r="D21" i="11" s="1"/>
  <c r="E21" i="11" s="1"/>
  <c r="C37" i="11"/>
  <c r="D37" i="11" s="1"/>
  <c r="E37" i="11" s="1"/>
  <c r="C7" i="11"/>
  <c r="D7" i="11" s="1"/>
  <c r="E7" i="11" s="1"/>
  <c r="C23" i="11"/>
  <c r="D23" i="11" s="1"/>
  <c r="E23" i="11" s="1"/>
  <c r="C39" i="11"/>
  <c r="D39" i="11" s="1"/>
  <c r="E39" i="11" s="1"/>
  <c r="C8" i="11"/>
  <c r="D8" i="11" s="1"/>
  <c r="E8" i="11" s="1"/>
  <c r="C24" i="11"/>
  <c r="D24" i="11" s="1"/>
  <c r="E24" i="11" s="1"/>
  <c r="C40" i="11"/>
  <c r="D40" i="11" s="1"/>
  <c r="E40" i="11" s="1"/>
  <c r="C9" i="11"/>
  <c r="D9" i="11" s="1"/>
  <c r="E9" i="11" s="1"/>
  <c r="C25" i="11"/>
  <c r="D25" i="11" s="1"/>
  <c r="E25" i="11" s="1"/>
  <c r="C11" i="11"/>
  <c r="D11" i="11" s="1"/>
  <c r="E11" i="11" s="1"/>
  <c r="C27" i="11"/>
  <c r="D27" i="11" s="1"/>
  <c r="E27" i="11" s="1"/>
  <c r="C40" i="10"/>
  <c r="D40" i="10" s="1"/>
  <c r="E40" i="10" s="1"/>
  <c r="C3" i="10"/>
  <c r="D3" i="10" s="1"/>
  <c r="E3" i="10" s="1"/>
  <c r="C8" i="10"/>
  <c r="D8" i="10" s="1"/>
  <c r="E8" i="10" s="1"/>
  <c r="C9" i="10"/>
  <c r="D9" i="10" s="1"/>
  <c r="E9" i="10" s="1"/>
  <c r="C13" i="10"/>
  <c r="D13" i="10" s="1"/>
  <c r="E13" i="10" s="1"/>
  <c r="C16" i="10"/>
  <c r="D16" i="10" s="1"/>
  <c r="E16" i="10" s="1"/>
  <c r="C20" i="10"/>
  <c r="D20" i="10" s="1"/>
  <c r="E20" i="10" s="1"/>
  <c r="C21" i="10"/>
  <c r="D21" i="10" s="1"/>
  <c r="E21" i="10" s="1"/>
  <c r="C25" i="10"/>
  <c r="D25" i="10" s="1"/>
  <c r="E25" i="10" s="1"/>
  <c r="C32" i="10"/>
  <c r="D32" i="10" s="1"/>
  <c r="E32" i="10" s="1"/>
  <c r="C33" i="10"/>
  <c r="D33" i="10" s="1"/>
  <c r="E33" i="10" s="1"/>
  <c r="C2" i="10"/>
  <c r="D2" i="10" s="1"/>
  <c r="E2" i="10" s="1"/>
  <c r="C37" i="10"/>
  <c r="D37" i="10" s="1"/>
  <c r="E37" i="10" s="1"/>
  <c r="C17" i="10"/>
  <c r="D17" i="10" s="1"/>
  <c r="E17" i="10" s="1"/>
  <c r="C24" i="10"/>
  <c r="D24" i="10" s="1"/>
  <c r="E24" i="10" s="1"/>
  <c r="C28" i="10"/>
  <c r="D28" i="10" s="1"/>
  <c r="E28" i="10" s="1"/>
  <c r="C29" i="10"/>
  <c r="D29" i="10" s="1"/>
  <c r="E29" i="10" s="1"/>
  <c r="C12" i="10"/>
  <c r="D12" i="10" s="1"/>
  <c r="E12" i="10" s="1"/>
  <c r="C36" i="10"/>
  <c r="D36" i="10" s="1"/>
  <c r="E36" i="10" s="1"/>
  <c r="C37" i="9"/>
  <c r="D37" i="9" s="1"/>
  <c r="E37" i="9" s="1"/>
  <c r="C29" i="9"/>
  <c r="D29" i="9" s="1"/>
  <c r="E29" i="9" s="1"/>
  <c r="C33" i="9"/>
  <c r="D33" i="9" s="1"/>
  <c r="E33" i="9" s="1"/>
  <c r="C2" i="9"/>
  <c r="D2" i="9" s="1"/>
  <c r="E2" i="9" s="1"/>
  <c r="C17" i="9"/>
  <c r="D17" i="9" s="1"/>
  <c r="E17" i="9" s="1"/>
  <c r="C3" i="9"/>
  <c r="D3" i="9" s="1"/>
  <c r="E3" i="9" s="1"/>
  <c r="C9" i="9"/>
  <c r="D9" i="9" s="1"/>
  <c r="E9" i="9" s="1"/>
  <c r="C13" i="9"/>
  <c r="D13" i="9" s="1"/>
  <c r="E13" i="9" s="1"/>
  <c r="C21" i="9"/>
  <c r="D21" i="9" s="1"/>
  <c r="E21" i="9" s="1"/>
  <c r="C25" i="9"/>
  <c r="D25" i="9" s="1"/>
  <c r="E25" i="9" s="1"/>
  <c r="C21" i="8"/>
  <c r="D21" i="8" s="1"/>
  <c r="E21" i="8" s="1"/>
  <c r="C25" i="8"/>
  <c r="D25" i="8" s="1"/>
  <c r="E25" i="8" s="1"/>
  <c r="C33" i="8"/>
  <c r="D33" i="8" s="1"/>
  <c r="E33" i="8" s="1"/>
  <c r="C3" i="8"/>
  <c r="D3" i="8" s="1"/>
  <c r="E3" i="8" s="1"/>
  <c r="C5" i="8"/>
  <c r="D5" i="8" s="1"/>
  <c r="E5" i="8" s="1"/>
  <c r="C29" i="8"/>
  <c r="D29" i="8" s="1"/>
  <c r="E29" i="8" s="1"/>
  <c r="C37" i="8"/>
  <c r="D37" i="8" s="1"/>
  <c r="E37" i="8" s="1"/>
  <c r="C9" i="8"/>
  <c r="D9" i="8" s="1"/>
  <c r="E9" i="8" s="1"/>
  <c r="C13" i="8"/>
  <c r="D13" i="8" s="1"/>
  <c r="E13" i="8" s="1"/>
  <c r="C17" i="8"/>
  <c r="D17" i="8" s="1"/>
  <c r="E17" i="8" s="1"/>
  <c r="C10" i="7"/>
  <c r="D10" i="7" s="1"/>
  <c r="E10" i="7" s="1"/>
  <c r="C34" i="7"/>
  <c r="D34" i="7" s="1"/>
  <c r="E34" i="7" s="1"/>
  <c r="C13" i="7"/>
  <c r="D13" i="7" s="1"/>
  <c r="E13" i="7" s="1"/>
  <c r="C37" i="7"/>
  <c r="D37" i="7" s="1"/>
  <c r="E37" i="7" s="1"/>
  <c r="C14" i="7"/>
  <c r="D14" i="7" s="1"/>
  <c r="E14" i="7" s="1"/>
  <c r="C38" i="7"/>
  <c r="D38" i="7" s="1"/>
  <c r="E38" i="7" s="1"/>
  <c r="C17" i="7"/>
  <c r="D17" i="7" s="1"/>
  <c r="E17" i="7" s="1"/>
  <c r="C18" i="7"/>
  <c r="D18" i="7" s="1"/>
  <c r="E18" i="7" s="1"/>
  <c r="C21" i="7"/>
  <c r="D21" i="7" s="1"/>
  <c r="E21" i="7" s="1"/>
  <c r="C22" i="7"/>
  <c r="D22" i="7" s="1"/>
  <c r="E22" i="7" s="1"/>
  <c r="C25" i="7"/>
  <c r="D25" i="7" s="1"/>
  <c r="E25" i="7" s="1"/>
  <c r="C26" i="7"/>
  <c r="D26" i="7" s="1"/>
  <c r="E26" i="7" s="1"/>
  <c r="C4" i="7"/>
  <c r="D4" i="7" s="1"/>
  <c r="E4" i="7" s="1"/>
  <c r="C29" i="7"/>
  <c r="D29" i="7" s="1"/>
  <c r="E29" i="7" s="1"/>
  <c r="C6" i="7"/>
  <c r="D6" i="7" s="1"/>
  <c r="E6" i="7" s="1"/>
  <c r="C30" i="7"/>
  <c r="D30" i="7" s="1"/>
  <c r="E30" i="7" s="1"/>
  <c r="C9" i="7"/>
  <c r="D9" i="7" s="1"/>
  <c r="E9" i="7" s="1"/>
  <c r="C33" i="7"/>
  <c r="D33" i="7" s="1"/>
  <c r="E33" i="7" s="1"/>
  <c r="C9" i="6"/>
  <c r="D9" i="6" s="1"/>
  <c r="E9" i="6" s="1"/>
  <c r="C33" i="6"/>
  <c r="D33" i="6" s="1"/>
  <c r="E33" i="6" s="1"/>
  <c r="C14" i="6"/>
  <c r="D14" i="6" s="1"/>
  <c r="E14" i="6" s="1"/>
  <c r="C20" i="6"/>
  <c r="D20" i="6" s="1"/>
  <c r="E20" i="6" s="1"/>
  <c r="C21" i="6"/>
  <c r="D21" i="6" s="1"/>
  <c r="E21" i="6" s="1"/>
  <c r="C26" i="6"/>
  <c r="D26" i="6" s="1"/>
  <c r="E26" i="6" s="1"/>
  <c r="C32" i="6"/>
  <c r="D32" i="6" s="1"/>
  <c r="E32" i="6" s="1"/>
  <c r="C38" i="6"/>
  <c r="D38" i="6" s="1"/>
  <c r="E38" i="6" s="1"/>
  <c r="C3" i="6"/>
  <c r="D3" i="6" s="1"/>
  <c r="E3" i="6" s="1"/>
  <c r="C8" i="6"/>
  <c r="D8" i="6" s="1"/>
  <c r="E8" i="6" s="1"/>
  <c r="C10" i="6"/>
  <c r="D10" i="6" s="1"/>
  <c r="E10" i="6" s="1"/>
  <c r="C22" i="6"/>
  <c r="D22" i="6" s="1"/>
  <c r="E22" i="6" s="1"/>
  <c r="C34" i="6"/>
  <c r="D34" i="6" s="1"/>
  <c r="E34" i="6" s="1"/>
  <c r="C11" i="6"/>
  <c r="D11" i="6" s="1"/>
  <c r="E11" i="6" s="1"/>
  <c r="C23" i="6"/>
  <c r="D23" i="6" s="1"/>
  <c r="E23" i="6" s="1"/>
  <c r="C35" i="6"/>
  <c r="D35" i="6" s="1"/>
  <c r="E35" i="6" s="1"/>
  <c r="C12" i="6"/>
  <c r="D12" i="6" s="1"/>
  <c r="E12" i="6" s="1"/>
  <c r="C24" i="6"/>
  <c r="D24" i="6" s="1"/>
  <c r="E24" i="6" s="1"/>
  <c r="C36" i="6"/>
  <c r="D36" i="6" s="1"/>
  <c r="E36" i="6" s="1"/>
  <c r="C1" i="6"/>
  <c r="D1" i="6" s="1"/>
  <c r="E1" i="6" s="1"/>
  <c r="C13" i="6"/>
  <c r="D13" i="6" s="1"/>
  <c r="E13" i="6" s="1"/>
  <c r="C25" i="6"/>
  <c r="D25" i="6" s="1"/>
  <c r="E25" i="6" s="1"/>
  <c r="C37" i="6"/>
  <c r="D37" i="6" s="1"/>
  <c r="E37" i="6" s="1"/>
  <c r="C15" i="6"/>
  <c r="D15" i="6" s="1"/>
  <c r="E15" i="6" s="1"/>
  <c r="C27" i="6"/>
  <c r="D27" i="6" s="1"/>
  <c r="E27" i="6" s="1"/>
  <c r="C39" i="6"/>
  <c r="D39" i="6" s="1"/>
  <c r="E39" i="6" s="1"/>
  <c r="C4" i="6"/>
  <c r="D4" i="6" s="1"/>
  <c r="E4" i="6" s="1"/>
  <c r="C16" i="6"/>
  <c r="D16" i="6" s="1"/>
  <c r="E16" i="6" s="1"/>
  <c r="C28" i="6"/>
  <c r="D28" i="6" s="1"/>
  <c r="E28" i="6" s="1"/>
  <c r="C40" i="6"/>
  <c r="D40" i="6" s="1"/>
  <c r="E40" i="6" s="1"/>
  <c r="C17" i="6"/>
  <c r="D17" i="6" s="1"/>
  <c r="E17" i="6" s="1"/>
  <c r="C29" i="6"/>
  <c r="D29" i="6" s="1"/>
  <c r="E29" i="6" s="1"/>
  <c r="C6" i="6"/>
  <c r="D6" i="6" s="1"/>
  <c r="E6" i="6" s="1"/>
  <c r="C18" i="6"/>
  <c r="D18" i="6" s="1"/>
  <c r="E18" i="6" s="1"/>
  <c r="C30" i="6"/>
  <c r="D30" i="6" s="1"/>
  <c r="E30" i="6" s="1"/>
  <c r="C7" i="6"/>
  <c r="D7" i="6" s="1"/>
  <c r="E7" i="6" s="1"/>
  <c r="C19" i="6"/>
  <c r="D19" i="6" s="1"/>
  <c r="E19" i="6" s="1"/>
  <c r="C31" i="6"/>
  <c r="D31" i="6" s="1"/>
  <c r="E31" i="6" s="1"/>
  <c r="C31" i="5"/>
  <c r="D31" i="5" s="1"/>
  <c r="E31" i="5" s="1"/>
  <c r="C35" i="5"/>
  <c r="D35" i="5" s="1"/>
  <c r="E35" i="5" s="1"/>
  <c r="C32" i="5"/>
  <c r="D32" i="5" s="1"/>
  <c r="E32" i="5" s="1"/>
  <c r="C39" i="5"/>
  <c r="D39" i="5" s="1"/>
  <c r="E39" i="5" s="1"/>
  <c r="C7" i="5"/>
  <c r="D7" i="5" s="1"/>
  <c r="E7" i="5" s="1"/>
  <c r="C12" i="5"/>
  <c r="D12" i="5" s="1"/>
  <c r="E12" i="5" s="1"/>
  <c r="C15" i="5"/>
  <c r="D15" i="5" s="1"/>
  <c r="E15" i="5" s="1"/>
  <c r="C16" i="5"/>
  <c r="D16" i="5" s="1"/>
  <c r="E16" i="5" s="1"/>
  <c r="C23" i="5"/>
  <c r="D23" i="5" s="1"/>
  <c r="E23" i="5" s="1"/>
  <c r="C19" i="5"/>
  <c r="D19" i="5" s="1"/>
  <c r="E19" i="5" s="1"/>
  <c r="C28" i="5"/>
  <c r="D28" i="5" s="1"/>
  <c r="E28" i="5" s="1"/>
  <c r="C1" i="5"/>
  <c r="D1" i="5" s="1"/>
  <c r="E1" i="5" s="1"/>
  <c r="C20" i="5"/>
  <c r="D20" i="5" s="1"/>
  <c r="E20" i="5" s="1"/>
  <c r="C36" i="5"/>
  <c r="D36" i="5" s="1"/>
  <c r="E36" i="5" s="1"/>
  <c r="C21" i="5"/>
  <c r="D21" i="5" s="1"/>
  <c r="E21" i="5" s="1"/>
  <c r="C37" i="5"/>
  <c r="D37" i="5" s="1"/>
  <c r="E37" i="5" s="1"/>
  <c r="C8" i="5"/>
  <c r="D8" i="5" s="1"/>
  <c r="E8" i="5" s="1"/>
  <c r="C24" i="5"/>
  <c r="D24" i="5" s="1"/>
  <c r="E24" i="5" s="1"/>
  <c r="C9" i="5"/>
  <c r="D9" i="5" s="1"/>
  <c r="E9" i="5" s="1"/>
  <c r="C25" i="5"/>
  <c r="D25" i="5" s="1"/>
  <c r="E25" i="5" s="1"/>
  <c r="C11" i="5"/>
  <c r="D11" i="5" s="1"/>
  <c r="E11" i="5" s="1"/>
  <c r="C27" i="5"/>
  <c r="D27" i="5" s="1"/>
  <c r="E27" i="5" s="1"/>
  <c r="C13" i="5"/>
  <c r="D13" i="5" s="1"/>
  <c r="E13" i="5" s="1"/>
  <c r="C29" i="5"/>
  <c r="D29" i="5" s="1"/>
  <c r="E29" i="5" s="1"/>
  <c r="C17" i="5"/>
  <c r="D17" i="5" s="1"/>
  <c r="E17" i="5" s="1"/>
  <c r="C33" i="5"/>
  <c r="D33" i="5" s="1"/>
  <c r="E33" i="5" s="1"/>
  <c r="C40" i="4"/>
  <c r="D40" i="4" s="1"/>
  <c r="E40" i="4" s="1"/>
  <c r="C8" i="4"/>
  <c r="D8" i="4" s="1"/>
  <c r="E8" i="4" s="1"/>
  <c r="C1" i="4"/>
  <c r="D1" i="4" s="1"/>
  <c r="E1" i="4" s="1"/>
  <c r="C9" i="4"/>
  <c r="D9" i="4" s="1"/>
  <c r="E9" i="4" s="1"/>
  <c r="C24" i="4"/>
  <c r="D24" i="4" s="1"/>
  <c r="E24" i="4" s="1"/>
  <c r="C28" i="4"/>
  <c r="D28" i="4" s="1"/>
  <c r="E28" i="4" s="1"/>
  <c r="C12" i="4"/>
  <c r="D12" i="4" s="1"/>
  <c r="E12" i="4" s="1"/>
  <c r="C20" i="4"/>
  <c r="D20" i="4" s="1"/>
  <c r="E20" i="4" s="1"/>
  <c r="C25" i="4"/>
  <c r="D25" i="4" s="1"/>
  <c r="E25" i="4" s="1"/>
  <c r="C36" i="4"/>
  <c r="D36" i="4" s="1"/>
  <c r="E36" i="4" s="1"/>
  <c r="C10" i="4"/>
  <c r="D10" i="4" s="1"/>
  <c r="E10" i="4" s="1"/>
  <c r="C26" i="4"/>
  <c r="D26" i="4" s="1"/>
  <c r="E26" i="4" s="1"/>
  <c r="C13" i="4"/>
  <c r="D13" i="4" s="1"/>
  <c r="E13" i="4" s="1"/>
  <c r="C29" i="4"/>
  <c r="D29" i="4" s="1"/>
  <c r="E29" i="4" s="1"/>
  <c r="C14" i="4"/>
  <c r="D14" i="4" s="1"/>
  <c r="E14" i="4" s="1"/>
  <c r="C30" i="4"/>
  <c r="D30" i="4" s="1"/>
  <c r="E30" i="4" s="1"/>
  <c r="C16" i="4"/>
  <c r="D16" i="4" s="1"/>
  <c r="E16" i="4" s="1"/>
  <c r="C32" i="4"/>
  <c r="D32" i="4" s="1"/>
  <c r="E32" i="4" s="1"/>
  <c r="C17" i="4"/>
  <c r="D17" i="4" s="1"/>
  <c r="E17" i="4" s="1"/>
  <c r="C33" i="4"/>
  <c r="D33" i="4" s="1"/>
  <c r="E33" i="4" s="1"/>
  <c r="C18" i="4"/>
  <c r="D18" i="4" s="1"/>
  <c r="E18" i="4" s="1"/>
  <c r="C34" i="4"/>
  <c r="D34" i="4" s="1"/>
  <c r="E34" i="4" s="1"/>
  <c r="C21" i="4"/>
  <c r="D21" i="4" s="1"/>
  <c r="E21" i="4" s="1"/>
  <c r="C37" i="4"/>
  <c r="D37" i="4" s="1"/>
  <c r="E37" i="4" s="1"/>
  <c r="C6" i="4"/>
  <c r="D6" i="4" s="1"/>
  <c r="E6" i="4" s="1"/>
  <c r="C22" i="4"/>
  <c r="D22" i="4" s="1"/>
  <c r="E22" i="4" s="1"/>
  <c r="C38" i="4"/>
  <c r="D38" i="4" s="1"/>
  <c r="E38" i="4" s="1"/>
  <c r="C5" i="3"/>
  <c r="D5" i="3" s="1"/>
  <c r="E5" i="3" s="1"/>
  <c r="C7" i="3"/>
  <c r="D7" i="3" s="1"/>
  <c r="E7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9" i="3"/>
  <c r="D39" i="3" s="1"/>
  <c r="E39" i="3" s="1"/>
  <c r="C25" i="3"/>
  <c r="D25" i="3" s="1"/>
  <c r="E25" i="3" s="1"/>
  <c r="C29" i="3"/>
  <c r="D29" i="3" s="1"/>
  <c r="E29" i="3" s="1"/>
  <c r="C9" i="3"/>
  <c r="D9" i="3" s="1"/>
  <c r="E9" i="3" s="1"/>
  <c r="C33" i="3"/>
  <c r="D33" i="3" s="1"/>
  <c r="E33" i="3" s="1"/>
  <c r="C11" i="3"/>
  <c r="D11" i="3" s="1"/>
  <c r="E11" i="3" s="1"/>
  <c r="C35" i="3"/>
  <c r="D35" i="3" s="1"/>
  <c r="E35" i="3" s="1"/>
  <c r="C13" i="3"/>
  <c r="D13" i="3" s="1"/>
  <c r="E13" i="3" s="1"/>
  <c r="C37" i="3"/>
  <c r="D37" i="3" s="1"/>
  <c r="E37" i="3" s="1"/>
  <c r="C17" i="3"/>
  <c r="D17" i="3" s="1"/>
  <c r="E17" i="3" s="1"/>
  <c r="C21" i="3"/>
  <c r="D21" i="3" s="1"/>
  <c r="E21" i="3" s="1"/>
  <c r="C37" i="2"/>
  <c r="D37" i="2" s="1"/>
  <c r="E37" i="2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" i="32"/>
  <c r="D3" i="32" s="1"/>
  <c r="E3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2" i="31"/>
  <c r="D2" i="31" s="1"/>
  <c r="E2" i="31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8" i="31"/>
  <c r="D38" i="31" s="1"/>
  <c r="E38" i="31" s="1"/>
  <c r="C3" i="31"/>
  <c r="D3" i="31" s="1"/>
  <c r="E3" i="31" s="1"/>
  <c r="C4" i="31"/>
  <c r="D4" i="31" s="1"/>
  <c r="E4" i="31" s="1"/>
  <c r="C2" i="30"/>
  <c r="D2" i="30" s="1"/>
  <c r="E2" i="30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3" i="30"/>
  <c r="D3" i="30" s="1"/>
  <c r="E3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2" i="29"/>
  <c r="D2" i="29" s="1"/>
  <c r="E2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2" i="28"/>
  <c r="D2" i="28" s="1"/>
  <c r="E2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1" i="28"/>
  <c r="D1" i="28" s="1"/>
  <c r="E1" i="28" s="1"/>
  <c r="C2" i="26"/>
  <c r="D2" i="26" s="1"/>
  <c r="E2" i="26" s="1"/>
  <c r="C34" i="26"/>
  <c r="D34" i="26" s="1"/>
  <c r="E34" i="26" s="1"/>
  <c r="C38" i="26"/>
  <c r="D38" i="26" s="1"/>
  <c r="E38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1" i="26"/>
  <c r="D1" i="26" s="1"/>
  <c r="E1" i="26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2" i="24"/>
  <c r="D2" i="24" s="1"/>
  <c r="E2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2" i="23"/>
  <c r="D2" i="23" s="1"/>
  <c r="E2" i="23" s="1"/>
  <c r="C6" i="23"/>
  <c r="D6" i="23" s="1"/>
  <c r="E6" i="23" s="1"/>
  <c r="C10" i="23"/>
  <c r="D10" i="23" s="1"/>
  <c r="E10" i="23" s="1"/>
  <c r="C14" i="23"/>
  <c r="D14" i="23" s="1"/>
  <c r="E14" i="23" s="1"/>
  <c r="C18" i="23"/>
  <c r="D18" i="23" s="1"/>
  <c r="E18" i="23" s="1"/>
  <c r="C22" i="23"/>
  <c r="D22" i="23" s="1"/>
  <c r="E22" i="23" s="1"/>
  <c r="C26" i="23"/>
  <c r="D26" i="23" s="1"/>
  <c r="E26" i="23" s="1"/>
  <c r="C30" i="23"/>
  <c r="D30" i="23" s="1"/>
  <c r="E30" i="23" s="1"/>
  <c r="C34" i="23"/>
  <c r="D34" i="23" s="1"/>
  <c r="E34" i="23" s="1"/>
  <c r="C38" i="23"/>
  <c r="D38" i="23" s="1"/>
  <c r="E38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2" i="22"/>
  <c r="D2" i="22" s="1"/>
  <c r="E2" i="22" s="1"/>
  <c r="C3" i="22"/>
  <c r="D3" i="22" s="1"/>
  <c r="E3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1" i="22"/>
  <c r="D1" i="22" s="1"/>
  <c r="E1" i="22" s="1"/>
  <c r="C2" i="21"/>
  <c r="D2" i="21" s="1"/>
  <c r="E2" i="21" s="1"/>
  <c r="C38" i="21"/>
  <c r="D38" i="21" s="1"/>
  <c r="E38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2" i="20"/>
  <c r="D2" i="20" s="1"/>
  <c r="E2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1" i="20"/>
  <c r="D1" i="20" s="1"/>
  <c r="E1" i="20" s="1"/>
  <c r="C2" i="19"/>
  <c r="D2" i="19" s="1"/>
  <c r="E2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1" i="19"/>
  <c r="D1" i="19" s="1"/>
  <c r="E1" i="19" s="1"/>
  <c r="C3" i="18"/>
  <c r="D3" i="18" s="1"/>
  <c r="E3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1" i="18"/>
  <c r="D1" i="18" s="1"/>
  <c r="E1" i="18" s="1"/>
  <c r="C2" i="17"/>
  <c r="D2" i="17" s="1"/>
  <c r="E2" i="17" s="1"/>
  <c r="C3" i="17"/>
  <c r="D3" i="17" s="1"/>
  <c r="E3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4" i="17"/>
  <c r="D4" i="17" s="1"/>
  <c r="E4" i="17" s="1"/>
  <c r="C1" i="17"/>
  <c r="D1" i="17" s="1"/>
  <c r="E1" i="17" s="1"/>
  <c r="C2" i="16"/>
  <c r="D2" i="16" s="1"/>
  <c r="E2" i="16" s="1"/>
  <c r="C6" i="16"/>
  <c r="D6" i="16" s="1"/>
  <c r="E6" i="16" s="1"/>
  <c r="C10" i="16"/>
  <c r="D10" i="16" s="1"/>
  <c r="E10" i="16" s="1"/>
  <c r="C14" i="16"/>
  <c r="D14" i="16" s="1"/>
  <c r="E14" i="16" s="1"/>
  <c r="C18" i="16"/>
  <c r="D18" i="16" s="1"/>
  <c r="E18" i="16" s="1"/>
  <c r="C22" i="16"/>
  <c r="D22" i="16" s="1"/>
  <c r="E22" i="16" s="1"/>
  <c r="C26" i="16"/>
  <c r="D26" i="16" s="1"/>
  <c r="E26" i="16" s="1"/>
  <c r="C30" i="16"/>
  <c r="D30" i="16" s="1"/>
  <c r="E30" i="16" s="1"/>
  <c r="C34" i="16"/>
  <c r="D34" i="16" s="1"/>
  <c r="E34" i="16" s="1"/>
  <c r="C38" i="16"/>
  <c r="D38" i="16" s="1"/>
  <c r="E38" i="16" s="1"/>
  <c r="C3" i="16"/>
  <c r="D3" i="16" s="1"/>
  <c r="E3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2" i="15"/>
  <c r="D2" i="15" s="1"/>
  <c r="E2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2" i="14"/>
  <c r="D2" i="14" s="1"/>
  <c r="E2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2" i="13"/>
  <c r="D2" i="13" s="1"/>
  <c r="E2" i="13" s="1"/>
  <c r="C38" i="13"/>
  <c r="D38" i="13" s="1"/>
  <c r="E38" i="13" s="1"/>
  <c r="C3" i="13"/>
  <c r="D3" i="13" s="1"/>
  <c r="E3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2" i="12"/>
  <c r="D2" i="12" s="1"/>
  <c r="E2" i="12" s="1"/>
  <c r="C6" i="12"/>
  <c r="D6" i="12" s="1"/>
  <c r="E6" i="12" s="1"/>
  <c r="C10" i="12"/>
  <c r="D10" i="12" s="1"/>
  <c r="E10" i="12" s="1"/>
  <c r="C14" i="12"/>
  <c r="D14" i="12" s="1"/>
  <c r="E14" i="12" s="1"/>
  <c r="C18" i="12"/>
  <c r="D18" i="12" s="1"/>
  <c r="E18" i="12" s="1"/>
  <c r="C22" i="12"/>
  <c r="D22" i="12" s="1"/>
  <c r="E22" i="12" s="1"/>
  <c r="C26" i="12"/>
  <c r="D26" i="12" s="1"/>
  <c r="E26" i="12" s="1"/>
  <c r="C30" i="12"/>
  <c r="D30" i="12" s="1"/>
  <c r="E30" i="12" s="1"/>
  <c r="C34" i="12"/>
  <c r="D34" i="12" s="1"/>
  <c r="E34" i="12" s="1"/>
  <c r="C38" i="12"/>
  <c r="D38" i="12" s="1"/>
  <c r="E38" i="12" s="1"/>
  <c r="C3" i="12"/>
  <c r="D3" i="12" s="1"/>
  <c r="E3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2" i="11"/>
  <c r="D2" i="11" s="1"/>
  <c r="E2" i="11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8" i="11"/>
  <c r="D38" i="11" s="1"/>
  <c r="E38" i="11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7" i="10"/>
  <c r="D7" i="10" s="1"/>
  <c r="E7" i="10" s="1"/>
  <c r="C11" i="10"/>
  <c r="D11" i="10" s="1"/>
  <c r="E11" i="10" s="1"/>
  <c r="C15" i="10"/>
  <c r="D15" i="10" s="1"/>
  <c r="E15" i="10" s="1"/>
  <c r="C19" i="10"/>
  <c r="D19" i="10" s="1"/>
  <c r="E19" i="10" s="1"/>
  <c r="C23" i="10"/>
  <c r="D23" i="10" s="1"/>
  <c r="E23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1" i="10"/>
  <c r="D1" i="10" s="1"/>
  <c r="E1" i="10" s="1"/>
  <c r="C6" i="9"/>
  <c r="D6" i="9" s="1"/>
  <c r="E6" i="9" s="1"/>
  <c r="C10" i="9"/>
  <c r="D10" i="9" s="1"/>
  <c r="E10" i="9" s="1"/>
  <c r="C14" i="9"/>
  <c r="D14" i="9" s="1"/>
  <c r="E14" i="9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2" i="8"/>
  <c r="D2" i="8" s="1"/>
  <c r="E2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2" i="7"/>
  <c r="D2" i="7" s="1"/>
  <c r="E2" i="7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1" i="7"/>
  <c r="D1" i="7" s="1"/>
  <c r="E1" i="7" s="1"/>
  <c r="C2" i="6"/>
  <c r="D2" i="6" s="1"/>
  <c r="E2" i="6" s="1"/>
  <c r="C2" i="5"/>
  <c r="D2" i="5" s="1"/>
  <c r="E2" i="5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3" i="5"/>
  <c r="D3" i="5" s="1"/>
  <c r="E3" i="5" s="1"/>
  <c r="C4" i="5"/>
  <c r="D4" i="5" s="1"/>
  <c r="E4" i="5" s="1"/>
  <c r="C40" i="5"/>
  <c r="D40" i="5" s="1"/>
  <c r="E40" i="5" s="1"/>
  <c r="C2" i="4"/>
  <c r="D2" i="4" s="1"/>
  <c r="E2" i="4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2" i="3"/>
  <c r="D2" i="3" s="1"/>
  <c r="E2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3" i="3"/>
  <c r="D3" i="3" s="1"/>
  <c r="E3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2" i="2"/>
  <c r="D2" i="2" s="1"/>
  <c r="E2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3" i="2"/>
  <c r="D3" i="2" s="1"/>
  <c r="E3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32" l="1"/>
  <c r="H5" i="31"/>
  <c r="H5" i="29"/>
  <c r="H5" i="27"/>
  <c r="H5" i="21"/>
  <c r="H5" i="15"/>
  <c r="H5" i="14"/>
  <c r="H5" i="13"/>
  <c r="H5" i="11"/>
  <c r="H5" i="8"/>
  <c r="H5" i="6"/>
  <c r="H5" i="5"/>
  <c r="H5" i="4"/>
  <c r="H5" i="3"/>
  <c r="H5" i="30"/>
  <c r="H5" i="28"/>
  <c r="H5" i="26"/>
  <c r="H5" i="25"/>
  <c r="H5" i="24"/>
  <c r="H5" i="23"/>
  <c r="H5" i="22"/>
  <c r="H5" i="20"/>
  <c r="H5" i="19"/>
  <c r="H5" i="18"/>
  <c r="H5" i="17"/>
  <c r="H5" i="16"/>
  <c r="H5" i="12"/>
  <c r="H5" i="10"/>
  <c r="H5" i="9"/>
  <c r="H5" i="7"/>
  <c r="H5" i="2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<sst xmlns="http://schemas.openxmlformats.org/spreadsheetml/2006/main" count="93" uniqueCount="3">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</sst>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F236-06A2-46AF-848B-A4073766F4DF}">
  <dimension ref="A1:B31"/>
  <sheetViews>
    <sheetView workbookViewId="0">
      <selection activeCell="G13" sqref="G13"/>
    </sheetView>
  </sheetViews>
  <sheetFormatPr defaultRowHeight="15.75" x14ac:dyDescent="0.25"/>
  <sheetData>
    <row r="1" spans="1:2" x14ac:dyDescent="0.25">
      <c r="A1">
        <v>1E-4</v>
      </c>
      <c r="B1">
        <f>'0.0001'!$H$1</f>
        <v>8.7481108324006351E-2</v>
      </c>
    </row>
    <row r="2" spans="1:2" x14ac:dyDescent="0.25">
      <c r="A2">
        <v>1E-3</v>
      </c>
      <c r="B2">
        <f>'0.001'!$H$1</f>
        <v>9.4130117863810758E-2</v>
      </c>
    </row>
    <row r="3" spans="1:2" x14ac:dyDescent="0.25">
      <c r="A3">
        <v>5.0000000000000001E-3</v>
      </c>
      <c r="B3">
        <f>'0.005'!$H$1</f>
        <v>0.1458252873730243</v>
      </c>
    </row>
    <row r="4" spans="1:2" x14ac:dyDescent="0.25">
      <c r="A4">
        <v>0.01</v>
      </c>
      <c r="B4">
        <f>'0.01'!$H$1</f>
        <v>0.17007237969598474</v>
      </c>
    </row>
    <row r="5" spans="1:2" x14ac:dyDescent="0.25">
      <c r="A5">
        <v>2.5000000000000001E-2</v>
      </c>
      <c r="B5">
        <f>'0.025'!$H$1</f>
        <v>0.22434363810949512</v>
      </c>
    </row>
    <row r="6" spans="1:2" x14ac:dyDescent="0.25">
      <c r="A6">
        <v>0.05</v>
      </c>
      <c r="B6">
        <f>'0.05'!$H$1</f>
        <v>0.28187078372454782</v>
      </c>
    </row>
    <row r="7" spans="1:2" x14ac:dyDescent="0.25">
      <c r="A7">
        <v>7.4999999999999997E-2</v>
      </c>
      <c r="B7">
        <f>'0.075'!$H$1</f>
        <v>0.32264306988676672</v>
      </c>
    </row>
    <row r="8" spans="1:2" x14ac:dyDescent="0.25">
      <c r="A8">
        <v>0.1</v>
      </c>
      <c r="B8">
        <f>'0.1'!$H$1</f>
        <v>0.35997773216239187</v>
      </c>
    </row>
    <row r="9" spans="1:2" x14ac:dyDescent="0.25">
      <c r="A9">
        <v>0.15</v>
      </c>
      <c r="B9">
        <f>'0.15'!$H$1</f>
        <v>0.42799444436367806</v>
      </c>
    </row>
    <row r="10" spans="1:2" x14ac:dyDescent="0.25">
      <c r="A10">
        <v>0.2</v>
      </c>
      <c r="B10">
        <f>'0.2'!$H$1</f>
        <v>0.48737291809924355</v>
      </c>
    </row>
    <row r="11" spans="1:2" x14ac:dyDescent="0.25">
      <c r="A11">
        <v>0.25</v>
      </c>
      <c r="B11">
        <f>'0.25'!$H$1</f>
        <v>0.54958905352186727</v>
      </c>
    </row>
    <row r="12" spans="1:2" x14ac:dyDescent="0.25">
      <c r="A12">
        <v>0.3</v>
      </c>
      <c r="B12">
        <f>'0.3'!$H$1</f>
        <v>0.60953707557450876</v>
      </c>
    </row>
    <row r="13" spans="1:2" x14ac:dyDescent="0.25">
      <c r="A13">
        <v>0.35</v>
      </c>
      <c r="B13">
        <f>'0.35'!$H$1</f>
        <v>0.67602093117047191</v>
      </c>
    </row>
    <row r="14" spans="1:2" x14ac:dyDescent="0.25">
      <c r="A14">
        <v>0.4</v>
      </c>
      <c r="B14">
        <f>'0.4'!$H$1</f>
        <v>0.74520683417831723</v>
      </c>
    </row>
    <row r="15" spans="1:2" x14ac:dyDescent="0.25">
      <c r="A15">
        <v>0.45</v>
      </c>
      <c r="B15">
        <f>'0.45'!$H$1</f>
        <v>0.82558225817785513</v>
      </c>
    </row>
    <row r="16" spans="1:2" x14ac:dyDescent="0.25">
      <c r="A16">
        <v>0.5</v>
      </c>
      <c r="B16">
        <f>'0.5'!$H$1</f>
        <v>0.91646346853852234</v>
      </c>
    </row>
    <row r="17" spans="1:2" x14ac:dyDescent="0.25">
      <c r="A17">
        <v>0.55000000000000004</v>
      </c>
      <c r="B17">
        <f>'0.55'!$H$1</f>
        <v>1.0105035036504113</v>
      </c>
    </row>
    <row r="18" spans="1:2" x14ac:dyDescent="0.25">
      <c r="A18">
        <v>0.6</v>
      </c>
      <c r="B18">
        <f>'0.6'!$H$1</f>
        <v>1.1226734308681141</v>
      </c>
    </row>
    <row r="19" spans="1:2" x14ac:dyDescent="0.25">
      <c r="A19">
        <v>0.65</v>
      </c>
      <c r="B19">
        <f>'0.65'!$H$1</f>
        <v>1.2659443059594735</v>
      </c>
    </row>
    <row r="20" spans="1:2" x14ac:dyDescent="0.25">
      <c r="A20">
        <v>0.7</v>
      </c>
      <c r="B20">
        <f>'0.7'!$H$1</f>
        <v>1.4342450016914472</v>
      </c>
    </row>
    <row r="21" spans="1:2" x14ac:dyDescent="0.25">
      <c r="A21">
        <v>0.75</v>
      </c>
      <c r="B21">
        <f>'0.75'!$H$1</f>
        <v>1.6562009618569613</v>
      </c>
    </row>
    <row r="22" spans="1:2" x14ac:dyDescent="0.25">
      <c r="A22">
        <v>0.8</v>
      </c>
      <c r="B22">
        <f>'0.8'!$H$1</f>
        <v>1.9609158550792463</v>
      </c>
    </row>
    <row r="23" spans="1:2" x14ac:dyDescent="0.25">
      <c r="A23">
        <v>0.85</v>
      </c>
      <c r="B23">
        <f>'0.85'!$H$1</f>
        <v>2.4007484895998394</v>
      </c>
    </row>
    <row r="24" spans="1:2" x14ac:dyDescent="0.25">
      <c r="A24">
        <v>0.9</v>
      </c>
      <c r="B24">
        <f>'0.9'!$H$1</f>
        <v>3.1446490696585254</v>
      </c>
    </row>
    <row r="25" spans="1:2" x14ac:dyDescent="0.25">
      <c r="A25">
        <v>0.92500000000000004</v>
      </c>
      <c r="B25">
        <f>'0.925'!$H$1</f>
        <v>3.7688175686980876</v>
      </c>
    </row>
    <row r="26" spans="1:2" x14ac:dyDescent="0.25">
      <c r="A26">
        <v>0.95</v>
      </c>
      <c r="B26">
        <f>'0.95'!$H$1</f>
        <v>4.8277805940743912</v>
      </c>
    </row>
    <row r="27" spans="1:2" x14ac:dyDescent="0.25">
      <c r="A27">
        <v>0.97499999999999998</v>
      </c>
      <c r="B27">
        <f>'0.975'!$H$1</f>
        <v>7.2348502710069713</v>
      </c>
    </row>
    <row r="28" spans="1:2" x14ac:dyDescent="0.25">
      <c r="A28">
        <v>0.99</v>
      </c>
      <c r="B28">
        <f>'0.99'!$H$1</f>
        <v>12.002024058722235</v>
      </c>
    </row>
    <row r="29" spans="1:2" x14ac:dyDescent="0.25">
      <c r="A29">
        <v>0.995</v>
      </c>
      <c r="B29">
        <f>'0.995'!$H$1</f>
        <v>17.411952426163015</v>
      </c>
    </row>
    <row r="30" spans="1:2" x14ac:dyDescent="0.25">
      <c r="A30">
        <v>0.999</v>
      </c>
      <c r="B30">
        <f>'0.999'!$H$1</f>
        <v>39.622090122305437</v>
      </c>
    </row>
    <row r="31" spans="1:2" x14ac:dyDescent="0.25">
      <c r="A31">
        <v>0.99990000000000001</v>
      </c>
      <c r="B31">
        <f>'0.9999'!$H$1</f>
        <v>121.12880072491534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964D-F292-493B-9FF3-E254F5D57B9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7.1046517512500004E-2</v>
      </c>
      <c r="B1">
        <v>0.79110717118183094</v>
      </c>
      <c r="C1">
        <f>$H$3*(1+$H$1)*(A1^($H$1))*EXP(-$H$3*(A1^(1+$H$1)))</f>
        <v>0.78930534520465268</v>
      </c>
      <c r="D1">
        <f>B1-C1</f>
        <v>1.8018259771782619E-3</v>
      </c>
      <c r="E1">
        <f>D1^2</f>
        <v>3.2465768520343983E-6</v>
      </c>
      <c r="G1" t="s">
        <v>0</v>
      </c>
      <c r="H1">
        <v>8.7481108324006351E-2</v>
      </c>
    </row>
    <row r="2" spans="1:8" x14ac:dyDescent="0.25">
      <c r="A2">
        <v>0.21282190653750002</v>
      </c>
      <c r="B2">
        <v>0.73919492270831766</v>
      </c>
      <c r="C2">
        <f t="shared" ref="C2:C40" si="0">$H$3*(1+$H$1)*(A2^($H$1))*EXP(-$H$3*(A2^(1+$H$1)))</f>
        <v>0.7666565378034893</v>
      </c>
      <c r="D2">
        <f t="shared" ref="D2:D40" si="1">B2-C2</f>
        <v>-2.7461615095171643E-2</v>
      </c>
      <c r="E2">
        <f t="shared" ref="E2:E40" si="2">D2^2</f>
        <v>7.5414030363535908E-4</v>
      </c>
    </row>
    <row r="3" spans="1:8" x14ac:dyDescent="0.25">
      <c r="A3">
        <v>0.35459729556250003</v>
      </c>
      <c r="B3">
        <v>0.68240203548943124</v>
      </c>
      <c r="C3">
        <f t="shared" si="0"/>
        <v>0.7016470695630963</v>
      </c>
      <c r="D3">
        <f t="shared" si="1"/>
        <v>-1.9245034073665068E-2</v>
      </c>
      <c r="E3">
        <f t="shared" si="2"/>
        <v>3.7037133649652952E-4</v>
      </c>
      <c r="G3" t="s">
        <v>1</v>
      </c>
      <c r="H3">
        <f>(_xlfn.GAMMA((2+$H$1)/(1+$H$1)))^(1+$H$1)</f>
        <v>0.96591711851792972</v>
      </c>
    </row>
    <row r="4" spans="1:8" x14ac:dyDescent="0.25">
      <c r="A4">
        <v>0.49637268458750006</v>
      </c>
      <c r="B4">
        <v>0.60298073226926985</v>
      </c>
      <c r="C4">
        <f t="shared" si="0"/>
        <v>0.62936369735536335</v>
      </c>
      <c r="D4">
        <f t="shared" si="1"/>
        <v>-2.6382965086093502E-2</v>
      </c>
      <c r="E4">
        <f t="shared" si="2"/>
        <v>6.9606084673402868E-4</v>
      </c>
    </row>
    <row r="5" spans="1:8" x14ac:dyDescent="0.25">
      <c r="A5">
        <v>0.63814807361250003</v>
      </c>
      <c r="B5">
        <v>0.53465178983404726</v>
      </c>
      <c r="C5">
        <f t="shared" si="0"/>
        <v>0.55835812883650815</v>
      </c>
      <c r="D5">
        <f t="shared" si="1"/>
        <v>-2.3706339002460886E-2</v>
      </c>
      <c r="E5">
        <f t="shared" si="2"/>
        <v>5.6199050889959819E-4</v>
      </c>
      <c r="G5" t="s">
        <v>2</v>
      </c>
      <c r="H5">
        <f>SUM(E1:E40)</f>
        <v>7.1762033498317321E-3</v>
      </c>
    </row>
    <row r="6" spans="1:8" x14ac:dyDescent="0.25">
      <c r="A6">
        <v>0.77992346263750001</v>
      </c>
      <c r="B6">
        <v>0.45523048661388588</v>
      </c>
      <c r="C6">
        <f t="shared" si="0"/>
        <v>0.491794281185366</v>
      </c>
      <c r="D6">
        <f t="shared" si="1"/>
        <v>-3.6563794571480124E-2</v>
      </c>
      <c r="E6">
        <f t="shared" si="2"/>
        <v>1.3369110734653994E-3</v>
      </c>
    </row>
    <row r="7" spans="1:8" x14ac:dyDescent="0.25">
      <c r="A7">
        <v>0.92169885166249998</v>
      </c>
      <c r="B7">
        <v>0.4170727655136966</v>
      </c>
      <c r="C7">
        <f t="shared" si="0"/>
        <v>0.4308897512317415</v>
      </c>
      <c r="D7">
        <f t="shared" si="1"/>
        <v>-1.3816985718044905E-2</v>
      </c>
      <c r="E7">
        <f t="shared" si="2"/>
        <v>1.9090909433265688E-4</v>
      </c>
    </row>
    <row r="8" spans="1:8" x14ac:dyDescent="0.25">
      <c r="A8">
        <v>1.0634742406875</v>
      </c>
      <c r="B8">
        <v>0.38645784974726571</v>
      </c>
      <c r="C8">
        <f t="shared" si="0"/>
        <v>0.37598628611479046</v>
      </c>
      <c r="D8">
        <f t="shared" si="1"/>
        <v>1.0471563632475256E-2</v>
      </c>
      <c r="E8">
        <f t="shared" si="2"/>
        <v>1.0965364490897838E-4</v>
      </c>
    </row>
    <row r="9" spans="1:8" x14ac:dyDescent="0.25">
      <c r="A9">
        <v>1.2052496297125002</v>
      </c>
      <c r="B9">
        <v>0.34120101774471562</v>
      </c>
      <c r="C9">
        <f t="shared" si="0"/>
        <v>0.32699131783841334</v>
      </c>
      <c r="D9">
        <f t="shared" si="1"/>
        <v>1.4209699906302276E-2</v>
      </c>
      <c r="E9">
        <f t="shared" si="2"/>
        <v>2.0191557142716689E-4</v>
      </c>
    </row>
    <row r="10" spans="1:8" x14ac:dyDescent="0.25">
      <c r="A10">
        <v>1.3470250187375001</v>
      </c>
      <c r="B10">
        <v>0.28751399154561214</v>
      </c>
      <c r="C10">
        <f t="shared" si="0"/>
        <v>0.28359147642066018</v>
      </c>
      <c r="D10">
        <f t="shared" si="1"/>
        <v>3.922515124951953E-3</v>
      </c>
      <c r="E10">
        <f t="shared" si="2"/>
        <v>1.5386124905476835E-5</v>
      </c>
    </row>
    <row r="11" spans="1:8" x14ac:dyDescent="0.25">
      <c r="A11">
        <v>1.4888004077625001</v>
      </c>
      <c r="B11">
        <v>0.2577864646419763</v>
      </c>
      <c r="C11">
        <f t="shared" si="0"/>
        <v>0.2453661723317109</v>
      </c>
      <c r="D11">
        <f t="shared" si="1"/>
        <v>1.2420292310265396E-2</v>
      </c>
      <c r="E11">
        <f t="shared" si="2"/>
        <v>1.5426366107243773E-4</v>
      </c>
    </row>
    <row r="12" spans="1:8" x14ac:dyDescent="0.25">
      <c r="A12">
        <v>1.6305757967875003</v>
      </c>
      <c r="B12">
        <v>0.21696657695340174</v>
      </c>
      <c r="C12">
        <f t="shared" si="0"/>
        <v>0.21185146737293489</v>
      </c>
      <c r="D12">
        <f t="shared" si="1"/>
        <v>5.1151095804668478E-3</v>
      </c>
      <c r="E12">
        <f t="shared" si="2"/>
        <v>2.6164346020183733E-5</v>
      </c>
    </row>
    <row r="13" spans="1:8" x14ac:dyDescent="0.25">
      <c r="A13">
        <v>1.7723511858125001</v>
      </c>
      <c r="B13">
        <v>0.19167599436374141</v>
      </c>
      <c r="C13">
        <f t="shared" si="0"/>
        <v>0.18257694539664437</v>
      </c>
      <c r="D13">
        <f t="shared" si="1"/>
        <v>9.0990489670970398E-3</v>
      </c>
      <c r="E13">
        <f t="shared" si="2"/>
        <v>8.2792692105629714E-5</v>
      </c>
    </row>
    <row r="14" spans="1:8" x14ac:dyDescent="0.25">
      <c r="A14">
        <v>1.9141265748375003</v>
      </c>
      <c r="B14">
        <v>0.18324580016718797</v>
      </c>
      <c r="C14">
        <f t="shared" si="0"/>
        <v>0.15708699405976287</v>
      </c>
      <c r="D14">
        <f t="shared" si="1"/>
        <v>2.6158806107425103E-2</v>
      </c>
      <c r="E14">
        <f t="shared" si="2"/>
        <v>6.842831369658609E-4</v>
      </c>
    </row>
    <row r="15" spans="1:8" x14ac:dyDescent="0.25">
      <c r="A15">
        <v>2.0559019638625005</v>
      </c>
      <c r="B15">
        <v>0.16594171734268354</v>
      </c>
      <c r="C15">
        <f t="shared" si="0"/>
        <v>0.13495270620450872</v>
      </c>
      <c r="D15">
        <f t="shared" si="1"/>
        <v>3.0989011138174816E-2</v>
      </c>
      <c r="E15">
        <f t="shared" si="2"/>
        <v>9.6031881132192277E-4</v>
      </c>
    </row>
    <row r="16" spans="1:8" x14ac:dyDescent="0.25">
      <c r="A16">
        <v>2.1976773528875002</v>
      </c>
      <c r="B16">
        <v>0.12955877396808449</v>
      </c>
      <c r="C16">
        <f t="shared" si="0"/>
        <v>0.11577799021736768</v>
      </c>
      <c r="D16">
        <f t="shared" si="1"/>
        <v>1.3780783750716813E-2</v>
      </c>
      <c r="E16">
        <f t="shared" si="2"/>
        <v>1.8991000078402056E-4</v>
      </c>
    </row>
    <row r="17" spans="1:5" x14ac:dyDescent="0.25">
      <c r="A17">
        <v>2.3394527419125</v>
      </c>
      <c r="B17">
        <v>0.10515558024121925</v>
      </c>
      <c r="C17">
        <f t="shared" si="0"/>
        <v>9.9202062191902279E-2</v>
      </c>
      <c r="D17">
        <f t="shared" si="1"/>
        <v>5.953518049316972E-3</v>
      </c>
      <c r="E17">
        <f t="shared" si="2"/>
        <v>3.5444377163542966E-5</v>
      </c>
    </row>
    <row r="18" spans="1:5" x14ac:dyDescent="0.25">
      <c r="A18">
        <v>2.4812281309375002</v>
      </c>
      <c r="B18">
        <v>0.10293710808423151</v>
      </c>
      <c r="C18">
        <f t="shared" si="0"/>
        <v>8.4899680991008003E-2</v>
      </c>
      <c r="D18">
        <f t="shared" si="1"/>
        <v>1.8037427093223507E-2</v>
      </c>
      <c r="E18">
        <f t="shared" si="2"/>
        <v>3.2534877614335341E-4</v>
      </c>
    </row>
    <row r="19" spans="1:5" x14ac:dyDescent="0.25">
      <c r="A19">
        <v>2.6230035199625004</v>
      </c>
      <c r="B19">
        <v>8.0308692082956476E-2</v>
      </c>
      <c r="C19">
        <f t="shared" si="0"/>
        <v>7.2579999852151536E-2</v>
      </c>
      <c r="D19">
        <f t="shared" si="1"/>
        <v>7.7286922308049399E-3</v>
      </c>
      <c r="E19">
        <f t="shared" si="2"/>
        <v>5.9732683598504636E-5</v>
      </c>
    </row>
    <row r="20" spans="1:5" x14ac:dyDescent="0.25">
      <c r="A20">
        <v>2.7647789089875001</v>
      </c>
      <c r="B20">
        <v>6.877263686662019E-2</v>
      </c>
      <c r="C20">
        <f t="shared" si="0"/>
        <v>6.1984604240019531E-2</v>
      </c>
      <c r="D20">
        <f t="shared" si="1"/>
        <v>6.7880326266006596E-3</v>
      </c>
      <c r="E20">
        <f t="shared" si="2"/>
        <v>4.6077386939795051E-5</v>
      </c>
    </row>
    <row r="21" spans="1:5" x14ac:dyDescent="0.25">
      <c r="A21">
        <v>2.9065542980124999</v>
      </c>
      <c r="B21">
        <v>6.3891998121247143E-2</v>
      </c>
      <c r="C21">
        <f t="shared" si="0"/>
        <v>5.2885110407561192E-2</v>
      </c>
      <c r="D21">
        <f t="shared" si="1"/>
        <v>1.1006887713685951E-2</v>
      </c>
      <c r="E21">
        <f t="shared" si="2"/>
        <v>1.2115157714169073E-4</v>
      </c>
    </row>
    <row r="22" spans="1:5" x14ac:dyDescent="0.25">
      <c r="A22">
        <v>3.0483296870375005</v>
      </c>
      <c r="B22">
        <v>5.0137470747923102E-2</v>
      </c>
      <c r="C22">
        <f t="shared" si="0"/>
        <v>4.508057078619529E-2</v>
      </c>
      <c r="D22">
        <f t="shared" si="1"/>
        <v>5.0568999617278121E-3</v>
      </c>
      <c r="E22">
        <f t="shared" si="2"/>
        <v>2.5572237222922748E-5</v>
      </c>
    </row>
    <row r="23" spans="1:5" x14ac:dyDescent="0.25">
      <c r="A23">
        <v>3.1901050760625003</v>
      </c>
      <c r="B23">
        <v>4.4369443139754959E-2</v>
      </c>
      <c r="C23">
        <f t="shared" si="0"/>
        <v>3.8394846512575159E-2</v>
      </c>
      <c r="D23">
        <f t="shared" si="1"/>
        <v>5.9745966271797998E-3</v>
      </c>
      <c r="E23">
        <f t="shared" si="2"/>
        <v>3.569580485750824E-5</v>
      </c>
    </row>
    <row r="24" spans="1:5" x14ac:dyDescent="0.25">
      <c r="A24">
        <v>3.3318804650875</v>
      </c>
      <c r="B24">
        <v>3.4608165649008871E-2</v>
      </c>
      <c r="C24">
        <f t="shared" si="0"/>
        <v>3.2674049348763445E-2</v>
      </c>
      <c r="D24">
        <f t="shared" si="1"/>
        <v>1.9341163002454254E-3</v>
      </c>
      <c r="E24">
        <f t="shared" si="2"/>
        <v>3.7408058628750525E-6</v>
      </c>
    </row>
    <row r="25" spans="1:5" x14ac:dyDescent="0.25">
      <c r="A25">
        <v>3.4736558541125002</v>
      </c>
      <c r="B25">
        <v>2.3515804864070129E-2</v>
      </c>
      <c r="C25">
        <f t="shared" si="0"/>
        <v>2.7784115725129909E-2</v>
      </c>
      <c r="D25">
        <f t="shared" si="1"/>
        <v>-4.2683108610597799E-3</v>
      </c>
      <c r="E25">
        <f t="shared" si="2"/>
        <v>1.8218477606640879E-5</v>
      </c>
    </row>
    <row r="26" spans="1:5" x14ac:dyDescent="0.25">
      <c r="A26">
        <v>3.6154312431375004</v>
      </c>
      <c r="B26">
        <v>2.1297332707082381E-2</v>
      </c>
      <c r="C26">
        <f t="shared" si="0"/>
        <v>2.3608548681925273E-2</v>
      </c>
      <c r="D26">
        <f t="shared" si="1"/>
        <v>-2.3112159748428923E-3</v>
      </c>
      <c r="E26">
        <f t="shared" si="2"/>
        <v>5.3417192823689814E-6</v>
      </c>
    </row>
    <row r="27" spans="1:5" x14ac:dyDescent="0.25">
      <c r="A27">
        <v>3.7572066321625002</v>
      </c>
      <c r="B27">
        <v>1.5972999530311786E-2</v>
      </c>
      <c r="C27">
        <f t="shared" si="0"/>
        <v>2.0046345182168981E-2</v>
      </c>
      <c r="D27">
        <f t="shared" si="1"/>
        <v>-4.0733456518571957E-3</v>
      </c>
      <c r="E27">
        <f t="shared" si="2"/>
        <v>1.6592144799503923E-5</v>
      </c>
    </row>
    <row r="28" spans="1:5" x14ac:dyDescent="0.25">
      <c r="A28">
        <v>3.8989820211875004</v>
      </c>
      <c r="B28">
        <v>1.3754527373324037E-2</v>
      </c>
      <c r="C28">
        <f t="shared" si="0"/>
        <v>1.7010113972814728E-2</v>
      </c>
      <c r="D28">
        <f t="shared" si="1"/>
        <v>-3.255586599490691E-3</v>
      </c>
      <c r="E28">
        <f t="shared" si="2"/>
        <v>1.0598844106783361E-5</v>
      </c>
    </row>
    <row r="29" spans="1:5" x14ac:dyDescent="0.25">
      <c r="A29">
        <v>4.0407574102125006</v>
      </c>
      <c r="B29">
        <v>1.2867138510528939E-2</v>
      </c>
      <c r="C29">
        <f t="shared" si="0"/>
        <v>1.4424381072987259E-2</v>
      </c>
      <c r="D29">
        <f t="shared" si="1"/>
        <v>-1.5572425624583199E-3</v>
      </c>
      <c r="E29">
        <f t="shared" si="2"/>
        <v>2.4250043983317542E-6</v>
      </c>
    </row>
    <row r="30" spans="1:5" x14ac:dyDescent="0.25">
      <c r="A30">
        <v>4.1825327992375003</v>
      </c>
      <c r="B30">
        <v>7.0991109023607933E-3</v>
      </c>
      <c r="C30">
        <f t="shared" si="0"/>
        <v>1.2224074809919517E-2</v>
      </c>
      <c r="D30">
        <f t="shared" si="1"/>
        <v>-5.1249639075587232E-3</v>
      </c>
      <c r="E30">
        <f t="shared" si="2"/>
        <v>2.6265255053779576E-5</v>
      </c>
    </row>
    <row r="31" spans="1:5" x14ac:dyDescent="0.25">
      <c r="A31">
        <v>4.324308188262501</v>
      </c>
      <c r="B31">
        <v>1.064866635354119E-2</v>
      </c>
      <c r="C31">
        <f t="shared" si="0"/>
        <v>1.0353179221715992E-2</v>
      </c>
      <c r="D31">
        <f t="shared" si="1"/>
        <v>2.9548713182519885E-4</v>
      </c>
      <c r="E31">
        <f t="shared" si="2"/>
        <v>8.7312645074282452E-8</v>
      </c>
    </row>
    <row r="32" spans="1:5" x14ac:dyDescent="0.25">
      <c r="A32">
        <v>4.4660835772875007</v>
      </c>
      <c r="B32">
        <v>4.880638745373045E-3</v>
      </c>
      <c r="C32">
        <f t="shared" si="0"/>
        <v>8.7635429755294064E-3</v>
      </c>
      <c r="D32">
        <f t="shared" si="1"/>
        <v>-3.8829042301563614E-3</v>
      </c>
      <c r="E32">
        <f t="shared" si="2"/>
        <v>1.5076945260566165E-5</v>
      </c>
    </row>
    <row r="33" spans="1:5" x14ac:dyDescent="0.25">
      <c r="A33">
        <v>4.6078589663125005</v>
      </c>
      <c r="B33">
        <v>5.3243331767705952E-3</v>
      </c>
      <c r="C33">
        <f t="shared" si="0"/>
        <v>7.4138302644041476E-3</v>
      </c>
      <c r="D33">
        <f t="shared" si="1"/>
        <v>-2.0894970876335524E-3</v>
      </c>
      <c r="E33">
        <f t="shared" si="2"/>
        <v>4.3659980792290975E-6</v>
      </c>
    </row>
    <row r="34" spans="1:5" x14ac:dyDescent="0.25">
      <c r="A34">
        <v>4.7496343553375002</v>
      </c>
      <c r="B34">
        <v>8.8738886279509917E-4</v>
      </c>
      <c r="C34">
        <f t="shared" si="0"/>
        <v>6.2686001273601199E-3</v>
      </c>
      <c r="D34">
        <f t="shared" si="1"/>
        <v>-5.3812112645650204E-3</v>
      </c>
      <c r="E34">
        <f t="shared" si="2"/>
        <v>2.8957434673881467E-5</v>
      </c>
    </row>
    <row r="35" spans="1:5" x14ac:dyDescent="0.25">
      <c r="A35">
        <v>4.8914097443625</v>
      </c>
      <c r="B35">
        <v>1.3310832941926488E-3</v>
      </c>
      <c r="C35">
        <f t="shared" si="0"/>
        <v>5.2975010574898632E-3</v>
      </c>
      <c r="D35">
        <f t="shared" si="1"/>
        <v>-3.9664177632972144E-3</v>
      </c>
      <c r="E35">
        <f t="shared" si="2"/>
        <v>1.5732469872999678E-5</v>
      </c>
    </row>
    <row r="36" spans="1:5" x14ac:dyDescent="0.25">
      <c r="A36">
        <v>5.0331851333875006</v>
      </c>
      <c r="B36">
        <v>4.4369443139754958E-4</v>
      </c>
      <c r="C36">
        <f t="shared" si="0"/>
        <v>4.4745684594420477E-3</v>
      </c>
      <c r="D36">
        <f t="shared" si="1"/>
        <v>-4.0308740280444984E-3</v>
      </c>
      <c r="E36">
        <f t="shared" si="2"/>
        <v>1.6247945429963679E-5</v>
      </c>
    </row>
    <row r="37" spans="1:5" x14ac:dyDescent="0.25">
      <c r="A37">
        <v>5.1749605224125013</v>
      </c>
      <c r="B37">
        <v>4.4369443139754958E-4</v>
      </c>
      <c r="C37">
        <f t="shared" si="0"/>
        <v>3.7776133753985855E-3</v>
      </c>
      <c r="D37">
        <f t="shared" si="1"/>
        <v>-3.3339189440010357E-3</v>
      </c>
      <c r="E37">
        <f t="shared" si="2"/>
        <v>1.1115015525168981E-5</v>
      </c>
    </row>
    <row r="38" spans="1:5" x14ac:dyDescent="0.25">
      <c r="A38">
        <v>5.316735911437501</v>
      </c>
      <c r="B38">
        <v>4.4369443139754958E-4</v>
      </c>
      <c r="C38">
        <f t="shared" si="0"/>
        <v>3.1876918365268585E-3</v>
      </c>
      <c r="D38">
        <f t="shared" si="1"/>
        <v>-2.7439974051293088E-3</v>
      </c>
      <c r="E38">
        <f t="shared" si="2"/>
        <v>7.5295217593563801E-6</v>
      </c>
    </row>
    <row r="39" spans="1:5" x14ac:dyDescent="0.25">
      <c r="A39">
        <v>5.4585113004625008</v>
      </c>
      <c r="B39">
        <v>8.8738886279509917E-4</v>
      </c>
      <c r="C39">
        <f t="shared" si="0"/>
        <v>2.6886451588165466E-3</v>
      </c>
      <c r="D39">
        <f t="shared" si="1"/>
        <v>-1.8012562960214476E-3</v>
      </c>
      <c r="E39">
        <f t="shared" si="2"/>
        <v>3.244524243956905E-6</v>
      </c>
    </row>
    <row r="40" spans="1:5" x14ac:dyDescent="0.25">
      <c r="A40">
        <v>5.6002866894875005</v>
      </c>
      <c r="B40">
        <v>4.4369443139754958E-4</v>
      </c>
      <c r="C40">
        <f t="shared" si="0"/>
        <v>2.2667024502089632E-3</v>
      </c>
      <c r="D40">
        <f t="shared" si="1"/>
        <v>-1.8230080188114137E-3</v>
      </c>
      <c r="E40">
        <f t="shared" si="2"/>
        <v>3.3233582366507156E-6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BA64-B7C7-4788-85AB-CD9A6438096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7.0866117674999993E-2</v>
      </c>
      <c r="B1">
        <v>0.77422096771835502</v>
      </c>
      <c r="C1">
        <f>$H$3*(1+$H$1)*(A1^($H$1))*EXP(-$H$3*(A1^(1+$H$1)))</f>
        <v>0.77914373644257429</v>
      </c>
      <c r="D1">
        <f>B1-C1</f>
        <v>-4.9227687242192619E-3</v>
      </c>
      <c r="E1">
        <f>D1^2</f>
        <v>2.423365191215134E-5</v>
      </c>
      <c r="G1" t="s">
        <v>0</v>
      </c>
      <c r="H1">
        <v>9.4130117863810758E-2</v>
      </c>
    </row>
    <row r="2" spans="1:8" x14ac:dyDescent="0.25">
      <c r="A2">
        <v>0.21211302902500001</v>
      </c>
      <c r="B2">
        <v>0.74571110469535462</v>
      </c>
      <c r="C2">
        <f t="shared" ref="C2:C40" si="0">$H$3*(1+$H$1)*(A2^($H$1))*EXP(-$H$3*(A2^(1+$H$1)))</f>
        <v>0.76356074292630516</v>
      </c>
      <c r="D2">
        <f t="shared" ref="D2:D40" si="1">B2-C2</f>
        <v>-1.7849638230950537E-2</v>
      </c>
      <c r="E2">
        <f t="shared" ref="E2:E40" si="2">D2^2</f>
        <v>3.1860958497581103E-4</v>
      </c>
    </row>
    <row r="3" spans="1:8" x14ac:dyDescent="0.25">
      <c r="A3">
        <v>0.35335994037500001</v>
      </c>
      <c r="B3">
        <v>0.69403697796616637</v>
      </c>
      <c r="C3">
        <f t="shared" si="0"/>
        <v>0.7020038064081815</v>
      </c>
      <c r="D3">
        <f t="shared" si="1"/>
        <v>-7.9668284420151281E-3</v>
      </c>
      <c r="E3">
        <f t="shared" si="2"/>
        <v>6.3470355424501192E-5</v>
      </c>
      <c r="G3" t="s">
        <v>1</v>
      </c>
      <c r="H3">
        <f>(_xlfn.GAMMA((2+$H$1)/(1+$H$1)))^(1+$H$1)</f>
        <v>0.9635439851013694</v>
      </c>
    </row>
    <row r="4" spans="1:8" x14ac:dyDescent="0.25">
      <c r="A4">
        <v>0.49460685172500002</v>
      </c>
      <c r="B4">
        <v>0.60850738889716516</v>
      </c>
      <c r="C4">
        <f t="shared" si="0"/>
        <v>0.63162316633252968</v>
      </c>
      <c r="D4">
        <f t="shared" si="1"/>
        <v>-2.3115777435364526E-2</v>
      </c>
      <c r="E4">
        <f t="shared" si="2"/>
        <v>5.3433916644130778E-4</v>
      </c>
    </row>
    <row r="5" spans="1:8" x14ac:dyDescent="0.25">
      <c r="A5">
        <v>0.63585376307500008</v>
      </c>
      <c r="B5">
        <v>0.53455993168125782</v>
      </c>
      <c r="C5">
        <f t="shared" si="0"/>
        <v>0.56163257011113976</v>
      </c>
      <c r="D5">
        <f t="shared" si="1"/>
        <v>-2.7072638429881946E-2</v>
      </c>
      <c r="E5">
        <f t="shared" si="2"/>
        <v>7.3292775155512073E-4</v>
      </c>
      <c r="G5" t="s">
        <v>2</v>
      </c>
      <c r="H5">
        <f>SUM(E1:E40)</f>
        <v>6.6988152931377436E-3</v>
      </c>
    </row>
    <row r="6" spans="1:8" x14ac:dyDescent="0.25">
      <c r="A6">
        <v>0.77710067442499997</v>
      </c>
      <c r="B6">
        <v>0.45883060802641296</v>
      </c>
      <c r="C6">
        <f t="shared" si="0"/>
        <v>0.49553304537897558</v>
      </c>
      <c r="D6">
        <f t="shared" si="1"/>
        <v>-3.6702437352562622E-2</v>
      </c>
      <c r="E6">
        <f t="shared" si="2"/>
        <v>1.347068907618784E-3</v>
      </c>
    </row>
    <row r="7" spans="1:8" x14ac:dyDescent="0.25">
      <c r="A7">
        <v>0.91834758577499997</v>
      </c>
      <c r="B7">
        <v>0.41116568078483412</v>
      </c>
      <c r="C7">
        <f t="shared" si="0"/>
        <v>0.43474427912347613</v>
      </c>
      <c r="D7">
        <f t="shared" si="1"/>
        <v>-2.3578598338642009E-2</v>
      </c>
      <c r="E7">
        <f t="shared" si="2"/>
        <v>5.5595029961501177E-4</v>
      </c>
    </row>
    <row r="8" spans="1:8" x14ac:dyDescent="0.25">
      <c r="A8">
        <v>1.059594497125</v>
      </c>
      <c r="B8">
        <v>0.39290154978572445</v>
      </c>
      <c r="C8">
        <f t="shared" si="0"/>
        <v>0.37973834312322696</v>
      </c>
      <c r="D8">
        <f t="shared" si="1"/>
        <v>1.3163206662497484E-2</v>
      </c>
      <c r="E8">
        <f t="shared" si="2"/>
        <v>1.7327000963961815E-4</v>
      </c>
    </row>
    <row r="9" spans="1:8" x14ac:dyDescent="0.25">
      <c r="A9">
        <v>1.2008414084750001</v>
      </c>
      <c r="B9">
        <v>0.34033648983706744</v>
      </c>
      <c r="C9">
        <f t="shared" si="0"/>
        <v>0.33050959090697574</v>
      </c>
      <c r="D9">
        <f t="shared" si="1"/>
        <v>9.8268989300916987E-3</v>
      </c>
      <c r="E9">
        <f t="shared" si="2"/>
        <v>9.6567942582237372E-5</v>
      </c>
    </row>
    <row r="10" spans="1:8" x14ac:dyDescent="0.25">
      <c r="A10">
        <v>1.342088319825</v>
      </c>
      <c r="B10">
        <v>0.29222609598575428</v>
      </c>
      <c r="C10">
        <f t="shared" si="0"/>
        <v>0.28680335340732982</v>
      </c>
      <c r="D10">
        <f t="shared" si="1"/>
        <v>5.4227425784244554E-3</v>
      </c>
      <c r="E10">
        <f t="shared" si="2"/>
        <v>2.9406137071857512E-5</v>
      </c>
    </row>
    <row r="11" spans="1:8" x14ac:dyDescent="0.25">
      <c r="A11">
        <v>1.4833352311749999</v>
      </c>
      <c r="B11">
        <v>0.25703423381673812</v>
      </c>
      <c r="C11">
        <f t="shared" si="0"/>
        <v>0.248238618194521</v>
      </c>
      <c r="D11">
        <f t="shared" si="1"/>
        <v>8.7956156222171178E-3</v>
      </c>
      <c r="E11">
        <f t="shared" si="2"/>
        <v>7.7362854173789814E-5</v>
      </c>
    </row>
    <row r="12" spans="1:8" x14ac:dyDescent="0.25">
      <c r="A12">
        <v>1.624582142525</v>
      </c>
      <c r="B12">
        <v>0.21694223894064379</v>
      </c>
      <c r="C12">
        <f t="shared" si="0"/>
        <v>0.21437776384967955</v>
      </c>
      <c r="D12">
        <f t="shared" si="1"/>
        <v>2.5644750909642466E-3</v>
      </c>
      <c r="E12">
        <f t="shared" si="2"/>
        <v>6.5765324921760814E-6</v>
      </c>
    </row>
    <row r="13" spans="1:8" x14ac:dyDescent="0.25">
      <c r="A13">
        <v>1.7658290538750001</v>
      </c>
      <c r="B13">
        <v>0.1946689084539247</v>
      </c>
      <c r="C13">
        <f t="shared" si="0"/>
        <v>0.18476739378389459</v>
      </c>
      <c r="D13">
        <f t="shared" si="1"/>
        <v>9.9015146700301149E-3</v>
      </c>
      <c r="E13">
        <f t="shared" si="2"/>
        <v>9.8039992760821576E-5</v>
      </c>
    </row>
    <row r="14" spans="1:8" x14ac:dyDescent="0.25">
      <c r="A14">
        <v>1.9070759652249998</v>
      </c>
      <c r="B14">
        <v>0.18397770982029954</v>
      </c>
      <c r="C14">
        <f t="shared" si="0"/>
        <v>0.15896237966950041</v>
      </c>
      <c r="D14">
        <f t="shared" si="1"/>
        <v>2.5015330150799125E-2</v>
      </c>
      <c r="E14">
        <f t="shared" si="2"/>
        <v>6.2576674255347979E-4</v>
      </c>
    </row>
    <row r="15" spans="1:8" x14ac:dyDescent="0.25">
      <c r="A15">
        <v>2.0483228765749999</v>
      </c>
      <c r="B15">
        <v>0.16749544526012744</v>
      </c>
      <c r="C15">
        <f t="shared" si="0"/>
        <v>0.13653972428358488</v>
      </c>
      <c r="D15">
        <f t="shared" si="1"/>
        <v>3.0955720976542561E-2</v>
      </c>
      <c r="E15">
        <f t="shared" si="2"/>
        <v>9.5825666117755714E-4</v>
      </c>
    </row>
    <row r="16" spans="1:8" x14ac:dyDescent="0.25">
      <c r="A16">
        <v>2.189569787925</v>
      </c>
      <c r="B16">
        <v>0.12918531682297063</v>
      </c>
      <c r="C16">
        <f t="shared" si="0"/>
        <v>0.11710608031211328</v>
      </c>
      <c r="D16">
        <f t="shared" si="1"/>
        <v>1.207923651085735E-2</v>
      </c>
      <c r="E16">
        <f t="shared" si="2"/>
        <v>1.4590795468522922E-4</v>
      </c>
    </row>
    <row r="17" spans="1:5" x14ac:dyDescent="0.25">
      <c r="A17">
        <v>2.3308166992750001</v>
      </c>
      <c r="B17">
        <v>0.10780291955572031</v>
      </c>
      <c r="C17">
        <f t="shared" si="0"/>
        <v>0.10030125884611019</v>
      </c>
      <c r="D17">
        <f t="shared" si="1"/>
        <v>7.5016607096101279E-3</v>
      </c>
      <c r="E17">
        <f t="shared" si="2"/>
        <v>5.6274913402108327E-5</v>
      </c>
    </row>
    <row r="18" spans="1:5" x14ac:dyDescent="0.25">
      <c r="A18">
        <v>2.4720636106249998</v>
      </c>
      <c r="B18">
        <v>0.1060210531167828</v>
      </c>
      <c r="C18">
        <f t="shared" si="0"/>
        <v>8.5799197886428674E-2</v>
      </c>
      <c r="D18">
        <f t="shared" si="1"/>
        <v>2.0221855230354122E-2</v>
      </c>
      <c r="E18">
        <f t="shared" si="2"/>
        <v>4.0892342895740036E-4</v>
      </c>
    </row>
    <row r="19" spans="1:5" x14ac:dyDescent="0.25">
      <c r="A19">
        <v>2.6133105219749999</v>
      </c>
      <c r="B19">
        <v>7.5729323654844846E-2</v>
      </c>
      <c r="C19">
        <f t="shared" si="0"/>
        <v>7.3307341006842733E-2</v>
      </c>
      <c r="D19">
        <f t="shared" si="1"/>
        <v>2.4219826480021134E-3</v>
      </c>
      <c r="E19">
        <f t="shared" si="2"/>
        <v>5.8659999472233289E-6</v>
      </c>
    </row>
    <row r="20" spans="1:5" x14ac:dyDescent="0.25">
      <c r="A20">
        <v>2.754557433325</v>
      </c>
      <c r="B20">
        <v>7.1720124167235416E-2</v>
      </c>
      <c r="C20">
        <f t="shared" si="0"/>
        <v>6.2565050725437318E-2</v>
      </c>
      <c r="D20">
        <f t="shared" si="1"/>
        <v>9.1550734417980978E-3</v>
      </c>
      <c r="E20">
        <f t="shared" si="2"/>
        <v>8.3815369724716862E-5</v>
      </c>
    </row>
    <row r="21" spans="1:5" x14ac:dyDescent="0.25">
      <c r="A21">
        <v>2.8958043446750001</v>
      </c>
      <c r="B21">
        <v>6.4147191801750936E-2</v>
      </c>
      <c r="C21">
        <f t="shared" si="0"/>
        <v>5.3341471022894466E-2</v>
      </c>
      <c r="D21">
        <f t="shared" si="1"/>
        <v>1.080572077885647E-2</v>
      </c>
      <c r="E21">
        <f t="shared" si="2"/>
        <v>1.1676360155061048E-4</v>
      </c>
    </row>
    <row r="22" spans="1:5" x14ac:dyDescent="0.25">
      <c r="A22">
        <v>3.0370512560250003</v>
      </c>
      <c r="B22">
        <v>4.9892260290250727E-2</v>
      </c>
      <c r="C22">
        <f t="shared" si="0"/>
        <v>4.5433114607678883E-2</v>
      </c>
      <c r="D22">
        <f t="shared" si="1"/>
        <v>4.459145682571844E-3</v>
      </c>
      <c r="E22">
        <f t="shared" si="2"/>
        <v>1.9883980218399117E-5</v>
      </c>
    </row>
    <row r="23" spans="1:5" x14ac:dyDescent="0.25">
      <c r="A23">
        <v>3.1782981673749999</v>
      </c>
      <c r="B23">
        <v>4.4101194363703765E-2</v>
      </c>
      <c r="C23">
        <f t="shared" si="0"/>
        <v>3.8661357138314652E-2</v>
      </c>
      <c r="D23">
        <f t="shared" si="1"/>
        <v>5.4398372253891131E-3</v>
      </c>
      <c r="E23">
        <f t="shared" si="2"/>
        <v>2.9591829038729124E-5</v>
      </c>
    </row>
    <row r="24" spans="1:5" x14ac:dyDescent="0.25">
      <c r="A24">
        <v>3.3195450787249996</v>
      </c>
      <c r="B24">
        <v>3.4746395559281759E-2</v>
      </c>
      <c r="C24">
        <f t="shared" si="0"/>
        <v>3.2869957004006745E-2</v>
      </c>
      <c r="D24">
        <f t="shared" si="1"/>
        <v>1.8764385552750146E-3</v>
      </c>
      <c r="E24">
        <f t="shared" si="2"/>
        <v>3.521021651722584E-6</v>
      </c>
    </row>
    <row r="25" spans="1:5" x14ac:dyDescent="0.25">
      <c r="A25">
        <v>3.4607919900750002</v>
      </c>
      <c r="B25">
        <v>2.3164263706187838E-2</v>
      </c>
      <c r="C25">
        <f t="shared" si="0"/>
        <v>2.7922675609857554E-2</v>
      </c>
      <c r="D25">
        <f t="shared" si="1"/>
        <v>-4.758411903669716E-3</v>
      </c>
      <c r="E25">
        <f t="shared" si="2"/>
        <v>2.2642483844985651E-5</v>
      </c>
    </row>
    <row r="26" spans="1:5" x14ac:dyDescent="0.25">
      <c r="A26">
        <v>3.6020389014249998</v>
      </c>
      <c r="B26">
        <v>2.4055196925656601E-2</v>
      </c>
      <c r="C26">
        <f t="shared" si="0"/>
        <v>2.3701043068369426E-2</v>
      </c>
      <c r="D26">
        <f t="shared" si="1"/>
        <v>3.5415385728717469E-4</v>
      </c>
      <c r="E26">
        <f t="shared" si="2"/>
        <v>1.2542495463138449E-7</v>
      </c>
    </row>
    <row r="27" spans="1:5" x14ac:dyDescent="0.25">
      <c r="A27">
        <v>3.7432858127750004</v>
      </c>
      <c r="B27">
        <v>1.6036797950437734E-2</v>
      </c>
      <c r="C27">
        <f t="shared" si="0"/>
        <v>2.0102293567356638E-2</v>
      </c>
      <c r="D27">
        <f t="shared" si="1"/>
        <v>-4.0654956169189037E-3</v>
      </c>
      <c r="E27">
        <f t="shared" si="2"/>
        <v>1.6528254611186818E-5</v>
      </c>
    </row>
    <row r="28" spans="1:5" x14ac:dyDescent="0.25">
      <c r="A28">
        <v>3.8845327241250001</v>
      </c>
      <c r="B28">
        <v>1.3809464901765826E-2</v>
      </c>
      <c r="C28">
        <f t="shared" si="0"/>
        <v>1.7037480629356009E-2</v>
      </c>
      <c r="D28">
        <f t="shared" si="1"/>
        <v>-3.2280157275901833E-3</v>
      </c>
      <c r="E28">
        <f t="shared" si="2"/>
        <v>1.042008553756958E-5</v>
      </c>
    </row>
    <row r="29" spans="1:5" x14ac:dyDescent="0.25">
      <c r="A29">
        <v>4.0257796354749997</v>
      </c>
      <c r="B29">
        <v>1.4254931511500207E-2</v>
      </c>
      <c r="C29">
        <f t="shared" si="0"/>
        <v>1.4429773048327939E-2</v>
      </c>
      <c r="D29">
        <f t="shared" si="1"/>
        <v>-1.7484153682773181E-4</v>
      </c>
      <c r="E29">
        <f t="shared" si="2"/>
        <v>3.0569563000283099E-8</v>
      </c>
    </row>
    <row r="30" spans="1:5" x14ac:dyDescent="0.25">
      <c r="A30">
        <v>4.1670265468249994</v>
      </c>
      <c r="B30">
        <v>6.2365325362813409E-3</v>
      </c>
      <c r="C30">
        <f t="shared" si="0"/>
        <v>1.2212926124691534E-2</v>
      </c>
      <c r="D30">
        <f t="shared" si="1"/>
        <v>-5.9763935884101929E-3</v>
      </c>
      <c r="E30">
        <f t="shared" si="2"/>
        <v>3.5717280323590462E-5</v>
      </c>
    </row>
    <row r="31" spans="1:5" x14ac:dyDescent="0.25">
      <c r="A31">
        <v>4.308273458175</v>
      </c>
      <c r="B31">
        <v>1.0691198633625155E-2</v>
      </c>
      <c r="C31">
        <f t="shared" si="0"/>
        <v>1.0329918958744102E-2</v>
      </c>
      <c r="D31">
        <f t="shared" si="1"/>
        <v>3.6127967488105289E-4</v>
      </c>
      <c r="E31">
        <f t="shared" si="2"/>
        <v>1.3052300348215929E-7</v>
      </c>
    </row>
    <row r="32" spans="1:5" x14ac:dyDescent="0.25">
      <c r="A32">
        <v>4.4495203695250005</v>
      </c>
      <c r="B32">
        <v>4.9001327070781961E-3</v>
      </c>
      <c r="C32">
        <f t="shared" si="0"/>
        <v>8.7317463211107164E-3</v>
      </c>
      <c r="D32">
        <f t="shared" si="1"/>
        <v>-3.8316136140325203E-3</v>
      </c>
      <c r="E32">
        <f t="shared" si="2"/>
        <v>1.4681262887239352E-5</v>
      </c>
    </row>
    <row r="33" spans="1:5" x14ac:dyDescent="0.25">
      <c r="A33">
        <v>4.5907672808749993</v>
      </c>
      <c r="B33">
        <v>5.7910659265469596E-3</v>
      </c>
      <c r="C33">
        <f t="shared" si="0"/>
        <v>7.3763525068231304E-3</v>
      </c>
      <c r="D33">
        <f t="shared" si="1"/>
        <v>-1.5852865802761709E-3</v>
      </c>
      <c r="E33">
        <f t="shared" si="2"/>
        <v>2.5131335416037161E-6</v>
      </c>
    </row>
    <row r="34" spans="1:5" x14ac:dyDescent="0.25">
      <c r="A34">
        <v>4.7320141922249999</v>
      </c>
      <c r="B34">
        <v>1.3363998292031443E-3</v>
      </c>
      <c r="C34">
        <f t="shared" si="0"/>
        <v>6.2276942443534504E-3</v>
      </c>
      <c r="D34">
        <f t="shared" si="1"/>
        <v>-4.8912944151503056E-3</v>
      </c>
      <c r="E34">
        <f t="shared" si="2"/>
        <v>2.392476105568057E-5</v>
      </c>
    </row>
    <row r="35" spans="1:5" x14ac:dyDescent="0.25">
      <c r="A35">
        <v>4.8732611035750004</v>
      </c>
      <c r="B35">
        <v>8.9093321946876294E-4</v>
      </c>
      <c r="C35">
        <f t="shared" si="0"/>
        <v>5.2549199185177517E-3</v>
      </c>
      <c r="D35">
        <f t="shared" si="1"/>
        <v>-4.3639866990489891E-3</v>
      </c>
      <c r="E35">
        <f t="shared" si="2"/>
        <v>1.9044379909476493E-5</v>
      </c>
    </row>
    <row r="36" spans="1:5" x14ac:dyDescent="0.25">
      <c r="A36">
        <v>5.0145080149249992</v>
      </c>
      <c r="B36">
        <v>4.4546660973438147E-4</v>
      </c>
      <c r="C36">
        <f t="shared" si="0"/>
        <v>4.4316528940119941E-3</v>
      </c>
      <c r="D36">
        <f t="shared" si="1"/>
        <v>-3.9861862842776128E-3</v>
      </c>
      <c r="E36">
        <f t="shared" si="2"/>
        <v>1.588968109296296E-5</v>
      </c>
    </row>
    <row r="37" spans="1:5" x14ac:dyDescent="0.25">
      <c r="A37">
        <v>5.1557549262749998</v>
      </c>
      <c r="B37">
        <v>4.4546660973438147E-4</v>
      </c>
      <c r="C37">
        <f t="shared" si="0"/>
        <v>3.7353674636755219E-3</v>
      </c>
      <c r="D37">
        <f t="shared" si="1"/>
        <v>-3.2899008539411406E-3</v>
      </c>
      <c r="E37">
        <f t="shared" si="2"/>
        <v>1.0823447628762646E-5</v>
      </c>
    </row>
    <row r="38" spans="1:5" x14ac:dyDescent="0.25">
      <c r="A38">
        <v>5.2970018376250003</v>
      </c>
      <c r="B38">
        <v>4.4546660973438147E-4</v>
      </c>
      <c r="C38">
        <f t="shared" si="0"/>
        <v>3.146846799446872E-3</v>
      </c>
      <c r="D38">
        <f t="shared" si="1"/>
        <v>-2.7013801897124907E-3</v>
      </c>
      <c r="E38">
        <f t="shared" si="2"/>
        <v>7.2974549293710922E-6</v>
      </c>
    </row>
    <row r="39" spans="1:5" x14ac:dyDescent="0.25">
      <c r="A39">
        <v>5.438248748975</v>
      </c>
      <c r="B39">
        <v>4.4546660973438147E-4</v>
      </c>
      <c r="C39">
        <f t="shared" si="0"/>
        <v>2.6497131891023325E-3</v>
      </c>
      <c r="D39">
        <f t="shared" si="1"/>
        <v>-2.2042465793679512E-3</v>
      </c>
      <c r="E39">
        <f t="shared" si="2"/>
        <v>4.8587029826553136E-6</v>
      </c>
    </row>
    <row r="40" spans="1:5" x14ac:dyDescent="0.25">
      <c r="A40">
        <v>5.5794956603249997</v>
      </c>
      <c r="B40">
        <v>8.9093321946876294E-4</v>
      </c>
      <c r="C40">
        <f t="shared" si="0"/>
        <v>2.2300217532039493E-3</v>
      </c>
      <c r="D40">
        <f t="shared" si="1"/>
        <v>-1.3390885337351863E-3</v>
      </c>
      <c r="E40">
        <f t="shared" si="2"/>
        <v>1.793158101181051E-6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CD7D-6562-4989-9C87-4DFB597EAAB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7.074942757500001E-2</v>
      </c>
      <c r="B1">
        <v>0.61813827636490892</v>
      </c>
      <c r="C1">
        <f>$H$3*(1+$H$1)*(A1^($H$1))*EXP(-$H$3*(A1^(1+$H$1)))</f>
        <v>0.70391481303008963</v>
      </c>
      <c r="D1">
        <f>B1-C1</f>
        <v>-8.5776536665180703E-2</v>
      </c>
      <c r="E1">
        <f>D1^2</f>
        <v>7.3576142422730898E-3</v>
      </c>
      <c r="G1" t="s">
        <v>0</v>
      </c>
      <c r="H1">
        <v>0.1458252873730243</v>
      </c>
    </row>
    <row r="2" spans="1:8" x14ac:dyDescent="0.25">
      <c r="A2">
        <v>0.21089368272500003</v>
      </c>
      <c r="B2">
        <v>0.85498661447860402</v>
      </c>
      <c r="C2">
        <f t="shared" ref="C2:C40" si="0">$H$3*(1+$H$1)*(A2^($H$1))*EXP(-$H$3*(A2^(1+$H$1)))</f>
        <v>0.73687457179499583</v>
      </c>
      <c r="D2">
        <f t="shared" ref="D2:D40" si="1">B2-C2</f>
        <v>0.1181120426836082</v>
      </c>
      <c r="E2">
        <f t="shared" ref="E2:E40" si="2">D2^2</f>
        <v>1.3950454626894485E-2</v>
      </c>
    </row>
    <row r="3" spans="1:8" x14ac:dyDescent="0.25">
      <c r="A3">
        <v>0.35103793787500004</v>
      </c>
      <c r="B3">
        <v>0.73880532741146954</v>
      </c>
      <c r="C3">
        <f t="shared" si="0"/>
        <v>0.69969856311374079</v>
      </c>
      <c r="D3">
        <f t="shared" si="1"/>
        <v>3.9106764297728747E-2</v>
      </c>
      <c r="E3">
        <f t="shared" si="2"/>
        <v>1.5293390138381116E-3</v>
      </c>
      <c r="G3" t="s">
        <v>1</v>
      </c>
      <c r="H3">
        <f>(_xlfn.GAMMA((2+$H$1)/(1+$H$1)))^(1+$H$1)</f>
        <v>0.94600964095017492</v>
      </c>
    </row>
    <row r="4" spans="1:8" x14ac:dyDescent="0.25">
      <c r="A4">
        <v>0.49118219302499999</v>
      </c>
      <c r="B4">
        <v>0.6114096303957699</v>
      </c>
      <c r="C4">
        <f t="shared" si="0"/>
        <v>0.64277953221730666</v>
      </c>
      <c r="D4">
        <f t="shared" si="1"/>
        <v>-3.1369901821536761E-2</v>
      </c>
      <c r="E4">
        <f t="shared" si="2"/>
        <v>9.8407074029285531E-4</v>
      </c>
    </row>
    <row r="5" spans="1:8" x14ac:dyDescent="0.25">
      <c r="A5">
        <v>0.63132644817500005</v>
      </c>
      <c r="B5">
        <v>0.55040324027557563</v>
      </c>
      <c r="C5">
        <f t="shared" si="0"/>
        <v>0.57987368277366658</v>
      </c>
      <c r="D5">
        <f t="shared" si="1"/>
        <v>-2.9470442498090943E-2</v>
      </c>
      <c r="E5">
        <f t="shared" si="2"/>
        <v>8.6850698103328478E-4</v>
      </c>
      <c r="G5" t="s">
        <v>2</v>
      </c>
      <c r="H5">
        <f>SUM(E1:E40)</f>
        <v>3.1486579689464486E-2</v>
      </c>
    </row>
    <row r="6" spans="1:8" x14ac:dyDescent="0.25">
      <c r="A6">
        <v>0.77147070332500012</v>
      </c>
      <c r="B6">
        <v>0.46382799547265297</v>
      </c>
      <c r="C6">
        <f t="shared" si="0"/>
        <v>0.5168852755090324</v>
      </c>
      <c r="D6">
        <f t="shared" si="1"/>
        <v>-5.3057280036379439E-2</v>
      </c>
      <c r="E6">
        <f t="shared" si="2"/>
        <v>2.8150749648587882E-3</v>
      </c>
    </row>
    <row r="7" spans="1:8" x14ac:dyDescent="0.25">
      <c r="A7">
        <v>0.91161495847499996</v>
      </c>
      <c r="B7">
        <v>0.41717605008662212</v>
      </c>
      <c r="C7">
        <f t="shared" si="0"/>
        <v>0.45670896067409067</v>
      </c>
      <c r="D7">
        <f t="shared" si="1"/>
        <v>-3.953291058746855E-2</v>
      </c>
      <c r="E7">
        <f t="shared" si="2"/>
        <v>1.562851019516783E-3</v>
      </c>
    </row>
    <row r="8" spans="1:8" x14ac:dyDescent="0.25">
      <c r="A8">
        <v>1.051759213625</v>
      </c>
      <c r="B8">
        <v>0.39654153578126233</v>
      </c>
      <c r="C8">
        <f t="shared" si="0"/>
        <v>0.4007803544991218</v>
      </c>
      <c r="D8">
        <f t="shared" si="1"/>
        <v>-4.2388187178594716E-3</v>
      </c>
      <c r="E8">
        <f t="shared" si="2"/>
        <v>1.7967584122875814E-5</v>
      </c>
    </row>
    <row r="9" spans="1:8" x14ac:dyDescent="0.25">
      <c r="A9">
        <v>1.1919034687750001</v>
      </c>
      <c r="B9">
        <v>0.3409180624363794</v>
      </c>
      <c r="C9">
        <f t="shared" si="0"/>
        <v>0.34973921508329803</v>
      </c>
      <c r="D9">
        <f t="shared" si="1"/>
        <v>-8.8211526469186285E-3</v>
      </c>
      <c r="E9">
        <f t="shared" si="2"/>
        <v>7.7812734020239521E-5</v>
      </c>
    </row>
    <row r="10" spans="1:8" x14ac:dyDescent="0.25">
      <c r="A10">
        <v>1.3320477239250001</v>
      </c>
      <c r="B10">
        <v>0.2947146934482911</v>
      </c>
      <c r="C10">
        <f t="shared" si="0"/>
        <v>0.30376512034962866</v>
      </c>
      <c r="D10">
        <f t="shared" si="1"/>
        <v>-9.0504269013375604E-3</v>
      </c>
      <c r="E10">
        <f t="shared" si="2"/>
        <v>8.191022709645459E-5</v>
      </c>
    </row>
    <row r="11" spans="1:8" x14ac:dyDescent="0.25">
      <c r="A11">
        <v>1.4721919790750002</v>
      </c>
      <c r="B11">
        <v>0.25299708843962893</v>
      </c>
      <c r="C11">
        <f t="shared" si="0"/>
        <v>0.26276625900941986</v>
      </c>
      <c r="D11">
        <f t="shared" si="1"/>
        <v>-9.7691705697909303E-3</v>
      </c>
      <c r="E11">
        <f t="shared" si="2"/>
        <v>9.5436693621669255E-5</v>
      </c>
    </row>
    <row r="12" spans="1:8" x14ac:dyDescent="0.25">
      <c r="A12">
        <v>1.6123362342250003</v>
      </c>
      <c r="B12">
        <v>0.23101684494044128</v>
      </c>
      <c r="C12">
        <f t="shared" si="0"/>
        <v>0.22649292376599187</v>
      </c>
      <c r="D12">
        <f t="shared" si="1"/>
        <v>4.5239211744494134E-3</v>
      </c>
      <c r="E12">
        <f t="shared" si="2"/>
        <v>2.0465862792631761E-5</v>
      </c>
    </row>
    <row r="13" spans="1:8" x14ac:dyDescent="0.25">
      <c r="A13">
        <v>1.7524804893750001</v>
      </c>
      <c r="B13">
        <v>0.19333642751326252</v>
      </c>
      <c r="C13">
        <f t="shared" si="0"/>
        <v>0.19460855815384948</v>
      </c>
      <c r="D13">
        <f t="shared" si="1"/>
        <v>-1.2721306405869548E-3</v>
      </c>
      <c r="E13">
        <f t="shared" si="2"/>
        <v>1.6183163667201759E-6</v>
      </c>
    </row>
    <row r="14" spans="1:8" x14ac:dyDescent="0.25">
      <c r="A14">
        <v>1.892624744525</v>
      </c>
      <c r="B14">
        <v>0.1830191703605826</v>
      </c>
      <c r="C14">
        <f t="shared" si="0"/>
        <v>0.16673519096486847</v>
      </c>
      <c r="D14">
        <f t="shared" si="1"/>
        <v>1.6283979395714132E-2</v>
      </c>
      <c r="E14">
        <f t="shared" si="2"/>
        <v>2.6516798496004236E-4</v>
      </c>
    </row>
    <row r="15" spans="1:8" x14ac:dyDescent="0.25">
      <c r="A15">
        <v>2.032768999675</v>
      </c>
      <c r="B15">
        <v>0.16866472562641927</v>
      </c>
      <c r="C15">
        <f t="shared" si="0"/>
        <v>0.14248265324451809</v>
      </c>
      <c r="D15">
        <f t="shared" si="1"/>
        <v>2.6182072381901178E-2</v>
      </c>
      <c r="E15">
        <f t="shared" si="2"/>
        <v>6.8550091421111243E-4</v>
      </c>
    </row>
    <row r="16" spans="1:8" x14ac:dyDescent="0.25">
      <c r="A16">
        <v>2.1729132548250001</v>
      </c>
      <c r="B16">
        <v>0.12829284981158487</v>
      </c>
      <c r="C16">
        <f t="shared" si="0"/>
        <v>0.1214671815401612</v>
      </c>
      <c r="D16">
        <f t="shared" si="1"/>
        <v>6.8256682714236683E-3</v>
      </c>
      <c r="E16">
        <f t="shared" si="2"/>
        <v>4.6589747351519765E-5</v>
      </c>
    </row>
    <row r="17" spans="1:5" x14ac:dyDescent="0.25">
      <c r="A17">
        <v>2.3130575099750001</v>
      </c>
      <c r="B17">
        <v>0.10720975910828247</v>
      </c>
      <c r="C17">
        <f t="shared" si="0"/>
        <v>0.10332292608189238</v>
      </c>
      <c r="D17">
        <f t="shared" si="1"/>
        <v>3.8868330263900908E-3</v>
      </c>
      <c r="E17">
        <f t="shared" si="2"/>
        <v>1.5107470975036753E-5</v>
      </c>
    </row>
    <row r="18" spans="1:5" x14ac:dyDescent="0.25">
      <c r="A18">
        <v>2.4532017651250002</v>
      </c>
      <c r="B18">
        <v>0.11169552308770851</v>
      </c>
      <c r="C18">
        <f t="shared" si="0"/>
        <v>8.7708661566634871E-2</v>
      </c>
      <c r="D18">
        <f t="shared" si="1"/>
        <v>2.3986861521073641E-2</v>
      </c>
      <c r="E18">
        <f t="shared" si="2"/>
        <v>5.7536952563116322E-4</v>
      </c>
    </row>
    <row r="19" spans="1:5" x14ac:dyDescent="0.25">
      <c r="A19">
        <v>2.5933460202750003</v>
      </c>
      <c r="B19">
        <v>7.4912258456414943E-2</v>
      </c>
      <c r="C19">
        <f t="shared" si="0"/>
        <v>7.4311245162283102E-2</v>
      </c>
      <c r="D19">
        <f t="shared" si="1"/>
        <v>6.0101329413184135E-4</v>
      </c>
      <c r="E19">
        <f t="shared" si="2"/>
        <v>3.6121697972320727E-7</v>
      </c>
    </row>
    <row r="20" spans="1:5" x14ac:dyDescent="0.25">
      <c r="A20">
        <v>2.7334902754250003</v>
      </c>
      <c r="B20">
        <v>7.401510566052974E-2</v>
      </c>
      <c r="C20">
        <f t="shared" si="0"/>
        <v>6.2846881863859949E-2</v>
      </c>
      <c r="D20">
        <f t="shared" si="1"/>
        <v>1.1168223796669791E-2</v>
      </c>
      <c r="E20">
        <f t="shared" si="2"/>
        <v>1.2472922277250139E-4</v>
      </c>
    </row>
    <row r="21" spans="1:5" x14ac:dyDescent="0.25">
      <c r="A21">
        <v>2.873634530575</v>
      </c>
      <c r="B21">
        <v>6.1903542916079413E-2</v>
      </c>
      <c r="C21">
        <f t="shared" si="0"/>
        <v>5.3060934886250084E-2</v>
      </c>
      <c r="D21">
        <f t="shared" si="1"/>
        <v>8.8426080298293283E-3</v>
      </c>
      <c r="E21">
        <f t="shared" si="2"/>
        <v>7.8191716769202121E-5</v>
      </c>
    </row>
    <row r="22" spans="1:5" x14ac:dyDescent="0.25">
      <c r="A22">
        <v>3.013778785725</v>
      </c>
      <c r="B22">
        <v>5.3380591355169926E-2</v>
      </c>
      <c r="C22">
        <f t="shared" si="0"/>
        <v>4.472679838129999E-2</v>
      </c>
      <c r="D22">
        <f t="shared" si="1"/>
        <v>8.6537929738699365E-3</v>
      </c>
      <c r="E22">
        <f t="shared" si="2"/>
        <v>7.4888132834600678E-5</v>
      </c>
    </row>
    <row r="23" spans="1:5" x14ac:dyDescent="0.25">
      <c r="A23">
        <v>3.1539230408750001</v>
      </c>
      <c r="B23">
        <v>4.7997674579858672E-2</v>
      </c>
      <c r="C23">
        <f t="shared" si="0"/>
        <v>3.7644196027658311E-2</v>
      </c>
      <c r="D23">
        <f t="shared" si="1"/>
        <v>1.0353478552200361E-2</v>
      </c>
      <c r="E23">
        <f t="shared" si="2"/>
        <v>1.0719451813087289E-4</v>
      </c>
    </row>
    <row r="24" spans="1:5" x14ac:dyDescent="0.25">
      <c r="A24">
        <v>3.2940672960250001</v>
      </c>
      <c r="B24">
        <v>3.5886111835408352E-2</v>
      </c>
      <c r="C24">
        <f t="shared" si="0"/>
        <v>3.1637160189113854E-2</v>
      </c>
      <c r="D24">
        <f t="shared" si="1"/>
        <v>4.2489516462944979E-3</v>
      </c>
      <c r="E24">
        <f t="shared" si="2"/>
        <v>1.8053590092548723E-5</v>
      </c>
    </row>
    <row r="25" spans="1:5" x14ac:dyDescent="0.25">
      <c r="A25">
        <v>3.4342115511750002</v>
      </c>
      <c r="B25">
        <v>2.0185937907417201E-2</v>
      </c>
      <c r="C25">
        <f t="shared" si="0"/>
        <v>2.6551868476563475E-2</v>
      </c>
      <c r="D25">
        <f t="shared" si="1"/>
        <v>-6.3659305691462741E-3</v>
      </c>
      <c r="E25">
        <f t="shared" si="2"/>
        <v>4.0525072011191005E-5</v>
      </c>
    </row>
    <row r="26" spans="1:5" x14ac:dyDescent="0.25">
      <c r="A26">
        <v>3.5743558063250003</v>
      </c>
      <c r="B26">
        <v>2.5120278284785847E-2</v>
      </c>
      <c r="C26">
        <f t="shared" si="0"/>
        <v>2.2254458519865183E-2</v>
      </c>
      <c r="D26">
        <f t="shared" si="1"/>
        <v>2.8658197649206636E-3</v>
      </c>
      <c r="E26">
        <f t="shared" si="2"/>
        <v>8.212922925009927E-6</v>
      </c>
    </row>
    <row r="27" spans="1:5" x14ac:dyDescent="0.25">
      <c r="A27">
        <v>3.7145000614750003</v>
      </c>
      <c r="B27">
        <v>1.8391632315646781E-2</v>
      </c>
      <c r="C27">
        <f t="shared" si="0"/>
        <v>1.8628901348112677E-2</v>
      </c>
      <c r="D27">
        <f t="shared" si="1"/>
        <v>-2.3726903246589631E-4</v>
      </c>
      <c r="E27">
        <f t="shared" si="2"/>
        <v>5.629659376730256E-8</v>
      </c>
    </row>
    <row r="28" spans="1:5" x14ac:dyDescent="0.25">
      <c r="A28">
        <v>3.8546443166250004</v>
      </c>
      <c r="B28">
        <v>1.1662986346507715E-2</v>
      </c>
      <c r="C28">
        <f t="shared" si="0"/>
        <v>1.5574984678083681E-2</v>
      </c>
      <c r="D28">
        <f t="shared" si="1"/>
        <v>-3.9119983315759662E-3</v>
      </c>
      <c r="E28">
        <f t="shared" si="2"/>
        <v>1.5303730946253143E-5</v>
      </c>
    </row>
    <row r="29" spans="1:5" x14ac:dyDescent="0.25">
      <c r="A29">
        <v>3.9947885717750005</v>
      </c>
      <c r="B29">
        <v>1.5251597530048551E-2</v>
      </c>
      <c r="C29">
        <f t="shared" si="0"/>
        <v>1.3006436566612729E-2</v>
      </c>
      <c r="D29">
        <f t="shared" si="1"/>
        <v>2.245160963435822E-3</v>
      </c>
      <c r="E29">
        <f t="shared" si="2"/>
        <v>5.0407477517360682E-6</v>
      </c>
    </row>
    <row r="30" spans="1:5" x14ac:dyDescent="0.25">
      <c r="A30">
        <v>4.1349328269250005</v>
      </c>
      <c r="B30">
        <v>8.5229515609094846E-3</v>
      </c>
      <c r="C30">
        <f t="shared" si="0"/>
        <v>1.0849205095082685E-2</v>
      </c>
      <c r="D30">
        <f t="shared" si="1"/>
        <v>-2.3262535341732008E-3</v>
      </c>
      <c r="E30">
        <f t="shared" si="2"/>
        <v>5.4114555052533074E-6</v>
      </c>
    </row>
    <row r="31" spans="1:5" x14ac:dyDescent="0.25">
      <c r="A31">
        <v>4.2750770820750006</v>
      </c>
      <c r="B31">
        <v>9.8686807547372982E-3</v>
      </c>
      <c r="C31">
        <f t="shared" si="0"/>
        <v>9.039899420395894E-3</v>
      </c>
      <c r="D31">
        <f t="shared" si="1"/>
        <v>8.2878133434140418E-4</v>
      </c>
      <c r="E31">
        <f t="shared" si="2"/>
        <v>6.8687850015271833E-7</v>
      </c>
    </row>
    <row r="32" spans="1:5" x14ac:dyDescent="0.25">
      <c r="A32">
        <v>4.4152213372250007</v>
      </c>
      <c r="B32">
        <v>3.5886111835408355E-3</v>
      </c>
      <c r="C32">
        <f t="shared" si="0"/>
        <v>7.524390466726507E-3</v>
      </c>
      <c r="D32">
        <f t="shared" si="1"/>
        <v>-3.9357792831856715E-3</v>
      </c>
      <c r="E32">
        <f t="shared" si="2"/>
        <v>1.5490358565953519E-5</v>
      </c>
    </row>
    <row r="33" spans="1:5" x14ac:dyDescent="0.25">
      <c r="A33">
        <v>4.5553655923750007</v>
      </c>
      <c r="B33">
        <v>4.485763979426044E-3</v>
      </c>
      <c r="C33">
        <f t="shared" si="0"/>
        <v>6.2565648712225525E-3</v>
      </c>
      <c r="D33">
        <f t="shared" si="1"/>
        <v>-1.7708008917965085E-3</v>
      </c>
      <c r="E33">
        <f t="shared" si="2"/>
        <v>3.1357357983873096E-6</v>
      </c>
    </row>
    <row r="34" spans="1:5" x14ac:dyDescent="0.25">
      <c r="A34">
        <v>4.6955098475250008</v>
      </c>
      <c r="B34">
        <v>3.5886111835408355E-3</v>
      </c>
      <c r="C34">
        <f t="shared" si="0"/>
        <v>5.1972228829850328E-3</v>
      </c>
      <c r="D34">
        <f t="shared" si="1"/>
        <v>-1.6086116994441972E-3</v>
      </c>
      <c r="E34">
        <f t="shared" si="2"/>
        <v>2.5876315995887484E-6</v>
      </c>
    </row>
    <row r="35" spans="1:5" x14ac:dyDescent="0.25">
      <c r="A35">
        <v>4.8356541026750008</v>
      </c>
      <c r="B35">
        <v>8.9715279588520888E-4</v>
      </c>
      <c r="C35">
        <f t="shared" si="0"/>
        <v>4.3131092615800726E-3</v>
      </c>
      <c r="D35">
        <f t="shared" si="1"/>
        <v>-3.4159564656948637E-3</v>
      </c>
      <c r="E35">
        <f t="shared" si="2"/>
        <v>1.1668758575522544E-5</v>
      </c>
    </row>
    <row r="36" spans="1:5" x14ac:dyDescent="0.25">
      <c r="A36">
        <v>4.975798357825</v>
      </c>
      <c r="B36">
        <v>8.9715279588520888E-4</v>
      </c>
      <c r="C36">
        <f t="shared" si="0"/>
        <v>3.5760654656791504E-3</v>
      </c>
      <c r="D36">
        <f t="shared" si="1"/>
        <v>-2.6789126697939415E-3</v>
      </c>
      <c r="E36">
        <f t="shared" si="2"/>
        <v>7.1765730923825034E-6</v>
      </c>
    </row>
    <row r="37" spans="1:5" x14ac:dyDescent="0.25">
      <c r="A37">
        <v>5.115942612975001</v>
      </c>
      <c r="B37">
        <v>0</v>
      </c>
      <c r="C37">
        <f t="shared" si="0"/>
        <v>2.9622912932919568E-3</v>
      </c>
      <c r="D37">
        <f t="shared" si="1"/>
        <v>-2.9622912932919568E-3</v>
      </c>
      <c r="E37">
        <f t="shared" si="2"/>
        <v>8.7751697063133347E-6</v>
      </c>
    </row>
    <row r="38" spans="1:5" x14ac:dyDescent="0.25">
      <c r="A38">
        <v>5.256086868125001</v>
      </c>
      <c r="B38">
        <v>4.4857639794260444E-4</v>
      </c>
      <c r="C38">
        <f t="shared" si="0"/>
        <v>2.4517044312826141E-3</v>
      </c>
      <c r="D38">
        <f t="shared" si="1"/>
        <v>-2.0031280333400094E-3</v>
      </c>
      <c r="E38">
        <f t="shared" si="2"/>
        <v>4.0125219179526138E-6</v>
      </c>
    </row>
    <row r="39" spans="1:5" x14ac:dyDescent="0.25">
      <c r="A39">
        <v>5.3962311232750002</v>
      </c>
      <c r="B39">
        <v>0</v>
      </c>
      <c r="C39">
        <f t="shared" si="0"/>
        <v>2.0273869449639113E-3</v>
      </c>
      <c r="D39">
        <f t="shared" si="1"/>
        <v>-2.0273869449639113E-3</v>
      </c>
      <c r="E39">
        <f t="shared" si="2"/>
        <v>4.1102978246101017E-6</v>
      </c>
    </row>
    <row r="40" spans="1:5" x14ac:dyDescent="0.25">
      <c r="A40">
        <v>5.5363753784250003</v>
      </c>
      <c r="B40">
        <v>1.3457291938278133E-3</v>
      </c>
      <c r="C40">
        <f t="shared" si="0"/>
        <v>1.6751084799212954E-3</v>
      </c>
      <c r="D40">
        <f t="shared" si="1"/>
        <v>-3.2937928609348211E-4</v>
      </c>
      <c r="E40">
        <f t="shared" si="2"/>
        <v>1.0849071410745194E-7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BEF8-93E5-486C-B113-C29EA3AC202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6.9983766325000002E-2</v>
      </c>
      <c r="B1">
        <v>0.58172150726755134</v>
      </c>
      <c r="C1">
        <f>$H$3*(1+$H$1)*(A1^($H$1))*EXP(-$H$3*(A1^(1+$H$1)))</f>
        <v>0.66985515992676947</v>
      </c>
      <c r="D1">
        <f>B1-C1</f>
        <v>-8.8133652659218131E-2</v>
      </c>
      <c r="E1">
        <f>D1^2</f>
        <v>7.7675407310557072E-3</v>
      </c>
      <c r="G1" t="s">
        <v>0</v>
      </c>
      <c r="H1">
        <v>0.17007237969598474</v>
      </c>
    </row>
    <row r="2" spans="1:8" x14ac:dyDescent="0.25">
      <c r="A2">
        <v>0.20917518497500001</v>
      </c>
      <c r="B2">
        <v>0.81477142788094925</v>
      </c>
      <c r="C2">
        <f t="shared" ref="C2:C40" si="0">$H$3*(1+$H$1)*(A2^($H$1))*EXP(-$H$3*(A2^(1+$H$1)))</f>
        <v>0.72388608924734132</v>
      </c>
      <c r="D2">
        <f t="shared" ref="D2:D40" si="1">B2-C2</f>
        <v>9.0885338633607926E-2</v>
      </c>
      <c r="E2">
        <f t="shared" ref="E2:E40" si="2">D2^2</f>
        <v>8.2601447785455862E-3</v>
      </c>
    </row>
    <row r="3" spans="1:8" x14ac:dyDescent="0.25">
      <c r="A3">
        <v>0.34836660362499999</v>
      </c>
      <c r="B3">
        <v>0.77683306871132629</v>
      </c>
      <c r="C3">
        <f t="shared" si="0"/>
        <v>0.69826037609812164</v>
      </c>
      <c r="D3">
        <f t="shared" si="1"/>
        <v>7.8572692613204653E-2</v>
      </c>
      <c r="E3">
        <f t="shared" si="2"/>
        <v>6.1736680244891453E-3</v>
      </c>
      <c r="G3" t="s">
        <v>1</v>
      </c>
      <c r="H3">
        <f>(_xlfn.GAMMA((2+$H$1)/(1+$H$1)))^(1+$H$1)</f>
        <v>0.93830606759093405</v>
      </c>
    </row>
    <row r="4" spans="1:8" x14ac:dyDescent="0.25">
      <c r="A4">
        <v>0.487558022275</v>
      </c>
      <c r="B4">
        <v>0.63230598616038192</v>
      </c>
      <c r="C4">
        <f t="shared" si="0"/>
        <v>0.64813802428864664</v>
      </c>
      <c r="D4">
        <f t="shared" si="1"/>
        <v>-1.5832038128264725E-2</v>
      </c>
      <c r="E4">
        <f t="shared" si="2"/>
        <v>2.5065343129482802E-4</v>
      </c>
    </row>
    <row r="5" spans="1:8" x14ac:dyDescent="0.25">
      <c r="A5">
        <v>0.62674944092500007</v>
      </c>
      <c r="B5">
        <v>0.57585009453891922</v>
      </c>
      <c r="C5">
        <f t="shared" si="0"/>
        <v>0.58905530118757965</v>
      </c>
      <c r="D5">
        <f t="shared" si="1"/>
        <v>-1.3205206648660428E-2</v>
      </c>
      <c r="E5">
        <f t="shared" si="2"/>
        <v>1.7437748263382557E-4</v>
      </c>
      <c r="G5" t="s">
        <v>2</v>
      </c>
      <c r="H5">
        <f>SUM(E1:E40)</f>
        <v>3.1312169268681224E-2</v>
      </c>
    </row>
    <row r="6" spans="1:8" x14ac:dyDescent="0.25">
      <c r="A6">
        <v>0.76594085957499991</v>
      </c>
      <c r="B6">
        <v>0.46971301829056944</v>
      </c>
      <c r="C6">
        <f t="shared" si="0"/>
        <v>0.52793298810885558</v>
      </c>
      <c r="D6">
        <f t="shared" si="1"/>
        <v>-5.8219969818286144E-2</v>
      </c>
      <c r="E6">
        <f t="shared" si="2"/>
        <v>3.3895648856421493E-3</v>
      </c>
    </row>
    <row r="7" spans="1:8" x14ac:dyDescent="0.25">
      <c r="A7">
        <v>0.90513227822499998</v>
      </c>
      <c r="B7">
        <v>0.42364501072745586</v>
      </c>
      <c r="C7">
        <f t="shared" si="0"/>
        <v>0.46833064970378169</v>
      </c>
      <c r="D7">
        <f t="shared" si="1"/>
        <v>-4.4685638976325825E-2</v>
      </c>
      <c r="E7">
        <f t="shared" si="2"/>
        <v>1.9968063307225299E-3</v>
      </c>
    </row>
    <row r="8" spans="1:8" x14ac:dyDescent="0.25">
      <c r="A8">
        <v>1.044323696875</v>
      </c>
      <c r="B8">
        <v>0.38706159295674808</v>
      </c>
      <c r="C8">
        <f t="shared" si="0"/>
        <v>0.41214206708805989</v>
      </c>
      <c r="D8">
        <f t="shared" si="1"/>
        <v>-2.5080474131311814E-2</v>
      </c>
      <c r="E8">
        <f t="shared" si="2"/>
        <v>6.290301826514011E-4</v>
      </c>
    </row>
    <row r="9" spans="1:8" x14ac:dyDescent="0.25">
      <c r="A9">
        <v>1.1835151155250001</v>
      </c>
      <c r="B9">
        <v>0.35996276497844598</v>
      </c>
      <c r="C9">
        <f t="shared" si="0"/>
        <v>0.36032834232724237</v>
      </c>
      <c r="D9">
        <f t="shared" si="1"/>
        <v>-3.6557734879638648E-4</v>
      </c>
      <c r="E9">
        <f t="shared" si="2"/>
        <v>1.3364679795299482E-7</v>
      </c>
    </row>
    <row r="10" spans="1:8" x14ac:dyDescent="0.25">
      <c r="A10">
        <v>1.3227065341749999</v>
      </c>
      <c r="B10">
        <v>0.29311898929863417</v>
      </c>
      <c r="C10">
        <f t="shared" si="0"/>
        <v>0.31329442648299322</v>
      </c>
      <c r="D10">
        <f t="shared" si="1"/>
        <v>-2.0175437184359046E-2</v>
      </c>
      <c r="E10">
        <f t="shared" si="2"/>
        <v>4.0704826558001769E-4</v>
      </c>
    </row>
    <row r="11" spans="1:8" x14ac:dyDescent="0.25">
      <c r="A11">
        <v>1.4618979528250002</v>
      </c>
      <c r="B11">
        <v>0.25337404159712446</v>
      </c>
      <c r="C11">
        <f t="shared" si="0"/>
        <v>0.27110468554729339</v>
      </c>
      <c r="D11">
        <f t="shared" si="1"/>
        <v>-1.7730643950168934E-2</v>
      </c>
      <c r="E11">
        <f t="shared" si="2"/>
        <v>3.1437573488766221E-4</v>
      </c>
    </row>
    <row r="12" spans="1:8" x14ac:dyDescent="0.25">
      <c r="A12">
        <v>1.6010893714750001</v>
      </c>
      <c r="B12">
        <v>0.2366630976771715</v>
      </c>
      <c r="C12">
        <f t="shared" si="0"/>
        <v>0.23361516367719284</v>
      </c>
      <c r="D12">
        <f t="shared" si="1"/>
        <v>3.0479339999786581E-3</v>
      </c>
      <c r="E12">
        <f t="shared" si="2"/>
        <v>9.2899016682259032E-6</v>
      </c>
    </row>
    <row r="13" spans="1:8" x14ac:dyDescent="0.25">
      <c r="A13">
        <v>1.7402807901249999</v>
      </c>
      <c r="B13">
        <v>0.1933049729118882</v>
      </c>
      <c r="C13">
        <f t="shared" si="0"/>
        <v>0.2005582930708113</v>
      </c>
      <c r="D13">
        <f t="shared" si="1"/>
        <v>-7.2533201589231044E-3</v>
      </c>
      <c r="E13">
        <f t="shared" si="2"/>
        <v>5.2610653327840286E-5</v>
      </c>
    </row>
    <row r="14" spans="1:8" x14ac:dyDescent="0.25">
      <c r="A14">
        <v>1.879472208775</v>
      </c>
      <c r="B14">
        <v>0.18607861878434095</v>
      </c>
      <c r="C14">
        <f t="shared" si="0"/>
        <v>0.17159847080600091</v>
      </c>
      <c r="D14">
        <f t="shared" si="1"/>
        <v>1.4480147978340047E-2</v>
      </c>
      <c r="E14">
        <f t="shared" si="2"/>
        <v>2.0967468547462533E-4</v>
      </c>
    </row>
    <row r="15" spans="1:8" x14ac:dyDescent="0.25">
      <c r="A15">
        <v>2.0186636274250001</v>
      </c>
      <c r="B15">
        <v>0.164851203534671</v>
      </c>
      <c r="C15">
        <f t="shared" si="0"/>
        <v>0.14636886856095169</v>
      </c>
      <c r="D15">
        <f t="shared" si="1"/>
        <v>1.8482334973719317E-2</v>
      </c>
      <c r="E15">
        <f t="shared" si="2"/>
        <v>3.4159670608076824E-4</v>
      </c>
    </row>
    <row r="16" spans="1:8" x14ac:dyDescent="0.25">
      <c r="A16">
        <v>2.1578550460750003</v>
      </c>
      <c r="B16">
        <v>0.13549413989151041</v>
      </c>
      <c r="C16">
        <f t="shared" si="0"/>
        <v>0.124495726577495</v>
      </c>
      <c r="D16">
        <f t="shared" si="1"/>
        <v>1.0998413314015409E-2</v>
      </c>
      <c r="E16">
        <f t="shared" si="2"/>
        <v>1.2096509542591143E-4</v>
      </c>
    </row>
    <row r="17" spans="1:5" x14ac:dyDescent="0.25">
      <c r="A17">
        <v>2.2970464647250002</v>
      </c>
      <c r="B17">
        <v>0.10342719345051961</v>
      </c>
      <c r="C17">
        <f t="shared" si="0"/>
        <v>0.10561411019402603</v>
      </c>
      <c r="D17">
        <f t="shared" si="1"/>
        <v>-2.1869167435064202E-3</v>
      </c>
      <c r="E17">
        <f t="shared" si="2"/>
        <v>4.7826048430287259E-6</v>
      </c>
    </row>
    <row r="18" spans="1:5" x14ac:dyDescent="0.25">
      <c r="A18">
        <v>2.436237883375</v>
      </c>
      <c r="B18">
        <v>0.11517001890778385</v>
      </c>
      <c r="C18">
        <f t="shared" si="0"/>
        <v>8.9377766697648811E-2</v>
      </c>
      <c r="D18">
        <f t="shared" si="1"/>
        <v>2.5792252210135036E-2</v>
      </c>
      <c r="E18">
        <f t="shared" si="2"/>
        <v>6.6524027407121569E-4</v>
      </c>
    </row>
    <row r="19" spans="1:5" x14ac:dyDescent="0.25">
      <c r="A19">
        <v>2.5754293020250003</v>
      </c>
      <c r="B19">
        <v>7.5876718339245822E-2</v>
      </c>
      <c r="C19">
        <f t="shared" si="0"/>
        <v>7.5464885419778707E-2</v>
      </c>
      <c r="D19">
        <f t="shared" si="1"/>
        <v>4.1183291946711442E-4</v>
      </c>
      <c r="E19">
        <f t="shared" si="2"/>
        <v>1.6960635355680674E-7</v>
      </c>
    </row>
    <row r="20" spans="1:5" x14ac:dyDescent="0.25">
      <c r="A20">
        <v>2.7146207206750002</v>
      </c>
      <c r="B20">
        <v>7.5876718339245822E-2</v>
      </c>
      <c r="C20">
        <f t="shared" si="0"/>
        <v>6.3581020426729085E-2</v>
      </c>
      <c r="D20">
        <f t="shared" si="1"/>
        <v>1.2295697912516737E-2</v>
      </c>
      <c r="E20">
        <f t="shared" si="2"/>
        <v>1.5118418715586845E-4</v>
      </c>
    </row>
    <row r="21" spans="1:5" x14ac:dyDescent="0.25">
      <c r="A21">
        <v>2.853812139325</v>
      </c>
      <c r="B21">
        <v>6.1875657217123084E-2</v>
      </c>
      <c r="C21">
        <f t="shared" si="0"/>
        <v>5.3460068329212816E-2</v>
      </c>
      <c r="D21">
        <f t="shared" si="1"/>
        <v>8.4155888879102678E-3</v>
      </c>
      <c r="E21">
        <f t="shared" si="2"/>
        <v>7.0822136330318773E-5</v>
      </c>
    </row>
    <row r="22" spans="1:5" x14ac:dyDescent="0.25">
      <c r="A22">
        <v>2.9930035579750003</v>
      </c>
      <c r="B22">
        <v>5.5100950222547566E-2</v>
      </c>
      <c r="C22">
        <f t="shared" si="0"/>
        <v>4.4863939150107543E-2</v>
      </c>
      <c r="D22">
        <f t="shared" si="1"/>
        <v>1.0237011072440023E-2</v>
      </c>
      <c r="E22">
        <f t="shared" si="2"/>
        <v>1.0479639569725964E-4</v>
      </c>
    </row>
    <row r="23" spans="1:5" x14ac:dyDescent="0.25">
      <c r="A23">
        <v>3.1321949766250001</v>
      </c>
      <c r="B23">
        <v>4.8326243227972049E-2</v>
      </c>
      <c r="C23">
        <f t="shared" si="0"/>
        <v>3.7581377708119437E-2</v>
      </c>
      <c r="D23">
        <f t="shared" si="1"/>
        <v>1.0744865519852612E-2</v>
      </c>
      <c r="E23">
        <f t="shared" si="2"/>
        <v>1.1545213503971753E-4</v>
      </c>
    </row>
    <row r="24" spans="1:5" x14ac:dyDescent="0.25">
      <c r="A24">
        <v>3.271386395275</v>
      </c>
      <c r="B24">
        <v>3.5228476371792709E-2</v>
      </c>
      <c r="C24">
        <f t="shared" si="0"/>
        <v>3.1426263032466067E-2</v>
      </c>
      <c r="D24">
        <f t="shared" si="1"/>
        <v>3.8022133393266419E-3</v>
      </c>
      <c r="E24">
        <f t="shared" si="2"/>
        <v>1.4456826277753453E-5</v>
      </c>
    </row>
    <row r="25" spans="1:5" x14ac:dyDescent="0.25">
      <c r="A25">
        <v>3.4105778139250003</v>
      </c>
      <c r="B25">
        <v>2.2582356648585069E-2</v>
      </c>
      <c r="C25">
        <f t="shared" si="0"/>
        <v>2.6235618777432631E-2</v>
      </c>
      <c r="D25">
        <f t="shared" si="1"/>
        <v>-3.653262128847562E-3</v>
      </c>
      <c r="E25">
        <f t="shared" si="2"/>
        <v>1.3346324182071821E-5</v>
      </c>
    </row>
    <row r="26" spans="1:5" x14ac:dyDescent="0.25">
      <c r="A26">
        <v>3.5497692325750001</v>
      </c>
      <c r="B26">
        <v>2.4388945180471872E-2</v>
      </c>
      <c r="C26">
        <f t="shared" si="0"/>
        <v>2.1867498379017577E-2</v>
      </c>
      <c r="D26">
        <f t="shared" si="1"/>
        <v>2.5214468014542954E-3</v>
      </c>
      <c r="E26">
        <f t="shared" si="2"/>
        <v>6.3576939725640967E-6</v>
      </c>
    </row>
    <row r="27" spans="1:5" x14ac:dyDescent="0.25">
      <c r="A27">
        <v>3.6889606512250004</v>
      </c>
      <c r="B27">
        <v>2.1679062382641664E-2</v>
      </c>
      <c r="C27">
        <f t="shared" si="0"/>
        <v>1.8198857877635387E-2</v>
      </c>
      <c r="D27">
        <f t="shared" si="1"/>
        <v>3.480204505006277E-3</v>
      </c>
      <c r="E27">
        <f t="shared" si="2"/>
        <v>1.2111823396665986E-5</v>
      </c>
    </row>
    <row r="28" spans="1:5" x14ac:dyDescent="0.25">
      <c r="A28">
        <v>3.8281520698750002</v>
      </c>
      <c r="B28">
        <v>1.0839531191320832E-2</v>
      </c>
      <c r="C28">
        <f t="shared" si="0"/>
        <v>1.5123492057699568E-2</v>
      </c>
      <c r="D28">
        <f t="shared" si="1"/>
        <v>-4.283960866378736E-3</v>
      </c>
      <c r="E28">
        <f t="shared" si="2"/>
        <v>1.8352320704664451E-5</v>
      </c>
    </row>
    <row r="29" spans="1:5" x14ac:dyDescent="0.25">
      <c r="A29">
        <v>3.9673434885249996</v>
      </c>
      <c r="B29">
        <v>1.354941398915104E-2</v>
      </c>
      <c r="C29">
        <f t="shared" si="0"/>
        <v>1.2550082331395877E-2</v>
      </c>
      <c r="D29">
        <f t="shared" si="1"/>
        <v>9.9933165775516371E-4</v>
      </c>
      <c r="E29">
        <f t="shared" si="2"/>
        <v>9.9866376219168367E-7</v>
      </c>
    </row>
    <row r="30" spans="1:5" x14ac:dyDescent="0.25">
      <c r="A30">
        <v>4.1065349071749999</v>
      </c>
      <c r="B30">
        <v>9.9362369253774303E-3</v>
      </c>
      <c r="C30">
        <f t="shared" si="0"/>
        <v>1.0400385064598335E-2</v>
      </c>
      <c r="D30">
        <f t="shared" si="1"/>
        <v>-4.6414813922090493E-4</v>
      </c>
      <c r="E30">
        <f t="shared" si="2"/>
        <v>2.1543349514222855E-7</v>
      </c>
    </row>
    <row r="31" spans="1:5" x14ac:dyDescent="0.25">
      <c r="A31">
        <v>4.2457263258250002</v>
      </c>
      <c r="B31">
        <v>7.6780012605189235E-3</v>
      </c>
      <c r="C31">
        <f t="shared" si="0"/>
        <v>8.6075749145455554E-3</v>
      </c>
      <c r="D31">
        <f t="shared" si="1"/>
        <v>-9.2957365402663184E-4</v>
      </c>
      <c r="E31">
        <f t="shared" si="2"/>
        <v>8.641071782604242E-7</v>
      </c>
    </row>
    <row r="32" spans="1:5" x14ac:dyDescent="0.25">
      <c r="A32">
        <v>4.3849177444750005</v>
      </c>
      <c r="B32">
        <v>5.8714127286321176E-3</v>
      </c>
      <c r="C32">
        <f t="shared" si="0"/>
        <v>7.1147478052034294E-3</v>
      </c>
      <c r="D32">
        <f t="shared" si="1"/>
        <v>-1.2433350765713117E-3</v>
      </c>
      <c r="E32">
        <f t="shared" si="2"/>
        <v>1.5458821126325896E-6</v>
      </c>
    </row>
    <row r="33" spans="1:5" x14ac:dyDescent="0.25">
      <c r="A33">
        <v>4.5241091631250008</v>
      </c>
      <c r="B33">
        <v>3.6131770637736109E-3</v>
      </c>
      <c r="C33">
        <f t="shared" si="0"/>
        <v>5.8735813401782459E-3</v>
      </c>
      <c r="D33">
        <f t="shared" si="1"/>
        <v>-2.260404276404635E-3</v>
      </c>
      <c r="E33">
        <f t="shared" si="2"/>
        <v>5.1094274927883615E-6</v>
      </c>
    </row>
    <row r="34" spans="1:5" x14ac:dyDescent="0.25">
      <c r="A34">
        <v>4.6633005817749993</v>
      </c>
      <c r="B34">
        <v>4.9681184626887151E-3</v>
      </c>
      <c r="C34">
        <f t="shared" si="0"/>
        <v>4.8431459372845166E-3</v>
      </c>
      <c r="D34">
        <f t="shared" si="1"/>
        <v>1.2497252540419855E-4</v>
      </c>
      <c r="E34">
        <f t="shared" si="2"/>
        <v>1.5618132105903051E-8</v>
      </c>
    </row>
    <row r="35" spans="1:5" x14ac:dyDescent="0.25">
      <c r="A35">
        <v>4.8024920004249996</v>
      </c>
      <c r="B35">
        <v>9.0329426594340273E-4</v>
      </c>
      <c r="C35">
        <f t="shared" si="0"/>
        <v>3.9888571513358702E-3</v>
      </c>
      <c r="D35">
        <f t="shared" si="1"/>
        <v>-3.0855628853924677E-3</v>
      </c>
      <c r="E35">
        <f t="shared" si="2"/>
        <v>9.5206983197114913E-6</v>
      </c>
    </row>
    <row r="36" spans="1:5" x14ac:dyDescent="0.25">
      <c r="A36">
        <v>4.9416834190749999</v>
      </c>
      <c r="B36">
        <v>9.0329426594340273E-4</v>
      </c>
      <c r="C36">
        <f t="shared" si="0"/>
        <v>3.2815580683657145E-3</v>
      </c>
      <c r="D36">
        <f t="shared" si="1"/>
        <v>-2.378263802422312E-3</v>
      </c>
      <c r="E36">
        <f t="shared" si="2"/>
        <v>5.6561387139122342E-6</v>
      </c>
    </row>
    <row r="37" spans="1:5" x14ac:dyDescent="0.25">
      <c r="A37">
        <v>5.0808748377250001</v>
      </c>
      <c r="B37">
        <v>0</v>
      </c>
      <c r="C37">
        <f t="shared" si="0"/>
        <v>2.6967199541626644E-3</v>
      </c>
      <c r="D37">
        <f t="shared" si="1"/>
        <v>-2.6967199541626644E-3</v>
      </c>
      <c r="E37">
        <f t="shared" si="2"/>
        <v>7.2722985111790831E-6</v>
      </c>
    </row>
    <row r="38" spans="1:5" x14ac:dyDescent="0.25">
      <c r="A38">
        <v>5.2200662563750004</v>
      </c>
      <c r="B38">
        <v>4.5164713297170137E-4</v>
      </c>
      <c r="C38">
        <f t="shared" si="0"/>
        <v>2.2137492580464784E-3</v>
      </c>
      <c r="D38">
        <f t="shared" si="1"/>
        <v>-1.7621021250747771E-3</v>
      </c>
      <c r="E38">
        <f t="shared" si="2"/>
        <v>3.1050038991930454E-6</v>
      </c>
    </row>
    <row r="39" spans="1:5" x14ac:dyDescent="0.25">
      <c r="A39">
        <v>5.3592576750249998</v>
      </c>
      <c r="B39">
        <v>0</v>
      </c>
      <c r="C39">
        <f t="shared" si="0"/>
        <v>1.8153894108615528E-3</v>
      </c>
      <c r="D39">
        <f t="shared" si="1"/>
        <v>-1.8153894108615528E-3</v>
      </c>
      <c r="E39">
        <f t="shared" si="2"/>
        <v>3.295638713068256E-6</v>
      </c>
    </row>
    <row r="40" spans="1:5" x14ac:dyDescent="0.25">
      <c r="A40">
        <v>5.4984490936750001</v>
      </c>
      <c r="B40">
        <v>1.354941398915104E-3</v>
      </c>
      <c r="C40">
        <f t="shared" si="0"/>
        <v>1.4872064667701321E-3</v>
      </c>
      <c r="D40">
        <f t="shared" si="1"/>
        <v>-1.3226506785502814E-4</v>
      </c>
      <c r="E40">
        <f t="shared" si="2"/>
        <v>1.7494048174695198E-8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126E-58F1-457D-AE2F-8462FCBE894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6.8816331212499998E-2</v>
      </c>
      <c r="B1">
        <v>0.56088336281714735</v>
      </c>
      <c r="C1">
        <f>$H$3*(1+$H$1)*(A1^($H$1))*EXP(-$H$3*(A1^(1+$H$1)))</f>
        <v>0.59817207103246861</v>
      </c>
      <c r="D1">
        <f>B1-C1</f>
        <v>-3.7288708215321265E-2</v>
      </c>
      <c r="E1">
        <f>D1^2</f>
        <v>1.3904477603673675E-3</v>
      </c>
      <c r="G1" t="s">
        <v>0</v>
      </c>
      <c r="H1">
        <v>0.22434363810949512</v>
      </c>
    </row>
    <row r="2" spans="1:8" x14ac:dyDescent="0.25">
      <c r="A2">
        <v>0.20566948963749998</v>
      </c>
      <c r="B2">
        <v>0.61600703483848862</v>
      </c>
      <c r="C2">
        <f t="shared" ref="C2:C40" si="0">$H$3*(1+$H$1)*(A2^($H$1))*EXP(-$H$3*(A2^(1+$H$1)))</f>
        <v>0.69318678201821105</v>
      </c>
      <c r="D2">
        <f t="shared" ref="D2:D40" si="1">B2-C2</f>
        <v>-7.7179747179722424E-2</v>
      </c>
      <c r="E2">
        <f t="shared" ref="E2:E40" si="2">D2^2</f>
        <v>5.9567133747258716E-3</v>
      </c>
    </row>
    <row r="3" spans="1:8" x14ac:dyDescent="0.25">
      <c r="A3">
        <v>0.34252264806249999</v>
      </c>
      <c r="B3">
        <v>0.83787981472438722</v>
      </c>
      <c r="C3">
        <f t="shared" si="0"/>
        <v>0.69254266754130411</v>
      </c>
      <c r="D3">
        <f t="shared" si="1"/>
        <v>0.1453371471830831</v>
      </c>
      <c r="E3">
        <f t="shared" si="2"/>
        <v>2.112288635131716E-2</v>
      </c>
      <c r="G3" t="s">
        <v>1</v>
      </c>
      <c r="H3">
        <f>(_xlfn.GAMMA((2+$H$1)/(1+$H$1)))^(1+$H$1)</f>
        <v>0.92214267483056001</v>
      </c>
    </row>
    <row r="4" spans="1:8" x14ac:dyDescent="0.25">
      <c r="A4">
        <v>0.4793758064875</v>
      </c>
      <c r="B4">
        <v>0.7515193952242859</v>
      </c>
      <c r="C4">
        <f t="shared" si="0"/>
        <v>0.65807586586127775</v>
      </c>
      <c r="D4">
        <f t="shared" si="1"/>
        <v>9.3443529363008149E-2</v>
      </c>
      <c r="E4">
        <f t="shared" si="2"/>
        <v>8.7316931798153662E-3</v>
      </c>
    </row>
    <row r="5" spans="1:8" x14ac:dyDescent="0.25">
      <c r="A5">
        <v>0.6162289649124999</v>
      </c>
      <c r="B5">
        <v>0.62932858891031274</v>
      </c>
      <c r="C5">
        <f t="shared" si="0"/>
        <v>0.60833555986816767</v>
      </c>
      <c r="D5">
        <f t="shared" si="1"/>
        <v>2.0993029042145062E-2</v>
      </c>
      <c r="E5">
        <f t="shared" si="2"/>
        <v>4.4070726836434603E-4</v>
      </c>
      <c r="G5" t="s">
        <v>2</v>
      </c>
      <c r="H5">
        <f>SUM(E1:E40)</f>
        <v>5.0055391473445357E-2</v>
      </c>
    </row>
    <row r="6" spans="1:8" x14ac:dyDescent="0.25">
      <c r="A6">
        <v>0.75308212333750002</v>
      </c>
      <c r="B6">
        <v>0.4869257695218478</v>
      </c>
      <c r="C6">
        <f t="shared" si="0"/>
        <v>0.55216152883043179</v>
      </c>
      <c r="D6">
        <f t="shared" si="1"/>
        <v>-6.5235759308583996E-2</v>
      </c>
      <c r="E6">
        <f t="shared" si="2"/>
        <v>4.2557042925675031E-3</v>
      </c>
    </row>
    <row r="7" spans="1:8" x14ac:dyDescent="0.25">
      <c r="A7">
        <v>0.88993528176249992</v>
      </c>
      <c r="B7">
        <v>0.44236746797126364</v>
      </c>
      <c r="C7">
        <f t="shared" si="0"/>
        <v>0.49447041747290399</v>
      </c>
      <c r="D7">
        <f t="shared" si="1"/>
        <v>-5.210294950164035E-2</v>
      </c>
      <c r="E7">
        <f t="shared" si="2"/>
        <v>2.7147173467704845E-3</v>
      </c>
    </row>
    <row r="8" spans="1:8" x14ac:dyDescent="0.25">
      <c r="A8">
        <v>1.0267884401875</v>
      </c>
      <c r="B8">
        <v>0.40102471395525768</v>
      </c>
      <c r="C8">
        <f t="shared" si="0"/>
        <v>0.4381485345801312</v>
      </c>
      <c r="D8">
        <f t="shared" si="1"/>
        <v>-3.7123820624873516E-2</v>
      </c>
      <c r="E8">
        <f t="shared" si="2"/>
        <v>1.3781780577877842E-3</v>
      </c>
    </row>
    <row r="9" spans="1:8" x14ac:dyDescent="0.25">
      <c r="A9">
        <v>1.1636415986125002</v>
      </c>
      <c r="B9">
        <v>0.35646641240467347</v>
      </c>
      <c r="C9">
        <f t="shared" si="0"/>
        <v>0.38488725827506115</v>
      </c>
      <c r="D9">
        <f t="shared" si="1"/>
        <v>-2.8420845870387679E-2</v>
      </c>
      <c r="E9">
        <f t="shared" si="2"/>
        <v>8.0774447998833239E-4</v>
      </c>
    </row>
    <row r="10" spans="1:8" x14ac:dyDescent="0.25">
      <c r="A10">
        <v>1.3004947570374998</v>
      </c>
      <c r="B10">
        <v>0.31328620265462281</v>
      </c>
      <c r="C10">
        <f t="shared" si="0"/>
        <v>0.33562479897779279</v>
      </c>
      <c r="D10">
        <f t="shared" si="1"/>
        <v>-2.2338596323169979E-2</v>
      </c>
      <c r="E10">
        <f t="shared" si="2"/>
        <v>4.9901288568954326E-4</v>
      </c>
    </row>
    <row r="11" spans="1:8" x14ac:dyDescent="0.25">
      <c r="A11">
        <v>1.4373479154625</v>
      </c>
      <c r="B11">
        <v>0.25540634703221449</v>
      </c>
      <c r="C11">
        <f t="shared" si="0"/>
        <v>0.29080851255697659</v>
      </c>
      <c r="D11">
        <f t="shared" si="1"/>
        <v>-3.5402165524762108E-2</v>
      </c>
      <c r="E11">
        <f t="shared" si="2"/>
        <v>1.2533133238426548E-3</v>
      </c>
    </row>
    <row r="12" spans="1:8" x14ac:dyDescent="0.25">
      <c r="A12">
        <v>1.5742010738875001</v>
      </c>
      <c r="B12">
        <v>0.22876323888856623</v>
      </c>
      <c r="C12">
        <f t="shared" si="0"/>
        <v>0.25056269498645195</v>
      </c>
      <c r="D12">
        <f t="shared" si="1"/>
        <v>-2.1799456097885722E-2</v>
      </c>
      <c r="E12">
        <f t="shared" si="2"/>
        <v>4.7521628616364702E-4</v>
      </c>
    </row>
    <row r="13" spans="1:8" x14ac:dyDescent="0.25">
      <c r="A13">
        <v>1.7110542323125</v>
      </c>
      <c r="B13">
        <v>0.21130740941514151</v>
      </c>
      <c r="C13">
        <f t="shared" si="0"/>
        <v>0.21480101546623323</v>
      </c>
      <c r="D13">
        <f t="shared" si="1"/>
        <v>-3.4936060510917244E-3</v>
      </c>
      <c r="E13">
        <f t="shared" si="2"/>
        <v>1.2205283240224712E-5</v>
      </c>
    </row>
    <row r="14" spans="1:8" x14ac:dyDescent="0.25">
      <c r="A14">
        <v>1.8479073907374999</v>
      </c>
      <c r="B14">
        <v>0.18971730454011618</v>
      </c>
      <c r="C14">
        <f t="shared" si="0"/>
        <v>0.18330391093710291</v>
      </c>
      <c r="D14">
        <f t="shared" si="1"/>
        <v>6.4133936030132677E-3</v>
      </c>
      <c r="E14">
        <f t="shared" si="2"/>
        <v>4.1131617507171505E-5</v>
      </c>
    </row>
    <row r="15" spans="1:8" x14ac:dyDescent="0.25">
      <c r="A15">
        <v>1.9847605491625</v>
      </c>
      <c r="B15">
        <v>0.16215546852944554</v>
      </c>
      <c r="C15">
        <f t="shared" si="0"/>
        <v>0.15577254971402099</v>
      </c>
      <c r="D15">
        <f t="shared" si="1"/>
        <v>6.3829188154245486E-3</v>
      </c>
      <c r="E15">
        <f t="shared" si="2"/>
        <v>4.074165260430072E-5</v>
      </c>
    </row>
    <row r="16" spans="1:8" x14ac:dyDescent="0.25">
      <c r="A16">
        <v>2.1216137075875001</v>
      </c>
      <c r="B16">
        <v>0.14469963905602082</v>
      </c>
      <c r="C16">
        <f t="shared" si="0"/>
        <v>0.13186652603998456</v>
      </c>
      <c r="D16">
        <f t="shared" si="1"/>
        <v>1.2833113016036263E-2</v>
      </c>
      <c r="E16">
        <f t="shared" si="2"/>
        <v>1.6468878968235935E-4</v>
      </c>
    </row>
    <row r="17" spans="1:5" x14ac:dyDescent="0.25">
      <c r="A17">
        <v>2.2584668660124998</v>
      </c>
      <c r="B17">
        <v>0.11162543584321605</v>
      </c>
      <c r="C17">
        <f t="shared" si="0"/>
        <v>0.11122998093931662</v>
      </c>
      <c r="D17">
        <f t="shared" si="1"/>
        <v>3.9545490389943094E-4</v>
      </c>
      <c r="E17">
        <f t="shared" si="2"/>
        <v>1.5638458101810816E-7</v>
      </c>
    </row>
    <row r="18" spans="1:5" x14ac:dyDescent="0.25">
      <c r="A18">
        <v>2.3953200244374999</v>
      </c>
      <c r="B18">
        <v>9.9222609638414269E-2</v>
      </c>
      <c r="C18">
        <f t="shared" si="0"/>
        <v>9.3509373069771792E-2</v>
      </c>
      <c r="D18">
        <f t="shared" si="1"/>
        <v>5.7132365686424769E-3</v>
      </c>
      <c r="E18">
        <f t="shared" si="2"/>
        <v>3.2641072089273666E-5</v>
      </c>
    </row>
    <row r="19" spans="1:5" x14ac:dyDescent="0.25">
      <c r="A19">
        <v>2.5321731828624996</v>
      </c>
      <c r="B19">
        <v>9.0494694901701908E-2</v>
      </c>
      <c r="C19">
        <f t="shared" si="0"/>
        <v>7.8365188521564919E-2</v>
      </c>
      <c r="D19">
        <f t="shared" si="1"/>
        <v>1.212950638013699E-2</v>
      </c>
      <c r="E19">
        <f t="shared" si="2"/>
        <v>1.4712492502578394E-4</v>
      </c>
    </row>
    <row r="20" spans="1:5" x14ac:dyDescent="0.25">
      <c r="A20">
        <v>2.6690263412874997</v>
      </c>
      <c r="B20">
        <v>7.6254412962855414E-2</v>
      </c>
      <c r="C20">
        <f t="shared" si="0"/>
        <v>6.5479253081661623E-2</v>
      </c>
      <c r="D20">
        <f t="shared" si="1"/>
        <v>1.0775159881193791E-2</v>
      </c>
      <c r="E20">
        <f t="shared" si="2"/>
        <v>1.161040704652882E-4</v>
      </c>
    </row>
    <row r="21" spans="1:5" x14ac:dyDescent="0.25">
      <c r="A21">
        <v>2.8058794997124998</v>
      </c>
      <c r="B21">
        <v>6.4770314625075986E-2</v>
      </c>
      <c r="C21">
        <f t="shared" si="0"/>
        <v>5.4558874204200171E-2</v>
      </c>
      <c r="D21">
        <f t="shared" si="1"/>
        <v>1.0211440420875816E-2</v>
      </c>
      <c r="E21">
        <f t="shared" si="2"/>
        <v>1.0427351546909645E-4</v>
      </c>
    </row>
    <row r="22" spans="1:5" x14ac:dyDescent="0.25">
      <c r="A22">
        <v>2.9427326581375004</v>
      </c>
      <c r="B22">
        <v>5.3745580220807727E-2</v>
      </c>
      <c r="C22">
        <f t="shared" si="0"/>
        <v>4.5338725714207023E-2</v>
      </c>
      <c r="D22">
        <f t="shared" si="1"/>
        <v>8.4068545066007042E-3</v>
      </c>
      <c r="E22">
        <f t="shared" si="2"/>
        <v>7.067520269515257E-5</v>
      </c>
    </row>
    <row r="23" spans="1:5" x14ac:dyDescent="0.25">
      <c r="A23">
        <v>3.0795858165625001</v>
      </c>
      <c r="B23">
        <v>5.3286216287296552E-2</v>
      </c>
      <c r="C23">
        <f t="shared" si="0"/>
        <v>3.7581156624720467E-2</v>
      </c>
      <c r="D23">
        <f t="shared" si="1"/>
        <v>1.5705059662576085E-2</v>
      </c>
      <c r="E23">
        <f t="shared" si="2"/>
        <v>2.4664889900507446E-4</v>
      </c>
    </row>
    <row r="24" spans="1:5" x14ac:dyDescent="0.25">
      <c r="A24">
        <v>3.2164389749874998</v>
      </c>
      <c r="B24">
        <v>3.5371022880360641E-2</v>
      </c>
      <c r="C24">
        <f t="shared" si="0"/>
        <v>3.1075431901510624E-2</v>
      </c>
      <c r="D24">
        <f t="shared" si="1"/>
        <v>4.2955909788500168E-3</v>
      </c>
      <c r="E24">
        <f t="shared" si="2"/>
        <v>1.8452101857577645E-5</v>
      </c>
    </row>
    <row r="25" spans="1:5" x14ac:dyDescent="0.25">
      <c r="A25">
        <v>3.3532921334124994</v>
      </c>
      <c r="B25">
        <v>2.7102472077159455E-2</v>
      </c>
      <c r="C25">
        <f t="shared" si="0"/>
        <v>2.5636281664971269E-2</v>
      </c>
      <c r="D25">
        <f t="shared" si="1"/>
        <v>1.4661904121881855E-3</v>
      </c>
      <c r="E25">
        <f t="shared" si="2"/>
        <v>2.1497143247925613E-6</v>
      </c>
    </row>
    <row r="26" spans="1:5" x14ac:dyDescent="0.25">
      <c r="A26">
        <v>3.4901452918375</v>
      </c>
      <c r="B26">
        <v>2.2968196675558859E-2</v>
      </c>
      <c r="C26">
        <f t="shared" si="0"/>
        <v>2.1102035377804505E-2</v>
      </c>
      <c r="D26">
        <f t="shared" si="1"/>
        <v>1.866161297754354E-3</v>
      </c>
      <c r="E26">
        <f t="shared" si="2"/>
        <v>3.4825579892362149E-6</v>
      </c>
    </row>
    <row r="27" spans="1:5" x14ac:dyDescent="0.25">
      <c r="A27">
        <v>3.6269984502625001</v>
      </c>
      <c r="B27">
        <v>1.8833921273958266E-2</v>
      </c>
      <c r="C27">
        <f t="shared" si="0"/>
        <v>1.7332541408151905E-2</v>
      </c>
      <c r="D27">
        <f t="shared" si="1"/>
        <v>1.5013798658063612E-3</v>
      </c>
      <c r="E27">
        <f t="shared" si="2"/>
        <v>2.2541415014487274E-6</v>
      </c>
    </row>
    <row r="28" spans="1:5" x14ac:dyDescent="0.25">
      <c r="A28">
        <v>3.7638516086875002</v>
      </c>
      <c r="B28">
        <v>1.5618373739380024E-2</v>
      </c>
      <c r="C28">
        <f t="shared" si="0"/>
        <v>1.4207014424037151E-2</v>
      </c>
      <c r="D28">
        <f t="shared" si="1"/>
        <v>1.4113593153428725E-3</v>
      </c>
      <c r="E28">
        <f t="shared" si="2"/>
        <v>1.9919351170051018E-6</v>
      </c>
    </row>
    <row r="29" spans="1:5" x14ac:dyDescent="0.25">
      <c r="A29">
        <v>3.9007047671124995</v>
      </c>
      <c r="B29">
        <v>1.2402826204801784E-2</v>
      </c>
      <c r="C29">
        <f t="shared" si="0"/>
        <v>1.1621909209297869E-2</v>
      </c>
      <c r="D29">
        <f t="shared" si="1"/>
        <v>7.8091699550391497E-4</v>
      </c>
      <c r="E29">
        <f t="shared" si="2"/>
        <v>6.0983135386686155E-7</v>
      </c>
    </row>
    <row r="30" spans="1:5" x14ac:dyDescent="0.25">
      <c r="A30">
        <v>4.0375579255374996</v>
      </c>
      <c r="B30">
        <v>9.6466426037347206E-3</v>
      </c>
      <c r="C30">
        <f t="shared" si="0"/>
        <v>9.4888865225734483E-3</v>
      </c>
      <c r="D30">
        <f t="shared" si="1"/>
        <v>1.5775608116127236E-4</v>
      </c>
      <c r="E30">
        <f t="shared" si="2"/>
        <v>2.4886981143361955E-8</v>
      </c>
    </row>
    <row r="31" spans="1:5" x14ac:dyDescent="0.25">
      <c r="A31">
        <v>4.1744110839625002</v>
      </c>
      <c r="B31">
        <v>1.0106006537245898E-2</v>
      </c>
      <c r="C31">
        <f t="shared" si="0"/>
        <v>7.7329120968024495E-3</v>
      </c>
      <c r="D31">
        <f t="shared" si="1"/>
        <v>2.3730944404434483E-3</v>
      </c>
      <c r="E31">
        <f t="shared" si="2"/>
        <v>5.6315772232636031E-6</v>
      </c>
    </row>
    <row r="32" spans="1:5" x14ac:dyDescent="0.25">
      <c r="A32">
        <v>4.3112642423874998</v>
      </c>
      <c r="B32">
        <v>4.5936393351117717E-3</v>
      </c>
      <c r="C32">
        <f t="shared" si="0"/>
        <v>6.2905118828051991E-3</v>
      </c>
      <c r="D32">
        <f t="shared" si="1"/>
        <v>-1.6968725476934274E-3</v>
      </c>
      <c r="E32">
        <f t="shared" si="2"/>
        <v>2.8793764431155828E-6</v>
      </c>
    </row>
    <row r="33" spans="1:5" x14ac:dyDescent="0.25">
      <c r="A33">
        <v>4.4481174008124995</v>
      </c>
      <c r="B33">
        <v>3.6749114680894174E-3</v>
      </c>
      <c r="C33">
        <f t="shared" si="0"/>
        <v>5.108193674926602E-3</v>
      </c>
      <c r="D33">
        <f t="shared" si="1"/>
        <v>-1.4332822068371847E-3</v>
      </c>
      <c r="E33">
        <f t="shared" si="2"/>
        <v>2.0542978844360703E-6</v>
      </c>
    </row>
    <row r="34" spans="1:5" x14ac:dyDescent="0.25">
      <c r="A34">
        <v>4.5849705592374992</v>
      </c>
      <c r="B34">
        <v>4.5936393351117717E-3</v>
      </c>
      <c r="C34">
        <f t="shared" si="0"/>
        <v>4.1410361384199195E-3</v>
      </c>
      <c r="D34">
        <f t="shared" si="1"/>
        <v>4.5260319669185225E-4</v>
      </c>
      <c r="E34">
        <f t="shared" si="2"/>
        <v>2.0484965365568349E-7</v>
      </c>
    </row>
    <row r="35" spans="1:5" x14ac:dyDescent="0.25">
      <c r="A35">
        <v>4.7218237176624998</v>
      </c>
      <c r="B35">
        <v>2.2968196675558859E-3</v>
      </c>
      <c r="C35">
        <f t="shared" si="0"/>
        <v>3.3514400590017391E-3</v>
      </c>
      <c r="D35">
        <f t="shared" si="1"/>
        <v>-1.0546203914458532E-3</v>
      </c>
      <c r="E35">
        <f t="shared" si="2"/>
        <v>1.1122241700534047E-6</v>
      </c>
    </row>
    <row r="36" spans="1:5" x14ac:dyDescent="0.25">
      <c r="A36">
        <v>4.8586768760875003</v>
      </c>
      <c r="B36">
        <v>4.5936393351117717E-4</v>
      </c>
      <c r="C36">
        <f t="shared" si="0"/>
        <v>2.7080326269450323E-3</v>
      </c>
      <c r="D36">
        <f t="shared" si="1"/>
        <v>-2.2486686934338551E-3</v>
      </c>
      <c r="E36">
        <f t="shared" si="2"/>
        <v>5.0565108928295213E-6</v>
      </c>
    </row>
    <row r="37" spans="1:5" x14ac:dyDescent="0.25">
      <c r="A37">
        <v>4.9955300345125</v>
      </c>
      <c r="B37">
        <v>9.1872786702235434E-4</v>
      </c>
      <c r="C37">
        <f t="shared" si="0"/>
        <v>2.1847131828309492E-3</v>
      </c>
      <c r="D37">
        <f t="shared" si="1"/>
        <v>-1.2659853158085948E-3</v>
      </c>
      <c r="E37">
        <f t="shared" si="2"/>
        <v>1.6027188198429876E-6</v>
      </c>
    </row>
    <row r="38" spans="1:5" x14ac:dyDescent="0.25">
      <c r="A38">
        <v>5.1323831929374997</v>
      </c>
      <c r="B38">
        <v>0</v>
      </c>
      <c r="C38">
        <f t="shared" si="0"/>
        <v>1.7598276483723084E-3</v>
      </c>
      <c r="D38">
        <f t="shared" si="1"/>
        <v>-1.7598276483723084E-3</v>
      </c>
      <c r="E38">
        <f t="shared" si="2"/>
        <v>3.096993351975609E-6</v>
      </c>
    </row>
    <row r="39" spans="1:5" x14ac:dyDescent="0.25">
      <c r="A39">
        <v>5.2692363513624993</v>
      </c>
      <c r="B39">
        <v>0</v>
      </c>
      <c r="C39">
        <f t="shared" si="0"/>
        <v>1.4154585034192038E-3</v>
      </c>
      <c r="D39">
        <f t="shared" si="1"/>
        <v>-1.4154585034192038E-3</v>
      </c>
      <c r="E39">
        <f t="shared" si="2"/>
        <v>2.003522774901732E-6</v>
      </c>
    </row>
    <row r="40" spans="1:5" x14ac:dyDescent="0.25">
      <c r="A40">
        <v>5.406089509787499</v>
      </c>
      <c r="B40">
        <v>1.3780918005335315E-3</v>
      </c>
      <c r="C40">
        <f t="shared" si="0"/>
        <v>1.1368173895174253E-3</v>
      </c>
      <c r="D40">
        <f t="shared" si="1"/>
        <v>2.4127441101610622E-4</v>
      </c>
      <c r="E40">
        <f t="shared" si="2"/>
        <v>5.8213341411168956E-8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79B0-C3EB-4BCB-AF6B-FC6A0EB6B84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6.7873075825000004E-2</v>
      </c>
      <c r="B1">
        <v>0.52960255760716213</v>
      </c>
      <c r="C1">
        <f>$H$3*(1+$H$1)*(A1^($H$1))*EXP(-$H$3*(A1^(1+$H$1)))</f>
        <v>0.52889441777202584</v>
      </c>
      <c r="D1">
        <f>B1-C1</f>
        <v>7.0813983513628997E-4</v>
      </c>
      <c r="E1">
        <f>D1^2</f>
        <v>5.0146202610685192E-7</v>
      </c>
      <c r="G1" t="s">
        <v>0</v>
      </c>
      <c r="H1">
        <v>0.28187078372454782</v>
      </c>
    </row>
    <row r="2" spans="1:8" x14ac:dyDescent="0.25">
      <c r="A2">
        <v>0.20132879147499999</v>
      </c>
      <c r="B2">
        <v>0.59698081893974586</v>
      </c>
      <c r="C2">
        <f t="shared" ref="C2:C40" si="0">$H$3*(1+$H$1)*(A2^($H$1))*EXP(-$H$3*(A2^(1+$H$1)))</f>
        <v>0.65847839298510491</v>
      </c>
      <c r="D2">
        <f t="shared" ref="D2:D40" si="1">B2-C2</f>
        <v>-6.1497574045359049E-2</v>
      </c>
      <c r="E2">
        <f t="shared" ref="E2:E40" si="2">D2^2</f>
        <v>3.781951613464419E-3</v>
      </c>
    </row>
    <row r="3" spans="1:8" x14ac:dyDescent="0.25">
      <c r="A3">
        <v>0.33478450712499996</v>
      </c>
      <c r="B3">
        <v>0.63561730445912956</v>
      </c>
      <c r="C3">
        <f t="shared" si="0"/>
        <v>0.68300853170405529</v>
      </c>
      <c r="D3">
        <f t="shared" si="1"/>
        <v>-4.7391227244925727E-2</v>
      </c>
      <c r="E3">
        <f t="shared" si="2"/>
        <v>2.2459284197801905E-3</v>
      </c>
      <c r="G3" t="s">
        <v>1</v>
      </c>
      <c r="H3">
        <f>(_xlfn.GAMMA((2+$H$1)/(1+$H$1)))^(1+$H$1)</f>
        <v>0.90646858768568139</v>
      </c>
    </row>
    <row r="4" spans="1:8" x14ac:dyDescent="0.25">
      <c r="A4">
        <v>0.46824022277499999</v>
      </c>
      <c r="B4">
        <v>0.81325090251775956</v>
      </c>
      <c r="C4">
        <f t="shared" si="0"/>
        <v>0.66599575919690124</v>
      </c>
      <c r="D4">
        <f t="shared" si="1"/>
        <v>0.14725514332085832</v>
      </c>
      <c r="E4">
        <f t="shared" si="2"/>
        <v>2.1684077234446524E-2</v>
      </c>
    </row>
    <row r="5" spans="1:8" x14ac:dyDescent="0.25">
      <c r="A5">
        <v>0.60169593842500002</v>
      </c>
      <c r="B5">
        <v>0.73833381474236925</v>
      </c>
      <c r="C5">
        <f t="shared" si="0"/>
        <v>0.62768122431867723</v>
      </c>
      <c r="D5">
        <f t="shared" si="1"/>
        <v>0.11065259042369202</v>
      </c>
      <c r="E5">
        <f t="shared" si="2"/>
        <v>1.2243995767473339E-2</v>
      </c>
      <c r="G5" t="s">
        <v>2</v>
      </c>
      <c r="H5">
        <f>SUM(E1:E40)</f>
        <v>5.348187954472982E-2</v>
      </c>
    </row>
    <row r="6" spans="1:8" x14ac:dyDescent="0.25">
      <c r="A6">
        <v>0.73515165407499994</v>
      </c>
      <c r="B6">
        <v>0.59038434580229016</v>
      </c>
      <c r="C6">
        <f t="shared" si="0"/>
        <v>0.57831432164073515</v>
      </c>
      <c r="D6">
        <f t="shared" si="1"/>
        <v>1.2070024161555004E-2</v>
      </c>
      <c r="E6">
        <f t="shared" si="2"/>
        <v>1.4568548326052158E-4</v>
      </c>
    </row>
    <row r="7" spans="1:8" x14ac:dyDescent="0.25">
      <c r="A7">
        <v>0.86860736972499997</v>
      </c>
      <c r="B7">
        <v>0.47164782932808652</v>
      </c>
      <c r="C7">
        <f t="shared" si="0"/>
        <v>0.52398149319765408</v>
      </c>
      <c r="D7">
        <f t="shared" si="1"/>
        <v>-5.2333663869567559E-2</v>
      </c>
      <c r="E7">
        <f t="shared" si="2"/>
        <v>2.7388123740128808E-3</v>
      </c>
    </row>
    <row r="8" spans="1:8" x14ac:dyDescent="0.25">
      <c r="A8">
        <v>1.0020630853750001</v>
      </c>
      <c r="B8">
        <v>0.41416427770168635</v>
      </c>
      <c r="C8">
        <f t="shared" si="0"/>
        <v>0.46852587199468121</v>
      </c>
      <c r="D8">
        <f t="shared" si="1"/>
        <v>-5.4361594292994864E-2</v>
      </c>
      <c r="E8">
        <f t="shared" si="2"/>
        <v>2.9551829340761717E-3</v>
      </c>
    </row>
    <row r="9" spans="1:8" x14ac:dyDescent="0.25">
      <c r="A9">
        <v>1.1355188010249999</v>
      </c>
      <c r="B9">
        <v>0.38542250188848631</v>
      </c>
      <c r="C9">
        <f t="shared" si="0"/>
        <v>0.41440608151954078</v>
      </c>
      <c r="D9">
        <f t="shared" si="1"/>
        <v>-2.8983579631054468E-2</v>
      </c>
      <c r="E9">
        <f t="shared" si="2"/>
        <v>8.4004788822967548E-4</v>
      </c>
    </row>
    <row r="10" spans="1:8" x14ac:dyDescent="0.25">
      <c r="A10">
        <v>1.2689745166749999</v>
      </c>
      <c r="B10">
        <v>0.32134247712463038</v>
      </c>
      <c r="C10">
        <f t="shared" si="0"/>
        <v>0.36316186297664316</v>
      </c>
      <c r="D10">
        <f t="shared" si="1"/>
        <v>-4.181938585201278E-2</v>
      </c>
      <c r="E10">
        <f t="shared" si="2"/>
        <v>1.7488610330395266E-3</v>
      </c>
    </row>
    <row r="11" spans="1:8" x14ac:dyDescent="0.25">
      <c r="A11">
        <v>1.402430232325</v>
      </c>
      <c r="B11">
        <v>0.27893657838384339</v>
      </c>
      <c r="C11">
        <f t="shared" si="0"/>
        <v>0.3157005538772672</v>
      </c>
      <c r="D11">
        <f t="shared" si="1"/>
        <v>-3.6763975493423806E-2</v>
      </c>
      <c r="E11">
        <f t="shared" si="2"/>
        <v>1.3515898940810662E-3</v>
      </c>
    </row>
    <row r="12" spans="1:8" x14ac:dyDescent="0.25">
      <c r="A12">
        <v>1.535885947975</v>
      </c>
      <c r="B12">
        <v>0.22380891002082029</v>
      </c>
      <c r="C12">
        <f t="shared" si="0"/>
        <v>0.27248831998645828</v>
      </c>
      <c r="D12">
        <f t="shared" si="1"/>
        <v>-4.8679409965637993E-2</v>
      </c>
      <c r="E12">
        <f t="shared" si="2"/>
        <v>2.3696849546026555E-3</v>
      </c>
    </row>
    <row r="13" spans="1:8" x14ac:dyDescent="0.25">
      <c r="A13">
        <v>1.669341663625</v>
      </c>
      <c r="B13">
        <v>0.2327612664216531</v>
      </c>
      <c r="C13">
        <f t="shared" si="0"/>
        <v>0.23368437513263848</v>
      </c>
      <c r="D13">
        <f t="shared" si="1"/>
        <v>-9.2310871098538749E-4</v>
      </c>
      <c r="E13">
        <f t="shared" si="2"/>
        <v>8.5212969229710368E-7</v>
      </c>
    </row>
    <row r="14" spans="1:8" x14ac:dyDescent="0.25">
      <c r="A14">
        <v>1.8027973792749998</v>
      </c>
      <c r="B14">
        <v>0.1870571311121382</v>
      </c>
      <c r="C14">
        <f t="shared" si="0"/>
        <v>0.19923791027244284</v>
      </c>
      <c r="D14">
        <f t="shared" si="1"/>
        <v>-1.2180779160304633E-2</v>
      </c>
      <c r="E14">
        <f t="shared" si="2"/>
        <v>1.4837138095211166E-4</v>
      </c>
    </row>
    <row r="15" spans="1:8" x14ac:dyDescent="0.25">
      <c r="A15">
        <v>1.9362530949249999</v>
      </c>
      <c r="B15">
        <v>0.16161359186766602</v>
      </c>
      <c r="C15">
        <f t="shared" si="0"/>
        <v>0.16895904658252719</v>
      </c>
      <c r="D15">
        <f t="shared" si="1"/>
        <v>-7.3454547148611715E-3</v>
      </c>
      <c r="E15">
        <f t="shared" si="2"/>
        <v>5.3955704968076212E-5</v>
      </c>
    </row>
    <row r="16" spans="1:8" x14ac:dyDescent="0.25">
      <c r="A16">
        <v>2.0697088105749999</v>
      </c>
      <c r="B16">
        <v>0.1564306486882365</v>
      </c>
      <c r="C16">
        <f t="shared" si="0"/>
        <v>0.14257091987632264</v>
      </c>
      <c r="D16">
        <f t="shared" si="1"/>
        <v>1.3859728811913857E-2</v>
      </c>
      <c r="E16">
        <f t="shared" si="2"/>
        <v>1.9209208273979509E-4</v>
      </c>
    </row>
    <row r="17" spans="1:5" x14ac:dyDescent="0.25">
      <c r="A17">
        <v>2.2031645262249997</v>
      </c>
      <c r="B17">
        <v>0.11355357329477407</v>
      </c>
      <c r="C17">
        <f t="shared" si="0"/>
        <v>0.11974770140896689</v>
      </c>
      <c r="D17">
        <f t="shared" si="1"/>
        <v>-6.1941281141928151E-3</v>
      </c>
      <c r="E17">
        <f t="shared" si="2"/>
        <v>3.8367223095033841E-5</v>
      </c>
    </row>
    <row r="18" spans="1:5" x14ac:dyDescent="0.25">
      <c r="A18">
        <v>2.3366202418749999</v>
      </c>
      <c r="B18">
        <v>0.10695710015731832</v>
      </c>
      <c r="C18">
        <f t="shared" si="0"/>
        <v>0.10014199008053985</v>
      </c>
      <c r="D18">
        <f t="shared" si="1"/>
        <v>6.8151100767784717E-3</v>
      </c>
      <c r="E18">
        <f t="shared" si="2"/>
        <v>4.6445725358607468E-5</v>
      </c>
    </row>
    <row r="19" spans="1:5" x14ac:dyDescent="0.25">
      <c r="A19">
        <v>2.4700759575250002</v>
      </c>
      <c r="B19">
        <v>9.659121379845928E-2</v>
      </c>
      <c r="C19">
        <f t="shared" si="0"/>
        <v>8.3404130085193262E-2</v>
      </c>
      <c r="D19">
        <f t="shared" si="1"/>
        <v>1.3187083713266018E-2</v>
      </c>
      <c r="E19">
        <f t="shared" si="2"/>
        <v>1.7389917686068586E-4</v>
      </c>
    </row>
    <row r="20" spans="1:5" x14ac:dyDescent="0.25">
      <c r="A20">
        <v>2.6035316731749996</v>
      </c>
      <c r="B20">
        <v>7.5859441080741191E-2</v>
      </c>
      <c r="C20">
        <f t="shared" si="0"/>
        <v>6.919540207654129E-2</v>
      </c>
      <c r="D20">
        <f t="shared" si="1"/>
        <v>6.6640390041999009E-3</v>
      </c>
      <c r="E20">
        <f t="shared" si="2"/>
        <v>4.4409415849497606E-5</v>
      </c>
    </row>
    <row r="21" spans="1:5" x14ac:dyDescent="0.25">
      <c r="A21">
        <v>2.7369873888249998</v>
      </c>
      <c r="B21">
        <v>6.2666494805829684E-2</v>
      </c>
      <c r="C21">
        <f t="shared" si="0"/>
        <v>5.7196595845344173E-2</v>
      </c>
      <c r="D21">
        <f t="shared" si="1"/>
        <v>5.4698989604855114E-3</v>
      </c>
      <c r="E21">
        <f t="shared" si="2"/>
        <v>2.9919794637920477E-5</v>
      </c>
    </row>
    <row r="22" spans="1:5" x14ac:dyDescent="0.25">
      <c r="A22">
        <v>2.8704431044750001</v>
      </c>
      <c r="B22">
        <v>6.3608848111180505E-2</v>
      </c>
      <c r="C22">
        <f t="shared" si="0"/>
        <v>4.711313982843169E-2</v>
      </c>
      <c r="D22">
        <f t="shared" si="1"/>
        <v>1.6495708282748815E-2</v>
      </c>
      <c r="E22">
        <f t="shared" si="2"/>
        <v>2.7210839174954786E-4</v>
      </c>
    </row>
    <row r="23" spans="1:5" x14ac:dyDescent="0.25">
      <c r="A23">
        <v>3.0038988201249999</v>
      </c>
      <c r="B23">
        <v>5.2771785099646043E-2</v>
      </c>
      <c r="C23">
        <f t="shared" si="0"/>
        <v>3.8677704360356516E-2</v>
      </c>
      <c r="D23">
        <f t="shared" si="1"/>
        <v>1.4094080739289527E-2</v>
      </c>
      <c r="E23">
        <f t="shared" si="2"/>
        <v>1.9864311188561202E-4</v>
      </c>
    </row>
    <row r="24" spans="1:5" x14ac:dyDescent="0.25">
      <c r="A24">
        <v>3.1373545357749997</v>
      </c>
      <c r="B24">
        <v>4.0521192130085357E-2</v>
      </c>
      <c r="C24">
        <f t="shared" si="0"/>
        <v>3.1650991523260182E-2</v>
      </c>
      <c r="D24">
        <f t="shared" si="1"/>
        <v>8.8702006068251751E-3</v>
      </c>
      <c r="E24">
        <f t="shared" si="2"/>
        <v>7.8680458805321709E-5</v>
      </c>
    </row>
    <row r="25" spans="1:5" x14ac:dyDescent="0.25">
      <c r="A25">
        <v>3.2708102514249999</v>
      </c>
      <c r="B25">
        <v>2.9684129118550898E-2</v>
      </c>
      <c r="C25">
        <f t="shared" si="0"/>
        <v>2.5821261956463892E-2</v>
      </c>
      <c r="D25">
        <f t="shared" si="1"/>
        <v>3.862867162087006E-3</v>
      </c>
      <c r="E25">
        <f t="shared" si="2"/>
        <v>1.492174271193012E-5</v>
      </c>
    </row>
    <row r="26" spans="1:5" x14ac:dyDescent="0.25">
      <c r="A26">
        <v>3.4042659670750002</v>
      </c>
      <c r="B26">
        <v>2.2145302675744324E-2</v>
      </c>
      <c r="C26">
        <f t="shared" si="0"/>
        <v>2.1003019270711389E-2</v>
      </c>
      <c r="D26">
        <f t="shared" si="1"/>
        <v>1.1422834050329352E-3</v>
      </c>
      <c r="E26">
        <f t="shared" si="2"/>
        <v>1.3048113774136365E-6</v>
      </c>
    </row>
    <row r="27" spans="1:5" x14ac:dyDescent="0.25">
      <c r="A27">
        <v>3.537721682725</v>
      </c>
      <c r="B27">
        <v>2.2616479328419734E-2</v>
      </c>
      <c r="C27">
        <f t="shared" si="0"/>
        <v>1.7035169350303758E-2</v>
      </c>
      <c r="D27">
        <f t="shared" si="1"/>
        <v>5.5813099781159767E-3</v>
      </c>
      <c r="E27">
        <f t="shared" si="2"/>
        <v>3.1151021071816967E-5</v>
      </c>
    </row>
    <row r="28" spans="1:5" x14ac:dyDescent="0.25">
      <c r="A28">
        <v>3.6711773983749998</v>
      </c>
      <c r="B28">
        <v>1.4606476232937744E-2</v>
      </c>
      <c r="C28">
        <f t="shared" si="0"/>
        <v>1.3778889876535923E-2</v>
      </c>
      <c r="D28">
        <f t="shared" si="1"/>
        <v>8.275863564018212E-4</v>
      </c>
      <c r="E28">
        <f t="shared" si="2"/>
        <v>6.848991773024422E-7</v>
      </c>
    </row>
    <row r="29" spans="1:5" x14ac:dyDescent="0.25">
      <c r="A29">
        <v>3.804633114025</v>
      </c>
      <c r="B29">
        <v>1.6491182843639388E-2</v>
      </c>
      <c r="C29">
        <f t="shared" si="0"/>
        <v>1.1115380918193654E-2</v>
      </c>
      <c r="D29">
        <f t="shared" si="1"/>
        <v>5.3758019254457334E-3</v>
      </c>
      <c r="E29">
        <f t="shared" si="2"/>
        <v>2.8899246341626055E-5</v>
      </c>
    </row>
    <row r="30" spans="1:5" x14ac:dyDescent="0.25">
      <c r="A30">
        <v>3.9380888296749998</v>
      </c>
      <c r="B30">
        <v>6.125296484780344E-3</v>
      </c>
      <c r="C30">
        <f t="shared" si="0"/>
        <v>8.9436171764250595E-3</v>
      </c>
      <c r="D30">
        <f t="shared" si="1"/>
        <v>-2.8183206916447155E-3</v>
      </c>
      <c r="E30">
        <f t="shared" si="2"/>
        <v>7.9429315209527467E-6</v>
      </c>
    </row>
    <row r="31" spans="1:5" x14ac:dyDescent="0.25">
      <c r="A31">
        <v>4.0715445453250005</v>
      </c>
      <c r="B31">
        <v>9.8947097061836339E-3</v>
      </c>
      <c r="C31">
        <f t="shared" si="0"/>
        <v>7.1781837603791141E-3</v>
      </c>
      <c r="D31">
        <f t="shared" si="1"/>
        <v>2.7165259458045198E-3</v>
      </c>
      <c r="E31">
        <f t="shared" si="2"/>
        <v>7.3795132142291412E-6</v>
      </c>
    </row>
    <row r="32" spans="1:5" x14ac:dyDescent="0.25">
      <c r="A32">
        <v>4.2050002609749999</v>
      </c>
      <c r="B32">
        <v>5.6541198321049336E-3</v>
      </c>
      <c r="C32">
        <f t="shared" si="0"/>
        <v>5.747247970463101E-3</v>
      </c>
      <c r="D32">
        <f t="shared" si="1"/>
        <v>-9.3128138358167419E-5</v>
      </c>
      <c r="E32">
        <f t="shared" si="2"/>
        <v>8.6728501540579731E-9</v>
      </c>
    </row>
    <row r="33" spans="1:5" x14ac:dyDescent="0.25">
      <c r="A33">
        <v>4.3384559766250002</v>
      </c>
      <c r="B33">
        <v>4.7117665267541109E-3</v>
      </c>
      <c r="C33">
        <f t="shared" si="0"/>
        <v>4.5906976135968195E-3</v>
      </c>
      <c r="D33">
        <f t="shared" si="1"/>
        <v>1.2106891315729132E-4</v>
      </c>
      <c r="E33">
        <f t="shared" si="2"/>
        <v>1.4657681733087746E-8</v>
      </c>
    </row>
    <row r="34" spans="1:5" x14ac:dyDescent="0.25">
      <c r="A34">
        <v>4.4719116922749995</v>
      </c>
      <c r="B34">
        <v>4.7117665267541109E-3</v>
      </c>
      <c r="C34">
        <f t="shared" si="0"/>
        <v>3.6584603211098745E-3</v>
      </c>
      <c r="D34">
        <f t="shared" si="1"/>
        <v>1.0533062056442364E-3</v>
      </c>
      <c r="E34">
        <f t="shared" si="2"/>
        <v>1.1094539628486584E-6</v>
      </c>
    </row>
    <row r="35" spans="1:5" x14ac:dyDescent="0.25">
      <c r="A35">
        <v>4.6053674079249998</v>
      </c>
      <c r="B35">
        <v>2.3558832633770554E-3</v>
      </c>
      <c r="C35">
        <f t="shared" si="0"/>
        <v>2.9090069070321503E-3</v>
      </c>
      <c r="D35">
        <f t="shared" si="1"/>
        <v>-5.5312364365509492E-4</v>
      </c>
      <c r="E35">
        <f t="shared" si="2"/>
        <v>3.059457651702884E-7</v>
      </c>
    </row>
    <row r="36" spans="1:5" x14ac:dyDescent="0.25">
      <c r="A36">
        <v>4.7388231235749991</v>
      </c>
      <c r="B36">
        <v>1.4135299580262334E-3</v>
      </c>
      <c r="C36">
        <f t="shared" si="0"/>
        <v>2.308033946033084E-3</v>
      </c>
      <c r="D36">
        <f t="shared" si="1"/>
        <v>-8.9450398800685065E-4</v>
      </c>
      <c r="E36">
        <f t="shared" si="2"/>
        <v>8.0013738456015999E-7</v>
      </c>
    </row>
    <row r="37" spans="1:5" x14ac:dyDescent="0.25">
      <c r="A37">
        <v>4.8722788392250003</v>
      </c>
      <c r="B37">
        <v>9.4235330535082226E-4</v>
      </c>
      <c r="C37">
        <f t="shared" si="0"/>
        <v>1.827315617001447E-3</v>
      </c>
      <c r="D37">
        <f t="shared" si="1"/>
        <v>-8.8496231165062478E-4</v>
      </c>
      <c r="E37">
        <f t="shared" si="2"/>
        <v>7.8315829304201758E-7</v>
      </c>
    </row>
    <row r="38" spans="1:5" x14ac:dyDescent="0.25">
      <c r="A38">
        <v>5.0057345548750005</v>
      </c>
      <c r="B38">
        <v>4.7117665267541113E-4</v>
      </c>
      <c r="C38">
        <f t="shared" si="0"/>
        <v>1.4437117679939198E-3</v>
      </c>
      <c r="D38">
        <f t="shared" si="1"/>
        <v>-9.7253511531850871E-4</v>
      </c>
      <c r="E38">
        <f t="shared" si="2"/>
        <v>9.4582455052758508E-7</v>
      </c>
    </row>
    <row r="39" spans="1:5" x14ac:dyDescent="0.25">
      <c r="A39">
        <v>5.1391902705249999</v>
      </c>
      <c r="B39">
        <v>0</v>
      </c>
      <c r="C39">
        <f t="shared" si="0"/>
        <v>1.1383175688455273E-3</v>
      </c>
      <c r="D39">
        <f t="shared" si="1"/>
        <v>-1.1383175688455273E-3</v>
      </c>
      <c r="E39">
        <f t="shared" si="2"/>
        <v>1.2957668875423918E-6</v>
      </c>
    </row>
    <row r="40" spans="1:5" x14ac:dyDescent="0.25">
      <c r="A40">
        <v>5.2726459861750001</v>
      </c>
      <c r="B40">
        <v>1.4135299580262334E-3</v>
      </c>
      <c r="C40">
        <f t="shared" si="0"/>
        <v>8.9573960335704119E-4</v>
      </c>
      <c r="D40">
        <f t="shared" si="1"/>
        <v>5.177903546691922E-4</v>
      </c>
      <c r="E40">
        <f t="shared" si="2"/>
        <v>2.6810685138844782E-7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39F5-746E-45BA-94ED-85C44C2DFDB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6.6938787987500012E-2</v>
      </c>
      <c r="B1">
        <v>0.48888022520616398</v>
      </c>
      <c r="C1">
        <f>$H$3*(1+$H$1)*(A1^($H$1))*EXP(-$H$3*(A1^(1+$H$1)))</f>
        <v>0.48312078785455526</v>
      </c>
      <c r="D1">
        <f>B1-C1</f>
        <v>5.7594373516087205E-3</v>
      </c>
      <c r="E1">
        <f>D1^2</f>
        <v>3.3171118607105675E-5</v>
      </c>
      <c r="G1" t="s">
        <v>0</v>
      </c>
      <c r="H1">
        <v>0.32264306988676672</v>
      </c>
    </row>
    <row r="2" spans="1:8" x14ac:dyDescent="0.25">
      <c r="A2">
        <v>0.1972968839625</v>
      </c>
      <c r="B2">
        <v>0.6132698683059572</v>
      </c>
      <c r="C2">
        <f t="shared" ref="C2:C40" si="0">$H$3*(1+$H$1)*(A2^($H$1))*EXP(-$H$3*(A2^(1+$H$1)))</f>
        <v>0.63229745192849363</v>
      </c>
      <c r="D2">
        <f t="shared" ref="D2:D40" si="1">B2-C2</f>
        <v>-1.9027583622536426E-2</v>
      </c>
      <c r="E2">
        <f t="shared" ref="E2:E40" si="2">D2^2</f>
        <v>3.6204893851261643E-4</v>
      </c>
    </row>
    <row r="3" spans="1:8" x14ac:dyDescent="0.25">
      <c r="A3">
        <v>0.32765497993750003</v>
      </c>
      <c r="B3">
        <v>0.60844856430984118</v>
      </c>
      <c r="C3">
        <f t="shared" si="0"/>
        <v>0.67377349077149384</v>
      </c>
      <c r="D3">
        <f t="shared" si="1"/>
        <v>-6.5324926461652666E-2</v>
      </c>
      <c r="E3">
        <f t="shared" si="2"/>
        <v>4.2673460172203284E-3</v>
      </c>
      <c r="G3" t="s">
        <v>1</v>
      </c>
      <c r="H3">
        <f>(_xlfn.GAMMA((2+$H$1)/(1+$H$1)))^(1+$H$1)</f>
        <v>0.89616578295887916</v>
      </c>
    </row>
    <row r="4" spans="1:8" x14ac:dyDescent="0.25">
      <c r="A4">
        <v>0.45801307591250001</v>
      </c>
      <c r="B4">
        <v>0.67064338585973771</v>
      </c>
      <c r="C4">
        <f t="shared" si="0"/>
        <v>0.66966328230680183</v>
      </c>
      <c r="D4">
        <f t="shared" si="1"/>
        <v>9.801035529358737E-4</v>
      </c>
      <c r="E4">
        <f t="shared" si="2"/>
        <v>9.6060297447752303E-7</v>
      </c>
    </row>
    <row r="5" spans="1:8" x14ac:dyDescent="0.25">
      <c r="A5">
        <v>0.58837117188749999</v>
      </c>
      <c r="B5">
        <v>0.80130072415448172</v>
      </c>
      <c r="C5">
        <f t="shared" si="0"/>
        <v>0.6405226176468185</v>
      </c>
      <c r="D5">
        <f t="shared" si="1"/>
        <v>0.16077810650766322</v>
      </c>
      <c r="E5">
        <f t="shared" si="2"/>
        <v>2.5849599532189498E-2</v>
      </c>
      <c r="G5" t="s">
        <v>2</v>
      </c>
      <c r="H5">
        <f>SUM(E1:E40)</f>
        <v>5.1406523790170341E-2</v>
      </c>
    </row>
    <row r="6" spans="1:8" x14ac:dyDescent="0.25">
      <c r="A6">
        <v>0.71872926786250002</v>
      </c>
      <c r="B6">
        <v>0.68992860184420179</v>
      </c>
      <c r="C6">
        <f t="shared" si="0"/>
        <v>0.59717015316491617</v>
      </c>
      <c r="D6">
        <f t="shared" si="1"/>
        <v>9.2758448679285621E-2</v>
      </c>
      <c r="E6">
        <f t="shared" si="2"/>
        <v>8.6041298013876649E-3</v>
      </c>
    </row>
    <row r="7" spans="1:8" x14ac:dyDescent="0.25">
      <c r="A7">
        <v>0.84908736383750005</v>
      </c>
      <c r="B7">
        <v>0.52070083158052971</v>
      </c>
      <c r="C7">
        <f t="shared" si="0"/>
        <v>0.54630306356461811</v>
      </c>
      <c r="D7">
        <f t="shared" si="1"/>
        <v>-2.5602231984088397E-2</v>
      </c>
      <c r="E7">
        <f t="shared" si="2"/>
        <v>6.5547428256707886E-4</v>
      </c>
    </row>
    <row r="8" spans="1:8" x14ac:dyDescent="0.25">
      <c r="A8">
        <v>0.97944545981249997</v>
      </c>
      <c r="B8">
        <v>0.45272044523529387</v>
      </c>
      <c r="C8">
        <f t="shared" si="0"/>
        <v>0.49234175475576586</v>
      </c>
      <c r="D8">
        <f t="shared" si="1"/>
        <v>-3.9621309520471992E-2</v>
      </c>
      <c r="E8">
        <f t="shared" si="2"/>
        <v>1.5698481681170446E-3</v>
      </c>
    </row>
    <row r="9" spans="1:8" x14ac:dyDescent="0.25">
      <c r="A9">
        <v>1.1098035557874999</v>
      </c>
      <c r="B9">
        <v>0.4045074052741337</v>
      </c>
      <c r="C9">
        <f t="shared" si="0"/>
        <v>0.43825628849348525</v>
      </c>
      <c r="D9">
        <f t="shared" si="1"/>
        <v>-3.3748883219351544E-2</v>
      </c>
      <c r="E9">
        <f t="shared" si="2"/>
        <v>1.1389871185534283E-3</v>
      </c>
    </row>
    <row r="10" spans="1:8" x14ac:dyDescent="0.25">
      <c r="A10">
        <v>1.2401616517625</v>
      </c>
      <c r="B10">
        <v>0.32977719333433547</v>
      </c>
      <c r="C10">
        <f t="shared" si="0"/>
        <v>0.3860196471915559</v>
      </c>
      <c r="D10">
        <f t="shared" si="1"/>
        <v>-5.6242453857220431E-2</v>
      </c>
      <c r="E10">
        <f t="shared" si="2"/>
        <v>3.1632136158815695E-3</v>
      </c>
    </row>
    <row r="11" spans="1:8" x14ac:dyDescent="0.25">
      <c r="A11">
        <v>1.3705197477375002</v>
      </c>
      <c r="B11">
        <v>0.29699232616074656</v>
      </c>
      <c r="C11">
        <f t="shared" si="0"/>
        <v>0.33689286875223906</v>
      </c>
      <c r="D11">
        <f t="shared" si="1"/>
        <v>-3.9900542591492505E-2</v>
      </c>
      <c r="E11">
        <f t="shared" si="2"/>
        <v>1.5920532990955074E-3</v>
      </c>
    </row>
    <row r="12" spans="1:8" x14ac:dyDescent="0.25">
      <c r="A12">
        <v>1.5008778437125001</v>
      </c>
      <c r="B12">
        <v>0.24202946060502398</v>
      </c>
      <c r="C12">
        <f t="shared" si="0"/>
        <v>0.29162115710885772</v>
      </c>
      <c r="D12">
        <f t="shared" si="1"/>
        <v>-4.9591696503833743E-2</v>
      </c>
      <c r="E12">
        <f t="shared" si="2"/>
        <v>2.4593363621283558E-3</v>
      </c>
    </row>
    <row r="13" spans="1:8" x14ac:dyDescent="0.25">
      <c r="A13">
        <v>1.6312359396875</v>
      </c>
      <c r="B13">
        <v>0.22901193981551074</v>
      </c>
      <c r="C13">
        <f t="shared" si="0"/>
        <v>0.25057627655544501</v>
      </c>
      <c r="D13">
        <f t="shared" si="1"/>
        <v>-2.156433673993427E-2</v>
      </c>
      <c r="E13">
        <f t="shared" si="2"/>
        <v>4.6502061903327897E-4</v>
      </c>
    </row>
    <row r="14" spans="1:8" x14ac:dyDescent="0.25">
      <c r="A14">
        <v>1.7615940356625002</v>
      </c>
      <c r="B14">
        <v>0.19960198543920304</v>
      </c>
      <c r="C14">
        <f t="shared" si="0"/>
        <v>0.21386307890216802</v>
      </c>
      <c r="D14">
        <f t="shared" si="1"/>
        <v>-1.4261093462964974E-2</v>
      </c>
      <c r="E14">
        <f t="shared" si="2"/>
        <v>2.0337878675942233E-4</v>
      </c>
    </row>
    <row r="15" spans="1:8" x14ac:dyDescent="0.25">
      <c r="A15">
        <v>1.8919521316375001</v>
      </c>
      <c r="B15">
        <v>0.16778137906483734</v>
      </c>
      <c r="C15">
        <f t="shared" si="0"/>
        <v>0.18140028188518489</v>
      </c>
      <c r="D15">
        <f t="shared" si="1"/>
        <v>-1.3618902820347556E-2</v>
      </c>
      <c r="E15">
        <f t="shared" si="2"/>
        <v>1.854745140300706E-4</v>
      </c>
    </row>
    <row r="16" spans="1:8" x14ac:dyDescent="0.25">
      <c r="A16">
        <v>2.0223102276125005</v>
      </c>
      <c r="B16">
        <v>0.16054942307066331</v>
      </c>
      <c r="C16">
        <f t="shared" si="0"/>
        <v>0.1529818696676849</v>
      </c>
      <c r="D16">
        <f t="shared" si="1"/>
        <v>7.5675534029784053E-3</v>
      </c>
      <c r="E16">
        <f t="shared" si="2"/>
        <v>5.7267864506930045E-5</v>
      </c>
    </row>
    <row r="17" spans="1:5" x14ac:dyDescent="0.25">
      <c r="A17">
        <v>2.1526683235875002</v>
      </c>
      <c r="B17">
        <v>0.12294325190095839</v>
      </c>
      <c r="C17">
        <f t="shared" si="0"/>
        <v>0.12832350259946712</v>
      </c>
      <c r="D17">
        <f t="shared" si="1"/>
        <v>-5.3802506985087262E-3</v>
      </c>
      <c r="E17">
        <f t="shared" si="2"/>
        <v>2.8947097578803635E-5</v>
      </c>
    </row>
    <row r="18" spans="1:5" x14ac:dyDescent="0.25">
      <c r="A18">
        <v>2.2830264195624999</v>
      </c>
      <c r="B18">
        <v>0.11330064390872636</v>
      </c>
      <c r="C18">
        <f t="shared" si="0"/>
        <v>0.10709717254978822</v>
      </c>
      <c r="D18">
        <f t="shared" si="1"/>
        <v>6.2034713589381452E-3</v>
      </c>
      <c r="E18">
        <f t="shared" si="2"/>
        <v>3.8483056901165878E-5</v>
      </c>
    </row>
    <row r="19" spans="1:5" x14ac:dyDescent="0.25">
      <c r="A19">
        <v>2.4133845155375004</v>
      </c>
      <c r="B19">
        <v>9.8836731920378312E-2</v>
      </c>
      <c r="C19">
        <f t="shared" si="0"/>
        <v>8.8956606235058619E-2</v>
      </c>
      <c r="D19">
        <f t="shared" si="1"/>
        <v>9.8801256853196934E-3</v>
      </c>
      <c r="E19">
        <f t="shared" si="2"/>
        <v>9.761688355771394E-5</v>
      </c>
    </row>
    <row r="20" spans="1:5" x14ac:dyDescent="0.25">
      <c r="A20">
        <v>2.5437426115125001</v>
      </c>
      <c r="B20">
        <v>7.8105124737079451E-2</v>
      </c>
      <c r="C20">
        <f t="shared" si="0"/>
        <v>7.3555407317633298E-2</v>
      </c>
      <c r="D20">
        <f t="shared" si="1"/>
        <v>4.5497174194461532E-3</v>
      </c>
      <c r="E20">
        <f t="shared" si="2"/>
        <v>2.0699928596811762E-5</v>
      </c>
    </row>
    <row r="21" spans="1:5" x14ac:dyDescent="0.25">
      <c r="A21">
        <v>2.6741007074874998</v>
      </c>
      <c r="B21">
        <v>7.0873168742905432E-2</v>
      </c>
      <c r="C21">
        <f t="shared" si="0"/>
        <v>6.055954407072088E-2</v>
      </c>
      <c r="D21">
        <f t="shared" si="1"/>
        <v>1.0313624672184551E-2</v>
      </c>
      <c r="E21">
        <f t="shared" si="2"/>
        <v>1.0637085387869389E-4</v>
      </c>
    </row>
    <row r="22" spans="1:5" x14ac:dyDescent="0.25">
      <c r="A22">
        <v>2.8044588034625004</v>
      </c>
      <c r="B22">
        <v>6.2676951949508203E-2</v>
      </c>
      <c r="C22">
        <f t="shared" si="0"/>
        <v>4.9655485632933268E-2</v>
      </c>
      <c r="D22">
        <f t="shared" si="1"/>
        <v>1.3021466316574935E-2</v>
      </c>
      <c r="E22">
        <f t="shared" si="2"/>
        <v>1.6955858503369561E-4</v>
      </c>
    </row>
    <row r="23" spans="1:5" x14ac:dyDescent="0.25">
      <c r="A23">
        <v>2.9348168994375001</v>
      </c>
      <c r="B23">
        <v>5.1587952758441365E-2</v>
      </c>
      <c r="C23">
        <f t="shared" si="0"/>
        <v>4.0555041622566443E-2</v>
      </c>
      <c r="D23">
        <f t="shared" si="1"/>
        <v>1.1032911135874922E-2</v>
      </c>
      <c r="E23">
        <f t="shared" si="2"/>
        <v>1.2172512813211286E-4</v>
      </c>
    </row>
    <row r="24" spans="1:5" x14ac:dyDescent="0.25">
      <c r="A24">
        <v>3.0651749954124998</v>
      </c>
      <c r="B24">
        <v>4.0498953567374527E-2</v>
      </c>
      <c r="C24">
        <f t="shared" si="0"/>
        <v>3.2997753606592968E-2</v>
      </c>
      <c r="D24">
        <f t="shared" si="1"/>
        <v>7.5011999607815585E-3</v>
      </c>
      <c r="E24">
        <f t="shared" si="2"/>
        <v>5.6268000851629257E-5</v>
      </c>
    </row>
    <row r="25" spans="1:5" x14ac:dyDescent="0.25">
      <c r="A25">
        <v>3.1955330913875</v>
      </c>
      <c r="B25">
        <v>3.5195519171646913E-2</v>
      </c>
      <c r="C25">
        <f t="shared" si="0"/>
        <v>2.6751514573487723E-2</v>
      </c>
      <c r="D25">
        <f t="shared" si="1"/>
        <v>8.4440045981591903E-3</v>
      </c>
      <c r="E25">
        <f t="shared" si="2"/>
        <v>7.1301213653733554E-5</v>
      </c>
    </row>
    <row r="26" spans="1:5" x14ac:dyDescent="0.25">
      <c r="A26">
        <v>3.3258911873625001</v>
      </c>
      <c r="B26">
        <v>2.4588650380191677E-2</v>
      </c>
      <c r="C26">
        <f t="shared" si="0"/>
        <v>2.1611948797840719E-2</v>
      </c>
      <c r="D26">
        <f t="shared" si="1"/>
        <v>2.9767015823509574E-3</v>
      </c>
      <c r="E26">
        <f t="shared" si="2"/>
        <v>8.8607523103706938E-6</v>
      </c>
    </row>
    <row r="27" spans="1:5" x14ac:dyDescent="0.25">
      <c r="A27">
        <v>3.4562492833375007</v>
      </c>
      <c r="B27">
        <v>2.4588650380191677E-2</v>
      </c>
      <c r="C27">
        <f t="shared" si="0"/>
        <v>1.7400965305336035E-2</v>
      </c>
      <c r="D27">
        <f t="shared" si="1"/>
        <v>7.1876850748556417E-3</v>
      </c>
      <c r="E27">
        <f t="shared" si="2"/>
        <v>5.1662816735302552E-5</v>
      </c>
    </row>
    <row r="28" spans="1:5" x14ac:dyDescent="0.25">
      <c r="A28">
        <v>3.5866073793125004</v>
      </c>
      <c r="B28">
        <v>1.6392433586794451E-2</v>
      </c>
      <c r="C28">
        <f t="shared" si="0"/>
        <v>1.3964800238159632E-2</v>
      </c>
      <c r="D28">
        <f t="shared" si="1"/>
        <v>2.4276333486348192E-3</v>
      </c>
      <c r="E28">
        <f t="shared" si="2"/>
        <v>5.8934036754039052E-6</v>
      </c>
    </row>
    <row r="29" spans="1:5" x14ac:dyDescent="0.25">
      <c r="A29">
        <v>3.7169654752875001</v>
      </c>
      <c r="B29">
        <v>1.3981781588736444E-2</v>
      </c>
      <c r="C29">
        <f t="shared" si="0"/>
        <v>1.1171783870680014E-2</v>
      </c>
      <c r="D29">
        <f t="shared" si="1"/>
        <v>2.8099977180564301E-3</v>
      </c>
      <c r="E29">
        <f t="shared" si="2"/>
        <v>7.8960871754823449E-6</v>
      </c>
    </row>
    <row r="30" spans="1:5" x14ac:dyDescent="0.25">
      <c r="A30">
        <v>3.8473235712625002</v>
      </c>
      <c r="B30">
        <v>9.1604775926204286E-3</v>
      </c>
      <c r="C30">
        <f t="shared" si="0"/>
        <v>8.9100041991457702E-3</v>
      </c>
      <c r="D30">
        <f t="shared" si="1"/>
        <v>2.5047339347465843E-4</v>
      </c>
      <c r="E30">
        <f t="shared" si="2"/>
        <v>6.2736920838711062E-8</v>
      </c>
    </row>
    <row r="31" spans="1:5" x14ac:dyDescent="0.25">
      <c r="A31">
        <v>3.9776816672375004</v>
      </c>
      <c r="B31">
        <v>9.1604775926204286E-3</v>
      </c>
      <c r="C31">
        <f t="shared" si="0"/>
        <v>7.0849885312849531E-3</v>
      </c>
      <c r="D31">
        <f t="shared" si="1"/>
        <v>2.0754890613354756E-3</v>
      </c>
      <c r="E31">
        <f t="shared" si="2"/>
        <v>4.3076548437232137E-6</v>
      </c>
    </row>
    <row r="32" spans="1:5" x14ac:dyDescent="0.25">
      <c r="A32">
        <v>4.1080397632125001</v>
      </c>
      <c r="B32">
        <v>6.2676951949508196E-3</v>
      </c>
      <c r="C32">
        <f t="shared" si="0"/>
        <v>5.6174851667466471E-3</v>
      </c>
      <c r="D32">
        <f t="shared" si="1"/>
        <v>6.5021002820417253E-4</v>
      </c>
      <c r="E32">
        <f t="shared" si="2"/>
        <v>4.2277308077727086E-7</v>
      </c>
    </row>
    <row r="33" spans="1:5" x14ac:dyDescent="0.25">
      <c r="A33">
        <v>4.2383978591875007</v>
      </c>
      <c r="B33">
        <v>4.3391735965044136E-3</v>
      </c>
      <c r="C33">
        <f t="shared" si="0"/>
        <v>4.4413971538952643E-3</v>
      </c>
      <c r="D33">
        <f t="shared" si="1"/>
        <v>-1.0222355739085073E-4</v>
      </c>
      <c r="E33">
        <f t="shared" si="2"/>
        <v>1.0449655685640554E-8</v>
      </c>
    </row>
    <row r="34" spans="1:5" x14ac:dyDescent="0.25">
      <c r="A34">
        <v>4.3687559551625004</v>
      </c>
      <c r="B34">
        <v>5.7855647953392181E-3</v>
      </c>
      <c r="C34">
        <f t="shared" si="0"/>
        <v>3.5018975311104897E-3</v>
      </c>
      <c r="D34">
        <f t="shared" si="1"/>
        <v>2.2836672642287284E-3</v>
      </c>
      <c r="E34">
        <f t="shared" si="2"/>
        <v>5.2151361737099247E-6</v>
      </c>
    </row>
    <row r="35" spans="1:5" x14ac:dyDescent="0.25">
      <c r="A35">
        <v>4.4991140511375001</v>
      </c>
      <c r="B35">
        <v>2.4106519980580075E-3</v>
      </c>
      <c r="C35">
        <f t="shared" si="0"/>
        <v>2.7537389368728358E-3</v>
      </c>
      <c r="D35">
        <f t="shared" si="1"/>
        <v>-3.4308693881482822E-4</v>
      </c>
      <c r="E35">
        <f t="shared" si="2"/>
        <v>1.1770864758532968E-7</v>
      </c>
    </row>
    <row r="36" spans="1:5" x14ac:dyDescent="0.25">
      <c r="A36">
        <v>4.6294721471124998</v>
      </c>
      <c r="B36">
        <v>1.928521598446406E-3</v>
      </c>
      <c r="C36">
        <f t="shared" si="0"/>
        <v>2.1597587440152226E-3</v>
      </c>
      <c r="D36">
        <f t="shared" si="1"/>
        <v>-2.3123714556881657E-4</v>
      </c>
      <c r="E36">
        <f t="shared" si="2"/>
        <v>5.3470617490814065E-8</v>
      </c>
    </row>
    <row r="37" spans="1:5" x14ac:dyDescent="0.25">
      <c r="A37">
        <v>4.7598302430875004</v>
      </c>
      <c r="B37">
        <v>9.6426079922320301E-4</v>
      </c>
      <c r="C37">
        <f t="shared" si="0"/>
        <v>1.6895728816667399E-3</v>
      </c>
      <c r="D37">
        <f t="shared" si="1"/>
        <v>-7.253120824435369E-4</v>
      </c>
      <c r="E37">
        <f t="shared" si="2"/>
        <v>5.260776169385801E-7</v>
      </c>
    </row>
    <row r="38" spans="1:5" x14ac:dyDescent="0.25">
      <c r="A38">
        <v>4.8901883390625001</v>
      </c>
      <c r="B38">
        <v>0</v>
      </c>
      <c r="C38">
        <f t="shared" si="0"/>
        <v>1.3184463775287589E-3</v>
      </c>
      <c r="D38">
        <f t="shared" si="1"/>
        <v>-1.3184463775287589E-3</v>
      </c>
      <c r="E38">
        <f t="shared" si="2"/>
        <v>1.7383008504187067E-6</v>
      </c>
    </row>
    <row r="39" spans="1:5" x14ac:dyDescent="0.25">
      <c r="A39">
        <v>5.0205464350375006</v>
      </c>
      <c r="B39">
        <v>0</v>
      </c>
      <c r="C39">
        <f t="shared" si="0"/>
        <v>1.0263256684772354E-3</v>
      </c>
      <c r="D39">
        <f t="shared" si="1"/>
        <v>-1.0263256684772354E-3</v>
      </c>
      <c r="E39">
        <f t="shared" si="2"/>
        <v>1.053344377775244E-6</v>
      </c>
    </row>
    <row r="40" spans="1:5" x14ac:dyDescent="0.25">
      <c r="A40">
        <v>5.1509045310125003</v>
      </c>
      <c r="B40">
        <v>1.4463911988348045E-3</v>
      </c>
      <c r="C40">
        <f t="shared" si="0"/>
        <v>7.970163147453731E-4</v>
      </c>
      <c r="D40">
        <f t="shared" si="1"/>
        <v>6.4937488408943142E-4</v>
      </c>
      <c r="E40">
        <f t="shared" si="2"/>
        <v>4.2168774008616249E-7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451D-EF6F-40C6-9005-2240AB0B001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6.4698868325000006E-2</v>
      </c>
      <c r="B1">
        <v>0.43136315017976179</v>
      </c>
      <c r="C1">
        <f>$H$3*(1+$H$1)*(A1^($H$1))*EXP(-$H$3*(A1^(1+$H$1)))</f>
        <v>0.44078631035480714</v>
      </c>
      <c r="D1">
        <f>B1-C1</f>
        <v>-9.4231601750453531E-3</v>
      </c>
      <c r="E1">
        <f>D1^2</f>
        <v>8.8795947684560769E-5</v>
      </c>
      <c r="G1" t="s">
        <v>0</v>
      </c>
      <c r="H1">
        <v>0.35997773216239187</v>
      </c>
    </row>
    <row r="2" spans="1:8" x14ac:dyDescent="0.25">
      <c r="A2">
        <v>0.19220237497500003</v>
      </c>
      <c r="B2">
        <v>0.63989642163809235</v>
      </c>
      <c r="C2">
        <f t="shared" ref="C2:C40" si="0">$H$3*(1+$H$1)*(A2^($H$1))*EXP(-$H$3*(A2^(1+$H$1)))</f>
        <v>0.60652455403267758</v>
      </c>
      <c r="D2">
        <f t="shared" ref="D2:D40" si="1">B2-C2</f>
        <v>3.3371867605414773E-2</v>
      </c>
      <c r="E2">
        <f t="shared" ref="E2:E40" si="2">D2^2</f>
        <v>1.1136815474733319E-3</v>
      </c>
    </row>
    <row r="3" spans="1:8" x14ac:dyDescent="0.25">
      <c r="A3">
        <v>0.31970588162500002</v>
      </c>
      <c r="B3">
        <v>0.60144347796492503</v>
      </c>
      <c r="C3">
        <f t="shared" si="0"/>
        <v>0.66311408457210019</v>
      </c>
      <c r="D3">
        <f t="shared" si="1"/>
        <v>-6.167060660717516E-2</v>
      </c>
      <c r="E3">
        <f t="shared" si="2"/>
        <v>3.8032637192969565E-3</v>
      </c>
      <c r="G3" t="s">
        <v>1</v>
      </c>
      <c r="H3">
        <f>(_xlfn.GAMMA((2+$H$1)/(1+$H$1)))^(1+$H$1)</f>
        <v>0.88726074873427108</v>
      </c>
    </row>
    <row r="4" spans="1:8" x14ac:dyDescent="0.25">
      <c r="A4">
        <v>0.44720938827500001</v>
      </c>
      <c r="B4">
        <v>0.63200863832051957</v>
      </c>
      <c r="C4">
        <f t="shared" si="0"/>
        <v>0.67110438394281346</v>
      </c>
      <c r="D4">
        <f t="shared" si="1"/>
        <v>-3.9095745622293898E-2</v>
      </c>
      <c r="E4">
        <f t="shared" si="2"/>
        <v>1.5284773257631125E-3</v>
      </c>
    </row>
    <row r="5" spans="1:8" x14ac:dyDescent="0.25">
      <c r="A5">
        <v>0.574712894925</v>
      </c>
      <c r="B5">
        <v>0.70102674234928142</v>
      </c>
      <c r="C5">
        <f t="shared" si="0"/>
        <v>0.65097900108654239</v>
      </c>
      <c r="D5">
        <f t="shared" si="1"/>
        <v>5.0047741262739032E-2</v>
      </c>
      <c r="E5">
        <f t="shared" si="2"/>
        <v>2.5047764055020709E-3</v>
      </c>
      <c r="G5" t="s">
        <v>2</v>
      </c>
      <c r="H5">
        <f>SUM(E1:E40)</f>
        <v>4.5088407806762675E-2</v>
      </c>
    </row>
    <row r="6" spans="1:8" x14ac:dyDescent="0.25">
      <c r="A6">
        <v>0.70221640157500009</v>
      </c>
      <c r="B6">
        <v>0.76314303597516719</v>
      </c>
      <c r="C6">
        <f t="shared" si="0"/>
        <v>0.61385021074641821</v>
      </c>
      <c r="D6">
        <f t="shared" si="1"/>
        <v>0.14929282522874898</v>
      </c>
      <c r="E6">
        <f t="shared" si="2"/>
        <v>2.2288347664781789E-2</v>
      </c>
    </row>
    <row r="7" spans="1:8" x14ac:dyDescent="0.25">
      <c r="A7">
        <v>0.82971990822499997</v>
      </c>
      <c r="B7">
        <v>0.60686632899575632</v>
      </c>
      <c r="C7">
        <f t="shared" si="0"/>
        <v>0.56683945416693116</v>
      </c>
      <c r="D7">
        <f t="shared" si="1"/>
        <v>4.0026874828825165E-2</v>
      </c>
      <c r="E7">
        <f t="shared" si="2"/>
        <v>1.6021507085624376E-3</v>
      </c>
    </row>
    <row r="8" spans="1:8" x14ac:dyDescent="0.25">
      <c r="A8">
        <v>0.95722341487500007</v>
      </c>
      <c r="B8">
        <v>0.49200048443360261</v>
      </c>
      <c r="C8">
        <f t="shared" si="0"/>
        <v>0.51482358138013729</v>
      </c>
      <c r="D8">
        <f t="shared" si="1"/>
        <v>-2.2823096946534671E-2</v>
      </c>
      <c r="E8">
        <f t="shared" si="2"/>
        <v>5.2089375423092026E-4</v>
      </c>
    </row>
    <row r="9" spans="1:8" x14ac:dyDescent="0.25">
      <c r="A9">
        <v>1.0847269215250002</v>
      </c>
      <c r="B9">
        <v>0.42889821789302029</v>
      </c>
      <c r="C9">
        <f t="shared" si="0"/>
        <v>0.46121063664493628</v>
      </c>
      <c r="D9">
        <f t="shared" si="1"/>
        <v>-3.2312418751915983E-2</v>
      </c>
      <c r="E9">
        <f t="shared" si="2"/>
        <v>1.0440924055991716E-3</v>
      </c>
    </row>
    <row r="10" spans="1:8" x14ac:dyDescent="0.25">
      <c r="A10">
        <v>1.2122304281750003</v>
      </c>
      <c r="B10">
        <v>0.37269776175531422</v>
      </c>
      <c r="C10">
        <f t="shared" si="0"/>
        <v>0.40836667292954243</v>
      </c>
      <c r="D10">
        <f t="shared" si="1"/>
        <v>-3.5668911174228213E-2</v>
      </c>
      <c r="E10">
        <f t="shared" si="2"/>
        <v>1.2722712243549822E-3</v>
      </c>
    </row>
    <row r="11" spans="1:8" x14ac:dyDescent="0.25">
      <c r="A11">
        <v>1.3397339348250001</v>
      </c>
      <c r="B11">
        <v>0.30072173898246252</v>
      </c>
      <c r="C11">
        <f t="shared" si="0"/>
        <v>0.35788876217012794</v>
      </c>
      <c r="D11">
        <f t="shared" si="1"/>
        <v>-5.7167023187665422E-2</v>
      </c>
      <c r="E11">
        <f t="shared" si="2"/>
        <v>3.2680685401390761E-3</v>
      </c>
    </row>
    <row r="12" spans="1:8" x14ac:dyDescent="0.25">
      <c r="A12">
        <v>1.467237441475</v>
      </c>
      <c r="B12">
        <v>0.25783191719316045</v>
      </c>
      <c r="C12">
        <f t="shared" si="0"/>
        <v>0.31079790005308794</v>
      </c>
      <c r="D12">
        <f t="shared" si="1"/>
        <v>-5.2965982859927485E-2</v>
      </c>
      <c r="E12">
        <f t="shared" si="2"/>
        <v>2.8053953403181322E-3</v>
      </c>
    </row>
    <row r="13" spans="1:8" x14ac:dyDescent="0.25">
      <c r="A13">
        <v>1.5947409481250001</v>
      </c>
      <c r="B13">
        <v>0.22480182455082443</v>
      </c>
      <c r="C13">
        <f t="shared" si="0"/>
        <v>0.26768368664706393</v>
      </c>
      <c r="D13">
        <f t="shared" si="1"/>
        <v>-4.2881862096239509E-2</v>
      </c>
      <c r="E13">
        <f t="shared" si="2"/>
        <v>1.8388540968409027E-3</v>
      </c>
    </row>
    <row r="14" spans="1:8" x14ac:dyDescent="0.25">
      <c r="A14">
        <v>1.722244454775</v>
      </c>
      <c r="B14">
        <v>0.21839300060529654</v>
      </c>
      <c r="C14">
        <f t="shared" si="0"/>
        <v>0.22881631842107145</v>
      </c>
      <c r="D14">
        <f t="shared" si="1"/>
        <v>-1.0423317815774907E-2</v>
      </c>
      <c r="E14">
        <f t="shared" si="2"/>
        <v>1.0864555428865058E-4</v>
      </c>
    </row>
    <row r="15" spans="1:8" x14ac:dyDescent="0.25">
      <c r="A15">
        <v>1.8497479614249999</v>
      </c>
      <c r="B15">
        <v>0.18339096213356731</v>
      </c>
      <c r="C15">
        <f t="shared" si="0"/>
        <v>0.19423442338059696</v>
      </c>
      <c r="D15">
        <f t="shared" si="1"/>
        <v>-1.0843461247029645E-2</v>
      </c>
      <c r="E15">
        <f t="shared" si="2"/>
        <v>1.1758065181583371E-4</v>
      </c>
    </row>
    <row r="16" spans="1:8" x14ac:dyDescent="0.25">
      <c r="A16">
        <v>1.977251468075</v>
      </c>
      <c r="B16">
        <v>0.15282580177797275</v>
      </c>
      <c r="C16">
        <f t="shared" si="0"/>
        <v>0.16381403677567435</v>
      </c>
      <c r="D16">
        <f t="shared" si="1"/>
        <v>-1.0988234997701601E-2</v>
      </c>
      <c r="E16">
        <f t="shared" si="2"/>
        <v>1.2074130836471431E-4</v>
      </c>
    </row>
    <row r="17" spans="1:5" x14ac:dyDescent="0.25">
      <c r="A17">
        <v>2.1047549747250001</v>
      </c>
      <c r="B17">
        <v>0.12571154662381628</v>
      </c>
      <c r="C17">
        <f t="shared" si="0"/>
        <v>0.13732240535862228</v>
      </c>
      <c r="D17">
        <f t="shared" si="1"/>
        <v>-1.1610858734805996E-2</v>
      </c>
      <c r="E17">
        <f t="shared" si="2"/>
        <v>1.3481204055962068E-4</v>
      </c>
    </row>
    <row r="18" spans="1:5" x14ac:dyDescent="0.25">
      <c r="A18">
        <v>2.2322584813750002</v>
      </c>
      <c r="B18">
        <v>0.1247255737091197</v>
      </c>
      <c r="C18">
        <f t="shared" si="0"/>
        <v>0.11445943103829409</v>
      </c>
      <c r="D18">
        <f t="shared" si="1"/>
        <v>1.0266142670825609E-2</v>
      </c>
      <c r="E18">
        <f t="shared" si="2"/>
        <v>1.0539368533774638E-4</v>
      </c>
    </row>
    <row r="19" spans="1:5" x14ac:dyDescent="0.25">
      <c r="A19">
        <v>2.3597619880250003</v>
      </c>
      <c r="B19">
        <v>0.10056923729905304</v>
      </c>
      <c r="C19">
        <f t="shared" si="0"/>
        <v>9.4889028276916934E-2</v>
      </c>
      <c r="D19">
        <f t="shared" si="1"/>
        <v>5.680209022136104E-3</v>
      </c>
      <c r="E19">
        <f t="shared" si="2"/>
        <v>3.2264774535156397E-5</v>
      </c>
    </row>
    <row r="20" spans="1:5" x14ac:dyDescent="0.25">
      <c r="A20">
        <v>2.4872654946749999</v>
      </c>
      <c r="B20">
        <v>7.937081963307617E-2</v>
      </c>
      <c r="C20">
        <f t="shared" si="0"/>
        <v>7.8262296361645015E-2</v>
      </c>
      <c r="D20">
        <f t="shared" si="1"/>
        <v>1.1085232714311555E-3</v>
      </c>
      <c r="E20">
        <f t="shared" si="2"/>
        <v>1.2288238433044312E-6</v>
      </c>
    </row>
    <row r="21" spans="1:5" x14ac:dyDescent="0.25">
      <c r="A21">
        <v>2.6147690013250005</v>
      </c>
      <c r="B21">
        <v>7.2961995687548284E-2</v>
      </c>
      <c r="C21">
        <f t="shared" si="0"/>
        <v>6.423411674260382E-2</v>
      </c>
      <c r="D21">
        <f t="shared" si="1"/>
        <v>8.7278789449444644E-3</v>
      </c>
      <c r="E21">
        <f t="shared" si="2"/>
        <v>7.6175870877604902E-5</v>
      </c>
    </row>
    <row r="22" spans="1:5" x14ac:dyDescent="0.25">
      <c r="A22">
        <v>2.7422725079750006</v>
      </c>
      <c r="B22">
        <v>6.6060185284672099E-2</v>
      </c>
      <c r="C22">
        <f t="shared" si="0"/>
        <v>5.2474540490925085E-2</v>
      </c>
      <c r="D22">
        <f t="shared" si="1"/>
        <v>1.3585644793747013E-2</v>
      </c>
      <c r="E22">
        <f t="shared" si="2"/>
        <v>1.8456974446186532E-4</v>
      </c>
    </row>
    <row r="23" spans="1:5" x14ac:dyDescent="0.25">
      <c r="A23">
        <v>2.8697760146249998</v>
      </c>
      <c r="B23">
        <v>5.6200456137706106E-2</v>
      </c>
      <c r="C23">
        <f t="shared" si="0"/>
        <v>4.2676115846388731E-2</v>
      </c>
      <c r="D23">
        <f t="shared" si="1"/>
        <v>1.3524340291317376E-2</v>
      </c>
      <c r="E23">
        <f t="shared" si="2"/>
        <v>1.8290778031535056E-4</v>
      </c>
    </row>
    <row r="24" spans="1:5" x14ac:dyDescent="0.25">
      <c r="A24">
        <v>2.9972795212749999</v>
      </c>
      <c r="B24">
        <v>4.3382808246650327E-2</v>
      </c>
      <c r="C24">
        <f t="shared" si="0"/>
        <v>3.4558114469402164E-2</v>
      </c>
      <c r="D24">
        <f t="shared" si="1"/>
        <v>8.8246937772481632E-3</v>
      </c>
      <c r="E24">
        <f t="shared" si="2"/>
        <v>7.7875220262202448E-5</v>
      </c>
    </row>
    <row r="25" spans="1:5" x14ac:dyDescent="0.25">
      <c r="A25">
        <v>3.124783027925</v>
      </c>
      <c r="B25">
        <v>4.0424889502560533E-2</v>
      </c>
      <c r="C25">
        <f t="shared" si="0"/>
        <v>2.7868445051851359E-2</v>
      </c>
      <c r="D25">
        <f t="shared" si="1"/>
        <v>1.2556444450709175E-2</v>
      </c>
      <c r="E25">
        <f t="shared" si="2"/>
        <v>1.5766429724374523E-4</v>
      </c>
    </row>
    <row r="26" spans="1:5" x14ac:dyDescent="0.25">
      <c r="A26">
        <v>3.2522865345750001</v>
      </c>
      <c r="B26">
        <v>2.4649322867414961E-2</v>
      </c>
      <c r="C26">
        <f t="shared" si="0"/>
        <v>2.2383893452981328E-2</v>
      </c>
      <c r="D26">
        <f t="shared" si="1"/>
        <v>2.2654294144336326E-3</v>
      </c>
      <c r="E26">
        <f t="shared" si="2"/>
        <v>5.1321704317811115E-6</v>
      </c>
    </row>
    <row r="27" spans="1:5" x14ac:dyDescent="0.25">
      <c r="A27">
        <v>3.3797900412250002</v>
      </c>
      <c r="B27">
        <v>2.514230932476326E-2</v>
      </c>
      <c r="C27">
        <f t="shared" si="0"/>
        <v>1.7909198833666283E-2</v>
      </c>
      <c r="D27">
        <f t="shared" si="1"/>
        <v>7.2331104910969765E-3</v>
      </c>
      <c r="E27">
        <f t="shared" si="2"/>
        <v>5.2317887376417146E-5</v>
      </c>
    </row>
    <row r="28" spans="1:5" x14ac:dyDescent="0.25">
      <c r="A28">
        <v>3.5072935478750003</v>
      </c>
      <c r="B28">
        <v>1.9226471836583669E-2</v>
      </c>
      <c r="C28">
        <f t="shared" si="0"/>
        <v>1.4275364474809444E-2</v>
      </c>
      <c r="D28">
        <f t="shared" si="1"/>
        <v>4.9511073617742249E-3</v>
      </c>
      <c r="E28">
        <f t="shared" si="2"/>
        <v>2.4513464107814924E-5</v>
      </c>
    </row>
    <row r="29" spans="1:5" x14ac:dyDescent="0.25">
      <c r="A29">
        <v>3.6347970545249999</v>
      </c>
      <c r="B29">
        <v>1.1831674976359181E-2</v>
      </c>
      <c r="C29">
        <f t="shared" si="0"/>
        <v>1.133750886055665E-2</v>
      </c>
      <c r="D29">
        <f t="shared" si="1"/>
        <v>4.941661158025315E-4</v>
      </c>
      <c r="E29">
        <f t="shared" si="2"/>
        <v>2.4420015000736097E-7</v>
      </c>
    </row>
    <row r="30" spans="1:5" x14ac:dyDescent="0.25">
      <c r="A30">
        <v>3.7623005611750004</v>
      </c>
      <c r="B30">
        <v>1.232466143370748E-2</v>
      </c>
      <c r="C30">
        <f t="shared" si="0"/>
        <v>8.9724856672338382E-3</v>
      </c>
      <c r="D30">
        <f t="shared" si="1"/>
        <v>3.3521757664736421E-3</v>
      </c>
      <c r="E30">
        <f t="shared" si="2"/>
        <v>1.123708236933315E-5</v>
      </c>
    </row>
    <row r="31" spans="1:5" x14ac:dyDescent="0.25">
      <c r="A31">
        <v>3.8898040678250005</v>
      </c>
      <c r="B31">
        <v>7.3947968602244884E-3</v>
      </c>
      <c r="C31">
        <f t="shared" si="0"/>
        <v>7.0764388092854442E-3</v>
      </c>
      <c r="D31">
        <f t="shared" si="1"/>
        <v>3.1835805093904414E-4</v>
      </c>
      <c r="E31">
        <f t="shared" si="2"/>
        <v>1.0135184859770702E-7</v>
      </c>
    </row>
    <row r="32" spans="1:5" x14ac:dyDescent="0.25">
      <c r="A32">
        <v>4.0173075744749998</v>
      </c>
      <c r="B32">
        <v>7.3947968602244884E-3</v>
      </c>
      <c r="C32">
        <f t="shared" si="0"/>
        <v>5.5624088484241326E-3</v>
      </c>
      <c r="D32">
        <f t="shared" si="1"/>
        <v>1.8323880118003557E-3</v>
      </c>
      <c r="E32">
        <f t="shared" si="2"/>
        <v>3.3576458257896608E-6</v>
      </c>
    </row>
    <row r="33" spans="1:5" x14ac:dyDescent="0.25">
      <c r="A33">
        <v>4.1448110811249999</v>
      </c>
      <c r="B33">
        <v>4.436878116134693E-3</v>
      </c>
      <c r="C33">
        <f t="shared" si="0"/>
        <v>4.3580680711028767E-3</v>
      </c>
      <c r="D33">
        <f t="shared" si="1"/>
        <v>7.8810045031816288E-5</v>
      </c>
      <c r="E33">
        <f t="shared" si="2"/>
        <v>6.2110231979169112E-9</v>
      </c>
    </row>
    <row r="34" spans="1:5" x14ac:dyDescent="0.25">
      <c r="A34">
        <v>4.2723145877749999</v>
      </c>
      <c r="B34">
        <v>6.4088239455278896E-3</v>
      </c>
      <c r="C34">
        <f t="shared" si="0"/>
        <v>3.403631661133691E-3</v>
      </c>
      <c r="D34">
        <f t="shared" si="1"/>
        <v>3.0051922843941986E-3</v>
      </c>
      <c r="E34">
        <f t="shared" si="2"/>
        <v>9.0311806661824221E-6</v>
      </c>
    </row>
    <row r="35" spans="1:5" x14ac:dyDescent="0.25">
      <c r="A35">
        <v>4.399818094425</v>
      </c>
      <c r="B35">
        <v>2.464932286741496E-3</v>
      </c>
      <c r="C35">
        <f t="shared" si="0"/>
        <v>2.6499700491829127E-3</v>
      </c>
      <c r="D35">
        <f t="shared" si="1"/>
        <v>-1.8503776244141673E-4</v>
      </c>
      <c r="E35">
        <f t="shared" si="2"/>
        <v>3.4238973529326176E-8</v>
      </c>
    </row>
    <row r="36" spans="1:5" x14ac:dyDescent="0.25">
      <c r="A36">
        <v>4.5273216010750001</v>
      </c>
      <c r="B36">
        <v>2.464932286741496E-3</v>
      </c>
      <c r="C36">
        <f t="shared" si="0"/>
        <v>2.056931282524935E-3</v>
      </c>
      <c r="D36">
        <f t="shared" si="1"/>
        <v>4.0800100421656098E-4</v>
      </c>
      <c r="E36">
        <f t="shared" si="2"/>
        <v>1.6646481944172221E-7</v>
      </c>
    </row>
    <row r="37" spans="1:5" x14ac:dyDescent="0.25">
      <c r="A37">
        <v>4.6548251077250002</v>
      </c>
      <c r="B37">
        <v>9.859729146965983E-4</v>
      </c>
      <c r="C37">
        <f t="shared" si="0"/>
        <v>1.5918708783924126E-3</v>
      </c>
      <c r="D37">
        <f t="shared" si="1"/>
        <v>-6.0589796369581433E-4</v>
      </c>
      <c r="E37">
        <f t="shared" si="2"/>
        <v>3.6711234241073436E-7</v>
      </c>
    </row>
    <row r="38" spans="1:5" x14ac:dyDescent="0.25">
      <c r="A38">
        <v>4.7823286143749995</v>
      </c>
      <c r="B38">
        <v>0</v>
      </c>
      <c r="C38">
        <f t="shared" si="0"/>
        <v>1.2283790339729342E-3</v>
      </c>
      <c r="D38">
        <f t="shared" si="1"/>
        <v>-1.2283790339729342E-3</v>
      </c>
      <c r="E38">
        <f t="shared" si="2"/>
        <v>1.508915051104279E-6</v>
      </c>
    </row>
    <row r="39" spans="1:5" x14ac:dyDescent="0.25">
      <c r="A39">
        <v>4.9098321210249996</v>
      </c>
      <c r="B39">
        <v>0</v>
      </c>
      <c r="C39">
        <f t="shared" si="0"/>
        <v>9.4519036957845274E-4</v>
      </c>
      <c r="D39">
        <f t="shared" si="1"/>
        <v>-9.4519036957845274E-4</v>
      </c>
      <c r="E39">
        <f t="shared" si="2"/>
        <v>8.9338483474385209E-7</v>
      </c>
    </row>
    <row r="40" spans="1:5" x14ac:dyDescent="0.25">
      <c r="A40">
        <v>5.0373356276750005</v>
      </c>
      <c r="B40">
        <v>1.4789593720448977E-3</v>
      </c>
      <c r="C40">
        <f t="shared" si="0"/>
        <v>7.2525884192811403E-4</v>
      </c>
      <c r="D40">
        <f t="shared" si="1"/>
        <v>7.5370053011678364E-4</v>
      </c>
      <c r="E40">
        <f t="shared" si="2"/>
        <v>5.6806448909832067E-7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CE20-E969-418C-8021-0E6D77AD93F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6.4231870212500014E-2</v>
      </c>
      <c r="B1">
        <v>0.36375901682755679</v>
      </c>
      <c r="C1">
        <f>$H$3*(1+$H$1)*(A1^($H$1))*EXP(-$H$3*(A1^(1+$H$1)))</f>
        <v>0.37805570156080276</v>
      </c>
      <c r="D1">
        <f>B1-C1</f>
        <v>-1.4296684733245968E-2</v>
      </c>
      <c r="E1">
        <f>D1^2</f>
        <v>2.0439519436182832E-4</v>
      </c>
      <c r="G1" t="s">
        <v>0</v>
      </c>
      <c r="H1">
        <v>0.42799444436367806</v>
      </c>
    </row>
    <row r="2" spans="1:8" x14ac:dyDescent="0.25">
      <c r="A2">
        <v>0.18638600463750005</v>
      </c>
      <c r="B2">
        <v>0.60094841818187605</v>
      </c>
      <c r="C2">
        <f t="shared" ref="C2:C40" si="0">$H$3*(1+$H$1)*(A2^($H$1))*EXP(-$H$3*(A2^(1+$H$1)))</f>
        <v>0.560643797335306</v>
      </c>
      <c r="D2">
        <f t="shared" ref="D2:D40" si="1">B2-C2</f>
        <v>4.030462084657005E-2</v>
      </c>
      <c r="E2">
        <f t="shared" ref="E2:E40" si="2">D2^2</f>
        <v>1.6244624615857691E-3</v>
      </c>
    </row>
    <row r="3" spans="1:8" x14ac:dyDescent="0.25">
      <c r="A3">
        <v>0.3085401390625</v>
      </c>
      <c r="B3">
        <v>0.63644965179022317</v>
      </c>
      <c r="C3">
        <f t="shared" si="0"/>
        <v>0.6399103627359034</v>
      </c>
      <c r="D3">
        <f t="shared" si="1"/>
        <v>-3.4607109456802343E-3</v>
      </c>
      <c r="E3">
        <f t="shared" si="2"/>
        <v>1.1976520249550981E-5</v>
      </c>
      <c r="G3" t="s">
        <v>1</v>
      </c>
      <c r="H3">
        <f>(_xlfn.GAMMA((2+$H$1)/(1+$H$1)))^(1+$H$1)</f>
        <v>0.87220692480199613</v>
      </c>
    </row>
    <row r="4" spans="1:8" x14ac:dyDescent="0.25">
      <c r="A4">
        <v>0.4306942734875</v>
      </c>
      <c r="B4">
        <v>0.6184417796700471</v>
      </c>
      <c r="C4">
        <f t="shared" si="0"/>
        <v>0.66835914881510694</v>
      </c>
      <c r="D4">
        <f t="shared" si="1"/>
        <v>-4.9917369145059842E-2</v>
      </c>
      <c r="E4">
        <f t="shared" si="2"/>
        <v>2.4917437423641726E-3</v>
      </c>
    </row>
    <row r="5" spans="1:8" x14ac:dyDescent="0.25">
      <c r="A5">
        <v>0.55284840791250001</v>
      </c>
      <c r="B5">
        <v>0.6313045454701729</v>
      </c>
      <c r="C5">
        <f t="shared" si="0"/>
        <v>0.66479134392726968</v>
      </c>
      <c r="D5">
        <f t="shared" si="1"/>
        <v>-3.3486798457096789E-2</v>
      </c>
      <c r="E5">
        <f t="shared" si="2"/>
        <v>1.1213656709062199E-3</v>
      </c>
      <c r="G5" t="s">
        <v>2</v>
      </c>
      <c r="H5">
        <f>SUM(E1:E40)</f>
        <v>3.5288399825291965E-2</v>
      </c>
    </row>
    <row r="6" spans="1:8" x14ac:dyDescent="0.25">
      <c r="A6">
        <v>0.67500254233750001</v>
      </c>
      <c r="B6">
        <v>0.67658148108661553</v>
      </c>
      <c r="C6">
        <f t="shared" si="0"/>
        <v>0.64001570883835801</v>
      </c>
      <c r="D6">
        <f t="shared" si="1"/>
        <v>3.6565772248257522E-2</v>
      </c>
      <c r="E6">
        <f t="shared" si="2"/>
        <v>1.3370557001114399E-3</v>
      </c>
    </row>
    <row r="7" spans="1:8" x14ac:dyDescent="0.25">
      <c r="A7">
        <v>0.79715667676250002</v>
      </c>
      <c r="B7">
        <v>0.71156820406295762</v>
      </c>
      <c r="C7">
        <f t="shared" si="0"/>
        <v>0.60140988848210442</v>
      </c>
      <c r="D7">
        <f t="shared" si="1"/>
        <v>0.11015831558085321</v>
      </c>
      <c r="E7">
        <f t="shared" si="2"/>
        <v>1.2134854491610846E-2</v>
      </c>
    </row>
    <row r="8" spans="1:8" x14ac:dyDescent="0.25">
      <c r="A8">
        <v>0.91931081118750013</v>
      </c>
      <c r="B8">
        <v>0.61689824777403202</v>
      </c>
      <c r="C8">
        <f t="shared" si="0"/>
        <v>0.55436268429324842</v>
      </c>
      <c r="D8">
        <f t="shared" si="1"/>
        <v>6.2535563480783596E-2</v>
      </c>
      <c r="E8">
        <f t="shared" si="2"/>
        <v>3.9106966998591151E-3</v>
      </c>
    </row>
    <row r="9" spans="1:8" x14ac:dyDescent="0.25">
      <c r="A9">
        <v>1.0414649456125002</v>
      </c>
      <c r="B9">
        <v>0.50422041936493023</v>
      </c>
      <c r="C9">
        <f t="shared" si="0"/>
        <v>0.50289423297932689</v>
      </c>
      <c r="D9">
        <f t="shared" si="1"/>
        <v>1.326186385603334E-3</v>
      </c>
      <c r="E9">
        <f t="shared" si="2"/>
        <v>1.758770329359635E-6</v>
      </c>
    </row>
    <row r="10" spans="1:8" x14ac:dyDescent="0.25">
      <c r="A10">
        <v>1.1636190800374999</v>
      </c>
      <c r="B10">
        <v>0.43733403720427622</v>
      </c>
      <c r="C10">
        <f t="shared" si="0"/>
        <v>0.44999306777024689</v>
      </c>
      <c r="D10">
        <f t="shared" si="1"/>
        <v>-1.2659030565970675E-2</v>
      </c>
      <c r="E10">
        <f t="shared" si="2"/>
        <v>1.6025105487017983E-4</v>
      </c>
    </row>
    <row r="11" spans="1:8" x14ac:dyDescent="0.25">
      <c r="A11">
        <v>1.2857732144625</v>
      </c>
      <c r="B11">
        <v>0.34060603838733045</v>
      </c>
      <c r="C11">
        <f t="shared" si="0"/>
        <v>0.39783676034476945</v>
      </c>
      <c r="D11">
        <f t="shared" si="1"/>
        <v>-5.7230721957439001E-2</v>
      </c>
      <c r="E11">
        <f t="shared" si="2"/>
        <v>3.2753555357696905E-3</v>
      </c>
    </row>
    <row r="12" spans="1:8" x14ac:dyDescent="0.25">
      <c r="A12">
        <v>1.4079273488875002</v>
      </c>
      <c r="B12">
        <v>0.29481459213888267</v>
      </c>
      <c r="C12">
        <f t="shared" si="0"/>
        <v>0.34795637663725837</v>
      </c>
      <c r="D12">
        <f t="shared" si="1"/>
        <v>-5.3141784498375699E-2</v>
      </c>
      <c r="E12">
        <f t="shared" si="2"/>
        <v>2.8240492596718039E-3</v>
      </c>
    </row>
    <row r="13" spans="1:8" x14ac:dyDescent="0.25">
      <c r="A13">
        <v>1.5300814833125</v>
      </c>
      <c r="B13">
        <v>0.24696510336241481</v>
      </c>
      <c r="C13">
        <f t="shared" si="0"/>
        <v>0.30136866015248343</v>
      </c>
      <c r="D13">
        <f t="shared" si="1"/>
        <v>-5.4403556790068613E-2</v>
      </c>
      <c r="E13">
        <f t="shared" si="2"/>
        <v>2.9597469914102209E-3</v>
      </c>
    </row>
    <row r="14" spans="1:8" x14ac:dyDescent="0.25">
      <c r="A14">
        <v>1.6522356177374999</v>
      </c>
      <c r="B14">
        <v>0.22123957176216327</v>
      </c>
      <c r="C14">
        <f t="shared" si="0"/>
        <v>0.2586861007784006</v>
      </c>
      <c r="D14">
        <f t="shared" si="1"/>
        <v>-3.7446529016237323E-2</v>
      </c>
      <c r="E14">
        <f t="shared" si="2"/>
        <v>1.4022425353639038E-3</v>
      </c>
    </row>
    <row r="15" spans="1:8" x14ac:dyDescent="0.25">
      <c r="A15">
        <v>1.7743897521625001</v>
      </c>
      <c r="B15">
        <v>0.1986011039539419</v>
      </c>
      <c r="C15">
        <f t="shared" si="0"/>
        <v>0.22020956586614543</v>
      </c>
      <c r="D15">
        <f t="shared" si="1"/>
        <v>-2.160846191220353E-2</v>
      </c>
      <c r="E15">
        <f t="shared" si="2"/>
        <v>4.6692562621115068E-4</v>
      </c>
    </row>
    <row r="16" spans="1:8" x14ac:dyDescent="0.25">
      <c r="A16">
        <v>1.8965438865875002</v>
      </c>
      <c r="B16">
        <v>0.17030301919366522</v>
      </c>
      <c r="C16">
        <f t="shared" si="0"/>
        <v>0.1860059846344097</v>
      </c>
      <c r="D16">
        <f t="shared" si="1"/>
        <v>-1.5702965440744482E-2</v>
      </c>
      <c r="E16">
        <f t="shared" si="2"/>
        <v>2.4658312363321552E-4</v>
      </c>
    </row>
    <row r="17" spans="1:5" x14ac:dyDescent="0.25">
      <c r="A17">
        <v>2.0186980210125003</v>
      </c>
      <c r="B17">
        <v>0.13994689190536838</v>
      </c>
      <c r="C17">
        <f t="shared" si="0"/>
        <v>0.15597275496746071</v>
      </c>
      <c r="D17">
        <f t="shared" si="1"/>
        <v>-1.6025863062092333E-2</v>
      </c>
      <c r="E17">
        <f t="shared" si="2"/>
        <v>2.5682828688493542E-4</v>
      </c>
    </row>
    <row r="18" spans="1:5" x14ac:dyDescent="0.25">
      <c r="A18">
        <v>2.1408521554375004</v>
      </c>
      <c r="B18">
        <v>0.12759863673724764</v>
      </c>
      <c r="C18">
        <f t="shared" si="0"/>
        <v>0.12989027609840645</v>
      </c>
      <c r="D18">
        <f t="shared" si="1"/>
        <v>-2.2916393611588093E-3</v>
      </c>
      <c r="E18">
        <f t="shared" si="2"/>
        <v>5.2516109616123558E-6</v>
      </c>
    </row>
    <row r="19" spans="1:5" x14ac:dyDescent="0.25">
      <c r="A19">
        <v>2.2630062898625001</v>
      </c>
      <c r="B19">
        <v>0.11113429651308666</v>
      </c>
      <c r="C19">
        <f t="shared" si="0"/>
        <v>0.10746394993281433</v>
      </c>
      <c r="D19">
        <f t="shared" si="1"/>
        <v>3.6703465802723351E-3</v>
      </c>
      <c r="E19">
        <f t="shared" si="2"/>
        <v>1.3471444019316825E-5</v>
      </c>
    </row>
    <row r="20" spans="1:5" x14ac:dyDescent="0.25">
      <c r="A20">
        <v>2.3851604242875002</v>
      </c>
      <c r="B20">
        <v>9.4155445656920647E-2</v>
      </c>
      <c r="C20">
        <f t="shared" si="0"/>
        <v>8.8356984682520082E-2</v>
      </c>
      <c r="D20">
        <f t="shared" si="1"/>
        <v>5.7984609744005655E-3</v>
      </c>
      <c r="E20">
        <f t="shared" si="2"/>
        <v>3.3622149671646358E-5</v>
      </c>
    </row>
    <row r="21" spans="1:5" x14ac:dyDescent="0.25">
      <c r="A21">
        <v>2.5073145587125003</v>
      </c>
      <c r="B21">
        <v>8.1292679856794878E-2</v>
      </c>
      <c r="C21">
        <f t="shared" si="0"/>
        <v>7.2215314486275897E-2</v>
      </c>
      <c r="D21">
        <f t="shared" si="1"/>
        <v>9.0773653705189805E-3</v>
      </c>
      <c r="E21">
        <f t="shared" si="2"/>
        <v>8.2398562069897183E-5</v>
      </c>
    </row>
    <row r="22" spans="1:5" x14ac:dyDescent="0.25">
      <c r="A22">
        <v>2.6294686931375004</v>
      </c>
      <c r="B22">
        <v>7.4604041640729479E-2</v>
      </c>
      <c r="C22">
        <f t="shared" si="0"/>
        <v>5.8685897493742423E-2</v>
      </c>
      <c r="D22">
        <f t="shared" si="1"/>
        <v>1.5918144146987057E-2</v>
      </c>
      <c r="E22">
        <f t="shared" si="2"/>
        <v>2.5338731308425827E-4</v>
      </c>
    </row>
    <row r="23" spans="1:5" x14ac:dyDescent="0.25">
      <c r="A23">
        <v>2.7516228275625005</v>
      </c>
      <c r="B23">
        <v>5.2994595096518181E-2</v>
      </c>
      <c r="C23">
        <f t="shared" si="0"/>
        <v>4.7429571504214861E-2</v>
      </c>
      <c r="D23">
        <f t="shared" si="1"/>
        <v>5.5650235923033198E-3</v>
      </c>
      <c r="E23">
        <f t="shared" si="2"/>
        <v>3.0969487582892546E-5</v>
      </c>
    </row>
    <row r="24" spans="1:5" x14ac:dyDescent="0.25">
      <c r="A24">
        <v>2.8737769619874998</v>
      </c>
      <c r="B24">
        <v>4.8878510040477934E-2</v>
      </c>
      <c r="C24">
        <f t="shared" si="0"/>
        <v>3.8129537739898654E-2</v>
      </c>
      <c r="D24">
        <f t="shared" si="1"/>
        <v>1.0748972300579279E-2</v>
      </c>
      <c r="E24">
        <f t="shared" si="2"/>
        <v>1.155404055186206E-4</v>
      </c>
    </row>
    <row r="25" spans="1:5" x14ac:dyDescent="0.25">
      <c r="A25">
        <v>2.9959310964124999</v>
      </c>
      <c r="B25">
        <v>4.1160850560402466E-2</v>
      </c>
      <c r="C25">
        <f t="shared" si="0"/>
        <v>3.0496419172201347E-2</v>
      </c>
      <c r="D25">
        <f t="shared" si="1"/>
        <v>1.0664431388201119E-2</v>
      </c>
      <c r="E25">
        <f t="shared" si="2"/>
        <v>1.1373009683364925E-4</v>
      </c>
    </row>
    <row r="26" spans="1:5" x14ac:dyDescent="0.25">
      <c r="A26">
        <v>3.1180852308375</v>
      </c>
      <c r="B26">
        <v>3.1385148552306882E-2</v>
      </c>
      <c r="C26">
        <f t="shared" si="0"/>
        <v>2.4270709174900131E-2</v>
      </c>
      <c r="D26">
        <f t="shared" si="1"/>
        <v>7.1144393774067519E-3</v>
      </c>
      <c r="E26">
        <f t="shared" si="2"/>
        <v>5.0615247654795769E-5</v>
      </c>
    </row>
    <row r="27" spans="1:5" x14ac:dyDescent="0.25">
      <c r="A27">
        <v>3.2402393652625001</v>
      </c>
      <c r="B27">
        <v>2.7269063496266635E-2</v>
      </c>
      <c r="C27">
        <f t="shared" si="0"/>
        <v>1.9223296801475047E-2</v>
      </c>
      <c r="D27">
        <f t="shared" si="1"/>
        <v>8.0457666947915882E-3</v>
      </c>
      <c r="E27">
        <f t="shared" si="2"/>
        <v>6.4734361707017562E-5</v>
      </c>
    </row>
    <row r="28" spans="1:5" x14ac:dyDescent="0.25">
      <c r="A28">
        <v>3.3623934996875002</v>
      </c>
      <c r="B28">
        <v>2.3152978440226388E-2</v>
      </c>
      <c r="C28">
        <f t="shared" si="0"/>
        <v>1.5154632418414587E-2</v>
      </c>
      <c r="D28">
        <f t="shared" si="1"/>
        <v>7.9983460218118006E-3</v>
      </c>
      <c r="E28">
        <f t="shared" si="2"/>
        <v>6.3973539084632652E-5</v>
      </c>
    </row>
    <row r="29" spans="1:5" x14ac:dyDescent="0.25">
      <c r="A29">
        <v>3.4845476341125003</v>
      </c>
      <c r="B29">
        <v>1.234825516812074E-2</v>
      </c>
      <c r="C29">
        <f t="shared" si="0"/>
        <v>1.1892985637767656E-2</v>
      </c>
      <c r="D29">
        <f t="shared" si="1"/>
        <v>4.5526953035308383E-4</v>
      </c>
      <c r="E29">
        <f t="shared" si="2"/>
        <v>2.0727034526791751E-7</v>
      </c>
    </row>
    <row r="30" spans="1:5" x14ac:dyDescent="0.25">
      <c r="A30">
        <v>3.6067017685375005</v>
      </c>
      <c r="B30">
        <v>1.1833744536115709E-2</v>
      </c>
      <c r="C30">
        <f t="shared" si="0"/>
        <v>9.2921487062542409E-3</v>
      </c>
      <c r="D30">
        <f t="shared" si="1"/>
        <v>2.5415958298614684E-3</v>
      </c>
      <c r="E30">
        <f t="shared" si="2"/>
        <v>6.4597093623692065E-6</v>
      </c>
    </row>
    <row r="31" spans="1:5" x14ac:dyDescent="0.25">
      <c r="A31">
        <v>3.7288559029625001</v>
      </c>
      <c r="B31">
        <v>9.2611913760905547E-3</v>
      </c>
      <c r="C31">
        <f t="shared" si="0"/>
        <v>7.2288536279790936E-3</v>
      </c>
      <c r="D31">
        <f t="shared" si="1"/>
        <v>2.0323377481114612E-3</v>
      </c>
      <c r="E31">
        <f t="shared" si="2"/>
        <v>4.1303967223987654E-6</v>
      </c>
    </row>
    <row r="32" spans="1:5" x14ac:dyDescent="0.25">
      <c r="A32">
        <v>3.8510100373875007</v>
      </c>
      <c r="B32">
        <v>8.2321701120804929E-3</v>
      </c>
      <c r="C32">
        <f t="shared" si="0"/>
        <v>5.6001002320941601E-3</v>
      </c>
      <c r="D32">
        <f t="shared" si="1"/>
        <v>2.6320698799863328E-3</v>
      </c>
      <c r="E32">
        <f t="shared" si="2"/>
        <v>6.9277918531312689E-6</v>
      </c>
    </row>
    <row r="33" spans="1:5" x14ac:dyDescent="0.25">
      <c r="A33">
        <v>3.9731641718124999</v>
      </c>
      <c r="B33">
        <v>5.6596169520553392E-3</v>
      </c>
      <c r="C33">
        <f t="shared" si="0"/>
        <v>4.3205343611022106E-3</v>
      </c>
      <c r="D33">
        <f t="shared" si="1"/>
        <v>1.3390825909531286E-3</v>
      </c>
      <c r="E33">
        <f t="shared" si="2"/>
        <v>1.7931421853937438E-6</v>
      </c>
    </row>
    <row r="34" spans="1:5" x14ac:dyDescent="0.25">
      <c r="A34">
        <v>4.0953183062375</v>
      </c>
      <c r="B34">
        <v>5.1451063200503083E-3</v>
      </c>
      <c r="C34">
        <f t="shared" si="0"/>
        <v>3.3199691275002689E-3</v>
      </c>
      <c r="D34">
        <f t="shared" si="1"/>
        <v>1.8251371925500394E-3</v>
      </c>
      <c r="E34">
        <f t="shared" si="2"/>
        <v>3.3311257716294397E-6</v>
      </c>
    </row>
    <row r="35" spans="1:5" x14ac:dyDescent="0.25">
      <c r="A35">
        <v>4.217472440662501</v>
      </c>
      <c r="B35">
        <v>5.1451063200503083E-3</v>
      </c>
      <c r="C35">
        <f t="shared" si="0"/>
        <v>2.5411063103887108E-3</v>
      </c>
      <c r="D35">
        <f t="shared" si="1"/>
        <v>2.6040000096615975E-3</v>
      </c>
      <c r="E35">
        <f t="shared" si="2"/>
        <v>6.7808160503176E-6</v>
      </c>
    </row>
    <row r="36" spans="1:5" x14ac:dyDescent="0.25">
      <c r="A36">
        <v>4.3396265750875003</v>
      </c>
      <c r="B36">
        <v>1.5435318960150925E-3</v>
      </c>
      <c r="C36">
        <f t="shared" si="0"/>
        <v>1.9374879052079861E-3</v>
      </c>
      <c r="D36">
        <f t="shared" si="1"/>
        <v>-3.9395600919289362E-4</v>
      </c>
      <c r="E36">
        <f t="shared" si="2"/>
        <v>1.5520133717919127E-7</v>
      </c>
    </row>
    <row r="37" spans="1:5" x14ac:dyDescent="0.25">
      <c r="A37">
        <v>4.4617807095125013</v>
      </c>
      <c r="B37">
        <v>1.5435318960150925E-3</v>
      </c>
      <c r="C37">
        <f t="shared" si="0"/>
        <v>1.4716880963994733E-3</v>
      </c>
      <c r="D37">
        <f t="shared" si="1"/>
        <v>7.1843799615619198E-5</v>
      </c>
      <c r="E37">
        <f t="shared" si="2"/>
        <v>5.1615315432092456E-9</v>
      </c>
    </row>
    <row r="38" spans="1:5" x14ac:dyDescent="0.25">
      <c r="A38">
        <v>4.5839348439375005</v>
      </c>
      <c r="B38">
        <v>5.1451063200503081E-4</v>
      </c>
      <c r="C38">
        <f t="shared" si="0"/>
        <v>1.1137420967585712E-3</v>
      </c>
      <c r="D38">
        <f t="shared" si="1"/>
        <v>-5.9923146475354043E-4</v>
      </c>
      <c r="E38">
        <f t="shared" si="2"/>
        <v>3.5907834835067355E-7</v>
      </c>
    </row>
    <row r="39" spans="1:5" x14ac:dyDescent="0.25">
      <c r="A39">
        <v>4.7060889783624997</v>
      </c>
      <c r="B39">
        <v>5.1451063200503081E-4</v>
      </c>
      <c r="C39">
        <f t="shared" si="0"/>
        <v>8.3979913859917187E-4</v>
      </c>
      <c r="D39">
        <f t="shared" si="1"/>
        <v>-3.2528850659414106E-4</v>
      </c>
      <c r="E39">
        <f t="shared" si="2"/>
        <v>1.0581261252224655E-7</v>
      </c>
    </row>
    <row r="40" spans="1:5" x14ac:dyDescent="0.25">
      <c r="A40">
        <v>4.8282431127875007</v>
      </c>
      <c r="B40">
        <v>1.0290212640100616E-3</v>
      </c>
      <c r="C40">
        <f t="shared" si="0"/>
        <v>6.3098132867057228E-4</v>
      </c>
      <c r="D40">
        <f t="shared" si="1"/>
        <v>3.9803993533948933E-4</v>
      </c>
      <c r="E40">
        <f t="shared" si="2"/>
        <v>1.5843579012506485E-7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DD9-CFCE-4936-830A-1C557C22FF8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6.1463475450000006E-2</v>
      </c>
      <c r="B1">
        <v>0.30324618180430246</v>
      </c>
      <c r="C1">
        <f>$H$3*(1+$H$1)*(A1^($H$1))*EXP(-$H$3*(A1^(1+$H$1)))</f>
        <v>0.32412318632572995</v>
      </c>
      <c r="D1">
        <f>B1-C1</f>
        <v>-2.0877004521427489E-2</v>
      </c>
      <c r="E1">
        <f>D1^2</f>
        <v>4.3584931778770385E-4</v>
      </c>
      <c r="G1" t="s">
        <v>0</v>
      </c>
      <c r="H1">
        <v>0.48737291809924355</v>
      </c>
    </row>
    <row r="2" spans="1:8" x14ac:dyDescent="0.25">
      <c r="A2">
        <v>0.17876301835000002</v>
      </c>
      <c r="B2">
        <v>0.53844949242636753</v>
      </c>
      <c r="C2">
        <f t="shared" ref="C2:C40" si="0">$H$3*(1+$H$1)*(A2^($H$1))*EXP(-$H$3*(A2^(1+$H$1)))</f>
        <v>0.51728145368507172</v>
      </c>
      <c r="D2">
        <f t="shared" ref="D2:D40" si="1">B2-C2</f>
        <v>2.1168038741295803E-2</v>
      </c>
      <c r="E2">
        <f t="shared" ref="E2:E40" si="2">D2^2</f>
        <v>4.48085864153E-4</v>
      </c>
    </row>
    <row r="3" spans="1:8" x14ac:dyDescent="0.25">
      <c r="A3">
        <v>0.29606256124999997</v>
      </c>
      <c r="B3">
        <v>0.65685480369624527</v>
      </c>
      <c r="C3">
        <f t="shared" si="0"/>
        <v>0.61412643689720581</v>
      </c>
      <c r="D3">
        <f t="shared" si="1"/>
        <v>4.2728366799039463E-2</v>
      </c>
      <c r="E3">
        <f t="shared" si="2"/>
        <v>1.8257133293132579E-3</v>
      </c>
      <c r="G3" t="s">
        <v>1</v>
      </c>
      <c r="H3">
        <f>(_xlfn.GAMMA((2+$H$1)/(1+$H$1)))^(1+$H$1)</f>
        <v>0.86016517898645939</v>
      </c>
    </row>
    <row r="4" spans="1:8" x14ac:dyDescent="0.25">
      <c r="A4">
        <v>0.41336210414999996</v>
      </c>
      <c r="B4">
        <v>0.64828247346856183</v>
      </c>
      <c r="C4">
        <f t="shared" si="0"/>
        <v>0.66011242399110404</v>
      </c>
      <c r="D4">
        <f t="shared" si="1"/>
        <v>-1.182995052254221E-2</v>
      </c>
      <c r="E4">
        <f t="shared" si="2"/>
        <v>1.399477293657967E-4</v>
      </c>
    </row>
    <row r="5" spans="1:8" x14ac:dyDescent="0.25">
      <c r="A5">
        <v>0.53066164705000007</v>
      </c>
      <c r="B5">
        <v>0.61452892319705821</v>
      </c>
      <c r="C5">
        <f t="shared" si="0"/>
        <v>0.67191882075424836</v>
      </c>
      <c r="D5">
        <f t="shared" si="1"/>
        <v>-5.738989755719015E-2</v>
      </c>
      <c r="E5">
        <f t="shared" si="2"/>
        <v>3.2936003416247799E-3</v>
      </c>
      <c r="G5" t="s">
        <v>2</v>
      </c>
      <c r="H5">
        <f>SUM(E1:E40)</f>
        <v>3.1237480255474098E-2</v>
      </c>
    </row>
    <row r="6" spans="1:8" x14ac:dyDescent="0.25">
      <c r="A6">
        <v>0.64796118994999996</v>
      </c>
      <c r="B6">
        <v>0.63810283132318768</v>
      </c>
      <c r="C6">
        <f t="shared" si="0"/>
        <v>0.65953843253232503</v>
      </c>
      <c r="D6">
        <f t="shared" si="1"/>
        <v>-2.1435601209137345E-2</v>
      </c>
      <c r="E6">
        <f t="shared" si="2"/>
        <v>4.5948499919717039E-4</v>
      </c>
    </row>
    <row r="7" spans="1:8" x14ac:dyDescent="0.25">
      <c r="A7">
        <v>0.76526073284999996</v>
      </c>
      <c r="B7">
        <v>0.67078484031623087</v>
      </c>
      <c r="C7">
        <f t="shared" si="0"/>
        <v>0.63015378820126211</v>
      </c>
      <c r="D7">
        <f t="shared" si="1"/>
        <v>4.0631052114968758E-2</v>
      </c>
      <c r="E7">
        <f t="shared" si="2"/>
        <v>1.650882395969307E-3</v>
      </c>
    </row>
    <row r="8" spans="1:8" x14ac:dyDescent="0.25">
      <c r="A8">
        <v>0.88256027574999996</v>
      </c>
      <c r="B8">
        <v>0.67882139990468415</v>
      </c>
      <c r="C8">
        <f t="shared" si="0"/>
        <v>0.58930538954892431</v>
      </c>
      <c r="D8">
        <f t="shared" si="1"/>
        <v>8.9516010355759845E-2</v>
      </c>
      <c r="E8">
        <f t="shared" si="2"/>
        <v>8.0131161100125033E-3</v>
      </c>
    </row>
    <row r="9" spans="1:8" x14ac:dyDescent="0.25">
      <c r="A9">
        <v>0.99985981864999995</v>
      </c>
      <c r="B9">
        <v>0.6022061984947632</v>
      </c>
      <c r="C9">
        <f t="shared" si="0"/>
        <v>0.541358486718443</v>
      </c>
      <c r="D9">
        <f t="shared" si="1"/>
        <v>6.0847711776320201E-2</v>
      </c>
      <c r="E9">
        <f t="shared" si="2"/>
        <v>3.7024440284141361E-3</v>
      </c>
    </row>
    <row r="10" spans="1:8" x14ac:dyDescent="0.25">
      <c r="A10">
        <v>1.11715936155</v>
      </c>
      <c r="B10">
        <v>0.49987400640179191</v>
      </c>
      <c r="C10">
        <f t="shared" si="0"/>
        <v>0.48974109772934704</v>
      </c>
      <c r="D10">
        <f t="shared" si="1"/>
        <v>1.0132908672444874E-2</v>
      </c>
      <c r="E10">
        <f t="shared" si="2"/>
        <v>1.0267583816410853E-4</v>
      </c>
    </row>
    <row r="11" spans="1:8" x14ac:dyDescent="0.25">
      <c r="A11">
        <v>1.2344589044500001</v>
      </c>
      <c r="B11">
        <v>0.39807758494805079</v>
      </c>
      <c r="C11">
        <f t="shared" si="0"/>
        <v>0.43709809505751651</v>
      </c>
      <c r="D11">
        <f t="shared" si="1"/>
        <v>-3.9020510109465723E-2</v>
      </c>
      <c r="E11">
        <f t="shared" si="2"/>
        <v>1.5226002092029167E-3</v>
      </c>
    </row>
    <row r="12" spans="1:8" x14ac:dyDescent="0.25">
      <c r="A12">
        <v>1.3517584473499999</v>
      </c>
      <c r="B12">
        <v>0.3461078329427198</v>
      </c>
      <c r="C12">
        <f t="shared" si="0"/>
        <v>0.38541171753480102</v>
      </c>
      <c r="D12">
        <f t="shared" si="1"/>
        <v>-3.9303884592081229E-2</v>
      </c>
      <c r="E12">
        <f t="shared" si="2"/>
        <v>1.5447953440276402E-3</v>
      </c>
    </row>
    <row r="13" spans="1:8" x14ac:dyDescent="0.25">
      <c r="A13">
        <v>1.4690579902500001</v>
      </c>
      <c r="B13">
        <v>0.29360231029815859</v>
      </c>
      <c r="C13">
        <f t="shared" si="0"/>
        <v>0.33610653290830872</v>
      </c>
      <c r="D13">
        <f t="shared" si="1"/>
        <v>-4.2504222610150133E-2</v>
      </c>
      <c r="E13">
        <f t="shared" si="2"/>
        <v>1.8066089396931977E-3</v>
      </c>
    </row>
    <row r="14" spans="1:8" x14ac:dyDescent="0.25">
      <c r="A14">
        <v>1.5863575331500002</v>
      </c>
      <c r="B14">
        <v>0.24431141148897867</v>
      </c>
      <c r="C14">
        <f t="shared" si="0"/>
        <v>0.2901447553625891</v>
      </c>
      <c r="D14">
        <f t="shared" si="1"/>
        <v>-4.5833343873610433E-2</v>
      </c>
      <c r="E14">
        <f t="shared" si="2"/>
        <v>2.1006954106366229E-3</v>
      </c>
    </row>
    <row r="15" spans="1:8" x14ac:dyDescent="0.25">
      <c r="A15">
        <v>1.7036570760500001</v>
      </c>
      <c r="B15">
        <v>0.20412861354671244</v>
      </c>
      <c r="C15">
        <f t="shared" si="0"/>
        <v>0.24811322307438172</v>
      </c>
      <c r="D15">
        <f t="shared" si="1"/>
        <v>-4.3984609527669277E-2</v>
      </c>
      <c r="E15">
        <f t="shared" si="2"/>
        <v>1.9346458753015351E-3</v>
      </c>
    </row>
    <row r="16" spans="1:8" x14ac:dyDescent="0.25">
      <c r="A16">
        <v>1.8209566189500002</v>
      </c>
      <c r="B16">
        <v>0.18216201733827359</v>
      </c>
      <c r="C16">
        <f t="shared" si="0"/>
        <v>0.21030178363110777</v>
      </c>
      <c r="D16">
        <f t="shared" si="1"/>
        <v>-2.8139766292834184E-2</v>
      </c>
      <c r="E16">
        <f t="shared" si="2"/>
        <v>7.918464470153269E-4</v>
      </c>
    </row>
    <row r="17" spans="1:5" x14ac:dyDescent="0.25">
      <c r="A17">
        <v>1.93825616185</v>
      </c>
      <c r="B17">
        <v>0.1601954211298347</v>
      </c>
      <c r="C17">
        <f t="shared" si="0"/>
        <v>0.17677254425966277</v>
      </c>
      <c r="D17">
        <f t="shared" si="1"/>
        <v>-1.6577123129828064E-2</v>
      </c>
      <c r="E17">
        <f t="shared" si="2"/>
        <v>2.748010112614806E-4</v>
      </c>
    </row>
    <row r="18" spans="1:5" x14ac:dyDescent="0.25">
      <c r="A18">
        <v>2.0555557047499997</v>
      </c>
      <c r="B18">
        <v>0.13608574236447496</v>
      </c>
      <c r="C18">
        <f t="shared" si="0"/>
        <v>0.14741965367958346</v>
      </c>
      <c r="D18">
        <f t="shared" si="1"/>
        <v>-1.1333911315108497E-2</v>
      </c>
      <c r="E18">
        <f t="shared" si="2"/>
        <v>1.2845754569874442E-4</v>
      </c>
    </row>
    <row r="19" spans="1:5" x14ac:dyDescent="0.25">
      <c r="A19">
        <v>2.1728552476500003</v>
      </c>
      <c r="B19">
        <v>0.11679799935218717</v>
      </c>
      <c r="C19">
        <f t="shared" si="0"/>
        <v>0.12201964605773984</v>
      </c>
      <c r="D19">
        <f t="shared" si="1"/>
        <v>-5.2216467055526683E-3</v>
      </c>
      <c r="E19">
        <f t="shared" si="2"/>
        <v>2.7265594317609033E-5</v>
      </c>
    </row>
    <row r="20" spans="1:5" x14ac:dyDescent="0.25">
      <c r="A20">
        <v>2.2901547905499999</v>
      </c>
      <c r="B20">
        <v>0.10286796273220154</v>
      </c>
      <c r="C20">
        <f t="shared" si="0"/>
        <v>0.10027273716120352</v>
      </c>
      <c r="D20">
        <f t="shared" si="1"/>
        <v>2.5952255709980193E-3</v>
      </c>
      <c r="E20">
        <f t="shared" si="2"/>
        <v>6.7351957643619954E-6</v>
      </c>
    </row>
    <row r="21" spans="1:5" x14ac:dyDescent="0.25">
      <c r="A21">
        <v>2.4074543334500005</v>
      </c>
      <c r="B21">
        <v>9.0009467390676348E-2</v>
      </c>
      <c r="C21">
        <f t="shared" si="0"/>
        <v>8.1835751778494323E-2</v>
      </c>
      <c r="D21">
        <f t="shared" si="1"/>
        <v>8.1737156121820254E-3</v>
      </c>
      <c r="E21">
        <f t="shared" si="2"/>
        <v>6.6809626908828184E-5</v>
      </c>
    </row>
    <row r="22" spans="1:5" x14ac:dyDescent="0.25">
      <c r="A22">
        <v>2.5247538763500001</v>
      </c>
      <c r="B22">
        <v>7.5007889492230292E-2</v>
      </c>
      <c r="C22">
        <f t="shared" si="0"/>
        <v>6.6347558954536048E-2</v>
      </c>
      <c r="D22">
        <f t="shared" si="1"/>
        <v>8.6603305376942441E-3</v>
      </c>
      <c r="E22">
        <f t="shared" si="2"/>
        <v>7.5001325022119471E-5</v>
      </c>
    </row>
    <row r="23" spans="1:5" x14ac:dyDescent="0.25">
      <c r="A23">
        <v>2.6420534192499998</v>
      </c>
      <c r="B23">
        <v>6.3756706068395744E-2</v>
      </c>
      <c r="C23">
        <f t="shared" si="0"/>
        <v>5.3447999647497857E-2</v>
      </c>
      <c r="D23">
        <f t="shared" si="1"/>
        <v>1.0308706420897887E-2</v>
      </c>
      <c r="E23">
        <f t="shared" si="2"/>
        <v>1.0626942807226132E-4</v>
      </c>
    </row>
    <row r="24" spans="1:5" x14ac:dyDescent="0.25">
      <c r="A24">
        <v>2.7593529621499995</v>
      </c>
      <c r="B24">
        <v>6.1077852872244667E-2</v>
      </c>
      <c r="C24">
        <f t="shared" si="0"/>
        <v>4.2791322937426171E-2</v>
      </c>
      <c r="D24">
        <f t="shared" si="1"/>
        <v>1.8286529934818496E-2</v>
      </c>
      <c r="E24">
        <f t="shared" si="2"/>
        <v>3.3439717705701294E-4</v>
      </c>
    </row>
    <row r="25" spans="1:5" x14ac:dyDescent="0.25">
      <c r="A25">
        <v>2.87665250505</v>
      </c>
      <c r="B25">
        <v>3.3753550271503632E-2</v>
      </c>
      <c r="C25">
        <f t="shared" si="0"/>
        <v>3.4055118833443858E-2</v>
      </c>
      <c r="D25">
        <f t="shared" si="1"/>
        <v>-3.0156856194022558E-4</v>
      </c>
      <c r="E25">
        <f t="shared" si="2"/>
        <v>9.0943597550695669E-8</v>
      </c>
    </row>
    <row r="26" spans="1:5" x14ac:dyDescent="0.25">
      <c r="A26">
        <v>2.9939520479500001</v>
      </c>
      <c r="B26">
        <v>3.58966328284245E-2</v>
      </c>
      <c r="C26">
        <f t="shared" si="0"/>
        <v>2.694566530721235E-2</v>
      </c>
      <c r="D26">
        <f t="shared" si="1"/>
        <v>8.9509675212121505E-3</v>
      </c>
      <c r="E26">
        <f t="shared" si="2"/>
        <v>8.0119819565794783E-5</v>
      </c>
    </row>
    <row r="27" spans="1:5" x14ac:dyDescent="0.25">
      <c r="A27">
        <v>3.1112515908500002</v>
      </c>
      <c r="B27">
        <v>3.7503944746115146E-2</v>
      </c>
      <c r="C27">
        <f t="shared" si="0"/>
        <v>2.1200510038715224E-2</v>
      </c>
      <c r="D27">
        <f t="shared" si="1"/>
        <v>1.6303434707399922E-2</v>
      </c>
      <c r="E27">
        <f t="shared" si="2"/>
        <v>2.6580198325845239E-4</v>
      </c>
    </row>
    <row r="28" spans="1:5" x14ac:dyDescent="0.25">
      <c r="A28">
        <v>3.2285511337500004</v>
      </c>
      <c r="B28">
        <v>2.3038137486899306E-2</v>
      </c>
      <c r="C28">
        <f t="shared" si="0"/>
        <v>1.6588996523937131E-2</v>
      </c>
      <c r="D28">
        <f t="shared" si="1"/>
        <v>6.4491409629621743E-3</v>
      </c>
      <c r="E28">
        <f t="shared" si="2"/>
        <v>4.159141916015668E-5</v>
      </c>
    </row>
    <row r="29" spans="1:5" x14ac:dyDescent="0.25">
      <c r="A29">
        <v>3.34585067665</v>
      </c>
      <c r="B29">
        <v>1.4465807259215842E-2</v>
      </c>
      <c r="C29">
        <f t="shared" si="0"/>
        <v>1.2911329821570403E-2</v>
      </c>
      <c r="D29">
        <f t="shared" si="1"/>
        <v>1.5544774376454393E-3</v>
      </c>
      <c r="E29">
        <f t="shared" si="2"/>
        <v>2.4164001041487307E-6</v>
      </c>
    </row>
    <row r="30" spans="1:5" x14ac:dyDescent="0.25">
      <c r="A30">
        <v>3.4631502195500001</v>
      </c>
      <c r="B30">
        <v>1.2322724702294978E-2</v>
      </c>
      <c r="C30">
        <f t="shared" si="0"/>
        <v>9.9966667003860664E-3</v>
      </c>
      <c r="D30">
        <f t="shared" si="1"/>
        <v>2.3260580019089112E-3</v>
      </c>
      <c r="E30">
        <f t="shared" si="2"/>
        <v>5.4105458282444765E-6</v>
      </c>
    </row>
    <row r="31" spans="1:5" x14ac:dyDescent="0.25">
      <c r="A31">
        <v>3.5804497624499998</v>
      </c>
      <c r="B31">
        <v>1.0179642145374111E-2</v>
      </c>
      <c r="C31">
        <f t="shared" si="0"/>
        <v>7.7006132336173818E-3</v>
      </c>
      <c r="D31">
        <f t="shared" si="1"/>
        <v>2.4790289117567295E-3</v>
      </c>
      <c r="E31">
        <f t="shared" si="2"/>
        <v>6.145584345325754E-6</v>
      </c>
    </row>
    <row r="32" spans="1:5" x14ac:dyDescent="0.25">
      <c r="A32">
        <v>3.6977493053500003</v>
      </c>
      <c r="B32">
        <v>8.0365595884532466E-3</v>
      </c>
      <c r="C32">
        <f t="shared" si="0"/>
        <v>5.9024228803583843E-3</v>
      </c>
      <c r="D32">
        <f t="shared" si="1"/>
        <v>2.1341367080948623E-3</v>
      </c>
      <c r="E32">
        <f t="shared" si="2"/>
        <v>4.5545394888379751E-6</v>
      </c>
    </row>
    <row r="33" spans="1:5" x14ac:dyDescent="0.25">
      <c r="A33">
        <v>3.81504884825</v>
      </c>
      <c r="B33">
        <v>8.0365595884532466E-3</v>
      </c>
      <c r="C33">
        <f t="shared" si="0"/>
        <v>4.5021111095005341E-3</v>
      </c>
      <c r="D33">
        <f t="shared" si="1"/>
        <v>3.5344484789527125E-3</v>
      </c>
      <c r="E33">
        <f t="shared" si="2"/>
        <v>1.2492326050371144E-5</v>
      </c>
    </row>
    <row r="34" spans="1:5" x14ac:dyDescent="0.25">
      <c r="A34">
        <v>3.9323483911499997</v>
      </c>
      <c r="B34">
        <v>2.6788531961510821E-3</v>
      </c>
      <c r="C34">
        <f t="shared" si="0"/>
        <v>3.4176387917669083E-3</v>
      </c>
      <c r="D34">
        <f t="shared" si="1"/>
        <v>-7.3878559561582624E-4</v>
      </c>
      <c r="E34">
        <f t="shared" si="2"/>
        <v>5.4580415628943112E-7</v>
      </c>
    </row>
    <row r="35" spans="1:5" x14ac:dyDescent="0.25">
      <c r="A35">
        <v>4.0496479340500002</v>
      </c>
      <c r="B35">
        <v>7.5007889492230296E-3</v>
      </c>
      <c r="C35">
        <f t="shared" si="0"/>
        <v>2.582265228161849E-3</v>
      </c>
      <c r="D35">
        <f t="shared" si="1"/>
        <v>4.9185237210611805E-3</v>
      </c>
      <c r="E35">
        <f t="shared" si="2"/>
        <v>2.4191875594641523E-5</v>
      </c>
    </row>
    <row r="36" spans="1:5" x14ac:dyDescent="0.25">
      <c r="A36">
        <v>4.1669474769499999</v>
      </c>
      <c r="B36">
        <v>2.1430825569208655E-3</v>
      </c>
      <c r="C36">
        <f t="shared" si="0"/>
        <v>1.9421316063781742E-3</v>
      </c>
      <c r="D36">
        <f t="shared" si="1"/>
        <v>2.009509505426913E-4</v>
      </c>
      <c r="E36">
        <f t="shared" si="2"/>
        <v>4.0381284524011163E-8</v>
      </c>
    </row>
    <row r="37" spans="1:5" x14ac:dyDescent="0.25">
      <c r="A37">
        <v>4.2842470198499996</v>
      </c>
      <c r="B37">
        <v>2.1430825569208655E-3</v>
      </c>
      <c r="C37">
        <f t="shared" si="0"/>
        <v>1.454105417351794E-3</v>
      </c>
      <c r="D37">
        <f t="shared" si="1"/>
        <v>6.8897713956907148E-4</v>
      </c>
      <c r="E37">
        <f t="shared" si="2"/>
        <v>4.746894988487798E-7</v>
      </c>
    </row>
    <row r="38" spans="1:5" x14ac:dyDescent="0.25">
      <c r="A38">
        <v>4.4015465627500001</v>
      </c>
      <c r="B38">
        <v>1.0715412784604327E-3</v>
      </c>
      <c r="C38">
        <f t="shared" si="0"/>
        <v>1.0838943675672561E-3</v>
      </c>
      <c r="D38">
        <f t="shared" si="1"/>
        <v>-1.2353089106823369E-5</v>
      </c>
      <c r="E38">
        <f t="shared" si="2"/>
        <v>1.5259881048111817E-10</v>
      </c>
    </row>
    <row r="39" spans="1:5" x14ac:dyDescent="0.25">
      <c r="A39">
        <v>4.5188461056499998</v>
      </c>
      <c r="B39">
        <v>0</v>
      </c>
      <c r="C39">
        <f t="shared" si="0"/>
        <v>8.0442306860029175E-4</v>
      </c>
      <c r="D39">
        <f t="shared" si="1"/>
        <v>-8.0442306860029175E-4</v>
      </c>
      <c r="E39">
        <f t="shared" si="2"/>
        <v>6.4709647329630974E-7</v>
      </c>
    </row>
    <row r="40" spans="1:5" x14ac:dyDescent="0.25">
      <c r="A40">
        <v>4.6361456485500003</v>
      </c>
      <c r="B40">
        <v>1.0715412784604327E-3</v>
      </c>
      <c r="C40">
        <f t="shared" si="0"/>
        <v>5.9445586955318675E-4</v>
      </c>
      <c r="D40">
        <f t="shared" si="1"/>
        <v>4.7708540890724598E-4</v>
      </c>
      <c r="E40">
        <f t="shared" si="2"/>
        <v>2.276104873921941E-7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46A1-912D-4519-857C-0D74823492F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6.2709975449999997E-2</v>
      </c>
      <c r="B1">
        <v>0.26166678309591213</v>
      </c>
      <c r="C1">
        <f>$H$3*(1+$H$1)*(A1^($H$1))*EXP(-$H$3*(A1^(1+$H$1)))</f>
        <v>0.28370142918789998</v>
      </c>
      <c r="D1">
        <f>B1-C1</f>
        <v>-2.2034646091987853E-2</v>
      </c>
      <c r="E1">
        <f>D1^2</f>
        <v>4.8552562839915557E-4</v>
      </c>
      <c r="G1" t="s">
        <v>0</v>
      </c>
      <c r="H1">
        <v>0.54958905352186727</v>
      </c>
    </row>
    <row r="2" spans="1:8" x14ac:dyDescent="0.25">
      <c r="A2">
        <v>0.17535174835</v>
      </c>
      <c r="B2">
        <v>0.45470880218159571</v>
      </c>
      <c r="C2">
        <f t="shared" ref="C2:C40" si="0">$H$3*(1+$H$1)*(A2^($H$1))*EXP(-$H$3*(A2^(1+$H$1)))</f>
        <v>0.47699851631134249</v>
      </c>
      <c r="D2">
        <f t="shared" ref="D2:D40" si="1">B2-C2</f>
        <v>-2.2289714129746785E-2</v>
      </c>
      <c r="E2">
        <f t="shared" ref="E2:E40" si="2">D2^2</f>
        <v>4.9683135598583346E-4</v>
      </c>
    </row>
    <row r="3" spans="1:8" x14ac:dyDescent="0.25">
      <c r="A3">
        <v>0.28799352125000005</v>
      </c>
      <c r="B3">
        <v>0.67285744224663124</v>
      </c>
      <c r="C3">
        <f t="shared" si="0"/>
        <v>0.586428882810064</v>
      </c>
      <c r="D3">
        <f t="shared" si="1"/>
        <v>8.6428559436567243E-2</v>
      </c>
      <c r="E3">
        <f t="shared" si="2"/>
        <v>7.4698958862802365E-3</v>
      </c>
      <c r="G3" t="s">
        <v>1</v>
      </c>
      <c r="H3">
        <f>(_xlfn.GAMMA((2+$H$1)/(1+$H$1)))^(1+$H$1)</f>
        <v>0.84851596119689898</v>
      </c>
    </row>
    <row r="4" spans="1:8" x14ac:dyDescent="0.25">
      <c r="A4">
        <v>0.40063529415000004</v>
      </c>
      <c r="B4">
        <v>0.65890931948032461</v>
      </c>
      <c r="C4">
        <f t="shared" si="0"/>
        <v>0.64751270305419451</v>
      </c>
      <c r="D4">
        <f t="shared" si="1"/>
        <v>1.1396616426130102E-2</v>
      </c>
      <c r="E4">
        <f t="shared" si="2"/>
        <v>1.2988286596433846E-4</v>
      </c>
    </row>
    <row r="5" spans="1:8" x14ac:dyDescent="0.25">
      <c r="A5">
        <v>0.51327706705000009</v>
      </c>
      <c r="B5">
        <v>0.64775082126727934</v>
      </c>
      <c r="C5">
        <f t="shared" si="0"/>
        <v>0.67388731735556828</v>
      </c>
      <c r="D5">
        <f t="shared" si="1"/>
        <v>-2.6136496088288941E-2</v>
      </c>
      <c r="E5">
        <f t="shared" si="2"/>
        <v>6.8311642777314308E-4</v>
      </c>
      <c r="G5" t="s">
        <v>2</v>
      </c>
      <c r="H5">
        <f>SUM(E1:E40)</f>
        <v>3.4209212207019814E-2</v>
      </c>
    </row>
    <row r="6" spans="1:8" x14ac:dyDescent="0.25">
      <c r="A6">
        <v>0.62591883995000008</v>
      </c>
      <c r="B6">
        <v>0.6544459201951065</v>
      </c>
      <c r="C6">
        <f t="shared" si="0"/>
        <v>0.67414526474872927</v>
      </c>
      <c r="D6">
        <f t="shared" si="1"/>
        <v>-1.9699344553622766E-2</v>
      </c>
      <c r="E6">
        <f t="shared" si="2"/>
        <v>3.8806417584234695E-4</v>
      </c>
    </row>
    <row r="7" spans="1:8" x14ac:dyDescent="0.25">
      <c r="A7">
        <v>0.73856061285000008</v>
      </c>
      <c r="B7">
        <v>0.61260155189618659</v>
      </c>
      <c r="C7">
        <f t="shared" si="0"/>
        <v>0.65484022507655071</v>
      </c>
      <c r="D7">
        <f t="shared" si="1"/>
        <v>-4.2238673180364117E-2</v>
      </c>
      <c r="E7">
        <f t="shared" si="2"/>
        <v>1.7841055120376109E-3</v>
      </c>
    </row>
    <row r="8" spans="1:8" x14ac:dyDescent="0.25">
      <c r="A8">
        <v>0.85120238575000007</v>
      </c>
      <c r="B8">
        <v>0.65946724439097693</v>
      </c>
      <c r="C8">
        <f t="shared" si="0"/>
        <v>0.62134021451091292</v>
      </c>
      <c r="D8">
        <f t="shared" si="1"/>
        <v>3.8127029880064001E-2</v>
      </c>
      <c r="E8">
        <f t="shared" si="2"/>
        <v>1.4536704074752931E-3</v>
      </c>
    </row>
    <row r="9" spans="1:8" x14ac:dyDescent="0.25">
      <c r="A9">
        <v>0.96384415865000017</v>
      </c>
      <c r="B9">
        <v>0.66169894403358598</v>
      </c>
      <c r="C9">
        <f t="shared" si="0"/>
        <v>0.57812398146200472</v>
      </c>
      <c r="D9">
        <f t="shared" si="1"/>
        <v>8.3574962571581257E-2</v>
      </c>
      <c r="E9">
        <f t="shared" si="2"/>
        <v>6.9847743688412076E-3</v>
      </c>
    </row>
    <row r="10" spans="1:8" x14ac:dyDescent="0.25">
      <c r="A10">
        <v>1.0764859315500002</v>
      </c>
      <c r="B10">
        <v>0.58916870564879154</v>
      </c>
      <c r="C10">
        <f t="shared" si="0"/>
        <v>0.52890603788892543</v>
      </c>
      <c r="D10">
        <f t="shared" si="1"/>
        <v>6.0262667759866106E-2</v>
      </c>
      <c r="E10">
        <f t="shared" si="2"/>
        <v>3.6315891255360058E-3</v>
      </c>
    </row>
    <row r="11" spans="1:8" x14ac:dyDescent="0.25">
      <c r="A11">
        <v>1.1891277044500002</v>
      </c>
      <c r="B11">
        <v>0.45582465200290029</v>
      </c>
      <c r="C11">
        <f t="shared" si="0"/>
        <v>0.47670971611182461</v>
      </c>
      <c r="D11">
        <f t="shared" si="1"/>
        <v>-2.0885064108924323E-2</v>
      </c>
      <c r="E11">
        <f t="shared" si="2"/>
        <v>4.361859028338789E-4</v>
      </c>
    </row>
    <row r="12" spans="1:8" x14ac:dyDescent="0.25">
      <c r="A12">
        <v>1.3017694773500001</v>
      </c>
      <c r="B12">
        <v>0.41007480932941454</v>
      </c>
      <c r="C12">
        <f t="shared" si="0"/>
        <v>0.42392905030186878</v>
      </c>
      <c r="D12">
        <f t="shared" si="1"/>
        <v>-1.3854240972454246E-2</v>
      </c>
      <c r="E12">
        <f t="shared" si="2"/>
        <v>1.9193999292282997E-4</v>
      </c>
    </row>
    <row r="13" spans="1:8" x14ac:dyDescent="0.25">
      <c r="A13">
        <v>1.4144112502500001</v>
      </c>
      <c r="B13">
        <v>0.33475494639135883</v>
      </c>
      <c r="C13">
        <f t="shared" si="0"/>
        <v>0.37239263315887022</v>
      </c>
      <c r="D13">
        <f t="shared" si="1"/>
        <v>-3.7637686767511391E-2</v>
      </c>
      <c r="E13">
        <f t="shared" si="2"/>
        <v>1.4165954652093022E-3</v>
      </c>
    </row>
    <row r="14" spans="1:8" x14ac:dyDescent="0.25">
      <c r="A14">
        <v>1.5270530231500001</v>
      </c>
      <c r="B14">
        <v>0.28733132898591635</v>
      </c>
      <c r="C14">
        <f t="shared" si="0"/>
        <v>0.32343195528952245</v>
      </c>
      <c r="D14">
        <f t="shared" si="1"/>
        <v>-3.6100626303606109E-2</v>
      </c>
      <c r="E14">
        <f t="shared" si="2"/>
        <v>1.3032552195126172E-3</v>
      </c>
    </row>
    <row r="15" spans="1:8" x14ac:dyDescent="0.25">
      <c r="A15">
        <v>1.6396947960500001</v>
      </c>
      <c r="B15">
        <v>0.21368524077981738</v>
      </c>
      <c r="C15">
        <f t="shared" si="0"/>
        <v>0.27795266264852092</v>
      </c>
      <c r="D15">
        <f t="shared" si="1"/>
        <v>-6.4267421868703545E-2</v>
      </c>
      <c r="E15">
        <f t="shared" si="2"/>
        <v>4.1303015136499146E-3</v>
      </c>
    </row>
    <row r="16" spans="1:8" x14ac:dyDescent="0.25">
      <c r="A16">
        <v>1.7523365689500001</v>
      </c>
      <c r="B16">
        <v>0.20141089274546756</v>
      </c>
      <c r="C16">
        <f t="shared" si="0"/>
        <v>0.2365058970527176</v>
      </c>
      <c r="D16">
        <f t="shared" si="1"/>
        <v>-3.5095004307250044E-2</v>
      </c>
      <c r="E16">
        <f t="shared" si="2"/>
        <v>1.2316593273258992E-3</v>
      </c>
    </row>
    <row r="17" spans="1:5" x14ac:dyDescent="0.25">
      <c r="A17">
        <v>1.8649783418500001</v>
      </c>
      <c r="B17">
        <v>0.17853597140872471</v>
      </c>
      <c r="C17">
        <f t="shared" si="0"/>
        <v>0.19935686356737395</v>
      </c>
      <c r="D17">
        <f t="shared" si="1"/>
        <v>-2.082089215864924E-2</v>
      </c>
      <c r="E17">
        <f t="shared" si="2"/>
        <v>4.3350955028210141E-4</v>
      </c>
    </row>
    <row r="18" spans="1:5" x14ac:dyDescent="0.25">
      <c r="A18">
        <v>1.9776201147500001</v>
      </c>
      <c r="B18">
        <v>0.1439446269482843</v>
      </c>
      <c r="C18">
        <f t="shared" si="0"/>
        <v>0.16654828465287128</v>
      </c>
      <c r="D18">
        <f t="shared" si="1"/>
        <v>-2.2603657704586971E-2</v>
      </c>
      <c r="E18">
        <f t="shared" si="2"/>
        <v>5.1092534162613392E-4</v>
      </c>
    </row>
    <row r="19" spans="1:5" x14ac:dyDescent="0.25">
      <c r="A19">
        <v>2.0902618876500001</v>
      </c>
      <c r="B19">
        <v>0.1344599034671958</v>
      </c>
      <c r="C19">
        <f t="shared" si="0"/>
        <v>0.13795710194025373</v>
      </c>
      <c r="D19">
        <f t="shared" si="1"/>
        <v>-3.4971984730579331E-3</v>
      </c>
      <c r="E19">
        <f t="shared" si="2"/>
        <v>1.2230397159958739E-5</v>
      </c>
    </row>
    <row r="20" spans="1:5" x14ac:dyDescent="0.25">
      <c r="A20">
        <v>2.2029036605500001</v>
      </c>
      <c r="B20">
        <v>0.10991120739849615</v>
      </c>
      <c r="C20">
        <f t="shared" si="0"/>
        <v>0.11334349171492379</v>
      </c>
      <c r="D20">
        <f t="shared" si="1"/>
        <v>-3.4322843164276418E-3</v>
      </c>
      <c r="E20">
        <f t="shared" si="2"/>
        <v>1.1780575628795164E-5</v>
      </c>
    </row>
    <row r="21" spans="1:5" x14ac:dyDescent="0.25">
      <c r="A21">
        <v>2.3155454334500005</v>
      </c>
      <c r="B21">
        <v>9.205761025762367E-2</v>
      </c>
      <c r="C21">
        <f t="shared" si="0"/>
        <v>9.2391879431142063E-2</v>
      </c>
      <c r="D21">
        <f t="shared" si="1"/>
        <v>-3.3426917351839225E-4</v>
      </c>
      <c r="E21">
        <f t="shared" si="2"/>
        <v>1.1173588036466902E-7</v>
      </c>
    </row>
    <row r="22" spans="1:5" x14ac:dyDescent="0.25">
      <c r="A22">
        <v>2.4281872063500005</v>
      </c>
      <c r="B22">
        <v>8.5362511329796498E-2</v>
      </c>
      <c r="C22">
        <f t="shared" si="0"/>
        <v>7.4744132827068391E-2</v>
      </c>
      <c r="D22">
        <f t="shared" si="1"/>
        <v>1.0618378502728107E-2</v>
      </c>
      <c r="E22">
        <f t="shared" si="2"/>
        <v>1.127499620271984E-4</v>
      </c>
    </row>
    <row r="23" spans="1:5" x14ac:dyDescent="0.25">
      <c r="A23">
        <v>2.5408289792500001</v>
      </c>
      <c r="B23">
        <v>7.5877787848707995E-2</v>
      </c>
      <c r="C23">
        <f t="shared" si="0"/>
        <v>6.00254733817406E-2</v>
      </c>
      <c r="D23">
        <f t="shared" si="1"/>
        <v>1.5852314466967395E-2</v>
      </c>
      <c r="E23">
        <f t="shared" si="2"/>
        <v>2.5129587395962376E-4</v>
      </c>
    </row>
    <row r="24" spans="1:5" x14ac:dyDescent="0.25">
      <c r="A24">
        <v>2.6534707521500001</v>
      </c>
      <c r="B24">
        <v>5.8582115618487793E-2</v>
      </c>
      <c r="C24">
        <f t="shared" si="0"/>
        <v>4.7863880185493854E-2</v>
      </c>
      <c r="D24">
        <f t="shared" si="1"/>
        <v>1.0718235432993939E-2</v>
      </c>
      <c r="E24">
        <f t="shared" si="2"/>
        <v>1.1488057079708677E-4</v>
      </c>
    </row>
    <row r="25" spans="1:5" x14ac:dyDescent="0.25">
      <c r="A25">
        <v>2.7661125250500005</v>
      </c>
      <c r="B25">
        <v>4.0728518477615321E-2</v>
      </c>
      <c r="C25">
        <f t="shared" si="0"/>
        <v>3.7903886274910897E-2</v>
      </c>
      <c r="D25">
        <f t="shared" si="1"/>
        <v>2.8246322027044232E-3</v>
      </c>
      <c r="E25">
        <f t="shared" si="2"/>
        <v>7.9785470805548426E-6</v>
      </c>
    </row>
    <row r="26" spans="1:5" x14ac:dyDescent="0.25">
      <c r="A26">
        <v>2.8787542979500005</v>
      </c>
      <c r="B26">
        <v>3.6265119192397208E-2</v>
      </c>
      <c r="C26">
        <f t="shared" si="0"/>
        <v>2.981570656509076E-2</v>
      </c>
      <c r="D26">
        <f t="shared" si="1"/>
        <v>6.449412627306448E-3</v>
      </c>
      <c r="E26">
        <f t="shared" si="2"/>
        <v>4.1594923237259858E-5</v>
      </c>
    </row>
    <row r="27" spans="1:5" x14ac:dyDescent="0.25">
      <c r="A27">
        <v>2.9913960708500005</v>
      </c>
      <c r="B27">
        <v>3.7938893924353997E-2</v>
      </c>
      <c r="C27">
        <f t="shared" si="0"/>
        <v>2.3300610655456931E-2</v>
      </c>
      <c r="D27">
        <f t="shared" si="1"/>
        <v>1.4638283268897066E-2</v>
      </c>
      <c r="E27">
        <f t="shared" si="2"/>
        <v>2.1427933706047179E-4</v>
      </c>
    </row>
    <row r="28" spans="1:5" x14ac:dyDescent="0.25">
      <c r="A28">
        <v>3.1040378437500005</v>
      </c>
      <c r="B28">
        <v>3.1801719907179088E-2</v>
      </c>
      <c r="C28">
        <f t="shared" si="0"/>
        <v>1.8093383309899111E-2</v>
      </c>
      <c r="D28">
        <f t="shared" si="1"/>
        <v>1.3708336597279977E-2</v>
      </c>
      <c r="E28">
        <f t="shared" si="2"/>
        <v>1.8791849226432557E-4</v>
      </c>
    </row>
    <row r="29" spans="1:5" x14ac:dyDescent="0.25">
      <c r="A29">
        <v>3.2166796166500005</v>
      </c>
      <c r="B29">
        <v>1.4506047676958882E-2</v>
      </c>
      <c r="C29">
        <f t="shared" si="0"/>
        <v>1.3962617799195023E-2</v>
      </c>
      <c r="D29">
        <f t="shared" si="1"/>
        <v>5.4342987776385965E-4</v>
      </c>
      <c r="E29">
        <f t="shared" si="2"/>
        <v>2.9531603204644343E-7</v>
      </c>
    </row>
    <row r="30" spans="1:5" x14ac:dyDescent="0.25">
      <c r="A30">
        <v>3.3293213895500005</v>
      </c>
      <c r="B30">
        <v>1.2274348034349824E-2</v>
      </c>
      <c r="C30">
        <f t="shared" si="0"/>
        <v>1.0709476671088125E-2</v>
      </c>
      <c r="D30">
        <f t="shared" si="1"/>
        <v>1.5648713632616992E-3</v>
      </c>
      <c r="E30">
        <f t="shared" si="2"/>
        <v>2.4488223835565288E-6</v>
      </c>
    </row>
    <row r="31" spans="1:5" x14ac:dyDescent="0.25">
      <c r="A31">
        <v>3.4419631624500004</v>
      </c>
      <c r="B31">
        <v>1.2832272945002087E-2</v>
      </c>
      <c r="C31">
        <f t="shared" si="0"/>
        <v>8.1654416103276919E-3</v>
      </c>
      <c r="D31">
        <f t="shared" si="1"/>
        <v>4.6668313346743956E-3</v>
      </c>
      <c r="E31">
        <f t="shared" si="2"/>
        <v>2.1779314706298801E-5</v>
      </c>
    </row>
    <row r="32" spans="1:5" x14ac:dyDescent="0.25">
      <c r="A32">
        <v>3.5546049353500004</v>
      </c>
      <c r="B32">
        <v>8.3688736597839711E-3</v>
      </c>
      <c r="C32">
        <f t="shared" si="0"/>
        <v>6.1894664570510995E-3</v>
      </c>
      <c r="D32">
        <f t="shared" si="1"/>
        <v>2.1794072027328717E-3</v>
      </c>
      <c r="E32">
        <f t="shared" si="2"/>
        <v>4.7498157553239201E-6</v>
      </c>
    </row>
    <row r="33" spans="1:5" x14ac:dyDescent="0.25">
      <c r="A33">
        <v>3.6672467082500004</v>
      </c>
      <c r="B33">
        <v>1.0600573302393029E-2</v>
      </c>
      <c r="C33">
        <f t="shared" si="0"/>
        <v>4.6648500489800742E-3</v>
      </c>
      <c r="D33">
        <f t="shared" si="1"/>
        <v>5.9357232534129551E-3</v>
      </c>
      <c r="E33">
        <f t="shared" si="2"/>
        <v>3.5232810541107279E-5</v>
      </c>
    </row>
    <row r="34" spans="1:5" x14ac:dyDescent="0.25">
      <c r="A34">
        <v>3.7798884811500004</v>
      </c>
      <c r="B34">
        <v>2.2316996426090586E-3</v>
      </c>
      <c r="C34">
        <f t="shared" si="0"/>
        <v>3.4960610222564427E-3</v>
      </c>
      <c r="D34">
        <f t="shared" si="1"/>
        <v>-1.2643613796473841E-3</v>
      </c>
      <c r="E34">
        <f t="shared" si="2"/>
        <v>1.5986096983438366E-6</v>
      </c>
    </row>
    <row r="35" spans="1:5" x14ac:dyDescent="0.25">
      <c r="A35">
        <v>3.8925302540500004</v>
      </c>
      <c r="B35">
        <v>7.2530238384794412E-3</v>
      </c>
      <c r="C35">
        <f t="shared" si="0"/>
        <v>2.6056760412570884E-3</v>
      </c>
      <c r="D35">
        <f t="shared" si="1"/>
        <v>4.6473477972223528E-3</v>
      </c>
      <c r="E35">
        <f t="shared" si="2"/>
        <v>2.1597841548347453E-5</v>
      </c>
    </row>
    <row r="36" spans="1:5" x14ac:dyDescent="0.25">
      <c r="A36">
        <v>4.0051720269500004</v>
      </c>
      <c r="B36">
        <v>3.9054743745658531E-3</v>
      </c>
      <c r="C36">
        <f t="shared" si="0"/>
        <v>1.9315359103256138E-3</v>
      </c>
      <c r="D36">
        <f t="shared" si="1"/>
        <v>1.9739384642402393E-3</v>
      </c>
      <c r="E36">
        <f t="shared" si="2"/>
        <v>3.8964330606071148E-6</v>
      </c>
    </row>
    <row r="37" spans="1:5" x14ac:dyDescent="0.25">
      <c r="A37">
        <v>4.1178137998500004</v>
      </c>
      <c r="B37">
        <v>1.6737747319567941E-3</v>
      </c>
      <c r="C37">
        <f t="shared" si="0"/>
        <v>1.4241796276417223E-3</v>
      </c>
      <c r="D37">
        <f t="shared" si="1"/>
        <v>2.495951043150718E-4</v>
      </c>
      <c r="E37">
        <f t="shared" si="2"/>
        <v>6.2297716098051576E-8</v>
      </c>
    </row>
    <row r="38" spans="1:5" x14ac:dyDescent="0.25">
      <c r="A38">
        <v>4.2304555727499995</v>
      </c>
      <c r="B38">
        <v>1.1158498213045293E-3</v>
      </c>
      <c r="C38">
        <f t="shared" si="0"/>
        <v>1.0445831814176831E-3</v>
      </c>
      <c r="D38">
        <f t="shared" si="1"/>
        <v>7.1266639886846152E-5</v>
      </c>
      <c r="E38">
        <f t="shared" si="2"/>
        <v>5.0789339607614105E-9</v>
      </c>
    </row>
    <row r="39" spans="1:5" x14ac:dyDescent="0.25">
      <c r="A39">
        <v>4.3430973456499995</v>
      </c>
      <c r="B39">
        <v>0</v>
      </c>
      <c r="C39">
        <f t="shared" si="0"/>
        <v>7.6220605665135947E-4</v>
      </c>
      <c r="D39">
        <f t="shared" si="1"/>
        <v>-7.6220605665135947E-4</v>
      </c>
      <c r="E39">
        <f t="shared" si="2"/>
        <v>5.8095807279601539E-7</v>
      </c>
    </row>
    <row r="40" spans="1:5" x14ac:dyDescent="0.25">
      <c r="A40">
        <v>4.4557391185500004</v>
      </c>
      <c r="B40">
        <v>1.1158498213045293E-3</v>
      </c>
      <c r="C40">
        <f t="shared" si="0"/>
        <v>5.5333228572721665E-4</v>
      </c>
      <c r="D40">
        <f t="shared" si="1"/>
        <v>5.6251753557731265E-4</v>
      </c>
      <c r="E40">
        <f t="shared" si="2"/>
        <v>3.1642597783197318E-7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FD40-AF71-4B01-B519-9D487AE49EA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6.4636909162500006E-2</v>
      </c>
      <c r="B1">
        <v>0.20623842708246662</v>
      </c>
      <c r="C1">
        <f>$H$3*(1+$H$1)*(A1^($H$1))*EXP(-$H$3*(A1^(1+$H$1)))</f>
        <v>0.25149087804691311</v>
      </c>
      <c r="D1">
        <f>B1-C1</f>
        <v>-4.5252450964446495E-2</v>
      </c>
      <c r="E1">
        <f>D1^2</f>
        <v>2.0477843182896346E-3</v>
      </c>
      <c r="G1" t="s">
        <v>0</v>
      </c>
      <c r="H1">
        <v>0.60953707557450876</v>
      </c>
    </row>
    <row r="2" spans="1:8" x14ac:dyDescent="0.25">
      <c r="A2">
        <v>0.17281367548750001</v>
      </c>
      <c r="B2">
        <v>0.4560483528443276</v>
      </c>
      <c r="C2">
        <f t="shared" ref="C2:C40" si="0">$H$3*(1+$H$1)*(A2^($H$1))*EXP(-$H$3*(A2^(1+$H$1)))</f>
        <v>0.44026116803830334</v>
      </c>
      <c r="D2">
        <f t="shared" ref="D2:D40" si="1">B2-C2</f>
        <v>1.5787184806024257E-2</v>
      </c>
      <c r="E2">
        <f t="shared" ref="E2:E40" si="2">D2^2</f>
        <v>2.4923520409956315E-4</v>
      </c>
    </row>
    <row r="3" spans="1:8" x14ac:dyDescent="0.25">
      <c r="A3">
        <v>0.28099044181249999</v>
      </c>
      <c r="B3">
        <v>0.57979140909380755</v>
      </c>
      <c r="C3">
        <f t="shared" si="0"/>
        <v>0.55819819229025847</v>
      </c>
      <c r="D3">
        <f t="shared" si="1"/>
        <v>2.1593216803549087E-2</v>
      </c>
      <c r="E3">
        <f t="shared" si="2"/>
        <v>4.6626701192507462E-4</v>
      </c>
      <c r="G3" t="s">
        <v>1</v>
      </c>
      <c r="H3">
        <f>(_xlfn.GAMMA((2+$H$1)/(1+$H$1)))^(1+$H$1)</f>
        <v>0.83812462095362439</v>
      </c>
    </row>
    <row r="4" spans="1:8" x14ac:dyDescent="0.25">
      <c r="A4">
        <v>0.38916720813750005</v>
      </c>
      <c r="B4">
        <v>0.68494395924007923</v>
      </c>
      <c r="C4">
        <f t="shared" si="0"/>
        <v>0.63167365227245686</v>
      </c>
      <c r="D4">
        <f t="shared" si="1"/>
        <v>5.3270306967622361E-2</v>
      </c>
      <c r="E4">
        <f t="shared" si="2"/>
        <v>2.8377256044247153E-3</v>
      </c>
    </row>
    <row r="5" spans="1:8" x14ac:dyDescent="0.25">
      <c r="A5">
        <v>0.4973439744625</v>
      </c>
      <c r="B5">
        <v>0.69249635234450768</v>
      </c>
      <c r="C5">
        <f t="shared" si="0"/>
        <v>0.6711925883834623</v>
      </c>
      <c r="D5">
        <f t="shared" si="1"/>
        <v>2.1303763961045385E-2</v>
      </c>
      <c r="E5">
        <f t="shared" si="2"/>
        <v>4.5385035890793619E-4</v>
      </c>
      <c r="G5" t="s">
        <v>2</v>
      </c>
      <c r="H5">
        <f>SUM(E1:E40)</f>
        <v>2.57442237058403E-2</v>
      </c>
    </row>
    <row r="6" spans="1:8" x14ac:dyDescent="0.25">
      <c r="A6">
        <v>0.60552074078750007</v>
      </c>
      <c r="B6">
        <v>0.65938201334816793</v>
      </c>
      <c r="C6">
        <f t="shared" si="0"/>
        <v>0.68370799494921242</v>
      </c>
      <c r="D6">
        <f t="shared" si="1"/>
        <v>-2.4325981601044488E-2</v>
      </c>
      <c r="E6">
        <f t="shared" si="2"/>
        <v>5.9175338085435498E-4</v>
      </c>
    </row>
    <row r="7" spans="1:8" x14ac:dyDescent="0.25">
      <c r="A7">
        <v>0.71369750711250002</v>
      </c>
      <c r="B7">
        <v>0.64543913377076167</v>
      </c>
      <c r="C7">
        <f t="shared" si="0"/>
        <v>0.67486524338539899</v>
      </c>
      <c r="D7">
        <f t="shared" si="1"/>
        <v>-2.9426109614637319E-2</v>
      </c>
      <c r="E7">
        <f t="shared" si="2"/>
        <v>8.6589592705265089E-4</v>
      </c>
    </row>
    <row r="8" spans="1:8" x14ac:dyDescent="0.25">
      <c r="A8">
        <v>0.82187427343749997</v>
      </c>
      <c r="B8">
        <v>0.63788674066633333</v>
      </c>
      <c r="C8">
        <f t="shared" si="0"/>
        <v>0.64958903775077992</v>
      </c>
      <c r="D8">
        <f t="shared" si="1"/>
        <v>-1.1702297084446589E-2</v>
      </c>
      <c r="E8">
        <f t="shared" si="2"/>
        <v>1.3694375705264713E-4</v>
      </c>
    </row>
    <row r="9" spans="1:8" x14ac:dyDescent="0.25">
      <c r="A9">
        <v>0.93005103976249992</v>
      </c>
      <c r="B9">
        <v>0.63904864729778388</v>
      </c>
      <c r="C9">
        <f t="shared" si="0"/>
        <v>0.61223608441886346</v>
      </c>
      <c r="D9">
        <f t="shared" si="1"/>
        <v>2.6812562878920421E-2</v>
      </c>
      <c r="E9">
        <f t="shared" si="2"/>
        <v>7.1891352813606131E-4</v>
      </c>
    </row>
    <row r="10" spans="1:8" x14ac:dyDescent="0.25">
      <c r="A10">
        <v>1.0382278060874999</v>
      </c>
      <c r="B10">
        <v>0.65124866692801431</v>
      </c>
      <c r="C10">
        <f t="shared" si="0"/>
        <v>0.56661996234151701</v>
      </c>
      <c r="D10">
        <f t="shared" si="1"/>
        <v>8.4628704586497294E-2</v>
      </c>
      <c r="E10">
        <f t="shared" si="2"/>
        <v>7.1620176399886278E-3</v>
      </c>
    </row>
    <row r="11" spans="1:8" x14ac:dyDescent="0.25">
      <c r="A11">
        <v>1.1464045724125</v>
      </c>
      <c r="B11">
        <v>0.53854372367731429</v>
      </c>
      <c r="C11">
        <f t="shared" si="0"/>
        <v>0.51600638311653635</v>
      </c>
      <c r="D11">
        <f t="shared" si="1"/>
        <v>2.2537340560777941E-2</v>
      </c>
      <c r="E11">
        <f t="shared" si="2"/>
        <v>5.0793171955248659E-4</v>
      </c>
    </row>
    <row r="12" spans="1:8" x14ac:dyDescent="0.25">
      <c r="A12">
        <v>1.2545813387375</v>
      </c>
      <c r="B12">
        <v>0.45256263294997606</v>
      </c>
      <c r="C12">
        <f t="shared" si="0"/>
        <v>0.46311327083600762</v>
      </c>
      <c r="D12">
        <f t="shared" si="1"/>
        <v>-1.0550637886031555E-2</v>
      </c>
      <c r="E12">
        <f t="shared" si="2"/>
        <v>1.1131595980216441E-4</v>
      </c>
    </row>
    <row r="13" spans="1:8" x14ac:dyDescent="0.25">
      <c r="A13">
        <v>1.3627581050624999</v>
      </c>
      <c r="B13">
        <v>0.39737206795607655</v>
      </c>
      <c r="C13">
        <f t="shared" si="0"/>
        <v>0.41012652877486361</v>
      </c>
      <c r="D13">
        <f t="shared" si="1"/>
        <v>-1.2754460818787061E-2</v>
      </c>
      <c r="E13">
        <f t="shared" si="2"/>
        <v>1.6267627077797431E-4</v>
      </c>
    </row>
    <row r="14" spans="1:8" x14ac:dyDescent="0.25">
      <c r="A14">
        <v>1.4709348713874999</v>
      </c>
      <c r="B14">
        <v>0.31197193054446359</v>
      </c>
      <c r="C14">
        <f t="shared" si="0"/>
        <v>0.35873264256682197</v>
      </c>
      <c r="D14">
        <f t="shared" si="1"/>
        <v>-4.6760712022358375E-2</v>
      </c>
      <c r="E14">
        <f t="shared" si="2"/>
        <v>2.1865641888379312E-3</v>
      </c>
    </row>
    <row r="15" spans="1:8" x14ac:dyDescent="0.25">
      <c r="A15">
        <v>1.5791116377124998</v>
      </c>
      <c r="B15">
        <v>0.26898138518079451</v>
      </c>
      <c r="C15">
        <f t="shared" si="0"/>
        <v>0.31016518508827229</v>
      </c>
      <c r="D15">
        <f t="shared" si="1"/>
        <v>-4.1183799907477781E-2</v>
      </c>
      <c r="E15">
        <f t="shared" si="2"/>
        <v>1.6961053748191669E-3</v>
      </c>
    </row>
    <row r="16" spans="1:8" x14ac:dyDescent="0.25">
      <c r="A16">
        <v>1.6872884040375</v>
      </c>
      <c r="B16">
        <v>0.22366702655422435</v>
      </c>
      <c r="C16">
        <f t="shared" si="0"/>
        <v>0.26526080838098431</v>
      </c>
      <c r="D16">
        <f t="shared" si="1"/>
        <v>-4.1593781826759962E-2</v>
      </c>
      <c r="E16">
        <f t="shared" si="2"/>
        <v>1.7300426866521073E-3</v>
      </c>
    </row>
    <row r="17" spans="1:5" x14ac:dyDescent="0.25">
      <c r="A17">
        <v>1.7954651703625</v>
      </c>
      <c r="B17">
        <v>0.18125743450628051</v>
      </c>
      <c r="C17">
        <f t="shared" si="0"/>
        <v>0.22452013268718182</v>
      </c>
      <c r="D17">
        <f t="shared" si="1"/>
        <v>-4.326269818090131E-2</v>
      </c>
      <c r="E17">
        <f t="shared" si="2"/>
        <v>1.8716610538917614E-3</v>
      </c>
    </row>
    <row r="18" spans="1:5" x14ac:dyDescent="0.25">
      <c r="A18">
        <v>1.9036419366874999</v>
      </c>
      <c r="B18">
        <v>0.16789550824459959</v>
      </c>
      <c r="C18">
        <f t="shared" si="0"/>
        <v>0.1881694304904217</v>
      </c>
      <c r="D18">
        <f t="shared" si="1"/>
        <v>-2.0273922245822112E-2</v>
      </c>
      <c r="E18">
        <f t="shared" si="2"/>
        <v>4.110319232296407E-4</v>
      </c>
    </row>
    <row r="19" spans="1:5" x14ac:dyDescent="0.25">
      <c r="A19">
        <v>2.0118187030124997</v>
      </c>
      <c r="B19">
        <v>0.14349546898413876</v>
      </c>
      <c r="C19">
        <f t="shared" si="0"/>
        <v>0.15621979946224751</v>
      </c>
      <c r="D19">
        <f t="shared" si="1"/>
        <v>-1.2724330478108753E-2</v>
      </c>
      <c r="E19">
        <f t="shared" si="2"/>
        <v>1.6190858611612733E-4</v>
      </c>
    </row>
    <row r="20" spans="1:5" x14ac:dyDescent="0.25">
      <c r="A20">
        <v>2.1199954693374998</v>
      </c>
      <c r="B20">
        <v>0.12897163609100729</v>
      </c>
      <c r="C20">
        <f t="shared" si="0"/>
        <v>0.12852141164915423</v>
      </c>
      <c r="D20">
        <f t="shared" si="1"/>
        <v>4.5022444185305321E-4</v>
      </c>
      <c r="E20">
        <f t="shared" si="2"/>
        <v>2.027020480418933E-7</v>
      </c>
    </row>
    <row r="21" spans="1:5" x14ac:dyDescent="0.25">
      <c r="A21">
        <v>2.2281722356625</v>
      </c>
      <c r="B21">
        <v>9.0628717253140256E-2</v>
      </c>
      <c r="C21">
        <f t="shared" si="0"/>
        <v>0.10481128974037741</v>
      </c>
      <c r="D21">
        <f t="shared" si="1"/>
        <v>-1.4182572487237158E-2</v>
      </c>
      <c r="E21">
        <f t="shared" si="2"/>
        <v>2.0114536235573639E-4</v>
      </c>
    </row>
    <row r="22" spans="1:5" x14ac:dyDescent="0.25">
      <c r="A22">
        <v>2.3363490019875002</v>
      </c>
      <c r="B22">
        <v>9.0047763937414996E-2</v>
      </c>
      <c r="C22">
        <f t="shared" si="0"/>
        <v>8.4753821314803413E-2</v>
      </c>
      <c r="D22">
        <f t="shared" si="1"/>
        <v>5.2939426226115832E-3</v>
      </c>
      <c r="E22">
        <f t="shared" si="2"/>
        <v>2.8025828491503609E-5</v>
      </c>
    </row>
    <row r="23" spans="1:5" x14ac:dyDescent="0.25">
      <c r="A23">
        <v>2.4445257683124995</v>
      </c>
      <c r="B23">
        <v>8.9466810621689749E-2</v>
      </c>
      <c r="C23">
        <f t="shared" si="0"/>
        <v>6.7973841958391928E-2</v>
      </c>
      <c r="D23">
        <f t="shared" si="1"/>
        <v>2.1492968663297821E-2</v>
      </c>
      <c r="E23">
        <f t="shared" si="2"/>
        <v>4.619477019615021E-4</v>
      </c>
    </row>
    <row r="24" spans="1:5" x14ac:dyDescent="0.25">
      <c r="A24">
        <v>2.5527025346374996</v>
      </c>
      <c r="B24">
        <v>6.4485818045503643E-2</v>
      </c>
      <c r="C24">
        <f t="shared" si="0"/>
        <v>5.4082587026670528E-2</v>
      </c>
      <c r="D24">
        <f t="shared" si="1"/>
        <v>1.0403231018833115E-2</v>
      </c>
      <c r="E24">
        <f t="shared" si="2"/>
        <v>1.0822721563121149E-4</v>
      </c>
    </row>
    <row r="25" spans="1:5" x14ac:dyDescent="0.25">
      <c r="A25">
        <v>2.6608793009624998</v>
      </c>
      <c r="B25">
        <v>4.4152451995119614E-2</v>
      </c>
      <c r="C25">
        <f t="shared" si="0"/>
        <v>4.2697135706478234E-2</v>
      </c>
      <c r="D25">
        <f t="shared" si="1"/>
        <v>1.4553162886413798E-3</v>
      </c>
      <c r="E25">
        <f t="shared" si="2"/>
        <v>2.1179454999849198E-6</v>
      </c>
    </row>
    <row r="26" spans="1:5" x14ac:dyDescent="0.25">
      <c r="A26">
        <v>2.7690560672875</v>
      </c>
      <c r="B26">
        <v>4.1247685416493325E-2</v>
      </c>
      <c r="C26">
        <f t="shared" si="0"/>
        <v>3.3454166633248267E-2</v>
      </c>
      <c r="D26">
        <f t="shared" si="1"/>
        <v>7.7935187832450584E-3</v>
      </c>
      <c r="E26">
        <f t="shared" si="2"/>
        <v>6.0738935024793533E-5</v>
      </c>
    </row>
    <row r="27" spans="1:5" x14ac:dyDescent="0.25">
      <c r="A27">
        <v>2.8772328336125002</v>
      </c>
      <c r="B27">
        <v>3.3695292312064966E-2</v>
      </c>
      <c r="C27">
        <f t="shared" si="0"/>
        <v>2.6018933941080527E-2</v>
      </c>
      <c r="D27">
        <f t="shared" si="1"/>
        <v>7.6763583709844388E-3</v>
      </c>
      <c r="E27">
        <f t="shared" si="2"/>
        <v>5.892647783978287E-5</v>
      </c>
    </row>
    <row r="28" spans="1:5" x14ac:dyDescent="0.25">
      <c r="A28">
        <v>2.9854095999374999</v>
      </c>
      <c r="B28">
        <v>3.8342918837867036E-2</v>
      </c>
      <c r="C28">
        <f t="shared" si="0"/>
        <v>2.0090380360049766E-2</v>
      </c>
      <c r="D28">
        <f t="shared" si="1"/>
        <v>1.8252538477817271E-2</v>
      </c>
      <c r="E28">
        <f t="shared" si="2"/>
        <v>3.3315516088420002E-4</v>
      </c>
    </row>
    <row r="29" spans="1:5" x14ac:dyDescent="0.25">
      <c r="A29">
        <v>3.0935863662624996</v>
      </c>
      <c r="B29">
        <v>1.5685739524581969E-2</v>
      </c>
      <c r="C29">
        <f t="shared" si="0"/>
        <v>1.5403253079657441E-2</v>
      </c>
      <c r="D29">
        <f t="shared" si="1"/>
        <v>2.8248644492452797E-4</v>
      </c>
      <c r="E29">
        <f t="shared" si="2"/>
        <v>7.9798591566098374E-8</v>
      </c>
    </row>
    <row r="30" spans="1:5" x14ac:dyDescent="0.25">
      <c r="A30">
        <v>3.2017631325874998</v>
      </c>
      <c r="B30">
        <v>1.5685739524581969E-2</v>
      </c>
      <c r="C30">
        <f t="shared" si="0"/>
        <v>1.1727999283185995E-2</v>
      </c>
      <c r="D30">
        <f t="shared" si="1"/>
        <v>3.9577402413959739E-3</v>
      </c>
      <c r="E30">
        <f t="shared" si="2"/>
        <v>1.5663707818365063E-5</v>
      </c>
    </row>
    <row r="31" spans="1:5" x14ac:dyDescent="0.25">
      <c r="A31">
        <v>3.3099398989125</v>
      </c>
      <c r="B31">
        <v>1.4523832893131451E-2</v>
      </c>
      <c r="C31">
        <f t="shared" si="0"/>
        <v>8.8691087905427776E-3</v>
      </c>
      <c r="D31">
        <f t="shared" si="1"/>
        <v>5.6547241025886735E-3</v>
      </c>
      <c r="E31">
        <f t="shared" si="2"/>
        <v>3.1975904676397277E-5</v>
      </c>
    </row>
    <row r="32" spans="1:5" x14ac:dyDescent="0.25">
      <c r="A32">
        <v>3.4181166652375001</v>
      </c>
      <c r="B32">
        <v>1.0457159683054645E-2</v>
      </c>
      <c r="C32">
        <f t="shared" si="0"/>
        <v>6.6624546299301965E-3</v>
      </c>
      <c r="D32">
        <f t="shared" si="1"/>
        <v>3.7947050531244482E-3</v>
      </c>
      <c r="E32">
        <f t="shared" si="2"/>
        <v>1.4399786440208221E-5</v>
      </c>
    </row>
    <row r="33" spans="1:5" x14ac:dyDescent="0.25">
      <c r="A33">
        <v>3.5262934315624999</v>
      </c>
      <c r="B33">
        <v>1.0457159683054645E-2</v>
      </c>
      <c r="C33">
        <f t="shared" si="0"/>
        <v>4.9720684430823656E-3</v>
      </c>
      <c r="D33">
        <f t="shared" si="1"/>
        <v>5.4850912399722791E-3</v>
      </c>
      <c r="E33">
        <f t="shared" si="2"/>
        <v>3.0086225910820635E-5</v>
      </c>
    </row>
    <row r="34" spans="1:5" x14ac:dyDescent="0.25">
      <c r="A34">
        <v>3.6344701978874996</v>
      </c>
      <c r="B34">
        <v>2.3238132629010322E-3</v>
      </c>
      <c r="C34">
        <f t="shared" si="0"/>
        <v>3.686683000429142E-3</v>
      </c>
      <c r="D34">
        <f t="shared" si="1"/>
        <v>-1.3628697375281098E-3</v>
      </c>
      <c r="E34">
        <f t="shared" si="2"/>
        <v>1.857413921469939E-6</v>
      </c>
    </row>
    <row r="35" spans="1:5" x14ac:dyDescent="0.25">
      <c r="A35">
        <v>3.7426469642124998</v>
      </c>
      <c r="B35">
        <v>6.971439788703097E-3</v>
      </c>
      <c r="C35">
        <f t="shared" si="0"/>
        <v>2.7162826139872157E-3</v>
      </c>
      <c r="D35">
        <f t="shared" si="1"/>
        <v>4.2551571747158814E-3</v>
      </c>
      <c r="E35">
        <f t="shared" si="2"/>
        <v>1.8106362581536043E-5</v>
      </c>
    </row>
    <row r="36" spans="1:5" x14ac:dyDescent="0.25">
      <c r="A36">
        <v>3.8508237305374999</v>
      </c>
      <c r="B36">
        <v>2.3238132629010322E-3</v>
      </c>
      <c r="C36">
        <f t="shared" si="0"/>
        <v>1.9888255915793975E-3</v>
      </c>
      <c r="D36">
        <f t="shared" si="1"/>
        <v>3.349876713216347E-4</v>
      </c>
      <c r="E36">
        <f t="shared" si="2"/>
        <v>1.1221673993749156E-7</v>
      </c>
    </row>
    <row r="37" spans="1:5" x14ac:dyDescent="0.25">
      <c r="A37">
        <v>3.9590004968625001</v>
      </c>
      <c r="B37">
        <v>4.0666732100768065E-3</v>
      </c>
      <c r="C37">
        <f t="shared" si="0"/>
        <v>1.447241200809942E-3</v>
      </c>
      <c r="D37">
        <f t="shared" si="1"/>
        <v>2.6194320092668647E-3</v>
      </c>
      <c r="E37">
        <f t="shared" si="2"/>
        <v>6.8614240511718437E-6</v>
      </c>
    </row>
    <row r="38" spans="1:5" x14ac:dyDescent="0.25">
      <c r="A38">
        <v>4.0671772631874994</v>
      </c>
      <c r="B38">
        <v>1.1619066314505161E-3</v>
      </c>
      <c r="C38">
        <f t="shared" si="0"/>
        <v>1.0467559577177329E-3</v>
      </c>
      <c r="D38">
        <f t="shared" si="1"/>
        <v>1.1515067373278317E-4</v>
      </c>
      <c r="E38">
        <f t="shared" si="2"/>
        <v>1.325967766111388E-8</v>
      </c>
    </row>
    <row r="39" spans="1:5" x14ac:dyDescent="0.25">
      <c r="A39">
        <v>4.1753540295124996</v>
      </c>
      <c r="B39">
        <v>0</v>
      </c>
      <c r="C39">
        <f t="shared" si="0"/>
        <v>7.5256882815403256E-4</v>
      </c>
      <c r="D39">
        <f t="shared" si="1"/>
        <v>-7.5256882815403256E-4</v>
      </c>
      <c r="E39">
        <f t="shared" si="2"/>
        <v>5.6635984110913374E-7</v>
      </c>
    </row>
    <row r="40" spans="1:5" x14ac:dyDescent="0.25">
      <c r="A40">
        <v>4.2835307958374997</v>
      </c>
      <c r="B40">
        <v>1.1619066314505161E-3</v>
      </c>
      <c r="C40">
        <f t="shared" si="0"/>
        <v>5.3787022011492821E-4</v>
      </c>
      <c r="D40">
        <f t="shared" si="1"/>
        <v>6.2403641133558789E-4</v>
      </c>
      <c r="E40">
        <f t="shared" si="2"/>
        <v>3.8942144267259905E-7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D374-8A11-4521-B33D-38455F17D2C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6.8318799962499996E-2</v>
      </c>
      <c r="B1">
        <v>0.16041888085919107</v>
      </c>
      <c r="C1">
        <f>$H$3*(1+$H$1)*(A1^($H$1))*EXP(-$H$3*(A1^(1+$H$1)))</f>
        <v>0.22394700050108457</v>
      </c>
      <c r="D1">
        <f>B1-C1</f>
        <v>-6.3528119641893505E-2</v>
      </c>
      <c r="E1">
        <f>D1^2</f>
        <v>4.0358219852347351E-3</v>
      </c>
      <c r="G1" t="s">
        <v>0</v>
      </c>
      <c r="H1">
        <v>0.67602093117047191</v>
      </c>
    </row>
    <row r="2" spans="1:8" x14ac:dyDescent="0.25">
      <c r="A2">
        <v>0.17213511788749999</v>
      </c>
      <c r="B2">
        <v>0.42738011277958077</v>
      </c>
      <c r="C2">
        <f t="shared" ref="C2:C40" si="0">$H$3*(1+$H$1)*(A2^($H$1))*EXP(-$H$3*(A2^(1+$H$1)))</f>
        <v>0.40422615761643294</v>
      </c>
      <c r="D2">
        <f t="shared" ref="D2:D40" si="1">B2-C2</f>
        <v>2.3153955163147832E-2</v>
      </c>
      <c r="E2">
        <f t="shared" ref="E2:E40" si="2">D2^2</f>
        <v>5.3610563969706013E-4</v>
      </c>
    </row>
    <row r="3" spans="1:8" x14ac:dyDescent="0.25">
      <c r="A3">
        <v>0.27595143581249998</v>
      </c>
      <c r="B3">
        <v>0.52847427543424075</v>
      </c>
      <c r="C3">
        <f t="shared" si="0"/>
        <v>0.52781768827964037</v>
      </c>
      <c r="D3">
        <f t="shared" si="1"/>
        <v>6.5658715460037431E-4</v>
      </c>
      <c r="E3">
        <f t="shared" si="2"/>
        <v>4.3110669158621585E-7</v>
      </c>
      <c r="G3" t="s">
        <v>1</v>
      </c>
      <c r="H3">
        <f>(_xlfn.GAMMA((2+$H$1)/(1+$H$1)))^(1+$H$1)</f>
        <v>0.82745088231734121</v>
      </c>
    </row>
    <row r="4" spans="1:8" x14ac:dyDescent="0.25">
      <c r="A4">
        <v>0.37976775373750005</v>
      </c>
      <c r="B4">
        <v>0.67375929960860248</v>
      </c>
      <c r="C4">
        <f t="shared" si="0"/>
        <v>0.61212991609392509</v>
      </c>
      <c r="D4">
        <f t="shared" si="1"/>
        <v>6.1629383514677394E-2</v>
      </c>
      <c r="E4">
        <f t="shared" si="2"/>
        <v>3.7981809123991896E-3</v>
      </c>
    </row>
    <row r="5" spans="1:8" x14ac:dyDescent="0.25">
      <c r="A5">
        <v>0.4835840716625</v>
      </c>
      <c r="B5">
        <v>0.71068590991958613</v>
      </c>
      <c r="C5">
        <f t="shared" si="0"/>
        <v>0.66432184047689224</v>
      </c>
      <c r="D5">
        <f t="shared" si="1"/>
        <v>4.6364069442693889E-2</v>
      </c>
      <c r="E5">
        <f t="shared" si="2"/>
        <v>2.1496269352869412E-3</v>
      </c>
      <c r="G5" t="s">
        <v>2</v>
      </c>
      <c r="H5">
        <f>SUM(E1:E40)</f>
        <v>2.5406153171940057E-2</v>
      </c>
    </row>
    <row r="6" spans="1:8" x14ac:dyDescent="0.25">
      <c r="A6">
        <v>0.58740038958749996</v>
      </c>
      <c r="B6">
        <v>0.69918417883911577</v>
      </c>
      <c r="C6">
        <f t="shared" si="0"/>
        <v>0.68944318337249078</v>
      </c>
      <c r="D6">
        <f t="shared" si="1"/>
        <v>9.7409954666249909E-3</v>
      </c>
      <c r="E6">
        <f t="shared" si="2"/>
        <v>9.4886992680808619E-5</v>
      </c>
    </row>
    <row r="7" spans="1:8" x14ac:dyDescent="0.25">
      <c r="A7">
        <v>0.69121670751249997</v>
      </c>
      <c r="B7">
        <v>0.68828780202603868</v>
      </c>
      <c r="C7">
        <f t="shared" si="0"/>
        <v>0.69196102943891946</v>
      </c>
      <c r="D7">
        <f t="shared" si="1"/>
        <v>-3.6732274128807862E-3</v>
      </c>
      <c r="E7">
        <f t="shared" si="2"/>
        <v>1.3492599626738874E-5</v>
      </c>
    </row>
    <row r="8" spans="1:8" x14ac:dyDescent="0.25">
      <c r="A8">
        <v>0.79503302543749998</v>
      </c>
      <c r="B8">
        <v>0.64228087770415743</v>
      </c>
      <c r="C8">
        <f t="shared" si="0"/>
        <v>0.67610787576055897</v>
      </c>
      <c r="D8">
        <f t="shared" si="1"/>
        <v>-3.3826998056401547E-2</v>
      </c>
      <c r="E8">
        <f t="shared" si="2"/>
        <v>1.144265797507794E-3</v>
      </c>
    </row>
    <row r="9" spans="1:8" x14ac:dyDescent="0.25">
      <c r="A9">
        <v>0.8988493433625</v>
      </c>
      <c r="B9">
        <v>0.63320056369325983</v>
      </c>
      <c r="C9">
        <f t="shared" si="0"/>
        <v>0.6459089236342126</v>
      </c>
      <c r="D9">
        <f t="shared" si="1"/>
        <v>-1.2708359940952763E-2</v>
      </c>
      <c r="E9">
        <f t="shared" si="2"/>
        <v>1.615024123888129E-4</v>
      </c>
    </row>
    <row r="10" spans="1:8" x14ac:dyDescent="0.25">
      <c r="A10">
        <v>1.0026656612875</v>
      </c>
      <c r="B10">
        <v>0.63622733503022577</v>
      </c>
      <c r="C10">
        <f t="shared" si="0"/>
        <v>0.60511641851536602</v>
      </c>
      <c r="D10">
        <f t="shared" si="1"/>
        <v>3.1110916514859754E-2</v>
      </c>
      <c r="E10">
        <f t="shared" si="2"/>
        <v>9.678891263945734E-4</v>
      </c>
    </row>
    <row r="11" spans="1:8" x14ac:dyDescent="0.25">
      <c r="A11">
        <v>1.1064819792125</v>
      </c>
      <c r="B11">
        <v>0.61625064420625097</v>
      </c>
      <c r="C11">
        <f t="shared" si="0"/>
        <v>0.55712917339985535</v>
      </c>
      <c r="D11">
        <f t="shared" si="1"/>
        <v>5.9121470806395626E-2</v>
      </c>
      <c r="E11">
        <f t="shared" si="2"/>
        <v>3.4953483103114902E-3</v>
      </c>
    </row>
    <row r="12" spans="1:8" x14ac:dyDescent="0.25">
      <c r="A12">
        <v>1.2102982971374998</v>
      </c>
      <c r="B12">
        <v>0.52060466995812948</v>
      </c>
      <c r="C12">
        <f t="shared" si="0"/>
        <v>0.50492716172077579</v>
      </c>
      <c r="D12">
        <f t="shared" si="1"/>
        <v>1.5677508237353699E-2</v>
      </c>
      <c r="E12">
        <f t="shared" si="2"/>
        <v>2.4578426453229307E-4</v>
      </c>
    </row>
    <row r="13" spans="1:8" x14ac:dyDescent="0.25">
      <c r="A13">
        <v>1.3141146150625</v>
      </c>
      <c r="B13">
        <v>0.44856751213834184</v>
      </c>
      <c r="C13">
        <f t="shared" si="0"/>
        <v>0.45103177398769684</v>
      </c>
      <c r="D13">
        <f t="shared" si="1"/>
        <v>-2.4642618493549984E-3</v>
      </c>
      <c r="E13">
        <f t="shared" si="2"/>
        <v>6.072586462186517E-6</v>
      </c>
    </row>
    <row r="14" spans="1:8" x14ac:dyDescent="0.25">
      <c r="A14">
        <v>1.4179309329874998</v>
      </c>
      <c r="B14">
        <v>0.36442326897069066</v>
      </c>
      <c r="C14">
        <f t="shared" si="0"/>
        <v>0.39749339059918715</v>
      </c>
      <c r="D14">
        <f t="shared" si="1"/>
        <v>-3.3070121628496485E-2</v>
      </c>
      <c r="E14">
        <f t="shared" si="2"/>
        <v>1.0936329445235509E-3</v>
      </c>
    </row>
    <row r="15" spans="1:8" x14ac:dyDescent="0.25">
      <c r="A15">
        <v>1.5217472509124998</v>
      </c>
      <c r="B15">
        <v>0.30570390503355283</v>
      </c>
      <c r="C15">
        <f t="shared" si="0"/>
        <v>0.34590348778063484</v>
      </c>
      <c r="D15">
        <f t="shared" si="1"/>
        <v>-4.0199582747082019E-2</v>
      </c>
      <c r="E15">
        <f t="shared" si="2"/>
        <v>1.6160064530394943E-3</v>
      </c>
    </row>
    <row r="16" spans="1:8" x14ac:dyDescent="0.25">
      <c r="A16">
        <v>1.6255635688375001</v>
      </c>
      <c r="B16">
        <v>0.25545950083991936</v>
      </c>
      <c r="C16">
        <f t="shared" si="0"/>
        <v>0.29742638722880238</v>
      </c>
      <c r="D16">
        <f t="shared" si="1"/>
        <v>-4.1966886388883018E-2</v>
      </c>
      <c r="E16">
        <f t="shared" si="2"/>
        <v>1.7612195531774147E-3</v>
      </c>
    </row>
    <row r="17" spans="1:5" x14ac:dyDescent="0.25">
      <c r="A17">
        <v>1.7293798867625001</v>
      </c>
      <c r="B17">
        <v>0.2106632850528245</v>
      </c>
      <c r="C17">
        <f t="shared" si="0"/>
        <v>0.25284501421572608</v>
      </c>
      <c r="D17">
        <f t="shared" si="1"/>
        <v>-4.2181729162901582E-2</v>
      </c>
      <c r="E17">
        <f t="shared" si="2"/>
        <v>1.7792982751723817E-3</v>
      </c>
    </row>
    <row r="18" spans="1:5" x14ac:dyDescent="0.25">
      <c r="A18">
        <v>1.8331962046874999</v>
      </c>
      <c r="B18">
        <v>0.18463305155491802</v>
      </c>
      <c r="C18">
        <f t="shared" si="0"/>
        <v>0.21261512300058641</v>
      </c>
      <c r="D18">
        <f t="shared" si="1"/>
        <v>-2.7982071445668388E-2</v>
      </c>
      <c r="E18">
        <f t="shared" si="2"/>
        <v>7.8299632239049017E-4</v>
      </c>
    </row>
    <row r="19" spans="1:5" x14ac:dyDescent="0.25">
      <c r="A19">
        <v>1.9370125226124999</v>
      </c>
      <c r="B19">
        <v>0.14952250404611395</v>
      </c>
      <c r="C19">
        <f t="shared" si="0"/>
        <v>0.17692305212391726</v>
      </c>
      <c r="D19">
        <f t="shared" si="1"/>
        <v>-2.7400548077803316E-2</v>
      </c>
      <c r="E19">
        <f t="shared" si="2"/>
        <v>7.5079003496401106E-4</v>
      </c>
    </row>
    <row r="20" spans="1:5" x14ac:dyDescent="0.25">
      <c r="A20">
        <v>2.0408288405374999</v>
      </c>
      <c r="B20">
        <v>0.13438864736128459</v>
      </c>
      <c r="C20">
        <f t="shared" si="0"/>
        <v>0.14574295315621252</v>
      </c>
      <c r="D20">
        <f t="shared" si="1"/>
        <v>-1.1354305794927938E-2</v>
      </c>
      <c r="E20">
        <f t="shared" si="2"/>
        <v>1.2892026008473416E-4</v>
      </c>
    </row>
    <row r="21" spans="1:5" x14ac:dyDescent="0.25">
      <c r="A21">
        <v>2.1446451584624997</v>
      </c>
      <c r="B21">
        <v>0.11017447666555764</v>
      </c>
      <c r="C21">
        <f t="shared" si="0"/>
        <v>0.11889042546215885</v>
      </c>
      <c r="D21">
        <f t="shared" si="1"/>
        <v>-8.7159487966012028E-3</v>
      </c>
      <c r="E21">
        <f t="shared" si="2"/>
        <v>7.5967763424973953E-5</v>
      </c>
    </row>
    <row r="22" spans="1:5" x14ac:dyDescent="0.25">
      <c r="A22">
        <v>2.2484614763874999</v>
      </c>
      <c r="B22">
        <v>0.10048880838726686</v>
      </c>
      <c r="C22">
        <f t="shared" si="0"/>
        <v>9.6070465543652617E-2</v>
      </c>
      <c r="D22">
        <f t="shared" si="1"/>
        <v>4.4183428436142397E-3</v>
      </c>
      <c r="E22">
        <f t="shared" si="2"/>
        <v>1.9521753483717167E-5</v>
      </c>
    </row>
    <row r="23" spans="1:5" x14ac:dyDescent="0.25">
      <c r="A23">
        <v>2.3522777943125002</v>
      </c>
      <c r="B23">
        <v>8.3538888900257999E-2</v>
      </c>
      <c r="C23">
        <f t="shared" si="0"/>
        <v>7.6918521555610103E-2</v>
      </c>
      <c r="D23">
        <f t="shared" si="1"/>
        <v>6.6203673446478956E-3</v>
      </c>
      <c r="E23">
        <f t="shared" si="2"/>
        <v>4.3829263778080226E-5</v>
      </c>
    </row>
    <row r="24" spans="1:5" x14ac:dyDescent="0.25">
      <c r="A24">
        <v>2.4560941122374995</v>
      </c>
      <c r="B24">
        <v>7.2037157819787687E-2</v>
      </c>
      <c r="C24">
        <f t="shared" si="0"/>
        <v>6.1034183975164726E-2</v>
      </c>
      <c r="D24">
        <f t="shared" si="1"/>
        <v>1.1002973844622961E-2</v>
      </c>
      <c r="E24">
        <f t="shared" si="2"/>
        <v>1.2106543342545699E-4</v>
      </c>
    </row>
    <row r="25" spans="1:5" x14ac:dyDescent="0.25">
      <c r="A25">
        <v>2.5599104301624998</v>
      </c>
      <c r="B25">
        <v>5.8114009669744691E-2</v>
      </c>
      <c r="C25">
        <f t="shared" si="0"/>
        <v>4.8007621271125421E-2</v>
      </c>
      <c r="D25">
        <f t="shared" si="1"/>
        <v>1.010638839861927E-2</v>
      </c>
      <c r="E25">
        <f t="shared" si="2"/>
        <v>1.0213908646374618E-4</v>
      </c>
    </row>
    <row r="26" spans="1:5" x14ac:dyDescent="0.25">
      <c r="A26">
        <v>2.6637267480875</v>
      </c>
      <c r="B26">
        <v>4.7822987124060738E-2</v>
      </c>
      <c r="C26">
        <f t="shared" si="0"/>
        <v>3.7439284198258684E-2</v>
      </c>
      <c r="D26">
        <f t="shared" si="1"/>
        <v>1.0383702925802055E-2</v>
      </c>
      <c r="E26">
        <f t="shared" si="2"/>
        <v>1.0782128645131015E-4</v>
      </c>
    </row>
    <row r="27" spans="1:5" x14ac:dyDescent="0.25">
      <c r="A27">
        <v>2.7675430660124998</v>
      </c>
      <c r="B27">
        <v>3.6321256043590433E-2</v>
      </c>
      <c r="C27">
        <f t="shared" si="0"/>
        <v>2.8953667592073573E-2</v>
      </c>
      <c r="D27">
        <f t="shared" si="1"/>
        <v>7.3675884515168599E-3</v>
      </c>
      <c r="E27">
        <f t="shared" si="2"/>
        <v>5.42813595909246E-5</v>
      </c>
    </row>
    <row r="28" spans="1:5" x14ac:dyDescent="0.25">
      <c r="A28">
        <v>2.8713593839374996</v>
      </c>
      <c r="B28">
        <v>3.4505193241410909E-2</v>
      </c>
      <c r="C28">
        <f t="shared" si="0"/>
        <v>2.2208056442009533E-2</v>
      </c>
      <c r="D28">
        <f t="shared" si="1"/>
        <v>1.2297136799401375E-2</v>
      </c>
      <c r="E28">
        <f t="shared" si="2"/>
        <v>1.512195734631915E-4</v>
      </c>
    </row>
    <row r="29" spans="1:5" x14ac:dyDescent="0.25">
      <c r="A29">
        <v>2.9751757018624998</v>
      </c>
      <c r="B29">
        <v>2.3003462160940607E-2</v>
      </c>
      <c r="C29">
        <f t="shared" si="0"/>
        <v>1.6897219777681601E-2</v>
      </c>
      <c r="D29">
        <f t="shared" si="1"/>
        <v>6.1062423832590057E-3</v>
      </c>
      <c r="E29">
        <f t="shared" si="2"/>
        <v>3.7286196043108622E-5</v>
      </c>
    </row>
    <row r="30" spans="1:5" x14ac:dyDescent="0.25">
      <c r="A30">
        <v>3.0789920197875</v>
      </c>
      <c r="B30">
        <v>1.6949919487008868E-2</v>
      </c>
      <c r="C30">
        <f t="shared" si="0"/>
        <v>1.2754978207266236E-2</v>
      </c>
      <c r="D30">
        <f t="shared" si="1"/>
        <v>4.1949412797426325E-3</v>
      </c>
      <c r="E30">
        <f t="shared" si="2"/>
        <v>1.7597532340488755E-5</v>
      </c>
    </row>
    <row r="31" spans="1:5" x14ac:dyDescent="0.25">
      <c r="A31">
        <v>3.1828083377125003</v>
      </c>
      <c r="B31">
        <v>1.6344565219615696E-2</v>
      </c>
      <c r="C31">
        <f t="shared" si="0"/>
        <v>9.5534835011742911E-3</v>
      </c>
      <c r="D31">
        <f t="shared" si="1"/>
        <v>6.7910817184414045E-3</v>
      </c>
      <c r="E31">
        <f t="shared" si="2"/>
        <v>4.6118790906549062E-5</v>
      </c>
    </row>
    <row r="32" spans="1:5" x14ac:dyDescent="0.25">
      <c r="A32">
        <v>3.2866246556375001</v>
      </c>
      <c r="B32">
        <v>1.2107085347863478E-2</v>
      </c>
      <c r="C32">
        <f t="shared" si="0"/>
        <v>7.1009326065316E-3</v>
      </c>
      <c r="D32">
        <f t="shared" si="1"/>
        <v>5.0061527413318777E-3</v>
      </c>
      <c r="E32">
        <f t="shared" si="2"/>
        <v>2.5061565269544673E-5</v>
      </c>
    </row>
    <row r="33" spans="1:5" x14ac:dyDescent="0.25">
      <c r="A33">
        <v>3.3904409735624998</v>
      </c>
      <c r="B33">
        <v>9.6856682782907825E-3</v>
      </c>
      <c r="C33">
        <f t="shared" si="0"/>
        <v>5.2383108619237151E-3</v>
      </c>
      <c r="D33">
        <f t="shared" si="1"/>
        <v>4.4473574163670674E-3</v>
      </c>
      <c r="E33">
        <f t="shared" si="2"/>
        <v>1.9778987988915156E-5</v>
      </c>
    </row>
    <row r="34" spans="1:5" x14ac:dyDescent="0.25">
      <c r="A34">
        <v>3.4942572914875001</v>
      </c>
      <c r="B34">
        <v>6.0535426739317388E-3</v>
      </c>
      <c r="C34">
        <f t="shared" si="0"/>
        <v>3.8356325663539827E-3</v>
      </c>
      <c r="D34">
        <f t="shared" si="1"/>
        <v>2.2179101075777562E-3</v>
      </c>
      <c r="E34">
        <f t="shared" si="2"/>
        <v>4.9191252452955739E-6</v>
      </c>
    </row>
    <row r="35" spans="1:5" x14ac:dyDescent="0.25">
      <c r="A35">
        <v>3.5980736094124999</v>
      </c>
      <c r="B35">
        <v>6.0535426739317388E-3</v>
      </c>
      <c r="C35">
        <f t="shared" si="0"/>
        <v>2.788030023228417E-3</v>
      </c>
      <c r="D35">
        <f t="shared" si="1"/>
        <v>3.2655126507033219E-3</v>
      </c>
      <c r="E35">
        <f t="shared" si="2"/>
        <v>1.0663572871903436E-5</v>
      </c>
    </row>
    <row r="36" spans="1:5" x14ac:dyDescent="0.25">
      <c r="A36">
        <v>3.7018899273375001</v>
      </c>
      <c r="B36">
        <v>2.4214170695726956E-3</v>
      </c>
      <c r="C36">
        <f t="shared" si="0"/>
        <v>2.011939858553728E-3</v>
      </c>
      <c r="D36">
        <f t="shared" si="1"/>
        <v>4.094772110189676E-4</v>
      </c>
      <c r="E36">
        <f t="shared" si="2"/>
        <v>1.6767158634387211E-7</v>
      </c>
    </row>
    <row r="37" spans="1:5" x14ac:dyDescent="0.25">
      <c r="A37">
        <v>3.8057062452624999</v>
      </c>
      <c r="B37">
        <v>3.6321256043590432E-3</v>
      </c>
      <c r="C37">
        <f t="shared" si="0"/>
        <v>1.4415501721089187E-3</v>
      </c>
      <c r="D37">
        <f t="shared" si="1"/>
        <v>2.1905754322501247E-3</v>
      </c>
      <c r="E37">
        <f t="shared" si="2"/>
        <v>4.7986207243778211E-6</v>
      </c>
    </row>
    <row r="38" spans="1:5" x14ac:dyDescent="0.25">
      <c r="A38">
        <v>3.9095225631875001</v>
      </c>
      <c r="B38">
        <v>1.8160628021795216E-3</v>
      </c>
      <c r="C38">
        <f t="shared" si="0"/>
        <v>1.0256042391142222E-3</v>
      </c>
      <c r="D38">
        <f t="shared" si="1"/>
        <v>7.9045856306529942E-4</v>
      </c>
      <c r="E38">
        <f t="shared" si="2"/>
        <v>6.2482473992325796E-7</v>
      </c>
    </row>
    <row r="39" spans="1:5" x14ac:dyDescent="0.25">
      <c r="A39">
        <v>4.0133388811124995</v>
      </c>
      <c r="B39">
        <v>0</v>
      </c>
      <c r="C39">
        <f t="shared" si="0"/>
        <v>7.2460495565291369E-4</v>
      </c>
      <c r="D39">
        <f t="shared" si="1"/>
        <v>-7.2460495565291369E-4</v>
      </c>
      <c r="E39">
        <f t="shared" si="2"/>
        <v>5.2505234175676102E-7</v>
      </c>
    </row>
    <row r="40" spans="1:5" x14ac:dyDescent="0.25">
      <c r="A40">
        <v>4.1171551990374997</v>
      </c>
      <c r="B40">
        <v>1.2107085347863478E-3</v>
      </c>
      <c r="C40">
        <f t="shared" si="0"/>
        <v>5.0842708539919552E-4</v>
      </c>
      <c r="D40">
        <f t="shared" si="1"/>
        <v>7.0228144938715229E-4</v>
      </c>
      <c r="E40">
        <f t="shared" si="2"/>
        <v>4.9319923415331939E-7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DAC1-C7F5-4A59-8468-CFD5AEB978E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6.8581819200000005E-2</v>
      </c>
      <c r="B1">
        <v>0.12549874452773946</v>
      </c>
      <c r="C1">
        <f>$H$3*(1+$H$1)*(A1^($H$1))*EXP(-$H$3*(A1^(1+$H$1)))</f>
        <v>0.19213214540475704</v>
      </c>
      <c r="D1">
        <f>B1-C1</f>
        <v>-6.6633400877017579E-2</v>
      </c>
      <c r="E1">
        <f>D1^2</f>
        <v>4.4400101124373271E-3</v>
      </c>
      <c r="G1" t="s">
        <v>0</v>
      </c>
      <c r="H1">
        <v>0.74520683417831723</v>
      </c>
    </row>
    <row r="2" spans="1:8" x14ac:dyDescent="0.25">
      <c r="A2">
        <v>0.1682282236</v>
      </c>
      <c r="B2">
        <v>0.37901882141292165</v>
      </c>
      <c r="C2">
        <f t="shared" ref="C2:C40" si="0">$H$3*(1+$H$1)*(A2^($H$1))*EXP(-$H$3*(A2^(1+$H$1)))</f>
        <v>0.36432257399533291</v>
      </c>
      <c r="D2">
        <f t="shared" ref="D2:D40" si="1">B2-C2</f>
        <v>1.4696247417588737E-2</v>
      </c>
      <c r="E2">
        <f t="shared" ref="E2:E40" si="2">D2^2</f>
        <v>2.1597968815898361E-4</v>
      </c>
    </row>
    <row r="3" spans="1:8" x14ac:dyDescent="0.25">
      <c r="A3">
        <v>0.26787462800000006</v>
      </c>
      <c r="B3">
        <v>0.47739974677135055</v>
      </c>
      <c r="C3">
        <f t="shared" si="0"/>
        <v>0.49230807624605694</v>
      </c>
      <c r="D3">
        <f t="shared" si="1"/>
        <v>-1.4908329474706383E-2</v>
      </c>
      <c r="E3">
        <f t="shared" si="2"/>
        <v>2.222582877263991E-4</v>
      </c>
      <c r="G3" t="s">
        <v>1</v>
      </c>
      <c r="H3">
        <f>(_xlfn.GAMMA((2+$H$1)/(1+$H$1)))^(1+$H$1)</f>
        <v>0.81718843722545931</v>
      </c>
    </row>
    <row r="4" spans="1:8" x14ac:dyDescent="0.25">
      <c r="A4">
        <v>0.3675210324</v>
      </c>
      <c r="B4">
        <v>0.63253889829810384</v>
      </c>
      <c r="C4">
        <f t="shared" si="0"/>
        <v>0.58661208235506934</v>
      </c>
      <c r="D4">
        <f t="shared" si="1"/>
        <v>4.5926815943034494E-2</v>
      </c>
      <c r="E4">
        <f t="shared" si="2"/>
        <v>2.1092724226653673E-3</v>
      </c>
    </row>
    <row r="5" spans="1:8" x14ac:dyDescent="0.25">
      <c r="A5">
        <v>0.4671674368</v>
      </c>
      <c r="B5">
        <v>0.72713594191197783</v>
      </c>
      <c r="C5">
        <f t="shared" si="0"/>
        <v>0.65136965382809109</v>
      </c>
      <c r="D5">
        <f t="shared" si="1"/>
        <v>7.5766288083886746E-2</v>
      </c>
      <c r="E5">
        <f t="shared" si="2"/>
        <v>5.7405304100105184E-3</v>
      </c>
      <c r="G5" t="s">
        <v>2</v>
      </c>
      <c r="H5">
        <f>SUM(E1:E40)</f>
        <v>3.0813193756041003E-2</v>
      </c>
    </row>
    <row r="6" spans="1:8" x14ac:dyDescent="0.25">
      <c r="A6">
        <v>0.5668138412</v>
      </c>
      <c r="B6">
        <v>0.70506329840207382</v>
      </c>
      <c r="C6">
        <f t="shared" si="0"/>
        <v>0.68970521685232689</v>
      </c>
      <c r="D6">
        <f t="shared" si="1"/>
        <v>1.5358081549746938E-2</v>
      </c>
      <c r="E6">
        <f t="shared" si="2"/>
        <v>2.3587066888867731E-4</v>
      </c>
    </row>
    <row r="7" spans="1:8" x14ac:dyDescent="0.25">
      <c r="A7">
        <v>0.66646024559999995</v>
      </c>
      <c r="B7">
        <v>0.7599295836981208</v>
      </c>
      <c r="C7">
        <f t="shared" si="0"/>
        <v>0.70475564437976124</v>
      </c>
      <c r="D7">
        <f t="shared" si="1"/>
        <v>5.5173939318359566E-2</v>
      </c>
      <c r="E7">
        <f t="shared" si="2"/>
        <v>3.0441635799060237E-3</v>
      </c>
    </row>
    <row r="8" spans="1:8" x14ac:dyDescent="0.25">
      <c r="A8">
        <v>0.76610665</v>
      </c>
      <c r="B8">
        <v>0.67290030357335673</v>
      </c>
      <c r="C8">
        <f t="shared" si="0"/>
        <v>0.69986018374640269</v>
      </c>
      <c r="D8">
        <f t="shared" si="1"/>
        <v>-2.6959880173045958E-2</v>
      </c>
      <c r="E8">
        <f t="shared" si="2"/>
        <v>7.2683513894499657E-4</v>
      </c>
    </row>
    <row r="9" spans="1:8" x14ac:dyDescent="0.25">
      <c r="A9">
        <v>0.86575305440000005</v>
      </c>
      <c r="B9">
        <v>0.63316954525552971</v>
      </c>
      <c r="C9">
        <f t="shared" si="0"/>
        <v>0.67850758481128448</v>
      </c>
      <c r="D9">
        <f t="shared" si="1"/>
        <v>-4.5338039555754772E-2</v>
      </c>
      <c r="E9">
        <f t="shared" si="2"/>
        <v>2.0555378307591842E-3</v>
      </c>
    </row>
    <row r="10" spans="1:8" x14ac:dyDescent="0.25">
      <c r="A10">
        <v>0.96539945879999989</v>
      </c>
      <c r="B10">
        <v>0.64010666178721376</v>
      </c>
      <c r="C10">
        <f t="shared" si="0"/>
        <v>0.64420763209890897</v>
      </c>
      <c r="D10">
        <f t="shared" si="1"/>
        <v>-4.1009703116952068E-3</v>
      </c>
      <c r="E10">
        <f t="shared" si="2"/>
        <v>1.6817957497405481E-5</v>
      </c>
    </row>
    <row r="11" spans="1:8" x14ac:dyDescent="0.25">
      <c r="A11">
        <v>1.0650458631999999</v>
      </c>
      <c r="B11">
        <v>0.62623242872384555</v>
      </c>
      <c r="C11">
        <f t="shared" si="0"/>
        <v>0.60035045223080352</v>
      </c>
      <c r="D11">
        <f t="shared" si="1"/>
        <v>2.5881976493042025E-2</v>
      </c>
      <c r="E11">
        <f t="shared" si="2"/>
        <v>6.698767071863799E-4</v>
      </c>
    </row>
    <row r="12" spans="1:8" x14ac:dyDescent="0.25">
      <c r="A12">
        <v>1.1646922676</v>
      </c>
      <c r="B12">
        <v>0.59911460955453499</v>
      </c>
      <c r="C12">
        <f t="shared" si="0"/>
        <v>0.55008176122742591</v>
      </c>
      <c r="D12">
        <f t="shared" si="1"/>
        <v>4.903284832710908E-2</v>
      </c>
      <c r="E12">
        <f t="shared" si="2"/>
        <v>2.4042202150692839E-3</v>
      </c>
    </row>
    <row r="13" spans="1:8" x14ac:dyDescent="0.25">
      <c r="A13">
        <v>1.2643386720000001</v>
      </c>
      <c r="B13">
        <v>0.50073368419610609</v>
      </c>
      <c r="C13">
        <f t="shared" si="0"/>
        <v>0.49620674950880528</v>
      </c>
      <c r="D13">
        <f t="shared" si="1"/>
        <v>4.5269346873008098E-3</v>
      </c>
      <c r="E13">
        <f t="shared" si="2"/>
        <v>2.0493137663087281E-5</v>
      </c>
    </row>
    <row r="14" spans="1:8" x14ac:dyDescent="0.25">
      <c r="A14">
        <v>1.3639850763999999</v>
      </c>
      <c r="B14">
        <v>0.43199316583669106</v>
      </c>
      <c r="C14">
        <f t="shared" si="0"/>
        <v>0.44112700656958909</v>
      </c>
      <c r="D14">
        <f t="shared" si="1"/>
        <v>-9.1338407328980242E-3</v>
      </c>
      <c r="E14">
        <f t="shared" si="2"/>
        <v>8.3427046533947119E-5</v>
      </c>
    </row>
    <row r="15" spans="1:8" x14ac:dyDescent="0.25">
      <c r="A15">
        <v>1.4636314807999999</v>
      </c>
      <c r="B15">
        <v>0.35694617790301775</v>
      </c>
      <c r="C15">
        <f t="shared" si="0"/>
        <v>0.38680989972065527</v>
      </c>
      <c r="D15">
        <f t="shared" si="1"/>
        <v>-2.9863721817637523E-2</v>
      </c>
      <c r="E15">
        <f t="shared" si="2"/>
        <v>8.9184188080123944E-4</v>
      </c>
    </row>
    <row r="16" spans="1:8" x14ac:dyDescent="0.25">
      <c r="A16">
        <v>1.5632778852000002</v>
      </c>
      <c r="B16">
        <v>0.28631371867132516</v>
      </c>
      <c r="C16">
        <f t="shared" si="0"/>
        <v>0.33478676341754326</v>
      </c>
      <c r="D16">
        <f t="shared" si="1"/>
        <v>-4.8473044746218108E-2</v>
      </c>
      <c r="E16">
        <f t="shared" si="2"/>
        <v>2.3496360669688627E-3</v>
      </c>
    </row>
    <row r="17" spans="1:5" x14ac:dyDescent="0.25">
      <c r="A17">
        <v>1.6629242896000003</v>
      </c>
      <c r="B17">
        <v>0.24279907860894315</v>
      </c>
      <c r="C17">
        <f t="shared" si="0"/>
        <v>0.28617453143238814</v>
      </c>
      <c r="D17">
        <f t="shared" si="1"/>
        <v>-4.3375452823444988E-2</v>
      </c>
      <c r="E17">
        <f t="shared" si="2"/>
        <v>1.8814299076389018E-3</v>
      </c>
    </row>
    <row r="18" spans="1:5" x14ac:dyDescent="0.25">
      <c r="A18">
        <v>1.7625706939999999</v>
      </c>
      <c r="B18">
        <v>0.19297796897230288</v>
      </c>
      <c r="C18">
        <f t="shared" si="0"/>
        <v>0.24171471421345508</v>
      </c>
      <c r="D18">
        <f t="shared" si="1"/>
        <v>-4.8736745241152207E-2</v>
      </c>
      <c r="E18">
        <f t="shared" si="2"/>
        <v>2.3752703367009723E-3</v>
      </c>
    </row>
    <row r="19" spans="1:5" x14ac:dyDescent="0.25">
      <c r="A19">
        <v>1.8622170983999999</v>
      </c>
      <c r="B19">
        <v>0.19360861592972869</v>
      </c>
      <c r="C19">
        <f t="shared" si="0"/>
        <v>0.20182363552474342</v>
      </c>
      <c r="D19">
        <f t="shared" si="1"/>
        <v>-8.215019595014722E-3</v>
      </c>
      <c r="E19">
        <f t="shared" si="2"/>
        <v>6.7486546946475846E-5</v>
      </c>
    </row>
    <row r="20" spans="1:5" x14ac:dyDescent="0.25">
      <c r="A20">
        <v>1.9618635028</v>
      </c>
      <c r="B20">
        <v>0.15009397586734669</v>
      </c>
      <c r="C20">
        <f t="shared" si="0"/>
        <v>0.16664837823612338</v>
      </c>
      <c r="D20">
        <f t="shared" si="1"/>
        <v>-1.6554402368776699E-2</v>
      </c>
      <c r="E20">
        <f t="shared" si="2"/>
        <v>2.7404823778735962E-4</v>
      </c>
    </row>
    <row r="21" spans="1:5" x14ac:dyDescent="0.25">
      <c r="A21">
        <v>2.0615099072</v>
      </c>
      <c r="B21">
        <v>0.12360680365546196</v>
      </c>
      <c r="C21">
        <f t="shared" si="0"/>
        <v>0.13612375597896531</v>
      </c>
      <c r="D21">
        <f t="shared" si="1"/>
        <v>-1.2516952323503347E-2</v>
      </c>
      <c r="E21">
        <f t="shared" si="2"/>
        <v>1.5667409546885584E-4</v>
      </c>
    </row>
    <row r="22" spans="1:5" x14ac:dyDescent="0.25">
      <c r="A22">
        <v>2.1611563116000001</v>
      </c>
      <c r="B22">
        <v>0.10153416014555805</v>
      </c>
      <c r="C22">
        <f t="shared" si="0"/>
        <v>0.1100266594980541</v>
      </c>
      <c r="D22">
        <f t="shared" si="1"/>
        <v>-8.4924993524960468E-3</v>
      </c>
      <c r="E22">
        <f t="shared" si="2"/>
        <v>7.2122545252145773E-5</v>
      </c>
    </row>
    <row r="23" spans="1:5" x14ac:dyDescent="0.25">
      <c r="A23">
        <v>2.2608027160000002</v>
      </c>
      <c r="B23">
        <v>9.5227690571299775E-2</v>
      </c>
      <c r="C23">
        <f t="shared" si="0"/>
        <v>8.8025189817481933E-2</v>
      </c>
      <c r="D23">
        <f t="shared" si="1"/>
        <v>7.202500753817842E-3</v>
      </c>
      <c r="E23">
        <f t="shared" si="2"/>
        <v>5.1876017108746585E-5</v>
      </c>
    </row>
    <row r="24" spans="1:5" x14ac:dyDescent="0.25">
      <c r="A24">
        <v>2.3604491204000002</v>
      </c>
      <c r="B24">
        <v>7.3785694018821679E-2</v>
      </c>
      <c r="C24">
        <f t="shared" si="0"/>
        <v>6.9720984925630516E-2</v>
      </c>
      <c r="D24">
        <f t="shared" si="1"/>
        <v>4.0647090931911628E-3</v>
      </c>
      <c r="E24">
        <f t="shared" si="2"/>
        <v>1.6521860012270925E-5</v>
      </c>
    </row>
    <row r="25" spans="1:5" x14ac:dyDescent="0.25">
      <c r="A25">
        <v>2.4600955247999998</v>
      </c>
      <c r="B25">
        <v>6.4956636614860119E-2</v>
      </c>
      <c r="C25">
        <f t="shared" si="0"/>
        <v>5.4684006420333546E-2</v>
      </c>
      <c r="D25">
        <f t="shared" si="1"/>
        <v>1.0272630194526573E-2</v>
      </c>
      <c r="E25">
        <f t="shared" si="2"/>
        <v>1.0552693111349907E-4</v>
      </c>
    </row>
    <row r="26" spans="1:5" x14ac:dyDescent="0.25">
      <c r="A26">
        <v>2.5597419292000003</v>
      </c>
      <c r="B26">
        <v>5.4866285296046896E-2</v>
      </c>
      <c r="C26">
        <f t="shared" si="0"/>
        <v>4.2479741729397856E-2</v>
      </c>
      <c r="D26">
        <f t="shared" si="1"/>
        <v>1.238654356664904E-2</v>
      </c>
      <c r="E26">
        <f t="shared" si="2"/>
        <v>1.5342646152849472E-4</v>
      </c>
    </row>
    <row r="27" spans="1:5" x14ac:dyDescent="0.25">
      <c r="A27">
        <v>2.6593883335999999</v>
      </c>
      <c r="B27">
        <v>4.4145287019807848E-2</v>
      </c>
      <c r="C27">
        <f t="shared" si="0"/>
        <v>3.2689285653248489E-2</v>
      </c>
      <c r="D27">
        <f t="shared" si="1"/>
        <v>1.145600136655936E-2</v>
      </c>
      <c r="E27">
        <f t="shared" si="2"/>
        <v>1.312399673106099E-4</v>
      </c>
    </row>
    <row r="28" spans="1:5" x14ac:dyDescent="0.25">
      <c r="A28">
        <v>2.759034738</v>
      </c>
      <c r="B28">
        <v>3.0271053956439666E-2</v>
      </c>
      <c r="C28">
        <f t="shared" si="0"/>
        <v>2.4923100632361785E-2</v>
      </c>
      <c r="D28">
        <f t="shared" si="1"/>
        <v>5.3479533240778816E-3</v>
      </c>
      <c r="E28">
        <f t="shared" si="2"/>
        <v>2.8600604756515662E-5</v>
      </c>
    </row>
    <row r="29" spans="1:5" x14ac:dyDescent="0.25">
      <c r="A29">
        <v>2.8586811424</v>
      </c>
      <c r="B29">
        <v>2.8379113084162185E-2</v>
      </c>
      <c r="C29">
        <f t="shared" si="0"/>
        <v>1.8829439654698375E-2</v>
      </c>
      <c r="D29">
        <f t="shared" si="1"/>
        <v>9.5496734294638098E-3</v>
      </c>
      <c r="E29">
        <f t="shared" si="2"/>
        <v>9.1196262609407079E-5</v>
      </c>
    </row>
    <row r="30" spans="1:5" x14ac:dyDescent="0.25">
      <c r="A30">
        <v>2.9583275467999997</v>
      </c>
      <c r="B30">
        <v>2.0811349595052271E-2</v>
      </c>
      <c r="C30">
        <f t="shared" si="0"/>
        <v>1.4098477469265987E-2</v>
      </c>
      <c r="D30">
        <f t="shared" si="1"/>
        <v>6.7128721257862841E-3</v>
      </c>
      <c r="E30">
        <f t="shared" si="2"/>
        <v>4.5062652177158466E-5</v>
      </c>
    </row>
    <row r="31" spans="1:5" x14ac:dyDescent="0.25">
      <c r="A31">
        <v>3.0579739512000002</v>
      </c>
      <c r="B31">
        <v>1.7658114807923137E-2</v>
      </c>
      <c r="C31">
        <f t="shared" si="0"/>
        <v>1.0463165466505579E-2</v>
      </c>
      <c r="D31">
        <f t="shared" si="1"/>
        <v>7.1949493414175583E-3</v>
      </c>
      <c r="E31">
        <f t="shared" si="2"/>
        <v>5.1767296025564956E-5</v>
      </c>
    </row>
    <row r="32" spans="1:5" x14ac:dyDescent="0.25">
      <c r="A32">
        <v>3.1576203556000002</v>
      </c>
      <c r="B32">
        <v>1.3243586105942354E-2</v>
      </c>
      <c r="C32">
        <f t="shared" si="0"/>
        <v>7.6977327133075785E-3</v>
      </c>
      <c r="D32">
        <f t="shared" si="1"/>
        <v>5.5458533926347753E-3</v>
      </c>
      <c r="E32">
        <f t="shared" si="2"/>
        <v>3.0756489852598644E-5</v>
      </c>
    </row>
    <row r="33" spans="1:5" x14ac:dyDescent="0.25">
      <c r="A33">
        <v>3.2572667600000003</v>
      </c>
      <c r="B33">
        <v>1.1351645233664874E-2</v>
      </c>
      <c r="C33">
        <f t="shared" si="0"/>
        <v>5.6146261176295885E-3</v>
      </c>
      <c r="D33">
        <f t="shared" si="1"/>
        <v>5.7370191160352859E-3</v>
      </c>
      <c r="E33">
        <f t="shared" si="2"/>
        <v>3.2913388337754296E-5</v>
      </c>
    </row>
    <row r="34" spans="1:5" x14ac:dyDescent="0.25">
      <c r="A34">
        <v>3.3569131643999999</v>
      </c>
      <c r="B34">
        <v>6.9371165316840901E-3</v>
      </c>
      <c r="C34">
        <f t="shared" si="0"/>
        <v>4.0605376367528565E-3</v>
      </c>
      <c r="D34">
        <f t="shared" si="1"/>
        <v>2.8765788949312336E-3</v>
      </c>
      <c r="E34">
        <f t="shared" si="2"/>
        <v>8.2747061387637973E-6</v>
      </c>
    </row>
    <row r="35" spans="1:5" x14ac:dyDescent="0.25">
      <c r="A35">
        <v>3.4565595687999999</v>
      </c>
      <c r="B35">
        <v>4.4145287019807843E-3</v>
      </c>
      <c r="C35">
        <f t="shared" si="0"/>
        <v>2.91202168440706E-3</v>
      </c>
      <c r="D35">
        <f t="shared" si="1"/>
        <v>1.5025070175737243E-3</v>
      </c>
      <c r="E35">
        <f t="shared" si="2"/>
        <v>2.2575273378582878E-6</v>
      </c>
    </row>
    <row r="36" spans="1:5" x14ac:dyDescent="0.25">
      <c r="A36">
        <v>3.5562059732</v>
      </c>
      <c r="B36">
        <v>4.4145287019807843E-3</v>
      </c>
      <c r="C36">
        <f t="shared" si="0"/>
        <v>2.0710722731796306E-3</v>
      </c>
      <c r="D36">
        <f t="shared" si="1"/>
        <v>2.3434564288011537E-3</v>
      </c>
      <c r="E36">
        <f t="shared" si="2"/>
        <v>5.4917880336894566E-6</v>
      </c>
    </row>
    <row r="37" spans="1:5" x14ac:dyDescent="0.25">
      <c r="A37">
        <v>3.6558523775999996</v>
      </c>
      <c r="B37">
        <v>2.5225878297033054E-3</v>
      </c>
      <c r="C37">
        <f t="shared" si="0"/>
        <v>1.4609134123539644E-3</v>
      </c>
      <c r="D37">
        <f t="shared" si="1"/>
        <v>1.0616744173493409E-3</v>
      </c>
      <c r="E37">
        <f t="shared" si="2"/>
        <v>1.1271525684540625E-6</v>
      </c>
    </row>
    <row r="38" spans="1:5" x14ac:dyDescent="0.25">
      <c r="A38">
        <v>3.7554987820000001</v>
      </c>
      <c r="B38">
        <v>2.5225878297033054E-3</v>
      </c>
      <c r="C38">
        <f t="shared" si="0"/>
        <v>1.0221608020565098E-3</v>
      </c>
      <c r="D38">
        <f t="shared" si="1"/>
        <v>1.5004270276467956E-3</v>
      </c>
      <c r="E38">
        <f t="shared" si="2"/>
        <v>2.2512812652929981E-6</v>
      </c>
    </row>
    <row r="39" spans="1:5" x14ac:dyDescent="0.25">
      <c r="A39">
        <v>3.8551451863999997</v>
      </c>
      <c r="B39">
        <v>0</v>
      </c>
      <c r="C39">
        <f t="shared" si="0"/>
        <v>7.0943823105792947E-4</v>
      </c>
      <c r="D39">
        <f t="shared" si="1"/>
        <v>-7.0943823105792947E-4</v>
      </c>
      <c r="E39">
        <f t="shared" si="2"/>
        <v>5.0330260368660409E-7</v>
      </c>
    </row>
    <row r="40" spans="1:5" x14ac:dyDescent="0.25">
      <c r="A40">
        <v>3.9547915908000002</v>
      </c>
      <c r="B40">
        <v>1.2612939148516527E-3</v>
      </c>
      <c r="C40">
        <f t="shared" si="0"/>
        <v>4.8847682896572013E-4</v>
      </c>
      <c r="D40">
        <f t="shared" si="1"/>
        <v>7.7281708588593256E-4</v>
      </c>
      <c r="E40">
        <f t="shared" si="2"/>
        <v>5.9724624823722484E-7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B8BA-F888-477E-BA0A-2072A8516FB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7.7550032375000008E-2</v>
      </c>
      <c r="B1">
        <v>0.1153667318617351</v>
      </c>
      <c r="C1">
        <f>$H$3*(1+$H$1)*(A1^($H$1))*EXP(-$H$3*(A1^(1+$H$1)))</f>
        <v>0.17693992305947048</v>
      </c>
      <c r="D1">
        <f>B1-C1</f>
        <v>-6.1573191197735383E-2</v>
      </c>
      <c r="E1">
        <f>D1^2</f>
        <v>3.7912578742728782E-3</v>
      </c>
      <c r="G1" t="s">
        <v>0</v>
      </c>
      <c r="H1">
        <v>0.82558225817785513</v>
      </c>
    </row>
    <row r="2" spans="1:8" x14ac:dyDescent="0.25">
      <c r="A2">
        <v>0.17287472112500002</v>
      </c>
      <c r="B2">
        <v>0.32961923389067171</v>
      </c>
      <c r="C2">
        <f t="shared" ref="C2:C40" si="0">$H$3*(1+$H$1)*(A2^($H$1))*EXP(-$H$3*(A2^(1+$H$1)))</f>
        <v>0.33444831018072446</v>
      </c>
      <c r="D2">
        <f t="shared" ref="D2:D40" si="1">B2-C2</f>
        <v>-4.8290762900527473E-3</v>
      </c>
      <c r="E2">
        <f t="shared" ref="E2:E40" si="2">D2^2</f>
        <v>2.3319977815149605E-5</v>
      </c>
    </row>
    <row r="3" spans="1:8" x14ac:dyDescent="0.25">
      <c r="A3">
        <v>0.26819940987500002</v>
      </c>
      <c r="B3">
        <v>0.46344464285028442</v>
      </c>
      <c r="C3">
        <f t="shared" si="0"/>
        <v>0.46165456812632444</v>
      </c>
      <c r="D3">
        <f t="shared" si="1"/>
        <v>1.7900747239599779E-3</v>
      </c>
      <c r="E3">
        <f t="shared" si="2"/>
        <v>3.2043675173603909E-6</v>
      </c>
      <c r="G3" t="s">
        <v>1</v>
      </c>
      <c r="H3">
        <f>(_xlfn.GAMMA((2+$H$1)/(1+$H$1)))^(1+$H$1)</f>
        <v>0.80622258906894984</v>
      </c>
    </row>
    <row r="4" spans="1:8" x14ac:dyDescent="0.25">
      <c r="A4">
        <v>0.36352409862500001</v>
      </c>
      <c r="B4">
        <v>0.55573802833967245</v>
      </c>
      <c r="C4">
        <f t="shared" si="0"/>
        <v>0.56213181692704306</v>
      </c>
      <c r="D4">
        <f t="shared" si="1"/>
        <v>-6.393788587370608E-3</v>
      </c>
      <c r="E4">
        <f t="shared" si="2"/>
        <v>4.0880532499990637E-5</v>
      </c>
    </row>
    <row r="5" spans="1:8" x14ac:dyDescent="0.25">
      <c r="A5">
        <v>0.45884878737500001</v>
      </c>
      <c r="B5">
        <v>0.72252536068835238</v>
      </c>
      <c r="C5">
        <f t="shared" si="0"/>
        <v>0.63692574134660396</v>
      </c>
      <c r="D5">
        <f t="shared" si="1"/>
        <v>8.5599619341748423E-2</v>
      </c>
      <c r="E5">
        <f t="shared" si="2"/>
        <v>7.3272948314522307E-3</v>
      </c>
      <c r="G5" t="s">
        <v>2</v>
      </c>
      <c r="H5">
        <f>SUM(E1:E40)</f>
        <v>3.4129827090136518E-2</v>
      </c>
    </row>
    <row r="6" spans="1:8" x14ac:dyDescent="0.25">
      <c r="A6">
        <v>0.55417347612500001</v>
      </c>
      <c r="B6">
        <v>0.76142043028745166</v>
      </c>
      <c r="C6">
        <f t="shared" si="0"/>
        <v>0.68710614499824707</v>
      </c>
      <c r="D6">
        <f t="shared" si="1"/>
        <v>7.4314285289204585E-2</v>
      </c>
      <c r="E6">
        <f t="shared" si="2"/>
        <v>5.5226129980452893E-3</v>
      </c>
    </row>
    <row r="7" spans="1:8" x14ac:dyDescent="0.25">
      <c r="A7">
        <v>0.64949816487500001</v>
      </c>
      <c r="B7">
        <v>0.76537586109413969</v>
      </c>
      <c r="C7">
        <f t="shared" si="0"/>
        <v>0.71428584317028376</v>
      </c>
      <c r="D7">
        <f t="shared" si="1"/>
        <v>5.1090017923855924E-2</v>
      </c>
      <c r="E7">
        <f t="shared" si="2"/>
        <v>2.6101899314599194E-3</v>
      </c>
    </row>
    <row r="8" spans="1:8" x14ac:dyDescent="0.25">
      <c r="A8">
        <v>0.744822853625</v>
      </c>
      <c r="B8">
        <v>0.73768784544732324</v>
      </c>
      <c r="C8">
        <f t="shared" si="0"/>
        <v>0.72067685514137414</v>
      </c>
      <c r="D8">
        <f t="shared" si="1"/>
        <v>1.7010990305949103E-2</v>
      </c>
      <c r="E8">
        <f t="shared" si="2"/>
        <v>2.8937379118909438E-4</v>
      </c>
    </row>
    <row r="9" spans="1:8" x14ac:dyDescent="0.25">
      <c r="A9">
        <v>0.840147542375</v>
      </c>
      <c r="B9">
        <v>0.65396456003909265</v>
      </c>
      <c r="C9">
        <f t="shared" si="0"/>
        <v>0.70898672207149493</v>
      </c>
      <c r="D9">
        <f t="shared" si="1"/>
        <v>-5.5022162032402289E-2</v>
      </c>
      <c r="E9">
        <f t="shared" si="2"/>
        <v>3.0274383147199319E-3</v>
      </c>
    </row>
    <row r="10" spans="1:8" x14ac:dyDescent="0.25">
      <c r="A10">
        <v>0.935472231125</v>
      </c>
      <c r="B10">
        <v>0.66385313705581284</v>
      </c>
      <c r="C10">
        <f t="shared" si="0"/>
        <v>0.68225327511300726</v>
      </c>
      <c r="D10">
        <f t="shared" si="1"/>
        <v>-1.8400138057194426E-2</v>
      </c>
      <c r="E10">
        <f t="shared" si="2"/>
        <v>3.3856508052381465E-4</v>
      </c>
    </row>
    <row r="11" spans="1:8" x14ac:dyDescent="0.25">
      <c r="A11">
        <v>1.030796919875</v>
      </c>
      <c r="B11">
        <v>0.65660151391021804</v>
      </c>
      <c r="C11">
        <f t="shared" si="0"/>
        <v>0.64366286441047083</v>
      </c>
      <c r="D11">
        <f t="shared" si="1"/>
        <v>1.2938649499747212E-2</v>
      </c>
      <c r="E11">
        <f t="shared" si="2"/>
        <v>1.6740865087730878E-4</v>
      </c>
    </row>
    <row r="12" spans="1:8" x14ac:dyDescent="0.25">
      <c r="A12">
        <v>1.1261216086250001</v>
      </c>
      <c r="B12">
        <v>0.59133690559986507</v>
      </c>
      <c r="C12">
        <f t="shared" si="0"/>
        <v>0.5963774009603543</v>
      </c>
      <c r="D12">
        <f t="shared" si="1"/>
        <v>-5.0404953604892277E-3</v>
      </c>
      <c r="E12">
        <f t="shared" si="2"/>
        <v>2.5406593479113428E-5</v>
      </c>
    </row>
    <row r="13" spans="1:8" x14ac:dyDescent="0.25">
      <c r="A13">
        <v>1.221446297375</v>
      </c>
      <c r="B13">
        <v>0.56892279769529941</v>
      </c>
      <c r="C13">
        <f t="shared" si="0"/>
        <v>0.54338547060236664</v>
      </c>
      <c r="D13">
        <f t="shared" si="1"/>
        <v>2.5537327092932771E-2</v>
      </c>
      <c r="E13">
        <f t="shared" si="2"/>
        <v>6.5215507505143812E-4</v>
      </c>
    </row>
    <row r="14" spans="1:8" x14ac:dyDescent="0.25">
      <c r="A14">
        <v>1.3167709861250001</v>
      </c>
      <c r="B14">
        <v>0.51222828946610388</v>
      </c>
      <c r="C14">
        <f t="shared" si="0"/>
        <v>0.48738605733091384</v>
      </c>
      <c r="D14">
        <f t="shared" si="1"/>
        <v>2.4842232135190045E-2</v>
      </c>
      <c r="E14">
        <f t="shared" si="2"/>
        <v>6.1713649745866899E-4</v>
      </c>
    </row>
    <row r="15" spans="1:8" x14ac:dyDescent="0.25">
      <c r="A15">
        <v>1.4120956748750002</v>
      </c>
      <c r="B15">
        <v>0.40477241921774487</v>
      </c>
      <c r="C15">
        <f t="shared" si="0"/>
        <v>0.43070831785079405</v>
      </c>
      <c r="D15">
        <f t="shared" si="1"/>
        <v>-2.5935898633049181E-2</v>
      </c>
      <c r="E15">
        <f t="shared" si="2"/>
        <v>6.7267083790380244E-4</v>
      </c>
    </row>
    <row r="16" spans="1:8" x14ac:dyDescent="0.25">
      <c r="A16">
        <v>1.5074203636250001</v>
      </c>
      <c r="B16">
        <v>0.33621161856848514</v>
      </c>
      <c r="C16">
        <f t="shared" si="0"/>
        <v>0.37526690664945739</v>
      </c>
      <c r="D16">
        <f t="shared" si="1"/>
        <v>-3.905528808097225E-2</v>
      </c>
      <c r="E16">
        <f t="shared" si="2"/>
        <v>1.525315527087733E-3</v>
      </c>
    </row>
    <row r="17" spans="1:5" x14ac:dyDescent="0.25">
      <c r="A17">
        <v>1.602745052375</v>
      </c>
      <c r="B17">
        <v>0.27885787187150829</v>
      </c>
      <c r="C17">
        <f t="shared" si="0"/>
        <v>0.32254944454174195</v>
      </c>
      <c r="D17">
        <f t="shared" si="1"/>
        <v>-4.3691572670233658E-2</v>
      </c>
      <c r="E17">
        <f t="shared" si="2"/>
        <v>1.9089535223983088E-3</v>
      </c>
    </row>
    <row r="18" spans="1:5" x14ac:dyDescent="0.25">
      <c r="A18">
        <v>1.6980697411249999</v>
      </c>
      <c r="B18">
        <v>0.21820793283562467</v>
      </c>
      <c r="C18">
        <f t="shared" si="0"/>
        <v>0.27363080260986572</v>
      </c>
      <c r="D18">
        <f t="shared" si="1"/>
        <v>-5.5422869774241046E-2</v>
      </c>
      <c r="E18">
        <f t="shared" si="2"/>
        <v>3.0716944940124818E-3</v>
      </c>
    </row>
    <row r="19" spans="1:5" x14ac:dyDescent="0.25">
      <c r="A19">
        <v>1.793394429875</v>
      </c>
      <c r="B19">
        <v>0.2050231634799978</v>
      </c>
      <c r="C19">
        <f t="shared" si="0"/>
        <v>0.22920785890170772</v>
      </c>
      <c r="D19">
        <f t="shared" si="1"/>
        <v>-2.4184695421709923E-2</v>
      </c>
      <c r="E19">
        <f t="shared" si="2"/>
        <v>5.8489949264087693E-4</v>
      </c>
    </row>
    <row r="20" spans="1:5" x14ac:dyDescent="0.25">
      <c r="A20">
        <v>1.8887191186250001</v>
      </c>
      <c r="B20">
        <v>0.16612809388089855</v>
      </c>
      <c r="C20">
        <f t="shared" si="0"/>
        <v>0.1896481512252147</v>
      </c>
      <c r="D20">
        <f t="shared" si="1"/>
        <v>-2.3520057344316142E-2</v>
      </c>
      <c r="E20">
        <f t="shared" si="2"/>
        <v>5.5319309747991964E-4</v>
      </c>
    </row>
    <row r="21" spans="1:5" x14ac:dyDescent="0.25">
      <c r="A21">
        <v>1.984043807375</v>
      </c>
      <c r="B21">
        <v>0.14569170137967691</v>
      </c>
      <c r="C21">
        <f t="shared" si="0"/>
        <v>0.15504623229914649</v>
      </c>
      <c r="D21">
        <f t="shared" si="1"/>
        <v>-9.3545309194695836E-3</v>
      </c>
      <c r="E21">
        <f t="shared" si="2"/>
        <v>8.7507248723312455E-5</v>
      </c>
    </row>
    <row r="22" spans="1:5" x14ac:dyDescent="0.25">
      <c r="A22">
        <v>2.0793684961250003</v>
      </c>
      <c r="B22">
        <v>0.1140482549261724</v>
      </c>
      <c r="C22">
        <f t="shared" si="0"/>
        <v>0.12528235168417481</v>
      </c>
      <c r="D22">
        <f t="shared" si="1"/>
        <v>-1.123409675800241E-2</v>
      </c>
      <c r="E22">
        <f t="shared" si="2"/>
        <v>1.2620492996816025E-4</v>
      </c>
    </row>
    <row r="23" spans="1:5" x14ac:dyDescent="0.25">
      <c r="A23">
        <v>2.1746931848750002</v>
      </c>
      <c r="B23">
        <v>0.1002042471027642</v>
      </c>
      <c r="C23">
        <f t="shared" si="0"/>
        <v>0.10007916301766345</v>
      </c>
      <c r="D23">
        <f t="shared" si="1"/>
        <v>1.2508408510074343E-4</v>
      </c>
      <c r="E23">
        <f t="shared" si="2"/>
        <v>1.5646028345490024E-8</v>
      </c>
    </row>
    <row r="24" spans="1:5" x14ac:dyDescent="0.25">
      <c r="A24">
        <v>2.2700178736250001</v>
      </c>
      <c r="B24">
        <v>8.767871621491867E-2</v>
      </c>
      <c r="C24">
        <f t="shared" si="0"/>
        <v>7.9053325158860835E-2</v>
      </c>
      <c r="D24">
        <f t="shared" si="1"/>
        <v>8.6253910560578351E-3</v>
      </c>
      <c r="E24">
        <f t="shared" si="2"/>
        <v>7.43973708699225E-5</v>
      </c>
    </row>
    <row r="25" spans="1:5" x14ac:dyDescent="0.25">
      <c r="A25">
        <v>2.365342562375</v>
      </c>
      <c r="B25">
        <v>5.8672223632539565E-2</v>
      </c>
      <c r="C25">
        <f t="shared" si="0"/>
        <v>6.1760002709495304E-2</v>
      </c>
      <c r="D25">
        <f t="shared" si="1"/>
        <v>-3.0877790769557392E-3</v>
      </c>
      <c r="E25">
        <f t="shared" si="2"/>
        <v>9.5343796280856375E-6</v>
      </c>
    </row>
    <row r="26" spans="1:5" x14ac:dyDescent="0.25">
      <c r="A26">
        <v>2.4606672511249998</v>
      </c>
      <c r="B26">
        <v>6.9879277584822402E-2</v>
      </c>
      <c r="C26">
        <f t="shared" si="0"/>
        <v>4.7729281992389842E-2</v>
      </c>
      <c r="D26">
        <f t="shared" si="1"/>
        <v>2.214999559243256E-2</v>
      </c>
      <c r="E26">
        <f t="shared" si="2"/>
        <v>4.9062230474478184E-4</v>
      </c>
    </row>
    <row r="27" spans="1:5" x14ac:dyDescent="0.25">
      <c r="A27">
        <v>2.5559919398750002</v>
      </c>
      <c r="B27">
        <v>4.9442885083600757E-2</v>
      </c>
      <c r="C27">
        <f t="shared" si="0"/>
        <v>3.6494346314186479E-2</v>
      </c>
      <c r="D27">
        <f t="shared" si="1"/>
        <v>1.2948538769414278E-2</v>
      </c>
      <c r="E27">
        <f t="shared" si="2"/>
        <v>1.6766465626302462E-4</v>
      </c>
    </row>
    <row r="28" spans="1:5" x14ac:dyDescent="0.25">
      <c r="A28">
        <v>2.6513166286250001</v>
      </c>
      <c r="B28">
        <v>3.5598877260192542E-2</v>
      </c>
      <c r="C28">
        <f t="shared" si="0"/>
        <v>2.7611875137534436E-2</v>
      </c>
      <c r="D28">
        <f t="shared" si="1"/>
        <v>7.9870021226581059E-3</v>
      </c>
      <c r="E28">
        <f t="shared" si="2"/>
        <v>6.3792202907345089E-5</v>
      </c>
    </row>
    <row r="29" spans="1:5" x14ac:dyDescent="0.25">
      <c r="A29">
        <v>2.7466413173749999</v>
      </c>
      <c r="B29">
        <v>2.5051061775691049E-2</v>
      </c>
      <c r="C29">
        <f t="shared" si="0"/>
        <v>2.0675547785642366E-2</v>
      </c>
      <c r="D29">
        <f t="shared" si="1"/>
        <v>4.3755139900486829E-3</v>
      </c>
      <c r="E29">
        <f t="shared" si="2"/>
        <v>1.9145122677111746E-5</v>
      </c>
    </row>
    <row r="30" spans="1:5" x14ac:dyDescent="0.25">
      <c r="A30">
        <v>2.8419660061250003</v>
      </c>
      <c r="B30">
        <v>2.7028777179035079E-2</v>
      </c>
      <c r="C30">
        <f t="shared" si="0"/>
        <v>1.5323764384583076E-2</v>
      </c>
      <c r="D30">
        <f t="shared" si="1"/>
        <v>1.1705012794452003E-2</v>
      </c>
      <c r="E30">
        <f t="shared" si="2"/>
        <v>1.370073245182851E-4</v>
      </c>
    </row>
    <row r="31" spans="1:5" x14ac:dyDescent="0.25">
      <c r="A31">
        <v>2.9372906948750002</v>
      </c>
      <c r="B31">
        <v>1.911791556565896E-2</v>
      </c>
      <c r="C31">
        <f t="shared" si="0"/>
        <v>1.124277713477535E-2</v>
      </c>
      <c r="D31">
        <f t="shared" si="1"/>
        <v>7.8751384308836103E-3</v>
      </c>
      <c r="E31">
        <f t="shared" si="2"/>
        <v>6.2017805305579978E-5</v>
      </c>
    </row>
    <row r="32" spans="1:5" x14ac:dyDescent="0.25">
      <c r="A32">
        <v>3.032615383625</v>
      </c>
      <c r="B32">
        <v>1.3844007823408212E-2</v>
      </c>
      <c r="C32">
        <f t="shared" si="0"/>
        <v>8.1663907280073375E-3</v>
      </c>
      <c r="D32">
        <f t="shared" si="1"/>
        <v>5.6776170954008741E-3</v>
      </c>
      <c r="E32">
        <f t="shared" si="2"/>
        <v>3.2235335881988257E-5</v>
      </c>
    </row>
    <row r="33" spans="1:5" x14ac:dyDescent="0.25">
      <c r="A33">
        <v>3.1279400723749999</v>
      </c>
      <c r="B33">
        <v>1.5162484758970899E-2</v>
      </c>
      <c r="C33">
        <f t="shared" si="0"/>
        <v>5.8732785136301107E-3</v>
      </c>
      <c r="D33">
        <f t="shared" si="1"/>
        <v>9.2892062453407871E-3</v>
      </c>
      <c r="E33">
        <f t="shared" si="2"/>
        <v>8.6289352668478283E-5</v>
      </c>
    </row>
    <row r="34" spans="1:5" x14ac:dyDescent="0.25">
      <c r="A34">
        <v>3.2232647611249998</v>
      </c>
      <c r="B34">
        <v>5.9331462100320909E-3</v>
      </c>
      <c r="C34">
        <f t="shared" si="0"/>
        <v>4.1828037137326343E-3</v>
      </c>
      <c r="D34">
        <f t="shared" si="1"/>
        <v>1.7503424962994566E-3</v>
      </c>
      <c r="E34">
        <f t="shared" si="2"/>
        <v>3.0636988543518133E-6</v>
      </c>
    </row>
    <row r="35" spans="1:5" x14ac:dyDescent="0.25">
      <c r="A35">
        <v>3.3185894498749997</v>
      </c>
      <c r="B35">
        <v>5.2739077422507474E-3</v>
      </c>
      <c r="C35">
        <f t="shared" si="0"/>
        <v>2.9500594944249095E-3</v>
      </c>
      <c r="D35">
        <f t="shared" si="1"/>
        <v>2.3238482478258379E-3</v>
      </c>
      <c r="E35">
        <f t="shared" si="2"/>
        <v>5.4002706789232171E-6</v>
      </c>
    </row>
    <row r="36" spans="1:5" x14ac:dyDescent="0.25">
      <c r="A36">
        <v>3.4139141386249996</v>
      </c>
      <c r="B36">
        <v>4.6146692744694039E-3</v>
      </c>
      <c r="C36">
        <f t="shared" si="0"/>
        <v>2.0606681795895692E-3</v>
      </c>
      <c r="D36">
        <f t="shared" si="1"/>
        <v>2.5540010948798346E-3</v>
      </c>
      <c r="E36">
        <f t="shared" si="2"/>
        <v>6.5229215926473943E-6</v>
      </c>
    </row>
    <row r="37" spans="1:5" x14ac:dyDescent="0.25">
      <c r="A37">
        <v>3.5092388273749999</v>
      </c>
      <c r="B37">
        <v>1.3184769355626868E-3</v>
      </c>
      <c r="C37">
        <f t="shared" si="0"/>
        <v>1.4257219284196383E-3</v>
      </c>
      <c r="D37">
        <f t="shared" si="1"/>
        <v>-1.0724499285695143E-4</v>
      </c>
      <c r="E37">
        <f t="shared" si="2"/>
        <v>1.1501488492887564E-8</v>
      </c>
    </row>
    <row r="38" spans="1:5" x14ac:dyDescent="0.25">
      <c r="A38">
        <v>3.6045635161249998</v>
      </c>
      <c r="B38">
        <v>3.2961923389067172E-3</v>
      </c>
      <c r="C38">
        <f t="shared" si="0"/>
        <v>9.7711259575006672E-4</v>
      </c>
      <c r="D38">
        <f t="shared" si="1"/>
        <v>2.3190797431566507E-3</v>
      </c>
      <c r="E38">
        <f t="shared" si="2"/>
        <v>5.3781308551195172E-6</v>
      </c>
    </row>
    <row r="39" spans="1:5" x14ac:dyDescent="0.25">
      <c r="A39">
        <v>3.6998882048749997</v>
      </c>
      <c r="B39">
        <v>6.5923846778134342E-4</v>
      </c>
      <c r="C39">
        <f t="shared" si="0"/>
        <v>6.6339042475222041E-4</v>
      </c>
      <c r="D39">
        <f t="shared" si="1"/>
        <v>-4.1519569708769804E-6</v>
      </c>
      <c r="E39">
        <f t="shared" si="2"/>
        <v>1.723874668801395E-11</v>
      </c>
    </row>
    <row r="40" spans="1:5" x14ac:dyDescent="0.25">
      <c r="A40">
        <v>3.795212893625</v>
      </c>
      <c r="B40">
        <v>6.5923846778134342E-4</v>
      </c>
      <c r="C40">
        <f t="shared" si="0"/>
        <v>4.4620945918986775E-4</v>
      </c>
      <c r="D40">
        <f t="shared" si="1"/>
        <v>2.1302900859147567E-4</v>
      </c>
      <c r="E40">
        <f t="shared" si="2"/>
        <v>4.5381358501467013E-8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DED4-685E-44F5-8C67-9BF7EFEC7DA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7.7242165812499999E-2</v>
      </c>
      <c r="B1">
        <v>7.7797626510898832E-2</v>
      </c>
      <c r="C1">
        <f>$H$3*(1+$H$1)*(A1^($H$1))*EXP(-$H$3*(A1^(1+$H$1)))</f>
        <v>0.14488587919281554</v>
      </c>
      <c r="D1">
        <f>B1-C1</f>
        <v>-6.7088252681916705E-2</v>
      </c>
      <c r="E1">
        <f>D1^2</f>
        <v>4.5008336479127036E-3</v>
      </c>
      <c r="G1" t="s">
        <v>0</v>
      </c>
      <c r="H1">
        <v>0.91646346853852234</v>
      </c>
    </row>
    <row r="2" spans="1:8" x14ac:dyDescent="0.25">
      <c r="A2">
        <v>0.16851888743749999</v>
      </c>
      <c r="B2">
        <v>0.24578542180876889</v>
      </c>
      <c r="C2">
        <f t="shared" ref="C2:C40" si="0">$H$3*(1+$H$1)*(A2^($H$1))*EXP(-$H$3*(A2^(1+$H$1)))</f>
        <v>0.29019720135408561</v>
      </c>
      <c r="D2">
        <f t="shared" ref="D2:D40" si="1">B2-C2</f>
        <v>-4.4411779545316721E-2</v>
      </c>
      <c r="E2">
        <f t="shared" ref="E2:E40" si="2">D2^2</f>
        <v>1.9724061623818128E-3</v>
      </c>
    </row>
    <row r="3" spans="1:8" x14ac:dyDescent="0.25">
      <c r="A3">
        <v>0.25979560906249999</v>
      </c>
      <c r="B3">
        <v>0.43993525080056956</v>
      </c>
      <c r="C3">
        <f t="shared" si="0"/>
        <v>0.41713042129916855</v>
      </c>
      <c r="D3">
        <f t="shared" si="1"/>
        <v>2.2804829501401003E-2</v>
      </c>
      <c r="E3">
        <f t="shared" si="2"/>
        <v>5.2006024858796947E-4</v>
      </c>
      <c r="G3" t="s">
        <v>1</v>
      </c>
      <c r="H3">
        <f>(_xlfn.GAMMA((2+$H$1)/(1+$H$1)))^(1+$H$1)</f>
        <v>0.79490882558754838</v>
      </c>
    </row>
    <row r="4" spans="1:8" x14ac:dyDescent="0.25">
      <c r="A4">
        <v>0.35107233068749999</v>
      </c>
      <c r="B4">
        <v>0.51773287731146833</v>
      </c>
      <c r="C4">
        <f t="shared" si="0"/>
        <v>0.5245087579276817</v>
      </c>
      <c r="D4">
        <f t="shared" si="1"/>
        <v>-6.77588061621337E-3</v>
      </c>
      <c r="E4">
        <f t="shared" si="2"/>
        <v>4.5912558125176077E-5</v>
      </c>
    </row>
    <row r="5" spans="1:8" x14ac:dyDescent="0.25">
      <c r="A5">
        <v>0.44234905231249999</v>
      </c>
      <c r="B5">
        <v>0.6616240626280866</v>
      </c>
      <c r="C5">
        <f t="shared" si="0"/>
        <v>0.61074560871008854</v>
      </c>
      <c r="D5">
        <f t="shared" si="1"/>
        <v>5.0878453917998057E-2</v>
      </c>
      <c r="E5">
        <f t="shared" si="2"/>
        <v>2.5886170730858517E-3</v>
      </c>
      <c r="G5" t="s">
        <v>2</v>
      </c>
      <c r="H5">
        <f>SUM(E1:E40)</f>
        <v>3.9526247177828343E-2</v>
      </c>
    </row>
    <row r="6" spans="1:8" x14ac:dyDescent="0.25">
      <c r="A6">
        <v>0.53362577393749999</v>
      </c>
      <c r="B6">
        <v>0.77866473967988126</v>
      </c>
      <c r="C6">
        <f t="shared" si="0"/>
        <v>0.67490100733442049</v>
      </c>
      <c r="D6">
        <f t="shared" si="1"/>
        <v>0.10376373234546077</v>
      </c>
      <c r="E6">
        <f t="shared" si="2"/>
        <v>1.0766912150260422E-2</v>
      </c>
    </row>
    <row r="7" spans="1:8" x14ac:dyDescent="0.25">
      <c r="A7">
        <v>0.62490249556249999</v>
      </c>
      <c r="B7">
        <v>0.8006959259484544</v>
      </c>
      <c r="C7">
        <f t="shared" si="0"/>
        <v>0.71692854459357958</v>
      </c>
      <c r="D7">
        <f t="shared" si="1"/>
        <v>8.3767381354874826E-2</v>
      </c>
      <c r="E7">
        <f t="shared" si="2"/>
        <v>7.0169741790530307E-3</v>
      </c>
    </row>
    <row r="8" spans="1:8" x14ac:dyDescent="0.25">
      <c r="A8">
        <v>0.71617921718749999</v>
      </c>
      <c r="B8">
        <v>0.7525027059859507</v>
      </c>
      <c r="C8">
        <f t="shared" si="0"/>
        <v>0.73768875271363477</v>
      </c>
      <c r="D8">
        <f t="shared" si="1"/>
        <v>1.4813953272315938E-2</v>
      </c>
      <c r="E8">
        <f t="shared" si="2"/>
        <v>2.1945321155436009E-4</v>
      </c>
    </row>
    <row r="9" spans="1:8" x14ac:dyDescent="0.25">
      <c r="A9">
        <v>0.8074559388125</v>
      </c>
      <c r="B9">
        <v>0.74079863828077119</v>
      </c>
      <c r="C9">
        <f t="shared" si="0"/>
        <v>0.73885133358723432</v>
      </c>
      <c r="D9">
        <f t="shared" si="1"/>
        <v>1.9473046935368776E-3</v>
      </c>
      <c r="E9">
        <f t="shared" si="2"/>
        <v>3.7919955694707527E-6</v>
      </c>
    </row>
    <row r="10" spans="1:8" x14ac:dyDescent="0.25">
      <c r="A10">
        <v>0.89873266043750011</v>
      </c>
      <c r="B10">
        <v>0.68572067260933844</v>
      </c>
      <c r="C10">
        <f t="shared" si="0"/>
        <v>0.72273462625430218</v>
      </c>
      <c r="D10">
        <f t="shared" si="1"/>
        <v>-3.7013953644963737E-2</v>
      </c>
      <c r="E10">
        <f t="shared" si="2"/>
        <v>1.3700327644315244E-3</v>
      </c>
    </row>
    <row r="11" spans="1:8" x14ac:dyDescent="0.25">
      <c r="A11">
        <v>0.99000938206250011</v>
      </c>
      <c r="B11">
        <v>0.69467084203094631</v>
      </c>
      <c r="C11">
        <f t="shared" si="0"/>
        <v>0.69211228886465104</v>
      </c>
      <c r="D11">
        <f t="shared" si="1"/>
        <v>2.5585531662952743E-3</v>
      </c>
      <c r="E11">
        <f t="shared" si="2"/>
        <v>6.5461943047595732E-6</v>
      </c>
    </row>
    <row r="12" spans="1:8" x14ac:dyDescent="0.25">
      <c r="A12">
        <v>1.0812861036875001</v>
      </c>
      <c r="B12">
        <v>0.63064270693790558</v>
      </c>
      <c r="C12">
        <f t="shared" si="0"/>
        <v>0.65001028976138953</v>
      </c>
      <c r="D12">
        <f t="shared" si="1"/>
        <v>-1.9367582823483942E-2</v>
      </c>
      <c r="E12">
        <f t="shared" si="2"/>
        <v>3.7510326442451023E-4</v>
      </c>
    </row>
    <row r="13" spans="1:8" x14ac:dyDescent="0.25">
      <c r="A13">
        <v>1.1725628253125002</v>
      </c>
      <c r="B13">
        <v>0.60034982581861762</v>
      </c>
      <c r="C13">
        <f t="shared" si="0"/>
        <v>0.59951277786447577</v>
      </c>
      <c r="D13">
        <f t="shared" si="1"/>
        <v>8.3704795414185629E-4</v>
      </c>
      <c r="E13">
        <f t="shared" si="2"/>
        <v>7.006492775330671E-7</v>
      </c>
    </row>
    <row r="14" spans="1:8" x14ac:dyDescent="0.25">
      <c r="A14">
        <v>1.2638395469375001</v>
      </c>
      <c r="B14">
        <v>0.55628745328147133</v>
      </c>
      <c r="C14">
        <f t="shared" si="0"/>
        <v>0.54359104537468106</v>
      </c>
      <c r="D14">
        <f t="shared" si="1"/>
        <v>1.2696407906790275E-2</v>
      </c>
      <c r="E14">
        <f t="shared" si="2"/>
        <v>1.611987737356066E-4</v>
      </c>
    </row>
    <row r="15" spans="1:8" x14ac:dyDescent="0.25">
      <c r="A15">
        <v>1.3551162685625</v>
      </c>
      <c r="B15">
        <v>0.49845558932646689</v>
      </c>
      <c r="C15">
        <f t="shared" si="0"/>
        <v>0.48496526167906284</v>
      </c>
      <c r="D15">
        <f t="shared" si="1"/>
        <v>1.3490327647404043E-2</v>
      </c>
      <c r="E15">
        <f t="shared" si="2"/>
        <v>1.8198894003431391E-4</v>
      </c>
    </row>
    <row r="16" spans="1:8" x14ac:dyDescent="0.25">
      <c r="A16">
        <v>1.4463929901874999</v>
      </c>
      <c r="B16">
        <v>0.38072643770377929</v>
      </c>
      <c r="C16">
        <f t="shared" si="0"/>
        <v>0.42600415248949064</v>
      </c>
      <c r="D16">
        <f t="shared" si="1"/>
        <v>-4.5277714785711354E-2</v>
      </c>
      <c r="E16">
        <f t="shared" si="2"/>
        <v>2.0500714562162246E-3</v>
      </c>
    </row>
    <row r="17" spans="1:5" x14ac:dyDescent="0.25">
      <c r="A17">
        <v>1.5376697118125002</v>
      </c>
      <c r="B17">
        <v>0.32495999746145354</v>
      </c>
      <c r="C17">
        <f t="shared" si="0"/>
        <v>0.36866366151226865</v>
      </c>
      <c r="D17">
        <f t="shared" si="1"/>
        <v>-4.3703664050815105E-2</v>
      </c>
      <c r="E17">
        <f t="shared" si="2"/>
        <v>1.9100102514665086E-3</v>
      </c>
    </row>
    <row r="18" spans="1:5" x14ac:dyDescent="0.25">
      <c r="A18">
        <v>1.6289464334375001</v>
      </c>
      <c r="B18">
        <v>0.28227457406609313</v>
      </c>
      <c r="C18">
        <f t="shared" si="0"/>
        <v>0.31446217002966104</v>
      </c>
      <c r="D18">
        <f t="shared" si="1"/>
        <v>-3.2187595963567905E-2</v>
      </c>
      <c r="E18">
        <f t="shared" si="2"/>
        <v>1.036041333913893E-3</v>
      </c>
    </row>
    <row r="19" spans="1:5" x14ac:dyDescent="0.25">
      <c r="A19">
        <v>1.7202231550625</v>
      </c>
      <c r="B19">
        <v>0.22100033725662413</v>
      </c>
      <c r="C19">
        <f t="shared" si="0"/>
        <v>0.26448726816518525</v>
      </c>
      <c r="D19">
        <f t="shared" si="1"/>
        <v>-4.3486930908561122E-2</v>
      </c>
      <c r="E19">
        <f t="shared" si="2"/>
        <v>1.8911131598459687E-3</v>
      </c>
    </row>
    <row r="20" spans="1:5" x14ac:dyDescent="0.25">
      <c r="A20">
        <v>1.8114998766874999</v>
      </c>
      <c r="B20">
        <v>0.18382271042840698</v>
      </c>
      <c r="C20">
        <f t="shared" si="0"/>
        <v>0.21942745310899295</v>
      </c>
      <c r="D20">
        <f t="shared" si="1"/>
        <v>-3.5604742680585971E-2</v>
      </c>
      <c r="E20">
        <f t="shared" si="2"/>
        <v>1.2676977013507402E-3</v>
      </c>
    </row>
    <row r="21" spans="1:5" x14ac:dyDescent="0.25">
      <c r="A21">
        <v>1.9027765983125002</v>
      </c>
      <c r="B21">
        <v>0.17211864272322752</v>
      </c>
      <c r="C21">
        <f t="shared" si="0"/>
        <v>0.17962144116054626</v>
      </c>
      <c r="D21">
        <f t="shared" si="1"/>
        <v>-7.5027984373187417E-3</v>
      </c>
      <c r="E21">
        <f t="shared" si="2"/>
        <v>5.6291984391032555E-5</v>
      </c>
    </row>
    <row r="22" spans="1:5" x14ac:dyDescent="0.25">
      <c r="A22">
        <v>1.9940533199375001</v>
      </c>
      <c r="B22">
        <v>0.12736779561518835</v>
      </c>
      <c r="C22">
        <f t="shared" si="0"/>
        <v>0.14511789710629366</v>
      </c>
      <c r="D22">
        <f t="shared" si="1"/>
        <v>-1.7750101491105313E-2</v>
      </c>
      <c r="E22">
        <f t="shared" si="2"/>
        <v>3.1506610294453909E-4</v>
      </c>
    </row>
    <row r="23" spans="1:5" x14ac:dyDescent="0.25">
      <c r="A23">
        <v>2.0853300415625</v>
      </c>
      <c r="B23">
        <v>0.10395966020482943</v>
      </c>
      <c r="C23">
        <f t="shared" si="0"/>
        <v>0.11573912153939518</v>
      </c>
      <c r="D23">
        <f t="shared" si="1"/>
        <v>-1.1779461334565755E-2</v>
      </c>
      <c r="E23">
        <f t="shared" si="2"/>
        <v>1.3875570933252963E-4</v>
      </c>
    </row>
    <row r="24" spans="1:5" x14ac:dyDescent="0.25">
      <c r="A24">
        <v>2.1766067631875003</v>
      </c>
      <c r="B24">
        <v>0.10602508391750814</v>
      </c>
      <c r="C24">
        <f t="shared" si="0"/>
        <v>9.1143383701649011E-2</v>
      </c>
      <c r="D24">
        <f t="shared" si="1"/>
        <v>1.4881700215859134E-2</v>
      </c>
      <c r="E24">
        <f t="shared" si="2"/>
        <v>2.214650013147018E-4</v>
      </c>
    </row>
    <row r="25" spans="1:5" x14ac:dyDescent="0.25">
      <c r="A25">
        <v>2.2678834848124998</v>
      </c>
      <c r="B25">
        <v>7.297830451464847E-2</v>
      </c>
      <c r="C25">
        <f t="shared" si="0"/>
        <v>7.0881937804453551E-2</v>
      </c>
      <c r="D25">
        <f t="shared" si="1"/>
        <v>2.096366710194919E-3</v>
      </c>
      <c r="E25">
        <f t="shared" si="2"/>
        <v>4.3947533836134677E-6</v>
      </c>
    </row>
    <row r="26" spans="1:5" x14ac:dyDescent="0.25">
      <c r="A26">
        <v>2.3591602064375001</v>
      </c>
      <c r="B26">
        <v>6.7470507947505184E-2</v>
      </c>
      <c r="C26">
        <f t="shared" si="0"/>
        <v>5.4448134956296412E-2</v>
      </c>
      <c r="D26">
        <f t="shared" si="1"/>
        <v>1.3022372991208772E-2</v>
      </c>
      <c r="E26">
        <f t="shared" si="2"/>
        <v>1.6958219832216369E-4</v>
      </c>
    </row>
    <row r="27" spans="1:5" x14ac:dyDescent="0.25">
      <c r="A27">
        <v>2.4504369280625005</v>
      </c>
      <c r="B27">
        <v>5.4389491100539894E-2</v>
      </c>
      <c r="C27">
        <f t="shared" si="0"/>
        <v>4.1317302225354791E-2</v>
      </c>
      <c r="D27">
        <f t="shared" si="1"/>
        <v>1.3072188875185103E-2</v>
      </c>
      <c r="E27">
        <f t="shared" si="2"/>
        <v>1.7088212198851317E-4</v>
      </c>
    </row>
    <row r="28" spans="1:5" x14ac:dyDescent="0.25">
      <c r="A28">
        <v>2.5417136496874999</v>
      </c>
      <c r="B28">
        <v>4.0619999682681693E-2</v>
      </c>
      <c r="C28">
        <f t="shared" si="0"/>
        <v>3.0977113169799991E-2</v>
      </c>
      <c r="D28">
        <f t="shared" si="1"/>
        <v>9.6428865128817022E-3</v>
      </c>
      <c r="E28">
        <f t="shared" si="2"/>
        <v>9.2985260300315839E-5</v>
      </c>
    </row>
    <row r="29" spans="1:5" x14ac:dyDescent="0.25">
      <c r="A29">
        <v>2.6329903713124998</v>
      </c>
      <c r="B29">
        <v>3.0981355690180953E-2</v>
      </c>
      <c r="C29">
        <f t="shared" si="0"/>
        <v>2.2948973817979827E-2</v>
      </c>
      <c r="D29">
        <f t="shared" si="1"/>
        <v>8.0323818722011255E-3</v>
      </c>
      <c r="E29">
        <f t="shared" si="2"/>
        <v>6.4519158540865261E-5</v>
      </c>
    </row>
    <row r="30" spans="1:5" x14ac:dyDescent="0.25">
      <c r="A30">
        <v>2.7242670929374997</v>
      </c>
      <c r="B30">
        <v>2.9604406548395135E-2</v>
      </c>
      <c r="C30">
        <f t="shared" si="0"/>
        <v>1.6801486678151466E-2</v>
      </c>
      <c r="D30">
        <f t="shared" si="1"/>
        <v>1.2802919870243668E-2</v>
      </c>
      <c r="E30">
        <f t="shared" si="2"/>
        <v>1.6391475720388014E-4</v>
      </c>
    </row>
    <row r="31" spans="1:5" x14ac:dyDescent="0.25">
      <c r="A31">
        <v>2.8155438145625</v>
      </c>
      <c r="B31">
        <v>1.8588813414108573E-2</v>
      </c>
      <c r="C31">
        <f t="shared" si="0"/>
        <v>1.2157354123244962E-2</v>
      </c>
      <c r="D31">
        <f t="shared" si="1"/>
        <v>6.4314592908636115E-3</v>
      </c>
      <c r="E31">
        <f t="shared" si="2"/>
        <v>4.136366861003587E-5</v>
      </c>
    </row>
    <row r="32" spans="1:5" x14ac:dyDescent="0.25">
      <c r="A32">
        <v>2.9068205361875004</v>
      </c>
      <c r="B32">
        <v>1.6523389701429841E-2</v>
      </c>
      <c r="C32">
        <f t="shared" si="0"/>
        <v>8.6951813262236173E-3</v>
      </c>
      <c r="D32">
        <f t="shared" si="1"/>
        <v>7.8282083752062234E-3</v>
      </c>
      <c r="E32">
        <f t="shared" si="2"/>
        <v>6.1280846365648867E-5</v>
      </c>
    </row>
    <row r="33" spans="1:5" x14ac:dyDescent="0.25">
      <c r="A33">
        <v>2.9980972578124998</v>
      </c>
      <c r="B33">
        <v>1.6523389701429841E-2</v>
      </c>
      <c r="C33">
        <f t="shared" si="0"/>
        <v>6.1475866424335742E-3</v>
      </c>
      <c r="D33">
        <f t="shared" si="1"/>
        <v>1.0375803058996266E-2</v>
      </c>
      <c r="E33">
        <f t="shared" si="2"/>
        <v>1.0765728911907626E-4</v>
      </c>
    </row>
    <row r="34" spans="1:5" x14ac:dyDescent="0.25">
      <c r="A34">
        <v>3.0893739794375001</v>
      </c>
      <c r="B34">
        <v>8.2616948507149204E-3</v>
      </c>
      <c r="C34">
        <f t="shared" si="0"/>
        <v>4.2968737072968353E-3</v>
      </c>
      <c r="D34">
        <f t="shared" si="1"/>
        <v>3.964821143418085E-3</v>
      </c>
      <c r="E34">
        <f t="shared" si="2"/>
        <v>1.5719806699295092E-5</v>
      </c>
    </row>
    <row r="35" spans="1:5" x14ac:dyDescent="0.25">
      <c r="A35">
        <v>3.1806507010625005</v>
      </c>
      <c r="B35">
        <v>4.8193219962503709E-3</v>
      </c>
      <c r="C35">
        <f t="shared" si="0"/>
        <v>2.9693094950340401E-3</v>
      </c>
      <c r="D35">
        <f t="shared" si="1"/>
        <v>1.8500125012163309E-3</v>
      </c>
      <c r="E35">
        <f t="shared" si="2"/>
        <v>3.4225462546567048E-6</v>
      </c>
    </row>
    <row r="36" spans="1:5" x14ac:dyDescent="0.25">
      <c r="A36">
        <v>3.2719274226874999</v>
      </c>
      <c r="B36">
        <v>5.5077965671432808E-3</v>
      </c>
      <c r="C36">
        <f t="shared" si="0"/>
        <v>2.0288228822412393E-3</v>
      </c>
      <c r="D36">
        <f t="shared" si="1"/>
        <v>3.4789736849020416E-3</v>
      </c>
      <c r="E36">
        <f t="shared" si="2"/>
        <v>1.2103257900240889E-5</v>
      </c>
    </row>
    <row r="37" spans="1:5" x14ac:dyDescent="0.25">
      <c r="A37">
        <v>3.3632041443125003</v>
      </c>
      <c r="B37">
        <v>2.0654237126787301E-3</v>
      </c>
      <c r="C37">
        <f t="shared" si="0"/>
        <v>1.3707159543543683E-3</v>
      </c>
      <c r="D37">
        <f t="shared" si="1"/>
        <v>6.9470775832436178E-4</v>
      </c>
      <c r="E37">
        <f t="shared" si="2"/>
        <v>4.8261886947605982E-7</v>
      </c>
    </row>
    <row r="38" spans="1:5" x14ac:dyDescent="0.25">
      <c r="A38">
        <v>3.4544808659375001</v>
      </c>
      <c r="B38">
        <v>1.3769491417858202E-3</v>
      </c>
      <c r="C38">
        <f t="shared" si="0"/>
        <v>9.1578298572152119E-4</v>
      </c>
      <c r="D38">
        <f t="shared" si="1"/>
        <v>4.6116615606429901E-4</v>
      </c>
      <c r="E38">
        <f t="shared" si="2"/>
        <v>2.1267422349912139E-7</v>
      </c>
    </row>
    <row r="39" spans="1:5" x14ac:dyDescent="0.25">
      <c r="A39">
        <v>3.5457575875625</v>
      </c>
      <c r="B39">
        <v>1.3769491417858202E-3</v>
      </c>
      <c r="C39">
        <f t="shared" si="0"/>
        <v>6.0506905588559635E-4</v>
      </c>
      <c r="D39">
        <f t="shared" si="1"/>
        <v>7.7188008590022385E-4</v>
      </c>
      <c r="E39">
        <f t="shared" si="2"/>
        <v>5.9579886700933694E-7</v>
      </c>
    </row>
    <row r="40" spans="1:5" x14ac:dyDescent="0.25">
      <c r="A40">
        <v>3.6370343091875004</v>
      </c>
      <c r="B40">
        <v>6.884745708929101E-4</v>
      </c>
      <c r="C40">
        <f t="shared" si="0"/>
        <v>3.953744772606779E-4</v>
      </c>
      <c r="D40">
        <f t="shared" si="1"/>
        <v>2.931000936322322E-4</v>
      </c>
      <c r="E40">
        <f t="shared" si="2"/>
        <v>8.5907664887223287E-8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79D7-5E6C-4C31-8E72-99ECA14A32F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0.1040558546625</v>
      </c>
      <c r="B1">
        <v>7.695987162251923E-2</v>
      </c>
      <c r="C1">
        <f>$H$3*(1+$H$1)*(A1^($H$1))*EXP(-$H$3*(A1^(1+$H$1)))</f>
        <v>0.15889361159248064</v>
      </c>
      <c r="D1">
        <f>B1-C1</f>
        <v>-8.1933739969961408E-2</v>
      </c>
      <c r="E1">
        <f>D1^2</f>
        <v>6.7131377454652513E-3</v>
      </c>
      <c r="G1" t="s">
        <v>0</v>
      </c>
      <c r="H1">
        <v>1.0105035036504113</v>
      </c>
    </row>
    <row r="2" spans="1:8" x14ac:dyDescent="0.25">
      <c r="A2">
        <v>0.1906103179875</v>
      </c>
      <c r="B2">
        <v>0.25048260103555786</v>
      </c>
      <c r="C2">
        <f t="shared" ref="C2:C40" si="0">$H$3*(1+$H$1)*(A2^($H$1))*EXP(-$H$3*(A2^(1+$H$1)))</f>
        <v>0.28720208324856505</v>
      </c>
      <c r="D2">
        <f t="shared" ref="D2:D40" si="1">B2-C2</f>
        <v>-3.6719482213007193E-2</v>
      </c>
      <c r="E2">
        <f t="shared" ref="E2:E40" si="2">D2^2</f>
        <v>1.3483203739913516E-3</v>
      </c>
    </row>
    <row r="3" spans="1:8" x14ac:dyDescent="0.25">
      <c r="A3">
        <v>0.2771647813125</v>
      </c>
      <c r="B3">
        <v>0.39060765031052214</v>
      </c>
      <c r="C3">
        <f t="shared" si="0"/>
        <v>0.40628757327044418</v>
      </c>
      <c r="D3">
        <f t="shared" si="1"/>
        <v>-1.5679922959922044E-2</v>
      </c>
      <c r="E3">
        <f t="shared" si="2"/>
        <v>2.4585998402909044E-4</v>
      </c>
      <c r="G3" t="s">
        <v>1</v>
      </c>
      <c r="H3">
        <f>(_xlfn.GAMMA((2+$H$1)/(1+$H$1)))^(1+$H$1)</f>
        <v>0.78425713720280121</v>
      </c>
    </row>
    <row r="4" spans="1:8" x14ac:dyDescent="0.25">
      <c r="A4">
        <v>0.36371924463749999</v>
      </c>
      <c r="B4">
        <v>0.55977416057511631</v>
      </c>
      <c r="C4">
        <f t="shared" si="0"/>
        <v>0.51207534258579168</v>
      </c>
      <c r="D4">
        <f t="shared" si="1"/>
        <v>4.7698817989324627E-2</v>
      </c>
      <c r="E4">
        <f t="shared" si="2"/>
        <v>2.2751772375787186E-3</v>
      </c>
    </row>
    <row r="5" spans="1:8" x14ac:dyDescent="0.25">
      <c r="A5">
        <v>0.45027370796249999</v>
      </c>
      <c r="B5">
        <v>0.64109025134608</v>
      </c>
      <c r="C5">
        <f t="shared" si="0"/>
        <v>0.60134177379765763</v>
      </c>
      <c r="D5">
        <f t="shared" si="1"/>
        <v>3.9748477548422367E-2</v>
      </c>
      <c r="E5">
        <f t="shared" si="2"/>
        <v>1.5799414674174371E-3</v>
      </c>
      <c r="G5" t="s">
        <v>2</v>
      </c>
      <c r="H5">
        <f>SUM(E1:E40)</f>
        <v>4.8083553170371433E-2</v>
      </c>
    </row>
    <row r="6" spans="1:8" x14ac:dyDescent="0.25">
      <c r="A6">
        <v>0.53682817128749993</v>
      </c>
      <c r="B6">
        <v>0.77322889884889612</v>
      </c>
      <c r="C6">
        <f t="shared" si="0"/>
        <v>0.67180769481050306</v>
      </c>
      <c r="D6">
        <f t="shared" si="1"/>
        <v>0.10142120403839305</v>
      </c>
      <c r="E6">
        <f t="shared" si="2"/>
        <v>1.0286260628597355E-2</v>
      </c>
    </row>
    <row r="7" spans="1:8" x14ac:dyDescent="0.25">
      <c r="A7">
        <v>0.62338263461249988</v>
      </c>
      <c r="B7">
        <v>0.81824316338282244</v>
      </c>
      <c r="C7">
        <f t="shared" si="0"/>
        <v>0.72220251806056657</v>
      </c>
      <c r="D7">
        <f t="shared" si="1"/>
        <v>9.6040645322255869E-2</v>
      </c>
      <c r="E7">
        <f t="shared" si="2"/>
        <v>9.2238055539153475E-3</v>
      </c>
    </row>
    <row r="8" spans="1:8" x14ac:dyDescent="0.25">
      <c r="A8">
        <v>0.70993709793749993</v>
      </c>
      <c r="B8">
        <v>0.7913798119674148</v>
      </c>
      <c r="C8">
        <f t="shared" si="0"/>
        <v>0.75226655781302265</v>
      </c>
      <c r="D8">
        <f t="shared" si="1"/>
        <v>3.9113254154392152E-2</v>
      </c>
      <c r="E8">
        <f t="shared" si="2"/>
        <v>1.529846650546075E-3</v>
      </c>
    </row>
    <row r="9" spans="1:8" x14ac:dyDescent="0.25">
      <c r="A9">
        <v>0.79649156126249998</v>
      </c>
      <c r="B9">
        <v>0.78702359281897027</v>
      </c>
      <c r="C9">
        <f t="shared" si="0"/>
        <v>0.7626882057294595</v>
      </c>
      <c r="D9">
        <f t="shared" si="1"/>
        <v>2.4335387089510774E-2</v>
      </c>
      <c r="E9">
        <f t="shared" si="2"/>
        <v>5.9221106479632763E-4</v>
      </c>
    </row>
    <row r="10" spans="1:8" x14ac:dyDescent="0.25">
      <c r="A10">
        <v>0.88304602458750003</v>
      </c>
      <c r="B10">
        <v>0.73765310913659943</v>
      </c>
      <c r="C10">
        <f t="shared" si="0"/>
        <v>0.75498340235927541</v>
      </c>
      <c r="D10">
        <f t="shared" si="1"/>
        <v>-1.7330293222675985E-2</v>
      </c>
      <c r="E10">
        <f t="shared" si="2"/>
        <v>3.0033906318392917E-4</v>
      </c>
    </row>
    <row r="11" spans="1:8" x14ac:dyDescent="0.25">
      <c r="A11">
        <v>0.96960048791249998</v>
      </c>
      <c r="B11">
        <v>0.69336488112741379</v>
      </c>
      <c r="C11">
        <f t="shared" si="0"/>
        <v>0.73133083221099804</v>
      </c>
      <c r="D11">
        <f t="shared" si="1"/>
        <v>-3.7965951083584248E-2</v>
      </c>
      <c r="E11">
        <f t="shared" si="2"/>
        <v>1.4414134416811119E-3</v>
      </c>
    </row>
    <row r="12" spans="1:8" x14ac:dyDescent="0.25">
      <c r="A12">
        <v>1.0561549512374999</v>
      </c>
      <c r="B12">
        <v>0.715872013394377</v>
      </c>
      <c r="C12">
        <f t="shared" si="0"/>
        <v>0.6943795438236815</v>
      </c>
      <c r="D12">
        <f t="shared" si="1"/>
        <v>2.1492469570695505E-2</v>
      </c>
      <c r="E12">
        <f t="shared" si="2"/>
        <v>4.6192624824727222E-4</v>
      </c>
    </row>
    <row r="13" spans="1:8" x14ac:dyDescent="0.25">
      <c r="A13">
        <v>1.1427094145624999</v>
      </c>
      <c r="B13">
        <v>0.60987068078222784</v>
      </c>
      <c r="C13">
        <f t="shared" si="0"/>
        <v>0.64704670053226954</v>
      </c>
      <c r="D13">
        <f t="shared" si="1"/>
        <v>-3.71760197500417E-2</v>
      </c>
      <c r="E13">
        <f t="shared" si="2"/>
        <v>1.3820564444554906E-3</v>
      </c>
    </row>
    <row r="14" spans="1:8" x14ac:dyDescent="0.25">
      <c r="A14">
        <v>1.2292638778875</v>
      </c>
      <c r="B14">
        <v>0.5830073293668202</v>
      </c>
      <c r="C14">
        <f t="shared" si="0"/>
        <v>0.59232218847659812</v>
      </c>
      <c r="D14">
        <f t="shared" si="1"/>
        <v>-9.3148591097779176E-3</v>
      </c>
      <c r="E14">
        <f t="shared" si="2"/>
        <v>8.6766600235012656E-5</v>
      </c>
    </row>
    <row r="15" spans="1:8" x14ac:dyDescent="0.25">
      <c r="A15">
        <v>1.3158183412124997</v>
      </c>
      <c r="B15">
        <v>0.54743153965452362</v>
      </c>
      <c r="C15">
        <f t="shared" si="0"/>
        <v>0.53309423238647369</v>
      </c>
      <c r="D15">
        <f t="shared" si="1"/>
        <v>1.4337307268049937E-2</v>
      </c>
      <c r="E15">
        <f t="shared" si="2"/>
        <v>2.0555837969847755E-4</v>
      </c>
    </row>
    <row r="16" spans="1:8" x14ac:dyDescent="0.25">
      <c r="A16">
        <v>1.4023728045374999</v>
      </c>
      <c r="B16">
        <v>0.46393733930933762</v>
      </c>
      <c r="C16">
        <f t="shared" si="0"/>
        <v>0.47200649598152683</v>
      </c>
      <c r="D16">
        <f t="shared" si="1"/>
        <v>-8.069156672189215E-3</v>
      </c>
      <c r="E16">
        <f t="shared" si="2"/>
        <v>6.5111289400335721E-5</v>
      </c>
    </row>
    <row r="17" spans="1:5" x14ac:dyDescent="0.25">
      <c r="A17">
        <v>1.4889272678625001</v>
      </c>
      <c r="B17">
        <v>0.35575789712296624</v>
      </c>
      <c r="C17">
        <f t="shared" si="0"/>
        <v>0.41135292805388934</v>
      </c>
      <c r="D17">
        <f t="shared" si="1"/>
        <v>-5.5595030930923106E-2</v>
      </c>
      <c r="E17">
        <f t="shared" si="2"/>
        <v>3.090807464210297E-3</v>
      </c>
    </row>
    <row r="18" spans="1:5" x14ac:dyDescent="0.25">
      <c r="A18">
        <v>1.5754817311875</v>
      </c>
      <c r="B18">
        <v>0.34123716662815129</v>
      </c>
      <c r="C18">
        <f t="shared" si="0"/>
        <v>0.35301239738821166</v>
      </c>
      <c r="D18">
        <f t="shared" si="1"/>
        <v>-1.1775230760060373E-2</v>
      </c>
      <c r="E18">
        <f t="shared" si="2"/>
        <v>1.38656059452672E-4</v>
      </c>
    </row>
    <row r="19" spans="1:5" x14ac:dyDescent="0.25">
      <c r="A19">
        <v>1.6620361945125</v>
      </c>
      <c r="B19">
        <v>0.24975656451081713</v>
      </c>
      <c r="C19">
        <f t="shared" si="0"/>
        <v>0.29842139884854668</v>
      </c>
      <c r="D19">
        <f t="shared" si="1"/>
        <v>-4.8664834337729557E-2</v>
      </c>
      <c r="E19">
        <f t="shared" si="2"/>
        <v>2.3682661011186616E-3</v>
      </c>
    </row>
    <row r="20" spans="1:5" x14ac:dyDescent="0.25">
      <c r="A20">
        <v>1.7485906578374999</v>
      </c>
      <c r="B20">
        <v>0.19530382515526107</v>
      </c>
      <c r="C20">
        <f t="shared" si="0"/>
        <v>0.24858014169076534</v>
      </c>
      <c r="D20">
        <f t="shared" si="1"/>
        <v>-5.327631653550427E-2</v>
      </c>
      <c r="E20">
        <f t="shared" si="2"/>
        <v>2.8383659035912459E-3</v>
      </c>
    </row>
    <row r="21" spans="1:5" x14ac:dyDescent="0.25">
      <c r="A21">
        <v>1.8351451211625001</v>
      </c>
      <c r="B21">
        <v>0.18078309466044612</v>
      </c>
      <c r="C21">
        <f t="shared" si="0"/>
        <v>0.20408533321829697</v>
      </c>
      <c r="D21">
        <f t="shared" si="1"/>
        <v>-2.3302238557850852E-2</v>
      </c>
      <c r="E21">
        <f t="shared" si="2"/>
        <v>5.4299432180699098E-4</v>
      </c>
    </row>
    <row r="22" spans="1:5" x14ac:dyDescent="0.25">
      <c r="A22">
        <v>1.9216995844875</v>
      </c>
      <c r="B22">
        <v>0.15246767019555696</v>
      </c>
      <c r="C22">
        <f t="shared" si="0"/>
        <v>0.16518198342114548</v>
      </c>
      <c r="D22">
        <f t="shared" si="1"/>
        <v>-1.2714313225588525E-2</v>
      </c>
      <c r="E22">
        <f t="shared" si="2"/>
        <v>1.6165376079837527E-4</v>
      </c>
    </row>
    <row r="23" spans="1:5" x14ac:dyDescent="0.25">
      <c r="A23">
        <v>2.0082540478124997</v>
      </c>
      <c r="B23">
        <v>0.12197413615644558</v>
      </c>
      <c r="C23">
        <f t="shared" si="0"/>
        <v>0.1318264915238968</v>
      </c>
      <c r="D23">
        <f t="shared" si="1"/>
        <v>-9.8523553674512293E-3</v>
      </c>
      <c r="E23">
        <f t="shared" si="2"/>
        <v>9.7068906286545051E-5</v>
      </c>
    </row>
    <row r="24" spans="1:5" x14ac:dyDescent="0.25">
      <c r="A24">
        <v>2.0948085111374999</v>
      </c>
      <c r="B24">
        <v>0.10454925956266764</v>
      </c>
      <c r="C24">
        <f t="shared" si="0"/>
        <v>0.10375395575281829</v>
      </c>
      <c r="D24">
        <f t="shared" si="1"/>
        <v>7.9530380984935145E-4</v>
      </c>
      <c r="E24">
        <f t="shared" si="2"/>
        <v>6.3250814996089334E-7</v>
      </c>
    </row>
    <row r="25" spans="1:5" x14ac:dyDescent="0.25">
      <c r="A25">
        <v>2.1813629744624996</v>
      </c>
      <c r="B25">
        <v>8.5672309919408204E-2</v>
      </c>
      <c r="C25">
        <f t="shared" si="0"/>
        <v>8.0543845834523911E-2</v>
      </c>
      <c r="D25">
        <f t="shared" si="1"/>
        <v>5.1284640848842933E-3</v>
      </c>
      <c r="E25">
        <f t="shared" si="2"/>
        <v>2.6301143869948091E-5</v>
      </c>
    </row>
    <row r="26" spans="1:5" x14ac:dyDescent="0.25">
      <c r="A26">
        <v>2.2679174377874998</v>
      </c>
      <c r="B26">
        <v>8.2042127295704467E-2</v>
      </c>
      <c r="C26">
        <f t="shared" si="0"/>
        <v>6.1679655710747662E-2</v>
      </c>
      <c r="D26">
        <f t="shared" si="1"/>
        <v>2.0362471584956805E-2</v>
      </c>
      <c r="E26">
        <f t="shared" si="2"/>
        <v>4.1463024904817329E-4</v>
      </c>
    </row>
    <row r="27" spans="1:5" x14ac:dyDescent="0.25">
      <c r="A27">
        <v>2.3544719011124999</v>
      </c>
      <c r="B27">
        <v>5.227462978133382E-2</v>
      </c>
      <c r="C27">
        <f t="shared" si="0"/>
        <v>4.6599694887174511E-2</v>
      </c>
      <c r="D27">
        <f t="shared" si="1"/>
        <v>5.6749348941593086E-3</v>
      </c>
      <c r="E27">
        <f t="shared" si="2"/>
        <v>3.2204886052946921E-5</v>
      </c>
    </row>
    <row r="28" spans="1:5" x14ac:dyDescent="0.25">
      <c r="A28">
        <v>2.4410263644374997</v>
      </c>
      <c r="B28">
        <v>4.3562191484444845E-2</v>
      </c>
      <c r="C28">
        <f t="shared" si="0"/>
        <v>3.4737607184331179E-2</v>
      </c>
      <c r="D28">
        <f t="shared" si="1"/>
        <v>8.8245843001136665E-3</v>
      </c>
      <c r="E28">
        <f t="shared" si="2"/>
        <v>7.787328806981261E-5</v>
      </c>
    </row>
    <row r="29" spans="1:5" x14ac:dyDescent="0.25">
      <c r="A29">
        <v>2.5275808277624998</v>
      </c>
      <c r="B29">
        <v>3.4123716662815134E-2</v>
      </c>
      <c r="C29">
        <f t="shared" si="0"/>
        <v>2.5552406279013704E-2</v>
      </c>
      <c r="D29">
        <f t="shared" si="1"/>
        <v>8.5713103838014303E-3</v>
      </c>
      <c r="E29">
        <f t="shared" si="2"/>
        <v>7.3467361695462216E-5</v>
      </c>
    </row>
    <row r="30" spans="1:5" x14ac:dyDescent="0.25">
      <c r="A30">
        <v>2.6141352910875</v>
      </c>
      <c r="B30">
        <v>3.1945607088592891E-2</v>
      </c>
      <c r="C30">
        <f t="shared" si="0"/>
        <v>1.8548724790685266E-2</v>
      </c>
      <c r="D30">
        <f t="shared" si="1"/>
        <v>1.3396882297907624E-2</v>
      </c>
      <c r="E30">
        <f t="shared" si="2"/>
        <v>1.7947645530399066E-4</v>
      </c>
    </row>
    <row r="31" spans="1:5" x14ac:dyDescent="0.25">
      <c r="A31">
        <v>2.7006897544124997</v>
      </c>
      <c r="B31">
        <v>2.0329022692740929E-2</v>
      </c>
      <c r="C31">
        <f t="shared" si="0"/>
        <v>1.3288573442412995E-2</v>
      </c>
      <c r="D31">
        <f t="shared" si="1"/>
        <v>7.0404492503279344E-3</v>
      </c>
      <c r="E31">
        <f t="shared" si="2"/>
        <v>4.9567925646443177E-5</v>
      </c>
    </row>
    <row r="32" spans="1:5" x14ac:dyDescent="0.25">
      <c r="A32">
        <v>2.7872442177374999</v>
      </c>
      <c r="B32">
        <v>2.0329022692740929E-2</v>
      </c>
      <c r="C32">
        <f t="shared" si="0"/>
        <v>9.3962226314707031E-3</v>
      </c>
      <c r="D32">
        <f t="shared" si="1"/>
        <v>1.0932800061270226E-2</v>
      </c>
      <c r="E32">
        <f t="shared" si="2"/>
        <v>1.1952611717971026E-4</v>
      </c>
    </row>
    <row r="33" spans="1:5" x14ac:dyDescent="0.25">
      <c r="A33">
        <v>2.8737986810624996</v>
      </c>
      <c r="B33">
        <v>1.6698840069037192E-2</v>
      </c>
      <c r="C33">
        <f t="shared" si="0"/>
        <v>6.5578989745236913E-3</v>
      </c>
      <c r="D33">
        <f t="shared" si="1"/>
        <v>1.0140941094513502E-2</v>
      </c>
      <c r="E33">
        <f t="shared" si="2"/>
        <v>1.028386862823927E-4</v>
      </c>
    </row>
    <row r="34" spans="1:5" x14ac:dyDescent="0.25">
      <c r="A34">
        <v>2.9603531443874997</v>
      </c>
      <c r="B34">
        <v>7.2603652474074751E-3</v>
      </c>
      <c r="C34">
        <f t="shared" si="0"/>
        <v>4.5178944525184487E-3</v>
      </c>
      <c r="D34">
        <f t="shared" si="1"/>
        <v>2.7424707948890265E-3</v>
      </c>
      <c r="E34">
        <f t="shared" si="2"/>
        <v>7.5211460608192482E-6</v>
      </c>
    </row>
    <row r="35" spans="1:5" x14ac:dyDescent="0.25">
      <c r="A35">
        <v>3.0469076077124999</v>
      </c>
      <c r="B35">
        <v>5.8082921979259799E-3</v>
      </c>
      <c r="C35">
        <f t="shared" si="0"/>
        <v>3.0724774132673475E-3</v>
      </c>
      <c r="D35">
        <f t="shared" si="1"/>
        <v>2.7358147846586324E-3</v>
      </c>
      <c r="E35">
        <f t="shared" si="2"/>
        <v>7.4846825359567588E-6</v>
      </c>
    </row>
    <row r="36" spans="1:5" x14ac:dyDescent="0.25">
      <c r="A36">
        <v>3.1334620710375001</v>
      </c>
      <c r="B36">
        <v>5.8082921979259799E-3</v>
      </c>
      <c r="C36">
        <f t="shared" si="0"/>
        <v>2.0627282589064499E-3</v>
      </c>
      <c r="D36">
        <f t="shared" si="1"/>
        <v>3.74556393901953E-3</v>
      </c>
      <c r="E36">
        <f t="shared" si="2"/>
        <v>1.4029249221283497E-5</v>
      </c>
    </row>
    <row r="37" spans="1:5" x14ac:dyDescent="0.25">
      <c r="A37">
        <v>3.2200165343625002</v>
      </c>
      <c r="B37">
        <v>2.1781095742222424E-3</v>
      </c>
      <c r="C37">
        <f t="shared" si="0"/>
        <v>1.3671425657064765E-3</v>
      </c>
      <c r="D37">
        <f t="shared" si="1"/>
        <v>8.1096700851576589E-4</v>
      </c>
      <c r="E37">
        <f t="shared" si="2"/>
        <v>6.5766748890101031E-7</v>
      </c>
    </row>
    <row r="38" spans="1:5" x14ac:dyDescent="0.25">
      <c r="A38">
        <v>3.3065709976874995</v>
      </c>
      <c r="B38">
        <v>2.1781095742222424E-3</v>
      </c>
      <c r="C38">
        <f t="shared" si="0"/>
        <v>8.9458236042066412E-4</v>
      </c>
      <c r="D38">
        <f t="shared" si="1"/>
        <v>1.2835272138015782E-3</v>
      </c>
      <c r="E38">
        <f t="shared" si="2"/>
        <v>1.6474421085692423E-6</v>
      </c>
    </row>
    <row r="39" spans="1:5" x14ac:dyDescent="0.25">
      <c r="A39">
        <v>3.3931254610124997</v>
      </c>
      <c r="B39">
        <v>7.2603652474074749E-4</v>
      </c>
      <c r="C39">
        <f t="shared" si="0"/>
        <v>5.7793171325493933E-4</v>
      </c>
      <c r="D39">
        <f t="shared" si="1"/>
        <v>1.4810481148580816E-4</v>
      </c>
      <c r="E39">
        <f t="shared" si="2"/>
        <v>2.1935035185246773E-8</v>
      </c>
    </row>
    <row r="40" spans="1:5" x14ac:dyDescent="0.25">
      <c r="A40">
        <v>3.4796799243374998</v>
      </c>
      <c r="B40">
        <v>7.2603652474074749E-4</v>
      </c>
      <c r="C40">
        <f t="shared" si="0"/>
        <v>3.6863462418373986E-4</v>
      </c>
      <c r="D40">
        <f t="shared" si="1"/>
        <v>3.5740190055700763E-4</v>
      </c>
      <c r="E40">
        <f t="shared" si="2"/>
        <v>1.2773611852176118E-7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E2E8-6D1E-4335-BDB6-E5175A638B4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0.121519512425</v>
      </c>
      <c r="B1">
        <v>6.0501544257603991E-2</v>
      </c>
      <c r="C1">
        <f>$H$3*(1+$H$1)*(A1^($H$1))*EXP(-$H$3*(A1^(1+$H$1)))</f>
        <v>0.15256633552087195</v>
      </c>
      <c r="D1">
        <f>B1-C1</f>
        <v>-9.206479126326797E-2</v>
      </c>
      <c r="E1">
        <f>D1^2</f>
        <v>8.4759257903491026E-3</v>
      </c>
      <c r="G1" t="s">
        <v>0</v>
      </c>
      <c r="H1">
        <v>1.1226734308681141</v>
      </c>
    </row>
    <row r="2" spans="1:8" x14ac:dyDescent="0.25">
      <c r="A2">
        <v>0.20357517727500002</v>
      </c>
      <c r="B2">
        <v>0.20371406041167925</v>
      </c>
      <c r="C2">
        <f t="shared" ref="C2:C40" si="0">$H$3*(1+$H$1)*(A2^($H$1))*EXP(-$H$3*(A2^(1+$H$1)))</f>
        <v>0.2675539809705057</v>
      </c>
      <c r="D2">
        <f t="shared" ref="D2:D40" si="1">B2-C2</f>
        <v>-6.3839920558826452E-2</v>
      </c>
      <c r="E2">
        <f t="shared" ref="E2:E40" si="2">D2^2</f>
        <v>4.0755354569572723E-3</v>
      </c>
    </row>
    <row r="3" spans="1:8" x14ac:dyDescent="0.25">
      <c r="A3">
        <v>0.28563084212500001</v>
      </c>
      <c r="B3">
        <v>0.36913600420462178</v>
      </c>
      <c r="C3">
        <f t="shared" si="0"/>
        <v>0.38062454346937297</v>
      </c>
      <c r="D3">
        <f t="shared" si="1"/>
        <v>-1.1488539264751185E-2</v>
      </c>
      <c r="E3">
        <f t="shared" si="2"/>
        <v>1.319865344377297E-4</v>
      </c>
      <c r="G3" t="s">
        <v>1</v>
      </c>
      <c r="H3">
        <f>(_xlfn.GAMMA((2+$H$1)/(1+$H$1)))^(1+$H$1)</f>
        <v>0.77276225045415481</v>
      </c>
    </row>
    <row r="4" spans="1:8" x14ac:dyDescent="0.25">
      <c r="A4">
        <v>0.36768650697500005</v>
      </c>
      <c r="B4">
        <v>0.53762131732706331</v>
      </c>
      <c r="C4">
        <f t="shared" si="0"/>
        <v>0.48637508044623334</v>
      </c>
      <c r="D4">
        <f t="shared" si="1"/>
        <v>5.1246236880829965E-2</v>
      </c>
      <c r="E4">
        <f t="shared" si="2"/>
        <v>2.6261767944461374E-3</v>
      </c>
    </row>
    <row r="5" spans="1:8" x14ac:dyDescent="0.25">
      <c r="A5">
        <v>0.44974217182500004</v>
      </c>
      <c r="B5">
        <v>0.64560508619190082</v>
      </c>
      <c r="C5">
        <f t="shared" si="0"/>
        <v>0.58046576627970337</v>
      </c>
      <c r="D5">
        <f t="shared" si="1"/>
        <v>6.5139319912197458E-2</v>
      </c>
      <c r="E5">
        <f t="shared" si="2"/>
        <v>4.2431309986236043E-3</v>
      </c>
      <c r="G5" t="s">
        <v>2</v>
      </c>
      <c r="H5">
        <f>SUM(E1:E40)</f>
        <v>6.1129392448465679E-2</v>
      </c>
    </row>
    <row r="6" spans="1:8" x14ac:dyDescent="0.25">
      <c r="A6">
        <v>0.53179783667500002</v>
      </c>
      <c r="B6">
        <v>0.73674032374449416</v>
      </c>
      <c r="C6">
        <f t="shared" si="0"/>
        <v>0.65946930553687566</v>
      </c>
      <c r="D6">
        <f t="shared" si="1"/>
        <v>7.7271018207618503E-2</v>
      </c>
      <c r="E6">
        <f t="shared" si="2"/>
        <v>5.9708102548421101E-3</v>
      </c>
    </row>
    <row r="7" spans="1:8" x14ac:dyDescent="0.25">
      <c r="A7">
        <v>0.61385350152499996</v>
      </c>
      <c r="B7">
        <v>0.84242656561220741</v>
      </c>
      <c r="C7">
        <f t="shared" si="0"/>
        <v>0.7209107955133276</v>
      </c>
      <c r="D7">
        <f t="shared" si="1"/>
        <v>0.12151577009887982</v>
      </c>
      <c r="E7">
        <f t="shared" si="2"/>
        <v>1.4766082382723814E-2</v>
      </c>
    </row>
    <row r="8" spans="1:8" x14ac:dyDescent="0.25">
      <c r="A8">
        <v>0.695909166375</v>
      </c>
      <c r="B8">
        <v>0.80796366065534442</v>
      </c>
      <c r="C8">
        <f t="shared" si="0"/>
        <v>0.76331938264031107</v>
      </c>
      <c r="D8">
        <f t="shared" si="1"/>
        <v>4.4644278015033345E-2</v>
      </c>
      <c r="E8">
        <f t="shared" si="2"/>
        <v>1.9931115594835898E-3</v>
      </c>
    </row>
    <row r="9" spans="1:8" x14ac:dyDescent="0.25">
      <c r="A9">
        <v>0.77796483122500004</v>
      </c>
      <c r="B9">
        <v>0.83323645762371057</v>
      </c>
      <c r="C9">
        <f t="shared" si="0"/>
        <v>0.78623910782551598</v>
      </c>
      <c r="D9">
        <f t="shared" si="1"/>
        <v>4.6997349798194588E-2</v>
      </c>
      <c r="E9">
        <f t="shared" si="2"/>
        <v>2.2087508880538607E-3</v>
      </c>
    </row>
    <row r="10" spans="1:8" x14ac:dyDescent="0.25">
      <c r="A10">
        <v>0.86002049607499997</v>
      </c>
      <c r="B10">
        <v>0.80260276432872124</v>
      </c>
      <c r="C10">
        <f t="shared" si="0"/>
        <v>0.79018226564494243</v>
      </c>
      <c r="D10">
        <f t="shared" si="1"/>
        <v>1.2420498683778813E-2</v>
      </c>
      <c r="E10">
        <f t="shared" si="2"/>
        <v>1.5426878755375124E-4</v>
      </c>
    </row>
    <row r="11" spans="1:8" x14ac:dyDescent="0.25">
      <c r="A11">
        <v>0.94207616092500013</v>
      </c>
      <c r="B11">
        <v>0.76354480537760983</v>
      </c>
      <c r="C11">
        <f t="shared" si="0"/>
        <v>0.77652462558803992</v>
      </c>
      <c r="D11">
        <f t="shared" si="1"/>
        <v>-1.2979820210430093E-2</v>
      </c>
      <c r="E11">
        <f t="shared" si="2"/>
        <v>1.6847573269508951E-4</v>
      </c>
    </row>
    <row r="12" spans="1:8" x14ac:dyDescent="0.25">
      <c r="A12">
        <v>1.0241318257750001</v>
      </c>
      <c r="B12">
        <v>0.72831605808837208</v>
      </c>
      <c r="C12">
        <f t="shared" si="0"/>
        <v>0.74735123409939563</v>
      </c>
      <c r="D12">
        <f t="shared" si="1"/>
        <v>-1.9035176011023558E-2</v>
      </c>
      <c r="E12">
        <f t="shared" si="2"/>
        <v>3.6233792577064673E-4</v>
      </c>
    </row>
    <row r="13" spans="1:8" x14ac:dyDescent="0.25">
      <c r="A13">
        <v>1.106187490625</v>
      </c>
      <c r="B13">
        <v>0.70687247278187948</v>
      </c>
      <c r="C13">
        <f t="shared" si="0"/>
        <v>0.70526731200177628</v>
      </c>
      <c r="D13">
        <f t="shared" si="1"/>
        <v>1.6051607801031986E-3</v>
      </c>
      <c r="E13">
        <f t="shared" si="2"/>
        <v>2.576541129981509E-6</v>
      </c>
    </row>
    <row r="14" spans="1:8" x14ac:dyDescent="0.25">
      <c r="A14">
        <v>1.1882431554749999</v>
      </c>
      <c r="B14">
        <v>0.58893275359617048</v>
      </c>
      <c r="C14">
        <f t="shared" si="0"/>
        <v>0.65319176369589327</v>
      </c>
      <c r="D14">
        <f t="shared" si="1"/>
        <v>-6.4259010099722791E-2</v>
      </c>
      <c r="E14">
        <f t="shared" si="2"/>
        <v>4.1292203789962756E-3</v>
      </c>
    </row>
    <row r="15" spans="1:8" x14ac:dyDescent="0.25">
      <c r="A15">
        <v>1.2702988203249999</v>
      </c>
      <c r="B15">
        <v>0.5835718572695473</v>
      </c>
      <c r="C15">
        <f t="shared" si="0"/>
        <v>0.59415133228071104</v>
      </c>
      <c r="D15">
        <f t="shared" si="1"/>
        <v>-1.0579475011163741E-2</v>
      </c>
      <c r="E15">
        <f t="shared" si="2"/>
        <v>1.1192529151183805E-4</v>
      </c>
    </row>
    <row r="16" spans="1:8" x14ac:dyDescent="0.25">
      <c r="A16">
        <v>1.3523544851750002</v>
      </c>
      <c r="B16">
        <v>0.55600153330405688</v>
      </c>
      <c r="C16">
        <f t="shared" si="0"/>
        <v>0.53109180630905417</v>
      </c>
      <c r="D16">
        <f t="shared" si="1"/>
        <v>2.4909726995002712E-2</v>
      </c>
      <c r="E16">
        <f t="shared" si="2"/>
        <v>6.2049449896556686E-4</v>
      </c>
    </row>
    <row r="17" spans="1:5" x14ac:dyDescent="0.25">
      <c r="A17">
        <v>1.4344101500250002</v>
      </c>
      <c r="B17">
        <v>0.44418855277734576</v>
      </c>
      <c r="C17">
        <f t="shared" si="0"/>
        <v>0.46671939200570023</v>
      </c>
      <c r="D17">
        <f t="shared" si="1"/>
        <v>-2.2530839228354471E-2</v>
      </c>
      <c r="E17">
        <f t="shared" si="2"/>
        <v>5.076387163339567E-4</v>
      </c>
    </row>
    <row r="18" spans="1:5" x14ac:dyDescent="0.25">
      <c r="A18">
        <v>1.5164658148750001</v>
      </c>
      <c r="B18">
        <v>0.35918005388375024</v>
      </c>
      <c r="C18">
        <f t="shared" si="0"/>
        <v>0.40338101637269114</v>
      </c>
      <c r="D18">
        <f t="shared" si="1"/>
        <v>-4.4200962488940898E-2</v>
      </c>
      <c r="E18">
        <f t="shared" si="2"/>
        <v>1.9537250849487602E-3</v>
      </c>
    </row>
    <row r="19" spans="1:5" x14ac:dyDescent="0.25">
      <c r="A19">
        <v>1.598521479725</v>
      </c>
      <c r="B19">
        <v>0.30633693294989361</v>
      </c>
      <c r="C19">
        <f t="shared" si="0"/>
        <v>0.34298757844005034</v>
      </c>
      <c r="D19">
        <f t="shared" si="1"/>
        <v>-3.665064549015673E-2</v>
      </c>
      <c r="E19">
        <f t="shared" si="2"/>
        <v>1.3432698148451458E-3</v>
      </c>
    </row>
    <row r="20" spans="1:5" x14ac:dyDescent="0.25">
      <c r="A20">
        <v>1.680577144575</v>
      </c>
      <c r="B20">
        <v>0.22286011872104761</v>
      </c>
      <c r="C20">
        <f t="shared" si="0"/>
        <v>0.28697963644182867</v>
      </c>
      <c r="D20">
        <f t="shared" si="1"/>
        <v>-6.4119517720781061E-2</v>
      </c>
      <c r="E20">
        <f t="shared" si="2"/>
        <v>4.1113125527455566E-3</v>
      </c>
    </row>
    <row r="21" spans="1:5" x14ac:dyDescent="0.25">
      <c r="A21">
        <v>1.7626328094250001</v>
      </c>
      <c r="B21">
        <v>0.1983531640850561</v>
      </c>
      <c r="C21">
        <f t="shared" si="0"/>
        <v>0.23633121050758335</v>
      </c>
      <c r="D21">
        <f t="shared" si="1"/>
        <v>-3.7978046422527251E-2</v>
      </c>
      <c r="E21">
        <f t="shared" si="2"/>
        <v>1.4423320100716349E-3</v>
      </c>
    </row>
    <row r="22" spans="1:5" x14ac:dyDescent="0.25">
      <c r="A22">
        <v>1.8446884742750003</v>
      </c>
      <c r="B22">
        <v>0.1753778941138141</v>
      </c>
      <c r="C22">
        <f t="shared" si="0"/>
        <v>0.19158462801026188</v>
      </c>
      <c r="D22">
        <f t="shared" si="1"/>
        <v>-1.6206733896447778E-2</v>
      </c>
      <c r="E22">
        <f t="shared" si="2"/>
        <v>2.6265822359026938E-4</v>
      </c>
    </row>
    <row r="23" spans="1:5" x14ac:dyDescent="0.25">
      <c r="A23">
        <v>1.9267441391250002</v>
      </c>
      <c r="B23">
        <v>0.13555409283032793</v>
      </c>
      <c r="C23">
        <f t="shared" si="0"/>
        <v>0.15290778782863024</v>
      </c>
      <c r="D23">
        <f t="shared" si="1"/>
        <v>-1.7353694998302305E-2</v>
      </c>
      <c r="E23">
        <f t="shared" si="2"/>
        <v>3.0115073009410245E-4</v>
      </c>
    </row>
    <row r="24" spans="1:5" x14ac:dyDescent="0.25">
      <c r="A24">
        <v>2.0087998039750001</v>
      </c>
      <c r="B24">
        <v>0.11870556151808377</v>
      </c>
      <c r="C24">
        <f t="shared" si="0"/>
        <v>0.12016483832146005</v>
      </c>
      <c r="D24">
        <f t="shared" si="1"/>
        <v>-1.4592768033762776E-3</v>
      </c>
      <c r="E24">
        <f t="shared" si="2"/>
        <v>2.1294887888720874E-6</v>
      </c>
    </row>
    <row r="25" spans="1:5" x14ac:dyDescent="0.25">
      <c r="A25">
        <v>2.0908554688250001</v>
      </c>
      <c r="B25">
        <v>0.10262287253821437</v>
      </c>
      <c r="C25">
        <f t="shared" si="0"/>
        <v>9.2991877100338502E-2</v>
      </c>
      <c r="D25">
        <f t="shared" si="1"/>
        <v>9.6309954378758639E-3</v>
      </c>
      <c r="E25">
        <f t="shared" si="2"/>
        <v>9.2756073124385701E-5</v>
      </c>
    </row>
    <row r="26" spans="1:5" x14ac:dyDescent="0.25">
      <c r="A26">
        <v>2.172911133675</v>
      </c>
      <c r="B26">
        <v>8.5774341225970205E-2</v>
      </c>
      <c r="C26">
        <f t="shared" si="0"/>
        <v>7.0870621966822436E-2</v>
      </c>
      <c r="D26">
        <f t="shared" si="1"/>
        <v>1.4903719259147769E-2</v>
      </c>
      <c r="E26">
        <f t="shared" si="2"/>
        <v>2.221208477554921E-4</v>
      </c>
    </row>
    <row r="27" spans="1:5" x14ac:dyDescent="0.25">
      <c r="A27">
        <v>2.2549667985250004</v>
      </c>
      <c r="B27">
        <v>6.0501544257603991E-2</v>
      </c>
      <c r="C27">
        <f t="shared" si="0"/>
        <v>5.3194767454605267E-2</v>
      </c>
      <c r="D27">
        <f t="shared" si="1"/>
        <v>7.306776802998724E-3</v>
      </c>
      <c r="E27">
        <f t="shared" si="2"/>
        <v>5.3388987248840253E-5</v>
      </c>
    </row>
    <row r="28" spans="1:5" x14ac:dyDescent="0.25">
      <c r="A28">
        <v>2.3370224633749999</v>
      </c>
      <c r="B28">
        <v>4.5950539942484041E-2</v>
      </c>
      <c r="C28">
        <f t="shared" si="0"/>
        <v>3.9325637988365844E-2</v>
      </c>
      <c r="D28">
        <f t="shared" si="1"/>
        <v>6.6249019541181967E-3</v>
      </c>
      <c r="E28">
        <f t="shared" si="2"/>
        <v>4.3889325901679103E-5</v>
      </c>
    </row>
    <row r="29" spans="1:5" x14ac:dyDescent="0.25">
      <c r="A29">
        <v>2.4190781282250002</v>
      </c>
      <c r="B29">
        <v>4.5950539942484041E-2</v>
      </c>
      <c r="C29">
        <f t="shared" si="0"/>
        <v>2.8635533533363022E-2</v>
      </c>
      <c r="D29">
        <f t="shared" si="1"/>
        <v>1.7315006409121019E-2</v>
      </c>
      <c r="E29">
        <f t="shared" si="2"/>
        <v>2.9980944694790198E-4</v>
      </c>
    </row>
    <row r="30" spans="1:5" x14ac:dyDescent="0.25">
      <c r="A30">
        <v>2.5011337930749997</v>
      </c>
      <c r="B30">
        <v>3.1399535627364097E-2</v>
      </c>
      <c r="C30">
        <f t="shared" si="0"/>
        <v>2.0538664410306873E-2</v>
      </c>
      <c r="D30">
        <f t="shared" si="1"/>
        <v>1.0860871217057224E-2</v>
      </c>
      <c r="E30">
        <f t="shared" si="2"/>
        <v>1.1795852359350206E-4</v>
      </c>
    </row>
    <row r="31" spans="1:5" x14ac:dyDescent="0.25">
      <c r="A31">
        <v>2.5831894579250001</v>
      </c>
      <c r="B31">
        <v>2.3741112303616755E-2</v>
      </c>
      <c r="C31">
        <f t="shared" si="0"/>
        <v>1.4510693521415577E-2</v>
      </c>
      <c r="D31">
        <f t="shared" si="1"/>
        <v>9.2304187822011777E-3</v>
      </c>
      <c r="E31">
        <f t="shared" si="2"/>
        <v>8.5200630894812274E-5</v>
      </c>
    </row>
    <row r="32" spans="1:5" x14ac:dyDescent="0.25">
      <c r="A32">
        <v>2.6652451227750005</v>
      </c>
      <c r="B32">
        <v>1.9146058309368351E-2</v>
      </c>
      <c r="C32">
        <f t="shared" si="0"/>
        <v>1.0098622138541168E-2</v>
      </c>
      <c r="D32">
        <f t="shared" si="1"/>
        <v>9.047436170827183E-3</v>
      </c>
      <c r="E32">
        <f t="shared" si="2"/>
        <v>8.1856101265192043E-5</v>
      </c>
    </row>
    <row r="33" spans="1:5" x14ac:dyDescent="0.25">
      <c r="A33">
        <v>2.747300787625</v>
      </c>
      <c r="B33">
        <v>1.7614373644618882E-2</v>
      </c>
      <c r="C33">
        <f t="shared" si="0"/>
        <v>6.9231008459480319E-3</v>
      </c>
      <c r="D33">
        <f t="shared" si="1"/>
        <v>1.069127279867085E-2</v>
      </c>
      <c r="E33">
        <f t="shared" si="2"/>
        <v>1.1430331405559923E-4</v>
      </c>
    </row>
    <row r="34" spans="1:5" x14ac:dyDescent="0.25">
      <c r="A34">
        <v>2.8293564524749999</v>
      </c>
      <c r="B34">
        <v>9.1901079884968082E-3</v>
      </c>
      <c r="C34">
        <f t="shared" si="0"/>
        <v>4.6752878985890029E-3</v>
      </c>
      <c r="D34">
        <f t="shared" si="1"/>
        <v>4.5148200899078053E-3</v>
      </c>
      <c r="E34">
        <f t="shared" si="2"/>
        <v>2.0383600444235122E-5</v>
      </c>
    </row>
    <row r="35" spans="1:5" x14ac:dyDescent="0.25">
      <c r="A35">
        <v>2.9114121173250003</v>
      </c>
      <c r="B35">
        <v>7.6584233237473398E-3</v>
      </c>
      <c r="C35">
        <f t="shared" si="0"/>
        <v>3.1101981689292974E-3</v>
      </c>
      <c r="D35">
        <f t="shared" si="1"/>
        <v>4.5482251548180424E-3</v>
      </c>
      <c r="E35">
        <f t="shared" si="2"/>
        <v>2.0686352058919606E-5</v>
      </c>
    </row>
    <row r="36" spans="1:5" x14ac:dyDescent="0.25">
      <c r="A36">
        <v>2.9934677821750002</v>
      </c>
      <c r="B36">
        <v>4.5950539942484041E-3</v>
      </c>
      <c r="C36">
        <f t="shared" si="0"/>
        <v>2.0381731544126592E-3</v>
      </c>
      <c r="D36">
        <f t="shared" si="1"/>
        <v>2.5568808398357449E-3</v>
      </c>
      <c r="E36">
        <f t="shared" si="2"/>
        <v>6.537639629119144E-6</v>
      </c>
    </row>
    <row r="37" spans="1:5" x14ac:dyDescent="0.25">
      <c r="A37">
        <v>3.0755234470250001</v>
      </c>
      <c r="B37">
        <v>1.5316846647494681E-3</v>
      </c>
      <c r="C37">
        <f t="shared" si="0"/>
        <v>1.3157318688339652E-3</v>
      </c>
      <c r="D37">
        <f t="shared" si="1"/>
        <v>2.1595279591550293E-4</v>
      </c>
      <c r="E37">
        <f t="shared" si="2"/>
        <v>4.6635610063722861E-8</v>
      </c>
    </row>
    <row r="38" spans="1:5" x14ac:dyDescent="0.25">
      <c r="A38">
        <v>3.1575791118750001</v>
      </c>
      <c r="B38">
        <v>3.0633693294989362E-3</v>
      </c>
      <c r="C38">
        <f t="shared" si="0"/>
        <v>8.3669243571697996E-4</v>
      </c>
      <c r="D38">
        <f t="shared" si="1"/>
        <v>2.2266768937819563E-3</v>
      </c>
      <c r="E38">
        <f t="shared" si="2"/>
        <v>4.9580899893024619E-6</v>
      </c>
    </row>
    <row r="39" spans="1:5" x14ac:dyDescent="0.25">
      <c r="A39">
        <v>3.239634776725</v>
      </c>
      <c r="B39">
        <v>0</v>
      </c>
      <c r="C39">
        <f t="shared" si="0"/>
        <v>5.2412423467720502E-4</v>
      </c>
      <c r="D39">
        <f t="shared" si="1"/>
        <v>-5.2412423467720502E-4</v>
      </c>
      <c r="E39">
        <f t="shared" si="2"/>
        <v>2.7470621337596587E-7</v>
      </c>
    </row>
    <row r="40" spans="1:5" x14ac:dyDescent="0.25">
      <c r="A40">
        <v>3.3216904415749999</v>
      </c>
      <c r="B40">
        <v>7.6584233237473405E-4</v>
      </c>
      <c r="C40">
        <f t="shared" si="0"/>
        <v>3.2342197275672977E-4</v>
      </c>
      <c r="D40">
        <f t="shared" si="1"/>
        <v>4.4242035961800428E-4</v>
      </c>
      <c r="E40">
        <f t="shared" si="2"/>
        <v>1.9573577460452424E-7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61D6-7252-4EDE-8D86-0E9D76EB1C0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0.144682246475</v>
      </c>
      <c r="B1">
        <v>4.4670703343732056E-2</v>
      </c>
      <c r="C1">
        <f>$H$3*(1+$H$1)*(A1^($H$1))*EXP(-$H$3*(A1^(1+$H$1)))</f>
        <v>0.14753534430337625</v>
      </c>
      <c r="D1">
        <f>B1-C1</f>
        <v>-0.1028646409596442</v>
      </c>
      <c r="E1">
        <f>D1^2</f>
        <v>1.0581134359756512E-2</v>
      </c>
      <c r="G1" t="s">
        <v>0</v>
      </c>
      <c r="H1">
        <v>1.2659443059594735</v>
      </c>
    </row>
    <row r="2" spans="1:8" x14ac:dyDescent="0.25">
      <c r="A2">
        <v>0.222054961425</v>
      </c>
      <c r="B2">
        <v>0.17543403494992951</v>
      </c>
      <c r="C2">
        <f t="shared" ref="C2:C40" si="0">$H$3*(1+$H$1)*(A2^($H$1))*EXP(-$H$3*(A2^(1+$H$1)))</f>
        <v>0.24983096606964381</v>
      </c>
      <c r="D2">
        <f t="shared" ref="D2:D40" si="1">B2-C2</f>
        <v>-7.4396931119714294E-2</v>
      </c>
      <c r="E2">
        <f t="shared" ref="E2:E40" si="2">D2^2</f>
        <v>5.5349033600315132E-3</v>
      </c>
    </row>
    <row r="3" spans="1:8" x14ac:dyDescent="0.25">
      <c r="A3">
        <v>0.29942767637500001</v>
      </c>
      <c r="B3">
        <v>0.33462417777486558</v>
      </c>
      <c r="C3">
        <f t="shared" si="0"/>
        <v>0.35599458971501036</v>
      </c>
      <c r="D3">
        <f t="shared" si="1"/>
        <v>-2.1370411940144773E-2</v>
      </c>
      <c r="E3">
        <f t="shared" si="2"/>
        <v>4.5669450649148227E-4</v>
      </c>
      <c r="G3" t="s">
        <v>1</v>
      </c>
      <c r="H3">
        <f>(_xlfn.GAMMA((2+$H$1)/(1+$H$1)))^(1+$H$1)</f>
        <v>0.75970439385069799</v>
      </c>
    </row>
    <row r="4" spans="1:8" x14ac:dyDescent="0.25">
      <c r="A4">
        <v>0.37680039132499998</v>
      </c>
      <c r="B4">
        <v>0.52386552103103956</v>
      </c>
      <c r="C4">
        <f t="shared" si="0"/>
        <v>0.46040500804406675</v>
      </c>
      <c r="D4">
        <f t="shared" si="1"/>
        <v>6.3460512986972806E-2</v>
      </c>
      <c r="E4">
        <f t="shared" si="2"/>
        <v>4.0272367085697446E-3</v>
      </c>
    </row>
    <row r="5" spans="1:8" x14ac:dyDescent="0.25">
      <c r="A5">
        <v>0.45417310627500002</v>
      </c>
      <c r="B5">
        <v>0.62376545759974944</v>
      </c>
      <c r="C5">
        <f t="shared" si="0"/>
        <v>0.55819270308180835</v>
      </c>
      <c r="D5">
        <f t="shared" si="1"/>
        <v>6.557275451794109E-2</v>
      </c>
      <c r="E5">
        <f t="shared" si="2"/>
        <v>4.2997861350701633E-3</v>
      </c>
      <c r="G5" t="s">
        <v>2</v>
      </c>
      <c r="H5">
        <f>SUM(E1:E40)</f>
        <v>7.7286030776757941E-2</v>
      </c>
    </row>
    <row r="6" spans="1:8" x14ac:dyDescent="0.25">
      <c r="A6">
        <v>0.53154582122499994</v>
      </c>
      <c r="B6">
        <v>0.70742150204346577</v>
      </c>
      <c r="C6">
        <f t="shared" si="0"/>
        <v>0.64512654818898818</v>
      </c>
      <c r="D6">
        <f t="shared" si="1"/>
        <v>6.2294953854477586E-2</v>
      </c>
      <c r="E6">
        <f t="shared" si="2"/>
        <v>3.880661275731492E-3</v>
      </c>
    </row>
    <row r="7" spans="1:8" x14ac:dyDescent="0.25">
      <c r="A7">
        <v>0.60891853617499991</v>
      </c>
      <c r="B7">
        <v>0.81706777388717178</v>
      </c>
      <c r="C7">
        <f t="shared" si="0"/>
        <v>0.71770118693321228</v>
      </c>
      <c r="D7">
        <f t="shared" si="1"/>
        <v>9.9366586953959501E-2</v>
      </c>
      <c r="E7">
        <f t="shared" si="2"/>
        <v>9.8737186028787938E-3</v>
      </c>
    </row>
    <row r="8" spans="1:8" x14ac:dyDescent="0.25">
      <c r="A8">
        <v>0.68629125112499989</v>
      </c>
      <c r="B8">
        <v>0.89097748305589208</v>
      </c>
      <c r="C8">
        <f t="shared" si="0"/>
        <v>0.7732659173096772</v>
      </c>
      <c r="D8">
        <f t="shared" si="1"/>
        <v>0.11771156574621489</v>
      </c>
      <c r="E8">
        <f t="shared" si="2"/>
        <v>1.3856012710425469E-2</v>
      </c>
    </row>
    <row r="9" spans="1:8" x14ac:dyDescent="0.25">
      <c r="A9">
        <v>0.76366396607499998</v>
      </c>
      <c r="B9">
        <v>0.86904822868715081</v>
      </c>
      <c r="C9">
        <f t="shared" si="0"/>
        <v>0.81013267153008595</v>
      </c>
      <c r="D9">
        <f t="shared" si="1"/>
        <v>5.8915557157064868E-2</v>
      </c>
      <c r="E9">
        <f t="shared" si="2"/>
        <v>3.4710428751273774E-3</v>
      </c>
    </row>
    <row r="10" spans="1:8" x14ac:dyDescent="0.25">
      <c r="A10">
        <v>0.84103668102500007</v>
      </c>
      <c r="B10">
        <v>0.86742383947465151</v>
      </c>
      <c r="C10">
        <f t="shared" si="0"/>
        <v>0.82763247074814728</v>
      </c>
      <c r="D10">
        <f t="shared" si="1"/>
        <v>3.9791368726504239E-2</v>
      </c>
      <c r="E10">
        <f t="shared" si="2"/>
        <v>1.5833530251286197E-3</v>
      </c>
    </row>
    <row r="11" spans="1:8" x14ac:dyDescent="0.25">
      <c r="A11">
        <v>0.91840939597499993</v>
      </c>
      <c r="B11">
        <v>0.82194094152466979</v>
      </c>
      <c r="C11">
        <f t="shared" si="0"/>
        <v>0.82610597863229407</v>
      </c>
      <c r="D11">
        <f t="shared" si="1"/>
        <v>-4.1650371076242809E-3</v>
      </c>
      <c r="E11">
        <f t="shared" si="2"/>
        <v>1.7347534107887236E-5</v>
      </c>
    </row>
    <row r="12" spans="1:8" x14ac:dyDescent="0.25">
      <c r="A12">
        <v>0.99578211092499991</v>
      </c>
      <c r="B12">
        <v>0.80569704939967635</v>
      </c>
      <c r="C12">
        <f t="shared" si="0"/>
        <v>0.80682531714656625</v>
      </c>
      <c r="D12">
        <f t="shared" si="1"/>
        <v>-1.1282677468898994E-3</v>
      </c>
      <c r="E12">
        <f t="shared" si="2"/>
        <v>1.2729881086720101E-6</v>
      </c>
    </row>
    <row r="13" spans="1:8" x14ac:dyDescent="0.25">
      <c r="A13">
        <v>1.0731548258749999</v>
      </c>
      <c r="B13">
        <v>0.77483365436218865</v>
      </c>
      <c r="C13">
        <f t="shared" si="0"/>
        <v>0.77185361249646101</v>
      </c>
      <c r="D13">
        <f t="shared" si="1"/>
        <v>2.9800418657276451E-3</v>
      </c>
      <c r="E13">
        <f t="shared" si="2"/>
        <v>8.8806495214895034E-6</v>
      </c>
    </row>
    <row r="14" spans="1:8" x14ac:dyDescent="0.25">
      <c r="A14">
        <v>1.1505275408249998</v>
      </c>
      <c r="B14">
        <v>0.66112640948723433</v>
      </c>
      <c r="C14">
        <f t="shared" si="0"/>
        <v>0.72385603084180794</v>
      </c>
      <c r="D14">
        <f t="shared" si="1"/>
        <v>-6.2729621354573606E-2</v>
      </c>
      <c r="E14">
        <f t="shared" si="2"/>
        <v>3.9350053952881773E-3</v>
      </c>
    </row>
    <row r="15" spans="1:8" x14ac:dyDescent="0.25">
      <c r="A15">
        <v>1.2279002557749998</v>
      </c>
      <c r="B15">
        <v>0.61564351153725261</v>
      </c>
      <c r="C15">
        <f t="shared" si="0"/>
        <v>0.66588099950221336</v>
      </c>
      <c r="D15">
        <f t="shared" si="1"/>
        <v>-5.0237487964960748E-2</v>
      </c>
      <c r="E15">
        <f t="shared" si="2"/>
        <v>2.5238051970295759E-3</v>
      </c>
    </row>
    <row r="16" spans="1:8" x14ac:dyDescent="0.25">
      <c r="A16">
        <v>1.3052729707250001</v>
      </c>
      <c r="B16">
        <v>0.58965328413726315</v>
      </c>
      <c r="C16">
        <f t="shared" si="0"/>
        <v>0.6011325771587519</v>
      </c>
      <c r="D16">
        <f t="shared" si="1"/>
        <v>-1.1479293021488757E-2</v>
      </c>
      <c r="E16">
        <f t="shared" si="2"/>
        <v>1.3177416827320047E-4</v>
      </c>
    </row>
    <row r="17" spans="1:5" x14ac:dyDescent="0.25">
      <c r="A17">
        <v>1.382645685675</v>
      </c>
      <c r="B17">
        <v>0.52955088327478728</v>
      </c>
      <c r="C17">
        <f t="shared" si="0"/>
        <v>0.53275448972145911</v>
      </c>
      <c r="D17">
        <f t="shared" si="1"/>
        <v>-3.2036064466718361E-3</v>
      </c>
      <c r="E17">
        <f t="shared" si="2"/>
        <v>1.0263094265157347E-5</v>
      </c>
    </row>
    <row r="18" spans="1:5" x14ac:dyDescent="0.25">
      <c r="A18">
        <v>1.4600184006250001</v>
      </c>
      <c r="B18">
        <v>0.4296509467060774</v>
      </c>
      <c r="C18">
        <f t="shared" si="0"/>
        <v>0.46364347726635513</v>
      </c>
      <c r="D18">
        <f t="shared" si="1"/>
        <v>-3.3992530560277734E-2</v>
      </c>
      <c r="E18">
        <f t="shared" si="2"/>
        <v>1.1554921338914157E-3</v>
      </c>
    </row>
    <row r="19" spans="1:5" x14ac:dyDescent="0.25">
      <c r="A19">
        <v>1.5373911155749997</v>
      </c>
      <c r="B19">
        <v>0.34518270765611131</v>
      </c>
      <c r="C19">
        <f t="shared" si="0"/>
        <v>0.39630489498609273</v>
      </c>
      <c r="D19">
        <f t="shared" si="1"/>
        <v>-5.1122187329981417E-2</v>
      </c>
      <c r="E19">
        <f t="shared" si="2"/>
        <v>2.6134780374017126E-3</v>
      </c>
    </row>
    <row r="20" spans="1:5" x14ac:dyDescent="0.25">
      <c r="A20">
        <v>1.6147638305249998</v>
      </c>
      <c r="B20">
        <v>0.26558763624364329</v>
      </c>
      <c r="C20">
        <f t="shared" si="0"/>
        <v>0.33275777296237424</v>
      </c>
      <c r="D20">
        <f t="shared" si="1"/>
        <v>-6.7170136718730955E-2</v>
      </c>
      <c r="E20">
        <f t="shared" si="2"/>
        <v>4.5118272668130087E-3</v>
      </c>
    </row>
    <row r="21" spans="1:5" x14ac:dyDescent="0.25">
      <c r="A21">
        <v>1.6921365454749999</v>
      </c>
      <c r="B21">
        <v>0.24203399266240275</v>
      </c>
      <c r="C21">
        <f t="shared" si="0"/>
        <v>0.27449062777296634</v>
      </c>
      <c r="D21">
        <f t="shared" si="1"/>
        <v>-3.2456635110563598E-2</v>
      </c>
      <c r="E21">
        <f t="shared" si="2"/>
        <v>1.0534331627002696E-3</v>
      </c>
    </row>
    <row r="22" spans="1:5" x14ac:dyDescent="0.25">
      <c r="A22">
        <v>1.769509260425</v>
      </c>
      <c r="B22">
        <v>0.19898767853117005</v>
      </c>
      <c r="C22">
        <f t="shared" si="0"/>
        <v>0.22246402306026944</v>
      </c>
      <c r="D22">
        <f t="shared" si="1"/>
        <v>-2.3476344529099386E-2</v>
      </c>
      <c r="E22">
        <f t="shared" si="2"/>
        <v>5.5113875244897461E-4</v>
      </c>
    </row>
    <row r="23" spans="1:5" x14ac:dyDescent="0.25">
      <c r="A23">
        <v>1.8468819753749999</v>
      </c>
      <c r="B23">
        <v>0.13807308306244453</v>
      </c>
      <c r="C23">
        <f t="shared" si="0"/>
        <v>0.17715179906080147</v>
      </c>
      <c r="D23">
        <f t="shared" si="1"/>
        <v>-3.9078715998356939E-2</v>
      </c>
      <c r="E23">
        <f t="shared" si="2"/>
        <v>1.5271460440802387E-3</v>
      </c>
    </row>
    <row r="24" spans="1:5" x14ac:dyDescent="0.25">
      <c r="A24">
        <v>1.9242546903249997</v>
      </c>
      <c r="B24">
        <v>0.13807308306244453</v>
      </c>
      <c r="C24">
        <f t="shared" si="0"/>
        <v>0.13861037870934709</v>
      </c>
      <c r="D24">
        <f t="shared" si="1"/>
        <v>-5.3729564690255249E-4</v>
      </c>
      <c r="E24">
        <f t="shared" si="2"/>
        <v>2.8868661218043238E-7</v>
      </c>
    </row>
    <row r="25" spans="1:5" x14ac:dyDescent="0.25">
      <c r="A25">
        <v>2.0016274052749998</v>
      </c>
      <c r="B25">
        <v>0.11776821790620269</v>
      </c>
      <c r="C25">
        <f t="shared" si="0"/>
        <v>0.10656468158295596</v>
      </c>
      <c r="D25">
        <f t="shared" si="1"/>
        <v>1.1203536323246735E-2</v>
      </c>
      <c r="E25">
        <f t="shared" si="2"/>
        <v>1.2551922614630897E-4</v>
      </c>
    </row>
    <row r="26" spans="1:5" x14ac:dyDescent="0.25">
      <c r="A26">
        <v>2.0790001202249999</v>
      </c>
      <c r="B26">
        <v>9.827554735621051E-2</v>
      </c>
      <c r="C26">
        <f t="shared" si="0"/>
        <v>8.0499764370014895E-2</v>
      </c>
      <c r="D26">
        <f t="shared" si="1"/>
        <v>1.7775782986195615E-2</v>
      </c>
      <c r="E26">
        <f t="shared" si="2"/>
        <v>3.1597846077232152E-4</v>
      </c>
    </row>
    <row r="27" spans="1:5" x14ac:dyDescent="0.25">
      <c r="A27">
        <v>2.156372835175</v>
      </c>
      <c r="B27">
        <v>7.2285319956220964E-2</v>
      </c>
      <c r="C27">
        <f t="shared" si="0"/>
        <v>5.9749009279245001E-2</v>
      </c>
      <c r="D27">
        <f t="shared" si="1"/>
        <v>1.2536310676975963E-2</v>
      </c>
      <c r="E27">
        <f t="shared" si="2"/>
        <v>1.5715908538966155E-4</v>
      </c>
    </row>
    <row r="28" spans="1:5" x14ac:dyDescent="0.25">
      <c r="A28">
        <v>2.2337455501249996</v>
      </c>
      <c r="B28">
        <v>4.5482897949981727E-2</v>
      </c>
      <c r="C28">
        <f t="shared" si="0"/>
        <v>4.3572060797511067E-2</v>
      </c>
      <c r="D28">
        <f t="shared" si="1"/>
        <v>1.9108371524706597E-3</v>
      </c>
      <c r="E28">
        <f t="shared" si="2"/>
        <v>3.651298623262179E-6</v>
      </c>
    </row>
    <row r="29" spans="1:5" x14ac:dyDescent="0.25">
      <c r="A29">
        <v>2.3111182650749997</v>
      </c>
      <c r="B29">
        <v>5.1980454799979113E-2</v>
      </c>
      <c r="C29">
        <f t="shared" si="0"/>
        <v>3.1218321963647915E-2</v>
      </c>
      <c r="D29">
        <f t="shared" si="1"/>
        <v>2.0762132836331198E-2</v>
      </c>
      <c r="E29">
        <f t="shared" si="2"/>
        <v>4.3106615991346216E-4</v>
      </c>
    </row>
    <row r="30" spans="1:5" x14ac:dyDescent="0.25">
      <c r="A30">
        <v>2.3884909800249998</v>
      </c>
      <c r="B30">
        <v>3.1675589643737276E-2</v>
      </c>
      <c r="C30">
        <f t="shared" si="0"/>
        <v>2.1974283210575072E-2</v>
      </c>
      <c r="D30">
        <f t="shared" si="1"/>
        <v>9.7013064331622038E-3</v>
      </c>
      <c r="E30">
        <f t="shared" si="2"/>
        <v>9.411534651011436E-5</v>
      </c>
    </row>
    <row r="31" spans="1:5" x14ac:dyDescent="0.25">
      <c r="A31">
        <v>2.4658636949749999</v>
      </c>
      <c r="B31">
        <v>3.1675589643737276E-2</v>
      </c>
      <c r="C31">
        <f t="shared" si="0"/>
        <v>1.5194997205086673E-2</v>
      </c>
      <c r="D31">
        <f t="shared" si="1"/>
        <v>1.6480592438650604E-2</v>
      </c>
      <c r="E31">
        <f t="shared" si="2"/>
        <v>2.7160992712890747E-4</v>
      </c>
    </row>
    <row r="32" spans="1:5" x14ac:dyDescent="0.25">
      <c r="A32">
        <v>2.543236409925</v>
      </c>
      <c r="B32">
        <v>1.7868281337492822E-2</v>
      </c>
      <c r="C32">
        <f t="shared" si="0"/>
        <v>1.0321483730889367E-2</v>
      </c>
      <c r="D32">
        <f t="shared" si="1"/>
        <v>7.5467976066034542E-3</v>
      </c>
      <c r="E32">
        <f t="shared" si="2"/>
        <v>5.6954154115035624E-5</v>
      </c>
    </row>
    <row r="33" spans="1:5" x14ac:dyDescent="0.25">
      <c r="A33">
        <v>2.6206091248750001</v>
      </c>
      <c r="B33">
        <v>1.949267054999217E-2</v>
      </c>
      <c r="C33">
        <f t="shared" si="0"/>
        <v>6.8867175981280606E-3</v>
      </c>
      <c r="D33">
        <f t="shared" si="1"/>
        <v>1.2605952951864108E-2</v>
      </c>
      <c r="E33">
        <f t="shared" si="2"/>
        <v>1.5891004982461143E-4</v>
      </c>
    </row>
    <row r="34" spans="1:5" x14ac:dyDescent="0.25">
      <c r="A34">
        <v>2.6979818398249997</v>
      </c>
      <c r="B34">
        <v>9.746335274996085E-3</v>
      </c>
      <c r="C34">
        <f t="shared" si="0"/>
        <v>4.5131790388788454E-3</v>
      </c>
      <c r="D34">
        <f t="shared" si="1"/>
        <v>5.2331562361172396E-3</v>
      </c>
      <c r="E34">
        <f t="shared" si="2"/>
        <v>2.7385924191612755E-5</v>
      </c>
    </row>
    <row r="35" spans="1:5" x14ac:dyDescent="0.25">
      <c r="A35">
        <v>2.7753545547749998</v>
      </c>
      <c r="B35">
        <v>7.3097514562470633E-3</v>
      </c>
      <c r="C35">
        <f t="shared" si="0"/>
        <v>2.9048468553484097E-3</v>
      </c>
      <c r="D35">
        <f t="shared" si="1"/>
        <v>4.4049046008986532E-3</v>
      </c>
      <c r="E35">
        <f t="shared" si="2"/>
        <v>1.9403184543018122E-5</v>
      </c>
    </row>
    <row r="36" spans="1:5" x14ac:dyDescent="0.25">
      <c r="A36">
        <v>2.8527272697249999</v>
      </c>
      <c r="B36">
        <v>5.6853622437477158E-3</v>
      </c>
      <c r="C36">
        <f t="shared" si="0"/>
        <v>1.8361303233707911E-3</v>
      </c>
      <c r="D36">
        <f t="shared" si="1"/>
        <v>3.8492319203769247E-3</v>
      </c>
      <c r="E36">
        <f t="shared" si="2"/>
        <v>1.4816586376848627E-5</v>
      </c>
    </row>
    <row r="37" spans="1:5" x14ac:dyDescent="0.25">
      <c r="A37">
        <v>2.930099984675</v>
      </c>
      <c r="B37">
        <v>1.6243892124993473E-3</v>
      </c>
      <c r="C37">
        <f t="shared" si="0"/>
        <v>1.1397029461390588E-3</v>
      </c>
      <c r="D37">
        <f t="shared" si="1"/>
        <v>4.8468626636028844E-4</v>
      </c>
      <c r="E37">
        <f t="shared" si="2"/>
        <v>2.3492077679827648E-7</v>
      </c>
    </row>
    <row r="38" spans="1:5" x14ac:dyDescent="0.25">
      <c r="A38">
        <v>3.0074726996249996</v>
      </c>
      <c r="B38">
        <v>2.4365838187490212E-3</v>
      </c>
      <c r="C38">
        <f t="shared" si="0"/>
        <v>6.9463290888047754E-4</v>
      </c>
      <c r="D38">
        <f t="shared" si="1"/>
        <v>1.7419509098685437E-3</v>
      </c>
      <c r="E38">
        <f t="shared" si="2"/>
        <v>3.0343929723918472E-6</v>
      </c>
    </row>
    <row r="39" spans="1:5" x14ac:dyDescent="0.25">
      <c r="A39">
        <v>3.0848454145749997</v>
      </c>
      <c r="B39">
        <v>0</v>
      </c>
      <c r="C39">
        <f t="shared" si="0"/>
        <v>4.1568234829636626E-4</v>
      </c>
      <c r="D39">
        <f t="shared" si="1"/>
        <v>-4.1568234829636626E-4</v>
      </c>
      <c r="E39">
        <f t="shared" si="2"/>
        <v>1.7279181468518154E-7</v>
      </c>
    </row>
    <row r="40" spans="1:5" x14ac:dyDescent="0.25">
      <c r="A40">
        <v>3.1622181295249998</v>
      </c>
      <c r="B40">
        <v>8.1219460624967364E-4</v>
      </c>
      <c r="C40">
        <f t="shared" si="0"/>
        <v>2.4421757700766265E-4</v>
      </c>
      <c r="D40">
        <f t="shared" si="1"/>
        <v>5.6797702924201105E-4</v>
      </c>
      <c r="E40">
        <f t="shared" si="2"/>
        <v>3.2259790574658025E-7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5BBE-09C0-4C93-9A57-B985ED4DDF5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0.18365067342500002</v>
      </c>
      <c r="B1">
        <v>4.9598430931753527E-2</v>
      </c>
      <c r="C1">
        <f>$H$3*(1+$H$1)*(A1^($H$1))*EXP(-$H$3*(A1^(1+$H$1)))</f>
        <v>0.15791448630389274</v>
      </c>
      <c r="D1">
        <f>B1-C1</f>
        <v>-0.1083160553721392</v>
      </c>
      <c r="E1">
        <f>D1^2</f>
        <v>1.1732367851380326E-2</v>
      </c>
      <c r="G1" t="s">
        <v>0</v>
      </c>
      <c r="H1">
        <v>1.4342450016914472</v>
      </c>
    </row>
    <row r="2" spans="1:8" x14ac:dyDescent="0.25">
      <c r="A2">
        <v>0.25587023627500005</v>
      </c>
      <c r="B2">
        <v>0.18708180088292997</v>
      </c>
      <c r="C2">
        <f t="shared" ref="C2:C40" si="0">$H$3*(1+$H$1)*(A2^($H$1))*EXP(-$H$3*(A2^(1+$H$1)))</f>
        <v>0.25031632211601451</v>
      </c>
      <c r="D2">
        <f t="shared" ref="D2:D40" si="1">B2-C2</f>
        <v>-6.323452123308454E-2</v>
      </c>
      <c r="E2">
        <f t="shared" ref="E2:E40" si="2">D2^2</f>
        <v>3.9986046755774197E-3</v>
      </c>
    </row>
    <row r="3" spans="1:8" x14ac:dyDescent="0.25">
      <c r="A3">
        <v>0.32808979912500003</v>
      </c>
      <c r="B3">
        <v>0.30890250843460532</v>
      </c>
      <c r="C3">
        <f t="shared" si="0"/>
        <v>0.34961152499354115</v>
      </c>
      <c r="D3">
        <f t="shared" si="1"/>
        <v>-4.0709016558935829E-2</v>
      </c>
      <c r="E3">
        <f t="shared" si="2"/>
        <v>1.6572240291957115E-3</v>
      </c>
      <c r="G3" t="s">
        <v>1</v>
      </c>
      <c r="H3">
        <f>(_xlfn.GAMMA((2+$H$1)/(1+$H$1)))^(1+$H$1)</f>
        <v>0.74629338478961182</v>
      </c>
    </row>
    <row r="4" spans="1:8" x14ac:dyDescent="0.25">
      <c r="A4">
        <v>0.40030936197500006</v>
      </c>
      <c r="B4">
        <v>0.48554253438453454</v>
      </c>
      <c r="C4">
        <f t="shared" si="0"/>
        <v>0.45093275277215034</v>
      </c>
      <c r="D4">
        <f t="shared" si="1"/>
        <v>3.4609781612384205E-2</v>
      </c>
      <c r="E4">
        <f t="shared" si="2"/>
        <v>1.1978369832569278E-3</v>
      </c>
    </row>
    <row r="5" spans="1:8" x14ac:dyDescent="0.25">
      <c r="A5">
        <v>0.47252892482500003</v>
      </c>
      <c r="B5">
        <v>0.64477960211279584</v>
      </c>
      <c r="C5">
        <f t="shared" si="0"/>
        <v>0.54962188924964051</v>
      </c>
      <c r="D5">
        <f t="shared" si="1"/>
        <v>9.515771286315533E-2</v>
      </c>
      <c r="E5">
        <f t="shared" si="2"/>
        <v>9.0549903173467172E-3</v>
      </c>
      <c r="G5" t="s">
        <v>2</v>
      </c>
      <c r="H5">
        <f>SUM(E1:E40)</f>
        <v>9.9506045050707648E-2</v>
      </c>
    </row>
    <row r="6" spans="1:8" x14ac:dyDescent="0.25">
      <c r="A6">
        <v>0.54474848767499995</v>
      </c>
      <c r="B6">
        <v>0.73440483695438563</v>
      </c>
      <c r="C6">
        <f t="shared" si="0"/>
        <v>0.64125941993823954</v>
      </c>
      <c r="D6">
        <f t="shared" si="1"/>
        <v>9.3145417016146093E-2</v>
      </c>
      <c r="E6">
        <f t="shared" si="2"/>
        <v>8.6760687111117583E-3</v>
      </c>
    </row>
    <row r="7" spans="1:8" x14ac:dyDescent="0.25">
      <c r="A7">
        <v>0.61696805052499992</v>
      </c>
      <c r="B7">
        <v>0.8022763740188904</v>
      </c>
      <c r="C7">
        <f t="shared" si="0"/>
        <v>0.7218159875231932</v>
      </c>
      <c r="D7">
        <f t="shared" si="1"/>
        <v>8.04603864956972E-2</v>
      </c>
      <c r="E7">
        <f t="shared" si="2"/>
        <v>6.4738737950369727E-3</v>
      </c>
    </row>
    <row r="8" spans="1:8" x14ac:dyDescent="0.25">
      <c r="A8">
        <v>0.68918761337500001</v>
      </c>
      <c r="B8">
        <v>0.92496722948164911</v>
      </c>
      <c r="C8">
        <f t="shared" si="0"/>
        <v>0.78784619903524034</v>
      </c>
      <c r="D8">
        <f t="shared" si="1"/>
        <v>0.13712103044640878</v>
      </c>
      <c r="E8">
        <f t="shared" si="2"/>
        <v>1.8802176990684961E-2</v>
      </c>
    </row>
    <row r="9" spans="1:8" x14ac:dyDescent="0.25">
      <c r="A9">
        <v>0.76140717622500009</v>
      </c>
      <c r="B9">
        <v>0.913655306637565</v>
      </c>
      <c r="C9">
        <f t="shared" si="0"/>
        <v>0.83667907537148867</v>
      </c>
      <c r="D9">
        <f t="shared" si="1"/>
        <v>7.6976231266076334E-2</v>
      </c>
      <c r="E9">
        <f t="shared" si="2"/>
        <v>5.9253401799284674E-3</v>
      </c>
    </row>
    <row r="10" spans="1:8" x14ac:dyDescent="0.25">
      <c r="A10">
        <v>0.83362673907500007</v>
      </c>
      <c r="B10">
        <v>0.94498063143656719</v>
      </c>
      <c r="C10">
        <f t="shared" si="0"/>
        <v>0.86657292946967202</v>
      </c>
      <c r="D10">
        <f t="shared" si="1"/>
        <v>7.8407701966895171E-2</v>
      </c>
      <c r="E10">
        <f t="shared" si="2"/>
        <v>6.1477677277294567E-3</v>
      </c>
    </row>
    <row r="11" spans="1:8" x14ac:dyDescent="0.25">
      <c r="A11">
        <v>0.90584630192500004</v>
      </c>
      <c r="B11">
        <v>0.89103146094939678</v>
      </c>
      <c r="C11">
        <f t="shared" si="0"/>
        <v>0.87681130089333437</v>
      </c>
      <c r="D11">
        <f t="shared" si="1"/>
        <v>1.4220160056062414E-2</v>
      </c>
      <c r="E11">
        <f t="shared" si="2"/>
        <v>2.0221295202003299E-4</v>
      </c>
    </row>
    <row r="12" spans="1:8" x14ac:dyDescent="0.25">
      <c r="A12">
        <v>0.97806586477500002</v>
      </c>
      <c r="B12">
        <v>0.86753746735014503</v>
      </c>
      <c r="C12">
        <f t="shared" si="0"/>
        <v>0.86772523084275532</v>
      </c>
      <c r="D12">
        <f t="shared" si="1"/>
        <v>-1.8776349261029335E-4</v>
      </c>
      <c r="E12">
        <f t="shared" si="2"/>
        <v>3.5255129157215686E-8</v>
      </c>
    </row>
    <row r="13" spans="1:8" x14ac:dyDescent="0.25">
      <c r="A13">
        <v>1.050285427625</v>
      </c>
      <c r="B13">
        <v>0.83534199464005943</v>
      </c>
      <c r="C13">
        <f t="shared" si="0"/>
        <v>0.84063650103214549</v>
      </c>
      <c r="D13">
        <f t="shared" si="1"/>
        <v>-5.2945063920860624E-3</v>
      </c>
      <c r="E13">
        <f t="shared" si="2"/>
        <v>2.8031797935840174E-5</v>
      </c>
    </row>
    <row r="14" spans="1:8" x14ac:dyDescent="0.25">
      <c r="A14">
        <v>1.122504990475</v>
      </c>
      <c r="B14">
        <v>0.76747045757555465</v>
      </c>
      <c r="C14">
        <f t="shared" si="0"/>
        <v>0.79772602862644737</v>
      </c>
      <c r="D14">
        <f t="shared" si="1"/>
        <v>-3.0255571050892716E-2</v>
      </c>
      <c r="E14">
        <f t="shared" si="2"/>
        <v>9.1539957961561734E-4</v>
      </c>
    </row>
    <row r="15" spans="1:8" x14ac:dyDescent="0.25">
      <c r="A15">
        <v>1.1947245533249999</v>
      </c>
      <c r="B15">
        <v>0.67784522273396486</v>
      </c>
      <c r="C15">
        <f t="shared" si="0"/>
        <v>0.74184041917761212</v>
      </c>
      <c r="D15">
        <f t="shared" si="1"/>
        <v>-6.3995196443647262E-2</v>
      </c>
      <c r="E15">
        <f t="shared" si="2"/>
        <v>4.0953851678610029E-3</v>
      </c>
    </row>
    <row r="16" spans="1:8" x14ac:dyDescent="0.25">
      <c r="A16">
        <v>1.2669441161749999</v>
      </c>
      <c r="B16">
        <v>0.61258412940271023</v>
      </c>
      <c r="C16">
        <f t="shared" si="0"/>
        <v>0.67625663289939875</v>
      </c>
      <c r="D16">
        <f t="shared" si="1"/>
        <v>-6.3672503496688515E-2</v>
      </c>
      <c r="E16">
        <f t="shared" si="2"/>
        <v>4.0541877015358111E-3</v>
      </c>
    </row>
    <row r="17" spans="1:5" x14ac:dyDescent="0.25">
      <c r="A17">
        <v>1.3391636790250001</v>
      </c>
      <c r="B17">
        <v>0.59170057953670874</v>
      </c>
      <c r="C17">
        <f t="shared" si="0"/>
        <v>0.60442890864997134</v>
      </c>
      <c r="D17">
        <f t="shared" si="1"/>
        <v>-1.2728329113262604E-2</v>
      </c>
      <c r="E17">
        <f t="shared" si="2"/>
        <v>1.620103620155284E-4</v>
      </c>
    </row>
    <row r="18" spans="1:5" x14ac:dyDescent="0.25">
      <c r="A18">
        <v>1.4113832418750001</v>
      </c>
      <c r="B18">
        <v>0.51947830291678698</v>
      </c>
      <c r="C18">
        <f t="shared" si="0"/>
        <v>0.52974300556054965</v>
      </c>
      <c r="D18">
        <f t="shared" si="1"/>
        <v>-1.0264702643762669E-2</v>
      </c>
      <c r="E18">
        <f t="shared" si="2"/>
        <v>1.0536412036486832E-4</v>
      </c>
    </row>
    <row r="19" spans="1:5" x14ac:dyDescent="0.25">
      <c r="A19">
        <v>1.4836028047250001</v>
      </c>
      <c r="B19">
        <v>0.38460537669886069</v>
      </c>
      <c r="C19">
        <f t="shared" si="0"/>
        <v>0.45530046521926387</v>
      </c>
      <c r="D19">
        <f t="shared" si="1"/>
        <v>-7.0695088520403182E-2</v>
      </c>
      <c r="E19">
        <f t="shared" si="2"/>
        <v>4.9977955409076418E-3</v>
      </c>
    </row>
    <row r="20" spans="1:5" x14ac:dyDescent="0.25">
      <c r="A20">
        <v>1.555822367575</v>
      </c>
      <c r="B20">
        <v>0.32978605830060681</v>
      </c>
      <c r="C20">
        <f t="shared" si="0"/>
        <v>0.38375048011463797</v>
      </c>
      <c r="D20">
        <f t="shared" si="1"/>
        <v>-5.396442181403116E-2</v>
      </c>
      <c r="E20">
        <f t="shared" si="2"/>
        <v>2.9121588217226823E-3</v>
      </c>
    </row>
    <row r="21" spans="1:5" x14ac:dyDescent="0.25">
      <c r="A21">
        <v>1.6280419304250002</v>
      </c>
      <c r="B21">
        <v>0.26539511288043555</v>
      </c>
      <c r="C21">
        <f t="shared" si="0"/>
        <v>0.31717999840289435</v>
      </c>
      <c r="D21">
        <f t="shared" si="1"/>
        <v>-5.1784885522458801E-2</v>
      </c>
      <c r="E21">
        <f t="shared" si="2"/>
        <v>2.6816743685741632E-3</v>
      </c>
    </row>
    <row r="22" spans="1:5" x14ac:dyDescent="0.25">
      <c r="A22">
        <v>1.7002614932750002</v>
      </c>
      <c r="B22">
        <v>0.2375503797257669</v>
      </c>
      <c r="C22">
        <f t="shared" si="0"/>
        <v>0.25706505188919443</v>
      </c>
      <c r="D22">
        <f t="shared" si="1"/>
        <v>-1.9514672163427532E-2</v>
      </c>
      <c r="E22">
        <f t="shared" si="2"/>
        <v>3.8082242964605339E-4</v>
      </c>
    </row>
    <row r="23" spans="1:5" x14ac:dyDescent="0.25">
      <c r="A23">
        <v>1.7724810561250002</v>
      </c>
      <c r="B23">
        <v>0.14444455323984362</v>
      </c>
      <c r="C23">
        <f t="shared" si="0"/>
        <v>0.20427912714971766</v>
      </c>
      <c r="D23">
        <f t="shared" si="1"/>
        <v>-5.9834573909874039E-2</v>
      </c>
      <c r="E23">
        <f t="shared" si="2"/>
        <v>3.5801762349761792E-3</v>
      </c>
    </row>
    <row r="24" spans="1:5" x14ac:dyDescent="0.25">
      <c r="A24">
        <v>1.8447006189749999</v>
      </c>
      <c r="B24">
        <v>0.1670683989280119</v>
      </c>
      <c r="C24">
        <f t="shared" si="0"/>
        <v>0.15914868086919107</v>
      </c>
      <c r="D24">
        <f t="shared" si="1"/>
        <v>7.9197180588208294E-3</v>
      </c>
      <c r="E24">
        <f t="shared" si="2"/>
        <v>6.2721934131212769E-5</v>
      </c>
    </row>
    <row r="25" spans="1:5" x14ac:dyDescent="0.25">
      <c r="A25">
        <v>1.9169201818250001</v>
      </c>
      <c r="B25">
        <v>0.12791174292925911</v>
      </c>
      <c r="C25">
        <f t="shared" si="0"/>
        <v>0.12154225899575055</v>
      </c>
      <c r="D25">
        <f t="shared" si="1"/>
        <v>6.3694839335085573E-3</v>
      </c>
      <c r="E25">
        <f t="shared" si="2"/>
        <v>4.0570325579223642E-5</v>
      </c>
    </row>
    <row r="26" spans="1:5" x14ac:dyDescent="0.25">
      <c r="A26">
        <v>1.9891397446750001</v>
      </c>
      <c r="B26">
        <v>0.10789834097434101</v>
      </c>
      <c r="C26">
        <f t="shared" si="0"/>
        <v>9.0978331905522916E-2</v>
      </c>
      <c r="D26">
        <f t="shared" si="1"/>
        <v>1.692000906881809E-2</v>
      </c>
      <c r="E26">
        <f t="shared" si="2"/>
        <v>2.8628670688888642E-4</v>
      </c>
    </row>
    <row r="27" spans="1:5" x14ac:dyDescent="0.25">
      <c r="A27">
        <v>2.0613593075250001</v>
      </c>
      <c r="B27">
        <v>7.4832720353171997E-2</v>
      </c>
      <c r="C27">
        <f t="shared" si="0"/>
        <v>6.6737725664375677E-2</v>
      </c>
      <c r="D27">
        <f t="shared" si="1"/>
        <v>8.0949946887963198E-3</v>
      </c>
      <c r="E27">
        <f t="shared" si="2"/>
        <v>6.552893901164062E-5</v>
      </c>
    </row>
    <row r="28" spans="1:5" x14ac:dyDescent="0.25">
      <c r="A28">
        <v>2.133578870375</v>
      </c>
      <c r="B28">
        <v>6.2650649598004454E-2</v>
      </c>
      <c r="C28">
        <f t="shared" si="0"/>
        <v>4.7968928713873364E-2</v>
      </c>
      <c r="D28">
        <f t="shared" si="1"/>
        <v>1.468172088413109E-2</v>
      </c>
      <c r="E28">
        <f t="shared" si="2"/>
        <v>2.15552928119531E-4</v>
      </c>
    </row>
    <row r="29" spans="1:5" x14ac:dyDescent="0.25">
      <c r="A29">
        <v>2.205798433225</v>
      </c>
      <c r="B29">
        <v>4.7858135109586739E-2</v>
      </c>
      <c r="C29">
        <f t="shared" si="0"/>
        <v>3.3777929395246362E-2</v>
      </c>
      <c r="D29">
        <f t="shared" si="1"/>
        <v>1.4080205714340377E-2</v>
      </c>
      <c r="E29">
        <f t="shared" si="2"/>
        <v>1.9825219295814341E-4</v>
      </c>
    </row>
    <row r="30" spans="1:5" x14ac:dyDescent="0.25">
      <c r="A30">
        <v>2.278017996075</v>
      </c>
      <c r="B30">
        <v>3.7416360176585998E-2</v>
      </c>
      <c r="C30">
        <f t="shared" si="0"/>
        <v>2.3297912101556233E-2</v>
      </c>
      <c r="D30">
        <f t="shared" si="1"/>
        <v>1.4118448075029766E-2</v>
      </c>
      <c r="E30">
        <f t="shared" si="2"/>
        <v>1.9933057604731169E-4</v>
      </c>
    </row>
    <row r="31" spans="1:5" x14ac:dyDescent="0.25">
      <c r="A31">
        <v>2.3502375589250004</v>
      </c>
      <c r="B31">
        <v>3.1325324799002227E-2</v>
      </c>
      <c r="C31">
        <f t="shared" si="0"/>
        <v>1.5737524782114053E-2</v>
      </c>
      <c r="D31">
        <f t="shared" si="1"/>
        <v>1.5587800016888174E-2</v>
      </c>
      <c r="E31">
        <f t="shared" si="2"/>
        <v>2.4297950936649895E-4</v>
      </c>
    </row>
    <row r="32" spans="1:5" x14ac:dyDescent="0.25">
      <c r="A32">
        <v>2.4224571217750004</v>
      </c>
      <c r="B32">
        <v>2.4364141510335068E-2</v>
      </c>
      <c r="C32">
        <f t="shared" si="0"/>
        <v>1.0409121199152851E-2</v>
      </c>
      <c r="D32">
        <f t="shared" si="1"/>
        <v>1.3955020311182217E-2</v>
      </c>
      <c r="E32">
        <f t="shared" si="2"/>
        <v>1.9474259188550824E-4</v>
      </c>
    </row>
    <row r="33" spans="1:5" x14ac:dyDescent="0.25">
      <c r="A33">
        <v>2.4946766846250004</v>
      </c>
      <c r="B33">
        <v>1.82731061327513E-2</v>
      </c>
      <c r="C33">
        <f t="shared" si="0"/>
        <v>6.7401774128489703E-3</v>
      </c>
      <c r="D33">
        <f t="shared" si="1"/>
        <v>1.153292871990233E-2</v>
      </c>
      <c r="E33">
        <f t="shared" si="2"/>
        <v>1.3300844485834799E-4</v>
      </c>
    </row>
    <row r="34" spans="1:5" x14ac:dyDescent="0.25">
      <c r="A34">
        <v>2.5668962474749999</v>
      </c>
      <c r="B34">
        <v>1.2182070755167534E-2</v>
      </c>
      <c r="C34">
        <f t="shared" si="0"/>
        <v>4.2719735838067903E-3</v>
      </c>
      <c r="D34">
        <f t="shared" si="1"/>
        <v>7.9100971713607429E-3</v>
      </c>
      <c r="E34">
        <f t="shared" si="2"/>
        <v>6.256963726036922E-5</v>
      </c>
    </row>
    <row r="35" spans="1:5" x14ac:dyDescent="0.25">
      <c r="A35">
        <v>2.6391158103249999</v>
      </c>
      <c r="B35">
        <v>6.0910353775837671E-3</v>
      </c>
      <c r="C35">
        <f t="shared" si="0"/>
        <v>2.6497522891313335E-3</v>
      </c>
      <c r="D35">
        <f t="shared" si="1"/>
        <v>3.4412830884524336E-3</v>
      </c>
      <c r="E35">
        <f t="shared" si="2"/>
        <v>1.184242929486872E-5</v>
      </c>
    </row>
    <row r="36" spans="1:5" x14ac:dyDescent="0.25">
      <c r="A36">
        <v>2.7113353731750003</v>
      </c>
      <c r="B36">
        <v>4.3507395554169765E-3</v>
      </c>
      <c r="C36">
        <f t="shared" si="0"/>
        <v>1.6081271386284308E-3</v>
      </c>
      <c r="D36">
        <f t="shared" si="1"/>
        <v>2.7426124167885457E-3</v>
      </c>
      <c r="E36">
        <f t="shared" si="2"/>
        <v>7.5219228687227074E-6</v>
      </c>
    </row>
    <row r="37" spans="1:5" x14ac:dyDescent="0.25">
      <c r="A37">
        <v>2.7835549360250003</v>
      </c>
      <c r="B37">
        <v>2.6104437332501859E-3</v>
      </c>
      <c r="C37">
        <f t="shared" si="0"/>
        <v>9.5475585226973455E-4</v>
      </c>
      <c r="D37">
        <f t="shared" si="1"/>
        <v>1.6556878809804512E-3</v>
      </c>
      <c r="E37">
        <f t="shared" si="2"/>
        <v>2.7413023592255366E-6</v>
      </c>
    </row>
    <row r="38" spans="1:5" x14ac:dyDescent="0.25">
      <c r="A38">
        <v>2.8557744988750002</v>
      </c>
      <c r="B38">
        <v>0</v>
      </c>
      <c r="C38">
        <f t="shared" si="0"/>
        <v>5.5442049552716034E-4</v>
      </c>
      <c r="D38">
        <f t="shared" si="1"/>
        <v>-5.5442049552716034E-4</v>
      </c>
      <c r="E38">
        <f t="shared" si="2"/>
        <v>3.0738208586058202E-7</v>
      </c>
    </row>
    <row r="39" spans="1:5" x14ac:dyDescent="0.25">
      <c r="A39">
        <v>2.9279940617250002</v>
      </c>
      <c r="B39">
        <v>0</v>
      </c>
      <c r="C39">
        <f t="shared" si="0"/>
        <v>3.1483224505936627E-4</v>
      </c>
      <c r="D39">
        <f t="shared" si="1"/>
        <v>-3.1483224505936627E-4</v>
      </c>
      <c r="E39">
        <f t="shared" si="2"/>
        <v>9.9119342529120861E-8</v>
      </c>
    </row>
    <row r="40" spans="1:5" x14ac:dyDescent="0.25">
      <c r="A40">
        <v>3.0002136245750002</v>
      </c>
      <c r="B40">
        <v>8.7014791108339529E-4</v>
      </c>
      <c r="C40">
        <f t="shared" si="0"/>
        <v>1.7479541311050319E-4</v>
      </c>
      <c r="D40">
        <f t="shared" si="1"/>
        <v>6.9535249797289208E-4</v>
      </c>
      <c r="E40">
        <f t="shared" si="2"/>
        <v>4.8351509643714092E-7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BD89-CD8D-44D3-8CD4-AF944E3887B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0.22002150145000002</v>
      </c>
      <c r="B1">
        <v>4.6879670148416992E-2</v>
      </c>
      <c r="C1">
        <f>$H$3*(1+$H$1)*(A1^($H$1))*EXP(-$H$3*(A1^(1+$H$1)))</f>
        <v>0.15616090391537821</v>
      </c>
      <c r="D1">
        <f>B1-C1</f>
        <v>-0.10928123376696122</v>
      </c>
      <c r="E1">
        <f>D1^2</f>
        <v>1.1942388053629226E-2</v>
      </c>
      <c r="G1" t="s">
        <v>0</v>
      </c>
      <c r="H1">
        <v>1.6562009618569613</v>
      </c>
    </row>
    <row r="2" spans="1:8" x14ac:dyDescent="0.25">
      <c r="A2">
        <v>0.28704597235000001</v>
      </c>
      <c r="B2">
        <v>0.14720216426602936</v>
      </c>
      <c r="C2">
        <f t="shared" ref="C2:C40" si="0">$H$3*(1+$H$1)*(A2^($H$1))*EXP(-$H$3*(A2^(1+$H$1)))</f>
        <v>0.23933047172991107</v>
      </c>
      <c r="D2">
        <f t="shared" ref="D2:D40" si="1">B2-C2</f>
        <v>-9.2128307463881703E-2</v>
      </c>
      <c r="E2">
        <f t="shared" ref="E2:E40" si="2">D2^2</f>
        <v>8.4876250361595219E-3</v>
      </c>
    </row>
    <row r="3" spans="1:8" x14ac:dyDescent="0.25">
      <c r="A3">
        <v>0.35407044324999998</v>
      </c>
      <c r="B3">
        <v>0.30378026256174212</v>
      </c>
      <c r="C3">
        <f t="shared" si="0"/>
        <v>0.33215023511607844</v>
      </c>
      <c r="D3">
        <f t="shared" si="1"/>
        <v>-2.836997255433632E-2</v>
      </c>
      <c r="E3">
        <f t="shared" si="2"/>
        <v>8.0485534273379603E-4</v>
      </c>
      <c r="G3" t="s">
        <v>1</v>
      </c>
      <c r="H3">
        <f>(_xlfn.GAMMA((2+$H$1)/(1+$H$1)))^(1+$H$1)</f>
        <v>0.73116116858013225</v>
      </c>
    </row>
    <row r="4" spans="1:8" x14ac:dyDescent="0.25">
      <c r="A4">
        <v>0.42109491415</v>
      </c>
      <c r="B4">
        <v>0.42660499835059462</v>
      </c>
      <c r="C4">
        <f t="shared" si="0"/>
        <v>0.43077543527839141</v>
      </c>
      <c r="D4">
        <f t="shared" si="1"/>
        <v>-4.1704369277967834E-3</v>
      </c>
      <c r="E4">
        <f t="shared" si="2"/>
        <v>1.7392544168731074E-5</v>
      </c>
    </row>
    <row r="5" spans="1:8" x14ac:dyDescent="0.25">
      <c r="A5">
        <v>0.48811938504999997</v>
      </c>
      <c r="B5">
        <v>0.61693645915316764</v>
      </c>
      <c r="C5">
        <f t="shared" si="0"/>
        <v>0.53107305370380808</v>
      </c>
      <c r="D5">
        <f t="shared" si="1"/>
        <v>8.5863405449359553E-2</v>
      </c>
      <c r="E5">
        <f t="shared" si="2"/>
        <v>7.3725243953611077E-3</v>
      </c>
      <c r="G5" t="s">
        <v>2</v>
      </c>
      <c r="H5">
        <f>SUM(E1:E40)</f>
        <v>0.14192903523705927</v>
      </c>
    </row>
    <row r="6" spans="1:8" x14ac:dyDescent="0.25">
      <c r="A6">
        <v>0.55514385594999993</v>
      </c>
      <c r="B6">
        <v>0.76320103001622863</v>
      </c>
      <c r="C6">
        <f t="shared" si="0"/>
        <v>0.62870688887800463</v>
      </c>
      <c r="D6">
        <f t="shared" si="1"/>
        <v>0.134494141138224</v>
      </c>
      <c r="E6">
        <f t="shared" si="2"/>
        <v>1.8088674000508516E-2</v>
      </c>
    </row>
    <row r="7" spans="1:8" x14ac:dyDescent="0.25">
      <c r="A7">
        <v>0.62216832685000001</v>
      </c>
      <c r="B7">
        <v>0.81476866717948726</v>
      </c>
      <c r="C7">
        <f t="shared" si="0"/>
        <v>0.7193107807583129</v>
      </c>
      <c r="D7">
        <f t="shared" si="1"/>
        <v>9.5457886421174365E-2</v>
      </c>
      <c r="E7">
        <f t="shared" si="2"/>
        <v>9.1122080799978245E-3</v>
      </c>
    </row>
    <row r="8" spans="1:8" x14ac:dyDescent="0.25">
      <c r="A8">
        <v>0.68919279774999997</v>
      </c>
      <c r="B8">
        <v>0.95165730401286486</v>
      </c>
      <c r="C8">
        <f t="shared" si="0"/>
        <v>0.79871814382224393</v>
      </c>
      <c r="D8">
        <f t="shared" si="1"/>
        <v>0.15293916019062093</v>
      </c>
      <c r="E8">
        <f t="shared" si="2"/>
        <v>2.339038671981241E-2</v>
      </c>
    </row>
    <row r="9" spans="1:8" x14ac:dyDescent="0.25">
      <c r="A9">
        <v>0.75621726865000005</v>
      </c>
      <c r="B9">
        <v>0.95259489741583325</v>
      </c>
      <c r="C9">
        <f t="shared" si="0"/>
        <v>0.8632188785528524</v>
      </c>
      <c r="D9">
        <f t="shared" si="1"/>
        <v>8.9376018862980855E-2</v>
      </c>
      <c r="E9">
        <f t="shared" si="2"/>
        <v>7.9880727477959091E-3</v>
      </c>
    </row>
    <row r="10" spans="1:8" x14ac:dyDescent="0.25">
      <c r="A10">
        <v>0.82324173955000002</v>
      </c>
      <c r="B10">
        <v>1.0135384686087754</v>
      </c>
      <c r="C10">
        <f t="shared" si="0"/>
        <v>0.90981364414120347</v>
      </c>
      <c r="D10">
        <f t="shared" si="1"/>
        <v>0.10372482446757192</v>
      </c>
      <c r="E10">
        <f t="shared" si="2"/>
        <v>1.0758839210828606E-2</v>
      </c>
    </row>
    <row r="11" spans="1:8" x14ac:dyDescent="0.25">
      <c r="A11">
        <v>0.89026621044999998</v>
      </c>
      <c r="B11">
        <v>1.0079129081909652</v>
      </c>
      <c r="C11">
        <f t="shared" si="0"/>
        <v>0.93643505969647201</v>
      </c>
      <c r="D11">
        <f t="shared" si="1"/>
        <v>7.1477848494493235E-2</v>
      </c>
      <c r="E11">
        <f t="shared" si="2"/>
        <v>5.1090828254017288E-3</v>
      </c>
    </row>
    <row r="12" spans="1:8" x14ac:dyDescent="0.25">
      <c r="A12">
        <v>0.95729068134999995</v>
      </c>
      <c r="B12">
        <v>0.94134377658021318</v>
      </c>
      <c r="C12">
        <f t="shared" si="0"/>
        <v>0.94210769533225414</v>
      </c>
      <c r="D12">
        <f t="shared" si="1"/>
        <v>-7.639187520409596E-4</v>
      </c>
      <c r="E12">
        <f t="shared" si="2"/>
        <v>5.8357185971981717E-7</v>
      </c>
    </row>
    <row r="13" spans="1:8" x14ac:dyDescent="0.25">
      <c r="A13">
        <v>1.0243151522499998</v>
      </c>
      <c r="B13">
        <v>0.95540767762473822</v>
      </c>
      <c r="C13">
        <f t="shared" si="0"/>
        <v>0.92702449996931968</v>
      </c>
      <c r="D13">
        <f t="shared" si="1"/>
        <v>2.8383177655418534E-2</v>
      </c>
      <c r="E13">
        <f t="shared" si="2"/>
        <v>8.0560477381904998E-4</v>
      </c>
    </row>
    <row r="14" spans="1:8" x14ac:dyDescent="0.25">
      <c r="A14">
        <v>1.0913396231499999</v>
      </c>
      <c r="B14">
        <v>0.8653987109397776</v>
      </c>
      <c r="C14">
        <f t="shared" si="0"/>
        <v>0.8925264383992465</v>
      </c>
      <c r="D14">
        <f t="shared" si="1"/>
        <v>-2.7127727459468898E-2</v>
      </c>
      <c r="E14">
        <f t="shared" si="2"/>
        <v>7.3591359711522287E-4</v>
      </c>
    </row>
    <row r="15" spans="1:8" x14ac:dyDescent="0.25">
      <c r="A15">
        <v>1.15836409405</v>
      </c>
      <c r="B15">
        <v>0.73507322792717844</v>
      </c>
      <c r="C15">
        <f t="shared" si="0"/>
        <v>0.84098362557078932</v>
      </c>
      <c r="D15">
        <f t="shared" si="1"/>
        <v>-0.10591039764361088</v>
      </c>
      <c r="E15">
        <f t="shared" si="2"/>
        <v>1.1217012329027776E-2</v>
      </c>
    </row>
    <row r="16" spans="1:8" x14ac:dyDescent="0.25">
      <c r="A16">
        <v>1.2253885649499998</v>
      </c>
      <c r="B16">
        <v>0.72569729389749504</v>
      </c>
      <c r="C16">
        <f t="shared" si="0"/>
        <v>0.77558858358047422</v>
      </c>
      <c r="D16">
        <f t="shared" si="1"/>
        <v>-4.9891289682979179E-2</v>
      </c>
      <c r="E16">
        <f t="shared" si="2"/>
        <v>2.4891407862309444E-3</v>
      </c>
    </row>
    <row r="17" spans="1:5" x14ac:dyDescent="0.25">
      <c r="A17">
        <v>1.2924130358499999</v>
      </c>
      <c r="B17">
        <v>0.64693944804815451</v>
      </c>
      <c r="C17">
        <f t="shared" si="0"/>
        <v>0.70008351049427231</v>
      </c>
      <c r="D17">
        <f t="shared" si="1"/>
        <v>-5.3144062446117801E-2</v>
      </c>
      <c r="E17">
        <f t="shared" si="2"/>
        <v>2.8242913732768682E-3</v>
      </c>
    </row>
    <row r="18" spans="1:5" x14ac:dyDescent="0.25">
      <c r="A18">
        <v>1.35943750675</v>
      </c>
      <c r="B18">
        <v>0.57755753622849737</v>
      </c>
      <c r="C18">
        <f t="shared" si="0"/>
        <v>0.61845178811903834</v>
      </c>
      <c r="D18">
        <f t="shared" si="1"/>
        <v>-4.0894251890540967E-2</v>
      </c>
      <c r="E18">
        <f t="shared" si="2"/>
        <v>1.6723398376870134E-3</v>
      </c>
    </row>
    <row r="19" spans="1:5" x14ac:dyDescent="0.25">
      <c r="A19">
        <v>1.4264619776499998</v>
      </c>
      <c r="B19">
        <v>0.47723504211088497</v>
      </c>
      <c r="C19">
        <f t="shared" si="0"/>
        <v>0.53460794861895433</v>
      </c>
      <c r="D19">
        <f t="shared" si="1"/>
        <v>-5.7372906508069366E-2</v>
      </c>
      <c r="E19">
        <f t="shared" si="2"/>
        <v>3.291650401183668E-3</v>
      </c>
    </row>
    <row r="20" spans="1:5" x14ac:dyDescent="0.25">
      <c r="A20">
        <v>1.4934864485499997</v>
      </c>
      <c r="B20">
        <v>0.38628848202295601</v>
      </c>
      <c r="C20">
        <f t="shared" si="0"/>
        <v>0.45211929551849189</v>
      </c>
      <c r="D20">
        <f t="shared" si="1"/>
        <v>-6.5830813495535878E-2</v>
      </c>
      <c r="E20">
        <f t="shared" si="2"/>
        <v>4.3336960054840288E-3</v>
      </c>
    </row>
    <row r="21" spans="1:5" x14ac:dyDescent="0.25">
      <c r="A21">
        <v>1.56051091945</v>
      </c>
      <c r="B21">
        <v>0.30940582297955216</v>
      </c>
      <c r="C21">
        <f t="shared" si="0"/>
        <v>0.37398657142750463</v>
      </c>
      <c r="D21">
        <f t="shared" si="1"/>
        <v>-6.4580748447952474E-2</v>
      </c>
      <c r="E21">
        <f t="shared" si="2"/>
        <v>4.1706730700977156E-3</v>
      </c>
    </row>
    <row r="22" spans="1:5" x14ac:dyDescent="0.25">
      <c r="A22">
        <v>1.6275353903500001</v>
      </c>
      <c r="B22">
        <v>0.26721411984597682</v>
      </c>
      <c r="C22">
        <f t="shared" si="0"/>
        <v>0.30250159390367448</v>
      </c>
      <c r="D22">
        <f t="shared" si="1"/>
        <v>-3.5287474057697665E-2</v>
      </c>
      <c r="E22">
        <f t="shared" si="2"/>
        <v>1.2452058253726857E-3</v>
      </c>
    </row>
    <row r="23" spans="1:5" x14ac:dyDescent="0.25">
      <c r="A23">
        <v>1.6945598612499999</v>
      </c>
      <c r="B23">
        <v>0.18376830698179461</v>
      </c>
      <c r="C23">
        <f t="shared" si="0"/>
        <v>0.23918839207434864</v>
      </c>
      <c r="D23">
        <f t="shared" si="1"/>
        <v>-5.5420085092554028E-2</v>
      </c>
      <c r="E23">
        <f t="shared" si="2"/>
        <v>3.0713858316659291E-3</v>
      </c>
    </row>
    <row r="24" spans="1:5" x14ac:dyDescent="0.25">
      <c r="A24">
        <v>1.76158433215</v>
      </c>
      <c r="B24">
        <v>0.19876980142928805</v>
      </c>
      <c r="C24">
        <f t="shared" si="0"/>
        <v>0.18482308282040175</v>
      </c>
      <c r="D24">
        <f t="shared" si="1"/>
        <v>1.3946718608886299E-2</v>
      </c>
      <c r="E24">
        <f t="shared" si="2"/>
        <v>1.9451095995545538E-4</v>
      </c>
    </row>
    <row r="25" spans="1:5" x14ac:dyDescent="0.25">
      <c r="A25">
        <v>1.8286088030499998</v>
      </c>
      <c r="B25">
        <v>0.13126307641556756</v>
      </c>
      <c r="C25">
        <f t="shared" si="0"/>
        <v>0.13951837857163674</v>
      </c>
      <c r="D25">
        <f t="shared" si="1"/>
        <v>-8.2553021560691775E-3</v>
      </c>
      <c r="E25">
        <f t="shared" si="2"/>
        <v>6.8150013688000416E-5</v>
      </c>
    </row>
    <row r="26" spans="1:5" x14ac:dyDescent="0.25">
      <c r="A26">
        <v>1.8956332739499999</v>
      </c>
      <c r="B26">
        <v>0.13032548301259922</v>
      </c>
      <c r="C26">
        <f t="shared" si="0"/>
        <v>0.1028525439348625</v>
      </c>
      <c r="D26">
        <f t="shared" si="1"/>
        <v>2.7472939077736722E-2</v>
      </c>
      <c r="E26">
        <f t="shared" si="2"/>
        <v>7.5476238156903339E-4</v>
      </c>
    </row>
    <row r="27" spans="1:5" x14ac:dyDescent="0.25">
      <c r="A27">
        <v>1.96265774485</v>
      </c>
      <c r="B27">
        <v>7.782025244637221E-2</v>
      </c>
      <c r="C27">
        <f t="shared" si="0"/>
        <v>7.402039076900549E-2</v>
      </c>
      <c r="D27">
        <f t="shared" si="1"/>
        <v>3.7998616773667199E-3</v>
      </c>
      <c r="E27">
        <f t="shared" si="2"/>
        <v>1.4438948767120221E-5</v>
      </c>
    </row>
    <row r="28" spans="1:5" x14ac:dyDescent="0.25">
      <c r="A28">
        <v>2.0296822157499999</v>
      </c>
      <c r="B28">
        <v>7.594506564043553E-2</v>
      </c>
      <c r="C28">
        <f t="shared" si="0"/>
        <v>5.1985312595704249E-2</v>
      </c>
      <c r="D28">
        <f t="shared" si="1"/>
        <v>2.3959753044731281E-2</v>
      </c>
      <c r="E28">
        <f t="shared" si="2"/>
        <v>5.7406976596450989E-4</v>
      </c>
    </row>
    <row r="29" spans="1:5" x14ac:dyDescent="0.25">
      <c r="A29">
        <v>2.0967066866499997</v>
      </c>
      <c r="B29">
        <v>4.4066889939511973E-2</v>
      </c>
      <c r="C29">
        <f t="shared" si="0"/>
        <v>3.5615562557936645E-2</v>
      </c>
      <c r="D29">
        <f t="shared" si="1"/>
        <v>8.4513273815753284E-3</v>
      </c>
      <c r="E29">
        <f t="shared" si="2"/>
        <v>7.1424934510564892E-5</v>
      </c>
    </row>
    <row r="30" spans="1:5" x14ac:dyDescent="0.25">
      <c r="A30">
        <v>2.16373115755</v>
      </c>
      <c r="B30">
        <v>4.5004483342480313E-2</v>
      </c>
      <c r="C30">
        <f t="shared" si="0"/>
        <v>2.3793757928997551E-2</v>
      </c>
      <c r="D30">
        <f t="shared" si="1"/>
        <v>2.1210725413482762E-2</v>
      </c>
      <c r="E30">
        <f t="shared" si="2"/>
        <v>4.4989487256616347E-4</v>
      </c>
    </row>
    <row r="31" spans="1:5" x14ac:dyDescent="0.25">
      <c r="A31">
        <v>2.2307556284499999</v>
      </c>
      <c r="B31">
        <v>3.7503736118733595E-2</v>
      </c>
      <c r="C31">
        <f t="shared" si="0"/>
        <v>1.5494672490505615E-2</v>
      </c>
      <c r="D31">
        <f t="shared" si="1"/>
        <v>2.2009063628227979E-2</v>
      </c>
      <c r="E31">
        <f t="shared" si="2"/>
        <v>4.8439888179138772E-4</v>
      </c>
    </row>
    <row r="32" spans="1:5" x14ac:dyDescent="0.25">
      <c r="A32">
        <v>2.2977800993499997</v>
      </c>
      <c r="B32">
        <v>2.2502241671240156E-2</v>
      </c>
      <c r="C32">
        <f t="shared" si="0"/>
        <v>9.8316908572715443E-3</v>
      </c>
      <c r="D32">
        <f t="shared" si="1"/>
        <v>1.2670550813968612E-2</v>
      </c>
      <c r="E32">
        <f t="shared" si="2"/>
        <v>1.6054285792936067E-4</v>
      </c>
    </row>
    <row r="33" spans="1:5" x14ac:dyDescent="0.25">
      <c r="A33">
        <v>2.3648045702499996</v>
      </c>
      <c r="B33">
        <v>1.8751868059366798E-2</v>
      </c>
      <c r="C33">
        <f t="shared" si="0"/>
        <v>6.0761632734810528E-3</v>
      </c>
      <c r="D33">
        <f t="shared" si="1"/>
        <v>1.2675704785885745E-2</v>
      </c>
      <c r="E33">
        <f t="shared" si="2"/>
        <v>1.6067349181892677E-4</v>
      </c>
    </row>
    <row r="34" spans="1:5" x14ac:dyDescent="0.25">
      <c r="A34">
        <v>2.4318290411499994</v>
      </c>
      <c r="B34">
        <v>1.0313527432651739E-2</v>
      </c>
      <c r="C34">
        <f t="shared" si="0"/>
        <v>3.6560654986313489E-3</v>
      </c>
      <c r="D34">
        <f t="shared" si="1"/>
        <v>6.6574619340203896E-3</v>
      </c>
      <c r="E34">
        <f t="shared" si="2"/>
        <v>4.4321799402930507E-5</v>
      </c>
    </row>
    <row r="35" spans="1:5" x14ac:dyDescent="0.25">
      <c r="A35">
        <v>2.4988535120500002</v>
      </c>
      <c r="B35">
        <v>6.5631538207783788E-3</v>
      </c>
      <c r="C35">
        <f t="shared" si="0"/>
        <v>2.1409618250562402E-3</v>
      </c>
      <c r="D35">
        <f t="shared" si="1"/>
        <v>4.4221919957221391E-3</v>
      </c>
      <c r="E35">
        <f t="shared" si="2"/>
        <v>1.9555782047028954E-5</v>
      </c>
    </row>
    <row r="36" spans="1:5" x14ac:dyDescent="0.25">
      <c r="A36">
        <v>2.56587798295</v>
      </c>
      <c r="B36">
        <v>1.8751868059366796E-3</v>
      </c>
      <c r="C36">
        <f t="shared" si="0"/>
        <v>1.2196658021883901E-3</v>
      </c>
      <c r="D36">
        <f t="shared" si="1"/>
        <v>6.5552100374828949E-4</v>
      </c>
      <c r="E36">
        <f t="shared" si="2"/>
        <v>4.2970778635516495E-7</v>
      </c>
    </row>
    <row r="37" spans="1:5" x14ac:dyDescent="0.25">
      <c r="A37">
        <v>2.6329024538499999</v>
      </c>
      <c r="B37">
        <v>1.8751868059366796E-3</v>
      </c>
      <c r="C37">
        <f t="shared" si="0"/>
        <v>6.7567196651172957E-4</v>
      </c>
      <c r="D37">
        <f t="shared" si="1"/>
        <v>1.1995148394249502E-3</v>
      </c>
      <c r="E37">
        <f t="shared" si="2"/>
        <v>1.438835850000664E-6</v>
      </c>
    </row>
    <row r="38" spans="1:5" x14ac:dyDescent="0.25">
      <c r="A38">
        <v>2.6999269247499997</v>
      </c>
      <c r="B38">
        <v>0</v>
      </c>
      <c r="C38">
        <f t="shared" si="0"/>
        <v>3.6384802898318185E-4</v>
      </c>
      <c r="D38">
        <f t="shared" si="1"/>
        <v>-3.6384802898318185E-4</v>
      </c>
      <c r="E38">
        <f t="shared" si="2"/>
        <v>1.3238538819494634E-7</v>
      </c>
    </row>
    <row r="39" spans="1:5" x14ac:dyDescent="0.25">
      <c r="A39">
        <v>2.7669513956499996</v>
      </c>
      <c r="B39">
        <v>0</v>
      </c>
      <c r="C39">
        <f t="shared" si="0"/>
        <v>1.9037901857291826E-4</v>
      </c>
      <c r="D39">
        <f t="shared" si="1"/>
        <v>-1.9037901857291826E-4</v>
      </c>
      <c r="E39">
        <f t="shared" si="2"/>
        <v>3.6244170712787554E-8</v>
      </c>
    </row>
    <row r="40" spans="1:5" x14ac:dyDescent="0.25">
      <c r="A40">
        <v>2.8339758665499994</v>
      </c>
      <c r="B40">
        <v>9.3759340296833981E-4</v>
      </c>
      <c r="C40">
        <f t="shared" si="0"/>
        <v>9.6751779672420006E-5</v>
      </c>
      <c r="D40">
        <f t="shared" si="1"/>
        <v>8.4084162329591981E-4</v>
      </c>
      <c r="E40">
        <f t="shared" si="2"/>
        <v>7.070146354669175E-7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D20A-1D82-4B47-AA5B-EB8B3B5877D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0.24851905662500001</v>
      </c>
      <c r="B1">
        <v>3.0471817669231068E-2</v>
      </c>
      <c r="C1">
        <f>$H$3*(1+$H$1)*(A1^($H$1))*EXP(-$H$3*(A1^(1+$H$1)))</f>
        <v>0.13628995566450947</v>
      </c>
      <c r="D1">
        <f>B1-C1</f>
        <v>-0.10581813799527839</v>
      </c>
      <c r="E1">
        <f>D1^2</f>
        <v>1.119747832878778E-2</v>
      </c>
      <c r="G1" t="s">
        <v>0</v>
      </c>
      <c r="H1">
        <v>1.9609158550792463</v>
      </c>
    </row>
    <row r="2" spans="1:8" x14ac:dyDescent="0.25">
      <c r="A2">
        <v>0.31038773387500002</v>
      </c>
      <c r="B2">
        <v>9.9541271052821498E-2</v>
      </c>
      <c r="C2">
        <f t="shared" ref="C2:C40" si="0">$H$3*(1+$H$1)*(A2^($H$1))*EXP(-$H$3*(A2^(1+$H$1)))</f>
        <v>0.20849679111923761</v>
      </c>
      <c r="D2">
        <f t="shared" ref="D2:D40" si="1">B2-C2</f>
        <v>-0.10895552006641611</v>
      </c>
      <c r="E2">
        <f t="shared" ref="E2:E40" si="2">D2^2</f>
        <v>1.1871305352943203E-2</v>
      </c>
    </row>
    <row r="3" spans="1:8" x14ac:dyDescent="0.25">
      <c r="A3">
        <v>0.37225641112500002</v>
      </c>
      <c r="B3">
        <v>0.21634990545154059</v>
      </c>
      <c r="C3">
        <f t="shared" si="0"/>
        <v>0.29306890410661096</v>
      </c>
      <c r="D3">
        <f t="shared" si="1"/>
        <v>-7.671899865507037E-2</v>
      </c>
      <c r="E3">
        <f t="shared" si="2"/>
        <v>5.8858047546366888E-3</v>
      </c>
      <c r="G3" t="s">
        <v>1</v>
      </c>
      <c r="H3">
        <f>(_xlfn.GAMMA((2+$H$1)/(1+$H$1)))^(1+$H$1)</f>
        <v>0.71402327831050394</v>
      </c>
    </row>
    <row r="4" spans="1:8" x14ac:dyDescent="0.25">
      <c r="A4">
        <v>0.43412508837500002</v>
      </c>
      <c r="B4">
        <v>0.39511790244436285</v>
      </c>
      <c r="C4">
        <f t="shared" si="0"/>
        <v>0.38754258791544521</v>
      </c>
      <c r="D4">
        <f t="shared" si="1"/>
        <v>7.5753145289176316E-3</v>
      </c>
      <c r="E4">
        <f t="shared" si="2"/>
        <v>5.7385390212030555E-5</v>
      </c>
    </row>
    <row r="5" spans="1:8" x14ac:dyDescent="0.25">
      <c r="A5">
        <v>0.49599376562500003</v>
      </c>
      <c r="B5">
        <v>0.50583217330923569</v>
      </c>
      <c r="C5">
        <f t="shared" si="0"/>
        <v>0.48876924242625736</v>
      </c>
      <c r="D5">
        <f t="shared" si="1"/>
        <v>1.7062930882978333E-2</v>
      </c>
      <c r="E5">
        <f t="shared" si="2"/>
        <v>2.9114361031729578E-4</v>
      </c>
      <c r="G5" t="s">
        <v>2</v>
      </c>
      <c r="H5">
        <f>SUM(E1:E40)</f>
        <v>0.200901142551135</v>
      </c>
    </row>
    <row r="6" spans="1:8" x14ac:dyDescent="0.25">
      <c r="A6">
        <v>0.55786244287499998</v>
      </c>
      <c r="B6">
        <v>0.69983607913667356</v>
      </c>
      <c r="C6">
        <f t="shared" si="0"/>
        <v>0.59295346367425439</v>
      </c>
      <c r="D6">
        <f t="shared" si="1"/>
        <v>0.10688261546241917</v>
      </c>
      <c r="E6">
        <f t="shared" si="2"/>
        <v>1.1423893488087367E-2</v>
      </c>
    </row>
    <row r="7" spans="1:8" x14ac:dyDescent="0.25">
      <c r="A7">
        <v>0.61973112012499998</v>
      </c>
      <c r="B7">
        <v>0.87250971259564958</v>
      </c>
      <c r="C7">
        <f t="shared" si="0"/>
        <v>0.69576858650702145</v>
      </c>
      <c r="D7">
        <f t="shared" si="1"/>
        <v>0.17674112608862813</v>
      </c>
      <c r="E7">
        <f t="shared" si="2"/>
        <v>3.1237425651076348E-2</v>
      </c>
    </row>
    <row r="8" spans="1:8" x14ac:dyDescent="0.25">
      <c r="A8">
        <v>0.68159979737499998</v>
      </c>
      <c r="B8">
        <v>0.92024889361077833</v>
      </c>
      <c r="C8">
        <f t="shared" si="0"/>
        <v>0.79255154607242351</v>
      </c>
      <c r="D8">
        <f t="shared" si="1"/>
        <v>0.12769734753835482</v>
      </c>
      <c r="E8">
        <f t="shared" si="2"/>
        <v>1.6306612568331373E-2</v>
      </c>
    </row>
    <row r="9" spans="1:8" x14ac:dyDescent="0.25">
      <c r="A9">
        <v>0.74346847462499999</v>
      </c>
      <c r="B9">
        <v>1.0289317099643691</v>
      </c>
      <c r="C9">
        <f t="shared" si="0"/>
        <v>0.87857013350176327</v>
      </c>
      <c r="D9">
        <f t="shared" si="1"/>
        <v>0.15036157646260584</v>
      </c>
      <c r="E9">
        <f t="shared" si="2"/>
        <v>2.2608603676320064E-2</v>
      </c>
    </row>
    <row r="10" spans="1:8" x14ac:dyDescent="0.25">
      <c r="A10">
        <v>0.8053371518750001</v>
      </c>
      <c r="B10">
        <v>1.0736237092125747</v>
      </c>
      <c r="C10">
        <f t="shared" si="0"/>
        <v>0.94934513431147483</v>
      </c>
      <c r="D10">
        <f t="shared" si="1"/>
        <v>0.12427857490109984</v>
      </c>
      <c r="E10">
        <f t="shared" si="2"/>
        <v>1.5445164179448282E-2</v>
      </c>
    </row>
    <row r="11" spans="1:8" x14ac:dyDescent="0.25">
      <c r="A11">
        <v>0.86720582912499999</v>
      </c>
      <c r="B11">
        <v>1.1152685266938571</v>
      </c>
      <c r="C11">
        <f t="shared" si="0"/>
        <v>1.0009991056927443</v>
      </c>
      <c r="D11">
        <f t="shared" si="1"/>
        <v>0.11426942100111281</v>
      </c>
      <c r="E11">
        <f t="shared" si="2"/>
        <v>1.3057500575929562E-2</v>
      </c>
    </row>
    <row r="12" spans="1:8" x14ac:dyDescent="0.25">
      <c r="A12">
        <v>0.929074506375</v>
      </c>
      <c r="B12">
        <v>1.1274572537615495</v>
      </c>
      <c r="C12">
        <f t="shared" si="0"/>
        <v>1.0305947054428011</v>
      </c>
      <c r="D12">
        <f t="shared" si="1"/>
        <v>9.6862548318748409E-2</v>
      </c>
      <c r="E12">
        <f t="shared" si="2"/>
        <v>9.3823532668018701E-3</v>
      </c>
    </row>
    <row r="13" spans="1:8" x14ac:dyDescent="0.25">
      <c r="A13">
        <v>0.990943183625</v>
      </c>
      <c r="B13">
        <v>1.0187744374079588</v>
      </c>
      <c r="C13">
        <f t="shared" si="0"/>
        <v>1.0364206789572461</v>
      </c>
      <c r="D13">
        <f t="shared" si="1"/>
        <v>-1.7646241549287289E-2</v>
      </c>
      <c r="E13">
        <f t="shared" si="2"/>
        <v>3.1138984081579304E-4</v>
      </c>
    </row>
    <row r="14" spans="1:8" x14ac:dyDescent="0.25">
      <c r="A14">
        <v>1.0528118608749999</v>
      </c>
      <c r="B14">
        <v>0.99744416503949695</v>
      </c>
      <c r="C14">
        <f t="shared" si="0"/>
        <v>1.018184663352427</v>
      </c>
      <c r="D14">
        <f t="shared" si="1"/>
        <v>-2.0740498312930011E-2</v>
      </c>
      <c r="E14">
        <f t="shared" si="2"/>
        <v>4.3016827026865265E-4</v>
      </c>
    </row>
    <row r="15" spans="1:8" x14ac:dyDescent="0.25">
      <c r="A15">
        <v>1.114680538125</v>
      </c>
      <c r="B15">
        <v>0.92735898440026554</v>
      </c>
      <c r="C15">
        <f t="shared" si="0"/>
        <v>0.9770798703434459</v>
      </c>
      <c r="D15">
        <f t="shared" si="1"/>
        <v>-4.972088594318036E-2</v>
      </c>
      <c r="E15">
        <f t="shared" si="2"/>
        <v>2.4721664989747504E-3</v>
      </c>
    </row>
    <row r="16" spans="1:8" x14ac:dyDescent="0.25">
      <c r="A16">
        <v>1.1765492153750001</v>
      </c>
      <c r="B16">
        <v>0.82375480432487991</v>
      </c>
      <c r="C16">
        <f t="shared" si="0"/>
        <v>0.91570718990311073</v>
      </c>
      <c r="D16">
        <f t="shared" si="1"/>
        <v>-9.1952385578230822E-2</v>
      </c>
      <c r="E16">
        <f t="shared" si="2"/>
        <v>8.4552412135276318E-3</v>
      </c>
    </row>
    <row r="17" spans="1:5" x14ac:dyDescent="0.25">
      <c r="A17">
        <v>1.2384178926250002</v>
      </c>
      <c r="B17">
        <v>0.75671680545257158</v>
      </c>
      <c r="C17">
        <f t="shared" si="0"/>
        <v>0.83785357160289875</v>
      </c>
      <c r="D17">
        <f t="shared" si="1"/>
        <v>-8.1136766150327166E-2</v>
      </c>
      <c r="E17">
        <f t="shared" si="2"/>
        <v>6.5831748213328765E-3</v>
      </c>
    </row>
    <row r="18" spans="1:5" x14ac:dyDescent="0.25">
      <c r="A18">
        <v>1.3002865698749999</v>
      </c>
      <c r="B18">
        <v>0.65108117086590389</v>
      </c>
      <c r="C18">
        <f t="shared" si="0"/>
        <v>0.74814861165513036</v>
      </c>
      <c r="D18">
        <f t="shared" si="1"/>
        <v>-9.7067440789226467E-2</v>
      </c>
      <c r="E18">
        <f t="shared" si="2"/>
        <v>9.4220880613699858E-3</v>
      </c>
    </row>
    <row r="19" spans="1:5" x14ac:dyDescent="0.25">
      <c r="A19">
        <v>1.362155247125</v>
      </c>
      <c r="B19">
        <v>0.57693308120410824</v>
      </c>
      <c r="C19">
        <f t="shared" si="0"/>
        <v>0.65164021048542342</v>
      </c>
      <c r="D19">
        <f t="shared" si="1"/>
        <v>-7.4707129281315177E-2</v>
      </c>
      <c r="E19">
        <f t="shared" si="2"/>
        <v>5.5811551654551391E-3</v>
      </c>
    </row>
    <row r="20" spans="1:5" x14ac:dyDescent="0.25">
      <c r="A20">
        <v>1.4240239243749999</v>
      </c>
      <c r="B20">
        <v>0.51091080958744095</v>
      </c>
      <c r="C20">
        <f t="shared" si="0"/>
        <v>0.55334309980979457</v>
      </c>
      <c r="D20">
        <f t="shared" si="1"/>
        <v>-4.2432290222353619E-2</v>
      </c>
      <c r="E20">
        <f t="shared" si="2"/>
        <v>1.8004992535140465E-3</v>
      </c>
    </row>
    <row r="21" spans="1:5" x14ac:dyDescent="0.25">
      <c r="A21">
        <v>1.485892601625</v>
      </c>
      <c r="B21">
        <v>0.35956744849692662</v>
      </c>
      <c r="C21">
        <f t="shared" si="0"/>
        <v>0.45781807822438869</v>
      </c>
      <c r="D21">
        <f t="shared" si="1"/>
        <v>-9.8250629727462069E-2</v>
      </c>
      <c r="E21">
        <f t="shared" si="2"/>
        <v>9.6531862418428524E-3</v>
      </c>
    </row>
    <row r="22" spans="1:5" x14ac:dyDescent="0.25">
      <c r="A22">
        <v>1.5477612788750001</v>
      </c>
      <c r="B22">
        <v>0.32909563082769555</v>
      </c>
      <c r="C22">
        <f t="shared" si="0"/>
        <v>0.36883383351211646</v>
      </c>
      <c r="D22">
        <f t="shared" si="1"/>
        <v>-3.9738202684420909E-2</v>
      </c>
      <c r="E22">
        <f t="shared" si="2"/>
        <v>1.5791247525881172E-3</v>
      </c>
    </row>
    <row r="23" spans="1:5" x14ac:dyDescent="0.25">
      <c r="A23">
        <v>1.609629956125</v>
      </c>
      <c r="B23">
        <v>0.24275881409820751</v>
      </c>
      <c r="C23">
        <f t="shared" si="0"/>
        <v>0.28914834522105309</v>
      </c>
      <c r="D23">
        <f t="shared" si="1"/>
        <v>-4.6389531122845579E-2</v>
      </c>
      <c r="E23">
        <f t="shared" si="2"/>
        <v>2.1519885977974587E-3</v>
      </c>
    </row>
    <row r="24" spans="1:5" x14ac:dyDescent="0.25">
      <c r="A24">
        <v>1.6714986333750002</v>
      </c>
      <c r="B24">
        <v>0.20619263289513023</v>
      </c>
      <c r="C24">
        <f t="shared" si="0"/>
        <v>0.22042614097006222</v>
      </c>
      <c r="D24">
        <f t="shared" si="1"/>
        <v>-1.4233508074931983E-2</v>
      </c>
      <c r="E24">
        <f t="shared" si="2"/>
        <v>2.0259275211915396E-4</v>
      </c>
    </row>
    <row r="25" spans="1:5" x14ac:dyDescent="0.25">
      <c r="A25">
        <v>1.733367310625</v>
      </c>
      <c r="B25">
        <v>0.1736893607146171</v>
      </c>
      <c r="C25">
        <f t="shared" si="0"/>
        <v>0.16328548906488938</v>
      </c>
      <c r="D25">
        <f t="shared" si="1"/>
        <v>1.0403871649727725E-2</v>
      </c>
      <c r="E25">
        <f t="shared" si="2"/>
        <v>1.0824054530400829E-4</v>
      </c>
    </row>
    <row r="26" spans="1:5" x14ac:dyDescent="0.25">
      <c r="A26">
        <v>1.7952359878749999</v>
      </c>
      <c r="B26">
        <v>0.13610745225589876</v>
      </c>
      <c r="C26">
        <f t="shared" si="0"/>
        <v>0.1174504863280247</v>
      </c>
      <c r="D26">
        <f t="shared" si="1"/>
        <v>1.8656965927874067E-2</v>
      </c>
      <c r="E26">
        <f t="shared" si="2"/>
        <v>3.4808237763385381E-4</v>
      </c>
    </row>
    <row r="27" spans="1:5" x14ac:dyDescent="0.25">
      <c r="A27">
        <v>1.8571046651250001</v>
      </c>
      <c r="B27">
        <v>8.5321089473846992E-2</v>
      </c>
      <c r="C27">
        <f t="shared" si="0"/>
        <v>8.1970510413641617E-2</v>
      </c>
      <c r="D27">
        <f t="shared" si="1"/>
        <v>3.3505790602053748E-3</v>
      </c>
      <c r="E27">
        <f t="shared" si="2"/>
        <v>1.1226380038686732E-5</v>
      </c>
    </row>
    <row r="28" spans="1:5" x14ac:dyDescent="0.25">
      <c r="A28">
        <v>1.9189733423749999</v>
      </c>
      <c r="B28">
        <v>8.4305362218205962E-2</v>
      </c>
      <c r="C28">
        <f t="shared" si="0"/>
        <v>5.5465408043755077E-2</v>
      </c>
      <c r="D28">
        <f t="shared" si="1"/>
        <v>2.8839954174450885E-2</v>
      </c>
      <c r="E28">
        <f t="shared" si="2"/>
        <v>8.3174295678442708E-4</v>
      </c>
    </row>
    <row r="29" spans="1:5" x14ac:dyDescent="0.25">
      <c r="A29">
        <v>1.9808420196249998</v>
      </c>
      <c r="B29">
        <v>4.9770635526410749E-2</v>
      </c>
      <c r="C29">
        <f t="shared" si="0"/>
        <v>3.6358746563241985E-2</v>
      </c>
      <c r="D29">
        <f t="shared" si="1"/>
        <v>1.3411888963168764E-2</v>
      </c>
      <c r="E29">
        <f t="shared" si="2"/>
        <v>1.798787655603681E-4</v>
      </c>
    </row>
    <row r="30" spans="1:5" x14ac:dyDescent="0.25">
      <c r="A30">
        <v>2.042710696875</v>
      </c>
      <c r="B30">
        <v>5.2817817293333853E-2</v>
      </c>
      <c r="C30">
        <f t="shared" si="0"/>
        <v>2.3071351671156815E-2</v>
      </c>
      <c r="D30">
        <f t="shared" si="1"/>
        <v>2.9746465622177039E-2</v>
      </c>
      <c r="E30">
        <f t="shared" si="2"/>
        <v>8.8485221701136037E-4</v>
      </c>
    </row>
    <row r="31" spans="1:5" x14ac:dyDescent="0.25">
      <c r="A31">
        <v>2.1045793741249996</v>
      </c>
      <c r="B31">
        <v>4.2660544736923496E-2</v>
      </c>
      <c r="C31">
        <f t="shared" si="0"/>
        <v>1.4160075128571632E-2</v>
      </c>
      <c r="D31">
        <f t="shared" si="1"/>
        <v>2.8500469608351862E-2</v>
      </c>
      <c r="E31">
        <f t="shared" si="2"/>
        <v>8.1227676789658813E-4</v>
      </c>
    </row>
    <row r="32" spans="1:5" x14ac:dyDescent="0.25">
      <c r="A32">
        <v>2.1664480513750002</v>
      </c>
      <c r="B32">
        <v>2.0314545112820711E-2</v>
      </c>
      <c r="C32">
        <f t="shared" si="0"/>
        <v>8.399115505771838E-3</v>
      </c>
      <c r="D32">
        <f t="shared" si="1"/>
        <v>1.1915429607048873E-2</v>
      </c>
      <c r="E32">
        <f t="shared" si="2"/>
        <v>1.4197746272053685E-4</v>
      </c>
    </row>
    <row r="33" spans="1:5" x14ac:dyDescent="0.25">
      <c r="A33">
        <v>2.2283167286249999</v>
      </c>
      <c r="B33">
        <v>1.6251636090256569E-2</v>
      </c>
      <c r="C33">
        <f t="shared" si="0"/>
        <v>4.8108382289543212E-3</v>
      </c>
      <c r="D33">
        <f t="shared" si="1"/>
        <v>1.1440797861302247E-2</v>
      </c>
      <c r="E33">
        <f t="shared" si="2"/>
        <v>1.3089185570317808E-4</v>
      </c>
    </row>
    <row r="34" spans="1:5" x14ac:dyDescent="0.25">
      <c r="A34">
        <v>2.2901854058750004</v>
      </c>
      <c r="B34">
        <v>7.1100907894872493E-3</v>
      </c>
      <c r="C34">
        <f t="shared" si="0"/>
        <v>2.6586913233083136E-3</v>
      </c>
      <c r="D34">
        <f t="shared" si="1"/>
        <v>4.4513994661789357E-3</v>
      </c>
      <c r="E34">
        <f t="shared" si="2"/>
        <v>1.9814957207498113E-5</v>
      </c>
    </row>
    <row r="35" spans="1:5" x14ac:dyDescent="0.25">
      <c r="A35">
        <v>2.3520540831250001</v>
      </c>
      <c r="B35">
        <v>6.094363533846214E-3</v>
      </c>
      <c r="C35">
        <f t="shared" si="0"/>
        <v>1.4164889691125609E-3</v>
      </c>
      <c r="D35">
        <f t="shared" si="1"/>
        <v>4.6778745647336533E-3</v>
      </c>
      <c r="E35">
        <f t="shared" si="2"/>
        <v>2.1882510443382066E-5</v>
      </c>
    </row>
    <row r="36" spans="1:5" x14ac:dyDescent="0.25">
      <c r="A36">
        <v>2.4139227603750002</v>
      </c>
      <c r="B36">
        <v>2.0314545112820712E-3</v>
      </c>
      <c r="C36">
        <f t="shared" si="0"/>
        <v>7.2692972575318137E-4</v>
      </c>
      <c r="D36">
        <f t="shared" si="1"/>
        <v>1.3045247855288898E-3</v>
      </c>
      <c r="E36">
        <f t="shared" si="2"/>
        <v>1.701784916059196E-6</v>
      </c>
    </row>
    <row r="37" spans="1:5" x14ac:dyDescent="0.25">
      <c r="A37">
        <v>2.4757914376250003</v>
      </c>
      <c r="B37">
        <v>0</v>
      </c>
      <c r="C37">
        <f t="shared" si="0"/>
        <v>3.5903716684693832E-4</v>
      </c>
      <c r="D37">
        <f t="shared" si="1"/>
        <v>-3.5903716684693832E-4</v>
      </c>
      <c r="E37">
        <f t="shared" si="2"/>
        <v>1.2890768717747623E-7</v>
      </c>
    </row>
    <row r="38" spans="1:5" x14ac:dyDescent="0.25">
      <c r="A38">
        <v>2.537660114875</v>
      </c>
      <c r="B38">
        <v>0</v>
      </c>
      <c r="C38">
        <f t="shared" si="0"/>
        <v>1.7052423819444954E-4</v>
      </c>
      <c r="D38">
        <f t="shared" si="1"/>
        <v>-1.7052423819444954E-4</v>
      </c>
      <c r="E38">
        <f t="shared" si="2"/>
        <v>2.9078515811797362E-8</v>
      </c>
    </row>
    <row r="39" spans="1:5" x14ac:dyDescent="0.25">
      <c r="A39">
        <v>2.5995287921249997</v>
      </c>
      <c r="B39">
        <v>0</v>
      </c>
      <c r="C39">
        <f t="shared" si="0"/>
        <v>7.7814929670824601E-5</v>
      </c>
      <c r="D39">
        <f t="shared" si="1"/>
        <v>-7.7814929670824601E-5</v>
      </c>
      <c r="E39">
        <f t="shared" si="2"/>
        <v>6.0551632796753785E-9</v>
      </c>
    </row>
    <row r="40" spans="1:5" x14ac:dyDescent="0.25">
      <c r="A40">
        <v>2.6613974693750002</v>
      </c>
      <c r="B40">
        <v>1.0157272556410356E-3</v>
      </c>
      <c r="C40">
        <f t="shared" si="0"/>
        <v>3.4087784930695522E-5</v>
      </c>
      <c r="D40">
        <f t="shared" si="1"/>
        <v>9.8163947071034014E-4</v>
      </c>
      <c r="E40">
        <f t="shared" si="2"/>
        <v>9.6361605045647682E-7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7571-F39C-455C-A3BE-32EDEB9E03C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0.30355883667500005</v>
      </c>
      <c r="B1">
        <v>2.0271009634438779E-2</v>
      </c>
      <c r="C1">
        <f>$H$3*(1+$H$1)*(A1^($H$1))*EXP(-$H$3*(A1^(1+$H$1)))</f>
        <v>0.1333786046942626</v>
      </c>
      <c r="D1">
        <f>B1-C1</f>
        <v>-0.11310759505982382</v>
      </c>
      <c r="E1">
        <f>D1^2</f>
        <v>1.2793328060217081E-2</v>
      </c>
      <c r="G1" t="s">
        <v>0</v>
      </c>
      <c r="H1">
        <v>2.4007484895998394</v>
      </c>
    </row>
    <row r="2" spans="1:8" x14ac:dyDescent="0.25">
      <c r="A2">
        <v>0.35935672602500002</v>
      </c>
      <c r="B2">
        <v>7.6579369730102057E-2</v>
      </c>
      <c r="C2">
        <f t="shared" ref="C2:C40" si="0">$H$3*(1+$H$1)*(A2^($H$1))*EXP(-$H$3*(A2^(1+$H$1)))</f>
        <v>0.19813619096345347</v>
      </c>
      <c r="D2">
        <f t="shared" ref="D2:D40" si="1">B2-C2</f>
        <v>-0.12155682123335142</v>
      </c>
      <c r="E2">
        <f t="shared" ref="E2:E40" si="2">D2^2</f>
        <v>1.4776060788356953E-2</v>
      </c>
    </row>
    <row r="3" spans="1:8" x14ac:dyDescent="0.25">
      <c r="A3">
        <v>0.41515461537500004</v>
      </c>
      <c r="B3">
        <v>0.17906058510420922</v>
      </c>
      <c r="C3">
        <f t="shared" si="0"/>
        <v>0.27641768383908299</v>
      </c>
      <c r="D3">
        <f t="shared" si="1"/>
        <v>-9.7357098734873776E-2</v>
      </c>
      <c r="E3">
        <f t="shared" si="2"/>
        <v>9.4784046740719607E-3</v>
      </c>
      <c r="G3" t="s">
        <v>1</v>
      </c>
      <c r="H3">
        <f>(_xlfn.GAMMA((2+$H$1)/(1+$H$1)))^(1+$H$1)</f>
        <v>0.69462360525074074</v>
      </c>
    </row>
    <row r="4" spans="1:8" x14ac:dyDescent="0.25">
      <c r="A4">
        <v>0.47095250472500005</v>
      </c>
      <c r="B4">
        <v>0.33334549176632655</v>
      </c>
      <c r="C4">
        <f t="shared" si="0"/>
        <v>0.36721581430416556</v>
      </c>
      <c r="D4">
        <f t="shared" si="1"/>
        <v>-3.3870322537839004E-2</v>
      </c>
      <c r="E4">
        <f t="shared" si="2"/>
        <v>1.1471987488172449E-3</v>
      </c>
    </row>
    <row r="5" spans="1:8" x14ac:dyDescent="0.25">
      <c r="A5">
        <v>0.52675039407500002</v>
      </c>
      <c r="B5">
        <v>0.49889207044757661</v>
      </c>
      <c r="C5">
        <f t="shared" si="0"/>
        <v>0.46866788046997437</v>
      </c>
      <c r="D5">
        <f t="shared" si="1"/>
        <v>3.0224189977602234E-2</v>
      </c>
      <c r="E5">
        <f t="shared" si="2"/>
        <v>9.1350165980219134E-4</v>
      </c>
      <c r="G5" t="s">
        <v>2</v>
      </c>
      <c r="H5">
        <f>SUM(E1:E40)</f>
        <v>0.31922700682762939</v>
      </c>
    </row>
    <row r="6" spans="1:8" x14ac:dyDescent="0.25">
      <c r="A6">
        <v>0.58254828342499998</v>
      </c>
      <c r="B6">
        <v>0.65430314431160719</v>
      </c>
      <c r="C6">
        <f t="shared" si="0"/>
        <v>0.57798675499429641</v>
      </c>
      <c r="D6">
        <f t="shared" si="1"/>
        <v>7.6316389317310773E-2</v>
      </c>
      <c r="E6">
        <f t="shared" si="2"/>
        <v>5.824191278431346E-3</v>
      </c>
    </row>
    <row r="7" spans="1:8" x14ac:dyDescent="0.25">
      <c r="A7">
        <v>0.63834617277499994</v>
      </c>
      <c r="B7">
        <v>0.8547609062521685</v>
      </c>
      <c r="C7">
        <f t="shared" si="0"/>
        <v>0.69145222030552689</v>
      </c>
      <c r="D7">
        <f t="shared" si="1"/>
        <v>0.16330868594664161</v>
      </c>
      <c r="E7">
        <f t="shared" si="2"/>
        <v>2.6669726905618817E-2</v>
      </c>
    </row>
    <row r="8" spans="1:8" x14ac:dyDescent="0.25">
      <c r="A8">
        <v>0.69414406212499991</v>
      </c>
      <c r="B8">
        <v>1.0112981473181124</v>
      </c>
      <c r="C8">
        <f t="shared" si="0"/>
        <v>0.80448713436511066</v>
      </c>
      <c r="D8">
        <f t="shared" si="1"/>
        <v>0.20681101295300175</v>
      </c>
      <c r="E8">
        <f t="shared" si="2"/>
        <v>4.2770795078646659E-2</v>
      </c>
    </row>
    <row r="9" spans="1:8" x14ac:dyDescent="0.25">
      <c r="A9">
        <v>0.74994195147500009</v>
      </c>
      <c r="B9">
        <v>1.0552186681927298</v>
      </c>
      <c r="C9">
        <f t="shared" si="0"/>
        <v>0.91183745199538024</v>
      </c>
      <c r="D9">
        <f t="shared" si="1"/>
        <v>0.14338121619734956</v>
      </c>
      <c r="E9">
        <f t="shared" si="2"/>
        <v>2.0558173158231094E-2</v>
      </c>
    </row>
    <row r="10" spans="1:8" x14ac:dyDescent="0.25">
      <c r="A10">
        <v>0.80573984082500005</v>
      </c>
      <c r="B10">
        <v>1.2230175812778064</v>
      </c>
      <c r="C10">
        <f t="shared" si="0"/>
        <v>1.0078647904572198</v>
      </c>
      <c r="D10">
        <f t="shared" si="1"/>
        <v>0.21515279082058658</v>
      </c>
      <c r="E10">
        <f t="shared" si="2"/>
        <v>4.6290723397887083E-2</v>
      </c>
    </row>
    <row r="11" spans="1:8" x14ac:dyDescent="0.25">
      <c r="A11">
        <v>0.86153773017500002</v>
      </c>
      <c r="B11">
        <v>1.2083774076529339</v>
      </c>
      <c r="C11">
        <f t="shared" si="0"/>
        <v>1.0869448947615263</v>
      </c>
      <c r="D11">
        <f t="shared" si="1"/>
        <v>0.12143251289140755</v>
      </c>
      <c r="E11">
        <f t="shared" si="2"/>
        <v>1.4745855187121862E-2</v>
      </c>
    </row>
    <row r="12" spans="1:8" x14ac:dyDescent="0.25">
      <c r="A12">
        <v>0.91733561952499998</v>
      </c>
      <c r="B12">
        <v>1.3266249638538268</v>
      </c>
      <c r="C12">
        <f t="shared" si="0"/>
        <v>1.1439461916647984</v>
      </c>
      <c r="D12">
        <f t="shared" si="1"/>
        <v>0.18267877218902839</v>
      </c>
      <c r="E12">
        <f t="shared" si="2"/>
        <v>3.3371533808490936E-2</v>
      </c>
    </row>
    <row r="13" spans="1:8" x14ac:dyDescent="0.25">
      <c r="A13">
        <v>0.97313350887500016</v>
      </c>
      <c r="B13">
        <v>1.1937372340280614</v>
      </c>
      <c r="C13">
        <f t="shared" si="0"/>
        <v>1.1747422891043915</v>
      </c>
      <c r="D13">
        <f t="shared" si="1"/>
        <v>1.8994944923669932E-2</v>
      </c>
      <c r="E13">
        <f t="shared" si="2"/>
        <v>3.608079326532541E-4</v>
      </c>
    </row>
    <row r="14" spans="1:8" x14ac:dyDescent="0.25">
      <c r="A14">
        <v>1.0289313982250001</v>
      </c>
      <c r="B14">
        <v>1.1802232276051021</v>
      </c>
      <c r="C14">
        <f t="shared" si="0"/>
        <v>1.1766948249115812</v>
      </c>
      <c r="D14">
        <f t="shared" si="1"/>
        <v>3.5284026935209489E-3</v>
      </c>
      <c r="E14">
        <f t="shared" si="2"/>
        <v>1.2449625567645887E-5</v>
      </c>
    </row>
    <row r="15" spans="1:8" x14ac:dyDescent="0.25">
      <c r="A15">
        <v>1.0847292875750001</v>
      </c>
      <c r="B15">
        <v>1.0507139993850767</v>
      </c>
      <c r="C15">
        <f t="shared" si="0"/>
        <v>1.1490333114870077</v>
      </c>
      <c r="D15">
        <f t="shared" si="1"/>
        <v>-9.8319312101931011E-2</v>
      </c>
      <c r="E15">
        <f t="shared" si="2"/>
        <v>9.6666871321969185E-3</v>
      </c>
    </row>
    <row r="16" spans="1:8" x14ac:dyDescent="0.25">
      <c r="A16">
        <v>1.1405271769250001</v>
      </c>
      <c r="B16">
        <v>1.0326953241544645</v>
      </c>
      <c r="C16">
        <f t="shared" si="0"/>
        <v>1.0930610404181151</v>
      </c>
      <c r="D16">
        <f t="shared" si="1"/>
        <v>-6.0365716263650615E-2</v>
      </c>
      <c r="E16">
        <f t="shared" si="2"/>
        <v>3.6440197000235722E-3</v>
      </c>
    </row>
    <row r="17" spans="1:5" x14ac:dyDescent="0.25">
      <c r="A17">
        <v>1.196325066275</v>
      </c>
      <c r="B17">
        <v>0.86827491267512769</v>
      </c>
      <c r="C17">
        <f t="shared" si="0"/>
        <v>1.0121333990513133</v>
      </c>
      <c r="D17">
        <f t="shared" si="1"/>
        <v>-0.14385848637618559</v>
      </c>
      <c r="E17">
        <f t="shared" si="2"/>
        <v>2.0695264102447174E-2</v>
      </c>
    </row>
    <row r="18" spans="1:5" x14ac:dyDescent="0.25">
      <c r="A18">
        <v>1.252122955625</v>
      </c>
      <c r="B18">
        <v>0.79620021175267863</v>
      </c>
      <c r="C18">
        <f t="shared" si="0"/>
        <v>0.91138662808138904</v>
      </c>
      <c r="D18">
        <f t="shared" si="1"/>
        <v>-0.11518641632871041</v>
      </c>
      <c r="E18">
        <f t="shared" si="2"/>
        <v>1.3267910506651003E-2</v>
      </c>
    </row>
    <row r="19" spans="1:5" x14ac:dyDescent="0.25">
      <c r="A19">
        <v>1.3079208449749999</v>
      </c>
      <c r="B19">
        <v>0.67344798674413275</v>
      </c>
      <c r="C19">
        <f t="shared" si="0"/>
        <v>0.79723664273751471</v>
      </c>
      <c r="D19">
        <f t="shared" si="1"/>
        <v>-0.12378865599338196</v>
      </c>
      <c r="E19">
        <f t="shared" si="2"/>
        <v>1.532363135264786E-2</v>
      </c>
    </row>
    <row r="20" spans="1:5" x14ac:dyDescent="0.25">
      <c r="A20">
        <v>1.3637187343249999</v>
      </c>
      <c r="B20">
        <v>0.58560694499489807</v>
      </c>
      <c r="C20">
        <f t="shared" si="0"/>
        <v>0.67671086943417114</v>
      </c>
      <c r="D20">
        <f t="shared" si="1"/>
        <v>-9.1103924439273065E-2</v>
      </c>
      <c r="E20">
        <f t="shared" si="2"/>
        <v>8.2999250482367753E-3</v>
      </c>
    </row>
    <row r="21" spans="1:5" x14ac:dyDescent="0.25">
      <c r="A21">
        <v>1.4195166236750001</v>
      </c>
      <c r="B21">
        <v>0.475242559207398</v>
      </c>
      <c r="C21">
        <f t="shared" si="0"/>
        <v>0.55671085624830285</v>
      </c>
      <c r="D21">
        <f t="shared" si="1"/>
        <v>-8.1468297040904858E-2</v>
      </c>
      <c r="E21">
        <f t="shared" si="2"/>
        <v>6.6370834227451074E-3</v>
      </c>
    </row>
    <row r="22" spans="1:5" x14ac:dyDescent="0.25">
      <c r="A22">
        <v>1.4753145130250001</v>
      </c>
      <c r="B22">
        <v>0.38064451424668372</v>
      </c>
      <c r="C22">
        <f t="shared" si="0"/>
        <v>0.4433201178145964</v>
      </c>
      <c r="D22">
        <f t="shared" si="1"/>
        <v>-6.2675603567912685E-2</v>
      </c>
      <c r="E22">
        <f t="shared" si="2"/>
        <v>3.9282312826021491E-3</v>
      </c>
    </row>
    <row r="23" spans="1:5" x14ac:dyDescent="0.25">
      <c r="A23">
        <v>1.5311124023749998</v>
      </c>
      <c r="B23">
        <v>0.29730814130510208</v>
      </c>
      <c r="C23">
        <f t="shared" si="0"/>
        <v>0.34126448666883952</v>
      </c>
      <c r="D23">
        <f t="shared" si="1"/>
        <v>-4.3956345363737437E-2</v>
      </c>
      <c r="E23">
        <f t="shared" si="2"/>
        <v>1.9321602977361617E-3</v>
      </c>
    </row>
    <row r="24" spans="1:5" x14ac:dyDescent="0.25">
      <c r="A24">
        <v>1.586910291725</v>
      </c>
      <c r="B24">
        <v>0.23311661079604595</v>
      </c>
      <c r="C24">
        <f t="shared" si="0"/>
        <v>0.2536015331974607</v>
      </c>
      <c r="D24">
        <f t="shared" si="1"/>
        <v>-2.0484922401414751E-2</v>
      </c>
      <c r="E24">
        <f t="shared" si="2"/>
        <v>4.1963204579198389E-4</v>
      </c>
    </row>
    <row r="25" spans="1:5" x14ac:dyDescent="0.25">
      <c r="A25">
        <v>1.6427081810750002</v>
      </c>
      <c r="B25">
        <v>0.18131291950803574</v>
      </c>
      <c r="C25">
        <f t="shared" si="0"/>
        <v>0.18166845556423256</v>
      </c>
      <c r="D25">
        <f t="shared" si="1"/>
        <v>-3.5553605619681461E-4</v>
      </c>
      <c r="E25">
        <f t="shared" si="2"/>
        <v>1.2640588725598451E-7</v>
      </c>
    </row>
    <row r="26" spans="1:5" x14ac:dyDescent="0.25">
      <c r="A26">
        <v>1.6985060704250001</v>
      </c>
      <c r="B26">
        <v>0.16667274588316328</v>
      </c>
      <c r="C26">
        <f t="shared" si="0"/>
        <v>0.12526623571256681</v>
      </c>
      <c r="D26">
        <f t="shared" si="1"/>
        <v>4.1406510170596461E-2</v>
      </c>
      <c r="E26">
        <f t="shared" si="2"/>
        <v>1.7144990845077081E-3</v>
      </c>
    </row>
    <row r="27" spans="1:5" x14ac:dyDescent="0.25">
      <c r="A27">
        <v>1.7543039597750001</v>
      </c>
      <c r="B27">
        <v>9.234571055688777E-2</v>
      </c>
      <c r="C27">
        <f t="shared" si="0"/>
        <v>8.3015091551051481E-2</v>
      </c>
      <c r="D27">
        <f t="shared" si="1"/>
        <v>9.3306190058362881E-3</v>
      </c>
      <c r="E27">
        <f t="shared" si="2"/>
        <v>8.7060451032073367E-5</v>
      </c>
    </row>
    <row r="28" spans="1:5" x14ac:dyDescent="0.25">
      <c r="A28">
        <v>1.8101018491250001</v>
      </c>
      <c r="B28">
        <v>8.2210205739668377E-2</v>
      </c>
      <c r="C28">
        <f t="shared" si="0"/>
        <v>5.2792617395351654E-2</v>
      </c>
      <c r="D28">
        <f t="shared" si="1"/>
        <v>2.9417588344316722E-2</v>
      </c>
      <c r="E28">
        <f t="shared" si="2"/>
        <v>8.6539450399567908E-4</v>
      </c>
    </row>
    <row r="29" spans="1:5" x14ac:dyDescent="0.25">
      <c r="A29">
        <v>1.865899738475</v>
      </c>
      <c r="B29">
        <v>6.8696199316709186E-2</v>
      </c>
      <c r="C29">
        <f t="shared" si="0"/>
        <v>3.2165555728602108E-2</v>
      </c>
      <c r="D29">
        <f t="shared" si="1"/>
        <v>3.6530643588107078E-2</v>
      </c>
      <c r="E29">
        <f t="shared" si="2"/>
        <v>1.3344879209613088E-3</v>
      </c>
    </row>
    <row r="30" spans="1:5" x14ac:dyDescent="0.25">
      <c r="A30">
        <v>1.921697627825</v>
      </c>
      <c r="B30">
        <v>4.8425189682270414E-2</v>
      </c>
      <c r="C30">
        <f t="shared" si="0"/>
        <v>1.8745809059288642E-2</v>
      </c>
      <c r="D30">
        <f t="shared" si="1"/>
        <v>2.9679380622981772E-2</v>
      </c>
      <c r="E30">
        <f t="shared" si="2"/>
        <v>8.8086563416382593E-4</v>
      </c>
    </row>
    <row r="31" spans="1:5" x14ac:dyDescent="0.25">
      <c r="A31">
        <v>1.9774955171749999</v>
      </c>
      <c r="B31">
        <v>3.3785016057397962E-2</v>
      </c>
      <c r="C31">
        <f t="shared" si="0"/>
        <v>1.0432583911832757E-2</v>
      </c>
      <c r="D31">
        <f t="shared" si="1"/>
        <v>2.3352432145565205E-2</v>
      </c>
      <c r="E31">
        <f t="shared" si="2"/>
        <v>5.4533608711322711E-4</v>
      </c>
    </row>
    <row r="32" spans="1:5" x14ac:dyDescent="0.25">
      <c r="A32">
        <v>2.0332934065249999</v>
      </c>
      <c r="B32">
        <v>1.8018675230612246E-2</v>
      </c>
      <c r="C32">
        <f t="shared" si="0"/>
        <v>5.5350294137045467E-3</v>
      </c>
      <c r="D32">
        <f t="shared" si="1"/>
        <v>1.2483645816907699E-2</v>
      </c>
      <c r="E32">
        <f t="shared" si="2"/>
        <v>1.5584141288199711E-4</v>
      </c>
    </row>
    <row r="33" spans="1:5" x14ac:dyDescent="0.25">
      <c r="A33">
        <v>2.0890912958749999</v>
      </c>
      <c r="B33">
        <v>1.1261672019132654E-2</v>
      </c>
      <c r="C33">
        <f t="shared" si="0"/>
        <v>2.7947388148744424E-3</v>
      </c>
      <c r="D33">
        <f t="shared" si="1"/>
        <v>8.4669332042582122E-3</v>
      </c>
      <c r="E33">
        <f t="shared" si="2"/>
        <v>7.1688957885370234E-5</v>
      </c>
    </row>
    <row r="34" spans="1:5" x14ac:dyDescent="0.25">
      <c r="A34">
        <v>2.1448891852249998</v>
      </c>
      <c r="B34">
        <v>7.8831704133928582E-3</v>
      </c>
      <c r="C34">
        <f t="shared" si="0"/>
        <v>1.3405911503831258E-3</v>
      </c>
      <c r="D34">
        <f t="shared" si="1"/>
        <v>6.5425792630097327E-3</v>
      </c>
      <c r="E34">
        <f t="shared" si="2"/>
        <v>4.2805343412764975E-5</v>
      </c>
    </row>
    <row r="35" spans="1:5" x14ac:dyDescent="0.25">
      <c r="A35">
        <v>2.2006870745749998</v>
      </c>
      <c r="B35">
        <v>1.1261672019132654E-3</v>
      </c>
      <c r="C35">
        <f t="shared" si="0"/>
        <v>6.09837417818763E-4</v>
      </c>
      <c r="D35">
        <f t="shared" si="1"/>
        <v>5.1632978409450238E-4</v>
      </c>
      <c r="E35">
        <f t="shared" si="2"/>
        <v>2.6659644594307546E-7</v>
      </c>
    </row>
    <row r="36" spans="1:5" x14ac:dyDescent="0.25">
      <c r="A36">
        <v>2.2564849639250002</v>
      </c>
      <c r="B36">
        <v>0</v>
      </c>
      <c r="C36">
        <f t="shared" si="0"/>
        <v>2.6261032696391122E-4</v>
      </c>
      <c r="D36">
        <f t="shared" si="1"/>
        <v>-2.6261032696391122E-4</v>
      </c>
      <c r="E36">
        <f t="shared" si="2"/>
        <v>6.8964183828092361E-8</v>
      </c>
    </row>
    <row r="37" spans="1:5" x14ac:dyDescent="0.25">
      <c r="A37">
        <v>2.3122828532750002</v>
      </c>
      <c r="B37">
        <v>0</v>
      </c>
      <c r="C37">
        <f t="shared" si="0"/>
        <v>1.0685528695251707E-4</v>
      </c>
      <c r="D37">
        <f t="shared" si="1"/>
        <v>-1.0685528695251707E-4</v>
      </c>
      <c r="E37">
        <f t="shared" si="2"/>
        <v>1.1418052349704764E-8</v>
      </c>
    </row>
    <row r="38" spans="1:5" x14ac:dyDescent="0.25">
      <c r="A38">
        <v>2.3680807426250001</v>
      </c>
      <c r="B38">
        <v>0</v>
      </c>
      <c r="C38">
        <f t="shared" si="0"/>
        <v>4.100743514161419E-5</v>
      </c>
      <c r="D38">
        <f t="shared" si="1"/>
        <v>-4.100743514161419E-5</v>
      </c>
      <c r="E38">
        <f t="shared" si="2"/>
        <v>1.6816097368936945E-9</v>
      </c>
    </row>
    <row r="39" spans="1:5" x14ac:dyDescent="0.25">
      <c r="A39">
        <v>2.4238786319749996</v>
      </c>
      <c r="B39">
        <v>0</v>
      </c>
      <c r="C39">
        <f t="shared" si="0"/>
        <v>1.4814849198566239E-5</v>
      </c>
      <c r="D39">
        <f t="shared" si="1"/>
        <v>-1.4814849198566239E-5</v>
      </c>
      <c r="E39">
        <f t="shared" si="2"/>
        <v>2.1947975677625874E-10</v>
      </c>
    </row>
    <row r="40" spans="1:5" x14ac:dyDescent="0.25">
      <c r="A40">
        <v>2.4796765213249996</v>
      </c>
      <c r="B40">
        <v>1.1261672019132654E-3</v>
      </c>
      <c r="C40">
        <f t="shared" si="0"/>
        <v>5.0289304858741496E-6</v>
      </c>
      <c r="D40">
        <f t="shared" si="1"/>
        <v>1.1211382714273912E-3</v>
      </c>
      <c r="E40">
        <f t="shared" si="2"/>
        <v>1.2569510236591988E-6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2DF9-EFDD-40CA-B4C6-3C6B1B44F0E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0.37719174185000004</v>
      </c>
      <c r="B1">
        <v>1.1575778121478808E-2</v>
      </c>
      <c r="C1">
        <f>$H$3*(1+$H$1)*(A1^($H$1))*EXP(-$H$3*(A1^(1+$H$1)))</f>
        <v>0.12810511278109624</v>
      </c>
      <c r="D1">
        <f>B1-C1</f>
        <v>-0.11652933465961743</v>
      </c>
      <c r="E1">
        <f>D1^2</f>
        <v>1.3579085836213116E-2</v>
      </c>
      <c r="G1" t="s">
        <v>0</v>
      </c>
      <c r="H1">
        <v>3.1446490696585254</v>
      </c>
    </row>
    <row r="2" spans="1:8" x14ac:dyDescent="0.25">
      <c r="A2">
        <v>0.42604718554999998</v>
      </c>
      <c r="B2">
        <v>5.2734100331181234E-2</v>
      </c>
      <c r="C2">
        <f t="shared" ref="C2:C40" si="0">$H$3*(1+$H$1)*(A2^($H$1))*EXP(-$H$3*(A2^(1+$H$1)))</f>
        <v>0.18644041900158695</v>
      </c>
      <c r="D2">
        <f t="shared" ref="D2:D40" si="1">B2-C2</f>
        <v>-0.13370631867040572</v>
      </c>
      <c r="E2">
        <f t="shared" ref="E2:E40" si="2">D2^2</f>
        <v>1.7877379652392087E-2</v>
      </c>
    </row>
    <row r="3" spans="1:8" x14ac:dyDescent="0.25">
      <c r="A3">
        <v>0.47490262925000004</v>
      </c>
      <c r="B3">
        <v>0.12990595447437328</v>
      </c>
      <c r="C3">
        <f t="shared" si="0"/>
        <v>0.25940458226140012</v>
      </c>
      <c r="D3">
        <f t="shared" si="1"/>
        <v>-0.12949862778702684</v>
      </c>
      <c r="E3">
        <f t="shared" si="2"/>
        <v>1.6769894598722919E-2</v>
      </c>
      <c r="G3" t="s">
        <v>1</v>
      </c>
      <c r="H3">
        <f>(_xlfn.GAMMA((2+$H$1)/(1+$H$1)))^(1+$H$1)</f>
        <v>0.67106616606909852</v>
      </c>
    </row>
    <row r="4" spans="1:8" x14ac:dyDescent="0.25">
      <c r="A4">
        <v>0.52375807294999999</v>
      </c>
      <c r="B4">
        <v>0.25595331624158696</v>
      </c>
      <c r="C4">
        <f t="shared" si="0"/>
        <v>0.3475719628050068</v>
      </c>
      <c r="D4">
        <f t="shared" si="1"/>
        <v>-9.1618646563419837E-2</v>
      </c>
      <c r="E4">
        <f t="shared" si="2"/>
        <v>8.3939763981128422E-3</v>
      </c>
    </row>
    <row r="5" spans="1:8" x14ac:dyDescent="0.25">
      <c r="A5">
        <v>0.57261351665000004</v>
      </c>
      <c r="B5">
        <v>0.45016914916862028</v>
      </c>
      <c r="C5">
        <f t="shared" si="0"/>
        <v>0.45072114615131226</v>
      </c>
      <c r="D5">
        <f t="shared" si="1"/>
        <v>-5.5199698269198239E-4</v>
      </c>
      <c r="E5">
        <f t="shared" si="2"/>
        <v>3.047006689010527E-7</v>
      </c>
      <c r="G5" t="s">
        <v>2</v>
      </c>
      <c r="H5">
        <f>SUM(E1:E40)</f>
        <v>0.54113952456529546</v>
      </c>
    </row>
    <row r="6" spans="1:8" x14ac:dyDescent="0.25">
      <c r="A6">
        <v>0.6214689603500001</v>
      </c>
      <c r="B6">
        <v>0.64438498209565365</v>
      </c>
      <c r="C6">
        <f t="shared" si="0"/>
        <v>0.56760550727637193</v>
      </c>
      <c r="D6">
        <f t="shared" si="1"/>
        <v>7.6779474819281712E-2</v>
      </c>
      <c r="E6">
        <f t="shared" si="2"/>
        <v>5.8950877535247142E-3</v>
      </c>
    </row>
    <row r="7" spans="1:8" x14ac:dyDescent="0.25">
      <c r="A7">
        <v>0.67032440405000004</v>
      </c>
      <c r="B7">
        <v>0.8347422223155273</v>
      </c>
      <c r="C7">
        <f t="shared" si="0"/>
        <v>0.69573859045359776</v>
      </c>
      <c r="D7">
        <f t="shared" si="1"/>
        <v>0.13900363186192954</v>
      </c>
      <c r="E7">
        <f t="shared" si="2"/>
        <v>1.9322009670806835E-2</v>
      </c>
    </row>
    <row r="8" spans="1:8" x14ac:dyDescent="0.25">
      <c r="A8">
        <v>0.71917984774999999</v>
      </c>
      <c r="B8">
        <v>1.0546820066236247</v>
      </c>
      <c r="C8">
        <f t="shared" si="0"/>
        <v>0.8312327633480705</v>
      </c>
      <c r="D8">
        <f t="shared" si="1"/>
        <v>0.22344924327555415</v>
      </c>
      <c r="E8">
        <f t="shared" si="2"/>
        <v>4.9929564320417785E-2</v>
      </c>
    </row>
    <row r="9" spans="1:8" x14ac:dyDescent="0.25">
      <c r="A9">
        <v>0.76803529145000016</v>
      </c>
      <c r="B9">
        <v>1.216742900324328</v>
      </c>
      <c r="C9">
        <f t="shared" si="0"/>
        <v>0.96873950153869526</v>
      </c>
      <c r="D9">
        <f t="shared" si="1"/>
        <v>0.24800339878563271</v>
      </c>
      <c r="E9">
        <f t="shared" si="2"/>
        <v>6.1505685809225566E-2</v>
      </c>
    </row>
    <row r="10" spans="1:8" x14ac:dyDescent="0.25">
      <c r="A10">
        <v>0.8168907351500001</v>
      </c>
      <c r="B10">
        <v>1.3466488547987012</v>
      </c>
      <c r="C10">
        <f t="shared" si="0"/>
        <v>1.1015444219565531</v>
      </c>
      <c r="D10">
        <f t="shared" si="1"/>
        <v>0.24510443284214811</v>
      </c>
      <c r="E10">
        <f t="shared" si="2"/>
        <v>6.0076182998871096E-2</v>
      </c>
    </row>
    <row r="11" spans="1:8" x14ac:dyDescent="0.25">
      <c r="A11">
        <v>0.86574617885000005</v>
      </c>
      <c r="B11">
        <v>1.5099959460684578</v>
      </c>
      <c r="C11">
        <f t="shared" si="0"/>
        <v>1.2218654937194362</v>
      </c>
      <c r="D11">
        <f t="shared" si="1"/>
        <v>0.28813045234902157</v>
      </c>
      <c r="E11">
        <f t="shared" si="2"/>
        <v>8.3019157570851793E-2</v>
      </c>
    </row>
    <row r="12" spans="1:8" x14ac:dyDescent="0.25">
      <c r="A12">
        <v>0.91460162254999999</v>
      </c>
      <c r="B12">
        <v>1.4585480433063298</v>
      </c>
      <c r="C12">
        <f t="shared" si="0"/>
        <v>1.3213844852167989</v>
      </c>
      <c r="D12">
        <f t="shared" si="1"/>
        <v>0.13716355808953096</v>
      </c>
      <c r="E12">
        <f t="shared" si="2"/>
        <v>1.8813841667780135E-2</v>
      </c>
    </row>
    <row r="13" spans="1:8" x14ac:dyDescent="0.25">
      <c r="A13">
        <v>0.96345706624999994</v>
      </c>
      <c r="B13">
        <v>1.5318613047423622</v>
      </c>
      <c r="C13">
        <f t="shared" si="0"/>
        <v>1.3920071017671012</v>
      </c>
      <c r="D13">
        <f t="shared" si="1"/>
        <v>0.13985420297526097</v>
      </c>
      <c r="E13">
        <f t="shared" si="2"/>
        <v>1.9559198089845492E-2</v>
      </c>
    </row>
    <row r="14" spans="1:8" x14ac:dyDescent="0.25">
      <c r="A14">
        <v>1.0123125099499999</v>
      </c>
      <c r="B14">
        <v>1.4508308578920106</v>
      </c>
      <c r="C14">
        <f t="shared" si="0"/>
        <v>1.4267976106207805</v>
      </c>
      <c r="D14">
        <f t="shared" si="1"/>
        <v>2.4033247271230129E-2</v>
      </c>
      <c r="E14">
        <f t="shared" si="2"/>
        <v>5.7759697440009044E-4</v>
      </c>
    </row>
    <row r="15" spans="1:8" x14ac:dyDescent="0.25">
      <c r="A15">
        <v>1.0611679536500001</v>
      </c>
      <c r="B15">
        <v>1.3209249034176371</v>
      </c>
      <c r="C15">
        <f t="shared" si="0"/>
        <v>1.4209759182502641</v>
      </c>
      <c r="D15">
        <f t="shared" si="1"/>
        <v>-0.10005101483262702</v>
      </c>
      <c r="E15">
        <f t="shared" si="2"/>
        <v>1.0010205569038552E-2</v>
      </c>
    </row>
    <row r="16" spans="1:8" x14ac:dyDescent="0.25">
      <c r="A16">
        <v>1.11002339735</v>
      </c>
      <c r="B16">
        <v>1.2424668517053921</v>
      </c>
      <c r="C16">
        <f t="shared" si="0"/>
        <v>1.3728124703696876</v>
      </c>
      <c r="D16">
        <f t="shared" si="1"/>
        <v>-0.1303456186642955</v>
      </c>
      <c r="E16">
        <f t="shared" si="2"/>
        <v>1.698998030497794E-2</v>
      </c>
    </row>
    <row r="17" spans="1:5" x14ac:dyDescent="0.25">
      <c r="A17">
        <v>1.1588788410499999</v>
      </c>
      <c r="B17">
        <v>1.1485744291645084</v>
      </c>
      <c r="C17">
        <f t="shared" si="0"/>
        <v>1.2842274281584931</v>
      </c>
      <c r="D17">
        <f t="shared" si="1"/>
        <v>-0.13565299899398475</v>
      </c>
      <c r="E17">
        <f t="shared" si="2"/>
        <v>1.8401736136062028E-2</v>
      </c>
    </row>
    <row r="18" spans="1:5" x14ac:dyDescent="0.25">
      <c r="A18">
        <v>1.2077342847499999</v>
      </c>
      <c r="B18">
        <v>0.94664141082315578</v>
      </c>
      <c r="C18">
        <f t="shared" si="0"/>
        <v>1.160914112759569</v>
      </c>
      <c r="D18">
        <f t="shared" si="1"/>
        <v>-0.21427270193641323</v>
      </c>
      <c r="E18">
        <f t="shared" si="2"/>
        <v>4.5912790795130991E-2</v>
      </c>
    </row>
    <row r="19" spans="1:5" x14ac:dyDescent="0.25">
      <c r="A19">
        <v>1.2565897284500001</v>
      </c>
      <c r="B19">
        <v>0.85274898828227208</v>
      </c>
      <c r="C19">
        <f t="shared" si="0"/>
        <v>1.0118742781250982</v>
      </c>
      <c r="D19">
        <f t="shared" si="1"/>
        <v>-0.15912528984282615</v>
      </c>
      <c r="E19">
        <f t="shared" si="2"/>
        <v>2.532085786756343E-2</v>
      </c>
    </row>
    <row r="20" spans="1:5" x14ac:dyDescent="0.25">
      <c r="A20">
        <v>1.30544517215</v>
      </c>
      <c r="B20">
        <v>0.70869486054831365</v>
      </c>
      <c r="C20">
        <f t="shared" si="0"/>
        <v>0.84837053232697235</v>
      </c>
      <c r="D20">
        <f t="shared" si="1"/>
        <v>-0.13967567177865869</v>
      </c>
      <c r="E20">
        <f t="shared" si="2"/>
        <v>1.9509293286819593E-2</v>
      </c>
    </row>
    <row r="21" spans="1:5" x14ac:dyDescent="0.25">
      <c r="A21">
        <v>1.3543006158499999</v>
      </c>
      <c r="B21">
        <v>0.57750270850488716</v>
      </c>
      <c r="C21">
        <f t="shared" si="0"/>
        <v>0.6824450058091428</v>
      </c>
      <c r="D21">
        <f t="shared" si="1"/>
        <v>-0.10494229730425564</v>
      </c>
      <c r="E21">
        <f t="shared" si="2"/>
        <v>1.101288576349478E-2</v>
      </c>
    </row>
    <row r="22" spans="1:5" x14ac:dyDescent="0.25">
      <c r="A22">
        <v>1.4031560595500001</v>
      </c>
      <c r="B22">
        <v>0.4566001370138863</v>
      </c>
      <c r="C22">
        <f t="shared" si="0"/>
        <v>0.52528132782948456</v>
      </c>
      <c r="D22">
        <f t="shared" si="1"/>
        <v>-6.8681190815598259E-2</v>
      </c>
      <c r="E22">
        <f t="shared" si="2"/>
        <v>4.717105971848619E-3</v>
      </c>
    </row>
    <row r="23" spans="1:5" x14ac:dyDescent="0.25">
      <c r="A23">
        <v>1.4520115032500001</v>
      </c>
      <c r="B23">
        <v>0.32026319469424702</v>
      </c>
      <c r="C23">
        <f t="shared" si="0"/>
        <v>0.38575200785521602</v>
      </c>
      <c r="D23">
        <f t="shared" si="1"/>
        <v>-6.5488813160968995E-2</v>
      </c>
      <c r="E23">
        <f t="shared" si="2"/>
        <v>4.2887846492323054E-3</v>
      </c>
    </row>
    <row r="24" spans="1:5" x14ac:dyDescent="0.25">
      <c r="A24">
        <v>1.50086694695</v>
      </c>
      <c r="B24">
        <v>0.25981190894874656</v>
      </c>
      <c r="C24">
        <f t="shared" si="0"/>
        <v>0.2694624065867478</v>
      </c>
      <c r="D24">
        <f t="shared" si="1"/>
        <v>-9.6504976380012431E-3</v>
      </c>
      <c r="E24">
        <f t="shared" si="2"/>
        <v>9.3132104661067575E-5</v>
      </c>
    </row>
    <row r="25" spans="1:5" x14ac:dyDescent="0.25">
      <c r="A25">
        <v>1.5497223906499999</v>
      </c>
      <c r="B25">
        <v>0.21479499403188454</v>
      </c>
      <c r="C25">
        <f t="shared" si="0"/>
        <v>0.17847490068261024</v>
      </c>
      <c r="D25">
        <f t="shared" si="1"/>
        <v>3.6320093349274302E-2</v>
      </c>
      <c r="E25">
        <f t="shared" si="2"/>
        <v>1.3191491808999993E-3</v>
      </c>
    </row>
    <row r="26" spans="1:5" x14ac:dyDescent="0.25">
      <c r="A26">
        <v>1.5985778343499999</v>
      </c>
      <c r="B26">
        <v>0.14919891801017129</v>
      </c>
      <c r="C26">
        <f t="shared" si="0"/>
        <v>0.1117106913673126</v>
      </c>
      <c r="D26">
        <f t="shared" si="1"/>
        <v>3.7488226642858696E-2</v>
      </c>
      <c r="E26">
        <f t="shared" si="2"/>
        <v>1.4053671368263407E-3</v>
      </c>
    </row>
    <row r="27" spans="1:5" x14ac:dyDescent="0.25">
      <c r="A27">
        <v>1.6474332780499998</v>
      </c>
      <c r="B27">
        <v>0.11575778121478807</v>
      </c>
      <c r="C27">
        <f t="shared" si="0"/>
        <v>6.5846983997826347E-2</v>
      </c>
      <c r="D27">
        <f t="shared" si="1"/>
        <v>4.9910797216961719E-2</v>
      </c>
      <c r="E27">
        <f t="shared" si="2"/>
        <v>2.4910876788326736E-3</v>
      </c>
    </row>
    <row r="28" spans="1:5" x14ac:dyDescent="0.25">
      <c r="A28">
        <v>1.69628872175</v>
      </c>
      <c r="B28">
        <v>7.9744249281298446E-2</v>
      </c>
      <c r="C28">
        <f t="shared" si="0"/>
        <v>3.6418453599644608E-2</v>
      </c>
      <c r="D28">
        <f t="shared" si="1"/>
        <v>4.3325795681653838E-2</v>
      </c>
      <c r="E28">
        <f t="shared" si="2"/>
        <v>1.8771245714484144E-3</v>
      </c>
    </row>
    <row r="29" spans="1:5" x14ac:dyDescent="0.25">
      <c r="A29">
        <v>1.7451441654500002</v>
      </c>
      <c r="B29">
        <v>5.6592693038340837E-2</v>
      </c>
      <c r="C29">
        <f t="shared" si="0"/>
        <v>1.8828209829718019E-2</v>
      </c>
      <c r="D29">
        <f t="shared" si="1"/>
        <v>3.7764483208622815E-2</v>
      </c>
      <c r="E29">
        <f t="shared" si="2"/>
        <v>1.4261561920143545E-3</v>
      </c>
    </row>
    <row r="30" spans="1:5" x14ac:dyDescent="0.25">
      <c r="A30">
        <v>1.7939996091500001</v>
      </c>
      <c r="B30">
        <v>3.0868741657276818E-2</v>
      </c>
      <c r="C30">
        <f t="shared" si="0"/>
        <v>9.0634371518194985E-3</v>
      </c>
      <c r="D30">
        <f t="shared" si="1"/>
        <v>2.1805304505457319E-2</v>
      </c>
      <c r="E30">
        <f t="shared" si="2"/>
        <v>4.7547130457571728E-4</v>
      </c>
    </row>
    <row r="31" spans="1:5" x14ac:dyDescent="0.25">
      <c r="A31">
        <v>1.8428550528500001</v>
      </c>
      <c r="B31">
        <v>2.7010148950117215E-2</v>
      </c>
      <c r="C31">
        <f t="shared" si="0"/>
        <v>4.0458057104645001E-3</v>
      </c>
      <c r="D31">
        <f t="shared" si="1"/>
        <v>2.2964343239652716E-2</v>
      </c>
      <c r="E31">
        <f t="shared" si="2"/>
        <v>5.2736106042858342E-4</v>
      </c>
    </row>
    <row r="32" spans="1:5" x14ac:dyDescent="0.25">
      <c r="A32">
        <v>1.89171049655</v>
      </c>
      <c r="B32">
        <v>7.7171854143192045E-3</v>
      </c>
      <c r="C32">
        <f t="shared" si="0"/>
        <v>1.6676880505732629E-3</v>
      </c>
      <c r="D32">
        <f t="shared" si="1"/>
        <v>6.0494973637459414E-3</v>
      </c>
      <c r="E32">
        <f t="shared" si="2"/>
        <v>3.6596418353969095E-5</v>
      </c>
    </row>
    <row r="33" spans="1:5" x14ac:dyDescent="0.25">
      <c r="A33">
        <v>1.94056594025</v>
      </c>
      <c r="B33">
        <v>2.5723951381064016E-3</v>
      </c>
      <c r="C33">
        <f t="shared" si="0"/>
        <v>6.3201839477302409E-4</v>
      </c>
      <c r="D33">
        <f t="shared" si="1"/>
        <v>1.9403767433333777E-3</v>
      </c>
      <c r="E33">
        <f t="shared" si="2"/>
        <v>3.7650619060690445E-6</v>
      </c>
    </row>
    <row r="34" spans="1:5" x14ac:dyDescent="0.25">
      <c r="A34">
        <v>1.9894213839499999</v>
      </c>
      <c r="B34">
        <v>0</v>
      </c>
      <c r="C34">
        <f t="shared" si="0"/>
        <v>2.1922759973943848E-4</v>
      </c>
      <c r="D34">
        <f t="shared" si="1"/>
        <v>-2.1922759973943848E-4</v>
      </c>
      <c r="E34">
        <f t="shared" si="2"/>
        <v>4.806074048751545E-8</v>
      </c>
    </row>
    <row r="35" spans="1:5" x14ac:dyDescent="0.25">
      <c r="A35">
        <v>2.0382768276499998</v>
      </c>
      <c r="B35">
        <v>0</v>
      </c>
      <c r="C35">
        <f t="shared" si="0"/>
        <v>6.9277958353062863E-5</v>
      </c>
      <c r="D35">
        <f t="shared" si="1"/>
        <v>-6.9277958353062863E-5</v>
      </c>
      <c r="E35">
        <f t="shared" si="2"/>
        <v>4.7994355135687129E-9</v>
      </c>
    </row>
    <row r="36" spans="1:5" x14ac:dyDescent="0.25">
      <c r="A36">
        <v>2.0871322713499998</v>
      </c>
      <c r="B36">
        <v>0</v>
      </c>
      <c r="C36">
        <f t="shared" si="0"/>
        <v>1.9849580746326662E-5</v>
      </c>
      <c r="D36">
        <f t="shared" si="1"/>
        <v>-1.9849580746326662E-5</v>
      </c>
      <c r="E36">
        <f t="shared" si="2"/>
        <v>3.9400585580494213E-10</v>
      </c>
    </row>
    <row r="37" spans="1:5" x14ac:dyDescent="0.25">
      <c r="A37">
        <v>2.1359877150499997</v>
      </c>
      <c r="B37">
        <v>0</v>
      </c>
      <c r="C37">
        <f t="shared" si="0"/>
        <v>5.1312653182975645E-6</v>
      </c>
      <c r="D37">
        <f t="shared" si="1"/>
        <v>-5.1312653182975645E-6</v>
      </c>
      <c r="E37">
        <f t="shared" si="2"/>
        <v>2.6329883766763407E-11</v>
      </c>
    </row>
    <row r="38" spans="1:5" x14ac:dyDescent="0.25">
      <c r="A38">
        <v>2.1848431587499997</v>
      </c>
      <c r="B38">
        <v>0</v>
      </c>
      <c r="C38">
        <f t="shared" si="0"/>
        <v>1.1907302676511673E-6</v>
      </c>
      <c r="D38">
        <f t="shared" si="1"/>
        <v>-1.1907302676511673E-6</v>
      </c>
      <c r="E38">
        <f t="shared" si="2"/>
        <v>1.4178385703006205E-12</v>
      </c>
    </row>
    <row r="39" spans="1:5" x14ac:dyDescent="0.25">
      <c r="A39">
        <v>2.2336986024499996</v>
      </c>
      <c r="B39">
        <v>0</v>
      </c>
      <c r="C39">
        <f t="shared" si="0"/>
        <v>2.4674904814139251E-7</v>
      </c>
      <c r="D39">
        <f t="shared" si="1"/>
        <v>-2.4674904814139251E-7</v>
      </c>
      <c r="E39">
        <f t="shared" si="2"/>
        <v>6.0885092758683233E-14</v>
      </c>
    </row>
    <row r="40" spans="1:5" x14ac:dyDescent="0.25">
      <c r="A40">
        <v>2.2825540461499996</v>
      </c>
      <c r="B40">
        <v>1.2861975690532008E-3</v>
      </c>
      <c r="C40">
        <f t="shared" si="0"/>
        <v>4.5417852581279235E-8</v>
      </c>
      <c r="D40">
        <f t="shared" si="1"/>
        <v>1.2861521512006196E-3</v>
      </c>
      <c r="E40">
        <f t="shared" si="2"/>
        <v>1.6541873560379814E-6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7F68-C241-467E-A6C9-D1630F5F73C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0.42993983893749999</v>
      </c>
      <c r="B1">
        <v>9.8344972031450002E-3</v>
      </c>
      <c r="C1">
        <f>$H$3*(1+$H$1)*(A1^($H$1))*EXP(-$H$3*(A1^(1+$H$1)))</f>
        <v>0.12858789133611814</v>
      </c>
      <c r="D1">
        <f>B1-C1</f>
        <v>-0.11875339413297314</v>
      </c>
      <c r="E1">
        <f>D1^2</f>
        <v>1.410236861810126E-2</v>
      </c>
      <c r="G1" t="s">
        <v>0</v>
      </c>
      <c r="H1">
        <v>3.7688175686980876</v>
      </c>
    </row>
    <row r="2" spans="1:8" x14ac:dyDescent="0.25">
      <c r="A2">
        <v>0.4746665048125</v>
      </c>
      <c r="B2">
        <v>3.7933060640702149E-2</v>
      </c>
      <c r="C2">
        <f t="shared" ref="C2:C40" si="0">$H$3*(1+$H$1)*(A2^($H$1))*EXP(-$H$3*(A2^(1+$H$1)))</f>
        <v>0.18540215832303725</v>
      </c>
      <c r="D2">
        <f t="shared" ref="D2:D40" si="1">B2-C2</f>
        <v>-0.1474690976823351</v>
      </c>
      <c r="E2">
        <f t="shared" ref="E2:E40" si="2">D2^2</f>
        <v>2.1747134771242092E-2</v>
      </c>
    </row>
    <row r="3" spans="1:8" x14ac:dyDescent="0.25">
      <c r="A3">
        <v>0.51939317068750002</v>
      </c>
      <c r="B3">
        <v>0.10958439740647287</v>
      </c>
      <c r="C3">
        <f t="shared" si="0"/>
        <v>0.25770568207193129</v>
      </c>
      <c r="D3">
        <f t="shared" si="1"/>
        <v>-0.14812128466545843</v>
      </c>
      <c r="E3">
        <f t="shared" si="2"/>
        <v>2.193991497094577E-2</v>
      </c>
      <c r="G3" t="s">
        <v>1</v>
      </c>
      <c r="H3">
        <f>(_xlfn.GAMMA((2+$H$1)/(1+$H$1)))^(1+$H$1)</f>
        <v>0.65690580748867866</v>
      </c>
    </row>
    <row r="4" spans="1:8" x14ac:dyDescent="0.25">
      <c r="A4">
        <v>0.56411983656249998</v>
      </c>
      <c r="B4">
        <v>0.23743286104735786</v>
      </c>
      <c r="C4">
        <f t="shared" si="0"/>
        <v>0.34695500707853011</v>
      </c>
      <c r="D4">
        <f t="shared" si="1"/>
        <v>-0.10952214603117225</v>
      </c>
      <c r="E4">
        <f t="shared" si="2"/>
        <v>1.1995100471273418E-2</v>
      </c>
    </row>
    <row r="5" spans="1:8" x14ac:dyDescent="0.25">
      <c r="A5">
        <v>0.60884650243750005</v>
      </c>
      <c r="B5">
        <v>0.41164395436021217</v>
      </c>
      <c r="C5">
        <f t="shared" si="0"/>
        <v>0.45393463264502004</v>
      </c>
      <c r="D5">
        <f t="shared" si="1"/>
        <v>-4.229067828480787E-2</v>
      </c>
      <c r="E5">
        <f t="shared" si="2"/>
        <v>1.78850146978912E-3</v>
      </c>
      <c r="G5" t="s">
        <v>2</v>
      </c>
      <c r="H5">
        <f>SUM(E1:E40)</f>
        <v>0.77764198814253715</v>
      </c>
    </row>
    <row r="6" spans="1:8" x14ac:dyDescent="0.25">
      <c r="A6">
        <v>0.65357316831250001</v>
      </c>
      <c r="B6">
        <v>0.65610145626695937</v>
      </c>
      <c r="C6">
        <f t="shared" si="0"/>
        <v>0.5784348224450363</v>
      </c>
      <c r="D6">
        <f t="shared" si="1"/>
        <v>7.766663382192307E-2</v>
      </c>
      <c r="E6">
        <f t="shared" si="2"/>
        <v>6.0321060092286844E-3</v>
      </c>
    </row>
    <row r="7" spans="1:8" x14ac:dyDescent="0.25">
      <c r="A7">
        <v>0.69829983418749997</v>
      </c>
      <c r="B7">
        <v>0.84155197495483647</v>
      </c>
      <c r="C7">
        <f t="shared" si="0"/>
        <v>0.71889688500565241</v>
      </c>
      <c r="D7">
        <f t="shared" si="1"/>
        <v>0.12265508994918406</v>
      </c>
      <c r="E7">
        <f t="shared" si="2"/>
        <v>1.5044271090442433E-2</v>
      </c>
    </row>
    <row r="8" spans="1:8" x14ac:dyDescent="0.25">
      <c r="A8">
        <v>0.74302650006250004</v>
      </c>
      <c r="B8">
        <v>1.0944390458928508</v>
      </c>
      <c r="C8">
        <f t="shared" si="0"/>
        <v>0.87206464131094441</v>
      </c>
      <c r="D8">
        <f t="shared" si="1"/>
        <v>0.22237440458190638</v>
      </c>
      <c r="E8">
        <f t="shared" si="2"/>
        <v>4.9450375813157386E-2</v>
      </c>
    </row>
    <row r="9" spans="1:8" x14ac:dyDescent="0.25">
      <c r="A9">
        <v>0.7877531659375</v>
      </c>
      <c r="B9">
        <v>1.368400039409033</v>
      </c>
      <c r="C9">
        <f t="shared" si="0"/>
        <v>1.032703585356797</v>
      </c>
      <c r="D9">
        <f t="shared" si="1"/>
        <v>0.33569645405223603</v>
      </c>
      <c r="E9">
        <f t="shared" si="2"/>
        <v>0.11269210926324501</v>
      </c>
    </row>
    <row r="10" spans="1:8" x14ac:dyDescent="0.25">
      <c r="A10">
        <v>0.83247983181249996</v>
      </c>
      <c r="B10">
        <v>1.5313717073468645</v>
      </c>
      <c r="C10">
        <f t="shared" si="0"/>
        <v>1.1934718032312237</v>
      </c>
      <c r="D10">
        <f t="shared" si="1"/>
        <v>0.33789990411564075</v>
      </c>
      <c r="E10">
        <f t="shared" si="2"/>
        <v>0.11417634520135921</v>
      </c>
    </row>
    <row r="11" spans="1:8" x14ac:dyDescent="0.25">
      <c r="A11">
        <v>0.87720649768750003</v>
      </c>
      <c r="B11">
        <v>1.6578152428158714</v>
      </c>
      <c r="C11">
        <f t="shared" si="0"/>
        <v>1.3450419836297309</v>
      </c>
      <c r="D11">
        <f t="shared" si="1"/>
        <v>0.31277325918614052</v>
      </c>
      <c r="E11">
        <f t="shared" si="2"/>
        <v>9.7827111661920638E-2</v>
      </c>
    </row>
    <row r="12" spans="1:8" x14ac:dyDescent="0.25">
      <c r="A12">
        <v>0.92193316356249988</v>
      </c>
      <c r="B12">
        <v>1.6676497400190164</v>
      </c>
      <c r="C12">
        <f t="shared" si="0"/>
        <v>1.4765717186153779</v>
      </c>
      <c r="D12">
        <f t="shared" si="1"/>
        <v>0.1910780214036385</v>
      </c>
      <c r="E12">
        <f t="shared" si="2"/>
        <v>3.6510810263529335E-2</v>
      </c>
    </row>
    <row r="13" spans="1:8" x14ac:dyDescent="0.25">
      <c r="A13">
        <v>0.96665982943749995</v>
      </c>
      <c r="B13">
        <v>1.7407060049566652</v>
      </c>
      <c r="C13">
        <f t="shared" si="0"/>
        <v>1.5765882824342636</v>
      </c>
      <c r="D13">
        <f t="shared" si="1"/>
        <v>0.16411772252240153</v>
      </c>
      <c r="E13">
        <f t="shared" si="2"/>
        <v>2.6934626845939984E-2</v>
      </c>
    </row>
    <row r="14" spans="1:8" x14ac:dyDescent="0.25">
      <c r="A14">
        <v>1.0113864953125</v>
      </c>
      <c r="B14">
        <v>1.6634349555033829</v>
      </c>
      <c r="C14">
        <f t="shared" si="0"/>
        <v>1.6342852791524021</v>
      </c>
      <c r="D14">
        <f t="shared" si="1"/>
        <v>2.9149676350980869E-2</v>
      </c>
      <c r="E14">
        <f t="shared" si="2"/>
        <v>8.4970363136693328E-4</v>
      </c>
    </row>
    <row r="15" spans="1:8" x14ac:dyDescent="0.25">
      <c r="A15">
        <v>1.0561131611875001</v>
      </c>
      <c r="B15">
        <v>1.545420989065643</v>
      </c>
      <c r="C15">
        <f t="shared" si="0"/>
        <v>1.641121801088874</v>
      </c>
      <c r="D15">
        <f t="shared" si="1"/>
        <v>-9.5700812023230997E-2</v>
      </c>
      <c r="E15">
        <f t="shared" si="2"/>
        <v>9.158645421905795E-3</v>
      </c>
    </row>
    <row r="16" spans="1:8" x14ac:dyDescent="0.25">
      <c r="A16">
        <v>1.1008398270624999</v>
      </c>
      <c r="B16">
        <v>1.4288119507997807</v>
      </c>
      <c r="C16">
        <f t="shared" si="0"/>
        <v>1.5924855581745743</v>
      </c>
      <c r="D16">
        <f t="shared" si="1"/>
        <v>-0.16367360737479353</v>
      </c>
      <c r="E16">
        <f t="shared" si="2"/>
        <v>2.6789049751078067E-2</v>
      </c>
    </row>
    <row r="17" spans="1:5" x14ac:dyDescent="0.25">
      <c r="A17">
        <v>1.1455664929375</v>
      </c>
      <c r="B17">
        <v>1.2812944927526058</v>
      </c>
      <c r="C17">
        <f t="shared" si="0"/>
        <v>1.4890652308002272</v>
      </c>
      <c r="D17">
        <f t="shared" si="1"/>
        <v>-0.20777073804762147</v>
      </c>
      <c r="E17">
        <f t="shared" si="2"/>
        <v>4.3168679588853343E-2</v>
      </c>
    </row>
    <row r="18" spans="1:5" x14ac:dyDescent="0.25">
      <c r="A18">
        <v>1.1902931588125001</v>
      </c>
      <c r="B18">
        <v>1.0775799078303165</v>
      </c>
      <c r="C18">
        <f t="shared" si="0"/>
        <v>1.3375257876588913</v>
      </c>
      <c r="D18">
        <f t="shared" si="1"/>
        <v>-0.25994587982857476</v>
      </c>
      <c r="E18">
        <f t="shared" si="2"/>
        <v>6.7571860439851833E-2</v>
      </c>
    </row>
    <row r="19" spans="1:5" x14ac:dyDescent="0.25">
      <c r="A19">
        <v>1.2350198246874999</v>
      </c>
      <c r="B19">
        <v>0.93427723429877507</v>
      </c>
      <c r="C19">
        <f t="shared" si="0"/>
        <v>1.1501461158929136</v>
      </c>
      <c r="D19">
        <f t="shared" si="1"/>
        <v>-0.21586888159413853</v>
      </c>
      <c r="E19">
        <f t="shared" si="2"/>
        <v>4.6599374040704203E-2</v>
      </c>
    </row>
    <row r="20" spans="1:5" x14ac:dyDescent="0.25">
      <c r="A20">
        <v>1.2797464905625</v>
      </c>
      <c r="B20">
        <v>0.82750269323605796</v>
      </c>
      <c r="C20">
        <f t="shared" si="0"/>
        <v>0.94328713194498881</v>
      </c>
      <c r="D20">
        <f t="shared" si="1"/>
        <v>-0.11578443870893085</v>
      </c>
      <c r="E20">
        <f t="shared" si="2"/>
        <v>1.3406036247142164E-2</v>
      </c>
    </row>
    <row r="21" spans="1:5" x14ac:dyDescent="0.25">
      <c r="A21">
        <v>1.3244731564375001</v>
      </c>
      <c r="B21">
        <v>0.59990432939184501</v>
      </c>
      <c r="C21">
        <f t="shared" si="0"/>
        <v>0.73488148324593483</v>
      </c>
      <c r="D21">
        <f t="shared" si="1"/>
        <v>-0.13497715385408982</v>
      </c>
      <c r="E21">
        <f t="shared" si="2"/>
        <v>1.8218832062550632E-2</v>
      </c>
    </row>
    <row r="22" spans="1:5" x14ac:dyDescent="0.25">
      <c r="A22">
        <v>1.3691998223124999</v>
      </c>
      <c r="B22">
        <v>0.4664361530634486</v>
      </c>
      <c r="C22">
        <f t="shared" si="0"/>
        <v>0.54147632802470469</v>
      </c>
      <c r="D22">
        <f t="shared" si="1"/>
        <v>-7.504017496125609E-2</v>
      </c>
      <c r="E22">
        <f t="shared" si="2"/>
        <v>5.6310278582159257E-3</v>
      </c>
    </row>
    <row r="23" spans="1:5" x14ac:dyDescent="0.25">
      <c r="A23">
        <v>1.4139264881875</v>
      </c>
      <c r="B23">
        <v>0.32594333587566288</v>
      </c>
      <c r="C23">
        <f t="shared" si="0"/>
        <v>0.37557713806416765</v>
      </c>
      <c r="D23">
        <f t="shared" si="1"/>
        <v>-4.9633802188504772E-2</v>
      </c>
      <c r="E23">
        <f t="shared" si="2"/>
        <v>2.463514319687621E-3</v>
      </c>
    </row>
    <row r="24" spans="1:5" x14ac:dyDescent="0.25">
      <c r="A24">
        <v>1.4586531540624998</v>
      </c>
      <c r="B24">
        <v>0.26272156814115932</v>
      </c>
      <c r="C24">
        <f t="shared" si="0"/>
        <v>0.2440090169373835</v>
      </c>
      <c r="D24">
        <f t="shared" si="1"/>
        <v>1.8712551203775823E-2</v>
      </c>
      <c r="E24">
        <f t="shared" si="2"/>
        <v>3.5015957255393201E-4</v>
      </c>
    </row>
    <row r="25" spans="1:5" x14ac:dyDescent="0.25">
      <c r="A25">
        <v>1.5033798199374999</v>
      </c>
      <c r="B25">
        <v>0.21495401029731215</v>
      </c>
      <c r="C25">
        <f t="shared" si="0"/>
        <v>0.14770261562824152</v>
      </c>
      <c r="D25">
        <f t="shared" si="1"/>
        <v>6.7251394669070624E-2</v>
      </c>
      <c r="E25">
        <f t="shared" si="2"/>
        <v>4.5227500849351005E-3</v>
      </c>
    </row>
    <row r="26" spans="1:5" x14ac:dyDescent="0.25">
      <c r="A26">
        <v>1.5481064858125</v>
      </c>
      <c r="B26">
        <v>0.13346817632839644</v>
      </c>
      <c r="C26">
        <f t="shared" si="0"/>
        <v>8.2830745271529921E-2</v>
      </c>
      <c r="D26">
        <f t="shared" si="1"/>
        <v>5.0637431056866522E-2</v>
      </c>
      <c r="E26">
        <f t="shared" si="2"/>
        <v>2.5641494240389103E-3</v>
      </c>
    </row>
    <row r="27" spans="1:5" x14ac:dyDescent="0.25">
      <c r="A27">
        <v>1.5928331516875001</v>
      </c>
      <c r="B27">
        <v>9.1320331172060717E-2</v>
      </c>
      <c r="C27">
        <f t="shared" si="0"/>
        <v>4.2777589214071834E-2</v>
      </c>
      <c r="D27">
        <f t="shared" si="1"/>
        <v>4.8542741957988883E-2</v>
      </c>
      <c r="E27">
        <f t="shared" si="2"/>
        <v>2.3563977967998944E-3</v>
      </c>
    </row>
    <row r="28" spans="1:5" x14ac:dyDescent="0.25">
      <c r="A28">
        <v>1.6375598175625001</v>
      </c>
      <c r="B28">
        <v>6.7436552250137144E-2</v>
      </c>
      <c r="C28">
        <f t="shared" si="0"/>
        <v>2.0216929359586903E-2</v>
      </c>
      <c r="D28">
        <f t="shared" si="1"/>
        <v>4.721962289055024E-2</v>
      </c>
      <c r="E28">
        <f t="shared" si="2"/>
        <v>2.2296927859257764E-3</v>
      </c>
    </row>
    <row r="29" spans="1:5" x14ac:dyDescent="0.25">
      <c r="A29">
        <v>1.6822864834375</v>
      </c>
      <c r="B29">
        <v>4.2147845156335718E-2</v>
      </c>
      <c r="C29">
        <f t="shared" si="0"/>
        <v>8.6854269349401301E-3</v>
      </c>
      <c r="D29">
        <f t="shared" si="1"/>
        <v>3.346241822139559E-2</v>
      </c>
      <c r="E29">
        <f t="shared" si="2"/>
        <v>1.1197334332235876E-3</v>
      </c>
    </row>
    <row r="30" spans="1:5" x14ac:dyDescent="0.25">
      <c r="A30">
        <v>1.7270131493125001</v>
      </c>
      <c r="B30">
        <v>2.2478850750045715E-2</v>
      </c>
      <c r="C30">
        <f t="shared" si="0"/>
        <v>3.3681767034363505E-3</v>
      </c>
      <c r="D30">
        <f t="shared" si="1"/>
        <v>1.9110674046609363E-2</v>
      </c>
      <c r="E30">
        <f t="shared" si="2"/>
        <v>3.6521786251574869E-4</v>
      </c>
    </row>
    <row r="31" spans="1:5" x14ac:dyDescent="0.25">
      <c r="A31">
        <v>1.7717398151874999</v>
      </c>
      <c r="B31">
        <v>7.0246408593892858E-3</v>
      </c>
      <c r="C31">
        <f t="shared" si="0"/>
        <v>1.1703670589497124E-3</v>
      </c>
      <c r="D31">
        <f t="shared" si="1"/>
        <v>5.8542738004395732E-3</v>
      </c>
      <c r="E31">
        <f t="shared" si="2"/>
        <v>3.4272521730513203E-5</v>
      </c>
    </row>
    <row r="32" spans="1:5" x14ac:dyDescent="0.25">
      <c r="A32">
        <v>1.8164664810625002</v>
      </c>
      <c r="B32">
        <v>0</v>
      </c>
      <c r="C32">
        <f t="shared" si="0"/>
        <v>3.6158570858596127E-4</v>
      </c>
      <c r="D32">
        <f t="shared" si="1"/>
        <v>-3.6158570858596127E-4</v>
      </c>
      <c r="E32">
        <f t="shared" si="2"/>
        <v>1.3074422465361172E-7</v>
      </c>
    </row>
    <row r="33" spans="1:5" x14ac:dyDescent="0.25">
      <c r="A33">
        <v>1.8611931469375</v>
      </c>
      <c r="B33">
        <v>0</v>
      </c>
      <c r="C33">
        <f t="shared" si="0"/>
        <v>9.8523718920939739E-5</v>
      </c>
      <c r="D33">
        <f t="shared" si="1"/>
        <v>-9.8523718920939739E-5</v>
      </c>
      <c r="E33">
        <f t="shared" si="2"/>
        <v>9.7069231900123392E-9</v>
      </c>
    </row>
    <row r="34" spans="1:5" x14ac:dyDescent="0.25">
      <c r="A34">
        <v>1.9059198128124999</v>
      </c>
      <c r="B34">
        <v>0</v>
      </c>
      <c r="C34">
        <f t="shared" si="0"/>
        <v>2.3476129874079681E-5</v>
      </c>
      <c r="D34">
        <f t="shared" si="1"/>
        <v>-2.3476129874079681E-5</v>
      </c>
      <c r="E34">
        <f t="shared" si="2"/>
        <v>5.5112867386465649E-10</v>
      </c>
    </row>
    <row r="35" spans="1:5" x14ac:dyDescent="0.25">
      <c r="A35">
        <v>1.9506464786875</v>
      </c>
      <c r="B35">
        <v>0</v>
      </c>
      <c r="C35">
        <f t="shared" si="0"/>
        <v>4.8486281038462999E-6</v>
      </c>
      <c r="D35">
        <f t="shared" si="1"/>
        <v>-4.8486281038462999E-6</v>
      </c>
      <c r="E35">
        <f t="shared" si="2"/>
        <v>2.3509194489408164E-11</v>
      </c>
    </row>
    <row r="36" spans="1:5" x14ac:dyDescent="0.25">
      <c r="A36">
        <v>1.9953731445625</v>
      </c>
      <c r="B36">
        <v>0</v>
      </c>
      <c r="C36">
        <f t="shared" si="0"/>
        <v>8.6000389958119513E-7</v>
      </c>
      <c r="D36">
        <f t="shared" si="1"/>
        <v>-8.6000389958119513E-7</v>
      </c>
      <c r="E36">
        <f t="shared" si="2"/>
        <v>7.3960670729486233E-13</v>
      </c>
    </row>
    <row r="37" spans="1:5" x14ac:dyDescent="0.25">
      <c r="A37">
        <v>2.0400998104374999</v>
      </c>
      <c r="B37">
        <v>0</v>
      </c>
      <c r="C37">
        <f t="shared" si="0"/>
        <v>1.2974270919599331E-7</v>
      </c>
      <c r="D37">
        <f t="shared" si="1"/>
        <v>-1.2974270919599331E-7</v>
      </c>
      <c r="E37">
        <f t="shared" si="2"/>
        <v>1.6833170589516089E-14</v>
      </c>
    </row>
    <row r="38" spans="1:5" x14ac:dyDescent="0.25">
      <c r="A38">
        <v>2.0848264763125002</v>
      </c>
      <c r="B38">
        <v>0</v>
      </c>
      <c r="C38">
        <f t="shared" si="0"/>
        <v>1.6481810359120454E-8</v>
      </c>
      <c r="D38">
        <f t="shared" si="1"/>
        <v>-1.6481810359120454E-8</v>
      </c>
      <c r="E38">
        <f t="shared" si="2"/>
        <v>2.716500727140103E-16</v>
      </c>
    </row>
    <row r="39" spans="1:5" x14ac:dyDescent="0.25">
      <c r="A39">
        <v>2.1295531421874996</v>
      </c>
      <c r="B39">
        <v>0</v>
      </c>
      <c r="C39">
        <f t="shared" si="0"/>
        <v>1.7447312904989313E-9</v>
      </c>
      <c r="D39">
        <f t="shared" si="1"/>
        <v>-1.7447312904989313E-9</v>
      </c>
      <c r="E39">
        <f t="shared" si="2"/>
        <v>3.0440872760460666E-18</v>
      </c>
    </row>
    <row r="40" spans="1:5" x14ac:dyDescent="0.25">
      <c r="A40">
        <v>2.1742798080624999</v>
      </c>
      <c r="B40">
        <v>1.4049281718778572E-3</v>
      </c>
      <c r="C40">
        <f t="shared" si="0"/>
        <v>1.5224298209858981E-10</v>
      </c>
      <c r="D40">
        <f t="shared" si="1"/>
        <v>1.4049280196348751E-3</v>
      </c>
      <c r="E40">
        <f t="shared" si="2"/>
        <v>1.9738227403551719E-6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4548-F4BD-4EE3-B8CB-901E857C7C0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0.51424104322499997</v>
      </c>
      <c r="B1">
        <v>1.2727493027839749E-2</v>
      </c>
      <c r="C1">
        <f>$H$3*(1+$H$1)*(A1^($H$1))*EXP(-$H$3*(A1^(1+$H$1)))</f>
        <v>0.14836428556287365</v>
      </c>
      <c r="D1">
        <f>B1-C1</f>
        <v>-0.13563679253503391</v>
      </c>
      <c r="E1">
        <f>D1^2</f>
        <v>1.8397339489191832E-2</v>
      </c>
      <c r="G1" t="s">
        <v>0</v>
      </c>
      <c r="H1">
        <v>4.8277805940743912</v>
      </c>
    </row>
    <row r="2" spans="1:8" x14ac:dyDescent="0.25">
      <c r="A2">
        <v>0.55373837567500006</v>
      </c>
      <c r="B2">
        <v>4.4546225597439121E-2</v>
      </c>
      <c r="C2">
        <f t="shared" ref="C2:C40" si="0">$H$3*(1+$H$1)*(A2^($H$1))*EXP(-$H$3*(A2^(1+$H$1)))</f>
        <v>0.21056077036612084</v>
      </c>
      <c r="D2">
        <f t="shared" ref="D2:D40" si="1">B2-C2</f>
        <v>-0.16601454476868172</v>
      </c>
      <c r="E2">
        <f t="shared" ref="E2:E40" si="2">D2^2</f>
        <v>2.7560829074752626E-2</v>
      </c>
    </row>
    <row r="3" spans="1:8" x14ac:dyDescent="0.25">
      <c r="A3">
        <v>0.59323570812499993</v>
      </c>
      <c r="B3">
        <v>0.12091118376447761</v>
      </c>
      <c r="C3">
        <f t="shared" si="0"/>
        <v>0.29070712663246667</v>
      </c>
      <c r="D3">
        <f t="shared" si="1"/>
        <v>-0.16979594286798905</v>
      </c>
      <c r="E3">
        <f t="shared" si="2"/>
        <v>2.8830662214429401E-2</v>
      </c>
      <c r="G3" t="s">
        <v>1</v>
      </c>
      <c r="H3">
        <f>(_xlfn.GAMMA((2+$H$1)/(1+$H$1)))^(1+$H$1)</f>
        <v>0.63975154792363165</v>
      </c>
    </row>
    <row r="4" spans="1:8" x14ac:dyDescent="0.25">
      <c r="A4">
        <v>0.63273304057500002</v>
      </c>
      <c r="B4">
        <v>0.26091360707071481</v>
      </c>
      <c r="C4">
        <f t="shared" si="0"/>
        <v>0.3913450936861016</v>
      </c>
      <c r="D4">
        <f t="shared" si="1"/>
        <v>-0.13043148661538678</v>
      </c>
      <c r="E4">
        <f t="shared" si="2"/>
        <v>1.7012372700699822E-2</v>
      </c>
    </row>
    <row r="5" spans="1:8" x14ac:dyDescent="0.25">
      <c r="A5">
        <v>0.67223037302499999</v>
      </c>
      <c r="B5">
        <v>0.47887192517247051</v>
      </c>
      <c r="C5">
        <f t="shared" si="0"/>
        <v>0.51446483502674833</v>
      </c>
      <c r="D5">
        <f t="shared" si="1"/>
        <v>-3.5592909854277821E-2</v>
      </c>
      <c r="E5">
        <f t="shared" si="2"/>
        <v>1.2668552318947472E-3</v>
      </c>
      <c r="G5" t="s">
        <v>2</v>
      </c>
      <c r="H5">
        <f>SUM(E1:E40)</f>
        <v>1.2207124471940094</v>
      </c>
    </row>
    <row r="6" spans="1:8" x14ac:dyDescent="0.25">
      <c r="A6">
        <v>0.71172770547499997</v>
      </c>
      <c r="B6">
        <v>0.75728583515646497</v>
      </c>
      <c r="C6">
        <f t="shared" si="0"/>
        <v>0.66103712670011372</v>
      </c>
      <c r="D6">
        <f t="shared" si="1"/>
        <v>9.6248708456351251E-2</v>
      </c>
      <c r="E6">
        <f t="shared" si="2"/>
        <v>9.2638138795157008E-3</v>
      </c>
    </row>
    <row r="7" spans="1:8" x14ac:dyDescent="0.25">
      <c r="A7">
        <v>0.75122503792499984</v>
      </c>
      <c r="B7">
        <v>0.97365321662974069</v>
      </c>
      <c r="C7">
        <f t="shared" si="0"/>
        <v>0.83042751543298376</v>
      </c>
      <c r="D7">
        <f t="shared" si="1"/>
        <v>0.14322570119675693</v>
      </c>
      <c r="E7">
        <f t="shared" si="2"/>
        <v>2.0513601483302699E-2</v>
      </c>
    </row>
    <row r="8" spans="1:8" x14ac:dyDescent="0.25">
      <c r="A8">
        <v>0.79072237037499993</v>
      </c>
      <c r="B8">
        <v>1.3268411481522937</v>
      </c>
      <c r="C8">
        <f t="shared" si="0"/>
        <v>1.0197259091307813</v>
      </c>
      <c r="D8">
        <f t="shared" si="1"/>
        <v>0.30711523902151239</v>
      </c>
      <c r="E8">
        <f t="shared" si="2"/>
        <v>9.4319770039240691E-2</v>
      </c>
    </row>
    <row r="9" spans="1:8" x14ac:dyDescent="0.25">
      <c r="A9">
        <v>0.83021970282500002</v>
      </c>
      <c r="B9">
        <v>1.668892523275487</v>
      </c>
      <c r="C9">
        <f t="shared" si="0"/>
        <v>1.2230717994962739</v>
      </c>
      <c r="D9">
        <f t="shared" si="1"/>
        <v>0.44582072377921311</v>
      </c>
      <c r="E9">
        <f t="shared" si="2"/>
        <v>0.19875611775102145</v>
      </c>
    </row>
    <row r="10" spans="1:8" x14ac:dyDescent="0.25">
      <c r="A10">
        <v>0.86971703527499988</v>
      </c>
      <c r="B10">
        <v>1.8502592989222033</v>
      </c>
      <c r="C10">
        <f t="shared" si="0"/>
        <v>1.4311166449641908</v>
      </c>
      <c r="D10">
        <f t="shared" si="1"/>
        <v>0.41914265395801253</v>
      </c>
      <c r="E10">
        <f t="shared" si="2"/>
        <v>0.17568056436696625</v>
      </c>
    </row>
    <row r="11" spans="1:8" x14ac:dyDescent="0.25">
      <c r="A11">
        <v>0.90921436772499997</v>
      </c>
      <c r="B11">
        <v>1.967988609429721</v>
      </c>
      <c r="C11">
        <f t="shared" si="0"/>
        <v>1.6308308723875675</v>
      </c>
      <c r="D11">
        <f t="shared" si="1"/>
        <v>0.33715773704215346</v>
      </c>
      <c r="E11">
        <f t="shared" si="2"/>
        <v>0.1136753396473859</v>
      </c>
    </row>
    <row r="12" spans="1:8" x14ac:dyDescent="0.25">
      <c r="A12">
        <v>0.94871170017499984</v>
      </c>
      <c r="B12">
        <v>2.1032182228505185</v>
      </c>
      <c r="C12">
        <f t="shared" si="0"/>
        <v>1.8059109805790496</v>
      </c>
      <c r="D12">
        <f t="shared" si="1"/>
        <v>0.29730724227146887</v>
      </c>
      <c r="E12">
        <f t="shared" si="2"/>
        <v>8.8391596307065889E-2</v>
      </c>
    </row>
    <row r="13" spans="1:8" x14ac:dyDescent="0.25">
      <c r="A13">
        <v>0.98820903262499993</v>
      </c>
      <c r="B13">
        <v>2.0666266803954789</v>
      </c>
      <c r="C13">
        <f t="shared" si="0"/>
        <v>1.9380357110324997</v>
      </c>
      <c r="D13">
        <f t="shared" si="1"/>
        <v>0.1285909693629792</v>
      </c>
      <c r="E13">
        <f t="shared" si="2"/>
        <v>1.6535637401710657E-2</v>
      </c>
    </row>
    <row r="14" spans="1:8" x14ac:dyDescent="0.25">
      <c r="A14">
        <v>1.0277063650749998</v>
      </c>
      <c r="B14">
        <v>1.967988609429721</v>
      </c>
      <c r="C14">
        <f t="shared" si="0"/>
        <v>2.0091141208807541</v>
      </c>
      <c r="D14">
        <f t="shared" si="1"/>
        <v>-4.1125511451033159E-2</v>
      </c>
      <c r="E14">
        <f t="shared" si="2"/>
        <v>1.6913076921090595E-3</v>
      </c>
    </row>
    <row r="15" spans="1:8" x14ac:dyDescent="0.25">
      <c r="A15">
        <v>1.0672036975249997</v>
      </c>
      <c r="B15">
        <v>1.8216224396095639</v>
      </c>
      <c r="C15">
        <f t="shared" si="0"/>
        <v>2.004427427852141</v>
      </c>
      <c r="D15">
        <f t="shared" si="1"/>
        <v>-0.18280498824257707</v>
      </c>
      <c r="E15">
        <f t="shared" si="2"/>
        <v>3.3417663726368743E-2</v>
      </c>
    </row>
    <row r="16" spans="1:8" x14ac:dyDescent="0.25">
      <c r="A16">
        <v>1.106701029975</v>
      </c>
      <c r="B16">
        <v>1.665710650018527</v>
      </c>
      <c r="C16">
        <f t="shared" si="0"/>
        <v>1.9161978027060378</v>
      </c>
      <c r="D16">
        <f t="shared" si="1"/>
        <v>-0.25048715268751076</v>
      </c>
      <c r="E16">
        <f t="shared" si="2"/>
        <v>6.2743813661496325E-2</v>
      </c>
    </row>
    <row r="17" spans="1:5" x14ac:dyDescent="0.25">
      <c r="A17">
        <v>1.1461983624249998</v>
      </c>
      <c r="B17">
        <v>1.4382067121458915</v>
      </c>
      <c r="C17">
        <f t="shared" si="0"/>
        <v>1.7467078299143113</v>
      </c>
      <c r="D17">
        <f t="shared" si="1"/>
        <v>-0.30850111776841982</v>
      </c>
      <c r="E17">
        <f t="shared" si="2"/>
        <v>9.5172939664364437E-2</v>
      </c>
    </row>
    <row r="18" spans="1:5" x14ac:dyDescent="0.25">
      <c r="A18">
        <v>1.1856956948749999</v>
      </c>
      <c r="B18">
        <v>1.1582018655334172</v>
      </c>
      <c r="C18">
        <f t="shared" si="0"/>
        <v>1.5098275890195447</v>
      </c>
      <c r="D18">
        <f t="shared" si="1"/>
        <v>-0.35162572348612753</v>
      </c>
      <c r="E18">
        <f t="shared" si="2"/>
        <v>0.12364064941714262</v>
      </c>
    </row>
    <row r="19" spans="1:5" x14ac:dyDescent="0.25">
      <c r="A19">
        <v>1.225193027325</v>
      </c>
      <c r="B19">
        <v>1.0532000480537391</v>
      </c>
      <c r="C19">
        <f t="shared" si="0"/>
        <v>1.229919526234875</v>
      </c>
      <c r="D19">
        <f t="shared" si="1"/>
        <v>-0.17671947818113587</v>
      </c>
      <c r="E19">
        <f t="shared" si="2"/>
        <v>3.1229773968612956E-2</v>
      </c>
    </row>
    <row r="20" spans="1:5" x14ac:dyDescent="0.25">
      <c r="A20">
        <v>1.2646903597749999</v>
      </c>
      <c r="B20">
        <v>0.76683145492734484</v>
      </c>
      <c r="C20">
        <f t="shared" si="0"/>
        <v>0.93774900389818538</v>
      </c>
      <c r="D20">
        <f t="shared" si="1"/>
        <v>-0.17091754897084055</v>
      </c>
      <c r="E20">
        <f t="shared" si="2"/>
        <v>2.9212808546199676E-2</v>
      </c>
    </row>
    <row r="21" spans="1:5" x14ac:dyDescent="0.25">
      <c r="A21">
        <v>1.304187692225</v>
      </c>
      <c r="B21">
        <v>0.57114624962430871</v>
      </c>
      <c r="C21">
        <f t="shared" si="0"/>
        <v>0.66414548732215417</v>
      </c>
      <c r="D21">
        <f t="shared" si="1"/>
        <v>-9.299923769784546E-2</v>
      </c>
      <c r="E21">
        <f t="shared" si="2"/>
        <v>8.6488582123803604E-3</v>
      </c>
    </row>
    <row r="22" spans="1:5" x14ac:dyDescent="0.25">
      <c r="A22">
        <v>1.3436850246750001</v>
      </c>
      <c r="B22">
        <v>0.38182479083519244</v>
      </c>
      <c r="C22">
        <f t="shared" si="0"/>
        <v>0.43329558903395504</v>
      </c>
      <c r="D22">
        <f t="shared" si="1"/>
        <v>-5.1470798198762602E-2</v>
      </c>
      <c r="E22">
        <f t="shared" si="2"/>
        <v>2.6492430672177434E-3</v>
      </c>
    </row>
    <row r="23" spans="1:5" x14ac:dyDescent="0.25">
      <c r="A23">
        <v>1.3831823571249999</v>
      </c>
      <c r="B23">
        <v>0.3134145158105538</v>
      </c>
      <c r="C23">
        <f t="shared" si="0"/>
        <v>0.2580371115568455</v>
      </c>
      <c r="D23">
        <f t="shared" si="1"/>
        <v>5.5377404253708296E-2</v>
      </c>
      <c r="E23">
        <f t="shared" si="2"/>
        <v>3.0666569018786296E-3</v>
      </c>
    </row>
    <row r="24" spans="1:5" x14ac:dyDescent="0.25">
      <c r="A24">
        <v>1.4226796895749998</v>
      </c>
      <c r="B24">
        <v>0.22591300124415553</v>
      </c>
      <c r="C24">
        <f t="shared" si="0"/>
        <v>0.13887578358670685</v>
      </c>
      <c r="D24">
        <f t="shared" si="1"/>
        <v>8.7037217657448679E-2</v>
      </c>
      <c r="E24">
        <f t="shared" si="2"/>
        <v>7.5754772575500964E-3</v>
      </c>
    </row>
    <row r="25" spans="1:5" x14ac:dyDescent="0.25">
      <c r="A25">
        <v>1.4621770220249999</v>
      </c>
      <c r="B25">
        <v>0.12886586690687746</v>
      </c>
      <c r="C25">
        <f t="shared" si="0"/>
        <v>6.6819907705468334E-2</v>
      </c>
      <c r="D25">
        <f t="shared" si="1"/>
        <v>6.2045959201409123E-2</v>
      </c>
      <c r="E25">
        <f t="shared" si="2"/>
        <v>3.8497010532229253E-3</v>
      </c>
    </row>
    <row r="26" spans="1:5" x14ac:dyDescent="0.25">
      <c r="A26">
        <v>1.501674354475</v>
      </c>
      <c r="B26">
        <v>9.8638070965758051E-2</v>
      </c>
      <c r="C26">
        <f t="shared" si="0"/>
        <v>2.8405926402718051E-2</v>
      </c>
      <c r="D26">
        <f t="shared" si="1"/>
        <v>7.023214456304E-2</v>
      </c>
      <c r="E26">
        <f t="shared" si="2"/>
        <v>4.9325541299237493E-3</v>
      </c>
    </row>
    <row r="27" spans="1:5" x14ac:dyDescent="0.25">
      <c r="A27">
        <v>1.5411716869249998</v>
      </c>
      <c r="B27">
        <v>5.5682781996798901E-2</v>
      </c>
      <c r="C27">
        <f t="shared" si="0"/>
        <v>1.0534291998192157E-2</v>
      </c>
      <c r="D27">
        <f t="shared" si="1"/>
        <v>4.5148489998606746E-2</v>
      </c>
      <c r="E27">
        <f t="shared" si="2"/>
        <v>2.0383861491542932E-3</v>
      </c>
    </row>
    <row r="28" spans="1:5" x14ac:dyDescent="0.25">
      <c r="A28">
        <v>1.5806690193749997</v>
      </c>
      <c r="B28">
        <v>2.7045922684159465E-2</v>
      </c>
      <c r="C28">
        <f t="shared" si="0"/>
        <v>3.361441467424411E-3</v>
      </c>
      <c r="D28">
        <f t="shared" si="1"/>
        <v>2.3684481216735054E-2</v>
      </c>
      <c r="E28">
        <f t="shared" si="2"/>
        <v>5.6095465050587552E-4</v>
      </c>
    </row>
    <row r="29" spans="1:5" x14ac:dyDescent="0.25">
      <c r="A29">
        <v>1.6201663518249998</v>
      </c>
      <c r="B29">
        <v>9.5456197708798114E-3</v>
      </c>
      <c r="C29">
        <f t="shared" si="0"/>
        <v>9.0936982432867578E-4</v>
      </c>
      <c r="D29">
        <f t="shared" si="1"/>
        <v>8.6362499465511347E-3</v>
      </c>
      <c r="E29">
        <f t="shared" si="2"/>
        <v>7.4584813139304482E-5</v>
      </c>
    </row>
    <row r="30" spans="1:5" x14ac:dyDescent="0.25">
      <c r="A30">
        <v>1.6596636842749999</v>
      </c>
      <c r="B30">
        <v>0</v>
      </c>
      <c r="C30">
        <f t="shared" si="0"/>
        <v>2.0527724048451795E-4</v>
      </c>
      <c r="D30">
        <f t="shared" si="1"/>
        <v>-2.0527724048451795E-4</v>
      </c>
      <c r="E30">
        <f t="shared" si="2"/>
        <v>4.2138745460938613E-8</v>
      </c>
    </row>
    <row r="31" spans="1:5" x14ac:dyDescent="0.25">
      <c r="A31">
        <v>1.6991610167249998</v>
      </c>
      <c r="B31">
        <v>0</v>
      </c>
      <c r="C31">
        <f t="shared" si="0"/>
        <v>3.8011487593161809E-5</v>
      </c>
      <c r="D31">
        <f t="shared" si="1"/>
        <v>-3.8011487593161809E-5</v>
      </c>
      <c r="E31">
        <f t="shared" si="2"/>
        <v>1.4448731890450942E-9</v>
      </c>
    </row>
    <row r="32" spans="1:5" x14ac:dyDescent="0.25">
      <c r="A32">
        <v>1.7386583491750001</v>
      </c>
      <c r="B32">
        <v>0</v>
      </c>
      <c r="C32">
        <f t="shared" si="0"/>
        <v>5.6692723090025533E-6</v>
      </c>
      <c r="D32">
        <f t="shared" si="1"/>
        <v>-5.6692723090025533E-6</v>
      </c>
      <c r="E32">
        <f t="shared" si="2"/>
        <v>3.2140648513623142E-11</v>
      </c>
    </row>
    <row r="33" spans="1:5" x14ac:dyDescent="0.25">
      <c r="A33">
        <v>1.7781556816249999</v>
      </c>
      <c r="B33">
        <v>0</v>
      </c>
      <c r="C33">
        <f t="shared" si="0"/>
        <v>6.6787674839499087E-7</v>
      </c>
      <c r="D33">
        <f t="shared" si="1"/>
        <v>-6.6787674839499087E-7</v>
      </c>
      <c r="E33">
        <f t="shared" si="2"/>
        <v>4.4605935104666595E-13</v>
      </c>
    </row>
    <row r="34" spans="1:5" x14ac:dyDescent="0.25">
      <c r="A34">
        <v>1.8176530140749998</v>
      </c>
      <c r="B34">
        <v>0</v>
      </c>
      <c r="C34">
        <f t="shared" si="0"/>
        <v>6.0865428781577709E-8</v>
      </c>
      <c r="D34">
        <f t="shared" si="1"/>
        <v>-6.0865428781577709E-8</v>
      </c>
      <c r="E34">
        <f t="shared" si="2"/>
        <v>3.7046004207653081E-15</v>
      </c>
    </row>
    <row r="35" spans="1:5" x14ac:dyDescent="0.25">
      <c r="A35">
        <v>1.8571503465249999</v>
      </c>
      <c r="B35">
        <v>0</v>
      </c>
      <c r="C35">
        <f t="shared" si="0"/>
        <v>4.1966853099018624E-9</v>
      </c>
      <c r="D35">
        <f t="shared" si="1"/>
        <v>-4.1966853099018624E-9</v>
      </c>
      <c r="E35">
        <f t="shared" si="2"/>
        <v>1.7612167590346091E-17</v>
      </c>
    </row>
    <row r="36" spans="1:5" x14ac:dyDescent="0.25">
      <c r="A36">
        <v>1.896647678975</v>
      </c>
      <c r="B36">
        <v>0</v>
      </c>
      <c r="C36">
        <f t="shared" si="0"/>
        <v>2.1381727106727168E-10</v>
      </c>
      <c r="D36">
        <f t="shared" si="1"/>
        <v>-2.1381727106727168E-10</v>
      </c>
      <c r="E36">
        <f t="shared" si="2"/>
        <v>4.5717825406655135E-20</v>
      </c>
    </row>
    <row r="37" spans="1:5" x14ac:dyDescent="0.25">
      <c r="A37">
        <v>1.9361450114249998</v>
      </c>
      <c r="B37">
        <v>0</v>
      </c>
      <c r="C37">
        <f t="shared" si="0"/>
        <v>7.8501517925640044E-12</v>
      </c>
      <c r="D37">
        <f t="shared" si="1"/>
        <v>-7.8501517925640044E-12</v>
      </c>
      <c r="E37">
        <f t="shared" si="2"/>
        <v>6.1624883166295849E-23</v>
      </c>
    </row>
    <row r="38" spans="1:5" x14ac:dyDescent="0.25">
      <c r="A38">
        <v>1.9756423438749997</v>
      </c>
      <c r="B38">
        <v>0</v>
      </c>
      <c r="C38">
        <f t="shared" si="0"/>
        <v>2.0222952583307179E-13</v>
      </c>
      <c r="D38">
        <f t="shared" si="1"/>
        <v>-2.0222952583307179E-13</v>
      </c>
      <c r="E38">
        <f t="shared" si="2"/>
        <v>4.089678111866905E-26</v>
      </c>
    </row>
    <row r="39" spans="1:5" x14ac:dyDescent="0.25">
      <c r="A39">
        <v>2.0151396763249996</v>
      </c>
      <c r="B39">
        <v>0</v>
      </c>
      <c r="C39">
        <f t="shared" si="0"/>
        <v>3.5537222131412647E-15</v>
      </c>
      <c r="D39">
        <f t="shared" si="1"/>
        <v>-3.5537222131412647E-15</v>
      </c>
      <c r="E39">
        <f t="shared" si="2"/>
        <v>1.262894156817365E-29</v>
      </c>
    </row>
    <row r="40" spans="1:5" x14ac:dyDescent="0.25">
      <c r="A40">
        <v>2.0546370087749999</v>
      </c>
      <c r="B40">
        <v>1.5909366284799686E-3</v>
      </c>
      <c r="C40">
        <f t="shared" si="0"/>
        <v>4.1344624478298867E-17</v>
      </c>
      <c r="D40">
        <f t="shared" si="1"/>
        <v>1.5909366284799272E-3</v>
      </c>
      <c r="E40">
        <f t="shared" si="2"/>
        <v>2.531079355839078E-6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EBD1-CA49-4AF3-9A90-6F9CDF6BBAB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0.6333401125875</v>
      </c>
      <c r="B1">
        <v>1.1498492370631046E-2</v>
      </c>
      <c r="C1">
        <f>$H$3*(1+$H$1)*(A1^($H$1))*EXP(-$H$3*(A1^(1+$H$1)))</f>
        <v>0.18391532314948106</v>
      </c>
      <c r="D1">
        <f>B1-C1</f>
        <v>-0.17241683077885001</v>
      </c>
      <c r="E1">
        <f>D1^2</f>
        <v>2.97275635358226E-2</v>
      </c>
      <c r="G1" t="s">
        <v>0</v>
      </c>
      <c r="H1">
        <v>7.2348502710069713</v>
      </c>
    </row>
    <row r="2" spans="1:8" x14ac:dyDescent="0.25">
      <c r="A2">
        <v>0.66612932576250006</v>
      </c>
      <c r="B2">
        <v>4.4077554087419007E-2</v>
      </c>
      <c r="C2">
        <f t="shared" ref="C2:C40" si="0">$H$3*(1+$H$1)*(A2^($H$1))*EXP(-$H$3*(A2^(1+$H$1)))</f>
        <v>0.26303004988338918</v>
      </c>
      <c r="D2">
        <f t="shared" ref="D2:D40" si="1">B2-C2</f>
        <v>-0.21895249579597018</v>
      </c>
      <c r="E2">
        <f t="shared" ref="E2:E40" si="2">D2^2</f>
        <v>4.794019541528434E-2</v>
      </c>
    </row>
    <row r="3" spans="1:8" x14ac:dyDescent="0.25">
      <c r="A3">
        <v>0.6989185389375</v>
      </c>
      <c r="B3">
        <v>0.1475639854230984</v>
      </c>
      <c r="C3">
        <f t="shared" si="0"/>
        <v>0.36846676076766693</v>
      </c>
      <c r="D3">
        <f t="shared" si="1"/>
        <v>-0.22090277534456854</v>
      </c>
      <c r="E3">
        <f t="shared" si="2"/>
        <v>4.8798036154932917E-2</v>
      </c>
      <c r="G3" t="s">
        <v>1</v>
      </c>
      <c r="H3">
        <f>(_xlfn.GAMMA((2+$H$1)/(1+$H$1)))^(1+$H$1)</f>
        <v>0.61705045196655139</v>
      </c>
    </row>
    <row r="4" spans="1:8" x14ac:dyDescent="0.25">
      <c r="A4">
        <v>0.73170775211249994</v>
      </c>
      <c r="B4">
        <v>0.35645326348956241</v>
      </c>
      <c r="C4">
        <f t="shared" si="0"/>
        <v>0.50584532422373329</v>
      </c>
      <c r="D4">
        <f t="shared" si="1"/>
        <v>-0.14939206073417088</v>
      </c>
      <c r="E4">
        <f t="shared" si="2"/>
        <v>2.2317987810402201E-2</v>
      </c>
    </row>
    <row r="5" spans="1:8" x14ac:dyDescent="0.25">
      <c r="A5">
        <v>0.7644969652875</v>
      </c>
      <c r="B5">
        <v>0.64199915736023339</v>
      </c>
      <c r="C5">
        <f t="shared" si="0"/>
        <v>0.68054965703218762</v>
      </c>
      <c r="D5">
        <f t="shared" si="1"/>
        <v>-3.855049967195423E-2</v>
      </c>
      <c r="E5">
        <f t="shared" si="2"/>
        <v>1.4861410249573431E-3</v>
      </c>
      <c r="G5" t="s">
        <v>2</v>
      </c>
      <c r="H5">
        <f>SUM(E1:E40)</f>
        <v>2.403733230051845</v>
      </c>
    </row>
    <row r="6" spans="1:8" x14ac:dyDescent="0.25">
      <c r="A6">
        <v>0.79728617846249983</v>
      </c>
      <c r="B6">
        <v>1.0942731906050545</v>
      </c>
      <c r="C6">
        <f t="shared" si="0"/>
        <v>0.89677402087277658</v>
      </c>
      <c r="D6">
        <f t="shared" si="1"/>
        <v>0.19749916973227788</v>
      </c>
      <c r="E6">
        <f t="shared" si="2"/>
        <v>3.9005922044939106E-2</v>
      </c>
    </row>
    <row r="7" spans="1:8" x14ac:dyDescent="0.25">
      <c r="A7">
        <v>0.83007539163749988</v>
      </c>
      <c r="B7">
        <v>1.4660577772554582</v>
      </c>
      <c r="C7">
        <f t="shared" si="0"/>
        <v>1.1560792922143461</v>
      </c>
      <c r="D7">
        <f t="shared" si="1"/>
        <v>0.30997848504111203</v>
      </c>
      <c r="E7">
        <f t="shared" si="2"/>
        <v>9.608666118838291E-2</v>
      </c>
    </row>
    <row r="8" spans="1:8" x14ac:dyDescent="0.25">
      <c r="A8">
        <v>0.86286460481249994</v>
      </c>
      <c r="B8">
        <v>1.9604929491925931</v>
      </c>
      <c r="C8">
        <f t="shared" si="0"/>
        <v>1.4554188977384757</v>
      </c>
      <c r="D8">
        <f t="shared" si="1"/>
        <v>0.50507405145411743</v>
      </c>
      <c r="E8">
        <f t="shared" si="2"/>
        <v>0.25509979745227646</v>
      </c>
    </row>
    <row r="9" spans="1:8" x14ac:dyDescent="0.25">
      <c r="A9">
        <v>0.89565381798749999</v>
      </c>
      <c r="B9">
        <v>2.4817579366612006</v>
      </c>
      <c r="C9">
        <f t="shared" si="0"/>
        <v>1.7847513373566894</v>
      </c>
      <c r="D9">
        <f t="shared" si="1"/>
        <v>0.69700659930451114</v>
      </c>
      <c r="E9">
        <f t="shared" si="2"/>
        <v>0.48581819947403937</v>
      </c>
    </row>
    <row r="10" spans="1:8" x14ac:dyDescent="0.25">
      <c r="A10">
        <v>0.92844303116250004</v>
      </c>
      <c r="B10">
        <v>2.6848979685423489</v>
      </c>
      <c r="C10">
        <f t="shared" si="0"/>
        <v>2.1246489365197112</v>
      </c>
      <c r="D10">
        <f t="shared" si="1"/>
        <v>0.56024903202263765</v>
      </c>
      <c r="E10">
        <f t="shared" si="2"/>
        <v>0.31387897788230246</v>
      </c>
    </row>
    <row r="11" spans="1:8" x14ac:dyDescent="0.25">
      <c r="A11">
        <v>0.96123224433749999</v>
      </c>
      <c r="B11">
        <v>2.7826351536927127</v>
      </c>
      <c r="C11">
        <f t="shared" si="0"/>
        <v>2.4447471807344385</v>
      </c>
      <c r="D11">
        <f t="shared" si="1"/>
        <v>0.33788797295827422</v>
      </c>
      <c r="E11">
        <f t="shared" si="2"/>
        <v>0.11416828226985146</v>
      </c>
    </row>
    <row r="12" spans="1:8" x14ac:dyDescent="0.25">
      <c r="A12">
        <v>0.99402145751249993</v>
      </c>
      <c r="B12">
        <v>2.9301991391158113</v>
      </c>
      <c r="C12">
        <f t="shared" si="0"/>
        <v>2.7043633926482586</v>
      </c>
      <c r="D12">
        <f t="shared" si="1"/>
        <v>0.22583574646755267</v>
      </c>
      <c r="E12">
        <f t="shared" si="2"/>
        <v>5.1001784382556724E-2</v>
      </c>
    </row>
    <row r="13" spans="1:8" x14ac:dyDescent="0.25">
      <c r="A13">
        <v>1.0268106706875</v>
      </c>
      <c r="B13">
        <v>2.8247962923850269</v>
      </c>
      <c r="C13">
        <f t="shared" si="0"/>
        <v>2.8568735538626897</v>
      </c>
      <c r="D13">
        <f t="shared" si="1"/>
        <v>-3.2077261477662766E-2</v>
      </c>
      <c r="E13">
        <f t="shared" si="2"/>
        <v>1.0289507039063478E-3</v>
      </c>
    </row>
    <row r="14" spans="1:8" x14ac:dyDescent="0.25">
      <c r="A14">
        <v>1.0595998838625</v>
      </c>
      <c r="B14">
        <v>2.4875071828465161</v>
      </c>
      <c r="C14">
        <f t="shared" si="0"/>
        <v>2.8589813228394365</v>
      </c>
      <c r="D14">
        <f t="shared" si="1"/>
        <v>-0.37147413999292045</v>
      </c>
      <c r="E14">
        <f t="shared" si="2"/>
        <v>0.13799303668347987</v>
      </c>
    </row>
    <row r="15" spans="1:8" x14ac:dyDescent="0.25">
      <c r="A15">
        <v>1.0923890970374999</v>
      </c>
      <c r="B15">
        <v>2.2211254429268967</v>
      </c>
      <c r="C15">
        <f t="shared" si="0"/>
        <v>2.6842959873785337</v>
      </c>
      <c r="D15">
        <f t="shared" si="1"/>
        <v>-0.46317054445163697</v>
      </c>
      <c r="E15">
        <f t="shared" si="2"/>
        <v>0.21452695324762583</v>
      </c>
    </row>
    <row r="16" spans="1:8" x14ac:dyDescent="0.25">
      <c r="A16">
        <v>1.1251783102124999</v>
      </c>
      <c r="B16">
        <v>1.8071797175841793</v>
      </c>
      <c r="C16">
        <f t="shared" si="0"/>
        <v>2.3375666849162982</v>
      </c>
      <c r="D16">
        <f t="shared" si="1"/>
        <v>-0.53038696733211887</v>
      </c>
      <c r="E16">
        <f t="shared" si="2"/>
        <v>0.28131033511576214</v>
      </c>
    </row>
    <row r="17" spans="1:5" x14ac:dyDescent="0.25">
      <c r="A17">
        <v>1.1579675233875</v>
      </c>
      <c r="B17">
        <v>1.4986368389722462</v>
      </c>
      <c r="C17">
        <f t="shared" si="0"/>
        <v>1.8626660672542594</v>
      </c>
      <c r="D17">
        <f t="shared" si="1"/>
        <v>-0.36402922828201323</v>
      </c>
      <c r="E17">
        <f t="shared" si="2"/>
        <v>0.13251727904359811</v>
      </c>
    </row>
    <row r="18" spans="1:5" x14ac:dyDescent="0.25">
      <c r="A18">
        <v>1.1907567365625</v>
      </c>
      <c r="B18">
        <v>1.0789418674442131</v>
      </c>
      <c r="C18">
        <f t="shared" si="0"/>
        <v>1.3367744097410177</v>
      </c>
      <c r="D18">
        <f t="shared" si="1"/>
        <v>-0.25783254229680463</v>
      </c>
      <c r="E18">
        <f t="shared" si="2"/>
        <v>6.6477619867233551E-2</v>
      </c>
    </row>
    <row r="19" spans="1:5" x14ac:dyDescent="0.25">
      <c r="A19">
        <v>1.2235459497374999</v>
      </c>
      <c r="B19">
        <v>0.72632143474486099</v>
      </c>
      <c r="C19">
        <f t="shared" si="0"/>
        <v>0.84822866786702344</v>
      </c>
      <c r="D19">
        <f t="shared" si="1"/>
        <v>-0.12190723312216245</v>
      </c>
      <c r="E19">
        <f t="shared" si="2"/>
        <v>1.4861373487501262E-2</v>
      </c>
    </row>
    <row r="20" spans="1:5" x14ac:dyDescent="0.25">
      <c r="A20">
        <v>1.2563351629124999</v>
      </c>
      <c r="B20">
        <v>0.48676951035671423</v>
      </c>
      <c r="C20">
        <f t="shared" si="0"/>
        <v>0.46580520169339495</v>
      </c>
      <c r="D20">
        <f t="shared" si="1"/>
        <v>2.0964308663319275E-2</v>
      </c>
      <c r="E20">
        <f t="shared" si="2"/>
        <v>4.3950223773092363E-4</v>
      </c>
    </row>
    <row r="21" spans="1:5" x14ac:dyDescent="0.25">
      <c r="A21">
        <v>1.2891243760875</v>
      </c>
      <c r="B21">
        <v>0.36220250967487794</v>
      </c>
      <c r="C21">
        <f t="shared" si="0"/>
        <v>0.21597804275629442</v>
      </c>
      <c r="D21">
        <f t="shared" si="1"/>
        <v>0.14622446691858351</v>
      </c>
      <c r="E21">
        <f t="shared" si="2"/>
        <v>2.1381594725623922E-2</v>
      </c>
    </row>
    <row r="22" spans="1:5" x14ac:dyDescent="0.25">
      <c r="A22">
        <v>1.3219135892625</v>
      </c>
      <c r="B22">
        <v>0.21655493964688469</v>
      </c>
      <c r="C22">
        <f t="shared" si="0"/>
        <v>8.2188605572273379E-2</v>
      </c>
      <c r="D22">
        <f t="shared" si="1"/>
        <v>0.13436633407461129</v>
      </c>
      <c r="E22">
        <f t="shared" si="2"/>
        <v>1.8054311732650048E-2</v>
      </c>
    </row>
    <row r="23" spans="1:5" x14ac:dyDescent="0.25">
      <c r="A23">
        <v>1.3547028024375001</v>
      </c>
      <c r="B23">
        <v>0.10731926212588976</v>
      </c>
      <c r="C23">
        <f t="shared" si="0"/>
        <v>2.484946117081889E-2</v>
      </c>
      <c r="D23">
        <f t="shared" si="1"/>
        <v>8.2469800955070866E-2</v>
      </c>
      <c r="E23">
        <f t="shared" si="2"/>
        <v>6.8012680695690077E-3</v>
      </c>
    </row>
    <row r="24" spans="1:5" x14ac:dyDescent="0.25">
      <c r="A24">
        <v>1.3874920156124999</v>
      </c>
      <c r="B24">
        <v>5.7492461853155222E-2</v>
      </c>
      <c r="C24">
        <f t="shared" si="0"/>
        <v>5.7525245739077895E-3</v>
      </c>
      <c r="D24">
        <f t="shared" si="1"/>
        <v>5.173993727924743E-2</v>
      </c>
      <c r="E24">
        <f t="shared" si="2"/>
        <v>2.6770211096604581E-3</v>
      </c>
    </row>
    <row r="25" spans="1:5" x14ac:dyDescent="0.25">
      <c r="A25">
        <v>1.4202812287874997</v>
      </c>
      <c r="B25">
        <v>1.9164153951051741E-2</v>
      </c>
      <c r="C25">
        <f t="shared" si="0"/>
        <v>9.7764434074971919E-4</v>
      </c>
      <c r="D25">
        <f t="shared" si="1"/>
        <v>1.8186509610302021E-2</v>
      </c>
      <c r="E25">
        <f t="shared" si="2"/>
        <v>3.3074913180560774E-4</v>
      </c>
    </row>
    <row r="26" spans="1:5" x14ac:dyDescent="0.25">
      <c r="A26">
        <v>1.4530704419624998</v>
      </c>
      <c r="B26">
        <v>0</v>
      </c>
      <c r="C26">
        <f t="shared" si="0"/>
        <v>1.1630788233447374E-4</v>
      </c>
      <c r="D26">
        <f t="shared" si="1"/>
        <v>-1.1630788233447374E-4</v>
      </c>
      <c r="E26">
        <f t="shared" si="2"/>
        <v>1.3527523493129788E-8</v>
      </c>
    </row>
    <row r="27" spans="1:5" x14ac:dyDescent="0.25">
      <c r="A27">
        <v>1.4858596551374998</v>
      </c>
      <c r="B27">
        <v>0</v>
      </c>
      <c r="C27">
        <f t="shared" si="0"/>
        <v>9.1790576288002894E-6</v>
      </c>
      <c r="D27">
        <f t="shared" si="1"/>
        <v>-9.1790576288002894E-6</v>
      </c>
      <c r="E27">
        <f t="shared" si="2"/>
        <v>8.4255098952836795E-11</v>
      </c>
    </row>
    <row r="28" spans="1:5" x14ac:dyDescent="0.25">
      <c r="A28">
        <v>1.5186488683124999</v>
      </c>
      <c r="B28">
        <v>0</v>
      </c>
      <c r="C28">
        <f t="shared" si="0"/>
        <v>4.5233758331674459E-7</v>
      </c>
      <c r="D28">
        <f t="shared" si="1"/>
        <v>-4.5233758331674459E-7</v>
      </c>
      <c r="E28">
        <f t="shared" si="2"/>
        <v>2.0460928928083286E-13</v>
      </c>
    </row>
    <row r="29" spans="1:5" x14ac:dyDescent="0.25">
      <c r="A29">
        <v>1.5514380814875</v>
      </c>
      <c r="B29">
        <v>0</v>
      </c>
      <c r="C29">
        <f t="shared" si="0"/>
        <v>1.3004319008416504E-8</v>
      </c>
      <c r="D29">
        <f t="shared" si="1"/>
        <v>-1.3004319008416504E-8</v>
      </c>
      <c r="E29">
        <f t="shared" si="2"/>
        <v>1.691123128726628E-16</v>
      </c>
    </row>
    <row r="30" spans="1:5" x14ac:dyDescent="0.25">
      <c r="A30">
        <v>1.5842272946625</v>
      </c>
      <c r="B30">
        <v>0</v>
      </c>
      <c r="C30">
        <f t="shared" si="0"/>
        <v>2.0212293918405613E-10</v>
      </c>
      <c r="D30">
        <f t="shared" si="1"/>
        <v>-2.0212293918405613E-10</v>
      </c>
      <c r="E30">
        <f t="shared" si="2"/>
        <v>4.0853682544401656E-20</v>
      </c>
    </row>
    <row r="31" spans="1:5" x14ac:dyDescent="0.25">
      <c r="A31">
        <v>1.6170165078374998</v>
      </c>
      <c r="B31">
        <v>0</v>
      </c>
      <c r="C31">
        <f t="shared" si="0"/>
        <v>1.5599576769184871E-12</v>
      </c>
      <c r="D31">
        <f t="shared" si="1"/>
        <v>-1.5599576769184871E-12</v>
      </c>
      <c r="E31">
        <f t="shared" si="2"/>
        <v>2.4334679537769231E-24</v>
      </c>
    </row>
    <row r="32" spans="1:5" x14ac:dyDescent="0.25">
      <c r="A32">
        <v>1.6498057210124999</v>
      </c>
      <c r="B32">
        <v>0</v>
      </c>
      <c r="C32">
        <f t="shared" si="0"/>
        <v>5.4376434512969354E-15</v>
      </c>
      <c r="D32">
        <f t="shared" si="1"/>
        <v>-5.4376434512969354E-15</v>
      </c>
      <c r="E32">
        <f t="shared" si="2"/>
        <v>2.9567966303432446E-29</v>
      </c>
    </row>
    <row r="33" spans="1:5" x14ac:dyDescent="0.25">
      <c r="A33">
        <v>1.6825949341874999</v>
      </c>
      <c r="B33">
        <v>0</v>
      </c>
      <c r="C33">
        <f t="shared" si="0"/>
        <v>7.7041212338644462E-18</v>
      </c>
      <c r="D33">
        <f t="shared" si="1"/>
        <v>-7.7041212338644462E-18</v>
      </c>
      <c r="E33">
        <f t="shared" si="2"/>
        <v>5.9353483986081042E-35</v>
      </c>
    </row>
    <row r="34" spans="1:5" x14ac:dyDescent="0.25">
      <c r="A34">
        <v>1.7153841473624998</v>
      </c>
      <c r="B34">
        <v>0</v>
      </c>
      <c r="C34">
        <f t="shared" si="0"/>
        <v>3.9467261463255309E-21</v>
      </c>
      <c r="D34">
        <f t="shared" si="1"/>
        <v>-3.9467261463255309E-21</v>
      </c>
      <c r="E34">
        <f t="shared" si="2"/>
        <v>1.5576647274089576E-41</v>
      </c>
    </row>
    <row r="35" spans="1:5" x14ac:dyDescent="0.25">
      <c r="A35">
        <v>1.7481733605374998</v>
      </c>
      <c r="B35">
        <v>0</v>
      </c>
      <c r="C35">
        <f t="shared" si="0"/>
        <v>6.4220911703087971E-25</v>
      </c>
      <c r="D35">
        <f t="shared" si="1"/>
        <v>-6.4220911703087971E-25</v>
      </c>
      <c r="E35">
        <f t="shared" si="2"/>
        <v>4.1243254999758217E-49</v>
      </c>
    </row>
    <row r="36" spans="1:5" x14ac:dyDescent="0.25">
      <c r="A36">
        <v>1.7809625737124999</v>
      </c>
      <c r="B36">
        <v>0</v>
      </c>
      <c r="C36">
        <f t="shared" si="0"/>
        <v>2.8763255894009208E-29</v>
      </c>
      <c r="D36">
        <f t="shared" si="1"/>
        <v>-2.8763255894009208E-29</v>
      </c>
      <c r="E36">
        <f t="shared" si="2"/>
        <v>8.2732488962425543E-58</v>
      </c>
    </row>
    <row r="37" spans="1:5" x14ac:dyDescent="0.25">
      <c r="A37">
        <v>1.8137517868874999</v>
      </c>
      <c r="B37">
        <v>0</v>
      </c>
      <c r="C37">
        <f t="shared" si="0"/>
        <v>3.0275853241146935E-34</v>
      </c>
      <c r="D37">
        <f t="shared" si="1"/>
        <v>-3.0275853241146935E-34</v>
      </c>
      <c r="E37">
        <f t="shared" si="2"/>
        <v>9.1662728947946731E-68</v>
      </c>
    </row>
    <row r="38" spans="1:5" x14ac:dyDescent="0.25">
      <c r="A38">
        <v>1.8465410000625</v>
      </c>
      <c r="B38">
        <v>0</v>
      </c>
      <c r="C38">
        <f t="shared" si="0"/>
        <v>6.2933096397694024E-40</v>
      </c>
      <c r="D38">
        <f t="shared" si="1"/>
        <v>-6.2933096397694024E-40</v>
      </c>
      <c r="E38">
        <f t="shared" si="2"/>
        <v>3.9605746222014486E-79</v>
      </c>
    </row>
    <row r="39" spans="1:5" x14ac:dyDescent="0.25">
      <c r="A39">
        <v>1.8793302132375</v>
      </c>
      <c r="B39">
        <v>0</v>
      </c>
      <c r="C39">
        <f t="shared" si="0"/>
        <v>2.1335814819755101E-46</v>
      </c>
      <c r="D39">
        <f t="shared" si="1"/>
        <v>-2.1335814819755101E-46</v>
      </c>
      <c r="E39">
        <f t="shared" si="2"/>
        <v>4.5521699402288143E-92</v>
      </c>
    </row>
    <row r="40" spans="1:5" x14ac:dyDescent="0.25">
      <c r="A40">
        <v>1.9121194264125001</v>
      </c>
      <c r="B40">
        <v>1.9164153951051741E-3</v>
      </c>
      <c r="C40">
        <f t="shared" si="0"/>
        <v>9.5634429468991743E-54</v>
      </c>
      <c r="D40">
        <f t="shared" si="1"/>
        <v>1.9164153951051741E-3</v>
      </c>
      <c r="E40">
        <f t="shared" si="2"/>
        <v>3.6726479665961205E-6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2DF4-E12F-484E-A947-02809BC4C3A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0.76085075757500009</v>
      </c>
      <c r="B1">
        <v>2.5996509062002789E-2</v>
      </c>
      <c r="C1">
        <f>$H$3*(1+$H$1)*(A1^($H$1))*EXP(-$H$3*(A1^(1+$H$1)))</f>
        <v>0.28691862778266974</v>
      </c>
      <c r="D1">
        <f>B1-C1</f>
        <v>-0.26092211872066695</v>
      </c>
      <c r="E1">
        <f>D1^2</f>
        <v>6.8080352037681813E-2</v>
      </c>
      <c r="G1" t="s">
        <v>0</v>
      </c>
      <c r="H1">
        <v>12.002024058722235</v>
      </c>
    </row>
    <row r="2" spans="1:8" x14ac:dyDescent="0.25">
      <c r="A2">
        <v>0.78743953072500006</v>
      </c>
      <c r="B2">
        <v>0.10398603624801116</v>
      </c>
      <c r="C2">
        <f t="shared" ref="C2:C40" si="0">$H$3*(1+$H$1)*(A2^($H$1))*EXP(-$H$3*(A2^(1+$H$1)))</f>
        <v>0.42916643961798551</v>
      </c>
      <c r="D2">
        <f t="shared" ref="D2:D40" si="1">B2-C2</f>
        <v>-0.32518040336997434</v>
      </c>
      <c r="E2">
        <f t="shared" ref="E2:E40" si="2">D2^2</f>
        <v>0.10574229473585922</v>
      </c>
    </row>
    <row r="3" spans="1:8" x14ac:dyDescent="0.25">
      <c r="A3">
        <v>0.81402830387500003</v>
      </c>
      <c r="B3">
        <v>0.35213453183985599</v>
      </c>
      <c r="C3">
        <f t="shared" si="0"/>
        <v>0.63017635587343079</v>
      </c>
      <c r="D3">
        <f t="shared" si="1"/>
        <v>-0.2780418240335748</v>
      </c>
      <c r="E3">
        <f t="shared" si="2"/>
        <v>7.730725591191738E-2</v>
      </c>
      <c r="G3" t="s">
        <v>1</v>
      </c>
      <c r="H3">
        <f>(_xlfn.GAMMA((2+$H$1)/(1+$H$1)))^(1+$H$1)</f>
        <v>0.5967764279623381</v>
      </c>
    </row>
    <row r="4" spans="1:8" x14ac:dyDescent="0.25">
      <c r="A4">
        <v>0.8406170770250001</v>
      </c>
      <c r="B4">
        <v>0.81061841893335973</v>
      </c>
      <c r="C4">
        <f t="shared" si="0"/>
        <v>0.907262282291314</v>
      </c>
      <c r="D4">
        <f t="shared" si="1"/>
        <v>-9.6643863357954274E-2</v>
      </c>
      <c r="E4">
        <f t="shared" si="2"/>
        <v>9.3400363247509374E-3</v>
      </c>
    </row>
    <row r="5" spans="1:8" x14ac:dyDescent="0.25">
      <c r="A5">
        <v>0.86720585017500007</v>
      </c>
      <c r="B5">
        <v>1.5527005867032575</v>
      </c>
      <c r="C5">
        <f t="shared" si="0"/>
        <v>1.277950066178382</v>
      </c>
      <c r="D5">
        <f t="shared" si="1"/>
        <v>0.27475052052487547</v>
      </c>
      <c r="E5">
        <f t="shared" si="2"/>
        <v>7.5487848528690019E-2</v>
      </c>
      <c r="G5" t="s">
        <v>2</v>
      </c>
      <c r="H5">
        <f>SUM(E1:E40)</f>
        <v>5.3035970977749969</v>
      </c>
    </row>
    <row r="6" spans="1:8" x14ac:dyDescent="0.25">
      <c r="A6">
        <v>0.89379462332500004</v>
      </c>
      <c r="B6">
        <v>2.3349591775689778</v>
      </c>
      <c r="C6">
        <f t="shared" si="0"/>
        <v>1.7554076132658192</v>
      </c>
      <c r="D6">
        <f t="shared" si="1"/>
        <v>0.57955156430315857</v>
      </c>
      <c r="E6">
        <f t="shared" si="2"/>
        <v>0.33588001568623815</v>
      </c>
    </row>
    <row r="7" spans="1:8" x14ac:dyDescent="0.25">
      <c r="A7">
        <v>0.920383396475</v>
      </c>
      <c r="B7">
        <v>3.2424736757334389</v>
      </c>
      <c r="C7">
        <f t="shared" si="0"/>
        <v>2.3401643074570582</v>
      </c>
      <c r="D7">
        <f t="shared" si="1"/>
        <v>0.90230936827638075</v>
      </c>
      <c r="E7">
        <f t="shared" si="2"/>
        <v>0.81416219607932128</v>
      </c>
    </row>
    <row r="8" spans="1:8" x14ac:dyDescent="0.25">
      <c r="A8">
        <v>0.94697216962500008</v>
      </c>
      <c r="B8">
        <v>4.0932685177626214</v>
      </c>
      <c r="C8">
        <f t="shared" si="0"/>
        <v>3.0074433724107346</v>
      </c>
      <c r="D8">
        <f t="shared" si="1"/>
        <v>1.0858251453518868</v>
      </c>
      <c r="E8">
        <f t="shared" si="2"/>
        <v>1.1790162462784461</v>
      </c>
    </row>
    <row r="9" spans="1:8" x14ac:dyDescent="0.25">
      <c r="A9">
        <v>0.97356094277500005</v>
      </c>
      <c r="B9">
        <v>4.3130571852868265</v>
      </c>
      <c r="C9">
        <f t="shared" si="0"/>
        <v>3.6916733925326826</v>
      </c>
      <c r="D9">
        <f t="shared" si="1"/>
        <v>0.6213837927541439</v>
      </c>
      <c r="E9">
        <f t="shared" si="2"/>
        <v>0.38611781789752486</v>
      </c>
    </row>
    <row r="10" spans="1:8" x14ac:dyDescent="0.25">
      <c r="A10">
        <v>1.0001497159250001</v>
      </c>
      <c r="B10">
        <v>4.6368318890590432</v>
      </c>
      <c r="C10">
        <f t="shared" si="0"/>
        <v>4.2748538313044575</v>
      </c>
      <c r="D10">
        <f t="shared" si="1"/>
        <v>0.36197805775458569</v>
      </c>
      <c r="E10">
        <f t="shared" si="2"/>
        <v>0.13102811429578218</v>
      </c>
    </row>
    <row r="11" spans="1:8" x14ac:dyDescent="0.25">
      <c r="A11">
        <v>1.026738489075</v>
      </c>
      <c r="B11">
        <v>4.2114344680444518</v>
      </c>
      <c r="C11">
        <f t="shared" si="0"/>
        <v>4.5931236005337661</v>
      </c>
      <c r="D11">
        <f t="shared" si="1"/>
        <v>-0.38168913248931435</v>
      </c>
      <c r="E11">
        <f t="shared" si="2"/>
        <v>0.14568659386044536</v>
      </c>
    </row>
    <row r="12" spans="1:8" x14ac:dyDescent="0.25">
      <c r="A12">
        <v>1.0533272622250001</v>
      </c>
      <c r="B12">
        <v>3.7104108388494894</v>
      </c>
      <c r="C12">
        <f t="shared" si="0"/>
        <v>4.4806242746004488</v>
      </c>
      <c r="D12">
        <f t="shared" si="1"/>
        <v>-0.77021343575095935</v>
      </c>
      <c r="E12">
        <f t="shared" si="2"/>
        <v>0.59322873661129716</v>
      </c>
    </row>
    <row r="13" spans="1:8" x14ac:dyDescent="0.25">
      <c r="A13">
        <v>1.0799160353750001</v>
      </c>
      <c r="B13">
        <v>2.9565120760514083</v>
      </c>
      <c r="C13">
        <f t="shared" si="0"/>
        <v>3.8575311037597371</v>
      </c>
      <c r="D13">
        <f t="shared" si="1"/>
        <v>-0.90101902770832876</v>
      </c>
      <c r="E13">
        <f t="shared" si="2"/>
        <v>0.8118352882924621</v>
      </c>
    </row>
    <row r="14" spans="1:8" x14ac:dyDescent="0.25">
      <c r="A14">
        <v>1.106504808525</v>
      </c>
      <c r="B14">
        <v>2.2167932272871469</v>
      </c>
      <c r="C14">
        <f t="shared" si="0"/>
        <v>2.825706571585437</v>
      </c>
      <c r="D14">
        <f t="shared" si="1"/>
        <v>-0.60891334429829014</v>
      </c>
      <c r="E14">
        <f t="shared" si="2"/>
        <v>0.37077546086452801</v>
      </c>
    </row>
    <row r="15" spans="1:8" x14ac:dyDescent="0.25">
      <c r="A15">
        <v>1.1330935816750001</v>
      </c>
      <c r="B15">
        <v>1.3778149802861479</v>
      </c>
      <c r="C15">
        <f t="shared" si="0"/>
        <v>1.6803876950724432</v>
      </c>
      <c r="D15">
        <f t="shared" si="1"/>
        <v>-0.30257271478629533</v>
      </c>
      <c r="E15">
        <f t="shared" si="2"/>
        <v>9.1550247733148821E-2</v>
      </c>
    </row>
    <row r="16" spans="1:8" x14ac:dyDescent="0.25">
      <c r="A16">
        <v>1.1596823548250002</v>
      </c>
      <c r="B16">
        <v>0.83425160898972595</v>
      </c>
      <c r="C16">
        <f t="shared" si="0"/>
        <v>0.7641769460195128</v>
      </c>
      <c r="D16">
        <f t="shared" si="1"/>
        <v>7.0074662970213142E-2</v>
      </c>
      <c r="E16">
        <f t="shared" si="2"/>
        <v>4.9104583903889611E-3</v>
      </c>
    </row>
    <row r="17" spans="1:5" x14ac:dyDescent="0.25">
      <c r="A17">
        <v>1.186271127975</v>
      </c>
      <c r="B17">
        <v>0.48684371516114316</v>
      </c>
      <c r="C17">
        <f t="shared" si="0"/>
        <v>0.24638388490996249</v>
      </c>
      <c r="D17">
        <f t="shared" si="1"/>
        <v>0.24045983025118067</v>
      </c>
      <c r="E17">
        <f t="shared" si="2"/>
        <v>5.7820929964426622E-2</v>
      </c>
    </row>
    <row r="18" spans="1:5" x14ac:dyDescent="0.25">
      <c r="A18">
        <v>1.2128599011249999</v>
      </c>
      <c r="B18">
        <v>0.25287513360311803</v>
      </c>
      <c r="C18">
        <f t="shared" si="0"/>
        <v>5.120276811181354E-2</v>
      </c>
      <c r="D18">
        <f t="shared" si="1"/>
        <v>0.20167236549130449</v>
      </c>
      <c r="E18">
        <f t="shared" si="2"/>
        <v>4.06717430028583E-2</v>
      </c>
    </row>
    <row r="19" spans="1:5" x14ac:dyDescent="0.25">
      <c r="A19">
        <v>1.2394486742749999</v>
      </c>
      <c r="B19">
        <v>7.3262889174735141E-2</v>
      </c>
      <c r="C19">
        <f t="shared" si="0"/>
        <v>6.0875682133400616E-3</v>
      </c>
      <c r="D19">
        <f t="shared" si="1"/>
        <v>6.7175320961395085E-2</v>
      </c>
      <c r="E19">
        <f t="shared" si="2"/>
        <v>4.5125237462664463E-3</v>
      </c>
    </row>
    <row r="20" spans="1:5" x14ac:dyDescent="0.25">
      <c r="A20">
        <v>1.266037447425</v>
      </c>
      <c r="B20">
        <v>2.1269871050729555E-2</v>
      </c>
      <c r="C20">
        <f t="shared" si="0"/>
        <v>3.5690419845352852E-4</v>
      </c>
      <c r="D20">
        <f t="shared" si="1"/>
        <v>2.0912966852276026E-2</v>
      </c>
      <c r="E20">
        <f t="shared" si="2"/>
        <v>4.3735218256439579E-4</v>
      </c>
    </row>
    <row r="21" spans="1:5" x14ac:dyDescent="0.25">
      <c r="A21">
        <v>1.2926262205749999</v>
      </c>
      <c r="B21">
        <v>0</v>
      </c>
      <c r="C21">
        <f t="shared" si="0"/>
        <v>8.5832340173232425E-6</v>
      </c>
      <c r="D21">
        <f t="shared" si="1"/>
        <v>-8.5832340173232425E-6</v>
      </c>
      <c r="E21">
        <f t="shared" si="2"/>
        <v>7.3671906196134893E-11</v>
      </c>
    </row>
    <row r="22" spans="1:5" x14ac:dyDescent="0.25">
      <c r="A22">
        <v>1.319214993725</v>
      </c>
      <c r="B22">
        <v>0</v>
      </c>
      <c r="C22">
        <f t="shared" si="0"/>
        <v>6.7464320587090246E-8</v>
      </c>
      <c r="D22">
        <f t="shared" si="1"/>
        <v>-6.7464320587090246E-8</v>
      </c>
      <c r="E22">
        <f t="shared" si="2"/>
        <v>4.551434552277689E-15</v>
      </c>
    </row>
    <row r="23" spans="1:5" x14ac:dyDescent="0.25">
      <c r="A23">
        <v>1.345803766875</v>
      </c>
      <c r="B23">
        <v>0</v>
      </c>
      <c r="C23">
        <f t="shared" si="0"/>
        <v>1.3110245318240424E-10</v>
      </c>
      <c r="D23">
        <f t="shared" si="1"/>
        <v>-1.3110245318240424E-10</v>
      </c>
      <c r="E23">
        <f t="shared" si="2"/>
        <v>1.7187853230444495E-20</v>
      </c>
    </row>
    <row r="24" spans="1:5" x14ac:dyDescent="0.25">
      <c r="A24">
        <v>1.3723925400249999</v>
      </c>
      <c r="B24">
        <v>0</v>
      </c>
      <c r="C24">
        <f t="shared" si="0"/>
        <v>4.4769264080178233E-14</v>
      </c>
      <c r="D24">
        <f t="shared" si="1"/>
        <v>-4.4769264080178233E-14</v>
      </c>
      <c r="E24">
        <f t="shared" si="2"/>
        <v>2.0042870062807371E-27</v>
      </c>
    </row>
    <row r="25" spans="1:5" x14ac:dyDescent="0.25">
      <c r="A25">
        <v>1.3989813131749997</v>
      </c>
      <c r="B25">
        <v>0</v>
      </c>
      <c r="C25">
        <f t="shared" si="0"/>
        <v>1.7721918190180256E-18</v>
      </c>
      <c r="D25">
        <f t="shared" si="1"/>
        <v>-1.7721918190180256E-18</v>
      </c>
      <c r="E25">
        <f t="shared" si="2"/>
        <v>3.1406638433944186E-36</v>
      </c>
    </row>
    <row r="26" spans="1:5" x14ac:dyDescent="0.25">
      <c r="A26">
        <v>1.425570086325</v>
      </c>
      <c r="B26">
        <v>0</v>
      </c>
      <c r="C26">
        <f t="shared" si="0"/>
        <v>4.9080967001591098E-24</v>
      </c>
      <c r="D26">
        <f t="shared" si="1"/>
        <v>-4.9080967001591098E-24</v>
      </c>
      <c r="E26">
        <f t="shared" si="2"/>
        <v>2.4089413218112741E-47</v>
      </c>
    </row>
    <row r="27" spans="1:5" x14ac:dyDescent="0.25">
      <c r="A27">
        <v>1.4521588594749999</v>
      </c>
      <c r="B27">
        <v>0</v>
      </c>
      <c r="C27">
        <f t="shared" si="0"/>
        <v>5.1642233421040587E-31</v>
      </c>
      <c r="D27">
        <f t="shared" si="1"/>
        <v>-5.1642233421040587E-31</v>
      </c>
      <c r="E27">
        <f t="shared" si="2"/>
        <v>2.6669202727132413E-61</v>
      </c>
    </row>
    <row r="28" spans="1:5" x14ac:dyDescent="0.25">
      <c r="A28">
        <v>1.478747632625</v>
      </c>
      <c r="B28">
        <v>0</v>
      </c>
      <c r="C28">
        <f t="shared" si="0"/>
        <v>9.891132229782252E-40</v>
      </c>
      <c r="D28">
        <f t="shared" si="1"/>
        <v>-9.891132229782252E-40</v>
      </c>
      <c r="E28">
        <f t="shared" si="2"/>
        <v>9.7834496787037224E-79</v>
      </c>
    </row>
    <row r="29" spans="1:5" x14ac:dyDescent="0.25">
      <c r="A29">
        <v>1.5053364057750001</v>
      </c>
      <c r="B29">
        <v>0</v>
      </c>
      <c r="C29">
        <f t="shared" si="0"/>
        <v>1.4253110250859218E-50</v>
      </c>
      <c r="D29">
        <f t="shared" si="1"/>
        <v>-1.4253110250859218E-50</v>
      </c>
      <c r="E29">
        <f t="shared" si="2"/>
        <v>2.0315115182314812E-100</v>
      </c>
    </row>
    <row r="30" spans="1:5" x14ac:dyDescent="0.25">
      <c r="A30">
        <v>1.5319251789249999</v>
      </c>
      <c r="B30">
        <v>0</v>
      </c>
      <c r="C30">
        <f t="shared" si="0"/>
        <v>5.3666911779092867E-64</v>
      </c>
      <c r="D30">
        <f t="shared" si="1"/>
        <v>-5.3666911779092867E-64</v>
      </c>
      <c r="E30">
        <f t="shared" si="2"/>
        <v>2.8801374199049367E-127</v>
      </c>
    </row>
    <row r="31" spans="1:5" x14ac:dyDescent="0.25">
      <c r="A31">
        <v>1.558513952075</v>
      </c>
      <c r="B31">
        <v>0</v>
      </c>
      <c r="C31">
        <f t="shared" si="0"/>
        <v>1.4950266731389708E-80</v>
      </c>
      <c r="D31">
        <f t="shared" si="1"/>
        <v>-1.4950266731389708E-80</v>
      </c>
      <c r="E31">
        <f t="shared" si="2"/>
        <v>2.2351047533969791E-160</v>
      </c>
    </row>
    <row r="32" spans="1:5" x14ac:dyDescent="0.25">
      <c r="A32">
        <v>1.5851027252250001</v>
      </c>
      <c r="B32">
        <v>0</v>
      </c>
      <c r="C32">
        <f t="shared" si="0"/>
        <v>6.8694497718068742E-101</v>
      </c>
      <c r="D32">
        <f t="shared" si="1"/>
        <v>-6.8694497718068742E-101</v>
      </c>
      <c r="E32">
        <f t="shared" si="2"/>
        <v>4.7189340167377518E-201</v>
      </c>
    </row>
    <row r="33" spans="1:5" x14ac:dyDescent="0.25">
      <c r="A33">
        <v>1.6116914983749999</v>
      </c>
      <c r="B33">
        <v>0</v>
      </c>
      <c r="C33">
        <f t="shared" si="0"/>
        <v>8.7801931403696027E-126</v>
      </c>
      <c r="D33">
        <f t="shared" si="1"/>
        <v>-8.7801931403696027E-126</v>
      </c>
      <c r="E33">
        <f t="shared" si="2"/>
        <v>7.7091791582193419E-251</v>
      </c>
    </row>
    <row r="34" spans="1:5" x14ac:dyDescent="0.25">
      <c r="A34">
        <v>1.6382802715249998</v>
      </c>
      <c r="B34">
        <v>0</v>
      </c>
      <c r="C34">
        <f t="shared" si="0"/>
        <v>3.8040539245867248E-156</v>
      </c>
      <c r="D34">
        <f t="shared" si="1"/>
        <v>-3.8040539245867248E-156</v>
      </c>
      <c r="E34">
        <f t="shared" si="2"/>
        <v>0</v>
      </c>
    </row>
    <row r="35" spans="1:5" x14ac:dyDescent="0.25">
      <c r="A35">
        <v>1.6648690446750001</v>
      </c>
      <c r="B35">
        <v>0</v>
      </c>
      <c r="C35">
        <f t="shared" si="0"/>
        <v>4.6676111814997752E-193</v>
      </c>
      <c r="D35">
        <f t="shared" si="1"/>
        <v>-4.6676111814997752E-193</v>
      </c>
      <c r="E35">
        <f t="shared" si="2"/>
        <v>0</v>
      </c>
    </row>
    <row r="36" spans="1:5" x14ac:dyDescent="0.25">
      <c r="A36">
        <v>1.6914578178249999</v>
      </c>
      <c r="B36">
        <v>0</v>
      </c>
      <c r="C36">
        <f t="shared" si="0"/>
        <v>8.7517542494835978E-238</v>
      </c>
      <c r="D36">
        <f t="shared" si="1"/>
        <v>-8.7517542494835978E-238</v>
      </c>
      <c r="E36">
        <f t="shared" si="2"/>
        <v>0</v>
      </c>
    </row>
    <row r="37" spans="1:5" x14ac:dyDescent="0.25">
      <c r="A37">
        <v>1.718046590975</v>
      </c>
      <c r="B37">
        <v>0</v>
      </c>
      <c r="C37">
        <f t="shared" si="0"/>
        <v>8.1621384296536211E-292</v>
      </c>
      <c r="D37">
        <f t="shared" si="1"/>
        <v>-8.1621384296536211E-292</v>
      </c>
      <c r="E37">
        <f t="shared" si="2"/>
        <v>0</v>
      </c>
    </row>
    <row r="38" spans="1:5" x14ac:dyDescent="0.25">
      <c r="A38">
        <v>1.7446353641249999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1.7712241372749999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1.7978129104249998</v>
      </c>
      <c r="B40">
        <v>2.3633190056366175E-3</v>
      </c>
      <c r="C40">
        <f t="shared" si="0"/>
        <v>0</v>
      </c>
      <c r="D40">
        <f t="shared" si="1"/>
        <v>2.3633190056366175E-3</v>
      </c>
      <c r="E40">
        <f t="shared" si="2"/>
        <v>5.5852767224032501E-6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343F-B7FE-4876-A40A-19B9FB11396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0.83033042239999999</v>
      </c>
      <c r="B1">
        <v>4.0222651038610766E-2</v>
      </c>
      <c r="C1">
        <f>$H$3*(1+$H$1)*(A1^($H$1))*EXP(-$H$3*(A1^(1+$H$1)))</f>
        <v>0.41593071292929273</v>
      </c>
      <c r="D1">
        <f>B1-C1</f>
        <v>-0.37570806189068195</v>
      </c>
      <c r="E1">
        <f>D1^2</f>
        <v>0.1411565477696525</v>
      </c>
      <c r="G1" t="s">
        <v>0</v>
      </c>
      <c r="H1">
        <v>17.411952426163015</v>
      </c>
    </row>
    <row r="2" spans="1:8" x14ac:dyDescent="0.25">
      <c r="A2">
        <v>0.85376414119999999</v>
      </c>
      <c r="B2">
        <v>0.21452080553925743</v>
      </c>
      <c r="C2">
        <f t="shared" ref="C2:C40" si="0">$H$3*(1+$H$1)*(A2^($H$1))*EXP(-$H$3*(A2^(1+$H$1)))</f>
        <v>0.66668505659691268</v>
      </c>
      <c r="D2">
        <f t="shared" ref="D2:D40" si="1">B2-C2</f>
        <v>-0.45216425105765523</v>
      </c>
      <c r="E2">
        <f t="shared" ref="E2:E40" si="2">D2^2</f>
        <v>0.20445250993453026</v>
      </c>
    </row>
    <row r="3" spans="1:8" x14ac:dyDescent="0.25">
      <c r="A3">
        <v>0.87719786</v>
      </c>
      <c r="B3">
        <v>0.81249755097993748</v>
      </c>
      <c r="C3">
        <f t="shared" si="0"/>
        <v>1.0464541270628001</v>
      </c>
      <c r="D3">
        <f t="shared" si="1"/>
        <v>-0.23395657608286258</v>
      </c>
      <c r="E3">
        <f t="shared" si="2"/>
        <v>5.4735679492416263E-2</v>
      </c>
      <c r="G3" t="s">
        <v>1</v>
      </c>
      <c r="H3">
        <f>(_xlfn.GAMMA((2+$H$1)/(1+$H$1)))^(1+$H$1)</f>
        <v>0.58643952516343878</v>
      </c>
    </row>
    <row r="4" spans="1:8" x14ac:dyDescent="0.25">
      <c r="A4">
        <v>0.9006315788</v>
      </c>
      <c r="B4">
        <v>1.8797385585377431</v>
      </c>
      <c r="C4">
        <f t="shared" si="0"/>
        <v>1.6025855217495428</v>
      </c>
      <c r="D4">
        <f t="shared" si="1"/>
        <v>0.27715303678820025</v>
      </c>
      <c r="E4">
        <f t="shared" si="2"/>
        <v>7.6813805800921481E-2</v>
      </c>
    </row>
    <row r="5" spans="1:8" x14ac:dyDescent="0.25">
      <c r="A5">
        <v>0.9240652976</v>
      </c>
      <c r="B5">
        <v>3.2017230226734168</v>
      </c>
      <c r="C5">
        <f t="shared" si="0"/>
        <v>2.3803352443161607</v>
      </c>
      <c r="D5">
        <f t="shared" si="1"/>
        <v>0.82138777835725607</v>
      </c>
      <c r="E5">
        <f t="shared" si="2"/>
        <v>0.67467788243466886</v>
      </c>
      <c r="G5" t="s">
        <v>2</v>
      </c>
      <c r="H5">
        <f>SUM(E1:E40)</f>
        <v>9.1050075773018886</v>
      </c>
    </row>
    <row r="6" spans="1:8" x14ac:dyDescent="0.25">
      <c r="A6">
        <v>0.9474990164</v>
      </c>
      <c r="B6">
        <v>4.7730879232484771</v>
      </c>
      <c r="C6">
        <f t="shared" si="0"/>
        <v>3.3974735685798736</v>
      </c>
      <c r="D6">
        <f t="shared" si="1"/>
        <v>1.3756143546686035</v>
      </c>
      <c r="E6">
        <f t="shared" si="2"/>
        <v>1.8923148527703184</v>
      </c>
    </row>
    <row r="7" spans="1:8" x14ac:dyDescent="0.25">
      <c r="A7">
        <v>0.97093273520000001</v>
      </c>
      <c r="B7">
        <v>5.8644625214294495</v>
      </c>
      <c r="C7">
        <f t="shared" si="0"/>
        <v>4.5951992344007841</v>
      </c>
      <c r="D7">
        <f t="shared" si="1"/>
        <v>1.2692632870286653</v>
      </c>
      <c r="E7">
        <f t="shared" si="2"/>
        <v>1.611029291798812</v>
      </c>
    </row>
    <row r="8" spans="1:8" x14ac:dyDescent="0.25">
      <c r="A8">
        <v>0.99436645400000001</v>
      </c>
      <c r="B8">
        <v>6.5482475890858325</v>
      </c>
      <c r="C8">
        <f t="shared" si="0"/>
        <v>5.7686681835556932</v>
      </c>
      <c r="D8">
        <f t="shared" si="1"/>
        <v>0.77957940553013927</v>
      </c>
      <c r="E8">
        <f t="shared" si="2"/>
        <v>0.60774404952672534</v>
      </c>
    </row>
    <row r="9" spans="1:8" x14ac:dyDescent="0.25">
      <c r="A9">
        <v>1.0178001727999999</v>
      </c>
      <c r="B9">
        <v>6.0039010450299672</v>
      </c>
      <c r="C9">
        <f t="shared" si="0"/>
        <v>6.5207720339443132</v>
      </c>
      <c r="D9">
        <f t="shared" si="1"/>
        <v>-0.51687098891434591</v>
      </c>
      <c r="E9">
        <f t="shared" si="2"/>
        <v>0.26715561918129388</v>
      </c>
    </row>
    <row r="10" spans="1:8" x14ac:dyDescent="0.25">
      <c r="A10">
        <v>1.0412338916000001</v>
      </c>
      <c r="B10">
        <v>5.1726329235653443</v>
      </c>
      <c r="C10">
        <f t="shared" si="0"/>
        <v>6.3525165585696239</v>
      </c>
      <c r="D10">
        <f t="shared" si="1"/>
        <v>-1.1798836350042796</v>
      </c>
      <c r="E10">
        <f t="shared" si="2"/>
        <v>1.392125392150912</v>
      </c>
    </row>
    <row r="11" spans="1:8" x14ac:dyDescent="0.25">
      <c r="A11">
        <v>1.0646676103999999</v>
      </c>
      <c r="B11">
        <v>3.711209935829153</v>
      </c>
      <c r="C11">
        <f t="shared" si="0"/>
        <v>5.0096261229022687</v>
      </c>
      <c r="D11">
        <f t="shared" si="1"/>
        <v>-1.2984161870731157</v>
      </c>
      <c r="E11">
        <f t="shared" si="2"/>
        <v>1.6858845948534882</v>
      </c>
    </row>
    <row r="12" spans="1:8" x14ac:dyDescent="0.25">
      <c r="A12">
        <v>1.0881013292000001</v>
      </c>
      <c r="B12">
        <v>2.3704549012087943</v>
      </c>
      <c r="C12">
        <f t="shared" si="0"/>
        <v>2.9263292829854208</v>
      </c>
      <c r="D12">
        <f t="shared" si="1"/>
        <v>-0.55587438177662651</v>
      </c>
      <c r="E12">
        <f t="shared" si="2"/>
        <v>0.30899632831554674</v>
      </c>
    </row>
    <row r="13" spans="1:8" x14ac:dyDescent="0.25">
      <c r="A13">
        <v>1.1115350479999999</v>
      </c>
      <c r="B13">
        <v>1.2308131217814895</v>
      </c>
      <c r="C13">
        <f t="shared" si="0"/>
        <v>1.1177069071419909</v>
      </c>
      <c r="D13">
        <f t="shared" si="1"/>
        <v>0.11310621463949855</v>
      </c>
      <c r="E13">
        <f t="shared" si="2"/>
        <v>1.2793015790076316E-2</v>
      </c>
    </row>
    <row r="14" spans="1:8" x14ac:dyDescent="0.25">
      <c r="A14">
        <v>1.1349687668000001</v>
      </c>
      <c r="B14">
        <v>0.60602127564840214</v>
      </c>
      <c r="C14">
        <f t="shared" si="0"/>
        <v>0.23458146756624171</v>
      </c>
      <c r="D14">
        <f t="shared" si="1"/>
        <v>0.37143980808216043</v>
      </c>
      <c r="E14">
        <f t="shared" si="2"/>
        <v>0.13796753102811218</v>
      </c>
    </row>
    <row r="15" spans="1:8" x14ac:dyDescent="0.25">
      <c r="A15">
        <v>1.1584024855999999</v>
      </c>
      <c r="B15">
        <v>0.2118392954700167</v>
      </c>
      <c r="C15">
        <f t="shared" si="0"/>
        <v>2.126604077255086E-2</v>
      </c>
      <c r="D15">
        <f t="shared" si="1"/>
        <v>0.19057325469746583</v>
      </c>
      <c r="E15">
        <f t="shared" si="2"/>
        <v>3.6318165405985182E-2</v>
      </c>
    </row>
    <row r="16" spans="1:8" x14ac:dyDescent="0.25">
      <c r="A16">
        <v>1.1818362044000001</v>
      </c>
      <c r="B16">
        <v>2.9496610761647894E-2</v>
      </c>
      <c r="C16">
        <f t="shared" si="0"/>
        <v>5.9815853422387499E-4</v>
      </c>
      <c r="D16">
        <f t="shared" si="1"/>
        <v>2.8898452227424019E-2</v>
      </c>
      <c r="E16">
        <f t="shared" si="2"/>
        <v>8.3512054114070827E-4</v>
      </c>
    </row>
    <row r="17" spans="1:5" x14ac:dyDescent="0.25">
      <c r="A17">
        <v>1.2052699231999999</v>
      </c>
      <c r="B17">
        <v>0</v>
      </c>
      <c r="C17">
        <f t="shared" si="0"/>
        <v>3.3224366281707216E-6</v>
      </c>
      <c r="D17">
        <f t="shared" si="1"/>
        <v>-3.3224366281707216E-6</v>
      </c>
      <c r="E17">
        <f t="shared" si="2"/>
        <v>1.1038585148210434E-11</v>
      </c>
    </row>
    <row r="18" spans="1:5" x14ac:dyDescent="0.25">
      <c r="A18">
        <v>1.2287036420000002</v>
      </c>
      <c r="B18">
        <v>0</v>
      </c>
      <c r="C18">
        <f t="shared" si="0"/>
        <v>1.973817599024638E-9</v>
      </c>
      <c r="D18">
        <f t="shared" si="1"/>
        <v>-1.973817599024638E-9</v>
      </c>
      <c r="E18">
        <f t="shared" si="2"/>
        <v>3.8959559142193867E-18</v>
      </c>
    </row>
    <row r="19" spans="1:5" x14ac:dyDescent="0.25">
      <c r="A19">
        <v>1.2521373607999999</v>
      </c>
      <c r="B19">
        <v>0</v>
      </c>
      <c r="C19">
        <f t="shared" si="0"/>
        <v>5.4842938555050527E-14</v>
      </c>
      <c r="D19">
        <f t="shared" si="1"/>
        <v>-5.4842938555050527E-14</v>
      </c>
      <c r="E19">
        <f t="shared" si="2"/>
        <v>3.0077479093530476E-27</v>
      </c>
    </row>
    <row r="20" spans="1:5" x14ac:dyDescent="0.25">
      <c r="A20">
        <v>1.2755710796000002</v>
      </c>
      <c r="B20">
        <v>0</v>
      </c>
      <c r="C20">
        <f t="shared" si="0"/>
        <v>2.3498257203570077E-20</v>
      </c>
      <c r="D20">
        <f t="shared" si="1"/>
        <v>-2.3498257203570077E-20</v>
      </c>
      <c r="E20">
        <f t="shared" si="2"/>
        <v>5.5216809160513302E-40</v>
      </c>
    </row>
    <row r="21" spans="1:5" x14ac:dyDescent="0.25">
      <c r="A21">
        <v>1.2990047983999999</v>
      </c>
      <c r="B21">
        <v>0</v>
      </c>
      <c r="C21">
        <f t="shared" si="0"/>
        <v>3.5340580022536545E-29</v>
      </c>
      <c r="D21">
        <f t="shared" si="1"/>
        <v>-3.5340580022536545E-29</v>
      </c>
      <c r="E21">
        <f t="shared" si="2"/>
        <v>1.2489565963293091E-57</v>
      </c>
    </row>
    <row r="22" spans="1:5" x14ac:dyDescent="0.25">
      <c r="A22">
        <v>1.3224385172000002</v>
      </c>
      <c r="B22">
        <v>0</v>
      </c>
      <c r="C22">
        <f t="shared" si="0"/>
        <v>2.617787108769473E-41</v>
      </c>
      <c r="D22">
        <f t="shared" si="1"/>
        <v>-2.617787108769473E-41</v>
      </c>
      <c r="E22">
        <f t="shared" si="2"/>
        <v>6.8528093468396363E-82</v>
      </c>
    </row>
    <row r="23" spans="1:5" x14ac:dyDescent="0.25">
      <c r="A23">
        <v>1.3458722359999999</v>
      </c>
      <c r="B23">
        <v>0</v>
      </c>
      <c r="C23">
        <f t="shared" si="0"/>
        <v>7.1460587567419289E-58</v>
      </c>
      <c r="D23">
        <f t="shared" si="1"/>
        <v>-7.1460587567419289E-58</v>
      </c>
      <c r="E23">
        <f t="shared" si="2"/>
        <v>5.1066155754808005E-115</v>
      </c>
    </row>
    <row r="24" spans="1:5" x14ac:dyDescent="0.25">
      <c r="A24">
        <v>1.3693059547999999</v>
      </c>
      <c r="B24">
        <v>0</v>
      </c>
      <c r="C24">
        <f t="shared" si="0"/>
        <v>2.3853229223672546E-80</v>
      </c>
      <c r="D24">
        <f t="shared" si="1"/>
        <v>-2.3853229223672546E-80</v>
      </c>
      <c r="E24">
        <f t="shared" si="2"/>
        <v>5.6897654439706598E-160</v>
      </c>
    </row>
    <row r="25" spans="1:5" x14ac:dyDescent="0.25">
      <c r="A25">
        <v>1.3927396735999999</v>
      </c>
      <c r="B25">
        <v>0</v>
      </c>
      <c r="C25">
        <f t="shared" si="0"/>
        <v>1.1337108599775411E-110</v>
      </c>
      <c r="D25">
        <f t="shared" si="1"/>
        <v>-1.1337108599775411E-110</v>
      </c>
      <c r="E25">
        <f t="shared" si="2"/>
        <v>1.2853003140310157E-220</v>
      </c>
    </row>
    <row r="26" spans="1:5" x14ac:dyDescent="0.25">
      <c r="A26">
        <v>1.4161733924000002</v>
      </c>
      <c r="B26">
        <v>0</v>
      </c>
      <c r="C26">
        <f t="shared" si="0"/>
        <v>2.3337584156934229E-151</v>
      </c>
      <c r="D26">
        <f t="shared" si="1"/>
        <v>-2.3337584156934229E-151</v>
      </c>
      <c r="E26">
        <f t="shared" si="2"/>
        <v>5.4464283428198752E-302</v>
      </c>
    </row>
    <row r="27" spans="1:5" x14ac:dyDescent="0.25">
      <c r="A27">
        <v>1.4396071112</v>
      </c>
      <c r="B27">
        <v>0</v>
      </c>
      <c r="C27">
        <f t="shared" si="0"/>
        <v>1.1403636760027866E-205</v>
      </c>
      <c r="D27">
        <f t="shared" si="1"/>
        <v>-1.1403636760027866E-205</v>
      </c>
      <c r="E27">
        <f t="shared" si="2"/>
        <v>0</v>
      </c>
    </row>
    <row r="28" spans="1:5" x14ac:dyDescent="0.25">
      <c r="A28">
        <v>1.46304083</v>
      </c>
      <c r="B28">
        <v>0</v>
      </c>
      <c r="C28">
        <f t="shared" si="0"/>
        <v>8.2027658886172496E-278</v>
      </c>
      <c r="D28">
        <f t="shared" si="1"/>
        <v>-8.2027658886172496E-278</v>
      </c>
      <c r="E28">
        <f t="shared" si="2"/>
        <v>0</v>
      </c>
    </row>
    <row r="29" spans="1:5" x14ac:dyDescent="0.25">
      <c r="A29">
        <v>1.4864745488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1.5099082676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1.5333419864000002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1.5567757052000002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1.5802094240000002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1.6036431428000002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1.6270768616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1.6505105804000002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1.6739442992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1.6973780180000002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1.7208117368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1.7442454556000002</v>
      </c>
      <c r="B40">
        <v>2.6815100692407176E-3</v>
      </c>
      <c r="C40">
        <f t="shared" si="0"/>
        <v>0</v>
      </c>
      <c r="D40">
        <f t="shared" si="1"/>
        <v>2.6815100692407176E-3</v>
      </c>
      <c r="E40">
        <f t="shared" si="2"/>
        <v>7.1904962514393578E-6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2E78-D577-42E0-8A7B-DDB28C3DE35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0.92703923877499994</v>
      </c>
      <c r="B1">
        <v>0.21248335336083449</v>
      </c>
      <c r="C1">
        <f>$H$3*(1+$H$1)*(A1^($H$1))*EXP(-$H$3*(A1^(1+$H$1)))</f>
        <v>1.126333374627922</v>
      </c>
      <c r="D1">
        <f>B1-C1</f>
        <v>-0.91385002126708759</v>
      </c>
      <c r="E1">
        <f>D1^2</f>
        <v>0.83512186136985644</v>
      </c>
      <c r="G1" t="s">
        <v>0</v>
      </c>
      <c r="H1">
        <v>39.622090122305437</v>
      </c>
    </row>
    <row r="2" spans="1:8" x14ac:dyDescent="0.25">
      <c r="A2">
        <v>0.9462617043249999</v>
      </c>
      <c r="B2">
        <v>2.2261717482881274</v>
      </c>
      <c r="C2">
        <f t="shared" ref="C2:C40" si="0">$H$3*(1+$H$1)*(A2^($H$1))*EXP(-$H$3*(A2^(1+$H$1)))</f>
        <v>2.4541633293547962</v>
      </c>
      <c r="D2">
        <f t="shared" ref="D2:D40" si="1">B2-C2</f>
        <v>-0.22799158106666884</v>
      </c>
      <c r="E2">
        <f t="shared" ref="E2:E40" si="2">D2^2</f>
        <v>5.1980161037279426E-2</v>
      </c>
    </row>
    <row r="3" spans="1:8" x14ac:dyDescent="0.25">
      <c r="A3">
        <v>0.96548416987499996</v>
      </c>
      <c r="B3">
        <v>6.9433021928986527</v>
      </c>
      <c r="C3">
        <f t="shared" si="0"/>
        <v>5.0422321169783544</v>
      </c>
      <c r="D3">
        <f t="shared" si="1"/>
        <v>1.9010700759202983</v>
      </c>
      <c r="E3">
        <f t="shared" si="2"/>
        <v>3.6140674335596086</v>
      </c>
      <c r="G3" t="s">
        <v>1</v>
      </c>
      <c r="H3">
        <f>(_xlfn.GAMMA((2+$H$1)/(1+$H$1)))^(1+$H$1)</f>
        <v>0.57280626407898527</v>
      </c>
    </row>
    <row r="4" spans="1:8" x14ac:dyDescent="0.25">
      <c r="A4">
        <v>0.98470663542500003</v>
      </c>
      <c r="B4">
        <v>12.546324772290504</v>
      </c>
      <c r="C4">
        <f t="shared" si="0"/>
        <v>9.3016137175670668</v>
      </c>
      <c r="D4">
        <f t="shared" si="1"/>
        <v>3.244711054723437</v>
      </c>
      <c r="E4">
        <f t="shared" si="2"/>
        <v>10.528149828644478</v>
      </c>
    </row>
    <row r="5" spans="1:8" x14ac:dyDescent="0.25">
      <c r="A5">
        <v>1.003929100975</v>
      </c>
      <c r="B5">
        <v>13.942176955137832</v>
      </c>
      <c r="C5">
        <f t="shared" si="0"/>
        <v>13.884282080224304</v>
      </c>
      <c r="D5">
        <f t="shared" si="1"/>
        <v>5.7894874913527516E-2</v>
      </c>
      <c r="E5">
        <f t="shared" si="2"/>
        <v>3.3518165412529978E-3</v>
      </c>
      <c r="G5" t="s">
        <v>2</v>
      </c>
      <c r="H5">
        <f>SUM(E1:E40)</f>
        <v>27.068453794702009</v>
      </c>
    </row>
    <row r="6" spans="1:8" x14ac:dyDescent="0.25">
      <c r="A6">
        <v>1.0231515665249999</v>
      </c>
      <c r="B6">
        <v>10.244966606659311</v>
      </c>
      <c r="C6">
        <f t="shared" si="0"/>
        <v>13.498110588995225</v>
      </c>
      <c r="D6">
        <f t="shared" si="1"/>
        <v>-3.2531439823359136</v>
      </c>
      <c r="E6">
        <f t="shared" si="2"/>
        <v>10.582945769808367</v>
      </c>
    </row>
    <row r="7" spans="1:8" x14ac:dyDescent="0.25">
      <c r="A7">
        <v>1.0423740320749999</v>
      </c>
      <c r="B7">
        <v>4.6027163312623838</v>
      </c>
      <c r="C7">
        <f t="shared" si="0"/>
        <v>5.47392433201213</v>
      </c>
      <c r="D7">
        <f t="shared" si="1"/>
        <v>-0.87120800074974625</v>
      </c>
      <c r="E7">
        <f t="shared" si="2"/>
        <v>0.75900338057036987</v>
      </c>
    </row>
    <row r="8" spans="1:8" x14ac:dyDescent="0.25">
      <c r="A8">
        <v>1.0615964976250001</v>
      </c>
      <c r="B8">
        <v>1.2029826774890322</v>
      </c>
      <c r="C8">
        <f t="shared" si="0"/>
        <v>0.37573058267627418</v>
      </c>
      <c r="D8">
        <f t="shared" si="1"/>
        <v>0.82725209481275797</v>
      </c>
      <c r="E8">
        <f t="shared" si="2"/>
        <v>0.68434602837209635</v>
      </c>
    </row>
    <row r="9" spans="1:8" x14ac:dyDescent="0.25">
      <c r="A9">
        <v>1.080818963175</v>
      </c>
      <c r="B9">
        <v>9.8069240012692835E-2</v>
      </c>
      <c r="C9">
        <f t="shared" si="0"/>
        <v>7.2023589182534443E-4</v>
      </c>
      <c r="D9">
        <f t="shared" si="1"/>
        <v>9.7349004120867486E-2</v>
      </c>
      <c r="E9">
        <f t="shared" si="2"/>
        <v>9.4768286033246746E-3</v>
      </c>
    </row>
    <row r="10" spans="1:8" x14ac:dyDescent="0.25">
      <c r="A10">
        <v>1.100041428725</v>
      </c>
      <c r="B10">
        <v>0</v>
      </c>
      <c r="C10">
        <f t="shared" si="0"/>
        <v>1.102681938561969E-9</v>
      </c>
      <c r="D10">
        <f t="shared" si="1"/>
        <v>-1.102681938561969E-9</v>
      </c>
      <c r="E10">
        <f t="shared" si="2"/>
        <v>1.2159074576307819E-18</v>
      </c>
    </row>
    <row r="11" spans="1:8" x14ac:dyDescent="0.25">
      <c r="A11">
        <v>1.1192638942749999</v>
      </c>
      <c r="B11">
        <v>0</v>
      </c>
      <c r="C11">
        <f t="shared" si="0"/>
        <v>1.3223540464235346E-21</v>
      </c>
      <c r="D11">
        <f t="shared" si="1"/>
        <v>-1.3223540464235346E-21</v>
      </c>
      <c r="E11">
        <f t="shared" si="2"/>
        <v>1.7486202240926956E-42</v>
      </c>
    </row>
    <row r="12" spans="1:8" x14ac:dyDescent="0.25">
      <c r="A12">
        <v>1.1384863598249999</v>
      </c>
      <c r="B12">
        <v>0</v>
      </c>
      <c r="C12">
        <f t="shared" si="0"/>
        <v>1.9892342650120067E-45</v>
      </c>
      <c r="D12">
        <f t="shared" si="1"/>
        <v>-1.9892342650120067E-45</v>
      </c>
      <c r="E12">
        <f t="shared" si="2"/>
        <v>3.9570529610978582E-90</v>
      </c>
    </row>
    <row r="13" spans="1:8" x14ac:dyDescent="0.25">
      <c r="A13">
        <v>1.1577088253749999</v>
      </c>
      <c r="B13">
        <v>0</v>
      </c>
      <c r="C13">
        <f t="shared" si="0"/>
        <v>3.4244353534265685E-92</v>
      </c>
      <c r="D13">
        <f t="shared" si="1"/>
        <v>-3.4244353534265685E-92</v>
      </c>
      <c r="E13">
        <f t="shared" si="2"/>
        <v>1.1726757489797746E-183</v>
      </c>
    </row>
    <row r="14" spans="1:8" x14ac:dyDescent="0.25">
      <c r="A14">
        <v>1.176931290925</v>
      </c>
      <c r="B14">
        <v>0</v>
      </c>
      <c r="C14">
        <f t="shared" si="0"/>
        <v>1.0608614748629715E-182</v>
      </c>
      <c r="D14">
        <f t="shared" si="1"/>
        <v>-1.0608614748629715E-182</v>
      </c>
      <c r="E14">
        <f t="shared" si="2"/>
        <v>0</v>
      </c>
    </row>
    <row r="15" spans="1:8" x14ac:dyDescent="0.25">
      <c r="A15">
        <v>1.196153756475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1.215376222025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1.2345986875749999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1.2538211531250001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1.273043618675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1.292266084225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1.311488549775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1.3307110153250001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1.3499334808750001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1.369155946425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1.388378411975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1.407600877525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1.4268233430749999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1.4460458086249999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1.4652682741750001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1.484490739725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1.503713205275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1.5229356708249999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1.5421581363749999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1.5613806019249998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1.580603067475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1.5998255330250002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1.6190479985750001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1.6382704641249999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1.6574929296750001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1.676715395225</v>
      </c>
      <c r="B40">
        <v>3.268974667089761E-3</v>
      </c>
      <c r="C40">
        <f t="shared" si="0"/>
        <v>0</v>
      </c>
      <c r="D40">
        <f t="shared" si="1"/>
        <v>3.268974667089761E-3</v>
      </c>
      <c r="E40">
        <f t="shared" si="2"/>
        <v>1.0686195374074614E-5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2F89-E17F-48E2-B53E-FFA3FE09D72B}">
  <dimension ref="A1:H40"/>
  <sheetViews>
    <sheetView tabSelected="1" workbookViewId="0">
      <selection activeCell="K13" sqref="K13"/>
    </sheetView>
  </sheetViews>
  <sheetFormatPr defaultColWidth="11" defaultRowHeight="15.75" x14ac:dyDescent="0.25"/>
  <sheetData>
    <row r="1" spans="1:8" x14ac:dyDescent="0.25">
      <c r="A1">
        <v>0.98211891693749998</v>
      </c>
      <c r="B1">
        <v>8.0314681768865874</v>
      </c>
      <c r="C1">
        <f>$H$3*(1+$H$1)*(A1^($H$1))*EXP(-$H$3*(A1^(1+$H$1)))</f>
        <v>7.2910517051408332</v>
      </c>
      <c r="D1">
        <f>B1-C1</f>
        <v>0.7404164717457542</v>
      </c>
      <c r="E1">
        <f>D1^2</f>
        <v>0.54821655163243121</v>
      </c>
      <c r="G1" t="s">
        <v>0</v>
      </c>
      <c r="H1">
        <v>121.12880072491534</v>
      </c>
    </row>
    <row r="2" spans="1:8" x14ac:dyDescent="0.25">
      <c r="A2">
        <v>0.99901863481250008</v>
      </c>
      <c r="B2">
        <v>39.65909239568164</v>
      </c>
      <c r="C2">
        <f t="shared" ref="C2:C40" si="0">$H$3*(1+$H$1)*(A2^($H$1))*EXP(-$H$3*(A2^(1+$H$1)))</f>
        <v>37.124337322537201</v>
      </c>
      <c r="D2">
        <f t="shared" ref="D2:D40" si="1">B2-C2</f>
        <v>2.5347550731444386</v>
      </c>
      <c r="E2">
        <f t="shared" ref="E2:E40" si="2">D2^2</f>
        <v>6.4249832808314684</v>
      </c>
    </row>
    <row r="3" spans="1:8" x14ac:dyDescent="0.25">
      <c r="A3">
        <v>1.0159183526875002</v>
      </c>
      <c r="B3">
        <v>11.455996968975729</v>
      </c>
      <c r="C3">
        <f t="shared" si="0"/>
        <v>9.5648383661736194</v>
      </c>
      <c r="D3">
        <f t="shared" si="1"/>
        <v>1.8911586028021095</v>
      </c>
      <c r="E3">
        <f t="shared" si="2"/>
        <v>3.5764808609524268</v>
      </c>
      <c r="G3" t="s">
        <v>1</v>
      </c>
      <c r="H3">
        <f>(_xlfn.GAMMA((2+$H$1)/(1+$H$1)))^(1+$H$1)</f>
        <v>0.56523824855421723</v>
      </c>
    </row>
    <row r="4" spans="1:8" x14ac:dyDescent="0.25">
      <c r="A4">
        <v>1.0328180705625001</v>
      </c>
      <c r="B4">
        <v>1.8591361520570802E-2</v>
      </c>
      <c r="C4">
        <f t="shared" si="0"/>
        <v>7.3981672010874106E-10</v>
      </c>
      <c r="D4">
        <f t="shared" si="1"/>
        <v>1.8591360780754081E-2</v>
      </c>
      <c r="E4">
        <f t="shared" si="2"/>
        <v>3.4563869568016099E-4</v>
      </c>
    </row>
    <row r="5" spans="1:8" x14ac:dyDescent="0.25">
      <c r="A5">
        <v>1.0497177884375</v>
      </c>
      <c r="B5">
        <v>3.7182723041141608E-3</v>
      </c>
      <c r="C5">
        <f t="shared" si="0"/>
        <v>2.7236241395042638E-88</v>
      </c>
      <c r="D5">
        <f t="shared" si="1"/>
        <v>3.7182723041141608E-3</v>
      </c>
      <c r="E5">
        <f t="shared" si="2"/>
        <v>1.3825548927542431E-5</v>
      </c>
      <c r="G5" t="s">
        <v>2</v>
      </c>
      <c r="H5">
        <f>SUM(E1:E40)</f>
        <v>10.550053983209864</v>
      </c>
    </row>
    <row r="6" spans="1:8" x14ac:dyDescent="0.25">
      <c r="A6">
        <v>1.0666175063124999</v>
      </c>
      <c r="B6">
        <v>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x14ac:dyDescent="0.25">
      <c r="A7">
        <v>1.0835172241875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</row>
    <row r="8" spans="1:8" x14ac:dyDescent="0.25">
      <c r="A8">
        <v>1.1004169420625001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</row>
    <row r="9" spans="1:8" x14ac:dyDescent="0.25">
      <c r="A9">
        <v>1.1173166599375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8" x14ac:dyDescent="0.25">
      <c r="A10">
        <v>1.1342163778124998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</row>
    <row r="11" spans="1:8" x14ac:dyDescent="0.25">
      <c r="A11">
        <v>1.1511160956875002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1.1680158135625001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1.1849155314374999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1.2018152493124998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1.2187149671875002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1.2356146850625001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1.2525144029374999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1.2694141208125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1.2863138386875002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1.3032135565625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1.3201132744374999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1.3370129923124998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1.3539127101875001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1.3708124280625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1.3877121459374999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1.4046118638124998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1.4215115816874999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1.4384112995625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1.4553110174374999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1.4722107353125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1.4891104531875001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1.5060101710625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1.5229098889374999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1.5398096068124998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1.5567093246875001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1.5736090425625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1.5905087604374999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1.6074084783124998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1.6243081961875001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1.6412079140625</v>
      </c>
      <c r="B40">
        <v>3.7182723041141608E-3</v>
      </c>
      <c r="C40">
        <f t="shared" si="0"/>
        <v>0</v>
      </c>
      <c r="D40">
        <f t="shared" si="1"/>
        <v>3.7182723041141608E-3</v>
      </c>
      <c r="E40">
        <f t="shared" si="2"/>
        <v>1.3825548927542431E-5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2024-10-03T00:38:58Z</dcterms:modified>
</cp:coreProperties>
</file>