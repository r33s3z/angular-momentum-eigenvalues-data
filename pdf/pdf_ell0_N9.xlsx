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4a35179d3ab5a9/Desktop/Julia/AD_2024/circ_transition/pdf/"/>
    </mc:Choice>
  </mc:AlternateContent>
  <xr:revisionPtr revIDLastSave="2958" documentId="115_{BBDD196A-F688-4522-99AF-13ACFF5A7D82}" xr6:coauthVersionLast="47" xr6:coauthVersionMax="47" xr10:uidLastSave="{77A9A1A2-9BFD-4B1E-892D-F1CFE911F48E}"/>
  <bookViews>
    <workbookView xWindow="-120" yWindow="-120" windowWidth="29040" windowHeight="15720" tabRatio="998" xr2:uid="{52D9C27D-0EF6-DD41-9728-0267E68F7539}"/>
  </bookViews>
  <sheets>
    <sheet name="Brody" sheetId="33" r:id="rId1"/>
    <sheet name="0.0001" sheetId="2" r:id="rId2"/>
    <sheet name="0.001" sheetId="3" r:id="rId3"/>
    <sheet name="0.005" sheetId="4" r:id="rId4"/>
    <sheet name="0.01" sheetId="5" r:id="rId5"/>
    <sheet name="0.025" sheetId="6" r:id="rId6"/>
    <sheet name="0.05" sheetId="7" r:id="rId7"/>
    <sheet name="0.075" sheetId="8" r:id="rId8"/>
    <sheet name="0.1" sheetId="9" r:id="rId9"/>
    <sheet name="0.15" sheetId="10" r:id="rId10"/>
    <sheet name="0.2" sheetId="11" r:id="rId11"/>
    <sheet name="0.25" sheetId="12" r:id="rId12"/>
    <sheet name="0.3" sheetId="13" r:id="rId13"/>
    <sheet name="0.35" sheetId="14" r:id="rId14"/>
    <sheet name="0.4" sheetId="15" r:id="rId15"/>
    <sheet name="0.45" sheetId="16" r:id="rId16"/>
    <sheet name="0.5" sheetId="17" r:id="rId17"/>
    <sheet name="0.55" sheetId="18" r:id="rId18"/>
    <sheet name="0.6" sheetId="19" r:id="rId19"/>
    <sheet name="0.65" sheetId="20" r:id="rId20"/>
    <sheet name="0.7" sheetId="21" r:id="rId21"/>
    <sheet name="0.75" sheetId="22" r:id="rId22"/>
    <sheet name="0.8" sheetId="23" r:id="rId23"/>
    <sheet name="0.85" sheetId="24" r:id="rId24"/>
    <sheet name="0.9" sheetId="25" r:id="rId25"/>
    <sheet name="0.925" sheetId="26" r:id="rId26"/>
    <sheet name="0.95" sheetId="27" r:id="rId27"/>
    <sheet name="0.975" sheetId="28" r:id="rId28"/>
    <sheet name="0.99" sheetId="29" r:id="rId29"/>
    <sheet name="0.995" sheetId="30" r:id="rId30"/>
    <sheet name="0.999" sheetId="31" r:id="rId31"/>
    <sheet name="0.9999" sheetId="32" r:id="rId32"/>
  </sheets>
  <definedNames>
    <definedName name="solver_adj" localSheetId="1" hidden="1">'0.0001'!$H$1</definedName>
    <definedName name="solver_adj" localSheetId="2" hidden="1">'0.001'!$H$1</definedName>
    <definedName name="solver_adj" localSheetId="3" hidden="1">'0.005'!$H$1</definedName>
    <definedName name="solver_adj" localSheetId="4" hidden="1">'0.01'!$H$1</definedName>
    <definedName name="solver_adj" localSheetId="5" hidden="1">'0.025'!$H$1</definedName>
    <definedName name="solver_adj" localSheetId="6" hidden="1">'0.05'!$H$1</definedName>
    <definedName name="solver_adj" localSheetId="7" hidden="1">'0.075'!$H$1</definedName>
    <definedName name="solver_adj" localSheetId="8" hidden="1">'0.1'!$H$1</definedName>
    <definedName name="solver_adj" localSheetId="9" hidden="1">'0.15'!$H$1</definedName>
    <definedName name="solver_adj" localSheetId="10" hidden="1">'0.2'!$H$1</definedName>
    <definedName name="solver_adj" localSheetId="11" hidden="1">'0.25'!$H$1</definedName>
    <definedName name="solver_adj" localSheetId="12" hidden="1">'0.3'!$H$1</definedName>
    <definedName name="solver_adj" localSheetId="13" hidden="1">'0.35'!$H$1</definedName>
    <definedName name="solver_adj" localSheetId="14" hidden="1">'0.4'!$H$1</definedName>
    <definedName name="solver_adj" localSheetId="15" hidden="1">'0.45'!$H$1</definedName>
    <definedName name="solver_adj" localSheetId="16" hidden="1">'0.5'!$H$1</definedName>
    <definedName name="solver_adj" localSheetId="17" hidden="1">'0.55'!$H$1</definedName>
    <definedName name="solver_adj" localSheetId="18" hidden="1">'0.6'!$H$1</definedName>
    <definedName name="solver_adj" localSheetId="19" hidden="1">'0.65'!$H$1</definedName>
    <definedName name="solver_adj" localSheetId="20" hidden="1">'0.7'!$H$1</definedName>
    <definedName name="solver_adj" localSheetId="21" hidden="1">'0.75'!$H$1</definedName>
    <definedName name="solver_adj" localSheetId="22" hidden="1">'0.8'!$H$1</definedName>
    <definedName name="solver_adj" localSheetId="23" hidden="1">'0.85'!$H$1</definedName>
    <definedName name="solver_adj" localSheetId="24" hidden="1">'0.9'!$H$1</definedName>
    <definedName name="solver_adj" localSheetId="25" hidden="1">'0.925'!$H$1</definedName>
    <definedName name="solver_adj" localSheetId="26" hidden="1">'0.95'!$H$1</definedName>
    <definedName name="solver_adj" localSheetId="27" hidden="1">'0.975'!$H$1</definedName>
    <definedName name="solver_adj" localSheetId="28" hidden="1">'0.99'!$H$1</definedName>
    <definedName name="solver_adj" localSheetId="29" hidden="1">'0.995'!$H$1</definedName>
    <definedName name="solver_adj" localSheetId="30" hidden="1">'0.999'!$H$1</definedName>
    <definedName name="solver_adj" localSheetId="31" hidden="1">'0.9999'!$H$1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cvg" localSheetId="6" hidden="1">0.0001</definedName>
    <definedName name="solver_cvg" localSheetId="7" hidden="1">0.0001</definedName>
    <definedName name="solver_cvg" localSheetId="8" hidden="1">0.0001</definedName>
    <definedName name="solver_cvg" localSheetId="9" hidden="1">0.0001</definedName>
    <definedName name="solver_cvg" localSheetId="10" hidden="1">0.0001</definedName>
    <definedName name="solver_cvg" localSheetId="11" hidden="1">0.0001</definedName>
    <definedName name="solver_cvg" localSheetId="12" hidden="1">0.0001</definedName>
    <definedName name="solver_cvg" localSheetId="13" hidden="1">0.0001</definedName>
    <definedName name="solver_cvg" localSheetId="14" hidden="1">0.0001</definedName>
    <definedName name="solver_cvg" localSheetId="15" hidden="1">0.0001</definedName>
    <definedName name="solver_cvg" localSheetId="16" hidden="1">0.0001</definedName>
    <definedName name="solver_cvg" localSheetId="17" hidden="1">0.0001</definedName>
    <definedName name="solver_cvg" localSheetId="18" hidden="1">0.0001</definedName>
    <definedName name="solver_cvg" localSheetId="19" hidden="1">0.0001</definedName>
    <definedName name="solver_cvg" localSheetId="20" hidden="1">0.0001</definedName>
    <definedName name="solver_cvg" localSheetId="21" hidden="1">0.0001</definedName>
    <definedName name="solver_cvg" localSheetId="22" hidden="1">0.0001</definedName>
    <definedName name="solver_cvg" localSheetId="23" hidden="1">0.0001</definedName>
    <definedName name="solver_cvg" localSheetId="24" hidden="1">0.0001</definedName>
    <definedName name="solver_cvg" localSheetId="25" hidden="1">0.0001</definedName>
    <definedName name="solver_cvg" localSheetId="26" hidden="1">0.0001</definedName>
    <definedName name="solver_cvg" localSheetId="27" hidden="1">0.0001</definedName>
    <definedName name="solver_cvg" localSheetId="28" hidden="1">0.0001</definedName>
    <definedName name="solver_cvg" localSheetId="29" hidden="1">0.0001</definedName>
    <definedName name="solver_cvg" localSheetId="30" hidden="1">0.0001</definedName>
    <definedName name="solver_cvg" localSheetId="31" hidden="1">0.0001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drv" localSheetId="6" hidden="1">1</definedName>
    <definedName name="solver_drv" localSheetId="7" hidden="1">1</definedName>
    <definedName name="solver_drv" localSheetId="8" hidden="1">1</definedName>
    <definedName name="solver_drv" localSheetId="9" hidden="1">1</definedName>
    <definedName name="solver_drv" localSheetId="10" hidden="1">1</definedName>
    <definedName name="solver_drv" localSheetId="11" hidden="1">1</definedName>
    <definedName name="solver_drv" localSheetId="12" hidden="1">1</definedName>
    <definedName name="solver_drv" localSheetId="13" hidden="1">1</definedName>
    <definedName name="solver_drv" localSheetId="14" hidden="1">1</definedName>
    <definedName name="solver_drv" localSheetId="15" hidden="1">1</definedName>
    <definedName name="solver_drv" localSheetId="16" hidden="1">1</definedName>
    <definedName name="solver_drv" localSheetId="17" hidden="1">1</definedName>
    <definedName name="solver_drv" localSheetId="18" hidden="1">1</definedName>
    <definedName name="solver_drv" localSheetId="19" hidden="1">1</definedName>
    <definedName name="solver_drv" localSheetId="20" hidden="1">1</definedName>
    <definedName name="solver_drv" localSheetId="21" hidden="1">1</definedName>
    <definedName name="solver_drv" localSheetId="22" hidden="1">1</definedName>
    <definedName name="solver_drv" localSheetId="23" hidden="1">1</definedName>
    <definedName name="solver_drv" localSheetId="24" hidden="1">1</definedName>
    <definedName name="solver_drv" localSheetId="25" hidden="1">1</definedName>
    <definedName name="solver_drv" localSheetId="26" hidden="1">1</definedName>
    <definedName name="solver_drv" localSheetId="27" hidden="1">1</definedName>
    <definedName name="solver_drv" localSheetId="28" hidden="1">1</definedName>
    <definedName name="solver_drv" localSheetId="29" hidden="1">1</definedName>
    <definedName name="solver_drv" localSheetId="30" hidden="1">1</definedName>
    <definedName name="solver_drv" localSheetId="31" hidden="1">1</definedName>
    <definedName name="solver_eng" localSheetId="1" hidden="1">1</definedName>
    <definedName name="solver_eng" localSheetId="2" hidden="1">1</definedName>
    <definedName name="solver_eng" localSheetId="3" hidden="1">1</definedName>
    <definedName name="solver_eng" localSheetId="4" hidden="1">1</definedName>
    <definedName name="solver_eng" localSheetId="5" hidden="1">1</definedName>
    <definedName name="solver_eng" localSheetId="6" hidden="1">1</definedName>
    <definedName name="solver_eng" localSheetId="7" hidden="1">1</definedName>
    <definedName name="solver_eng" localSheetId="8" hidden="1">1</definedName>
    <definedName name="solver_eng" localSheetId="9" hidden="1">1</definedName>
    <definedName name="solver_eng" localSheetId="10" hidden="1">1</definedName>
    <definedName name="solver_eng" localSheetId="11" hidden="1">1</definedName>
    <definedName name="solver_eng" localSheetId="12" hidden="1">1</definedName>
    <definedName name="solver_eng" localSheetId="13" hidden="1">1</definedName>
    <definedName name="solver_eng" localSheetId="14" hidden="1">1</definedName>
    <definedName name="solver_eng" localSheetId="15" hidden="1">1</definedName>
    <definedName name="solver_eng" localSheetId="16" hidden="1">1</definedName>
    <definedName name="solver_eng" localSheetId="17" hidden="1">1</definedName>
    <definedName name="solver_eng" localSheetId="18" hidden="1">1</definedName>
    <definedName name="solver_eng" localSheetId="19" hidden="1">1</definedName>
    <definedName name="solver_eng" localSheetId="20" hidden="1">1</definedName>
    <definedName name="solver_eng" localSheetId="21" hidden="1">1</definedName>
    <definedName name="solver_eng" localSheetId="22" hidden="1">1</definedName>
    <definedName name="solver_eng" localSheetId="23" hidden="1">1</definedName>
    <definedName name="solver_eng" localSheetId="24" hidden="1">1</definedName>
    <definedName name="solver_eng" localSheetId="25" hidden="1">1</definedName>
    <definedName name="solver_eng" localSheetId="26" hidden="1">1</definedName>
    <definedName name="solver_eng" localSheetId="27" hidden="1">1</definedName>
    <definedName name="solver_eng" localSheetId="28" hidden="1">1</definedName>
    <definedName name="solver_eng" localSheetId="29" hidden="1">1</definedName>
    <definedName name="solver_eng" localSheetId="30" hidden="1">1</definedName>
    <definedName name="solver_eng" localSheetId="31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est" localSheetId="7" hidden="1">1</definedName>
    <definedName name="solver_est" localSheetId="8" hidden="1">1</definedName>
    <definedName name="solver_est" localSheetId="9" hidden="1">1</definedName>
    <definedName name="solver_est" localSheetId="10" hidden="1">1</definedName>
    <definedName name="solver_est" localSheetId="11" hidden="1">1</definedName>
    <definedName name="solver_est" localSheetId="12" hidden="1">1</definedName>
    <definedName name="solver_est" localSheetId="13" hidden="1">1</definedName>
    <definedName name="solver_est" localSheetId="14" hidden="1">1</definedName>
    <definedName name="solver_est" localSheetId="15" hidden="1">1</definedName>
    <definedName name="solver_est" localSheetId="16" hidden="1">1</definedName>
    <definedName name="solver_est" localSheetId="17" hidden="1">1</definedName>
    <definedName name="solver_est" localSheetId="18" hidden="1">1</definedName>
    <definedName name="solver_est" localSheetId="19" hidden="1">1</definedName>
    <definedName name="solver_est" localSheetId="20" hidden="1">1</definedName>
    <definedName name="solver_est" localSheetId="21" hidden="1">1</definedName>
    <definedName name="solver_est" localSheetId="22" hidden="1">1</definedName>
    <definedName name="solver_est" localSheetId="23" hidden="1">1</definedName>
    <definedName name="solver_est" localSheetId="24" hidden="1">1</definedName>
    <definedName name="solver_est" localSheetId="25" hidden="1">1</definedName>
    <definedName name="solver_est" localSheetId="26" hidden="1">1</definedName>
    <definedName name="solver_est" localSheetId="27" hidden="1">1</definedName>
    <definedName name="solver_est" localSheetId="28" hidden="1">1</definedName>
    <definedName name="solver_est" localSheetId="29" hidden="1">1</definedName>
    <definedName name="solver_est" localSheetId="30" hidden="1">1</definedName>
    <definedName name="solver_est" localSheetId="31" hidden="1">1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itr" localSheetId="7" hidden="1">2147483647</definedName>
    <definedName name="solver_itr" localSheetId="8" hidden="1">2147483647</definedName>
    <definedName name="solver_itr" localSheetId="9" hidden="1">2147483647</definedName>
    <definedName name="solver_itr" localSheetId="10" hidden="1">2147483647</definedName>
    <definedName name="solver_itr" localSheetId="11" hidden="1">2147483647</definedName>
    <definedName name="solver_itr" localSheetId="12" hidden="1">2147483647</definedName>
    <definedName name="solver_itr" localSheetId="13" hidden="1">2147483647</definedName>
    <definedName name="solver_itr" localSheetId="14" hidden="1">2147483647</definedName>
    <definedName name="solver_itr" localSheetId="15" hidden="1">2147483647</definedName>
    <definedName name="solver_itr" localSheetId="16" hidden="1">2147483647</definedName>
    <definedName name="solver_itr" localSheetId="17" hidden="1">2147483647</definedName>
    <definedName name="solver_itr" localSheetId="18" hidden="1">2147483647</definedName>
    <definedName name="solver_itr" localSheetId="19" hidden="1">2147483647</definedName>
    <definedName name="solver_itr" localSheetId="20" hidden="1">2147483647</definedName>
    <definedName name="solver_itr" localSheetId="21" hidden="1">2147483647</definedName>
    <definedName name="solver_itr" localSheetId="22" hidden="1">2147483647</definedName>
    <definedName name="solver_itr" localSheetId="23" hidden="1">2147483647</definedName>
    <definedName name="solver_itr" localSheetId="24" hidden="1">2147483647</definedName>
    <definedName name="solver_itr" localSheetId="25" hidden="1">2147483647</definedName>
    <definedName name="solver_itr" localSheetId="26" hidden="1">2147483647</definedName>
    <definedName name="solver_itr" localSheetId="27" hidden="1">2147483647</definedName>
    <definedName name="solver_itr" localSheetId="28" hidden="1">2147483647</definedName>
    <definedName name="solver_itr" localSheetId="29" hidden="1">2147483647</definedName>
    <definedName name="solver_itr" localSheetId="30" hidden="1">2147483647</definedName>
    <definedName name="solver_itr" localSheetId="31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ip" localSheetId="7" hidden="1">2147483647</definedName>
    <definedName name="solver_mip" localSheetId="8" hidden="1">2147483647</definedName>
    <definedName name="solver_mip" localSheetId="9" hidden="1">2147483647</definedName>
    <definedName name="solver_mip" localSheetId="10" hidden="1">2147483647</definedName>
    <definedName name="solver_mip" localSheetId="11" hidden="1">2147483647</definedName>
    <definedName name="solver_mip" localSheetId="12" hidden="1">2147483647</definedName>
    <definedName name="solver_mip" localSheetId="13" hidden="1">2147483647</definedName>
    <definedName name="solver_mip" localSheetId="14" hidden="1">2147483647</definedName>
    <definedName name="solver_mip" localSheetId="15" hidden="1">2147483647</definedName>
    <definedName name="solver_mip" localSheetId="16" hidden="1">2147483647</definedName>
    <definedName name="solver_mip" localSheetId="17" hidden="1">2147483647</definedName>
    <definedName name="solver_mip" localSheetId="18" hidden="1">2147483647</definedName>
    <definedName name="solver_mip" localSheetId="19" hidden="1">2147483647</definedName>
    <definedName name="solver_mip" localSheetId="20" hidden="1">2147483647</definedName>
    <definedName name="solver_mip" localSheetId="21" hidden="1">2147483647</definedName>
    <definedName name="solver_mip" localSheetId="22" hidden="1">2147483647</definedName>
    <definedName name="solver_mip" localSheetId="23" hidden="1">2147483647</definedName>
    <definedName name="solver_mip" localSheetId="24" hidden="1">2147483647</definedName>
    <definedName name="solver_mip" localSheetId="25" hidden="1">2147483647</definedName>
    <definedName name="solver_mip" localSheetId="26" hidden="1">2147483647</definedName>
    <definedName name="solver_mip" localSheetId="27" hidden="1">2147483647</definedName>
    <definedName name="solver_mip" localSheetId="28" hidden="1">2147483647</definedName>
    <definedName name="solver_mip" localSheetId="29" hidden="1">2147483647</definedName>
    <definedName name="solver_mip" localSheetId="30" hidden="1">2147483647</definedName>
    <definedName name="solver_mip" localSheetId="31" hidden="1">2147483647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ni" localSheetId="7" hidden="1">30</definedName>
    <definedName name="solver_mni" localSheetId="8" hidden="1">30</definedName>
    <definedName name="solver_mni" localSheetId="9" hidden="1">30</definedName>
    <definedName name="solver_mni" localSheetId="10" hidden="1">30</definedName>
    <definedName name="solver_mni" localSheetId="11" hidden="1">30</definedName>
    <definedName name="solver_mni" localSheetId="12" hidden="1">30</definedName>
    <definedName name="solver_mni" localSheetId="13" hidden="1">30</definedName>
    <definedName name="solver_mni" localSheetId="14" hidden="1">30</definedName>
    <definedName name="solver_mni" localSheetId="15" hidden="1">30</definedName>
    <definedName name="solver_mni" localSheetId="16" hidden="1">30</definedName>
    <definedName name="solver_mni" localSheetId="17" hidden="1">30</definedName>
    <definedName name="solver_mni" localSheetId="18" hidden="1">30</definedName>
    <definedName name="solver_mni" localSheetId="19" hidden="1">30</definedName>
    <definedName name="solver_mni" localSheetId="20" hidden="1">30</definedName>
    <definedName name="solver_mni" localSheetId="21" hidden="1">30</definedName>
    <definedName name="solver_mni" localSheetId="22" hidden="1">30</definedName>
    <definedName name="solver_mni" localSheetId="23" hidden="1">30</definedName>
    <definedName name="solver_mni" localSheetId="24" hidden="1">30</definedName>
    <definedName name="solver_mni" localSheetId="25" hidden="1">30</definedName>
    <definedName name="solver_mni" localSheetId="26" hidden="1">30</definedName>
    <definedName name="solver_mni" localSheetId="27" hidden="1">30</definedName>
    <definedName name="solver_mni" localSheetId="28" hidden="1">30</definedName>
    <definedName name="solver_mni" localSheetId="29" hidden="1">30</definedName>
    <definedName name="solver_mni" localSheetId="30" hidden="1">30</definedName>
    <definedName name="solver_mni" localSheetId="31" hidden="1">30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rt" localSheetId="6" hidden="1">0.075</definedName>
    <definedName name="solver_mrt" localSheetId="7" hidden="1">0.075</definedName>
    <definedName name="solver_mrt" localSheetId="8" hidden="1">0.075</definedName>
    <definedName name="solver_mrt" localSheetId="9" hidden="1">0.075</definedName>
    <definedName name="solver_mrt" localSheetId="10" hidden="1">0.075</definedName>
    <definedName name="solver_mrt" localSheetId="11" hidden="1">0.075</definedName>
    <definedName name="solver_mrt" localSheetId="12" hidden="1">0.075</definedName>
    <definedName name="solver_mrt" localSheetId="13" hidden="1">0.075</definedName>
    <definedName name="solver_mrt" localSheetId="14" hidden="1">0.075</definedName>
    <definedName name="solver_mrt" localSheetId="15" hidden="1">0.075</definedName>
    <definedName name="solver_mrt" localSheetId="16" hidden="1">0.075</definedName>
    <definedName name="solver_mrt" localSheetId="17" hidden="1">0.075</definedName>
    <definedName name="solver_mrt" localSheetId="18" hidden="1">0.075</definedName>
    <definedName name="solver_mrt" localSheetId="19" hidden="1">0.075</definedName>
    <definedName name="solver_mrt" localSheetId="20" hidden="1">0.075</definedName>
    <definedName name="solver_mrt" localSheetId="21" hidden="1">0.075</definedName>
    <definedName name="solver_mrt" localSheetId="22" hidden="1">0.075</definedName>
    <definedName name="solver_mrt" localSheetId="23" hidden="1">0.075</definedName>
    <definedName name="solver_mrt" localSheetId="24" hidden="1">0.075</definedName>
    <definedName name="solver_mrt" localSheetId="25" hidden="1">0.075</definedName>
    <definedName name="solver_mrt" localSheetId="26" hidden="1">0.075</definedName>
    <definedName name="solver_mrt" localSheetId="27" hidden="1">0.075</definedName>
    <definedName name="solver_mrt" localSheetId="28" hidden="1">0.075</definedName>
    <definedName name="solver_mrt" localSheetId="29" hidden="1">0.075</definedName>
    <definedName name="solver_mrt" localSheetId="30" hidden="1">0.075</definedName>
    <definedName name="solver_mrt" localSheetId="31" hidden="1">0.075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msl" localSheetId="7" hidden="1">2</definedName>
    <definedName name="solver_msl" localSheetId="8" hidden="1">2</definedName>
    <definedName name="solver_msl" localSheetId="9" hidden="1">2</definedName>
    <definedName name="solver_msl" localSheetId="10" hidden="1">2</definedName>
    <definedName name="solver_msl" localSheetId="11" hidden="1">2</definedName>
    <definedName name="solver_msl" localSheetId="12" hidden="1">2</definedName>
    <definedName name="solver_msl" localSheetId="13" hidden="1">2</definedName>
    <definedName name="solver_msl" localSheetId="14" hidden="1">2</definedName>
    <definedName name="solver_msl" localSheetId="15" hidden="1">2</definedName>
    <definedName name="solver_msl" localSheetId="16" hidden="1">2</definedName>
    <definedName name="solver_msl" localSheetId="17" hidden="1">2</definedName>
    <definedName name="solver_msl" localSheetId="18" hidden="1">2</definedName>
    <definedName name="solver_msl" localSheetId="19" hidden="1">2</definedName>
    <definedName name="solver_msl" localSheetId="20" hidden="1">2</definedName>
    <definedName name="solver_msl" localSheetId="21" hidden="1">2</definedName>
    <definedName name="solver_msl" localSheetId="22" hidden="1">2</definedName>
    <definedName name="solver_msl" localSheetId="23" hidden="1">2</definedName>
    <definedName name="solver_msl" localSheetId="24" hidden="1">2</definedName>
    <definedName name="solver_msl" localSheetId="25" hidden="1">2</definedName>
    <definedName name="solver_msl" localSheetId="26" hidden="1">2</definedName>
    <definedName name="solver_msl" localSheetId="27" hidden="1">2</definedName>
    <definedName name="solver_msl" localSheetId="28" hidden="1">2</definedName>
    <definedName name="solver_msl" localSheetId="29" hidden="1">2</definedName>
    <definedName name="solver_msl" localSheetId="30" hidden="1">2</definedName>
    <definedName name="solver_msl" localSheetId="31" hidden="1">2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eg" localSheetId="7" hidden="1">1</definedName>
    <definedName name="solver_neg" localSheetId="8" hidden="1">1</definedName>
    <definedName name="solver_neg" localSheetId="9" hidden="1">1</definedName>
    <definedName name="solver_neg" localSheetId="10" hidden="1">1</definedName>
    <definedName name="solver_neg" localSheetId="11" hidden="1">1</definedName>
    <definedName name="solver_neg" localSheetId="12" hidden="1">1</definedName>
    <definedName name="solver_neg" localSheetId="13" hidden="1">1</definedName>
    <definedName name="solver_neg" localSheetId="14" hidden="1">1</definedName>
    <definedName name="solver_neg" localSheetId="15" hidden="1">1</definedName>
    <definedName name="solver_neg" localSheetId="16" hidden="1">1</definedName>
    <definedName name="solver_neg" localSheetId="17" hidden="1">1</definedName>
    <definedName name="solver_neg" localSheetId="18" hidden="1">1</definedName>
    <definedName name="solver_neg" localSheetId="19" hidden="1">1</definedName>
    <definedName name="solver_neg" localSheetId="20" hidden="1">1</definedName>
    <definedName name="solver_neg" localSheetId="21" hidden="1">1</definedName>
    <definedName name="solver_neg" localSheetId="22" hidden="1">1</definedName>
    <definedName name="solver_neg" localSheetId="23" hidden="1">1</definedName>
    <definedName name="solver_neg" localSheetId="24" hidden="1">1</definedName>
    <definedName name="solver_neg" localSheetId="25" hidden="1">1</definedName>
    <definedName name="solver_neg" localSheetId="26" hidden="1">1</definedName>
    <definedName name="solver_neg" localSheetId="27" hidden="1">1</definedName>
    <definedName name="solver_neg" localSheetId="28" hidden="1">1</definedName>
    <definedName name="solver_neg" localSheetId="29" hidden="1">1</definedName>
    <definedName name="solver_neg" localSheetId="30" hidden="1">1</definedName>
    <definedName name="solver_neg" localSheetId="31" hidden="1">1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od" localSheetId="7" hidden="1">2147483647</definedName>
    <definedName name="solver_nod" localSheetId="8" hidden="1">2147483647</definedName>
    <definedName name="solver_nod" localSheetId="9" hidden="1">2147483647</definedName>
    <definedName name="solver_nod" localSheetId="10" hidden="1">2147483647</definedName>
    <definedName name="solver_nod" localSheetId="11" hidden="1">2147483647</definedName>
    <definedName name="solver_nod" localSheetId="12" hidden="1">2147483647</definedName>
    <definedName name="solver_nod" localSheetId="13" hidden="1">2147483647</definedName>
    <definedName name="solver_nod" localSheetId="14" hidden="1">2147483647</definedName>
    <definedName name="solver_nod" localSheetId="15" hidden="1">2147483647</definedName>
    <definedName name="solver_nod" localSheetId="16" hidden="1">2147483647</definedName>
    <definedName name="solver_nod" localSheetId="17" hidden="1">2147483647</definedName>
    <definedName name="solver_nod" localSheetId="18" hidden="1">2147483647</definedName>
    <definedName name="solver_nod" localSheetId="19" hidden="1">2147483647</definedName>
    <definedName name="solver_nod" localSheetId="20" hidden="1">2147483647</definedName>
    <definedName name="solver_nod" localSheetId="21" hidden="1">2147483647</definedName>
    <definedName name="solver_nod" localSheetId="22" hidden="1">2147483647</definedName>
    <definedName name="solver_nod" localSheetId="23" hidden="1">2147483647</definedName>
    <definedName name="solver_nod" localSheetId="24" hidden="1">2147483647</definedName>
    <definedName name="solver_nod" localSheetId="25" hidden="1">2147483647</definedName>
    <definedName name="solver_nod" localSheetId="26" hidden="1">2147483647</definedName>
    <definedName name="solver_nod" localSheetId="27" hidden="1">2147483647</definedName>
    <definedName name="solver_nod" localSheetId="28" hidden="1">2147483647</definedName>
    <definedName name="solver_nod" localSheetId="29" hidden="1">2147483647</definedName>
    <definedName name="solver_nod" localSheetId="30" hidden="1">2147483647</definedName>
    <definedName name="solver_nod" localSheetId="31" hidden="1">2147483647</definedName>
    <definedName name="solver_num" localSheetId="1" hidden="1">0</definedName>
    <definedName name="solver_num" localSheetId="2" hidden="1">0</definedName>
    <definedName name="solver_num" localSheetId="3" hidden="1">0</definedName>
    <definedName name="solver_num" localSheetId="4" hidden="1">0</definedName>
    <definedName name="solver_num" localSheetId="5" hidden="1">0</definedName>
    <definedName name="solver_num" localSheetId="6" hidden="1">0</definedName>
    <definedName name="solver_num" localSheetId="7" hidden="1">0</definedName>
    <definedName name="solver_num" localSheetId="8" hidden="1">0</definedName>
    <definedName name="solver_num" localSheetId="9" hidden="1">0</definedName>
    <definedName name="solver_num" localSheetId="10" hidden="1">0</definedName>
    <definedName name="solver_num" localSheetId="11" hidden="1">0</definedName>
    <definedName name="solver_num" localSheetId="12" hidden="1">0</definedName>
    <definedName name="solver_num" localSheetId="13" hidden="1">0</definedName>
    <definedName name="solver_num" localSheetId="14" hidden="1">0</definedName>
    <definedName name="solver_num" localSheetId="15" hidden="1">0</definedName>
    <definedName name="solver_num" localSheetId="16" hidden="1">0</definedName>
    <definedName name="solver_num" localSheetId="17" hidden="1">0</definedName>
    <definedName name="solver_num" localSheetId="18" hidden="1">0</definedName>
    <definedName name="solver_num" localSheetId="19" hidden="1">0</definedName>
    <definedName name="solver_num" localSheetId="20" hidden="1">0</definedName>
    <definedName name="solver_num" localSheetId="21" hidden="1">0</definedName>
    <definedName name="solver_num" localSheetId="22" hidden="1">0</definedName>
    <definedName name="solver_num" localSheetId="23" hidden="1">0</definedName>
    <definedName name="solver_num" localSheetId="24" hidden="1">0</definedName>
    <definedName name="solver_num" localSheetId="25" hidden="1">0</definedName>
    <definedName name="solver_num" localSheetId="26" hidden="1">0</definedName>
    <definedName name="solver_num" localSheetId="27" hidden="1">0</definedName>
    <definedName name="solver_num" localSheetId="28" hidden="1">0</definedName>
    <definedName name="solver_num" localSheetId="29" hidden="1">0</definedName>
    <definedName name="solver_num" localSheetId="30" hidden="1">0</definedName>
    <definedName name="solver_num" localSheetId="31" hidden="1">0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nwt" localSheetId="7" hidden="1">1</definedName>
    <definedName name="solver_nwt" localSheetId="8" hidden="1">1</definedName>
    <definedName name="solver_nwt" localSheetId="9" hidden="1">1</definedName>
    <definedName name="solver_nwt" localSheetId="10" hidden="1">1</definedName>
    <definedName name="solver_nwt" localSheetId="11" hidden="1">1</definedName>
    <definedName name="solver_nwt" localSheetId="12" hidden="1">1</definedName>
    <definedName name="solver_nwt" localSheetId="13" hidden="1">1</definedName>
    <definedName name="solver_nwt" localSheetId="14" hidden="1">1</definedName>
    <definedName name="solver_nwt" localSheetId="15" hidden="1">1</definedName>
    <definedName name="solver_nwt" localSheetId="16" hidden="1">1</definedName>
    <definedName name="solver_nwt" localSheetId="17" hidden="1">1</definedName>
    <definedName name="solver_nwt" localSheetId="18" hidden="1">1</definedName>
    <definedName name="solver_nwt" localSheetId="19" hidden="1">1</definedName>
    <definedName name="solver_nwt" localSheetId="20" hidden="1">1</definedName>
    <definedName name="solver_nwt" localSheetId="21" hidden="1">1</definedName>
    <definedName name="solver_nwt" localSheetId="22" hidden="1">1</definedName>
    <definedName name="solver_nwt" localSheetId="23" hidden="1">1</definedName>
    <definedName name="solver_nwt" localSheetId="24" hidden="1">1</definedName>
    <definedName name="solver_nwt" localSheetId="25" hidden="1">1</definedName>
    <definedName name="solver_nwt" localSheetId="26" hidden="1">1</definedName>
    <definedName name="solver_nwt" localSheetId="27" hidden="1">1</definedName>
    <definedName name="solver_nwt" localSheetId="28" hidden="1">1</definedName>
    <definedName name="solver_nwt" localSheetId="29" hidden="1">1</definedName>
    <definedName name="solver_nwt" localSheetId="30" hidden="1">1</definedName>
    <definedName name="solver_nwt" localSheetId="31" hidden="1">1</definedName>
    <definedName name="solver_opt" localSheetId="1" hidden="1">'0.0001'!$H$5</definedName>
    <definedName name="solver_opt" localSheetId="2" hidden="1">'0.001'!$H$5</definedName>
    <definedName name="solver_opt" localSheetId="3" hidden="1">'0.005'!$H$5</definedName>
    <definedName name="solver_opt" localSheetId="4" hidden="1">'0.01'!$H$5</definedName>
    <definedName name="solver_opt" localSheetId="5" hidden="1">'0.025'!$H$5</definedName>
    <definedName name="solver_opt" localSheetId="6" hidden="1">'0.05'!$H$5</definedName>
    <definedName name="solver_opt" localSheetId="7" hidden="1">'0.075'!$H$5</definedName>
    <definedName name="solver_opt" localSheetId="8" hidden="1">'0.1'!$H$5</definedName>
    <definedName name="solver_opt" localSheetId="9" hidden="1">'0.15'!$H$5</definedName>
    <definedName name="solver_opt" localSheetId="10" hidden="1">'0.2'!$H$5</definedName>
    <definedName name="solver_opt" localSheetId="11" hidden="1">'0.25'!$H$5</definedName>
    <definedName name="solver_opt" localSheetId="12" hidden="1">'0.3'!$H$5</definedName>
    <definedName name="solver_opt" localSheetId="13" hidden="1">'0.35'!$H$5</definedName>
    <definedName name="solver_opt" localSheetId="14" hidden="1">'0.4'!$H$5</definedName>
    <definedName name="solver_opt" localSheetId="15" hidden="1">'0.45'!$H$5</definedName>
    <definedName name="solver_opt" localSheetId="16" hidden="1">'0.5'!$H$5</definedName>
    <definedName name="solver_opt" localSheetId="17" hidden="1">'0.55'!$H$5</definedName>
    <definedName name="solver_opt" localSheetId="18" hidden="1">'0.6'!$H$5</definedName>
    <definedName name="solver_opt" localSheetId="19" hidden="1">'0.65'!$H$5</definedName>
    <definedName name="solver_opt" localSheetId="20" hidden="1">'0.7'!$H$5</definedName>
    <definedName name="solver_opt" localSheetId="21" hidden="1">'0.75'!$H$5</definedName>
    <definedName name="solver_opt" localSheetId="22" hidden="1">'0.8'!$H$5</definedName>
    <definedName name="solver_opt" localSheetId="23" hidden="1">'0.85'!$H$5</definedName>
    <definedName name="solver_opt" localSheetId="24" hidden="1">'0.9'!$H$5</definedName>
    <definedName name="solver_opt" localSheetId="25" hidden="1">'0.925'!$H$5</definedName>
    <definedName name="solver_opt" localSheetId="26" hidden="1">'0.95'!$H$5</definedName>
    <definedName name="solver_opt" localSheetId="27" hidden="1">'0.975'!$H$5</definedName>
    <definedName name="solver_opt" localSheetId="28" hidden="1">'0.99'!$H$5</definedName>
    <definedName name="solver_opt" localSheetId="29" hidden="1">'0.995'!$H$5</definedName>
    <definedName name="solver_opt" localSheetId="30" hidden="1">'0.999'!$H$5</definedName>
    <definedName name="solver_opt" localSheetId="31" hidden="1">'0.9999'!$H$5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pre" localSheetId="6" hidden="1">0.000001</definedName>
    <definedName name="solver_pre" localSheetId="7" hidden="1">0.000001</definedName>
    <definedName name="solver_pre" localSheetId="8" hidden="1">0.000001</definedName>
    <definedName name="solver_pre" localSheetId="9" hidden="1">0.000001</definedName>
    <definedName name="solver_pre" localSheetId="10" hidden="1">0.000001</definedName>
    <definedName name="solver_pre" localSheetId="11" hidden="1">0.000001</definedName>
    <definedName name="solver_pre" localSheetId="12" hidden="1">0.000001</definedName>
    <definedName name="solver_pre" localSheetId="13" hidden="1">0.000001</definedName>
    <definedName name="solver_pre" localSheetId="14" hidden="1">0.000001</definedName>
    <definedName name="solver_pre" localSheetId="15" hidden="1">0.000001</definedName>
    <definedName name="solver_pre" localSheetId="16" hidden="1">0.000001</definedName>
    <definedName name="solver_pre" localSheetId="17" hidden="1">0.000001</definedName>
    <definedName name="solver_pre" localSheetId="18" hidden="1">0.000001</definedName>
    <definedName name="solver_pre" localSheetId="19" hidden="1">0.000001</definedName>
    <definedName name="solver_pre" localSheetId="20" hidden="1">0.000001</definedName>
    <definedName name="solver_pre" localSheetId="21" hidden="1">0.000001</definedName>
    <definedName name="solver_pre" localSheetId="22" hidden="1">0.000001</definedName>
    <definedName name="solver_pre" localSheetId="23" hidden="1">0.000001</definedName>
    <definedName name="solver_pre" localSheetId="24" hidden="1">0.000001</definedName>
    <definedName name="solver_pre" localSheetId="25" hidden="1">0.000001</definedName>
    <definedName name="solver_pre" localSheetId="26" hidden="1">0.000001</definedName>
    <definedName name="solver_pre" localSheetId="27" hidden="1">0.000001</definedName>
    <definedName name="solver_pre" localSheetId="28" hidden="1">0.000001</definedName>
    <definedName name="solver_pre" localSheetId="29" hidden="1">0.000001</definedName>
    <definedName name="solver_pre" localSheetId="30" hidden="1">0.000001</definedName>
    <definedName name="solver_pre" localSheetId="31" hidden="1">0.000001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bv" localSheetId="6" hidden="1">1</definedName>
    <definedName name="solver_rbv" localSheetId="7" hidden="1">1</definedName>
    <definedName name="solver_rbv" localSheetId="8" hidden="1">1</definedName>
    <definedName name="solver_rbv" localSheetId="9" hidden="1">1</definedName>
    <definedName name="solver_rbv" localSheetId="10" hidden="1">1</definedName>
    <definedName name="solver_rbv" localSheetId="11" hidden="1">1</definedName>
    <definedName name="solver_rbv" localSheetId="12" hidden="1">1</definedName>
    <definedName name="solver_rbv" localSheetId="13" hidden="1">1</definedName>
    <definedName name="solver_rbv" localSheetId="14" hidden="1">1</definedName>
    <definedName name="solver_rbv" localSheetId="15" hidden="1">1</definedName>
    <definedName name="solver_rbv" localSheetId="16" hidden="1">1</definedName>
    <definedName name="solver_rbv" localSheetId="17" hidden="1">1</definedName>
    <definedName name="solver_rbv" localSheetId="18" hidden="1">1</definedName>
    <definedName name="solver_rbv" localSheetId="19" hidden="1">1</definedName>
    <definedName name="solver_rbv" localSheetId="20" hidden="1">1</definedName>
    <definedName name="solver_rbv" localSheetId="21" hidden="1">1</definedName>
    <definedName name="solver_rbv" localSheetId="22" hidden="1">1</definedName>
    <definedName name="solver_rbv" localSheetId="23" hidden="1">1</definedName>
    <definedName name="solver_rbv" localSheetId="24" hidden="1">1</definedName>
    <definedName name="solver_rbv" localSheetId="25" hidden="1">1</definedName>
    <definedName name="solver_rbv" localSheetId="26" hidden="1">1</definedName>
    <definedName name="solver_rbv" localSheetId="27" hidden="1">1</definedName>
    <definedName name="solver_rbv" localSheetId="28" hidden="1">1</definedName>
    <definedName name="solver_rbv" localSheetId="29" hidden="1">1</definedName>
    <definedName name="solver_rbv" localSheetId="30" hidden="1">1</definedName>
    <definedName name="solver_rbv" localSheetId="31" hidden="1">1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lx" localSheetId="7" hidden="1">2</definedName>
    <definedName name="solver_rlx" localSheetId="8" hidden="1">2</definedName>
    <definedName name="solver_rlx" localSheetId="9" hidden="1">2</definedName>
    <definedName name="solver_rlx" localSheetId="10" hidden="1">2</definedName>
    <definedName name="solver_rlx" localSheetId="11" hidden="1">2</definedName>
    <definedName name="solver_rlx" localSheetId="12" hidden="1">2</definedName>
    <definedName name="solver_rlx" localSheetId="13" hidden="1">2</definedName>
    <definedName name="solver_rlx" localSheetId="14" hidden="1">2</definedName>
    <definedName name="solver_rlx" localSheetId="15" hidden="1">2</definedName>
    <definedName name="solver_rlx" localSheetId="16" hidden="1">2</definedName>
    <definedName name="solver_rlx" localSheetId="17" hidden="1">2</definedName>
    <definedName name="solver_rlx" localSheetId="18" hidden="1">2</definedName>
    <definedName name="solver_rlx" localSheetId="19" hidden="1">2</definedName>
    <definedName name="solver_rlx" localSheetId="20" hidden="1">2</definedName>
    <definedName name="solver_rlx" localSheetId="21" hidden="1">2</definedName>
    <definedName name="solver_rlx" localSheetId="22" hidden="1">2</definedName>
    <definedName name="solver_rlx" localSheetId="23" hidden="1">2</definedName>
    <definedName name="solver_rlx" localSheetId="24" hidden="1">2</definedName>
    <definedName name="solver_rlx" localSheetId="25" hidden="1">2</definedName>
    <definedName name="solver_rlx" localSheetId="26" hidden="1">2</definedName>
    <definedName name="solver_rlx" localSheetId="27" hidden="1">2</definedName>
    <definedName name="solver_rlx" localSheetId="28" hidden="1">2</definedName>
    <definedName name="solver_rlx" localSheetId="29" hidden="1">2</definedName>
    <definedName name="solver_rlx" localSheetId="30" hidden="1">2</definedName>
    <definedName name="solver_rlx" localSheetId="31" hidden="1">2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rsd" localSheetId="7" hidden="1">0</definedName>
    <definedName name="solver_rsd" localSheetId="8" hidden="1">0</definedName>
    <definedName name="solver_rsd" localSheetId="9" hidden="1">0</definedName>
    <definedName name="solver_rsd" localSheetId="10" hidden="1">0</definedName>
    <definedName name="solver_rsd" localSheetId="11" hidden="1">0</definedName>
    <definedName name="solver_rsd" localSheetId="12" hidden="1">0</definedName>
    <definedName name="solver_rsd" localSheetId="13" hidden="1">0</definedName>
    <definedName name="solver_rsd" localSheetId="14" hidden="1">0</definedName>
    <definedName name="solver_rsd" localSheetId="15" hidden="1">0</definedName>
    <definedName name="solver_rsd" localSheetId="16" hidden="1">0</definedName>
    <definedName name="solver_rsd" localSheetId="17" hidden="1">0</definedName>
    <definedName name="solver_rsd" localSheetId="18" hidden="1">0</definedName>
    <definedName name="solver_rsd" localSheetId="19" hidden="1">0</definedName>
    <definedName name="solver_rsd" localSheetId="20" hidden="1">0</definedName>
    <definedName name="solver_rsd" localSheetId="21" hidden="1">0</definedName>
    <definedName name="solver_rsd" localSheetId="22" hidden="1">0</definedName>
    <definedName name="solver_rsd" localSheetId="23" hidden="1">0</definedName>
    <definedName name="solver_rsd" localSheetId="24" hidden="1">0</definedName>
    <definedName name="solver_rsd" localSheetId="25" hidden="1">0</definedName>
    <definedName name="solver_rsd" localSheetId="26" hidden="1">0</definedName>
    <definedName name="solver_rsd" localSheetId="27" hidden="1">0</definedName>
    <definedName name="solver_rsd" localSheetId="28" hidden="1">0</definedName>
    <definedName name="solver_rsd" localSheetId="29" hidden="1">0</definedName>
    <definedName name="solver_rsd" localSheetId="30" hidden="1">0</definedName>
    <definedName name="solver_rsd" localSheetId="31" hidden="1">0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cl" localSheetId="5" hidden="1">1</definedName>
    <definedName name="solver_scl" localSheetId="6" hidden="1">1</definedName>
    <definedName name="solver_scl" localSheetId="7" hidden="1">1</definedName>
    <definedName name="solver_scl" localSheetId="8" hidden="1">1</definedName>
    <definedName name="solver_scl" localSheetId="9" hidden="1">1</definedName>
    <definedName name="solver_scl" localSheetId="10" hidden="1">1</definedName>
    <definedName name="solver_scl" localSheetId="11" hidden="1">1</definedName>
    <definedName name="solver_scl" localSheetId="12" hidden="1">1</definedName>
    <definedName name="solver_scl" localSheetId="13" hidden="1">1</definedName>
    <definedName name="solver_scl" localSheetId="14" hidden="1">1</definedName>
    <definedName name="solver_scl" localSheetId="15" hidden="1">1</definedName>
    <definedName name="solver_scl" localSheetId="16" hidden="1">1</definedName>
    <definedName name="solver_scl" localSheetId="17" hidden="1">1</definedName>
    <definedName name="solver_scl" localSheetId="18" hidden="1">1</definedName>
    <definedName name="solver_scl" localSheetId="19" hidden="1">1</definedName>
    <definedName name="solver_scl" localSheetId="20" hidden="1">1</definedName>
    <definedName name="solver_scl" localSheetId="21" hidden="1">1</definedName>
    <definedName name="solver_scl" localSheetId="22" hidden="1">1</definedName>
    <definedName name="solver_scl" localSheetId="23" hidden="1">1</definedName>
    <definedName name="solver_scl" localSheetId="24" hidden="1">1</definedName>
    <definedName name="solver_scl" localSheetId="25" hidden="1">1</definedName>
    <definedName name="solver_scl" localSheetId="26" hidden="1">1</definedName>
    <definedName name="solver_scl" localSheetId="27" hidden="1">1</definedName>
    <definedName name="solver_scl" localSheetId="28" hidden="1">1</definedName>
    <definedName name="solver_scl" localSheetId="29" hidden="1">1</definedName>
    <definedName name="solver_scl" localSheetId="30" hidden="1">1</definedName>
    <definedName name="solver_scl" localSheetId="31" hidden="1">1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ho" localSheetId="8" hidden="1">2</definedName>
    <definedName name="solver_sho" localSheetId="9" hidden="1">2</definedName>
    <definedName name="solver_sho" localSheetId="10" hidden="1">2</definedName>
    <definedName name="solver_sho" localSheetId="11" hidden="1">2</definedName>
    <definedName name="solver_sho" localSheetId="12" hidden="1">2</definedName>
    <definedName name="solver_sho" localSheetId="13" hidden="1">2</definedName>
    <definedName name="solver_sho" localSheetId="14" hidden="1">2</definedName>
    <definedName name="solver_sho" localSheetId="15" hidden="1">2</definedName>
    <definedName name="solver_sho" localSheetId="16" hidden="1">2</definedName>
    <definedName name="solver_sho" localSheetId="17" hidden="1">2</definedName>
    <definedName name="solver_sho" localSheetId="18" hidden="1">2</definedName>
    <definedName name="solver_sho" localSheetId="19" hidden="1">2</definedName>
    <definedName name="solver_sho" localSheetId="20" hidden="1">2</definedName>
    <definedName name="solver_sho" localSheetId="21" hidden="1">2</definedName>
    <definedName name="solver_sho" localSheetId="22" hidden="1">2</definedName>
    <definedName name="solver_sho" localSheetId="23" hidden="1">2</definedName>
    <definedName name="solver_sho" localSheetId="24" hidden="1">2</definedName>
    <definedName name="solver_sho" localSheetId="25" hidden="1">2</definedName>
    <definedName name="solver_sho" localSheetId="26" hidden="1">2</definedName>
    <definedName name="solver_sho" localSheetId="27" hidden="1">2</definedName>
    <definedName name="solver_sho" localSheetId="28" hidden="1">2</definedName>
    <definedName name="solver_sho" localSheetId="29" hidden="1">2</definedName>
    <definedName name="solver_sho" localSheetId="30" hidden="1">2</definedName>
    <definedName name="solver_sho" localSheetId="31" hidden="1">2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ssz" localSheetId="7" hidden="1">100</definedName>
    <definedName name="solver_ssz" localSheetId="8" hidden="1">100</definedName>
    <definedName name="solver_ssz" localSheetId="9" hidden="1">100</definedName>
    <definedName name="solver_ssz" localSheetId="10" hidden="1">100</definedName>
    <definedName name="solver_ssz" localSheetId="11" hidden="1">100</definedName>
    <definedName name="solver_ssz" localSheetId="12" hidden="1">100</definedName>
    <definedName name="solver_ssz" localSheetId="13" hidden="1">100</definedName>
    <definedName name="solver_ssz" localSheetId="14" hidden="1">100</definedName>
    <definedName name="solver_ssz" localSheetId="15" hidden="1">100</definedName>
    <definedName name="solver_ssz" localSheetId="16" hidden="1">100</definedName>
    <definedName name="solver_ssz" localSheetId="17" hidden="1">100</definedName>
    <definedName name="solver_ssz" localSheetId="18" hidden="1">100</definedName>
    <definedName name="solver_ssz" localSheetId="19" hidden="1">100</definedName>
    <definedName name="solver_ssz" localSheetId="20" hidden="1">100</definedName>
    <definedName name="solver_ssz" localSheetId="21" hidden="1">100</definedName>
    <definedName name="solver_ssz" localSheetId="22" hidden="1">100</definedName>
    <definedName name="solver_ssz" localSheetId="23" hidden="1">100</definedName>
    <definedName name="solver_ssz" localSheetId="24" hidden="1">100</definedName>
    <definedName name="solver_ssz" localSheetId="25" hidden="1">100</definedName>
    <definedName name="solver_ssz" localSheetId="26" hidden="1">100</definedName>
    <definedName name="solver_ssz" localSheetId="27" hidden="1">100</definedName>
    <definedName name="solver_ssz" localSheetId="28" hidden="1">100</definedName>
    <definedName name="solver_ssz" localSheetId="29" hidden="1">100</definedName>
    <definedName name="solver_ssz" localSheetId="30" hidden="1">100</definedName>
    <definedName name="solver_ssz" localSheetId="31" hidden="1">100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im" localSheetId="7" hidden="1">2147483647</definedName>
    <definedName name="solver_tim" localSheetId="8" hidden="1">2147483647</definedName>
    <definedName name="solver_tim" localSheetId="9" hidden="1">2147483647</definedName>
    <definedName name="solver_tim" localSheetId="10" hidden="1">2147483647</definedName>
    <definedName name="solver_tim" localSheetId="11" hidden="1">2147483647</definedName>
    <definedName name="solver_tim" localSheetId="12" hidden="1">2147483647</definedName>
    <definedName name="solver_tim" localSheetId="13" hidden="1">2147483647</definedName>
    <definedName name="solver_tim" localSheetId="14" hidden="1">2147483647</definedName>
    <definedName name="solver_tim" localSheetId="15" hidden="1">2147483647</definedName>
    <definedName name="solver_tim" localSheetId="16" hidden="1">2147483647</definedName>
    <definedName name="solver_tim" localSheetId="17" hidden="1">2147483647</definedName>
    <definedName name="solver_tim" localSheetId="18" hidden="1">2147483647</definedName>
    <definedName name="solver_tim" localSheetId="19" hidden="1">2147483647</definedName>
    <definedName name="solver_tim" localSheetId="20" hidden="1">2147483647</definedName>
    <definedName name="solver_tim" localSheetId="21" hidden="1">2147483647</definedName>
    <definedName name="solver_tim" localSheetId="22" hidden="1">2147483647</definedName>
    <definedName name="solver_tim" localSheetId="23" hidden="1">2147483647</definedName>
    <definedName name="solver_tim" localSheetId="24" hidden="1">2147483647</definedName>
    <definedName name="solver_tim" localSheetId="25" hidden="1">2147483647</definedName>
    <definedName name="solver_tim" localSheetId="26" hidden="1">2147483647</definedName>
    <definedName name="solver_tim" localSheetId="27" hidden="1">2147483647</definedName>
    <definedName name="solver_tim" localSheetId="28" hidden="1">2147483647</definedName>
    <definedName name="solver_tim" localSheetId="29" hidden="1">2147483647</definedName>
    <definedName name="solver_tim" localSheetId="30" hidden="1">2147483647</definedName>
    <definedName name="solver_tim" localSheetId="31" hidden="1">2147483647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ol" localSheetId="6" hidden="1">0.01</definedName>
    <definedName name="solver_tol" localSheetId="7" hidden="1">0.01</definedName>
    <definedName name="solver_tol" localSheetId="8" hidden="1">0.01</definedName>
    <definedName name="solver_tol" localSheetId="9" hidden="1">0.01</definedName>
    <definedName name="solver_tol" localSheetId="10" hidden="1">0.01</definedName>
    <definedName name="solver_tol" localSheetId="11" hidden="1">0.01</definedName>
    <definedName name="solver_tol" localSheetId="12" hidden="1">0.01</definedName>
    <definedName name="solver_tol" localSheetId="13" hidden="1">0.01</definedName>
    <definedName name="solver_tol" localSheetId="14" hidden="1">0.01</definedName>
    <definedName name="solver_tol" localSheetId="15" hidden="1">0.01</definedName>
    <definedName name="solver_tol" localSheetId="16" hidden="1">0.01</definedName>
    <definedName name="solver_tol" localSheetId="17" hidden="1">0.01</definedName>
    <definedName name="solver_tol" localSheetId="18" hidden="1">0.01</definedName>
    <definedName name="solver_tol" localSheetId="19" hidden="1">0.01</definedName>
    <definedName name="solver_tol" localSheetId="20" hidden="1">0.01</definedName>
    <definedName name="solver_tol" localSheetId="21" hidden="1">0.01</definedName>
    <definedName name="solver_tol" localSheetId="22" hidden="1">0.01</definedName>
    <definedName name="solver_tol" localSheetId="23" hidden="1">0.01</definedName>
    <definedName name="solver_tol" localSheetId="24" hidden="1">0.01</definedName>
    <definedName name="solver_tol" localSheetId="25" hidden="1">0.01</definedName>
    <definedName name="solver_tol" localSheetId="26" hidden="1">0.01</definedName>
    <definedName name="solver_tol" localSheetId="27" hidden="1">0.01</definedName>
    <definedName name="solver_tol" localSheetId="28" hidden="1">0.01</definedName>
    <definedName name="solver_tol" localSheetId="29" hidden="1">0.01</definedName>
    <definedName name="solver_tol" localSheetId="30" hidden="1">0.01</definedName>
    <definedName name="solver_tol" localSheetId="31" hidden="1">0.01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typ" localSheetId="4" hidden="1">2</definedName>
    <definedName name="solver_typ" localSheetId="5" hidden="1">2</definedName>
    <definedName name="solver_typ" localSheetId="6" hidden="1">2</definedName>
    <definedName name="solver_typ" localSheetId="7" hidden="1">2</definedName>
    <definedName name="solver_typ" localSheetId="8" hidden="1">2</definedName>
    <definedName name="solver_typ" localSheetId="9" hidden="1">2</definedName>
    <definedName name="solver_typ" localSheetId="10" hidden="1">2</definedName>
    <definedName name="solver_typ" localSheetId="11" hidden="1">2</definedName>
    <definedName name="solver_typ" localSheetId="12" hidden="1">2</definedName>
    <definedName name="solver_typ" localSheetId="13" hidden="1">2</definedName>
    <definedName name="solver_typ" localSheetId="14" hidden="1">2</definedName>
    <definedName name="solver_typ" localSheetId="15" hidden="1">2</definedName>
    <definedName name="solver_typ" localSheetId="16" hidden="1">2</definedName>
    <definedName name="solver_typ" localSheetId="17" hidden="1">2</definedName>
    <definedName name="solver_typ" localSheetId="18" hidden="1">2</definedName>
    <definedName name="solver_typ" localSheetId="19" hidden="1">2</definedName>
    <definedName name="solver_typ" localSheetId="20" hidden="1">2</definedName>
    <definedName name="solver_typ" localSheetId="21" hidden="1">2</definedName>
    <definedName name="solver_typ" localSheetId="22" hidden="1">2</definedName>
    <definedName name="solver_typ" localSheetId="23" hidden="1">2</definedName>
    <definedName name="solver_typ" localSheetId="24" hidden="1">2</definedName>
    <definedName name="solver_typ" localSheetId="25" hidden="1">2</definedName>
    <definedName name="solver_typ" localSheetId="26" hidden="1">2</definedName>
    <definedName name="solver_typ" localSheetId="27" hidden="1">2</definedName>
    <definedName name="solver_typ" localSheetId="28" hidden="1">2</definedName>
    <definedName name="solver_typ" localSheetId="29" hidden="1">2</definedName>
    <definedName name="solver_typ" localSheetId="30" hidden="1">2</definedName>
    <definedName name="solver_typ" localSheetId="31" hidden="1">2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8" hidden="1">0</definedName>
    <definedName name="solver_val" localSheetId="9" hidden="1">0</definedName>
    <definedName name="solver_val" localSheetId="10" hidden="1">0</definedName>
    <definedName name="solver_val" localSheetId="11" hidden="1">0</definedName>
    <definedName name="solver_val" localSheetId="12" hidden="1">0</definedName>
    <definedName name="solver_val" localSheetId="13" hidden="1">0</definedName>
    <definedName name="solver_val" localSheetId="14" hidden="1">0</definedName>
    <definedName name="solver_val" localSheetId="15" hidden="1">0</definedName>
    <definedName name="solver_val" localSheetId="16" hidden="1">0</definedName>
    <definedName name="solver_val" localSheetId="17" hidden="1">0</definedName>
    <definedName name="solver_val" localSheetId="18" hidden="1">0</definedName>
    <definedName name="solver_val" localSheetId="19" hidden="1">0</definedName>
    <definedName name="solver_val" localSheetId="20" hidden="1">0</definedName>
    <definedName name="solver_val" localSheetId="21" hidden="1">0</definedName>
    <definedName name="solver_val" localSheetId="22" hidden="1">0</definedName>
    <definedName name="solver_val" localSheetId="23" hidden="1">0</definedName>
    <definedName name="solver_val" localSheetId="24" hidden="1">0</definedName>
    <definedName name="solver_val" localSheetId="25" hidden="1">0</definedName>
    <definedName name="solver_val" localSheetId="26" hidden="1">0</definedName>
    <definedName name="solver_val" localSheetId="27" hidden="1">0</definedName>
    <definedName name="solver_val" localSheetId="28" hidden="1">0</definedName>
    <definedName name="solver_val" localSheetId="29" hidden="1">0</definedName>
    <definedName name="solver_val" localSheetId="30" hidden="1">0</definedName>
    <definedName name="solver_val" localSheetId="31" hidden="1">0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  <definedName name="solver_ver" localSheetId="6" hidden="1">3</definedName>
    <definedName name="solver_ver" localSheetId="7" hidden="1">3</definedName>
    <definedName name="solver_ver" localSheetId="8" hidden="1">3</definedName>
    <definedName name="solver_ver" localSheetId="9" hidden="1">3</definedName>
    <definedName name="solver_ver" localSheetId="10" hidden="1">3</definedName>
    <definedName name="solver_ver" localSheetId="11" hidden="1">3</definedName>
    <definedName name="solver_ver" localSheetId="12" hidden="1">3</definedName>
    <definedName name="solver_ver" localSheetId="13" hidden="1">3</definedName>
    <definedName name="solver_ver" localSheetId="14" hidden="1">3</definedName>
    <definedName name="solver_ver" localSheetId="15" hidden="1">3</definedName>
    <definedName name="solver_ver" localSheetId="16" hidden="1">3</definedName>
    <definedName name="solver_ver" localSheetId="17" hidden="1">3</definedName>
    <definedName name="solver_ver" localSheetId="18" hidden="1">3</definedName>
    <definedName name="solver_ver" localSheetId="19" hidden="1">3</definedName>
    <definedName name="solver_ver" localSheetId="20" hidden="1">3</definedName>
    <definedName name="solver_ver" localSheetId="21" hidden="1">3</definedName>
    <definedName name="solver_ver" localSheetId="22" hidden="1">3</definedName>
    <definedName name="solver_ver" localSheetId="23" hidden="1">3</definedName>
    <definedName name="solver_ver" localSheetId="24" hidden="1">3</definedName>
    <definedName name="solver_ver" localSheetId="25" hidden="1">3</definedName>
    <definedName name="solver_ver" localSheetId="26" hidden="1">3</definedName>
    <definedName name="solver_ver" localSheetId="27" hidden="1">3</definedName>
    <definedName name="solver_ver" localSheetId="28" hidden="1">3</definedName>
    <definedName name="solver_ver" localSheetId="29" hidden="1">3</definedName>
    <definedName name="solver_ver" localSheetId="30" hidden="1">3</definedName>
    <definedName name="solver_ver" localSheetId="3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2" l="1"/>
  <c r="C5" i="32" s="1"/>
  <c r="D5" i="32" s="1"/>
  <c r="E5" i="32" s="1"/>
  <c r="H3" i="31"/>
  <c r="C5" i="31" s="1"/>
  <c r="D5" i="31" s="1"/>
  <c r="E5" i="31" s="1"/>
  <c r="H3" i="30"/>
  <c r="C5" i="30" s="1"/>
  <c r="D5" i="30" s="1"/>
  <c r="E5" i="30" s="1"/>
  <c r="H3" i="29"/>
  <c r="C5" i="29" s="1"/>
  <c r="D5" i="29" s="1"/>
  <c r="E5" i="29" s="1"/>
  <c r="H3" i="28"/>
  <c r="C5" i="28" s="1"/>
  <c r="D5" i="28" s="1"/>
  <c r="E5" i="28" s="1"/>
  <c r="H3" i="27"/>
  <c r="C5" i="27" s="1"/>
  <c r="D5" i="27" s="1"/>
  <c r="E5" i="27" s="1"/>
  <c r="H3" i="26"/>
  <c r="C5" i="26" s="1"/>
  <c r="D5" i="26" s="1"/>
  <c r="E5" i="26" s="1"/>
  <c r="H3" i="25"/>
  <c r="C5" i="25" s="1"/>
  <c r="D5" i="25" s="1"/>
  <c r="E5" i="25" s="1"/>
  <c r="H3" i="24"/>
  <c r="C5" i="24" s="1"/>
  <c r="D5" i="24" s="1"/>
  <c r="E5" i="24" s="1"/>
  <c r="H3" i="23"/>
  <c r="C5" i="23" s="1"/>
  <c r="D5" i="23" s="1"/>
  <c r="E5" i="23" s="1"/>
  <c r="H3" i="22"/>
  <c r="C5" i="22" s="1"/>
  <c r="D5" i="22" s="1"/>
  <c r="E5" i="22" s="1"/>
  <c r="H3" i="21"/>
  <c r="C5" i="21" s="1"/>
  <c r="D5" i="21" s="1"/>
  <c r="E5" i="21" s="1"/>
  <c r="H3" i="20"/>
  <c r="C5" i="20" s="1"/>
  <c r="D5" i="20" s="1"/>
  <c r="E5" i="20" s="1"/>
  <c r="H3" i="19"/>
  <c r="C1" i="19" s="1"/>
  <c r="D1" i="19" s="1"/>
  <c r="E1" i="19" s="1"/>
  <c r="H3" i="18"/>
  <c r="C5" i="18" s="1"/>
  <c r="D5" i="18" s="1"/>
  <c r="E5" i="18" s="1"/>
  <c r="H3" i="17"/>
  <c r="C40" i="17" s="1"/>
  <c r="D40" i="17" s="1"/>
  <c r="E40" i="17" s="1"/>
  <c r="H3" i="16"/>
  <c r="C5" i="16" s="1"/>
  <c r="D5" i="16" s="1"/>
  <c r="E5" i="16" s="1"/>
  <c r="H3" i="15"/>
  <c r="C5" i="15" s="1"/>
  <c r="D5" i="15" s="1"/>
  <c r="E5" i="15" s="1"/>
  <c r="H3" i="14"/>
  <c r="C5" i="14" s="1"/>
  <c r="D5" i="14" s="1"/>
  <c r="E5" i="14" s="1"/>
  <c r="H3" i="13"/>
  <c r="C5" i="13" s="1"/>
  <c r="D5" i="13" s="1"/>
  <c r="E5" i="13" s="1"/>
  <c r="H3" i="12"/>
  <c r="C5" i="12" s="1"/>
  <c r="D5" i="12" s="1"/>
  <c r="E5" i="12" s="1"/>
  <c r="H3" i="11"/>
  <c r="C5" i="11" s="1"/>
  <c r="D5" i="11" s="1"/>
  <c r="E5" i="11" s="1"/>
  <c r="H3" i="10"/>
  <c r="C5" i="10" s="1"/>
  <c r="D5" i="10" s="1"/>
  <c r="E5" i="10" s="1"/>
  <c r="H3" i="9"/>
  <c r="C5" i="9" s="1"/>
  <c r="D5" i="9" s="1"/>
  <c r="E5" i="9" s="1"/>
  <c r="H3" i="8"/>
  <c r="C5" i="8" s="1"/>
  <c r="D5" i="8" s="1"/>
  <c r="E5" i="8" s="1"/>
  <c r="H3" i="7"/>
  <c r="C40" i="7" s="1"/>
  <c r="D40" i="7" s="1"/>
  <c r="E40" i="7" s="1"/>
  <c r="H3" i="6"/>
  <c r="C5" i="6" s="1"/>
  <c r="D5" i="6" s="1"/>
  <c r="E5" i="6" s="1"/>
  <c r="H3" i="5"/>
  <c r="C5" i="5" s="1"/>
  <c r="D5" i="5" s="1"/>
  <c r="E5" i="5" s="1"/>
  <c r="H3" i="4"/>
  <c r="C5" i="4" s="1"/>
  <c r="D5" i="4" s="1"/>
  <c r="E5" i="4" s="1"/>
  <c r="H3" i="3"/>
  <c r="C5" i="3" s="1"/>
  <c r="D5" i="3" s="1"/>
  <c r="E5" i="3" s="1"/>
  <c r="H3" i="2"/>
  <c r="C5" i="2" s="1"/>
  <c r="D5" i="2" s="1"/>
  <c r="E5" i="2" s="1"/>
  <c r="B31" i="33"/>
  <c r="B30" i="33"/>
  <c r="B29" i="33"/>
  <c r="B28" i="33"/>
  <c r="B27" i="33"/>
  <c r="B26" i="33"/>
  <c r="B25" i="33"/>
  <c r="B24" i="33"/>
  <c r="B23" i="33"/>
  <c r="B22" i="33"/>
  <c r="B21" i="33"/>
  <c r="B20" i="33"/>
  <c r="B19" i="33"/>
  <c r="B18" i="33"/>
  <c r="B17" i="33"/>
  <c r="B16" i="33"/>
  <c r="B15" i="33"/>
  <c r="B14" i="33"/>
  <c r="B13" i="33"/>
  <c r="B12" i="33"/>
  <c r="B11" i="33"/>
  <c r="B10" i="33"/>
  <c r="B9" i="33"/>
  <c r="B8" i="33"/>
  <c r="B7" i="33"/>
  <c r="B6" i="33"/>
  <c r="B5" i="33"/>
  <c r="B4" i="33"/>
  <c r="B3" i="33"/>
  <c r="B2" i="33"/>
  <c r="B1" i="33"/>
  <c r="C7" i="32" l="1"/>
  <c r="D7" i="32" s="1"/>
  <c r="E7" i="32" s="1"/>
  <c r="C8" i="32"/>
  <c r="D8" i="32" s="1"/>
  <c r="E8" i="32" s="1"/>
  <c r="C24" i="32"/>
  <c r="D24" i="32" s="1"/>
  <c r="E24" i="32" s="1"/>
  <c r="C25" i="32"/>
  <c r="D25" i="32" s="1"/>
  <c r="E25" i="32" s="1"/>
  <c r="C9" i="32"/>
  <c r="D9" i="32" s="1"/>
  <c r="E9" i="32" s="1"/>
  <c r="C26" i="32"/>
  <c r="D26" i="32" s="1"/>
  <c r="E26" i="32" s="1"/>
  <c r="C10" i="32"/>
  <c r="D10" i="32" s="1"/>
  <c r="E10" i="32" s="1"/>
  <c r="C29" i="32"/>
  <c r="D29" i="32" s="1"/>
  <c r="E29" i="32" s="1"/>
  <c r="C12" i="32"/>
  <c r="D12" i="32" s="1"/>
  <c r="E12" i="32" s="1"/>
  <c r="C31" i="32"/>
  <c r="D31" i="32" s="1"/>
  <c r="E31" i="32" s="1"/>
  <c r="C13" i="32"/>
  <c r="D13" i="32" s="1"/>
  <c r="E13" i="32" s="1"/>
  <c r="C32" i="32"/>
  <c r="D32" i="32" s="1"/>
  <c r="E32" i="32" s="1"/>
  <c r="C14" i="32"/>
  <c r="D14" i="32" s="1"/>
  <c r="E14" i="32" s="1"/>
  <c r="C33" i="32"/>
  <c r="D33" i="32" s="1"/>
  <c r="E33" i="32" s="1"/>
  <c r="C17" i="32"/>
  <c r="D17" i="32" s="1"/>
  <c r="E17" i="32" s="1"/>
  <c r="C34" i="32"/>
  <c r="D34" i="32" s="1"/>
  <c r="E34" i="32" s="1"/>
  <c r="C19" i="32"/>
  <c r="D19" i="32" s="1"/>
  <c r="E19" i="32" s="1"/>
  <c r="C36" i="32"/>
  <c r="D36" i="32" s="1"/>
  <c r="E36" i="32" s="1"/>
  <c r="C20" i="32"/>
  <c r="D20" i="32" s="1"/>
  <c r="E20" i="32" s="1"/>
  <c r="C37" i="32"/>
  <c r="D37" i="32" s="1"/>
  <c r="E37" i="32" s="1"/>
  <c r="C21" i="32"/>
  <c r="D21" i="32" s="1"/>
  <c r="E21" i="32" s="1"/>
  <c r="C38" i="32"/>
  <c r="D38" i="32" s="1"/>
  <c r="E38" i="32" s="1"/>
  <c r="C22" i="32"/>
  <c r="D22" i="32" s="1"/>
  <c r="E22" i="32" s="1"/>
  <c r="C39" i="32"/>
  <c r="D39" i="32" s="1"/>
  <c r="E39" i="32" s="1"/>
  <c r="C6" i="32"/>
  <c r="D6" i="32" s="1"/>
  <c r="E6" i="32" s="1"/>
  <c r="C18" i="32"/>
  <c r="D18" i="32" s="1"/>
  <c r="E18" i="32" s="1"/>
  <c r="C30" i="32"/>
  <c r="D30" i="32" s="1"/>
  <c r="E30" i="32" s="1"/>
  <c r="C11" i="32"/>
  <c r="D11" i="32" s="1"/>
  <c r="E11" i="32" s="1"/>
  <c r="C23" i="32"/>
  <c r="D23" i="32" s="1"/>
  <c r="E23" i="32" s="1"/>
  <c r="C35" i="32"/>
  <c r="D35" i="32" s="1"/>
  <c r="E35" i="32" s="1"/>
  <c r="C15" i="32"/>
  <c r="D15" i="32" s="1"/>
  <c r="E15" i="32" s="1"/>
  <c r="C27" i="32"/>
  <c r="D27" i="32" s="1"/>
  <c r="E27" i="32" s="1"/>
  <c r="C4" i="32"/>
  <c r="D4" i="32" s="1"/>
  <c r="E4" i="32" s="1"/>
  <c r="C16" i="32"/>
  <c r="D16" i="32" s="1"/>
  <c r="E16" i="32" s="1"/>
  <c r="C28" i="32"/>
  <c r="D28" i="32" s="1"/>
  <c r="E28" i="32" s="1"/>
  <c r="C40" i="32"/>
  <c r="D40" i="32" s="1"/>
  <c r="E40" i="32" s="1"/>
  <c r="C21" i="31"/>
  <c r="D21" i="31" s="1"/>
  <c r="E21" i="31" s="1"/>
  <c r="C22" i="31"/>
  <c r="D22" i="31" s="1"/>
  <c r="E22" i="31" s="1"/>
  <c r="C25" i="31"/>
  <c r="D25" i="31" s="1"/>
  <c r="E25" i="31" s="1"/>
  <c r="C1" i="31"/>
  <c r="D1" i="31" s="1"/>
  <c r="E1" i="31" s="1"/>
  <c r="C26" i="31"/>
  <c r="D26" i="31" s="1"/>
  <c r="E26" i="31" s="1"/>
  <c r="C29" i="31"/>
  <c r="D29" i="31" s="1"/>
  <c r="E29" i="31" s="1"/>
  <c r="C6" i="31"/>
  <c r="D6" i="31" s="1"/>
  <c r="E6" i="31" s="1"/>
  <c r="C30" i="31"/>
  <c r="D30" i="31" s="1"/>
  <c r="E30" i="31" s="1"/>
  <c r="C9" i="31"/>
  <c r="D9" i="31" s="1"/>
  <c r="E9" i="31" s="1"/>
  <c r="C33" i="31"/>
  <c r="D33" i="31" s="1"/>
  <c r="E33" i="31" s="1"/>
  <c r="C10" i="31"/>
  <c r="D10" i="31" s="1"/>
  <c r="E10" i="31" s="1"/>
  <c r="C34" i="31"/>
  <c r="D34" i="31" s="1"/>
  <c r="E34" i="31" s="1"/>
  <c r="C13" i="31"/>
  <c r="D13" i="31" s="1"/>
  <c r="E13" i="31" s="1"/>
  <c r="C37" i="31"/>
  <c r="D37" i="31" s="1"/>
  <c r="E37" i="31" s="1"/>
  <c r="C14" i="31"/>
  <c r="D14" i="31" s="1"/>
  <c r="E14" i="31" s="1"/>
  <c r="C38" i="31"/>
  <c r="D38" i="31" s="1"/>
  <c r="E38" i="31" s="1"/>
  <c r="C17" i="31"/>
  <c r="D17" i="31" s="1"/>
  <c r="E17" i="31" s="1"/>
  <c r="C18" i="31"/>
  <c r="D18" i="31" s="1"/>
  <c r="E18" i="31" s="1"/>
  <c r="C29" i="30"/>
  <c r="D29" i="30" s="1"/>
  <c r="E29" i="30" s="1"/>
  <c r="C33" i="30"/>
  <c r="D33" i="30" s="1"/>
  <c r="E33" i="30" s="1"/>
  <c r="C37" i="30"/>
  <c r="D37" i="30" s="1"/>
  <c r="E37" i="30" s="1"/>
  <c r="C9" i="30"/>
  <c r="D9" i="30" s="1"/>
  <c r="E9" i="30" s="1"/>
  <c r="C13" i="30"/>
  <c r="D13" i="30" s="1"/>
  <c r="E13" i="30" s="1"/>
  <c r="C17" i="30"/>
  <c r="D17" i="30" s="1"/>
  <c r="E17" i="30" s="1"/>
  <c r="C21" i="30"/>
  <c r="D21" i="30" s="1"/>
  <c r="E21" i="30" s="1"/>
  <c r="C25" i="30"/>
  <c r="D25" i="30" s="1"/>
  <c r="E25" i="30" s="1"/>
  <c r="C1" i="29"/>
  <c r="D1" i="29" s="1"/>
  <c r="E1" i="29" s="1"/>
  <c r="C17" i="29"/>
  <c r="D17" i="29" s="1"/>
  <c r="E17" i="29" s="1"/>
  <c r="C21" i="29"/>
  <c r="D21" i="29" s="1"/>
  <c r="E21" i="29" s="1"/>
  <c r="C25" i="29"/>
  <c r="D25" i="29" s="1"/>
  <c r="E25" i="29" s="1"/>
  <c r="C29" i="29"/>
  <c r="D29" i="29" s="1"/>
  <c r="E29" i="29" s="1"/>
  <c r="C33" i="29"/>
  <c r="D33" i="29" s="1"/>
  <c r="E33" i="29" s="1"/>
  <c r="C37" i="29"/>
  <c r="D37" i="29" s="1"/>
  <c r="E37" i="29" s="1"/>
  <c r="C4" i="29"/>
  <c r="D4" i="29" s="1"/>
  <c r="E4" i="29" s="1"/>
  <c r="C9" i="29"/>
  <c r="D9" i="29" s="1"/>
  <c r="E9" i="29" s="1"/>
  <c r="C13" i="29"/>
  <c r="D13" i="29" s="1"/>
  <c r="E13" i="29" s="1"/>
  <c r="C13" i="28"/>
  <c r="D13" i="28" s="1"/>
  <c r="E13" i="28" s="1"/>
  <c r="C17" i="28"/>
  <c r="D17" i="28" s="1"/>
  <c r="E17" i="28" s="1"/>
  <c r="C21" i="28"/>
  <c r="D21" i="28" s="1"/>
  <c r="E21" i="28" s="1"/>
  <c r="C25" i="28"/>
  <c r="D25" i="28" s="1"/>
  <c r="E25" i="28" s="1"/>
  <c r="C29" i="28"/>
  <c r="D29" i="28" s="1"/>
  <c r="E29" i="28" s="1"/>
  <c r="C33" i="28"/>
  <c r="D33" i="28" s="1"/>
  <c r="E33" i="28" s="1"/>
  <c r="C37" i="28"/>
  <c r="D37" i="28" s="1"/>
  <c r="E37" i="28" s="1"/>
  <c r="C1" i="28"/>
  <c r="D1" i="28" s="1"/>
  <c r="E1" i="28" s="1"/>
  <c r="C3" i="28"/>
  <c r="D3" i="28" s="1"/>
  <c r="E3" i="28" s="1"/>
  <c r="C4" i="28"/>
  <c r="D4" i="28" s="1"/>
  <c r="E4" i="28" s="1"/>
  <c r="C9" i="28"/>
  <c r="D9" i="28" s="1"/>
  <c r="E9" i="28" s="1"/>
  <c r="C6" i="27"/>
  <c r="D6" i="27" s="1"/>
  <c r="E6" i="27" s="1"/>
  <c r="C22" i="27"/>
  <c r="D22" i="27" s="1"/>
  <c r="E22" i="27" s="1"/>
  <c r="C7" i="27"/>
  <c r="D7" i="27" s="1"/>
  <c r="E7" i="27" s="1"/>
  <c r="C25" i="27"/>
  <c r="D25" i="27" s="1"/>
  <c r="E25" i="27" s="1"/>
  <c r="C9" i="27"/>
  <c r="D9" i="27" s="1"/>
  <c r="E9" i="27" s="1"/>
  <c r="C26" i="27"/>
  <c r="D26" i="27" s="1"/>
  <c r="E26" i="27" s="1"/>
  <c r="C10" i="27"/>
  <c r="D10" i="27" s="1"/>
  <c r="E10" i="27" s="1"/>
  <c r="C29" i="27"/>
  <c r="D29" i="27" s="1"/>
  <c r="E29" i="27" s="1"/>
  <c r="C11" i="27"/>
  <c r="D11" i="27" s="1"/>
  <c r="E11" i="27" s="1"/>
  <c r="C33" i="27"/>
  <c r="D33" i="27" s="1"/>
  <c r="E33" i="27" s="1"/>
  <c r="C37" i="27"/>
  <c r="D37" i="27" s="1"/>
  <c r="E37" i="27" s="1"/>
  <c r="C21" i="27"/>
  <c r="D21" i="27" s="1"/>
  <c r="E21" i="27" s="1"/>
  <c r="C13" i="27"/>
  <c r="D13" i="27" s="1"/>
  <c r="E13" i="27" s="1"/>
  <c r="C14" i="27"/>
  <c r="D14" i="27" s="1"/>
  <c r="E14" i="27" s="1"/>
  <c r="C15" i="27"/>
  <c r="D15" i="27" s="1"/>
  <c r="E15" i="27" s="1"/>
  <c r="C17" i="27"/>
  <c r="D17" i="27" s="1"/>
  <c r="E17" i="27" s="1"/>
  <c r="C18" i="27"/>
  <c r="D18" i="27" s="1"/>
  <c r="E18" i="27" s="1"/>
  <c r="C19" i="27"/>
  <c r="D19" i="27" s="1"/>
  <c r="E19" i="27" s="1"/>
  <c r="C2" i="26"/>
  <c r="D2" i="26" s="1"/>
  <c r="E2" i="26" s="1"/>
  <c r="C3" i="26"/>
  <c r="D3" i="26" s="1"/>
  <c r="E3" i="26" s="1"/>
  <c r="C9" i="26"/>
  <c r="D9" i="26" s="1"/>
  <c r="E9" i="26" s="1"/>
  <c r="C13" i="26"/>
  <c r="D13" i="26" s="1"/>
  <c r="E13" i="26" s="1"/>
  <c r="C17" i="26"/>
  <c r="D17" i="26" s="1"/>
  <c r="E17" i="26" s="1"/>
  <c r="C21" i="26"/>
  <c r="D21" i="26" s="1"/>
  <c r="E21" i="26" s="1"/>
  <c r="C25" i="26"/>
  <c r="D25" i="26" s="1"/>
  <c r="E25" i="26" s="1"/>
  <c r="C29" i="26"/>
  <c r="D29" i="26" s="1"/>
  <c r="E29" i="26" s="1"/>
  <c r="C33" i="26"/>
  <c r="D33" i="26" s="1"/>
  <c r="E33" i="26" s="1"/>
  <c r="C37" i="26"/>
  <c r="D37" i="26" s="1"/>
  <c r="E37" i="26" s="1"/>
  <c r="C38" i="25"/>
  <c r="D38" i="25" s="1"/>
  <c r="E38" i="25" s="1"/>
  <c r="C14" i="25"/>
  <c r="D14" i="25" s="1"/>
  <c r="E14" i="25" s="1"/>
  <c r="C17" i="25"/>
  <c r="D17" i="25" s="1"/>
  <c r="E17" i="25" s="1"/>
  <c r="C18" i="25"/>
  <c r="D18" i="25" s="1"/>
  <c r="E18" i="25" s="1"/>
  <c r="C21" i="25"/>
  <c r="D21" i="25" s="1"/>
  <c r="E21" i="25" s="1"/>
  <c r="C22" i="25"/>
  <c r="D22" i="25" s="1"/>
  <c r="E22" i="25" s="1"/>
  <c r="C25" i="25"/>
  <c r="D25" i="25" s="1"/>
  <c r="E25" i="25" s="1"/>
  <c r="C26" i="25"/>
  <c r="D26" i="25" s="1"/>
  <c r="E26" i="25" s="1"/>
  <c r="C29" i="25"/>
  <c r="D29" i="25" s="1"/>
  <c r="E29" i="25" s="1"/>
  <c r="C6" i="25"/>
  <c r="D6" i="25" s="1"/>
  <c r="E6" i="25" s="1"/>
  <c r="C30" i="25"/>
  <c r="D30" i="25" s="1"/>
  <c r="E30" i="25" s="1"/>
  <c r="C9" i="25"/>
  <c r="D9" i="25" s="1"/>
  <c r="E9" i="25" s="1"/>
  <c r="C33" i="25"/>
  <c r="D33" i="25" s="1"/>
  <c r="E33" i="25" s="1"/>
  <c r="C10" i="25"/>
  <c r="D10" i="25" s="1"/>
  <c r="E10" i="25" s="1"/>
  <c r="C34" i="25"/>
  <c r="D34" i="25" s="1"/>
  <c r="E34" i="25" s="1"/>
  <c r="C13" i="25"/>
  <c r="D13" i="25" s="1"/>
  <c r="E13" i="25" s="1"/>
  <c r="C37" i="25"/>
  <c r="D37" i="25" s="1"/>
  <c r="E37" i="25" s="1"/>
  <c r="C13" i="24"/>
  <c r="D13" i="24" s="1"/>
  <c r="E13" i="24" s="1"/>
  <c r="C17" i="24"/>
  <c r="D17" i="24" s="1"/>
  <c r="E17" i="24" s="1"/>
  <c r="C21" i="24"/>
  <c r="D21" i="24" s="1"/>
  <c r="E21" i="24" s="1"/>
  <c r="C25" i="24"/>
  <c r="D25" i="24" s="1"/>
  <c r="E25" i="24" s="1"/>
  <c r="C29" i="24"/>
  <c r="D29" i="24" s="1"/>
  <c r="E29" i="24" s="1"/>
  <c r="C33" i="24"/>
  <c r="D33" i="24" s="1"/>
  <c r="E33" i="24" s="1"/>
  <c r="C37" i="24"/>
  <c r="D37" i="24" s="1"/>
  <c r="E37" i="24" s="1"/>
  <c r="C2" i="24"/>
  <c r="D2" i="24" s="1"/>
  <c r="E2" i="24" s="1"/>
  <c r="C3" i="24"/>
  <c r="D3" i="24" s="1"/>
  <c r="E3" i="24" s="1"/>
  <c r="C9" i="24"/>
  <c r="D9" i="24" s="1"/>
  <c r="E9" i="24" s="1"/>
  <c r="C9" i="23"/>
  <c r="D9" i="23" s="1"/>
  <c r="E9" i="23" s="1"/>
  <c r="C13" i="23"/>
  <c r="D13" i="23" s="1"/>
  <c r="E13" i="23" s="1"/>
  <c r="C17" i="23"/>
  <c r="D17" i="23" s="1"/>
  <c r="E17" i="23" s="1"/>
  <c r="C21" i="23"/>
  <c r="D21" i="23" s="1"/>
  <c r="E21" i="23" s="1"/>
  <c r="C25" i="23"/>
  <c r="D25" i="23" s="1"/>
  <c r="E25" i="23" s="1"/>
  <c r="C29" i="23"/>
  <c r="D29" i="23" s="1"/>
  <c r="E29" i="23" s="1"/>
  <c r="C33" i="23"/>
  <c r="D33" i="23" s="1"/>
  <c r="E33" i="23" s="1"/>
  <c r="C37" i="23"/>
  <c r="D37" i="23" s="1"/>
  <c r="E37" i="23" s="1"/>
  <c r="C2" i="23"/>
  <c r="D2" i="23" s="1"/>
  <c r="E2" i="23" s="1"/>
  <c r="C15" i="22"/>
  <c r="D15" i="22" s="1"/>
  <c r="E15" i="22" s="1"/>
  <c r="C6" i="22"/>
  <c r="D6" i="22" s="1"/>
  <c r="E6" i="22" s="1"/>
  <c r="C18" i="22"/>
  <c r="D18" i="22" s="1"/>
  <c r="E18" i="22" s="1"/>
  <c r="C27" i="22"/>
  <c r="D27" i="22" s="1"/>
  <c r="E27" i="22" s="1"/>
  <c r="C30" i="22"/>
  <c r="D30" i="22" s="1"/>
  <c r="E30" i="22" s="1"/>
  <c r="C39" i="22"/>
  <c r="D39" i="22" s="1"/>
  <c r="E39" i="22" s="1"/>
  <c r="C7" i="22"/>
  <c r="D7" i="22" s="1"/>
  <c r="E7" i="22" s="1"/>
  <c r="C19" i="22"/>
  <c r="D19" i="22" s="1"/>
  <c r="E19" i="22" s="1"/>
  <c r="C31" i="22"/>
  <c r="D31" i="22" s="1"/>
  <c r="E31" i="22" s="1"/>
  <c r="C8" i="22"/>
  <c r="D8" i="22" s="1"/>
  <c r="E8" i="22" s="1"/>
  <c r="C20" i="22"/>
  <c r="D20" i="22" s="1"/>
  <c r="E20" i="22" s="1"/>
  <c r="C32" i="22"/>
  <c r="D32" i="22" s="1"/>
  <c r="E32" i="22" s="1"/>
  <c r="C9" i="22"/>
  <c r="D9" i="22" s="1"/>
  <c r="E9" i="22" s="1"/>
  <c r="C21" i="22"/>
  <c r="D21" i="22" s="1"/>
  <c r="E21" i="22" s="1"/>
  <c r="C33" i="22"/>
  <c r="D33" i="22" s="1"/>
  <c r="E33" i="22" s="1"/>
  <c r="C10" i="22"/>
  <c r="D10" i="22" s="1"/>
  <c r="E10" i="22" s="1"/>
  <c r="C22" i="22"/>
  <c r="D22" i="22" s="1"/>
  <c r="E22" i="22" s="1"/>
  <c r="C34" i="22"/>
  <c r="D34" i="22" s="1"/>
  <c r="E34" i="22" s="1"/>
  <c r="C11" i="22"/>
  <c r="D11" i="22" s="1"/>
  <c r="E11" i="22" s="1"/>
  <c r="C23" i="22"/>
  <c r="D23" i="22" s="1"/>
  <c r="E23" i="22" s="1"/>
  <c r="C35" i="22"/>
  <c r="D35" i="22" s="1"/>
  <c r="E35" i="22" s="1"/>
  <c r="C12" i="22"/>
  <c r="D12" i="22" s="1"/>
  <c r="E12" i="22" s="1"/>
  <c r="C24" i="22"/>
  <c r="D24" i="22" s="1"/>
  <c r="E24" i="22" s="1"/>
  <c r="C36" i="22"/>
  <c r="D36" i="22" s="1"/>
  <c r="E36" i="22" s="1"/>
  <c r="C13" i="22"/>
  <c r="D13" i="22" s="1"/>
  <c r="E13" i="22" s="1"/>
  <c r="C25" i="22"/>
  <c r="D25" i="22" s="1"/>
  <c r="E25" i="22" s="1"/>
  <c r="C37" i="22"/>
  <c r="D37" i="22" s="1"/>
  <c r="E37" i="22" s="1"/>
  <c r="C14" i="22"/>
  <c r="D14" i="22" s="1"/>
  <c r="E14" i="22" s="1"/>
  <c r="C26" i="22"/>
  <c r="D26" i="22" s="1"/>
  <c r="E26" i="22" s="1"/>
  <c r="C38" i="22"/>
  <c r="D38" i="22" s="1"/>
  <c r="E38" i="22" s="1"/>
  <c r="C1" i="22"/>
  <c r="D1" i="22" s="1"/>
  <c r="E1" i="22" s="1"/>
  <c r="C16" i="22"/>
  <c r="D16" i="22" s="1"/>
  <c r="E16" i="22" s="1"/>
  <c r="C28" i="22"/>
  <c r="D28" i="22" s="1"/>
  <c r="E28" i="22" s="1"/>
  <c r="C17" i="22"/>
  <c r="D17" i="22" s="1"/>
  <c r="E17" i="22" s="1"/>
  <c r="C29" i="22"/>
  <c r="D29" i="22" s="1"/>
  <c r="E29" i="22" s="1"/>
  <c r="C21" i="21"/>
  <c r="D21" i="21" s="1"/>
  <c r="E21" i="21" s="1"/>
  <c r="C26" i="21"/>
  <c r="D26" i="21" s="1"/>
  <c r="E26" i="21" s="1"/>
  <c r="C2" i="21"/>
  <c r="D2" i="21" s="1"/>
  <c r="E2" i="21" s="1"/>
  <c r="C22" i="21"/>
  <c r="D22" i="21" s="1"/>
  <c r="E22" i="21" s="1"/>
  <c r="C25" i="21"/>
  <c r="D25" i="21" s="1"/>
  <c r="E25" i="21" s="1"/>
  <c r="C4" i="21"/>
  <c r="D4" i="21" s="1"/>
  <c r="E4" i="21" s="1"/>
  <c r="C29" i="21"/>
  <c r="D29" i="21" s="1"/>
  <c r="E29" i="21" s="1"/>
  <c r="C6" i="21"/>
  <c r="D6" i="21" s="1"/>
  <c r="E6" i="21" s="1"/>
  <c r="C30" i="21"/>
  <c r="D30" i="21" s="1"/>
  <c r="E30" i="21" s="1"/>
  <c r="C9" i="21"/>
  <c r="D9" i="21" s="1"/>
  <c r="E9" i="21" s="1"/>
  <c r="C33" i="21"/>
  <c r="D33" i="21" s="1"/>
  <c r="E33" i="21" s="1"/>
  <c r="C10" i="21"/>
  <c r="D10" i="21" s="1"/>
  <c r="E10" i="21" s="1"/>
  <c r="C34" i="21"/>
  <c r="D34" i="21" s="1"/>
  <c r="E34" i="21" s="1"/>
  <c r="C13" i="21"/>
  <c r="D13" i="21" s="1"/>
  <c r="E13" i="21" s="1"/>
  <c r="C37" i="21"/>
  <c r="D37" i="21" s="1"/>
  <c r="E37" i="21" s="1"/>
  <c r="C14" i="21"/>
  <c r="D14" i="21" s="1"/>
  <c r="E14" i="21" s="1"/>
  <c r="C38" i="21"/>
  <c r="D38" i="21" s="1"/>
  <c r="E38" i="21" s="1"/>
  <c r="C17" i="21"/>
  <c r="D17" i="21" s="1"/>
  <c r="E17" i="21" s="1"/>
  <c r="C18" i="21"/>
  <c r="D18" i="21" s="1"/>
  <c r="E18" i="21" s="1"/>
  <c r="C37" i="20"/>
  <c r="D37" i="20" s="1"/>
  <c r="E37" i="20" s="1"/>
  <c r="C2" i="20"/>
  <c r="D2" i="20" s="1"/>
  <c r="E2" i="20" s="1"/>
  <c r="C3" i="20"/>
  <c r="D3" i="20" s="1"/>
  <c r="E3" i="20" s="1"/>
  <c r="C9" i="20"/>
  <c r="D9" i="20" s="1"/>
  <c r="E9" i="20" s="1"/>
  <c r="C6" i="20"/>
  <c r="D6" i="20" s="1"/>
  <c r="E6" i="20" s="1"/>
  <c r="C10" i="20"/>
  <c r="D10" i="20" s="1"/>
  <c r="E10" i="20" s="1"/>
  <c r="C13" i="20"/>
  <c r="D13" i="20" s="1"/>
  <c r="E13" i="20" s="1"/>
  <c r="C17" i="20"/>
  <c r="D17" i="20" s="1"/>
  <c r="E17" i="20" s="1"/>
  <c r="C21" i="20"/>
  <c r="D21" i="20" s="1"/>
  <c r="E21" i="20" s="1"/>
  <c r="C25" i="20"/>
  <c r="D25" i="20" s="1"/>
  <c r="E25" i="20" s="1"/>
  <c r="C29" i="20"/>
  <c r="D29" i="20" s="1"/>
  <c r="E29" i="20" s="1"/>
  <c r="C33" i="20"/>
  <c r="D33" i="20" s="1"/>
  <c r="E33" i="20" s="1"/>
  <c r="C9" i="19"/>
  <c r="D9" i="19" s="1"/>
  <c r="E9" i="19" s="1"/>
  <c r="C25" i="19"/>
  <c r="D25" i="19" s="1"/>
  <c r="E25" i="19" s="1"/>
  <c r="C10" i="19"/>
  <c r="D10" i="19" s="1"/>
  <c r="E10" i="19" s="1"/>
  <c r="C26" i="19"/>
  <c r="D26" i="19" s="1"/>
  <c r="E26" i="19" s="1"/>
  <c r="C12" i="19"/>
  <c r="D12" i="19" s="1"/>
  <c r="E12" i="19" s="1"/>
  <c r="C28" i="19"/>
  <c r="D28" i="19" s="1"/>
  <c r="E28" i="19" s="1"/>
  <c r="C13" i="19"/>
  <c r="D13" i="19" s="1"/>
  <c r="E13" i="19" s="1"/>
  <c r="C29" i="19"/>
  <c r="D29" i="19" s="1"/>
  <c r="E29" i="19" s="1"/>
  <c r="C14" i="19"/>
  <c r="D14" i="19" s="1"/>
  <c r="E14" i="19" s="1"/>
  <c r="C30" i="19"/>
  <c r="D30" i="19" s="1"/>
  <c r="E30" i="19" s="1"/>
  <c r="C16" i="19"/>
  <c r="D16" i="19" s="1"/>
  <c r="E16" i="19" s="1"/>
  <c r="C32" i="19"/>
  <c r="D32" i="19" s="1"/>
  <c r="E32" i="19" s="1"/>
  <c r="C3" i="19"/>
  <c r="D3" i="19" s="1"/>
  <c r="E3" i="19" s="1"/>
  <c r="C17" i="19"/>
  <c r="D17" i="19" s="1"/>
  <c r="E17" i="19" s="1"/>
  <c r="C33" i="19"/>
  <c r="D33" i="19" s="1"/>
  <c r="E33" i="19" s="1"/>
  <c r="C18" i="19"/>
  <c r="D18" i="19" s="1"/>
  <c r="E18" i="19" s="1"/>
  <c r="C34" i="19"/>
  <c r="D34" i="19" s="1"/>
  <c r="E34" i="19" s="1"/>
  <c r="C20" i="19"/>
  <c r="D20" i="19" s="1"/>
  <c r="E20" i="19" s="1"/>
  <c r="C36" i="19"/>
  <c r="D36" i="19" s="1"/>
  <c r="E36" i="19" s="1"/>
  <c r="C5" i="19"/>
  <c r="D5" i="19" s="1"/>
  <c r="E5" i="19" s="1"/>
  <c r="C21" i="19"/>
  <c r="D21" i="19" s="1"/>
  <c r="E21" i="19" s="1"/>
  <c r="C37" i="19"/>
  <c r="D37" i="19" s="1"/>
  <c r="E37" i="19" s="1"/>
  <c r="C6" i="19"/>
  <c r="D6" i="19" s="1"/>
  <c r="E6" i="19" s="1"/>
  <c r="C22" i="19"/>
  <c r="D22" i="19" s="1"/>
  <c r="E22" i="19" s="1"/>
  <c r="C38" i="19"/>
  <c r="D38" i="19" s="1"/>
  <c r="E38" i="19" s="1"/>
  <c r="C8" i="19"/>
  <c r="D8" i="19" s="1"/>
  <c r="E8" i="19" s="1"/>
  <c r="C24" i="19"/>
  <c r="D24" i="19" s="1"/>
  <c r="E24" i="19" s="1"/>
  <c r="C40" i="19"/>
  <c r="D40" i="19" s="1"/>
  <c r="E40" i="19" s="1"/>
  <c r="C13" i="18"/>
  <c r="D13" i="18" s="1"/>
  <c r="E13" i="18" s="1"/>
  <c r="C29" i="18"/>
  <c r="D29" i="18" s="1"/>
  <c r="E29" i="18" s="1"/>
  <c r="C14" i="18"/>
  <c r="D14" i="18" s="1"/>
  <c r="E14" i="18" s="1"/>
  <c r="C30" i="18"/>
  <c r="D30" i="18" s="1"/>
  <c r="E30" i="18" s="1"/>
  <c r="C15" i="18"/>
  <c r="D15" i="18" s="1"/>
  <c r="E15" i="18" s="1"/>
  <c r="C33" i="18"/>
  <c r="D33" i="18" s="1"/>
  <c r="E33" i="18" s="1"/>
  <c r="C17" i="18"/>
  <c r="D17" i="18" s="1"/>
  <c r="E17" i="18" s="1"/>
  <c r="C34" i="18"/>
  <c r="D34" i="18" s="1"/>
  <c r="E34" i="18" s="1"/>
  <c r="C18" i="18"/>
  <c r="D18" i="18" s="1"/>
  <c r="E18" i="18" s="1"/>
  <c r="C37" i="18"/>
  <c r="D37" i="18" s="1"/>
  <c r="E37" i="18" s="1"/>
  <c r="C1" i="18"/>
  <c r="D1" i="18" s="1"/>
  <c r="E1" i="18" s="1"/>
  <c r="C19" i="18"/>
  <c r="D19" i="18" s="1"/>
  <c r="E19" i="18" s="1"/>
  <c r="C38" i="18"/>
  <c r="D38" i="18" s="1"/>
  <c r="E38" i="18" s="1"/>
  <c r="C21" i="18"/>
  <c r="D21" i="18" s="1"/>
  <c r="E21" i="18" s="1"/>
  <c r="C6" i="18"/>
  <c r="D6" i="18" s="1"/>
  <c r="E6" i="18" s="1"/>
  <c r="C22" i="18"/>
  <c r="D22" i="18" s="1"/>
  <c r="E22" i="18" s="1"/>
  <c r="C7" i="18"/>
  <c r="D7" i="18" s="1"/>
  <c r="E7" i="18" s="1"/>
  <c r="C23" i="18"/>
  <c r="D23" i="18" s="1"/>
  <c r="E23" i="18" s="1"/>
  <c r="C9" i="18"/>
  <c r="D9" i="18" s="1"/>
  <c r="E9" i="18" s="1"/>
  <c r="C25" i="18"/>
  <c r="D25" i="18" s="1"/>
  <c r="E25" i="18" s="1"/>
  <c r="C10" i="18"/>
  <c r="D10" i="18" s="1"/>
  <c r="E10" i="18" s="1"/>
  <c r="C26" i="18"/>
  <c r="D26" i="18" s="1"/>
  <c r="E26" i="18" s="1"/>
  <c r="C11" i="18"/>
  <c r="D11" i="18" s="1"/>
  <c r="E11" i="18" s="1"/>
  <c r="C27" i="18"/>
  <c r="D27" i="18" s="1"/>
  <c r="E27" i="18" s="1"/>
  <c r="C3" i="17"/>
  <c r="D3" i="17" s="1"/>
  <c r="E3" i="17" s="1"/>
  <c r="C22" i="17"/>
  <c r="D22" i="17" s="1"/>
  <c r="E22" i="17" s="1"/>
  <c r="C26" i="17"/>
  <c r="D26" i="17" s="1"/>
  <c r="E26" i="17" s="1"/>
  <c r="C30" i="17"/>
  <c r="D30" i="17" s="1"/>
  <c r="E30" i="17" s="1"/>
  <c r="C1" i="17"/>
  <c r="D1" i="17" s="1"/>
  <c r="E1" i="17" s="1"/>
  <c r="C34" i="17"/>
  <c r="D34" i="17" s="1"/>
  <c r="E34" i="17" s="1"/>
  <c r="C38" i="17"/>
  <c r="D38" i="17" s="1"/>
  <c r="E38" i="17" s="1"/>
  <c r="C5" i="17"/>
  <c r="D5" i="17" s="1"/>
  <c r="E5" i="17" s="1"/>
  <c r="C6" i="17"/>
  <c r="D6" i="17" s="1"/>
  <c r="E6" i="17" s="1"/>
  <c r="C10" i="17"/>
  <c r="D10" i="17" s="1"/>
  <c r="E10" i="17" s="1"/>
  <c r="C14" i="17"/>
  <c r="D14" i="17" s="1"/>
  <c r="E14" i="17" s="1"/>
  <c r="C18" i="17"/>
  <c r="D18" i="17" s="1"/>
  <c r="E18" i="17" s="1"/>
  <c r="C29" i="16"/>
  <c r="D29" i="16" s="1"/>
  <c r="E29" i="16" s="1"/>
  <c r="C33" i="16"/>
  <c r="D33" i="16" s="1"/>
  <c r="E33" i="16" s="1"/>
  <c r="C37" i="16"/>
  <c r="D37" i="16" s="1"/>
  <c r="E37" i="16" s="1"/>
  <c r="C9" i="16"/>
  <c r="D9" i="16" s="1"/>
  <c r="E9" i="16" s="1"/>
  <c r="C13" i="16"/>
  <c r="D13" i="16" s="1"/>
  <c r="E13" i="16" s="1"/>
  <c r="C17" i="16"/>
  <c r="D17" i="16" s="1"/>
  <c r="E17" i="16" s="1"/>
  <c r="C21" i="16"/>
  <c r="D21" i="16" s="1"/>
  <c r="E21" i="16" s="1"/>
  <c r="C25" i="16"/>
  <c r="D25" i="16" s="1"/>
  <c r="E25" i="16" s="1"/>
  <c r="C13" i="15"/>
  <c r="D13" i="15" s="1"/>
  <c r="E13" i="15" s="1"/>
  <c r="C17" i="15"/>
  <c r="D17" i="15" s="1"/>
  <c r="E17" i="15" s="1"/>
  <c r="C21" i="15"/>
  <c r="D21" i="15" s="1"/>
  <c r="E21" i="15" s="1"/>
  <c r="C25" i="15"/>
  <c r="D25" i="15" s="1"/>
  <c r="E25" i="15" s="1"/>
  <c r="C29" i="15"/>
  <c r="D29" i="15" s="1"/>
  <c r="E29" i="15" s="1"/>
  <c r="C33" i="15"/>
  <c r="D33" i="15" s="1"/>
  <c r="E33" i="15" s="1"/>
  <c r="C37" i="15"/>
  <c r="D37" i="15" s="1"/>
  <c r="E37" i="15" s="1"/>
  <c r="C2" i="15"/>
  <c r="D2" i="15" s="1"/>
  <c r="E2" i="15" s="1"/>
  <c r="C9" i="15"/>
  <c r="D9" i="15" s="1"/>
  <c r="E9" i="15" s="1"/>
  <c r="C9" i="14"/>
  <c r="D9" i="14" s="1"/>
  <c r="E9" i="14" s="1"/>
  <c r="C17" i="14"/>
  <c r="D17" i="14" s="1"/>
  <c r="E17" i="14" s="1"/>
  <c r="C13" i="14"/>
  <c r="D13" i="14" s="1"/>
  <c r="E13" i="14" s="1"/>
  <c r="C21" i="14"/>
  <c r="D21" i="14" s="1"/>
  <c r="E21" i="14" s="1"/>
  <c r="C25" i="14"/>
  <c r="D25" i="14" s="1"/>
  <c r="E25" i="14" s="1"/>
  <c r="C29" i="14"/>
  <c r="D29" i="14" s="1"/>
  <c r="E29" i="14" s="1"/>
  <c r="C33" i="14"/>
  <c r="D33" i="14" s="1"/>
  <c r="E33" i="14" s="1"/>
  <c r="C37" i="14"/>
  <c r="D37" i="14" s="1"/>
  <c r="E37" i="14" s="1"/>
  <c r="C3" i="13"/>
  <c r="D3" i="13" s="1"/>
  <c r="E3" i="13" s="1"/>
  <c r="C9" i="13"/>
  <c r="D9" i="13" s="1"/>
  <c r="E9" i="13" s="1"/>
  <c r="C13" i="13"/>
  <c r="D13" i="13" s="1"/>
  <c r="E13" i="13" s="1"/>
  <c r="C17" i="13"/>
  <c r="D17" i="13" s="1"/>
  <c r="E17" i="13" s="1"/>
  <c r="C21" i="13"/>
  <c r="D21" i="13" s="1"/>
  <c r="E21" i="13" s="1"/>
  <c r="C25" i="13"/>
  <c r="D25" i="13" s="1"/>
  <c r="E25" i="13" s="1"/>
  <c r="C29" i="13"/>
  <c r="D29" i="13" s="1"/>
  <c r="E29" i="13" s="1"/>
  <c r="C33" i="13"/>
  <c r="D33" i="13" s="1"/>
  <c r="E33" i="13" s="1"/>
  <c r="C37" i="13"/>
  <c r="D37" i="13" s="1"/>
  <c r="E37" i="13" s="1"/>
  <c r="C38" i="12"/>
  <c r="D38" i="12" s="1"/>
  <c r="E38" i="12" s="1"/>
  <c r="C6" i="12"/>
  <c r="D6" i="12" s="1"/>
  <c r="E6" i="12" s="1"/>
  <c r="C22" i="12"/>
  <c r="D22" i="12" s="1"/>
  <c r="E22" i="12" s="1"/>
  <c r="C8" i="12"/>
  <c r="D8" i="12" s="1"/>
  <c r="E8" i="12" s="1"/>
  <c r="C24" i="12"/>
  <c r="D24" i="12" s="1"/>
  <c r="E24" i="12" s="1"/>
  <c r="C9" i="12"/>
  <c r="D9" i="12" s="1"/>
  <c r="E9" i="12" s="1"/>
  <c r="C25" i="12"/>
  <c r="D25" i="12" s="1"/>
  <c r="E25" i="12" s="1"/>
  <c r="C10" i="12"/>
  <c r="D10" i="12" s="1"/>
  <c r="E10" i="12" s="1"/>
  <c r="C26" i="12"/>
  <c r="D26" i="12" s="1"/>
  <c r="E26" i="12" s="1"/>
  <c r="C12" i="12"/>
  <c r="D12" i="12" s="1"/>
  <c r="E12" i="12" s="1"/>
  <c r="C28" i="12"/>
  <c r="D28" i="12" s="1"/>
  <c r="E28" i="12" s="1"/>
  <c r="C13" i="12"/>
  <c r="D13" i="12" s="1"/>
  <c r="E13" i="12" s="1"/>
  <c r="C29" i="12"/>
  <c r="D29" i="12" s="1"/>
  <c r="E29" i="12" s="1"/>
  <c r="C14" i="12"/>
  <c r="D14" i="12" s="1"/>
  <c r="E14" i="12" s="1"/>
  <c r="C30" i="12"/>
  <c r="D30" i="12" s="1"/>
  <c r="E30" i="12" s="1"/>
  <c r="C32" i="12"/>
  <c r="D32" i="12" s="1"/>
  <c r="E32" i="12" s="1"/>
  <c r="C16" i="12"/>
  <c r="D16" i="12" s="1"/>
  <c r="E16" i="12" s="1"/>
  <c r="C17" i="12"/>
  <c r="D17" i="12" s="1"/>
  <c r="E17" i="12" s="1"/>
  <c r="C33" i="12"/>
  <c r="D33" i="12" s="1"/>
  <c r="E33" i="12" s="1"/>
  <c r="C18" i="12"/>
  <c r="D18" i="12" s="1"/>
  <c r="E18" i="12" s="1"/>
  <c r="C34" i="12"/>
  <c r="D34" i="12" s="1"/>
  <c r="E34" i="12" s="1"/>
  <c r="C3" i="12"/>
  <c r="D3" i="12" s="1"/>
  <c r="E3" i="12" s="1"/>
  <c r="C20" i="12"/>
  <c r="D20" i="12" s="1"/>
  <c r="E20" i="12" s="1"/>
  <c r="C36" i="12"/>
  <c r="D36" i="12" s="1"/>
  <c r="E36" i="12" s="1"/>
  <c r="C21" i="12"/>
  <c r="D21" i="12" s="1"/>
  <c r="E21" i="12" s="1"/>
  <c r="C37" i="12"/>
  <c r="D37" i="12" s="1"/>
  <c r="E37" i="12" s="1"/>
  <c r="C3" i="11"/>
  <c r="D3" i="11" s="1"/>
  <c r="E3" i="11" s="1"/>
  <c r="C9" i="11"/>
  <c r="D9" i="11" s="1"/>
  <c r="E9" i="11" s="1"/>
  <c r="C13" i="11"/>
  <c r="D13" i="11" s="1"/>
  <c r="E13" i="11" s="1"/>
  <c r="C17" i="11"/>
  <c r="D17" i="11" s="1"/>
  <c r="E17" i="11" s="1"/>
  <c r="C21" i="11"/>
  <c r="D21" i="11" s="1"/>
  <c r="E21" i="11" s="1"/>
  <c r="C25" i="11"/>
  <c r="D25" i="11" s="1"/>
  <c r="E25" i="11" s="1"/>
  <c r="C29" i="11"/>
  <c r="D29" i="11" s="1"/>
  <c r="E29" i="11" s="1"/>
  <c r="C33" i="11"/>
  <c r="D33" i="11" s="1"/>
  <c r="E33" i="11" s="1"/>
  <c r="C37" i="11"/>
  <c r="D37" i="11" s="1"/>
  <c r="E37" i="11" s="1"/>
  <c r="C2" i="11"/>
  <c r="D2" i="11" s="1"/>
  <c r="E2" i="11" s="1"/>
  <c r="C9" i="10"/>
  <c r="D9" i="10" s="1"/>
  <c r="E9" i="10" s="1"/>
  <c r="C13" i="10"/>
  <c r="D13" i="10" s="1"/>
  <c r="E13" i="10" s="1"/>
  <c r="C7" i="10"/>
  <c r="D7" i="10" s="1"/>
  <c r="E7" i="10" s="1"/>
  <c r="C11" i="10"/>
  <c r="D11" i="10" s="1"/>
  <c r="E11" i="10" s="1"/>
  <c r="C17" i="10"/>
  <c r="D17" i="10" s="1"/>
  <c r="E17" i="10" s="1"/>
  <c r="C21" i="10"/>
  <c r="D21" i="10" s="1"/>
  <c r="E21" i="10" s="1"/>
  <c r="C25" i="10"/>
  <c r="D25" i="10" s="1"/>
  <c r="E25" i="10" s="1"/>
  <c r="C29" i="10"/>
  <c r="D29" i="10" s="1"/>
  <c r="E29" i="10" s="1"/>
  <c r="C33" i="10"/>
  <c r="D33" i="10" s="1"/>
  <c r="E33" i="10" s="1"/>
  <c r="C37" i="10"/>
  <c r="D37" i="10" s="1"/>
  <c r="E37" i="10" s="1"/>
  <c r="C3" i="9"/>
  <c r="D3" i="9" s="1"/>
  <c r="E3" i="9" s="1"/>
  <c r="C2" i="9"/>
  <c r="D2" i="9" s="1"/>
  <c r="E2" i="9" s="1"/>
  <c r="C9" i="9"/>
  <c r="D9" i="9" s="1"/>
  <c r="E9" i="9" s="1"/>
  <c r="C13" i="9"/>
  <c r="D13" i="9" s="1"/>
  <c r="E13" i="9" s="1"/>
  <c r="C17" i="9"/>
  <c r="D17" i="9" s="1"/>
  <c r="E17" i="9" s="1"/>
  <c r="C21" i="9"/>
  <c r="D21" i="9" s="1"/>
  <c r="E21" i="9" s="1"/>
  <c r="C25" i="9"/>
  <c r="D25" i="9" s="1"/>
  <c r="E25" i="9" s="1"/>
  <c r="C29" i="9"/>
  <c r="D29" i="9" s="1"/>
  <c r="E29" i="9" s="1"/>
  <c r="C33" i="9"/>
  <c r="D33" i="9" s="1"/>
  <c r="E33" i="9" s="1"/>
  <c r="C37" i="9"/>
  <c r="D37" i="9" s="1"/>
  <c r="E37" i="9" s="1"/>
  <c r="C40" i="8"/>
  <c r="D40" i="8" s="1"/>
  <c r="E40" i="8" s="1"/>
  <c r="C1" i="8"/>
  <c r="D1" i="8" s="1"/>
  <c r="E1" i="8" s="1"/>
  <c r="C13" i="8"/>
  <c r="D13" i="8" s="1"/>
  <c r="E13" i="8" s="1"/>
  <c r="C25" i="8"/>
  <c r="D25" i="8" s="1"/>
  <c r="E25" i="8" s="1"/>
  <c r="C2" i="8"/>
  <c r="D2" i="8" s="1"/>
  <c r="E2" i="8" s="1"/>
  <c r="C14" i="8"/>
  <c r="D14" i="8" s="1"/>
  <c r="E14" i="8" s="1"/>
  <c r="C26" i="8"/>
  <c r="D26" i="8" s="1"/>
  <c r="E26" i="8" s="1"/>
  <c r="C15" i="8"/>
  <c r="D15" i="8" s="1"/>
  <c r="E15" i="8" s="1"/>
  <c r="C27" i="8"/>
  <c r="D27" i="8" s="1"/>
  <c r="E27" i="8" s="1"/>
  <c r="C3" i="8"/>
  <c r="D3" i="8" s="1"/>
  <c r="E3" i="8" s="1"/>
  <c r="C16" i="8"/>
  <c r="D16" i="8" s="1"/>
  <c r="E16" i="8" s="1"/>
  <c r="C28" i="8"/>
  <c r="D28" i="8" s="1"/>
  <c r="E28" i="8" s="1"/>
  <c r="C17" i="8"/>
  <c r="D17" i="8" s="1"/>
  <c r="E17" i="8" s="1"/>
  <c r="C29" i="8"/>
  <c r="D29" i="8" s="1"/>
  <c r="E29" i="8" s="1"/>
  <c r="C6" i="8"/>
  <c r="D6" i="8" s="1"/>
  <c r="E6" i="8" s="1"/>
  <c r="C18" i="8"/>
  <c r="D18" i="8" s="1"/>
  <c r="E18" i="8" s="1"/>
  <c r="C30" i="8"/>
  <c r="D30" i="8" s="1"/>
  <c r="E30" i="8" s="1"/>
  <c r="C7" i="8"/>
  <c r="D7" i="8" s="1"/>
  <c r="E7" i="8" s="1"/>
  <c r="C19" i="8"/>
  <c r="D19" i="8" s="1"/>
  <c r="E19" i="8" s="1"/>
  <c r="C32" i="8"/>
  <c r="D32" i="8" s="1"/>
  <c r="E32" i="8" s="1"/>
  <c r="C8" i="8"/>
  <c r="D8" i="8" s="1"/>
  <c r="E8" i="8" s="1"/>
  <c r="C20" i="8"/>
  <c r="D20" i="8" s="1"/>
  <c r="E20" i="8" s="1"/>
  <c r="C33" i="8"/>
  <c r="D33" i="8" s="1"/>
  <c r="E33" i="8" s="1"/>
  <c r="C9" i="8"/>
  <c r="D9" i="8" s="1"/>
  <c r="E9" i="8" s="1"/>
  <c r="C21" i="8"/>
  <c r="D21" i="8" s="1"/>
  <c r="E21" i="8" s="1"/>
  <c r="C34" i="8"/>
  <c r="D34" i="8" s="1"/>
  <c r="E34" i="8" s="1"/>
  <c r="C10" i="8"/>
  <c r="D10" i="8" s="1"/>
  <c r="E10" i="8" s="1"/>
  <c r="C22" i="8"/>
  <c r="D22" i="8" s="1"/>
  <c r="E22" i="8" s="1"/>
  <c r="C36" i="8"/>
  <c r="D36" i="8" s="1"/>
  <c r="E36" i="8" s="1"/>
  <c r="C11" i="8"/>
  <c r="D11" i="8" s="1"/>
  <c r="E11" i="8" s="1"/>
  <c r="C23" i="8"/>
  <c r="D23" i="8" s="1"/>
  <c r="E23" i="8" s="1"/>
  <c r="C37" i="8"/>
  <c r="D37" i="8" s="1"/>
  <c r="E37" i="8" s="1"/>
  <c r="C12" i="8"/>
  <c r="D12" i="8" s="1"/>
  <c r="E12" i="8" s="1"/>
  <c r="C24" i="8"/>
  <c r="D24" i="8" s="1"/>
  <c r="E24" i="8" s="1"/>
  <c r="C38" i="8"/>
  <c r="D38" i="8" s="1"/>
  <c r="E38" i="8" s="1"/>
  <c r="C1" i="7"/>
  <c r="D1" i="7" s="1"/>
  <c r="E1" i="7" s="1"/>
  <c r="C2" i="7"/>
  <c r="D2" i="7" s="1"/>
  <c r="E2" i="7" s="1"/>
  <c r="C17" i="7"/>
  <c r="D17" i="7" s="1"/>
  <c r="E17" i="7" s="1"/>
  <c r="C18" i="7"/>
  <c r="D18" i="7" s="1"/>
  <c r="E18" i="7" s="1"/>
  <c r="C21" i="7"/>
  <c r="D21" i="7" s="1"/>
  <c r="E21" i="7" s="1"/>
  <c r="C3" i="7"/>
  <c r="D3" i="7" s="1"/>
  <c r="E3" i="7" s="1"/>
  <c r="C22" i="7"/>
  <c r="D22" i="7" s="1"/>
  <c r="E22" i="7" s="1"/>
  <c r="C25" i="7"/>
  <c r="D25" i="7" s="1"/>
  <c r="E25" i="7" s="1"/>
  <c r="C5" i="7"/>
  <c r="D5" i="7" s="1"/>
  <c r="E5" i="7" s="1"/>
  <c r="C26" i="7"/>
  <c r="D26" i="7" s="1"/>
  <c r="E26" i="7" s="1"/>
  <c r="C29" i="7"/>
  <c r="D29" i="7" s="1"/>
  <c r="E29" i="7" s="1"/>
  <c r="C6" i="7"/>
  <c r="D6" i="7" s="1"/>
  <c r="E6" i="7" s="1"/>
  <c r="C30" i="7"/>
  <c r="D30" i="7" s="1"/>
  <c r="E30" i="7" s="1"/>
  <c r="C9" i="7"/>
  <c r="D9" i="7" s="1"/>
  <c r="E9" i="7" s="1"/>
  <c r="C33" i="7"/>
  <c r="D33" i="7" s="1"/>
  <c r="E33" i="7" s="1"/>
  <c r="C10" i="7"/>
  <c r="D10" i="7" s="1"/>
  <c r="E10" i="7" s="1"/>
  <c r="C34" i="7"/>
  <c r="D34" i="7" s="1"/>
  <c r="E34" i="7" s="1"/>
  <c r="C13" i="7"/>
  <c r="D13" i="7" s="1"/>
  <c r="E13" i="7" s="1"/>
  <c r="C37" i="7"/>
  <c r="D37" i="7" s="1"/>
  <c r="E37" i="7" s="1"/>
  <c r="C14" i="7"/>
  <c r="D14" i="7" s="1"/>
  <c r="E14" i="7" s="1"/>
  <c r="C38" i="7"/>
  <c r="D38" i="7" s="1"/>
  <c r="E38" i="7" s="1"/>
  <c r="C9" i="6"/>
  <c r="D9" i="6" s="1"/>
  <c r="E9" i="6" s="1"/>
  <c r="C13" i="6"/>
  <c r="D13" i="6" s="1"/>
  <c r="E13" i="6" s="1"/>
  <c r="C17" i="6"/>
  <c r="D17" i="6" s="1"/>
  <c r="E17" i="6" s="1"/>
  <c r="C21" i="6"/>
  <c r="D21" i="6" s="1"/>
  <c r="E21" i="6" s="1"/>
  <c r="C25" i="6"/>
  <c r="D25" i="6" s="1"/>
  <c r="E25" i="6" s="1"/>
  <c r="C29" i="6"/>
  <c r="D29" i="6" s="1"/>
  <c r="E29" i="6" s="1"/>
  <c r="C33" i="6"/>
  <c r="D33" i="6" s="1"/>
  <c r="E33" i="6" s="1"/>
  <c r="C37" i="6"/>
  <c r="D37" i="6" s="1"/>
  <c r="E37" i="6" s="1"/>
  <c r="C3" i="5"/>
  <c r="D3" i="5" s="1"/>
  <c r="E3" i="5" s="1"/>
  <c r="C20" i="5"/>
  <c r="D20" i="5" s="1"/>
  <c r="E20" i="5" s="1"/>
  <c r="C36" i="5"/>
  <c r="D36" i="5" s="1"/>
  <c r="E36" i="5" s="1"/>
  <c r="C6" i="5"/>
  <c r="D6" i="5" s="1"/>
  <c r="E6" i="5" s="1"/>
  <c r="C22" i="5"/>
  <c r="D22" i="5" s="1"/>
  <c r="E22" i="5" s="1"/>
  <c r="C38" i="5"/>
  <c r="D38" i="5" s="1"/>
  <c r="E38" i="5" s="1"/>
  <c r="C8" i="5"/>
  <c r="D8" i="5" s="1"/>
  <c r="E8" i="5" s="1"/>
  <c r="C24" i="5"/>
  <c r="D24" i="5" s="1"/>
  <c r="E24" i="5" s="1"/>
  <c r="C40" i="5"/>
  <c r="D40" i="5" s="1"/>
  <c r="E40" i="5" s="1"/>
  <c r="C9" i="5"/>
  <c r="D9" i="5" s="1"/>
  <c r="E9" i="5" s="1"/>
  <c r="C25" i="5"/>
  <c r="D25" i="5" s="1"/>
  <c r="E25" i="5" s="1"/>
  <c r="C10" i="5"/>
  <c r="D10" i="5" s="1"/>
  <c r="E10" i="5" s="1"/>
  <c r="C26" i="5"/>
  <c r="D26" i="5" s="1"/>
  <c r="E26" i="5" s="1"/>
  <c r="C12" i="5"/>
  <c r="D12" i="5" s="1"/>
  <c r="E12" i="5" s="1"/>
  <c r="C28" i="5"/>
  <c r="D28" i="5" s="1"/>
  <c r="E28" i="5" s="1"/>
  <c r="C13" i="5"/>
  <c r="D13" i="5" s="1"/>
  <c r="E13" i="5" s="1"/>
  <c r="C29" i="5"/>
  <c r="D29" i="5" s="1"/>
  <c r="E29" i="5" s="1"/>
  <c r="C21" i="5"/>
  <c r="D21" i="5" s="1"/>
  <c r="E21" i="5" s="1"/>
  <c r="C14" i="5"/>
  <c r="D14" i="5" s="1"/>
  <c r="E14" i="5" s="1"/>
  <c r="C30" i="5"/>
  <c r="D30" i="5" s="1"/>
  <c r="E30" i="5" s="1"/>
  <c r="C16" i="5"/>
  <c r="D16" i="5" s="1"/>
  <c r="E16" i="5" s="1"/>
  <c r="C32" i="5"/>
  <c r="D32" i="5" s="1"/>
  <c r="E32" i="5" s="1"/>
  <c r="C37" i="5"/>
  <c r="D37" i="5" s="1"/>
  <c r="E37" i="5" s="1"/>
  <c r="C17" i="5"/>
  <c r="D17" i="5" s="1"/>
  <c r="E17" i="5" s="1"/>
  <c r="C33" i="5"/>
  <c r="D33" i="5" s="1"/>
  <c r="E33" i="5" s="1"/>
  <c r="C1" i="5"/>
  <c r="D1" i="5" s="1"/>
  <c r="E1" i="5" s="1"/>
  <c r="C18" i="5"/>
  <c r="D18" i="5" s="1"/>
  <c r="E18" i="5" s="1"/>
  <c r="C34" i="5"/>
  <c r="D34" i="5" s="1"/>
  <c r="E34" i="5" s="1"/>
  <c r="C8" i="4"/>
  <c r="D8" i="4" s="1"/>
  <c r="E8" i="4" s="1"/>
  <c r="C9" i="4"/>
  <c r="D9" i="4" s="1"/>
  <c r="E9" i="4" s="1"/>
  <c r="C12" i="4"/>
  <c r="D12" i="4" s="1"/>
  <c r="E12" i="4" s="1"/>
  <c r="C16" i="4"/>
  <c r="D16" i="4" s="1"/>
  <c r="E16" i="4" s="1"/>
  <c r="C20" i="4"/>
  <c r="D20" i="4" s="1"/>
  <c r="E20" i="4" s="1"/>
  <c r="C24" i="4"/>
  <c r="D24" i="4" s="1"/>
  <c r="E24" i="4" s="1"/>
  <c r="C40" i="4"/>
  <c r="D40" i="4" s="1"/>
  <c r="E40" i="4" s="1"/>
  <c r="C39" i="3"/>
  <c r="D39" i="3" s="1"/>
  <c r="E39" i="3" s="1"/>
  <c r="C2" i="32"/>
  <c r="D2" i="32" s="1"/>
  <c r="E2" i="32" s="1"/>
  <c r="C3" i="32"/>
  <c r="D3" i="32" s="1"/>
  <c r="E3" i="32" s="1"/>
  <c r="C1" i="32"/>
  <c r="D1" i="32" s="1"/>
  <c r="E1" i="32" s="1"/>
  <c r="C2" i="31"/>
  <c r="D2" i="31" s="1"/>
  <c r="E2" i="31" s="1"/>
  <c r="C3" i="31"/>
  <c r="D3" i="31" s="1"/>
  <c r="E3" i="31" s="1"/>
  <c r="C7" i="31"/>
  <c r="D7" i="31" s="1"/>
  <c r="E7" i="31" s="1"/>
  <c r="C11" i="31"/>
  <c r="D11" i="31" s="1"/>
  <c r="E11" i="31" s="1"/>
  <c r="C15" i="31"/>
  <c r="D15" i="31" s="1"/>
  <c r="E15" i="31" s="1"/>
  <c r="C19" i="31"/>
  <c r="D19" i="31" s="1"/>
  <c r="E19" i="31" s="1"/>
  <c r="C23" i="31"/>
  <c r="D23" i="31" s="1"/>
  <c r="E23" i="31" s="1"/>
  <c r="C27" i="31"/>
  <c r="D27" i="31" s="1"/>
  <c r="E27" i="31" s="1"/>
  <c r="C31" i="31"/>
  <c r="D31" i="31" s="1"/>
  <c r="E31" i="31" s="1"/>
  <c r="C35" i="31"/>
  <c r="D35" i="31" s="1"/>
  <c r="E35" i="31" s="1"/>
  <c r="C39" i="31"/>
  <c r="D39" i="31" s="1"/>
  <c r="E39" i="31" s="1"/>
  <c r="C4" i="31"/>
  <c r="D4" i="31" s="1"/>
  <c r="E4" i="31" s="1"/>
  <c r="C8" i="31"/>
  <c r="D8" i="31" s="1"/>
  <c r="E8" i="31" s="1"/>
  <c r="C12" i="31"/>
  <c r="D12" i="31" s="1"/>
  <c r="E12" i="31" s="1"/>
  <c r="C16" i="31"/>
  <c r="D16" i="31" s="1"/>
  <c r="E16" i="31" s="1"/>
  <c r="C20" i="31"/>
  <c r="D20" i="31" s="1"/>
  <c r="E20" i="31" s="1"/>
  <c r="C24" i="31"/>
  <c r="D24" i="31" s="1"/>
  <c r="E24" i="31" s="1"/>
  <c r="C28" i="31"/>
  <c r="D28" i="31" s="1"/>
  <c r="E28" i="31" s="1"/>
  <c r="C32" i="31"/>
  <c r="D32" i="31" s="1"/>
  <c r="E32" i="31" s="1"/>
  <c r="C36" i="31"/>
  <c r="D36" i="31" s="1"/>
  <c r="E36" i="31" s="1"/>
  <c r="C40" i="31"/>
  <c r="D40" i="31" s="1"/>
  <c r="E40" i="31" s="1"/>
  <c r="C2" i="30"/>
  <c r="D2" i="30" s="1"/>
  <c r="E2" i="30" s="1"/>
  <c r="C6" i="30"/>
  <c r="D6" i="30" s="1"/>
  <c r="E6" i="30" s="1"/>
  <c r="C10" i="30"/>
  <c r="D10" i="30" s="1"/>
  <c r="E10" i="30" s="1"/>
  <c r="C14" i="30"/>
  <c r="D14" i="30" s="1"/>
  <c r="E14" i="30" s="1"/>
  <c r="C18" i="30"/>
  <c r="D18" i="30" s="1"/>
  <c r="E18" i="30" s="1"/>
  <c r="C22" i="30"/>
  <c r="D22" i="30" s="1"/>
  <c r="E22" i="30" s="1"/>
  <c r="C26" i="30"/>
  <c r="D26" i="30" s="1"/>
  <c r="E26" i="30" s="1"/>
  <c r="C30" i="30"/>
  <c r="D30" i="30" s="1"/>
  <c r="E30" i="30" s="1"/>
  <c r="C34" i="30"/>
  <c r="D34" i="30" s="1"/>
  <c r="E34" i="30" s="1"/>
  <c r="C38" i="30"/>
  <c r="D38" i="30" s="1"/>
  <c r="E38" i="30" s="1"/>
  <c r="C3" i="30"/>
  <c r="D3" i="30" s="1"/>
  <c r="E3" i="30" s="1"/>
  <c r="C7" i="30"/>
  <c r="D7" i="30" s="1"/>
  <c r="E7" i="30" s="1"/>
  <c r="C11" i="30"/>
  <c r="D11" i="30" s="1"/>
  <c r="E11" i="30" s="1"/>
  <c r="C15" i="30"/>
  <c r="D15" i="30" s="1"/>
  <c r="E15" i="30" s="1"/>
  <c r="C19" i="30"/>
  <c r="D19" i="30" s="1"/>
  <c r="E19" i="30" s="1"/>
  <c r="C23" i="30"/>
  <c r="D23" i="30" s="1"/>
  <c r="E23" i="30" s="1"/>
  <c r="C27" i="30"/>
  <c r="D27" i="30" s="1"/>
  <c r="E27" i="30" s="1"/>
  <c r="C31" i="30"/>
  <c r="D31" i="30" s="1"/>
  <c r="E31" i="30" s="1"/>
  <c r="C35" i="30"/>
  <c r="D35" i="30" s="1"/>
  <c r="E35" i="30" s="1"/>
  <c r="C39" i="30"/>
  <c r="D39" i="30" s="1"/>
  <c r="E39" i="30" s="1"/>
  <c r="C4" i="30"/>
  <c r="D4" i="30" s="1"/>
  <c r="E4" i="30" s="1"/>
  <c r="C8" i="30"/>
  <c r="D8" i="30" s="1"/>
  <c r="E8" i="30" s="1"/>
  <c r="C12" i="30"/>
  <c r="D12" i="30" s="1"/>
  <c r="E12" i="30" s="1"/>
  <c r="C16" i="30"/>
  <c r="D16" i="30" s="1"/>
  <c r="E16" i="30" s="1"/>
  <c r="C20" i="30"/>
  <c r="D20" i="30" s="1"/>
  <c r="E20" i="30" s="1"/>
  <c r="C24" i="30"/>
  <c r="D24" i="30" s="1"/>
  <c r="E24" i="30" s="1"/>
  <c r="C28" i="30"/>
  <c r="D28" i="30" s="1"/>
  <c r="E28" i="30" s="1"/>
  <c r="C32" i="30"/>
  <c r="D32" i="30" s="1"/>
  <c r="E32" i="30" s="1"/>
  <c r="C36" i="30"/>
  <c r="D36" i="30" s="1"/>
  <c r="E36" i="30" s="1"/>
  <c r="C40" i="30"/>
  <c r="D40" i="30" s="1"/>
  <c r="E40" i="30" s="1"/>
  <c r="C1" i="30"/>
  <c r="D1" i="30" s="1"/>
  <c r="E1" i="30" s="1"/>
  <c r="C2" i="29"/>
  <c r="D2" i="29" s="1"/>
  <c r="E2" i="29" s="1"/>
  <c r="C6" i="29"/>
  <c r="D6" i="29" s="1"/>
  <c r="E6" i="29" s="1"/>
  <c r="C10" i="29"/>
  <c r="D10" i="29" s="1"/>
  <c r="E10" i="29" s="1"/>
  <c r="C14" i="29"/>
  <c r="D14" i="29" s="1"/>
  <c r="E14" i="29" s="1"/>
  <c r="C18" i="29"/>
  <c r="D18" i="29" s="1"/>
  <c r="E18" i="29" s="1"/>
  <c r="C22" i="29"/>
  <c r="D22" i="29" s="1"/>
  <c r="E22" i="29" s="1"/>
  <c r="C26" i="29"/>
  <c r="D26" i="29" s="1"/>
  <c r="E26" i="29" s="1"/>
  <c r="C30" i="29"/>
  <c r="D30" i="29" s="1"/>
  <c r="E30" i="29" s="1"/>
  <c r="C34" i="29"/>
  <c r="D34" i="29" s="1"/>
  <c r="E34" i="29" s="1"/>
  <c r="C38" i="29"/>
  <c r="D38" i="29" s="1"/>
  <c r="E38" i="29" s="1"/>
  <c r="C3" i="29"/>
  <c r="D3" i="29" s="1"/>
  <c r="E3" i="29" s="1"/>
  <c r="C7" i="29"/>
  <c r="D7" i="29" s="1"/>
  <c r="E7" i="29" s="1"/>
  <c r="C11" i="29"/>
  <c r="D11" i="29" s="1"/>
  <c r="E11" i="29" s="1"/>
  <c r="C15" i="29"/>
  <c r="D15" i="29" s="1"/>
  <c r="E15" i="29" s="1"/>
  <c r="C19" i="29"/>
  <c r="D19" i="29" s="1"/>
  <c r="E19" i="29" s="1"/>
  <c r="C23" i="29"/>
  <c r="D23" i="29" s="1"/>
  <c r="E23" i="29" s="1"/>
  <c r="C27" i="29"/>
  <c r="D27" i="29" s="1"/>
  <c r="E27" i="29" s="1"/>
  <c r="C31" i="29"/>
  <c r="D31" i="29" s="1"/>
  <c r="E31" i="29" s="1"/>
  <c r="C35" i="29"/>
  <c r="D35" i="29" s="1"/>
  <c r="E35" i="29" s="1"/>
  <c r="C39" i="29"/>
  <c r="D39" i="29" s="1"/>
  <c r="E39" i="29" s="1"/>
  <c r="C8" i="29"/>
  <c r="D8" i="29" s="1"/>
  <c r="E8" i="29" s="1"/>
  <c r="C12" i="29"/>
  <c r="D12" i="29" s="1"/>
  <c r="E12" i="29" s="1"/>
  <c r="C16" i="29"/>
  <c r="D16" i="29" s="1"/>
  <c r="E16" i="29" s="1"/>
  <c r="C20" i="29"/>
  <c r="D20" i="29" s="1"/>
  <c r="E20" i="29" s="1"/>
  <c r="C24" i="29"/>
  <c r="D24" i="29" s="1"/>
  <c r="E24" i="29" s="1"/>
  <c r="C28" i="29"/>
  <c r="D28" i="29" s="1"/>
  <c r="E28" i="29" s="1"/>
  <c r="C32" i="29"/>
  <c r="D32" i="29" s="1"/>
  <c r="E32" i="29" s="1"/>
  <c r="C36" i="29"/>
  <c r="D36" i="29" s="1"/>
  <c r="E36" i="29" s="1"/>
  <c r="C40" i="29"/>
  <c r="D40" i="29" s="1"/>
  <c r="E40" i="29" s="1"/>
  <c r="C2" i="28"/>
  <c r="D2" i="28" s="1"/>
  <c r="E2" i="28" s="1"/>
  <c r="C6" i="28"/>
  <c r="D6" i="28" s="1"/>
  <c r="E6" i="28" s="1"/>
  <c r="C10" i="28"/>
  <c r="D10" i="28" s="1"/>
  <c r="E10" i="28" s="1"/>
  <c r="C14" i="28"/>
  <c r="D14" i="28" s="1"/>
  <c r="E14" i="28" s="1"/>
  <c r="C18" i="28"/>
  <c r="D18" i="28" s="1"/>
  <c r="E18" i="28" s="1"/>
  <c r="C22" i="28"/>
  <c r="D22" i="28" s="1"/>
  <c r="E22" i="28" s="1"/>
  <c r="C26" i="28"/>
  <c r="D26" i="28" s="1"/>
  <c r="E26" i="28" s="1"/>
  <c r="C30" i="28"/>
  <c r="D30" i="28" s="1"/>
  <c r="E30" i="28" s="1"/>
  <c r="C34" i="28"/>
  <c r="D34" i="28" s="1"/>
  <c r="E34" i="28" s="1"/>
  <c r="C38" i="28"/>
  <c r="D38" i="28" s="1"/>
  <c r="E38" i="28" s="1"/>
  <c r="C7" i="28"/>
  <c r="D7" i="28" s="1"/>
  <c r="E7" i="28" s="1"/>
  <c r="C11" i="28"/>
  <c r="D11" i="28" s="1"/>
  <c r="E11" i="28" s="1"/>
  <c r="C15" i="28"/>
  <c r="D15" i="28" s="1"/>
  <c r="E15" i="28" s="1"/>
  <c r="C19" i="28"/>
  <c r="D19" i="28" s="1"/>
  <c r="E19" i="28" s="1"/>
  <c r="C23" i="28"/>
  <c r="D23" i="28" s="1"/>
  <c r="E23" i="28" s="1"/>
  <c r="C27" i="28"/>
  <c r="D27" i="28" s="1"/>
  <c r="E27" i="28" s="1"/>
  <c r="C31" i="28"/>
  <c r="D31" i="28" s="1"/>
  <c r="E31" i="28" s="1"/>
  <c r="C35" i="28"/>
  <c r="D35" i="28" s="1"/>
  <c r="E35" i="28" s="1"/>
  <c r="C39" i="28"/>
  <c r="D39" i="28" s="1"/>
  <c r="E39" i="28" s="1"/>
  <c r="C8" i="28"/>
  <c r="D8" i="28" s="1"/>
  <c r="E8" i="28" s="1"/>
  <c r="C12" i="28"/>
  <c r="D12" i="28" s="1"/>
  <c r="E12" i="28" s="1"/>
  <c r="C16" i="28"/>
  <c r="D16" i="28" s="1"/>
  <c r="E16" i="28" s="1"/>
  <c r="C20" i="28"/>
  <c r="D20" i="28" s="1"/>
  <c r="E20" i="28" s="1"/>
  <c r="C24" i="28"/>
  <c r="D24" i="28" s="1"/>
  <c r="E24" i="28" s="1"/>
  <c r="C28" i="28"/>
  <c r="D28" i="28" s="1"/>
  <c r="E28" i="28" s="1"/>
  <c r="C32" i="28"/>
  <c r="D32" i="28" s="1"/>
  <c r="E32" i="28" s="1"/>
  <c r="C36" i="28"/>
  <c r="D36" i="28" s="1"/>
  <c r="E36" i="28" s="1"/>
  <c r="C40" i="28"/>
  <c r="D40" i="28" s="1"/>
  <c r="E40" i="28" s="1"/>
  <c r="C2" i="27"/>
  <c r="D2" i="27" s="1"/>
  <c r="E2" i="27" s="1"/>
  <c r="C30" i="27"/>
  <c r="D30" i="27" s="1"/>
  <c r="E30" i="27" s="1"/>
  <c r="C34" i="27"/>
  <c r="D34" i="27" s="1"/>
  <c r="E34" i="27" s="1"/>
  <c r="C38" i="27"/>
  <c r="D38" i="27" s="1"/>
  <c r="E38" i="27" s="1"/>
  <c r="C3" i="27"/>
  <c r="D3" i="27" s="1"/>
  <c r="E3" i="27" s="1"/>
  <c r="C23" i="27"/>
  <c r="D23" i="27" s="1"/>
  <c r="E23" i="27" s="1"/>
  <c r="C27" i="27"/>
  <c r="D27" i="27" s="1"/>
  <c r="E27" i="27" s="1"/>
  <c r="C31" i="27"/>
  <c r="D31" i="27" s="1"/>
  <c r="E31" i="27" s="1"/>
  <c r="C35" i="27"/>
  <c r="D35" i="27" s="1"/>
  <c r="E35" i="27" s="1"/>
  <c r="C39" i="27"/>
  <c r="D39" i="27" s="1"/>
  <c r="E39" i="27" s="1"/>
  <c r="C4" i="27"/>
  <c r="D4" i="27" s="1"/>
  <c r="E4" i="27" s="1"/>
  <c r="C8" i="27"/>
  <c r="D8" i="27" s="1"/>
  <c r="E8" i="27" s="1"/>
  <c r="C12" i="27"/>
  <c r="D12" i="27" s="1"/>
  <c r="E12" i="27" s="1"/>
  <c r="C16" i="27"/>
  <c r="D16" i="27" s="1"/>
  <c r="E16" i="27" s="1"/>
  <c r="C20" i="27"/>
  <c r="D20" i="27" s="1"/>
  <c r="E20" i="27" s="1"/>
  <c r="C24" i="27"/>
  <c r="D24" i="27" s="1"/>
  <c r="E24" i="27" s="1"/>
  <c r="C28" i="27"/>
  <c r="D28" i="27" s="1"/>
  <c r="E28" i="27" s="1"/>
  <c r="C32" i="27"/>
  <c r="D32" i="27" s="1"/>
  <c r="E32" i="27" s="1"/>
  <c r="C36" i="27"/>
  <c r="D36" i="27" s="1"/>
  <c r="E36" i="27" s="1"/>
  <c r="C40" i="27"/>
  <c r="D40" i="27" s="1"/>
  <c r="E40" i="27" s="1"/>
  <c r="C1" i="27"/>
  <c r="D1" i="27" s="1"/>
  <c r="E1" i="27" s="1"/>
  <c r="C6" i="26"/>
  <c r="D6" i="26" s="1"/>
  <c r="E6" i="26" s="1"/>
  <c r="C10" i="26"/>
  <c r="D10" i="26" s="1"/>
  <c r="E10" i="26" s="1"/>
  <c r="C14" i="26"/>
  <c r="D14" i="26" s="1"/>
  <c r="E14" i="26" s="1"/>
  <c r="C18" i="26"/>
  <c r="D18" i="26" s="1"/>
  <c r="E18" i="26" s="1"/>
  <c r="C22" i="26"/>
  <c r="D22" i="26" s="1"/>
  <c r="E22" i="26" s="1"/>
  <c r="C26" i="26"/>
  <c r="D26" i="26" s="1"/>
  <c r="E26" i="26" s="1"/>
  <c r="C30" i="26"/>
  <c r="D30" i="26" s="1"/>
  <c r="E30" i="26" s="1"/>
  <c r="C34" i="26"/>
  <c r="D34" i="26" s="1"/>
  <c r="E34" i="26" s="1"/>
  <c r="C38" i="26"/>
  <c r="D38" i="26" s="1"/>
  <c r="E38" i="26" s="1"/>
  <c r="C7" i="26"/>
  <c r="D7" i="26" s="1"/>
  <c r="E7" i="26" s="1"/>
  <c r="C11" i="26"/>
  <c r="D11" i="26" s="1"/>
  <c r="E11" i="26" s="1"/>
  <c r="C15" i="26"/>
  <c r="D15" i="26" s="1"/>
  <c r="E15" i="26" s="1"/>
  <c r="C19" i="26"/>
  <c r="D19" i="26" s="1"/>
  <c r="E19" i="26" s="1"/>
  <c r="C23" i="26"/>
  <c r="D23" i="26" s="1"/>
  <c r="E23" i="26" s="1"/>
  <c r="C27" i="26"/>
  <c r="D27" i="26" s="1"/>
  <c r="E27" i="26" s="1"/>
  <c r="C31" i="26"/>
  <c r="D31" i="26" s="1"/>
  <c r="E31" i="26" s="1"/>
  <c r="C35" i="26"/>
  <c r="D35" i="26" s="1"/>
  <c r="E35" i="26" s="1"/>
  <c r="C39" i="26"/>
  <c r="D39" i="26" s="1"/>
  <c r="E39" i="26" s="1"/>
  <c r="C4" i="26"/>
  <c r="D4" i="26" s="1"/>
  <c r="E4" i="26" s="1"/>
  <c r="C8" i="26"/>
  <c r="D8" i="26" s="1"/>
  <c r="E8" i="26" s="1"/>
  <c r="C12" i="26"/>
  <c r="D12" i="26" s="1"/>
  <c r="E12" i="26" s="1"/>
  <c r="C16" i="26"/>
  <c r="D16" i="26" s="1"/>
  <c r="E16" i="26" s="1"/>
  <c r="C20" i="26"/>
  <c r="D20" i="26" s="1"/>
  <c r="E20" i="26" s="1"/>
  <c r="C24" i="26"/>
  <c r="D24" i="26" s="1"/>
  <c r="E24" i="26" s="1"/>
  <c r="C28" i="26"/>
  <c r="D28" i="26" s="1"/>
  <c r="E28" i="26" s="1"/>
  <c r="C32" i="26"/>
  <c r="D32" i="26" s="1"/>
  <c r="E32" i="26" s="1"/>
  <c r="C36" i="26"/>
  <c r="D36" i="26" s="1"/>
  <c r="E36" i="26" s="1"/>
  <c r="C40" i="26"/>
  <c r="D40" i="26" s="1"/>
  <c r="E40" i="26" s="1"/>
  <c r="C1" i="26"/>
  <c r="D1" i="26" s="1"/>
  <c r="E1" i="26" s="1"/>
  <c r="C2" i="25"/>
  <c r="D2" i="25" s="1"/>
  <c r="E2" i="25" s="1"/>
  <c r="C3" i="25"/>
  <c r="D3" i="25" s="1"/>
  <c r="E3" i="25" s="1"/>
  <c r="C7" i="25"/>
  <c r="D7" i="25" s="1"/>
  <c r="E7" i="25" s="1"/>
  <c r="C11" i="25"/>
  <c r="D11" i="25" s="1"/>
  <c r="E11" i="25" s="1"/>
  <c r="C15" i="25"/>
  <c r="D15" i="25" s="1"/>
  <c r="E15" i="25" s="1"/>
  <c r="C19" i="25"/>
  <c r="D19" i="25" s="1"/>
  <c r="E19" i="25" s="1"/>
  <c r="C23" i="25"/>
  <c r="D23" i="25" s="1"/>
  <c r="E23" i="25" s="1"/>
  <c r="C27" i="25"/>
  <c r="D27" i="25" s="1"/>
  <c r="E27" i="25" s="1"/>
  <c r="C31" i="25"/>
  <c r="D31" i="25" s="1"/>
  <c r="E31" i="25" s="1"/>
  <c r="C35" i="25"/>
  <c r="D35" i="25" s="1"/>
  <c r="E35" i="25" s="1"/>
  <c r="C39" i="25"/>
  <c r="D39" i="25" s="1"/>
  <c r="E39" i="25" s="1"/>
  <c r="C4" i="25"/>
  <c r="D4" i="25" s="1"/>
  <c r="E4" i="25" s="1"/>
  <c r="C8" i="25"/>
  <c r="D8" i="25" s="1"/>
  <c r="E8" i="25" s="1"/>
  <c r="C12" i="25"/>
  <c r="D12" i="25" s="1"/>
  <c r="E12" i="25" s="1"/>
  <c r="C16" i="25"/>
  <c r="D16" i="25" s="1"/>
  <c r="E16" i="25" s="1"/>
  <c r="C20" i="25"/>
  <c r="D20" i="25" s="1"/>
  <c r="E20" i="25" s="1"/>
  <c r="C24" i="25"/>
  <c r="D24" i="25" s="1"/>
  <c r="E24" i="25" s="1"/>
  <c r="C28" i="25"/>
  <c r="D28" i="25" s="1"/>
  <c r="E28" i="25" s="1"/>
  <c r="C32" i="25"/>
  <c r="D32" i="25" s="1"/>
  <c r="E32" i="25" s="1"/>
  <c r="C36" i="25"/>
  <c r="D36" i="25" s="1"/>
  <c r="E36" i="25" s="1"/>
  <c r="C40" i="25"/>
  <c r="D40" i="25" s="1"/>
  <c r="E40" i="25" s="1"/>
  <c r="C1" i="25"/>
  <c r="D1" i="25" s="1"/>
  <c r="E1" i="25" s="1"/>
  <c r="C6" i="24"/>
  <c r="D6" i="24" s="1"/>
  <c r="E6" i="24" s="1"/>
  <c r="C10" i="24"/>
  <c r="D10" i="24" s="1"/>
  <c r="E10" i="24" s="1"/>
  <c r="C14" i="24"/>
  <c r="D14" i="24" s="1"/>
  <c r="E14" i="24" s="1"/>
  <c r="C18" i="24"/>
  <c r="D18" i="24" s="1"/>
  <c r="E18" i="24" s="1"/>
  <c r="C22" i="24"/>
  <c r="D22" i="24" s="1"/>
  <c r="E22" i="24" s="1"/>
  <c r="C26" i="24"/>
  <c r="D26" i="24" s="1"/>
  <c r="E26" i="24" s="1"/>
  <c r="C30" i="24"/>
  <c r="D30" i="24" s="1"/>
  <c r="E30" i="24" s="1"/>
  <c r="C34" i="24"/>
  <c r="D34" i="24" s="1"/>
  <c r="E34" i="24" s="1"/>
  <c r="C38" i="24"/>
  <c r="D38" i="24" s="1"/>
  <c r="E38" i="24" s="1"/>
  <c r="C7" i="24"/>
  <c r="D7" i="24" s="1"/>
  <c r="E7" i="24" s="1"/>
  <c r="C11" i="24"/>
  <c r="D11" i="24" s="1"/>
  <c r="E11" i="24" s="1"/>
  <c r="C15" i="24"/>
  <c r="D15" i="24" s="1"/>
  <c r="E15" i="24" s="1"/>
  <c r="C19" i="24"/>
  <c r="D19" i="24" s="1"/>
  <c r="E19" i="24" s="1"/>
  <c r="C23" i="24"/>
  <c r="D23" i="24" s="1"/>
  <c r="E23" i="24" s="1"/>
  <c r="C27" i="24"/>
  <c r="D27" i="24" s="1"/>
  <c r="E27" i="24" s="1"/>
  <c r="C31" i="24"/>
  <c r="D31" i="24" s="1"/>
  <c r="E31" i="24" s="1"/>
  <c r="C35" i="24"/>
  <c r="D35" i="24" s="1"/>
  <c r="E35" i="24" s="1"/>
  <c r="C39" i="24"/>
  <c r="D39" i="24" s="1"/>
  <c r="E39" i="24" s="1"/>
  <c r="C4" i="24"/>
  <c r="D4" i="24" s="1"/>
  <c r="E4" i="24" s="1"/>
  <c r="C8" i="24"/>
  <c r="D8" i="24" s="1"/>
  <c r="E8" i="24" s="1"/>
  <c r="C12" i="24"/>
  <c r="D12" i="24" s="1"/>
  <c r="E12" i="24" s="1"/>
  <c r="C16" i="24"/>
  <c r="D16" i="24" s="1"/>
  <c r="E16" i="24" s="1"/>
  <c r="C20" i="24"/>
  <c r="D20" i="24" s="1"/>
  <c r="E20" i="24" s="1"/>
  <c r="C24" i="24"/>
  <c r="D24" i="24" s="1"/>
  <c r="E24" i="24" s="1"/>
  <c r="C28" i="24"/>
  <c r="D28" i="24" s="1"/>
  <c r="E28" i="24" s="1"/>
  <c r="C32" i="24"/>
  <c r="D32" i="24" s="1"/>
  <c r="E32" i="24" s="1"/>
  <c r="C36" i="24"/>
  <c r="D36" i="24" s="1"/>
  <c r="E36" i="24" s="1"/>
  <c r="C40" i="24"/>
  <c r="D40" i="24" s="1"/>
  <c r="E40" i="24" s="1"/>
  <c r="C1" i="24"/>
  <c r="D1" i="24" s="1"/>
  <c r="E1" i="24" s="1"/>
  <c r="C6" i="23"/>
  <c r="D6" i="23" s="1"/>
  <c r="E6" i="23" s="1"/>
  <c r="C10" i="23"/>
  <c r="D10" i="23" s="1"/>
  <c r="E10" i="23" s="1"/>
  <c r="C14" i="23"/>
  <c r="D14" i="23" s="1"/>
  <c r="E14" i="23" s="1"/>
  <c r="C18" i="23"/>
  <c r="D18" i="23" s="1"/>
  <c r="E18" i="23" s="1"/>
  <c r="C22" i="23"/>
  <c r="D22" i="23" s="1"/>
  <c r="E22" i="23" s="1"/>
  <c r="C26" i="23"/>
  <c r="D26" i="23" s="1"/>
  <c r="E26" i="23" s="1"/>
  <c r="C30" i="23"/>
  <c r="D30" i="23" s="1"/>
  <c r="E30" i="23" s="1"/>
  <c r="C34" i="23"/>
  <c r="D34" i="23" s="1"/>
  <c r="E34" i="23" s="1"/>
  <c r="C38" i="23"/>
  <c r="D38" i="23" s="1"/>
  <c r="E38" i="23" s="1"/>
  <c r="C3" i="23"/>
  <c r="D3" i="23" s="1"/>
  <c r="E3" i="23" s="1"/>
  <c r="C7" i="23"/>
  <c r="D7" i="23" s="1"/>
  <c r="E7" i="23" s="1"/>
  <c r="C11" i="23"/>
  <c r="D11" i="23" s="1"/>
  <c r="E11" i="23" s="1"/>
  <c r="C15" i="23"/>
  <c r="D15" i="23" s="1"/>
  <c r="E15" i="23" s="1"/>
  <c r="C19" i="23"/>
  <c r="D19" i="23" s="1"/>
  <c r="E19" i="23" s="1"/>
  <c r="C23" i="23"/>
  <c r="D23" i="23" s="1"/>
  <c r="E23" i="23" s="1"/>
  <c r="C27" i="23"/>
  <c r="D27" i="23" s="1"/>
  <c r="E27" i="23" s="1"/>
  <c r="C31" i="23"/>
  <c r="D31" i="23" s="1"/>
  <c r="E31" i="23" s="1"/>
  <c r="C35" i="23"/>
  <c r="D35" i="23" s="1"/>
  <c r="E35" i="23" s="1"/>
  <c r="C39" i="23"/>
  <c r="D39" i="23" s="1"/>
  <c r="E39" i="23" s="1"/>
  <c r="C4" i="23"/>
  <c r="D4" i="23" s="1"/>
  <c r="E4" i="23" s="1"/>
  <c r="C8" i="23"/>
  <c r="D8" i="23" s="1"/>
  <c r="E8" i="23" s="1"/>
  <c r="C12" i="23"/>
  <c r="D12" i="23" s="1"/>
  <c r="E12" i="23" s="1"/>
  <c r="C16" i="23"/>
  <c r="D16" i="23" s="1"/>
  <c r="E16" i="23" s="1"/>
  <c r="C20" i="23"/>
  <c r="D20" i="23" s="1"/>
  <c r="E20" i="23" s="1"/>
  <c r="C24" i="23"/>
  <c r="D24" i="23" s="1"/>
  <c r="E24" i="23" s="1"/>
  <c r="C28" i="23"/>
  <c r="D28" i="23" s="1"/>
  <c r="E28" i="23" s="1"/>
  <c r="C32" i="23"/>
  <c r="D32" i="23" s="1"/>
  <c r="E32" i="23" s="1"/>
  <c r="C36" i="23"/>
  <c r="D36" i="23" s="1"/>
  <c r="E36" i="23" s="1"/>
  <c r="C40" i="23"/>
  <c r="D40" i="23" s="1"/>
  <c r="E40" i="23" s="1"/>
  <c r="C1" i="23"/>
  <c r="D1" i="23" s="1"/>
  <c r="E1" i="23" s="1"/>
  <c r="C2" i="22"/>
  <c r="D2" i="22" s="1"/>
  <c r="E2" i="22" s="1"/>
  <c r="C3" i="22"/>
  <c r="D3" i="22" s="1"/>
  <c r="E3" i="22" s="1"/>
  <c r="C4" i="22"/>
  <c r="D4" i="22" s="1"/>
  <c r="E4" i="22" s="1"/>
  <c r="C40" i="22"/>
  <c r="D40" i="22" s="1"/>
  <c r="E40" i="22" s="1"/>
  <c r="C3" i="21"/>
  <c r="D3" i="21" s="1"/>
  <c r="E3" i="21" s="1"/>
  <c r="C7" i="21"/>
  <c r="D7" i="21" s="1"/>
  <c r="E7" i="21" s="1"/>
  <c r="C11" i="21"/>
  <c r="D11" i="21" s="1"/>
  <c r="E11" i="21" s="1"/>
  <c r="C15" i="21"/>
  <c r="D15" i="21" s="1"/>
  <c r="E15" i="21" s="1"/>
  <c r="C19" i="21"/>
  <c r="D19" i="21" s="1"/>
  <c r="E19" i="21" s="1"/>
  <c r="C23" i="21"/>
  <c r="D23" i="21" s="1"/>
  <c r="E23" i="21" s="1"/>
  <c r="C27" i="21"/>
  <c r="D27" i="21" s="1"/>
  <c r="E27" i="21" s="1"/>
  <c r="C31" i="21"/>
  <c r="D31" i="21" s="1"/>
  <c r="E31" i="21" s="1"/>
  <c r="C35" i="21"/>
  <c r="D35" i="21" s="1"/>
  <c r="E35" i="21" s="1"/>
  <c r="C39" i="21"/>
  <c r="D39" i="21" s="1"/>
  <c r="E39" i="21" s="1"/>
  <c r="C8" i="21"/>
  <c r="D8" i="21" s="1"/>
  <c r="E8" i="21" s="1"/>
  <c r="C12" i="21"/>
  <c r="D12" i="21" s="1"/>
  <c r="E12" i="21" s="1"/>
  <c r="C16" i="21"/>
  <c r="D16" i="21" s="1"/>
  <c r="E16" i="21" s="1"/>
  <c r="C20" i="21"/>
  <c r="D20" i="21" s="1"/>
  <c r="E20" i="21" s="1"/>
  <c r="C24" i="21"/>
  <c r="D24" i="21" s="1"/>
  <c r="E24" i="21" s="1"/>
  <c r="C28" i="21"/>
  <c r="D28" i="21" s="1"/>
  <c r="E28" i="21" s="1"/>
  <c r="C32" i="21"/>
  <c r="D32" i="21" s="1"/>
  <c r="E32" i="21" s="1"/>
  <c r="C36" i="21"/>
  <c r="D36" i="21" s="1"/>
  <c r="E36" i="21" s="1"/>
  <c r="C40" i="21"/>
  <c r="D40" i="21" s="1"/>
  <c r="E40" i="21" s="1"/>
  <c r="C1" i="21"/>
  <c r="D1" i="21" s="1"/>
  <c r="E1" i="21" s="1"/>
  <c r="C14" i="20"/>
  <c r="D14" i="20" s="1"/>
  <c r="E14" i="20" s="1"/>
  <c r="C18" i="20"/>
  <c r="D18" i="20" s="1"/>
  <c r="E18" i="20" s="1"/>
  <c r="C22" i="20"/>
  <c r="D22" i="20" s="1"/>
  <c r="E22" i="20" s="1"/>
  <c r="C26" i="20"/>
  <c r="D26" i="20" s="1"/>
  <c r="E26" i="20" s="1"/>
  <c r="C30" i="20"/>
  <c r="D30" i="20" s="1"/>
  <c r="E30" i="20" s="1"/>
  <c r="C34" i="20"/>
  <c r="D34" i="20" s="1"/>
  <c r="E34" i="20" s="1"/>
  <c r="C38" i="20"/>
  <c r="D38" i="20" s="1"/>
  <c r="E38" i="20" s="1"/>
  <c r="C7" i="20"/>
  <c r="D7" i="20" s="1"/>
  <c r="E7" i="20" s="1"/>
  <c r="C11" i="20"/>
  <c r="D11" i="20" s="1"/>
  <c r="E11" i="20" s="1"/>
  <c r="C15" i="20"/>
  <c r="D15" i="20" s="1"/>
  <c r="E15" i="20" s="1"/>
  <c r="C19" i="20"/>
  <c r="D19" i="20" s="1"/>
  <c r="E19" i="20" s="1"/>
  <c r="C23" i="20"/>
  <c r="D23" i="20" s="1"/>
  <c r="E23" i="20" s="1"/>
  <c r="C27" i="20"/>
  <c r="D27" i="20" s="1"/>
  <c r="E27" i="20" s="1"/>
  <c r="C31" i="20"/>
  <c r="D31" i="20" s="1"/>
  <c r="E31" i="20" s="1"/>
  <c r="C35" i="20"/>
  <c r="D35" i="20" s="1"/>
  <c r="E35" i="20" s="1"/>
  <c r="C39" i="20"/>
  <c r="D39" i="20" s="1"/>
  <c r="E39" i="20" s="1"/>
  <c r="C4" i="20"/>
  <c r="D4" i="20" s="1"/>
  <c r="E4" i="20" s="1"/>
  <c r="C8" i="20"/>
  <c r="D8" i="20" s="1"/>
  <c r="E8" i="20" s="1"/>
  <c r="C12" i="20"/>
  <c r="D12" i="20" s="1"/>
  <c r="E12" i="20" s="1"/>
  <c r="C16" i="20"/>
  <c r="D16" i="20" s="1"/>
  <c r="E16" i="20" s="1"/>
  <c r="C20" i="20"/>
  <c r="D20" i="20" s="1"/>
  <c r="E20" i="20" s="1"/>
  <c r="C24" i="20"/>
  <c r="D24" i="20" s="1"/>
  <c r="E24" i="20" s="1"/>
  <c r="C28" i="20"/>
  <c r="D28" i="20" s="1"/>
  <c r="E28" i="20" s="1"/>
  <c r="C32" i="20"/>
  <c r="D32" i="20" s="1"/>
  <c r="E32" i="20" s="1"/>
  <c r="C36" i="20"/>
  <c r="D36" i="20" s="1"/>
  <c r="E36" i="20" s="1"/>
  <c r="C40" i="20"/>
  <c r="D40" i="20" s="1"/>
  <c r="E40" i="20" s="1"/>
  <c r="C1" i="20"/>
  <c r="D1" i="20" s="1"/>
  <c r="E1" i="20" s="1"/>
  <c r="C2" i="19"/>
  <c r="D2" i="19" s="1"/>
  <c r="E2" i="19" s="1"/>
  <c r="C7" i="19"/>
  <c r="D7" i="19" s="1"/>
  <c r="E7" i="19" s="1"/>
  <c r="C11" i="19"/>
  <c r="D11" i="19" s="1"/>
  <c r="E11" i="19" s="1"/>
  <c r="C15" i="19"/>
  <c r="D15" i="19" s="1"/>
  <c r="E15" i="19" s="1"/>
  <c r="C19" i="19"/>
  <c r="D19" i="19" s="1"/>
  <c r="E19" i="19" s="1"/>
  <c r="C23" i="19"/>
  <c r="D23" i="19" s="1"/>
  <c r="E23" i="19" s="1"/>
  <c r="C27" i="19"/>
  <c r="D27" i="19" s="1"/>
  <c r="E27" i="19" s="1"/>
  <c r="C31" i="19"/>
  <c r="D31" i="19" s="1"/>
  <c r="E31" i="19" s="1"/>
  <c r="C35" i="19"/>
  <c r="D35" i="19" s="1"/>
  <c r="E35" i="19" s="1"/>
  <c r="C39" i="19"/>
  <c r="D39" i="19" s="1"/>
  <c r="E39" i="19" s="1"/>
  <c r="C4" i="19"/>
  <c r="D4" i="19" s="1"/>
  <c r="E4" i="19" s="1"/>
  <c r="C2" i="18"/>
  <c r="D2" i="18" s="1"/>
  <c r="E2" i="18" s="1"/>
  <c r="C3" i="18"/>
  <c r="D3" i="18" s="1"/>
  <c r="E3" i="18" s="1"/>
  <c r="C31" i="18"/>
  <c r="D31" i="18" s="1"/>
  <c r="E31" i="18" s="1"/>
  <c r="C35" i="18"/>
  <c r="D35" i="18" s="1"/>
  <c r="E35" i="18" s="1"/>
  <c r="C39" i="18"/>
  <c r="D39" i="18" s="1"/>
  <c r="E39" i="18" s="1"/>
  <c r="C4" i="18"/>
  <c r="D4" i="18" s="1"/>
  <c r="E4" i="18" s="1"/>
  <c r="C8" i="18"/>
  <c r="D8" i="18" s="1"/>
  <c r="E8" i="18" s="1"/>
  <c r="C12" i="18"/>
  <c r="D12" i="18" s="1"/>
  <c r="E12" i="18" s="1"/>
  <c r="C16" i="18"/>
  <c r="D16" i="18" s="1"/>
  <c r="E16" i="18" s="1"/>
  <c r="C20" i="18"/>
  <c r="D20" i="18" s="1"/>
  <c r="E20" i="18" s="1"/>
  <c r="C24" i="18"/>
  <c r="D24" i="18" s="1"/>
  <c r="E24" i="18" s="1"/>
  <c r="C28" i="18"/>
  <c r="D28" i="18" s="1"/>
  <c r="E28" i="18" s="1"/>
  <c r="C32" i="18"/>
  <c r="D32" i="18" s="1"/>
  <c r="E32" i="18" s="1"/>
  <c r="C36" i="18"/>
  <c r="D36" i="18" s="1"/>
  <c r="E36" i="18" s="1"/>
  <c r="C40" i="18"/>
  <c r="D40" i="18" s="1"/>
  <c r="E40" i="18" s="1"/>
  <c r="C9" i="17"/>
  <c r="D9" i="17" s="1"/>
  <c r="E9" i="17" s="1"/>
  <c r="C13" i="17"/>
  <c r="D13" i="17" s="1"/>
  <c r="E13" i="17" s="1"/>
  <c r="C17" i="17"/>
  <c r="D17" i="17" s="1"/>
  <c r="E17" i="17" s="1"/>
  <c r="C21" i="17"/>
  <c r="D21" i="17" s="1"/>
  <c r="E21" i="17" s="1"/>
  <c r="C25" i="17"/>
  <c r="D25" i="17" s="1"/>
  <c r="E25" i="17" s="1"/>
  <c r="C29" i="17"/>
  <c r="D29" i="17" s="1"/>
  <c r="E29" i="17" s="1"/>
  <c r="C33" i="17"/>
  <c r="D33" i="17" s="1"/>
  <c r="E33" i="17" s="1"/>
  <c r="C37" i="17"/>
  <c r="D37" i="17" s="1"/>
  <c r="E37" i="17" s="1"/>
  <c r="C2" i="17"/>
  <c r="D2" i="17" s="1"/>
  <c r="E2" i="17" s="1"/>
  <c r="C7" i="17"/>
  <c r="D7" i="17" s="1"/>
  <c r="E7" i="17" s="1"/>
  <c r="C11" i="17"/>
  <c r="D11" i="17" s="1"/>
  <c r="E11" i="17" s="1"/>
  <c r="C15" i="17"/>
  <c r="D15" i="17" s="1"/>
  <c r="E15" i="17" s="1"/>
  <c r="C19" i="17"/>
  <c r="D19" i="17" s="1"/>
  <c r="E19" i="17" s="1"/>
  <c r="C23" i="17"/>
  <c r="D23" i="17" s="1"/>
  <c r="E23" i="17" s="1"/>
  <c r="C27" i="17"/>
  <c r="D27" i="17" s="1"/>
  <c r="E27" i="17" s="1"/>
  <c r="C31" i="17"/>
  <c r="D31" i="17" s="1"/>
  <c r="E31" i="17" s="1"/>
  <c r="C35" i="17"/>
  <c r="D35" i="17" s="1"/>
  <c r="E35" i="17" s="1"/>
  <c r="C39" i="17"/>
  <c r="D39" i="17" s="1"/>
  <c r="E39" i="17" s="1"/>
  <c r="C4" i="17"/>
  <c r="D4" i="17" s="1"/>
  <c r="E4" i="17" s="1"/>
  <c r="C8" i="17"/>
  <c r="D8" i="17" s="1"/>
  <c r="E8" i="17" s="1"/>
  <c r="C12" i="17"/>
  <c r="D12" i="17" s="1"/>
  <c r="E12" i="17" s="1"/>
  <c r="C16" i="17"/>
  <c r="D16" i="17" s="1"/>
  <c r="E16" i="17" s="1"/>
  <c r="C20" i="17"/>
  <c r="D20" i="17" s="1"/>
  <c r="E20" i="17" s="1"/>
  <c r="C24" i="17"/>
  <c r="D24" i="17" s="1"/>
  <c r="E24" i="17" s="1"/>
  <c r="C28" i="17"/>
  <c r="D28" i="17" s="1"/>
  <c r="E28" i="17" s="1"/>
  <c r="C32" i="17"/>
  <c r="D32" i="17" s="1"/>
  <c r="E32" i="17" s="1"/>
  <c r="C36" i="17"/>
  <c r="D36" i="17" s="1"/>
  <c r="E36" i="17" s="1"/>
  <c r="C2" i="16"/>
  <c r="D2" i="16" s="1"/>
  <c r="E2" i="16" s="1"/>
  <c r="C6" i="16"/>
  <c r="D6" i="16" s="1"/>
  <c r="E6" i="16" s="1"/>
  <c r="C10" i="16"/>
  <c r="D10" i="16" s="1"/>
  <c r="E10" i="16" s="1"/>
  <c r="C14" i="16"/>
  <c r="D14" i="16" s="1"/>
  <c r="E14" i="16" s="1"/>
  <c r="C18" i="16"/>
  <c r="D18" i="16" s="1"/>
  <c r="E18" i="16" s="1"/>
  <c r="C22" i="16"/>
  <c r="D22" i="16" s="1"/>
  <c r="E22" i="16" s="1"/>
  <c r="C26" i="16"/>
  <c r="D26" i="16" s="1"/>
  <c r="E26" i="16" s="1"/>
  <c r="C30" i="16"/>
  <c r="D30" i="16" s="1"/>
  <c r="E30" i="16" s="1"/>
  <c r="C34" i="16"/>
  <c r="D34" i="16" s="1"/>
  <c r="E34" i="16" s="1"/>
  <c r="C38" i="16"/>
  <c r="D38" i="16" s="1"/>
  <c r="E38" i="16" s="1"/>
  <c r="C3" i="16"/>
  <c r="D3" i="16" s="1"/>
  <c r="E3" i="16" s="1"/>
  <c r="C7" i="16"/>
  <c r="D7" i="16" s="1"/>
  <c r="E7" i="16" s="1"/>
  <c r="C11" i="16"/>
  <c r="D11" i="16" s="1"/>
  <c r="E11" i="16" s="1"/>
  <c r="C15" i="16"/>
  <c r="D15" i="16" s="1"/>
  <c r="E15" i="16" s="1"/>
  <c r="C19" i="16"/>
  <c r="D19" i="16" s="1"/>
  <c r="E19" i="16" s="1"/>
  <c r="C23" i="16"/>
  <c r="D23" i="16" s="1"/>
  <c r="E23" i="16" s="1"/>
  <c r="C27" i="16"/>
  <c r="D27" i="16" s="1"/>
  <c r="E27" i="16" s="1"/>
  <c r="C31" i="16"/>
  <c r="D31" i="16" s="1"/>
  <c r="E31" i="16" s="1"/>
  <c r="C35" i="16"/>
  <c r="D35" i="16" s="1"/>
  <c r="E35" i="16" s="1"/>
  <c r="C39" i="16"/>
  <c r="D39" i="16" s="1"/>
  <c r="E39" i="16" s="1"/>
  <c r="C4" i="16"/>
  <c r="D4" i="16" s="1"/>
  <c r="E4" i="16" s="1"/>
  <c r="C8" i="16"/>
  <c r="D8" i="16" s="1"/>
  <c r="E8" i="16" s="1"/>
  <c r="C12" i="16"/>
  <c r="D12" i="16" s="1"/>
  <c r="E12" i="16" s="1"/>
  <c r="C16" i="16"/>
  <c r="D16" i="16" s="1"/>
  <c r="E16" i="16" s="1"/>
  <c r="C20" i="16"/>
  <c r="D20" i="16" s="1"/>
  <c r="E20" i="16" s="1"/>
  <c r="C24" i="16"/>
  <c r="D24" i="16" s="1"/>
  <c r="E24" i="16" s="1"/>
  <c r="C28" i="16"/>
  <c r="D28" i="16" s="1"/>
  <c r="E28" i="16" s="1"/>
  <c r="C32" i="16"/>
  <c r="D32" i="16" s="1"/>
  <c r="E32" i="16" s="1"/>
  <c r="C36" i="16"/>
  <c r="D36" i="16" s="1"/>
  <c r="E36" i="16" s="1"/>
  <c r="C40" i="16"/>
  <c r="D40" i="16" s="1"/>
  <c r="E40" i="16" s="1"/>
  <c r="C1" i="16"/>
  <c r="D1" i="16" s="1"/>
  <c r="E1" i="16" s="1"/>
  <c r="C6" i="15"/>
  <c r="D6" i="15" s="1"/>
  <c r="E6" i="15" s="1"/>
  <c r="C10" i="15"/>
  <c r="D10" i="15" s="1"/>
  <c r="E10" i="15" s="1"/>
  <c r="C14" i="15"/>
  <c r="D14" i="15" s="1"/>
  <c r="E14" i="15" s="1"/>
  <c r="C18" i="15"/>
  <c r="D18" i="15" s="1"/>
  <c r="E18" i="15" s="1"/>
  <c r="C22" i="15"/>
  <c r="D22" i="15" s="1"/>
  <c r="E22" i="15" s="1"/>
  <c r="C26" i="15"/>
  <c r="D26" i="15" s="1"/>
  <c r="E26" i="15" s="1"/>
  <c r="C30" i="15"/>
  <c r="D30" i="15" s="1"/>
  <c r="E30" i="15" s="1"/>
  <c r="C34" i="15"/>
  <c r="D34" i="15" s="1"/>
  <c r="E34" i="15" s="1"/>
  <c r="C38" i="15"/>
  <c r="D38" i="15" s="1"/>
  <c r="E38" i="15" s="1"/>
  <c r="C3" i="15"/>
  <c r="D3" i="15" s="1"/>
  <c r="E3" i="15" s="1"/>
  <c r="C7" i="15"/>
  <c r="D7" i="15" s="1"/>
  <c r="E7" i="15" s="1"/>
  <c r="C11" i="15"/>
  <c r="D11" i="15" s="1"/>
  <c r="E11" i="15" s="1"/>
  <c r="C15" i="15"/>
  <c r="D15" i="15" s="1"/>
  <c r="E15" i="15" s="1"/>
  <c r="C19" i="15"/>
  <c r="D19" i="15" s="1"/>
  <c r="E19" i="15" s="1"/>
  <c r="C23" i="15"/>
  <c r="D23" i="15" s="1"/>
  <c r="E23" i="15" s="1"/>
  <c r="C27" i="15"/>
  <c r="D27" i="15" s="1"/>
  <c r="E27" i="15" s="1"/>
  <c r="C31" i="15"/>
  <c r="D31" i="15" s="1"/>
  <c r="E31" i="15" s="1"/>
  <c r="C35" i="15"/>
  <c r="D35" i="15" s="1"/>
  <c r="E35" i="15" s="1"/>
  <c r="C39" i="15"/>
  <c r="D39" i="15" s="1"/>
  <c r="E39" i="15" s="1"/>
  <c r="C4" i="15"/>
  <c r="D4" i="15" s="1"/>
  <c r="E4" i="15" s="1"/>
  <c r="C8" i="15"/>
  <c r="D8" i="15" s="1"/>
  <c r="E8" i="15" s="1"/>
  <c r="C12" i="15"/>
  <c r="D12" i="15" s="1"/>
  <c r="E12" i="15" s="1"/>
  <c r="C16" i="15"/>
  <c r="D16" i="15" s="1"/>
  <c r="E16" i="15" s="1"/>
  <c r="C20" i="15"/>
  <c r="D20" i="15" s="1"/>
  <c r="E20" i="15" s="1"/>
  <c r="C24" i="15"/>
  <c r="D24" i="15" s="1"/>
  <c r="E24" i="15" s="1"/>
  <c r="C28" i="15"/>
  <c r="D28" i="15" s="1"/>
  <c r="E28" i="15" s="1"/>
  <c r="C32" i="15"/>
  <c r="D32" i="15" s="1"/>
  <c r="E32" i="15" s="1"/>
  <c r="C36" i="15"/>
  <c r="D36" i="15" s="1"/>
  <c r="E36" i="15" s="1"/>
  <c r="C40" i="15"/>
  <c r="D40" i="15" s="1"/>
  <c r="E40" i="15" s="1"/>
  <c r="C1" i="15"/>
  <c r="D1" i="15" s="1"/>
  <c r="E1" i="15" s="1"/>
  <c r="C2" i="14"/>
  <c r="D2" i="14" s="1"/>
  <c r="E2" i="14" s="1"/>
  <c r="C6" i="14"/>
  <c r="D6" i="14" s="1"/>
  <c r="E6" i="14" s="1"/>
  <c r="C10" i="14"/>
  <c r="D10" i="14" s="1"/>
  <c r="E10" i="14" s="1"/>
  <c r="C14" i="14"/>
  <c r="D14" i="14" s="1"/>
  <c r="E14" i="14" s="1"/>
  <c r="C18" i="14"/>
  <c r="D18" i="14" s="1"/>
  <c r="E18" i="14" s="1"/>
  <c r="C22" i="14"/>
  <c r="D22" i="14" s="1"/>
  <c r="E22" i="14" s="1"/>
  <c r="C26" i="14"/>
  <c r="D26" i="14" s="1"/>
  <c r="E26" i="14" s="1"/>
  <c r="C30" i="14"/>
  <c r="D30" i="14" s="1"/>
  <c r="E30" i="14" s="1"/>
  <c r="C34" i="14"/>
  <c r="D34" i="14" s="1"/>
  <c r="E34" i="14" s="1"/>
  <c r="C38" i="14"/>
  <c r="D38" i="14" s="1"/>
  <c r="E38" i="14" s="1"/>
  <c r="C3" i="14"/>
  <c r="D3" i="14" s="1"/>
  <c r="E3" i="14" s="1"/>
  <c r="C7" i="14"/>
  <c r="D7" i="14" s="1"/>
  <c r="E7" i="14" s="1"/>
  <c r="C11" i="14"/>
  <c r="D11" i="14" s="1"/>
  <c r="E11" i="14" s="1"/>
  <c r="C15" i="14"/>
  <c r="D15" i="14" s="1"/>
  <c r="E15" i="14" s="1"/>
  <c r="C19" i="14"/>
  <c r="D19" i="14" s="1"/>
  <c r="E19" i="14" s="1"/>
  <c r="C23" i="14"/>
  <c r="D23" i="14" s="1"/>
  <c r="E23" i="14" s="1"/>
  <c r="C27" i="14"/>
  <c r="D27" i="14" s="1"/>
  <c r="E27" i="14" s="1"/>
  <c r="C31" i="14"/>
  <c r="D31" i="14" s="1"/>
  <c r="E31" i="14" s="1"/>
  <c r="C35" i="14"/>
  <c r="D35" i="14" s="1"/>
  <c r="E35" i="14" s="1"/>
  <c r="C39" i="14"/>
  <c r="D39" i="14" s="1"/>
  <c r="E39" i="14" s="1"/>
  <c r="C4" i="14"/>
  <c r="D4" i="14" s="1"/>
  <c r="E4" i="14" s="1"/>
  <c r="C8" i="14"/>
  <c r="D8" i="14" s="1"/>
  <c r="E8" i="14" s="1"/>
  <c r="C12" i="14"/>
  <c r="D12" i="14" s="1"/>
  <c r="E12" i="14" s="1"/>
  <c r="C16" i="14"/>
  <c r="D16" i="14" s="1"/>
  <c r="E16" i="14" s="1"/>
  <c r="C20" i="14"/>
  <c r="D20" i="14" s="1"/>
  <c r="E20" i="14" s="1"/>
  <c r="C24" i="14"/>
  <c r="D24" i="14" s="1"/>
  <c r="E24" i="14" s="1"/>
  <c r="C28" i="14"/>
  <c r="D28" i="14" s="1"/>
  <c r="E28" i="14" s="1"/>
  <c r="C32" i="14"/>
  <c r="D32" i="14" s="1"/>
  <c r="E32" i="14" s="1"/>
  <c r="C36" i="14"/>
  <c r="D36" i="14" s="1"/>
  <c r="E36" i="14" s="1"/>
  <c r="C40" i="14"/>
  <c r="D40" i="14" s="1"/>
  <c r="E40" i="14" s="1"/>
  <c r="C1" i="14"/>
  <c r="D1" i="14" s="1"/>
  <c r="E1" i="14" s="1"/>
  <c r="C2" i="13"/>
  <c r="D2" i="13" s="1"/>
  <c r="E2" i="13" s="1"/>
  <c r="C6" i="13"/>
  <c r="D6" i="13" s="1"/>
  <c r="E6" i="13" s="1"/>
  <c r="C10" i="13"/>
  <c r="D10" i="13" s="1"/>
  <c r="E10" i="13" s="1"/>
  <c r="C14" i="13"/>
  <c r="D14" i="13" s="1"/>
  <c r="E14" i="13" s="1"/>
  <c r="C18" i="13"/>
  <c r="D18" i="13" s="1"/>
  <c r="E18" i="13" s="1"/>
  <c r="C22" i="13"/>
  <c r="D22" i="13" s="1"/>
  <c r="E22" i="13" s="1"/>
  <c r="C26" i="13"/>
  <c r="D26" i="13" s="1"/>
  <c r="E26" i="13" s="1"/>
  <c r="C30" i="13"/>
  <c r="D30" i="13" s="1"/>
  <c r="E30" i="13" s="1"/>
  <c r="C34" i="13"/>
  <c r="D34" i="13" s="1"/>
  <c r="E34" i="13" s="1"/>
  <c r="C38" i="13"/>
  <c r="D38" i="13" s="1"/>
  <c r="E38" i="13" s="1"/>
  <c r="C7" i="13"/>
  <c r="D7" i="13" s="1"/>
  <c r="E7" i="13" s="1"/>
  <c r="C11" i="13"/>
  <c r="D11" i="13" s="1"/>
  <c r="E11" i="13" s="1"/>
  <c r="C15" i="13"/>
  <c r="D15" i="13" s="1"/>
  <c r="E15" i="13" s="1"/>
  <c r="C19" i="13"/>
  <c r="D19" i="13" s="1"/>
  <c r="E19" i="13" s="1"/>
  <c r="C23" i="13"/>
  <c r="D23" i="13" s="1"/>
  <c r="E23" i="13" s="1"/>
  <c r="C27" i="13"/>
  <c r="D27" i="13" s="1"/>
  <c r="E27" i="13" s="1"/>
  <c r="C31" i="13"/>
  <c r="D31" i="13" s="1"/>
  <c r="E31" i="13" s="1"/>
  <c r="C35" i="13"/>
  <c r="D35" i="13" s="1"/>
  <c r="E35" i="13" s="1"/>
  <c r="C39" i="13"/>
  <c r="D39" i="13" s="1"/>
  <c r="E39" i="13" s="1"/>
  <c r="C4" i="13"/>
  <c r="D4" i="13" s="1"/>
  <c r="E4" i="13" s="1"/>
  <c r="C8" i="13"/>
  <c r="D8" i="13" s="1"/>
  <c r="E8" i="13" s="1"/>
  <c r="C12" i="13"/>
  <c r="D12" i="13" s="1"/>
  <c r="E12" i="13" s="1"/>
  <c r="C16" i="13"/>
  <c r="D16" i="13" s="1"/>
  <c r="E16" i="13" s="1"/>
  <c r="C20" i="13"/>
  <c r="D20" i="13" s="1"/>
  <c r="E20" i="13" s="1"/>
  <c r="C24" i="13"/>
  <c r="D24" i="13" s="1"/>
  <c r="E24" i="13" s="1"/>
  <c r="C28" i="13"/>
  <c r="D28" i="13" s="1"/>
  <c r="E28" i="13" s="1"/>
  <c r="C32" i="13"/>
  <c r="D32" i="13" s="1"/>
  <c r="E32" i="13" s="1"/>
  <c r="C36" i="13"/>
  <c r="D36" i="13" s="1"/>
  <c r="E36" i="13" s="1"/>
  <c r="C40" i="13"/>
  <c r="D40" i="13" s="1"/>
  <c r="E40" i="13" s="1"/>
  <c r="C1" i="13"/>
  <c r="D1" i="13" s="1"/>
  <c r="E1" i="13" s="1"/>
  <c r="C2" i="12"/>
  <c r="D2" i="12" s="1"/>
  <c r="E2" i="12" s="1"/>
  <c r="C7" i="12"/>
  <c r="D7" i="12" s="1"/>
  <c r="E7" i="12" s="1"/>
  <c r="C11" i="12"/>
  <c r="D11" i="12" s="1"/>
  <c r="E11" i="12" s="1"/>
  <c r="C15" i="12"/>
  <c r="D15" i="12" s="1"/>
  <c r="E15" i="12" s="1"/>
  <c r="C19" i="12"/>
  <c r="D19" i="12" s="1"/>
  <c r="E19" i="12" s="1"/>
  <c r="C23" i="12"/>
  <c r="D23" i="12" s="1"/>
  <c r="E23" i="12" s="1"/>
  <c r="C27" i="12"/>
  <c r="D27" i="12" s="1"/>
  <c r="E27" i="12" s="1"/>
  <c r="C31" i="12"/>
  <c r="D31" i="12" s="1"/>
  <c r="E31" i="12" s="1"/>
  <c r="C35" i="12"/>
  <c r="D35" i="12" s="1"/>
  <c r="E35" i="12" s="1"/>
  <c r="C39" i="12"/>
  <c r="D39" i="12" s="1"/>
  <c r="E39" i="12" s="1"/>
  <c r="C4" i="12"/>
  <c r="D4" i="12" s="1"/>
  <c r="E4" i="12" s="1"/>
  <c r="C40" i="12"/>
  <c r="D40" i="12" s="1"/>
  <c r="E40" i="12" s="1"/>
  <c r="C1" i="12"/>
  <c r="D1" i="12" s="1"/>
  <c r="E1" i="12" s="1"/>
  <c r="C6" i="11"/>
  <c r="D6" i="11" s="1"/>
  <c r="E6" i="11" s="1"/>
  <c r="C10" i="11"/>
  <c r="D10" i="11" s="1"/>
  <c r="E10" i="11" s="1"/>
  <c r="C14" i="11"/>
  <c r="D14" i="11" s="1"/>
  <c r="E14" i="11" s="1"/>
  <c r="C18" i="11"/>
  <c r="D18" i="11" s="1"/>
  <c r="E18" i="11" s="1"/>
  <c r="C22" i="11"/>
  <c r="D22" i="11" s="1"/>
  <c r="E22" i="11" s="1"/>
  <c r="C26" i="11"/>
  <c r="D26" i="11" s="1"/>
  <c r="E26" i="11" s="1"/>
  <c r="C30" i="11"/>
  <c r="D30" i="11" s="1"/>
  <c r="E30" i="11" s="1"/>
  <c r="C34" i="11"/>
  <c r="D34" i="11" s="1"/>
  <c r="E34" i="11" s="1"/>
  <c r="C38" i="11"/>
  <c r="D38" i="11" s="1"/>
  <c r="E38" i="11" s="1"/>
  <c r="C7" i="11"/>
  <c r="D7" i="11" s="1"/>
  <c r="E7" i="11" s="1"/>
  <c r="C11" i="11"/>
  <c r="D11" i="11" s="1"/>
  <c r="E11" i="11" s="1"/>
  <c r="C15" i="11"/>
  <c r="D15" i="11" s="1"/>
  <c r="E15" i="11" s="1"/>
  <c r="C19" i="11"/>
  <c r="D19" i="11" s="1"/>
  <c r="E19" i="11" s="1"/>
  <c r="C23" i="11"/>
  <c r="D23" i="11" s="1"/>
  <c r="E23" i="11" s="1"/>
  <c r="C27" i="11"/>
  <c r="D27" i="11" s="1"/>
  <c r="E27" i="11" s="1"/>
  <c r="C31" i="11"/>
  <c r="D31" i="11" s="1"/>
  <c r="E31" i="11" s="1"/>
  <c r="C35" i="11"/>
  <c r="D35" i="11" s="1"/>
  <c r="E35" i="11" s="1"/>
  <c r="C39" i="11"/>
  <c r="D39" i="11" s="1"/>
  <c r="E39" i="11" s="1"/>
  <c r="C4" i="11"/>
  <c r="D4" i="11" s="1"/>
  <c r="E4" i="11" s="1"/>
  <c r="C8" i="11"/>
  <c r="D8" i="11" s="1"/>
  <c r="E8" i="11" s="1"/>
  <c r="C12" i="11"/>
  <c r="D12" i="11" s="1"/>
  <c r="E12" i="11" s="1"/>
  <c r="C16" i="11"/>
  <c r="D16" i="11" s="1"/>
  <c r="E16" i="11" s="1"/>
  <c r="C20" i="11"/>
  <c r="D20" i="11" s="1"/>
  <c r="E20" i="11" s="1"/>
  <c r="C24" i="11"/>
  <c r="D24" i="11" s="1"/>
  <c r="E24" i="11" s="1"/>
  <c r="C28" i="11"/>
  <c r="D28" i="11" s="1"/>
  <c r="E28" i="11" s="1"/>
  <c r="C32" i="11"/>
  <c r="D32" i="11" s="1"/>
  <c r="E32" i="11" s="1"/>
  <c r="C36" i="11"/>
  <c r="D36" i="11" s="1"/>
  <c r="E36" i="11" s="1"/>
  <c r="C40" i="11"/>
  <c r="D40" i="11" s="1"/>
  <c r="E40" i="11" s="1"/>
  <c r="C1" i="11"/>
  <c r="D1" i="11" s="1"/>
  <c r="E1" i="11" s="1"/>
  <c r="C2" i="10"/>
  <c r="D2" i="10" s="1"/>
  <c r="E2" i="10" s="1"/>
  <c r="C6" i="10"/>
  <c r="D6" i="10" s="1"/>
  <c r="E6" i="10" s="1"/>
  <c r="C10" i="10"/>
  <c r="D10" i="10" s="1"/>
  <c r="E10" i="10" s="1"/>
  <c r="C14" i="10"/>
  <c r="D14" i="10" s="1"/>
  <c r="E14" i="10" s="1"/>
  <c r="C18" i="10"/>
  <c r="D18" i="10" s="1"/>
  <c r="E18" i="10" s="1"/>
  <c r="C22" i="10"/>
  <c r="D22" i="10" s="1"/>
  <c r="E22" i="10" s="1"/>
  <c r="C26" i="10"/>
  <c r="D26" i="10" s="1"/>
  <c r="E26" i="10" s="1"/>
  <c r="C30" i="10"/>
  <c r="D30" i="10" s="1"/>
  <c r="E30" i="10" s="1"/>
  <c r="C34" i="10"/>
  <c r="D34" i="10" s="1"/>
  <c r="E34" i="10" s="1"/>
  <c r="C38" i="10"/>
  <c r="D38" i="10" s="1"/>
  <c r="E38" i="10" s="1"/>
  <c r="C3" i="10"/>
  <c r="D3" i="10" s="1"/>
  <c r="E3" i="10" s="1"/>
  <c r="C15" i="10"/>
  <c r="D15" i="10" s="1"/>
  <c r="E15" i="10" s="1"/>
  <c r="C19" i="10"/>
  <c r="D19" i="10" s="1"/>
  <c r="E19" i="10" s="1"/>
  <c r="C23" i="10"/>
  <c r="D23" i="10" s="1"/>
  <c r="E23" i="10" s="1"/>
  <c r="C27" i="10"/>
  <c r="D27" i="10" s="1"/>
  <c r="E27" i="10" s="1"/>
  <c r="C31" i="10"/>
  <c r="D31" i="10" s="1"/>
  <c r="E31" i="10" s="1"/>
  <c r="C35" i="10"/>
  <c r="D35" i="10" s="1"/>
  <c r="E35" i="10" s="1"/>
  <c r="C39" i="10"/>
  <c r="D39" i="10" s="1"/>
  <c r="E39" i="10" s="1"/>
  <c r="C4" i="10"/>
  <c r="D4" i="10" s="1"/>
  <c r="E4" i="10" s="1"/>
  <c r="C8" i="10"/>
  <c r="D8" i="10" s="1"/>
  <c r="E8" i="10" s="1"/>
  <c r="C12" i="10"/>
  <c r="D12" i="10" s="1"/>
  <c r="E12" i="10" s="1"/>
  <c r="C16" i="10"/>
  <c r="D16" i="10" s="1"/>
  <c r="E16" i="10" s="1"/>
  <c r="C20" i="10"/>
  <c r="D20" i="10" s="1"/>
  <c r="E20" i="10" s="1"/>
  <c r="C24" i="10"/>
  <c r="D24" i="10" s="1"/>
  <c r="E24" i="10" s="1"/>
  <c r="C28" i="10"/>
  <c r="D28" i="10" s="1"/>
  <c r="E28" i="10" s="1"/>
  <c r="C32" i="10"/>
  <c r="D32" i="10" s="1"/>
  <c r="E32" i="10" s="1"/>
  <c r="C36" i="10"/>
  <c r="D36" i="10" s="1"/>
  <c r="E36" i="10" s="1"/>
  <c r="C40" i="10"/>
  <c r="D40" i="10" s="1"/>
  <c r="E40" i="10" s="1"/>
  <c r="C1" i="10"/>
  <c r="D1" i="10" s="1"/>
  <c r="E1" i="10" s="1"/>
  <c r="C6" i="9"/>
  <c r="D6" i="9" s="1"/>
  <c r="E6" i="9" s="1"/>
  <c r="C10" i="9"/>
  <c r="D10" i="9" s="1"/>
  <c r="E10" i="9" s="1"/>
  <c r="C14" i="9"/>
  <c r="D14" i="9" s="1"/>
  <c r="E14" i="9" s="1"/>
  <c r="C18" i="9"/>
  <c r="D18" i="9" s="1"/>
  <c r="E18" i="9" s="1"/>
  <c r="C22" i="9"/>
  <c r="D22" i="9" s="1"/>
  <c r="E22" i="9" s="1"/>
  <c r="C26" i="9"/>
  <c r="D26" i="9" s="1"/>
  <c r="E26" i="9" s="1"/>
  <c r="C30" i="9"/>
  <c r="D30" i="9" s="1"/>
  <c r="E30" i="9" s="1"/>
  <c r="C34" i="9"/>
  <c r="D34" i="9" s="1"/>
  <c r="E34" i="9" s="1"/>
  <c r="C38" i="9"/>
  <c r="D38" i="9" s="1"/>
  <c r="E38" i="9" s="1"/>
  <c r="C7" i="9"/>
  <c r="D7" i="9" s="1"/>
  <c r="E7" i="9" s="1"/>
  <c r="C11" i="9"/>
  <c r="D11" i="9" s="1"/>
  <c r="E11" i="9" s="1"/>
  <c r="C15" i="9"/>
  <c r="D15" i="9" s="1"/>
  <c r="E15" i="9" s="1"/>
  <c r="C19" i="9"/>
  <c r="D19" i="9" s="1"/>
  <c r="E19" i="9" s="1"/>
  <c r="C23" i="9"/>
  <c r="D23" i="9" s="1"/>
  <c r="E23" i="9" s="1"/>
  <c r="C27" i="9"/>
  <c r="D27" i="9" s="1"/>
  <c r="E27" i="9" s="1"/>
  <c r="C31" i="9"/>
  <c r="D31" i="9" s="1"/>
  <c r="E31" i="9" s="1"/>
  <c r="C35" i="9"/>
  <c r="D35" i="9" s="1"/>
  <c r="E35" i="9" s="1"/>
  <c r="C39" i="9"/>
  <c r="D39" i="9" s="1"/>
  <c r="E39" i="9" s="1"/>
  <c r="C4" i="9"/>
  <c r="D4" i="9" s="1"/>
  <c r="E4" i="9" s="1"/>
  <c r="C8" i="9"/>
  <c r="D8" i="9" s="1"/>
  <c r="E8" i="9" s="1"/>
  <c r="C12" i="9"/>
  <c r="D12" i="9" s="1"/>
  <c r="E12" i="9" s="1"/>
  <c r="C16" i="9"/>
  <c r="D16" i="9" s="1"/>
  <c r="E16" i="9" s="1"/>
  <c r="C20" i="9"/>
  <c r="D20" i="9" s="1"/>
  <c r="E20" i="9" s="1"/>
  <c r="C24" i="9"/>
  <c r="D24" i="9" s="1"/>
  <c r="E24" i="9" s="1"/>
  <c r="C28" i="9"/>
  <c r="D28" i="9" s="1"/>
  <c r="E28" i="9" s="1"/>
  <c r="C32" i="9"/>
  <c r="D32" i="9" s="1"/>
  <c r="E32" i="9" s="1"/>
  <c r="C36" i="9"/>
  <c r="D36" i="9" s="1"/>
  <c r="E36" i="9" s="1"/>
  <c r="C40" i="9"/>
  <c r="D40" i="9" s="1"/>
  <c r="E40" i="9" s="1"/>
  <c r="C1" i="9"/>
  <c r="D1" i="9" s="1"/>
  <c r="E1" i="9" s="1"/>
  <c r="C31" i="8"/>
  <c r="D31" i="8" s="1"/>
  <c r="E31" i="8" s="1"/>
  <c r="C35" i="8"/>
  <c r="D35" i="8" s="1"/>
  <c r="E35" i="8" s="1"/>
  <c r="C39" i="8"/>
  <c r="D39" i="8" s="1"/>
  <c r="E39" i="8" s="1"/>
  <c r="C4" i="8"/>
  <c r="D4" i="8" s="1"/>
  <c r="E4" i="8" s="1"/>
  <c r="C7" i="7"/>
  <c r="D7" i="7" s="1"/>
  <c r="E7" i="7" s="1"/>
  <c r="C11" i="7"/>
  <c r="D11" i="7" s="1"/>
  <c r="E11" i="7" s="1"/>
  <c r="C15" i="7"/>
  <c r="D15" i="7" s="1"/>
  <c r="E15" i="7" s="1"/>
  <c r="C19" i="7"/>
  <c r="D19" i="7" s="1"/>
  <c r="E19" i="7" s="1"/>
  <c r="C23" i="7"/>
  <c r="D23" i="7" s="1"/>
  <c r="E23" i="7" s="1"/>
  <c r="C27" i="7"/>
  <c r="D27" i="7" s="1"/>
  <c r="E27" i="7" s="1"/>
  <c r="C31" i="7"/>
  <c r="D31" i="7" s="1"/>
  <c r="E31" i="7" s="1"/>
  <c r="C35" i="7"/>
  <c r="D35" i="7" s="1"/>
  <c r="E35" i="7" s="1"/>
  <c r="C39" i="7"/>
  <c r="D39" i="7" s="1"/>
  <c r="E39" i="7" s="1"/>
  <c r="C4" i="7"/>
  <c r="D4" i="7" s="1"/>
  <c r="E4" i="7" s="1"/>
  <c r="C8" i="7"/>
  <c r="D8" i="7" s="1"/>
  <c r="E8" i="7" s="1"/>
  <c r="C12" i="7"/>
  <c r="D12" i="7" s="1"/>
  <c r="E12" i="7" s="1"/>
  <c r="C16" i="7"/>
  <c r="D16" i="7" s="1"/>
  <c r="E16" i="7" s="1"/>
  <c r="C20" i="7"/>
  <c r="D20" i="7" s="1"/>
  <c r="E20" i="7" s="1"/>
  <c r="C24" i="7"/>
  <c r="D24" i="7" s="1"/>
  <c r="E24" i="7" s="1"/>
  <c r="C28" i="7"/>
  <c r="D28" i="7" s="1"/>
  <c r="E28" i="7" s="1"/>
  <c r="C32" i="7"/>
  <c r="D32" i="7" s="1"/>
  <c r="E32" i="7" s="1"/>
  <c r="C36" i="7"/>
  <c r="D36" i="7" s="1"/>
  <c r="E36" i="7" s="1"/>
  <c r="C2" i="6"/>
  <c r="D2" i="6" s="1"/>
  <c r="E2" i="6" s="1"/>
  <c r="C6" i="6"/>
  <c r="D6" i="6" s="1"/>
  <c r="E6" i="6" s="1"/>
  <c r="C10" i="6"/>
  <c r="D10" i="6" s="1"/>
  <c r="E10" i="6" s="1"/>
  <c r="C14" i="6"/>
  <c r="D14" i="6" s="1"/>
  <c r="E14" i="6" s="1"/>
  <c r="C18" i="6"/>
  <c r="D18" i="6" s="1"/>
  <c r="E18" i="6" s="1"/>
  <c r="C22" i="6"/>
  <c r="D22" i="6" s="1"/>
  <c r="E22" i="6" s="1"/>
  <c r="C26" i="6"/>
  <c r="D26" i="6" s="1"/>
  <c r="E26" i="6" s="1"/>
  <c r="C30" i="6"/>
  <c r="D30" i="6" s="1"/>
  <c r="E30" i="6" s="1"/>
  <c r="C34" i="6"/>
  <c r="D34" i="6" s="1"/>
  <c r="E34" i="6" s="1"/>
  <c r="C38" i="6"/>
  <c r="D38" i="6" s="1"/>
  <c r="E38" i="6" s="1"/>
  <c r="C3" i="6"/>
  <c r="D3" i="6" s="1"/>
  <c r="E3" i="6" s="1"/>
  <c r="C7" i="6"/>
  <c r="D7" i="6" s="1"/>
  <c r="E7" i="6" s="1"/>
  <c r="C11" i="6"/>
  <c r="D11" i="6" s="1"/>
  <c r="E11" i="6" s="1"/>
  <c r="C15" i="6"/>
  <c r="D15" i="6" s="1"/>
  <c r="E15" i="6" s="1"/>
  <c r="C19" i="6"/>
  <c r="D19" i="6" s="1"/>
  <c r="E19" i="6" s="1"/>
  <c r="C23" i="6"/>
  <c r="D23" i="6" s="1"/>
  <c r="E23" i="6" s="1"/>
  <c r="C27" i="6"/>
  <c r="D27" i="6" s="1"/>
  <c r="E27" i="6" s="1"/>
  <c r="C31" i="6"/>
  <c r="D31" i="6" s="1"/>
  <c r="E31" i="6" s="1"/>
  <c r="C35" i="6"/>
  <c r="D35" i="6" s="1"/>
  <c r="E35" i="6" s="1"/>
  <c r="C39" i="6"/>
  <c r="D39" i="6" s="1"/>
  <c r="E39" i="6" s="1"/>
  <c r="C4" i="6"/>
  <c r="D4" i="6" s="1"/>
  <c r="E4" i="6" s="1"/>
  <c r="C8" i="6"/>
  <c r="D8" i="6" s="1"/>
  <c r="E8" i="6" s="1"/>
  <c r="C12" i="6"/>
  <c r="D12" i="6" s="1"/>
  <c r="E12" i="6" s="1"/>
  <c r="C16" i="6"/>
  <c r="D16" i="6" s="1"/>
  <c r="E16" i="6" s="1"/>
  <c r="C20" i="6"/>
  <c r="D20" i="6" s="1"/>
  <c r="E20" i="6" s="1"/>
  <c r="C24" i="6"/>
  <c r="D24" i="6" s="1"/>
  <c r="E24" i="6" s="1"/>
  <c r="C28" i="6"/>
  <c r="D28" i="6" s="1"/>
  <c r="E28" i="6" s="1"/>
  <c r="C32" i="6"/>
  <c r="D32" i="6" s="1"/>
  <c r="E32" i="6" s="1"/>
  <c r="C36" i="6"/>
  <c r="D36" i="6" s="1"/>
  <c r="E36" i="6" s="1"/>
  <c r="C40" i="6"/>
  <c r="D40" i="6" s="1"/>
  <c r="E40" i="6" s="1"/>
  <c r="C1" i="6"/>
  <c r="D1" i="6" s="1"/>
  <c r="E1" i="6" s="1"/>
  <c r="C2" i="5"/>
  <c r="D2" i="5" s="1"/>
  <c r="E2" i="5" s="1"/>
  <c r="C7" i="5"/>
  <c r="D7" i="5" s="1"/>
  <c r="E7" i="5" s="1"/>
  <c r="C11" i="5"/>
  <c r="D11" i="5" s="1"/>
  <c r="E11" i="5" s="1"/>
  <c r="C15" i="5"/>
  <c r="D15" i="5" s="1"/>
  <c r="E15" i="5" s="1"/>
  <c r="C19" i="5"/>
  <c r="D19" i="5" s="1"/>
  <c r="E19" i="5" s="1"/>
  <c r="C23" i="5"/>
  <c r="D23" i="5" s="1"/>
  <c r="E23" i="5" s="1"/>
  <c r="C27" i="5"/>
  <c r="D27" i="5" s="1"/>
  <c r="E27" i="5" s="1"/>
  <c r="C31" i="5"/>
  <c r="D31" i="5" s="1"/>
  <c r="E31" i="5" s="1"/>
  <c r="C35" i="5"/>
  <c r="D35" i="5" s="1"/>
  <c r="E35" i="5" s="1"/>
  <c r="C39" i="5"/>
  <c r="D39" i="5" s="1"/>
  <c r="E39" i="5" s="1"/>
  <c r="C4" i="5"/>
  <c r="D4" i="5" s="1"/>
  <c r="E4" i="5" s="1"/>
  <c r="C37" i="4"/>
  <c r="D37" i="4" s="1"/>
  <c r="E37" i="4" s="1"/>
  <c r="C2" i="4"/>
  <c r="D2" i="4" s="1"/>
  <c r="E2" i="4" s="1"/>
  <c r="C13" i="4"/>
  <c r="D13" i="4" s="1"/>
  <c r="E13" i="4" s="1"/>
  <c r="C33" i="4"/>
  <c r="D33" i="4" s="1"/>
  <c r="E33" i="4" s="1"/>
  <c r="C6" i="4"/>
  <c r="D6" i="4" s="1"/>
  <c r="E6" i="4" s="1"/>
  <c r="C10" i="4"/>
  <c r="D10" i="4" s="1"/>
  <c r="E10" i="4" s="1"/>
  <c r="C14" i="4"/>
  <c r="D14" i="4" s="1"/>
  <c r="E14" i="4" s="1"/>
  <c r="C18" i="4"/>
  <c r="D18" i="4" s="1"/>
  <c r="E18" i="4" s="1"/>
  <c r="C22" i="4"/>
  <c r="D22" i="4" s="1"/>
  <c r="E22" i="4" s="1"/>
  <c r="C26" i="4"/>
  <c r="D26" i="4" s="1"/>
  <c r="E26" i="4" s="1"/>
  <c r="C30" i="4"/>
  <c r="D30" i="4" s="1"/>
  <c r="E30" i="4" s="1"/>
  <c r="C34" i="4"/>
  <c r="D34" i="4" s="1"/>
  <c r="E34" i="4" s="1"/>
  <c r="C38" i="4"/>
  <c r="D38" i="4" s="1"/>
  <c r="E38" i="4" s="1"/>
  <c r="C17" i="4"/>
  <c r="D17" i="4" s="1"/>
  <c r="E17" i="4" s="1"/>
  <c r="C25" i="4"/>
  <c r="D25" i="4" s="1"/>
  <c r="E25" i="4" s="1"/>
  <c r="C3" i="4"/>
  <c r="D3" i="4" s="1"/>
  <c r="E3" i="4" s="1"/>
  <c r="C29" i="4"/>
  <c r="D29" i="4" s="1"/>
  <c r="E29" i="4" s="1"/>
  <c r="C21" i="4"/>
  <c r="D21" i="4" s="1"/>
  <c r="E21" i="4" s="1"/>
  <c r="C7" i="4"/>
  <c r="D7" i="4" s="1"/>
  <c r="E7" i="4" s="1"/>
  <c r="C11" i="4"/>
  <c r="D11" i="4" s="1"/>
  <c r="E11" i="4" s="1"/>
  <c r="C15" i="4"/>
  <c r="D15" i="4" s="1"/>
  <c r="E15" i="4" s="1"/>
  <c r="C19" i="4"/>
  <c r="D19" i="4" s="1"/>
  <c r="E19" i="4" s="1"/>
  <c r="C23" i="4"/>
  <c r="D23" i="4" s="1"/>
  <c r="E23" i="4" s="1"/>
  <c r="C27" i="4"/>
  <c r="D27" i="4" s="1"/>
  <c r="E27" i="4" s="1"/>
  <c r="C31" i="4"/>
  <c r="D31" i="4" s="1"/>
  <c r="E31" i="4" s="1"/>
  <c r="C35" i="4"/>
  <c r="D35" i="4" s="1"/>
  <c r="E35" i="4" s="1"/>
  <c r="C39" i="4"/>
  <c r="D39" i="4" s="1"/>
  <c r="E39" i="4" s="1"/>
  <c r="C4" i="4"/>
  <c r="D4" i="4" s="1"/>
  <c r="E4" i="4" s="1"/>
  <c r="C36" i="4"/>
  <c r="D36" i="4" s="1"/>
  <c r="E36" i="4" s="1"/>
  <c r="C1" i="4"/>
  <c r="D1" i="4" s="1"/>
  <c r="E1" i="4" s="1"/>
  <c r="C28" i="4"/>
  <c r="D28" i="4" s="1"/>
  <c r="E28" i="4" s="1"/>
  <c r="C32" i="4"/>
  <c r="D32" i="4" s="1"/>
  <c r="E32" i="4" s="1"/>
  <c r="C33" i="3"/>
  <c r="D33" i="3" s="1"/>
  <c r="E33" i="3" s="1"/>
  <c r="C2" i="3"/>
  <c r="D2" i="3" s="1"/>
  <c r="E2" i="3" s="1"/>
  <c r="C11" i="3"/>
  <c r="D11" i="3" s="1"/>
  <c r="E11" i="3" s="1"/>
  <c r="C17" i="3"/>
  <c r="D17" i="3" s="1"/>
  <c r="E17" i="3" s="1"/>
  <c r="C37" i="3"/>
  <c r="D37" i="3" s="1"/>
  <c r="E37" i="3" s="1"/>
  <c r="C29" i="3"/>
  <c r="D29" i="3" s="1"/>
  <c r="E29" i="3" s="1"/>
  <c r="C6" i="3"/>
  <c r="D6" i="3" s="1"/>
  <c r="E6" i="3" s="1"/>
  <c r="C10" i="3"/>
  <c r="D10" i="3" s="1"/>
  <c r="E10" i="3" s="1"/>
  <c r="C14" i="3"/>
  <c r="D14" i="3" s="1"/>
  <c r="E14" i="3" s="1"/>
  <c r="C18" i="3"/>
  <c r="D18" i="3" s="1"/>
  <c r="E18" i="3" s="1"/>
  <c r="C22" i="3"/>
  <c r="D22" i="3" s="1"/>
  <c r="E22" i="3" s="1"/>
  <c r="C26" i="3"/>
  <c r="D26" i="3" s="1"/>
  <c r="E26" i="3" s="1"/>
  <c r="C30" i="3"/>
  <c r="D30" i="3" s="1"/>
  <c r="E30" i="3" s="1"/>
  <c r="C34" i="3"/>
  <c r="D34" i="3" s="1"/>
  <c r="E34" i="3" s="1"/>
  <c r="C38" i="3"/>
  <c r="D38" i="3" s="1"/>
  <c r="E38" i="3" s="1"/>
  <c r="C7" i="3"/>
  <c r="D7" i="3" s="1"/>
  <c r="E7" i="3" s="1"/>
  <c r="C13" i="3"/>
  <c r="D13" i="3" s="1"/>
  <c r="E13" i="3" s="1"/>
  <c r="C21" i="3"/>
  <c r="D21" i="3" s="1"/>
  <c r="E21" i="3" s="1"/>
  <c r="C3" i="3"/>
  <c r="D3" i="3" s="1"/>
  <c r="E3" i="3" s="1"/>
  <c r="C19" i="3"/>
  <c r="D19" i="3" s="1"/>
  <c r="E19" i="3" s="1"/>
  <c r="C9" i="3"/>
  <c r="D9" i="3" s="1"/>
  <c r="E9" i="3" s="1"/>
  <c r="C25" i="3"/>
  <c r="D25" i="3" s="1"/>
  <c r="E25" i="3" s="1"/>
  <c r="C27" i="3"/>
  <c r="D27" i="3" s="1"/>
  <c r="E27" i="3" s="1"/>
  <c r="C4" i="3"/>
  <c r="D4" i="3" s="1"/>
  <c r="E4" i="3" s="1"/>
  <c r="C23" i="3"/>
  <c r="D23" i="3" s="1"/>
  <c r="E23" i="3" s="1"/>
  <c r="C8" i="3"/>
  <c r="D8" i="3" s="1"/>
  <c r="E8" i="3" s="1"/>
  <c r="C12" i="3"/>
  <c r="D12" i="3" s="1"/>
  <c r="E12" i="3" s="1"/>
  <c r="C16" i="3"/>
  <c r="D16" i="3" s="1"/>
  <c r="E16" i="3" s="1"/>
  <c r="C20" i="3"/>
  <c r="D20" i="3" s="1"/>
  <c r="E20" i="3" s="1"/>
  <c r="C24" i="3"/>
  <c r="D24" i="3" s="1"/>
  <c r="E24" i="3" s="1"/>
  <c r="C28" i="3"/>
  <c r="D28" i="3" s="1"/>
  <c r="E28" i="3" s="1"/>
  <c r="C32" i="3"/>
  <c r="D32" i="3" s="1"/>
  <c r="E32" i="3" s="1"/>
  <c r="C36" i="3"/>
  <c r="D36" i="3" s="1"/>
  <c r="E36" i="3" s="1"/>
  <c r="C40" i="3"/>
  <c r="D40" i="3" s="1"/>
  <c r="E40" i="3" s="1"/>
  <c r="C31" i="3"/>
  <c r="D31" i="3" s="1"/>
  <c r="E31" i="3" s="1"/>
  <c r="C1" i="3"/>
  <c r="D1" i="3" s="1"/>
  <c r="E1" i="3" s="1"/>
  <c r="C15" i="3"/>
  <c r="D15" i="3" s="1"/>
  <c r="E15" i="3" s="1"/>
  <c r="C35" i="3"/>
  <c r="D35" i="3" s="1"/>
  <c r="E35" i="3" s="1"/>
  <c r="C9" i="2"/>
  <c r="D9" i="2" s="1"/>
  <c r="E9" i="2" s="1"/>
  <c r="C37" i="2"/>
  <c r="D37" i="2" s="1"/>
  <c r="E37" i="2" s="1"/>
  <c r="C2" i="2"/>
  <c r="D2" i="2" s="1"/>
  <c r="E2" i="2" s="1"/>
  <c r="C13" i="2"/>
  <c r="D13" i="2" s="1"/>
  <c r="E13" i="2" s="1"/>
  <c r="C6" i="2"/>
  <c r="D6" i="2" s="1"/>
  <c r="E6" i="2" s="1"/>
  <c r="C22" i="2"/>
  <c r="D22" i="2" s="1"/>
  <c r="E22" i="2" s="1"/>
  <c r="C30" i="2"/>
  <c r="D30" i="2" s="1"/>
  <c r="E30" i="2" s="1"/>
  <c r="C38" i="2"/>
  <c r="D38" i="2" s="1"/>
  <c r="E38" i="2" s="1"/>
  <c r="C17" i="2"/>
  <c r="D17" i="2" s="1"/>
  <c r="E17" i="2" s="1"/>
  <c r="C18" i="2"/>
  <c r="D18" i="2" s="1"/>
  <c r="E18" i="2" s="1"/>
  <c r="C3" i="2"/>
  <c r="D3" i="2" s="1"/>
  <c r="E3" i="2" s="1"/>
  <c r="C29" i="2"/>
  <c r="D29" i="2" s="1"/>
  <c r="E29" i="2" s="1"/>
  <c r="C26" i="2"/>
  <c r="D26" i="2" s="1"/>
  <c r="E26" i="2" s="1"/>
  <c r="C25" i="2"/>
  <c r="D25" i="2" s="1"/>
  <c r="E25" i="2" s="1"/>
  <c r="C34" i="2"/>
  <c r="D34" i="2" s="1"/>
  <c r="E34" i="2" s="1"/>
  <c r="C7" i="2"/>
  <c r="D7" i="2" s="1"/>
  <c r="E7" i="2" s="1"/>
  <c r="C11" i="2"/>
  <c r="D11" i="2" s="1"/>
  <c r="E11" i="2" s="1"/>
  <c r="C15" i="2"/>
  <c r="D15" i="2" s="1"/>
  <c r="E15" i="2" s="1"/>
  <c r="C19" i="2"/>
  <c r="D19" i="2" s="1"/>
  <c r="E19" i="2" s="1"/>
  <c r="C23" i="2"/>
  <c r="D23" i="2" s="1"/>
  <c r="E23" i="2" s="1"/>
  <c r="C27" i="2"/>
  <c r="D27" i="2" s="1"/>
  <c r="E27" i="2" s="1"/>
  <c r="C31" i="2"/>
  <c r="D31" i="2" s="1"/>
  <c r="E31" i="2" s="1"/>
  <c r="C35" i="2"/>
  <c r="D35" i="2" s="1"/>
  <c r="E35" i="2" s="1"/>
  <c r="C39" i="2"/>
  <c r="D39" i="2" s="1"/>
  <c r="E39" i="2" s="1"/>
  <c r="C14" i="2"/>
  <c r="D14" i="2" s="1"/>
  <c r="E14" i="2" s="1"/>
  <c r="C4" i="2"/>
  <c r="D4" i="2" s="1"/>
  <c r="E4" i="2" s="1"/>
  <c r="C8" i="2"/>
  <c r="D8" i="2" s="1"/>
  <c r="E8" i="2" s="1"/>
  <c r="C12" i="2"/>
  <c r="D12" i="2" s="1"/>
  <c r="E12" i="2" s="1"/>
  <c r="C16" i="2"/>
  <c r="D16" i="2" s="1"/>
  <c r="E16" i="2" s="1"/>
  <c r="C20" i="2"/>
  <c r="D20" i="2" s="1"/>
  <c r="E20" i="2" s="1"/>
  <c r="C24" i="2"/>
  <c r="D24" i="2" s="1"/>
  <c r="E24" i="2" s="1"/>
  <c r="C28" i="2"/>
  <c r="D28" i="2" s="1"/>
  <c r="E28" i="2" s="1"/>
  <c r="C32" i="2"/>
  <c r="D32" i="2" s="1"/>
  <c r="E32" i="2" s="1"/>
  <c r="C36" i="2"/>
  <c r="D36" i="2" s="1"/>
  <c r="E36" i="2" s="1"/>
  <c r="C40" i="2"/>
  <c r="D40" i="2" s="1"/>
  <c r="E40" i="2" s="1"/>
  <c r="C21" i="2"/>
  <c r="D21" i="2" s="1"/>
  <c r="E21" i="2" s="1"/>
  <c r="C1" i="2"/>
  <c r="D1" i="2" s="1"/>
  <c r="E1" i="2" s="1"/>
  <c r="C33" i="2"/>
  <c r="D33" i="2" s="1"/>
  <c r="E33" i="2" s="1"/>
  <c r="C10" i="2"/>
  <c r="D10" i="2" s="1"/>
  <c r="E10" i="2" s="1"/>
  <c r="H5" i="32" l="1"/>
  <c r="H5" i="31"/>
  <c r="H5" i="29"/>
  <c r="H5" i="28"/>
  <c r="H5" i="22"/>
  <c r="H5" i="19"/>
  <c r="H5" i="18"/>
  <c r="H5" i="17"/>
  <c r="H5" i="8"/>
  <c r="H5" i="7"/>
  <c r="H5" i="5"/>
  <c r="H5" i="3"/>
  <c r="H5" i="2"/>
  <c r="H5" i="30"/>
  <c r="H5" i="27"/>
  <c r="H5" i="26"/>
  <c r="H5" i="25"/>
  <c r="H5" i="24"/>
  <c r="H5" i="23"/>
  <c r="H5" i="21"/>
  <c r="H5" i="20"/>
  <c r="H5" i="16"/>
  <c r="H5" i="15"/>
  <c r="H5" i="14"/>
  <c r="H5" i="13"/>
  <c r="H5" i="12"/>
  <c r="H5" i="11"/>
  <c r="H5" i="10"/>
  <c r="H5" i="9"/>
  <c r="H5" i="6"/>
  <c r="H5" i="4"/>
</calcChain>
</file>

<file path=xl/sharedStrings.xml><?xml version="1.0" encoding="utf-8"?>
<sst xmlns="http://schemas.openxmlformats.org/spreadsheetml/2006/main" count="93" uniqueCount="3">
  <si>
    <t>b</t>
  </si>
  <si>
    <t>a_b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</si>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</sst>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9BDD8-BF35-4D4F-986D-06BE4AA4F44F}">
  <dimension ref="A1:B31"/>
  <sheetViews>
    <sheetView tabSelected="1" workbookViewId="0">
      <selection activeCell="G12" sqref="G12"/>
    </sheetView>
  </sheetViews>
  <sheetFormatPr defaultRowHeight="15.75" x14ac:dyDescent="0.25"/>
  <sheetData>
    <row r="1" spans="1:2" x14ac:dyDescent="0.25">
      <c r="A1">
        <v>1E-4</v>
      </c>
      <c r="B1">
        <f>'0.0001'!$H$1</f>
        <v>6.5949927239142198E-2</v>
      </c>
    </row>
    <row r="2" spans="1:2" x14ac:dyDescent="0.25">
      <c r="A2">
        <v>1E-3</v>
      </c>
      <c r="B2">
        <f>'0.001'!$H$1</f>
        <v>7.0873043811076827E-2</v>
      </c>
    </row>
    <row r="3" spans="1:2" x14ac:dyDescent="0.25">
      <c r="A3">
        <v>5.0000000000000001E-3</v>
      </c>
      <c r="B3">
        <f>'0.005'!$H$1</f>
        <v>0.12540099401053095</v>
      </c>
    </row>
    <row r="4" spans="1:2" x14ac:dyDescent="0.25">
      <c r="A4">
        <v>0.01</v>
      </c>
      <c r="B4">
        <f>'0.01'!$H$1</f>
        <v>0.15160947412335213</v>
      </c>
    </row>
    <row r="5" spans="1:2" x14ac:dyDescent="0.25">
      <c r="A5">
        <v>2.5000000000000001E-2</v>
      </c>
      <c r="B5">
        <f>'0.025'!$H$1</f>
        <v>0.19056838830068282</v>
      </c>
    </row>
    <row r="6" spans="1:2" x14ac:dyDescent="0.25">
      <c r="A6">
        <v>0.05</v>
      </c>
      <c r="B6">
        <f>'0.05'!$H$1</f>
        <v>0.22800634884066506</v>
      </c>
    </row>
    <row r="7" spans="1:2" x14ac:dyDescent="0.25">
      <c r="A7">
        <v>7.4999999999999997E-2</v>
      </c>
      <c r="B7">
        <f>'0.075'!$H$1</f>
        <v>0.26070822815811229</v>
      </c>
    </row>
    <row r="8" spans="1:2" x14ac:dyDescent="0.25">
      <c r="A8">
        <v>0.1</v>
      </c>
      <c r="B8">
        <f>'0.1'!$H$1</f>
        <v>0.2813287600914714</v>
      </c>
    </row>
    <row r="9" spans="1:2" x14ac:dyDescent="0.25">
      <c r="A9">
        <v>0.15</v>
      </c>
      <c r="B9">
        <f>'0.15'!$H$1</f>
        <v>0.32699792550632567</v>
      </c>
    </row>
    <row r="10" spans="1:2" x14ac:dyDescent="0.25">
      <c r="A10">
        <v>0.2</v>
      </c>
      <c r="B10">
        <f>'0.2'!$H$1</f>
        <v>0.37797289993166511</v>
      </c>
    </row>
    <row r="11" spans="1:2" x14ac:dyDescent="0.25">
      <c r="A11">
        <v>0.25</v>
      </c>
      <c r="B11">
        <f>'0.25'!$H$1</f>
        <v>0.42752428790454416</v>
      </c>
    </row>
    <row r="12" spans="1:2" x14ac:dyDescent="0.25">
      <c r="A12">
        <v>0.3</v>
      </c>
      <c r="B12">
        <f>'0.3'!$H$1</f>
        <v>0.47768740011595606</v>
      </c>
    </row>
    <row r="13" spans="1:2" x14ac:dyDescent="0.25">
      <c r="A13">
        <v>0.35</v>
      </c>
      <c r="B13">
        <f>'0.35'!$H$1</f>
        <v>0.52811444069487457</v>
      </c>
    </row>
    <row r="14" spans="1:2" x14ac:dyDescent="0.25">
      <c r="A14">
        <v>0.4</v>
      </c>
      <c r="B14">
        <f>'0.4'!$H$1</f>
        <v>0.58812624763440347</v>
      </c>
    </row>
    <row r="15" spans="1:2" x14ac:dyDescent="0.25">
      <c r="A15">
        <v>0.45</v>
      </c>
      <c r="B15">
        <f>'0.45'!$H$1</f>
        <v>0.65062717770194223</v>
      </c>
    </row>
    <row r="16" spans="1:2" x14ac:dyDescent="0.25">
      <c r="A16">
        <v>0.5</v>
      </c>
      <c r="B16">
        <f>'0.5'!$H$1</f>
        <v>0.72344064370816785</v>
      </c>
    </row>
    <row r="17" spans="1:2" x14ac:dyDescent="0.25">
      <c r="A17">
        <v>0.55000000000000004</v>
      </c>
      <c r="B17">
        <f>'0.55'!$H$1</f>
        <v>0.80574404165113434</v>
      </c>
    </row>
    <row r="18" spans="1:2" x14ac:dyDescent="0.25">
      <c r="A18">
        <v>0.6</v>
      </c>
      <c r="B18">
        <f>'0.6'!$H$1</f>
        <v>0.91031567270806713</v>
      </c>
    </row>
    <row r="19" spans="1:2" x14ac:dyDescent="0.25">
      <c r="A19">
        <v>0.65</v>
      </c>
      <c r="B19">
        <f>'0.65'!$H$1</f>
        <v>1.0269325931970867</v>
      </c>
    </row>
    <row r="20" spans="1:2" x14ac:dyDescent="0.25">
      <c r="A20">
        <v>0.7</v>
      </c>
      <c r="B20">
        <f>'0.7'!$H$1</f>
        <v>1.1652572549762366</v>
      </c>
    </row>
    <row r="21" spans="1:2" x14ac:dyDescent="0.25">
      <c r="A21">
        <v>0.75</v>
      </c>
      <c r="B21">
        <f>'0.75'!$H$1</f>
        <v>1.3515994698205176</v>
      </c>
    </row>
    <row r="22" spans="1:2" x14ac:dyDescent="0.25">
      <c r="A22">
        <v>0.8</v>
      </c>
      <c r="B22">
        <f>'0.8'!$H$1</f>
        <v>1.599732451457742</v>
      </c>
    </row>
    <row r="23" spans="1:2" x14ac:dyDescent="0.25">
      <c r="A23">
        <v>0.85</v>
      </c>
      <c r="B23">
        <f>'0.85'!$H$1</f>
        <v>1.9651501016536783</v>
      </c>
    </row>
    <row r="24" spans="1:2" x14ac:dyDescent="0.25">
      <c r="A24">
        <v>0.9</v>
      </c>
      <c r="B24">
        <f>'0.9'!$H$1</f>
        <v>2.5846691953153607</v>
      </c>
    </row>
    <row r="25" spans="1:2" x14ac:dyDescent="0.25">
      <c r="A25">
        <v>0.92500000000000004</v>
      </c>
      <c r="B25">
        <f>'0.925'!$H$1</f>
        <v>3.1118729020735816</v>
      </c>
    </row>
    <row r="26" spans="1:2" x14ac:dyDescent="0.25">
      <c r="A26">
        <v>0.95</v>
      </c>
      <c r="B26">
        <f>'0.95'!$H$1</f>
        <v>4.0069356884486922</v>
      </c>
    </row>
    <row r="27" spans="1:2" x14ac:dyDescent="0.25">
      <c r="A27">
        <v>0.97499999999999998</v>
      </c>
      <c r="B27">
        <f>'0.975'!$H$1</f>
        <v>6.0407865406336985</v>
      </c>
    </row>
    <row r="28" spans="1:2" x14ac:dyDescent="0.25">
      <c r="A28">
        <v>0.99</v>
      </c>
      <c r="B28">
        <f>'0.99'!$H$1</f>
        <v>10.099991408947409</v>
      </c>
    </row>
    <row r="29" spans="1:2" x14ac:dyDescent="0.25">
      <c r="A29">
        <v>0.995</v>
      </c>
      <c r="B29">
        <f>'0.995'!$H$1</f>
        <v>14.654845753154248</v>
      </c>
    </row>
    <row r="30" spans="1:2" x14ac:dyDescent="0.25">
      <c r="A30">
        <v>0.999</v>
      </c>
      <c r="B30">
        <f>'0.999'!$H$1</f>
        <v>34.019399967852962</v>
      </c>
    </row>
    <row r="31" spans="1:2" x14ac:dyDescent="0.25">
      <c r="A31">
        <v>0.99990000000000001</v>
      </c>
      <c r="B31">
        <f>'0.9999'!$H$1</f>
        <v>108.46429808289109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50119-31EF-4BC6-8849-EE977DB42805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9.1133304562500003E-2</v>
      </c>
      <c r="B1">
        <v>0.81582592134361975</v>
      </c>
      <c r="C1">
        <f>$H$3*(1+$H$1)*(A1^($H$1))*EXP(-$H$3*(A1^(1+$H$1)))</f>
        <v>0.82165165795972783</v>
      </c>
      <c r="D1">
        <f>B1-C1</f>
        <v>-5.8257366161080792E-3</v>
      </c>
      <c r="E1">
        <f>D1^2</f>
        <v>3.3939207120262417E-5</v>
      </c>
      <c r="G1" t="s">
        <v>0</v>
      </c>
      <c r="H1">
        <v>6.5949927239142198E-2</v>
      </c>
    </row>
    <row r="2" spans="1:8" x14ac:dyDescent="0.25">
      <c r="A2">
        <v>0.27276615568750001</v>
      </c>
      <c r="B2">
        <v>0.73438195723327537</v>
      </c>
      <c r="C2">
        <f t="shared" ref="C2:C40" si="0">$H$3*(1+$H$1)*(A2^($H$1))*EXP(-$H$3*(A2^(1+$H$1)))</f>
        <v>0.74664095695539057</v>
      </c>
      <c r="D2">
        <f t="shared" ref="D2:D40" si="1">B2-C2</f>
        <v>-1.2258999722115194E-2</v>
      </c>
      <c r="E2">
        <f t="shared" ref="E2:E40" si="2">D2^2</f>
        <v>1.5028307418682039E-4</v>
      </c>
    </row>
    <row r="3" spans="1:8" x14ac:dyDescent="0.25">
      <c r="A3">
        <v>0.45439900681250001</v>
      </c>
      <c r="B3">
        <v>0.62763837873971762</v>
      </c>
      <c r="C3">
        <f t="shared" si="0"/>
        <v>0.64741566098662107</v>
      </c>
      <c r="D3">
        <f t="shared" si="1"/>
        <v>-1.9777282246903449E-2</v>
      </c>
      <c r="E3">
        <f t="shared" si="2"/>
        <v>3.9114089307368233E-4</v>
      </c>
      <c r="G3" t="s">
        <v>1</v>
      </c>
      <c r="H3">
        <f>(_xlfn.GAMMA((2+$H$1)/(1+$H$1)))^(1+$H$1)</f>
        <v>0.97379983656146119</v>
      </c>
    </row>
    <row r="4" spans="1:8" x14ac:dyDescent="0.25">
      <c r="A4">
        <v>0.63603185793750006</v>
      </c>
      <c r="B4">
        <v>0.54030272360862497</v>
      </c>
      <c r="C4">
        <f t="shared" si="0"/>
        <v>0.55228941147898325</v>
      </c>
      <c r="D4">
        <f t="shared" si="1"/>
        <v>-1.1986687870358281E-2</v>
      </c>
      <c r="E4">
        <f t="shared" si="2"/>
        <v>1.4368068610139435E-4</v>
      </c>
    </row>
    <row r="5" spans="1:8" x14ac:dyDescent="0.25">
      <c r="A5">
        <v>0.81766470906249999</v>
      </c>
      <c r="B5">
        <v>0.45781904931814854</v>
      </c>
      <c r="C5">
        <f t="shared" si="0"/>
        <v>0.46687214094568547</v>
      </c>
      <c r="D5">
        <f t="shared" si="1"/>
        <v>-9.0530916275369244E-3</v>
      </c>
      <c r="E5">
        <f t="shared" si="2"/>
        <v>8.1958468016579163E-5</v>
      </c>
      <c r="G5" t="s">
        <v>2</v>
      </c>
      <c r="H5">
        <f>SUM(E1:E40)</f>
        <v>2.4621724356245415E-3</v>
      </c>
    </row>
    <row r="6" spans="1:8" x14ac:dyDescent="0.25">
      <c r="A6">
        <v>0.99929756018750004</v>
      </c>
      <c r="B6">
        <v>0.36736426364665969</v>
      </c>
      <c r="C6">
        <f t="shared" si="0"/>
        <v>0.39227184448746161</v>
      </c>
      <c r="D6">
        <f t="shared" si="1"/>
        <v>-2.4907580840801913E-2</v>
      </c>
      <c r="E6">
        <f t="shared" si="2"/>
        <v>6.2038758334108249E-4</v>
      </c>
    </row>
    <row r="7" spans="1:8" x14ac:dyDescent="0.25">
      <c r="A7">
        <v>1.1809304113124999</v>
      </c>
      <c r="B7">
        <v>0.33132097740208177</v>
      </c>
      <c r="C7">
        <f t="shared" si="0"/>
        <v>0.32811620587294482</v>
      </c>
      <c r="D7">
        <f t="shared" si="1"/>
        <v>3.2047715291369516E-3</v>
      </c>
      <c r="E7">
        <f t="shared" si="2"/>
        <v>1.0270560553966795E-5</v>
      </c>
    </row>
    <row r="8" spans="1:8" x14ac:dyDescent="0.25">
      <c r="A8">
        <v>1.3625632624374999</v>
      </c>
      <c r="B8">
        <v>0.28141488875574305</v>
      </c>
      <c r="C8">
        <f t="shared" si="0"/>
        <v>0.27348896081515217</v>
      </c>
      <c r="D8">
        <f t="shared" si="1"/>
        <v>7.9259279405908822E-3</v>
      </c>
      <c r="E8">
        <f t="shared" si="2"/>
        <v>6.282033371943922E-5</v>
      </c>
    </row>
    <row r="9" spans="1:8" x14ac:dyDescent="0.25">
      <c r="A9">
        <v>1.5441961135625</v>
      </c>
      <c r="B9">
        <v>0.23947991149041684</v>
      </c>
      <c r="C9">
        <f t="shared" si="0"/>
        <v>0.22730120469609477</v>
      </c>
      <c r="D9">
        <f t="shared" si="1"/>
        <v>1.2178706794322064E-2</v>
      </c>
      <c r="E9">
        <f t="shared" si="2"/>
        <v>1.4832089918206641E-4</v>
      </c>
    </row>
    <row r="10" spans="1:8" x14ac:dyDescent="0.25">
      <c r="A10">
        <v>1.7258289646875</v>
      </c>
      <c r="B10">
        <v>0.19477237374473844</v>
      </c>
      <c r="C10">
        <f t="shared" si="0"/>
        <v>0.18845585718653957</v>
      </c>
      <c r="D10">
        <f t="shared" si="1"/>
        <v>6.3165165581988703E-3</v>
      </c>
      <c r="E10">
        <f t="shared" si="2"/>
        <v>3.9898381430000503E-5</v>
      </c>
    </row>
    <row r="11" spans="1:8" x14ac:dyDescent="0.25">
      <c r="A11">
        <v>1.9074618158125001</v>
      </c>
      <c r="B11">
        <v>0.16843304918139301</v>
      </c>
      <c r="C11">
        <f t="shared" si="0"/>
        <v>0.15592235738830573</v>
      </c>
      <c r="D11">
        <f t="shared" si="1"/>
        <v>1.2510691793087281E-2</v>
      </c>
      <c r="E11">
        <f t="shared" si="2"/>
        <v>1.5651740914162144E-4</v>
      </c>
    </row>
    <row r="12" spans="1:8" x14ac:dyDescent="0.25">
      <c r="A12">
        <v>2.0890946669375001</v>
      </c>
      <c r="B12">
        <v>0.13758831383747538</v>
      </c>
      <c r="C12">
        <f t="shared" si="0"/>
        <v>0.12876829440574422</v>
      </c>
      <c r="D12">
        <f t="shared" si="1"/>
        <v>8.8200194317311631E-3</v>
      </c>
      <c r="E12">
        <f t="shared" si="2"/>
        <v>7.7792742776115303E-5</v>
      </c>
    </row>
    <row r="13" spans="1:8" x14ac:dyDescent="0.25">
      <c r="A13">
        <v>2.2707275180625004</v>
      </c>
      <c r="B13">
        <v>0.11922010065514238</v>
      </c>
      <c r="C13">
        <f t="shared" si="0"/>
        <v>0.10616924463945182</v>
      </c>
      <c r="D13">
        <f t="shared" si="1"/>
        <v>1.305085601569056E-2</v>
      </c>
      <c r="E13">
        <f t="shared" si="2"/>
        <v>1.7032484274228646E-4</v>
      </c>
    </row>
    <row r="14" spans="1:8" x14ac:dyDescent="0.25">
      <c r="A14">
        <v>2.4523603691874998</v>
      </c>
      <c r="B14">
        <v>8.9068505431312769E-2</v>
      </c>
      <c r="C14">
        <f t="shared" si="0"/>
        <v>8.7407414938734385E-2</v>
      </c>
      <c r="D14">
        <f t="shared" si="1"/>
        <v>1.6610904925783848E-3</v>
      </c>
      <c r="E14">
        <f t="shared" si="2"/>
        <v>2.759221624534301E-6</v>
      </c>
    </row>
    <row r="15" spans="1:8" x14ac:dyDescent="0.25">
      <c r="A15">
        <v>2.6339932203124996</v>
      </c>
      <c r="B15">
        <v>8.4563094650740536E-2</v>
      </c>
      <c r="C15">
        <f t="shared" si="0"/>
        <v>7.1864696677360285E-2</v>
      </c>
      <c r="D15">
        <f t="shared" si="1"/>
        <v>1.2698397973380252E-2</v>
      </c>
      <c r="E15">
        <f t="shared" si="2"/>
        <v>1.6124931109034768E-4</v>
      </c>
    </row>
    <row r="16" spans="1:8" x14ac:dyDescent="0.25">
      <c r="A16">
        <v>2.8156260714374999</v>
      </c>
      <c r="B16">
        <v>6.4115461108143437E-2</v>
      </c>
      <c r="C16">
        <f t="shared" si="0"/>
        <v>5.9013201977595922E-2</v>
      </c>
      <c r="D16">
        <f t="shared" si="1"/>
        <v>5.1022591305475151E-3</v>
      </c>
      <c r="E16">
        <f t="shared" si="2"/>
        <v>2.6033048235255484E-5</v>
      </c>
    </row>
    <row r="17" spans="1:5" x14ac:dyDescent="0.25">
      <c r="A17">
        <v>2.9972589225624997</v>
      </c>
      <c r="B17">
        <v>5.822377008739512E-2</v>
      </c>
      <c r="C17">
        <f t="shared" si="0"/>
        <v>4.8404988895132499E-2</v>
      </c>
      <c r="D17">
        <f t="shared" si="1"/>
        <v>9.8187811922626211E-3</v>
      </c>
      <c r="E17">
        <f t="shared" si="2"/>
        <v>9.6408464101530185E-5</v>
      </c>
    </row>
    <row r="18" spans="1:5" x14ac:dyDescent="0.25">
      <c r="A18">
        <v>3.1788917736875</v>
      </c>
      <c r="B18">
        <v>4.3667827565546338E-2</v>
      </c>
      <c r="C18">
        <f t="shared" si="0"/>
        <v>3.9661915891326442E-2</v>
      </c>
      <c r="D18">
        <f t="shared" si="1"/>
        <v>4.0059116742198961E-3</v>
      </c>
      <c r="E18">
        <f t="shared" si="2"/>
        <v>1.6047328341651252E-5</v>
      </c>
    </row>
    <row r="19" spans="1:5" x14ac:dyDescent="0.25">
      <c r="A19">
        <v>3.3605246248124994</v>
      </c>
      <c r="B19">
        <v>3.2577585644137742E-2</v>
      </c>
      <c r="C19">
        <f t="shared" si="0"/>
        <v>3.2466123196646247E-2</v>
      </c>
      <c r="D19">
        <f t="shared" si="1"/>
        <v>1.1146244749149492E-4</v>
      </c>
      <c r="E19">
        <f t="shared" si="2"/>
        <v>1.2423877200794262E-8</v>
      </c>
    </row>
    <row r="20" spans="1:5" x14ac:dyDescent="0.25">
      <c r="A20">
        <v>3.5421574759374996</v>
      </c>
      <c r="B20">
        <v>2.8765314983653541E-2</v>
      </c>
      <c r="C20">
        <f t="shared" si="0"/>
        <v>2.6551379225462426E-2</v>
      </c>
      <c r="D20">
        <f t="shared" si="1"/>
        <v>2.2139357581911143E-3</v>
      </c>
      <c r="E20">
        <f t="shared" si="2"/>
        <v>4.9015115413972642E-6</v>
      </c>
    </row>
    <row r="21" spans="1:5" x14ac:dyDescent="0.25">
      <c r="A21">
        <v>3.7237903270624999</v>
      </c>
      <c r="B21">
        <v>2.4259904203081301E-2</v>
      </c>
      <c r="C21">
        <f t="shared" si="0"/>
        <v>2.1695378036384824E-2</v>
      </c>
      <c r="D21">
        <f t="shared" si="1"/>
        <v>2.5645261666964771E-3</v>
      </c>
      <c r="E21">
        <f t="shared" si="2"/>
        <v>6.5767944596709269E-6</v>
      </c>
    </row>
    <row r="22" spans="1:5" x14ac:dyDescent="0.25">
      <c r="A22">
        <v>3.9054231781875002</v>
      </c>
      <c r="B22">
        <v>1.663536288211289E-2</v>
      </c>
      <c r="C22">
        <f t="shared" si="0"/>
        <v>1.7712985962928692E-2</v>
      </c>
      <c r="D22">
        <f t="shared" si="1"/>
        <v>-1.0776230808158017E-3</v>
      </c>
      <c r="E22">
        <f t="shared" si="2"/>
        <v>1.1612715043069399E-6</v>
      </c>
    </row>
    <row r="23" spans="1:5" x14ac:dyDescent="0.25">
      <c r="A23">
        <v>4.0870560293124996</v>
      </c>
      <c r="B23">
        <v>1.1090241921408594E-2</v>
      </c>
      <c r="C23">
        <f t="shared" si="0"/>
        <v>1.4450386774335558E-2</v>
      </c>
      <c r="D23">
        <f t="shared" si="1"/>
        <v>-3.3601448529269641E-3</v>
      </c>
      <c r="E23">
        <f t="shared" si="2"/>
        <v>1.1290573432651569E-5</v>
      </c>
    </row>
    <row r="24" spans="1:5" x14ac:dyDescent="0.25">
      <c r="A24">
        <v>4.2686888804374998</v>
      </c>
      <c r="B24">
        <v>1.1090241921408594E-2</v>
      </c>
      <c r="C24">
        <f t="shared" si="0"/>
        <v>1.1780049880101565E-2</v>
      </c>
      <c r="D24">
        <f t="shared" si="1"/>
        <v>-6.8980795869297111E-4</v>
      </c>
      <c r="E24">
        <f t="shared" si="2"/>
        <v>4.7583501987616372E-7</v>
      </c>
    </row>
    <row r="25" spans="1:5" x14ac:dyDescent="0.25">
      <c r="A25">
        <v>4.4503217315625001</v>
      </c>
      <c r="B25">
        <v>6.5848311408363532E-3</v>
      </c>
      <c r="C25">
        <f t="shared" si="0"/>
        <v>9.5964358150071854E-3</v>
      </c>
      <c r="D25">
        <f t="shared" si="1"/>
        <v>-3.0116046741708322E-3</v>
      </c>
      <c r="E25">
        <f t="shared" si="2"/>
        <v>9.0697627134876035E-6</v>
      </c>
    </row>
    <row r="26" spans="1:5" x14ac:dyDescent="0.25">
      <c r="A26">
        <v>4.6319545826875004</v>
      </c>
      <c r="B26">
        <v>4.505410780572241E-3</v>
      </c>
      <c r="C26">
        <f t="shared" si="0"/>
        <v>7.812351693691556E-3</v>
      </c>
      <c r="D26">
        <f t="shared" si="1"/>
        <v>-3.3069409131193149E-3</v>
      </c>
      <c r="E26">
        <f t="shared" si="2"/>
        <v>1.0935858202862409E-5</v>
      </c>
    </row>
    <row r="27" spans="1:5" x14ac:dyDescent="0.25">
      <c r="A27">
        <v>4.8135874338125006</v>
      </c>
      <c r="B27">
        <v>4.1588407205282226E-3</v>
      </c>
      <c r="C27">
        <f t="shared" si="0"/>
        <v>6.3558728261963859E-3</v>
      </c>
      <c r="D27">
        <f t="shared" si="1"/>
        <v>-2.1970321056681633E-3</v>
      </c>
      <c r="E27">
        <f t="shared" si="2"/>
        <v>4.8269500733366831E-6</v>
      </c>
    </row>
    <row r="28" spans="1:5" x14ac:dyDescent="0.25">
      <c r="A28">
        <v>4.9952202849375</v>
      </c>
      <c r="B28">
        <v>2.7725604803521486E-3</v>
      </c>
      <c r="C28">
        <f t="shared" si="0"/>
        <v>5.1677529172019145E-3</v>
      </c>
      <c r="D28">
        <f t="shared" si="1"/>
        <v>-2.395192436849766E-3</v>
      </c>
      <c r="E28">
        <f t="shared" si="2"/>
        <v>5.7369468095423204E-6</v>
      </c>
    </row>
    <row r="29" spans="1:5" x14ac:dyDescent="0.25">
      <c r="A29">
        <v>5.1768531360624994</v>
      </c>
      <c r="B29">
        <v>3.119130540396167E-3</v>
      </c>
      <c r="C29">
        <f t="shared" si="0"/>
        <v>4.1992527757874522E-3</v>
      </c>
      <c r="D29">
        <f t="shared" si="1"/>
        <v>-1.0801222353912852E-3</v>
      </c>
      <c r="E29">
        <f t="shared" si="2"/>
        <v>1.166664043386667E-6</v>
      </c>
    </row>
    <row r="30" spans="1:5" x14ac:dyDescent="0.25">
      <c r="A30">
        <v>5.3584859871874997</v>
      </c>
      <c r="B30">
        <v>1.3862802401760743E-3</v>
      </c>
      <c r="C30">
        <f t="shared" si="0"/>
        <v>3.4103253399499931E-3</v>
      </c>
      <c r="D30">
        <f t="shared" si="1"/>
        <v>-2.0240450997739187E-3</v>
      </c>
      <c r="E30">
        <f t="shared" si="2"/>
        <v>4.096758565918812E-6</v>
      </c>
    </row>
    <row r="31" spans="1:5" x14ac:dyDescent="0.25">
      <c r="A31">
        <v>5.5401188383125</v>
      </c>
      <c r="B31">
        <v>3.4657006004401857E-4</v>
      </c>
      <c r="C31">
        <f t="shared" si="0"/>
        <v>2.7681025311470215E-3</v>
      </c>
      <c r="D31">
        <f t="shared" si="1"/>
        <v>-2.4215324711030031E-3</v>
      </c>
      <c r="E31">
        <f t="shared" si="2"/>
        <v>5.8638195086062161E-6</v>
      </c>
    </row>
    <row r="32" spans="1:5" x14ac:dyDescent="0.25">
      <c r="A32">
        <v>5.7217516894375002</v>
      </c>
      <c r="B32">
        <v>1.3862802401760743E-3</v>
      </c>
      <c r="C32">
        <f t="shared" si="0"/>
        <v>2.245636691761321E-3</v>
      </c>
      <c r="D32">
        <f t="shared" si="1"/>
        <v>-8.5935645158524677E-4</v>
      </c>
      <c r="E32">
        <f t="shared" si="2"/>
        <v>7.3849351088118655E-7</v>
      </c>
    </row>
    <row r="33" spans="1:5" x14ac:dyDescent="0.25">
      <c r="A33">
        <v>5.9033845405625005</v>
      </c>
      <c r="B33">
        <v>6.9314012008803714E-4</v>
      </c>
      <c r="C33">
        <f t="shared" si="0"/>
        <v>1.8208559650677626E-3</v>
      </c>
      <c r="D33">
        <f t="shared" si="1"/>
        <v>-1.1277158449797256E-3</v>
      </c>
      <c r="E33">
        <f t="shared" si="2"/>
        <v>1.2717430270183365E-6</v>
      </c>
    </row>
    <row r="34" spans="1:5" x14ac:dyDescent="0.25">
      <c r="A34">
        <v>6.0850173916874999</v>
      </c>
      <c r="B34">
        <v>3.4657006004401857E-4</v>
      </c>
      <c r="C34">
        <f t="shared" si="0"/>
        <v>1.4756988902345889E-3</v>
      </c>
      <c r="D34">
        <f t="shared" si="1"/>
        <v>-1.1291288301905702E-3</v>
      </c>
      <c r="E34">
        <f t="shared" si="2"/>
        <v>1.2749319151675257E-6</v>
      </c>
    </row>
    <row r="35" spans="1:5" x14ac:dyDescent="0.25">
      <c r="A35">
        <v>6.2666502428125002</v>
      </c>
      <c r="B35">
        <v>3.4657006004401857E-4</v>
      </c>
      <c r="C35">
        <f t="shared" si="0"/>
        <v>1.195398700008732E-3</v>
      </c>
      <c r="D35">
        <f t="shared" si="1"/>
        <v>-8.4882863996471342E-4</v>
      </c>
      <c r="E35">
        <f t="shared" si="2"/>
        <v>7.2051006002434509E-7</v>
      </c>
    </row>
    <row r="36" spans="1:5" x14ac:dyDescent="0.25">
      <c r="A36">
        <v>6.4482830939374995</v>
      </c>
      <c r="B36">
        <v>0</v>
      </c>
      <c r="C36">
        <f t="shared" si="0"/>
        <v>9.6789235676679832E-4</v>
      </c>
      <c r="D36">
        <f t="shared" si="1"/>
        <v>-9.6789235676679832E-4</v>
      </c>
      <c r="E36">
        <f t="shared" si="2"/>
        <v>9.3681561428758724E-7</v>
      </c>
    </row>
    <row r="37" spans="1:5" x14ac:dyDescent="0.25">
      <c r="A37">
        <v>6.6299159450624998</v>
      </c>
      <c r="B37">
        <v>0</v>
      </c>
      <c r="C37">
        <f t="shared" si="0"/>
        <v>7.8333329356639276E-4</v>
      </c>
      <c r="D37">
        <f t="shared" si="1"/>
        <v>-7.8333329356639276E-4</v>
      </c>
      <c r="E37">
        <f t="shared" si="2"/>
        <v>6.1361104880957248E-7</v>
      </c>
    </row>
    <row r="38" spans="1:5" x14ac:dyDescent="0.25">
      <c r="A38">
        <v>6.8115487961875001</v>
      </c>
      <c r="B38">
        <v>0</v>
      </c>
      <c r="C38">
        <f t="shared" si="0"/>
        <v>6.3369019984413995E-4</v>
      </c>
      <c r="D38">
        <f t="shared" si="1"/>
        <v>-6.3369019984413995E-4</v>
      </c>
      <c r="E38">
        <f t="shared" si="2"/>
        <v>4.0156326937850605E-7</v>
      </c>
    </row>
    <row r="39" spans="1:5" x14ac:dyDescent="0.25">
      <c r="A39">
        <v>6.9931816473125004</v>
      </c>
      <c r="B39">
        <v>0</v>
      </c>
      <c r="C39">
        <f t="shared" si="0"/>
        <v>5.1241706831401518E-4</v>
      </c>
      <c r="D39">
        <f t="shared" si="1"/>
        <v>-5.1241706831401518E-4</v>
      </c>
      <c r="E39">
        <f t="shared" si="2"/>
        <v>2.6257125189953008E-7</v>
      </c>
    </row>
    <row r="40" spans="1:5" x14ac:dyDescent="0.25">
      <c r="A40">
        <v>7.1748144984375006</v>
      </c>
      <c r="B40">
        <v>3.4657006004401857E-4</v>
      </c>
      <c r="C40">
        <f t="shared" si="0"/>
        <v>4.1418216099448692E-4</v>
      </c>
      <c r="D40">
        <f t="shared" si="1"/>
        <v>-6.7612100950468351E-5</v>
      </c>
      <c r="E40">
        <f t="shared" si="2"/>
        <v>4.5713961949363235E-9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EA522-AA79-457D-AE09-0ECFAEACE77A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9.1140489162500005E-2</v>
      </c>
      <c r="B1">
        <v>0.80632536800788956</v>
      </c>
      <c r="C1">
        <f>$H$3*(1+$H$1)*(A1^($H$1))*EXP(-$H$3*(A1^(1+$H$1)))</f>
        <v>0.81507422663039841</v>
      </c>
      <c r="D1">
        <f>B1-C1</f>
        <v>-8.7488586225088483E-3</v>
      </c>
      <c r="E1">
        <f>D1^2</f>
        <v>7.6542527196647421E-5</v>
      </c>
      <c r="G1" t="s">
        <v>0</v>
      </c>
      <c r="H1">
        <v>7.0873043811076827E-2</v>
      </c>
    </row>
    <row r="2" spans="1:8" x14ac:dyDescent="0.25">
      <c r="A2">
        <v>0.27207687548750004</v>
      </c>
      <c r="B2">
        <v>0.74133276291415018</v>
      </c>
      <c r="C2">
        <f t="shared" ref="C2:C40" si="0">$H$3*(1+$H$1)*(A2^($H$1))*EXP(-$H$3*(A2^(1+$H$1)))</f>
        <v>0.7457574222747122</v>
      </c>
      <c r="D2">
        <f t="shared" ref="D2:D40" si="1">B2-C2</f>
        <v>-4.4246593605620221E-3</v>
      </c>
      <c r="E2">
        <f t="shared" ref="E2:E40" si="2">D2^2</f>
        <v>1.9577610457009123E-5</v>
      </c>
    </row>
    <row r="3" spans="1:8" x14ac:dyDescent="0.25">
      <c r="A3">
        <v>0.45301326181250001</v>
      </c>
      <c r="B3">
        <v>0.63845676768555737</v>
      </c>
      <c r="C3">
        <f t="shared" si="0"/>
        <v>0.6489749437365725</v>
      </c>
      <c r="D3">
        <f t="shared" si="1"/>
        <v>-1.0518176051015127E-2</v>
      </c>
      <c r="E3">
        <f t="shared" si="2"/>
        <v>1.1063202744014817E-4</v>
      </c>
      <c r="G3" t="s">
        <v>1</v>
      </c>
      <c r="H3">
        <f>(_xlfn.GAMMA((2+$H$1)/(1+$H$1)))^(1+$H$1)</f>
        <v>0.97197021108285708</v>
      </c>
    </row>
    <row r="4" spans="1:8" x14ac:dyDescent="0.25">
      <c r="A4">
        <v>0.63394964813749999</v>
      </c>
      <c r="B4">
        <v>0.54809271782260427</v>
      </c>
      <c r="C4">
        <f t="shared" si="0"/>
        <v>0.55496368224318837</v>
      </c>
      <c r="D4">
        <f t="shared" si="1"/>
        <v>-6.8709644205841025E-3</v>
      </c>
      <c r="E4">
        <f t="shared" si="2"/>
        <v>4.7210152068932632E-5</v>
      </c>
    </row>
    <row r="5" spans="1:8" x14ac:dyDescent="0.25">
      <c r="A5">
        <v>0.81488603446250008</v>
      </c>
      <c r="B5">
        <v>0.45077758720096239</v>
      </c>
      <c r="C5">
        <f t="shared" si="0"/>
        <v>0.46996322123526874</v>
      </c>
      <c r="D5">
        <f t="shared" si="1"/>
        <v>-1.9185634034306343E-2</v>
      </c>
      <c r="E5">
        <f t="shared" si="2"/>
        <v>3.6808855329833388E-4</v>
      </c>
      <c r="G5" t="s">
        <v>2</v>
      </c>
      <c r="H5">
        <f>SUM(E1:E40)</f>
        <v>2.0631353348145877E-3</v>
      </c>
    </row>
    <row r="6" spans="1:8" x14ac:dyDescent="0.25">
      <c r="A6">
        <v>0.99582242078749994</v>
      </c>
      <c r="B6">
        <v>0.37223037462778008</v>
      </c>
      <c r="C6">
        <f t="shared" si="0"/>
        <v>0.39539296136988128</v>
      </c>
      <c r="D6">
        <f t="shared" si="1"/>
        <v>-2.3162586742101199E-2</v>
      </c>
      <c r="E6">
        <f t="shared" si="2"/>
        <v>5.3650542458536226E-4</v>
      </c>
    </row>
    <row r="7" spans="1:8" x14ac:dyDescent="0.25">
      <c r="A7">
        <v>1.1767588071124999</v>
      </c>
      <c r="B7">
        <v>0.33260921430325446</v>
      </c>
      <c r="C7">
        <f t="shared" si="0"/>
        <v>0.33105680602231546</v>
      </c>
      <c r="D7">
        <f t="shared" si="1"/>
        <v>1.5524082809389994E-3</v>
      </c>
      <c r="E7">
        <f t="shared" si="2"/>
        <v>2.4099714707279794E-6</v>
      </c>
    </row>
    <row r="8" spans="1:8" x14ac:dyDescent="0.25">
      <c r="A8">
        <v>1.3576951934374999</v>
      </c>
      <c r="B8">
        <v>0.2829089868786302</v>
      </c>
      <c r="C8">
        <f t="shared" si="0"/>
        <v>0.27614350755413919</v>
      </c>
      <c r="D8">
        <f t="shared" si="1"/>
        <v>6.7654793244910083E-3</v>
      </c>
      <c r="E8">
        <f t="shared" si="2"/>
        <v>4.5771710490115308E-5</v>
      </c>
    </row>
    <row r="9" spans="1:8" x14ac:dyDescent="0.25">
      <c r="A9">
        <v>1.5386315797625001</v>
      </c>
      <c r="B9">
        <v>0.23911717809889138</v>
      </c>
      <c r="C9">
        <f t="shared" si="0"/>
        <v>0.22962757520656141</v>
      </c>
      <c r="D9">
        <f t="shared" si="1"/>
        <v>9.4896028923299736E-3</v>
      </c>
      <c r="E9">
        <f t="shared" si="2"/>
        <v>9.0052563054117394E-5</v>
      </c>
    </row>
    <row r="10" spans="1:8" x14ac:dyDescent="0.25">
      <c r="A10">
        <v>1.7195679660875001</v>
      </c>
      <c r="B10">
        <v>0.1918498289398082</v>
      </c>
      <c r="C10">
        <f t="shared" si="0"/>
        <v>0.19044972943442587</v>
      </c>
      <c r="D10">
        <f t="shared" si="1"/>
        <v>1.4000995053823351E-3</v>
      </c>
      <c r="E10">
        <f t="shared" si="2"/>
        <v>1.9602786249718594E-6</v>
      </c>
    </row>
    <row r="11" spans="1:8" x14ac:dyDescent="0.25">
      <c r="A11">
        <v>1.9005043524125003</v>
      </c>
      <c r="B11">
        <v>0.17203924877754539</v>
      </c>
      <c r="C11">
        <f t="shared" si="0"/>
        <v>0.15760105201363592</v>
      </c>
      <c r="D11">
        <f t="shared" si="1"/>
        <v>1.4438196763909478E-2</v>
      </c>
      <c r="E11">
        <f t="shared" si="2"/>
        <v>2.084615257933661E-4</v>
      </c>
    </row>
    <row r="12" spans="1:8" x14ac:dyDescent="0.25">
      <c r="A12">
        <v>2.0814407387375002</v>
      </c>
      <c r="B12">
        <v>0.1372838449841019</v>
      </c>
      <c r="C12">
        <f t="shared" si="0"/>
        <v>0.13016051397563289</v>
      </c>
      <c r="D12">
        <f t="shared" si="1"/>
        <v>7.1233310084690138E-3</v>
      </c>
      <c r="E12">
        <f t="shared" si="2"/>
        <v>5.074184465621618E-5</v>
      </c>
    </row>
    <row r="13" spans="1:8" x14ac:dyDescent="0.25">
      <c r="A13">
        <v>2.2623771250624998</v>
      </c>
      <c r="B13">
        <v>0.11921103501151126</v>
      </c>
      <c r="C13">
        <f t="shared" si="0"/>
        <v>0.10730860598522178</v>
      </c>
      <c r="D13">
        <f t="shared" si="1"/>
        <v>1.1902429026289477E-2</v>
      </c>
      <c r="E13">
        <f t="shared" si="2"/>
        <v>1.4166781672585825E-4</v>
      </c>
    </row>
    <row r="14" spans="1:8" x14ac:dyDescent="0.25">
      <c r="A14">
        <v>2.4433135113875002</v>
      </c>
      <c r="B14">
        <v>9.0364049862953141E-2</v>
      </c>
      <c r="C14">
        <f t="shared" si="0"/>
        <v>8.8328460156186756E-2</v>
      </c>
      <c r="D14">
        <f t="shared" si="1"/>
        <v>2.0355897067663858E-3</v>
      </c>
      <c r="E14">
        <f t="shared" si="2"/>
        <v>4.1436254542932604E-6</v>
      </c>
    </row>
    <row r="15" spans="1:8" x14ac:dyDescent="0.25">
      <c r="A15">
        <v>2.6242498977124997</v>
      </c>
      <c r="B15">
        <v>8.5150739293936614E-2</v>
      </c>
      <c r="C15">
        <f t="shared" si="0"/>
        <v>7.2600532256244674E-2</v>
      </c>
      <c r="D15">
        <f t="shared" si="1"/>
        <v>1.2550207037691941E-2</v>
      </c>
      <c r="E15">
        <f t="shared" si="2"/>
        <v>1.575076966889323E-4</v>
      </c>
    </row>
    <row r="16" spans="1:8" x14ac:dyDescent="0.25">
      <c r="A16">
        <v>2.8051862840375001</v>
      </c>
      <c r="B16">
        <v>6.4992605093739372E-2</v>
      </c>
      <c r="C16">
        <f t="shared" si="0"/>
        <v>5.9594203483670199E-2</v>
      </c>
      <c r="D16">
        <f t="shared" si="1"/>
        <v>5.3984016100691729E-3</v>
      </c>
      <c r="E16">
        <f t="shared" si="2"/>
        <v>2.9142739943597439E-5</v>
      </c>
    </row>
    <row r="17" spans="1:5" x14ac:dyDescent="0.25">
      <c r="A17">
        <v>2.9861226703625001</v>
      </c>
      <c r="B17">
        <v>5.7346416259181798E-2</v>
      </c>
      <c r="C17">
        <f t="shared" si="0"/>
        <v>4.8858194469988972E-2</v>
      </c>
      <c r="D17">
        <f t="shared" si="1"/>
        <v>8.4882217891928263E-3</v>
      </c>
      <c r="E17">
        <f t="shared" si="2"/>
        <v>7.2049909142527863E-5</v>
      </c>
    </row>
    <row r="18" spans="1:5" x14ac:dyDescent="0.25">
      <c r="A18">
        <v>3.1670590566875001</v>
      </c>
      <c r="B18">
        <v>4.5529578969411004E-2</v>
      </c>
      <c r="C18">
        <f t="shared" si="0"/>
        <v>4.0010855019634264E-2</v>
      </c>
      <c r="D18">
        <f t="shared" si="1"/>
        <v>5.5187239497767396E-3</v>
      </c>
      <c r="E18">
        <f t="shared" si="2"/>
        <v>3.0456314033839376E-5</v>
      </c>
    </row>
    <row r="19" spans="1:5" x14ac:dyDescent="0.25">
      <c r="A19">
        <v>3.3479954430125001</v>
      </c>
      <c r="B19">
        <v>3.4755403793443516E-2</v>
      </c>
      <c r="C19">
        <f t="shared" si="0"/>
        <v>3.2730910292744275E-2</v>
      </c>
      <c r="D19">
        <f t="shared" si="1"/>
        <v>2.0244935006992412E-3</v>
      </c>
      <c r="E19">
        <f t="shared" si="2"/>
        <v>4.0985739343734684E-6</v>
      </c>
    </row>
    <row r="20" spans="1:5" x14ac:dyDescent="0.25">
      <c r="A20">
        <v>3.5289318293375</v>
      </c>
      <c r="B20">
        <v>2.6414106883017072E-2</v>
      </c>
      <c r="C20">
        <f t="shared" si="0"/>
        <v>2.6748958254990764E-2</v>
      </c>
      <c r="D20">
        <f t="shared" si="1"/>
        <v>-3.3485137197369202E-4</v>
      </c>
      <c r="E20">
        <f t="shared" si="2"/>
        <v>1.1212544131266386E-7</v>
      </c>
    </row>
    <row r="21" spans="1:5" x14ac:dyDescent="0.25">
      <c r="A21">
        <v>3.7098682156625005</v>
      </c>
      <c r="B21">
        <v>2.4676336693344895E-2</v>
      </c>
      <c r="C21">
        <f t="shared" si="0"/>
        <v>2.1839843225979583E-2</v>
      </c>
      <c r="D21">
        <f t="shared" si="1"/>
        <v>2.8364934673653121E-3</v>
      </c>
      <c r="E21">
        <f t="shared" si="2"/>
        <v>8.0456951904060909E-6</v>
      </c>
    </row>
    <row r="22" spans="1:5" x14ac:dyDescent="0.25">
      <c r="A22">
        <v>3.8908046019875004</v>
      </c>
      <c r="B22">
        <v>1.6682593820852888E-2</v>
      </c>
      <c r="C22">
        <f t="shared" si="0"/>
        <v>1.781593028490298E-2</v>
      </c>
      <c r="D22">
        <f t="shared" si="1"/>
        <v>-1.1333364640500922E-3</v>
      </c>
      <c r="E22">
        <f t="shared" si="2"/>
        <v>1.2844515407455659E-6</v>
      </c>
    </row>
    <row r="23" spans="1:5" x14ac:dyDescent="0.25">
      <c r="A23">
        <v>4.0717409883125004</v>
      </c>
      <c r="B23">
        <v>1.2859499403574101E-2</v>
      </c>
      <c r="C23">
        <f t="shared" si="0"/>
        <v>1.4521248090693335E-2</v>
      </c>
      <c r="D23">
        <f t="shared" si="1"/>
        <v>-1.6617486871192341E-3</v>
      </c>
      <c r="E23">
        <f t="shared" si="2"/>
        <v>2.7614086991424983E-6</v>
      </c>
    </row>
    <row r="24" spans="1:5" x14ac:dyDescent="0.25">
      <c r="A24">
        <v>4.2526773746375</v>
      </c>
      <c r="B24">
        <v>9.3839590242297492E-3</v>
      </c>
      <c r="C24">
        <f t="shared" si="0"/>
        <v>1.182643696344512E-2</v>
      </c>
      <c r="D24">
        <f t="shared" si="1"/>
        <v>-2.4424779392153706E-3</v>
      </c>
      <c r="E24">
        <f t="shared" si="2"/>
        <v>5.9656984835537639E-6</v>
      </c>
    </row>
    <row r="25" spans="1:5" x14ac:dyDescent="0.25">
      <c r="A25">
        <v>4.4336137609624995</v>
      </c>
      <c r="B25">
        <v>5.908418644885398E-3</v>
      </c>
      <c r="C25">
        <f t="shared" si="0"/>
        <v>9.6244247136420356E-3</v>
      </c>
      <c r="D25">
        <f t="shared" si="1"/>
        <v>-3.7160060687566375E-3</v>
      </c>
      <c r="E25">
        <f t="shared" si="2"/>
        <v>1.3808701103036161E-5</v>
      </c>
    </row>
    <row r="26" spans="1:5" x14ac:dyDescent="0.25">
      <c r="A26">
        <v>4.6145501472875008</v>
      </c>
      <c r="B26">
        <v>5.5608646069509621E-3</v>
      </c>
      <c r="C26">
        <f t="shared" si="0"/>
        <v>7.8267483188801286E-3</v>
      </c>
      <c r="D26">
        <f t="shared" si="1"/>
        <v>-2.2658837119291664E-3</v>
      </c>
      <c r="E26">
        <f t="shared" si="2"/>
        <v>5.1342289959858974E-6</v>
      </c>
    </row>
    <row r="27" spans="1:5" x14ac:dyDescent="0.25">
      <c r="A27">
        <v>4.7954865336125003</v>
      </c>
      <c r="B27">
        <v>3.1279863414099165E-3</v>
      </c>
      <c r="C27">
        <f t="shared" si="0"/>
        <v>6.3604410856355417E-3</v>
      </c>
      <c r="D27">
        <f t="shared" si="1"/>
        <v>-3.2324547442256252E-3</v>
      </c>
      <c r="E27">
        <f t="shared" si="2"/>
        <v>1.0448763673466751E-5</v>
      </c>
    </row>
    <row r="28" spans="1:5" x14ac:dyDescent="0.25">
      <c r="A28">
        <v>4.9764229199374999</v>
      </c>
      <c r="B28">
        <v>3.4755403793443516E-3</v>
      </c>
      <c r="C28">
        <f t="shared" si="0"/>
        <v>5.1654098167342836E-3</v>
      </c>
      <c r="D28">
        <f t="shared" si="1"/>
        <v>-1.6898694373899321E-3</v>
      </c>
      <c r="E28">
        <f t="shared" si="2"/>
        <v>2.8556587154245658E-6</v>
      </c>
    </row>
    <row r="29" spans="1:5" x14ac:dyDescent="0.25">
      <c r="A29">
        <v>5.1573593062624994</v>
      </c>
      <c r="B29">
        <v>2.432878265541046E-3</v>
      </c>
      <c r="C29">
        <f t="shared" si="0"/>
        <v>4.1922330954280024E-3</v>
      </c>
      <c r="D29">
        <f t="shared" si="1"/>
        <v>-1.7593548298869563E-3</v>
      </c>
      <c r="E29">
        <f t="shared" si="2"/>
        <v>3.095329417446561E-6</v>
      </c>
    </row>
    <row r="30" spans="1:5" x14ac:dyDescent="0.25">
      <c r="A30">
        <v>5.3382956925875007</v>
      </c>
      <c r="B30">
        <v>1.7377701896721758E-3</v>
      </c>
      <c r="C30">
        <f t="shared" si="0"/>
        <v>3.4003190658044194E-3</v>
      </c>
      <c r="D30">
        <f t="shared" si="1"/>
        <v>-1.6625488761322436E-3</v>
      </c>
      <c r="E30">
        <f t="shared" si="2"/>
        <v>2.7640687655285863E-6</v>
      </c>
    </row>
    <row r="31" spans="1:5" x14ac:dyDescent="0.25">
      <c r="A31">
        <v>5.5192320789125002</v>
      </c>
      <c r="B31">
        <v>6.9510807586887027E-4</v>
      </c>
      <c r="C31">
        <f t="shared" si="0"/>
        <v>2.7563684051923657E-3</v>
      </c>
      <c r="D31">
        <f t="shared" si="1"/>
        <v>-2.0612603293234952E-3</v>
      </c>
      <c r="E31">
        <f t="shared" si="2"/>
        <v>4.2487941452428038E-6</v>
      </c>
    </row>
    <row r="32" spans="1:5" x14ac:dyDescent="0.25">
      <c r="A32">
        <v>5.7001684652374998</v>
      </c>
      <c r="B32">
        <v>1.7377701896721758E-3</v>
      </c>
      <c r="C32">
        <f t="shared" si="0"/>
        <v>2.2330951748389784E-3</v>
      </c>
      <c r="D32">
        <f t="shared" si="1"/>
        <v>-4.9532498516680263E-4</v>
      </c>
      <c r="E32">
        <f t="shared" si="2"/>
        <v>2.4534684093049326E-7</v>
      </c>
    </row>
    <row r="33" spans="1:5" x14ac:dyDescent="0.25">
      <c r="A33">
        <v>5.8811048515625002</v>
      </c>
      <c r="B33">
        <v>6.9510807586887027E-4</v>
      </c>
      <c r="C33">
        <f t="shared" si="0"/>
        <v>1.8081646963644994E-3</v>
      </c>
      <c r="D33">
        <f t="shared" si="1"/>
        <v>-1.1130566204956291E-3</v>
      </c>
      <c r="E33">
        <f t="shared" si="2"/>
        <v>1.2388950404291511E-6</v>
      </c>
    </row>
    <row r="34" spans="1:5" x14ac:dyDescent="0.25">
      <c r="A34">
        <v>6.0620412378875006</v>
      </c>
      <c r="B34">
        <v>3.4755403793443513E-4</v>
      </c>
      <c r="C34">
        <f t="shared" si="0"/>
        <v>1.4633134375594461E-3</v>
      </c>
      <c r="D34">
        <f t="shared" si="1"/>
        <v>-1.1157593996250111E-3</v>
      </c>
      <c r="E34">
        <f t="shared" si="2"/>
        <v>1.2449190378515651E-6</v>
      </c>
    </row>
    <row r="35" spans="1:5" x14ac:dyDescent="0.25">
      <c r="A35">
        <v>6.2429776242125001</v>
      </c>
      <c r="B35">
        <v>3.4755403793443513E-4</v>
      </c>
      <c r="C35">
        <f t="shared" si="0"/>
        <v>1.1836210745851683E-3</v>
      </c>
      <c r="D35">
        <f t="shared" si="1"/>
        <v>-8.3606703665073314E-4</v>
      </c>
      <c r="E35">
        <f t="shared" si="2"/>
        <v>6.9900808977393836E-7</v>
      </c>
    </row>
    <row r="36" spans="1:5" x14ac:dyDescent="0.25">
      <c r="A36">
        <v>6.4239140105374997</v>
      </c>
      <c r="B36">
        <v>0</v>
      </c>
      <c r="C36">
        <f t="shared" si="0"/>
        <v>9.5690944301615093E-4</v>
      </c>
      <c r="D36">
        <f t="shared" si="1"/>
        <v>-9.5690944301615093E-4</v>
      </c>
      <c r="E36">
        <f t="shared" si="2"/>
        <v>9.1567568213348017E-7</v>
      </c>
    </row>
    <row r="37" spans="1:5" x14ac:dyDescent="0.25">
      <c r="A37">
        <v>6.604850396862501</v>
      </c>
      <c r="B37">
        <v>0</v>
      </c>
      <c r="C37">
        <f t="shared" si="0"/>
        <v>7.7324703612448146E-4</v>
      </c>
      <c r="D37">
        <f t="shared" si="1"/>
        <v>-7.7324703612448146E-4</v>
      </c>
      <c r="E37">
        <f t="shared" si="2"/>
        <v>5.9791097887529519E-7</v>
      </c>
    </row>
    <row r="38" spans="1:5" x14ac:dyDescent="0.25">
      <c r="A38">
        <v>6.7857867831875005</v>
      </c>
      <c r="B38">
        <v>0</v>
      </c>
      <c r="C38">
        <f t="shared" si="0"/>
        <v>6.2454110676888122E-4</v>
      </c>
      <c r="D38">
        <f t="shared" si="1"/>
        <v>-6.2454110676888122E-4</v>
      </c>
      <c r="E38">
        <f t="shared" si="2"/>
        <v>3.9005159404409912E-7</v>
      </c>
    </row>
    <row r="39" spans="1:5" x14ac:dyDescent="0.25">
      <c r="A39">
        <v>6.9667231695125</v>
      </c>
      <c r="B39">
        <v>0</v>
      </c>
      <c r="C39">
        <f t="shared" si="0"/>
        <v>5.0420233587199562E-4</v>
      </c>
      <c r="D39">
        <f t="shared" si="1"/>
        <v>-5.0420233587199562E-4</v>
      </c>
      <c r="E39">
        <f t="shared" si="2"/>
        <v>2.5421999549877667E-7</v>
      </c>
    </row>
    <row r="40" spans="1:5" x14ac:dyDescent="0.25">
      <c r="A40">
        <v>7.1476595558374996</v>
      </c>
      <c r="B40">
        <v>3.4755403793443513E-4</v>
      </c>
      <c r="C40">
        <f t="shared" si="0"/>
        <v>4.0686950294329234E-4</v>
      </c>
      <c r="D40">
        <f t="shared" si="1"/>
        <v>-5.9315465008857209E-5</v>
      </c>
      <c r="E40">
        <f t="shared" si="2"/>
        <v>3.5183243892169638E-9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C711B-6F04-45A1-859E-838A8886849B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9.0472159312499995E-2</v>
      </c>
      <c r="B1">
        <v>0.68788792082970784</v>
      </c>
      <c r="C1">
        <f>$H$3*(1+$H$1)*(A1^($H$1))*EXP(-$H$3*(A1^(1+$H$1)))</f>
        <v>0.74427869574289451</v>
      </c>
      <c r="D1">
        <f>B1-C1</f>
        <v>-5.639077491318667E-2</v>
      </c>
      <c r="E1">
        <f>D1^2</f>
        <v>3.1799194953096833E-3</v>
      </c>
      <c r="G1" t="s">
        <v>0</v>
      </c>
      <c r="H1">
        <v>0.12540099401053095</v>
      </c>
    </row>
    <row r="2" spans="1:8" x14ac:dyDescent="0.25">
      <c r="A2">
        <v>0.26997036993750001</v>
      </c>
      <c r="B2">
        <v>0.8326142128840478</v>
      </c>
      <c r="C2">
        <f t="shared" ref="C2:C40" si="0">$H$3*(1+$H$1)*(A2^($H$1))*EXP(-$H$3*(A2^(1+$H$1)))</f>
        <v>0.73144533900333819</v>
      </c>
      <c r="D2">
        <f t="shared" ref="D2:D40" si="1">B2-C2</f>
        <v>0.10116887388070961</v>
      </c>
      <c r="E2">
        <f t="shared" ref="E2:E40" si="2">D2^2</f>
        <v>1.0235141042290927E-2</v>
      </c>
    </row>
    <row r="3" spans="1:8" x14ac:dyDescent="0.25">
      <c r="A3">
        <v>0.44946858056249994</v>
      </c>
      <c r="B3">
        <v>0.66511017510686976</v>
      </c>
      <c r="C3">
        <f t="shared" si="0"/>
        <v>0.65841766341921137</v>
      </c>
      <c r="D3">
        <f t="shared" si="1"/>
        <v>6.6925116876583868E-3</v>
      </c>
      <c r="E3">
        <f t="shared" si="2"/>
        <v>4.4789712689444109E-5</v>
      </c>
      <c r="G3" t="s">
        <v>1</v>
      </c>
      <c r="H3">
        <f>(_xlfn.GAMMA((2+$H$1)/(1+$H$1)))^(1+$H$1)</f>
        <v>0.95274965180391491</v>
      </c>
    </row>
    <row r="4" spans="1:8" x14ac:dyDescent="0.25">
      <c r="A4">
        <v>0.62896679118749999</v>
      </c>
      <c r="B4">
        <v>0.55192230020722866</v>
      </c>
      <c r="C4">
        <f t="shared" si="0"/>
        <v>0.57475743579070282</v>
      </c>
      <c r="D4">
        <f t="shared" si="1"/>
        <v>-2.2835135583474164E-2</v>
      </c>
      <c r="E4">
        <f t="shared" si="2"/>
        <v>5.2144341711564792E-4</v>
      </c>
    </row>
    <row r="5" spans="1:8" x14ac:dyDescent="0.25">
      <c r="A5">
        <v>0.80846500181249992</v>
      </c>
      <c r="B5">
        <v>0.46957198874773737</v>
      </c>
      <c r="C5">
        <f t="shared" si="0"/>
        <v>0.49315826783633565</v>
      </c>
      <c r="D5">
        <f t="shared" si="1"/>
        <v>-2.3586279088598283E-2</v>
      </c>
      <c r="E5">
        <f t="shared" si="2"/>
        <v>5.5631256124524862E-4</v>
      </c>
      <c r="G5" t="s">
        <v>2</v>
      </c>
      <c r="H5">
        <f>SUM(E1:E40)</f>
        <v>1.7188138933726015E-2</v>
      </c>
    </row>
    <row r="6" spans="1:8" x14ac:dyDescent="0.25">
      <c r="A6">
        <v>0.98796321243749996</v>
      </c>
      <c r="B6">
        <v>0.38371740871550181</v>
      </c>
      <c r="C6">
        <f t="shared" si="0"/>
        <v>0.41826689157578262</v>
      </c>
      <c r="D6">
        <f t="shared" si="1"/>
        <v>-3.4549482860280811E-2</v>
      </c>
      <c r="E6">
        <f t="shared" si="2"/>
        <v>1.1936667659128376E-3</v>
      </c>
    </row>
    <row r="7" spans="1:8" x14ac:dyDescent="0.25">
      <c r="A7">
        <v>1.1674614230625</v>
      </c>
      <c r="B7">
        <v>0.32414484297884855</v>
      </c>
      <c r="C7">
        <f t="shared" si="0"/>
        <v>0.35170814810280582</v>
      </c>
      <c r="D7">
        <f t="shared" si="1"/>
        <v>-2.7563305123957271E-2</v>
      </c>
      <c r="E7">
        <f t="shared" si="2"/>
        <v>7.5973578935636921E-4</v>
      </c>
    </row>
    <row r="8" spans="1:8" x14ac:dyDescent="0.25">
      <c r="A8">
        <v>1.3469596336874998</v>
      </c>
      <c r="B8">
        <v>0.28034148581954471</v>
      </c>
      <c r="C8">
        <f t="shared" si="0"/>
        <v>0.29373788889223457</v>
      </c>
      <c r="D8">
        <f t="shared" si="1"/>
        <v>-1.3396403072689855E-2</v>
      </c>
      <c r="E8">
        <f t="shared" si="2"/>
        <v>1.794636152859742E-4</v>
      </c>
    </row>
    <row r="9" spans="1:8" x14ac:dyDescent="0.25">
      <c r="A9">
        <v>1.5264578443125001</v>
      </c>
      <c r="B9">
        <v>0.24564922694937605</v>
      </c>
      <c r="C9">
        <f t="shared" si="0"/>
        <v>0.24395411792051419</v>
      </c>
      <c r="D9">
        <f t="shared" si="1"/>
        <v>1.6951090288618575E-3</v>
      </c>
      <c r="E9">
        <f t="shared" si="2"/>
        <v>2.87339461972899E-6</v>
      </c>
    </row>
    <row r="10" spans="1:8" x14ac:dyDescent="0.25">
      <c r="A10">
        <v>1.7059560549374999</v>
      </c>
      <c r="B10">
        <v>0.19588861321640685</v>
      </c>
      <c r="C10">
        <f t="shared" si="0"/>
        <v>0.20164889632821137</v>
      </c>
      <c r="D10">
        <f t="shared" si="1"/>
        <v>-5.760283111804515E-3</v>
      </c>
      <c r="E10">
        <f t="shared" si="2"/>
        <v>3.3180861528140309E-5</v>
      </c>
    </row>
    <row r="11" spans="1:8" x14ac:dyDescent="0.25">
      <c r="A11">
        <v>1.8854542655625002</v>
      </c>
      <c r="B11">
        <v>0.16925617206355012</v>
      </c>
      <c r="C11">
        <f t="shared" si="0"/>
        <v>0.16599545190485698</v>
      </c>
      <c r="D11">
        <f t="shared" si="1"/>
        <v>3.2607201586931367E-3</v>
      </c>
      <c r="E11">
        <f t="shared" si="2"/>
        <v>1.0632295953307794E-5</v>
      </c>
    </row>
    <row r="12" spans="1:8" x14ac:dyDescent="0.25">
      <c r="A12">
        <v>2.0649524761875</v>
      </c>
      <c r="B12">
        <v>0.14297415776796779</v>
      </c>
      <c r="C12">
        <f t="shared" si="0"/>
        <v>0.13615038279241334</v>
      </c>
      <c r="D12">
        <f t="shared" si="1"/>
        <v>6.8237749755544475E-3</v>
      </c>
      <c r="E12">
        <f t="shared" si="2"/>
        <v>4.6563904917003101E-5</v>
      </c>
    </row>
    <row r="13" spans="1:8" x14ac:dyDescent="0.25">
      <c r="A13">
        <v>2.2444506868124998</v>
      </c>
      <c r="B13">
        <v>0.11949555833058093</v>
      </c>
      <c r="C13">
        <f t="shared" si="0"/>
        <v>0.11130881760471836</v>
      </c>
      <c r="D13">
        <f t="shared" si="1"/>
        <v>8.1867407258625624E-3</v>
      </c>
      <c r="E13">
        <f t="shared" si="2"/>
        <v>6.7022723712496679E-5</v>
      </c>
    </row>
    <row r="14" spans="1:8" x14ac:dyDescent="0.25">
      <c r="A14">
        <v>2.4239488974375001</v>
      </c>
      <c r="B14">
        <v>9.2863117177724178E-2</v>
      </c>
      <c r="C14">
        <f t="shared" si="0"/>
        <v>9.0732380962057477E-2</v>
      </c>
      <c r="D14">
        <f t="shared" si="1"/>
        <v>2.1307362156667009E-3</v>
      </c>
      <c r="E14">
        <f t="shared" si="2"/>
        <v>4.5400368207536534E-6</v>
      </c>
    </row>
    <row r="15" spans="1:8" x14ac:dyDescent="0.25">
      <c r="A15">
        <v>2.6034471080625003</v>
      </c>
      <c r="B15">
        <v>8.4102445745863411E-2</v>
      </c>
      <c r="C15">
        <f t="shared" si="0"/>
        <v>7.376113463045432E-2</v>
      </c>
      <c r="D15">
        <f t="shared" si="1"/>
        <v>1.0341311115409091E-2</v>
      </c>
      <c r="E15">
        <f t="shared" si="2"/>
        <v>1.0694271558568361E-4</v>
      </c>
    </row>
    <row r="16" spans="1:8" x14ac:dyDescent="0.25">
      <c r="A16">
        <v>2.7829453186875002</v>
      </c>
      <c r="B16">
        <v>6.9384517740337312E-2</v>
      </c>
      <c r="C16">
        <f t="shared" si="0"/>
        <v>5.9816091596941248E-2</v>
      </c>
      <c r="D16">
        <f t="shared" si="1"/>
        <v>9.5684261433960638E-3</v>
      </c>
      <c r="E16">
        <f t="shared" si="2"/>
        <v>9.1554778861625271E-5</v>
      </c>
    </row>
    <row r="17" spans="1:5" x14ac:dyDescent="0.25">
      <c r="A17">
        <v>2.9624435293125</v>
      </c>
      <c r="B17">
        <v>5.3615309162987922E-2</v>
      </c>
      <c r="C17">
        <f t="shared" si="0"/>
        <v>4.8396321200191952E-2</v>
      </c>
      <c r="D17">
        <f t="shared" si="1"/>
        <v>5.2189879627959693E-3</v>
      </c>
      <c r="E17">
        <f t="shared" si="2"/>
        <v>2.7237835355809221E-5</v>
      </c>
    </row>
    <row r="18" spans="1:5" x14ac:dyDescent="0.25">
      <c r="A18">
        <v>3.1419417399374998</v>
      </c>
      <c r="B18">
        <v>4.4854637731127155E-2</v>
      </c>
      <c r="C18">
        <f t="shared" si="0"/>
        <v>3.9073132866680384E-2</v>
      </c>
      <c r="D18">
        <f t="shared" si="1"/>
        <v>5.7815048644467709E-3</v>
      </c>
      <c r="E18">
        <f t="shared" si="2"/>
        <v>3.3425798497621674E-5</v>
      </c>
    </row>
    <row r="19" spans="1:5" x14ac:dyDescent="0.25">
      <c r="A19">
        <v>3.3214399505624996</v>
      </c>
      <c r="B19">
        <v>3.8546954300187397E-2</v>
      </c>
      <c r="C19">
        <f t="shared" si="0"/>
        <v>3.1482883824324397E-2</v>
      </c>
      <c r="D19">
        <f t="shared" si="1"/>
        <v>7.0640704758630005E-3</v>
      </c>
      <c r="E19">
        <f t="shared" si="2"/>
        <v>4.9901091687959317E-5</v>
      </c>
    </row>
    <row r="20" spans="1:5" x14ac:dyDescent="0.25">
      <c r="A20">
        <v>3.5009381611874995</v>
      </c>
      <c r="B20">
        <v>2.7333294867405607E-2</v>
      </c>
      <c r="C20">
        <f t="shared" si="0"/>
        <v>2.5319361555783518E-2</v>
      </c>
      <c r="D20">
        <f t="shared" si="1"/>
        <v>2.0139333116220882E-3</v>
      </c>
      <c r="E20">
        <f t="shared" si="2"/>
        <v>4.0559273836611112E-6</v>
      </c>
    </row>
    <row r="21" spans="1:5" x14ac:dyDescent="0.25">
      <c r="A21">
        <v>3.6804363718125002</v>
      </c>
      <c r="B21">
        <v>2.4529880009210161E-2</v>
      </c>
      <c r="C21">
        <f t="shared" si="0"/>
        <v>2.0326310834248681E-2</v>
      </c>
      <c r="D21">
        <f t="shared" si="1"/>
        <v>4.2035691749614801E-3</v>
      </c>
      <c r="E21">
        <f t="shared" si="2"/>
        <v>1.7669993808686339E-5</v>
      </c>
    </row>
    <row r="22" spans="1:5" x14ac:dyDescent="0.25">
      <c r="A22">
        <v>3.8599345824375</v>
      </c>
      <c r="B22">
        <v>1.7871769720995974E-2</v>
      </c>
      <c r="C22">
        <f t="shared" si="0"/>
        <v>1.6290429660465438E-2</v>
      </c>
      <c r="D22">
        <f t="shared" si="1"/>
        <v>1.581340060530536E-3</v>
      </c>
      <c r="E22">
        <f t="shared" si="2"/>
        <v>2.5006363870387194E-6</v>
      </c>
    </row>
    <row r="23" spans="1:5" x14ac:dyDescent="0.25">
      <c r="A23">
        <v>4.0394327930624998</v>
      </c>
      <c r="B23">
        <v>1.3666647433702803E-2</v>
      </c>
      <c r="C23">
        <f t="shared" si="0"/>
        <v>1.3035000553351961E-2</v>
      </c>
      <c r="D23">
        <f t="shared" si="1"/>
        <v>6.3164688035084217E-4</v>
      </c>
      <c r="E23">
        <f t="shared" si="2"/>
        <v>3.9897778145695113E-7</v>
      </c>
    </row>
    <row r="24" spans="1:5" x14ac:dyDescent="0.25">
      <c r="A24">
        <v>4.2189310036874996</v>
      </c>
      <c r="B24">
        <v>7.7093908600374796E-3</v>
      </c>
      <c r="C24">
        <f t="shared" si="0"/>
        <v>1.0414223341529383E-2</v>
      </c>
      <c r="D24">
        <f t="shared" si="1"/>
        <v>-2.7048324814919035E-3</v>
      </c>
      <c r="E24">
        <f t="shared" si="2"/>
        <v>7.3161187529336484E-6</v>
      </c>
    </row>
    <row r="25" spans="1:5" x14ac:dyDescent="0.25">
      <c r="A25">
        <v>4.3984292143125003</v>
      </c>
      <c r="B25">
        <v>7.3589640027630484E-3</v>
      </c>
      <c r="C25">
        <f t="shared" si="0"/>
        <v>8.3082533840822797E-3</v>
      </c>
      <c r="D25">
        <f t="shared" si="1"/>
        <v>-9.4928938131923126E-4</v>
      </c>
      <c r="E25">
        <f t="shared" si="2"/>
        <v>9.0115032948544884E-7</v>
      </c>
    </row>
    <row r="26" spans="1:5" x14ac:dyDescent="0.25">
      <c r="A26">
        <v>4.5779274249375002</v>
      </c>
      <c r="B26">
        <v>4.905976001842032E-3</v>
      </c>
      <c r="C26">
        <f t="shared" si="0"/>
        <v>6.6189121656771962E-3</v>
      </c>
      <c r="D26">
        <f t="shared" si="1"/>
        <v>-1.7129361638351642E-3</v>
      </c>
      <c r="E26">
        <f t="shared" si="2"/>
        <v>2.9341503013743282E-6</v>
      </c>
    </row>
    <row r="27" spans="1:5" x14ac:dyDescent="0.25">
      <c r="A27">
        <v>4.7574256355625</v>
      </c>
      <c r="B27">
        <v>3.5042685727443086E-3</v>
      </c>
      <c r="C27">
        <f t="shared" si="0"/>
        <v>5.2660168683571658E-3</v>
      </c>
      <c r="D27">
        <f t="shared" si="1"/>
        <v>-1.7617482956128572E-3</v>
      </c>
      <c r="E27">
        <f t="shared" si="2"/>
        <v>3.1037570570948069E-6</v>
      </c>
    </row>
    <row r="28" spans="1:5" x14ac:dyDescent="0.25">
      <c r="A28">
        <v>4.9369238461875007</v>
      </c>
      <c r="B28">
        <v>3.8546954300187398E-3</v>
      </c>
      <c r="C28">
        <f t="shared" si="0"/>
        <v>4.1842660216826434E-3</v>
      </c>
      <c r="D28">
        <f t="shared" si="1"/>
        <v>-3.2957059166390358E-4</v>
      </c>
      <c r="E28">
        <f t="shared" si="2"/>
        <v>1.0861677488969547E-7</v>
      </c>
    </row>
    <row r="29" spans="1:5" x14ac:dyDescent="0.25">
      <c r="A29">
        <v>5.1164220568124996</v>
      </c>
      <c r="B29">
        <v>2.1025611436465853E-3</v>
      </c>
      <c r="C29">
        <f t="shared" si="0"/>
        <v>3.3206157486619708E-3</v>
      </c>
      <c r="D29">
        <f t="shared" si="1"/>
        <v>-1.2180546050153855E-3</v>
      </c>
      <c r="E29">
        <f t="shared" si="2"/>
        <v>1.4836570207991868E-6</v>
      </c>
    </row>
    <row r="30" spans="1:5" x14ac:dyDescent="0.25">
      <c r="A30">
        <v>5.2959202674375003</v>
      </c>
      <c r="B30">
        <v>1.7521342863721543E-3</v>
      </c>
      <c r="C30">
        <f t="shared" si="0"/>
        <v>2.6320828016319661E-3</v>
      </c>
      <c r="D30">
        <f t="shared" si="1"/>
        <v>-8.7994851525981179E-4</v>
      </c>
      <c r="E30">
        <f t="shared" si="2"/>
        <v>7.7430938950794725E-7</v>
      </c>
    </row>
    <row r="31" spans="1:5" x14ac:dyDescent="0.25">
      <c r="A31">
        <v>5.4754184780625001</v>
      </c>
      <c r="B31">
        <v>1.4017074290977236E-3</v>
      </c>
      <c r="C31">
        <f t="shared" si="0"/>
        <v>2.0839147339636118E-3</v>
      </c>
      <c r="D31">
        <f t="shared" si="1"/>
        <v>-6.8220730486588817E-4</v>
      </c>
      <c r="E31">
        <f t="shared" si="2"/>
        <v>4.6540680681237891E-7</v>
      </c>
    </row>
    <row r="32" spans="1:5" x14ac:dyDescent="0.25">
      <c r="A32">
        <v>5.6549166886875</v>
      </c>
      <c r="B32">
        <v>1.0512805718232926E-3</v>
      </c>
      <c r="C32">
        <f t="shared" si="0"/>
        <v>1.6480729924996252E-3</v>
      </c>
      <c r="D32">
        <f t="shared" si="1"/>
        <v>-5.967924206763326E-4</v>
      </c>
      <c r="E32">
        <f t="shared" si="2"/>
        <v>3.5616119337671676E-7</v>
      </c>
    </row>
    <row r="33" spans="1:5" x14ac:dyDescent="0.25">
      <c r="A33">
        <v>5.8344148993124989</v>
      </c>
      <c r="B33">
        <v>7.0085371454886179E-4</v>
      </c>
      <c r="C33">
        <f t="shared" si="0"/>
        <v>1.3019806665388223E-3</v>
      </c>
      <c r="D33">
        <f t="shared" si="1"/>
        <v>-6.011269519899605E-4</v>
      </c>
      <c r="E33">
        <f t="shared" si="2"/>
        <v>3.6135361240874026E-7</v>
      </c>
    </row>
    <row r="34" spans="1:5" x14ac:dyDescent="0.25">
      <c r="A34">
        <v>6.0139131099374996</v>
      </c>
      <c r="B34">
        <v>7.0085371454886179E-4</v>
      </c>
      <c r="C34">
        <f t="shared" si="0"/>
        <v>1.027492599958821E-3</v>
      </c>
      <c r="D34">
        <f t="shared" si="1"/>
        <v>-3.2663888540995919E-4</v>
      </c>
      <c r="E34">
        <f t="shared" si="2"/>
        <v>1.0669296146186046E-7</v>
      </c>
    </row>
    <row r="35" spans="1:5" x14ac:dyDescent="0.25">
      <c r="A35">
        <v>6.1934113205624994</v>
      </c>
      <c r="B35">
        <v>0</v>
      </c>
      <c r="C35">
        <f t="shared" si="0"/>
        <v>8.1005126543090198E-4</v>
      </c>
      <c r="D35">
        <f t="shared" si="1"/>
        <v>-8.1005126543090198E-4</v>
      </c>
      <c r="E35">
        <f t="shared" si="2"/>
        <v>6.5618305262620563E-7</v>
      </c>
    </row>
    <row r="36" spans="1:5" x14ac:dyDescent="0.25">
      <c r="A36">
        <v>6.3729095311874993</v>
      </c>
      <c r="B36">
        <v>3.504268572744309E-4</v>
      </c>
      <c r="C36">
        <f t="shared" si="0"/>
        <v>6.3799704638196658E-4</v>
      </c>
      <c r="D36">
        <f t="shared" si="1"/>
        <v>-2.8757018910753569E-4</v>
      </c>
      <c r="E36">
        <f t="shared" si="2"/>
        <v>8.2696613663343835E-8</v>
      </c>
    </row>
    <row r="37" spans="1:5" x14ac:dyDescent="0.25">
      <c r="A37">
        <v>6.5524077418125</v>
      </c>
      <c r="B37">
        <v>0</v>
      </c>
      <c r="C37">
        <f t="shared" si="0"/>
        <v>5.0200629339290626E-4</v>
      </c>
      <c r="D37">
        <f t="shared" si="1"/>
        <v>-5.0200629339290626E-4</v>
      </c>
      <c r="E37">
        <f t="shared" si="2"/>
        <v>2.5201031860608466E-7</v>
      </c>
    </row>
    <row r="38" spans="1:5" x14ac:dyDescent="0.25">
      <c r="A38">
        <v>6.7319059524374998</v>
      </c>
      <c r="B38">
        <v>0</v>
      </c>
      <c r="C38">
        <f t="shared" si="0"/>
        <v>3.9463469379861924E-4</v>
      </c>
      <c r="D38">
        <f t="shared" si="1"/>
        <v>-3.9463469379861924E-4</v>
      </c>
      <c r="E38">
        <f t="shared" si="2"/>
        <v>1.5573654154952998E-7</v>
      </c>
    </row>
    <row r="39" spans="1:5" x14ac:dyDescent="0.25">
      <c r="A39">
        <v>6.9114041630624996</v>
      </c>
      <c r="B39">
        <v>0</v>
      </c>
      <c r="C39">
        <f t="shared" si="0"/>
        <v>3.0994712865553287E-4</v>
      </c>
      <c r="D39">
        <f t="shared" si="1"/>
        <v>-3.0994712865553287E-4</v>
      </c>
      <c r="E39">
        <f t="shared" si="2"/>
        <v>9.6067222561809446E-8</v>
      </c>
    </row>
    <row r="40" spans="1:5" x14ac:dyDescent="0.25">
      <c r="A40">
        <v>7.0909023736875003</v>
      </c>
      <c r="B40">
        <v>3.504268572744309E-4</v>
      </c>
      <c r="C40">
        <f t="shared" si="0"/>
        <v>2.4321832331280084E-4</v>
      </c>
      <c r="D40">
        <f t="shared" si="1"/>
        <v>1.0720853396163006E-4</v>
      </c>
      <c r="E40">
        <f t="shared" si="2"/>
        <v>1.1493669754201987E-8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FA199-D11D-4700-B523-B271DA9C1192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8.9553810962500008E-2</v>
      </c>
      <c r="B1">
        <v>0.66614272552112153</v>
      </c>
      <c r="C1">
        <f>$H$3*(1+$H$1)*(A1^($H$1))*EXP(-$H$3*(A1^(1+$H$1)))</f>
        <v>0.71121175966997763</v>
      </c>
      <c r="D1">
        <f>B1-C1</f>
        <v>-4.5069034148856102E-2</v>
      </c>
      <c r="E1">
        <f>D1^2</f>
        <v>2.0312178391107575E-3</v>
      </c>
      <c r="G1" t="s">
        <v>0</v>
      </c>
      <c r="H1">
        <v>0.15160947412335213</v>
      </c>
    </row>
    <row r="2" spans="1:8" x14ac:dyDescent="0.25">
      <c r="A2">
        <v>0.26778469088750001</v>
      </c>
      <c r="B2">
        <v>0.77058035621722953</v>
      </c>
      <c r="C2">
        <f t="shared" ref="C2:C40" si="0">$H$3*(1+$H$1)*(A2^($H$1))*EXP(-$H$3*(A2^(1+$H$1)))</f>
        <v>0.72388621846313939</v>
      </c>
      <c r="D2">
        <f t="shared" ref="D2:D40" si="1">B2-C2</f>
        <v>4.6694137754090148E-2</v>
      </c>
      <c r="E2">
        <f t="shared" ref="E2:E40" si="2">D2^2</f>
        <v>2.1803425005979468E-3</v>
      </c>
    </row>
    <row r="3" spans="1:8" x14ac:dyDescent="0.25">
      <c r="A3">
        <v>0.44601557081250004</v>
      </c>
      <c r="B3">
        <v>0.72400681820410029</v>
      </c>
      <c r="C3">
        <f t="shared" si="0"/>
        <v>0.66277998958464845</v>
      </c>
      <c r="D3">
        <f t="shared" si="1"/>
        <v>6.1226828619451834E-2</v>
      </c>
      <c r="E3">
        <f t="shared" si="2"/>
        <v>3.7487245427957261E-3</v>
      </c>
      <c r="G3" t="s">
        <v>1</v>
      </c>
      <c r="H3">
        <f>(_xlfn.GAMMA((2+$H$1)/(1+$H$1)))^(1+$H$1)</f>
        <v>0.94414321862456096</v>
      </c>
    </row>
    <row r="4" spans="1:8" x14ac:dyDescent="0.25">
      <c r="A4">
        <v>0.62424645073750007</v>
      </c>
      <c r="B4">
        <v>0.57652394782919092</v>
      </c>
      <c r="C4">
        <f t="shared" si="0"/>
        <v>0.58479228823515894</v>
      </c>
      <c r="D4">
        <f t="shared" si="1"/>
        <v>-8.2683404059680221E-3</v>
      </c>
      <c r="E4">
        <f t="shared" si="2"/>
        <v>6.8365453068963436E-5</v>
      </c>
    </row>
    <row r="5" spans="1:8" x14ac:dyDescent="0.25">
      <c r="A5">
        <v>0.80247733066250015</v>
      </c>
      <c r="B5">
        <v>0.48337687180293243</v>
      </c>
      <c r="C5">
        <f t="shared" si="0"/>
        <v>0.50536589533348786</v>
      </c>
      <c r="D5">
        <f t="shared" si="1"/>
        <v>-2.1989023530555429E-2</v>
      </c>
      <c r="E5">
        <f t="shared" si="2"/>
        <v>4.8351715582732038E-4</v>
      </c>
      <c r="G5" t="s">
        <v>2</v>
      </c>
      <c r="H5">
        <f>SUM(E1:E40)</f>
        <v>1.2627326150265218E-2</v>
      </c>
    </row>
    <row r="6" spans="1:8" x14ac:dyDescent="0.25">
      <c r="A6">
        <v>0.98070821058750002</v>
      </c>
      <c r="B6">
        <v>0.3923467747772707</v>
      </c>
      <c r="C6">
        <f t="shared" si="0"/>
        <v>0.43064607196194088</v>
      </c>
      <c r="D6">
        <f t="shared" si="1"/>
        <v>-3.8299297184670178E-2</v>
      </c>
      <c r="E6">
        <f t="shared" si="2"/>
        <v>1.4668361648396851E-3</v>
      </c>
    </row>
    <row r="7" spans="1:8" x14ac:dyDescent="0.25">
      <c r="A7">
        <v>1.1589390905124999</v>
      </c>
      <c r="B7">
        <v>0.32777891525906877</v>
      </c>
      <c r="C7">
        <f t="shared" si="0"/>
        <v>0.36316290960751363</v>
      </c>
      <c r="D7">
        <f t="shared" si="1"/>
        <v>-3.5383994348444858E-2</v>
      </c>
      <c r="E7">
        <f t="shared" si="2"/>
        <v>1.2520270560507777E-3</v>
      </c>
    </row>
    <row r="8" spans="1:8" x14ac:dyDescent="0.25">
      <c r="A8">
        <v>1.3371699704375</v>
      </c>
      <c r="B8">
        <v>0.27697141924474594</v>
      </c>
      <c r="C8">
        <f t="shared" si="0"/>
        <v>0.30373415381643776</v>
      </c>
      <c r="D8">
        <f t="shared" si="1"/>
        <v>-2.6762734571691815E-2</v>
      </c>
      <c r="E8">
        <f t="shared" si="2"/>
        <v>7.1624396175482832E-4</v>
      </c>
    </row>
    <row r="9" spans="1:8" x14ac:dyDescent="0.25">
      <c r="A9">
        <v>1.5154008503625001</v>
      </c>
      <c r="B9">
        <v>0.24874503257012218</v>
      </c>
      <c r="C9">
        <f t="shared" si="0"/>
        <v>0.25230392761503534</v>
      </c>
      <c r="D9">
        <f t="shared" si="1"/>
        <v>-3.5588950449131629E-3</v>
      </c>
      <c r="E9">
        <f t="shared" si="2"/>
        <v>1.2665733940707464E-5</v>
      </c>
    </row>
    <row r="10" spans="1:8" x14ac:dyDescent="0.25">
      <c r="A10">
        <v>1.6936317302875001</v>
      </c>
      <c r="B10">
        <v>0.19899602605609773</v>
      </c>
      <c r="C10">
        <f t="shared" si="0"/>
        <v>0.20837039792509074</v>
      </c>
      <c r="D10">
        <f t="shared" si="1"/>
        <v>-9.3743718689930089E-3</v>
      </c>
      <c r="E10">
        <f t="shared" si="2"/>
        <v>8.7878847938167477E-5</v>
      </c>
    </row>
    <row r="11" spans="1:8" x14ac:dyDescent="0.25">
      <c r="A11">
        <v>1.8718626102125002</v>
      </c>
      <c r="B11">
        <v>0.17182812888177232</v>
      </c>
      <c r="C11">
        <f t="shared" si="0"/>
        <v>0.17122147606450927</v>
      </c>
      <c r="D11">
        <f t="shared" si="1"/>
        <v>6.0665281726304809E-4</v>
      </c>
      <c r="E11">
        <f t="shared" si="2"/>
        <v>3.6802764069319324E-7</v>
      </c>
    </row>
    <row r="12" spans="1:8" x14ac:dyDescent="0.25">
      <c r="A12">
        <v>2.0500934901375003</v>
      </c>
      <c r="B12">
        <v>0.14571872120774532</v>
      </c>
      <c r="C12">
        <f t="shared" si="0"/>
        <v>0.14006936103677836</v>
      </c>
      <c r="D12">
        <f t="shared" si="1"/>
        <v>5.649360170966955E-3</v>
      </c>
      <c r="E12">
        <f t="shared" si="2"/>
        <v>3.1915270341307779E-5</v>
      </c>
    </row>
    <row r="13" spans="1:8" x14ac:dyDescent="0.25">
      <c r="A13">
        <v>2.2283243700625004</v>
      </c>
      <c r="B13">
        <v>0.11996214336715111</v>
      </c>
      <c r="C13">
        <f t="shared" si="0"/>
        <v>0.11412753736786801</v>
      </c>
      <c r="D13">
        <f t="shared" si="1"/>
        <v>5.8346059992830934E-3</v>
      </c>
      <c r="E13">
        <f t="shared" si="2"/>
        <v>3.4042627166870267E-5</v>
      </c>
    </row>
    <row r="14" spans="1:8" x14ac:dyDescent="0.25">
      <c r="A14">
        <v>2.4065552499875</v>
      </c>
      <c r="B14">
        <v>9.0677267192228933E-2</v>
      </c>
      <c r="C14">
        <f t="shared" si="0"/>
        <v>9.2653495699128632E-2</v>
      </c>
      <c r="D14">
        <f t="shared" si="1"/>
        <v>-1.9762285068996993E-3</v>
      </c>
      <c r="E14">
        <f t="shared" si="2"/>
        <v>3.9054791114830149E-6</v>
      </c>
    </row>
    <row r="15" spans="1:8" x14ac:dyDescent="0.25">
      <c r="A15">
        <v>2.5847861299124997</v>
      </c>
      <c r="B15">
        <v>8.9971607525363331E-2</v>
      </c>
      <c r="C15">
        <f t="shared" si="0"/>
        <v>7.4970549609193082E-2</v>
      </c>
      <c r="D15">
        <f t="shared" si="1"/>
        <v>1.5001057916170249E-2</v>
      </c>
      <c r="E15">
        <f t="shared" si="2"/>
        <v>2.2503173860429409E-4</v>
      </c>
    </row>
    <row r="16" spans="1:8" x14ac:dyDescent="0.25">
      <c r="A16">
        <v>2.7630170098375002</v>
      </c>
      <c r="B16">
        <v>6.8448987685962692E-2</v>
      </c>
      <c r="C16">
        <f t="shared" si="0"/>
        <v>6.0476837652987746E-2</v>
      </c>
      <c r="D16">
        <f t="shared" si="1"/>
        <v>7.9721500329749465E-3</v>
      </c>
      <c r="E16">
        <f t="shared" si="2"/>
        <v>6.3555176148262437E-5</v>
      </c>
    </row>
    <row r="17" spans="1:5" x14ac:dyDescent="0.25">
      <c r="A17">
        <v>2.9412478897625003</v>
      </c>
      <c r="B17">
        <v>5.3277304848352407E-2</v>
      </c>
      <c r="C17">
        <f t="shared" si="0"/>
        <v>4.8646567423637793E-2</v>
      </c>
      <c r="D17">
        <f t="shared" si="1"/>
        <v>4.6307374247146135E-3</v>
      </c>
      <c r="E17">
        <f t="shared" si="2"/>
        <v>2.1443729096652529E-5</v>
      </c>
    </row>
    <row r="18" spans="1:5" x14ac:dyDescent="0.25">
      <c r="A18">
        <v>3.1194787696875004</v>
      </c>
      <c r="B18">
        <v>4.3045239678801285E-2</v>
      </c>
      <c r="C18">
        <f t="shared" si="0"/>
        <v>3.9026722664549846E-2</v>
      </c>
      <c r="D18">
        <f t="shared" si="1"/>
        <v>4.0185170142514395E-3</v>
      </c>
      <c r="E18">
        <f t="shared" si="2"/>
        <v>1.6148478993828303E-5</v>
      </c>
    </row>
    <row r="19" spans="1:5" x14ac:dyDescent="0.25">
      <c r="A19">
        <v>3.2977096496125</v>
      </c>
      <c r="B19">
        <v>4.2692409845368484E-2</v>
      </c>
      <c r="C19">
        <f t="shared" si="0"/>
        <v>3.1231299145743841E-2</v>
      </c>
      <c r="D19">
        <f t="shared" si="1"/>
        <v>1.1461110699624643E-2</v>
      </c>
      <c r="E19">
        <f t="shared" si="2"/>
        <v>1.3135705846905048E-4</v>
      </c>
    </row>
    <row r="20" spans="1:5" x14ac:dyDescent="0.25">
      <c r="A20">
        <v>3.4759405295375005</v>
      </c>
      <c r="B20">
        <v>2.5756577840594212E-2</v>
      </c>
      <c r="C20">
        <f t="shared" si="0"/>
        <v>2.4934388478431171E-2</v>
      </c>
      <c r="D20">
        <f t="shared" si="1"/>
        <v>8.2218936216304009E-4</v>
      </c>
      <c r="E20">
        <f t="shared" si="2"/>
        <v>6.7599534725406671E-7</v>
      </c>
    </row>
    <row r="21" spans="1:5" x14ac:dyDescent="0.25">
      <c r="A21">
        <v>3.6541714094625002</v>
      </c>
      <c r="B21">
        <v>2.5403748007161414E-2</v>
      </c>
      <c r="C21">
        <f t="shared" si="0"/>
        <v>1.9862938722091373E-2</v>
      </c>
      <c r="D21">
        <f t="shared" si="1"/>
        <v>5.5408092850700412E-3</v>
      </c>
      <c r="E21">
        <f t="shared" si="2"/>
        <v>3.0700567533518378E-5</v>
      </c>
    </row>
    <row r="22" spans="1:5" x14ac:dyDescent="0.25">
      <c r="A22">
        <v>3.8324022893875003</v>
      </c>
      <c r="B22">
        <v>1.7994321505072668E-2</v>
      </c>
      <c r="C22">
        <f t="shared" si="0"/>
        <v>1.5789696109605355E-2</v>
      </c>
      <c r="D22">
        <f t="shared" si="1"/>
        <v>2.2046253954673134E-3</v>
      </c>
      <c r="E22">
        <f t="shared" si="2"/>
        <v>4.860373134339408E-6</v>
      </c>
    </row>
    <row r="23" spans="1:5" x14ac:dyDescent="0.25">
      <c r="A23">
        <v>4.0106331693125004</v>
      </c>
      <c r="B23">
        <v>1.4113193337311895E-2</v>
      </c>
      <c r="C23">
        <f t="shared" si="0"/>
        <v>1.2526617422691613E-2</v>
      </c>
      <c r="D23">
        <f t="shared" si="1"/>
        <v>1.5865759146202821E-3</v>
      </c>
      <c r="E23">
        <f t="shared" si="2"/>
        <v>2.5172231328531848E-6</v>
      </c>
    </row>
    <row r="24" spans="1:5" x14ac:dyDescent="0.25">
      <c r="A24">
        <v>4.1888640492375</v>
      </c>
      <c r="B24">
        <v>8.1150861689543406E-3</v>
      </c>
      <c r="C24">
        <f t="shared" si="0"/>
        <v>9.9189014784640643E-3</v>
      </c>
      <c r="D24">
        <f t="shared" si="1"/>
        <v>-1.8038153095097237E-3</v>
      </c>
      <c r="E24">
        <f t="shared" si="2"/>
        <v>3.2537496708216603E-6</v>
      </c>
    </row>
    <row r="25" spans="1:5" x14ac:dyDescent="0.25">
      <c r="A25">
        <v>4.3670949291624996</v>
      </c>
      <c r="B25">
        <v>7.4094265020887449E-3</v>
      </c>
      <c r="C25">
        <f t="shared" si="0"/>
        <v>7.8396970539647542E-3</v>
      </c>
      <c r="D25">
        <f t="shared" si="1"/>
        <v>-4.3027055187600926E-4</v>
      </c>
      <c r="E25">
        <f t="shared" si="2"/>
        <v>1.8513274781168558E-7</v>
      </c>
    </row>
    <row r="26" spans="1:5" x14ac:dyDescent="0.25">
      <c r="A26">
        <v>4.5453258090875002</v>
      </c>
      <c r="B26">
        <v>4.9396176680591639E-3</v>
      </c>
      <c r="C26">
        <f t="shared" si="0"/>
        <v>6.1854873483411692E-3</v>
      </c>
      <c r="D26">
        <f t="shared" si="1"/>
        <v>-1.2458696802820053E-3</v>
      </c>
      <c r="E26">
        <f t="shared" si="2"/>
        <v>1.5521912602459862E-6</v>
      </c>
    </row>
    <row r="27" spans="1:5" x14ac:dyDescent="0.25">
      <c r="A27">
        <v>4.7235566890125007</v>
      </c>
      <c r="B27">
        <v>2.8226386674623793E-3</v>
      </c>
      <c r="C27">
        <f t="shared" si="0"/>
        <v>4.8721168045053687E-3</v>
      </c>
      <c r="D27">
        <f t="shared" si="1"/>
        <v>-2.0494781370429893E-3</v>
      </c>
      <c r="E27">
        <f t="shared" si="2"/>
        <v>4.2003606342172019E-6</v>
      </c>
    </row>
    <row r="28" spans="1:5" x14ac:dyDescent="0.25">
      <c r="A28">
        <v>4.9017875689375003</v>
      </c>
      <c r="B28">
        <v>4.5867878346263664E-3</v>
      </c>
      <c r="C28">
        <f t="shared" si="0"/>
        <v>3.8314072291668294E-3</v>
      </c>
      <c r="D28">
        <f t="shared" si="1"/>
        <v>7.5538060545953705E-4</v>
      </c>
      <c r="E28">
        <f t="shared" si="2"/>
        <v>5.7059985910441672E-7</v>
      </c>
    </row>
    <row r="29" spans="1:5" x14ac:dyDescent="0.25">
      <c r="A29">
        <v>5.0800184488625</v>
      </c>
      <c r="B29">
        <v>2.1169790005967845E-3</v>
      </c>
      <c r="C29">
        <f t="shared" si="0"/>
        <v>3.0083014336719388E-3</v>
      </c>
      <c r="D29">
        <f t="shared" si="1"/>
        <v>-8.9132243307515424E-4</v>
      </c>
      <c r="E29">
        <f t="shared" si="2"/>
        <v>7.9445567970301281E-7</v>
      </c>
    </row>
    <row r="30" spans="1:5" x14ac:dyDescent="0.25">
      <c r="A30">
        <v>5.2582493287874996</v>
      </c>
      <c r="B30">
        <v>2.1169790005967845E-3</v>
      </c>
      <c r="C30">
        <f t="shared" si="0"/>
        <v>2.3584704513362679E-3</v>
      </c>
      <c r="D30">
        <f t="shared" si="1"/>
        <v>-2.4149145073948343E-4</v>
      </c>
      <c r="E30">
        <f t="shared" si="2"/>
        <v>5.8318120780260352E-8</v>
      </c>
    </row>
    <row r="31" spans="1:5" x14ac:dyDescent="0.25">
      <c r="A31">
        <v>5.4364802087125002</v>
      </c>
      <c r="B31">
        <v>7.0565966686559484E-4</v>
      </c>
      <c r="C31">
        <f t="shared" si="0"/>
        <v>1.8463222797613585E-3</v>
      </c>
      <c r="D31">
        <f t="shared" si="1"/>
        <v>-1.1406626128957636E-3</v>
      </c>
      <c r="E31">
        <f t="shared" si="2"/>
        <v>1.3011111964581907E-6</v>
      </c>
    </row>
    <row r="32" spans="1:5" x14ac:dyDescent="0.25">
      <c r="A32">
        <v>5.6147110886375007</v>
      </c>
      <c r="B32">
        <v>1.4113193337311897E-3</v>
      </c>
      <c r="C32">
        <f t="shared" si="0"/>
        <v>1.4433543502083909E-3</v>
      </c>
      <c r="D32">
        <f t="shared" si="1"/>
        <v>-3.203501647720125E-5</v>
      </c>
      <c r="E32">
        <f t="shared" si="2"/>
        <v>1.0262422806945556E-9</v>
      </c>
    </row>
    <row r="33" spans="1:5" x14ac:dyDescent="0.25">
      <c r="A33">
        <v>5.7929419685625003</v>
      </c>
      <c r="B33">
        <v>7.0565966686559484E-4</v>
      </c>
      <c r="C33">
        <f t="shared" si="0"/>
        <v>1.1267973982714689E-3</v>
      </c>
      <c r="D33">
        <f t="shared" si="1"/>
        <v>-4.2113773140587405E-4</v>
      </c>
      <c r="E33">
        <f t="shared" si="2"/>
        <v>1.7735698881368611E-7</v>
      </c>
    </row>
    <row r="34" spans="1:5" x14ac:dyDescent="0.25">
      <c r="A34">
        <v>5.9711728484875</v>
      </c>
      <c r="B34">
        <v>7.0565966686559484E-4</v>
      </c>
      <c r="C34">
        <f t="shared" si="0"/>
        <v>8.7850434929375972E-4</v>
      </c>
      <c r="D34">
        <f t="shared" si="1"/>
        <v>-1.7284468242816488E-4</v>
      </c>
      <c r="E34">
        <f t="shared" si="2"/>
        <v>2.9875284243693171E-8</v>
      </c>
    </row>
    <row r="35" spans="1:5" x14ac:dyDescent="0.25">
      <c r="A35">
        <v>6.1494037284124996</v>
      </c>
      <c r="B35">
        <v>0</v>
      </c>
      <c r="C35">
        <f t="shared" si="0"/>
        <v>6.8404375929129505E-4</v>
      </c>
      <c r="D35">
        <f t="shared" si="1"/>
        <v>-6.8404375929129505E-4</v>
      </c>
      <c r="E35">
        <f t="shared" si="2"/>
        <v>4.6791586462536718E-7</v>
      </c>
    </row>
    <row r="36" spans="1:5" x14ac:dyDescent="0.25">
      <c r="A36">
        <v>6.3276346083375001</v>
      </c>
      <c r="B36">
        <v>3.5282983343279742E-4</v>
      </c>
      <c r="C36">
        <f t="shared" si="0"/>
        <v>5.319629772721126E-4</v>
      </c>
      <c r="D36">
        <f t="shared" si="1"/>
        <v>-1.7913314383931518E-4</v>
      </c>
      <c r="E36">
        <f t="shared" si="2"/>
        <v>3.2088683221756784E-8</v>
      </c>
    </row>
    <row r="37" spans="1:5" x14ac:dyDescent="0.25">
      <c r="A37">
        <v>6.5058654882625007</v>
      </c>
      <c r="B37">
        <v>0</v>
      </c>
      <c r="C37">
        <f t="shared" si="0"/>
        <v>4.1319135615613777E-4</v>
      </c>
      <c r="D37">
        <f t="shared" si="1"/>
        <v>-4.1319135615613777E-4</v>
      </c>
      <c r="E37">
        <f t="shared" si="2"/>
        <v>1.707270968021483E-7</v>
      </c>
    </row>
    <row r="38" spans="1:5" x14ac:dyDescent="0.25">
      <c r="A38">
        <v>6.6840963681875003</v>
      </c>
      <c r="B38">
        <v>0</v>
      </c>
      <c r="C38">
        <f t="shared" si="0"/>
        <v>3.2055846160740495E-4</v>
      </c>
      <c r="D38">
        <f t="shared" si="1"/>
        <v>-3.2055846160740495E-4</v>
      </c>
      <c r="E38">
        <f t="shared" si="2"/>
        <v>1.0275772730810611E-7</v>
      </c>
    </row>
    <row r="39" spans="1:5" x14ac:dyDescent="0.25">
      <c r="A39">
        <v>6.8623272481124999</v>
      </c>
      <c r="B39">
        <v>0</v>
      </c>
      <c r="C39">
        <f t="shared" si="0"/>
        <v>2.4840629176671664E-4</v>
      </c>
      <c r="D39">
        <f t="shared" si="1"/>
        <v>-2.4840629176671664E-4</v>
      </c>
      <c r="E39">
        <f t="shared" si="2"/>
        <v>6.1705685789291154E-8</v>
      </c>
    </row>
    <row r="40" spans="1:5" x14ac:dyDescent="0.25">
      <c r="A40">
        <v>7.0405581280375005</v>
      </c>
      <c r="B40">
        <v>3.5282983343279742E-4</v>
      </c>
      <c r="C40">
        <f t="shared" si="0"/>
        <v>1.9227804208867582E-4</v>
      </c>
      <c r="D40">
        <f t="shared" si="1"/>
        <v>1.6055179134412159E-4</v>
      </c>
      <c r="E40">
        <f t="shared" si="2"/>
        <v>2.5776877703806356E-8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1E97B-600E-410C-B0FD-B0862EE5735A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8.8434143325000006E-2</v>
      </c>
      <c r="B1">
        <v>0.6643499933237772</v>
      </c>
      <c r="C1">
        <f>$H$3*(1+$H$1)*(A1^($H$1))*EXP(-$H$3*(A1^(1+$H$1)))</f>
        <v>0.663586258888055</v>
      </c>
      <c r="D1">
        <f>B1-C1</f>
        <v>7.6373443572219646E-4</v>
      </c>
      <c r="E1">
        <f>D1^2</f>
        <v>5.8329028830790179E-7</v>
      </c>
      <c r="G1" t="s">
        <v>0</v>
      </c>
      <c r="H1">
        <v>0.19056838830068282</v>
      </c>
    </row>
    <row r="2" spans="1:8" x14ac:dyDescent="0.25">
      <c r="A2">
        <v>0.26352042597500003</v>
      </c>
      <c r="B2">
        <v>0.64458836561539012</v>
      </c>
      <c r="C2">
        <f t="shared" ref="C2:C40" si="0">$H$3*(1+$H$1)*(A2^($H$1))*EXP(-$H$3*(A2^(1+$H$1)))</f>
        <v>0.71134877824255638</v>
      </c>
      <c r="D2">
        <f t="shared" ref="D2:D40" si="1">B2-C2</f>
        <v>-6.6760412627166255E-2</v>
      </c>
      <c r="E2">
        <f t="shared" ref="E2:E40" si="2">D2^2</f>
        <v>4.4569526941494993E-3</v>
      </c>
    </row>
    <row r="3" spans="1:8" x14ac:dyDescent="0.25">
      <c r="A3">
        <v>0.43860670862500001</v>
      </c>
      <c r="B3">
        <v>0.74627092273309104</v>
      </c>
      <c r="C3">
        <f t="shared" si="0"/>
        <v>0.66871782405364588</v>
      </c>
      <c r="D3">
        <f t="shared" si="1"/>
        <v>7.7553098679445154E-2</v>
      </c>
      <c r="E3">
        <f t="shared" si="2"/>
        <v>6.0144831147837573E-3</v>
      </c>
      <c r="G3" t="s">
        <v>1</v>
      </c>
      <c r="H3">
        <f>(_xlfn.GAMMA((2+$H$1)/(1+$H$1)))^(1+$H$1)</f>
        <v>0.93203297017205466</v>
      </c>
    </row>
    <row r="4" spans="1:8" x14ac:dyDescent="0.25">
      <c r="A4">
        <v>0.61369299127499999</v>
      </c>
      <c r="B4">
        <v>0.64889999347903815</v>
      </c>
      <c r="C4">
        <f t="shared" si="0"/>
        <v>0.60039641885888229</v>
      </c>
      <c r="D4">
        <f t="shared" si="1"/>
        <v>4.8503574620155865E-2</v>
      </c>
      <c r="E4">
        <f t="shared" si="2"/>
        <v>2.3525967509330282E-3</v>
      </c>
    </row>
    <row r="5" spans="1:8" x14ac:dyDescent="0.25">
      <c r="A5">
        <v>0.78877927392499991</v>
      </c>
      <c r="B5">
        <v>0.53536045973630508</v>
      </c>
      <c r="C5">
        <f t="shared" si="0"/>
        <v>0.52527177844333994</v>
      </c>
      <c r="D5">
        <f t="shared" si="1"/>
        <v>1.008868129296514E-2</v>
      </c>
      <c r="E5">
        <f t="shared" si="2"/>
        <v>1.0178149023102478E-4</v>
      </c>
      <c r="G5" t="s">
        <v>2</v>
      </c>
      <c r="H5">
        <f>SUM(E1:E40)</f>
        <v>1.8185968360169818E-2</v>
      </c>
    </row>
    <row r="6" spans="1:8" x14ac:dyDescent="0.25">
      <c r="A6">
        <v>0.96386555657499995</v>
      </c>
      <c r="B6">
        <v>0.42289883295948394</v>
      </c>
      <c r="C6">
        <f t="shared" si="0"/>
        <v>0.45156060781077917</v>
      </c>
      <c r="D6">
        <f t="shared" si="1"/>
        <v>-2.866177485129523E-2</v>
      </c>
      <c r="E6">
        <f t="shared" si="2"/>
        <v>8.2149733762633967E-4</v>
      </c>
    </row>
    <row r="7" spans="1:8" x14ac:dyDescent="0.25">
      <c r="A7">
        <v>1.138951839225</v>
      </c>
      <c r="B7">
        <v>0.33846278729637541</v>
      </c>
      <c r="C7">
        <f t="shared" si="0"/>
        <v>0.38314115278004401</v>
      </c>
      <c r="D7">
        <f t="shared" si="1"/>
        <v>-4.4678365483668603E-2</v>
      </c>
      <c r="E7">
        <f t="shared" si="2"/>
        <v>1.9961563422922698E-3</v>
      </c>
    </row>
    <row r="8" spans="1:8" x14ac:dyDescent="0.25">
      <c r="A8">
        <v>1.3140381218749999</v>
      </c>
      <c r="B8">
        <v>0.28564534596668623</v>
      </c>
      <c r="C8">
        <f t="shared" si="0"/>
        <v>0.32172217327912822</v>
      </c>
      <c r="D8">
        <f t="shared" si="1"/>
        <v>-3.6076827312441995E-2</v>
      </c>
      <c r="E8">
        <f t="shared" si="2"/>
        <v>1.3015374689317606E-3</v>
      </c>
    </row>
    <row r="9" spans="1:8" x14ac:dyDescent="0.25">
      <c r="A9">
        <v>1.4891244045250001</v>
      </c>
      <c r="B9">
        <v>0.24576278822794137</v>
      </c>
      <c r="C9">
        <f t="shared" si="0"/>
        <v>0.26782972826041745</v>
      </c>
      <c r="D9">
        <f t="shared" si="1"/>
        <v>-2.2066940032476084E-2</v>
      </c>
      <c r="E9">
        <f t="shared" si="2"/>
        <v>4.869498423968956E-4</v>
      </c>
    </row>
    <row r="10" spans="1:8" x14ac:dyDescent="0.25">
      <c r="A10">
        <v>1.664210687175</v>
      </c>
      <c r="B10">
        <v>0.21162906764072731</v>
      </c>
      <c r="C10">
        <f t="shared" si="0"/>
        <v>0.22133055431262127</v>
      </c>
      <c r="D10">
        <f t="shared" si="1"/>
        <v>-9.7014866718939663E-3</v>
      </c>
      <c r="E10">
        <f t="shared" si="2"/>
        <v>9.4118843644936268E-5</v>
      </c>
    </row>
    <row r="11" spans="1:8" x14ac:dyDescent="0.25">
      <c r="A11">
        <v>1.8392969698250001</v>
      </c>
      <c r="B11">
        <v>0.17318371918986514</v>
      </c>
      <c r="C11">
        <f t="shared" si="0"/>
        <v>0.18173398812810132</v>
      </c>
      <c r="D11">
        <f t="shared" si="1"/>
        <v>-8.5502689382361829E-3</v>
      </c>
      <c r="E11">
        <f t="shared" si="2"/>
        <v>7.3107098916166507E-5</v>
      </c>
    </row>
    <row r="12" spans="1:8" x14ac:dyDescent="0.25">
      <c r="A12">
        <v>2.0143832524750001</v>
      </c>
      <c r="B12">
        <v>0.14084651021250441</v>
      </c>
      <c r="C12">
        <f t="shared" si="0"/>
        <v>0.14837356642963861</v>
      </c>
      <c r="D12">
        <f t="shared" si="1"/>
        <v>-7.5270562171342037E-3</v>
      </c>
      <c r="E12">
        <f t="shared" si="2"/>
        <v>5.6656575295898669E-5</v>
      </c>
    </row>
    <row r="13" spans="1:8" x14ac:dyDescent="0.25">
      <c r="A13">
        <v>2.1894695351250002</v>
      </c>
      <c r="B13">
        <v>0.12611511501170677</v>
      </c>
      <c r="C13">
        <f t="shared" si="0"/>
        <v>0.12051765496718891</v>
      </c>
      <c r="D13">
        <f t="shared" si="1"/>
        <v>5.5974600445178602E-3</v>
      </c>
      <c r="E13">
        <f t="shared" si="2"/>
        <v>3.1331558949973886E-5</v>
      </c>
    </row>
    <row r="14" spans="1:8" x14ac:dyDescent="0.25">
      <c r="A14">
        <v>2.3645558177749999</v>
      </c>
      <c r="B14">
        <v>9.88081385419355E-2</v>
      </c>
      <c r="C14">
        <f t="shared" si="0"/>
        <v>9.743606702039688E-2</v>
      </c>
      <c r="D14">
        <f t="shared" si="1"/>
        <v>1.3720715215386203E-3</v>
      </c>
      <c r="E14">
        <f t="shared" si="2"/>
        <v>1.8825802602173048E-6</v>
      </c>
    </row>
    <row r="15" spans="1:8" x14ac:dyDescent="0.25">
      <c r="A15">
        <v>2.5396421004250005</v>
      </c>
      <c r="B15">
        <v>8.874767352675661E-2</v>
      </c>
      <c r="C15">
        <f t="shared" si="0"/>
        <v>7.8438637233871886E-2</v>
      </c>
      <c r="D15">
        <f t="shared" si="1"/>
        <v>1.0309036292884724E-2</v>
      </c>
      <c r="E15">
        <f t="shared" si="2"/>
        <v>1.0627622928801441E-4</v>
      </c>
    </row>
    <row r="16" spans="1:8" x14ac:dyDescent="0.25">
      <c r="A16">
        <v>2.7147283830750002</v>
      </c>
      <c r="B16">
        <v>7.1501162072164226E-2</v>
      </c>
      <c r="C16">
        <f t="shared" si="0"/>
        <v>6.2895744020316197E-2</v>
      </c>
      <c r="D16">
        <f t="shared" si="1"/>
        <v>8.6054180518480294E-3</v>
      </c>
      <c r="E16">
        <f t="shared" si="2"/>
        <v>7.4053219847071934E-5</v>
      </c>
    </row>
    <row r="17" spans="1:5" x14ac:dyDescent="0.25">
      <c r="A17">
        <v>2.8898146657249999</v>
      </c>
      <c r="B17">
        <v>5.8925580803190623E-2</v>
      </c>
      <c r="C17">
        <f t="shared" si="0"/>
        <v>5.0247263262991414E-2</v>
      </c>
      <c r="D17">
        <f t="shared" si="1"/>
        <v>8.6783175401992096E-3</v>
      </c>
      <c r="E17">
        <f t="shared" si="2"/>
        <v>7.5313195328529259E-5</v>
      </c>
    </row>
    <row r="18" spans="1:5" x14ac:dyDescent="0.25">
      <c r="A18">
        <v>3.0649009483749996</v>
      </c>
      <c r="B18">
        <v>4.4194185602392966E-2</v>
      </c>
      <c r="C18">
        <f t="shared" si="0"/>
        <v>4.0004246869812035E-2</v>
      </c>
      <c r="D18">
        <f t="shared" si="1"/>
        <v>4.1899387325809306E-3</v>
      </c>
      <c r="E18">
        <f t="shared" si="2"/>
        <v>1.7555586582781897E-5</v>
      </c>
    </row>
    <row r="19" spans="1:5" x14ac:dyDescent="0.25">
      <c r="A19">
        <v>3.2399872310249997</v>
      </c>
      <c r="B19">
        <v>3.5930232197067452E-2</v>
      </c>
      <c r="C19">
        <f t="shared" si="0"/>
        <v>3.17461954909962E-2</v>
      </c>
      <c r="D19">
        <f t="shared" si="1"/>
        <v>4.1840367060712522E-3</v>
      </c>
      <c r="E19">
        <f t="shared" si="2"/>
        <v>1.7506163157751573E-5</v>
      </c>
    </row>
    <row r="20" spans="1:5" x14ac:dyDescent="0.25">
      <c r="A20">
        <v>3.4150735136749999</v>
      </c>
      <c r="B20">
        <v>3.1977906655390034E-2</v>
      </c>
      <c r="C20">
        <f t="shared" si="0"/>
        <v>2.5115841376229488E-2</v>
      </c>
      <c r="D20">
        <f t="shared" si="1"/>
        <v>6.8620652791605459E-3</v>
      </c>
      <c r="E20">
        <f t="shared" si="2"/>
        <v>4.7087939895460701E-5</v>
      </c>
    </row>
    <row r="21" spans="1:5" x14ac:dyDescent="0.25">
      <c r="A21">
        <v>3.5901597963250005</v>
      </c>
      <c r="B21">
        <v>2.4791860215976541E-2</v>
      </c>
      <c r="C21">
        <f t="shared" si="0"/>
        <v>1.9812708056472891E-2</v>
      </c>
      <c r="D21">
        <f t="shared" si="1"/>
        <v>4.9791521595036504E-3</v>
      </c>
      <c r="E21">
        <f t="shared" si="2"/>
        <v>2.4791956227489867E-5</v>
      </c>
    </row>
    <row r="22" spans="1:5" x14ac:dyDescent="0.25">
      <c r="A22">
        <v>3.7652460789750002</v>
      </c>
      <c r="B22">
        <v>1.904302306444575E-2</v>
      </c>
      <c r="C22">
        <f t="shared" si="0"/>
        <v>1.5586267568577677E-2</v>
      </c>
      <c r="D22">
        <f t="shared" si="1"/>
        <v>3.4567554958680729E-3</v>
      </c>
      <c r="E22">
        <f t="shared" si="2"/>
        <v>1.1949158558214127E-5</v>
      </c>
    </row>
    <row r="23" spans="1:5" x14ac:dyDescent="0.25">
      <c r="A23">
        <v>3.9403323616249999</v>
      </c>
      <c r="B23">
        <v>1.5449999844739005E-2</v>
      </c>
      <c r="C23">
        <f t="shared" si="0"/>
        <v>1.2229209287427142E-2</v>
      </c>
      <c r="D23">
        <f t="shared" si="1"/>
        <v>3.2207905573118627E-3</v>
      </c>
      <c r="E23">
        <f t="shared" si="2"/>
        <v>1.0373491814069259E-5</v>
      </c>
    </row>
    <row r="24" spans="1:5" x14ac:dyDescent="0.25">
      <c r="A24">
        <v>4.1154186442749996</v>
      </c>
      <c r="B24">
        <v>1.0419767337149562E-2</v>
      </c>
      <c r="C24">
        <f t="shared" si="0"/>
        <v>9.5711247124152035E-3</v>
      </c>
      <c r="D24">
        <f t="shared" si="1"/>
        <v>8.4864262473435814E-4</v>
      </c>
      <c r="E24">
        <f t="shared" si="2"/>
        <v>7.2019430451602061E-7</v>
      </c>
    </row>
    <row r="25" spans="1:5" x14ac:dyDescent="0.25">
      <c r="A25">
        <v>4.2905049269250002</v>
      </c>
      <c r="B25">
        <v>4.6709301856187688E-3</v>
      </c>
      <c r="C25">
        <f t="shared" si="0"/>
        <v>7.4727708387436857E-3</v>
      </c>
      <c r="D25">
        <f t="shared" si="1"/>
        <v>-2.8018406531249169E-3</v>
      </c>
      <c r="E25">
        <f t="shared" si="2"/>
        <v>7.8503110455034605E-6</v>
      </c>
    </row>
    <row r="26" spans="1:5" x14ac:dyDescent="0.25">
      <c r="A26">
        <v>4.4655912095750008</v>
      </c>
      <c r="B26">
        <v>6.8267441174428159E-3</v>
      </c>
      <c r="C26">
        <f t="shared" si="0"/>
        <v>5.8209808384302886E-3</v>
      </c>
      <c r="D26">
        <f t="shared" si="1"/>
        <v>1.0057632790125273E-3</v>
      </c>
      <c r="E26">
        <f t="shared" si="2"/>
        <v>1.0115597734100307E-6</v>
      </c>
    </row>
    <row r="27" spans="1:5" x14ac:dyDescent="0.25">
      <c r="A27">
        <v>4.6406774922250005</v>
      </c>
      <c r="B27">
        <v>4.3116278636480942E-3</v>
      </c>
      <c r="C27">
        <f t="shared" si="0"/>
        <v>4.5242303891719028E-3</v>
      </c>
      <c r="D27">
        <f t="shared" si="1"/>
        <v>-2.126025255238086E-4</v>
      </c>
      <c r="E27">
        <f t="shared" si="2"/>
        <v>4.5199833859101689E-8</v>
      </c>
    </row>
    <row r="28" spans="1:5" x14ac:dyDescent="0.25">
      <c r="A28">
        <v>4.8157637748750002</v>
      </c>
      <c r="B28">
        <v>3.2337208977360706E-3</v>
      </c>
      <c r="C28">
        <f t="shared" si="0"/>
        <v>3.5088309232794027E-3</v>
      </c>
      <c r="D28">
        <f t="shared" si="1"/>
        <v>-2.7511002554333206E-4</v>
      </c>
      <c r="E28">
        <f t="shared" si="2"/>
        <v>7.5685526154452813E-8</v>
      </c>
    </row>
    <row r="29" spans="1:5" x14ac:dyDescent="0.25">
      <c r="A29">
        <v>4.9908500575249999</v>
      </c>
      <c r="B29">
        <v>2.1558139318240471E-3</v>
      </c>
      <c r="C29">
        <f t="shared" si="0"/>
        <v>2.7157000253926191E-3</v>
      </c>
      <c r="D29">
        <f t="shared" si="1"/>
        <v>-5.5988609356857205E-4</v>
      </c>
      <c r="E29">
        <f t="shared" si="2"/>
        <v>3.1347243777147582E-7</v>
      </c>
    </row>
    <row r="30" spans="1:5" x14ac:dyDescent="0.25">
      <c r="A30">
        <v>5.1659363401749996</v>
      </c>
      <c r="B30">
        <v>1.4372092878826982E-3</v>
      </c>
      <c r="C30">
        <f t="shared" si="0"/>
        <v>2.0976489701275999E-3</v>
      </c>
      <c r="D30">
        <f t="shared" si="1"/>
        <v>-6.6043968224490171E-4</v>
      </c>
      <c r="E30">
        <f t="shared" si="2"/>
        <v>4.3618057388374674E-7</v>
      </c>
    </row>
    <row r="31" spans="1:5" x14ac:dyDescent="0.25">
      <c r="A31">
        <v>5.3410226228250002</v>
      </c>
      <c r="B31">
        <v>1.4372092878826982E-3</v>
      </c>
      <c r="C31">
        <f t="shared" si="0"/>
        <v>1.6171242496046644E-3</v>
      </c>
      <c r="D31">
        <f t="shared" si="1"/>
        <v>-1.7991496172196616E-4</v>
      </c>
      <c r="E31">
        <f t="shared" si="2"/>
        <v>3.2369393451416548E-8</v>
      </c>
    </row>
    <row r="32" spans="1:5" x14ac:dyDescent="0.25">
      <c r="A32">
        <v>5.5161089054749999</v>
      </c>
      <c r="B32">
        <v>7.186046439413491E-4</v>
      </c>
      <c r="C32">
        <f t="shared" si="0"/>
        <v>1.2443412808161539E-3</v>
      </c>
      <c r="D32">
        <f t="shared" si="1"/>
        <v>-5.257366368748048E-4</v>
      </c>
      <c r="E32">
        <f t="shared" si="2"/>
        <v>2.7639901135243037E-7</v>
      </c>
    </row>
    <row r="33" spans="1:5" x14ac:dyDescent="0.25">
      <c r="A33">
        <v>5.6911951881249996</v>
      </c>
      <c r="B33">
        <v>1.0779069659120235E-3</v>
      </c>
      <c r="C33">
        <f t="shared" si="0"/>
        <v>9.5575248358085335E-4</v>
      </c>
      <c r="D33">
        <f t="shared" si="1"/>
        <v>1.221544823311702E-4</v>
      </c>
      <c r="E33">
        <f t="shared" si="2"/>
        <v>1.4921717553596172E-8</v>
      </c>
    </row>
    <row r="34" spans="1:5" x14ac:dyDescent="0.25">
      <c r="A34">
        <v>5.8662814707749993</v>
      </c>
      <c r="B34">
        <v>7.186046439413491E-4</v>
      </c>
      <c r="C34">
        <f t="shared" si="0"/>
        <v>7.3279733600978454E-4</v>
      </c>
      <c r="D34">
        <f t="shared" si="1"/>
        <v>-1.4192692068435439E-5</v>
      </c>
      <c r="E34">
        <f t="shared" si="2"/>
        <v>2.0143250814943023E-10</v>
      </c>
    </row>
    <row r="35" spans="1:5" x14ac:dyDescent="0.25">
      <c r="A35">
        <v>6.0413677534249999</v>
      </c>
      <c r="B35">
        <v>0</v>
      </c>
      <c r="C35">
        <f t="shared" si="0"/>
        <v>5.6088801405535416E-4</v>
      </c>
      <c r="D35">
        <f t="shared" si="1"/>
        <v>-5.6088801405535416E-4</v>
      </c>
      <c r="E35">
        <f t="shared" si="2"/>
        <v>3.1459536431095918E-7</v>
      </c>
    </row>
    <row r="36" spans="1:5" x14ac:dyDescent="0.25">
      <c r="A36">
        <v>6.2164540360750005</v>
      </c>
      <c r="B36">
        <v>7.186046439413491E-4</v>
      </c>
      <c r="C36">
        <f t="shared" si="0"/>
        <v>4.2859026745961681E-4</v>
      </c>
      <c r="D36">
        <f t="shared" si="1"/>
        <v>2.900143764817323E-4</v>
      </c>
      <c r="E36">
        <f t="shared" si="2"/>
        <v>8.4108338566087957E-8</v>
      </c>
    </row>
    <row r="37" spans="1:5" x14ac:dyDescent="0.25">
      <c r="A37">
        <v>6.3915403187250011</v>
      </c>
      <c r="B37">
        <v>0</v>
      </c>
      <c r="C37">
        <f t="shared" si="0"/>
        <v>3.2696494612505824E-4</v>
      </c>
      <c r="D37">
        <f t="shared" si="1"/>
        <v>-3.2696494612505824E-4</v>
      </c>
      <c r="E37">
        <f t="shared" si="2"/>
        <v>1.0690607599456224E-7</v>
      </c>
    </row>
    <row r="38" spans="1:5" x14ac:dyDescent="0.25">
      <c r="A38">
        <v>6.5666266013750008</v>
      </c>
      <c r="B38">
        <v>0</v>
      </c>
      <c r="C38">
        <f t="shared" si="0"/>
        <v>2.4904088192216725E-4</v>
      </c>
      <c r="D38">
        <f t="shared" si="1"/>
        <v>-2.4904088192216725E-4</v>
      </c>
      <c r="E38">
        <f t="shared" si="2"/>
        <v>6.2021360868570857E-8</v>
      </c>
    </row>
    <row r="39" spans="1:5" x14ac:dyDescent="0.25">
      <c r="A39">
        <v>6.7417128840250005</v>
      </c>
      <c r="B39">
        <v>0</v>
      </c>
      <c r="C39">
        <f t="shared" si="0"/>
        <v>1.8939456172126768E-4</v>
      </c>
      <c r="D39">
        <f t="shared" si="1"/>
        <v>-1.8939456172126768E-4</v>
      </c>
      <c r="E39">
        <f t="shared" si="2"/>
        <v>3.5870300009591072E-8</v>
      </c>
    </row>
    <row r="40" spans="1:5" x14ac:dyDescent="0.25">
      <c r="A40">
        <v>6.9167991666750002</v>
      </c>
      <c r="B40">
        <v>3.5930232197067455E-4</v>
      </c>
      <c r="C40">
        <f t="shared" si="0"/>
        <v>1.4381617242521387E-4</v>
      </c>
      <c r="D40">
        <f t="shared" si="1"/>
        <v>2.1548614954546068E-4</v>
      </c>
      <c r="E40">
        <f t="shared" si="2"/>
        <v>4.6434280645928645E-8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5EB0A-849F-4144-9C42-752FE2F449F6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8.5490027387500001E-2</v>
      </c>
      <c r="B1">
        <v>0.63265173930927732</v>
      </c>
      <c r="C1">
        <f>$H$3*(1+$H$1)*(A1^($H$1))*EXP(-$H$3*(A1^(1+$H$1)))</f>
        <v>0.61724616771261032</v>
      </c>
      <c r="D1">
        <f>B1-C1</f>
        <v>1.5405571596667E-2</v>
      </c>
      <c r="E1">
        <f>D1^2</f>
        <v>2.3733163622003303E-4</v>
      </c>
      <c r="G1" t="s">
        <v>0</v>
      </c>
      <c r="H1">
        <v>0.22800634884066506</v>
      </c>
    </row>
    <row r="2" spans="1:8" x14ac:dyDescent="0.25">
      <c r="A2">
        <v>0.25603786216250002</v>
      </c>
      <c r="B2">
        <v>0.66251467105989004</v>
      </c>
      <c r="C2">
        <f t="shared" ref="C2:C40" si="0">$H$3*(1+$H$1)*(A2^($H$1))*EXP(-$H$3*(A2^(1+$H$1)))</f>
        <v>0.69746849340428385</v>
      </c>
      <c r="D2">
        <f t="shared" ref="D2:D40" si="1">B2-C2</f>
        <v>-3.4953822344393815E-2</v>
      </c>
      <c r="E2">
        <f t="shared" ref="E2:E40" si="2">D2^2</f>
        <v>1.2217696964834442E-3</v>
      </c>
    </row>
    <row r="3" spans="1:8" x14ac:dyDescent="0.25">
      <c r="A3">
        <v>0.42658569693749998</v>
      </c>
      <c r="B3">
        <v>0.61495518716076603</v>
      </c>
      <c r="C3">
        <f t="shared" si="0"/>
        <v>0.67394998687058816</v>
      </c>
      <c r="D3">
        <f t="shared" si="1"/>
        <v>-5.8994799709822132E-2</v>
      </c>
      <c r="E3">
        <f t="shared" si="2"/>
        <v>3.4803863928020294E-3</v>
      </c>
      <c r="G3" t="s">
        <v>1</v>
      </c>
      <c r="H3">
        <f>(_xlfn.GAMMA((2+$H$1)/(1+$H$1)))^(1+$H$1)</f>
        <v>0.92110203332844598</v>
      </c>
    </row>
    <row r="4" spans="1:8" x14ac:dyDescent="0.25">
      <c r="A4">
        <v>0.59713353171249994</v>
      </c>
      <c r="B4">
        <v>0.69200892464074215</v>
      </c>
      <c r="C4">
        <f t="shared" si="0"/>
        <v>0.61670115470611686</v>
      </c>
      <c r="D4">
        <f t="shared" si="1"/>
        <v>7.530776993462529E-2</v>
      </c>
      <c r="E4">
        <f t="shared" si="2"/>
        <v>5.671260212526453E-3</v>
      </c>
    </row>
    <row r="5" spans="1:8" x14ac:dyDescent="0.25">
      <c r="A5">
        <v>0.76768136648749996</v>
      </c>
      <c r="B5">
        <v>0.59836466952153677</v>
      </c>
      <c r="C5">
        <f t="shared" si="0"/>
        <v>0.54726617050717674</v>
      </c>
      <c r="D5">
        <f t="shared" si="1"/>
        <v>5.1098499014360033E-2</v>
      </c>
      <c r="E5">
        <f t="shared" si="2"/>
        <v>2.611056601520553E-3</v>
      </c>
      <c r="G5" t="s">
        <v>2</v>
      </c>
      <c r="H5">
        <f>SUM(E1:E40)</f>
        <v>1.7299693833622617E-2</v>
      </c>
    </row>
    <row r="6" spans="1:8" x14ac:dyDescent="0.25">
      <c r="A6">
        <v>0.93822920126249998</v>
      </c>
      <c r="B6">
        <v>0.48518047140501686</v>
      </c>
      <c r="C6">
        <f t="shared" si="0"/>
        <v>0.47565505980733108</v>
      </c>
      <c r="D6">
        <f t="shared" si="1"/>
        <v>9.5254115976857734E-3</v>
      </c>
      <c r="E6">
        <f t="shared" si="2"/>
        <v>9.0733466105326644E-5</v>
      </c>
    </row>
    <row r="7" spans="1:8" x14ac:dyDescent="0.25">
      <c r="A7">
        <v>1.1087770360375</v>
      </c>
      <c r="B7">
        <v>0.37568305498610349</v>
      </c>
      <c r="C7">
        <f t="shared" si="0"/>
        <v>0.40702693057066752</v>
      </c>
      <c r="D7">
        <f t="shared" si="1"/>
        <v>-3.1343875584564029E-2</v>
      </c>
      <c r="E7">
        <f t="shared" si="2"/>
        <v>9.824385366606291E-4</v>
      </c>
    </row>
    <row r="8" spans="1:8" x14ac:dyDescent="0.25">
      <c r="A8">
        <v>1.2793248708125002</v>
      </c>
      <c r="B8">
        <v>0.30858362808966494</v>
      </c>
      <c r="C8">
        <f t="shared" si="0"/>
        <v>0.34400660976766284</v>
      </c>
      <c r="D8">
        <f t="shared" si="1"/>
        <v>-3.54229816779979E-2</v>
      </c>
      <c r="E8">
        <f t="shared" si="2"/>
        <v>1.2547876309597749E-3</v>
      </c>
    </row>
    <row r="9" spans="1:8" x14ac:dyDescent="0.25">
      <c r="A9">
        <v>1.4498727055875</v>
      </c>
      <c r="B9">
        <v>0.26176150053006225</v>
      </c>
      <c r="C9">
        <f t="shared" si="0"/>
        <v>0.28776346490334276</v>
      </c>
      <c r="D9">
        <f t="shared" si="1"/>
        <v>-2.6001964373280506E-2</v>
      </c>
      <c r="E9">
        <f t="shared" si="2"/>
        <v>6.7610215126934876E-4</v>
      </c>
    </row>
    <row r="10" spans="1:8" x14ac:dyDescent="0.25">
      <c r="A10">
        <v>1.6204205403624998</v>
      </c>
      <c r="B10">
        <v>0.21936351100758741</v>
      </c>
      <c r="C10">
        <f t="shared" si="0"/>
        <v>0.23860268970356063</v>
      </c>
      <c r="D10">
        <f t="shared" si="1"/>
        <v>-1.9239178695973219E-2</v>
      </c>
      <c r="E10">
        <f t="shared" si="2"/>
        <v>3.7014599689558979E-4</v>
      </c>
    </row>
    <row r="11" spans="1:8" x14ac:dyDescent="0.25">
      <c r="A11">
        <v>1.7909683751375001</v>
      </c>
      <c r="B11">
        <v>0.17807155599439448</v>
      </c>
      <c r="C11">
        <f t="shared" si="0"/>
        <v>0.19632009011456461</v>
      </c>
      <c r="D11">
        <f t="shared" si="1"/>
        <v>-1.8248534120170135E-2</v>
      </c>
      <c r="E11">
        <f t="shared" si="2"/>
        <v>3.3300899753501361E-4</v>
      </c>
    </row>
    <row r="12" spans="1:8" x14ac:dyDescent="0.25">
      <c r="A12">
        <v>1.9615162099125001</v>
      </c>
      <c r="B12">
        <v>0.1515267277716276</v>
      </c>
      <c r="C12">
        <f t="shared" si="0"/>
        <v>0.16042513781480144</v>
      </c>
      <c r="D12">
        <f t="shared" si="1"/>
        <v>-8.8984100431738489E-3</v>
      </c>
      <c r="E12">
        <f t="shared" si="2"/>
        <v>7.9181701296457212E-5</v>
      </c>
    </row>
    <row r="13" spans="1:8" x14ac:dyDescent="0.25">
      <c r="A13">
        <v>2.1320640446874997</v>
      </c>
      <c r="B13">
        <v>0.12756264673718529</v>
      </c>
      <c r="C13">
        <f t="shared" si="0"/>
        <v>0.13028377660760682</v>
      </c>
      <c r="D13">
        <f t="shared" si="1"/>
        <v>-2.7211298704215292E-3</v>
      </c>
      <c r="E13">
        <f t="shared" si="2"/>
        <v>7.4045477717002885E-6</v>
      </c>
    </row>
    <row r="14" spans="1:8" x14ac:dyDescent="0.25">
      <c r="A14">
        <v>2.3026118794624999</v>
      </c>
      <c r="B14">
        <v>0.10986609458867402</v>
      </c>
      <c r="C14">
        <f t="shared" si="0"/>
        <v>0.10520959460639513</v>
      </c>
      <c r="D14">
        <f t="shared" si="1"/>
        <v>4.6564999822788916E-3</v>
      </c>
      <c r="E14">
        <f t="shared" si="2"/>
        <v>2.1682992084963317E-5</v>
      </c>
    </row>
    <row r="15" spans="1:8" x14ac:dyDescent="0.25">
      <c r="A15">
        <v>2.4731597142375001</v>
      </c>
      <c r="B15">
        <v>8.9220117082077569E-2</v>
      </c>
      <c r="C15">
        <f t="shared" si="0"/>
        <v>8.4520754012043009E-2</v>
      </c>
      <c r="D15">
        <f t="shared" si="1"/>
        <v>4.6993630700345596E-3</v>
      </c>
      <c r="E15">
        <f t="shared" si="2"/>
        <v>2.2084013264004641E-5</v>
      </c>
    </row>
    <row r="16" spans="1:8" x14ac:dyDescent="0.25">
      <c r="A16">
        <v>2.6437075490125004</v>
      </c>
      <c r="B16">
        <v>7.4841668461412172E-2</v>
      </c>
      <c r="C16">
        <f t="shared" si="0"/>
        <v>6.7573921705893075E-2</v>
      </c>
      <c r="D16">
        <f t="shared" si="1"/>
        <v>7.2677467555190972E-3</v>
      </c>
      <c r="E16">
        <f t="shared" si="2"/>
        <v>5.2820142902358362E-5</v>
      </c>
    </row>
    <row r="17" spans="1:5" x14ac:dyDescent="0.25">
      <c r="A17">
        <v>2.8142553837874997</v>
      </c>
      <c r="B17">
        <v>5.9357185331464828E-2</v>
      </c>
      <c r="C17">
        <f t="shared" si="0"/>
        <v>5.3782761282107232E-2</v>
      </c>
      <c r="D17">
        <f t="shared" si="1"/>
        <v>5.5744240493575958E-3</v>
      </c>
      <c r="E17">
        <f t="shared" si="2"/>
        <v>3.1074203482056333E-5</v>
      </c>
    </row>
    <row r="18" spans="1:5" x14ac:dyDescent="0.25">
      <c r="A18">
        <v>2.9848032185625</v>
      </c>
      <c r="B18">
        <v>4.5716093050320733E-2</v>
      </c>
      <c r="C18">
        <f t="shared" si="0"/>
        <v>4.2626187017785956E-2</v>
      </c>
      <c r="D18">
        <f t="shared" si="1"/>
        <v>3.0899060325347769E-3</v>
      </c>
      <c r="E18">
        <f t="shared" si="2"/>
        <v>9.5475192898948052E-6</v>
      </c>
    </row>
    <row r="19" spans="1:5" x14ac:dyDescent="0.25">
      <c r="A19">
        <v>3.1553510533375002</v>
      </c>
      <c r="B19">
        <v>3.9079885994629013E-2</v>
      </c>
      <c r="C19">
        <f t="shared" si="0"/>
        <v>3.3649993195705663E-2</v>
      </c>
      <c r="D19">
        <f t="shared" si="1"/>
        <v>5.4298927989233498E-3</v>
      </c>
      <c r="E19">
        <f t="shared" si="2"/>
        <v>2.9483735807799648E-5</v>
      </c>
    </row>
    <row r="20" spans="1:5" x14ac:dyDescent="0.25">
      <c r="A20">
        <v>3.3258988881125</v>
      </c>
      <c r="B20">
        <v>3.2812357108697947E-2</v>
      </c>
      <c r="C20">
        <f t="shared" si="0"/>
        <v>2.646437073917186E-2</v>
      </c>
      <c r="D20">
        <f t="shared" si="1"/>
        <v>6.3479863695260867E-3</v>
      </c>
      <c r="E20">
        <f t="shared" si="2"/>
        <v>4.0296930947688989E-5</v>
      </c>
    </row>
    <row r="21" spans="1:5" x14ac:dyDescent="0.25">
      <c r="A21">
        <v>3.4964467228874998</v>
      </c>
      <c r="B21">
        <v>2.6176150053006227E-2</v>
      </c>
      <c r="C21">
        <f t="shared" si="0"/>
        <v>2.0739044400662515E-2</v>
      </c>
      <c r="D21">
        <f t="shared" si="1"/>
        <v>5.4371056523437114E-3</v>
      </c>
      <c r="E21">
        <f t="shared" si="2"/>
        <v>2.9562117874747936E-5</v>
      </c>
    </row>
    <row r="22" spans="1:5" x14ac:dyDescent="0.25">
      <c r="A22">
        <v>3.6669945576625</v>
      </c>
      <c r="B22">
        <v>2.1752012015878414E-2</v>
      </c>
      <c r="C22">
        <f t="shared" si="0"/>
        <v>1.619720843644918E-2</v>
      </c>
      <c r="D22">
        <f t="shared" si="1"/>
        <v>5.5548035794292343E-3</v>
      </c>
      <c r="E22">
        <f t="shared" si="2"/>
        <v>3.0855842806039831E-5</v>
      </c>
    </row>
    <row r="23" spans="1:5" x14ac:dyDescent="0.25">
      <c r="A23">
        <v>3.8375423924375003</v>
      </c>
      <c r="B23">
        <v>1.5115804960186694E-2</v>
      </c>
      <c r="C23">
        <f t="shared" si="0"/>
        <v>1.2609042294558085E-2</v>
      </c>
      <c r="D23">
        <f t="shared" si="1"/>
        <v>2.5067626656286087E-3</v>
      </c>
      <c r="E23">
        <f t="shared" si="2"/>
        <v>6.283859061789448E-6</v>
      </c>
    </row>
    <row r="24" spans="1:5" x14ac:dyDescent="0.25">
      <c r="A24">
        <v>4.0080902272124996</v>
      </c>
      <c r="B24">
        <v>1.2166379602101486E-2</v>
      </c>
      <c r="C24">
        <f t="shared" si="0"/>
        <v>9.7853063028310767E-3</v>
      </c>
      <c r="D24">
        <f t="shared" si="1"/>
        <v>2.3810732992704097E-3</v>
      </c>
      <c r="E24">
        <f t="shared" si="2"/>
        <v>5.6695100564984744E-6</v>
      </c>
    </row>
    <row r="25" spans="1:5" x14ac:dyDescent="0.25">
      <c r="A25">
        <v>4.1786380619874999</v>
      </c>
      <c r="B25">
        <v>5.8988507161704179E-3</v>
      </c>
      <c r="C25">
        <f t="shared" si="0"/>
        <v>7.5713194731094197E-3</v>
      </c>
      <c r="D25">
        <f t="shared" si="1"/>
        <v>-1.6724687569390018E-3</v>
      </c>
      <c r="E25">
        <f t="shared" si="2"/>
        <v>2.7971517429370901E-6</v>
      </c>
    </row>
    <row r="26" spans="1:5" x14ac:dyDescent="0.25">
      <c r="A26">
        <v>4.3491858967625001</v>
      </c>
      <c r="B26">
        <v>6.2675288859310686E-3</v>
      </c>
      <c r="C26">
        <f t="shared" si="0"/>
        <v>5.8414846900401119E-3</v>
      </c>
      <c r="D26">
        <f t="shared" si="1"/>
        <v>4.2604419589095666E-4</v>
      </c>
      <c r="E26">
        <f t="shared" si="2"/>
        <v>1.8151365685237184E-7</v>
      </c>
    </row>
    <row r="27" spans="1:5" x14ac:dyDescent="0.25">
      <c r="A27">
        <v>4.5197337315375004</v>
      </c>
      <c r="B27">
        <v>3.6867816976065108E-3</v>
      </c>
      <c r="C27">
        <f t="shared" si="0"/>
        <v>4.4944340437799365E-3</v>
      </c>
      <c r="D27">
        <f t="shared" si="1"/>
        <v>-8.0765234617342571E-4</v>
      </c>
      <c r="E27">
        <f t="shared" si="2"/>
        <v>6.5230231227943903E-7</v>
      </c>
    </row>
    <row r="28" spans="1:5" x14ac:dyDescent="0.25">
      <c r="A28">
        <v>4.6902815663124997</v>
      </c>
      <c r="B28">
        <v>3.6867816976065108E-3</v>
      </c>
      <c r="C28">
        <f t="shared" si="0"/>
        <v>3.4488065153506328E-3</v>
      </c>
      <c r="D28">
        <f t="shared" si="1"/>
        <v>2.37975182255878E-4</v>
      </c>
      <c r="E28">
        <f t="shared" si="2"/>
        <v>5.6632187369718351E-8</v>
      </c>
    </row>
    <row r="29" spans="1:5" x14ac:dyDescent="0.25">
      <c r="A29">
        <v>4.8608294010874999</v>
      </c>
      <c r="B29">
        <v>2.5807471883245578E-3</v>
      </c>
      <c r="C29">
        <f t="shared" si="0"/>
        <v>2.6396324346610912E-3</v>
      </c>
      <c r="D29">
        <f t="shared" si="1"/>
        <v>-5.8885246336533477E-5</v>
      </c>
      <c r="E29">
        <f t="shared" si="2"/>
        <v>3.4674722361142292E-9</v>
      </c>
    </row>
    <row r="30" spans="1:5" x14ac:dyDescent="0.25">
      <c r="A30">
        <v>5.0313772358625002</v>
      </c>
      <c r="B30">
        <v>1.4747126790426045E-3</v>
      </c>
      <c r="C30">
        <f t="shared" si="0"/>
        <v>2.0152772930730335E-3</v>
      </c>
      <c r="D30">
        <f t="shared" si="1"/>
        <v>-5.4056461403042904E-4</v>
      </c>
      <c r="E30">
        <f t="shared" si="2"/>
        <v>2.9221010194186669E-7</v>
      </c>
    </row>
    <row r="31" spans="1:5" x14ac:dyDescent="0.25">
      <c r="A31">
        <v>5.2019250706375004</v>
      </c>
      <c r="B31">
        <v>1.4747126790426045E-3</v>
      </c>
      <c r="C31">
        <f t="shared" si="0"/>
        <v>1.5348865938233686E-3</v>
      </c>
      <c r="D31">
        <f t="shared" si="1"/>
        <v>-6.0173914780764113E-5</v>
      </c>
      <c r="E31">
        <f t="shared" si="2"/>
        <v>3.6209000200426617E-9</v>
      </c>
    </row>
    <row r="32" spans="1:5" x14ac:dyDescent="0.25">
      <c r="A32">
        <v>5.3724729054125007</v>
      </c>
      <c r="B32">
        <v>7.3735633952130223E-4</v>
      </c>
      <c r="C32">
        <f t="shared" si="0"/>
        <v>1.1662698135291171E-3</v>
      </c>
      <c r="D32">
        <f t="shared" si="1"/>
        <v>-4.2891347400781483E-4</v>
      </c>
      <c r="E32">
        <f t="shared" si="2"/>
        <v>1.8396676818545244E-7</v>
      </c>
    </row>
    <row r="33" spans="1:5" x14ac:dyDescent="0.25">
      <c r="A33">
        <v>5.5430207401875009</v>
      </c>
      <c r="B33">
        <v>1.1060345092819533E-3</v>
      </c>
      <c r="C33">
        <f t="shared" si="0"/>
        <v>8.8416259968182402E-4</v>
      </c>
      <c r="D33">
        <f t="shared" si="1"/>
        <v>2.2187190960012927E-4</v>
      </c>
      <c r="E33">
        <f t="shared" si="2"/>
        <v>4.9227144269607934E-8</v>
      </c>
    </row>
    <row r="34" spans="1:5" x14ac:dyDescent="0.25">
      <c r="A34">
        <v>5.7135685749624994</v>
      </c>
      <c r="B34">
        <v>7.3735633952130223E-4</v>
      </c>
      <c r="C34">
        <f t="shared" si="0"/>
        <v>6.6881018287387613E-4</v>
      </c>
      <c r="D34">
        <f t="shared" si="1"/>
        <v>6.85461566474261E-5</v>
      </c>
      <c r="E34">
        <f t="shared" si="2"/>
        <v>4.6985755911334774E-9</v>
      </c>
    </row>
    <row r="35" spans="1:5" x14ac:dyDescent="0.25">
      <c r="A35">
        <v>5.8841164097374996</v>
      </c>
      <c r="B35">
        <v>3.6867816976065112E-4</v>
      </c>
      <c r="C35">
        <f t="shared" si="0"/>
        <v>5.0482034846070095E-4</v>
      </c>
      <c r="D35">
        <f t="shared" si="1"/>
        <v>-1.3614217870004983E-4</v>
      </c>
      <c r="E35">
        <f t="shared" si="2"/>
        <v>1.8534692821196303E-8</v>
      </c>
    </row>
    <row r="36" spans="1:5" x14ac:dyDescent="0.25">
      <c r="A36">
        <v>6.0546642445124998</v>
      </c>
      <c r="B36">
        <v>0</v>
      </c>
      <c r="C36">
        <f t="shared" si="0"/>
        <v>3.8024031885110872E-4</v>
      </c>
      <c r="D36">
        <f t="shared" si="1"/>
        <v>-3.8024031885110872E-4</v>
      </c>
      <c r="E36">
        <f t="shared" si="2"/>
        <v>1.4458270007999283E-7</v>
      </c>
    </row>
    <row r="37" spans="1:5" x14ac:dyDescent="0.25">
      <c r="A37">
        <v>6.2252120792875001</v>
      </c>
      <c r="B37">
        <v>7.3735633952130223E-4</v>
      </c>
      <c r="C37">
        <f t="shared" si="0"/>
        <v>2.8581797642577997E-4</v>
      </c>
      <c r="D37">
        <f t="shared" si="1"/>
        <v>4.5153836309552226E-4</v>
      </c>
      <c r="E37">
        <f t="shared" si="2"/>
        <v>2.038868933469837E-7</v>
      </c>
    </row>
    <row r="38" spans="1:5" x14ac:dyDescent="0.25">
      <c r="A38">
        <v>6.3957599140625003</v>
      </c>
      <c r="B38">
        <v>0</v>
      </c>
      <c r="C38">
        <f t="shared" si="0"/>
        <v>2.1441365654655234E-4</v>
      </c>
      <c r="D38">
        <f t="shared" si="1"/>
        <v>-2.1441365654655234E-4</v>
      </c>
      <c r="E38">
        <f t="shared" si="2"/>
        <v>4.5973216113662908E-8</v>
      </c>
    </row>
    <row r="39" spans="1:5" x14ac:dyDescent="0.25">
      <c r="A39">
        <v>6.5663077488374997</v>
      </c>
      <c r="B39">
        <v>0</v>
      </c>
      <c r="C39">
        <f t="shared" si="0"/>
        <v>1.6053406016216788E-4</v>
      </c>
      <c r="D39">
        <f t="shared" si="1"/>
        <v>-1.6053406016216788E-4</v>
      </c>
      <c r="E39">
        <f t="shared" si="2"/>
        <v>2.5771184472150537E-8</v>
      </c>
    </row>
    <row r="40" spans="1:5" x14ac:dyDescent="0.25">
      <c r="A40">
        <v>6.7368555836124999</v>
      </c>
      <c r="B40">
        <v>3.6867816976065112E-4</v>
      </c>
      <c r="C40">
        <f t="shared" si="0"/>
        <v>1.199645796433866E-4</v>
      </c>
      <c r="D40">
        <f t="shared" si="1"/>
        <v>2.4871359011726453E-4</v>
      </c>
      <c r="E40">
        <f t="shared" si="2"/>
        <v>6.1858449909018671E-8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A93CC-C10E-43A5-B076-B7B07D854BAC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8.3502531837500005E-2</v>
      </c>
      <c r="B1">
        <v>0.58022301032483026</v>
      </c>
      <c r="C1">
        <f>$H$3*(1+$H$1)*(A1^($H$1))*EXP(-$H$3*(A1^(1+$H$1)))</f>
        <v>0.57837344782373012</v>
      </c>
      <c r="D1">
        <f>B1-C1</f>
        <v>1.8495625011001326E-3</v>
      </c>
      <c r="E1">
        <f>D1^2</f>
        <v>3.4208814454757781E-6</v>
      </c>
      <c r="G1" t="s">
        <v>0</v>
      </c>
      <c r="H1">
        <v>0.26070822815811229</v>
      </c>
    </row>
    <row r="2" spans="1:8" x14ac:dyDescent="0.25">
      <c r="A2">
        <v>0.24989209751250002</v>
      </c>
      <c r="B2">
        <v>0.69770305994138115</v>
      </c>
      <c r="C2">
        <f t="shared" ref="C2:C40" si="0">$H$3*(1+$H$1)*(A2^($H$1))*EXP(-$H$3*(A2^(1+$H$1)))</f>
        <v>0.68340740551035095</v>
      </c>
      <c r="D2">
        <f t="shared" ref="D2:D40" si="1">B2-C2</f>
        <v>1.4295654431030203E-2</v>
      </c>
      <c r="E2">
        <f t="shared" ref="E2:E40" si="2">D2^2</f>
        <v>2.0436573561143347E-4</v>
      </c>
    </row>
    <row r="3" spans="1:8" x14ac:dyDescent="0.25">
      <c r="A3">
        <v>0.41628166318750004</v>
      </c>
      <c r="B3">
        <v>0.61384270298037058</v>
      </c>
      <c r="C3">
        <f t="shared" si="0"/>
        <v>0.67639981636295532</v>
      </c>
      <c r="D3">
        <f t="shared" si="1"/>
        <v>-6.2557113382584739E-2</v>
      </c>
      <c r="E3">
        <f t="shared" si="2"/>
        <v>3.9133924347615626E-3</v>
      </c>
      <c r="G3" t="s">
        <v>1</v>
      </c>
      <c r="H3">
        <f>(_xlfn.GAMMA((2+$H$1)/(1+$H$1)))^(1+$H$1)</f>
        <v>0.91207236751782406</v>
      </c>
    </row>
    <row r="4" spans="1:8" x14ac:dyDescent="0.25">
      <c r="A4">
        <v>0.5826712288625</v>
      </c>
      <c r="B4">
        <v>0.61082070813492872</v>
      </c>
      <c r="C4">
        <f t="shared" si="0"/>
        <v>0.62951083142469844</v>
      </c>
      <c r="D4">
        <f t="shared" si="1"/>
        <v>-1.8690123289769711E-2</v>
      </c>
      <c r="E4">
        <f t="shared" si="2"/>
        <v>3.4932070858679218E-4</v>
      </c>
    </row>
    <row r="5" spans="1:8" x14ac:dyDescent="0.25">
      <c r="A5">
        <v>0.74906079453750007</v>
      </c>
      <c r="B5">
        <v>0.64784014499159115</v>
      </c>
      <c r="C5">
        <f t="shared" si="0"/>
        <v>0.56591323021225759</v>
      </c>
      <c r="D5">
        <f t="shared" si="1"/>
        <v>8.1926914779333559E-2</v>
      </c>
      <c r="E5">
        <f t="shared" si="2"/>
        <v>6.7120193652601837E-3</v>
      </c>
      <c r="G5" t="s">
        <v>2</v>
      </c>
      <c r="H5">
        <f>SUM(E1:E40)</f>
        <v>1.4787531831190066E-2</v>
      </c>
    </row>
    <row r="6" spans="1:8" x14ac:dyDescent="0.25">
      <c r="A6">
        <v>0.91545036021249993</v>
      </c>
      <c r="B6">
        <v>0.52129411083871469</v>
      </c>
      <c r="C6">
        <f t="shared" si="0"/>
        <v>0.49691311861889037</v>
      </c>
      <c r="D6">
        <f t="shared" si="1"/>
        <v>2.4380992219824316E-2</v>
      </c>
      <c r="E6">
        <f t="shared" si="2"/>
        <v>5.9443278162313383E-4</v>
      </c>
    </row>
    <row r="7" spans="1:8" x14ac:dyDescent="0.25">
      <c r="A7">
        <v>1.0818399258875</v>
      </c>
      <c r="B7">
        <v>0.41930178480505315</v>
      </c>
      <c r="C7">
        <f t="shared" si="0"/>
        <v>0.42869263058875351</v>
      </c>
      <c r="D7">
        <f t="shared" si="1"/>
        <v>-9.3908457837003634E-3</v>
      </c>
      <c r="E7">
        <f t="shared" si="2"/>
        <v>8.8187984533242897E-5</v>
      </c>
    </row>
    <row r="8" spans="1:8" x14ac:dyDescent="0.25">
      <c r="A8">
        <v>1.2482294915625001</v>
      </c>
      <c r="B8">
        <v>0.34752940722580983</v>
      </c>
      <c r="C8">
        <f t="shared" si="0"/>
        <v>0.36466289703839705</v>
      </c>
      <c r="D8">
        <f t="shared" si="1"/>
        <v>-1.7133489812587221E-2</v>
      </c>
      <c r="E8">
        <f t="shared" si="2"/>
        <v>2.9355647315803011E-4</v>
      </c>
    </row>
    <row r="9" spans="1:8" x14ac:dyDescent="0.25">
      <c r="A9">
        <v>1.4146190572375001</v>
      </c>
      <c r="B9">
        <v>0.27726802706928738</v>
      </c>
      <c r="C9">
        <f t="shared" si="0"/>
        <v>0.30657860374267804</v>
      </c>
      <c r="D9">
        <f t="shared" si="1"/>
        <v>-2.9310576673390654E-2</v>
      </c>
      <c r="E9">
        <f t="shared" si="2"/>
        <v>8.5910990492671228E-4</v>
      </c>
    </row>
    <row r="10" spans="1:8" x14ac:dyDescent="0.25">
      <c r="A10">
        <v>1.5810086229125</v>
      </c>
      <c r="B10">
        <v>0.24289283570238662</v>
      </c>
      <c r="C10">
        <f t="shared" si="0"/>
        <v>0.25516520457822106</v>
      </c>
      <c r="D10">
        <f t="shared" si="1"/>
        <v>-1.2272368875834438E-2</v>
      </c>
      <c r="E10">
        <f t="shared" si="2"/>
        <v>1.5061103782454985E-4</v>
      </c>
    </row>
    <row r="11" spans="1:8" x14ac:dyDescent="0.25">
      <c r="A11">
        <v>1.7473981885875003</v>
      </c>
      <c r="B11">
        <v>0.18169744008218969</v>
      </c>
      <c r="C11">
        <f t="shared" si="0"/>
        <v>0.2105076718963759</v>
      </c>
      <c r="D11">
        <f t="shared" si="1"/>
        <v>-2.881023181418621E-2</v>
      </c>
      <c r="E11">
        <f t="shared" si="2"/>
        <v>8.3002945718714722E-4</v>
      </c>
    </row>
    <row r="12" spans="1:8" x14ac:dyDescent="0.25">
      <c r="A12">
        <v>1.9137877542625001</v>
      </c>
      <c r="B12">
        <v>0.15147749162777144</v>
      </c>
      <c r="C12">
        <f t="shared" si="0"/>
        <v>0.17230384425454046</v>
      </c>
      <c r="D12">
        <f t="shared" si="1"/>
        <v>-2.0826352626769018E-2</v>
      </c>
      <c r="E12">
        <f t="shared" si="2"/>
        <v>4.3373696373452875E-4</v>
      </c>
    </row>
    <row r="13" spans="1:8" x14ac:dyDescent="0.25">
      <c r="A13">
        <v>2.0801773199375004</v>
      </c>
      <c r="B13">
        <v>0.13107902642103914</v>
      </c>
      <c r="C13">
        <f t="shared" si="0"/>
        <v>0.14003300918577333</v>
      </c>
      <c r="D13">
        <f t="shared" si="1"/>
        <v>-8.9539827647341919E-3</v>
      </c>
      <c r="E13">
        <f t="shared" si="2"/>
        <v>8.0173807351156963E-5</v>
      </c>
    </row>
    <row r="14" spans="1:8" x14ac:dyDescent="0.25">
      <c r="A14">
        <v>2.2465668856125003</v>
      </c>
      <c r="B14">
        <v>0.11861329768359161</v>
      </c>
      <c r="C14">
        <f t="shared" si="0"/>
        <v>0.1130681692906081</v>
      </c>
      <c r="D14">
        <f t="shared" si="1"/>
        <v>5.5451283929835032E-3</v>
      </c>
      <c r="E14">
        <f t="shared" si="2"/>
        <v>3.0748448894671811E-5</v>
      </c>
    </row>
    <row r="15" spans="1:8" x14ac:dyDescent="0.25">
      <c r="A15">
        <v>2.4129564512875001</v>
      </c>
      <c r="B15">
        <v>9.7081584409818608E-2</v>
      </c>
      <c r="C15">
        <f t="shared" si="0"/>
        <v>9.0749657038807593E-2</v>
      </c>
      <c r="D15">
        <f t="shared" si="1"/>
        <v>6.3319273710110147E-3</v>
      </c>
      <c r="E15">
        <f t="shared" si="2"/>
        <v>4.0093304231758462E-5</v>
      </c>
    </row>
    <row r="16" spans="1:8" x14ac:dyDescent="0.25">
      <c r="A16">
        <v>2.5793460169625</v>
      </c>
      <c r="B16">
        <v>7.5927620491725842E-2</v>
      </c>
      <c r="C16">
        <f t="shared" si="0"/>
        <v>7.2431853060626189E-2</v>
      </c>
      <c r="D16">
        <f t="shared" si="1"/>
        <v>3.4957674310996528E-3</v>
      </c>
      <c r="E16">
        <f t="shared" si="2"/>
        <v>1.2220389932337065E-5</v>
      </c>
    </row>
    <row r="17" spans="1:5" x14ac:dyDescent="0.25">
      <c r="A17">
        <v>2.7457355826375003</v>
      </c>
      <c r="B17">
        <v>6.0817646264516717E-2</v>
      </c>
      <c r="C17">
        <f t="shared" si="0"/>
        <v>5.7511177250805637E-2</v>
      </c>
      <c r="D17">
        <f t="shared" si="1"/>
        <v>3.3064690137110803E-3</v>
      </c>
      <c r="E17">
        <f t="shared" si="2"/>
        <v>1.0932737338631523E-5</v>
      </c>
    </row>
    <row r="18" spans="1:5" x14ac:dyDescent="0.25">
      <c r="A18">
        <v>2.9121251483125001</v>
      </c>
      <c r="B18">
        <v>5.2129411083871473E-2</v>
      </c>
      <c r="C18">
        <f t="shared" si="0"/>
        <v>4.5441168718236911E-2</v>
      </c>
      <c r="D18">
        <f t="shared" si="1"/>
        <v>6.6882423656345613E-3</v>
      </c>
      <c r="E18">
        <f t="shared" si="2"/>
        <v>4.4732585941468994E-5</v>
      </c>
    </row>
    <row r="19" spans="1:5" x14ac:dyDescent="0.25">
      <c r="A19">
        <v>3.0785147139875</v>
      </c>
      <c r="B19">
        <v>3.8530434279383262E-2</v>
      </c>
      <c r="C19">
        <f t="shared" si="0"/>
        <v>3.5738837735480325E-2</v>
      </c>
      <c r="D19">
        <f t="shared" si="1"/>
        <v>2.7915965439029369E-3</v>
      </c>
      <c r="E19">
        <f t="shared" si="2"/>
        <v>7.7930112639308228E-6</v>
      </c>
    </row>
    <row r="20" spans="1:5" x14ac:dyDescent="0.25">
      <c r="A20">
        <v>3.2449042796625003</v>
      </c>
      <c r="B20">
        <v>3.4375191366900752E-2</v>
      </c>
      <c r="C20">
        <f t="shared" si="0"/>
        <v>2.7985299152977632E-2</v>
      </c>
      <c r="D20">
        <f t="shared" si="1"/>
        <v>6.38989221392312E-3</v>
      </c>
      <c r="E20">
        <f t="shared" si="2"/>
        <v>4.083072250555531E-5</v>
      </c>
    </row>
    <row r="21" spans="1:5" x14ac:dyDescent="0.25">
      <c r="A21">
        <v>3.4112938453375001</v>
      </c>
      <c r="B21">
        <v>2.7953452320336875E-2</v>
      </c>
      <c r="C21">
        <f t="shared" si="0"/>
        <v>2.1822836534949597E-2</v>
      </c>
      <c r="D21">
        <f t="shared" si="1"/>
        <v>6.1306157853872785E-3</v>
      </c>
      <c r="E21">
        <f t="shared" si="2"/>
        <v>3.7584449908039675E-5</v>
      </c>
    </row>
    <row r="22" spans="1:5" x14ac:dyDescent="0.25">
      <c r="A22">
        <v>3.5776834110125</v>
      </c>
      <c r="B22">
        <v>1.8131969072650946E-2</v>
      </c>
      <c r="C22">
        <f t="shared" si="0"/>
        <v>1.6949910778467935E-2</v>
      </c>
      <c r="D22">
        <f t="shared" si="1"/>
        <v>1.182058294183011E-3</v>
      </c>
      <c r="E22">
        <f t="shared" si="2"/>
        <v>1.3972618108468499E-6</v>
      </c>
    </row>
    <row r="23" spans="1:5" x14ac:dyDescent="0.25">
      <c r="A23">
        <v>3.7440729766874998</v>
      </c>
      <c r="B23">
        <v>1.8131969072650946E-2</v>
      </c>
      <c r="C23">
        <f t="shared" si="0"/>
        <v>1.3115157599198747E-2</v>
      </c>
      <c r="D23">
        <f t="shared" si="1"/>
        <v>5.0168114734521988E-3</v>
      </c>
      <c r="E23">
        <f t="shared" si="2"/>
        <v>2.5168397360161621E-5</v>
      </c>
    </row>
    <row r="24" spans="1:5" x14ac:dyDescent="0.25">
      <c r="A24">
        <v>3.9104625423624997</v>
      </c>
      <c r="B24">
        <v>1.3976726160168438E-2</v>
      </c>
      <c r="C24">
        <f t="shared" si="0"/>
        <v>1.011107374606687E-2</v>
      </c>
      <c r="D24">
        <f t="shared" si="1"/>
        <v>3.8656524141015679E-3</v>
      </c>
      <c r="E24">
        <f t="shared" si="2"/>
        <v>1.494326858664928E-5</v>
      </c>
    </row>
    <row r="25" spans="1:5" x14ac:dyDescent="0.25">
      <c r="A25">
        <v>4.0768521080375004</v>
      </c>
      <c r="B25">
        <v>6.421739046563877E-3</v>
      </c>
      <c r="C25">
        <f t="shared" si="0"/>
        <v>7.767841723837752E-3</v>
      </c>
      <c r="D25">
        <f t="shared" si="1"/>
        <v>-1.3461026772738751E-3</v>
      </c>
      <c r="E25">
        <f t="shared" si="2"/>
        <v>1.8119924177638942E-6</v>
      </c>
    </row>
    <row r="26" spans="1:5" x14ac:dyDescent="0.25">
      <c r="A26">
        <v>4.2432416737125003</v>
      </c>
      <c r="B26">
        <v>7.177237757924333E-3</v>
      </c>
      <c r="C26">
        <f t="shared" si="0"/>
        <v>5.9475640851930217E-3</v>
      </c>
      <c r="D26">
        <f t="shared" si="1"/>
        <v>1.2296736727313113E-3</v>
      </c>
      <c r="E26">
        <f t="shared" si="2"/>
        <v>1.5120973414085122E-6</v>
      </c>
    </row>
    <row r="27" spans="1:5" x14ac:dyDescent="0.25">
      <c r="A27">
        <v>4.409631239387501</v>
      </c>
      <c r="B27">
        <v>3.0219948454418243E-3</v>
      </c>
      <c r="C27">
        <f t="shared" si="0"/>
        <v>4.5390532439241573E-3</v>
      </c>
      <c r="D27">
        <f t="shared" si="1"/>
        <v>-1.517058398482333E-3</v>
      </c>
      <c r="E27">
        <f t="shared" si="2"/>
        <v>2.3014661844057809E-6</v>
      </c>
    </row>
    <row r="28" spans="1:5" x14ac:dyDescent="0.25">
      <c r="A28">
        <v>4.5760208050625</v>
      </c>
      <c r="B28">
        <v>4.1552429124825088E-3</v>
      </c>
      <c r="C28">
        <f t="shared" si="0"/>
        <v>3.4532375236997806E-3</v>
      </c>
      <c r="D28">
        <f t="shared" si="1"/>
        <v>7.0200538878272814E-4</v>
      </c>
      <c r="E28">
        <f t="shared" si="2"/>
        <v>4.9281156587998929E-7</v>
      </c>
    </row>
    <row r="29" spans="1:5" x14ac:dyDescent="0.25">
      <c r="A29">
        <v>4.7424103707374998</v>
      </c>
      <c r="B29">
        <v>3.3997442011220523E-3</v>
      </c>
      <c r="C29">
        <f t="shared" si="0"/>
        <v>2.6191881893139379E-3</v>
      </c>
      <c r="D29">
        <f t="shared" si="1"/>
        <v>7.8055601180811434E-4</v>
      </c>
      <c r="E29">
        <f t="shared" si="2"/>
        <v>6.0926768756978914E-7</v>
      </c>
    </row>
    <row r="30" spans="1:5" x14ac:dyDescent="0.25">
      <c r="A30">
        <v>4.9087999364124997</v>
      </c>
      <c r="B30">
        <v>1.1332480670406841E-3</v>
      </c>
      <c r="C30">
        <f t="shared" si="0"/>
        <v>1.9807373757209134E-3</v>
      </c>
      <c r="D30">
        <f t="shared" si="1"/>
        <v>-8.4748930868022926E-4</v>
      </c>
      <c r="E30">
        <f t="shared" si="2"/>
        <v>7.1823812832729289E-7</v>
      </c>
    </row>
    <row r="31" spans="1:5" x14ac:dyDescent="0.25">
      <c r="A31">
        <v>5.0751895020875004</v>
      </c>
      <c r="B31">
        <v>1.5109974227209121E-3</v>
      </c>
      <c r="C31">
        <f t="shared" si="0"/>
        <v>1.4936369545565235E-3</v>
      </c>
      <c r="D31">
        <f t="shared" si="1"/>
        <v>1.7360468164388668E-5</v>
      </c>
      <c r="E31">
        <f t="shared" si="2"/>
        <v>3.0138585488675243E-10</v>
      </c>
    </row>
    <row r="32" spans="1:5" x14ac:dyDescent="0.25">
      <c r="A32">
        <v>5.2415790677625012</v>
      </c>
      <c r="B32">
        <v>7.5549871136045606E-4</v>
      </c>
      <c r="C32">
        <f t="shared" si="0"/>
        <v>1.1231988190584371E-3</v>
      </c>
      <c r="D32">
        <f t="shared" si="1"/>
        <v>-3.6770010769798106E-4</v>
      </c>
      <c r="E32">
        <f t="shared" si="2"/>
        <v>1.3520336920110686E-7</v>
      </c>
    </row>
    <row r="33" spans="1:5" x14ac:dyDescent="0.25">
      <c r="A33">
        <v>5.4079686334375001</v>
      </c>
      <c r="B33">
        <v>7.5549871136045606E-4</v>
      </c>
      <c r="C33">
        <f t="shared" si="0"/>
        <v>8.4235439339486488E-4</v>
      </c>
      <c r="D33">
        <f t="shared" si="1"/>
        <v>-8.6855682034408816E-5</v>
      </c>
      <c r="E33">
        <f t="shared" si="2"/>
        <v>7.5439095016623258E-9</v>
      </c>
    </row>
    <row r="34" spans="1:5" x14ac:dyDescent="0.25">
      <c r="A34">
        <v>5.5743581991125</v>
      </c>
      <c r="B34">
        <v>1.5109974227209121E-3</v>
      </c>
      <c r="C34">
        <f t="shared" si="0"/>
        <v>6.3007288340294527E-4</v>
      </c>
      <c r="D34">
        <f t="shared" si="1"/>
        <v>8.8092453931796686E-4</v>
      </c>
      <c r="E34">
        <f t="shared" si="2"/>
        <v>7.7602804397257217E-7</v>
      </c>
    </row>
    <row r="35" spans="1:5" x14ac:dyDescent="0.25">
      <c r="A35">
        <v>5.7407477647874998</v>
      </c>
      <c r="B35">
        <v>0</v>
      </c>
      <c r="C35">
        <f t="shared" si="0"/>
        <v>4.7008210071754534E-4</v>
      </c>
      <c r="D35">
        <f t="shared" si="1"/>
        <v>-4.7008210071754534E-4</v>
      </c>
      <c r="E35">
        <f t="shared" si="2"/>
        <v>2.2097718141502044E-7</v>
      </c>
    </row>
    <row r="36" spans="1:5" x14ac:dyDescent="0.25">
      <c r="A36">
        <v>5.9071373304625006</v>
      </c>
      <c r="B36">
        <v>3.7774935568022803E-4</v>
      </c>
      <c r="C36">
        <f t="shared" si="0"/>
        <v>3.4984137041659143E-4</v>
      </c>
      <c r="D36">
        <f t="shared" si="1"/>
        <v>2.7907985263636603E-5</v>
      </c>
      <c r="E36">
        <f t="shared" si="2"/>
        <v>7.7885564147535774E-10</v>
      </c>
    </row>
    <row r="37" spans="1:5" x14ac:dyDescent="0.25">
      <c r="A37">
        <v>6.0735268961374995</v>
      </c>
      <c r="B37">
        <v>3.7774935568022803E-4</v>
      </c>
      <c r="C37">
        <f t="shared" si="0"/>
        <v>2.5972223553246836E-4</v>
      </c>
      <c r="D37">
        <f t="shared" si="1"/>
        <v>1.1802712014775967E-4</v>
      </c>
      <c r="E37">
        <f t="shared" si="2"/>
        <v>1.3930401090373697E-8</v>
      </c>
    </row>
    <row r="38" spans="1:5" x14ac:dyDescent="0.25">
      <c r="A38">
        <v>6.2399164618125003</v>
      </c>
      <c r="B38">
        <v>3.7774935568022803E-4</v>
      </c>
      <c r="C38">
        <f t="shared" si="0"/>
        <v>1.923588567020887E-4</v>
      </c>
      <c r="D38">
        <f t="shared" si="1"/>
        <v>1.8539049897813934E-4</v>
      </c>
      <c r="E38">
        <f t="shared" si="2"/>
        <v>3.4369637111363481E-8</v>
      </c>
    </row>
    <row r="39" spans="1:5" x14ac:dyDescent="0.25">
      <c r="A39">
        <v>6.406306027487501</v>
      </c>
      <c r="B39">
        <v>0</v>
      </c>
      <c r="C39">
        <f t="shared" si="0"/>
        <v>1.4213583997832566E-4</v>
      </c>
      <c r="D39">
        <f t="shared" si="1"/>
        <v>-1.4213583997832566E-4</v>
      </c>
      <c r="E39">
        <f t="shared" si="2"/>
        <v>2.0202597006344197E-8</v>
      </c>
    </row>
    <row r="40" spans="1:5" x14ac:dyDescent="0.25">
      <c r="A40">
        <v>6.5726955931625</v>
      </c>
      <c r="B40">
        <v>3.7774935568022803E-4</v>
      </c>
      <c r="C40">
        <f t="shared" si="0"/>
        <v>1.0478652686975084E-4</v>
      </c>
      <c r="D40">
        <f t="shared" si="1"/>
        <v>2.7296282881047719E-4</v>
      </c>
      <c r="E40">
        <f t="shared" si="2"/>
        <v>7.4508705912217874E-8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08ABE-00D4-4004-AB6C-3A35D7289D78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8.2609680249999998E-2</v>
      </c>
      <c r="B1">
        <v>0.54941404672376537</v>
      </c>
      <c r="C1">
        <f>$H$3*(1+$H$1)*(A1^($H$1))*EXP(-$H$3*(A1^(1+$H$1)))</f>
        <v>0.55498754011416807</v>
      </c>
      <c r="D1">
        <f>B1-C1</f>
        <v>-5.5734933904026951E-3</v>
      </c>
      <c r="E1">
        <f>D1^2</f>
        <v>3.1063828572862527E-5</v>
      </c>
      <c r="G1" t="s">
        <v>0</v>
      </c>
      <c r="H1">
        <v>0.2813287600914714</v>
      </c>
    </row>
    <row r="2" spans="1:8" x14ac:dyDescent="0.25">
      <c r="A2">
        <v>0.24510004275</v>
      </c>
      <c r="B2">
        <v>0.70998223643528835</v>
      </c>
      <c r="C2">
        <f t="shared" ref="C2:C40" si="0">$H$3*(1+$H$1)*(A2^($H$1))*EXP(-$H$3*(A2^(1+$H$1)))</f>
        <v>0.67345682730193979</v>
      </c>
      <c r="D2">
        <f t="shared" ref="D2:D40" si="1">B2-C2</f>
        <v>3.6525409133348563E-2</v>
      </c>
      <c r="E2">
        <f t="shared" ref="E2:E40" si="2">D2^2</f>
        <v>1.3341055123585026E-3</v>
      </c>
    </row>
    <row r="3" spans="1:8" x14ac:dyDescent="0.25">
      <c r="A3">
        <v>0.40759040525000001</v>
      </c>
      <c r="B3">
        <v>0.61867116951500056</v>
      </c>
      <c r="C3">
        <f t="shared" si="0"/>
        <v>0.67725542140530304</v>
      </c>
      <c r="D3">
        <f t="shared" si="1"/>
        <v>-5.8584251890302474E-2</v>
      </c>
      <c r="E3">
        <f t="shared" si="2"/>
        <v>3.4321145695464092E-3</v>
      </c>
      <c r="G3" t="s">
        <v>1</v>
      </c>
      <c r="H3">
        <f>(_xlfn.GAMMA((2+$H$1)/(1+$H$1)))^(1+$H$1)</f>
        <v>0.90660986018590928</v>
      </c>
    </row>
    <row r="4" spans="1:8" x14ac:dyDescent="0.25">
      <c r="A4">
        <v>0.57008076774999994</v>
      </c>
      <c r="B4">
        <v>0.59352193498187045</v>
      </c>
      <c r="C4">
        <f t="shared" si="0"/>
        <v>0.63794325242752514</v>
      </c>
      <c r="D4">
        <f t="shared" si="1"/>
        <v>-4.4421317445654696E-2</v>
      </c>
      <c r="E4">
        <f t="shared" si="2"/>
        <v>1.9732534436076262E-3</v>
      </c>
    </row>
    <row r="5" spans="1:8" x14ac:dyDescent="0.25">
      <c r="A5">
        <v>0.73257113024999998</v>
      </c>
      <c r="B5">
        <v>0.61867116951500056</v>
      </c>
      <c r="C5">
        <f t="shared" si="0"/>
        <v>0.57915988527515061</v>
      </c>
      <c r="D5">
        <f t="shared" si="1"/>
        <v>3.9511284239849953E-2</v>
      </c>
      <c r="E5">
        <f t="shared" si="2"/>
        <v>1.5611415822822153E-3</v>
      </c>
      <c r="G5" t="s">
        <v>2</v>
      </c>
      <c r="H5">
        <f>SUM(E1:E40)</f>
        <v>1.1472191423352828E-2</v>
      </c>
    </row>
    <row r="6" spans="1:8" x14ac:dyDescent="0.25">
      <c r="A6">
        <v>0.89506149275000002</v>
      </c>
      <c r="B6">
        <v>0.54825331282223633</v>
      </c>
      <c r="C6">
        <f t="shared" si="0"/>
        <v>0.512790648656966</v>
      </c>
      <c r="D6">
        <f t="shared" si="1"/>
        <v>3.546266416527033E-2</v>
      </c>
      <c r="E6">
        <f t="shared" si="2"/>
        <v>1.2576005496987483E-3</v>
      </c>
    </row>
    <row r="7" spans="1:8" x14ac:dyDescent="0.25">
      <c r="A7">
        <v>1.0575518552500001</v>
      </c>
      <c r="B7">
        <v>0.46197209280857454</v>
      </c>
      <c r="C7">
        <f t="shared" si="0"/>
        <v>0.44556906601553775</v>
      </c>
      <c r="D7">
        <f t="shared" si="1"/>
        <v>1.640302679303679E-2</v>
      </c>
      <c r="E7">
        <f t="shared" si="2"/>
        <v>2.6905928797308281E-4</v>
      </c>
    </row>
    <row r="8" spans="1:8" x14ac:dyDescent="0.25">
      <c r="A8">
        <v>1.2200422177500001</v>
      </c>
      <c r="B8">
        <v>0.37414322759287405</v>
      </c>
      <c r="C8">
        <f t="shared" si="0"/>
        <v>0.38138399486658625</v>
      </c>
      <c r="D8">
        <f t="shared" si="1"/>
        <v>-7.2407672737122009E-3</v>
      </c>
      <c r="E8">
        <f t="shared" si="2"/>
        <v>5.2428710712061617E-5</v>
      </c>
    </row>
    <row r="9" spans="1:8" x14ac:dyDescent="0.25">
      <c r="A9">
        <v>1.3825325802499999</v>
      </c>
      <c r="B9">
        <v>0.3110766856097939</v>
      </c>
      <c r="C9">
        <f t="shared" si="0"/>
        <v>0.32238062050766614</v>
      </c>
      <c r="D9">
        <f t="shared" si="1"/>
        <v>-1.1303934897872236E-2</v>
      </c>
      <c r="E9">
        <f t="shared" si="2"/>
        <v>1.2777894417533381E-4</v>
      </c>
    </row>
    <row r="10" spans="1:8" x14ac:dyDescent="0.25">
      <c r="A10">
        <v>1.5450229427500002</v>
      </c>
      <c r="B10">
        <v>0.25342690183384953</v>
      </c>
      <c r="C10">
        <f t="shared" si="0"/>
        <v>0.26958919507044288</v>
      </c>
      <c r="D10">
        <f t="shared" si="1"/>
        <v>-1.616229323659335E-2</v>
      </c>
      <c r="E10">
        <f t="shared" si="2"/>
        <v>2.6121972266563115E-4</v>
      </c>
    </row>
    <row r="11" spans="1:8" x14ac:dyDescent="0.25">
      <c r="A11">
        <v>1.70751330525</v>
      </c>
      <c r="B11">
        <v>0.2039022553686087</v>
      </c>
      <c r="C11">
        <f t="shared" si="0"/>
        <v>0.22332261308236101</v>
      </c>
      <c r="D11">
        <f t="shared" si="1"/>
        <v>-1.9420357713752306E-2</v>
      </c>
      <c r="E11">
        <f t="shared" si="2"/>
        <v>3.7715029373009871E-4</v>
      </c>
    </row>
    <row r="12" spans="1:8" x14ac:dyDescent="0.25">
      <c r="A12">
        <v>1.87000366775</v>
      </c>
      <c r="B12">
        <v>0.16056818971152298</v>
      </c>
      <c r="C12">
        <f t="shared" si="0"/>
        <v>0.18344162091609759</v>
      </c>
      <c r="D12">
        <f t="shared" si="1"/>
        <v>-2.2873431204574607E-2</v>
      </c>
      <c r="E12">
        <f t="shared" si="2"/>
        <v>5.2319385507040731E-4</v>
      </c>
    </row>
    <row r="13" spans="1:8" x14ac:dyDescent="0.25">
      <c r="A13">
        <v>2.0324940302500001</v>
      </c>
      <c r="B13">
        <v>0.13928806818348982</v>
      </c>
      <c r="C13">
        <f t="shared" si="0"/>
        <v>0.14953585821665105</v>
      </c>
      <c r="D13">
        <f t="shared" si="1"/>
        <v>-1.024779003316123E-2</v>
      </c>
      <c r="E13">
        <f t="shared" si="2"/>
        <v>1.0501720056375865E-4</v>
      </c>
    </row>
    <row r="14" spans="1:8" x14ac:dyDescent="0.25">
      <c r="A14">
        <v>2.1949843927499999</v>
      </c>
      <c r="B14">
        <v>0.12071632575902451</v>
      </c>
      <c r="C14">
        <f t="shared" si="0"/>
        <v>0.12104782533606201</v>
      </c>
      <c r="D14">
        <f t="shared" si="1"/>
        <v>-3.314995770375001E-4</v>
      </c>
      <c r="E14">
        <f t="shared" si="2"/>
        <v>1.0989196957604147E-7</v>
      </c>
    </row>
    <row r="15" spans="1:8" x14ac:dyDescent="0.25">
      <c r="A15">
        <v>2.3574747552500002</v>
      </c>
      <c r="B15">
        <v>0.10175767203404951</v>
      </c>
      <c r="C15">
        <f t="shared" si="0"/>
        <v>9.7356765312337515E-2</v>
      </c>
      <c r="D15">
        <f t="shared" si="1"/>
        <v>4.4009067217119918E-3</v>
      </c>
      <c r="E15">
        <f t="shared" si="2"/>
        <v>1.9367979973209791E-5</v>
      </c>
    </row>
    <row r="16" spans="1:8" x14ac:dyDescent="0.25">
      <c r="A16">
        <v>2.51996511775</v>
      </c>
      <c r="B16">
        <v>7.892990530397756E-2</v>
      </c>
      <c r="C16">
        <f t="shared" si="0"/>
        <v>7.7833960343948114E-2</v>
      </c>
      <c r="D16">
        <f t="shared" si="1"/>
        <v>1.0959449600294463E-3</v>
      </c>
      <c r="E16">
        <f t="shared" si="2"/>
        <v>1.2010953554139446E-6</v>
      </c>
    </row>
    <row r="17" spans="1:5" x14ac:dyDescent="0.25">
      <c r="A17">
        <v>2.6824554802499998</v>
      </c>
      <c r="B17">
        <v>6.4227275884609192E-2</v>
      </c>
      <c r="C17">
        <f t="shared" si="0"/>
        <v>6.1877611023508285E-2</v>
      </c>
      <c r="D17">
        <f t="shared" si="1"/>
        <v>2.3496648611009072E-3</v>
      </c>
      <c r="E17">
        <f t="shared" si="2"/>
        <v>5.5209249594923451E-6</v>
      </c>
    </row>
    <row r="18" spans="1:5" x14ac:dyDescent="0.25">
      <c r="A18">
        <v>2.8449458427500005</v>
      </c>
      <c r="B18">
        <v>5.3393759470337761E-2</v>
      </c>
      <c r="C18">
        <f t="shared" si="0"/>
        <v>4.8933255046295129E-2</v>
      </c>
      <c r="D18">
        <f t="shared" si="1"/>
        <v>4.4605044240426314E-3</v>
      </c>
      <c r="E18">
        <f t="shared" si="2"/>
        <v>1.9896099716903887E-5</v>
      </c>
    </row>
    <row r="19" spans="1:5" x14ac:dyDescent="0.25">
      <c r="A19">
        <v>3.0074362052500003</v>
      </c>
      <c r="B19">
        <v>4.1012597854027555E-2</v>
      </c>
      <c r="C19">
        <f t="shared" si="0"/>
        <v>3.8504117403127328E-2</v>
      </c>
      <c r="D19">
        <f t="shared" si="1"/>
        <v>2.5084804509002273E-3</v>
      </c>
      <c r="E19">
        <f t="shared" si="2"/>
        <v>6.2924741725486074E-6</v>
      </c>
    </row>
    <row r="20" spans="1:5" x14ac:dyDescent="0.25">
      <c r="A20">
        <v>3.1699265677500001</v>
      </c>
      <c r="B20">
        <v>3.4435105745362758E-2</v>
      </c>
      <c r="C20">
        <f t="shared" si="0"/>
        <v>3.0154631795106333E-2</v>
      </c>
      <c r="D20">
        <f t="shared" si="1"/>
        <v>4.2804739502564255E-3</v>
      </c>
      <c r="E20">
        <f t="shared" si="2"/>
        <v>1.8322457238823848E-5</v>
      </c>
    </row>
    <row r="21" spans="1:5" x14ac:dyDescent="0.25">
      <c r="A21">
        <v>3.33241693025</v>
      </c>
      <c r="B21">
        <v>2.9792170139246434E-2</v>
      </c>
      <c r="C21">
        <f t="shared" si="0"/>
        <v>2.3509506098237563E-2</v>
      </c>
      <c r="D21">
        <f t="shared" si="1"/>
        <v>6.2826640410088702E-3</v>
      </c>
      <c r="E21">
        <f t="shared" si="2"/>
        <v>3.947186745218591E-5</v>
      </c>
    </row>
    <row r="22" spans="1:5" x14ac:dyDescent="0.25">
      <c r="A22">
        <v>3.4949072927500002</v>
      </c>
      <c r="B22">
        <v>1.973247632599439E-2</v>
      </c>
      <c r="C22">
        <f t="shared" si="0"/>
        <v>1.8250047113791357E-2</v>
      </c>
      <c r="D22">
        <f t="shared" si="1"/>
        <v>1.4824292122030333E-3</v>
      </c>
      <c r="E22">
        <f t="shared" si="2"/>
        <v>2.197596369192906E-6</v>
      </c>
    </row>
    <row r="23" spans="1:5" x14ac:dyDescent="0.25">
      <c r="A23">
        <v>3.65739765525</v>
      </c>
      <c r="B23">
        <v>2.0506298927013777E-2</v>
      </c>
      <c r="C23">
        <f t="shared" si="0"/>
        <v>1.4108961402326302E-2</v>
      </c>
      <c r="D23">
        <f t="shared" si="1"/>
        <v>6.3973375246874752E-3</v>
      </c>
      <c r="E23">
        <f t="shared" si="2"/>
        <v>4.0925927404774475E-5</v>
      </c>
    </row>
    <row r="24" spans="1:5" x14ac:dyDescent="0.25">
      <c r="A24">
        <v>3.8198880177499999</v>
      </c>
      <c r="B24">
        <v>1.3928806818348983E-2</v>
      </c>
      <c r="C24">
        <f t="shared" si="0"/>
        <v>1.0864473801963152E-2</v>
      </c>
      <c r="D24">
        <f t="shared" si="1"/>
        <v>3.0643330163858309E-3</v>
      </c>
      <c r="E24">
        <f t="shared" si="2"/>
        <v>9.3901368353122849E-6</v>
      </c>
    </row>
    <row r="25" spans="1:5" x14ac:dyDescent="0.25">
      <c r="A25">
        <v>3.9823783802500001</v>
      </c>
      <c r="B25">
        <v>6.5774921086647967E-3</v>
      </c>
      <c r="C25">
        <f t="shared" si="0"/>
        <v>8.3343260298806027E-3</v>
      </c>
      <c r="D25">
        <f t="shared" si="1"/>
        <v>-1.7568339212158061E-3</v>
      </c>
      <c r="E25">
        <f t="shared" si="2"/>
        <v>3.0864654267345052E-6</v>
      </c>
    </row>
    <row r="26" spans="1:5" x14ac:dyDescent="0.25">
      <c r="A26">
        <v>4.1448687427499999</v>
      </c>
      <c r="B26">
        <v>6.5774921086647967E-3</v>
      </c>
      <c r="C26">
        <f t="shared" si="0"/>
        <v>6.3700131724751564E-3</v>
      </c>
      <c r="D26">
        <f t="shared" si="1"/>
        <v>2.0747893618964022E-4</v>
      </c>
      <c r="E26">
        <f t="shared" si="2"/>
        <v>4.3047508962384797E-8</v>
      </c>
    </row>
    <row r="27" spans="1:5" x14ac:dyDescent="0.25">
      <c r="A27">
        <v>4.3073591052500007</v>
      </c>
      <c r="B27">
        <v>4.6429356061163272E-3</v>
      </c>
      <c r="C27">
        <f t="shared" si="0"/>
        <v>4.8514688268395294E-3</v>
      </c>
      <c r="D27">
        <f t="shared" si="1"/>
        <v>-2.085332207232022E-4</v>
      </c>
      <c r="E27">
        <f t="shared" si="2"/>
        <v>4.3486104145191767E-8</v>
      </c>
    </row>
    <row r="28" spans="1:5" x14ac:dyDescent="0.25">
      <c r="A28">
        <v>4.4698494677500005</v>
      </c>
      <c r="B28">
        <v>3.8691130050969393E-3</v>
      </c>
      <c r="C28">
        <f t="shared" si="0"/>
        <v>3.6823065131341981E-3</v>
      </c>
      <c r="D28">
        <f t="shared" si="1"/>
        <v>1.8680649196274124E-4</v>
      </c>
      <c r="E28">
        <f t="shared" si="2"/>
        <v>3.4896665439425712E-8</v>
      </c>
    </row>
    <row r="29" spans="1:5" x14ac:dyDescent="0.25">
      <c r="A29">
        <v>4.6323398302499994</v>
      </c>
      <c r="B29">
        <v>3.0952904040775515E-3</v>
      </c>
      <c r="C29">
        <f t="shared" si="0"/>
        <v>2.7856548553276362E-3</v>
      </c>
      <c r="D29">
        <f t="shared" si="1"/>
        <v>3.0963554874991524E-4</v>
      </c>
      <c r="E29">
        <f t="shared" si="2"/>
        <v>9.5874173049661139E-8</v>
      </c>
    </row>
    <row r="30" spans="1:5" x14ac:dyDescent="0.25">
      <c r="A30">
        <v>4.7948301927500001</v>
      </c>
      <c r="B30">
        <v>1.9345565025484697E-3</v>
      </c>
      <c r="C30">
        <f t="shared" si="0"/>
        <v>2.100578334297725E-3</v>
      </c>
      <c r="D30">
        <f t="shared" si="1"/>
        <v>-1.6602183174925533E-4</v>
      </c>
      <c r="E30">
        <f t="shared" si="2"/>
        <v>2.7563248617378045E-8</v>
      </c>
    </row>
    <row r="31" spans="1:5" x14ac:dyDescent="0.25">
      <c r="A31">
        <v>4.9573205552499999</v>
      </c>
      <c r="B31">
        <v>1.1607339015290818E-3</v>
      </c>
      <c r="C31">
        <f t="shared" si="0"/>
        <v>1.5790474459133951E-3</v>
      </c>
      <c r="D31">
        <f t="shared" si="1"/>
        <v>-4.1831354438431325E-4</v>
      </c>
      <c r="E31">
        <f t="shared" si="2"/>
        <v>1.7498622141536681E-7</v>
      </c>
    </row>
    <row r="32" spans="1:5" x14ac:dyDescent="0.25">
      <c r="A32">
        <v>5.1198109177499997</v>
      </c>
      <c r="B32">
        <v>7.7382260101938787E-4</v>
      </c>
      <c r="C32">
        <f t="shared" si="0"/>
        <v>1.1834066851249222E-3</v>
      </c>
      <c r="D32">
        <f t="shared" si="1"/>
        <v>-4.0958408410553433E-4</v>
      </c>
      <c r="E32">
        <f t="shared" si="2"/>
        <v>1.6775912195256942E-7</v>
      </c>
    </row>
    <row r="33" spans="1:5" x14ac:dyDescent="0.25">
      <c r="A33">
        <v>5.2823012802499996</v>
      </c>
      <c r="B33">
        <v>1.1607339015290818E-3</v>
      </c>
      <c r="C33">
        <f t="shared" si="0"/>
        <v>8.8428201303906236E-4</v>
      </c>
      <c r="D33">
        <f t="shared" si="1"/>
        <v>2.7645188849001944E-4</v>
      </c>
      <c r="E33">
        <f t="shared" si="2"/>
        <v>7.6425646649698145E-8</v>
      </c>
    </row>
    <row r="34" spans="1:5" x14ac:dyDescent="0.25">
      <c r="A34">
        <v>5.4447916427500003</v>
      </c>
      <c r="B34">
        <v>7.7382260101938787E-4</v>
      </c>
      <c r="C34">
        <f t="shared" si="0"/>
        <v>6.5886843356163761E-4</v>
      </c>
      <c r="D34">
        <f t="shared" si="1"/>
        <v>1.1495416745775026E-4</v>
      </c>
      <c r="E34">
        <f t="shared" si="2"/>
        <v>1.3214460615904489E-8</v>
      </c>
    </row>
    <row r="35" spans="1:5" x14ac:dyDescent="0.25">
      <c r="A35">
        <v>5.6072820052500001</v>
      </c>
      <c r="B35">
        <v>7.7382260101938787E-4</v>
      </c>
      <c r="C35">
        <f t="shared" si="0"/>
        <v>4.8954088116721917E-4</v>
      </c>
      <c r="D35">
        <f t="shared" si="1"/>
        <v>2.842817198521687E-4</v>
      </c>
      <c r="E35">
        <f t="shared" si="2"/>
        <v>8.0816096242106929E-8</v>
      </c>
    </row>
    <row r="36" spans="1:5" x14ac:dyDescent="0.25">
      <c r="A36">
        <v>5.7697723677500008</v>
      </c>
      <c r="B36">
        <v>0</v>
      </c>
      <c r="C36">
        <f t="shared" si="0"/>
        <v>3.6273628192187349E-4</v>
      </c>
      <c r="D36">
        <f t="shared" si="1"/>
        <v>-3.6273628192187349E-4</v>
      </c>
      <c r="E36">
        <f t="shared" si="2"/>
        <v>1.3157761022250489E-7</v>
      </c>
    </row>
    <row r="37" spans="1:5" x14ac:dyDescent="0.25">
      <c r="A37">
        <v>5.9322627302500006</v>
      </c>
      <c r="B37">
        <v>7.7382260101938787E-4</v>
      </c>
      <c r="C37">
        <f t="shared" si="0"/>
        <v>2.6806033982399981E-4</v>
      </c>
      <c r="D37">
        <f t="shared" si="1"/>
        <v>5.0576226119538811E-4</v>
      </c>
      <c r="E37">
        <f t="shared" si="2"/>
        <v>2.5579546484947199E-7</v>
      </c>
    </row>
    <row r="38" spans="1:5" x14ac:dyDescent="0.25">
      <c r="A38">
        <v>6.0947530927500004</v>
      </c>
      <c r="B38">
        <v>3.8691130050969393E-4</v>
      </c>
      <c r="C38">
        <f t="shared" si="0"/>
        <v>1.9757861053597273E-4</v>
      </c>
      <c r="D38">
        <f t="shared" si="1"/>
        <v>1.8933268997372121E-4</v>
      </c>
      <c r="E38">
        <f t="shared" si="2"/>
        <v>3.5846867492685228E-8</v>
      </c>
    </row>
    <row r="39" spans="1:5" x14ac:dyDescent="0.25">
      <c r="A39">
        <v>6.2572434552500003</v>
      </c>
      <c r="B39">
        <v>0</v>
      </c>
      <c r="C39">
        <f t="shared" si="0"/>
        <v>1.4525729996715342E-4</v>
      </c>
      <c r="D39">
        <f t="shared" si="1"/>
        <v>-1.4525729996715342E-4</v>
      </c>
      <c r="E39">
        <f t="shared" si="2"/>
        <v>2.1099683193747589E-8</v>
      </c>
    </row>
    <row r="40" spans="1:5" x14ac:dyDescent="0.25">
      <c r="A40">
        <v>6.4197338177500001</v>
      </c>
      <c r="B40">
        <v>3.8691130050969393E-4</v>
      </c>
      <c r="C40">
        <f t="shared" si="0"/>
        <v>1.0652469406522161E-4</v>
      </c>
      <c r="D40">
        <f t="shared" si="1"/>
        <v>2.8038660644447231E-4</v>
      </c>
      <c r="E40">
        <f t="shared" si="2"/>
        <v>7.8616649073447397E-8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DFF7B-62AB-4510-BA19-34996292C9E5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7.8604245449999999E-2</v>
      </c>
      <c r="B1">
        <v>0.49839895415091029</v>
      </c>
      <c r="C1">
        <f>$H$3*(1+$H$1)*(A1^($H$1))*EXP(-$H$3*(A1^(1+$H$1)))</f>
        <v>0.50148030036132041</v>
      </c>
      <c r="D1">
        <f>B1-C1</f>
        <v>-3.0813462104101186E-3</v>
      </c>
      <c r="E1">
        <f>D1^2</f>
        <v>9.494694468408799E-6</v>
      </c>
      <c r="G1" t="s">
        <v>0</v>
      </c>
      <c r="H1">
        <v>0.32699792550632567</v>
      </c>
    </row>
    <row r="2" spans="1:8" x14ac:dyDescent="0.25">
      <c r="A2">
        <v>0.23397290035000001</v>
      </c>
      <c r="B2">
        <v>0.64565319060458837</v>
      </c>
      <c r="C2">
        <f t="shared" ref="C2:C40" si="0">$H$3*(1+$H$1)*(A2^($H$1))*EXP(-$H$3*(A2^(1+$H$1)))</f>
        <v>0.64848072284417102</v>
      </c>
      <c r="D2">
        <f t="shared" ref="D2:D40" si="1">B2-C2</f>
        <v>-2.827532239582653E-3</v>
      </c>
      <c r="E2">
        <f t="shared" ref="E2:E40" si="2">D2^2</f>
        <v>7.9949385658792925E-6</v>
      </c>
    </row>
    <row r="3" spans="1:8" x14ac:dyDescent="0.25">
      <c r="A3">
        <v>0.38934155525000003</v>
      </c>
      <c r="B3">
        <v>0.69945762315497073</v>
      </c>
      <c r="C3">
        <f t="shared" si="0"/>
        <v>0.675463290277312</v>
      </c>
      <c r="D3">
        <f t="shared" si="1"/>
        <v>2.3994332877658731E-2</v>
      </c>
      <c r="E3">
        <f t="shared" si="2"/>
        <v>5.7572801024389467E-4</v>
      </c>
      <c r="G3" t="s">
        <v>1</v>
      </c>
      <c r="H3">
        <f>(_xlfn.GAMMA((2+$H$1)/(1+$H$1)))^(1+$H$1)</f>
        <v>0.89510187633923677</v>
      </c>
    </row>
    <row r="4" spans="1:8" x14ac:dyDescent="0.25">
      <c r="A4">
        <v>0.5447102101500001</v>
      </c>
      <c r="B4">
        <v>0.60519873004039104</v>
      </c>
      <c r="C4">
        <f t="shared" si="0"/>
        <v>0.65293460176424745</v>
      </c>
      <c r="D4">
        <f t="shared" si="1"/>
        <v>-4.7735871723856405E-2</v>
      </c>
      <c r="E4">
        <f t="shared" si="2"/>
        <v>2.2787134492364735E-3</v>
      </c>
    </row>
    <row r="5" spans="1:8" x14ac:dyDescent="0.25">
      <c r="A5">
        <v>0.70007886505000005</v>
      </c>
      <c r="B5">
        <v>0.5566533773633543</v>
      </c>
      <c r="C5">
        <f t="shared" si="0"/>
        <v>0.6052154445797755</v>
      </c>
      <c r="D5">
        <f t="shared" si="1"/>
        <v>-4.8562067216421201E-2</v>
      </c>
      <c r="E5">
        <f t="shared" si="2"/>
        <v>2.3582743723322107E-3</v>
      </c>
      <c r="G5" t="s">
        <v>2</v>
      </c>
      <c r="H5">
        <f>SUM(E1:E40)</f>
        <v>8.7208517524211132E-3</v>
      </c>
    </row>
    <row r="6" spans="1:8" x14ac:dyDescent="0.25">
      <c r="A6">
        <v>0.85544751995000001</v>
      </c>
      <c r="B6">
        <v>0.56312609105362588</v>
      </c>
      <c r="C6">
        <f t="shared" si="0"/>
        <v>0.54522660533335876</v>
      </c>
      <c r="D6">
        <f t="shared" si="1"/>
        <v>1.7899485720267116E-2</v>
      </c>
      <c r="E6">
        <f t="shared" si="2"/>
        <v>3.2039158905004643E-4</v>
      </c>
    </row>
    <row r="7" spans="1:8" x14ac:dyDescent="0.25">
      <c r="A7">
        <v>1.01081617485</v>
      </c>
      <c r="B7">
        <v>0.52914434417970024</v>
      </c>
      <c r="C7">
        <f t="shared" si="0"/>
        <v>0.48077656112094341</v>
      </c>
      <c r="D7">
        <f t="shared" si="1"/>
        <v>4.836778305875683E-2</v>
      </c>
      <c r="E7">
        <f t="shared" si="2"/>
        <v>2.3394424380189642E-3</v>
      </c>
    </row>
    <row r="8" spans="1:8" x14ac:dyDescent="0.25">
      <c r="A8">
        <v>1.1661848297499999</v>
      </c>
      <c r="B8">
        <v>0.42072638986765154</v>
      </c>
      <c r="C8">
        <f t="shared" si="0"/>
        <v>0.41673746291666652</v>
      </c>
      <c r="D8">
        <f t="shared" si="1"/>
        <v>3.9889269509850167E-3</v>
      </c>
      <c r="E8">
        <f t="shared" si="2"/>
        <v>1.591153822029462E-5</v>
      </c>
    </row>
    <row r="9" spans="1:8" x14ac:dyDescent="0.25">
      <c r="A9">
        <v>1.3215534846500001</v>
      </c>
      <c r="B9">
        <v>0.35195380690851619</v>
      </c>
      <c r="C9">
        <f t="shared" si="0"/>
        <v>0.35609070222494194</v>
      </c>
      <c r="D9">
        <f t="shared" si="1"/>
        <v>-4.1368953164257483E-3</v>
      </c>
      <c r="E9">
        <f t="shared" si="2"/>
        <v>1.7113902859065292E-5</v>
      </c>
    </row>
    <row r="10" spans="1:8" x14ac:dyDescent="0.25">
      <c r="A10">
        <v>1.4769221395500001</v>
      </c>
      <c r="B10">
        <v>0.29572210672428201</v>
      </c>
      <c r="C10">
        <f t="shared" si="0"/>
        <v>0.30054016357192231</v>
      </c>
      <c r="D10">
        <f t="shared" si="1"/>
        <v>-4.8180568476403063E-3</v>
      </c>
      <c r="E10">
        <f t="shared" si="2"/>
        <v>2.3213671787093645E-5</v>
      </c>
    </row>
    <row r="11" spans="1:8" x14ac:dyDescent="0.25">
      <c r="A11">
        <v>1.6322907944500002</v>
      </c>
      <c r="B11">
        <v>0.25162674470930696</v>
      </c>
      <c r="C11">
        <f t="shared" si="0"/>
        <v>0.25091625032452464</v>
      </c>
      <c r="D11">
        <f t="shared" si="1"/>
        <v>7.1049438478232307E-4</v>
      </c>
      <c r="E11">
        <f t="shared" si="2"/>
        <v>5.0480227080721181E-7</v>
      </c>
    </row>
    <row r="12" spans="1:8" x14ac:dyDescent="0.25">
      <c r="A12">
        <v>1.78765944935</v>
      </c>
      <c r="B12">
        <v>0.19256323228557898</v>
      </c>
      <c r="C12">
        <f t="shared" si="0"/>
        <v>0.20745884156641173</v>
      </c>
      <c r="D12">
        <f t="shared" si="1"/>
        <v>-1.489560928083275E-2</v>
      </c>
      <c r="E12">
        <f t="shared" si="2"/>
        <v>2.2187917584723076E-4</v>
      </c>
    </row>
    <row r="13" spans="1:8" x14ac:dyDescent="0.25">
      <c r="A13">
        <v>1.9430281042500002</v>
      </c>
      <c r="B13">
        <v>0.15129968251009776</v>
      </c>
      <c r="C13">
        <f t="shared" si="0"/>
        <v>0.17002080284376872</v>
      </c>
      <c r="D13">
        <f t="shared" si="1"/>
        <v>-1.872112033367096E-2</v>
      </c>
      <c r="E13">
        <f t="shared" si="2"/>
        <v>3.5048034654778826E-4</v>
      </c>
    </row>
    <row r="14" spans="1:8" x14ac:dyDescent="0.25">
      <c r="A14">
        <v>2.0983967591499999</v>
      </c>
      <c r="B14">
        <v>0.13875879973519661</v>
      </c>
      <c r="C14">
        <f t="shared" si="0"/>
        <v>0.13821513603821201</v>
      </c>
      <c r="D14">
        <f t="shared" si="1"/>
        <v>5.436636969846087E-4</v>
      </c>
      <c r="E14">
        <f t="shared" si="2"/>
        <v>2.9557021541897244E-7</v>
      </c>
    </row>
    <row r="15" spans="1:8" x14ac:dyDescent="0.25">
      <c r="A15">
        <v>2.2537654140500001</v>
      </c>
      <c r="B15">
        <v>0.10477705286127091</v>
      </c>
      <c r="C15">
        <f t="shared" si="0"/>
        <v>0.11152044997754258</v>
      </c>
      <c r="D15">
        <f t="shared" si="1"/>
        <v>-6.743397116271671E-3</v>
      </c>
      <c r="E15">
        <f t="shared" si="2"/>
        <v>4.5473404667741092E-5</v>
      </c>
    </row>
    <row r="16" spans="1:8" x14ac:dyDescent="0.25">
      <c r="A16">
        <v>2.4091340689500003</v>
      </c>
      <c r="B16">
        <v>8.4145277973530302E-2</v>
      </c>
      <c r="C16">
        <f t="shared" si="0"/>
        <v>8.9355077379591363E-2</v>
      </c>
      <c r="D16">
        <f t="shared" si="1"/>
        <v>-5.2097994060610608E-3</v>
      </c>
      <c r="E16">
        <f t="shared" si="2"/>
        <v>2.7142009851394181E-5</v>
      </c>
    </row>
    <row r="17" spans="1:5" x14ac:dyDescent="0.25">
      <c r="A17">
        <v>2.56450272385</v>
      </c>
      <c r="B17">
        <v>7.4031662832480999E-2</v>
      </c>
      <c r="C17">
        <f t="shared" si="0"/>
        <v>7.1127567966219093E-2</v>
      </c>
      <c r="D17">
        <f t="shared" si="1"/>
        <v>2.9040948662619054E-3</v>
      </c>
      <c r="E17">
        <f t="shared" si="2"/>
        <v>8.4337669922487543E-6</v>
      </c>
    </row>
    <row r="18" spans="1:5" x14ac:dyDescent="0.25">
      <c r="A18">
        <v>2.7198713787500002</v>
      </c>
      <c r="B18">
        <v>6.1086235451937865E-2</v>
      </c>
      <c r="C18">
        <f t="shared" si="0"/>
        <v>5.6269531820424691E-2</v>
      </c>
      <c r="D18">
        <f t="shared" si="1"/>
        <v>4.8167036315131737E-3</v>
      </c>
      <c r="E18">
        <f t="shared" si="2"/>
        <v>2.3200633873832195E-5</v>
      </c>
    </row>
    <row r="19" spans="1:5" x14ac:dyDescent="0.25">
      <c r="A19">
        <v>2.8752400336499999</v>
      </c>
      <c r="B19">
        <v>4.8949897282678692E-2</v>
      </c>
      <c r="C19">
        <f t="shared" si="0"/>
        <v>4.4255502354609282E-2</v>
      </c>
      <c r="D19">
        <f t="shared" si="1"/>
        <v>4.6943949280694106E-3</v>
      </c>
      <c r="E19">
        <f t="shared" si="2"/>
        <v>2.2037343740683808E-5</v>
      </c>
    </row>
    <row r="20" spans="1:5" x14ac:dyDescent="0.25">
      <c r="A20">
        <v>3.0306086885500001</v>
      </c>
      <c r="B20">
        <v>3.5195380690851617E-2</v>
      </c>
      <c r="C20">
        <f t="shared" si="0"/>
        <v>3.4613462742105708E-2</v>
      </c>
      <c r="D20">
        <f t="shared" si="1"/>
        <v>5.8191794874590946E-4</v>
      </c>
      <c r="E20">
        <f t="shared" si="2"/>
        <v>3.3862849907264691E-7</v>
      </c>
    </row>
    <row r="21" spans="1:5" x14ac:dyDescent="0.25">
      <c r="A21">
        <v>3.1859773434500003</v>
      </c>
      <c r="B21">
        <v>2.8722667000580057E-2</v>
      </c>
      <c r="C21">
        <f t="shared" si="0"/>
        <v>2.6928852484376112E-2</v>
      </c>
      <c r="D21">
        <f t="shared" si="1"/>
        <v>1.7938145162039454E-3</v>
      </c>
      <c r="E21">
        <f t="shared" si="2"/>
        <v>3.2177705185439945E-6</v>
      </c>
    </row>
    <row r="22" spans="1:5" x14ac:dyDescent="0.25">
      <c r="A22">
        <v>3.3413459983500005</v>
      </c>
      <c r="B22">
        <v>2.2654497915950467E-2</v>
      </c>
      <c r="C22">
        <f t="shared" si="0"/>
        <v>2.0844199453004832E-2</v>
      </c>
      <c r="D22">
        <f t="shared" si="1"/>
        <v>1.8102984629456351E-3</v>
      </c>
      <c r="E22">
        <f t="shared" si="2"/>
        <v>3.277180524943329E-6</v>
      </c>
    </row>
    <row r="23" spans="1:5" x14ac:dyDescent="0.25">
      <c r="A23">
        <v>3.4967146532500002</v>
      </c>
      <c r="B23">
        <v>1.9822685676456658E-2</v>
      </c>
      <c r="C23">
        <f t="shared" si="0"/>
        <v>1.605598079179775E-2</v>
      </c>
      <c r="D23">
        <f t="shared" si="1"/>
        <v>3.7667048846589078E-3</v>
      </c>
      <c r="E23">
        <f t="shared" si="2"/>
        <v>1.4188065688113276E-5</v>
      </c>
    </row>
    <row r="24" spans="1:5" x14ac:dyDescent="0.25">
      <c r="A24">
        <v>3.6520833081499999</v>
      </c>
      <c r="B24">
        <v>1.9013596465172714E-2</v>
      </c>
      <c r="C24">
        <f t="shared" si="0"/>
        <v>1.2309883703079989E-2</v>
      </c>
      <c r="D24">
        <f t="shared" si="1"/>
        <v>6.7037127620927246E-3</v>
      </c>
      <c r="E24">
        <f t="shared" si="2"/>
        <v>4.4939764796644869E-5</v>
      </c>
    </row>
    <row r="25" spans="1:5" x14ac:dyDescent="0.25">
      <c r="A25">
        <v>3.8074519630500001</v>
      </c>
      <c r="B25">
        <v>7.6863475071974798E-3</v>
      </c>
      <c r="C25">
        <f t="shared" si="0"/>
        <v>9.3952975769216723E-3</v>
      </c>
      <c r="D25">
        <f t="shared" si="1"/>
        <v>-1.7089500697241924E-3</v>
      </c>
      <c r="E25">
        <f t="shared" si="2"/>
        <v>2.9205103408103222E-6</v>
      </c>
    </row>
    <row r="26" spans="1:5" x14ac:dyDescent="0.25">
      <c r="A26">
        <v>3.9628206179500003</v>
      </c>
      <c r="B26">
        <v>7.6863475071974798E-3</v>
      </c>
      <c r="C26">
        <f t="shared" si="0"/>
        <v>7.1396070747046193E-3</v>
      </c>
      <c r="D26">
        <f t="shared" si="1"/>
        <v>5.4674043249286052E-4</v>
      </c>
      <c r="E26">
        <f t="shared" si="2"/>
        <v>2.9892510052248015E-7</v>
      </c>
    </row>
    <row r="27" spans="1:5" x14ac:dyDescent="0.25">
      <c r="A27">
        <v>4.1181892728499996</v>
      </c>
      <c r="B27">
        <v>6.4727136902715619E-3</v>
      </c>
      <c r="C27">
        <f t="shared" si="0"/>
        <v>5.4026579885511124E-3</v>
      </c>
      <c r="D27">
        <f t="shared" si="1"/>
        <v>1.0700557017204494E-3</v>
      </c>
      <c r="E27">
        <f t="shared" si="2"/>
        <v>1.1450192047844434E-6</v>
      </c>
    </row>
    <row r="28" spans="1:5" x14ac:dyDescent="0.25">
      <c r="A28">
        <v>4.2735579277499998</v>
      </c>
      <c r="B28">
        <v>3.2363568451357809E-3</v>
      </c>
      <c r="C28">
        <f t="shared" si="0"/>
        <v>4.0716217457897408E-3</v>
      </c>
      <c r="D28">
        <f t="shared" si="1"/>
        <v>-8.3526490065395989E-4</v>
      </c>
      <c r="E28">
        <f t="shared" si="2"/>
        <v>6.9766745426446952E-7</v>
      </c>
    </row>
    <row r="29" spans="1:5" x14ac:dyDescent="0.25">
      <c r="A29">
        <v>4.4289265826499999</v>
      </c>
      <c r="B29">
        <v>2.4272676338518359E-3</v>
      </c>
      <c r="C29">
        <f t="shared" si="0"/>
        <v>3.0563796099977573E-3</v>
      </c>
      <c r="D29">
        <f t="shared" si="1"/>
        <v>-6.2911197614592138E-4</v>
      </c>
      <c r="E29">
        <f t="shared" si="2"/>
        <v>3.9578187853022637E-7</v>
      </c>
    </row>
    <row r="30" spans="1:5" x14ac:dyDescent="0.25">
      <c r="A30">
        <v>4.5842952375500001</v>
      </c>
      <c r="B30">
        <v>3.2363568451357809E-3</v>
      </c>
      <c r="C30">
        <f t="shared" si="0"/>
        <v>2.2854747902843709E-3</v>
      </c>
      <c r="D30">
        <f t="shared" si="1"/>
        <v>9.5088205485140999E-4</v>
      </c>
      <c r="E30">
        <f t="shared" si="2"/>
        <v>9.0417668223843985E-7</v>
      </c>
    </row>
    <row r="31" spans="1:5" x14ac:dyDescent="0.25">
      <c r="A31">
        <v>4.7396638924500003</v>
      </c>
      <c r="B31">
        <v>1.6181784225678905E-3</v>
      </c>
      <c r="C31">
        <f t="shared" si="0"/>
        <v>1.7026321558224475E-3</v>
      </c>
      <c r="D31">
        <f t="shared" si="1"/>
        <v>-8.4453733254557075E-5</v>
      </c>
      <c r="E31">
        <f t="shared" si="2"/>
        <v>7.1324330606318795E-9</v>
      </c>
    </row>
    <row r="32" spans="1:5" x14ac:dyDescent="0.25">
      <c r="A32">
        <v>4.8950325473500005</v>
      </c>
      <c r="B32">
        <v>0</v>
      </c>
      <c r="C32">
        <f t="shared" si="0"/>
        <v>1.263814812422771E-3</v>
      </c>
      <c r="D32">
        <f t="shared" si="1"/>
        <v>-1.263814812422771E-3</v>
      </c>
      <c r="E32">
        <f t="shared" si="2"/>
        <v>1.5972278800992039E-6</v>
      </c>
    </row>
    <row r="33" spans="1:5" x14ac:dyDescent="0.25">
      <c r="A33">
        <v>5.0504012022500007</v>
      </c>
      <c r="B33">
        <v>1.6181784225678905E-3</v>
      </c>
      <c r="C33">
        <f t="shared" si="0"/>
        <v>9.3476943891159609E-4</v>
      </c>
      <c r="D33">
        <f t="shared" si="1"/>
        <v>6.8340898365629437E-4</v>
      </c>
      <c r="E33">
        <f t="shared" si="2"/>
        <v>4.6704783894212921E-7</v>
      </c>
    </row>
    <row r="34" spans="1:5" x14ac:dyDescent="0.25">
      <c r="A34">
        <v>5.20576985715</v>
      </c>
      <c r="B34">
        <v>1.213633816925918E-3</v>
      </c>
      <c r="C34">
        <f t="shared" si="0"/>
        <v>6.8900410153418168E-4</v>
      </c>
      <c r="D34">
        <f t="shared" si="1"/>
        <v>5.2462971539173628E-4</v>
      </c>
      <c r="E34">
        <f t="shared" si="2"/>
        <v>2.7523633827201423E-7</v>
      </c>
    </row>
    <row r="35" spans="1:5" x14ac:dyDescent="0.25">
      <c r="A35">
        <v>5.3611385120500001</v>
      </c>
      <c r="B35">
        <v>4.0454460564197262E-4</v>
      </c>
      <c r="C35">
        <f t="shared" si="0"/>
        <v>5.0614028341503903E-4</v>
      </c>
      <c r="D35">
        <f t="shared" si="1"/>
        <v>-1.0159567777306641E-4</v>
      </c>
      <c r="E35">
        <f t="shared" si="2"/>
        <v>1.032168174216874E-8</v>
      </c>
    </row>
    <row r="36" spans="1:5" x14ac:dyDescent="0.25">
      <c r="A36">
        <v>5.5165071669500003</v>
      </c>
      <c r="B36">
        <v>4.0454460564197262E-4</v>
      </c>
      <c r="C36">
        <f t="shared" si="0"/>
        <v>3.7058285841753199E-4</v>
      </c>
      <c r="D36">
        <f t="shared" si="1"/>
        <v>3.396174722444063E-5</v>
      </c>
      <c r="E36">
        <f t="shared" si="2"/>
        <v>1.1534002745368008E-9</v>
      </c>
    </row>
    <row r="37" spans="1:5" x14ac:dyDescent="0.25">
      <c r="A37">
        <v>5.6718758218500005</v>
      </c>
      <c r="B37">
        <v>8.0908921128394523E-4</v>
      </c>
      <c r="C37">
        <f t="shared" si="0"/>
        <v>2.7045608625970026E-4</v>
      </c>
      <c r="D37">
        <f t="shared" si="1"/>
        <v>5.3863312502424503E-4</v>
      </c>
      <c r="E37">
        <f t="shared" si="2"/>
        <v>2.9012564337338397E-7</v>
      </c>
    </row>
    <row r="38" spans="1:5" x14ac:dyDescent="0.25">
      <c r="A38">
        <v>5.8272444767499998</v>
      </c>
      <c r="B38">
        <v>4.0454460564197262E-4</v>
      </c>
      <c r="C38">
        <f t="shared" si="0"/>
        <v>1.9675926546911963E-4</v>
      </c>
      <c r="D38">
        <f t="shared" si="1"/>
        <v>2.0778534017285298E-4</v>
      </c>
      <c r="E38">
        <f t="shared" si="2"/>
        <v>4.317474759074823E-8</v>
      </c>
    </row>
    <row r="39" spans="1:5" x14ac:dyDescent="0.25">
      <c r="A39">
        <v>5.98261313165</v>
      </c>
      <c r="B39">
        <v>0</v>
      </c>
      <c r="C39">
        <f t="shared" si="0"/>
        <v>1.4270167375437005E-4</v>
      </c>
      <c r="D39">
        <f t="shared" si="1"/>
        <v>-1.4270167375437005E-4</v>
      </c>
      <c r="E39">
        <f t="shared" si="2"/>
        <v>2.0363767692298664E-8</v>
      </c>
    </row>
    <row r="40" spans="1:5" x14ac:dyDescent="0.25">
      <c r="A40">
        <v>6.1379817865500002</v>
      </c>
      <c r="B40">
        <v>4.0454460564197262E-4</v>
      </c>
      <c r="C40">
        <f t="shared" si="0"/>
        <v>1.0318234503914794E-4</v>
      </c>
      <c r="D40">
        <f t="shared" si="1"/>
        <v>3.013622606028247E-4</v>
      </c>
      <c r="E40">
        <f t="shared" si="2"/>
        <v>9.0819212115644828E-8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202B4-13FA-4AE8-AF88-CF23A32D44C8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7.5536693974999999E-2</v>
      </c>
      <c r="B1">
        <v>0.42326260917560987</v>
      </c>
      <c r="C1">
        <f>$H$3*(1+$H$1)*(A1^($H$1))*EXP(-$H$3*(A1^(1+$H$1)))</f>
        <v>0.44702291833666247</v>
      </c>
      <c r="D1">
        <f>B1-C1</f>
        <v>-2.3760309161052595E-2</v>
      </c>
      <c r="E1">
        <f>D1^2</f>
        <v>5.6455229142879989E-4</v>
      </c>
      <c r="G1" t="s">
        <v>0</v>
      </c>
      <c r="H1">
        <v>0.37797289993166511</v>
      </c>
    </row>
    <row r="2" spans="1:8" x14ac:dyDescent="0.25">
      <c r="A2">
        <v>0.22433145392499998</v>
      </c>
      <c r="B2">
        <v>0.63024731825350289</v>
      </c>
      <c r="C2">
        <f t="shared" ref="C2:C40" si="0">$H$3*(1+$H$1)*(A2^($H$1))*EXP(-$H$3*(A2^(1+$H$1)))</f>
        <v>0.61804113880374179</v>
      </c>
      <c r="D2">
        <f t="shared" ref="D2:D40" si="1">B2-C2</f>
        <v>1.2206179449761101E-2</v>
      </c>
      <c r="E2">
        <f t="shared" ref="E2:E40" si="2">D2^2</f>
        <v>1.4899081675977022E-4</v>
      </c>
    </row>
    <row r="3" spans="1:8" x14ac:dyDescent="0.25">
      <c r="A3">
        <v>0.373126213875</v>
      </c>
      <c r="B3">
        <v>0.70205833977032295</v>
      </c>
      <c r="C3">
        <f t="shared" si="0"/>
        <v>0.66811293269071126</v>
      </c>
      <c r="D3">
        <f t="shared" si="1"/>
        <v>3.3945407079611689E-2</v>
      </c>
      <c r="E3">
        <f t="shared" si="2"/>
        <v>1.1522906618005515E-3</v>
      </c>
      <c r="G3" t="s">
        <v>1</v>
      </c>
      <c r="H3">
        <f>(_xlfn.GAMMA((2+$H$1)/(1+$H$1)))^(1+$H$1)</f>
        <v>0.88313684330350939</v>
      </c>
    </row>
    <row r="4" spans="1:8" x14ac:dyDescent="0.25">
      <c r="A4">
        <v>0.52192097382500002</v>
      </c>
      <c r="B4">
        <v>0.65812689131297419</v>
      </c>
      <c r="C4">
        <f t="shared" si="0"/>
        <v>0.66369946710927152</v>
      </c>
      <c r="D4">
        <f t="shared" si="1"/>
        <v>-5.5725757962973299E-3</v>
      </c>
      <c r="E4">
        <f t="shared" si="2"/>
        <v>3.1053601005478819E-5</v>
      </c>
    </row>
    <row r="5" spans="1:8" x14ac:dyDescent="0.25">
      <c r="A5">
        <v>0.67071573377500004</v>
      </c>
      <c r="B5">
        <v>0.59054004753243772</v>
      </c>
      <c r="C5">
        <f t="shared" si="0"/>
        <v>0.62878756509356648</v>
      </c>
      <c r="D5">
        <f t="shared" si="1"/>
        <v>-3.8247517561128763E-2</v>
      </c>
      <c r="E5">
        <f t="shared" si="2"/>
        <v>1.4628725995888532E-3</v>
      </c>
      <c r="G5" t="s">
        <v>2</v>
      </c>
      <c r="H5">
        <f>SUM(E1:E40)</f>
        <v>7.1560617238784225E-3</v>
      </c>
    </row>
    <row r="6" spans="1:8" x14ac:dyDescent="0.25">
      <c r="A6">
        <v>0.81951049372500007</v>
      </c>
      <c r="B6">
        <v>0.5314015592244683</v>
      </c>
      <c r="C6">
        <f t="shared" si="0"/>
        <v>0.57684380404696467</v>
      </c>
      <c r="D6">
        <f t="shared" si="1"/>
        <v>-4.5442244822496369E-2</v>
      </c>
      <c r="E6">
        <f t="shared" si="2"/>
        <v>2.064997614507698E-3</v>
      </c>
    </row>
    <row r="7" spans="1:8" x14ac:dyDescent="0.25">
      <c r="A7">
        <v>0.96830525367500009</v>
      </c>
      <c r="B7">
        <v>0.52633254594092804</v>
      </c>
      <c r="C7">
        <f t="shared" si="0"/>
        <v>0.51652366478698131</v>
      </c>
      <c r="D7">
        <f t="shared" si="1"/>
        <v>9.8088811539467358E-3</v>
      </c>
      <c r="E7">
        <f t="shared" si="2"/>
        <v>9.6214149492251447E-5</v>
      </c>
    </row>
    <row r="8" spans="1:8" x14ac:dyDescent="0.25">
      <c r="A8">
        <v>1.117100013625</v>
      </c>
      <c r="B8">
        <v>0.47902175529455249</v>
      </c>
      <c r="C8">
        <f t="shared" si="0"/>
        <v>0.45360556360149284</v>
      </c>
      <c r="D8">
        <f t="shared" si="1"/>
        <v>2.5416191693059642E-2</v>
      </c>
      <c r="E8">
        <f t="shared" si="2"/>
        <v>6.4598280017835394E-4</v>
      </c>
    </row>
    <row r="9" spans="1:8" x14ac:dyDescent="0.25">
      <c r="A9">
        <v>1.2658947735749999</v>
      </c>
      <c r="B9">
        <v>0.40509864490959069</v>
      </c>
      <c r="C9">
        <f t="shared" si="0"/>
        <v>0.39191650608817968</v>
      </c>
      <c r="D9">
        <f t="shared" si="1"/>
        <v>1.3182138821411005E-2</v>
      </c>
      <c r="E9">
        <f t="shared" si="2"/>
        <v>1.737687839069511E-4</v>
      </c>
    </row>
    <row r="10" spans="1:8" x14ac:dyDescent="0.25">
      <c r="A10">
        <v>1.414689533525</v>
      </c>
      <c r="B10">
        <v>0.34300323218622275</v>
      </c>
      <c r="C10">
        <f t="shared" si="0"/>
        <v>0.33388827232439061</v>
      </c>
      <c r="D10">
        <f t="shared" si="1"/>
        <v>9.1149598618321392E-3</v>
      </c>
      <c r="E10">
        <f t="shared" si="2"/>
        <v>8.3082493282810976E-5</v>
      </c>
    </row>
    <row r="11" spans="1:8" x14ac:dyDescent="0.25">
      <c r="A11">
        <v>1.5634842934750002</v>
      </c>
      <c r="B11">
        <v>0.28386474387825333</v>
      </c>
      <c r="C11">
        <f t="shared" si="0"/>
        <v>0.2809409904170389</v>
      </c>
      <c r="D11">
        <f t="shared" si="1"/>
        <v>2.9237534612144289E-3</v>
      </c>
      <c r="E11">
        <f t="shared" si="2"/>
        <v>8.5483343019633532E-6</v>
      </c>
    </row>
    <row r="12" spans="1:8" x14ac:dyDescent="0.25">
      <c r="A12">
        <v>1.7122790534250001</v>
      </c>
      <c r="B12">
        <v>0.22219174892851376</v>
      </c>
      <c r="C12">
        <f t="shared" si="0"/>
        <v>0.23376724652525568</v>
      </c>
      <c r="D12">
        <f t="shared" si="1"/>
        <v>-1.1575497596741924E-2</v>
      </c>
      <c r="E12">
        <f t="shared" si="2"/>
        <v>1.3399214461217804E-4</v>
      </c>
    </row>
    <row r="13" spans="1:8" x14ac:dyDescent="0.25">
      <c r="A13">
        <v>1.8610738133750002</v>
      </c>
      <c r="B13">
        <v>0.17783788269753667</v>
      </c>
      <c r="C13">
        <f t="shared" si="0"/>
        <v>0.19254876576201066</v>
      </c>
      <c r="D13">
        <f t="shared" si="1"/>
        <v>-1.471088306447399E-2</v>
      </c>
      <c r="E13">
        <f t="shared" si="2"/>
        <v>2.1641008053662763E-4</v>
      </c>
    </row>
    <row r="14" spans="1:8" x14ac:dyDescent="0.25">
      <c r="A14">
        <v>2.0098685733249999</v>
      </c>
      <c r="B14">
        <v>0.15122556295895043</v>
      </c>
      <c r="C14">
        <f t="shared" si="0"/>
        <v>0.15712244936876291</v>
      </c>
      <c r="D14">
        <f t="shared" si="1"/>
        <v>-5.8968864098124796E-3</v>
      </c>
      <c r="E14">
        <f t="shared" si="2"/>
        <v>3.4773269330231112E-5</v>
      </c>
    </row>
    <row r="15" spans="1:8" x14ac:dyDescent="0.25">
      <c r="A15">
        <v>2.1586633332750003</v>
      </c>
      <c r="B15">
        <v>0.12376840767310748</v>
      </c>
      <c r="C15">
        <f t="shared" si="0"/>
        <v>0.12710638446197134</v>
      </c>
      <c r="D15">
        <f t="shared" si="1"/>
        <v>-3.3379767888638556E-3</v>
      </c>
      <c r="E15">
        <f t="shared" si="2"/>
        <v>1.1142089042993857E-5</v>
      </c>
    </row>
    <row r="16" spans="1:8" x14ac:dyDescent="0.25">
      <c r="A16">
        <v>2.3074580932250002</v>
      </c>
      <c r="B16">
        <v>8.8707732461954167E-2</v>
      </c>
      <c r="C16">
        <f t="shared" si="0"/>
        <v>0.10199366460308666</v>
      </c>
      <c r="D16">
        <f t="shared" si="1"/>
        <v>-1.3285932141132495E-2</v>
      </c>
      <c r="E16">
        <f t="shared" si="2"/>
        <v>1.7651599285877748E-4</v>
      </c>
    </row>
    <row r="17" spans="1:5" x14ac:dyDescent="0.25">
      <c r="A17">
        <v>2.4562528531750001</v>
      </c>
      <c r="B17">
        <v>7.8569705894873693E-2</v>
      </c>
      <c r="C17">
        <f t="shared" si="0"/>
        <v>8.1220374614950172E-2</v>
      </c>
      <c r="D17">
        <f t="shared" si="1"/>
        <v>-2.6506687200764795E-3</v>
      </c>
      <c r="E17">
        <f t="shared" si="2"/>
        <v>7.0260446635918821E-6</v>
      </c>
    </row>
    <row r="18" spans="1:5" x14ac:dyDescent="0.25">
      <c r="A18">
        <v>2.6050476131250004</v>
      </c>
      <c r="B18">
        <v>7.2233439290448398E-2</v>
      </c>
      <c r="C18">
        <f t="shared" si="0"/>
        <v>6.4213098212596506E-2</v>
      </c>
      <c r="D18">
        <f t="shared" si="1"/>
        <v>8.0203410778518919E-3</v>
      </c>
      <c r="E18">
        <f t="shared" si="2"/>
        <v>6.4325871005078451E-5</v>
      </c>
    </row>
    <row r="19" spans="1:5" x14ac:dyDescent="0.25">
      <c r="A19">
        <v>2.7538423730749999</v>
      </c>
      <c r="B19">
        <v>5.1957386156287443E-2</v>
      </c>
      <c r="C19">
        <f t="shared" si="0"/>
        <v>5.042049937268004E-2</v>
      </c>
      <c r="D19">
        <f t="shared" si="1"/>
        <v>1.5368867836074024E-3</v>
      </c>
      <c r="E19">
        <f t="shared" si="2"/>
        <v>2.3620209856271066E-6</v>
      </c>
    </row>
    <row r="20" spans="1:5" x14ac:dyDescent="0.25">
      <c r="A20">
        <v>2.9026371330250003</v>
      </c>
      <c r="B20">
        <v>3.8862435173808489E-2</v>
      </c>
      <c r="C20">
        <f t="shared" si="0"/>
        <v>3.933280461049625E-2</v>
      </c>
      <c r="D20">
        <f t="shared" si="1"/>
        <v>-4.703694366877606E-4</v>
      </c>
      <c r="E20">
        <f t="shared" si="2"/>
        <v>2.2124740696996124E-7</v>
      </c>
    </row>
    <row r="21" spans="1:5" x14ac:dyDescent="0.25">
      <c r="A21">
        <v>3.0514318929750002</v>
      </c>
      <c r="B21">
        <v>2.9569244153984722E-2</v>
      </c>
      <c r="C21">
        <f t="shared" si="0"/>
        <v>3.0492347929050916E-2</v>
      </c>
      <c r="D21">
        <f t="shared" si="1"/>
        <v>-9.2310377506619329E-4</v>
      </c>
      <c r="E21">
        <f t="shared" si="2"/>
        <v>8.521205795414572E-7</v>
      </c>
    </row>
    <row r="22" spans="1:5" x14ac:dyDescent="0.25">
      <c r="A22">
        <v>3.2002266529250001</v>
      </c>
      <c r="B22">
        <v>2.661231973858625E-2</v>
      </c>
      <c r="C22">
        <f t="shared" si="0"/>
        <v>2.3497734608453748E-2</v>
      </c>
      <c r="D22">
        <f t="shared" si="1"/>
        <v>3.1145851301325016E-3</v>
      </c>
      <c r="E22">
        <f t="shared" si="2"/>
        <v>9.700640532842492E-6</v>
      </c>
    </row>
    <row r="23" spans="1:5" x14ac:dyDescent="0.25">
      <c r="A23">
        <v>3.3490214128750004</v>
      </c>
      <c r="B23">
        <v>2.5345066417701189E-2</v>
      </c>
      <c r="C23">
        <f t="shared" si="0"/>
        <v>1.8003641669787886E-2</v>
      </c>
      <c r="D23">
        <f t="shared" si="1"/>
        <v>7.3414247479133034E-3</v>
      </c>
      <c r="E23">
        <f t="shared" si="2"/>
        <v>5.3896517329273909E-5</v>
      </c>
    </row>
    <row r="24" spans="1:5" x14ac:dyDescent="0.25">
      <c r="A24">
        <v>3.4978161728250003</v>
      </c>
      <c r="B24">
        <v>1.5629457624249068E-2</v>
      </c>
      <c r="C24">
        <f t="shared" si="0"/>
        <v>1.3717807242382994E-2</v>
      </c>
      <c r="D24">
        <f t="shared" si="1"/>
        <v>1.9116503818660743E-3</v>
      </c>
      <c r="E24">
        <f t="shared" si="2"/>
        <v>3.6544071824887076E-6</v>
      </c>
    </row>
    <row r="25" spans="1:5" x14ac:dyDescent="0.25">
      <c r="A25">
        <v>3.6466109327750003</v>
      </c>
      <c r="B25">
        <v>1.056044434070883E-2</v>
      </c>
      <c r="C25">
        <f t="shared" si="0"/>
        <v>1.0396369412178962E-2</v>
      </c>
      <c r="D25">
        <f t="shared" si="1"/>
        <v>1.6407492852986774E-4</v>
      </c>
      <c r="E25">
        <f t="shared" si="2"/>
        <v>2.6920582172081208E-8</v>
      </c>
    </row>
    <row r="26" spans="1:5" x14ac:dyDescent="0.25">
      <c r="A26">
        <v>3.7954056927250002</v>
      </c>
      <c r="B26">
        <v>9.7156087934521223E-3</v>
      </c>
      <c r="C26">
        <f t="shared" si="0"/>
        <v>7.8383945736471092E-3</v>
      </c>
      <c r="D26">
        <f t="shared" si="1"/>
        <v>1.877214219805013E-3</v>
      </c>
      <c r="E26">
        <f t="shared" si="2"/>
        <v>3.5239332270381438E-6</v>
      </c>
    </row>
    <row r="27" spans="1:5" x14ac:dyDescent="0.25">
      <c r="A27">
        <v>3.9442004526750001</v>
      </c>
      <c r="B27">
        <v>7.6035199253103565E-3</v>
      </c>
      <c r="C27">
        <f t="shared" si="0"/>
        <v>5.8801799386944071E-3</v>
      </c>
      <c r="D27">
        <f t="shared" si="1"/>
        <v>1.7233399866159495E-3</v>
      </c>
      <c r="E27">
        <f t="shared" si="2"/>
        <v>2.9699007094694609E-6</v>
      </c>
    </row>
    <row r="28" spans="1:5" x14ac:dyDescent="0.25">
      <c r="A28">
        <v>4.0929952126250004</v>
      </c>
      <c r="B28">
        <v>4.2241777362835315E-3</v>
      </c>
      <c r="C28">
        <f t="shared" si="0"/>
        <v>4.3897169054152299E-3</v>
      </c>
      <c r="D28">
        <f t="shared" si="1"/>
        <v>-1.6553916913169837E-4</v>
      </c>
      <c r="E28">
        <f t="shared" si="2"/>
        <v>2.7403216516813037E-8</v>
      </c>
    </row>
    <row r="29" spans="1:5" x14ac:dyDescent="0.25">
      <c r="A29">
        <v>4.2417899725749999</v>
      </c>
      <c r="B29">
        <v>2.534506641770119E-3</v>
      </c>
      <c r="C29">
        <f t="shared" si="0"/>
        <v>3.2615528842695669E-3</v>
      </c>
      <c r="D29">
        <f t="shared" si="1"/>
        <v>-7.270462424994479E-4</v>
      </c>
      <c r="E29">
        <f t="shared" si="2"/>
        <v>5.2859623873256599E-7</v>
      </c>
    </row>
    <row r="30" spans="1:5" x14ac:dyDescent="0.25">
      <c r="A30">
        <v>4.3905847325250003</v>
      </c>
      <c r="B30">
        <v>2.1120888681417658E-3</v>
      </c>
      <c r="C30">
        <f t="shared" si="0"/>
        <v>2.4121803459949387E-3</v>
      </c>
      <c r="D30">
        <f t="shared" si="1"/>
        <v>-3.0009147785317299E-4</v>
      </c>
      <c r="E30">
        <f t="shared" si="2"/>
        <v>9.0054895080101415E-8</v>
      </c>
    </row>
    <row r="31" spans="1:5" x14ac:dyDescent="0.25">
      <c r="A31">
        <v>4.5393794924750006</v>
      </c>
      <c r="B31">
        <v>2.1120888681417658E-3</v>
      </c>
      <c r="C31">
        <f t="shared" si="0"/>
        <v>1.7760052704085001E-3</v>
      </c>
      <c r="D31">
        <f t="shared" si="1"/>
        <v>3.360835977332657E-4</v>
      </c>
      <c r="E31">
        <f t="shared" si="2"/>
        <v>1.1295218466533556E-7</v>
      </c>
    </row>
    <row r="32" spans="1:5" x14ac:dyDescent="0.25">
      <c r="A32">
        <v>4.6881742524250001</v>
      </c>
      <c r="B32">
        <v>8.4483554725670637E-4</v>
      </c>
      <c r="C32">
        <f t="shared" si="0"/>
        <v>1.3018956906376959E-3</v>
      </c>
      <c r="D32">
        <f t="shared" si="1"/>
        <v>-4.570601433809895E-4</v>
      </c>
      <c r="E32">
        <f t="shared" si="2"/>
        <v>2.0890397466745067E-7</v>
      </c>
    </row>
    <row r="33" spans="1:5" x14ac:dyDescent="0.25">
      <c r="A33">
        <v>4.8369690123750004</v>
      </c>
      <c r="B33">
        <v>1.2672533208850595E-3</v>
      </c>
      <c r="C33">
        <f t="shared" si="0"/>
        <v>9.5027852459806956E-4</v>
      </c>
      <c r="D33">
        <f t="shared" si="1"/>
        <v>3.1697479628698994E-4</v>
      </c>
      <c r="E33">
        <f t="shared" si="2"/>
        <v>1.0047302148117877E-7</v>
      </c>
    </row>
    <row r="34" spans="1:5" x14ac:dyDescent="0.25">
      <c r="A34">
        <v>4.9857637723250008</v>
      </c>
      <c r="B34">
        <v>1.2672533208850595E-3</v>
      </c>
      <c r="C34">
        <f t="shared" si="0"/>
        <v>6.9073430214455854E-4</v>
      </c>
      <c r="D34">
        <f t="shared" si="1"/>
        <v>5.7651901874050096E-4</v>
      </c>
      <c r="E34">
        <f t="shared" si="2"/>
        <v>3.3237417896951012E-7</v>
      </c>
    </row>
    <row r="35" spans="1:5" x14ac:dyDescent="0.25">
      <c r="A35">
        <v>5.1345585322750011</v>
      </c>
      <c r="B35">
        <v>4.2241777362835318E-4</v>
      </c>
      <c r="C35">
        <f t="shared" si="0"/>
        <v>5.0003067005124034E-4</v>
      </c>
      <c r="D35">
        <f t="shared" si="1"/>
        <v>-7.7612896422887161E-5</v>
      </c>
      <c r="E35">
        <f t="shared" si="2"/>
        <v>6.023761691149811E-9</v>
      </c>
    </row>
    <row r="36" spans="1:5" x14ac:dyDescent="0.25">
      <c r="A36">
        <v>5.2833532922249997</v>
      </c>
      <c r="B36">
        <v>4.2241777362835318E-4</v>
      </c>
      <c r="C36">
        <f t="shared" si="0"/>
        <v>3.6053352168672828E-4</v>
      </c>
      <c r="D36">
        <f t="shared" si="1"/>
        <v>6.1884251941624903E-5</v>
      </c>
      <c r="E36">
        <f t="shared" si="2"/>
        <v>3.8296606383745055E-9</v>
      </c>
    </row>
    <row r="37" spans="1:5" x14ac:dyDescent="0.25">
      <c r="A37">
        <v>5.4321480521750001</v>
      </c>
      <c r="B37">
        <v>8.4483554725670637E-4</v>
      </c>
      <c r="C37">
        <f t="shared" si="0"/>
        <v>2.5893685659142347E-4</v>
      </c>
      <c r="D37">
        <f t="shared" si="1"/>
        <v>5.8589869066528284E-4</v>
      </c>
      <c r="E37">
        <f t="shared" si="2"/>
        <v>3.4327727572329277E-7</v>
      </c>
    </row>
    <row r="38" spans="1:5" x14ac:dyDescent="0.25">
      <c r="A38">
        <v>5.5809428121250004</v>
      </c>
      <c r="B38">
        <v>8.4483554725670637E-4</v>
      </c>
      <c r="C38">
        <f t="shared" si="0"/>
        <v>1.8525726614139506E-4</v>
      </c>
      <c r="D38">
        <f t="shared" si="1"/>
        <v>6.5957828111531133E-4</v>
      </c>
      <c r="E38">
        <f t="shared" si="2"/>
        <v>4.3504350891902866E-7</v>
      </c>
    </row>
    <row r="39" spans="1:5" x14ac:dyDescent="0.25">
      <c r="A39">
        <v>5.7297375720750008</v>
      </c>
      <c r="B39">
        <v>0</v>
      </c>
      <c r="C39">
        <f t="shared" si="0"/>
        <v>1.3204501447199922E-4</v>
      </c>
      <c r="D39">
        <f t="shared" si="1"/>
        <v>-1.3204501447199922E-4</v>
      </c>
      <c r="E39">
        <f t="shared" si="2"/>
        <v>1.7435885846910483E-8</v>
      </c>
    </row>
    <row r="40" spans="1:5" x14ac:dyDescent="0.25">
      <c r="A40">
        <v>5.8785323320250011</v>
      </c>
      <c r="B40">
        <v>4.2241777362835318E-4</v>
      </c>
      <c r="C40">
        <f t="shared" si="0"/>
        <v>9.3770185613277764E-5</v>
      </c>
      <c r="D40">
        <f t="shared" si="1"/>
        <v>3.2864758801507543E-4</v>
      </c>
      <c r="E40">
        <f t="shared" si="2"/>
        <v>1.0800923710812676E-7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7DDE3-3082-45AC-834D-DE0231BCA27D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7.4192505424999999E-2</v>
      </c>
      <c r="B1">
        <v>0.37036870062750626</v>
      </c>
      <c r="C1">
        <f>$H$3*(1+$H$1)*(A1^($H$1))*EXP(-$H$3*(A1^(1+$H$1)))</f>
        <v>0.40092194482356186</v>
      </c>
      <c r="D1">
        <f>B1-C1</f>
        <v>-3.0553244196055596E-2</v>
      </c>
      <c r="E1">
        <f>D1^2</f>
        <v>9.335007309038049E-4</v>
      </c>
      <c r="G1" t="s">
        <v>0</v>
      </c>
      <c r="H1">
        <v>0.42752428790454416</v>
      </c>
    </row>
    <row r="2" spans="1:8" x14ac:dyDescent="0.25">
      <c r="A2">
        <v>0.21674500227499999</v>
      </c>
      <c r="B2">
        <v>0.59082626052483145</v>
      </c>
      <c r="C2">
        <f t="shared" ref="C2:C40" si="0">$H$3*(1+$H$1)*(A2^($H$1))*EXP(-$H$3*(A2^(1+$H$1)))</f>
        <v>0.58701206874309464</v>
      </c>
      <c r="D2">
        <f t="shared" ref="D2:D40" si="1">B2-C2</f>
        <v>3.8141917817368087E-3</v>
      </c>
      <c r="E2">
        <f t="shared" ref="E2:E40" si="2">D2^2</f>
        <v>1.4548058947868612E-5</v>
      </c>
    </row>
    <row r="3" spans="1:8" x14ac:dyDescent="0.25">
      <c r="A3">
        <v>0.35929749912499997</v>
      </c>
      <c r="B3">
        <v>0.70193687071308331</v>
      </c>
      <c r="C3">
        <f t="shared" si="0"/>
        <v>0.65663761027702261</v>
      </c>
      <c r="D3">
        <f t="shared" si="1"/>
        <v>4.5299260436060695E-2</v>
      </c>
      <c r="E3">
        <f t="shared" si="2"/>
        <v>2.052022996054054E-3</v>
      </c>
      <c r="G3" t="s">
        <v>1</v>
      </c>
      <c r="H3">
        <f>(_xlfn.GAMMA((2+$H$1)/(1+$H$1)))^(1+$H$1)</f>
        <v>0.87230617333813998</v>
      </c>
    </row>
    <row r="4" spans="1:8" x14ac:dyDescent="0.25">
      <c r="A4">
        <v>0.50184999597500002</v>
      </c>
      <c r="B4">
        <v>0.69091399271821696</v>
      </c>
      <c r="C4">
        <f t="shared" si="0"/>
        <v>0.66935448672942077</v>
      </c>
      <c r="D4">
        <f t="shared" si="1"/>
        <v>2.155950598879619E-2</v>
      </c>
      <c r="E4">
        <f t="shared" si="2"/>
        <v>4.648122984809388E-4</v>
      </c>
    </row>
    <row r="5" spans="1:8" x14ac:dyDescent="0.25">
      <c r="A5">
        <v>0.64440249282500006</v>
      </c>
      <c r="B5">
        <v>0.60537645947805485</v>
      </c>
      <c r="C5">
        <f t="shared" si="0"/>
        <v>0.64766590932693935</v>
      </c>
      <c r="D5">
        <f t="shared" si="1"/>
        <v>-4.2289449848884497E-2</v>
      </c>
      <c r="E5">
        <f t="shared" si="2"/>
        <v>1.788397568521317E-3</v>
      </c>
      <c r="G5" t="s">
        <v>2</v>
      </c>
      <c r="H5">
        <f>SUM(E1:E40)</f>
        <v>8.7902061512144594E-3</v>
      </c>
    </row>
    <row r="6" spans="1:8" x14ac:dyDescent="0.25">
      <c r="A6">
        <v>0.78695498967499988</v>
      </c>
      <c r="B6">
        <v>0.57186691037366144</v>
      </c>
      <c r="C6">
        <f t="shared" si="0"/>
        <v>0.6048742451907142</v>
      </c>
      <c r="D6">
        <f t="shared" si="1"/>
        <v>-3.3007334817052758E-2</v>
      </c>
      <c r="E6">
        <f t="shared" si="2"/>
        <v>1.0894841517250233E-3</v>
      </c>
    </row>
    <row r="7" spans="1:8" x14ac:dyDescent="0.25">
      <c r="A7">
        <v>0.92950748652499993</v>
      </c>
      <c r="B7">
        <v>0.52865722863378573</v>
      </c>
      <c r="C7">
        <f t="shared" si="0"/>
        <v>0.55002444530005568</v>
      </c>
      <c r="D7">
        <f t="shared" si="1"/>
        <v>-2.136721666626995E-2</v>
      </c>
      <c r="E7">
        <f t="shared" si="2"/>
        <v>4.5655794806332431E-4</v>
      </c>
    </row>
    <row r="8" spans="1:8" x14ac:dyDescent="0.25">
      <c r="A8">
        <v>1.072059983375</v>
      </c>
      <c r="B8">
        <v>0.48941578297206184</v>
      </c>
      <c r="C8">
        <f t="shared" si="0"/>
        <v>0.48952151847250763</v>
      </c>
      <c r="D8">
        <f t="shared" si="1"/>
        <v>-1.0573550044579161E-4</v>
      </c>
      <c r="E8">
        <f t="shared" si="2"/>
        <v>1.1179996054521997E-8</v>
      </c>
    </row>
    <row r="9" spans="1:8" x14ac:dyDescent="0.25">
      <c r="A9">
        <v>1.214612480225</v>
      </c>
      <c r="B9">
        <v>0.45281982802910586</v>
      </c>
      <c r="C9">
        <f t="shared" si="0"/>
        <v>0.42788632489147316</v>
      </c>
      <c r="D9">
        <f t="shared" si="1"/>
        <v>2.4933503137632707E-2</v>
      </c>
      <c r="E9">
        <f t="shared" si="2"/>
        <v>6.2167957871433999E-4</v>
      </c>
    </row>
    <row r="10" spans="1:8" x14ac:dyDescent="0.25">
      <c r="A10">
        <v>1.3571649770749998</v>
      </c>
      <c r="B10">
        <v>0.39373720197662271</v>
      </c>
      <c r="C10">
        <f t="shared" si="0"/>
        <v>0.36821534925124044</v>
      </c>
      <c r="D10">
        <f t="shared" si="1"/>
        <v>2.5521852725382266E-2</v>
      </c>
      <c r="E10">
        <f t="shared" si="2"/>
        <v>6.5136496653610222E-4</v>
      </c>
    </row>
    <row r="11" spans="1:8" x14ac:dyDescent="0.25">
      <c r="A11">
        <v>1.4997174739250001</v>
      </c>
      <c r="B11">
        <v>0.3059950931374873</v>
      </c>
      <c r="C11">
        <f t="shared" si="0"/>
        <v>0.31251257827984724</v>
      </c>
      <c r="D11">
        <f t="shared" si="1"/>
        <v>-6.5174851423599467E-3</v>
      </c>
      <c r="E11">
        <f t="shared" si="2"/>
        <v>4.2477612580882653E-5</v>
      </c>
    </row>
    <row r="12" spans="1:8" x14ac:dyDescent="0.25">
      <c r="A12">
        <v>1.6422699707750001</v>
      </c>
      <c r="B12">
        <v>0.2641081567569955</v>
      </c>
      <c r="C12">
        <f t="shared" si="0"/>
        <v>0.26195089979512076</v>
      </c>
      <c r="D12">
        <f t="shared" si="1"/>
        <v>2.1572569618747428E-3</v>
      </c>
      <c r="E12">
        <f t="shared" si="2"/>
        <v>4.6537575995570456E-6</v>
      </c>
    </row>
    <row r="13" spans="1:8" x14ac:dyDescent="0.25">
      <c r="A13">
        <v>1.784822467625</v>
      </c>
      <c r="B13">
        <v>0.20899376678266424</v>
      </c>
      <c r="C13">
        <f t="shared" si="0"/>
        <v>0.21708470512030162</v>
      </c>
      <c r="D13">
        <f t="shared" si="1"/>
        <v>-8.0909383376373822E-3</v>
      </c>
      <c r="E13">
        <f t="shared" si="2"/>
        <v>6.5463283183450369E-5</v>
      </c>
    </row>
    <row r="14" spans="1:8" x14ac:dyDescent="0.25">
      <c r="A14">
        <v>1.9273749644749998</v>
      </c>
      <c r="B14">
        <v>0.16446133968340457</v>
      </c>
      <c r="C14">
        <f t="shared" si="0"/>
        <v>0.17802316379391067</v>
      </c>
      <c r="D14">
        <f t="shared" si="1"/>
        <v>-1.3561824110506104E-2</v>
      </c>
      <c r="E14">
        <f t="shared" si="2"/>
        <v>1.8392307320430469E-4</v>
      </c>
    </row>
    <row r="15" spans="1:8" x14ac:dyDescent="0.25">
      <c r="A15">
        <v>2.0699274613249998</v>
      </c>
      <c r="B15">
        <v>0.1472656500114132</v>
      </c>
      <c r="C15">
        <f t="shared" si="0"/>
        <v>0.14456957596680509</v>
      </c>
      <c r="D15">
        <f t="shared" si="1"/>
        <v>2.6960740446081155E-3</v>
      </c>
      <c r="E15">
        <f t="shared" si="2"/>
        <v>7.2688152540095624E-6</v>
      </c>
    </row>
    <row r="16" spans="1:8" x14ac:dyDescent="0.25">
      <c r="A16">
        <v>2.2124799581749999</v>
      </c>
      <c r="B16">
        <v>0.10714237411010002</v>
      </c>
      <c r="C16">
        <f t="shared" si="0"/>
        <v>0.11633102807017537</v>
      </c>
      <c r="D16">
        <f t="shared" si="1"/>
        <v>-9.1886539600753436E-3</v>
      </c>
      <c r="E16">
        <f t="shared" si="2"/>
        <v>8.4431361598008296E-5</v>
      </c>
    </row>
    <row r="17" spans="1:5" x14ac:dyDescent="0.25">
      <c r="A17">
        <v>2.3550324550250004</v>
      </c>
      <c r="B17">
        <v>8.0687466922421E-2</v>
      </c>
      <c r="C17">
        <f t="shared" si="0"/>
        <v>9.2802327779499233E-2</v>
      </c>
      <c r="D17">
        <f t="shared" si="1"/>
        <v>-1.2114860857078233E-2</v>
      </c>
      <c r="E17">
        <f t="shared" si="2"/>
        <v>1.4676985358636635E-4</v>
      </c>
    </row>
    <row r="18" spans="1:5" x14ac:dyDescent="0.25">
      <c r="A18">
        <v>2.497584951875</v>
      </c>
      <c r="B18">
        <v>7.3191909885911954E-2</v>
      </c>
      <c r="C18">
        <f t="shared" si="0"/>
        <v>7.34281375114927E-2</v>
      </c>
      <c r="D18">
        <f t="shared" si="1"/>
        <v>-2.362276255807455E-4</v>
      </c>
      <c r="E18">
        <f t="shared" si="2"/>
        <v>5.5803491087516888E-8</v>
      </c>
    </row>
    <row r="19" spans="1:5" x14ac:dyDescent="0.25">
      <c r="A19">
        <v>2.6401374487249996</v>
      </c>
      <c r="B19">
        <v>6.7019098208786848E-2</v>
      </c>
      <c r="C19">
        <f t="shared" si="0"/>
        <v>5.7647105243609671E-2</v>
      </c>
      <c r="D19">
        <f t="shared" si="1"/>
        <v>9.3719929651771769E-3</v>
      </c>
      <c r="E19">
        <f t="shared" si="2"/>
        <v>8.7834252139330492E-5</v>
      </c>
    </row>
    <row r="20" spans="1:5" x14ac:dyDescent="0.25">
      <c r="A20">
        <v>2.782689945575</v>
      </c>
      <c r="B20">
        <v>4.056419102110783E-2</v>
      </c>
      <c r="C20">
        <f t="shared" si="0"/>
        <v>4.492154677639898E-2</v>
      </c>
      <c r="D20">
        <f t="shared" si="1"/>
        <v>-4.3573557552911493E-3</v>
      </c>
      <c r="E20">
        <f t="shared" si="2"/>
        <v>1.8986549178168904E-5</v>
      </c>
    </row>
    <row r="21" spans="1:5" x14ac:dyDescent="0.25">
      <c r="A21">
        <v>2.9252424424250001</v>
      </c>
      <c r="B21">
        <v>3.2627718864804124E-2</v>
      </c>
      <c r="C21">
        <f t="shared" si="0"/>
        <v>3.4755880642345457E-2</v>
      </c>
      <c r="D21">
        <f t="shared" si="1"/>
        <v>-2.1281617775413333E-3</v>
      </c>
      <c r="E21">
        <f t="shared" si="2"/>
        <v>4.5290725513878873E-6</v>
      </c>
    </row>
    <row r="22" spans="1:5" x14ac:dyDescent="0.25">
      <c r="A22">
        <v>3.0677949392750001</v>
      </c>
      <c r="B22">
        <v>2.9982228146036221E-2</v>
      </c>
      <c r="C22">
        <f t="shared" si="0"/>
        <v>2.6706596053892997E-2</v>
      </c>
      <c r="D22">
        <f t="shared" si="1"/>
        <v>3.2756320921432241E-3</v>
      </c>
      <c r="E22">
        <f t="shared" si="2"/>
        <v>1.0729765603078596E-5</v>
      </c>
    </row>
    <row r="23" spans="1:5" x14ac:dyDescent="0.25">
      <c r="A23">
        <v>3.2103474361249997</v>
      </c>
      <c r="B23">
        <v>2.4691246708500418E-2</v>
      </c>
      <c r="C23">
        <f t="shared" si="0"/>
        <v>2.0386087566374285E-2</v>
      </c>
      <c r="D23">
        <f t="shared" si="1"/>
        <v>4.3051591421261332E-3</v>
      </c>
      <c r="E23">
        <f t="shared" si="2"/>
        <v>1.8534395239032223E-5</v>
      </c>
    </row>
    <row r="24" spans="1:5" x14ac:dyDescent="0.25">
      <c r="A24">
        <v>3.3528999329749993</v>
      </c>
      <c r="B24">
        <v>2.0723010630348565E-2</v>
      </c>
      <c r="C24">
        <f t="shared" si="0"/>
        <v>1.54622520225306E-2</v>
      </c>
      <c r="D24">
        <f t="shared" si="1"/>
        <v>5.2607586078179652E-3</v>
      </c>
      <c r="E24">
        <f t="shared" si="2"/>
        <v>2.7675581129730815E-5</v>
      </c>
    </row>
    <row r="25" spans="1:5" x14ac:dyDescent="0.25">
      <c r="A25">
        <v>3.4954524298249998</v>
      </c>
      <c r="B25">
        <v>1.3227453593839509E-2</v>
      </c>
      <c r="C25">
        <f t="shared" si="0"/>
        <v>1.1655338263604213E-2</v>
      </c>
      <c r="D25">
        <f t="shared" si="1"/>
        <v>1.5721153302352964E-3</v>
      </c>
      <c r="E25">
        <f t="shared" si="2"/>
        <v>2.4715466115608351E-6</v>
      </c>
    </row>
    <row r="26" spans="1:5" x14ac:dyDescent="0.25">
      <c r="A26">
        <v>3.6380049266749999</v>
      </c>
      <c r="B26">
        <v>1.0141047755276958E-2</v>
      </c>
      <c r="C26">
        <f t="shared" si="0"/>
        <v>8.7331827686366603E-3</v>
      </c>
      <c r="D26">
        <f t="shared" si="1"/>
        <v>1.4078649866402972E-3</v>
      </c>
      <c r="E26">
        <f t="shared" si="2"/>
        <v>1.9820838206076841E-6</v>
      </c>
    </row>
    <row r="27" spans="1:5" x14ac:dyDescent="0.25">
      <c r="A27">
        <v>3.7805574235249999</v>
      </c>
      <c r="B27">
        <v>7.4955570365090552E-3</v>
      </c>
      <c r="C27">
        <f t="shared" si="0"/>
        <v>6.5056615349836575E-3</v>
      </c>
      <c r="D27">
        <f t="shared" si="1"/>
        <v>9.8989550152539778E-4</v>
      </c>
      <c r="E27">
        <f t="shared" si="2"/>
        <v>9.7989310394021885E-7</v>
      </c>
    </row>
    <row r="28" spans="1:5" x14ac:dyDescent="0.25">
      <c r="A28">
        <v>3.9231099203749995</v>
      </c>
      <c r="B28">
        <v>6.6137267969197545E-3</v>
      </c>
      <c r="C28">
        <f t="shared" si="0"/>
        <v>4.8189408741962257E-3</v>
      </c>
      <c r="D28">
        <f t="shared" si="1"/>
        <v>1.7947859227235288E-3</v>
      </c>
      <c r="E28">
        <f t="shared" si="2"/>
        <v>3.2212565084065485E-6</v>
      </c>
    </row>
    <row r="29" spans="1:5" x14ac:dyDescent="0.25">
      <c r="A29">
        <v>4.0656624172249991</v>
      </c>
      <c r="B29">
        <v>3.5273209583572022E-3</v>
      </c>
      <c r="C29">
        <f t="shared" si="0"/>
        <v>3.5499140590218993E-3</v>
      </c>
      <c r="D29">
        <f t="shared" si="1"/>
        <v>-2.259310066469707E-5</v>
      </c>
      <c r="E29">
        <f t="shared" si="2"/>
        <v>5.1044819764513516E-10</v>
      </c>
    </row>
    <row r="30" spans="1:5" x14ac:dyDescent="0.25">
      <c r="A30">
        <v>4.2082149140749996</v>
      </c>
      <c r="B30">
        <v>1.7636604791786011E-3</v>
      </c>
      <c r="C30">
        <f t="shared" si="0"/>
        <v>2.6010612010206953E-3</v>
      </c>
      <c r="D30">
        <f t="shared" si="1"/>
        <v>-8.3740072184209421E-4</v>
      </c>
      <c r="E30">
        <f t="shared" si="2"/>
        <v>7.0123996894166039E-7</v>
      </c>
    </row>
    <row r="31" spans="1:5" x14ac:dyDescent="0.25">
      <c r="A31">
        <v>4.3507674109250001</v>
      </c>
      <c r="B31">
        <v>8.8183023958930055E-4</v>
      </c>
      <c r="C31">
        <f t="shared" si="0"/>
        <v>1.895859504768725E-3</v>
      </c>
      <c r="D31">
        <f t="shared" si="1"/>
        <v>-1.0140292651794245E-3</v>
      </c>
      <c r="E31">
        <f t="shared" si="2"/>
        <v>1.0282553506403237E-6</v>
      </c>
    </row>
    <row r="32" spans="1:5" x14ac:dyDescent="0.25">
      <c r="A32">
        <v>4.4933199077750006</v>
      </c>
      <c r="B32">
        <v>1.3227453593839509E-3</v>
      </c>
      <c r="C32">
        <f t="shared" si="0"/>
        <v>1.3747930441205044E-3</v>
      </c>
      <c r="D32">
        <f t="shared" si="1"/>
        <v>-5.2047684736553426E-5</v>
      </c>
      <c r="E32">
        <f t="shared" si="2"/>
        <v>2.7089614864356563E-9</v>
      </c>
    </row>
    <row r="33" spans="1:5" x14ac:dyDescent="0.25">
      <c r="A33">
        <v>4.6358724046249993</v>
      </c>
      <c r="B33">
        <v>2.6454907187679019E-3</v>
      </c>
      <c r="C33">
        <f t="shared" si="0"/>
        <v>9.9195871931723515E-4</v>
      </c>
      <c r="D33">
        <f t="shared" si="1"/>
        <v>1.6535319994506667E-3</v>
      </c>
      <c r="E33">
        <f t="shared" si="2"/>
        <v>2.7341680732073199E-6</v>
      </c>
    </row>
    <row r="34" spans="1:5" x14ac:dyDescent="0.25">
      <c r="A34">
        <v>4.7784249014749989</v>
      </c>
      <c r="B34">
        <v>4.4091511979465028E-4</v>
      </c>
      <c r="C34">
        <f t="shared" si="0"/>
        <v>7.1223208467026584E-4</v>
      </c>
      <c r="D34">
        <f t="shared" si="1"/>
        <v>-2.7131696487561557E-4</v>
      </c>
      <c r="E34">
        <f t="shared" si="2"/>
        <v>7.3612895429316004E-8</v>
      </c>
    </row>
    <row r="35" spans="1:5" x14ac:dyDescent="0.25">
      <c r="A35">
        <v>4.9209773983250003</v>
      </c>
      <c r="B35">
        <v>4.4091511979465028E-4</v>
      </c>
      <c r="C35">
        <f t="shared" si="0"/>
        <v>5.0893817828564071E-4</v>
      </c>
      <c r="D35">
        <f t="shared" si="1"/>
        <v>-6.8023058490990435E-5</v>
      </c>
      <c r="E35">
        <f t="shared" si="2"/>
        <v>4.6271364864687061E-9</v>
      </c>
    </row>
    <row r="36" spans="1:5" x14ac:dyDescent="0.25">
      <c r="A36">
        <v>5.0635298951749999</v>
      </c>
      <c r="B36">
        <v>8.8183023958930055E-4</v>
      </c>
      <c r="C36">
        <f t="shared" si="0"/>
        <v>3.6196415646370375E-4</v>
      </c>
      <c r="D36">
        <f t="shared" si="1"/>
        <v>5.1986608312559681E-4</v>
      </c>
      <c r="E36">
        <f t="shared" si="2"/>
        <v>2.7026074438434992E-7</v>
      </c>
    </row>
    <row r="37" spans="1:5" x14ac:dyDescent="0.25">
      <c r="A37">
        <v>5.2060823920249995</v>
      </c>
      <c r="B37">
        <v>8.8183023958930055E-4</v>
      </c>
      <c r="C37">
        <f t="shared" si="0"/>
        <v>2.5624913212418497E-4</v>
      </c>
      <c r="D37">
        <f t="shared" si="1"/>
        <v>6.2558110746511564E-4</v>
      </c>
      <c r="E37">
        <f t="shared" si="2"/>
        <v>3.9135172201728055E-7</v>
      </c>
    </row>
    <row r="38" spans="1:5" x14ac:dyDescent="0.25">
      <c r="A38">
        <v>5.348634888874999</v>
      </c>
      <c r="B38">
        <v>8.8183023958930055E-4</v>
      </c>
      <c r="C38">
        <f t="shared" si="0"/>
        <v>1.8058961626370967E-4</v>
      </c>
      <c r="D38">
        <f t="shared" si="1"/>
        <v>7.0124062332559091E-4</v>
      </c>
      <c r="E38">
        <f t="shared" si="2"/>
        <v>4.9173841180206332E-7</v>
      </c>
    </row>
    <row r="39" spans="1:5" x14ac:dyDescent="0.25">
      <c r="A39">
        <v>5.4911873857249995</v>
      </c>
      <c r="B39">
        <v>0</v>
      </c>
      <c r="C39">
        <f t="shared" si="0"/>
        <v>1.2670450443632122E-4</v>
      </c>
      <c r="D39">
        <f t="shared" si="1"/>
        <v>-1.2670450443632122E-4</v>
      </c>
      <c r="E39">
        <f t="shared" si="2"/>
        <v>1.6054031444453744E-8</v>
      </c>
    </row>
    <row r="40" spans="1:5" x14ac:dyDescent="0.25">
      <c r="A40">
        <v>5.633739882575</v>
      </c>
      <c r="B40">
        <v>4.4091511979465028E-4</v>
      </c>
      <c r="C40">
        <f t="shared" si="0"/>
        <v>8.8510317489001822E-5</v>
      </c>
      <c r="D40">
        <f t="shared" si="1"/>
        <v>3.5240480230564847E-4</v>
      </c>
      <c r="E40">
        <f t="shared" si="2"/>
        <v>1.2418914468808319E-7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5BDDF-1352-421D-A03E-44165F601EB5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7.1813410400000013E-2</v>
      </c>
      <c r="B1">
        <v>0.31660273628185798</v>
      </c>
      <c r="C1">
        <f>$H$3*(1+$H$1)*(A1^($H$1))*EXP(-$H$3*(A1^(1+$H$1)))</f>
        <v>0.35571751310330824</v>
      </c>
      <c r="D1">
        <f>B1-C1</f>
        <v>-3.9114776821450259E-2</v>
      </c>
      <c r="E1">
        <f>D1^2</f>
        <v>1.5299657657918623E-3</v>
      </c>
      <c r="G1" t="s">
        <v>0</v>
      </c>
      <c r="H1">
        <v>0.47768740011595606</v>
      </c>
    </row>
    <row r="2" spans="1:8" x14ac:dyDescent="0.25">
      <c r="A2">
        <v>0.20839859520000001</v>
      </c>
      <c r="B2">
        <v>0.57982477865572835</v>
      </c>
      <c r="C2">
        <f t="shared" ref="C2:C40" si="0">$H$3*(1+$H$1)*(A2^($H$1))*EXP(-$H$3*(A2^(1+$H$1)))</f>
        <v>0.55319844096263748</v>
      </c>
      <c r="D2">
        <f t="shared" ref="D2:D40" si="1">B2-C2</f>
        <v>2.6626337693090862E-2</v>
      </c>
      <c r="E2">
        <f t="shared" ref="E2:E40" si="2">D2^2</f>
        <v>7.0896185894651128E-4</v>
      </c>
    </row>
    <row r="3" spans="1:8" x14ac:dyDescent="0.25">
      <c r="A3">
        <v>0.34498377999999996</v>
      </c>
      <c r="B3">
        <v>0.63504618614675001</v>
      </c>
      <c r="C3">
        <f t="shared" si="0"/>
        <v>0.64069319647521827</v>
      </c>
      <c r="D3">
        <f t="shared" si="1"/>
        <v>-5.6470103284682605E-3</v>
      </c>
      <c r="E3">
        <f t="shared" si="2"/>
        <v>3.1888725649827211E-5</v>
      </c>
      <c r="G3" t="s">
        <v>1</v>
      </c>
      <c r="H3">
        <f>(_xlfn.GAMMA((2+$H$1)/(1+$H$1)))^(1+$H$1)</f>
        <v>0.8620648417208171</v>
      </c>
    </row>
    <row r="4" spans="1:8" x14ac:dyDescent="0.25">
      <c r="A4">
        <v>0.4815689648</v>
      </c>
      <c r="B4">
        <v>0.72248008134086783</v>
      </c>
      <c r="C4">
        <f t="shared" si="0"/>
        <v>0.6704403027293343</v>
      </c>
      <c r="D4">
        <f t="shared" si="1"/>
        <v>5.2039778611533527E-2</v>
      </c>
      <c r="E4">
        <f t="shared" si="2"/>
        <v>2.7081385579374225E-3</v>
      </c>
    </row>
    <row r="5" spans="1:8" x14ac:dyDescent="0.25">
      <c r="A5">
        <v>0.61815414960000004</v>
      </c>
      <c r="B5">
        <v>0.66633831705832902</v>
      </c>
      <c r="C5">
        <f t="shared" si="0"/>
        <v>0.66284407062037687</v>
      </c>
      <c r="D5">
        <f t="shared" si="1"/>
        <v>3.4942464379521532E-3</v>
      </c>
      <c r="E5">
        <f t="shared" si="2"/>
        <v>1.220975816914131E-5</v>
      </c>
      <c r="G5" t="s">
        <v>2</v>
      </c>
      <c r="H5">
        <f>SUM(E1:E40)</f>
        <v>1.1472418930989894E-2</v>
      </c>
    </row>
    <row r="6" spans="1:8" x14ac:dyDescent="0.25">
      <c r="A6">
        <v>0.75473933439999996</v>
      </c>
      <c r="B6">
        <v>0.58350620582179646</v>
      </c>
      <c r="C6">
        <f t="shared" si="0"/>
        <v>0.63055002247510972</v>
      </c>
      <c r="D6">
        <f t="shared" si="1"/>
        <v>-4.7043816653313253E-2</v>
      </c>
      <c r="E6">
        <f t="shared" si="2"/>
        <v>2.2131206853105534E-3</v>
      </c>
    </row>
    <row r="7" spans="1:8" x14ac:dyDescent="0.25">
      <c r="A7">
        <v>0.89132451919999989</v>
      </c>
      <c r="B7">
        <v>0.56970085394904102</v>
      </c>
      <c r="C7">
        <f t="shared" si="0"/>
        <v>0.58263497591300795</v>
      </c>
      <c r="D7">
        <f t="shared" si="1"/>
        <v>-1.2934121963966927E-2</v>
      </c>
      <c r="E7">
        <f t="shared" si="2"/>
        <v>1.6729151097877169E-4</v>
      </c>
    </row>
    <row r="8" spans="1:8" x14ac:dyDescent="0.25">
      <c r="A8">
        <v>1.027909704</v>
      </c>
      <c r="B8">
        <v>0.48594838592099138</v>
      </c>
      <c r="C8">
        <f t="shared" si="0"/>
        <v>0.5258964987731064</v>
      </c>
      <c r="D8">
        <f t="shared" si="1"/>
        <v>-3.9948112852115025E-2</v>
      </c>
      <c r="E8">
        <f t="shared" si="2"/>
        <v>1.5958517204453177E-3</v>
      </c>
    </row>
    <row r="9" spans="1:8" x14ac:dyDescent="0.25">
      <c r="A9">
        <v>1.1644948888</v>
      </c>
      <c r="B9">
        <v>0.47260321244399445</v>
      </c>
      <c r="C9">
        <f t="shared" si="0"/>
        <v>0.46541772708787532</v>
      </c>
      <c r="D9">
        <f t="shared" si="1"/>
        <v>7.1854853561191256E-3</v>
      </c>
      <c r="E9">
        <f t="shared" si="2"/>
        <v>5.1631199803002398E-5</v>
      </c>
    </row>
    <row r="10" spans="1:8" x14ac:dyDescent="0.25">
      <c r="A10">
        <v>1.3010800736000001</v>
      </c>
      <c r="B10">
        <v>0.43808983276210584</v>
      </c>
      <c r="C10">
        <f t="shared" si="0"/>
        <v>0.40490615323797108</v>
      </c>
      <c r="D10">
        <f t="shared" si="1"/>
        <v>3.3183679524134757E-2</v>
      </c>
      <c r="E10">
        <f t="shared" si="2"/>
        <v>1.1011565867604803E-3</v>
      </c>
    </row>
    <row r="11" spans="1:8" x14ac:dyDescent="0.25">
      <c r="A11">
        <v>1.4376652584</v>
      </c>
      <c r="B11">
        <v>0.37274450056439679</v>
      </c>
      <c r="C11">
        <f t="shared" si="0"/>
        <v>0.34694994554414732</v>
      </c>
      <c r="D11">
        <f t="shared" si="1"/>
        <v>2.5794555020249466E-2</v>
      </c>
      <c r="E11">
        <f t="shared" si="2"/>
        <v>6.653590686926769E-4</v>
      </c>
    </row>
    <row r="12" spans="1:8" x14ac:dyDescent="0.25">
      <c r="A12">
        <v>1.5742504432</v>
      </c>
      <c r="B12">
        <v>0.28577078376603754</v>
      </c>
      <c r="C12">
        <f t="shared" si="0"/>
        <v>0.2932359630138125</v>
      </c>
      <c r="D12">
        <f t="shared" si="1"/>
        <v>-7.4651792477749557E-3</v>
      </c>
      <c r="E12">
        <f t="shared" si="2"/>
        <v>5.5728901201409856E-5</v>
      </c>
    </row>
    <row r="13" spans="1:8" x14ac:dyDescent="0.25">
      <c r="A13">
        <v>1.7108356279999999</v>
      </c>
      <c r="B13">
        <v>0.23146973306653282</v>
      </c>
      <c r="C13">
        <f t="shared" si="0"/>
        <v>0.24474191649038748</v>
      </c>
      <c r="D13">
        <f t="shared" si="1"/>
        <v>-1.3272183423854667E-2</v>
      </c>
      <c r="E13">
        <f t="shared" si="2"/>
        <v>1.7615085283644258E-4</v>
      </c>
    </row>
    <row r="14" spans="1:8" x14ac:dyDescent="0.25">
      <c r="A14">
        <v>1.8474208128</v>
      </c>
      <c r="B14">
        <v>0.20247849413374638</v>
      </c>
      <c r="C14">
        <f t="shared" si="0"/>
        <v>0.20190499374830628</v>
      </c>
      <c r="D14">
        <f t="shared" si="1"/>
        <v>5.7350038544010107E-4</v>
      </c>
      <c r="E14">
        <f t="shared" si="2"/>
        <v>3.289026920999445E-7</v>
      </c>
    </row>
    <row r="15" spans="1:8" x14ac:dyDescent="0.25">
      <c r="A15">
        <v>1.9840059976</v>
      </c>
      <c r="B15">
        <v>0.16106243851548008</v>
      </c>
      <c r="C15">
        <f t="shared" si="0"/>
        <v>0.16476671751964361</v>
      </c>
      <c r="D15">
        <f t="shared" si="1"/>
        <v>-3.7042790041635354E-3</v>
      </c>
      <c r="E15">
        <f t="shared" si="2"/>
        <v>1.3721682940686794E-5</v>
      </c>
    </row>
    <row r="16" spans="1:8" x14ac:dyDescent="0.25">
      <c r="A16">
        <v>2.1205911824000001</v>
      </c>
      <c r="B16">
        <v>0.11918620450145527</v>
      </c>
      <c r="C16">
        <f t="shared" si="0"/>
        <v>0.13309392498093534</v>
      </c>
      <c r="D16">
        <f t="shared" si="1"/>
        <v>-1.3907720479480065E-2</v>
      </c>
      <c r="E16">
        <f t="shared" si="2"/>
        <v>1.9342468893534921E-4</v>
      </c>
    </row>
    <row r="17" spans="1:5" x14ac:dyDescent="0.25">
      <c r="A17">
        <v>2.2571763672</v>
      </c>
      <c r="B17">
        <v>0.10031889027535618</v>
      </c>
      <c r="C17">
        <f t="shared" si="0"/>
        <v>0.10647665243713618</v>
      </c>
      <c r="D17">
        <f t="shared" si="1"/>
        <v>-6.1577621617800032E-3</v>
      </c>
      <c r="E17">
        <f t="shared" si="2"/>
        <v>3.7918034841049539E-5</v>
      </c>
    </row>
    <row r="18" spans="1:5" x14ac:dyDescent="0.25">
      <c r="A18">
        <v>2.393761552</v>
      </c>
      <c r="B18">
        <v>7.6849792091671934E-2</v>
      </c>
      <c r="C18">
        <f t="shared" si="0"/>
        <v>8.4404632805211335E-2</v>
      </c>
      <c r="D18">
        <f t="shared" si="1"/>
        <v>-7.5548407135394013E-3</v>
      </c>
      <c r="E18">
        <f t="shared" si="2"/>
        <v>5.7075618206952533E-5</v>
      </c>
    </row>
    <row r="19" spans="1:5" x14ac:dyDescent="0.25">
      <c r="A19">
        <v>2.5303467367999999</v>
      </c>
      <c r="B19">
        <v>7.4088721717120845E-2</v>
      </c>
      <c r="C19">
        <f t="shared" si="0"/>
        <v>6.6324795540498666E-2</v>
      </c>
      <c r="D19">
        <f t="shared" si="1"/>
        <v>7.7639261766221795E-3</v>
      </c>
      <c r="E19">
        <f t="shared" si="2"/>
        <v>6.0278549676039096E-5</v>
      </c>
    </row>
    <row r="20" spans="1:5" x14ac:dyDescent="0.25">
      <c r="A20">
        <v>2.6669319215999998</v>
      </c>
      <c r="B20">
        <v>4.9699266741919573E-2</v>
      </c>
      <c r="C20">
        <f t="shared" si="0"/>
        <v>5.1682537082462614E-2</v>
      </c>
      <c r="D20">
        <f t="shared" si="1"/>
        <v>-1.9832703405430405E-3</v>
      </c>
      <c r="E20">
        <f t="shared" si="2"/>
        <v>3.9333612436777081E-6</v>
      </c>
    </row>
    <row r="21" spans="1:5" x14ac:dyDescent="0.25">
      <c r="A21">
        <v>2.8035171064000002</v>
      </c>
      <c r="B21">
        <v>3.9115163639473732E-2</v>
      </c>
      <c r="C21">
        <f t="shared" si="0"/>
        <v>3.9949633219997789E-2</v>
      </c>
      <c r="D21">
        <f t="shared" si="1"/>
        <v>-8.3446958052405679E-4</v>
      </c>
      <c r="E21">
        <f t="shared" si="2"/>
        <v>6.963394808199953E-7</v>
      </c>
    </row>
    <row r="22" spans="1:5" x14ac:dyDescent="0.25">
      <c r="A22">
        <v>2.9401022912000001</v>
      </c>
      <c r="B22">
        <v>2.8991238932786417E-2</v>
      </c>
      <c r="C22">
        <f t="shared" si="0"/>
        <v>3.0641555479425247E-2</v>
      </c>
      <c r="D22">
        <f t="shared" si="1"/>
        <v>-1.6503165466388303E-3</v>
      </c>
      <c r="E22">
        <f t="shared" si="2"/>
        <v>2.7235447041099146E-6</v>
      </c>
    </row>
    <row r="23" spans="1:5" x14ac:dyDescent="0.25">
      <c r="A23">
        <v>3.076687476</v>
      </c>
      <c r="B23">
        <v>3.0371774120061961E-2</v>
      </c>
      <c r="C23">
        <f t="shared" si="0"/>
        <v>2.332670058105122E-2</v>
      </c>
      <c r="D23">
        <f t="shared" si="1"/>
        <v>7.0450735390107412E-3</v>
      </c>
      <c r="E23">
        <f t="shared" si="2"/>
        <v>4.9633061170069333E-5</v>
      </c>
    </row>
    <row r="24" spans="1:5" x14ac:dyDescent="0.25">
      <c r="A24">
        <v>3.2132726607999995</v>
      </c>
      <c r="B24">
        <v>1.9787671017616124E-2</v>
      </c>
      <c r="C24">
        <f t="shared" si="0"/>
        <v>1.7629707255899692E-2</v>
      </c>
      <c r="D24">
        <f t="shared" si="1"/>
        <v>2.1579637617164318E-3</v>
      </c>
      <c r="E24">
        <f t="shared" si="2"/>
        <v>4.6568075968813328E-6</v>
      </c>
    </row>
    <row r="25" spans="1:5" x14ac:dyDescent="0.25">
      <c r="A25">
        <v>3.3498578455999999</v>
      </c>
      <c r="B25">
        <v>1.3805351872755436E-2</v>
      </c>
      <c r="C25">
        <f t="shared" si="0"/>
        <v>1.3230668101875658E-2</v>
      </c>
      <c r="D25">
        <f t="shared" si="1"/>
        <v>5.7468377087977786E-4</v>
      </c>
      <c r="E25">
        <f t="shared" si="2"/>
        <v>3.3026143651260101E-7</v>
      </c>
    </row>
    <row r="26" spans="1:5" x14ac:dyDescent="0.25">
      <c r="A26">
        <v>3.4864430303999998</v>
      </c>
      <c r="B26">
        <v>1.3345173476996921E-2</v>
      </c>
      <c r="C26">
        <f t="shared" si="0"/>
        <v>9.861682102249086E-3</v>
      </c>
      <c r="D26">
        <f t="shared" si="1"/>
        <v>3.4834913747478352E-3</v>
      </c>
      <c r="E26">
        <f t="shared" si="2"/>
        <v>1.2134712157942563E-5</v>
      </c>
    </row>
    <row r="27" spans="1:5" x14ac:dyDescent="0.25">
      <c r="A27">
        <v>3.6230282151999997</v>
      </c>
      <c r="B27">
        <v>1.0123924706687319E-2</v>
      </c>
      <c r="C27">
        <f t="shared" si="0"/>
        <v>7.301859947742702E-3</v>
      </c>
      <c r="D27">
        <f t="shared" si="1"/>
        <v>2.8220647589446172E-3</v>
      </c>
      <c r="E27">
        <f t="shared" si="2"/>
        <v>7.9640495036771402E-6</v>
      </c>
    </row>
    <row r="28" spans="1:5" x14ac:dyDescent="0.25">
      <c r="A28">
        <v>3.7596134000000001</v>
      </c>
      <c r="B28">
        <v>6.4424975406192032E-3</v>
      </c>
      <c r="C28">
        <f t="shared" si="0"/>
        <v>5.3716030881543154E-3</v>
      </c>
      <c r="D28">
        <f t="shared" si="1"/>
        <v>1.0708944524648878E-3</v>
      </c>
      <c r="E28">
        <f t="shared" si="2"/>
        <v>1.1468149283200719E-6</v>
      </c>
    </row>
    <row r="29" spans="1:5" x14ac:dyDescent="0.25">
      <c r="A29">
        <v>3.8961985847999996</v>
      </c>
      <c r="B29">
        <v>5.0619623533436596E-3</v>
      </c>
      <c r="C29">
        <f t="shared" si="0"/>
        <v>3.9267342451064632E-3</v>
      </c>
      <c r="D29">
        <f t="shared" si="1"/>
        <v>1.1352281082371964E-3</v>
      </c>
      <c r="E29">
        <f t="shared" si="2"/>
        <v>1.2887428577318036E-6</v>
      </c>
    </row>
    <row r="30" spans="1:5" x14ac:dyDescent="0.25">
      <c r="A30">
        <v>4.0327837696</v>
      </c>
      <c r="B30">
        <v>9.2035679151702911E-4</v>
      </c>
      <c r="C30">
        <f t="shared" si="0"/>
        <v>2.8528620610155046E-3</v>
      </c>
      <c r="D30">
        <f t="shared" si="1"/>
        <v>-1.9325052694984753E-3</v>
      </c>
      <c r="E30">
        <f t="shared" si="2"/>
        <v>3.7345766166393749E-6</v>
      </c>
    </row>
    <row r="31" spans="1:5" x14ac:dyDescent="0.25">
      <c r="A31">
        <v>4.1693689543999994</v>
      </c>
      <c r="B31">
        <v>1.3805351872755436E-3</v>
      </c>
      <c r="C31">
        <f t="shared" si="0"/>
        <v>2.0602121098397879E-3</v>
      </c>
      <c r="D31">
        <f t="shared" si="1"/>
        <v>-6.7967692256424433E-4</v>
      </c>
      <c r="E31">
        <f t="shared" si="2"/>
        <v>4.6196071906640177E-7</v>
      </c>
    </row>
    <row r="32" spans="1:5" x14ac:dyDescent="0.25">
      <c r="A32">
        <v>4.3059541392000007</v>
      </c>
      <c r="B32">
        <v>9.2035679151702911E-4</v>
      </c>
      <c r="C32">
        <f t="shared" si="0"/>
        <v>1.4790450680171514E-3</v>
      </c>
      <c r="D32">
        <f t="shared" si="1"/>
        <v>-5.5868827650012228E-4</v>
      </c>
      <c r="E32">
        <f t="shared" si="2"/>
        <v>3.1213259029867711E-7</v>
      </c>
    </row>
    <row r="33" spans="1:5" x14ac:dyDescent="0.25">
      <c r="A33">
        <v>4.4425393240000002</v>
      </c>
      <c r="B33">
        <v>2.3008919787925728E-3</v>
      </c>
      <c r="C33">
        <f t="shared" si="0"/>
        <v>1.055703991276052E-3</v>
      </c>
      <c r="D33">
        <f t="shared" si="1"/>
        <v>1.2451879875165208E-3</v>
      </c>
      <c r="E33">
        <f t="shared" si="2"/>
        <v>1.5504931242554432E-6</v>
      </c>
    </row>
    <row r="34" spans="1:5" x14ac:dyDescent="0.25">
      <c r="A34">
        <v>4.5791245087999997</v>
      </c>
      <c r="B34">
        <v>1.3805351872755436E-3</v>
      </c>
      <c r="C34">
        <f t="shared" si="0"/>
        <v>7.492798789768048E-4</v>
      </c>
      <c r="D34">
        <f t="shared" si="1"/>
        <v>6.3125530829873881E-4</v>
      </c>
      <c r="E34">
        <f t="shared" si="2"/>
        <v>3.9848326425533579E-7</v>
      </c>
    </row>
    <row r="35" spans="1:5" x14ac:dyDescent="0.25">
      <c r="A35">
        <v>4.7157096935999991</v>
      </c>
      <c r="B35">
        <v>4.6017839575851455E-4</v>
      </c>
      <c r="C35">
        <f t="shared" si="0"/>
        <v>5.2885203092128367E-4</v>
      </c>
      <c r="D35">
        <f t="shared" si="1"/>
        <v>-6.8673635162769112E-5</v>
      </c>
      <c r="E35">
        <f t="shared" si="2"/>
        <v>4.7160681664691181E-9</v>
      </c>
    </row>
    <row r="36" spans="1:5" x14ac:dyDescent="0.25">
      <c r="A36">
        <v>4.8522948784000004</v>
      </c>
      <c r="B36">
        <v>4.6017839575851455E-4</v>
      </c>
      <c r="C36">
        <f t="shared" si="0"/>
        <v>3.7124188129780727E-4</v>
      </c>
      <c r="D36">
        <f t="shared" si="1"/>
        <v>8.8936514460707288E-5</v>
      </c>
      <c r="E36">
        <f t="shared" si="2"/>
        <v>7.9097036044195971E-9</v>
      </c>
    </row>
    <row r="37" spans="1:5" x14ac:dyDescent="0.25">
      <c r="A37">
        <v>4.9888800631999999</v>
      </c>
      <c r="B37">
        <v>9.2035679151702911E-4</v>
      </c>
      <c r="C37">
        <f t="shared" si="0"/>
        <v>2.5921168483022489E-4</v>
      </c>
      <c r="D37">
        <f t="shared" si="1"/>
        <v>6.6114510668680427E-4</v>
      </c>
      <c r="E37">
        <f t="shared" si="2"/>
        <v>4.3711285209590583E-7</v>
      </c>
    </row>
    <row r="38" spans="1:5" x14ac:dyDescent="0.25">
      <c r="A38">
        <v>5.1254652479999994</v>
      </c>
      <c r="B38">
        <v>9.2035679151702911E-4</v>
      </c>
      <c r="C38">
        <f t="shared" si="0"/>
        <v>1.8003916912124178E-4</v>
      </c>
      <c r="D38">
        <f t="shared" si="1"/>
        <v>7.4031762239578735E-4</v>
      </c>
      <c r="E38">
        <f t="shared" si="2"/>
        <v>5.4807018202975154E-7</v>
      </c>
    </row>
    <row r="39" spans="1:5" x14ac:dyDescent="0.25">
      <c r="A39">
        <v>5.2620504327999988</v>
      </c>
      <c r="B39">
        <v>4.6017839575851455E-4</v>
      </c>
      <c r="C39">
        <f t="shared" si="0"/>
        <v>1.244034033667451E-4</v>
      </c>
      <c r="D39">
        <f t="shared" si="1"/>
        <v>3.3577499239176946E-4</v>
      </c>
      <c r="E39">
        <f t="shared" si="2"/>
        <v>1.1274484551569284E-7</v>
      </c>
    </row>
    <row r="40" spans="1:5" x14ac:dyDescent="0.25">
      <c r="A40">
        <v>5.3986356176000001</v>
      </c>
      <c r="B40">
        <v>4.6017839575851455E-4</v>
      </c>
      <c r="C40">
        <f t="shared" si="0"/>
        <v>8.5523716588920215E-5</v>
      </c>
      <c r="D40">
        <f t="shared" si="1"/>
        <v>3.7465467916959435E-4</v>
      </c>
      <c r="E40">
        <f t="shared" si="2"/>
        <v>1.4036612862367167E-7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91A7F-01E3-4944-BFEC-428A0403BCF5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6.7119813862500016E-2</v>
      </c>
      <c r="B1">
        <v>0.26758307972220607</v>
      </c>
      <c r="C1">
        <f>$H$3*(1+$H$1)*(A1^($H$1))*EXP(-$H$3*(A1^(1+$H$1)))</f>
        <v>0.30852605855664073</v>
      </c>
      <c r="D1">
        <f>B1-C1</f>
        <v>-4.0942978834434651E-2</v>
      </c>
      <c r="E1">
        <f>D1^2</f>
        <v>1.6763275158369639E-3</v>
      </c>
      <c r="G1" t="s">
        <v>0</v>
      </c>
      <c r="H1">
        <v>0.52811444069487457</v>
      </c>
    </row>
    <row r="2" spans="1:8" x14ac:dyDescent="0.25">
      <c r="A2">
        <v>0.19795554558750003</v>
      </c>
      <c r="B2">
        <v>0.51450893785005869</v>
      </c>
      <c r="C2">
        <f t="shared" ref="C2:C40" si="0">$H$3*(1+$H$1)*(A2^($H$1))*EXP(-$H$3*(A2^(1+$H$1)))</f>
        <v>0.51542861051903599</v>
      </c>
      <c r="D2">
        <f t="shared" ref="D2:D40" si="1">B2-C2</f>
        <v>-9.1967266897730049E-4</v>
      </c>
      <c r="E2">
        <f t="shared" ref="E2:E40" si="2">D2^2</f>
        <v>8.4579781806383128E-7</v>
      </c>
    </row>
    <row r="3" spans="1:8" x14ac:dyDescent="0.25">
      <c r="A3">
        <v>0.32879127731250002</v>
      </c>
      <c r="B3">
        <v>0.65334468298420145</v>
      </c>
      <c r="C3">
        <f t="shared" si="0"/>
        <v>0.61950976015120296</v>
      </c>
      <c r="D3">
        <f t="shared" si="1"/>
        <v>3.3834922832998493E-2</v>
      </c>
      <c r="E3">
        <f t="shared" si="2"/>
        <v>1.1448020031149628E-3</v>
      </c>
      <c r="G3" t="s">
        <v>1</v>
      </c>
      <c r="H3">
        <f>(_xlfn.GAMMA((2+$H$1)/(1+$H$1)))^(1+$H$1)</f>
        <v>0.85243207691050227</v>
      </c>
    </row>
    <row r="4" spans="1:8" x14ac:dyDescent="0.25">
      <c r="A4">
        <v>0.45962700903750003</v>
      </c>
      <c r="B4">
        <v>0.69658072818168548</v>
      </c>
      <c r="C4">
        <f t="shared" si="0"/>
        <v>0.66628751618283977</v>
      </c>
      <c r="D4">
        <f t="shared" si="1"/>
        <v>3.0293211998845715E-2</v>
      </c>
      <c r="E4">
        <f t="shared" si="2"/>
        <v>9.1767869320701003E-4</v>
      </c>
    </row>
    <row r="5" spans="1:8" x14ac:dyDescent="0.25">
      <c r="A5">
        <v>0.59046274076250005</v>
      </c>
      <c r="B5">
        <v>0.68745311863999436</v>
      </c>
      <c r="C5">
        <f t="shared" si="0"/>
        <v>0.67371828869468164</v>
      </c>
      <c r="D5">
        <f t="shared" si="1"/>
        <v>1.3734829945312721E-2</v>
      </c>
      <c r="E5">
        <f t="shared" si="2"/>
        <v>1.8864555362665904E-4</v>
      </c>
      <c r="G5" t="s">
        <v>2</v>
      </c>
      <c r="H5">
        <f>SUM(E1:E40)</f>
        <v>8.5481052273123585E-3</v>
      </c>
    </row>
    <row r="6" spans="1:8" x14ac:dyDescent="0.25">
      <c r="A6">
        <v>0.72129847248750001</v>
      </c>
      <c r="B6">
        <v>0.64085426992715055</v>
      </c>
      <c r="C6">
        <f t="shared" si="0"/>
        <v>0.65338846598950007</v>
      </c>
      <c r="D6">
        <f t="shared" si="1"/>
        <v>-1.2534196062349512E-2</v>
      </c>
      <c r="E6">
        <f t="shared" si="2"/>
        <v>1.57106070929418E-4</v>
      </c>
    </row>
    <row r="7" spans="1:8" x14ac:dyDescent="0.25">
      <c r="A7">
        <v>0.85213420421249997</v>
      </c>
      <c r="B7">
        <v>0.58224540865945018</v>
      </c>
      <c r="C7">
        <f t="shared" si="0"/>
        <v>0.6140633322360638</v>
      </c>
      <c r="D7">
        <f t="shared" si="1"/>
        <v>-3.1817923576613616E-2</v>
      </c>
      <c r="E7">
        <f t="shared" si="2"/>
        <v>1.0123802607272245E-3</v>
      </c>
    </row>
    <row r="8" spans="1:8" x14ac:dyDescent="0.25">
      <c r="A8">
        <v>0.98296993593750015</v>
      </c>
      <c r="B8">
        <v>0.54429376898610315</v>
      </c>
      <c r="C8">
        <f t="shared" si="0"/>
        <v>0.56267844578009552</v>
      </c>
      <c r="D8">
        <f t="shared" si="1"/>
        <v>-1.8384676793992361E-2</v>
      </c>
      <c r="E8">
        <f t="shared" si="2"/>
        <v>3.3799634081956123E-4</v>
      </c>
    </row>
    <row r="9" spans="1:8" x14ac:dyDescent="0.25">
      <c r="A9">
        <v>1.1138056676625001</v>
      </c>
      <c r="B9">
        <v>0.47031209164818621</v>
      </c>
      <c r="C9">
        <f t="shared" si="0"/>
        <v>0.50471526925417898</v>
      </c>
      <c r="D9">
        <f t="shared" si="1"/>
        <v>-3.4403177605992763E-2</v>
      </c>
      <c r="E9">
        <f t="shared" si="2"/>
        <v>1.183578629389482E-3</v>
      </c>
    </row>
    <row r="10" spans="1:8" x14ac:dyDescent="0.25">
      <c r="A10">
        <v>1.2446413993875001</v>
      </c>
      <c r="B10">
        <v>0.46742968863502066</v>
      </c>
      <c r="C10">
        <f t="shared" si="0"/>
        <v>0.44440736615348364</v>
      </c>
      <c r="D10">
        <f t="shared" si="1"/>
        <v>2.3022322481537016E-2</v>
      </c>
      <c r="E10">
        <f t="shared" si="2"/>
        <v>5.3002733244388468E-4</v>
      </c>
    </row>
    <row r="11" spans="1:8" x14ac:dyDescent="0.25">
      <c r="A11">
        <v>1.3754771311125</v>
      </c>
      <c r="B11">
        <v>0.39344801129710372</v>
      </c>
      <c r="C11">
        <f t="shared" si="0"/>
        <v>0.38490374732083832</v>
      </c>
      <c r="D11">
        <f t="shared" si="1"/>
        <v>8.5442639762653982E-3</v>
      </c>
      <c r="E11">
        <f t="shared" si="2"/>
        <v>7.3004446896106595E-5</v>
      </c>
    </row>
    <row r="12" spans="1:8" x14ac:dyDescent="0.25">
      <c r="A12">
        <v>1.5063128628375</v>
      </c>
      <c r="B12">
        <v>0.35309436911278536</v>
      </c>
      <c r="C12">
        <f t="shared" si="0"/>
        <v>0.32842495095032492</v>
      </c>
      <c r="D12">
        <f t="shared" si="1"/>
        <v>2.4669418162460433E-2</v>
      </c>
      <c r="E12">
        <f t="shared" si="2"/>
        <v>6.0858019247433265E-4</v>
      </c>
    </row>
    <row r="13" spans="1:8" x14ac:dyDescent="0.25">
      <c r="A13">
        <v>1.6371485945624999</v>
      </c>
      <c r="B13">
        <v>0.2671026792200118</v>
      </c>
      <c r="C13">
        <f t="shared" si="0"/>
        <v>0.27641787418573743</v>
      </c>
      <c r="D13">
        <f t="shared" si="1"/>
        <v>-9.3151949657256372E-3</v>
      </c>
      <c r="E13">
        <f t="shared" si="2"/>
        <v>8.6772857249480252E-5</v>
      </c>
    </row>
    <row r="14" spans="1:8" x14ac:dyDescent="0.25">
      <c r="A14">
        <v>1.7679843262875001</v>
      </c>
      <c r="B14">
        <v>0.23443544507080172</v>
      </c>
      <c r="C14">
        <f t="shared" si="0"/>
        <v>0.22970595950169564</v>
      </c>
      <c r="D14">
        <f t="shared" si="1"/>
        <v>4.7294855691060733E-3</v>
      </c>
      <c r="E14">
        <f t="shared" si="2"/>
        <v>2.2368033748382598E-5</v>
      </c>
    </row>
    <row r="15" spans="1:8" x14ac:dyDescent="0.25">
      <c r="A15">
        <v>1.8988200580125001</v>
      </c>
      <c r="B15">
        <v>0.18063058882504396</v>
      </c>
      <c r="C15">
        <f t="shared" si="0"/>
        <v>0.18862934371984566</v>
      </c>
      <c r="D15">
        <f t="shared" si="1"/>
        <v>-7.9987548948017018E-3</v>
      </c>
      <c r="E15">
        <f t="shared" si="2"/>
        <v>6.3980079867114177E-5</v>
      </c>
    </row>
    <row r="16" spans="1:8" x14ac:dyDescent="0.25">
      <c r="A16">
        <v>2.0296557897375003</v>
      </c>
      <c r="B16">
        <v>0.1474829541736396</v>
      </c>
      <c r="C16">
        <f t="shared" si="0"/>
        <v>0.15317037058545718</v>
      </c>
      <c r="D16">
        <f t="shared" si="1"/>
        <v>-5.6874164118175807E-3</v>
      </c>
      <c r="E16">
        <f t="shared" si="2"/>
        <v>3.2346705441411962E-5</v>
      </c>
    </row>
    <row r="17" spans="1:5" x14ac:dyDescent="0.25">
      <c r="A17">
        <v>2.1604915214625002</v>
      </c>
      <c r="B17">
        <v>0.10424690897615568</v>
      </c>
      <c r="C17">
        <f t="shared" si="0"/>
        <v>0.12306155359854756</v>
      </c>
      <c r="D17">
        <f t="shared" si="1"/>
        <v>-1.881464462239188E-2</v>
      </c>
      <c r="E17">
        <f t="shared" si="2"/>
        <v>3.5399085226689968E-4</v>
      </c>
    </row>
    <row r="18" spans="1:5" x14ac:dyDescent="0.25">
      <c r="A18">
        <v>2.2913272531875002</v>
      </c>
      <c r="B18">
        <v>9.9442903954213027E-2</v>
      </c>
      <c r="C18">
        <f t="shared" si="0"/>
        <v>9.7874829920757328E-2</v>
      </c>
      <c r="D18">
        <f t="shared" si="1"/>
        <v>1.5680740334556992E-3</v>
      </c>
      <c r="E18">
        <f t="shared" si="2"/>
        <v>2.4588561743980254E-6</v>
      </c>
    </row>
    <row r="19" spans="1:5" x14ac:dyDescent="0.25">
      <c r="A19">
        <v>2.4221629849125001</v>
      </c>
      <c r="B19">
        <v>7.926608286205386E-2</v>
      </c>
      <c r="C19">
        <f t="shared" si="0"/>
        <v>7.7092419764454648E-2</v>
      </c>
      <c r="D19">
        <f t="shared" si="1"/>
        <v>2.1736630975992127E-3</v>
      </c>
      <c r="E19">
        <f t="shared" si="2"/>
        <v>4.7248112618646048E-6</v>
      </c>
    </row>
    <row r="20" spans="1:5" x14ac:dyDescent="0.25">
      <c r="A20">
        <v>2.5529987166375001</v>
      </c>
      <c r="B20">
        <v>6.2932465787448821E-2</v>
      </c>
      <c r="C20">
        <f t="shared" si="0"/>
        <v>6.0160680555091078E-2</v>
      </c>
      <c r="D20">
        <f t="shared" si="1"/>
        <v>2.771785232357743E-3</v>
      </c>
      <c r="E20">
        <f t="shared" si="2"/>
        <v>7.6827933743164679E-6</v>
      </c>
    </row>
    <row r="21" spans="1:5" x14ac:dyDescent="0.25">
      <c r="A21">
        <v>2.6838344483625001</v>
      </c>
      <c r="B21">
        <v>3.8432040175541263E-2</v>
      </c>
      <c r="C21">
        <f t="shared" si="0"/>
        <v>4.652901931283035E-2</v>
      </c>
      <c r="D21">
        <f t="shared" si="1"/>
        <v>-8.096979137289087E-3</v>
      </c>
      <c r="E21">
        <f t="shared" si="2"/>
        <v>6.5561071149694729E-5</v>
      </c>
    </row>
    <row r="22" spans="1:5" x14ac:dyDescent="0.25">
      <c r="A22">
        <v>2.8146701800875</v>
      </c>
      <c r="B22">
        <v>3.5069236660181406E-2</v>
      </c>
      <c r="C22">
        <f t="shared" si="0"/>
        <v>3.5676254186169529E-2</v>
      </c>
      <c r="D22">
        <f t="shared" si="1"/>
        <v>-6.0701752598812247E-4</v>
      </c>
      <c r="E22">
        <f t="shared" si="2"/>
        <v>3.6847027685674096E-7</v>
      </c>
    </row>
    <row r="23" spans="1:5" x14ac:dyDescent="0.25">
      <c r="A23">
        <v>2.9455059118125</v>
      </c>
      <c r="B23">
        <v>3.1706433144821543E-2</v>
      </c>
      <c r="C23">
        <f t="shared" si="0"/>
        <v>2.7126873235161806E-2</v>
      </c>
      <c r="D23">
        <f t="shared" si="1"/>
        <v>4.5795599096597368E-3</v>
      </c>
      <c r="E23">
        <f t="shared" si="2"/>
        <v>2.0972368966162699E-5</v>
      </c>
    </row>
    <row r="24" spans="1:5" x14ac:dyDescent="0.25">
      <c r="A24">
        <v>3.0763416435374999</v>
      </c>
      <c r="B24">
        <v>2.3059224105324759E-2</v>
      </c>
      <c r="C24">
        <f t="shared" si="0"/>
        <v>2.0459504634852823E-2</v>
      </c>
      <c r="D24">
        <f t="shared" si="1"/>
        <v>2.5997194704719361E-3</v>
      </c>
      <c r="E24">
        <f t="shared" si="2"/>
        <v>6.7585413251508833E-6</v>
      </c>
    </row>
    <row r="25" spans="1:5" x14ac:dyDescent="0.25">
      <c r="A25">
        <v>3.2071773752624999</v>
      </c>
      <c r="B25">
        <v>1.6333617074605039E-2</v>
      </c>
      <c r="C25">
        <f t="shared" si="0"/>
        <v>1.5309658910760955E-2</v>
      </c>
      <c r="D25">
        <f t="shared" si="1"/>
        <v>1.0239581638440843E-3</v>
      </c>
      <c r="E25">
        <f t="shared" si="2"/>
        <v>1.0484903213029487E-6</v>
      </c>
    </row>
    <row r="26" spans="1:5" x14ac:dyDescent="0.25">
      <c r="A26">
        <v>3.3380131069874999</v>
      </c>
      <c r="B26">
        <v>1.3451214061439443E-2</v>
      </c>
      <c r="C26">
        <f t="shared" si="0"/>
        <v>1.1368489259374779E-2</v>
      </c>
      <c r="D26">
        <f t="shared" si="1"/>
        <v>2.082724802064664E-3</v>
      </c>
      <c r="E26">
        <f t="shared" si="2"/>
        <v>4.3377426011352939E-6</v>
      </c>
    </row>
    <row r="27" spans="1:5" x14ac:dyDescent="0.25">
      <c r="A27">
        <v>3.4688488387125003</v>
      </c>
      <c r="B27">
        <v>1.3931614563633709E-2</v>
      </c>
      <c r="C27">
        <f t="shared" si="0"/>
        <v>8.3789847726686469E-3</v>
      </c>
      <c r="D27">
        <f t="shared" si="1"/>
        <v>5.5526297909650624E-3</v>
      </c>
      <c r="E27">
        <f t="shared" si="2"/>
        <v>3.0831697595512711E-5</v>
      </c>
    </row>
    <row r="28" spans="1:5" x14ac:dyDescent="0.25">
      <c r="A28">
        <v>3.5996845704375002</v>
      </c>
      <c r="B28">
        <v>8.1668085373025195E-3</v>
      </c>
      <c r="C28">
        <f t="shared" si="0"/>
        <v>6.1306942007174287E-3</v>
      </c>
      <c r="D28">
        <f t="shared" si="1"/>
        <v>2.0361143365850909E-3</v>
      </c>
      <c r="E28">
        <f t="shared" si="2"/>
        <v>4.1457615916473444E-6</v>
      </c>
    </row>
    <row r="29" spans="1:5" x14ac:dyDescent="0.25">
      <c r="A29">
        <v>3.7305203021625002</v>
      </c>
      <c r="B29">
        <v>3.8432040175541264E-3</v>
      </c>
      <c r="C29">
        <f t="shared" si="0"/>
        <v>4.4537937719857533E-3</v>
      </c>
      <c r="D29">
        <f t="shared" si="1"/>
        <v>-6.105897544316269E-4</v>
      </c>
      <c r="E29">
        <f t="shared" si="2"/>
        <v>3.7281984821687443E-7</v>
      </c>
    </row>
    <row r="30" spans="1:5" x14ac:dyDescent="0.25">
      <c r="A30">
        <v>3.8613560338875001</v>
      </c>
      <c r="B30">
        <v>1.9216020087770632E-3</v>
      </c>
      <c r="C30">
        <f t="shared" si="0"/>
        <v>3.2130712636130833E-3</v>
      </c>
      <c r="D30">
        <f t="shared" si="1"/>
        <v>-1.2914692548360201E-3</v>
      </c>
      <c r="E30">
        <f t="shared" si="2"/>
        <v>1.6678928361867049E-6</v>
      </c>
    </row>
    <row r="31" spans="1:5" x14ac:dyDescent="0.25">
      <c r="A31">
        <v>3.9921917656124997</v>
      </c>
      <c r="B31">
        <v>1.4412015065827974E-3</v>
      </c>
      <c r="C31">
        <f t="shared" si="0"/>
        <v>2.3022028274661938E-3</v>
      </c>
      <c r="D31">
        <f t="shared" si="1"/>
        <v>-8.6100132088339637E-4</v>
      </c>
      <c r="E31">
        <f t="shared" si="2"/>
        <v>7.4132327456295328E-7</v>
      </c>
    </row>
    <row r="32" spans="1:5" x14ac:dyDescent="0.25">
      <c r="A32">
        <v>4.1230274973374996</v>
      </c>
      <c r="B32">
        <v>9.6080100438853159E-4</v>
      </c>
      <c r="C32">
        <f t="shared" si="0"/>
        <v>1.6385472304613026E-3</v>
      </c>
      <c r="D32">
        <f t="shared" si="1"/>
        <v>-6.7774622607277098E-4</v>
      </c>
      <c r="E32">
        <f t="shared" si="2"/>
        <v>4.5933994695588356E-7</v>
      </c>
    </row>
    <row r="33" spans="1:5" x14ac:dyDescent="0.25">
      <c r="A33">
        <v>4.2538632290624996</v>
      </c>
      <c r="B33">
        <v>2.8824030131655949E-3</v>
      </c>
      <c r="C33">
        <f t="shared" si="0"/>
        <v>1.1585695394668199E-3</v>
      </c>
      <c r="D33">
        <f t="shared" si="1"/>
        <v>1.723833473698775E-3</v>
      </c>
      <c r="E33">
        <f t="shared" si="2"/>
        <v>2.9716018450443852E-6</v>
      </c>
    </row>
    <row r="34" spans="1:5" x14ac:dyDescent="0.25">
      <c r="A34">
        <v>4.3846989607874995</v>
      </c>
      <c r="B34">
        <v>4.8040050219426579E-4</v>
      </c>
      <c r="C34">
        <f t="shared" si="0"/>
        <v>8.1392685240506979E-4</v>
      </c>
      <c r="D34">
        <f t="shared" si="1"/>
        <v>-3.3352635021080399E-4</v>
      </c>
      <c r="E34">
        <f t="shared" si="2"/>
        <v>1.1123982628493987E-7</v>
      </c>
    </row>
    <row r="35" spans="1:5" x14ac:dyDescent="0.25">
      <c r="A35">
        <v>4.5155346925124995</v>
      </c>
      <c r="B35">
        <v>4.8040050219426579E-4</v>
      </c>
      <c r="C35">
        <f t="shared" si="0"/>
        <v>5.6819604903458225E-4</v>
      </c>
      <c r="D35">
        <f t="shared" si="1"/>
        <v>-8.779554684031646E-5</v>
      </c>
      <c r="E35">
        <f t="shared" si="2"/>
        <v>7.7080580449902019E-9</v>
      </c>
    </row>
    <row r="36" spans="1:5" x14ac:dyDescent="0.25">
      <c r="A36">
        <v>4.6463704242374995</v>
      </c>
      <c r="B36">
        <v>1.4412015065827974E-3</v>
      </c>
      <c r="C36">
        <f t="shared" si="0"/>
        <v>3.9419160203364289E-4</v>
      </c>
      <c r="D36">
        <f t="shared" si="1"/>
        <v>1.0470099045491545E-3</v>
      </c>
      <c r="E36">
        <f t="shared" si="2"/>
        <v>1.0962297402240297E-6</v>
      </c>
    </row>
    <row r="37" spans="1:5" x14ac:dyDescent="0.25">
      <c r="A37">
        <v>4.7772061559625003</v>
      </c>
      <c r="B37">
        <v>9.6080100438853159E-4</v>
      </c>
      <c r="C37">
        <f t="shared" si="0"/>
        <v>2.7180483353388807E-4</v>
      </c>
      <c r="D37">
        <f t="shared" si="1"/>
        <v>6.8899617085464346E-4</v>
      </c>
      <c r="E37">
        <f t="shared" si="2"/>
        <v>4.7471572345236107E-7</v>
      </c>
    </row>
    <row r="38" spans="1:5" x14ac:dyDescent="0.25">
      <c r="A38">
        <v>4.9080418876875003</v>
      </c>
      <c r="B38">
        <v>9.6080100438853159E-4</v>
      </c>
      <c r="C38">
        <f t="shared" si="0"/>
        <v>1.8629007781959027E-4</v>
      </c>
      <c r="D38">
        <f t="shared" si="1"/>
        <v>7.7451092656894132E-4</v>
      </c>
      <c r="E38">
        <f t="shared" si="2"/>
        <v>5.9986717537468005E-7</v>
      </c>
    </row>
    <row r="39" spans="1:5" x14ac:dyDescent="0.25">
      <c r="A39">
        <v>5.0388776194125002</v>
      </c>
      <c r="B39">
        <v>4.8040050219426579E-4</v>
      </c>
      <c r="C39">
        <f t="shared" si="0"/>
        <v>1.2692438070594316E-4</v>
      </c>
      <c r="D39">
        <f t="shared" si="1"/>
        <v>3.5347612148832263E-4</v>
      </c>
      <c r="E39">
        <f t="shared" si="2"/>
        <v>1.2494536846242742E-7</v>
      </c>
    </row>
    <row r="40" spans="1:5" x14ac:dyDescent="0.25">
      <c r="A40">
        <v>5.1697133511375002</v>
      </c>
      <c r="B40">
        <v>4.8040050219426579E-4</v>
      </c>
      <c r="C40">
        <f t="shared" si="0"/>
        <v>8.5972847805609309E-5</v>
      </c>
      <c r="D40">
        <f t="shared" si="1"/>
        <v>3.9442765438865647E-4</v>
      </c>
      <c r="E40">
        <f t="shared" si="2"/>
        <v>1.5557317454653743E-7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12CA4-6550-4E46-8522-EDCB2FF527E9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6.6488620537500001E-2</v>
      </c>
      <c r="B1">
        <v>0.22008181125216475</v>
      </c>
      <c r="C1">
        <f>$H$3*(1+$H$1)*(A1^($H$1))*EXP(-$H$3*(A1^(1+$H$1)))</f>
        <v>0.26838502235746209</v>
      </c>
      <c r="D1">
        <f>B1-C1</f>
        <v>-4.8303211105297339E-2</v>
      </c>
      <c r="E1">
        <f>D1^2</f>
        <v>2.3332002030829204E-3</v>
      </c>
      <c r="G1" t="s">
        <v>0</v>
      </c>
      <c r="H1">
        <v>0.58812624763440347</v>
      </c>
    </row>
    <row r="2" spans="1:8" x14ac:dyDescent="0.25">
      <c r="A2">
        <v>0.19156208761250004</v>
      </c>
      <c r="B2">
        <v>0.49895259948264747</v>
      </c>
      <c r="C2">
        <f t="shared" ref="C2:C40" si="0">$H$3*(1+$H$1)*(A2^($H$1))*EXP(-$H$3*(A2^(1+$H$1)))</f>
        <v>0.47585902659834822</v>
      </c>
      <c r="D2">
        <f t="shared" ref="D2:D40" si="1">B2-C2</f>
        <v>2.3093572884299252E-2</v>
      </c>
      <c r="E2">
        <f t="shared" ref="E2:E40" si="2">D2^2</f>
        <v>5.3331310856244169E-4</v>
      </c>
    </row>
    <row r="3" spans="1:8" x14ac:dyDescent="0.25">
      <c r="A3">
        <v>0.31663555468750004</v>
      </c>
      <c r="B3">
        <v>0.61251079432965483</v>
      </c>
      <c r="C3">
        <f t="shared" si="0"/>
        <v>0.59357682685236479</v>
      </c>
      <c r="D3">
        <f t="shared" si="1"/>
        <v>1.8933967477290037E-2</v>
      </c>
      <c r="E3">
        <f t="shared" si="2"/>
        <v>3.5849512443107684E-4</v>
      </c>
      <c r="G3" t="s">
        <v>1</v>
      </c>
      <c r="H3">
        <f>(_xlfn.GAMMA((2+$H$1)/(1+$H$1)))^(1+$H$1)</f>
        <v>0.8417479316343679</v>
      </c>
    </row>
    <row r="4" spans="1:8" x14ac:dyDescent="0.25">
      <c r="A4">
        <v>0.44170902176250004</v>
      </c>
      <c r="B4">
        <v>0.6582355542016799</v>
      </c>
      <c r="C4">
        <f t="shared" si="0"/>
        <v>0.65690253079709304</v>
      </c>
      <c r="D4">
        <f t="shared" si="1"/>
        <v>1.3330234045868528E-3</v>
      </c>
      <c r="E4">
        <f t="shared" si="2"/>
        <v>1.7769513971763242E-6</v>
      </c>
    </row>
    <row r="5" spans="1:8" x14ac:dyDescent="0.25">
      <c r="A5">
        <v>0.56678248883750015</v>
      </c>
      <c r="B5">
        <v>0.6924035066335229</v>
      </c>
      <c r="C5">
        <f t="shared" si="0"/>
        <v>0.68025208351762079</v>
      </c>
      <c r="D5">
        <f t="shared" si="1"/>
        <v>1.2151423115902116E-2</v>
      </c>
      <c r="E5">
        <f t="shared" si="2"/>
        <v>1.476570837416803E-4</v>
      </c>
      <c r="G5" t="s">
        <v>2</v>
      </c>
      <c r="H5">
        <f>SUM(E1:E40)</f>
        <v>6.4694729711708343E-3</v>
      </c>
    </row>
    <row r="6" spans="1:8" x14ac:dyDescent="0.25">
      <c r="A6">
        <v>0.69185595591250004</v>
      </c>
      <c r="B6">
        <v>0.69943808507537286</v>
      </c>
      <c r="C6">
        <f t="shared" si="0"/>
        <v>0.67347732994654685</v>
      </c>
      <c r="D6">
        <f t="shared" si="1"/>
        <v>2.5960755128826007E-2</v>
      </c>
      <c r="E6">
        <f t="shared" si="2"/>
        <v>6.7396080685886589E-4</v>
      </c>
    </row>
    <row r="7" spans="1:8" x14ac:dyDescent="0.25">
      <c r="A7">
        <v>0.81692942298750004</v>
      </c>
      <c r="B7">
        <v>0.64466886720668348</v>
      </c>
      <c r="C7">
        <f t="shared" si="0"/>
        <v>0.64455910989086784</v>
      </c>
      <c r="D7">
        <f t="shared" si="1"/>
        <v>1.0975731581563952E-4</v>
      </c>
      <c r="E7">
        <f t="shared" si="2"/>
        <v>1.2046668375054033E-8</v>
      </c>
    </row>
    <row r="8" spans="1:8" x14ac:dyDescent="0.25">
      <c r="A8">
        <v>0.94200289006250015</v>
      </c>
      <c r="B8">
        <v>0.56929838390114762</v>
      </c>
      <c r="C8">
        <f t="shared" si="0"/>
        <v>0.60025011039854748</v>
      </c>
      <c r="D8">
        <f t="shared" si="1"/>
        <v>-3.0951726497399856E-2</v>
      </c>
      <c r="E8">
        <f t="shared" si="2"/>
        <v>9.5800937316984443E-4</v>
      </c>
    </row>
    <row r="9" spans="1:8" x14ac:dyDescent="0.25">
      <c r="A9">
        <v>1.0670763571375002</v>
      </c>
      <c r="B9">
        <v>0.51905139503079034</v>
      </c>
      <c r="C9">
        <f t="shared" si="0"/>
        <v>0.5462351784694407</v>
      </c>
      <c r="D9">
        <f t="shared" si="1"/>
        <v>-2.7183783438650355E-2</v>
      </c>
      <c r="E9">
        <f t="shared" si="2"/>
        <v>7.3895808203944128E-4</v>
      </c>
    </row>
    <row r="10" spans="1:8" x14ac:dyDescent="0.25">
      <c r="A10">
        <v>1.1921498242125002</v>
      </c>
      <c r="B10">
        <v>0.48387850282154032</v>
      </c>
      <c r="C10">
        <f t="shared" si="0"/>
        <v>0.4871803477504707</v>
      </c>
      <c r="D10">
        <f t="shared" si="1"/>
        <v>-3.3018449289303753E-3</v>
      </c>
      <c r="E10">
        <f t="shared" si="2"/>
        <v>1.0902179934703235E-5</v>
      </c>
    </row>
    <row r="11" spans="1:8" x14ac:dyDescent="0.25">
      <c r="A11">
        <v>1.3172232912875002</v>
      </c>
      <c r="B11">
        <v>0.42659693550933303</v>
      </c>
      <c r="C11">
        <f t="shared" si="0"/>
        <v>0.42677781735433118</v>
      </c>
      <c r="D11">
        <f t="shared" si="1"/>
        <v>-1.8088184499814863E-4</v>
      </c>
      <c r="E11">
        <f t="shared" si="2"/>
        <v>3.271824184993427E-8</v>
      </c>
    </row>
    <row r="12" spans="1:8" x14ac:dyDescent="0.25">
      <c r="A12">
        <v>1.4422967583625002</v>
      </c>
      <c r="B12">
        <v>0.37132524775194009</v>
      </c>
      <c r="C12">
        <f t="shared" si="0"/>
        <v>0.36781563156476943</v>
      </c>
      <c r="D12">
        <f t="shared" si="1"/>
        <v>3.509616187170661E-3</v>
      </c>
      <c r="E12">
        <f t="shared" si="2"/>
        <v>1.2317405781250329E-5</v>
      </c>
    </row>
    <row r="13" spans="1:8" x14ac:dyDescent="0.25">
      <c r="A13">
        <v>1.5673702254375002</v>
      </c>
      <c r="B13">
        <v>0.32811283732343283</v>
      </c>
      <c r="C13">
        <f t="shared" si="0"/>
        <v>0.31227364791037598</v>
      </c>
      <c r="D13">
        <f t="shared" si="1"/>
        <v>1.5839189413056842E-2</v>
      </c>
      <c r="E13">
        <f t="shared" si="2"/>
        <v>2.5087992126269197E-4</v>
      </c>
    </row>
    <row r="14" spans="1:8" x14ac:dyDescent="0.25">
      <c r="A14">
        <v>1.6924436925125002</v>
      </c>
      <c r="B14">
        <v>0.26329422168067196</v>
      </c>
      <c r="C14">
        <f t="shared" si="0"/>
        <v>0.26143796614848208</v>
      </c>
      <c r="D14">
        <f t="shared" si="1"/>
        <v>1.8562555321898766E-3</v>
      </c>
      <c r="E14">
        <f t="shared" si="2"/>
        <v>3.4456846007855222E-6</v>
      </c>
    </row>
    <row r="15" spans="1:8" x14ac:dyDescent="0.25">
      <c r="A15">
        <v>1.8175171595875002</v>
      </c>
      <c r="B15">
        <v>0.21304723281031474</v>
      </c>
      <c r="C15">
        <f t="shared" si="0"/>
        <v>0.21602371309861923</v>
      </c>
      <c r="D15">
        <f t="shared" si="1"/>
        <v>-2.976480288304495E-3</v>
      </c>
      <c r="E15">
        <f t="shared" si="2"/>
        <v>8.8594349066652102E-6</v>
      </c>
    </row>
    <row r="16" spans="1:8" x14ac:dyDescent="0.25">
      <c r="A16">
        <v>1.9425906266625002</v>
      </c>
      <c r="B16">
        <v>0.16581506327217893</v>
      </c>
      <c r="C16">
        <f t="shared" si="0"/>
        <v>0.17629687535932539</v>
      </c>
      <c r="D16">
        <f t="shared" si="1"/>
        <v>-1.0481812087146464E-2</v>
      </c>
      <c r="E16">
        <f t="shared" si="2"/>
        <v>1.098683846302497E-4</v>
      </c>
    </row>
    <row r="17" spans="1:5" x14ac:dyDescent="0.25">
      <c r="A17">
        <v>2.0676640937375002</v>
      </c>
      <c r="B17">
        <v>0.12963723128552171</v>
      </c>
      <c r="C17">
        <f t="shared" si="0"/>
        <v>0.14218791783785822</v>
      </c>
      <c r="D17">
        <f t="shared" si="1"/>
        <v>-1.2550686552336515E-2</v>
      </c>
      <c r="E17">
        <f t="shared" si="2"/>
        <v>1.5751973293500065E-4</v>
      </c>
    </row>
    <row r="18" spans="1:5" x14ac:dyDescent="0.25">
      <c r="A18">
        <v>2.1927375608125002</v>
      </c>
      <c r="B18">
        <v>0.11757795395663596</v>
      </c>
      <c r="C18">
        <f t="shared" si="0"/>
        <v>0.11339230483215104</v>
      </c>
      <c r="D18">
        <f t="shared" si="1"/>
        <v>4.185649124484922E-3</v>
      </c>
      <c r="E18">
        <f t="shared" si="2"/>
        <v>1.7519658593301395E-5</v>
      </c>
    </row>
    <row r="19" spans="1:5" x14ac:dyDescent="0.25">
      <c r="A19">
        <v>2.3178110278875002</v>
      </c>
      <c r="B19">
        <v>8.2907531636089465E-2</v>
      </c>
      <c r="C19">
        <f t="shared" si="0"/>
        <v>8.9455275400509737E-2</v>
      </c>
      <c r="D19">
        <f t="shared" si="1"/>
        <v>-6.5477437644202718E-3</v>
      </c>
      <c r="E19">
        <f t="shared" si="2"/>
        <v>4.2872948404504554E-5</v>
      </c>
    </row>
    <row r="20" spans="1:5" x14ac:dyDescent="0.25">
      <c r="A20">
        <v>2.4428844949625002</v>
      </c>
      <c r="B20">
        <v>7.0345784418500146E-2</v>
      </c>
      <c r="C20">
        <f t="shared" si="0"/>
        <v>6.984008307737255E-2</v>
      </c>
      <c r="D20">
        <f t="shared" si="1"/>
        <v>5.0570134112759568E-4</v>
      </c>
      <c r="E20">
        <f t="shared" si="2"/>
        <v>2.5573384641824888E-7</v>
      </c>
    </row>
    <row r="21" spans="1:5" x14ac:dyDescent="0.25">
      <c r="A21">
        <v>2.5679579620375002</v>
      </c>
      <c r="B21">
        <v>4.8739579204246528E-2</v>
      </c>
      <c r="C21">
        <f t="shared" si="0"/>
        <v>5.3980305596162188E-2</v>
      </c>
      <c r="D21">
        <f t="shared" si="1"/>
        <v>-5.2407263919156608E-3</v>
      </c>
      <c r="E21">
        <f t="shared" si="2"/>
        <v>2.7465213114921339E-5</v>
      </c>
    </row>
    <row r="22" spans="1:5" x14ac:dyDescent="0.25">
      <c r="A22">
        <v>2.6930314291125006</v>
      </c>
      <c r="B22">
        <v>4.0700060984989371E-2</v>
      </c>
      <c r="C22">
        <f t="shared" si="0"/>
        <v>4.1317766531747256E-2</v>
      </c>
      <c r="D22">
        <f t="shared" si="1"/>
        <v>-6.1770554675788514E-4</v>
      </c>
      <c r="E22">
        <f t="shared" si="2"/>
        <v>3.8156014249545781E-7</v>
      </c>
    </row>
    <row r="23" spans="1:5" x14ac:dyDescent="0.25">
      <c r="A23">
        <v>2.8181048961875002</v>
      </c>
      <c r="B23">
        <v>3.1153133099621495E-2</v>
      </c>
      <c r="C23">
        <f t="shared" si="0"/>
        <v>3.1328142273247039E-2</v>
      </c>
      <c r="D23">
        <f t="shared" si="1"/>
        <v>-1.7500917362554477E-4</v>
      </c>
      <c r="E23">
        <f t="shared" si="2"/>
        <v>3.0628210853096077E-8</v>
      </c>
    </row>
    <row r="24" spans="1:5" x14ac:dyDescent="0.25">
      <c r="A24">
        <v>2.9431783632624997</v>
      </c>
      <c r="B24">
        <v>2.5625964323882196E-2</v>
      </c>
      <c r="C24">
        <f t="shared" si="0"/>
        <v>2.3536533735002689E-2</v>
      </c>
      <c r="D24">
        <f t="shared" si="1"/>
        <v>2.0894305888795074E-3</v>
      </c>
      <c r="E24">
        <f t="shared" si="2"/>
        <v>4.3657201857453655E-6</v>
      </c>
    </row>
    <row r="25" spans="1:5" x14ac:dyDescent="0.25">
      <c r="A25">
        <v>3.0682518303375002</v>
      </c>
      <c r="B25">
        <v>2.2108675102957189E-2</v>
      </c>
      <c r="C25">
        <f t="shared" si="0"/>
        <v>1.7525248396808728E-2</v>
      </c>
      <c r="D25">
        <f t="shared" si="1"/>
        <v>4.5834267061484607E-3</v>
      </c>
      <c r="E25">
        <f t="shared" si="2"/>
        <v>2.1007800370634928E-5</v>
      </c>
    </row>
    <row r="26" spans="1:5" x14ac:dyDescent="0.25">
      <c r="A26">
        <v>3.1933252974125002</v>
      </c>
      <c r="B26">
        <v>1.5074096661107175E-2</v>
      </c>
      <c r="C26">
        <f t="shared" si="0"/>
        <v>1.2935845039628921E-2</v>
      </c>
      <c r="D26">
        <f t="shared" si="1"/>
        <v>2.1382516214782533E-3</v>
      </c>
      <c r="E26">
        <f t="shared" si="2"/>
        <v>4.5721199967543793E-6</v>
      </c>
    </row>
    <row r="27" spans="1:5" x14ac:dyDescent="0.25">
      <c r="A27">
        <v>3.3183987644875002</v>
      </c>
      <c r="B27">
        <v>1.5074096661107175E-2</v>
      </c>
      <c r="C27">
        <f t="shared" si="0"/>
        <v>9.4672093897255529E-3</v>
      </c>
      <c r="D27">
        <f t="shared" si="1"/>
        <v>5.6068872713816217E-3</v>
      </c>
      <c r="E27">
        <f t="shared" si="2"/>
        <v>3.1437184873981247E-5</v>
      </c>
    </row>
    <row r="28" spans="1:5" x14ac:dyDescent="0.25">
      <c r="A28">
        <v>3.4434722315625006</v>
      </c>
      <c r="B28">
        <v>1.0049397774071449E-2</v>
      </c>
      <c r="C28">
        <f t="shared" si="0"/>
        <v>6.8711075099914531E-3</v>
      </c>
      <c r="D28">
        <f t="shared" si="1"/>
        <v>3.178290264079996E-3</v>
      </c>
      <c r="E28">
        <f t="shared" si="2"/>
        <v>1.010152900274569E-5</v>
      </c>
    </row>
    <row r="29" spans="1:5" x14ac:dyDescent="0.25">
      <c r="A29">
        <v>3.5685456986375002</v>
      </c>
      <c r="B29">
        <v>5.0246988870357246E-3</v>
      </c>
      <c r="C29">
        <f t="shared" si="0"/>
        <v>4.9463439227863115E-3</v>
      </c>
      <c r="D29">
        <f t="shared" si="1"/>
        <v>7.8354964249413052E-5</v>
      </c>
      <c r="E29">
        <f t="shared" si="2"/>
        <v>6.1395004225267977E-9</v>
      </c>
    </row>
    <row r="30" spans="1:5" x14ac:dyDescent="0.25">
      <c r="A30">
        <v>3.6936191657125006</v>
      </c>
      <c r="B30">
        <v>1.5074096661107175E-3</v>
      </c>
      <c r="C30">
        <f t="shared" si="0"/>
        <v>3.5323583592931219E-3</v>
      </c>
      <c r="D30">
        <f t="shared" si="1"/>
        <v>-2.0249486931824042E-3</v>
      </c>
      <c r="E30">
        <f t="shared" si="2"/>
        <v>4.1004172100211268E-6</v>
      </c>
    </row>
    <row r="31" spans="1:5" x14ac:dyDescent="0.25">
      <c r="A31">
        <v>3.8186926327875002</v>
      </c>
      <c r="B31">
        <v>3.014819332221435E-3</v>
      </c>
      <c r="C31">
        <f t="shared" si="0"/>
        <v>2.5028428062889648E-3</v>
      </c>
      <c r="D31">
        <f t="shared" si="1"/>
        <v>5.1197652593247024E-4</v>
      </c>
      <c r="E31">
        <f t="shared" si="2"/>
        <v>2.6211996310588139E-7</v>
      </c>
    </row>
    <row r="32" spans="1:5" x14ac:dyDescent="0.25">
      <c r="A32">
        <v>3.9437660998625006</v>
      </c>
      <c r="B32">
        <v>1.004939777407145E-3</v>
      </c>
      <c r="C32">
        <f t="shared" si="0"/>
        <v>1.7597547572302569E-3</v>
      </c>
      <c r="D32">
        <f t="shared" si="1"/>
        <v>-7.5481497982311189E-4</v>
      </c>
      <c r="E32">
        <f t="shared" si="2"/>
        <v>5.6974565376536482E-7</v>
      </c>
    </row>
    <row r="33" spans="1:5" x14ac:dyDescent="0.25">
      <c r="A33">
        <v>4.0688395669375002</v>
      </c>
      <c r="B33">
        <v>2.00987955481429E-3</v>
      </c>
      <c r="C33">
        <f t="shared" si="0"/>
        <v>1.2279428973189135E-3</v>
      </c>
      <c r="D33">
        <f t="shared" si="1"/>
        <v>7.8193665749537651E-4</v>
      </c>
      <c r="E33">
        <f t="shared" si="2"/>
        <v>6.1142493633504178E-7</v>
      </c>
    </row>
    <row r="34" spans="1:5" x14ac:dyDescent="0.25">
      <c r="A34">
        <v>4.1939130340124997</v>
      </c>
      <c r="B34">
        <v>1.5074096661107175E-3</v>
      </c>
      <c r="C34">
        <f t="shared" si="0"/>
        <v>8.5048372004384364E-4</v>
      </c>
      <c r="D34">
        <f t="shared" si="1"/>
        <v>6.5692594606687387E-4</v>
      </c>
      <c r="E34">
        <f t="shared" si="2"/>
        <v>4.3155169861585726E-7</v>
      </c>
    </row>
    <row r="35" spans="1:5" x14ac:dyDescent="0.25">
      <c r="A35">
        <v>4.3189865010875002</v>
      </c>
      <c r="B35">
        <v>1.004939777407145E-3</v>
      </c>
      <c r="C35">
        <f t="shared" si="0"/>
        <v>5.8474563272957903E-4</v>
      </c>
      <c r="D35">
        <f t="shared" si="1"/>
        <v>4.2019414467756597E-4</v>
      </c>
      <c r="E35">
        <f t="shared" si="2"/>
        <v>1.7656311922131123E-7</v>
      </c>
    </row>
    <row r="36" spans="1:5" x14ac:dyDescent="0.25">
      <c r="A36">
        <v>4.4440599681625006</v>
      </c>
      <c r="B36">
        <v>5.024698887035725E-4</v>
      </c>
      <c r="C36">
        <f t="shared" si="0"/>
        <v>3.9914409472848069E-4</v>
      </c>
      <c r="D36">
        <f t="shared" si="1"/>
        <v>1.0332579397509181E-4</v>
      </c>
      <c r="E36">
        <f t="shared" si="2"/>
        <v>1.0676219700583119E-8</v>
      </c>
    </row>
    <row r="37" spans="1:5" x14ac:dyDescent="0.25">
      <c r="A37">
        <v>4.5691334352375002</v>
      </c>
      <c r="B37">
        <v>2.00987955481429E-3</v>
      </c>
      <c r="C37">
        <f t="shared" si="0"/>
        <v>2.7052054351562146E-4</v>
      </c>
      <c r="D37">
        <f t="shared" si="1"/>
        <v>1.7393590112986686E-3</v>
      </c>
      <c r="E37">
        <f t="shared" si="2"/>
        <v>3.0253697701858819E-6</v>
      </c>
    </row>
    <row r="38" spans="1:5" x14ac:dyDescent="0.25">
      <c r="A38">
        <v>4.6942069023124997</v>
      </c>
      <c r="B38">
        <v>5.024698887035725E-4</v>
      </c>
      <c r="C38">
        <f t="shared" si="0"/>
        <v>1.8206329632916484E-4</v>
      </c>
      <c r="D38">
        <f t="shared" si="1"/>
        <v>3.2040659237440763E-4</v>
      </c>
      <c r="E38">
        <f t="shared" si="2"/>
        <v>1.0266038443697981E-7</v>
      </c>
    </row>
    <row r="39" spans="1:5" x14ac:dyDescent="0.25">
      <c r="A39">
        <v>4.819280369387501</v>
      </c>
      <c r="B39">
        <v>1.004939777407145E-3</v>
      </c>
      <c r="C39">
        <f t="shared" si="0"/>
        <v>1.2168522123266066E-4</v>
      </c>
      <c r="D39">
        <f t="shared" si="1"/>
        <v>8.8325455617448438E-4</v>
      </c>
      <c r="E39">
        <f t="shared" si="2"/>
        <v>7.8013861100298541E-7</v>
      </c>
    </row>
    <row r="40" spans="1:5" x14ac:dyDescent="0.25">
      <c r="A40">
        <v>4.9443538364625006</v>
      </c>
      <c r="B40">
        <v>5.024698887035725E-4</v>
      </c>
      <c r="C40">
        <f t="shared" si="0"/>
        <v>8.0776734092466462E-5</v>
      </c>
      <c r="D40">
        <f t="shared" si="1"/>
        <v>4.2169315461110604E-4</v>
      </c>
      <c r="E40">
        <f t="shared" si="2"/>
        <v>1.7782511664586619E-7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1FB46-69AE-4EE8-99C4-13E652995CFE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7.0196172862500003E-2</v>
      </c>
      <c r="B1">
        <v>0.19554779871552186</v>
      </c>
      <c r="C1">
        <f>$H$3*(1+$H$1)*(A1^($H$1))*EXP(-$H$3*(A1^(1+$H$1)))</f>
        <v>0.24118658188457892</v>
      </c>
      <c r="D1">
        <f>B1-C1</f>
        <v>-4.5638783169057062E-2</v>
      </c>
      <c r="E1">
        <f>D1^2</f>
        <v>2.0828985291522061E-3</v>
      </c>
      <c r="G1" t="s">
        <v>0</v>
      </c>
      <c r="H1">
        <v>0.65062717770194223</v>
      </c>
    </row>
    <row r="2" spans="1:8" x14ac:dyDescent="0.25">
      <c r="A2">
        <v>0.18942910058750001</v>
      </c>
      <c r="B2">
        <v>0.45539972531054146</v>
      </c>
      <c r="C2">
        <f t="shared" ref="C2:C40" si="0">$H$3*(1+$H$1)*(A2^($H$1))*EXP(-$H$3*(A2^(1+$H$1)))</f>
        <v>0.44074783247900845</v>
      </c>
      <c r="D2">
        <f t="shared" ref="D2:D40" si="1">B2-C2</f>
        <v>1.4651892831533009E-2</v>
      </c>
      <c r="E2">
        <f t="shared" ref="E2:E40" si="2">D2^2</f>
        <v>2.1467796354672836E-4</v>
      </c>
    </row>
    <row r="3" spans="1:8" x14ac:dyDescent="0.25">
      <c r="A3">
        <v>0.3086620283125</v>
      </c>
      <c r="B3">
        <v>0.58506214710034843</v>
      </c>
      <c r="C3">
        <f t="shared" si="0"/>
        <v>0.56682032157998852</v>
      </c>
      <c r="D3">
        <f t="shared" si="1"/>
        <v>1.8241825520359911E-2</v>
      </c>
      <c r="E3">
        <f t="shared" si="2"/>
        <v>3.3276419831525413E-4</v>
      </c>
      <c r="G3" t="s">
        <v>1</v>
      </c>
      <c r="H3">
        <f>(_xlfn.GAMMA((2+$H$1)/(1+$H$1)))^(1+$H$1)</f>
        <v>0.83142852621714758</v>
      </c>
    </row>
    <row r="4" spans="1:8" x14ac:dyDescent="0.25">
      <c r="A4">
        <v>0.42789495603750005</v>
      </c>
      <c r="B4">
        <v>0.65727252021093197</v>
      </c>
      <c r="C4">
        <f t="shared" si="0"/>
        <v>0.64368660571084713</v>
      </c>
      <c r="D4">
        <f t="shared" si="1"/>
        <v>1.3585914500084839E-2</v>
      </c>
      <c r="E4">
        <f t="shared" si="2"/>
        <v>1.8457707280361549E-4</v>
      </c>
    </row>
    <row r="5" spans="1:8" x14ac:dyDescent="0.25">
      <c r="A5">
        <v>0.54712788376249999</v>
      </c>
      <c r="B5">
        <v>0.67150376162688641</v>
      </c>
      <c r="C5">
        <f t="shared" si="0"/>
        <v>0.68175086685003949</v>
      </c>
      <c r="D5">
        <f t="shared" si="1"/>
        <v>-1.0247105223153086E-2</v>
      </c>
      <c r="E5">
        <f t="shared" si="2"/>
        <v>1.0500316545437126E-4</v>
      </c>
      <c r="G5" t="s">
        <v>2</v>
      </c>
      <c r="H5">
        <f>SUM(E1:E40)</f>
        <v>9.3637463160634732E-3</v>
      </c>
    </row>
    <row r="6" spans="1:8" x14ac:dyDescent="0.25">
      <c r="A6">
        <v>0.66636081148750004</v>
      </c>
      <c r="B6">
        <v>0.74740371584530996</v>
      </c>
      <c r="C6">
        <f t="shared" si="0"/>
        <v>0.6886676455988342</v>
      </c>
      <c r="D6">
        <f t="shared" si="1"/>
        <v>5.8736070246475758E-2</v>
      </c>
      <c r="E6">
        <f t="shared" si="2"/>
        <v>3.4499259479989349E-3</v>
      </c>
    </row>
    <row r="7" spans="1:8" x14ac:dyDescent="0.25">
      <c r="A7">
        <v>0.78559373921250009</v>
      </c>
      <c r="B7">
        <v>0.66517876544201771</v>
      </c>
      <c r="C7">
        <f t="shared" si="0"/>
        <v>0.67117842527512861</v>
      </c>
      <c r="D7">
        <f t="shared" si="1"/>
        <v>-5.9996598331109041E-3</v>
      </c>
      <c r="E7">
        <f t="shared" si="2"/>
        <v>3.5995918113044361E-5</v>
      </c>
    </row>
    <row r="8" spans="1:8" x14ac:dyDescent="0.25">
      <c r="A8">
        <v>0.90482666693750002</v>
      </c>
      <c r="B8">
        <v>0.62037670913253162</v>
      </c>
      <c r="C8">
        <f t="shared" si="0"/>
        <v>0.6354448068501779</v>
      </c>
      <c r="D8">
        <f t="shared" si="1"/>
        <v>-1.5068097717646278E-2</v>
      </c>
      <c r="E8">
        <f t="shared" si="2"/>
        <v>2.2704756882853698E-4</v>
      </c>
    </row>
    <row r="9" spans="1:8" x14ac:dyDescent="0.25">
      <c r="A9">
        <v>1.0240595946625</v>
      </c>
      <c r="B9">
        <v>0.57241215473061113</v>
      </c>
      <c r="C9">
        <f t="shared" si="0"/>
        <v>0.58702301494358877</v>
      </c>
      <c r="D9">
        <f t="shared" si="1"/>
        <v>-1.4610860212977639E-2</v>
      </c>
      <c r="E9">
        <f t="shared" si="2"/>
        <v>2.1347723616317298E-4</v>
      </c>
    </row>
    <row r="10" spans="1:8" x14ac:dyDescent="0.25">
      <c r="A10">
        <v>1.1432925223875001</v>
      </c>
      <c r="B10">
        <v>0.49809344955840473</v>
      </c>
      <c r="C10">
        <f t="shared" si="0"/>
        <v>0.5307688664502701</v>
      </c>
      <c r="D10">
        <f t="shared" si="1"/>
        <v>-3.2675416891865372E-2</v>
      </c>
      <c r="E10">
        <f t="shared" si="2"/>
        <v>1.0676828690572009E-3</v>
      </c>
    </row>
    <row r="11" spans="1:8" x14ac:dyDescent="0.25">
      <c r="A11">
        <v>1.2625254501125001</v>
      </c>
      <c r="B11">
        <v>0.47542887989595883</v>
      </c>
      <c r="C11">
        <f t="shared" si="0"/>
        <v>0.47076318050530425</v>
      </c>
      <c r="D11">
        <f t="shared" si="1"/>
        <v>4.6656993906545874E-3</v>
      </c>
      <c r="E11">
        <f t="shared" si="2"/>
        <v>2.1768750803954587E-5</v>
      </c>
    </row>
    <row r="12" spans="1:8" x14ac:dyDescent="0.25">
      <c r="A12">
        <v>1.3817583778375</v>
      </c>
      <c r="B12">
        <v>0.40848933693943246</v>
      </c>
      <c r="C12">
        <f t="shared" si="0"/>
        <v>0.41028396547398871</v>
      </c>
      <c r="D12">
        <f t="shared" si="1"/>
        <v>-1.7946285345562529E-3</v>
      </c>
      <c r="E12">
        <f t="shared" si="2"/>
        <v>3.2206915770435241E-6</v>
      </c>
    </row>
    <row r="13" spans="1:8" x14ac:dyDescent="0.25">
      <c r="A13">
        <v>1.5009913055625002</v>
      </c>
      <c r="B13">
        <v>0.343658126044529</v>
      </c>
      <c r="C13">
        <f t="shared" si="0"/>
        <v>0.35182708600335549</v>
      </c>
      <c r="D13">
        <f t="shared" si="1"/>
        <v>-8.1689599588264938E-3</v>
      </c>
      <c r="E13">
        <f t="shared" si="2"/>
        <v>6.6731906808910549E-5</v>
      </c>
    </row>
    <row r="14" spans="1:8" x14ac:dyDescent="0.25">
      <c r="A14">
        <v>1.6202242332875001</v>
      </c>
      <c r="B14">
        <v>0.31888522432046018</v>
      </c>
      <c r="C14">
        <f t="shared" si="0"/>
        <v>0.29716693661805904</v>
      </c>
      <c r="D14">
        <f t="shared" si="1"/>
        <v>2.171828770240114E-2</v>
      </c>
      <c r="E14">
        <f t="shared" si="2"/>
        <v>4.7168402072426859E-4</v>
      </c>
    </row>
    <row r="15" spans="1:8" x14ac:dyDescent="0.25">
      <c r="A15">
        <v>1.7394571610125</v>
      </c>
      <c r="B15">
        <v>0.25774359453339674</v>
      </c>
      <c r="C15">
        <f t="shared" si="0"/>
        <v>0.24744501381409334</v>
      </c>
      <c r="D15">
        <f t="shared" si="1"/>
        <v>1.0298580719303396E-2</v>
      </c>
      <c r="E15">
        <f t="shared" si="2"/>
        <v>1.0606076483200766E-4</v>
      </c>
    </row>
    <row r="16" spans="1:8" x14ac:dyDescent="0.25">
      <c r="A16">
        <v>1.8586900887375</v>
      </c>
      <c r="B16">
        <v>0.19080405157687039</v>
      </c>
      <c r="C16">
        <f t="shared" si="0"/>
        <v>0.20327399965750964</v>
      </c>
      <c r="D16">
        <f t="shared" si="1"/>
        <v>-1.2469948080639254E-2</v>
      </c>
      <c r="E16">
        <f t="shared" si="2"/>
        <v>1.554996051338386E-4</v>
      </c>
    </row>
    <row r="17" spans="1:5" x14ac:dyDescent="0.25">
      <c r="A17">
        <v>1.9779230164624999</v>
      </c>
      <c r="B17">
        <v>0.14916449335981857</v>
      </c>
      <c r="C17">
        <f t="shared" si="0"/>
        <v>0.16484645678634566</v>
      </c>
      <c r="D17">
        <f t="shared" si="1"/>
        <v>-1.5681963426527085E-2</v>
      </c>
      <c r="E17">
        <f t="shared" si="2"/>
        <v>2.4592397691093311E-4</v>
      </c>
    </row>
    <row r="18" spans="1:5" x14ac:dyDescent="0.25">
      <c r="A18">
        <v>2.0971559441875001</v>
      </c>
      <c r="B18">
        <v>0.13704158400548702</v>
      </c>
      <c r="C18">
        <f t="shared" si="0"/>
        <v>0.13203955283714902</v>
      </c>
      <c r="D18">
        <f t="shared" si="1"/>
        <v>5.0020311683380003E-3</v>
      </c>
      <c r="E18">
        <f t="shared" si="2"/>
        <v>2.502031580902482E-5</v>
      </c>
    </row>
    <row r="19" spans="1:5" x14ac:dyDescent="0.25">
      <c r="A19">
        <v>2.2163888719124998</v>
      </c>
      <c r="B19">
        <v>9.4874942773029478E-2</v>
      </c>
      <c r="C19">
        <f t="shared" si="0"/>
        <v>0.10450978675995959</v>
      </c>
      <c r="D19">
        <f t="shared" si="1"/>
        <v>-9.6348439869301111E-3</v>
      </c>
      <c r="E19">
        <f t="shared" si="2"/>
        <v>9.2830218652483317E-5</v>
      </c>
    </row>
    <row r="20" spans="1:5" x14ac:dyDescent="0.25">
      <c r="A20">
        <v>2.3356217996374999</v>
      </c>
      <c r="B20">
        <v>7.90624523108579E-2</v>
      </c>
      <c r="C20">
        <f t="shared" si="0"/>
        <v>8.1774103414157612E-2</v>
      </c>
      <c r="D20">
        <f t="shared" si="1"/>
        <v>-2.7116511032997115E-3</v>
      </c>
      <c r="E20">
        <f t="shared" si="2"/>
        <v>7.3530517060265425E-6</v>
      </c>
    </row>
    <row r="21" spans="1:5" x14ac:dyDescent="0.25">
      <c r="A21">
        <v>2.4548547273625001</v>
      </c>
      <c r="B21">
        <v>6.0087463756251999E-2</v>
      </c>
      <c r="C21">
        <f t="shared" si="0"/>
        <v>6.3275837577440611E-2</v>
      </c>
      <c r="D21">
        <f t="shared" si="1"/>
        <v>-3.1883738211886115E-3</v>
      </c>
      <c r="E21">
        <f t="shared" si="2"/>
        <v>1.0165727623640868E-5</v>
      </c>
    </row>
    <row r="22" spans="1:5" x14ac:dyDescent="0.25">
      <c r="A22">
        <v>2.5740876550875003</v>
      </c>
      <c r="B22">
        <v>4.4274973294080422E-2</v>
      </c>
      <c r="C22">
        <f t="shared" si="0"/>
        <v>4.8435523335521341E-2</v>
      </c>
      <c r="D22">
        <f t="shared" si="1"/>
        <v>-4.1605500414409191E-3</v>
      </c>
      <c r="E22">
        <f t="shared" si="2"/>
        <v>1.7310176647334034E-5</v>
      </c>
    </row>
    <row r="23" spans="1:5" x14ac:dyDescent="0.25">
      <c r="A23">
        <v>2.6933205828125004</v>
      </c>
      <c r="B23">
        <v>3.7422894093806072E-2</v>
      </c>
      <c r="C23">
        <f t="shared" si="0"/>
        <v>3.668772396265832E-2</v>
      </c>
      <c r="D23">
        <f t="shared" si="1"/>
        <v>7.3517013114775265E-4</v>
      </c>
      <c r="E23">
        <f t="shared" si="2"/>
        <v>5.4047512173180387E-7</v>
      </c>
    </row>
    <row r="24" spans="1:5" x14ac:dyDescent="0.25">
      <c r="A24">
        <v>2.8125535105375001</v>
      </c>
      <c r="B24">
        <v>2.319165267785165E-2</v>
      </c>
      <c r="C24">
        <f t="shared" si="0"/>
        <v>2.750572135473513E-2</v>
      </c>
      <c r="D24">
        <f t="shared" si="1"/>
        <v>-4.3140686768834806E-3</v>
      </c>
      <c r="E24">
        <f t="shared" si="2"/>
        <v>1.8611188548867185E-5</v>
      </c>
    </row>
    <row r="25" spans="1:5" x14ac:dyDescent="0.25">
      <c r="A25">
        <v>2.9317864382625003</v>
      </c>
      <c r="B25">
        <v>3.1624980924343155E-2</v>
      </c>
      <c r="C25">
        <f t="shared" si="0"/>
        <v>2.0416225512974312E-2</v>
      </c>
      <c r="D25">
        <f t="shared" si="1"/>
        <v>1.1208755411368843E-2</v>
      </c>
      <c r="E25">
        <f t="shared" si="2"/>
        <v>1.256361978718903E-4</v>
      </c>
    </row>
    <row r="26" spans="1:5" x14ac:dyDescent="0.25">
      <c r="A26">
        <v>3.0510193659875</v>
      </c>
      <c r="B26">
        <v>1.3704158400548701E-2</v>
      </c>
      <c r="C26">
        <f t="shared" si="0"/>
        <v>1.5006309305948191E-2</v>
      </c>
      <c r="D26">
        <f t="shared" si="1"/>
        <v>-1.3021509053994899E-3</v>
      </c>
      <c r="E26">
        <f t="shared" si="2"/>
        <v>1.6955969804327114E-6</v>
      </c>
    </row>
    <row r="27" spans="1:5" x14ac:dyDescent="0.25">
      <c r="A27">
        <v>3.1702522937125002</v>
      </c>
      <c r="B27">
        <v>1.528540744676586E-2</v>
      </c>
      <c r="C27">
        <f t="shared" si="0"/>
        <v>1.0924626914465028E-2</v>
      </c>
      <c r="D27">
        <f t="shared" si="1"/>
        <v>4.3607805323008317E-3</v>
      </c>
      <c r="E27">
        <f t="shared" si="2"/>
        <v>1.9016406850893926E-5</v>
      </c>
    </row>
    <row r="28" spans="1:5" x14ac:dyDescent="0.25">
      <c r="A28">
        <v>3.2894852214375003</v>
      </c>
      <c r="B28">
        <v>1.528540744676586E-2</v>
      </c>
      <c r="C28">
        <f t="shared" si="0"/>
        <v>7.878711617517237E-3</v>
      </c>
      <c r="D28">
        <f t="shared" si="1"/>
        <v>7.4066958292486225E-3</v>
      </c>
      <c r="E28">
        <f t="shared" si="2"/>
        <v>5.4859143107008941E-5</v>
      </c>
    </row>
    <row r="29" spans="1:5" x14ac:dyDescent="0.25">
      <c r="A29">
        <v>3.4087181491625</v>
      </c>
      <c r="B29">
        <v>5.270830154057193E-3</v>
      </c>
      <c r="C29">
        <f t="shared" si="0"/>
        <v>5.6298313211083674E-3</v>
      </c>
      <c r="D29">
        <f t="shared" si="1"/>
        <v>-3.5900116705117439E-4</v>
      </c>
      <c r="E29">
        <f t="shared" si="2"/>
        <v>1.2888183794410522E-7</v>
      </c>
    </row>
    <row r="30" spans="1:5" x14ac:dyDescent="0.25">
      <c r="A30">
        <v>3.5279510768874998</v>
      </c>
      <c r="B30">
        <v>3.162498092434316E-3</v>
      </c>
      <c r="C30">
        <f t="shared" si="0"/>
        <v>3.9865542004570249E-3</v>
      </c>
      <c r="D30">
        <f t="shared" si="1"/>
        <v>-8.2405610802270893E-4</v>
      </c>
      <c r="E30">
        <f t="shared" si="2"/>
        <v>6.7906846916953455E-7</v>
      </c>
    </row>
    <row r="31" spans="1:5" x14ac:dyDescent="0.25">
      <c r="A31">
        <v>3.6471840046124999</v>
      </c>
      <c r="B31">
        <v>3.162498092434316E-3</v>
      </c>
      <c r="C31">
        <f t="shared" si="0"/>
        <v>2.7978728547590733E-3</v>
      </c>
      <c r="D31">
        <f t="shared" si="1"/>
        <v>3.646252376752427E-4</v>
      </c>
      <c r="E31">
        <f t="shared" si="2"/>
        <v>1.3295156394972724E-7</v>
      </c>
    </row>
    <row r="32" spans="1:5" x14ac:dyDescent="0.25">
      <c r="A32">
        <v>3.7664169323375001</v>
      </c>
      <c r="B32">
        <v>2.6354150770285965E-3</v>
      </c>
      <c r="C32">
        <f t="shared" si="0"/>
        <v>1.9464715190592612E-3</v>
      </c>
      <c r="D32">
        <f t="shared" si="1"/>
        <v>6.8894355796933525E-4</v>
      </c>
      <c r="E32">
        <f t="shared" si="2"/>
        <v>4.7464322606744682E-7</v>
      </c>
    </row>
    <row r="33" spans="1:5" x14ac:dyDescent="0.25">
      <c r="A33">
        <v>3.8856498600625002</v>
      </c>
      <c r="B33">
        <v>1.0541660308114385E-3</v>
      </c>
      <c r="C33">
        <f t="shared" si="0"/>
        <v>1.3425051534030935E-3</v>
      </c>
      <c r="D33">
        <f t="shared" si="1"/>
        <v>-2.8833912259165501E-4</v>
      </c>
      <c r="E33">
        <f t="shared" si="2"/>
        <v>8.3139449616925464E-8</v>
      </c>
    </row>
    <row r="34" spans="1:5" x14ac:dyDescent="0.25">
      <c r="A34">
        <v>4.0048827877874995</v>
      </c>
      <c r="B34">
        <v>1.0541660308114385E-3</v>
      </c>
      <c r="C34">
        <f t="shared" si="0"/>
        <v>9.1809241965067209E-4</v>
      </c>
      <c r="D34">
        <f t="shared" si="1"/>
        <v>1.3607361116076643E-4</v>
      </c>
      <c r="E34">
        <f t="shared" si="2"/>
        <v>1.8516027654331457E-8</v>
      </c>
    </row>
    <row r="35" spans="1:5" x14ac:dyDescent="0.25">
      <c r="A35">
        <v>4.1241157155125006</v>
      </c>
      <c r="B35">
        <v>1.581249046217158E-3</v>
      </c>
      <c r="C35">
        <f t="shared" si="0"/>
        <v>6.2260276320830416E-4</v>
      </c>
      <c r="D35">
        <f t="shared" si="1"/>
        <v>9.5864628300885383E-4</v>
      </c>
      <c r="E35">
        <f t="shared" si="2"/>
        <v>9.1900269592669147E-7</v>
      </c>
    </row>
    <row r="36" spans="1:5" x14ac:dyDescent="0.25">
      <c r="A36">
        <v>4.2433486432374998</v>
      </c>
      <c r="B36">
        <v>1.0541660308114385E-3</v>
      </c>
      <c r="C36">
        <f t="shared" si="0"/>
        <v>4.1873455544217146E-4</v>
      </c>
      <c r="D36">
        <f t="shared" si="1"/>
        <v>6.3543147536926706E-4</v>
      </c>
      <c r="E36">
        <f t="shared" si="2"/>
        <v>4.0377315988996343E-7</v>
      </c>
    </row>
    <row r="37" spans="1:5" x14ac:dyDescent="0.25">
      <c r="A37">
        <v>4.3625815709625009</v>
      </c>
      <c r="B37">
        <v>1.581249046217158E-3</v>
      </c>
      <c r="C37">
        <f t="shared" si="0"/>
        <v>2.7932903180670319E-4</v>
      </c>
      <c r="D37">
        <f t="shared" si="1"/>
        <v>1.3019200144104548E-3</v>
      </c>
      <c r="E37">
        <f t="shared" si="2"/>
        <v>1.694995723922519E-6</v>
      </c>
    </row>
    <row r="38" spans="1:5" x14ac:dyDescent="0.25">
      <c r="A38">
        <v>4.4818144986875001</v>
      </c>
      <c r="B38">
        <v>5.2708301540571926E-4</v>
      </c>
      <c r="C38">
        <f t="shared" si="0"/>
        <v>1.8483617270240654E-4</v>
      </c>
      <c r="D38">
        <f t="shared" si="1"/>
        <v>3.4224684270331272E-4</v>
      </c>
      <c r="E38">
        <f t="shared" si="2"/>
        <v>1.1713290134038608E-7</v>
      </c>
    </row>
    <row r="39" spans="1:5" x14ac:dyDescent="0.25">
      <c r="A39">
        <v>4.6010474264124994</v>
      </c>
      <c r="B39">
        <v>5.2708301540571926E-4</v>
      </c>
      <c r="C39">
        <f t="shared" si="0"/>
        <v>1.2133705965903679E-4</v>
      </c>
      <c r="D39">
        <f t="shared" si="1"/>
        <v>4.0574595574668248E-4</v>
      </c>
      <c r="E39">
        <f t="shared" si="2"/>
        <v>1.6462978060478881E-7</v>
      </c>
    </row>
    <row r="40" spans="1:5" x14ac:dyDescent="0.25">
      <c r="A40">
        <v>4.7202803541375005</v>
      </c>
      <c r="B40">
        <v>1.0541660308114385E-3</v>
      </c>
      <c r="C40">
        <f t="shared" si="0"/>
        <v>7.9027023270854632E-5</v>
      </c>
      <c r="D40">
        <f t="shared" si="1"/>
        <v>9.7513900754058391E-4</v>
      </c>
      <c r="E40">
        <f t="shared" si="2"/>
        <v>9.5089608402723492E-7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F3DA0-F90F-4423-BB5A-7A41E8CC7380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6.9118029462499994E-2</v>
      </c>
      <c r="B1">
        <v>0.14397472703326661</v>
      </c>
      <c r="C1">
        <f>$H$3*(1+$H$1)*(A1^($H$1))*EXP(-$H$3*(A1^(1+$H$1)))</f>
        <v>0.20292460899835882</v>
      </c>
      <c r="D1">
        <f>B1-C1</f>
        <v>-5.894988196509221E-2</v>
      </c>
      <c r="E1">
        <f>D1^2</f>
        <v>3.475088583698304E-3</v>
      </c>
      <c r="G1" t="s">
        <v>0</v>
      </c>
      <c r="H1">
        <v>0.72344064370816785</v>
      </c>
    </row>
    <row r="2" spans="1:8" x14ac:dyDescent="0.25">
      <c r="A2">
        <v>0.1826092623875</v>
      </c>
      <c r="B2">
        <v>0.40977422309468187</v>
      </c>
      <c r="C2">
        <f t="shared" ref="C2:C40" si="0">$H$3*(1+$H$1)*(A2^($H$1))*EXP(-$H$3*(A2^(1+$H$1)))</f>
        <v>0.39548275926083049</v>
      </c>
      <c r="D2">
        <f t="shared" ref="D2:D40" si="1">B2-C2</f>
        <v>1.4291463833851381E-2</v>
      </c>
      <c r="E2">
        <f t="shared" ref="E2:E40" si="2">D2^2</f>
        <v>2.04245938514282E-4</v>
      </c>
    </row>
    <row r="3" spans="1:8" x14ac:dyDescent="0.25">
      <c r="A3">
        <v>0.29610049531249999</v>
      </c>
      <c r="B3">
        <v>0.55319520117782051</v>
      </c>
      <c r="C3">
        <f t="shared" si="0"/>
        <v>0.52998982896342284</v>
      </c>
      <c r="D3">
        <f t="shared" si="1"/>
        <v>2.3205372214397668E-2</v>
      </c>
      <c r="E3">
        <f t="shared" si="2"/>
        <v>5.3848929960873936E-4</v>
      </c>
      <c r="G3" t="s">
        <v>1</v>
      </c>
      <c r="H3">
        <f>(_xlfn.GAMMA((2+$H$1)/(1+$H$1)))^(1+$H$1)</f>
        <v>0.82033015401786413</v>
      </c>
    </row>
    <row r="4" spans="1:8" x14ac:dyDescent="0.25">
      <c r="A4">
        <v>0.40959172823750001</v>
      </c>
      <c r="B4">
        <v>0.64345628004867617</v>
      </c>
      <c r="C4">
        <f t="shared" si="0"/>
        <v>0.6214987361912343</v>
      </c>
      <c r="D4">
        <f t="shared" si="1"/>
        <v>2.1957543857441864E-2</v>
      </c>
      <c r="E4">
        <f t="shared" si="2"/>
        <v>4.8213373225148291E-4</v>
      </c>
    </row>
    <row r="5" spans="1:8" x14ac:dyDescent="0.25">
      <c r="A5">
        <v>0.52308296116249997</v>
      </c>
      <c r="B5">
        <v>0.68055745970724868</v>
      </c>
      <c r="C5">
        <f t="shared" si="0"/>
        <v>0.67635508704568204</v>
      </c>
      <c r="D5">
        <f t="shared" si="1"/>
        <v>4.2023726615666446E-3</v>
      </c>
      <c r="E5">
        <f t="shared" si="2"/>
        <v>1.7659935986682723E-5</v>
      </c>
      <c r="G5" t="s">
        <v>2</v>
      </c>
      <c r="H5">
        <f>SUM(E1:E40)</f>
        <v>1.0629551746574492E-2</v>
      </c>
    </row>
    <row r="6" spans="1:8" x14ac:dyDescent="0.25">
      <c r="A6">
        <v>0.63657419408750004</v>
      </c>
      <c r="B6">
        <v>0.70935240511390196</v>
      </c>
      <c r="C6">
        <f t="shared" si="0"/>
        <v>0.69969030425152134</v>
      </c>
      <c r="D6">
        <f t="shared" si="1"/>
        <v>9.6621008623806182E-3</v>
      </c>
      <c r="E6">
        <f t="shared" si="2"/>
        <v>9.3356193074816286E-5</v>
      </c>
    </row>
    <row r="7" spans="1:8" x14ac:dyDescent="0.25">
      <c r="A7">
        <v>0.75006542701250001</v>
      </c>
      <c r="B7">
        <v>0.75254482322388194</v>
      </c>
      <c r="C7">
        <f t="shared" si="0"/>
        <v>0.69662594645037956</v>
      </c>
      <c r="D7">
        <f t="shared" si="1"/>
        <v>5.591887677350238E-2</v>
      </c>
      <c r="E7">
        <f t="shared" si="2"/>
        <v>3.1269207796101438E-3</v>
      </c>
    </row>
    <row r="8" spans="1:8" x14ac:dyDescent="0.25">
      <c r="A8">
        <v>0.86355665993749997</v>
      </c>
      <c r="B8">
        <v>0.67446622125584121</v>
      </c>
      <c r="C8">
        <f t="shared" si="0"/>
        <v>0.67238434207739672</v>
      </c>
      <c r="D8">
        <f t="shared" si="1"/>
        <v>2.0818791784444901E-3</v>
      </c>
      <c r="E8">
        <f t="shared" si="2"/>
        <v>4.3342209136407049E-6</v>
      </c>
    </row>
    <row r="9" spans="1:8" x14ac:dyDescent="0.25">
      <c r="A9">
        <v>0.97704789286249993</v>
      </c>
      <c r="B9">
        <v>0.59860261508831225</v>
      </c>
      <c r="C9">
        <f t="shared" si="0"/>
        <v>0.63212103096204764</v>
      </c>
      <c r="D9">
        <f t="shared" si="1"/>
        <v>-3.3518415873735385E-2</v>
      </c>
      <c r="E9">
        <f t="shared" si="2"/>
        <v>1.1234842026846762E-3</v>
      </c>
    </row>
    <row r="10" spans="1:8" x14ac:dyDescent="0.25">
      <c r="A10">
        <v>1.0905391257874999</v>
      </c>
      <c r="B10">
        <v>0.56814642283127514</v>
      </c>
      <c r="C10">
        <f t="shared" si="0"/>
        <v>0.5807034239259542</v>
      </c>
      <c r="D10">
        <f t="shared" si="1"/>
        <v>-1.2557001094679054E-2</v>
      </c>
      <c r="E10">
        <f t="shared" si="2"/>
        <v>1.5767827649177098E-4</v>
      </c>
    </row>
    <row r="11" spans="1:8" x14ac:dyDescent="0.25">
      <c r="A11">
        <v>1.2040303587125001</v>
      </c>
      <c r="B11">
        <v>0.51997026417014358</v>
      </c>
      <c r="C11">
        <f t="shared" si="0"/>
        <v>0.5225160385641503</v>
      </c>
      <c r="D11">
        <f t="shared" si="1"/>
        <v>-2.5457743940067168E-3</v>
      </c>
      <c r="E11">
        <f t="shared" si="2"/>
        <v>6.480967265180266E-6</v>
      </c>
    </row>
    <row r="12" spans="1:8" x14ac:dyDescent="0.25">
      <c r="A12">
        <v>1.3175215916375</v>
      </c>
      <c r="B12">
        <v>0.4352466748005675</v>
      </c>
      <c r="C12">
        <f t="shared" si="0"/>
        <v>0.4613223723711784</v>
      </c>
      <c r="D12">
        <f t="shared" si="1"/>
        <v>-2.6075697570610901E-2</v>
      </c>
      <c r="E12">
        <f t="shared" si="2"/>
        <v>6.7994200379396319E-4</v>
      </c>
    </row>
    <row r="13" spans="1:8" x14ac:dyDescent="0.25">
      <c r="A13">
        <v>1.4310128245625</v>
      </c>
      <c r="B13">
        <v>0.38762426508956394</v>
      </c>
      <c r="C13">
        <f t="shared" si="0"/>
        <v>0.400190739695783</v>
      </c>
      <c r="D13">
        <f t="shared" si="1"/>
        <v>-1.2566474606219069E-2</v>
      </c>
      <c r="E13">
        <f t="shared" si="2"/>
        <v>1.5791628402874871E-4</v>
      </c>
    </row>
    <row r="14" spans="1:8" x14ac:dyDescent="0.25">
      <c r="A14">
        <v>1.5445040574875</v>
      </c>
      <c r="B14">
        <v>0.34941558753073548</v>
      </c>
      <c r="C14">
        <f t="shared" si="0"/>
        <v>0.34147956478833152</v>
      </c>
      <c r="D14">
        <f t="shared" si="1"/>
        <v>7.9360227424039587E-3</v>
      </c>
      <c r="E14">
        <f t="shared" si="2"/>
        <v>6.2980456967952854E-5</v>
      </c>
    </row>
    <row r="15" spans="1:8" x14ac:dyDescent="0.25">
      <c r="A15">
        <v>1.6579952904124999</v>
      </c>
      <c r="B15">
        <v>0.29348694356781269</v>
      </c>
      <c r="C15">
        <f t="shared" si="0"/>
        <v>0.28687145625713401</v>
      </c>
      <c r="D15">
        <f t="shared" si="1"/>
        <v>6.6154873106786805E-3</v>
      </c>
      <c r="E15">
        <f t="shared" si="2"/>
        <v>4.3764672357750641E-5</v>
      </c>
    </row>
    <row r="16" spans="1:8" x14ac:dyDescent="0.25">
      <c r="A16">
        <v>1.7714865233374999</v>
      </c>
      <c r="B16">
        <v>0.23811204855501783</v>
      </c>
      <c r="C16">
        <f t="shared" si="0"/>
        <v>0.23744277496376376</v>
      </c>
      <c r="D16">
        <f t="shared" si="1"/>
        <v>6.6927359125407149E-4</v>
      </c>
      <c r="E16">
        <f t="shared" si="2"/>
        <v>4.4792713995012195E-7</v>
      </c>
    </row>
    <row r="17" spans="1:5" x14ac:dyDescent="0.25">
      <c r="A17">
        <v>1.8849777562624999</v>
      </c>
      <c r="B17">
        <v>0.17830716194119942</v>
      </c>
      <c r="C17">
        <f t="shared" si="0"/>
        <v>0.19375518387258917</v>
      </c>
      <c r="D17">
        <f t="shared" si="1"/>
        <v>-1.5448021931389749E-2</v>
      </c>
      <c r="E17">
        <f t="shared" si="2"/>
        <v>2.3864138159269868E-4</v>
      </c>
    </row>
    <row r="18" spans="1:5" x14ac:dyDescent="0.25">
      <c r="A18">
        <v>1.9984689891874998</v>
      </c>
      <c r="B18">
        <v>0.15449595708569763</v>
      </c>
      <c r="C18">
        <f t="shared" si="0"/>
        <v>0.15595700627381631</v>
      </c>
      <c r="D18">
        <f t="shared" si="1"/>
        <v>-1.4610491881186793E-3</v>
      </c>
      <c r="E18">
        <f t="shared" si="2"/>
        <v>2.1346647301022519E-6</v>
      </c>
    </row>
    <row r="19" spans="1:5" x14ac:dyDescent="0.25">
      <c r="A19">
        <v>2.1119602221124998</v>
      </c>
      <c r="B19">
        <v>0.11684102847699712</v>
      </c>
      <c r="C19">
        <f t="shared" si="0"/>
        <v>0.12388445834864732</v>
      </c>
      <c r="D19">
        <f t="shared" si="1"/>
        <v>-7.0434298716502003E-3</v>
      </c>
      <c r="E19">
        <f t="shared" si="2"/>
        <v>4.9609904356854356E-5</v>
      </c>
    </row>
    <row r="20" spans="1:5" x14ac:dyDescent="0.25">
      <c r="A20">
        <v>2.2254514550374997</v>
      </c>
      <c r="B20">
        <v>9.3029823621495339E-2</v>
      </c>
      <c r="C20">
        <f t="shared" si="0"/>
        <v>9.7155437022597574E-2</v>
      </c>
      <c r="D20">
        <f t="shared" si="1"/>
        <v>-4.125613401102235E-3</v>
      </c>
      <c r="E20">
        <f t="shared" si="2"/>
        <v>1.702068593535435E-5</v>
      </c>
    </row>
    <row r="21" spans="1:5" x14ac:dyDescent="0.25">
      <c r="A21">
        <v>2.3389426879624997</v>
      </c>
      <c r="B21">
        <v>7.3094861416889201E-2</v>
      </c>
      <c r="C21">
        <f t="shared" si="0"/>
        <v>7.5251138812097607E-2</v>
      </c>
      <c r="D21">
        <f t="shared" si="1"/>
        <v>-2.1562773952084058E-3</v>
      </c>
      <c r="E21">
        <f t="shared" si="2"/>
        <v>4.6495322050867471E-6</v>
      </c>
    </row>
    <row r="22" spans="1:5" x14ac:dyDescent="0.25">
      <c r="A22">
        <v>2.4524339208875001</v>
      </c>
      <c r="B22">
        <v>5.6482392913050745E-2</v>
      </c>
      <c r="C22">
        <f t="shared" si="0"/>
        <v>5.7583091654276386E-2</v>
      </c>
      <c r="D22">
        <f t="shared" si="1"/>
        <v>-1.1006987412256405E-3</v>
      </c>
      <c r="E22">
        <f t="shared" si="2"/>
        <v>1.2115377189357097E-6</v>
      </c>
    </row>
    <row r="23" spans="1:5" x14ac:dyDescent="0.25">
      <c r="A23">
        <v>2.5659251538125001</v>
      </c>
      <c r="B23">
        <v>3.8762426508956394E-2</v>
      </c>
      <c r="C23">
        <f t="shared" si="0"/>
        <v>4.3545046945350871E-2</v>
      </c>
      <c r="D23">
        <f t="shared" si="1"/>
        <v>-4.7826204363944774E-3</v>
      </c>
      <c r="E23">
        <f t="shared" si="2"/>
        <v>2.2873458238618101E-5</v>
      </c>
    </row>
    <row r="24" spans="1:5" x14ac:dyDescent="0.25">
      <c r="A24">
        <v>2.6794163867375</v>
      </c>
      <c r="B24">
        <v>3.2671188057548962E-2</v>
      </c>
      <c r="C24">
        <f t="shared" si="0"/>
        <v>3.2550546616038616E-2</v>
      </c>
      <c r="D24">
        <f t="shared" si="1"/>
        <v>1.2064144151034684E-4</v>
      </c>
      <c r="E24">
        <f t="shared" si="2"/>
        <v>1.4554357409694437E-8</v>
      </c>
    </row>
    <row r="25" spans="1:5" x14ac:dyDescent="0.25">
      <c r="A25">
        <v>2.7929076196625</v>
      </c>
      <c r="B25">
        <v>2.4364953805629731E-2</v>
      </c>
      <c r="C25">
        <f t="shared" si="0"/>
        <v>2.4057865287038516E-2</v>
      </c>
      <c r="D25">
        <f t="shared" si="1"/>
        <v>3.0708851859121561E-4</v>
      </c>
      <c r="E25">
        <f t="shared" si="2"/>
        <v>9.4303358250547378E-8</v>
      </c>
    </row>
    <row r="26" spans="1:5" x14ac:dyDescent="0.25">
      <c r="A26">
        <v>2.9063988525875</v>
      </c>
      <c r="B26">
        <v>2.5472451705885628E-2</v>
      </c>
      <c r="C26">
        <f t="shared" si="0"/>
        <v>1.7584492667943142E-2</v>
      </c>
      <c r="D26">
        <f t="shared" si="1"/>
        <v>7.8879590379424859E-3</v>
      </c>
      <c r="E26">
        <f t="shared" si="2"/>
        <v>6.2219897784258552E-5</v>
      </c>
    </row>
    <row r="27" spans="1:5" x14ac:dyDescent="0.25">
      <c r="A27">
        <v>3.0198900855124999</v>
      </c>
      <c r="B27">
        <v>1.6058719553710504E-2</v>
      </c>
      <c r="C27">
        <f t="shared" si="0"/>
        <v>1.2713453423644076E-2</v>
      </c>
      <c r="D27">
        <f t="shared" si="1"/>
        <v>3.3452661300664276E-3</v>
      </c>
      <c r="E27">
        <f t="shared" si="2"/>
        <v>1.1190805480969614E-5</v>
      </c>
    </row>
    <row r="28" spans="1:5" x14ac:dyDescent="0.25">
      <c r="A28">
        <v>3.1333813184374999</v>
      </c>
      <c r="B28">
        <v>1.3289974803070762E-2</v>
      </c>
      <c r="C28">
        <f t="shared" si="0"/>
        <v>9.0936545819556239E-3</v>
      </c>
      <c r="D28">
        <f t="shared" si="1"/>
        <v>4.1963202211151383E-3</v>
      </c>
      <c r="E28">
        <f t="shared" si="2"/>
        <v>1.7609103398139802E-5</v>
      </c>
    </row>
    <row r="29" spans="1:5" x14ac:dyDescent="0.25">
      <c r="A29">
        <v>3.2468725513624999</v>
      </c>
      <c r="B29">
        <v>9.9674811023030725E-3</v>
      </c>
      <c r="C29">
        <f t="shared" si="0"/>
        <v>6.4361920832530064E-3</v>
      </c>
      <c r="D29">
        <f t="shared" si="1"/>
        <v>3.5312890190500662E-3</v>
      </c>
      <c r="E29">
        <f t="shared" si="2"/>
        <v>1.2470002136063579E-5</v>
      </c>
    </row>
    <row r="30" spans="1:5" x14ac:dyDescent="0.25">
      <c r="A30">
        <v>3.3603637842874998</v>
      </c>
      <c r="B30">
        <v>3.8762426508956393E-3</v>
      </c>
      <c r="C30">
        <f t="shared" si="0"/>
        <v>4.5082124421320533E-3</v>
      </c>
      <c r="D30">
        <f t="shared" si="1"/>
        <v>-6.3196979123641408E-4</v>
      </c>
      <c r="E30">
        <f t="shared" si="2"/>
        <v>3.9938581703539682E-7</v>
      </c>
    </row>
    <row r="31" spans="1:5" x14ac:dyDescent="0.25">
      <c r="A31">
        <v>3.4738550172124998</v>
      </c>
      <c r="B31">
        <v>2.214995800511794E-3</v>
      </c>
      <c r="C31">
        <f t="shared" si="0"/>
        <v>3.125569646921018E-3</v>
      </c>
      <c r="D31">
        <f t="shared" si="1"/>
        <v>-9.1057384640922398E-4</v>
      </c>
      <c r="E31">
        <f t="shared" si="2"/>
        <v>8.2914472976448903E-7</v>
      </c>
    </row>
    <row r="32" spans="1:5" x14ac:dyDescent="0.25">
      <c r="A32">
        <v>3.5873462501374997</v>
      </c>
      <c r="B32">
        <v>4.9837405511515363E-3</v>
      </c>
      <c r="C32">
        <f t="shared" si="0"/>
        <v>2.145180816288908E-3</v>
      </c>
      <c r="D32">
        <f t="shared" si="1"/>
        <v>2.8385597348626283E-3</v>
      </c>
      <c r="E32">
        <f t="shared" si="2"/>
        <v>8.0574213683833948E-6</v>
      </c>
    </row>
    <row r="33" spans="1:5" x14ac:dyDescent="0.25">
      <c r="A33">
        <v>3.7008374830624997</v>
      </c>
      <c r="B33">
        <v>1.107497900255897E-3</v>
      </c>
      <c r="C33">
        <f t="shared" si="0"/>
        <v>1.4576905730050813E-3</v>
      </c>
      <c r="D33">
        <f t="shared" si="1"/>
        <v>-3.5019267274918431E-4</v>
      </c>
      <c r="E33">
        <f t="shared" si="2"/>
        <v>1.2263490804721729E-7</v>
      </c>
    </row>
    <row r="34" spans="1:5" x14ac:dyDescent="0.25">
      <c r="A34">
        <v>3.8143287159875001</v>
      </c>
      <c r="B34">
        <v>1.6612468503838453E-3</v>
      </c>
      <c r="C34">
        <f t="shared" si="0"/>
        <v>9.8081474592550625E-4</v>
      </c>
      <c r="D34">
        <f t="shared" si="1"/>
        <v>6.8043210445833903E-4</v>
      </c>
      <c r="E34">
        <f t="shared" si="2"/>
        <v>4.6298784877760401E-7</v>
      </c>
    </row>
    <row r="35" spans="1:5" x14ac:dyDescent="0.25">
      <c r="A35">
        <v>3.9278199489125001</v>
      </c>
      <c r="B35">
        <v>1.107497900255897E-3</v>
      </c>
      <c r="C35">
        <f t="shared" si="0"/>
        <v>6.5355074778345942E-4</v>
      </c>
      <c r="D35">
        <f t="shared" si="1"/>
        <v>4.5394715247243757E-4</v>
      </c>
      <c r="E35">
        <f t="shared" si="2"/>
        <v>2.0606801723783449E-7</v>
      </c>
    </row>
    <row r="36" spans="1:5" x14ac:dyDescent="0.25">
      <c r="A36">
        <v>4.0413111818375</v>
      </c>
      <c r="B36">
        <v>1.6612468503838453E-3</v>
      </c>
      <c r="C36">
        <f t="shared" si="0"/>
        <v>4.3131057093625939E-4</v>
      </c>
      <c r="D36">
        <f t="shared" si="1"/>
        <v>1.2299362794475858E-3</v>
      </c>
      <c r="E36">
        <f t="shared" si="2"/>
        <v>1.5127432515013698E-6</v>
      </c>
    </row>
    <row r="37" spans="1:5" x14ac:dyDescent="0.25">
      <c r="A37">
        <v>4.1548024147625</v>
      </c>
      <c r="B37">
        <v>1.6612468503838453E-3</v>
      </c>
      <c r="C37">
        <f t="shared" si="0"/>
        <v>2.8194515830467354E-4</v>
      </c>
      <c r="D37">
        <f t="shared" si="1"/>
        <v>1.3793016920791716E-3</v>
      </c>
      <c r="E37">
        <f t="shared" si="2"/>
        <v>1.902473157772466E-6</v>
      </c>
    </row>
    <row r="38" spans="1:5" x14ac:dyDescent="0.25">
      <c r="A38">
        <v>4.2682936476875</v>
      </c>
      <c r="B38">
        <v>5.537489501279485E-4</v>
      </c>
      <c r="C38">
        <f t="shared" si="0"/>
        <v>1.8257695853443514E-4</v>
      </c>
      <c r="D38">
        <f t="shared" si="1"/>
        <v>3.7117199159351336E-4</v>
      </c>
      <c r="E38">
        <f t="shared" si="2"/>
        <v>1.3776864734349514E-7</v>
      </c>
    </row>
    <row r="39" spans="1:5" x14ac:dyDescent="0.25">
      <c r="A39">
        <v>4.3817848806124999</v>
      </c>
      <c r="B39">
        <v>5.537489501279485E-4</v>
      </c>
      <c r="C39">
        <f t="shared" si="0"/>
        <v>1.1713186272695133E-4</v>
      </c>
      <c r="D39">
        <f t="shared" si="1"/>
        <v>4.3661708740099718E-4</v>
      </c>
      <c r="E39">
        <f t="shared" si="2"/>
        <v>1.9063448101053001E-7</v>
      </c>
    </row>
    <row r="40" spans="1:5" x14ac:dyDescent="0.25">
      <c r="A40">
        <v>4.4952761135374999</v>
      </c>
      <c r="B40">
        <v>1.107497900255897E-3</v>
      </c>
      <c r="C40">
        <f t="shared" si="0"/>
        <v>7.4454500011900566E-5</v>
      </c>
      <c r="D40">
        <f t="shared" si="1"/>
        <v>1.0330434002439963E-3</v>
      </c>
      <c r="E40">
        <f t="shared" si="2"/>
        <v>1.0671786667876776E-6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2E3D8-4CCE-4892-9B65-DAE43566B68E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7.3007659025000005E-2</v>
      </c>
      <c r="B1">
        <v>0.11453326779944722</v>
      </c>
      <c r="C1">
        <f>$H$3*(1+$H$1)*(A1^($H$1))*EXP(-$H$3*(A1^(1+$H$1)))</f>
        <v>0.17602399581935407</v>
      </c>
      <c r="D1">
        <f>B1-C1</f>
        <v>-6.1490728019906848E-2</v>
      </c>
      <c r="E1">
        <f>D1^2</f>
        <v>3.7811096324181573E-3</v>
      </c>
      <c r="G1" t="s">
        <v>0</v>
      </c>
      <c r="H1">
        <v>0.80574404165113434</v>
      </c>
    </row>
    <row r="2" spans="1:8" x14ac:dyDescent="0.25">
      <c r="A2">
        <v>0.180554993075</v>
      </c>
      <c r="B2">
        <v>0.34593721702690183</v>
      </c>
      <c r="C2">
        <f t="shared" ref="C2:C40" si="0">$H$3*(1+$H$1)*(A2^($H$1))*EXP(-$H$3*(A2^(1+$H$1)))</f>
        <v>0.35446036429980732</v>
      </c>
      <c r="D2">
        <f t="shared" ref="D2:D40" si="1">B2-C2</f>
        <v>-8.5231472729054847E-3</v>
      </c>
      <c r="E2">
        <f t="shared" ref="E2:E40" si="2">D2^2</f>
        <v>7.2644039435636198E-5</v>
      </c>
    </row>
    <row r="3" spans="1:8" x14ac:dyDescent="0.25">
      <c r="A3">
        <v>0.288102327125</v>
      </c>
      <c r="B3">
        <v>0.51072487784039222</v>
      </c>
      <c r="C3">
        <f t="shared" si="0"/>
        <v>0.4919510260732895</v>
      </c>
      <c r="D3">
        <f t="shared" si="1"/>
        <v>1.8773851767102723E-2</v>
      </c>
      <c r="E3">
        <f t="shared" si="2"/>
        <v>3.52457510173146E-4</v>
      </c>
      <c r="G3" t="s">
        <v>1</v>
      </c>
      <c r="H3">
        <f>(_xlfn.GAMMA((2+$H$1)/(1+$H$1)))^(1+$H$1)</f>
        <v>0.80884037555222543</v>
      </c>
    </row>
    <row r="4" spans="1:8" x14ac:dyDescent="0.25">
      <c r="A4">
        <v>0.395649661175</v>
      </c>
      <c r="B4">
        <v>0.62934861948981968</v>
      </c>
      <c r="C4">
        <f t="shared" si="0"/>
        <v>0.59458510995170288</v>
      </c>
      <c r="D4">
        <f t="shared" si="1"/>
        <v>3.4763509538116799E-2</v>
      </c>
      <c r="E4">
        <f t="shared" si="2"/>
        <v>1.2085015954067376E-3</v>
      </c>
    </row>
    <row r="5" spans="1:8" x14ac:dyDescent="0.25">
      <c r="A5">
        <v>0.50319699522499994</v>
      </c>
      <c r="B5">
        <v>0.69538055449664393</v>
      </c>
      <c r="C5">
        <f t="shared" si="0"/>
        <v>0.66459450911689422</v>
      </c>
      <c r="D5">
        <f t="shared" si="1"/>
        <v>3.0786045379749716E-2</v>
      </c>
      <c r="E5">
        <f t="shared" si="2"/>
        <v>9.4778059012400886E-4</v>
      </c>
      <c r="G5" t="s">
        <v>2</v>
      </c>
      <c r="H5">
        <f>SUM(E1:E40)</f>
        <v>1.5963585810543125E-2</v>
      </c>
    </row>
    <row r="6" spans="1:8" x14ac:dyDescent="0.25">
      <c r="A6">
        <v>0.61074432927499989</v>
      </c>
      <c r="B6">
        <v>0.71349551011798507</v>
      </c>
      <c r="C6">
        <f t="shared" si="0"/>
        <v>0.70433118976804987</v>
      </c>
      <c r="D6">
        <f t="shared" si="1"/>
        <v>9.1643203499351955E-3</v>
      </c>
      <c r="E6">
        <f t="shared" si="2"/>
        <v>8.3984767476236345E-5</v>
      </c>
    </row>
    <row r="7" spans="1:8" x14ac:dyDescent="0.25">
      <c r="A7">
        <v>0.71829166332499994</v>
      </c>
      <c r="B7">
        <v>0.77426826446054886</v>
      </c>
      <c r="C7">
        <f t="shared" si="0"/>
        <v>0.71691028582881566</v>
      </c>
      <c r="D7">
        <f t="shared" si="1"/>
        <v>5.7357978631733197E-2</v>
      </c>
      <c r="E7">
        <f t="shared" si="2"/>
        <v>3.2899377127183619E-3</v>
      </c>
    </row>
    <row r="8" spans="1:8" x14ac:dyDescent="0.25">
      <c r="A8">
        <v>0.82583899737499999</v>
      </c>
      <c r="B8">
        <v>0.72576693166792583</v>
      </c>
      <c r="C8">
        <f t="shared" si="0"/>
        <v>0.70617439709209773</v>
      </c>
      <c r="D8">
        <f t="shared" si="1"/>
        <v>1.9592534575828102E-2</v>
      </c>
      <c r="E8">
        <f t="shared" si="2"/>
        <v>3.8386741110501969E-4</v>
      </c>
    </row>
    <row r="9" spans="1:8" x14ac:dyDescent="0.25">
      <c r="A9">
        <v>0.93338633142499994</v>
      </c>
      <c r="B9">
        <v>0.67200641821104246</v>
      </c>
      <c r="C9">
        <f t="shared" si="0"/>
        <v>0.6764508081306444</v>
      </c>
      <c r="D9">
        <f t="shared" si="1"/>
        <v>-4.4443899196019432E-3</v>
      </c>
      <c r="E9">
        <f t="shared" si="2"/>
        <v>1.9752601757459366E-5</v>
      </c>
    </row>
    <row r="10" spans="1:8" x14ac:dyDescent="0.25">
      <c r="A10">
        <v>1.0409336654749999</v>
      </c>
      <c r="B10">
        <v>0.59837788891139776</v>
      </c>
      <c r="C10">
        <f t="shared" si="0"/>
        <v>0.63225288589475925</v>
      </c>
      <c r="D10">
        <f t="shared" si="1"/>
        <v>-3.3874996983361494E-2</v>
      </c>
      <c r="E10">
        <f t="shared" si="2"/>
        <v>1.1475154206227504E-3</v>
      </c>
    </row>
    <row r="11" spans="1:8" x14ac:dyDescent="0.25">
      <c r="A11">
        <v>1.1484809995249998</v>
      </c>
      <c r="B11">
        <v>0.55513573678303507</v>
      </c>
      <c r="C11">
        <f t="shared" si="0"/>
        <v>0.57799370932607452</v>
      </c>
      <c r="D11">
        <f t="shared" si="1"/>
        <v>-2.2857972543039451E-2</v>
      </c>
      <c r="E11">
        <f t="shared" si="2"/>
        <v>5.2248690877834539E-4</v>
      </c>
    </row>
    <row r="12" spans="1:8" x14ac:dyDescent="0.25">
      <c r="A12">
        <v>1.256028333575</v>
      </c>
      <c r="B12">
        <v>0.47741673363341014</v>
      </c>
      <c r="C12">
        <f t="shared" si="0"/>
        <v>0.51774709947897424</v>
      </c>
      <c r="D12">
        <f t="shared" si="1"/>
        <v>-4.0330365845564098E-2</v>
      </c>
      <c r="E12">
        <f t="shared" si="2"/>
        <v>1.6265384092370432E-3</v>
      </c>
    </row>
    <row r="13" spans="1:8" x14ac:dyDescent="0.25">
      <c r="A13">
        <v>1.3635756676249999</v>
      </c>
      <c r="B13">
        <v>0.48735074155479075</v>
      </c>
      <c r="C13">
        <f t="shared" si="0"/>
        <v>0.45507288363221787</v>
      </c>
      <c r="D13">
        <f t="shared" si="1"/>
        <v>3.2277857922572872E-2</v>
      </c>
      <c r="E13">
        <f t="shared" si="2"/>
        <v>1.0418601120698004E-3</v>
      </c>
    </row>
    <row r="14" spans="1:8" x14ac:dyDescent="0.25">
      <c r="A14">
        <v>1.4711230016749999</v>
      </c>
      <c r="B14">
        <v>0.36113040561254278</v>
      </c>
      <c r="C14">
        <f t="shared" si="0"/>
        <v>0.3929108547733815</v>
      </c>
      <c r="D14">
        <f t="shared" si="1"/>
        <v>-3.178044916083872E-2</v>
      </c>
      <c r="E14">
        <f t="shared" si="2"/>
        <v>1.0099969488646546E-3</v>
      </c>
    </row>
    <row r="15" spans="1:8" x14ac:dyDescent="0.25">
      <c r="A15">
        <v>1.5786703357249998</v>
      </c>
      <c r="B15">
        <v>0.33015967503412086</v>
      </c>
      <c r="C15">
        <f t="shared" si="0"/>
        <v>0.33353920426474132</v>
      </c>
      <c r="D15">
        <f t="shared" si="1"/>
        <v>-3.3795292306204594E-3</v>
      </c>
      <c r="E15">
        <f t="shared" si="2"/>
        <v>1.1421217820618115E-5</v>
      </c>
    </row>
    <row r="16" spans="1:8" x14ac:dyDescent="0.25">
      <c r="A16">
        <v>1.686217669775</v>
      </c>
      <c r="B16">
        <v>0.27815222179865756</v>
      </c>
      <c r="C16">
        <f t="shared" si="0"/>
        <v>0.27858751467784992</v>
      </c>
      <c r="D16">
        <f t="shared" si="1"/>
        <v>-4.3529287919236159E-4</v>
      </c>
      <c r="E16">
        <f t="shared" si="2"/>
        <v>1.894798906755759E-7</v>
      </c>
    </row>
    <row r="17" spans="1:5" x14ac:dyDescent="0.25">
      <c r="A17">
        <v>1.7937650038249999</v>
      </c>
      <c r="B17">
        <v>0.23315700944887471</v>
      </c>
      <c r="C17">
        <f t="shared" si="0"/>
        <v>0.22909131545846467</v>
      </c>
      <c r="D17">
        <f t="shared" si="1"/>
        <v>4.0656939904100409E-3</v>
      </c>
      <c r="E17">
        <f t="shared" si="2"/>
        <v>1.6529867623656321E-5</v>
      </c>
    </row>
    <row r="18" spans="1:5" x14ac:dyDescent="0.25">
      <c r="A18">
        <v>1.9013123378749999</v>
      </c>
      <c r="B18">
        <v>0.17121554829203081</v>
      </c>
      <c r="C18">
        <f t="shared" si="0"/>
        <v>0.18557430849662931</v>
      </c>
      <c r="D18">
        <f t="shared" si="1"/>
        <v>-1.4358760204598503E-2</v>
      </c>
      <c r="E18">
        <f t="shared" si="2"/>
        <v>2.0617399461316164E-4</v>
      </c>
    </row>
    <row r="19" spans="1:5" x14ac:dyDescent="0.25">
      <c r="A19">
        <v>2.0088596719249998</v>
      </c>
      <c r="B19">
        <v>0.14082917112074889</v>
      </c>
      <c r="C19">
        <f t="shared" si="0"/>
        <v>0.14814516285938775</v>
      </c>
      <c r="D19">
        <f t="shared" si="1"/>
        <v>-7.3159917386388662E-3</v>
      </c>
      <c r="E19">
        <f t="shared" si="2"/>
        <v>5.3523735119832143E-5</v>
      </c>
    </row>
    <row r="20" spans="1:5" x14ac:dyDescent="0.25">
      <c r="A20">
        <v>2.1164070059749998</v>
      </c>
      <c r="B20">
        <v>0.1092740871351869</v>
      </c>
      <c r="C20">
        <f t="shared" si="0"/>
        <v>0.11659771492275116</v>
      </c>
      <c r="D20">
        <f t="shared" si="1"/>
        <v>-7.323627787564263E-3</v>
      </c>
      <c r="E20">
        <f t="shared" si="2"/>
        <v>5.3635523970783425E-5</v>
      </c>
    </row>
    <row r="21" spans="1:5" x14ac:dyDescent="0.25">
      <c r="A21">
        <v>2.2239543400250001</v>
      </c>
      <c r="B21">
        <v>9.2912191735265867E-2</v>
      </c>
      <c r="C21">
        <f t="shared" si="0"/>
        <v>9.0505968882240773E-2</v>
      </c>
      <c r="D21">
        <f t="shared" si="1"/>
        <v>2.4062228530250945E-3</v>
      </c>
      <c r="E21">
        <f t="shared" si="2"/>
        <v>5.7899084184202258E-6</v>
      </c>
    </row>
    <row r="22" spans="1:5" x14ac:dyDescent="0.25">
      <c r="A22">
        <v>2.3315016740750001</v>
      </c>
      <c r="B22">
        <v>6.953805544966439E-2</v>
      </c>
      <c r="C22">
        <f t="shared" si="0"/>
        <v>6.9308023196007845E-2</v>
      </c>
      <c r="D22">
        <f t="shared" si="1"/>
        <v>2.3003225365654523E-4</v>
      </c>
      <c r="E22">
        <f t="shared" si="2"/>
        <v>5.2914837722309164E-8</v>
      </c>
    </row>
    <row r="23" spans="1:5" x14ac:dyDescent="0.25">
      <c r="A23">
        <v>2.439049008125</v>
      </c>
      <c r="B23">
        <v>4.8501332792623066E-2</v>
      </c>
      <c r="C23">
        <f t="shared" si="0"/>
        <v>5.2375607328552079E-2</v>
      </c>
      <c r="D23">
        <f t="shared" si="1"/>
        <v>-3.8742745359290134E-3</v>
      </c>
      <c r="E23">
        <f t="shared" si="2"/>
        <v>1.5010003179747973E-5</v>
      </c>
    </row>
    <row r="24" spans="1:5" x14ac:dyDescent="0.25">
      <c r="A24">
        <v>2.5465963421749995</v>
      </c>
      <c r="B24">
        <v>3.6229911242682288E-2</v>
      </c>
      <c r="C24">
        <f t="shared" si="0"/>
        <v>3.9068074599460559E-2</v>
      </c>
      <c r="D24">
        <f t="shared" si="1"/>
        <v>-2.8381633567782713E-3</v>
      </c>
      <c r="E24">
        <f t="shared" si="2"/>
        <v>8.0551712397589042E-6</v>
      </c>
    </row>
    <row r="25" spans="1:5" x14ac:dyDescent="0.25">
      <c r="A25">
        <v>2.6541436762249999</v>
      </c>
      <c r="B25">
        <v>2.9217670357001846E-2</v>
      </c>
      <c r="C25">
        <f t="shared" si="0"/>
        <v>2.8771346805686032E-2</v>
      </c>
      <c r="D25">
        <f t="shared" si="1"/>
        <v>4.4632355131581439E-4</v>
      </c>
      <c r="E25">
        <f t="shared" si="2"/>
        <v>1.9920471245916039E-7</v>
      </c>
    </row>
    <row r="26" spans="1:5" x14ac:dyDescent="0.25">
      <c r="A26">
        <v>2.7616910102749994</v>
      </c>
      <c r="B26">
        <v>2.4542843099881549E-2</v>
      </c>
      <c r="C26">
        <f t="shared" si="0"/>
        <v>2.0923422798948172E-2</v>
      </c>
      <c r="D26">
        <f t="shared" si="1"/>
        <v>3.6194203009333771E-3</v>
      </c>
      <c r="E26">
        <f t="shared" si="2"/>
        <v>1.3100203314808658E-5</v>
      </c>
    </row>
    <row r="27" spans="1:5" x14ac:dyDescent="0.25">
      <c r="A27">
        <v>2.8692383443249998</v>
      </c>
      <c r="B27">
        <v>2.1036722657041328E-2</v>
      </c>
      <c r="C27">
        <f t="shared" si="0"/>
        <v>1.5028691700497507E-2</v>
      </c>
      <c r="D27">
        <f t="shared" si="1"/>
        <v>6.0080309565438209E-3</v>
      </c>
      <c r="E27">
        <f t="shared" si="2"/>
        <v>3.6096435974788858E-5</v>
      </c>
    </row>
    <row r="28" spans="1:5" x14ac:dyDescent="0.25">
      <c r="A28">
        <v>2.9767856783749997</v>
      </c>
      <c r="B28">
        <v>1.5777541992780995E-2</v>
      </c>
      <c r="C28">
        <f t="shared" si="0"/>
        <v>1.0663518139893566E-2</v>
      </c>
      <c r="D28">
        <f t="shared" si="1"/>
        <v>5.1140238528874296E-3</v>
      </c>
      <c r="E28">
        <f t="shared" si="2"/>
        <v>2.615323996790159E-5</v>
      </c>
    </row>
    <row r="29" spans="1:5" x14ac:dyDescent="0.25">
      <c r="A29">
        <v>3.0843330124249997</v>
      </c>
      <c r="B29">
        <v>8.7653011071005538E-3</v>
      </c>
      <c r="C29">
        <f t="shared" si="0"/>
        <v>7.4754956141724806E-3</v>
      </c>
      <c r="D29">
        <f t="shared" si="1"/>
        <v>1.2898054929280731E-3</v>
      </c>
      <c r="E29">
        <f t="shared" si="2"/>
        <v>1.6635982095874296E-6</v>
      </c>
    </row>
    <row r="30" spans="1:5" x14ac:dyDescent="0.25">
      <c r="A30">
        <v>3.1918803464749996</v>
      </c>
      <c r="B30">
        <v>8.1809476999605158E-3</v>
      </c>
      <c r="C30">
        <f t="shared" si="0"/>
        <v>5.1784980741210341E-3</v>
      </c>
      <c r="D30">
        <f t="shared" si="1"/>
        <v>3.0024496258394817E-3</v>
      </c>
      <c r="E30">
        <f t="shared" si="2"/>
        <v>9.0147037557036443E-6</v>
      </c>
    </row>
    <row r="31" spans="1:5" x14ac:dyDescent="0.25">
      <c r="A31">
        <v>3.2994276805249996</v>
      </c>
      <c r="B31">
        <v>4.0904738499802579E-3</v>
      </c>
      <c r="C31">
        <f t="shared" si="0"/>
        <v>3.545289830930208E-3</v>
      </c>
      <c r="D31">
        <f t="shared" si="1"/>
        <v>5.4518401905004994E-4</v>
      </c>
      <c r="E31">
        <f t="shared" si="2"/>
        <v>2.9722561462756522E-7</v>
      </c>
    </row>
    <row r="32" spans="1:5" x14ac:dyDescent="0.25">
      <c r="A32">
        <v>3.406975014575</v>
      </c>
      <c r="B32">
        <v>4.674827257120295E-3</v>
      </c>
      <c r="C32">
        <f t="shared" si="0"/>
        <v>2.3990514214869791E-3</v>
      </c>
      <c r="D32">
        <f t="shared" si="1"/>
        <v>2.2757758356333159E-3</v>
      </c>
      <c r="E32">
        <f t="shared" si="2"/>
        <v>5.1791556540525175E-6</v>
      </c>
    </row>
    <row r="33" spans="1:5" x14ac:dyDescent="0.25">
      <c r="A33">
        <v>3.5145223486249999</v>
      </c>
      <c r="B33">
        <v>3.5061204428402212E-3</v>
      </c>
      <c r="C33">
        <f t="shared" si="0"/>
        <v>1.604794794579495E-3</v>
      </c>
      <c r="D33">
        <f t="shared" si="1"/>
        <v>1.9013256482607263E-3</v>
      </c>
      <c r="E33">
        <f t="shared" si="2"/>
        <v>3.615039220734071E-6</v>
      </c>
    </row>
    <row r="34" spans="1:5" x14ac:dyDescent="0.25">
      <c r="A34">
        <v>3.6220696826749998</v>
      </c>
      <c r="B34">
        <v>0</v>
      </c>
      <c r="C34">
        <f t="shared" si="0"/>
        <v>1.0613061432234296E-3</v>
      </c>
      <c r="D34">
        <f t="shared" si="1"/>
        <v>-1.0613061432234296E-3</v>
      </c>
      <c r="E34">
        <f t="shared" si="2"/>
        <v>1.1263707296437907E-6</v>
      </c>
    </row>
    <row r="35" spans="1:5" x14ac:dyDescent="0.25">
      <c r="A35">
        <v>3.7296170167250002</v>
      </c>
      <c r="B35">
        <v>1.1687068142800737E-3</v>
      </c>
      <c r="C35">
        <f t="shared" si="0"/>
        <v>6.9398374584507159E-4</v>
      </c>
      <c r="D35">
        <f t="shared" si="1"/>
        <v>4.7472306843500216E-4</v>
      </c>
      <c r="E35">
        <f t="shared" si="2"/>
        <v>2.2536199170434373E-7</v>
      </c>
    </row>
    <row r="36" spans="1:5" x14ac:dyDescent="0.25">
      <c r="A36">
        <v>3.8371643507749997</v>
      </c>
      <c r="B36">
        <v>1.7530602214201106E-3</v>
      </c>
      <c r="C36">
        <f t="shared" si="0"/>
        <v>4.4873404283709287E-4</v>
      </c>
      <c r="D36">
        <f t="shared" si="1"/>
        <v>1.3043261785830177E-3</v>
      </c>
      <c r="E36">
        <f t="shared" si="2"/>
        <v>1.7012667801369783E-6</v>
      </c>
    </row>
    <row r="37" spans="1:5" x14ac:dyDescent="0.25">
      <c r="A37">
        <v>3.9447116848249997</v>
      </c>
      <c r="B37">
        <v>2.3374136285601475E-3</v>
      </c>
      <c r="C37">
        <f t="shared" si="0"/>
        <v>2.8694664150242713E-4</v>
      </c>
      <c r="D37">
        <f t="shared" si="1"/>
        <v>2.0504669870577202E-3</v>
      </c>
      <c r="E37">
        <f t="shared" si="2"/>
        <v>4.2044148650135652E-6</v>
      </c>
    </row>
    <row r="38" spans="1:5" x14ac:dyDescent="0.25">
      <c r="A38">
        <v>4.0522590188749996</v>
      </c>
      <c r="B38">
        <v>1.1687068142800737E-3</v>
      </c>
      <c r="C38">
        <f t="shared" si="0"/>
        <v>1.8147836687655228E-4</v>
      </c>
      <c r="D38">
        <f t="shared" si="1"/>
        <v>9.872284474035215E-4</v>
      </c>
      <c r="E38">
        <f t="shared" si="2"/>
        <v>9.7462000736276769E-7</v>
      </c>
    </row>
    <row r="39" spans="1:5" x14ac:dyDescent="0.25">
      <c r="A39">
        <v>4.1598063529249991</v>
      </c>
      <c r="B39">
        <v>0</v>
      </c>
      <c r="C39">
        <f t="shared" si="0"/>
        <v>1.1352654029913255E-4</v>
      </c>
      <c r="D39">
        <f t="shared" si="1"/>
        <v>-1.1352654029913255E-4</v>
      </c>
      <c r="E39">
        <f t="shared" si="2"/>
        <v>1.2888275352290568E-8</v>
      </c>
    </row>
    <row r="40" spans="1:5" x14ac:dyDescent="0.25">
      <c r="A40">
        <v>4.2673536869749995</v>
      </c>
      <c r="B40">
        <v>1.1687068142800737E-3</v>
      </c>
      <c r="C40">
        <f t="shared" si="0"/>
        <v>7.0251276940697915E-5</v>
      </c>
      <c r="D40">
        <f t="shared" si="1"/>
        <v>1.0984555373393758E-3</v>
      </c>
      <c r="E40">
        <f t="shared" si="2"/>
        <v>1.2066045675115369E-6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48FD9-501F-4969-9570-B76323F82471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7.9941948062500018E-2</v>
      </c>
      <c r="B1">
        <v>9.4828911680860745E-2</v>
      </c>
      <c r="C1">
        <f>$H$3*(1+$H$1)*(A1^($H$1))*EXP(-$H$3*(A1^(1+$H$1)))</f>
        <v>0.15143666848030032</v>
      </c>
      <c r="D1">
        <f>B1-C1</f>
        <v>-5.6607756799439579E-2</v>
      </c>
      <c r="E1">
        <f>D1^2</f>
        <v>3.2044381298644981E-3</v>
      </c>
      <c r="G1" t="s">
        <v>0</v>
      </c>
      <c r="H1">
        <v>0.91031567270806713</v>
      </c>
    </row>
    <row r="2" spans="1:8" x14ac:dyDescent="0.25">
      <c r="A2">
        <v>0.18133276018750003</v>
      </c>
      <c r="B2">
        <v>0.28448673504258226</v>
      </c>
      <c r="C2">
        <f t="shared" ref="C2:C40" si="0">$H$3*(1+$H$1)*(A2^($H$1))*EXP(-$H$3*(A2^(1+$H$1)))</f>
        <v>0.31157275464799716</v>
      </c>
      <c r="D2">
        <f t="shared" ref="D2:D40" si="1">B2-C2</f>
        <v>-2.7086019605414902E-2</v>
      </c>
      <c r="E2">
        <f t="shared" ref="E2:E40" si="2">D2^2</f>
        <v>7.3365245806492041E-4</v>
      </c>
    </row>
    <row r="3" spans="1:8" x14ac:dyDescent="0.25">
      <c r="A3">
        <v>0.28272357231250006</v>
      </c>
      <c r="B3">
        <v>0.46298821585361422</v>
      </c>
      <c r="C3">
        <f t="shared" si="0"/>
        <v>0.44818256001110002</v>
      </c>
      <c r="D3">
        <f t="shared" si="1"/>
        <v>1.4805655842514198E-2</v>
      </c>
      <c r="E3">
        <f t="shared" si="2"/>
        <v>2.1920744492697481E-4</v>
      </c>
      <c r="G3" t="s">
        <v>1</v>
      </c>
      <c r="H3">
        <f>(_xlfn.GAMMA((2+$H$1)/(1+$H$1)))^(1+$H$1)</f>
        <v>0.79564092039866752</v>
      </c>
    </row>
    <row r="4" spans="1:8" x14ac:dyDescent="0.25">
      <c r="A4">
        <v>0.38411438443750007</v>
      </c>
      <c r="B4">
        <v>0.58570798391119872</v>
      </c>
      <c r="C4">
        <f t="shared" si="0"/>
        <v>0.55975688431152637</v>
      </c>
      <c r="D4">
        <f t="shared" si="1"/>
        <v>2.5951099599672345E-2</v>
      </c>
      <c r="E4">
        <f t="shared" si="2"/>
        <v>6.7345957043211415E-4</v>
      </c>
    </row>
    <row r="5" spans="1:8" x14ac:dyDescent="0.25">
      <c r="A5">
        <v>0.48550519656250002</v>
      </c>
      <c r="B5">
        <v>0.66876075623299835</v>
      </c>
      <c r="C5">
        <f t="shared" si="0"/>
        <v>0.64455063628409837</v>
      </c>
      <c r="D5">
        <f t="shared" si="1"/>
        <v>2.4210119948899989E-2</v>
      </c>
      <c r="E5">
        <f t="shared" si="2"/>
        <v>5.8612990794012522E-4</v>
      </c>
      <c r="G5" t="s">
        <v>2</v>
      </c>
      <c r="H5">
        <f>SUM(E1:E40)</f>
        <v>1.9453285230768256E-2</v>
      </c>
    </row>
    <row r="6" spans="1:8" x14ac:dyDescent="0.25">
      <c r="A6">
        <v>0.58689600868750003</v>
      </c>
      <c r="B6">
        <v>0.75491251259665615</v>
      </c>
      <c r="C6">
        <f t="shared" si="0"/>
        <v>0.70192748887652845</v>
      </c>
      <c r="D6">
        <f t="shared" si="1"/>
        <v>5.29850237201277E-2</v>
      </c>
      <c r="E6">
        <f t="shared" si="2"/>
        <v>2.8074127386224948E-3</v>
      </c>
    </row>
    <row r="7" spans="1:8" x14ac:dyDescent="0.25">
      <c r="A7">
        <v>0.68828682081250003</v>
      </c>
      <c r="B7">
        <v>0.76916783918920384</v>
      </c>
      <c r="C7">
        <f t="shared" si="0"/>
        <v>0.73260080723758692</v>
      </c>
      <c r="D7">
        <f t="shared" si="1"/>
        <v>3.6567031951616924E-2</v>
      </c>
      <c r="E7">
        <f t="shared" si="2"/>
        <v>1.3371478257505731E-3</v>
      </c>
    </row>
    <row r="8" spans="1:8" x14ac:dyDescent="0.25">
      <c r="A8">
        <v>0.78967763293750015</v>
      </c>
      <c r="B8">
        <v>0.79953788279941418</v>
      </c>
      <c r="C8">
        <f t="shared" si="0"/>
        <v>0.73855064046419883</v>
      </c>
      <c r="D8">
        <f t="shared" si="1"/>
        <v>6.0987242335215353E-2</v>
      </c>
      <c r="E8">
        <f t="shared" si="2"/>
        <v>3.7194437276542838E-3</v>
      </c>
    </row>
    <row r="9" spans="1:8" x14ac:dyDescent="0.25">
      <c r="A9">
        <v>0.89106844506250016</v>
      </c>
      <c r="B9">
        <v>0.73074043707016223</v>
      </c>
      <c r="C9">
        <f t="shared" si="0"/>
        <v>0.72278833314200841</v>
      </c>
      <c r="D9">
        <f t="shared" si="1"/>
        <v>7.9521039281538197E-3</v>
      </c>
      <c r="E9">
        <f t="shared" si="2"/>
        <v>6.3235956884159406E-5</v>
      </c>
    </row>
    <row r="10" spans="1:8" x14ac:dyDescent="0.25">
      <c r="A10">
        <v>0.99245925718750017</v>
      </c>
      <c r="B10">
        <v>0.67557852112508632</v>
      </c>
      <c r="C10">
        <f t="shared" si="0"/>
        <v>0.6890453652222166</v>
      </c>
      <c r="D10">
        <f t="shared" si="1"/>
        <v>-1.3466844097130282E-2</v>
      </c>
      <c r="E10">
        <f t="shared" si="2"/>
        <v>1.8135588993641272E-4</v>
      </c>
    </row>
    <row r="11" spans="1:8" x14ac:dyDescent="0.25">
      <c r="A11">
        <v>1.0938500693125002</v>
      </c>
      <c r="B11">
        <v>0.58508818710282706</v>
      </c>
      <c r="C11">
        <f t="shared" si="0"/>
        <v>0.64143795543289117</v>
      </c>
      <c r="D11">
        <f t="shared" si="1"/>
        <v>-5.6349768330064109E-2</v>
      </c>
      <c r="E11">
        <f t="shared" si="2"/>
        <v>3.1752963908518962E-3</v>
      </c>
    </row>
    <row r="12" spans="1:8" x14ac:dyDescent="0.25">
      <c r="A12">
        <v>1.1952408814375002</v>
      </c>
      <c r="B12">
        <v>0.56401509561819141</v>
      </c>
      <c r="C12">
        <f t="shared" si="0"/>
        <v>0.58414668999845265</v>
      </c>
      <c r="D12">
        <f t="shared" si="1"/>
        <v>-2.0131594380261242E-2</v>
      </c>
      <c r="E12">
        <f t="shared" si="2"/>
        <v>4.0528109229136602E-4</v>
      </c>
    </row>
    <row r="13" spans="1:8" x14ac:dyDescent="0.25">
      <c r="A13">
        <v>1.2966316935625002</v>
      </c>
      <c r="B13">
        <v>0.49211866584708125</v>
      </c>
      <c r="C13">
        <f t="shared" si="0"/>
        <v>0.52114002909394785</v>
      </c>
      <c r="D13">
        <f t="shared" si="1"/>
        <v>-2.9021363246866605E-2</v>
      </c>
      <c r="E13">
        <f t="shared" si="2"/>
        <v>8.4223952470657978E-4</v>
      </c>
    </row>
    <row r="14" spans="1:8" x14ac:dyDescent="0.25">
      <c r="A14">
        <v>1.3980225056875</v>
      </c>
      <c r="B14">
        <v>0.46298821585361422</v>
      </c>
      <c r="C14">
        <f t="shared" si="0"/>
        <v>0.45596012193419638</v>
      </c>
      <c r="D14">
        <f t="shared" si="1"/>
        <v>7.0280939194178327E-3</v>
      </c>
      <c r="E14">
        <f t="shared" si="2"/>
        <v>4.9394104140157911E-5</v>
      </c>
    </row>
    <row r="15" spans="1:8" x14ac:dyDescent="0.25">
      <c r="A15">
        <v>1.4994133178125</v>
      </c>
      <c r="B15">
        <v>0.37063849140624006</v>
      </c>
      <c r="C15">
        <f t="shared" si="0"/>
        <v>0.39157928929849095</v>
      </c>
      <c r="D15">
        <f t="shared" si="1"/>
        <v>-2.0940797892250895E-2</v>
      </c>
      <c r="E15">
        <f t="shared" si="2"/>
        <v>4.3851701636409956E-4</v>
      </c>
    </row>
    <row r="16" spans="1:8" x14ac:dyDescent="0.25">
      <c r="A16">
        <v>1.6008041299375002</v>
      </c>
      <c r="B16">
        <v>0.31299738822767764</v>
      </c>
      <c r="C16">
        <f t="shared" si="0"/>
        <v>0.33032664518993698</v>
      </c>
      <c r="D16">
        <f t="shared" si="1"/>
        <v>-1.7329256962259343E-2</v>
      </c>
      <c r="E16">
        <f t="shared" si="2"/>
        <v>3.0030314686401393E-4</v>
      </c>
    </row>
    <row r="17" spans="1:5" x14ac:dyDescent="0.25">
      <c r="A17">
        <v>1.7021949420625</v>
      </c>
      <c r="B17">
        <v>0.2807679541923524</v>
      </c>
      <c r="C17">
        <f t="shared" si="0"/>
        <v>0.27387735090486398</v>
      </c>
      <c r="D17">
        <f t="shared" si="1"/>
        <v>6.8906032874884171E-3</v>
      </c>
      <c r="E17">
        <f t="shared" si="2"/>
        <v>4.748041366554618E-5</v>
      </c>
    </row>
    <row r="18" spans="1:5" x14ac:dyDescent="0.25">
      <c r="A18">
        <v>1.8035857541875</v>
      </c>
      <c r="B18">
        <v>0.21135071165472885</v>
      </c>
      <c r="C18">
        <f t="shared" si="0"/>
        <v>0.22329232981200767</v>
      </c>
      <c r="D18">
        <f t="shared" si="1"/>
        <v>-1.1941618157278816E-2</v>
      </c>
      <c r="E18">
        <f t="shared" si="2"/>
        <v>1.4260224421425112E-4</v>
      </c>
    </row>
    <row r="19" spans="1:5" x14ac:dyDescent="0.25">
      <c r="A19">
        <v>1.9049765663125002</v>
      </c>
      <c r="B19">
        <v>0.16486595102685594</v>
      </c>
      <c r="C19">
        <f t="shared" si="0"/>
        <v>0.17909396676464498</v>
      </c>
      <c r="D19">
        <f t="shared" si="1"/>
        <v>-1.4228015737789035E-2</v>
      </c>
      <c r="E19">
        <f t="shared" si="2"/>
        <v>2.0243643183477246E-4</v>
      </c>
    </row>
    <row r="20" spans="1:5" x14ac:dyDescent="0.25">
      <c r="A20">
        <v>2.0063673784375</v>
      </c>
      <c r="B20">
        <v>0.14069387550036203</v>
      </c>
      <c r="C20">
        <f t="shared" si="0"/>
        <v>0.14136311331535723</v>
      </c>
      <c r="D20">
        <f t="shared" si="1"/>
        <v>-6.6923781499519941E-4</v>
      </c>
      <c r="E20">
        <f t="shared" si="2"/>
        <v>4.4787925301954873E-7</v>
      </c>
    </row>
    <row r="21" spans="1:5" x14ac:dyDescent="0.25">
      <c r="A21">
        <v>2.1077581905625005</v>
      </c>
      <c r="B21">
        <v>0.1084644414650368</v>
      </c>
      <c r="C21">
        <f t="shared" si="0"/>
        <v>0.10984415104821268</v>
      </c>
      <c r="D21">
        <f t="shared" si="1"/>
        <v>-1.3797095831758893E-3</v>
      </c>
      <c r="E21">
        <f t="shared" si="2"/>
        <v>1.9035985339073863E-6</v>
      </c>
    </row>
    <row r="22" spans="1:5" x14ac:dyDescent="0.25">
      <c r="A22">
        <v>2.2091490026875</v>
      </c>
      <c r="B22">
        <v>8.491216274691453E-2</v>
      </c>
      <c r="C22">
        <f t="shared" si="0"/>
        <v>8.4047364982584249E-2</v>
      </c>
      <c r="D22">
        <f t="shared" si="1"/>
        <v>8.6479776433028011E-4</v>
      </c>
      <c r="E22">
        <f t="shared" si="2"/>
        <v>7.4787517319065072E-7</v>
      </c>
    </row>
    <row r="23" spans="1:5" x14ac:dyDescent="0.25">
      <c r="A23">
        <v>2.3105398148125005</v>
      </c>
      <c r="B23">
        <v>5.4542119136704217E-2</v>
      </c>
      <c r="C23">
        <f t="shared" si="0"/>
        <v>6.3340885216108866E-2</v>
      </c>
      <c r="D23">
        <f t="shared" si="1"/>
        <v>-8.7987660794046491E-3</v>
      </c>
      <c r="E23">
        <f t="shared" si="2"/>
        <v>7.7418284520081862E-5</v>
      </c>
    </row>
    <row r="24" spans="1:5" x14ac:dyDescent="0.25">
      <c r="A24">
        <v>2.4119306269375</v>
      </c>
      <c r="B24">
        <v>5.6401509561819135E-2</v>
      </c>
      <c r="C24">
        <f t="shared" si="0"/>
        <v>4.7027485699508952E-2</v>
      </c>
      <c r="D24">
        <f t="shared" si="1"/>
        <v>9.3740238623101838E-3</v>
      </c>
      <c r="E24">
        <f t="shared" si="2"/>
        <v>8.7872323371160729E-5</v>
      </c>
    </row>
    <row r="25" spans="1:5" x14ac:dyDescent="0.25">
      <c r="A25">
        <v>2.5133214390625005</v>
      </c>
      <c r="B25">
        <v>3.2229434035325223E-2</v>
      </c>
      <c r="C25">
        <f t="shared" si="0"/>
        <v>3.4404227270808121E-2</v>
      </c>
      <c r="D25">
        <f t="shared" si="1"/>
        <v>-2.1747932354828983E-3</v>
      </c>
      <c r="E25">
        <f t="shared" si="2"/>
        <v>4.7297256171021732E-6</v>
      </c>
    </row>
    <row r="26" spans="1:5" x14ac:dyDescent="0.25">
      <c r="A26">
        <v>2.6147122511875001</v>
      </c>
      <c r="B26">
        <v>2.4791872334865555E-2</v>
      </c>
      <c r="C26">
        <f t="shared" si="0"/>
        <v>2.4805080710374443E-2</v>
      </c>
      <c r="D26">
        <f t="shared" si="1"/>
        <v>-1.3208375508888537E-5</v>
      </c>
      <c r="E26">
        <f t="shared" si="2"/>
        <v>1.7446118358380653E-10</v>
      </c>
    </row>
    <row r="27" spans="1:5" x14ac:dyDescent="0.25">
      <c r="A27">
        <v>2.7161030633125005</v>
      </c>
      <c r="B27">
        <v>2.5411669143237194E-2</v>
      </c>
      <c r="C27">
        <f t="shared" si="0"/>
        <v>1.7628177679060913E-2</v>
      </c>
      <c r="D27">
        <f t="shared" si="1"/>
        <v>7.7834914641762808E-3</v>
      </c>
      <c r="E27">
        <f t="shared" si="2"/>
        <v>6.058273937290502E-5</v>
      </c>
    </row>
    <row r="28" spans="1:5" x14ac:dyDescent="0.25">
      <c r="A28">
        <v>2.8174938754375001</v>
      </c>
      <c r="B28">
        <v>1.6734513826034247E-2</v>
      </c>
      <c r="C28">
        <f t="shared" si="0"/>
        <v>1.235023033294996E-2</v>
      </c>
      <c r="D28">
        <f t="shared" si="1"/>
        <v>4.3842834930842879E-3</v>
      </c>
      <c r="E28">
        <f t="shared" si="2"/>
        <v>1.9221941747731367E-5</v>
      </c>
    </row>
    <row r="29" spans="1:5" x14ac:dyDescent="0.25">
      <c r="A29">
        <v>2.9188846875625001</v>
      </c>
      <c r="B29">
        <v>1.2395936167432777E-2</v>
      </c>
      <c r="C29">
        <f t="shared" si="0"/>
        <v>8.5310224713185182E-3</v>
      </c>
      <c r="D29">
        <f t="shared" si="1"/>
        <v>3.8649136961142593E-3</v>
      </c>
      <c r="E29">
        <f t="shared" si="2"/>
        <v>1.4937557878411586E-5</v>
      </c>
    </row>
    <row r="30" spans="1:5" x14ac:dyDescent="0.25">
      <c r="A30">
        <v>3.0202754996875001</v>
      </c>
      <c r="B30">
        <v>9.916748933946222E-3</v>
      </c>
      <c r="C30">
        <f t="shared" si="0"/>
        <v>5.8108320546187983E-3</v>
      </c>
      <c r="D30">
        <f t="shared" si="1"/>
        <v>4.1059168793274236E-3</v>
      </c>
      <c r="E30">
        <f t="shared" si="2"/>
        <v>1.685855341994585E-5</v>
      </c>
    </row>
    <row r="31" spans="1:5" x14ac:dyDescent="0.25">
      <c r="A31">
        <v>3.1216663118125005</v>
      </c>
      <c r="B31">
        <v>7.4375617004596665E-3</v>
      </c>
      <c r="C31">
        <f t="shared" si="0"/>
        <v>3.9033317021772325E-3</v>
      </c>
      <c r="D31">
        <f t="shared" si="1"/>
        <v>3.534229998282434E-3</v>
      </c>
      <c r="E31">
        <f t="shared" si="2"/>
        <v>1.2490781680759453E-5</v>
      </c>
    </row>
    <row r="32" spans="1:5" x14ac:dyDescent="0.25">
      <c r="A32">
        <v>3.2230571239375005</v>
      </c>
      <c r="B32">
        <v>3.7187808502298332E-3</v>
      </c>
      <c r="C32">
        <f t="shared" si="0"/>
        <v>2.5860537039756352E-3</v>
      </c>
      <c r="D32">
        <f t="shared" si="1"/>
        <v>1.132727146254198E-3</v>
      </c>
      <c r="E32">
        <f t="shared" si="2"/>
        <v>1.2830707878611793E-6</v>
      </c>
    </row>
    <row r="33" spans="1:5" x14ac:dyDescent="0.25">
      <c r="A33">
        <v>3.3244479360625006</v>
      </c>
      <c r="B33">
        <v>5.5781712753447494E-3</v>
      </c>
      <c r="C33">
        <f t="shared" si="0"/>
        <v>1.6899987699496826E-3</v>
      </c>
      <c r="D33">
        <f t="shared" si="1"/>
        <v>3.8881725053950666E-3</v>
      </c>
      <c r="E33">
        <f t="shared" si="2"/>
        <v>1.5117885431710149E-5</v>
      </c>
    </row>
    <row r="34" spans="1:5" x14ac:dyDescent="0.25">
      <c r="A34">
        <v>3.4258387481875001</v>
      </c>
      <c r="B34">
        <v>0</v>
      </c>
      <c r="C34">
        <f t="shared" si="0"/>
        <v>1.0894842582989857E-3</v>
      </c>
      <c r="D34">
        <f t="shared" si="1"/>
        <v>-1.0894842582989857E-3</v>
      </c>
      <c r="E34">
        <f t="shared" si="2"/>
        <v>1.1869759490812909E-6</v>
      </c>
    </row>
    <row r="35" spans="1:5" x14ac:dyDescent="0.25">
      <c r="A35">
        <v>3.5272295603125006</v>
      </c>
      <c r="B35">
        <v>1.8593904251149166E-3</v>
      </c>
      <c r="C35">
        <f t="shared" si="0"/>
        <v>6.9291129896265004E-4</v>
      </c>
      <c r="D35">
        <f t="shared" si="1"/>
        <v>1.1664791261522666E-3</v>
      </c>
      <c r="E35">
        <f t="shared" si="2"/>
        <v>1.3606735517489555E-6</v>
      </c>
    </row>
    <row r="36" spans="1:5" x14ac:dyDescent="0.25">
      <c r="A36">
        <v>3.6286203724375001</v>
      </c>
      <c r="B36">
        <v>1.2395936167432777E-3</v>
      </c>
      <c r="C36">
        <f t="shared" si="0"/>
        <v>4.3480099629429137E-4</v>
      </c>
      <c r="D36">
        <f t="shared" si="1"/>
        <v>8.0479262044898638E-4</v>
      </c>
      <c r="E36">
        <f t="shared" si="2"/>
        <v>6.476911619291462E-7</v>
      </c>
    </row>
    <row r="37" spans="1:5" x14ac:dyDescent="0.25">
      <c r="A37">
        <v>3.7300111845625006</v>
      </c>
      <c r="B37">
        <v>2.4791872334865555E-3</v>
      </c>
      <c r="C37">
        <f t="shared" si="0"/>
        <v>2.6921028197675768E-4</v>
      </c>
      <c r="D37">
        <f t="shared" si="1"/>
        <v>2.2099769515097978E-3</v>
      </c>
      <c r="E37">
        <f t="shared" si="2"/>
        <v>4.8839981262045393E-6</v>
      </c>
    </row>
    <row r="38" spans="1:5" x14ac:dyDescent="0.25">
      <c r="A38">
        <v>3.8314019966875001</v>
      </c>
      <c r="B38">
        <v>1.2395936167432777E-3</v>
      </c>
      <c r="C38">
        <f t="shared" si="0"/>
        <v>1.6447925556331244E-4</v>
      </c>
      <c r="D38">
        <f t="shared" si="1"/>
        <v>1.0751143611799653E-3</v>
      </c>
      <c r="E38">
        <f t="shared" si="2"/>
        <v>1.155870889615405E-6</v>
      </c>
    </row>
    <row r="39" spans="1:5" x14ac:dyDescent="0.25">
      <c r="A39">
        <v>3.9327928088125002</v>
      </c>
      <c r="B39">
        <v>0</v>
      </c>
      <c r="C39">
        <f t="shared" si="0"/>
        <v>9.9169346938959155E-5</v>
      </c>
      <c r="D39">
        <f t="shared" si="1"/>
        <v>-9.9169346938959155E-5</v>
      </c>
      <c r="E39">
        <f t="shared" si="2"/>
        <v>9.8345593722996472E-9</v>
      </c>
    </row>
    <row r="40" spans="1:5" x14ac:dyDescent="0.25">
      <c r="A40">
        <v>4.0341836209375002</v>
      </c>
      <c r="B40">
        <v>1.2395936167432777E-3</v>
      </c>
      <c r="C40">
        <f t="shared" si="0"/>
        <v>5.900890055660785E-5</v>
      </c>
      <c r="D40">
        <f t="shared" si="1"/>
        <v>1.1805847161866698E-3</v>
      </c>
      <c r="E40">
        <f t="shared" si="2"/>
        <v>1.3937802720935596E-6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6D474-6A09-48F1-9ED4-EED4213947EA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8.6701937450000002E-2</v>
      </c>
      <c r="B1">
        <v>6.6655321355153632E-2</v>
      </c>
      <c r="C1">
        <f>$H$3*(1+$H$1)*(A1^($H$1))*EXP(-$H$3*(A1^(1+$H$1)))</f>
        <v>0.12804322564218767</v>
      </c>
      <c r="D1">
        <f>B1-C1</f>
        <v>-6.1387904287034042E-2</v>
      </c>
      <c r="E1">
        <f>D1^2</f>
        <v>3.7684747927540525E-3</v>
      </c>
      <c r="G1" t="s">
        <v>0</v>
      </c>
      <c r="H1">
        <v>1.0269325931970867</v>
      </c>
    </row>
    <row r="2" spans="1:8" x14ac:dyDescent="0.25">
      <c r="A2">
        <v>0.18192332035000003</v>
      </c>
      <c r="B2">
        <v>0.23296364790464585</v>
      </c>
      <c r="C2">
        <f t="shared" ref="C2:C40" si="0">$H$3*(1+$H$1)*(A2^($H$1))*EXP(-$H$3*(A2^(1+$H$1)))</f>
        <v>0.26886474871040444</v>
      </c>
      <c r="D2">
        <f t="shared" ref="D2:D40" si="1">B2-C2</f>
        <v>-3.590110080575859E-2</v>
      </c>
      <c r="E2">
        <f t="shared" ref="E2:E40" si="2">D2^2</f>
        <v>1.2888890390652401E-3</v>
      </c>
    </row>
    <row r="3" spans="1:8" x14ac:dyDescent="0.25">
      <c r="A3">
        <v>0.27714470325000001</v>
      </c>
      <c r="B3">
        <v>0.3854129472416804</v>
      </c>
      <c r="C3">
        <f t="shared" si="0"/>
        <v>0.4006847474228365</v>
      </c>
      <c r="D3">
        <f t="shared" si="1"/>
        <v>-1.5271800181156092E-2</v>
      </c>
      <c r="E3">
        <f t="shared" si="2"/>
        <v>2.3322788077315926E-4</v>
      </c>
      <c r="G3" t="s">
        <v>1</v>
      </c>
      <c r="H3">
        <f>(_xlfn.GAMMA((2+$H$1)/(1+$H$1)))^(1+$H$1)</f>
        <v>0.78249563081578799</v>
      </c>
    </row>
    <row r="4" spans="1:8" x14ac:dyDescent="0.25">
      <c r="A4">
        <v>0.37236608615</v>
      </c>
      <c r="B4">
        <v>0.54248192231620085</v>
      </c>
      <c r="C4">
        <f t="shared" si="0"/>
        <v>0.51743223820841677</v>
      </c>
      <c r="D4">
        <f t="shared" si="1"/>
        <v>2.5049684107784076E-2</v>
      </c>
      <c r="E4">
        <f t="shared" si="2"/>
        <v>6.274866738997701E-4</v>
      </c>
    </row>
    <row r="5" spans="1:8" x14ac:dyDescent="0.25">
      <c r="A5">
        <v>0.46758746905000004</v>
      </c>
      <c r="B5">
        <v>0.67711247238007544</v>
      </c>
      <c r="C5">
        <f t="shared" si="0"/>
        <v>0.61446594222184581</v>
      </c>
      <c r="D5">
        <f t="shared" si="1"/>
        <v>6.264653015822963E-2</v>
      </c>
      <c r="E5">
        <f t="shared" si="2"/>
        <v>3.9245877408659747E-3</v>
      </c>
      <c r="G5" t="s">
        <v>2</v>
      </c>
      <c r="H5">
        <f>SUM(E1:E40)</f>
        <v>2.5229863620132624E-2</v>
      </c>
    </row>
    <row r="6" spans="1:8" x14ac:dyDescent="0.25">
      <c r="A6">
        <v>0.56280885194999997</v>
      </c>
      <c r="B6">
        <v>0.74508770108879652</v>
      </c>
      <c r="C6">
        <f t="shared" si="0"/>
        <v>0.68860279285779624</v>
      </c>
      <c r="D6">
        <f t="shared" si="1"/>
        <v>5.6484908231000275E-2</v>
      </c>
      <c r="E6">
        <f t="shared" si="2"/>
        <v>3.1905448578645225E-3</v>
      </c>
    </row>
    <row r="7" spans="1:8" x14ac:dyDescent="0.25">
      <c r="A7">
        <v>0.65803023485000001</v>
      </c>
      <c r="B7">
        <v>0.78864464375652066</v>
      </c>
      <c r="C7">
        <f t="shared" si="0"/>
        <v>0.73819657164982522</v>
      </c>
      <c r="D7">
        <f t="shared" si="1"/>
        <v>5.0448072106695441E-2</v>
      </c>
      <c r="E7">
        <f t="shared" si="2"/>
        <v>2.5450079792823425E-3</v>
      </c>
    </row>
    <row r="8" spans="1:8" x14ac:dyDescent="0.25">
      <c r="A8">
        <v>0.75325161774999994</v>
      </c>
      <c r="B8">
        <v>0.80712334670646424</v>
      </c>
      <c r="C8">
        <f t="shared" si="0"/>
        <v>0.76312449906765856</v>
      </c>
      <c r="D8">
        <f t="shared" si="1"/>
        <v>4.3998847638805683E-2</v>
      </c>
      <c r="E8">
        <f t="shared" si="2"/>
        <v>1.9358985935428363E-3</v>
      </c>
    </row>
    <row r="9" spans="1:8" x14ac:dyDescent="0.25">
      <c r="A9">
        <v>0.84847300065000009</v>
      </c>
      <c r="B9">
        <v>0.79656408787792499</v>
      </c>
      <c r="C9">
        <f t="shared" si="0"/>
        <v>0.76466152572727575</v>
      </c>
      <c r="D9">
        <f t="shared" si="1"/>
        <v>3.1902562150649239E-2</v>
      </c>
      <c r="E9">
        <f t="shared" si="2"/>
        <v>1.0177734717760373E-3</v>
      </c>
    </row>
    <row r="10" spans="1:8" x14ac:dyDescent="0.25">
      <c r="A10">
        <v>0.94369438355000002</v>
      </c>
      <c r="B10">
        <v>0.76290645036195637</v>
      </c>
      <c r="C10">
        <f t="shared" si="0"/>
        <v>0.74525500243700604</v>
      </c>
      <c r="D10">
        <f t="shared" si="1"/>
        <v>1.7651447924950325E-2</v>
      </c>
      <c r="E10">
        <f t="shared" si="2"/>
        <v>3.1157361384723313E-4</v>
      </c>
    </row>
    <row r="11" spans="1:8" x14ac:dyDescent="0.25">
      <c r="A11">
        <v>1.0389157664500002</v>
      </c>
      <c r="B11">
        <v>0.66589325987475256</v>
      </c>
      <c r="C11">
        <f t="shared" si="0"/>
        <v>0.70822754901935914</v>
      </c>
      <c r="D11">
        <f t="shared" si="1"/>
        <v>-4.2334289144606574E-2</v>
      </c>
      <c r="E11">
        <f t="shared" si="2"/>
        <v>1.792192037379154E-3</v>
      </c>
    </row>
    <row r="12" spans="1:8" x14ac:dyDescent="0.25">
      <c r="A12">
        <v>1.1341371493499999</v>
      </c>
      <c r="B12">
        <v>0.62761594662129805</v>
      </c>
      <c r="C12">
        <f t="shared" si="0"/>
        <v>0.65744289402807488</v>
      </c>
      <c r="D12">
        <f t="shared" si="1"/>
        <v>-2.9826947406776827E-2</v>
      </c>
      <c r="E12">
        <f t="shared" si="2"/>
        <v>8.8964679160663084E-4</v>
      </c>
    </row>
    <row r="13" spans="1:8" x14ac:dyDescent="0.25">
      <c r="A13">
        <v>1.22935853225</v>
      </c>
      <c r="B13">
        <v>0.56558030100363033</v>
      </c>
      <c r="C13">
        <f t="shared" si="0"/>
        <v>0.59697034748818378</v>
      </c>
      <c r="D13">
        <f t="shared" si="1"/>
        <v>-3.1390046484553458E-2</v>
      </c>
      <c r="E13">
        <f t="shared" si="2"/>
        <v>9.8533501830242679E-4</v>
      </c>
    </row>
    <row r="14" spans="1:8" x14ac:dyDescent="0.25">
      <c r="A14">
        <v>1.32457991515</v>
      </c>
      <c r="B14">
        <v>0.49958493332526038</v>
      </c>
      <c r="C14">
        <f t="shared" si="0"/>
        <v>0.53077959766867988</v>
      </c>
      <c r="D14">
        <f t="shared" si="1"/>
        <v>-3.1194664343419498E-2</v>
      </c>
      <c r="E14">
        <f t="shared" si="2"/>
        <v>9.7310708349860784E-4</v>
      </c>
    </row>
    <row r="15" spans="1:8" x14ac:dyDescent="0.25">
      <c r="A15">
        <v>1.4198012980499999</v>
      </c>
      <c r="B15">
        <v>0.46130762007180581</v>
      </c>
      <c r="C15">
        <f t="shared" si="0"/>
        <v>0.46249004929591414</v>
      </c>
      <c r="D15">
        <f t="shared" si="1"/>
        <v>-1.1824292241083278E-3</v>
      </c>
      <c r="E15">
        <f t="shared" si="2"/>
        <v>1.3981388700254222E-6</v>
      </c>
    </row>
    <row r="16" spans="1:8" x14ac:dyDescent="0.25">
      <c r="A16">
        <v>1.51502268095</v>
      </c>
      <c r="B16">
        <v>0.37287382738279007</v>
      </c>
      <c r="C16">
        <f t="shared" si="0"/>
        <v>0.39518951278031911</v>
      </c>
      <c r="D16">
        <f t="shared" si="1"/>
        <v>-2.2315685397529039E-2</v>
      </c>
      <c r="E16">
        <f t="shared" si="2"/>
        <v>4.9798981476149081E-4</v>
      </c>
    </row>
    <row r="17" spans="1:5" x14ac:dyDescent="0.25">
      <c r="A17">
        <v>1.6102440638500002</v>
      </c>
      <c r="B17">
        <v>0.31215808911868975</v>
      </c>
      <c r="C17">
        <f t="shared" si="0"/>
        <v>0.33132729491928403</v>
      </c>
      <c r="D17">
        <f t="shared" si="1"/>
        <v>-1.916920580059428E-2</v>
      </c>
      <c r="E17">
        <f t="shared" si="2"/>
        <v>3.6745845102553737E-4</v>
      </c>
    </row>
    <row r="18" spans="1:5" x14ac:dyDescent="0.25">
      <c r="A18">
        <v>1.7054654467500001</v>
      </c>
      <c r="B18">
        <v>0.2554020729152916</v>
      </c>
      <c r="C18">
        <f t="shared" si="0"/>
        <v>0.27267800210895388</v>
      </c>
      <c r="D18">
        <f t="shared" si="1"/>
        <v>-1.7275929193662276E-2</v>
      </c>
      <c r="E18">
        <f t="shared" si="2"/>
        <v>2.9845772950443252E-4</v>
      </c>
    </row>
    <row r="19" spans="1:5" x14ac:dyDescent="0.25">
      <c r="A19">
        <v>1.80068682965</v>
      </c>
      <c r="B19">
        <v>0.21316503760113487</v>
      </c>
      <c r="C19">
        <f t="shared" si="0"/>
        <v>0.22036563284858163</v>
      </c>
      <c r="D19">
        <f t="shared" si="1"/>
        <v>-7.2005952474467616E-3</v>
      </c>
      <c r="E19">
        <f t="shared" si="2"/>
        <v>5.184857191755289E-5</v>
      </c>
    </row>
    <row r="20" spans="1:5" x14ac:dyDescent="0.25">
      <c r="A20">
        <v>1.89590821255</v>
      </c>
      <c r="B20">
        <v>0.16696828022627591</v>
      </c>
      <c r="C20">
        <f t="shared" si="0"/>
        <v>0.17493332232043768</v>
      </c>
      <c r="D20">
        <f t="shared" si="1"/>
        <v>-7.9650420941617672E-3</v>
      </c>
      <c r="E20">
        <f t="shared" si="2"/>
        <v>6.3441895561768872E-5</v>
      </c>
    </row>
    <row r="21" spans="1:5" x14ac:dyDescent="0.25">
      <c r="A21">
        <v>1.9911295954499999</v>
      </c>
      <c r="B21">
        <v>0.13199073535673986</v>
      </c>
      <c r="C21">
        <f t="shared" si="0"/>
        <v>0.13644246058223625</v>
      </c>
      <c r="D21">
        <f t="shared" si="1"/>
        <v>-4.451725225496389E-3</v>
      </c>
      <c r="E21">
        <f t="shared" si="2"/>
        <v>1.9817857483320877E-5</v>
      </c>
    </row>
    <row r="22" spans="1:5" x14ac:dyDescent="0.25">
      <c r="A22">
        <v>2.0863509783500001</v>
      </c>
      <c r="B22">
        <v>9.5693283133636398E-2</v>
      </c>
      <c r="C22">
        <f t="shared" si="0"/>
        <v>0.10458551105542593</v>
      </c>
      <c r="D22">
        <f t="shared" si="1"/>
        <v>-8.8922279217895361E-3</v>
      </c>
      <c r="E22">
        <f t="shared" si="2"/>
        <v>7.9071717413053459E-5</v>
      </c>
    </row>
    <row r="23" spans="1:5" x14ac:dyDescent="0.25">
      <c r="A23">
        <v>2.1815723612499998</v>
      </c>
      <c r="B23">
        <v>9.1073607396150502E-2</v>
      </c>
      <c r="C23">
        <f t="shared" si="0"/>
        <v>7.8799132371650663E-2</v>
      </c>
      <c r="D23">
        <f t="shared" si="1"/>
        <v>1.227447502449984E-2</v>
      </c>
      <c r="E23">
        <f t="shared" si="2"/>
        <v>1.5066273712707035E-4</v>
      </c>
    </row>
    <row r="24" spans="1:5" x14ac:dyDescent="0.25">
      <c r="A24">
        <v>2.2767937441499999</v>
      </c>
      <c r="B24">
        <v>6.1375691940884033E-2</v>
      </c>
      <c r="C24">
        <f t="shared" si="0"/>
        <v>5.8367473907999658E-2</v>
      </c>
      <c r="D24">
        <f t="shared" si="1"/>
        <v>3.0082180328843758E-3</v>
      </c>
      <c r="E24">
        <f t="shared" si="2"/>
        <v>9.049375733370743E-6</v>
      </c>
    </row>
    <row r="25" spans="1:5" x14ac:dyDescent="0.25">
      <c r="A25">
        <v>2.3720151270500001</v>
      </c>
      <c r="B25">
        <v>3.9597220607021956E-2</v>
      </c>
      <c r="C25">
        <f t="shared" si="0"/>
        <v>4.2509116545348065E-2</v>
      </c>
      <c r="D25">
        <f t="shared" si="1"/>
        <v>-2.9118959383261089E-3</v>
      </c>
      <c r="E25">
        <f t="shared" si="2"/>
        <v>8.4791379556400905E-6</v>
      </c>
    </row>
    <row r="26" spans="1:5" x14ac:dyDescent="0.25">
      <c r="A26">
        <v>2.4672365099500002</v>
      </c>
      <c r="B26">
        <v>3.1677776485617565E-2</v>
      </c>
      <c r="C26">
        <f t="shared" si="0"/>
        <v>3.0444525933962945E-2</v>
      </c>
      <c r="D26">
        <f t="shared" si="1"/>
        <v>1.2332505516546195E-3</v>
      </c>
      <c r="E26">
        <f t="shared" si="2"/>
        <v>1.5209069231564234E-6</v>
      </c>
    </row>
    <row r="27" spans="1:5" x14ac:dyDescent="0.25">
      <c r="A27">
        <v>2.5624578928499999</v>
      </c>
      <c r="B27">
        <v>2.9037961778482769E-2</v>
      </c>
      <c r="C27">
        <f t="shared" si="0"/>
        <v>2.1443705511756627E-2</v>
      </c>
      <c r="D27">
        <f t="shared" si="1"/>
        <v>7.5942562667261418E-3</v>
      </c>
      <c r="E27">
        <f t="shared" si="2"/>
        <v>5.767272824470928E-5</v>
      </c>
    </row>
    <row r="28" spans="1:5" x14ac:dyDescent="0.25">
      <c r="A28">
        <v>2.6576792757499996</v>
      </c>
      <c r="B28">
        <v>1.7158795596376182E-2</v>
      </c>
      <c r="C28">
        <f t="shared" si="0"/>
        <v>1.4855790008727349E-2</v>
      </c>
      <c r="D28">
        <f t="shared" si="1"/>
        <v>2.3030055876488327E-3</v>
      </c>
      <c r="E28">
        <f t="shared" si="2"/>
        <v>5.3038347367417456E-6</v>
      </c>
    </row>
    <row r="29" spans="1:5" x14ac:dyDescent="0.25">
      <c r="A29">
        <v>2.7529006586499998</v>
      </c>
      <c r="B29">
        <v>1.6498841919592482E-2</v>
      </c>
      <c r="C29">
        <f t="shared" si="0"/>
        <v>1.0123574834224764E-2</v>
      </c>
      <c r="D29">
        <f t="shared" si="1"/>
        <v>6.3752670853677185E-3</v>
      </c>
      <c r="E29">
        <f t="shared" si="2"/>
        <v>4.0644030409773006E-5</v>
      </c>
    </row>
    <row r="30" spans="1:5" x14ac:dyDescent="0.25">
      <c r="A30">
        <v>2.8481220415499999</v>
      </c>
      <c r="B30">
        <v>9.899305151755489E-3</v>
      </c>
      <c r="C30">
        <f t="shared" si="0"/>
        <v>6.7865178199974551E-3</v>
      </c>
      <c r="D30">
        <f t="shared" si="1"/>
        <v>3.1127873317580339E-3</v>
      </c>
      <c r="E30">
        <f t="shared" si="2"/>
        <v>9.6894449727533003E-6</v>
      </c>
    </row>
    <row r="31" spans="1:5" x14ac:dyDescent="0.25">
      <c r="A31">
        <v>2.9433434244500001</v>
      </c>
      <c r="B31">
        <v>1.1219212505322887E-2</v>
      </c>
      <c r="C31">
        <f t="shared" si="0"/>
        <v>4.4757325195851003E-3</v>
      </c>
      <c r="D31">
        <f t="shared" si="1"/>
        <v>6.7434799857377867E-3</v>
      </c>
      <c r="E31">
        <f t="shared" si="2"/>
        <v>4.5474522318046099E-5</v>
      </c>
    </row>
    <row r="32" spans="1:5" x14ac:dyDescent="0.25">
      <c r="A32">
        <v>3.0385648073500002</v>
      </c>
      <c r="B32">
        <v>5.9395830910532934E-3</v>
      </c>
      <c r="C32">
        <f t="shared" si="0"/>
        <v>2.9040976125097296E-3</v>
      </c>
      <c r="D32">
        <f t="shared" si="1"/>
        <v>3.0354854785435638E-3</v>
      </c>
      <c r="E32">
        <f t="shared" si="2"/>
        <v>9.2141720904488487E-6</v>
      </c>
    </row>
    <row r="33" spans="1:5" x14ac:dyDescent="0.25">
      <c r="A33">
        <v>3.1337861902500004</v>
      </c>
      <c r="B33">
        <v>5.2796294142695944E-3</v>
      </c>
      <c r="C33">
        <f t="shared" si="0"/>
        <v>1.8540071794993721E-3</v>
      </c>
      <c r="D33">
        <f t="shared" si="1"/>
        <v>3.4256222347702221E-3</v>
      </c>
      <c r="E33">
        <f t="shared" si="2"/>
        <v>1.1734887695352131E-5</v>
      </c>
    </row>
    <row r="34" spans="1:5" x14ac:dyDescent="0.25">
      <c r="A34">
        <v>3.2290075731500001</v>
      </c>
      <c r="B34">
        <v>6.599536767836993E-4</v>
      </c>
      <c r="C34">
        <f t="shared" si="0"/>
        <v>1.1646232919954964E-3</v>
      </c>
      <c r="D34">
        <f t="shared" si="1"/>
        <v>-5.046696152117971E-4</v>
      </c>
      <c r="E34">
        <f t="shared" si="2"/>
        <v>2.5469142051802336E-7</v>
      </c>
    </row>
    <row r="35" spans="1:5" x14ac:dyDescent="0.25">
      <c r="A35">
        <v>3.3242289560500002</v>
      </c>
      <c r="B35">
        <v>2.6398147071347972E-3</v>
      </c>
      <c r="C35">
        <f t="shared" si="0"/>
        <v>7.1986656677304223E-4</v>
      </c>
      <c r="D35">
        <f t="shared" si="1"/>
        <v>1.9199481403617551E-3</v>
      </c>
      <c r="E35">
        <f t="shared" si="2"/>
        <v>3.6862008616785615E-6</v>
      </c>
    </row>
    <row r="36" spans="1:5" x14ac:dyDescent="0.25">
      <c r="A36">
        <v>3.4194503389499999</v>
      </c>
      <c r="B36">
        <v>1.9798610303510978E-3</v>
      </c>
      <c r="C36">
        <f t="shared" si="0"/>
        <v>4.3785240934222908E-4</v>
      </c>
      <c r="D36">
        <f t="shared" si="1"/>
        <v>1.5420086210088688E-3</v>
      </c>
      <c r="E36">
        <f t="shared" si="2"/>
        <v>2.3777905872656729E-6</v>
      </c>
    </row>
    <row r="37" spans="1:5" x14ac:dyDescent="0.25">
      <c r="A37">
        <v>3.5146717218500001</v>
      </c>
      <c r="B37">
        <v>3.2997683839184966E-3</v>
      </c>
      <c r="C37">
        <f t="shared" si="0"/>
        <v>2.620763086878906E-4</v>
      </c>
      <c r="D37">
        <f t="shared" si="1"/>
        <v>3.0376920752306059E-3</v>
      </c>
      <c r="E37">
        <f t="shared" si="2"/>
        <v>9.227573143918825E-6</v>
      </c>
    </row>
    <row r="38" spans="1:5" x14ac:dyDescent="0.25">
      <c r="A38">
        <v>3.6098931047500002</v>
      </c>
      <c r="B38">
        <v>0</v>
      </c>
      <c r="C38">
        <f t="shared" si="0"/>
        <v>1.5437097775231965E-4</v>
      </c>
      <c r="D38">
        <f t="shared" si="1"/>
        <v>-1.5437097775231965E-4</v>
      </c>
      <c r="E38">
        <f t="shared" si="2"/>
        <v>2.3830398772207169E-8</v>
      </c>
    </row>
    <row r="39" spans="1:5" x14ac:dyDescent="0.25">
      <c r="A39">
        <v>3.70511448765</v>
      </c>
      <c r="B39">
        <v>0</v>
      </c>
      <c r="C39">
        <f t="shared" si="0"/>
        <v>8.9485711323135202E-5</v>
      </c>
      <c r="D39">
        <f t="shared" si="1"/>
        <v>-8.9485711323135202E-5</v>
      </c>
      <c r="E39">
        <f t="shared" si="2"/>
        <v>8.0076925310074882E-9</v>
      </c>
    </row>
    <row r="40" spans="1:5" x14ac:dyDescent="0.25">
      <c r="A40">
        <v>3.8003358705500001</v>
      </c>
      <c r="B40">
        <v>1.3199073535673986E-3</v>
      </c>
      <c r="C40">
        <f t="shared" si="0"/>
        <v>5.1050850368618072E-5</v>
      </c>
      <c r="D40">
        <f t="shared" si="1"/>
        <v>1.2688565031987805E-3</v>
      </c>
      <c r="E40">
        <f t="shared" si="2"/>
        <v>1.6099968257098368E-6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FE260-42CC-4194-9215-1C345A0B070F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0.10096143257500001</v>
      </c>
      <c r="B1">
        <v>4.680140731344129E-2</v>
      </c>
      <c r="C1">
        <f>$H$3*(1+$H$1)*(A1^($H$1))*EXP(-$H$3*(A1^(1+$H$1)))</f>
        <v>0.11442584376494858</v>
      </c>
      <c r="D1">
        <f>B1-C1</f>
        <v>-6.7624436451507286E-2</v>
      </c>
      <c r="E1">
        <f>D1^2</f>
        <v>4.5730644053839477E-3</v>
      </c>
      <c r="G1" t="s">
        <v>0</v>
      </c>
      <c r="H1">
        <v>1.1652572549762366</v>
      </c>
    </row>
    <row r="2" spans="1:8" x14ac:dyDescent="0.25">
      <c r="A2">
        <v>0.189576111725</v>
      </c>
      <c r="B2">
        <v>0.18507829255769964</v>
      </c>
      <c r="C2">
        <f t="shared" ref="C2:C40" si="0">$H$3*(1+$H$1)*(A2^($H$1))*EXP(-$H$3*(A2^(1+$H$1)))</f>
        <v>0.23473930803666213</v>
      </c>
      <c r="D2">
        <f t="shared" ref="D2:D40" si="1">B2-C2</f>
        <v>-4.9661015478962484E-2</v>
      </c>
      <c r="E2">
        <f t="shared" ref="E2:E40" si="2">D2^2</f>
        <v>2.4662164584017513E-3</v>
      </c>
    </row>
    <row r="3" spans="1:8" x14ac:dyDescent="0.25">
      <c r="A3">
        <v>0.27819079087500004</v>
      </c>
      <c r="B3">
        <v>0.33895564690643842</v>
      </c>
      <c r="C3">
        <f t="shared" si="0"/>
        <v>0.35716819289180074</v>
      </c>
      <c r="D3">
        <f t="shared" si="1"/>
        <v>-1.8212545985362316E-2</v>
      </c>
      <c r="E3">
        <f t="shared" si="2"/>
        <v>3.3169683126893702E-4</v>
      </c>
      <c r="G3" t="s">
        <v>1</v>
      </c>
      <c r="H3">
        <f>(_xlfn.GAMMA((2+$H$1)/(1+$H$1)))^(1+$H$1)</f>
        <v>0.76870420898167846</v>
      </c>
    </row>
    <row r="4" spans="1:8" x14ac:dyDescent="0.25">
      <c r="A4">
        <v>0.36680547002500002</v>
      </c>
      <c r="B4">
        <v>0.46659584867036924</v>
      </c>
      <c r="C4">
        <f t="shared" si="0"/>
        <v>0.47387890811498451</v>
      </c>
      <c r="D4">
        <f t="shared" si="1"/>
        <v>-7.2830594446152697E-3</v>
      </c>
      <c r="E4">
        <f t="shared" si="2"/>
        <v>5.3042954873799677E-5</v>
      </c>
    </row>
    <row r="5" spans="1:8" x14ac:dyDescent="0.25">
      <c r="A5">
        <v>0.45542014917500001</v>
      </c>
      <c r="B5">
        <v>0.64529213113987238</v>
      </c>
      <c r="C5">
        <f t="shared" si="0"/>
        <v>0.57866751232044245</v>
      </c>
      <c r="D5">
        <f t="shared" si="1"/>
        <v>6.6624618819429937E-2</v>
      </c>
      <c r="E5">
        <f t="shared" si="2"/>
        <v>4.4388398328343379E-3</v>
      </c>
      <c r="G5" t="s">
        <v>2</v>
      </c>
      <c r="H5">
        <f>SUM(E1:E40)</f>
        <v>4.1514600641130675E-2</v>
      </c>
    </row>
    <row r="6" spans="1:8" x14ac:dyDescent="0.25">
      <c r="A6">
        <v>0.54403482832500005</v>
      </c>
      <c r="B6">
        <v>0.7800234552240215</v>
      </c>
      <c r="C6">
        <f t="shared" si="0"/>
        <v>0.66658144906640271</v>
      </c>
      <c r="D6">
        <f t="shared" si="1"/>
        <v>0.11344200615761879</v>
      </c>
      <c r="E6">
        <f t="shared" si="2"/>
        <v>1.286908876106522E-2</v>
      </c>
    </row>
    <row r="7" spans="1:8" x14ac:dyDescent="0.25">
      <c r="A7">
        <v>0.63264950747500004</v>
      </c>
      <c r="B7">
        <v>0.77718700629593418</v>
      </c>
      <c r="C7">
        <f t="shared" si="0"/>
        <v>0.73398975743444872</v>
      </c>
      <c r="D7">
        <f t="shared" si="1"/>
        <v>4.319724886148546E-2</v>
      </c>
      <c r="E7">
        <f t="shared" si="2"/>
        <v>1.8660023092011068E-3</v>
      </c>
    </row>
    <row r="8" spans="1:8" x14ac:dyDescent="0.25">
      <c r="A8">
        <v>0.72126418662500003</v>
      </c>
      <c r="B8">
        <v>0.84171621940992136</v>
      </c>
      <c r="C8">
        <f t="shared" si="0"/>
        <v>0.77869691090105353</v>
      </c>
      <c r="D8">
        <f t="shared" si="1"/>
        <v>6.3019308508867833E-2</v>
      </c>
      <c r="E8">
        <f t="shared" si="2"/>
        <v>3.9714332449358614E-3</v>
      </c>
    </row>
    <row r="9" spans="1:8" x14ac:dyDescent="0.25">
      <c r="A9">
        <v>0.80987886577500001</v>
      </c>
      <c r="B9">
        <v>0.83533420932172486</v>
      </c>
      <c r="C9">
        <f t="shared" si="0"/>
        <v>0.79998942050659394</v>
      </c>
      <c r="D9">
        <f t="shared" si="1"/>
        <v>3.5344788815130923E-2</v>
      </c>
      <c r="E9">
        <f t="shared" si="2"/>
        <v>1.2492540963862039E-3</v>
      </c>
    </row>
    <row r="10" spans="1:8" x14ac:dyDescent="0.25">
      <c r="A10">
        <v>0.898493544925</v>
      </c>
      <c r="B10">
        <v>0.82044285244926629</v>
      </c>
      <c r="C10">
        <f t="shared" si="0"/>
        <v>0.79857898345004308</v>
      </c>
      <c r="D10">
        <f t="shared" si="1"/>
        <v>2.1863868999223213E-2</v>
      </c>
      <c r="E10">
        <f t="shared" si="2"/>
        <v>4.7802876761519387E-4</v>
      </c>
    </row>
    <row r="11" spans="1:8" x14ac:dyDescent="0.25">
      <c r="A11">
        <v>0.9871082240750001</v>
      </c>
      <c r="B11">
        <v>0.77789611852795604</v>
      </c>
      <c r="C11">
        <f t="shared" si="0"/>
        <v>0.77643884041556221</v>
      </c>
      <c r="D11">
        <f t="shared" si="1"/>
        <v>1.4572781123938228E-3</v>
      </c>
      <c r="E11">
        <f t="shared" si="2"/>
        <v>2.1236594968621031E-6</v>
      </c>
    </row>
    <row r="12" spans="1:8" x14ac:dyDescent="0.25">
      <c r="A12">
        <v>1.075722903225</v>
      </c>
      <c r="B12">
        <v>0.67649306934883324</v>
      </c>
      <c r="C12">
        <f t="shared" si="0"/>
        <v>0.73654988820416045</v>
      </c>
      <c r="D12">
        <f t="shared" si="1"/>
        <v>-6.005681885532721E-2</v>
      </c>
      <c r="E12">
        <f t="shared" si="2"/>
        <v>3.6068214910215859E-3</v>
      </c>
    </row>
    <row r="13" spans="1:8" x14ac:dyDescent="0.25">
      <c r="A13">
        <v>1.164337582375</v>
      </c>
      <c r="B13">
        <v>0.67932951827692056</v>
      </c>
      <c r="C13">
        <f t="shared" si="0"/>
        <v>0.68258567123207226</v>
      </c>
      <c r="D13">
        <f t="shared" si="1"/>
        <v>-3.2561529551516921E-3</v>
      </c>
      <c r="E13">
        <f t="shared" si="2"/>
        <v>1.0602532067343097E-5</v>
      </c>
    </row>
    <row r="14" spans="1:8" x14ac:dyDescent="0.25">
      <c r="A14">
        <v>1.2529522615249999</v>
      </c>
      <c r="B14">
        <v>0.59210871373823448</v>
      </c>
      <c r="C14">
        <f t="shared" si="0"/>
        <v>0.61857169573755844</v>
      </c>
      <c r="D14">
        <f t="shared" si="1"/>
        <v>-2.6462981999323953E-2</v>
      </c>
      <c r="E14">
        <f t="shared" si="2"/>
        <v>7.0028941629654356E-4</v>
      </c>
    </row>
    <row r="15" spans="1:8" x14ac:dyDescent="0.25">
      <c r="A15">
        <v>1.3415669406749999</v>
      </c>
      <c r="B15">
        <v>0.51197903151976687</v>
      </c>
      <c r="C15">
        <f t="shared" si="0"/>
        <v>0.54855497752049343</v>
      </c>
      <c r="D15">
        <f t="shared" si="1"/>
        <v>-3.6575946000726556E-2</v>
      </c>
      <c r="E15">
        <f t="shared" si="2"/>
        <v>1.3377998258480648E-3</v>
      </c>
    </row>
    <row r="16" spans="1:8" x14ac:dyDescent="0.25">
      <c r="A16">
        <v>1.4301816198249999</v>
      </c>
      <c r="B16">
        <v>0.45312271626195433</v>
      </c>
      <c r="C16">
        <f t="shared" si="0"/>
        <v>0.47631513297211842</v>
      </c>
      <c r="D16">
        <f t="shared" si="1"/>
        <v>-2.3192416710164088E-2</v>
      </c>
      <c r="E16">
        <f t="shared" si="2"/>
        <v>5.3788819285789842E-4</v>
      </c>
    </row>
    <row r="17" spans="1:5" x14ac:dyDescent="0.25">
      <c r="A17">
        <v>1.5187962989750001</v>
      </c>
      <c r="B17">
        <v>0.38008415636370502</v>
      </c>
      <c r="C17">
        <f t="shared" si="0"/>
        <v>0.40513998557444847</v>
      </c>
      <c r="D17">
        <f t="shared" si="1"/>
        <v>-2.5055829210743452E-2</v>
      </c>
      <c r="E17">
        <f t="shared" si="2"/>
        <v>6.2779457743794489E-4</v>
      </c>
    </row>
    <row r="18" spans="1:5" x14ac:dyDescent="0.25">
      <c r="A18">
        <v>1.6074109781249999</v>
      </c>
      <c r="B18">
        <v>0.31413671878567412</v>
      </c>
      <c r="C18">
        <f t="shared" si="0"/>
        <v>0.33767829674252126</v>
      </c>
      <c r="D18">
        <f t="shared" si="1"/>
        <v>-2.3541577956847137E-2</v>
      </c>
      <c r="E18">
        <f t="shared" si="2"/>
        <v>5.5420589269831099E-4</v>
      </c>
    </row>
    <row r="19" spans="1:5" x14ac:dyDescent="0.25">
      <c r="A19">
        <v>1.6960256572749999</v>
      </c>
      <c r="B19">
        <v>0.24535283227955587</v>
      </c>
      <c r="C19">
        <f t="shared" si="0"/>
        <v>0.27587163604014964</v>
      </c>
      <c r="D19">
        <f t="shared" si="1"/>
        <v>-3.0518803760593766E-2</v>
      </c>
      <c r="E19">
        <f t="shared" si="2"/>
        <v>9.3139738297763218E-4</v>
      </c>
    </row>
    <row r="20" spans="1:5" x14ac:dyDescent="0.25">
      <c r="A20">
        <v>1.7846403364249999</v>
      </c>
      <c r="B20">
        <v>0.21698834299868236</v>
      </c>
      <c r="C20">
        <f t="shared" si="0"/>
        <v>0.2209581566921433</v>
      </c>
      <c r="D20">
        <f t="shared" si="1"/>
        <v>-3.969813693460944E-3</v>
      </c>
      <c r="E20">
        <f t="shared" si="2"/>
        <v>1.5759420760790023E-5</v>
      </c>
    </row>
    <row r="21" spans="1:5" x14ac:dyDescent="0.25">
      <c r="A21">
        <v>1.8732550155750001</v>
      </c>
      <c r="B21">
        <v>0.15813202774086982</v>
      </c>
      <c r="C21">
        <f t="shared" si="0"/>
        <v>0.17353425863538294</v>
      </c>
      <c r="D21">
        <f t="shared" si="1"/>
        <v>-1.5402230894513119E-2</v>
      </c>
      <c r="E21">
        <f t="shared" si="2"/>
        <v>2.3722871652789439E-4</v>
      </c>
    </row>
    <row r="22" spans="1:5" x14ac:dyDescent="0.25">
      <c r="A22">
        <v>1.9618696947250003</v>
      </c>
      <c r="B22">
        <v>0.12693108953190896</v>
      </c>
      <c r="C22">
        <f t="shared" si="0"/>
        <v>0.13365634890038405</v>
      </c>
      <c r="D22">
        <f t="shared" si="1"/>
        <v>-6.725259368475095E-3</v>
      </c>
      <c r="E22">
        <f t="shared" si="2"/>
        <v>4.5229113573262032E-5</v>
      </c>
    </row>
    <row r="23" spans="1:5" x14ac:dyDescent="0.25">
      <c r="A23">
        <v>2.0504843738750003</v>
      </c>
      <c r="B23">
        <v>0.11629440605158139</v>
      </c>
      <c r="C23">
        <f t="shared" si="0"/>
        <v>0.10096412294654106</v>
      </c>
      <c r="D23">
        <f t="shared" si="1"/>
        <v>1.5330283105040338E-2</v>
      </c>
      <c r="E23">
        <f t="shared" si="2"/>
        <v>2.3501758008068522E-4</v>
      </c>
    </row>
    <row r="24" spans="1:5" x14ac:dyDescent="0.25">
      <c r="A24">
        <v>2.1390990530250003</v>
      </c>
      <c r="B24">
        <v>8.2966131146555017E-2</v>
      </c>
      <c r="C24">
        <f t="shared" si="0"/>
        <v>7.4808503748512473E-2</v>
      </c>
      <c r="D24">
        <f t="shared" si="1"/>
        <v>8.157627398042544E-3</v>
      </c>
      <c r="E24">
        <f t="shared" si="2"/>
        <v>6.6546884765294364E-5</v>
      </c>
    </row>
    <row r="25" spans="1:5" x14ac:dyDescent="0.25">
      <c r="A25">
        <v>2.2277137321750002</v>
      </c>
      <c r="B25">
        <v>4.7510519545463127E-2</v>
      </c>
      <c r="C25">
        <f t="shared" si="0"/>
        <v>5.4370812680296254E-2</v>
      </c>
      <c r="D25">
        <f t="shared" si="1"/>
        <v>-6.8602931348331272E-3</v>
      </c>
      <c r="E25">
        <f t="shared" si="2"/>
        <v>4.7063621895838537E-5</v>
      </c>
    </row>
    <row r="26" spans="1:5" x14ac:dyDescent="0.25">
      <c r="A26">
        <v>2.3163284113249998</v>
      </c>
      <c r="B26">
        <v>4.3255846153332105E-2</v>
      </c>
      <c r="C26">
        <f t="shared" si="0"/>
        <v>3.8764035799952017E-2</v>
      </c>
      <c r="D26">
        <f t="shared" si="1"/>
        <v>4.4918103533800879E-3</v>
      </c>
      <c r="E26">
        <f t="shared" si="2"/>
        <v>2.017636025073255E-5</v>
      </c>
    </row>
    <row r="27" spans="1:5" x14ac:dyDescent="0.25">
      <c r="A27">
        <v>2.4049430904750002</v>
      </c>
      <c r="B27">
        <v>2.9782713744917186E-2</v>
      </c>
      <c r="C27">
        <f t="shared" si="0"/>
        <v>2.7111391092022839E-2</v>
      </c>
      <c r="D27">
        <f t="shared" si="1"/>
        <v>2.6713226528943465E-3</v>
      </c>
      <c r="E27">
        <f t="shared" si="2"/>
        <v>7.1359647158664893E-6</v>
      </c>
    </row>
    <row r="28" spans="1:5" x14ac:dyDescent="0.25">
      <c r="A28">
        <v>2.4935577696250002</v>
      </c>
      <c r="B28">
        <v>2.4818928120764323E-2</v>
      </c>
      <c r="C28">
        <f t="shared" si="0"/>
        <v>1.8601185397683889E-2</v>
      </c>
      <c r="D28">
        <f t="shared" si="1"/>
        <v>6.2177427230804341E-3</v>
      </c>
      <c r="E28">
        <f t="shared" si="2"/>
        <v>3.8660324570419694E-5</v>
      </c>
    </row>
    <row r="29" spans="1:5" x14ac:dyDescent="0.25">
      <c r="A29">
        <v>2.5821724487749997</v>
      </c>
      <c r="B29">
        <v>1.560046910448043E-2</v>
      </c>
      <c r="C29">
        <f t="shared" si="0"/>
        <v>1.2519806159902494E-2</v>
      </c>
      <c r="D29">
        <f t="shared" si="1"/>
        <v>3.0806629445779363E-3</v>
      </c>
      <c r="E29">
        <f t="shared" si="2"/>
        <v>9.4904841780956021E-6</v>
      </c>
    </row>
    <row r="30" spans="1:5" x14ac:dyDescent="0.25">
      <c r="A30">
        <v>2.6707871279250002</v>
      </c>
      <c r="B30">
        <v>1.560046910448043E-2</v>
      </c>
      <c r="C30">
        <f t="shared" si="0"/>
        <v>8.2664946909792938E-3</v>
      </c>
      <c r="D30">
        <f t="shared" si="1"/>
        <v>7.3339744135011362E-3</v>
      </c>
      <c r="E30">
        <f t="shared" si="2"/>
        <v>5.3787180697889335E-5</v>
      </c>
    </row>
    <row r="31" spans="1:5" x14ac:dyDescent="0.25">
      <c r="A31">
        <v>2.7594018070750002</v>
      </c>
      <c r="B31">
        <v>1.4182244640436756E-2</v>
      </c>
      <c r="C31">
        <f t="shared" si="0"/>
        <v>5.3543610048713179E-3</v>
      </c>
      <c r="D31">
        <f t="shared" si="1"/>
        <v>8.8278836355654387E-3</v>
      </c>
      <c r="E31">
        <f t="shared" si="2"/>
        <v>7.7931529483084069E-5</v>
      </c>
    </row>
    <row r="32" spans="1:5" x14ac:dyDescent="0.25">
      <c r="A32">
        <v>2.8480164862250001</v>
      </c>
      <c r="B32">
        <v>9.2184590162838909E-3</v>
      </c>
      <c r="C32">
        <f t="shared" si="0"/>
        <v>3.4021192858104715E-3</v>
      </c>
      <c r="D32">
        <f t="shared" si="1"/>
        <v>5.8163397304734198E-3</v>
      </c>
      <c r="E32">
        <f t="shared" si="2"/>
        <v>3.3829807860283617E-5</v>
      </c>
    </row>
    <row r="33" spans="1:5" x14ac:dyDescent="0.25">
      <c r="A33">
        <v>2.9366311653750001</v>
      </c>
      <c r="B33">
        <v>3.545561160109189E-3</v>
      </c>
      <c r="C33">
        <f t="shared" si="0"/>
        <v>2.1204990682070022E-3</v>
      </c>
      <c r="D33">
        <f t="shared" si="1"/>
        <v>1.4250620919021868E-3</v>
      </c>
      <c r="E33">
        <f t="shared" si="2"/>
        <v>2.0308019657766364E-6</v>
      </c>
    </row>
    <row r="34" spans="1:5" x14ac:dyDescent="0.25">
      <c r="A34">
        <v>3.0252458445250001</v>
      </c>
      <c r="B34">
        <v>2.1273366960655135E-3</v>
      </c>
      <c r="C34">
        <f t="shared" si="0"/>
        <v>1.2964701554069561E-3</v>
      </c>
      <c r="D34">
        <f t="shared" si="1"/>
        <v>8.308665406585574E-4</v>
      </c>
      <c r="E34">
        <f t="shared" si="2"/>
        <v>6.9033920838591818E-7</v>
      </c>
    </row>
    <row r="35" spans="1:5" x14ac:dyDescent="0.25">
      <c r="A35">
        <v>3.1138605236750001</v>
      </c>
      <c r="B35">
        <v>2.836448928087351E-3</v>
      </c>
      <c r="C35">
        <f t="shared" si="0"/>
        <v>7.7751816856008976E-4</v>
      </c>
      <c r="D35">
        <f t="shared" si="1"/>
        <v>2.058930759527261E-3</v>
      </c>
      <c r="E35">
        <f t="shared" si="2"/>
        <v>4.2391958725275036E-6</v>
      </c>
    </row>
    <row r="36" spans="1:5" x14ac:dyDescent="0.25">
      <c r="A36">
        <v>3.2024752028250001</v>
      </c>
      <c r="B36">
        <v>2.836448928087351E-3</v>
      </c>
      <c r="C36">
        <f t="shared" si="0"/>
        <v>4.5737091925506272E-4</v>
      </c>
      <c r="D36">
        <f t="shared" si="1"/>
        <v>2.3790780088322884E-3</v>
      </c>
      <c r="E36">
        <f t="shared" si="2"/>
        <v>5.6600121721094059E-6</v>
      </c>
    </row>
    <row r="37" spans="1:5" x14ac:dyDescent="0.25">
      <c r="A37">
        <v>3.2910898819750001</v>
      </c>
      <c r="B37">
        <v>2.836448928087351E-3</v>
      </c>
      <c r="C37">
        <f t="shared" si="0"/>
        <v>2.63889322619295E-4</v>
      </c>
      <c r="D37">
        <f t="shared" si="1"/>
        <v>2.5725596054680562E-3</v>
      </c>
      <c r="E37">
        <f t="shared" si="2"/>
        <v>6.6180629236859608E-6</v>
      </c>
    </row>
    <row r="38" spans="1:5" x14ac:dyDescent="0.25">
      <c r="A38">
        <v>3.3797045611250001</v>
      </c>
      <c r="B38">
        <v>0</v>
      </c>
      <c r="C38">
        <f t="shared" si="0"/>
        <v>1.4933262897667227E-4</v>
      </c>
      <c r="D38">
        <f t="shared" si="1"/>
        <v>-1.4933262897667227E-4</v>
      </c>
      <c r="E38">
        <f t="shared" si="2"/>
        <v>2.2300234077084458E-8</v>
      </c>
    </row>
    <row r="39" spans="1:5" x14ac:dyDescent="0.25">
      <c r="A39">
        <v>3.468319240275</v>
      </c>
      <c r="B39">
        <v>0</v>
      </c>
      <c r="C39">
        <f t="shared" si="0"/>
        <v>8.2880198778732914E-5</v>
      </c>
      <c r="D39">
        <f t="shared" si="1"/>
        <v>-8.2880198778732914E-5</v>
      </c>
      <c r="E39">
        <f t="shared" si="2"/>
        <v>6.869127349602281E-9</v>
      </c>
    </row>
    <row r="40" spans="1:5" x14ac:dyDescent="0.25">
      <c r="A40">
        <v>3.556933919425</v>
      </c>
      <c r="B40">
        <v>1.4182244640436755E-3</v>
      </c>
      <c r="C40">
        <f t="shared" si="0"/>
        <v>4.5112087696360561E-5</v>
      </c>
      <c r="D40">
        <f t="shared" si="1"/>
        <v>1.373112376347315E-3</v>
      </c>
      <c r="E40">
        <f t="shared" si="2"/>
        <v>1.8854375980781703E-6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836F2-16FE-4855-82E5-6D4CE1B7F824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8.7101777312500003E-2</v>
      </c>
      <c r="B1">
        <v>1.1456524818678811E-2</v>
      </c>
      <c r="C1">
        <f>$H$3*(1+$H$1)*(A1^($H$1))*EXP(-$H$3*(A1^(1+$H$1)))</f>
        <v>6.519923264254554E-2</v>
      </c>
      <c r="D1">
        <f>B1-C1</f>
        <v>-5.3742707823866726E-2</v>
      </c>
      <c r="E1">
        <f>D1^2</f>
        <v>2.8882786442415058E-3</v>
      </c>
      <c r="G1" t="s">
        <v>0</v>
      </c>
      <c r="H1">
        <v>1.3515994698205176</v>
      </c>
    </row>
    <row r="2" spans="1:8" x14ac:dyDescent="0.25">
      <c r="A2">
        <v>0.1693750939375</v>
      </c>
      <c r="B2">
        <v>6.7975380590827611E-2</v>
      </c>
      <c r="C2">
        <f t="shared" ref="C2:C40" si="0">$H$3*(1+$H$1)*(A2^($H$1))*EXP(-$H$3*(A2^(1+$H$1)))</f>
        <v>0.15872433219076867</v>
      </c>
      <c r="D2">
        <f t="shared" ref="D2:D40" si="1">B2-C2</f>
        <v>-9.0748951599941063E-2</v>
      </c>
      <c r="E2">
        <f t="shared" ref="E2:E40" si="2">D2^2</f>
        <v>8.2353722164884464E-3</v>
      </c>
    </row>
    <row r="3" spans="1:8" x14ac:dyDescent="0.25">
      <c r="A3">
        <v>0.25164841056249998</v>
      </c>
      <c r="B3">
        <v>0.23065803301606674</v>
      </c>
      <c r="C3">
        <f t="shared" si="0"/>
        <v>0.26627058843584778</v>
      </c>
      <c r="D3">
        <f t="shared" si="1"/>
        <v>-3.5612555419781033E-2</v>
      </c>
      <c r="E3">
        <f t="shared" si="2"/>
        <v>1.2682541035269755E-3</v>
      </c>
      <c r="G3" t="s">
        <v>1</v>
      </c>
      <c r="H3">
        <f>(_xlfn.GAMMA((2+$H$1)/(1+$H$1)))^(1+$H$1)</f>
        <v>0.75264362838534482</v>
      </c>
    </row>
    <row r="4" spans="1:8" x14ac:dyDescent="0.25">
      <c r="A4">
        <v>0.33392172718750002</v>
      </c>
      <c r="B4">
        <v>0.38112039230138178</v>
      </c>
      <c r="C4">
        <f t="shared" si="0"/>
        <v>0.37960055223460298</v>
      </c>
      <c r="D4">
        <f t="shared" si="1"/>
        <v>1.5198400667787992E-3</v>
      </c>
      <c r="E4">
        <f t="shared" si="2"/>
        <v>2.3099138285861848E-6</v>
      </c>
    </row>
    <row r="5" spans="1:8" x14ac:dyDescent="0.25">
      <c r="A5">
        <v>0.41619504381250005</v>
      </c>
      <c r="B5">
        <v>0.50255955537937724</v>
      </c>
      <c r="C5">
        <f t="shared" si="0"/>
        <v>0.49180484637939786</v>
      </c>
      <c r="D5">
        <f t="shared" si="1"/>
        <v>1.0754708999979379E-2</v>
      </c>
      <c r="E5">
        <f t="shared" si="2"/>
        <v>1.1566376567423745E-4</v>
      </c>
      <c r="G5" t="s">
        <v>2</v>
      </c>
      <c r="H5">
        <f>SUM(E1:E40)</f>
        <v>5.9284574640532599E-2</v>
      </c>
    </row>
    <row r="6" spans="1:8" x14ac:dyDescent="0.25">
      <c r="A6">
        <v>0.49846836043749998</v>
      </c>
      <c r="B6">
        <v>0.66676974444710679</v>
      </c>
      <c r="C6">
        <f t="shared" si="0"/>
        <v>0.59661924419279933</v>
      </c>
      <c r="D6">
        <f t="shared" si="1"/>
        <v>7.0150500254307468E-2</v>
      </c>
      <c r="E6">
        <f t="shared" si="2"/>
        <v>4.9210926859295919E-3</v>
      </c>
    </row>
    <row r="7" spans="1:8" x14ac:dyDescent="0.25">
      <c r="A7">
        <v>0.58074167706250002</v>
      </c>
      <c r="B7">
        <v>0.79966543234378107</v>
      </c>
      <c r="C7">
        <f t="shared" si="0"/>
        <v>0.68847201017044224</v>
      </c>
      <c r="D7">
        <f t="shared" si="1"/>
        <v>0.11119342217333883</v>
      </c>
      <c r="E7">
        <f t="shared" si="2"/>
        <v>1.236397713461836E-2</v>
      </c>
    </row>
    <row r="8" spans="1:8" x14ac:dyDescent="0.25">
      <c r="A8">
        <v>0.66301499368750005</v>
      </c>
      <c r="B8">
        <v>0.84472776329725108</v>
      </c>
      <c r="C8">
        <f t="shared" si="0"/>
        <v>0.76272399205922858</v>
      </c>
      <c r="D8">
        <f t="shared" si="1"/>
        <v>8.2003771238022494E-2</v>
      </c>
      <c r="E8">
        <f t="shared" si="2"/>
        <v>6.7246184972579249E-3</v>
      </c>
    </row>
    <row r="9" spans="1:8" x14ac:dyDescent="0.25">
      <c r="A9">
        <v>0.74528831031250009</v>
      </c>
      <c r="B9">
        <v>0.9035379240331356</v>
      </c>
      <c r="C9">
        <f t="shared" si="0"/>
        <v>0.81593409922073112</v>
      </c>
      <c r="D9">
        <f t="shared" si="1"/>
        <v>8.7603824812404474E-2</v>
      </c>
      <c r="E9">
        <f t="shared" si="2"/>
        <v>7.6744301217624537E-3</v>
      </c>
    </row>
    <row r="10" spans="1:8" x14ac:dyDescent="0.25">
      <c r="A10">
        <v>0.82756162693750002</v>
      </c>
      <c r="B10">
        <v>0.87375095950457071</v>
      </c>
      <c r="C10">
        <f t="shared" si="0"/>
        <v>0.84606799608476047</v>
      </c>
      <c r="D10">
        <f t="shared" si="1"/>
        <v>2.7682963419810247E-2</v>
      </c>
      <c r="E10">
        <f t="shared" si="2"/>
        <v>7.6634646370255226E-4</v>
      </c>
    </row>
    <row r="11" spans="1:8" x14ac:dyDescent="0.25">
      <c r="A11">
        <v>0.90983494356250005</v>
      </c>
      <c r="B11">
        <v>0.86840458125585396</v>
      </c>
      <c r="C11">
        <f t="shared" si="0"/>
        <v>0.8526024360430331</v>
      </c>
      <c r="D11">
        <f t="shared" si="1"/>
        <v>1.5802145212820862E-2</v>
      </c>
      <c r="E11">
        <f t="shared" si="2"/>
        <v>2.4970779332707726E-4</v>
      </c>
    </row>
    <row r="12" spans="1:8" x14ac:dyDescent="0.25">
      <c r="A12">
        <v>0.99210826018749998</v>
      </c>
      <c r="B12">
        <v>0.84854660490347733</v>
      </c>
      <c r="C12">
        <f t="shared" si="0"/>
        <v>0.83650161662027966</v>
      </c>
      <c r="D12">
        <f t="shared" si="1"/>
        <v>1.2044988283197666E-2</v>
      </c>
      <c r="E12">
        <f t="shared" si="2"/>
        <v>1.4508174274236908E-4</v>
      </c>
    </row>
    <row r="13" spans="1:8" x14ac:dyDescent="0.25">
      <c r="A13">
        <v>1.0743815768124998</v>
      </c>
      <c r="B13">
        <v>0.74925672314159431</v>
      </c>
      <c r="C13">
        <f t="shared" si="0"/>
        <v>0.80006337636104397</v>
      </c>
      <c r="D13">
        <f t="shared" si="1"/>
        <v>-5.080665321944966E-2</v>
      </c>
      <c r="E13">
        <f t="shared" si="2"/>
        <v>2.5813160113614146E-3</v>
      </c>
    </row>
    <row r="14" spans="1:8" x14ac:dyDescent="0.25">
      <c r="A14">
        <v>1.1566548934375001</v>
      </c>
      <c r="B14">
        <v>0.73856396664416069</v>
      </c>
      <c r="C14">
        <f t="shared" si="0"/>
        <v>0.74665236774249888</v>
      </c>
      <c r="D14">
        <f t="shared" si="1"/>
        <v>-8.0884010983381938E-3</v>
      </c>
      <c r="E14">
        <f t="shared" si="2"/>
        <v>6.5422232327598496E-5</v>
      </c>
    </row>
    <row r="15" spans="1:8" x14ac:dyDescent="0.25">
      <c r="A15">
        <v>1.2389282100624999</v>
      </c>
      <c r="B15">
        <v>0.65149437802220178</v>
      </c>
      <c r="C15">
        <f t="shared" si="0"/>
        <v>0.6803527925473839</v>
      </c>
      <c r="D15">
        <f t="shared" si="1"/>
        <v>-2.8858414525182119E-2</v>
      </c>
      <c r="E15">
        <f t="shared" si="2"/>
        <v>8.3280808890724234E-4</v>
      </c>
    </row>
    <row r="16" spans="1:8" x14ac:dyDescent="0.25">
      <c r="A16">
        <v>1.3212015266875001</v>
      </c>
      <c r="B16">
        <v>0.55373203290280926</v>
      </c>
      <c r="C16">
        <f t="shared" si="0"/>
        <v>0.60558296609836115</v>
      </c>
      <c r="D16">
        <f t="shared" si="1"/>
        <v>-5.1850933195551896E-2</v>
      </c>
      <c r="E16">
        <f t="shared" si="2"/>
        <v>2.6885192732495856E-3</v>
      </c>
    </row>
    <row r="17" spans="1:5" x14ac:dyDescent="0.25">
      <c r="A17">
        <v>1.4034748433124999</v>
      </c>
      <c r="B17">
        <v>0.48422911566949112</v>
      </c>
      <c r="C17">
        <f t="shared" si="0"/>
        <v>0.52671671951473542</v>
      </c>
      <c r="D17">
        <f t="shared" si="1"/>
        <v>-4.2487603845244304E-2</v>
      </c>
      <c r="E17">
        <f t="shared" si="2"/>
        <v>1.8051964805104186E-3</v>
      </c>
    </row>
    <row r="18" spans="1:5" x14ac:dyDescent="0.25">
      <c r="A18">
        <v>1.4857481599374998</v>
      </c>
      <c r="B18">
        <v>0.42007257668488973</v>
      </c>
      <c r="C18">
        <f t="shared" si="0"/>
        <v>0.44775245573238076</v>
      </c>
      <c r="D18">
        <f t="shared" si="1"/>
        <v>-2.7679879047491029E-2</v>
      </c>
      <c r="E18">
        <f t="shared" si="2"/>
        <v>7.6617570408373285E-4</v>
      </c>
    </row>
    <row r="19" spans="1:5" x14ac:dyDescent="0.25">
      <c r="A19">
        <v>1.5680214765625</v>
      </c>
      <c r="B19">
        <v>0.32078269492300671</v>
      </c>
      <c r="C19">
        <f t="shared" si="0"/>
        <v>0.37206075297080654</v>
      </c>
      <c r="D19">
        <f t="shared" si="1"/>
        <v>-5.1278058047799835E-2</v>
      </c>
      <c r="E19">
        <f t="shared" si="2"/>
        <v>2.6294392371535294E-3</v>
      </c>
    </row>
    <row r="20" spans="1:5" x14ac:dyDescent="0.25">
      <c r="A20">
        <v>1.6502947931874998</v>
      </c>
      <c r="B20">
        <v>0.26044499754463163</v>
      </c>
      <c r="C20">
        <f t="shared" si="0"/>
        <v>0.30222790150613471</v>
      </c>
      <c r="D20">
        <f t="shared" si="1"/>
        <v>-4.1782903961503082E-2</v>
      </c>
      <c r="E20">
        <f t="shared" si="2"/>
        <v>1.7458110634561898E-3</v>
      </c>
    </row>
    <row r="21" spans="1:5" x14ac:dyDescent="0.25">
      <c r="A21">
        <v>1.7325681098125001</v>
      </c>
      <c r="B21">
        <v>0.23524064294353828</v>
      </c>
      <c r="C21">
        <f t="shared" si="0"/>
        <v>0.23999826366317747</v>
      </c>
      <c r="D21">
        <f t="shared" si="1"/>
        <v>-4.7576207196391995E-3</v>
      </c>
      <c r="E21">
        <f t="shared" si="2"/>
        <v>2.2634954911940215E-5</v>
      </c>
    </row>
    <row r="22" spans="1:5" x14ac:dyDescent="0.25">
      <c r="A22">
        <v>1.8148414264374999</v>
      </c>
      <c r="B22">
        <v>0.18101309213512523</v>
      </c>
      <c r="C22">
        <f t="shared" si="0"/>
        <v>0.18630536193458933</v>
      </c>
      <c r="D22">
        <f t="shared" si="1"/>
        <v>-5.2922697994640944E-3</v>
      </c>
      <c r="E22">
        <f t="shared" si="2"/>
        <v>2.8008119630319726E-5</v>
      </c>
    </row>
    <row r="23" spans="1:5" x14ac:dyDescent="0.25">
      <c r="A23">
        <v>1.8971147430624999</v>
      </c>
      <c r="B23">
        <v>0.14511598103659828</v>
      </c>
      <c r="C23">
        <f t="shared" si="0"/>
        <v>0.1413720415957202</v>
      </c>
      <c r="D23">
        <f t="shared" si="1"/>
        <v>3.7439394408780857E-3</v>
      </c>
      <c r="E23">
        <f t="shared" si="2"/>
        <v>1.4017082536962513E-5</v>
      </c>
    </row>
    <row r="24" spans="1:5" x14ac:dyDescent="0.25">
      <c r="A24">
        <v>1.9793880596875</v>
      </c>
      <c r="B24">
        <v>0.10463626001059981</v>
      </c>
      <c r="C24">
        <f t="shared" si="0"/>
        <v>0.10485494776822452</v>
      </c>
      <c r="D24">
        <f t="shared" si="1"/>
        <v>-2.1868775762470816E-4</v>
      </c>
      <c r="E24">
        <f t="shared" si="2"/>
        <v>4.7824335334923104E-8</v>
      </c>
    </row>
    <row r="25" spans="1:5" x14ac:dyDescent="0.25">
      <c r="A25">
        <v>2.0616613763125002</v>
      </c>
      <c r="B25">
        <v>9.2415966870675742E-2</v>
      </c>
      <c r="C25">
        <f t="shared" si="0"/>
        <v>7.6007963512223206E-2</v>
      </c>
      <c r="D25">
        <f t="shared" si="1"/>
        <v>1.6408003358452536E-2</v>
      </c>
      <c r="E25">
        <f t="shared" si="2"/>
        <v>2.6922257421098969E-4</v>
      </c>
    </row>
    <row r="26" spans="1:5" x14ac:dyDescent="0.25">
      <c r="A26">
        <v>2.1439346929375001</v>
      </c>
      <c r="B26">
        <v>5.8046392414639311E-2</v>
      </c>
      <c r="C26">
        <f t="shared" si="0"/>
        <v>5.3842415438343345E-2</v>
      </c>
      <c r="D26">
        <f t="shared" si="1"/>
        <v>4.2039769762959658E-3</v>
      </c>
      <c r="E26">
        <f t="shared" si="2"/>
        <v>1.7673422417226572E-5</v>
      </c>
    </row>
    <row r="27" spans="1:5" x14ac:dyDescent="0.25">
      <c r="A27">
        <v>2.2262080095624999</v>
      </c>
      <c r="B27">
        <v>3.284203781354593E-2</v>
      </c>
      <c r="C27">
        <f t="shared" si="0"/>
        <v>3.7267482743114477E-2</v>
      </c>
      <c r="D27">
        <f t="shared" si="1"/>
        <v>-4.4254449295685477E-3</v>
      </c>
      <c r="E27">
        <f t="shared" si="2"/>
        <v>1.9584562824643967E-5</v>
      </c>
    </row>
    <row r="28" spans="1:5" x14ac:dyDescent="0.25">
      <c r="A28">
        <v>2.3084813261875001</v>
      </c>
      <c r="B28">
        <v>3.5897111098526946E-2</v>
      </c>
      <c r="C28">
        <f t="shared" si="0"/>
        <v>2.5200891306585434E-2</v>
      </c>
      <c r="D28">
        <f t="shared" si="1"/>
        <v>1.0696219791941512E-2</v>
      </c>
      <c r="E28">
        <f t="shared" si="2"/>
        <v>1.1440911783752132E-4</v>
      </c>
    </row>
    <row r="29" spans="1:5" x14ac:dyDescent="0.25">
      <c r="A29">
        <v>2.3907546428125004</v>
      </c>
      <c r="B29">
        <v>2.4440586279848131E-2</v>
      </c>
      <c r="C29">
        <f t="shared" si="0"/>
        <v>1.6646333714836495E-2</v>
      </c>
      <c r="D29">
        <f t="shared" si="1"/>
        <v>7.7942525650116362E-3</v>
      </c>
      <c r="E29">
        <f t="shared" si="2"/>
        <v>6.0750373047190469E-5</v>
      </c>
    </row>
    <row r="30" spans="1:5" x14ac:dyDescent="0.25">
      <c r="A30">
        <v>2.4730279594375002</v>
      </c>
      <c r="B30">
        <v>1.680290306739559E-2</v>
      </c>
      <c r="C30">
        <f t="shared" si="0"/>
        <v>1.0739194562786342E-2</v>
      </c>
      <c r="D30">
        <f t="shared" si="1"/>
        <v>6.0637085046092477E-3</v>
      </c>
      <c r="E30">
        <f t="shared" si="2"/>
        <v>3.6768560828870517E-5</v>
      </c>
    </row>
    <row r="31" spans="1:5" x14ac:dyDescent="0.25">
      <c r="A31">
        <v>2.5553012760625</v>
      </c>
      <c r="B31">
        <v>1.8330439709886098E-2</v>
      </c>
      <c r="C31">
        <f t="shared" si="0"/>
        <v>6.7656017487743763E-3</v>
      </c>
      <c r="D31">
        <f t="shared" si="1"/>
        <v>1.1564837961111723E-2</v>
      </c>
      <c r="E31">
        <f t="shared" si="2"/>
        <v>1.3374547706677075E-4</v>
      </c>
    </row>
    <row r="32" spans="1:5" x14ac:dyDescent="0.25">
      <c r="A32">
        <v>2.6375745926875003</v>
      </c>
      <c r="B32">
        <v>1.0692756497433557E-2</v>
      </c>
      <c r="C32">
        <f t="shared" si="0"/>
        <v>4.1615206429725183E-3</v>
      </c>
      <c r="D32">
        <f t="shared" si="1"/>
        <v>6.5312358544610391E-3</v>
      </c>
      <c r="E32">
        <f t="shared" si="2"/>
        <v>4.2657041786597418E-5</v>
      </c>
    </row>
    <row r="33" spans="1:5" x14ac:dyDescent="0.25">
      <c r="A33">
        <v>2.7198479093125001</v>
      </c>
      <c r="B33">
        <v>7.6376832124525409E-3</v>
      </c>
      <c r="C33">
        <f t="shared" si="0"/>
        <v>2.4988281788972653E-3</v>
      </c>
      <c r="D33">
        <f t="shared" si="1"/>
        <v>5.1388550335552761E-3</v>
      </c>
      <c r="E33">
        <f t="shared" si="2"/>
        <v>2.6407831055896398E-5</v>
      </c>
    </row>
    <row r="34" spans="1:5" x14ac:dyDescent="0.25">
      <c r="A34">
        <v>2.8021212259374999</v>
      </c>
      <c r="B34">
        <v>3.8188416062262705E-3</v>
      </c>
      <c r="C34">
        <f t="shared" si="0"/>
        <v>1.46448901527347E-3</v>
      </c>
      <c r="D34">
        <f t="shared" si="1"/>
        <v>2.3543525909528002E-3</v>
      </c>
      <c r="E34">
        <f t="shared" si="2"/>
        <v>5.5429761225261639E-6</v>
      </c>
    </row>
    <row r="35" spans="1:5" x14ac:dyDescent="0.25">
      <c r="A35">
        <v>2.8843945425625002</v>
      </c>
      <c r="B35">
        <v>2.2913049637357623E-3</v>
      </c>
      <c r="C35">
        <f t="shared" si="0"/>
        <v>8.3758138692301078E-4</v>
      </c>
      <c r="D35">
        <f t="shared" si="1"/>
        <v>1.4537235768127515E-3</v>
      </c>
      <c r="E35">
        <f t="shared" si="2"/>
        <v>2.11331223778126E-6</v>
      </c>
    </row>
    <row r="36" spans="1:5" x14ac:dyDescent="0.25">
      <c r="A36">
        <v>2.9666678591875</v>
      </c>
      <c r="B36">
        <v>4.5826099274715246E-3</v>
      </c>
      <c r="C36">
        <f t="shared" si="0"/>
        <v>4.6739519937495899E-4</v>
      </c>
      <c r="D36">
        <f t="shared" si="1"/>
        <v>4.1152147280965655E-3</v>
      </c>
      <c r="E36">
        <f t="shared" si="2"/>
        <v>1.6934992258342888E-5</v>
      </c>
    </row>
    <row r="37" spans="1:5" x14ac:dyDescent="0.25">
      <c r="A37">
        <v>3.0489411758125002</v>
      </c>
      <c r="B37">
        <v>0</v>
      </c>
      <c r="C37">
        <f t="shared" si="0"/>
        <v>2.5443831992666877E-4</v>
      </c>
      <c r="D37">
        <f t="shared" si="1"/>
        <v>-2.5443831992666877E-4</v>
      </c>
      <c r="E37">
        <f t="shared" si="2"/>
        <v>6.4738858647105851E-8</v>
      </c>
    </row>
    <row r="38" spans="1:5" x14ac:dyDescent="0.25">
      <c r="A38">
        <v>3.1312144924375005</v>
      </c>
      <c r="B38">
        <v>1.5275366424905082E-3</v>
      </c>
      <c r="C38">
        <f t="shared" si="0"/>
        <v>1.3509717397874581E-4</v>
      </c>
      <c r="D38">
        <f t="shared" si="1"/>
        <v>1.3924394685117625E-3</v>
      </c>
      <c r="E38">
        <f t="shared" si="2"/>
        <v>1.9388876734693196E-6</v>
      </c>
    </row>
    <row r="39" spans="1:5" x14ac:dyDescent="0.25">
      <c r="A39">
        <v>3.2134878090625003</v>
      </c>
      <c r="B39">
        <v>0</v>
      </c>
      <c r="C39">
        <f t="shared" si="0"/>
        <v>6.9951941162535596E-5</v>
      </c>
      <c r="D39">
        <f t="shared" si="1"/>
        <v>-6.9951941162535596E-5</v>
      </c>
      <c r="E39">
        <f t="shared" si="2"/>
        <v>4.8932740724068422E-9</v>
      </c>
    </row>
    <row r="40" spans="1:5" x14ac:dyDescent="0.25">
      <c r="A40">
        <v>3.2957611256875001</v>
      </c>
      <c r="B40">
        <v>1.5275366424905082E-3</v>
      </c>
      <c r="C40">
        <f t="shared" si="0"/>
        <v>3.5315657610951584E-5</v>
      </c>
      <c r="D40">
        <f t="shared" si="1"/>
        <v>1.4922209848795566E-3</v>
      </c>
      <c r="E40">
        <f t="shared" si="2"/>
        <v>2.2267234677149139E-6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DC63A-33DA-48F0-9D80-8148320C2BEC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0.1474910924625</v>
      </c>
      <c r="B1">
        <v>1.8814395717115386E-2</v>
      </c>
      <c r="C1">
        <f>$H$3*(1+$H$1)*(A1^($H$1))*EXP(-$H$3*(A1^(1+$H$1)))</f>
        <v>8.8945756983298097E-2</v>
      </c>
      <c r="D1">
        <f>B1-C1</f>
        <v>-7.0131361266182718E-2</v>
      </c>
      <c r="E1">
        <f>D1^2</f>
        <v>4.9184078330478335E-3</v>
      </c>
      <c r="G1" t="s">
        <v>0</v>
      </c>
      <c r="H1">
        <v>1.599732451457742</v>
      </c>
    </row>
    <row r="2" spans="1:8" x14ac:dyDescent="0.25">
      <c r="A2">
        <v>0.2209683693875</v>
      </c>
      <c r="B2">
        <v>7.1836783647167848E-2</v>
      </c>
      <c r="C2">
        <f t="shared" ref="C2:C40" si="0">$H$3*(1+$H$1)*(A2^($H$1))*EXP(-$H$3*(A2^(1+$H$1)))</f>
        <v>0.16822224366784497</v>
      </c>
      <c r="D2">
        <f t="shared" ref="D2:D40" si="1">B2-C2</f>
        <v>-9.6385460020677119E-2</v>
      </c>
      <c r="E2">
        <f t="shared" ref="E2:E40" si="2">D2^2</f>
        <v>9.2901569033975468E-3</v>
      </c>
    </row>
    <row r="3" spans="1:8" x14ac:dyDescent="0.25">
      <c r="A3">
        <v>0.29444564631250003</v>
      </c>
      <c r="B3">
        <v>0.20695835288826925</v>
      </c>
      <c r="C3">
        <f t="shared" si="0"/>
        <v>0.26202429320296033</v>
      </c>
      <c r="D3">
        <f t="shared" si="1"/>
        <v>-5.5065940314691086E-2</v>
      </c>
      <c r="E3">
        <f t="shared" si="2"/>
        <v>3.0322577827411211E-3</v>
      </c>
      <c r="G3" t="s">
        <v>1</v>
      </c>
      <c r="H3">
        <f>(_xlfn.GAMMA((2+$H$1)/(1+$H$1)))^(1+$H$1)</f>
        <v>0.73477028807353728</v>
      </c>
    </row>
    <row r="4" spans="1:8" x14ac:dyDescent="0.25">
      <c r="A4">
        <v>0.36792292323750003</v>
      </c>
      <c r="B4">
        <v>0.35576311901454549</v>
      </c>
      <c r="C4">
        <f t="shared" si="0"/>
        <v>0.36533607252039518</v>
      </c>
      <c r="D4">
        <f t="shared" si="1"/>
        <v>-9.5729535058496906E-3</v>
      </c>
      <c r="E4">
        <f t="shared" si="2"/>
        <v>9.1641438825159884E-5</v>
      </c>
    </row>
    <row r="5" spans="1:8" x14ac:dyDescent="0.25">
      <c r="A5">
        <v>0.44140020016250003</v>
      </c>
      <c r="B5">
        <v>0.52338228085793714</v>
      </c>
      <c r="C5">
        <f t="shared" si="0"/>
        <v>0.47297283932905088</v>
      </c>
      <c r="D5">
        <f t="shared" si="1"/>
        <v>5.0409441528886267E-2</v>
      </c>
      <c r="E5">
        <f t="shared" si="2"/>
        <v>2.5411117952542036E-3</v>
      </c>
      <c r="G5" t="s">
        <v>2</v>
      </c>
      <c r="H5">
        <f>SUM(E1:E40)</f>
        <v>9.474782268456626E-2</v>
      </c>
    </row>
    <row r="6" spans="1:8" x14ac:dyDescent="0.25">
      <c r="A6">
        <v>0.51487747708749998</v>
      </c>
      <c r="B6">
        <v>0.65422785107242143</v>
      </c>
      <c r="C6">
        <f t="shared" si="0"/>
        <v>0.57952370252712537</v>
      </c>
      <c r="D6">
        <f t="shared" si="1"/>
        <v>7.4704148545296056E-2</v>
      </c>
      <c r="E6">
        <f t="shared" si="2"/>
        <v>5.5807098098776585E-3</v>
      </c>
    </row>
    <row r="7" spans="1:8" x14ac:dyDescent="0.25">
      <c r="A7">
        <v>0.58835475401250004</v>
      </c>
      <c r="B7">
        <v>0.74231343102073433</v>
      </c>
      <c r="C7">
        <f t="shared" si="0"/>
        <v>0.67951814326475835</v>
      </c>
      <c r="D7">
        <f t="shared" si="1"/>
        <v>6.2795287755975981E-2</v>
      </c>
      <c r="E7">
        <f t="shared" si="2"/>
        <v>3.9432481643558266E-3</v>
      </c>
    </row>
    <row r="8" spans="1:8" x14ac:dyDescent="0.25">
      <c r="A8">
        <v>0.66183203093750009</v>
      </c>
      <c r="B8">
        <v>0.89710459578427459</v>
      </c>
      <c r="C8">
        <f t="shared" si="0"/>
        <v>0.76771263553937175</v>
      </c>
      <c r="D8">
        <f t="shared" si="1"/>
        <v>0.12939196024490285</v>
      </c>
      <c r="E8">
        <f t="shared" si="2"/>
        <v>1.6742279376018521E-2</v>
      </c>
    </row>
    <row r="9" spans="1:8" x14ac:dyDescent="0.25">
      <c r="A9">
        <v>0.73530930786250004</v>
      </c>
      <c r="B9">
        <v>0.93815418643979909</v>
      </c>
      <c r="C9">
        <f t="shared" si="0"/>
        <v>0.83943537954189218</v>
      </c>
      <c r="D9">
        <f t="shared" si="1"/>
        <v>9.8718806897906908E-2</v>
      </c>
      <c r="E9">
        <f t="shared" si="2"/>
        <v>9.7454028353462317E-3</v>
      </c>
    </row>
    <row r="10" spans="1:8" x14ac:dyDescent="0.25">
      <c r="A10">
        <v>0.80878658478749998</v>
      </c>
      <c r="B10">
        <v>1.0014389720337327</v>
      </c>
      <c r="C10">
        <f t="shared" si="0"/>
        <v>0.89093552132444398</v>
      </c>
      <c r="D10">
        <f t="shared" si="1"/>
        <v>0.11050345070928869</v>
      </c>
      <c r="E10">
        <f t="shared" si="2"/>
        <v>1.2211012618660195E-2</v>
      </c>
    </row>
    <row r="11" spans="1:8" x14ac:dyDescent="0.25">
      <c r="A11">
        <v>0.88226386171250004</v>
      </c>
      <c r="B11">
        <v>0.90993259286412598</v>
      </c>
      <c r="C11">
        <f t="shared" si="0"/>
        <v>0.91968609560014314</v>
      </c>
      <c r="D11">
        <f t="shared" si="1"/>
        <v>-9.7535027360171611E-3</v>
      </c>
      <c r="E11">
        <f t="shared" si="2"/>
        <v>9.5130815621494245E-5</v>
      </c>
    </row>
    <row r="12" spans="1:8" x14ac:dyDescent="0.25">
      <c r="A12">
        <v>0.9557411386375001</v>
      </c>
      <c r="B12">
        <v>0.97065177904208932</v>
      </c>
      <c r="C12">
        <f t="shared" si="0"/>
        <v>0.92459555222233591</v>
      </c>
      <c r="D12">
        <f t="shared" si="1"/>
        <v>4.605622681975341E-2</v>
      </c>
      <c r="E12">
        <f t="shared" si="2"/>
        <v>2.1211760288725734E-3</v>
      </c>
    </row>
    <row r="13" spans="1:8" x14ac:dyDescent="0.25">
      <c r="A13">
        <v>1.0292184155624999</v>
      </c>
      <c r="B13">
        <v>0.92019499052800713</v>
      </c>
      <c r="C13">
        <f t="shared" si="0"/>
        <v>0.90609374888397565</v>
      </c>
      <c r="D13">
        <f t="shared" si="1"/>
        <v>1.4101241644031481E-2</v>
      </c>
      <c r="E13">
        <f t="shared" si="2"/>
        <v>1.9884501590336766E-4</v>
      </c>
    </row>
    <row r="14" spans="1:8" x14ac:dyDescent="0.25">
      <c r="A14">
        <v>1.1026956924875</v>
      </c>
      <c r="B14">
        <v>0.82013661330516618</v>
      </c>
      <c r="C14">
        <f t="shared" si="0"/>
        <v>0.86607464427475145</v>
      </c>
      <c r="D14">
        <f t="shared" si="1"/>
        <v>-4.5938030969585264E-2</v>
      </c>
      <c r="E14">
        <f t="shared" si="2"/>
        <v>2.1103026893625749E-3</v>
      </c>
    </row>
    <row r="15" spans="1:8" x14ac:dyDescent="0.25">
      <c r="A15">
        <v>1.1761729694124998</v>
      </c>
      <c r="B15">
        <v>0.76625902556979031</v>
      </c>
      <c r="C15">
        <f t="shared" si="0"/>
        <v>0.80769772760516334</v>
      </c>
      <c r="D15">
        <f t="shared" si="1"/>
        <v>-4.1438702035373032E-2</v>
      </c>
      <c r="E15">
        <f t="shared" si="2"/>
        <v>1.717166026376429E-3</v>
      </c>
    </row>
    <row r="16" spans="1:8" x14ac:dyDescent="0.25">
      <c r="A16">
        <v>1.2496502463375001</v>
      </c>
      <c r="B16">
        <v>0.69442224192262247</v>
      </c>
      <c r="C16">
        <f t="shared" si="0"/>
        <v>0.73507040870932883</v>
      </c>
      <c r="D16">
        <f t="shared" si="1"/>
        <v>-4.0648166786706352E-2</v>
      </c>
      <c r="E16">
        <f t="shared" si="2"/>
        <v>1.6522734631198974E-3</v>
      </c>
    </row>
    <row r="17" spans="1:5" x14ac:dyDescent="0.25">
      <c r="A17">
        <v>1.3231275232625002</v>
      </c>
      <c r="B17">
        <v>0.56272147190281474</v>
      </c>
      <c r="C17">
        <f t="shared" si="0"/>
        <v>0.65285065457031144</v>
      </c>
      <c r="D17">
        <f t="shared" si="1"/>
        <v>-9.0129182667496699E-2</v>
      </c>
      <c r="E17">
        <f t="shared" si="2"/>
        <v>8.1232695683109875E-3</v>
      </c>
    </row>
    <row r="18" spans="1:5" x14ac:dyDescent="0.25">
      <c r="A18">
        <v>1.3966048001875</v>
      </c>
      <c r="B18">
        <v>0.51311988319405599</v>
      </c>
      <c r="C18">
        <f t="shared" si="0"/>
        <v>0.56581995641534932</v>
      </c>
      <c r="D18">
        <f t="shared" si="1"/>
        <v>-5.2700073221293331E-2</v>
      </c>
      <c r="E18">
        <f t="shared" si="2"/>
        <v>2.7772977175296787E-3</v>
      </c>
    </row>
    <row r="19" spans="1:5" x14ac:dyDescent="0.25">
      <c r="A19">
        <v>1.4700820771125001</v>
      </c>
      <c r="B19">
        <v>0.41819270480315568</v>
      </c>
      <c r="C19">
        <f t="shared" si="0"/>
        <v>0.4784792489498359</v>
      </c>
      <c r="D19">
        <f t="shared" si="1"/>
        <v>-6.0286544146680221E-2</v>
      </c>
      <c r="E19">
        <f t="shared" si="2"/>
        <v>3.6344674051496232E-3</v>
      </c>
    </row>
    <row r="20" spans="1:5" x14ac:dyDescent="0.25">
      <c r="A20">
        <v>1.5435593540374999</v>
      </c>
      <c r="B20">
        <v>0.34464552154534095</v>
      </c>
      <c r="C20">
        <f t="shared" si="0"/>
        <v>0.39471432859727484</v>
      </c>
      <c r="D20">
        <f t="shared" si="1"/>
        <v>-5.0068807051933895E-2</v>
      </c>
      <c r="E20">
        <f t="shared" si="2"/>
        <v>2.5068854396037852E-3</v>
      </c>
    </row>
    <row r="21" spans="1:5" x14ac:dyDescent="0.25">
      <c r="A21">
        <v>1.6170366309625002</v>
      </c>
      <c r="B21">
        <v>0.29675433244722904</v>
      </c>
      <c r="C21">
        <f t="shared" si="0"/>
        <v>0.31756403367956254</v>
      </c>
      <c r="D21">
        <f t="shared" si="1"/>
        <v>-2.08097012323335E-2</v>
      </c>
      <c r="E21">
        <f t="shared" si="2"/>
        <v>4.3304366537898236E-4</v>
      </c>
    </row>
    <row r="22" spans="1:5" x14ac:dyDescent="0.25">
      <c r="A22">
        <v>1.6905139078875002</v>
      </c>
      <c r="B22">
        <v>0.23860074568523604</v>
      </c>
      <c r="C22">
        <f t="shared" si="0"/>
        <v>0.24910678225026719</v>
      </c>
      <c r="D22">
        <f t="shared" si="1"/>
        <v>-1.0506036565031157E-2</v>
      </c>
      <c r="E22">
        <f t="shared" si="2"/>
        <v>1.1037680430577167E-4</v>
      </c>
    </row>
    <row r="23" spans="1:5" x14ac:dyDescent="0.25">
      <c r="A23">
        <v>1.7639911848125001</v>
      </c>
      <c r="B23">
        <v>0.19498555561374128</v>
      </c>
      <c r="C23">
        <f t="shared" si="0"/>
        <v>0.19046257830260371</v>
      </c>
      <c r="D23">
        <f t="shared" si="1"/>
        <v>4.5229773111375715E-3</v>
      </c>
      <c r="E23">
        <f t="shared" si="2"/>
        <v>2.0457323757065256E-5</v>
      </c>
    </row>
    <row r="24" spans="1:5" x14ac:dyDescent="0.25">
      <c r="A24">
        <v>1.8374684617374997</v>
      </c>
      <c r="B24">
        <v>0.13426636943577799</v>
      </c>
      <c r="C24">
        <f t="shared" si="0"/>
        <v>0.14189175383297981</v>
      </c>
      <c r="D24">
        <f t="shared" si="1"/>
        <v>-7.625384397201812E-3</v>
      </c>
      <c r="E24">
        <f t="shared" si="2"/>
        <v>5.8146487205088843E-5</v>
      </c>
    </row>
    <row r="25" spans="1:5" x14ac:dyDescent="0.25">
      <c r="A25">
        <v>1.9109457386624999</v>
      </c>
      <c r="B25">
        <v>0.11630717352398603</v>
      </c>
      <c r="C25">
        <f t="shared" si="0"/>
        <v>0.10296109365005826</v>
      </c>
      <c r="D25">
        <f t="shared" si="1"/>
        <v>1.3346079873927774E-2</v>
      </c>
      <c r="E25">
        <f t="shared" si="2"/>
        <v>1.7811784800125999E-4</v>
      </c>
    </row>
    <row r="26" spans="1:5" x14ac:dyDescent="0.25">
      <c r="A26">
        <v>1.9844230155875002</v>
      </c>
      <c r="B26">
        <v>7.9533581895078684E-2</v>
      </c>
      <c r="C26">
        <f t="shared" si="0"/>
        <v>7.2743799439444604E-2</v>
      </c>
      <c r="D26">
        <f t="shared" si="1"/>
        <v>6.7897824556340802E-3</v>
      </c>
      <c r="E26">
        <f t="shared" si="2"/>
        <v>4.6101145794836359E-5</v>
      </c>
    </row>
    <row r="27" spans="1:5" x14ac:dyDescent="0.25">
      <c r="A27">
        <v>2.0579002925125005</v>
      </c>
      <c r="B27">
        <v>4.9601588708758748E-2</v>
      </c>
      <c r="C27">
        <f t="shared" si="0"/>
        <v>5.0021718161003689E-2</v>
      </c>
      <c r="D27">
        <f t="shared" si="1"/>
        <v>-4.2012945224494114E-4</v>
      </c>
      <c r="E27">
        <f t="shared" si="2"/>
        <v>1.7650875664363429E-7</v>
      </c>
    </row>
    <row r="28" spans="1:5" x14ac:dyDescent="0.25">
      <c r="A28">
        <v>2.1313775694375003</v>
      </c>
      <c r="B28">
        <v>4.8746388903435321E-2</v>
      </c>
      <c r="C28">
        <f t="shared" si="0"/>
        <v>3.3464909508115773E-2</v>
      </c>
      <c r="D28">
        <f t="shared" si="1"/>
        <v>1.5281479395319549E-2</v>
      </c>
      <c r="E28">
        <f t="shared" si="2"/>
        <v>2.335236125095759E-4</v>
      </c>
    </row>
    <row r="29" spans="1:5" x14ac:dyDescent="0.25">
      <c r="A29">
        <v>2.2048548463625002</v>
      </c>
      <c r="B29">
        <v>3.6773591628907351E-2</v>
      </c>
      <c r="C29">
        <f t="shared" si="0"/>
        <v>2.1772803100416384E-2</v>
      </c>
      <c r="D29">
        <f t="shared" si="1"/>
        <v>1.5000788528490967E-2</v>
      </c>
      <c r="E29">
        <f t="shared" si="2"/>
        <v>2.2502365647650619E-4</v>
      </c>
    </row>
    <row r="30" spans="1:5" x14ac:dyDescent="0.25">
      <c r="A30">
        <v>2.2783321232875</v>
      </c>
      <c r="B30">
        <v>2.3945594549055947E-2</v>
      </c>
      <c r="C30">
        <f t="shared" si="0"/>
        <v>1.3770674051497622E-2</v>
      </c>
      <c r="D30">
        <f t="shared" si="1"/>
        <v>1.0174920497558325E-2</v>
      </c>
      <c r="E30">
        <f t="shared" si="2"/>
        <v>1.0352900713163256E-4</v>
      </c>
    </row>
    <row r="31" spans="1:5" x14ac:dyDescent="0.25">
      <c r="A31">
        <v>2.3518094002124998</v>
      </c>
      <c r="B31">
        <v>1.6248796301145108E-2</v>
      </c>
      <c r="C31">
        <f t="shared" si="0"/>
        <v>8.4631619191704189E-3</v>
      </c>
      <c r="D31">
        <f t="shared" si="1"/>
        <v>7.7856343819746893E-3</v>
      </c>
      <c r="E31">
        <f t="shared" si="2"/>
        <v>6.0616102729786406E-5</v>
      </c>
    </row>
    <row r="32" spans="1:5" x14ac:dyDescent="0.25">
      <c r="A32">
        <v>2.4252866771375001</v>
      </c>
      <c r="B32">
        <v>1.7959195911791962E-2</v>
      </c>
      <c r="C32">
        <f t="shared" si="0"/>
        <v>5.0520255777893215E-3</v>
      </c>
      <c r="D32">
        <f t="shared" si="1"/>
        <v>1.2907170334002641E-2</v>
      </c>
      <c r="E32">
        <f t="shared" si="2"/>
        <v>1.6659504603095784E-4</v>
      </c>
    </row>
    <row r="33" spans="1:5" x14ac:dyDescent="0.25">
      <c r="A33">
        <v>2.4987639540625004</v>
      </c>
      <c r="B33">
        <v>8.5519980532342676E-3</v>
      </c>
      <c r="C33">
        <f t="shared" si="0"/>
        <v>2.9280031088334759E-3</v>
      </c>
      <c r="D33">
        <f t="shared" si="1"/>
        <v>5.6239949444007922E-3</v>
      </c>
      <c r="E33">
        <f t="shared" si="2"/>
        <v>3.1629319134645669E-5</v>
      </c>
    </row>
    <row r="34" spans="1:5" x14ac:dyDescent="0.25">
      <c r="A34">
        <v>2.5722412309875002</v>
      </c>
      <c r="B34">
        <v>6.8415984425874137E-3</v>
      </c>
      <c r="C34">
        <f t="shared" si="0"/>
        <v>1.6469008570647382E-3</v>
      </c>
      <c r="D34">
        <f t="shared" si="1"/>
        <v>5.1946975855226753E-3</v>
      </c>
      <c r="E34">
        <f t="shared" si="2"/>
        <v>2.6984883005035113E-5</v>
      </c>
    </row>
    <row r="35" spans="1:5" x14ac:dyDescent="0.25">
      <c r="A35">
        <v>2.6457185079125001</v>
      </c>
      <c r="B35">
        <v>3.4207992212937069E-3</v>
      </c>
      <c r="C35">
        <f t="shared" si="0"/>
        <v>8.986065611507213E-4</v>
      </c>
      <c r="D35">
        <f t="shared" si="1"/>
        <v>2.5221926601429858E-3</v>
      </c>
      <c r="E35">
        <f t="shared" si="2"/>
        <v>6.3614558148791508E-6</v>
      </c>
    </row>
    <row r="36" spans="1:5" x14ac:dyDescent="0.25">
      <c r="A36">
        <v>2.7191957848374999</v>
      </c>
      <c r="B36">
        <v>3.4207992212937069E-3</v>
      </c>
      <c r="C36">
        <f t="shared" si="0"/>
        <v>4.7543800224709965E-4</v>
      </c>
      <c r="D36">
        <f t="shared" si="1"/>
        <v>2.9453612190466073E-3</v>
      </c>
      <c r="E36">
        <f t="shared" si="2"/>
        <v>8.6751527106637174E-6</v>
      </c>
    </row>
    <row r="37" spans="1:5" x14ac:dyDescent="0.25">
      <c r="A37">
        <v>2.7926730617624997</v>
      </c>
      <c r="B37">
        <v>0</v>
      </c>
      <c r="C37">
        <f t="shared" si="0"/>
        <v>2.4381265246798233E-4</v>
      </c>
      <c r="D37">
        <f t="shared" si="1"/>
        <v>-2.4381265246798233E-4</v>
      </c>
      <c r="E37">
        <f t="shared" si="2"/>
        <v>5.9444609503473126E-8</v>
      </c>
    </row>
    <row r="38" spans="1:5" x14ac:dyDescent="0.25">
      <c r="A38">
        <v>2.8661503386875</v>
      </c>
      <c r="B38">
        <v>1.7103996106468534E-3</v>
      </c>
      <c r="C38">
        <f t="shared" si="0"/>
        <v>1.2113581049375035E-4</v>
      </c>
      <c r="D38">
        <f t="shared" si="1"/>
        <v>1.5892638001531031E-3</v>
      </c>
      <c r="E38">
        <f t="shared" si="2"/>
        <v>2.5257594264770824E-6</v>
      </c>
    </row>
    <row r="39" spans="1:5" x14ac:dyDescent="0.25">
      <c r="A39">
        <v>2.9396276156125003</v>
      </c>
      <c r="B39">
        <v>0</v>
      </c>
      <c r="C39">
        <f t="shared" si="0"/>
        <v>5.8285288369180838E-5</v>
      </c>
      <c r="D39">
        <f t="shared" si="1"/>
        <v>-5.8285288369180838E-5</v>
      </c>
      <c r="E39">
        <f t="shared" si="2"/>
        <v>3.3971748402785669E-9</v>
      </c>
    </row>
    <row r="40" spans="1:5" x14ac:dyDescent="0.25">
      <c r="A40">
        <v>3.0131048925375001</v>
      </c>
      <c r="B40">
        <v>1.7103996106468534E-3</v>
      </c>
      <c r="C40">
        <f t="shared" si="0"/>
        <v>2.7147627907083088E-5</v>
      </c>
      <c r="D40">
        <f t="shared" si="1"/>
        <v>1.6832519827397704E-3</v>
      </c>
      <c r="E40">
        <f t="shared" si="2"/>
        <v>2.8333372373973685E-6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7337C-EB13-4635-9328-1585E3B1A400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0.20030294338749999</v>
      </c>
      <c r="B1">
        <v>8.828596055886059E-3</v>
      </c>
      <c r="C1">
        <f>$H$3*(1+$H$1)*(A1^($H$1))*EXP(-$H$3*(A1^(1+$H$1)))</f>
        <v>8.9269872996522504E-2</v>
      </c>
      <c r="D1">
        <f>B1-C1</f>
        <v>-8.044127694063645E-2</v>
      </c>
      <c r="E1">
        <f>D1^2</f>
        <v>6.4707990358401695E-3</v>
      </c>
      <c r="G1" t="s">
        <v>0</v>
      </c>
      <c r="H1">
        <v>1.9651501016536783</v>
      </c>
    </row>
    <row r="2" spans="1:8" x14ac:dyDescent="0.25">
      <c r="A2">
        <v>0.26436066816249998</v>
      </c>
      <c r="B2">
        <v>5.9838262156561066E-2</v>
      </c>
      <c r="C2">
        <f t="shared" ref="C2:C40" si="0">$H$3*(1+$H$1)*(A2^($H$1))*EXP(-$H$3*(A2^(1+$H$1)))</f>
        <v>0.15281285613912285</v>
      </c>
      <c r="D2">
        <f t="shared" ref="D2:D40" si="1">B2-C2</f>
        <v>-9.2974593982561776E-2</v>
      </c>
      <c r="E2">
        <f t="shared" ref="E2:E40" si="2">D2^2</f>
        <v>8.6442751262222131E-3</v>
      </c>
    </row>
    <row r="3" spans="1:8" x14ac:dyDescent="0.25">
      <c r="A3">
        <v>0.32841839293749997</v>
      </c>
      <c r="B3">
        <v>0.16381950459255243</v>
      </c>
      <c r="C3">
        <f t="shared" si="0"/>
        <v>0.23116429574570538</v>
      </c>
      <c r="D3">
        <f t="shared" si="1"/>
        <v>-6.734479115315295E-2</v>
      </c>
      <c r="E3">
        <f t="shared" si="2"/>
        <v>4.5353208954617879E-3</v>
      </c>
      <c r="G3" t="s">
        <v>1</v>
      </c>
      <c r="H3">
        <f>(_xlfn.GAMMA((2+$H$1)/(1+$H$1)))^(1+$H$1)</f>
        <v>0.71380954314765976</v>
      </c>
    </row>
    <row r="4" spans="1:8" x14ac:dyDescent="0.25">
      <c r="A4">
        <v>0.39247611771250002</v>
      </c>
      <c r="B4">
        <v>0.27172456749782647</v>
      </c>
      <c r="C4">
        <f t="shared" si="0"/>
        <v>0.32214288807614599</v>
      </c>
      <c r="D4">
        <f t="shared" si="1"/>
        <v>-5.041832057831952E-2</v>
      </c>
      <c r="E4">
        <f t="shared" si="2"/>
        <v>2.5420070499381974E-3</v>
      </c>
    </row>
    <row r="5" spans="1:8" x14ac:dyDescent="0.25">
      <c r="A5">
        <v>0.45653384248750001</v>
      </c>
      <c r="B5">
        <v>0.41886783509592745</v>
      </c>
      <c r="C5">
        <f t="shared" si="0"/>
        <v>0.42279285906480218</v>
      </c>
      <c r="D5">
        <f t="shared" si="1"/>
        <v>-3.9250239688747302E-3</v>
      </c>
      <c r="E5">
        <f t="shared" si="2"/>
        <v>1.5405813156241139E-5</v>
      </c>
      <c r="G5" t="s">
        <v>2</v>
      </c>
      <c r="H5">
        <f>SUM(E1:E40)</f>
        <v>0.16931240116131926</v>
      </c>
    </row>
    <row r="6" spans="1:8" x14ac:dyDescent="0.25">
      <c r="A6">
        <v>0.52059156726249989</v>
      </c>
      <c r="B6">
        <v>0.61309694832542072</v>
      </c>
      <c r="C6">
        <f t="shared" si="0"/>
        <v>0.52936960102356023</v>
      </c>
      <c r="D6">
        <f t="shared" si="1"/>
        <v>8.3727347301860489E-2</v>
      </c>
      <c r="E6">
        <f t="shared" si="2"/>
        <v>7.0102686862063652E-3</v>
      </c>
    </row>
    <row r="7" spans="1:8" x14ac:dyDescent="0.25">
      <c r="A7">
        <v>0.58464929203749993</v>
      </c>
      <c r="B7">
        <v>0.69157335771107464</v>
      </c>
      <c r="C7">
        <f t="shared" si="0"/>
        <v>0.63741482605370947</v>
      </c>
      <c r="D7">
        <f t="shared" si="1"/>
        <v>5.4158531657365172E-2</v>
      </c>
      <c r="E7">
        <f t="shared" si="2"/>
        <v>2.9331465512818255E-3</v>
      </c>
    </row>
    <row r="8" spans="1:8" x14ac:dyDescent="0.25">
      <c r="A8">
        <v>0.64870701681249998</v>
      </c>
      <c r="B8">
        <v>0.89855488746573664</v>
      </c>
      <c r="C8">
        <f t="shared" si="0"/>
        <v>0.7419294141057251</v>
      </c>
      <c r="D8">
        <f t="shared" si="1"/>
        <v>0.15662547336001154</v>
      </c>
      <c r="E8">
        <f t="shared" si="2"/>
        <v>2.4531538905247684E-2</v>
      </c>
    </row>
    <row r="9" spans="1:8" x14ac:dyDescent="0.25">
      <c r="A9">
        <v>0.71276474158750003</v>
      </c>
      <c r="B9">
        <v>0.98291702755531452</v>
      </c>
      <c r="C9">
        <f t="shared" si="0"/>
        <v>0.83764283054209521</v>
      </c>
      <c r="D9">
        <f t="shared" si="1"/>
        <v>0.14527419701321931</v>
      </c>
      <c r="E9">
        <f t="shared" si="2"/>
        <v>2.1104592317835659E-2</v>
      </c>
    </row>
    <row r="10" spans="1:8" x14ac:dyDescent="0.25">
      <c r="A10">
        <v>0.77682246636250007</v>
      </c>
      <c r="B10">
        <v>1.0476600652984789</v>
      </c>
      <c r="C10">
        <f t="shared" si="0"/>
        <v>0.91936509389417687</v>
      </c>
      <c r="D10">
        <f t="shared" si="1"/>
        <v>0.12829497140430202</v>
      </c>
      <c r="E10">
        <f t="shared" si="2"/>
        <v>1.6459599687630673E-2</v>
      </c>
    </row>
    <row r="11" spans="1:8" x14ac:dyDescent="0.25">
      <c r="A11">
        <v>0.84088019113750001</v>
      </c>
      <c r="B11">
        <v>1.1202507439802087</v>
      </c>
      <c r="C11">
        <f t="shared" si="0"/>
        <v>0.98239274267754306</v>
      </c>
      <c r="D11">
        <f t="shared" si="1"/>
        <v>0.13785800130266568</v>
      </c>
      <c r="E11">
        <f t="shared" si="2"/>
        <v>1.9004828523165773E-2</v>
      </c>
    </row>
    <row r="12" spans="1:8" x14ac:dyDescent="0.25">
      <c r="A12">
        <v>0.90493791591249995</v>
      </c>
      <c r="B12">
        <v>1.0741458534661372</v>
      </c>
      <c r="C12">
        <f t="shared" si="0"/>
        <v>1.0229266835352537</v>
      </c>
      <c r="D12">
        <f t="shared" si="1"/>
        <v>5.121916993088349E-2</v>
      </c>
      <c r="E12">
        <f t="shared" si="2"/>
        <v>2.6234033684087196E-3</v>
      </c>
    </row>
    <row r="13" spans="1:8" x14ac:dyDescent="0.25">
      <c r="A13">
        <v>0.96899564068749999</v>
      </c>
      <c r="B13">
        <v>1.0496219755331204</v>
      </c>
      <c r="C13">
        <f t="shared" si="0"/>
        <v>1.0384502497514381</v>
      </c>
      <c r="D13">
        <f t="shared" si="1"/>
        <v>1.1171725781682351E-2</v>
      </c>
      <c r="E13">
        <f t="shared" si="2"/>
        <v>1.2480745694110613E-4</v>
      </c>
    </row>
    <row r="14" spans="1:8" x14ac:dyDescent="0.25">
      <c r="A14">
        <v>1.0330533654625</v>
      </c>
      <c r="B14">
        <v>1.0780696739354199</v>
      </c>
      <c r="C14">
        <f t="shared" si="0"/>
        <v>1.0280131982812115</v>
      </c>
      <c r="D14">
        <f t="shared" si="1"/>
        <v>5.0056475654208343E-2</v>
      </c>
      <c r="E14">
        <f t="shared" si="2"/>
        <v>2.5056507549203527E-3</v>
      </c>
    </row>
    <row r="15" spans="1:8" x14ac:dyDescent="0.25">
      <c r="A15">
        <v>1.0971110902374999</v>
      </c>
      <c r="B15">
        <v>0.90738348352162268</v>
      </c>
      <c r="C15">
        <f t="shared" si="0"/>
        <v>0.99237380437673328</v>
      </c>
      <c r="D15">
        <f t="shared" si="1"/>
        <v>-8.4990320855110602E-2</v>
      </c>
      <c r="E15">
        <f t="shared" si="2"/>
        <v>7.2233546390546481E-3</v>
      </c>
    </row>
    <row r="16" spans="1:8" x14ac:dyDescent="0.25">
      <c r="A16">
        <v>1.1611688150125001</v>
      </c>
      <c r="B16">
        <v>0.88384056070592654</v>
      </c>
      <c r="C16">
        <f t="shared" si="0"/>
        <v>0.93396714761630606</v>
      </c>
      <c r="D16">
        <f t="shared" si="1"/>
        <v>-5.0126586910379523E-2</v>
      </c>
      <c r="E16">
        <f t="shared" si="2"/>
        <v>2.5126747152838316E-3</v>
      </c>
    </row>
    <row r="17" spans="1:5" x14ac:dyDescent="0.25">
      <c r="A17">
        <v>1.2252265397875002</v>
      </c>
      <c r="B17">
        <v>0.77887836315261449</v>
      </c>
      <c r="C17">
        <f t="shared" si="0"/>
        <v>0.85669148544145846</v>
      </c>
      <c r="D17">
        <f t="shared" si="1"/>
        <v>-7.7813122288843961E-2</v>
      </c>
      <c r="E17">
        <f t="shared" si="2"/>
        <v>6.0548820003385852E-3</v>
      </c>
    </row>
    <row r="18" spans="1:5" x14ac:dyDescent="0.25">
      <c r="A18">
        <v>1.2892842645625</v>
      </c>
      <c r="B18">
        <v>0.63958273649307895</v>
      </c>
      <c r="C18">
        <f t="shared" si="0"/>
        <v>0.76553251421688584</v>
      </c>
      <c r="D18">
        <f t="shared" si="1"/>
        <v>-0.12594977772380689</v>
      </c>
      <c r="E18">
        <f t="shared" si="2"/>
        <v>1.5863346508676362E-2</v>
      </c>
    </row>
    <row r="19" spans="1:5" x14ac:dyDescent="0.25">
      <c r="A19">
        <v>1.3533419893374998</v>
      </c>
      <c r="B19">
        <v>0.58563020504044194</v>
      </c>
      <c r="C19">
        <f t="shared" si="0"/>
        <v>0.66607201585393927</v>
      </c>
      <c r="D19">
        <f t="shared" si="1"/>
        <v>-8.0441810813497328E-2</v>
      </c>
      <c r="E19">
        <f t="shared" si="2"/>
        <v>6.4708849269544955E-3</v>
      </c>
    </row>
    <row r="20" spans="1:5" x14ac:dyDescent="0.25">
      <c r="A20">
        <v>1.4173997141124999</v>
      </c>
      <c r="B20">
        <v>0.48949660354301594</v>
      </c>
      <c r="C20">
        <f t="shared" si="0"/>
        <v>0.56394718072244709</v>
      </c>
      <c r="D20">
        <f t="shared" si="1"/>
        <v>-7.4450577179431154E-2</v>
      </c>
      <c r="E20">
        <f t="shared" si="2"/>
        <v>5.5428884423504351E-3</v>
      </c>
    </row>
    <row r="21" spans="1:5" x14ac:dyDescent="0.25">
      <c r="A21">
        <v>1.4814574388874999</v>
      </c>
      <c r="B21">
        <v>0.40513446345343801</v>
      </c>
      <c r="C21">
        <f t="shared" si="0"/>
        <v>0.46433514806816256</v>
      </c>
      <c r="D21">
        <f t="shared" si="1"/>
        <v>-5.9200684614724552E-2</v>
      </c>
      <c r="E21">
        <f t="shared" si="2"/>
        <v>3.5047210588520844E-3</v>
      </c>
    </row>
    <row r="22" spans="1:5" x14ac:dyDescent="0.25">
      <c r="A22">
        <v>1.5455151636625</v>
      </c>
      <c r="B22">
        <v>0.34725811153151831</v>
      </c>
      <c r="C22">
        <f t="shared" si="0"/>
        <v>0.37153178283050026</v>
      </c>
      <c r="D22">
        <f t="shared" si="1"/>
        <v>-2.4273671298981947E-2</v>
      </c>
      <c r="E22">
        <f t="shared" si="2"/>
        <v>5.8921111833101997E-4</v>
      </c>
    </row>
    <row r="23" spans="1:5" x14ac:dyDescent="0.25">
      <c r="A23">
        <v>1.6095728884375</v>
      </c>
      <c r="B23">
        <v>0.25504833050337505</v>
      </c>
      <c r="C23">
        <f t="shared" si="0"/>
        <v>0.28867537121628006</v>
      </c>
      <c r="D23">
        <f t="shared" si="1"/>
        <v>-3.362704071290501E-2</v>
      </c>
      <c r="E23">
        <f t="shared" si="2"/>
        <v>1.1307778671073711E-3</v>
      </c>
    </row>
    <row r="24" spans="1:5" x14ac:dyDescent="0.25">
      <c r="A24">
        <v>1.6736306132124998</v>
      </c>
      <c r="B24">
        <v>0.21973394627983078</v>
      </c>
      <c r="C24">
        <f t="shared" si="0"/>
        <v>0.21763881967676149</v>
      </c>
      <c r="D24">
        <f t="shared" si="1"/>
        <v>2.0951266030692917E-3</v>
      </c>
      <c r="E24">
        <f t="shared" si="2"/>
        <v>4.3895554828886692E-6</v>
      </c>
    </row>
    <row r="25" spans="1:5" x14ac:dyDescent="0.25">
      <c r="A25">
        <v>1.7376883379874999</v>
      </c>
      <c r="B25">
        <v>0.1726481006484385</v>
      </c>
      <c r="C25">
        <f t="shared" si="0"/>
        <v>0.15908421465814451</v>
      </c>
      <c r="D25">
        <f t="shared" si="1"/>
        <v>1.3563885990293983E-2</v>
      </c>
      <c r="E25">
        <f t="shared" si="2"/>
        <v>1.8397900315769339E-4</v>
      </c>
    </row>
    <row r="26" spans="1:5" x14ac:dyDescent="0.25">
      <c r="A26">
        <v>1.8017460627624999</v>
      </c>
      <c r="B26">
        <v>0.11967652431312213</v>
      </c>
      <c r="C26">
        <f t="shared" si="0"/>
        <v>0.11264779608721719</v>
      </c>
      <c r="D26">
        <f t="shared" si="1"/>
        <v>7.0287282259049455E-3</v>
      </c>
      <c r="E26">
        <f t="shared" si="2"/>
        <v>4.9403020473632881E-5</v>
      </c>
    </row>
    <row r="27" spans="1:5" x14ac:dyDescent="0.25">
      <c r="A27">
        <v>1.8658037875375002</v>
      </c>
      <c r="B27">
        <v>9.1228825910822611E-2</v>
      </c>
      <c r="C27">
        <f t="shared" si="0"/>
        <v>7.7206712488032389E-2</v>
      </c>
      <c r="D27">
        <f t="shared" si="1"/>
        <v>1.4022113422790222E-2</v>
      </c>
      <c r="E27">
        <f t="shared" si="2"/>
        <v>1.9661966484159373E-4</v>
      </c>
    </row>
    <row r="28" spans="1:5" x14ac:dyDescent="0.25">
      <c r="A28">
        <v>1.9298615123125</v>
      </c>
      <c r="B28">
        <v>6.4743037743164436E-2</v>
      </c>
      <c r="C28">
        <f t="shared" si="0"/>
        <v>5.1173883593368004E-2</v>
      </c>
      <c r="D28">
        <f t="shared" si="1"/>
        <v>1.3569154149796432E-2</v>
      </c>
      <c r="E28">
        <f t="shared" si="2"/>
        <v>1.8412194434093773E-4</v>
      </c>
    </row>
    <row r="29" spans="1:5" x14ac:dyDescent="0.25">
      <c r="A29">
        <v>1.9939192370874999</v>
      </c>
      <c r="B29">
        <v>4.3162025162109624E-2</v>
      </c>
      <c r="C29">
        <f t="shared" si="0"/>
        <v>3.2773305682959504E-2</v>
      </c>
      <c r="D29">
        <f t="shared" si="1"/>
        <v>1.038871947915012E-2</v>
      </c>
      <c r="E29">
        <f t="shared" si="2"/>
        <v>1.0792549241647314E-4</v>
      </c>
    </row>
    <row r="30" spans="1:5" x14ac:dyDescent="0.25">
      <c r="A30">
        <v>2.0579769618624999</v>
      </c>
      <c r="B30">
        <v>4.2181070044788944E-2</v>
      </c>
      <c r="C30">
        <f t="shared" si="0"/>
        <v>2.0262011378687522E-2</v>
      </c>
      <c r="D30">
        <f t="shared" si="1"/>
        <v>2.1919058666101422E-2</v>
      </c>
      <c r="E30">
        <f t="shared" si="2"/>
        <v>4.8044513280799585E-4</v>
      </c>
    </row>
    <row r="31" spans="1:5" x14ac:dyDescent="0.25">
      <c r="A31">
        <v>2.1220346866374999</v>
      </c>
      <c r="B31">
        <v>2.6485788167658175E-2</v>
      </c>
      <c r="C31">
        <f t="shared" si="0"/>
        <v>1.2082093762681054E-2</v>
      </c>
      <c r="D31">
        <f t="shared" si="1"/>
        <v>1.4403694404977121E-2</v>
      </c>
      <c r="E31">
        <f t="shared" si="2"/>
        <v>2.0746641251196923E-4</v>
      </c>
    </row>
    <row r="32" spans="1:5" x14ac:dyDescent="0.25">
      <c r="A32">
        <v>2.1860924114125</v>
      </c>
      <c r="B32">
        <v>1.9619102346413463E-2</v>
      </c>
      <c r="C32">
        <f t="shared" si="0"/>
        <v>6.9422741215055999E-3</v>
      </c>
      <c r="D32">
        <f t="shared" si="1"/>
        <v>1.2676828224907864E-2</v>
      </c>
      <c r="E32">
        <f t="shared" si="2"/>
        <v>1.6070197384382068E-4</v>
      </c>
    </row>
    <row r="33" spans="1:5" x14ac:dyDescent="0.25">
      <c r="A33">
        <v>2.2501501361875</v>
      </c>
      <c r="B33">
        <v>2.0600057463734136E-2</v>
      </c>
      <c r="C33">
        <f t="shared" si="0"/>
        <v>3.8402544208795777E-3</v>
      </c>
      <c r="D33">
        <f t="shared" si="1"/>
        <v>1.6759803042854557E-2</v>
      </c>
      <c r="E33">
        <f t="shared" si="2"/>
        <v>2.8089099803527687E-4</v>
      </c>
    </row>
    <row r="34" spans="1:5" x14ac:dyDescent="0.25">
      <c r="A34">
        <v>2.3142078609625001</v>
      </c>
      <c r="B34">
        <v>6.866685821244712E-3</v>
      </c>
      <c r="C34">
        <f t="shared" si="0"/>
        <v>2.0432069806873968E-3</v>
      </c>
      <c r="D34">
        <f t="shared" si="1"/>
        <v>4.8234788405573156E-3</v>
      </c>
      <c r="E34">
        <f t="shared" si="2"/>
        <v>2.3265948125304144E-5</v>
      </c>
    </row>
    <row r="35" spans="1:5" x14ac:dyDescent="0.25">
      <c r="A35">
        <v>2.3782655857374997</v>
      </c>
      <c r="B35">
        <v>5.8857307039240393E-3</v>
      </c>
      <c r="C35">
        <f t="shared" si="0"/>
        <v>1.0446032402674681E-3</v>
      </c>
      <c r="D35">
        <f t="shared" si="1"/>
        <v>4.8411274636565712E-3</v>
      </c>
      <c r="E35">
        <f t="shared" si="2"/>
        <v>2.3436515119369906E-5</v>
      </c>
    </row>
    <row r="36" spans="1:5" x14ac:dyDescent="0.25">
      <c r="A36">
        <v>2.4423233105125002</v>
      </c>
      <c r="B36">
        <v>2.9428653519620197E-3</v>
      </c>
      <c r="C36">
        <f t="shared" si="0"/>
        <v>5.1270427771591483E-4</v>
      </c>
      <c r="D36">
        <f t="shared" si="1"/>
        <v>2.4301610742461051E-3</v>
      </c>
      <c r="E36">
        <f t="shared" si="2"/>
        <v>5.9056828467809829E-6</v>
      </c>
    </row>
    <row r="37" spans="1:5" x14ac:dyDescent="0.25">
      <c r="A37">
        <v>2.5063810352875002</v>
      </c>
      <c r="B37">
        <v>0</v>
      </c>
      <c r="C37">
        <f t="shared" si="0"/>
        <v>2.4134967861642902E-4</v>
      </c>
      <c r="D37">
        <f t="shared" si="1"/>
        <v>-2.4134967861642902E-4</v>
      </c>
      <c r="E37">
        <f t="shared" si="2"/>
        <v>5.8249667368253574E-8</v>
      </c>
    </row>
    <row r="38" spans="1:5" x14ac:dyDescent="0.25">
      <c r="A38">
        <v>2.5704387600624998</v>
      </c>
      <c r="B38">
        <v>9.8095511732067329E-4</v>
      </c>
      <c r="C38">
        <f t="shared" si="0"/>
        <v>1.0886200824657956E-4</v>
      </c>
      <c r="D38">
        <f t="shared" si="1"/>
        <v>8.7209310907409372E-4</v>
      </c>
      <c r="E38">
        <f t="shared" si="2"/>
        <v>7.6054639089451909E-7</v>
      </c>
    </row>
    <row r="39" spans="1:5" x14ac:dyDescent="0.25">
      <c r="A39">
        <v>2.6344964848374999</v>
      </c>
      <c r="B39">
        <v>9.8095511732067329E-4</v>
      </c>
      <c r="C39">
        <f t="shared" si="0"/>
        <v>4.7004519655253194E-5</v>
      </c>
      <c r="D39">
        <f t="shared" si="1"/>
        <v>9.339505976654201E-4</v>
      </c>
      <c r="E39">
        <f t="shared" si="2"/>
        <v>8.7226371887959543E-7</v>
      </c>
    </row>
    <row r="40" spans="1:5" x14ac:dyDescent="0.25">
      <c r="A40">
        <v>2.6985542096124999</v>
      </c>
      <c r="B40">
        <v>1.9619102346413466E-3</v>
      </c>
      <c r="C40">
        <f t="shared" si="0"/>
        <v>1.9409698511522417E-5</v>
      </c>
      <c r="D40">
        <f t="shared" si="1"/>
        <v>1.9425005361298241E-3</v>
      </c>
      <c r="E40">
        <f t="shared" si="2"/>
        <v>3.7733083328646543E-6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F9010-57EC-4D1C-A5AD-2763D17063E5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0.28019269558750004</v>
      </c>
      <c r="B1">
        <v>8.3528932496499779E-3</v>
      </c>
      <c r="C1">
        <f>$H$3*(1+$H$1)*(A1^($H$1))*EXP(-$H$3*(A1^(1+$H$1)))</f>
        <v>9.1350612355376767E-2</v>
      </c>
      <c r="D1">
        <f>B1-C1</f>
        <v>-8.2997719105726786E-2</v>
      </c>
      <c r="E1">
        <f>D1^2</f>
        <v>6.8886213767531254E-3</v>
      </c>
      <c r="G1" t="s">
        <v>0</v>
      </c>
      <c r="H1">
        <v>2.5846691953153607</v>
      </c>
    </row>
    <row r="2" spans="1:8" x14ac:dyDescent="0.25">
      <c r="A2">
        <v>0.33285280476250001</v>
      </c>
      <c r="B2">
        <v>4.415100717672131E-2</v>
      </c>
      <c r="C2">
        <f t="shared" ref="C2:C40" si="0">$H$3*(1+$H$1)*(A2^($H$1))*EXP(-$H$3*(A2^(1+$H$1)))</f>
        <v>0.1416985432177845</v>
      </c>
      <c r="D2">
        <f t="shared" ref="D2:D40" si="1">B2-C2</f>
        <v>-9.7547536041063185E-2</v>
      </c>
      <c r="E2">
        <f t="shared" ref="E2:E40" si="2">D2^2</f>
        <v>9.5155217876825206E-3</v>
      </c>
    </row>
    <row r="3" spans="1:8" x14ac:dyDescent="0.25">
      <c r="A3">
        <v>0.38551291393749998</v>
      </c>
      <c r="B3">
        <v>0.10142798946003545</v>
      </c>
      <c r="C3">
        <f t="shared" si="0"/>
        <v>0.20522011111854288</v>
      </c>
      <c r="D3">
        <f t="shared" si="1"/>
        <v>-0.10379212165850743</v>
      </c>
      <c r="E3">
        <f t="shared" si="2"/>
        <v>1.0772804518374408E-2</v>
      </c>
      <c r="G3" t="s">
        <v>1</v>
      </c>
      <c r="H3">
        <f>(_xlfn.GAMMA((2+$H$1)/(1+$H$1)))^(1+$H$1)</f>
        <v>0.68790289624974899</v>
      </c>
    </row>
    <row r="4" spans="1:8" x14ac:dyDescent="0.25">
      <c r="A4">
        <v>0.4381730231125</v>
      </c>
      <c r="B4">
        <v>0.20524251984854233</v>
      </c>
      <c r="C4">
        <f t="shared" si="0"/>
        <v>0.28199053294410931</v>
      </c>
      <c r="D4">
        <f t="shared" si="1"/>
        <v>-7.6748013095566975E-2</v>
      </c>
      <c r="E4">
        <f t="shared" si="2"/>
        <v>5.8902575141173202E-3</v>
      </c>
    </row>
    <row r="5" spans="1:8" x14ac:dyDescent="0.25">
      <c r="A5">
        <v>0.49083313228749997</v>
      </c>
      <c r="B5">
        <v>0.32576283673634915</v>
      </c>
      <c r="C5">
        <f t="shared" si="0"/>
        <v>0.37139797383768952</v>
      </c>
      <c r="D5">
        <f t="shared" si="1"/>
        <v>-4.5635137101340373E-2</v>
      </c>
      <c r="E5">
        <f t="shared" si="2"/>
        <v>2.0825657382581328E-3</v>
      </c>
      <c r="G5" t="s">
        <v>2</v>
      </c>
      <c r="H5">
        <f>SUM(E1:E40)</f>
        <v>0.34988358087806481</v>
      </c>
    </row>
    <row r="6" spans="1:8" x14ac:dyDescent="0.25">
      <c r="A6">
        <v>0.5434932414625</v>
      </c>
      <c r="B6">
        <v>0.47253510383734165</v>
      </c>
      <c r="C6">
        <f t="shared" si="0"/>
        <v>0.4720212105239906</v>
      </c>
      <c r="D6">
        <f t="shared" si="1"/>
        <v>5.1389331335105481E-4</v>
      </c>
      <c r="E6">
        <f t="shared" si="2"/>
        <v>2.6408633750692543E-7</v>
      </c>
    </row>
    <row r="7" spans="1:8" x14ac:dyDescent="0.25">
      <c r="A7">
        <v>0.59615335063750008</v>
      </c>
      <c r="B7">
        <v>0.66345837811505537</v>
      </c>
      <c r="C7">
        <f t="shared" si="0"/>
        <v>0.58153072676814377</v>
      </c>
      <c r="D7">
        <f t="shared" si="1"/>
        <v>8.1927651346911601E-2</v>
      </c>
      <c r="E7">
        <f t="shared" si="2"/>
        <v>6.7121400552211065E-3</v>
      </c>
    </row>
    <row r="8" spans="1:8" x14ac:dyDescent="0.25">
      <c r="A8">
        <v>0.64881345981249994</v>
      </c>
      <c r="B8">
        <v>0.8114239156802836</v>
      </c>
      <c r="C8">
        <f t="shared" si="0"/>
        <v>0.69663775280392082</v>
      </c>
      <c r="D8">
        <f t="shared" si="1"/>
        <v>0.11478616287636279</v>
      </c>
      <c r="E8">
        <f t="shared" si="2"/>
        <v>1.3175863187878886E-2</v>
      </c>
    </row>
    <row r="9" spans="1:8" x14ac:dyDescent="0.25">
      <c r="A9">
        <v>0.70147356898750002</v>
      </c>
      <c r="B9">
        <v>0.9880279443871689</v>
      </c>
      <c r="C9">
        <f t="shared" si="0"/>
        <v>0.8131171151289972</v>
      </c>
      <c r="D9">
        <f t="shared" si="1"/>
        <v>0.1749108292581717</v>
      </c>
      <c r="E9">
        <f t="shared" si="2"/>
        <v>3.0593798191781291E-2</v>
      </c>
    </row>
    <row r="10" spans="1:8" x14ac:dyDescent="0.25">
      <c r="A10">
        <v>0.7541336781625001</v>
      </c>
      <c r="B10">
        <v>1.1312204000954542</v>
      </c>
      <c r="C10">
        <f t="shared" si="0"/>
        <v>0.92592770560158966</v>
      </c>
      <c r="D10">
        <f t="shared" si="1"/>
        <v>0.20529269449386456</v>
      </c>
      <c r="E10">
        <f t="shared" si="2"/>
        <v>4.2145090412551205E-2</v>
      </c>
    </row>
    <row r="11" spans="1:8" x14ac:dyDescent="0.25">
      <c r="A11">
        <v>0.80679378733749996</v>
      </c>
      <c r="B11">
        <v>1.2589003397686753</v>
      </c>
      <c r="C11">
        <f t="shared" si="0"/>
        <v>1.0294474941619085</v>
      </c>
      <c r="D11">
        <f t="shared" si="1"/>
        <v>0.22945284560676682</v>
      </c>
      <c r="E11">
        <f t="shared" si="2"/>
        <v>5.264860835704277E-2</v>
      </c>
    </row>
    <row r="12" spans="1:8" x14ac:dyDescent="0.25">
      <c r="A12">
        <v>0.85945389651250004</v>
      </c>
      <c r="B12">
        <v>1.3376561904082322</v>
      </c>
      <c r="C12">
        <f t="shared" si="0"/>
        <v>1.1178274575797449</v>
      </c>
      <c r="D12">
        <f t="shared" si="1"/>
        <v>0.21982873282848736</v>
      </c>
      <c r="E12">
        <f t="shared" si="2"/>
        <v>4.8324671776978474E-2</v>
      </c>
    </row>
    <row r="13" spans="1:8" x14ac:dyDescent="0.25">
      <c r="A13">
        <v>0.91211400568750012</v>
      </c>
      <c r="B13">
        <v>1.2660599625540896</v>
      </c>
      <c r="C13">
        <f t="shared" si="0"/>
        <v>1.1854507932426424</v>
      </c>
      <c r="D13">
        <f t="shared" si="1"/>
        <v>8.0609169311447237E-2</v>
      </c>
      <c r="E13">
        <f t="shared" si="2"/>
        <v>6.497838177081567E-3</v>
      </c>
    </row>
    <row r="14" spans="1:8" x14ac:dyDescent="0.25">
      <c r="A14">
        <v>0.96477411486250009</v>
      </c>
      <c r="B14">
        <v>1.3269167562301107</v>
      </c>
      <c r="C14">
        <f t="shared" si="0"/>
        <v>1.2274620549215038</v>
      </c>
      <c r="D14">
        <f t="shared" si="1"/>
        <v>9.9454701308606897E-2</v>
      </c>
      <c r="E14">
        <f t="shared" si="2"/>
        <v>9.8912376123842152E-3</v>
      </c>
    </row>
    <row r="15" spans="1:8" x14ac:dyDescent="0.25">
      <c r="A15">
        <v>1.0174342240375001</v>
      </c>
      <c r="B15">
        <v>1.2302618486270183</v>
      </c>
      <c r="C15">
        <f t="shared" si="0"/>
        <v>1.2403088376484435</v>
      </c>
      <c r="D15">
        <f t="shared" si="1"/>
        <v>-1.0046989021425201E-2</v>
      </c>
      <c r="E15">
        <f t="shared" si="2"/>
        <v>1.0094198839663852E-4</v>
      </c>
    </row>
    <row r="16" spans="1:8" x14ac:dyDescent="0.25">
      <c r="A16">
        <v>1.0700943332124999</v>
      </c>
      <c r="B16">
        <v>1.1491194570589898</v>
      </c>
      <c r="C16">
        <f t="shared" si="0"/>
        <v>1.2222213039735059</v>
      </c>
      <c r="D16">
        <f t="shared" si="1"/>
        <v>-7.3101846914516155E-2</v>
      </c>
      <c r="E16">
        <f t="shared" si="2"/>
        <v>5.3438800223133548E-3</v>
      </c>
    </row>
    <row r="17" spans="1:5" x14ac:dyDescent="0.25">
      <c r="A17">
        <v>1.1227544423875</v>
      </c>
      <c r="B17">
        <v>1.0560443608486043</v>
      </c>
      <c r="C17">
        <f t="shared" si="0"/>
        <v>1.1735478036309086</v>
      </c>
      <c r="D17">
        <f t="shared" si="1"/>
        <v>-0.11750344278230429</v>
      </c>
      <c r="E17">
        <f t="shared" si="2"/>
        <v>1.3807059065694259E-2</v>
      </c>
    </row>
    <row r="18" spans="1:5" x14ac:dyDescent="0.25">
      <c r="A18">
        <v>1.1754145515625001</v>
      </c>
      <c r="B18">
        <v>0.9880279443871689</v>
      </c>
      <c r="C18">
        <f t="shared" si="0"/>
        <v>1.0968729388234413</v>
      </c>
      <c r="D18">
        <f t="shared" si="1"/>
        <v>-0.10884499443627238</v>
      </c>
      <c r="E18">
        <f t="shared" si="2"/>
        <v>1.1847232813832166E-2</v>
      </c>
    </row>
    <row r="19" spans="1:5" x14ac:dyDescent="0.25">
      <c r="A19">
        <v>1.2280746607375002</v>
      </c>
      <c r="B19">
        <v>0.89256630724831199</v>
      </c>
      <c r="C19">
        <f t="shared" si="0"/>
        <v>0.99686994903043147</v>
      </c>
      <c r="D19">
        <f t="shared" si="1"/>
        <v>-0.10430364178211948</v>
      </c>
      <c r="E19">
        <f t="shared" si="2"/>
        <v>1.0879249689012702E-2</v>
      </c>
    </row>
    <row r="20" spans="1:5" x14ac:dyDescent="0.25">
      <c r="A20">
        <v>1.2807347699125</v>
      </c>
      <c r="B20">
        <v>0.73147479457649101</v>
      </c>
      <c r="C20">
        <f t="shared" si="0"/>
        <v>0.87988034069807775</v>
      </c>
      <c r="D20">
        <f t="shared" si="1"/>
        <v>-0.14840554612158674</v>
      </c>
      <c r="E20">
        <f t="shared" si="2"/>
        <v>2.2024206119646408E-2</v>
      </c>
    </row>
    <row r="21" spans="1:5" x14ac:dyDescent="0.25">
      <c r="A21">
        <v>1.3333948790875001</v>
      </c>
      <c r="B21">
        <v>0.61572755954562697</v>
      </c>
      <c r="C21">
        <f t="shared" si="0"/>
        <v>0.75326348026236867</v>
      </c>
      <c r="D21">
        <f t="shared" si="1"/>
        <v>-0.1375359207167417</v>
      </c>
      <c r="E21">
        <f t="shared" si="2"/>
        <v>1.8916129487401859E-2</v>
      </c>
    </row>
    <row r="22" spans="1:5" x14ac:dyDescent="0.25">
      <c r="A22">
        <v>1.3860549882625</v>
      </c>
      <c r="B22">
        <v>0.54293806122724864</v>
      </c>
      <c r="C22">
        <f t="shared" si="0"/>
        <v>0.62460650297757569</v>
      </c>
      <c r="D22">
        <f t="shared" si="1"/>
        <v>-8.1668441750327059E-2</v>
      </c>
      <c r="E22">
        <f t="shared" si="2"/>
        <v>6.6697343779265643E-3</v>
      </c>
    </row>
    <row r="23" spans="1:5" x14ac:dyDescent="0.25">
      <c r="A23">
        <v>1.4387150974375</v>
      </c>
      <c r="B23">
        <v>0.39855233505472754</v>
      </c>
      <c r="C23">
        <f t="shared" si="0"/>
        <v>0.50091785385980903</v>
      </c>
      <c r="D23">
        <f t="shared" si="1"/>
        <v>-0.10236551880508149</v>
      </c>
      <c r="E23">
        <f t="shared" si="2"/>
        <v>1.0478699440233491E-2</v>
      </c>
    </row>
    <row r="24" spans="1:5" x14ac:dyDescent="0.25">
      <c r="A24">
        <v>1.4913752066124999</v>
      </c>
      <c r="B24">
        <v>0.36633403252036334</v>
      </c>
      <c r="C24">
        <f t="shared" si="0"/>
        <v>0.38793569984503745</v>
      </c>
      <c r="D24">
        <f t="shared" si="1"/>
        <v>-2.1601667324674112E-2</v>
      </c>
      <c r="E24">
        <f t="shared" si="2"/>
        <v>4.666320312058932E-4</v>
      </c>
    </row>
    <row r="25" spans="1:5" x14ac:dyDescent="0.25">
      <c r="A25">
        <v>1.5440353157875002</v>
      </c>
      <c r="B25">
        <v>0.28638491141657069</v>
      </c>
      <c r="C25">
        <f t="shared" si="0"/>
        <v>0.28966092618296718</v>
      </c>
      <c r="D25">
        <f t="shared" si="1"/>
        <v>-3.2760147663964956E-3</v>
      </c>
      <c r="E25">
        <f t="shared" si="2"/>
        <v>1.0732272749647886E-5</v>
      </c>
    </row>
    <row r="26" spans="1:5" x14ac:dyDescent="0.25">
      <c r="A26">
        <v>1.5966954249625003</v>
      </c>
      <c r="B26">
        <v>0.2255281177405494</v>
      </c>
      <c r="C26">
        <f t="shared" si="0"/>
        <v>0.20817736086917363</v>
      </c>
      <c r="D26">
        <f t="shared" si="1"/>
        <v>1.7350756871375772E-2</v>
      </c>
      <c r="E26">
        <f t="shared" si="2"/>
        <v>3.0104876400959359E-4</v>
      </c>
    </row>
    <row r="27" spans="1:5" x14ac:dyDescent="0.25">
      <c r="A27">
        <v>1.6493555341375004</v>
      </c>
      <c r="B27">
        <v>0.16467132406452814</v>
      </c>
      <c r="C27">
        <f t="shared" si="0"/>
        <v>0.14376109334981022</v>
      </c>
      <c r="D27">
        <f t="shared" si="1"/>
        <v>2.0910230714717926E-2</v>
      </c>
      <c r="E27">
        <f t="shared" si="2"/>
        <v>4.3723774854273294E-4</v>
      </c>
    </row>
    <row r="28" spans="1:5" x14ac:dyDescent="0.25">
      <c r="A28">
        <v>1.7020156433125</v>
      </c>
      <c r="B28">
        <v>0.10978088270968543</v>
      </c>
      <c r="C28">
        <f t="shared" si="0"/>
        <v>9.5222625561950991E-2</v>
      </c>
      <c r="D28">
        <f t="shared" si="1"/>
        <v>1.4558257147734441E-2</v>
      </c>
      <c r="E28">
        <f t="shared" si="2"/>
        <v>2.1194285117956093E-4</v>
      </c>
    </row>
    <row r="29" spans="1:5" x14ac:dyDescent="0.25">
      <c r="A29">
        <v>1.7546757524875001</v>
      </c>
      <c r="B29">
        <v>8.1142391568028355E-2</v>
      </c>
      <c r="C29">
        <f t="shared" si="0"/>
        <v>6.0385607551017489E-2</v>
      </c>
      <c r="D29">
        <f t="shared" si="1"/>
        <v>2.0756784017010865E-2</v>
      </c>
      <c r="E29">
        <f t="shared" si="2"/>
        <v>4.3084408272883772E-4</v>
      </c>
    </row>
    <row r="30" spans="1:5" x14ac:dyDescent="0.25">
      <c r="A30">
        <v>1.8073358616625002</v>
      </c>
      <c r="B30">
        <v>6.4436605068728406E-2</v>
      </c>
      <c r="C30">
        <f t="shared" si="0"/>
        <v>3.6593404135567741E-2</v>
      </c>
      <c r="D30">
        <f t="shared" si="1"/>
        <v>2.7843200933160665E-2</v>
      </c>
      <c r="E30">
        <f t="shared" si="2"/>
        <v>7.752438382043589E-4</v>
      </c>
    </row>
    <row r="31" spans="1:5" x14ac:dyDescent="0.25">
      <c r="A31">
        <v>1.8599959708375002</v>
      </c>
      <c r="B31">
        <v>3.9377925319778469E-2</v>
      </c>
      <c r="C31">
        <f t="shared" si="0"/>
        <v>2.1149921146692056E-2</v>
      </c>
      <c r="D31">
        <f t="shared" si="1"/>
        <v>1.8228004173086412E-2</v>
      </c>
      <c r="E31">
        <f t="shared" si="2"/>
        <v>3.3226013613405565E-4</v>
      </c>
    </row>
    <row r="32" spans="1:5" x14ac:dyDescent="0.25">
      <c r="A32">
        <v>1.9126560800125001</v>
      </c>
      <c r="B32">
        <v>3.9377925319778469E-2</v>
      </c>
      <c r="C32">
        <f t="shared" si="0"/>
        <v>1.1635671559999351E-2</v>
      </c>
      <c r="D32">
        <f t="shared" si="1"/>
        <v>2.7742253759779116E-2</v>
      </c>
      <c r="E32">
        <f t="shared" si="2"/>
        <v>7.6963264367197848E-4</v>
      </c>
    </row>
    <row r="33" spans="1:5" x14ac:dyDescent="0.25">
      <c r="A33">
        <v>1.9653161891875</v>
      </c>
      <c r="B33">
        <v>3.3411572998599912E-2</v>
      </c>
      <c r="C33">
        <f t="shared" si="0"/>
        <v>6.0809513313201356E-3</v>
      </c>
      <c r="D33">
        <f t="shared" si="1"/>
        <v>2.7330621667279776E-2</v>
      </c>
      <c r="E33">
        <f t="shared" si="2"/>
        <v>7.4696288071998272E-4</v>
      </c>
    </row>
    <row r="34" spans="1:5" x14ac:dyDescent="0.25">
      <c r="A34">
        <v>2.0179762983625</v>
      </c>
      <c r="B34">
        <v>1.3125975106592823E-2</v>
      </c>
      <c r="C34">
        <f t="shared" si="0"/>
        <v>3.012663590715811E-3</v>
      </c>
      <c r="D34">
        <f t="shared" si="1"/>
        <v>1.0113311515877011E-2</v>
      </c>
      <c r="E34">
        <f t="shared" si="2"/>
        <v>1.0227906981717057E-4</v>
      </c>
    </row>
    <row r="35" spans="1:5" x14ac:dyDescent="0.25">
      <c r="A35">
        <v>2.0706364075375001</v>
      </c>
      <c r="B35">
        <v>9.54616371388569E-3</v>
      </c>
      <c r="C35">
        <f t="shared" si="0"/>
        <v>1.4119264567751507E-3</v>
      </c>
      <c r="D35">
        <f t="shared" si="1"/>
        <v>8.1342372571105402E-3</v>
      </c>
      <c r="E35">
        <f t="shared" si="2"/>
        <v>6.6165815754965206E-5</v>
      </c>
    </row>
    <row r="36" spans="1:5" x14ac:dyDescent="0.25">
      <c r="A36">
        <v>2.1232965167125002</v>
      </c>
      <c r="B36">
        <v>4.773081856942845E-3</v>
      </c>
      <c r="C36">
        <f t="shared" si="0"/>
        <v>6.2462773368270736E-4</v>
      </c>
      <c r="D36">
        <f t="shared" si="1"/>
        <v>4.1484541232601375E-3</v>
      </c>
      <c r="E36">
        <f t="shared" si="2"/>
        <v>1.7209671612794035E-5</v>
      </c>
    </row>
    <row r="37" spans="1:5" x14ac:dyDescent="0.25">
      <c r="A37">
        <v>2.1759566258874998</v>
      </c>
      <c r="B37">
        <v>1.1932704642357113E-3</v>
      </c>
      <c r="C37">
        <f t="shared" si="0"/>
        <v>2.6027126484785243E-4</v>
      </c>
      <c r="D37">
        <f t="shared" si="1"/>
        <v>9.3299919938785877E-4</v>
      </c>
      <c r="E37">
        <f t="shared" si="2"/>
        <v>8.7048750605838541E-7</v>
      </c>
    </row>
    <row r="38" spans="1:5" x14ac:dyDescent="0.25">
      <c r="A38">
        <v>2.2286167350624999</v>
      </c>
      <c r="B38">
        <v>1.1932704642357113E-3</v>
      </c>
      <c r="C38">
        <f t="shared" si="0"/>
        <v>1.0191966743190819E-4</v>
      </c>
      <c r="D38">
        <f t="shared" si="1"/>
        <v>1.0913507968038031E-3</v>
      </c>
      <c r="E38">
        <f t="shared" si="2"/>
        <v>1.191046561684296E-6</v>
      </c>
    </row>
    <row r="39" spans="1:5" x14ac:dyDescent="0.25">
      <c r="A39">
        <v>2.2812768442375</v>
      </c>
      <c r="B39">
        <v>2.3865409284714225E-3</v>
      </c>
      <c r="C39">
        <f t="shared" si="0"/>
        <v>3.7422348360580761E-5</v>
      </c>
      <c r="D39">
        <f t="shared" si="1"/>
        <v>2.3491185801108416E-3</v>
      </c>
      <c r="E39">
        <f t="shared" si="2"/>
        <v>5.5183581034219763E-6</v>
      </c>
    </row>
    <row r="40" spans="1:5" x14ac:dyDescent="0.25">
      <c r="A40">
        <v>2.3339369534125001</v>
      </c>
      <c r="B40">
        <v>1.1932704642357113E-3</v>
      </c>
      <c r="C40">
        <f t="shared" si="0"/>
        <v>1.2854155424394056E-5</v>
      </c>
      <c r="D40">
        <f t="shared" si="1"/>
        <v>1.1804163088113171E-3</v>
      </c>
      <c r="E40">
        <f t="shared" si="2"/>
        <v>1.3933826621077348E-6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A3533-8A35-4091-A1E9-B3CFA3941D34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0.33391175559999997</v>
      </c>
      <c r="B1">
        <v>5.4851374669170607E-3</v>
      </c>
      <c r="C1">
        <f>$H$3*(1+$H$1)*(A1^($H$1))*EXP(-$H$3*(A1^(1+$H$1)))</f>
        <v>9.0314062829563724E-2</v>
      </c>
      <c r="D1">
        <f>B1-C1</f>
        <v>-8.4828925362646662E-2</v>
      </c>
      <c r="E1">
        <f>D1^2</f>
        <v>7.1959465781814783E-3</v>
      </c>
      <c r="G1" t="s">
        <v>0</v>
      </c>
      <c r="H1">
        <v>3.1118729020735816</v>
      </c>
    </row>
    <row r="2" spans="1:8" x14ac:dyDescent="0.25">
      <c r="A2">
        <v>0.37973576879999998</v>
      </c>
      <c r="B2">
        <v>2.879697170131457E-2</v>
      </c>
      <c r="C2">
        <f t="shared" ref="C2:C40" si="0">$H$3*(1+$H$1)*(A2^($H$1))*EXP(-$H$3*(A2^(1+$H$1)))</f>
        <v>0.13406541706718259</v>
      </c>
      <c r="D2">
        <f t="shared" ref="D2:D40" si="1">B2-C2</f>
        <v>-0.10526844536586802</v>
      </c>
      <c r="E2">
        <f t="shared" ref="E2:E40" si="2">D2^2</f>
        <v>1.108144558974674E-2</v>
      </c>
    </row>
    <row r="3" spans="1:8" x14ac:dyDescent="0.25">
      <c r="A3">
        <v>0.425559782</v>
      </c>
      <c r="B3">
        <v>6.8564218336463256E-2</v>
      </c>
      <c r="C3">
        <f t="shared" si="0"/>
        <v>0.18968623453032923</v>
      </c>
      <c r="D3">
        <f t="shared" si="1"/>
        <v>-0.12112201619386598</v>
      </c>
      <c r="E3">
        <f t="shared" si="2"/>
        <v>1.4670542806867132E-2</v>
      </c>
      <c r="G3" t="s">
        <v>1</v>
      </c>
      <c r="H3">
        <f>(_xlfn.GAMMA((2+$H$1)/(1+$H$1)))^(1+$H$1)</f>
        <v>0.67192694628116811</v>
      </c>
    </row>
    <row r="4" spans="1:8" x14ac:dyDescent="0.25">
      <c r="A4">
        <v>0.47138379520000001</v>
      </c>
      <c r="B4">
        <v>0.15495513344040698</v>
      </c>
      <c r="C4">
        <f t="shared" si="0"/>
        <v>0.25804757353986152</v>
      </c>
      <c r="D4">
        <f t="shared" si="1"/>
        <v>-0.10309244009945454</v>
      </c>
      <c r="E4">
        <f t="shared" si="2"/>
        <v>1.0628051205659621E-2</v>
      </c>
    </row>
    <row r="5" spans="1:8" x14ac:dyDescent="0.25">
      <c r="A5">
        <v>0.51720780840000002</v>
      </c>
      <c r="B5">
        <v>0.26465788277874819</v>
      </c>
      <c r="C5">
        <f t="shared" si="0"/>
        <v>0.33956810051772179</v>
      </c>
      <c r="D5">
        <f t="shared" si="1"/>
        <v>-7.4910217738973606E-2</v>
      </c>
      <c r="E5">
        <f t="shared" si="2"/>
        <v>5.6115407217004355E-3</v>
      </c>
      <c r="G5" t="s">
        <v>2</v>
      </c>
      <c r="H5">
        <f>SUM(E1:E40)</f>
        <v>0.54634019008855628</v>
      </c>
    </row>
    <row r="6" spans="1:8" x14ac:dyDescent="0.25">
      <c r="A6">
        <v>0.56303182159999998</v>
      </c>
      <c r="B6">
        <v>0.40727145691859179</v>
      </c>
      <c r="C6">
        <f t="shared" si="0"/>
        <v>0.43406239262926871</v>
      </c>
      <c r="D6">
        <f t="shared" si="1"/>
        <v>-2.6790935710676922E-2</v>
      </c>
      <c r="E6">
        <f t="shared" si="2"/>
        <v>7.177542362536239E-4</v>
      </c>
    </row>
    <row r="7" spans="1:8" x14ac:dyDescent="0.25">
      <c r="A7">
        <v>0.60885583479999994</v>
      </c>
      <c r="B7">
        <v>0.54851374669170605</v>
      </c>
      <c r="C7">
        <f t="shared" si="0"/>
        <v>0.54058210516354466</v>
      </c>
      <c r="D7">
        <f t="shared" si="1"/>
        <v>7.9316415281613928E-3</v>
      </c>
      <c r="E7">
        <f t="shared" si="2"/>
        <v>6.2910937331254395E-5</v>
      </c>
    </row>
    <row r="8" spans="1:8" x14ac:dyDescent="0.25">
      <c r="A8">
        <v>0.65467984800000001</v>
      </c>
      <c r="B8">
        <v>0.78163208903568115</v>
      </c>
      <c r="C8">
        <f t="shared" si="0"/>
        <v>0.65726634547295038</v>
      </c>
      <c r="D8">
        <f t="shared" si="1"/>
        <v>0.12436574356273078</v>
      </c>
      <c r="E8">
        <f t="shared" si="2"/>
        <v>1.5466838171910913E-2</v>
      </c>
    </row>
    <row r="9" spans="1:8" x14ac:dyDescent="0.25">
      <c r="A9">
        <v>0.70050386120000008</v>
      </c>
      <c r="B9">
        <v>0.99692373461217587</v>
      </c>
      <c r="C9">
        <f t="shared" si="0"/>
        <v>0.78122403258479589</v>
      </c>
      <c r="D9">
        <f t="shared" si="1"/>
        <v>0.21569970202737998</v>
      </c>
      <c r="E9">
        <f t="shared" si="2"/>
        <v>4.6526361454700509E-2</v>
      </c>
    </row>
    <row r="10" spans="1:8" x14ac:dyDescent="0.25">
      <c r="A10">
        <v>0.74632787440000004</v>
      </c>
      <c r="B10">
        <v>1.0778295122492025</v>
      </c>
      <c r="C10">
        <f t="shared" si="0"/>
        <v>0.90847667316697689</v>
      </c>
      <c r="D10">
        <f t="shared" si="1"/>
        <v>0.16935283908222565</v>
      </c>
      <c r="E10">
        <f t="shared" si="2"/>
        <v>2.8680384105210215E-2</v>
      </c>
    </row>
    <row r="11" spans="1:8" x14ac:dyDescent="0.25">
      <c r="A11">
        <v>0.7921518876000001</v>
      </c>
      <c r="B11">
        <v>1.3013488640260726</v>
      </c>
      <c r="C11">
        <f t="shared" si="0"/>
        <v>1.0339932093167437</v>
      </c>
      <c r="D11">
        <f t="shared" si="1"/>
        <v>0.26735565470932898</v>
      </c>
      <c r="E11">
        <f t="shared" si="2"/>
        <v>7.1479046105053942E-2</v>
      </c>
    </row>
    <row r="12" spans="1:8" x14ac:dyDescent="0.25">
      <c r="A12">
        <v>0.83797590080000006</v>
      </c>
      <c r="B12">
        <v>1.4439624381659164</v>
      </c>
      <c r="C12">
        <f t="shared" si="0"/>
        <v>1.1518473493793127</v>
      </c>
      <c r="D12">
        <f t="shared" si="1"/>
        <v>0.29211508878660375</v>
      </c>
      <c r="E12">
        <f t="shared" si="2"/>
        <v>8.5331225096805394E-2</v>
      </c>
    </row>
    <row r="13" spans="1:8" x14ac:dyDescent="0.25">
      <c r="A13">
        <v>0.88379991400000002</v>
      </c>
      <c r="B13">
        <v>1.47413069423396</v>
      </c>
      <c r="C13">
        <f t="shared" si="0"/>
        <v>1.255519977464151</v>
      </c>
      <c r="D13">
        <f t="shared" si="1"/>
        <v>0.21861071676980903</v>
      </c>
      <c r="E13">
        <f t="shared" si="2"/>
        <v>4.7790645486609662E-2</v>
      </c>
    </row>
    <row r="14" spans="1:8" x14ac:dyDescent="0.25">
      <c r="A14">
        <v>0.92962392719999998</v>
      </c>
      <c r="B14">
        <v>1.498813812835087</v>
      </c>
      <c r="C14">
        <f t="shared" si="0"/>
        <v>1.3383532882349107</v>
      </c>
      <c r="D14">
        <f t="shared" si="1"/>
        <v>0.16046052460017624</v>
      </c>
      <c r="E14">
        <f t="shared" si="2"/>
        <v>2.5747579954963764E-2</v>
      </c>
    </row>
    <row r="15" spans="1:8" x14ac:dyDescent="0.25">
      <c r="A15">
        <v>0.97544794040000005</v>
      </c>
      <c r="B15">
        <v>1.4617891349333967</v>
      </c>
      <c r="C15">
        <f t="shared" si="0"/>
        <v>1.3941390085115934</v>
      </c>
      <c r="D15">
        <f t="shared" si="1"/>
        <v>6.7650126421803236E-2</v>
      </c>
      <c r="E15">
        <f t="shared" si="2"/>
        <v>4.57653960488596E-3</v>
      </c>
    </row>
    <row r="16" spans="1:8" x14ac:dyDescent="0.25">
      <c r="A16">
        <v>1.0212719536000001</v>
      </c>
      <c r="B16">
        <v>1.3630566605288896</v>
      </c>
      <c r="C16">
        <f t="shared" si="0"/>
        <v>1.4177924786875067</v>
      </c>
      <c r="D16">
        <f t="shared" si="1"/>
        <v>-5.4735818158617056E-2</v>
      </c>
      <c r="E16">
        <f t="shared" si="2"/>
        <v>2.9960097894931926E-3</v>
      </c>
    </row>
    <row r="17" spans="1:5" x14ac:dyDescent="0.25">
      <c r="A17">
        <v>1.0670959668000002</v>
      </c>
      <c r="B17">
        <v>1.3397448262944922</v>
      </c>
      <c r="C17">
        <f t="shared" si="0"/>
        <v>1.4060323574109179</v>
      </c>
      <c r="D17">
        <f t="shared" si="1"/>
        <v>-6.6287531116425713E-2</v>
      </c>
      <c r="E17">
        <f t="shared" si="2"/>
        <v>4.3940367815111072E-3</v>
      </c>
    </row>
    <row r="18" spans="1:5" x14ac:dyDescent="0.25">
      <c r="A18">
        <v>1.11291998</v>
      </c>
      <c r="B18">
        <v>1.2643241861243826</v>
      </c>
      <c r="C18">
        <f t="shared" si="0"/>
        <v>1.3579599432865583</v>
      </c>
      <c r="D18">
        <f t="shared" si="1"/>
        <v>-9.3635757162175759E-2</v>
      </c>
      <c r="E18">
        <f t="shared" si="2"/>
        <v>8.7676550193339486E-3</v>
      </c>
    </row>
    <row r="19" spans="1:5" x14ac:dyDescent="0.25">
      <c r="A19">
        <v>1.1587439932000001</v>
      </c>
      <c r="B19">
        <v>1.1066264839505171</v>
      </c>
      <c r="C19">
        <f t="shared" si="0"/>
        <v>1.2754218496357801</v>
      </c>
      <c r="D19">
        <f t="shared" si="1"/>
        <v>-0.16879536568526299</v>
      </c>
      <c r="E19">
        <f t="shared" si="2"/>
        <v>2.8491875476821658E-2</v>
      </c>
    </row>
    <row r="20" spans="1:5" x14ac:dyDescent="0.25">
      <c r="A20">
        <v>1.2045680064000002</v>
      </c>
      <c r="B20">
        <v>1.0517751092813465</v>
      </c>
      <c r="C20">
        <f t="shared" si="0"/>
        <v>1.1630534778443717</v>
      </c>
      <c r="D20">
        <f t="shared" si="1"/>
        <v>-0.1112783685630252</v>
      </c>
      <c r="E20">
        <f t="shared" si="2"/>
        <v>1.2382875310048475E-2</v>
      </c>
    </row>
    <row r="21" spans="1:5" x14ac:dyDescent="0.25">
      <c r="A21">
        <v>1.2503920196</v>
      </c>
      <c r="B21">
        <v>0.78985979523605676</v>
      </c>
      <c r="C21">
        <f t="shared" si="0"/>
        <v>1.0279426958692366</v>
      </c>
      <c r="D21">
        <f t="shared" si="1"/>
        <v>-0.23808290063317983</v>
      </c>
      <c r="E21">
        <f t="shared" si="2"/>
        <v>5.6683467573908582E-2</v>
      </c>
    </row>
    <row r="22" spans="1:5" x14ac:dyDescent="0.25">
      <c r="A22">
        <v>1.2962160328000003</v>
      </c>
      <c r="B22">
        <v>0.7171817237994057</v>
      </c>
      <c r="C22">
        <f t="shared" si="0"/>
        <v>0.87892016418031405</v>
      </c>
      <c r="D22">
        <f t="shared" si="1"/>
        <v>-0.16173844038090834</v>
      </c>
      <c r="E22">
        <f t="shared" si="2"/>
        <v>2.6159323096848642E-2</v>
      </c>
    </row>
    <row r="23" spans="1:5" x14ac:dyDescent="0.25">
      <c r="A23">
        <v>1.3420400460000002</v>
      </c>
      <c r="B23">
        <v>0.61982053376162793</v>
      </c>
      <c r="C23">
        <f t="shared" si="0"/>
        <v>0.72556251407076777</v>
      </c>
      <c r="D23">
        <f t="shared" si="1"/>
        <v>-0.10574198030913984</v>
      </c>
      <c r="E23">
        <f t="shared" si="2"/>
        <v>1.1181366399698517E-2</v>
      </c>
    </row>
    <row r="24" spans="1:5" x14ac:dyDescent="0.25">
      <c r="A24">
        <v>1.3878640592</v>
      </c>
      <c r="B24">
        <v>0.46897925342140873</v>
      </c>
      <c r="C24">
        <f t="shared" si="0"/>
        <v>0.57706694495358013</v>
      </c>
      <c r="D24">
        <f t="shared" si="1"/>
        <v>-0.1080876915321714</v>
      </c>
      <c r="E24">
        <f t="shared" si="2"/>
        <v>1.1682949060753837E-2</v>
      </c>
    </row>
    <row r="25" spans="1:5" x14ac:dyDescent="0.25">
      <c r="A25">
        <v>1.4336880723999998</v>
      </c>
      <c r="B25">
        <v>0.40864274128532102</v>
      </c>
      <c r="C25">
        <f t="shared" si="0"/>
        <v>0.44119802574118594</v>
      </c>
      <c r="D25">
        <f t="shared" si="1"/>
        <v>-3.2555284455864919E-2</v>
      </c>
      <c r="E25">
        <f t="shared" si="2"/>
        <v>1.05984654600228E-3</v>
      </c>
    </row>
    <row r="26" spans="1:5" x14ac:dyDescent="0.25">
      <c r="A26">
        <v>1.4795120856000001</v>
      </c>
      <c r="B26">
        <v>0.32499439491483584</v>
      </c>
      <c r="C26">
        <f t="shared" si="0"/>
        <v>0.32350216910244156</v>
      </c>
      <c r="D26">
        <f t="shared" si="1"/>
        <v>1.4922258123942767E-3</v>
      </c>
      <c r="E26">
        <f t="shared" si="2"/>
        <v>2.226737875175759E-6</v>
      </c>
    </row>
    <row r="27" spans="1:5" x14ac:dyDescent="0.25">
      <c r="A27">
        <v>1.5253360988</v>
      </c>
      <c r="B27">
        <v>0.24134604854435068</v>
      </c>
      <c r="C27">
        <f t="shared" si="0"/>
        <v>0.22692828976597856</v>
      </c>
      <c r="D27">
        <f t="shared" si="1"/>
        <v>1.4417758778372119E-2</v>
      </c>
      <c r="E27">
        <f t="shared" si="2"/>
        <v>2.0787176819132632E-4</v>
      </c>
    </row>
    <row r="28" spans="1:5" x14ac:dyDescent="0.25">
      <c r="A28">
        <v>1.5711601120000001</v>
      </c>
      <c r="B28">
        <v>0.17963825204153375</v>
      </c>
      <c r="C28">
        <f t="shared" si="0"/>
        <v>0.15189782129195054</v>
      </c>
      <c r="D28">
        <f t="shared" si="1"/>
        <v>2.7740430749583211E-2</v>
      </c>
      <c r="E28">
        <f t="shared" si="2"/>
        <v>7.6953149817242177E-4</v>
      </c>
    </row>
    <row r="29" spans="1:5" x14ac:dyDescent="0.25">
      <c r="A29">
        <v>1.6169841252000001</v>
      </c>
      <c r="B29">
        <v>0.13164329920600945</v>
      </c>
      <c r="C29">
        <f t="shared" si="0"/>
        <v>9.6761459740958192E-2</v>
      </c>
      <c r="D29">
        <f t="shared" si="1"/>
        <v>3.4881839465051259E-2</v>
      </c>
      <c r="E29">
        <f t="shared" si="2"/>
        <v>1.2167427244656076E-3</v>
      </c>
    </row>
    <row r="30" spans="1:5" x14ac:dyDescent="0.25">
      <c r="A30">
        <v>1.6628081384</v>
      </c>
      <c r="B30">
        <v>9.4618621304319306E-2</v>
      </c>
      <c r="C30">
        <f t="shared" si="0"/>
        <v>5.8496676616071726E-2</v>
      </c>
      <c r="D30">
        <f t="shared" si="1"/>
        <v>3.612194468824758E-2</v>
      </c>
      <c r="E30">
        <f t="shared" si="2"/>
        <v>1.3047948880608176E-3</v>
      </c>
    </row>
    <row r="31" spans="1:5" x14ac:dyDescent="0.25">
      <c r="A31">
        <v>1.7086321516</v>
      </c>
      <c r="B31">
        <v>5.4851374669170609E-2</v>
      </c>
      <c r="C31">
        <f t="shared" si="0"/>
        <v>3.3464304492472292E-2</v>
      </c>
      <c r="D31">
        <f t="shared" si="1"/>
        <v>2.1387070176698317E-2</v>
      </c>
      <c r="E31">
        <f t="shared" si="2"/>
        <v>4.5740677074301855E-4</v>
      </c>
    </row>
    <row r="32" spans="1:5" x14ac:dyDescent="0.25">
      <c r="A32">
        <v>1.7544561648000001</v>
      </c>
      <c r="B32">
        <v>4.9366237202253548E-2</v>
      </c>
      <c r="C32">
        <f t="shared" si="0"/>
        <v>1.8061447124701351E-2</v>
      </c>
      <c r="D32">
        <f t="shared" si="1"/>
        <v>3.13047900775522E-2</v>
      </c>
      <c r="E32">
        <f t="shared" si="2"/>
        <v>9.7998988179961066E-4</v>
      </c>
    </row>
    <row r="33" spans="1:5" x14ac:dyDescent="0.25">
      <c r="A33">
        <v>1.800280178</v>
      </c>
      <c r="B33">
        <v>4.7994952835524282E-2</v>
      </c>
      <c r="C33">
        <f t="shared" si="0"/>
        <v>9.1684614908617724E-3</v>
      </c>
      <c r="D33">
        <f t="shared" si="1"/>
        <v>3.8826491344662512E-2</v>
      </c>
      <c r="E33">
        <f t="shared" si="2"/>
        <v>1.507496430137153E-3</v>
      </c>
    </row>
    <row r="34" spans="1:5" x14ac:dyDescent="0.25">
      <c r="A34">
        <v>1.8461041912000002</v>
      </c>
      <c r="B34">
        <v>2.1940549867668243E-2</v>
      </c>
      <c r="C34">
        <f t="shared" si="0"/>
        <v>4.3633662200085266E-3</v>
      </c>
      <c r="D34">
        <f t="shared" si="1"/>
        <v>1.7577183647659717E-2</v>
      </c>
      <c r="E34">
        <f t="shared" si="2"/>
        <v>3.0895738498355616E-4</v>
      </c>
    </row>
    <row r="35" spans="1:5" x14ac:dyDescent="0.25">
      <c r="A35">
        <v>1.8919282044000001</v>
      </c>
      <c r="B35">
        <v>1.3712843667292652E-2</v>
      </c>
      <c r="C35">
        <f t="shared" si="0"/>
        <v>1.940401237280758E-3</v>
      </c>
      <c r="D35">
        <f t="shared" si="1"/>
        <v>1.1772442430011895E-2</v>
      </c>
      <c r="E35">
        <f t="shared" si="2"/>
        <v>1.3859040076794437E-4</v>
      </c>
    </row>
    <row r="36" spans="1:5" x14ac:dyDescent="0.25">
      <c r="A36">
        <v>1.9377522176000004</v>
      </c>
      <c r="B36">
        <v>8.2277062003755907E-3</v>
      </c>
      <c r="C36">
        <f t="shared" si="0"/>
        <v>8.0357239427139506E-4</v>
      </c>
      <c r="D36">
        <f t="shared" si="1"/>
        <v>7.4241338061041958E-3</v>
      </c>
      <c r="E36">
        <f t="shared" si="2"/>
        <v>5.5117762770939172E-5</v>
      </c>
    </row>
    <row r="37" spans="1:5" x14ac:dyDescent="0.25">
      <c r="A37">
        <v>1.9835762308000002</v>
      </c>
      <c r="B37">
        <v>4.1138531001877953E-3</v>
      </c>
      <c r="C37">
        <f t="shared" si="0"/>
        <v>3.0881377087505992E-4</v>
      </c>
      <c r="D37">
        <f t="shared" si="1"/>
        <v>3.8050393293127356E-3</v>
      </c>
      <c r="E37">
        <f t="shared" si="2"/>
        <v>1.4478324297616712E-5</v>
      </c>
    </row>
    <row r="38" spans="1:5" x14ac:dyDescent="0.25">
      <c r="A38">
        <v>2.0294002440000001</v>
      </c>
      <c r="B38">
        <v>1.3712843667292652E-3</v>
      </c>
      <c r="C38">
        <f t="shared" si="0"/>
        <v>1.0973291552417763E-4</v>
      </c>
      <c r="D38">
        <f t="shared" si="1"/>
        <v>1.2615514512050875E-3</v>
      </c>
      <c r="E38">
        <f t="shared" si="2"/>
        <v>1.5915120640376621E-6</v>
      </c>
    </row>
    <row r="39" spans="1:5" x14ac:dyDescent="0.25">
      <c r="A39">
        <v>2.0752242572000004</v>
      </c>
      <c r="B39">
        <v>2.7425687334585304E-3</v>
      </c>
      <c r="C39">
        <f t="shared" si="0"/>
        <v>3.5919655409857903E-5</v>
      </c>
      <c r="D39">
        <f t="shared" si="1"/>
        <v>2.7066490780486723E-3</v>
      </c>
      <c r="E39">
        <f t="shared" si="2"/>
        <v>7.3259492317017278E-6</v>
      </c>
    </row>
    <row r="40" spans="1:5" x14ac:dyDescent="0.25">
      <c r="A40">
        <v>2.1210482704000002</v>
      </c>
      <c r="B40">
        <v>1.3712843667292652E-3</v>
      </c>
      <c r="C40">
        <f t="shared" si="0"/>
        <v>1.0790083507793284E-5</v>
      </c>
      <c r="D40">
        <f t="shared" si="1"/>
        <v>1.360494283221472E-3</v>
      </c>
      <c r="E40">
        <f t="shared" si="2"/>
        <v>1.8509446946783068E-6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D3D29-E02D-4BD7-B8D8-FFF6872DA5D6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0.41522541186249995</v>
      </c>
      <c r="B1">
        <v>1.679744202688376E-3</v>
      </c>
      <c r="C1">
        <f>$H$3*(1+$H$1)*(A1^($H$1))*EXP(-$H$3*(A1^(1+$H$1)))</f>
        <v>9.5744489807584973E-2</v>
      </c>
      <c r="D1">
        <f>B1-C1</f>
        <v>-9.4064745604896596E-2</v>
      </c>
      <c r="E1">
        <f>D1^2</f>
        <v>8.8481763657139133E-3</v>
      </c>
      <c r="G1" t="s">
        <v>0</v>
      </c>
      <c r="H1">
        <v>4.0069356884486922</v>
      </c>
    </row>
    <row r="2" spans="1:8" x14ac:dyDescent="0.25">
      <c r="A2">
        <v>0.45263218158749996</v>
      </c>
      <c r="B2">
        <v>2.3516418837637266E-2</v>
      </c>
      <c r="C2">
        <f t="shared" ref="C2:C40" si="0">$H$3*(1+$H$1)*(A2^($H$1))*EXP(-$H$3*(A2^(1+$H$1)))</f>
        <v>0.13469205673183035</v>
      </c>
      <c r="D2">
        <f t="shared" ref="D2:D40" si="1">B2-C2</f>
        <v>-0.11117563789419309</v>
      </c>
      <c r="E2">
        <f t="shared" ref="E2:E40" si="2">D2^2</f>
        <v>1.2360022461180743E-2</v>
      </c>
    </row>
    <row r="3" spans="1:8" x14ac:dyDescent="0.25">
      <c r="A3">
        <v>0.49003895131249997</v>
      </c>
      <c r="B3">
        <v>4.7032837675274532E-2</v>
      </c>
      <c r="C3">
        <f t="shared" si="0"/>
        <v>0.18403825844645258</v>
      </c>
      <c r="D3">
        <f t="shared" si="1"/>
        <v>-0.13700542077117805</v>
      </c>
      <c r="E3">
        <f t="shared" si="2"/>
        <v>1.8770485320687546E-2</v>
      </c>
      <c r="G3" t="s">
        <v>1</v>
      </c>
      <c r="H3">
        <f>(_xlfn.GAMMA((2+$H$1)/(1+$H$1)))^(1+$H$1)</f>
        <v>0.65242349453061099</v>
      </c>
    </row>
    <row r="4" spans="1:8" x14ac:dyDescent="0.25">
      <c r="A4">
        <v>0.52744572103750009</v>
      </c>
      <c r="B4">
        <v>8.5666954337107179E-2</v>
      </c>
      <c r="C4">
        <f t="shared" si="0"/>
        <v>0.24511534138997371</v>
      </c>
      <c r="D4">
        <f t="shared" si="1"/>
        <v>-0.15944838705286651</v>
      </c>
      <c r="E4">
        <f t="shared" si="2"/>
        <v>2.5423788133760731E-2</v>
      </c>
    </row>
    <row r="5" spans="1:8" x14ac:dyDescent="0.25">
      <c r="A5">
        <v>0.5648524907625001</v>
      </c>
      <c r="B5">
        <v>0.22340597895755401</v>
      </c>
      <c r="C5">
        <f t="shared" si="0"/>
        <v>0.3190752810668453</v>
      </c>
      <c r="D5">
        <f t="shared" si="1"/>
        <v>-9.5669302109291282E-2</v>
      </c>
      <c r="E5">
        <f t="shared" si="2"/>
        <v>9.1526153660788454E-3</v>
      </c>
      <c r="G5" t="s">
        <v>2</v>
      </c>
      <c r="H5">
        <f>SUM(E1:E40)</f>
        <v>0.9501010136137964</v>
      </c>
    </row>
    <row r="6" spans="1:8" x14ac:dyDescent="0.25">
      <c r="A6">
        <v>0.6022592604875</v>
      </c>
      <c r="B6">
        <v>0.34266781734842872</v>
      </c>
      <c r="C6">
        <f t="shared" si="0"/>
        <v>0.40675812891554858</v>
      </c>
      <c r="D6">
        <f t="shared" si="1"/>
        <v>-6.4090311567119862E-2</v>
      </c>
      <c r="E6">
        <f t="shared" si="2"/>
        <v>4.1075680367704979E-3</v>
      </c>
    </row>
    <row r="7" spans="1:8" x14ac:dyDescent="0.25">
      <c r="A7">
        <v>0.6396660302124999</v>
      </c>
      <c r="B7">
        <v>0.51064223761726635</v>
      </c>
      <c r="C7">
        <f t="shared" si="0"/>
        <v>0.50853198558358748</v>
      </c>
      <c r="D7">
        <f t="shared" si="1"/>
        <v>2.1102520336788722E-3</v>
      </c>
      <c r="E7">
        <f t="shared" si="2"/>
        <v>4.4531636456458162E-6</v>
      </c>
    </row>
    <row r="8" spans="1:8" x14ac:dyDescent="0.25">
      <c r="A8">
        <v>0.67707279993749991</v>
      </c>
      <c r="B8">
        <v>0.68533563469685743</v>
      </c>
      <c r="C8">
        <f t="shared" si="0"/>
        <v>0.62410847458963314</v>
      </c>
      <c r="D8">
        <f t="shared" si="1"/>
        <v>6.1227160107224288E-2</v>
      </c>
      <c r="E8">
        <f t="shared" si="2"/>
        <v>3.748765134795677E-3</v>
      </c>
    </row>
    <row r="9" spans="1:8" x14ac:dyDescent="0.25">
      <c r="A9">
        <v>0.71447956966250004</v>
      </c>
      <c r="B9">
        <v>0.90034289264096956</v>
      </c>
      <c r="C9">
        <f t="shared" si="0"/>
        <v>0.7523434286405789</v>
      </c>
      <c r="D9">
        <f t="shared" si="1"/>
        <v>0.14799946400039066</v>
      </c>
      <c r="E9">
        <f t="shared" si="2"/>
        <v>2.190384134440293E-2</v>
      </c>
    </row>
    <row r="10" spans="1:8" x14ac:dyDescent="0.25">
      <c r="A10">
        <v>0.75188633938749994</v>
      </c>
      <c r="B10">
        <v>1.1691019650711099</v>
      </c>
      <c r="C10">
        <f t="shared" si="0"/>
        <v>0.89104015381306922</v>
      </c>
      <c r="D10">
        <f t="shared" si="1"/>
        <v>0.27806181125804064</v>
      </c>
      <c r="E10">
        <f t="shared" si="2"/>
        <v>7.7318370880102211E-2</v>
      </c>
    </row>
    <row r="11" spans="1:8" x14ac:dyDescent="0.25">
      <c r="A11">
        <v>0.78929310911249995</v>
      </c>
      <c r="B11">
        <v>1.2866840592592961</v>
      </c>
      <c r="C11">
        <f t="shared" si="0"/>
        <v>1.0367816564528083</v>
      </c>
      <c r="D11">
        <f t="shared" si="1"/>
        <v>0.24990240280648779</v>
      </c>
      <c r="E11">
        <f t="shared" si="2"/>
        <v>6.2451210928456076E-2</v>
      </c>
    </row>
    <row r="12" spans="1:8" x14ac:dyDescent="0.25">
      <c r="A12">
        <v>0.82669987883749996</v>
      </c>
      <c r="B12">
        <v>1.4613774563388873</v>
      </c>
      <c r="C12">
        <f t="shared" si="0"/>
        <v>1.1848274708259072</v>
      </c>
      <c r="D12">
        <f t="shared" si="1"/>
        <v>0.27654998551298005</v>
      </c>
      <c r="E12">
        <f t="shared" si="2"/>
        <v>7.6479894487229472E-2</v>
      </c>
    </row>
    <row r="13" spans="1:8" x14ac:dyDescent="0.25">
      <c r="A13">
        <v>0.86410664856249997</v>
      </c>
      <c r="B13">
        <v>1.6831036910937529</v>
      </c>
      <c r="C13">
        <f t="shared" si="0"/>
        <v>1.3291181934225402</v>
      </c>
      <c r="D13">
        <f t="shared" si="1"/>
        <v>0.35398549767121268</v>
      </c>
      <c r="E13">
        <f t="shared" si="2"/>
        <v>0.12530573256153613</v>
      </c>
    </row>
    <row r="14" spans="1:8" x14ac:dyDescent="0.25">
      <c r="A14">
        <v>0.90151341828749998</v>
      </c>
      <c r="B14">
        <v>1.7704503896335484</v>
      </c>
      <c r="C14">
        <f t="shared" si="0"/>
        <v>1.4624335514658573</v>
      </c>
      <c r="D14">
        <f t="shared" si="1"/>
        <v>0.3080168381676911</v>
      </c>
      <c r="E14">
        <f t="shared" si="2"/>
        <v>9.4874372594821607E-2</v>
      </c>
    </row>
    <row r="15" spans="1:8" x14ac:dyDescent="0.25">
      <c r="A15">
        <v>0.93892018801249999</v>
      </c>
      <c r="B15">
        <v>1.8510781113625905</v>
      </c>
      <c r="C15">
        <f t="shared" si="0"/>
        <v>1.5767441498903587</v>
      </c>
      <c r="D15">
        <f t="shared" si="1"/>
        <v>0.27433396147223177</v>
      </c>
      <c r="E15">
        <f t="shared" si="2"/>
        <v>7.5259122417047949E-2</v>
      </c>
    </row>
    <row r="16" spans="1:8" x14ac:dyDescent="0.25">
      <c r="A16">
        <v>0.9763269577375</v>
      </c>
      <c r="B16">
        <v>1.7738098780389251</v>
      </c>
      <c r="C16">
        <f t="shared" si="0"/>
        <v>1.6637793100693619</v>
      </c>
      <c r="D16">
        <f t="shared" si="1"/>
        <v>0.11003056796956323</v>
      </c>
      <c r="E16">
        <f t="shared" si="2"/>
        <v>1.2106725887704674E-2</v>
      </c>
    </row>
    <row r="17" spans="1:5" x14ac:dyDescent="0.25">
      <c r="A17">
        <v>1.0137337274625</v>
      </c>
      <c r="B17">
        <v>1.6713454816749342</v>
      </c>
      <c r="C17">
        <f t="shared" si="0"/>
        <v>1.7158012959217197</v>
      </c>
      <c r="D17">
        <f t="shared" si="1"/>
        <v>-4.4455814246785463E-2</v>
      </c>
      <c r="E17">
        <f t="shared" si="2"/>
        <v>1.9763194203446933E-3</v>
      </c>
    </row>
    <row r="18" spans="1:5" x14ac:dyDescent="0.25">
      <c r="A18">
        <v>1.0511404971875</v>
      </c>
      <c r="B18">
        <v>1.6175936671889062</v>
      </c>
      <c r="C18">
        <f t="shared" si="0"/>
        <v>1.7265304615090669</v>
      </c>
      <c r="D18">
        <f t="shared" si="1"/>
        <v>-0.10893679432016068</v>
      </c>
      <c r="E18">
        <f t="shared" si="2"/>
        <v>1.1867225156752993E-2</v>
      </c>
    </row>
    <row r="19" spans="1:5" x14ac:dyDescent="0.25">
      <c r="A19">
        <v>1.0885472669125</v>
      </c>
      <c r="B19">
        <v>1.5772798063243851</v>
      </c>
      <c r="C19">
        <f t="shared" si="0"/>
        <v>1.6921121281696647</v>
      </c>
      <c r="D19">
        <f t="shared" si="1"/>
        <v>-0.11483232184527958</v>
      </c>
      <c r="E19">
        <f t="shared" si="2"/>
        <v>1.3186462140377875E-2</v>
      </c>
    </row>
    <row r="20" spans="1:5" x14ac:dyDescent="0.25">
      <c r="A20">
        <v>1.1259540366375</v>
      </c>
      <c r="B20">
        <v>1.4580179679335104</v>
      </c>
      <c r="C20">
        <f t="shared" si="0"/>
        <v>1.6119660316983788</v>
      </c>
      <c r="D20">
        <f t="shared" si="1"/>
        <v>-0.15394806376486847</v>
      </c>
      <c r="E20">
        <f t="shared" si="2"/>
        <v>2.3700006336952007E-2</v>
      </c>
    </row>
    <row r="21" spans="1:5" x14ac:dyDescent="0.25">
      <c r="A21">
        <v>1.1633608063625001</v>
      </c>
      <c r="B21">
        <v>1.2245335237598263</v>
      </c>
      <c r="C21">
        <f t="shared" si="0"/>
        <v>1.4893299648745542</v>
      </c>
      <c r="D21">
        <f t="shared" si="1"/>
        <v>-0.26479644111472789</v>
      </c>
      <c r="E21">
        <f t="shared" si="2"/>
        <v>7.0117155227025552E-2</v>
      </c>
    </row>
    <row r="22" spans="1:5" x14ac:dyDescent="0.25">
      <c r="A22">
        <v>1.2007675760875001</v>
      </c>
      <c r="B22">
        <v>1.1103109179770165</v>
      </c>
      <c r="C22">
        <f t="shared" si="0"/>
        <v>1.3313193582088025</v>
      </c>
      <c r="D22">
        <f t="shared" si="1"/>
        <v>-0.22100844023178601</v>
      </c>
      <c r="E22">
        <f t="shared" si="2"/>
        <v>4.8844730653686927E-2</v>
      </c>
    </row>
    <row r="23" spans="1:5" x14ac:dyDescent="0.25">
      <c r="A23">
        <v>1.2381743458124999</v>
      </c>
      <c r="B23">
        <v>0.85163031076300666</v>
      </c>
      <c r="C23">
        <f t="shared" si="0"/>
        <v>1.1483873692286193</v>
      </c>
      <c r="D23">
        <f t="shared" si="1"/>
        <v>-0.29675705846561262</v>
      </c>
      <c r="E23">
        <f t="shared" si="2"/>
        <v>8.8064751749163034E-2</v>
      </c>
    </row>
    <row r="24" spans="1:5" x14ac:dyDescent="0.25">
      <c r="A24">
        <v>1.2755811155374999</v>
      </c>
      <c r="B24">
        <v>0.78947977526353674</v>
      </c>
      <c r="C24">
        <f t="shared" si="0"/>
        <v>0.95318533243701575</v>
      </c>
      <c r="D24">
        <f t="shared" si="1"/>
        <v>-0.16370555717347901</v>
      </c>
      <c r="E24">
        <f t="shared" si="2"/>
        <v>2.6799509449479206E-2</v>
      </c>
    </row>
    <row r="25" spans="1:5" x14ac:dyDescent="0.25">
      <c r="A25">
        <v>1.3129878852624999</v>
      </c>
      <c r="B25">
        <v>0.61646612238663401</v>
      </c>
      <c r="C25">
        <f t="shared" si="0"/>
        <v>0.75897069603827716</v>
      </c>
      <c r="D25">
        <f t="shared" si="1"/>
        <v>-0.14250457365164315</v>
      </c>
      <c r="E25">
        <f t="shared" si="2"/>
        <v>2.0307553511636586E-2</v>
      </c>
    </row>
    <row r="26" spans="1:5" x14ac:dyDescent="0.25">
      <c r="A26">
        <v>1.3503946549875001</v>
      </c>
      <c r="B26">
        <v>0.51400172602264305</v>
      </c>
      <c r="C26">
        <f t="shared" si="0"/>
        <v>0.57784817110572706</v>
      </c>
      <c r="D26">
        <f t="shared" si="1"/>
        <v>-6.3846445083084014E-2</v>
      </c>
      <c r="E26">
        <f t="shared" si="2"/>
        <v>4.0763685497472628E-3</v>
      </c>
    </row>
    <row r="27" spans="1:5" x14ac:dyDescent="0.25">
      <c r="A27">
        <v>1.3878014247125001</v>
      </c>
      <c r="B27">
        <v>0.419936050672094</v>
      </c>
      <c r="C27">
        <f t="shared" si="0"/>
        <v>0.41920906602621377</v>
      </c>
      <c r="D27">
        <f t="shared" si="1"/>
        <v>7.2698464588022427E-4</v>
      </c>
      <c r="E27">
        <f t="shared" si="2"/>
        <v>5.2850667534559513E-7</v>
      </c>
    </row>
    <row r="28" spans="1:5" x14ac:dyDescent="0.25">
      <c r="A28">
        <v>1.4252081944374999</v>
      </c>
      <c r="B28">
        <v>0.32587037532154495</v>
      </c>
      <c r="C28">
        <f t="shared" si="0"/>
        <v>0.28871266370881588</v>
      </c>
      <c r="D28">
        <f t="shared" si="1"/>
        <v>3.7157711612729072E-2</v>
      </c>
      <c r="E28">
        <f t="shared" si="2"/>
        <v>1.380695532294741E-3</v>
      </c>
    </row>
    <row r="29" spans="1:5" x14ac:dyDescent="0.25">
      <c r="A29">
        <v>1.4626149641624999</v>
      </c>
      <c r="B29">
        <v>0.21668700214680051</v>
      </c>
      <c r="C29">
        <f t="shared" si="0"/>
        <v>0.18802272790065477</v>
      </c>
      <c r="D29">
        <f t="shared" si="1"/>
        <v>2.8664274246145732E-2</v>
      </c>
      <c r="E29">
        <f t="shared" si="2"/>
        <v>8.2164061805825345E-4</v>
      </c>
    </row>
    <row r="30" spans="1:5" x14ac:dyDescent="0.25">
      <c r="A30">
        <v>1.5000217338874999</v>
      </c>
      <c r="B30">
        <v>0.15453646664733059</v>
      </c>
      <c r="C30">
        <f t="shared" si="0"/>
        <v>0.11530665902066592</v>
      </c>
      <c r="D30">
        <f t="shared" si="1"/>
        <v>3.922980762666467E-2</v>
      </c>
      <c r="E30">
        <f t="shared" si="2"/>
        <v>1.5389778064251174E-3</v>
      </c>
    </row>
    <row r="31" spans="1:5" x14ac:dyDescent="0.25">
      <c r="A31">
        <v>1.5374285036124999</v>
      </c>
      <c r="B31">
        <v>0.12262132679625146</v>
      </c>
      <c r="C31">
        <f t="shared" si="0"/>
        <v>6.6295668064548618E-2</v>
      </c>
      <c r="D31">
        <f t="shared" si="1"/>
        <v>5.6325658731702838E-2</v>
      </c>
      <c r="E31">
        <f t="shared" si="2"/>
        <v>3.1725798315602521E-3</v>
      </c>
    </row>
    <row r="32" spans="1:5" x14ac:dyDescent="0.25">
      <c r="A32">
        <v>1.5748352733375002</v>
      </c>
      <c r="B32">
        <v>7.8947977526353671E-2</v>
      </c>
      <c r="C32">
        <f t="shared" si="0"/>
        <v>3.557007281708869E-2</v>
      </c>
      <c r="D32">
        <f t="shared" si="1"/>
        <v>4.3377904709264982E-2</v>
      </c>
      <c r="E32">
        <f t="shared" si="2"/>
        <v>1.8816426169660731E-3</v>
      </c>
    </row>
    <row r="33" spans="1:5" x14ac:dyDescent="0.25">
      <c r="A33">
        <v>1.6122420430625</v>
      </c>
      <c r="B33">
        <v>5.8791047094093163E-2</v>
      </c>
      <c r="C33">
        <f t="shared" si="0"/>
        <v>1.7722626093793586E-2</v>
      </c>
      <c r="D33">
        <f t="shared" si="1"/>
        <v>4.1068421000299574E-2</v>
      </c>
      <c r="E33">
        <f t="shared" si="2"/>
        <v>1.686615203457847E-3</v>
      </c>
    </row>
    <row r="34" spans="1:5" x14ac:dyDescent="0.25">
      <c r="A34">
        <v>1.6496488127875</v>
      </c>
      <c r="B34">
        <v>5.0392326080651285E-2</v>
      </c>
      <c r="C34">
        <f t="shared" si="0"/>
        <v>8.1579408173455478E-3</v>
      </c>
      <c r="D34">
        <f t="shared" si="1"/>
        <v>4.2234385263305738E-2</v>
      </c>
      <c r="E34">
        <f t="shared" si="2"/>
        <v>1.783743298569337E-3</v>
      </c>
    </row>
    <row r="35" spans="1:5" x14ac:dyDescent="0.25">
      <c r="A35">
        <v>1.6870555825125</v>
      </c>
      <c r="B35">
        <v>2.1836674634948889E-2</v>
      </c>
      <c r="C35">
        <f t="shared" si="0"/>
        <v>3.4506104801399892E-3</v>
      </c>
      <c r="D35">
        <f t="shared" si="1"/>
        <v>1.8386064154808899E-2</v>
      </c>
      <c r="E35">
        <f t="shared" si="2"/>
        <v>3.3804735510474868E-4</v>
      </c>
    </row>
    <row r="36" spans="1:5" x14ac:dyDescent="0.25">
      <c r="A36">
        <v>1.7244623522375</v>
      </c>
      <c r="B36">
        <v>2.0156930432260512E-2</v>
      </c>
      <c r="C36">
        <f t="shared" si="0"/>
        <v>1.3335645396353106E-3</v>
      </c>
      <c r="D36">
        <f t="shared" si="1"/>
        <v>1.8823365892625201E-2</v>
      </c>
      <c r="E36">
        <f t="shared" si="2"/>
        <v>3.5431910352764573E-4</v>
      </c>
    </row>
    <row r="37" spans="1:5" x14ac:dyDescent="0.25">
      <c r="A37">
        <v>1.7618691219625</v>
      </c>
      <c r="B37">
        <v>8.3987210134418809E-3</v>
      </c>
      <c r="C37">
        <f t="shared" si="0"/>
        <v>4.6812130304022486E-4</v>
      </c>
      <c r="D37">
        <f t="shared" si="1"/>
        <v>7.9305997104016559E-3</v>
      </c>
      <c r="E37">
        <f t="shared" si="2"/>
        <v>6.2894411766622831E-5</v>
      </c>
    </row>
    <row r="38" spans="1:5" x14ac:dyDescent="0.25">
      <c r="A38">
        <v>1.7992758916875</v>
      </c>
      <c r="B38">
        <v>3.359488405376752E-3</v>
      </c>
      <c r="C38">
        <f t="shared" si="0"/>
        <v>1.483317104630021E-4</v>
      </c>
      <c r="D38">
        <f t="shared" si="1"/>
        <v>3.21115669491375E-3</v>
      </c>
      <c r="E38">
        <f t="shared" si="2"/>
        <v>1.0311527319289398E-5</v>
      </c>
    </row>
    <row r="39" spans="1:5" x14ac:dyDescent="0.25">
      <c r="A39">
        <v>1.8366826614125</v>
      </c>
      <c r="B39">
        <v>3.359488405376752E-3</v>
      </c>
      <c r="C39">
        <f t="shared" si="0"/>
        <v>4.2152649316242808E-5</v>
      </c>
      <c r="D39">
        <f t="shared" si="1"/>
        <v>3.3173357560605092E-3</v>
      </c>
      <c r="E39">
        <f t="shared" si="2"/>
        <v>1.1004716518437549E-5</v>
      </c>
    </row>
    <row r="40" spans="1:5" x14ac:dyDescent="0.25">
      <c r="A40">
        <v>1.8740894311375</v>
      </c>
      <c r="B40">
        <v>1.679744202688376E-3</v>
      </c>
      <c r="C40">
        <f t="shared" si="0"/>
        <v>1.0670671655553945E-5</v>
      </c>
      <c r="D40">
        <f t="shared" si="1"/>
        <v>1.669073531032822E-3</v>
      </c>
      <c r="E40">
        <f t="shared" si="2"/>
        <v>2.7858064519943725E-6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B43FF-B98F-4665-83B4-7E787731F64D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0.57060367324999994</v>
      </c>
      <c r="B1">
        <v>1.4766149038215102E-2</v>
      </c>
      <c r="C1">
        <f>$H$3*(1+$H$1)*(A1^($H$1))*EXP(-$H$3*(A1^(1+$H$1)))</f>
        <v>0.14699338633121617</v>
      </c>
      <c r="D1">
        <f>B1-C1</f>
        <v>-0.13222723729300107</v>
      </c>
      <c r="E1">
        <f>D1^2</f>
        <v>1.7484042282139612E-2</v>
      </c>
      <c r="G1" t="s">
        <v>0</v>
      </c>
      <c r="H1">
        <v>6.0407865406336985</v>
      </c>
    </row>
    <row r="2" spans="1:8" x14ac:dyDescent="0.25">
      <c r="A2">
        <v>0.59613523374999999</v>
      </c>
      <c r="B2">
        <v>2.9532298076430204E-2</v>
      </c>
      <c r="C2">
        <f t="shared" ref="C2:C40" si="0">$H$3*(1+$H$1)*(A2^($H$1))*EXP(-$H$3*(A2^(1+$H$1)))</f>
        <v>0.19065331920722514</v>
      </c>
      <c r="D2">
        <f t="shared" ref="D2:D40" si="1">B2-C2</f>
        <v>-0.16112102113079493</v>
      </c>
      <c r="E2">
        <f t="shared" ref="E2:E40" si="2">D2^2</f>
        <v>2.5959983450230067E-2</v>
      </c>
    </row>
    <row r="3" spans="1:8" x14ac:dyDescent="0.25">
      <c r="A3">
        <v>0.62166679425000004</v>
      </c>
      <c r="B3">
        <v>7.3830745191075506E-2</v>
      </c>
      <c r="C3">
        <f t="shared" si="0"/>
        <v>0.2442399061461587</v>
      </c>
      <c r="D3">
        <f t="shared" si="1"/>
        <v>-0.17040916095508318</v>
      </c>
      <c r="E3">
        <f t="shared" si="2"/>
        <v>2.9039282137415447E-2</v>
      </c>
      <c r="G3" t="s">
        <v>1</v>
      </c>
      <c r="H3">
        <f>(_xlfn.GAMMA((2+$H$1)/(1+$H$1)))^(1+$H$1)</f>
        <v>0.62638867571230306</v>
      </c>
    </row>
    <row r="4" spans="1:8" x14ac:dyDescent="0.25">
      <c r="A4">
        <v>0.64719835474999998</v>
      </c>
      <c r="B4">
        <v>0.10336304326750571</v>
      </c>
      <c r="C4">
        <f t="shared" si="0"/>
        <v>0.30922263662560162</v>
      </c>
      <c r="D4">
        <f t="shared" si="1"/>
        <v>-0.20585959335809589</v>
      </c>
      <c r="E4">
        <f t="shared" si="2"/>
        <v>4.2378172177560597E-2</v>
      </c>
    </row>
    <row r="5" spans="1:8" x14ac:dyDescent="0.25">
      <c r="A5">
        <v>0.67272991525000003</v>
      </c>
      <c r="B5">
        <v>0.23625838461144164</v>
      </c>
      <c r="C5">
        <f t="shared" si="0"/>
        <v>0.38707612273994729</v>
      </c>
      <c r="D5">
        <f t="shared" si="1"/>
        <v>-0.15081773812850566</v>
      </c>
      <c r="E5">
        <f t="shared" si="2"/>
        <v>2.2745990134198511E-2</v>
      </c>
      <c r="G5" t="s">
        <v>2</v>
      </c>
      <c r="H5">
        <f>SUM(E1:E40)</f>
        <v>2.4485366163567499</v>
      </c>
    </row>
    <row r="6" spans="1:8" x14ac:dyDescent="0.25">
      <c r="A6">
        <v>0.69826147574999997</v>
      </c>
      <c r="B6">
        <v>0.36915372595537754</v>
      </c>
      <c r="C6">
        <f t="shared" si="0"/>
        <v>0.47919794556997691</v>
      </c>
      <c r="D6">
        <f t="shared" si="1"/>
        <v>-0.11004421961459937</v>
      </c>
      <c r="E6">
        <f t="shared" si="2"/>
        <v>1.2109730270586178E-2</v>
      </c>
    </row>
    <row r="7" spans="1:8" x14ac:dyDescent="0.25">
      <c r="A7">
        <v>0.72379303624999991</v>
      </c>
      <c r="B7">
        <v>0.56849673797128142</v>
      </c>
      <c r="C7">
        <f t="shared" si="0"/>
        <v>0.58679597912602988</v>
      </c>
      <c r="D7">
        <f t="shared" si="1"/>
        <v>-1.8299241154748458E-2</v>
      </c>
      <c r="E7">
        <f t="shared" si="2"/>
        <v>3.3486222683963969E-4</v>
      </c>
    </row>
    <row r="8" spans="1:8" x14ac:dyDescent="0.25">
      <c r="A8">
        <v>0.74932459674999996</v>
      </c>
      <c r="B8">
        <v>0.77768384934599533</v>
      </c>
      <c r="C8">
        <f t="shared" si="0"/>
        <v>0.71074068385629285</v>
      </c>
      <c r="D8">
        <f t="shared" si="1"/>
        <v>6.6943165489702472E-2</v>
      </c>
      <c r="E8">
        <f t="shared" si="2"/>
        <v>4.481387405781692E-3</v>
      </c>
    </row>
    <row r="9" spans="1:8" x14ac:dyDescent="0.25">
      <c r="A9">
        <v>0.77485615725000001</v>
      </c>
      <c r="B9">
        <v>1.0434745320338672</v>
      </c>
      <c r="C9">
        <f t="shared" si="0"/>
        <v>0.85137979604446967</v>
      </c>
      <c r="D9">
        <f t="shared" si="1"/>
        <v>0.19209473598939752</v>
      </c>
      <c r="E9">
        <f t="shared" si="2"/>
        <v>3.690038759483634E-2</v>
      </c>
    </row>
    <row r="10" spans="1:8" x14ac:dyDescent="0.25">
      <c r="A10">
        <v>0.80038771775000006</v>
      </c>
      <c r="B10">
        <v>1.2477395937291762</v>
      </c>
      <c r="C10">
        <f t="shared" si="0"/>
        <v>1.0083165264532767</v>
      </c>
      <c r="D10">
        <f t="shared" si="1"/>
        <v>0.23942306727589946</v>
      </c>
      <c r="E10">
        <f t="shared" si="2"/>
        <v>5.7323405143799876E-2</v>
      </c>
    </row>
    <row r="11" spans="1:8" x14ac:dyDescent="0.25">
      <c r="A11">
        <v>0.82591927825</v>
      </c>
      <c r="B11">
        <v>1.523374375775858</v>
      </c>
      <c r="C11">
        <f t="shared" si="0"/>
        <v>1.1801583853799036</v>
      </c>
      <c r="D11">
        <f t="shared" si="1"/>
        <v>0.34321599039595441</v>
      </c>
      <c r="E11">
        <f t="shared" si="2"/>
        <v>0.11779721606347587</v>
      </c>
    </row>
    <row r="12" spans="1:8" x14ac:dyDescent="0.25">
      <c r="A12">
        <v>0.85145083875000005</v>
      </c>
      <c r="B12">
        <v>1.8236194062195652</v>
      </c>
      <c r="C12">
        <f t="shared" si="0"/>
        <v>1.3642525268609276</v>
      </c>
      <c r="D12">
        <f t="shared" si="1"/>
        <v>0.45936687935863763</v>
      </c>
      <c r="E12">
        <f t="shared" si="2"/>
        <v>0.21101792985169313</v>
      </c>
    </row>
    <row r="13" spans="1:8" x14ac:dyDescent="0.25">
      <c r="A13">
        <v>0.87698239924999999</v>
      </c>
      <c r="B13">
        <v>1.9958911449987413</v>
      </c>
      <c r="C13">
        <f t="shared" si="0"/>
        <v>1.5564351612399103</v>
      </c>
      <c r="D13">
        <f t="shared" si="1"/>
        <v>0.43945598375883099</v>
      </c>
      <c r="E13">
        <f t="shared" si="2"/>
        <v>0.19312156166144193</v>
      </c>
    </row>
    <row r="14" spans="1:8" x14ac:dyDescent="0.25">
      <c r="A14">
        <v>0.90251395974999993</v>
      </c>
      <c r="B14">
        <v>2.2346105544498855</v>
      </c>
      <c r="C14">
        <f t="shared" si="0"/>
        <v>1.750836533887508</v>
      </c>
      <c r="D14">
        <f t="shared" si="1"/>
        <v>0.4837740205623775</v>
      </c>
      <c r="E14">
        <f t="shared" si="2"/>
        <v>0.23403730297108766</v>
      </c>
    </row>
    <row r="15" spans="1:8" x14ac:dyDescent="0.25">
      <c r="A15">
        <v>0.92804552024999998</v>
      </c>
      <c r="B15">
        <v>2.3305905231982837</v>
      </c>
      <c r="C15">
        <f t="shared" si="0"/>
        <v>1.9397974743529993</v>
      </c>
      <c r="D15">
        <f t="shared" si="1"/>
        <v>0.39079304884528443</v>
      </c>
      <c r="E15">
        <f t="shared" si="2"/>
        <v>0.15271920702579286</v>
      </c>
    </row>
    <row r="16" spans="1:8" x14ac:dyDescent="0.25">
      <c r="A16">
        <v>0.95357708075000014</v>
      </c>
      <c r="B16">
        <v>2.5693099326494275</v>
      </c>
      <c r="C16">
        <f t="shared" si="0"/>
        <v>2.1139652517489154</v>
      </c>
      <c r="D16">
        <f t="shared" si="1"/>
        <v>0.45534468090051217</v>
      </c>
      <c r="E16">
        <f t="shared" si="2"/>
        <v>0.20733877842438925</v>
      </c>
    </row>
    <row r="17" spans="1:5" x14ac:dyDescent="0.25">
      <c r="A17">
        <v>0.97910864125000008</v>
      </c>
      <c r="B17">
        <v>2.6579068268787185</v>
      </c>
      <c r="C17">
        <f t="shared" si="0"/>
        <v>2.262640235604823</v>
      </c>
      <c r="D17">
        <f t="shared" si="1"/>
        <v>0.39526659127389552</v>
      </c>
      <c r="E17">
        <f t="shared" si="2"/>
        <v>0.15623567817728479</v>
      </c>
    </row>
    <row r="18" spans="1:5" x14ac:dyDescent="0.25">
      <c r="A18">
        <v>1.00464020175</v>
      </c>
      <c r="B18">
        <v>2.3527397467556064</v>
      </c>
      <c r="C18">
        <f t="shared" si="0"/>
        <v>2.3744338625033814</v>
      </c>
      <c r="D18">
        <f t="shared" si="1"/>
        <v>-2.1694115747775022E-2</v>
      </c>
      <c r="E18">
        <f t="shared" si="2"/>
        <v>4.7063465807786021E-4</v>
      </c>
    </row>
    <row r="19" spans="1:5" x14ac:dyDescent="0.25">
      <c r="A19">
        <v>1.0301717622500002</v>
      </c>
      <c r="B19">
        <v>2.266603877366018</v>
      </c>
      <c r="C19">
        <f t="shared" si="0"/>
        <v>2.4382654603246432</v>
      </c>
      <c r="D19">
        <f t="shared" si="1"/>
        <v>-0.17166158295862521</v>
      </c>
      <c r="E19">
        <f t="shared" si="2"/>
        <v>2.9467699063860965E-2</v>
      </c>
    </row>
    <row r="20" spans="1:5" x14ac:dyDescent="0.25">
      <c r="A20">
        <v>1.0557033227499999</v>
      </c>
      <c r="B20">
        <v>2.2887531009233406</v>
      </c>
      <c r="C20">
        <f t="shared" si="0"/>
        <v>2.444665546961692</v>
      </c>
      <c r="D20">
        <f t="shared" si="1"/>
        <v>-0.15591244603835142</v>
      </c>
      <c r="E20">
        <f t="shared" si="2"/>
        <v>2.4308690829661844E-2</v>
      </c>
    </row>
    <row r="21" spans="1:5" x14ac:dyDescent="0.25">
      <c r="A21">
        <v>1.0812348832500001</v>
      </c>
      <c r="B21">
        <v>2.1583187844191074</v>
      </c>
      <c r="C21">
        <f t="shared" si="0"/>
        <v>2.3872673330604606</v>
      </c>
      <c r="D21">
        <f t="shared" si="1"/>
        <v>-0.22894854864135317</v>
      </c>
      <c r="E21">
        <f t="shared" si="2"/>
        <v>5.2417437924982054E-2</v>
      </c>
    </row>
    <row r="22" spans="1:5" x14ac:dyDescent="0.25">
      <c r="A22">
        <v>1.1067664437500002</v>
      </c>
      <c r="B22">
        <v>1.880222977532723</v>
      </c>
      <c r="C22">
        <f t="shared" si="0"/>
        <v>2.264267977563641</v>
      </c>
      <c r="D22">
        <f t="shared" si="1"/>
        <v>-0.3840450000309179</v>
      </c>
      <c r="E22">
        <f t="shared" si="2"/>
        <v>0.14749056204874772</v>
      </c>
    </row>
    <row r="23" spans="1:5" x14ac:dyDescent="0.25">
      <c r="A23">
        <v>1.1322980042499999</v>
      </c>
      <c r="B23">
        <v>1.6513476674403889</v>
      </c>
      <c r="C23">
        <f t="shared" si="0"/>
        <v>2.0795521912878554</v>
      </c>
      <c r="D23">
        <f t="shared" si="1"/>
        <v>-0.42820452384746654</v>
      </c>
      <c r="E23">
        <f t="shared" si="2"/>
        <v>0.18335911424343554</v>
      </c>
    </row>
    <row r="24" spans="1:5" x14ac:dyDescent="0.25">
      <c r="A24">
        <v>1.1578295647500001</v>
      </c>
      <c r="B24">
        <v>1.3707908357143019</v>
      </c>
      <c r="C24">
        <f t="shared" si="0"/>
        <v>1.8431312050885973</v>
      </c>
      <c r="D24">
        <f t="shared" si="1"/>
        <v>-0.47234036937429535</v>
      </c>
      <c r="E24">
        <f t="shared" si="2"/>
        <v>0.22310542454064577</v>
      </c>
    </row>
    <row r="25" spans="1:5" x14ac:dyDescent="0.25">
      <c r="A25">
        <v>1.1833611252499998</v>
      </c>
      <c r="B25">
        <v>1.2034411466145307</v>
      </c>
      <c r="C25">
        <f t="shared" si="0"/>
        <v>1.5706015969487201</v>
      </c>
      <c r="D25">
        <f t="shared" si="1"/>
        <v>-0.36716045033418943</v>
      </c>
      <c r="E25">
        <f t="shared" si="2"/>
        <v>0.13480679628960479</v>
      </c>
    </row>
    <row r="26" spans="1:5" x14ac:dyDescent="0.25">
      <c r="A26">
        <v>1.20889268575</v>
      </c>
      <c r="B26">
        <v>1.0360914575147597</v>
      </c>
      <c r="C26">
        <f t="shared" si="0"/>
        <v>1.2814979807616202</v>
      </c>
      <c r="D26">
        <f t="shared" si="1"/>
        <v>-0.24540652324686052</v>
      </c>
      <c r="E26">
        <f t="shared" si="2"/>
        <v>6.0224361652111889E-2</v>
      </c>
    </row>
    <row r="27" spans="1:5" x14ac:dyDescent="0.25">
      <c r="A27">
        <v>1.2344242462500001</v>
      </c>
      <c r="B27">
        <v>0.8515145945370709</v>
      </c>
      <c r="C27">
        <f t="shared" si="0"/>
        <v>0.99668998283922838</v>
      </c>
      <c r="D27">
        <f t="shared" si="1"/>
        <v>-0.14517538830215748</v>
      </c>
      <c r="E27">
        <f t="shared" si="2"/>
        <v>2.1075893368682205E-2</v>
      </c>
    </row>
    <row r="28" spans="1:5" x14ac:dyDescent="0.25">
      <c r="A28">
        <v>1.2599558067499999</v>
      </c>
      <c r="B28">
        <v>0.63986645832265443</v>
      </c>
      <c r="C28">
        <f t="shared" si="0"/>
        <v>0.73529089675450077</v>
      </c>
      <c r="D28">
        <f t="shared" si="1"/>
        <v>-9.5424438431846337E-2</v>
      </c>
      <c r="E28">
        <f t="shared" si="2"/>
        <v>9.1058234500332319E-3</v>
      </c>
    </row>
    <row r="29" spans="1:5" x14ac:dyDescent="0.25">
      <c r="A29">
        <v>1.28548736725</v>
      </c>
      <c r="B29">
        <v>0.55126956409336381</v>
      </c>
      <c r="C29">
        <f t="shared" si="0"/>
        <v>0.51178659154235151</v>
      </c>
      <c r="D29">
        <f t="shared" si="1"/>
        <v>3.9482972551012296E-2</v>
      </c>
      <c r="E29">
        <f t="shared" si="2"/>
        <v>1.5589051214639905E-3</v>
      </c>
    </row>
    <row r="30" spans="1:5" x14ac:dyDescent="0.25">
      <c r="A30">
        <v>1.3110189277500002</v>
      </c>
      <c r="B30">
        <v>0.41837422274942787</v>
      </c>
      <c r="C30">
        <f t="shared" si="0"/>
        <v>0.33413193443399242</v>
      </c>
      <c r="D30">
        <f t="shared" si="1"/>
        <v>8.4242288315435454E-2</v>
      </c>
      <c r="E30">
        <f t="shared" si="2"/>
        <v>7.0967631406209531E-3</v>
      </c>
    </row>
    <row r="31" spans="1:5" x14ac:dyDescent="0.25">
      <c r="A31">
        <v>1.3365504882500003</v>
      </c>
      <c r="B31">
        <v>0.27071273236727689</v>
      </c>
      <c r="C31">
        <f t="shared" si="0"/>
        <v>0.20332825173153868</v>
      </c>
      <c r="D31">
        <f t="shared" si="1"/>
        <v>6.7384480635738209E-2</v>
      </c>
      <c r="E31">
        <f t="shared" si="2"/>
        <v>4.5406682305481772E-3</v>
      </c>
    </row>
    <row r="32" spans="1:5" x14ac:dyDescent="0.25">
      <c r="A32">
        <v>1.3620820487500001</v>
      </c>
      <c r="B32">
        <v>0.18211583813798626</v>
      </c>
      <c r="C32">
        <f t="shared" si="0"/>
        <v>0.11453781754523121</v>
      </c>
      <c r="D32">
        <f t="shared" si="1"/>
        <v>6.7578020592755056E-2</v>
      </c>
      <c r="E32">
        <f t="shared" si="2"/>
        <v>4.5667888672348261E-3</v>
      </c>
    </row>
    <row r="33" spans="1:5" x14ac:dyDescent="0.25">
      <c r="A33">
        <v>1.3876136092500002</v>
      </c>
      <c r="B33">
        <v>0.16488866426006865</v>
      </c>
      <c r="C33">
        <f t="shared" si="0"/>
        <v>5.9285455407698778E-2</v>
      </c>
      <c r="D33">
        <f t="shared" si="1"/>
        <v>0.10560320885236987</v>
      </c>
      <c r="E33">
        <f t="shared" si="2"/>
        <v>1.1152037719917251E-2</v>
      </c>
    </row>
    <row r="34" spans="1:5" x14ac:dyDescent="0.25">
      <c r="A34">
        <v>1.4131451697499999</v>
      </c>
      <c r="B34">
        <v>0.11812919230572082</v>
      </c>
      <c r="C34">
        <f t="shared" si="0"/>
        <v>2.7971375951959414E-2</v>
      </c>
      <c r="D34">
        <f t="shared" si="1"/>
        <v>9.0157816353761411E-2</v>
      </c>
      <c r="E34">
        <f t="shared" si="2"/>
        <v>8.128431849678569E-3</v>
      </c>
    </row>
    <row r="35" spans="1:5" x14ac:dyDescent="0.25">
      <c r="A35">
        <v>1.4386767302500001</v>
      </c>
      <c r="B35">
        <v>4.183742227494279E-2</v>
      </c>
      <c r="C35">
        <f t="shared" si="0"/>
        <v>1.1925900659821118E-2</v>
      </c>
      <c r="D35">
        <f t="shared" si="1"/>
        <v>2.9911521615121672E-2</v>
      </c>
      <c r="E35">
        <f t="shared" si="2"/>
        <v>8.9469912533189102E-4</v>
      </c>
    </row>
    <row r="36" spans="1:5" x14ac:dyDescent="0.25">
      <c r="A36">
        <v>1.4642082907500003</v>
      </c>
      <c r="B36">
        <v>5.4142546473455372E-2</v>
      </c>
      <c r="C36">
        <f t="shared" si="0"/>
        <v>4.5523653744219232E-3</v>
      </c>
      <c r="D36">
        <f t="shared" si="1"/>
        <v>4.9590181099033445E-2</v>
      </c>
      <c r="E36">
        <f t="shared" si="2"/>
        <v>2.4591860614349339E-3</v>
      </c>
    </row>
    <row r="37" spans="1:5" x14ac:dyDescent="0.25">
      <c r="A37">
        <v>1.4897398512500002</v>
      </c>
      <c r="B37">
        <v>2.2149223557322652E-2</v>
      </c>
      <c r="C37">
        <f t="shared" si="0"/>
        <v>1.5402959206794102E-3</v>
      </c>
      <c r="D37">
        <f t="shared" si="1"/>
        <v>2.0608927636643241E-2</v>
      </c>
      <c r="E37">
        <f t="shared" si="2"/>
        <v>4.2472789833239753E-4</v>
      </c>
    </row>
    <row r="38" spans="1:5" x14ac:dyDescent="0.25">
      <c r="A38">
        <v>1.5152714117500001</v>
      </c>
      <c r="B38">
        <v>2.7071273236727686E-2</v>
      </c>
      <c r="C38">
        <f t="shared" si="0"/>
        <v>4.5700828037876286E-4</v>
      </c>
      <c r="D38">
        <f t="shared" si="1"/>
        <v>2.6614264956348922E-2</v>
      </c>
      <c r="E38">
        <f t="shared" si="2"/>
        <v>7.0831909916674232E-4</v>
      </c>
    </row>
    <row r="39" spans="1:5" x14ac:dyDescent="0.25">
      <c r="A39">
        <v>1.5408029722500001</v>
      </c>
      <c r="B39">
        <v>9.8440993588100687E-3</v>
      </c>
      <c r="C39">
        <f t="shared" si="0"/>
        <v>1.1754131986165738E-4</v>
      </c>
      <c r="D39">
        <f t="shared" si="1"/>
        <v>9.7265580389484119E-3</v>
      </c>
      <c r="E39">
        <f t="shared" si="2"/>
        <v>9.460593128503198E-5</v>
      </c>
    </row>
    <row r="40" spans="1:5" x14ac:dyDescent="0.25">
      <c r="A40">
        <v>1.56633453275</v>
      </c>
      <c r="B40">
        <v>7.3830745191075511E-3</v>
      </c>
      <c r="C40">
        <f t="shared" si="0"/>
        <v>2.5884611439822532E-5</v>
      </c>
      <c r="D40">
        <f t="shared" si="1"/>
        <v>7.3571899076677284E-3</v>
      </c>
      <c r="E40">
        <f t="shared" si="2"/>
        <v>5.4128243337487876E-5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5BEE3-EC15-46D6-9770-6218F47B5024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0.70884765117499993</v>
      </c>
      <c r="B1">
        <v>1.5831120214281603E-2</v>
      </c>
      <c r="C1">
        <f>$H$3*(1+$H$1)*(A1^($H$1))*EXP(-$H$3*(A1^(1+$H$1)))</f>
        <v>0.2043299157053422</v>
      </c>
      <c r="D1">
        <f>B1-C1</f>
        <v>-0.18849879549106061</v>
      </c>
      <c r="E1">
        <f>D1^2</f>
        <v>3.553179590158069E-2</v>
      </c>
      <c r="G1" t="s">
        <v>0</v>
      </c>
      <c r="H1">
        <v>10.099991408947409</v>
      </c>
    </row>
    <row r="2" spans="1:8" x14ac:dyDescent="0.25">
      <c r="A2">
        <v>0.724723673525</v>
      </c>
      <c r="B2">
        <v>2.7704460374992804E-2</v>
      </c>
      <c r="C2">
        <f t="shared" ref="C2:C40" si="0">$H$3*(1+$H$1)*(A2^($H$1))*EXP(-$H$3*(A2^(1+$H$1)))</f>
        <v>0.25461778350273567</v>
      </c>
      <c r="D2">
        <f t="shared" ref="D2:D40" si="1">B2-C2</f>
        <v>-0.22691332312774287</v>
      </c>
      <c r="E2">
        <f t="shared" ref="E2:E40" si="2">D2^2</f>
        <v>5.1489656212875448E-2</v>
      </c>
    </row>
    <row r="3" spans="1:8" x14ac:dyDescent="0.25">
      <c r="A3">
        <v>0.74059969587500007</v>
      </c>
      <c r="B3">
        <v>9.4986721285689621E-2</v>
      </c>
      <c r="C3">
        <f t="shared" si="0"/>
        <v>0.31545966224081406</v>
      </c>
      <c r="D3">
        <f t="shared" si="1"/>
        <v>-0.22047294095512443</v>
      </c>
      <c r="E3">
        <f t="shared" si="2"/>
        <v>4.8608317693401785E-2</v>
      </c>
      <c r="G3" t="s">
        <v>1</v>
      </c>
      <c r="H3">
        <f>(_xlfn.GAMMA((2+$H$1)/(1+$H$1)))^(1+$H$1)</f>
        <v>0.60278999044086146</v>
      </c>
    </row>
    <row r="4" spans="1:8" x14ac:dyDescent="0.25">
      <c r="A4">
        <v>0.75647571822499993</v>
      </c>
      <c r="B4">
        <v>0.14643786198210482</v>
      </c>
      <c r="C4">
        <f t="shared" si="0"/>
        <v>0.38859774229957311</v>
      </c>
      <c r="D4">
        <f t="shared" si="1"/>
        <v>-0.2421598803174683</v>
      </c>
      <c r="E4">
        <f t="shared" si="2"/>
        <v>5.8641407635370568E-2</v>
      </c>
    </row>
    <row r="5" spans="1:8" x14ac:dyDescent="0.25">
      <c r="A5">
        <v>0.772351740575</v>
      </c>
      <c r="B5">
        <v>0.16622676224995683</v>
      </c>
      <c r="C5">
        <f t="shared" si="0"/>
        <v>0.47592568894196419</v>
      </c>
      <c r="D5">
        <f t="shared" si="1"/>
        <v>-0.30969892669200738</v>
      </c>
      <c r="E5">
        <f t="shared" si="2"/>
        <v>9.5913425194181362E-2</v>
      </c>
      <c r="G5" t="s">
        <v>2</v>
      </c>
      <c r="H5">
        <f>SUM(E1:E40)</f>
        <v>7.4193632079990568</v>
      </c>
    </row>
    <row r="6" spans="1:8" x14ac:dyDescent="0.25">
      <c r="A6">
        <v>0.78822776292499996</v>
      </c>
      <c r="B6">
        <v>0.31266462423206165</v>
      </c>
      <c r="C6">
        <f t="shared" si="0"/>
        <v>0.57945195615672485</v>
      </c>
      <c r="D6">
        <f t="shared" si="1"/>
        <v>-0.2667873319246632</v>
      </c>
      <c r="E6">
        <f t="shared" si="2"/>
        <v>7.1175480475480418E-2</v>
      </c>
    </row>
    <row r="7" spans="1:8" x14ac:dyDescent="0.25">
      <c r="A7">
        <v>0.80410378527499993</v>
      </c>
      <c r="B7">
        <v>0.57387810776770809</v>
      </c>
      <c r="C7">
        <f t="shared" si="0"/>
        <v>0.7012378973370611</v>
      </c>
      <c r="D7">
        <f t="shared" si="1"/>
        <v>-0.12735978956935301</v>
      </c>
      <c r="E7">
        <f t="shared" si="2"/>
        <v>1.6220515999149879E-2</v>
      </c>
    </row>
    <row r="8" spans="1:8" x14ac:dyDescent="0.25">
      <c r="A8">
        <v>0.819979807625</v>
      </c>
      <c r="B8">
        <v>0.83509159130335453</v>
      </c>
      <c r="C8">
        <f t="shared" si="0"/>
        <v>0.84330262117095522</v>
      </c>
      <c r="D8">
        <f t="shared" si="1"/>
        <v>-8.2110298676006943E-3</v>
      </c>
      <c r="E8">
        <f t="shared" si="2"/>
        <v>6.7421011486630674E-5</v>
      </c>
    </row>
    <row r="9" spans="1:8" x14ac:dyDescent="0.25">
      <c r="A9">
        <v>0.83585582997500008</v>
      </c>
      <c r="B9">
        <v>1.116093975106853</v>
      </c>
      <c r="C9">
        <f t="shared" si="0"/>
        <v>1.0074854872233139</v>
      </c>
      <c r="D9">
        <f t="shared" si="1"/>
        <v>0.10860848788353916</v>
      </c>
      <c r="E9">
        <f t="shared" si="2"/>
        <v>1.1795803640348873E-2</v>
      </c>
    </row>
    <row r="10" spans="1:8" x14ac:dyDescent="0.25">
      <c r="A10">
        <v>0.85173185232499993</v>
      </c>
      <c r="B10">
        <v>1.472294179928189</v>
      </c>
      <c r="C10">
        <f t="shared" si="0"/>
        <v>1.1952567408165513</v>
      </c>
      <c r="D10">
        <f t="shared" si="1"/>
        <v>0.2770374391116377</v>
      </c>
      <c r="E10">
        <f t="shared" si="2"/>
        <v>7.6749742669534368E-2</v>
      </c>
    </row>
    <row r="11" spans="1:8" x14ac:dyDescent="0.25">
      <c r="A11">
        <v>0.867607874675</v>
      </c>
      <c r="B11">
        <v>1.7968321443209618</v>
      </c>
      <c r="C11">
        <f t="shared" si="0"/>
        <v>1.4074676676701292</v>
      </c>
      <c r="D11">
        <f t="shared" si="1"/>
        <v>0.38936447665083262</v>
      </c>
      <c r="E11">
        <f t="shared" si="2"/>
        <v>0.15160469567757678</v>
      </c>
    </row>
    <row r="12" spans="1:8" x14ac:dyDescent="0.25">
      <c r="A12">
        <v>0.88348389702499996</v>
      </c>
      <c r="B12">
        <v>2.2123990499458541</v>
      </c>
      <c r="C12">
        <f t="shared" si="0"/>
        <v>1.6440346794364151</v>
      </c>
      <c r="D12">
        <f t="shared" si="1"/>
        <v>0.568364370509439</v>
      </c>
      <c r="E12">
        <f t="shared" si="2"/>
        <v>0.32303805766459087</v>
      </c>
    </row>
    <row r="13" spans="1:8" x14ac:dyDescent="0.25">
      <c r="A13">
        <v>0.89935991937499993</v>
      </c>
      <c r="B13">
        <v>2.6794170962671613</v>
      </c>
      <c r="C13">
        <f t="shared" si="0"/>
        <v>1.9035580602201247</v>
      </c>
      <c r="D13">
        <f t="shared" si="1"/>
        <v>0.77585903604703654</v>
      </c>
      <c r="E13">
        <f t="shared" si="2"/>
        <v>0.60195724381583671</v>
      </c>
    </row>
    <row r="14" spans="1:8" x14ac:dyDescent="0.25">
      <c r="A14">
        <v>0.915235941725</v>
      </c>
      <c r="B14">
        <v>3.0356173010884975</v>
      </c>
      <c r="C14">
        <f t="shared" si="0"/>
        <v>2.1828870370268487</v>
      </c>
      <c r="D14">
        <f t="shared" si="1"/>
        <v>0.85273026406164876</v>
      </c>
      <c r="E14">
        <f t="shared" si="2"/>
        <v>0.72714890324664927</v>
      </c>
    </row>
    <row r="15" spans="1:8" x14ac:dyDescent="0.25">
      <c r="A15">
        <v>0.93111196407499985</v>
      </c>
      <c r="B15">
        <v>3.0197861808742155</v>
      </c>
      <c r="C15">
        <f t="shared" si="0"/>
        <v>2.476659663791748</v>
      </c>
      <c r="D15">
        <f t="shared" si="1"/>
        <v>0.54312651708246751</v>
      </c>
      <c r="E15">
        <f t="shared" si="2"/>
        <v>0.29498641355813188</v>
      </c>
    </row>
    <row r="16" spans="1:8" x14ac:dyDescent="0.25">
      <c r="A16">
        <v>0.94698798642499993</v>
      </c>
      <c r="B16">
        <v>3.6055376288026348</v>
      </c>
      <c r="C16">
        <f t="shared" si="0"/>
        <v>2.7768694824518443</v>
      </c>
      <c r="D16">
        <f t="shared" si="1"/>
        <v>0.82866814635079056</v>
      </c>
      <c r="E16">
        <f t="shared" si="2"/>
        <v>0.68669089677645523</v>
      </c>
    </row>
    <row r="17" spans="1:5" x14ac:dyDescent="0.25">
      <c r="A17">
        <v>0.962864008775</v>
      </c>
      <c r="B17">
        <v>3.7678066109990214</v>
      </c>
      <c r="C17">
        <f t="shared" si="0"/>
        <v>3.0725404514184143</v>
      </c>
      <c r="D17">
        <f t="shared" si="1"/>
        <v>0.69526615958060711</v>
      </c>
      <c r="E17">
        <f t="shared" si="2"/>
        <v>0.48339503265796624</v>
      </c>
    </row>
    <row r="18" spans="1:5" x14ac:dyDescent="0.25">
      <c r="A18">
        <v>0.97874003112500008</v>
      </c>
      <c r="B18">
        <v>4.0171467543739565</v>
      </c>
      <c r="C18">
        <f t="shared" si="0"/>
        <v>3.3496240750212372</v>
      </c>
      <c r="D18">
        <f t="shared" si="1"/>
        <v>0.66752267935271936</v>
      </c>
      <c r="E18">
        <f t="shared" si="2"/>
        <v>0.44558652745023336</v>
      </c>
    </row>
    <row r="19" spans="1:5" x14ac:dyDescent="0.25">
      <c r="A19">
        <v>0.99461605347500004</v>
      </c>
      <c r="B19">
        <v>3.9775689538382526</v>
      </c>
      <c r="C19">
        <f t="shared" si="0"/>
        <v>3.591260903885114</v>
      </c>
      <c r="D19">
        <f t="shared" si="1"/>
        <v>0.38630804995313861</v>
      </c>
      <c r="E19">
        <f t="shared" si="2"/>
        <v>0.14923390945859663</v>
      </c>
    </row>
    <row r="20" spans="1:5" x14ac:dyDescent="0.25">
      <c r="A20">
        <v>1.010492075825</v>
      </c>
      <c r="B20">
        <v>3.8113421915882957</v>
      </c>
      <c r="C20">
        <f t="shared" si="0"/>
        <v>3.7785602518568724</v>
      </c>
      <c r="D20">
        <f t="shared" si="1"/>
        <v>3.2781939731423293E-2</v>
      </c>
      <c r="E20">
        <f t="shared" si="2"/>
        <v>1.0746555725546691E-3</v>
      </c>
    </row>
    <row r="21" spans="1:5" x14ac:dyDescent="0.25">
      <c r="A21">
        <v>1.0263680981750001</v>
      </c>
      <c r="B21">
        <v>3.7203132503561767</v>
      </c>
      <c r="C21">
        <f t="shared" si="0"/>
        <v>3.8920294027785984</v>
      </c>
      <c r="D21">
        <f t="shared" si="1"/>
        <v>-0.17171615242242178</v>
      </c>
      <c r="E21">
        <f t="shared" si="2"/>
        <v>2.9486437002760386E-2</v>
      </c>
    </row>
    <row r="22" spans="1:5" x14ac:dyDescent="0.25">
      <c r="A22">
        <v>1.0422441205249999</v>
      </c>
      <c r="B22">
        <v>3.4630575468741007</v>
      </c>
      <c r="C22">
        <f t="shared" si="0"/>
        <v>3.9137062811426135</v>
      </c>
      <c r="D22">
        <f t="shared" si="1"/>
        <v>-0.45064873426851282</v>
      </c>
      <c r="E22">
        <f t="shared" si="2"/>
        <v>0.20308428169781267</v>
      </c>
    </row>
    <row r="23" spans="1:5" x14ac:dyDescent="0.25">
      <c r="A23">
        <v>1.058120142875</v>
      </c>
      <c r="B23">
        <v>3.2612107641420103</v>
      </c>
      <c r="C23">
        <f t="shared" si="0"/>
        <v>3.8299012189334047</v>
      </c>
      <c r="D23">
        <f t="shared" si="1"/>
        <v>-0.56869045479139446</v>
      </c>
      <c r="E23">
        <f t="shared" si="2"/>
        <v>0.32340883337084309</v>
      </c>
    </row>
    <row r="24" spans="1:5" x14ac:dyDescent="0.25">
      <c r="A24">
        <v>1.0739961652250001</v>
      </c>
      <c r="B24">
        <v>2.8773060989456813</v>
      </c>
      <c r="C24">
        <f t="shared" si="0"/>
        <v>3.6342343235560302</v>
      </c>
      <c r="D24">
        <f t="shared" si="1"/>
        <v>-0.75692822461034881</v>
      </c>
      <c r="E24">
        <f t="shared" si="2"/>
        <v>0.57294033721177462</v>
      </c>
    </row>
    <row r="25" spans="1:5" x14ac:dyDescent="0.25">
      <c r="A25">
        <v>1.0898721875749999</v>
      </c>
      <c r="B25">
        <v>2.4300769528922261</v>
      </c>
      <c r="C25">
        <f t="shared" si="0"/>
        <v>3.3303981145165249</v>
      </c>
      <c r="D25">
        <f t="shared" si="1"/>
        <v>-0.90032116162429876</v>
      </c>
      <c r="E25">
        <f t="shared" si="2"/>
        <v>0.81057819406852671</v>
      </c>
    </row>
    <row r="26" spans="1:5" x14ac:dyDescent="0.25">
      <c r="A26">
        <v>1.105748209925</v>
      </c>
      <c r="B26">
        <v>2.2440612903744173</v>
      </c>
      <c r="C26">
        <f t="shared" si="0"/>
        <v>2.9338597941571387</v>
      </c>
      <c r="D26">
        <f t="shared" si="1"/>
        <v>-0.68979850378272145</v>
      </c>
      <c r="E26">
        <f t="shared" si="2"/>
        <v>0.4758219758208812</v>
      </c>
    </row>
    <row r="27" spans="1:5" x14ac:dyDescent="0.25">
      <c r="A27">
        <v>1.1216242322750001</v>
      </c>
      <c r="B27">
        <v>1.8720299653387995</v>
      </c>
      <c r="C27">
        <f t="shared" si="0"/>
        <v>2.4716665105365712</v>
      </c>
      <c r="D27">
        <f t="shared" si="1"/>
        <v>-0.59963654519777165</v>
      </c>
      <c r="E27">
        <f t="shared" si="2"/>
        <v>0.35956398633671927</v>
      </c>
    </row>
    <row r="28" spans="1:5" x14ac:dyDescent="0.25">
      <c r="A28">
        <v>1.1375002546249999</v>
      </c>
      <c r="B28">
        <v>1.5791542413745898</v>
      </c>
      <c r="C28">
        <f t="shared" si="0"/>
        <v>1.9797617641266949</v>
      </c>
      <c r="D28">
        <f t="shared" si="1"/>
        <v>-0.40060752275210509</v>
      </c>
      <c r="E28">
        <f t="shared" si="2"/>
        <v>0.1604863872855784</v>
      </c>
    </row>
    <row r="29" spans="1:5" x14ac:dyDescent="0.25">
      <c r="A29">
        <v>1.153376276975</v>
      </c>
      <c r="B29">
        <v>1.3298140979996547</v>
      </c>
      <c r="C29">
        <f t="shared" si="0"/>
        <v>1.4978274875639324</v>
      </c>
      <c r="D29">
        <f t="shared" si="1"/>
        <v>-0.16801338956427769</v>
      </c>
      <c r="E29">
        <f t="shared" si="2"/>
        <v>2.8228499072877736E-2</v>
      </c>
    </row>
    <row r="30" spans="1:5" x14ac:dyDescent="0.25">
      <c r="A30">
        <v>1.1692522993249999</v>
      </c>
      <c r="B30">
        <v>1.0013183535533114</v>
      </c>
      <c r="C30">
        <f t="shared" si="0"/>
        <v>1.0625398072166619</v>
      </c>
      <c r="D30">
        <f t="shared" si="1"/>
        <v>-6.1221453663350411E-2</v>
      </c>
      <c r="E30">
        <f t="shared" si="2"/>
        <v>3.7480663886537615E-3</v>
      </c>
    </row>
    <row r="31" spans="1:5" x14ac:dyDescent="0.25">
      <c r="A31">
        <v>1.1851283216749999</v>
      </c>
      <c r="B31">
        <v>0.73218930991052411</v>
      </c>
      <c r="C31">
        <f t="shared" si="0"/>
        <v>0.70095790947285574</v>
      </c>
      <c r="D31">
        <f t="shared" si="1"/>
        <v>3.1231400437668366E-2</v>
      </c>
      <c r="E31">
        <f t="shared" si="2"/>
        <v>9.7540037329799177E-4</v>
      </c>
    </row>
    <row r="32" spans="1:5" x14ac:dyDescent="0.25">
      <c r="A32">
        <v>1.201004344025</v>
      </c>
      <c r="B32">
        <v>0.59762478808913044</v>
      </c>
      <c r="C32">
        <f t="shared" si="0"/>
        <v>0.42610066670107649</v>
      </c>
      <c r="D32">
        <f t="shared" si="1"/>
        <v>0.17152412138805395</v>
      </c>
      <c r="E32">
        <f t="shared" si="2"/>
        <v>2.9420524217943868E-2</v>
      </c>
    </row>
    <row r="33" spans="1:5" x14ac:dyDescent="0.25">
      <c r="A33">
        <v>1.2168803663749999</v>
      </c>
      <c r="B33">
        <v>0.37994688514275848</v>
      </c>
      <c r="C33">
        <f t="shared" si="0"/>
        <v>0.23624128848849285</v>
      </c>
      <c r="D33">
        <f t="shared" si="1"/>
        <v>0.14370559665426563</v>
      </c>
      <c r="E33">
        <f t="shared" si="2"/>
        <v>2.065129850975848E-2</v>
      </c>
    </row>
    <row r="34" spans="1:5" x14ac:dyDescent="0.25">
      <c r="A34">
        <v>1.2327563887249999</v>
      </c>
      <c r="B34">
        <v>0.29287572396420963</v>
      </c>
      <c r="C34">
        <f t="shared" si="0"/>
        <v>0.11810452874764182</v>
      </c>
      <c r="D34">
        <f t="shared" si="1"/>
        <v>0.17477119521656781</v>
      </c>
      <c r="E34">
        <f t="shared" si="2"/>
        <v>3.0544970677427653E-2</v>
      </c>
    </row>
    <row r="35" spans="1:5" x14ac:dyDescent="0.25">
      <c r="A35">
        <v>1.248632411075</v>
      </c>
      <c r="B35">
        <v>0.18997344257137924</v>
      </c>
      <c r="C35">
        <f t="shared" si="0"/>
        <v>5.256940584024624E-2</v>
      </c>
      <c r="D35">
        <f t="shared" si="1"/>
        <v>0.13740403673113299</v>
      </c>
      <c r="E35">
        <f t="shared" si="2"/>
        <v>1.8879869310010546E-2</v>
      </c>
    </row>
    <row r="36" spans="1:5" x14ac:dyDescent="0.25">
      <c r="A36">
        <v>1.2645084334250001</v>
      </c>
      <c r="B36">
        <v>0.11873340160711202</v>
      </c>
      <c r="C36">
        <f t="shared" si="0"/>
        <v>2.0541650590158649E-2</v>
      </c>
      <c r="D36">
        <f t="shared" si="1"/>
        <v>9.8191751016953363E-2</v>
      </c>
      <c r="E36">
        <f t="shared" si="2"/>
        <v>9.6416199677753622E-3</v>
      </c>
    </row>
    <row r="37" spans="1:5" x14ac:dyDescent="0.25">
      <c r="A37">
        <v>1.2803844557750002</v>
      </c>
      <c r="B37">
        <v>6.7282260910696806E-2</v>
      </c>
      <c r="C37">
        <f t="shared" si="0"/>
        <v>6.9372437497561322E-3</v>
      </c>
      <c r="D37">
        <f t="shared" si="1"/>
        <v>6.0345017160940671E-2</v>
      </c>
      <c r="E37">
        <f t="shared" si="2"/>
        <v>3.6415210961542243E-3</v>
      </c>
    </row>
    <row r="38" spans="1:5" x14ac:dyDescent="0.25">
      <c r="A38">
        <v>1.296260478125</v>
      </c>
      <c r="B38">
        <v>6.7282260910696806E-2</v>
      </c>
      <c r="C38">
        <f t="shared" si="0"/>
        <v>1.9900899428297431E-3</v>
      </c>
      <c r="D38">
        <f t="shared" si="1"/>
        <v>6.5292170967867061E-2</v>
      </c>
      <c r="E38">
        <f t="shared" si="2"/>
        <v>4.2630675896971823E-3</v>
      </c>
    </row>
    <row r="39" spans="1:5" x14ac:dyDescent="0.25">
      <c r="A39">
        <v>1.3121365004749999</v>
      </c>
      <c r="B39">
        <v>3.9577800535704005E-2</v>
      </c>
      <c r="C39">
        <f t="shared" si="0"/>
        <v>4.7575260329645475E-4</v>
      </c>
      <c r="D39">
        <f t="shared" si="1"/>
        <v>3.9102047932407548E-2</v>
      </c>
      <c r="E39">
        <f t="shared" si="2"/>
        <v>1.5289701525082974E-3</v>
      </c>
    </row>
    <row r="40" spans="1:5" x14ac:dyDescent="0.25">
      <c r="A40">
        <v>1.3280125228249999</v>
      </c>
      <c r="B40">
        <v>3.9577800535704005E-2</v>
      </c>
      <c r="C40">
        <f t="shared" si="0"/>
        <v>9.2796596804725523E-5</v>
      </c>
      <c r="D40">
        <f t="shared" si="1"/>
        <v>3.9485003938899282E-2</v>
      </c>
      <c r="E40">
        <f t="shared" si="2"/>
        <v>1.5590655360548918E-3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1A408-CAF2-43A7-997D-0B84FC846E2B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0.78815800948750003</v>
      </c>
      <c r="B1">
        <v>1.675836408829209E-2</v>
      </c>
      <c r="C1">
        <f>$H$3*(1+$H$1)*(A1^($H$1))*EXP(-$H$3*(A1^(1+$H$1)))</f>
        <v>0.27849056432445107</v>
      </c>
      <c r="D1">
        <f>B1-C1</f>
        <v>-0.26173220023615901</v>
      </c>
      <c r="E1">
        <f>D1^2</f>
        <v>6.8503744640460829E-2</v>
      </c>
      <c r="G1" t="s">
        <v>0</v>
      </c>
      <c r="H1">
        <v>14.654845753154248</v>
      </c>
    </row>
    <row r="2" spans="1:8" x14ac:dyDescent="0.25">
      <c r="A2">
        <v>0.79940620846249999</v>
      </c>
      <c r="B2">
        <v>4.4688970902112247E-2</v>
      </c>
      <c r="C2">
        <f t="shared" ref="C2:C40" si="0">$H$3*(1+$H$1)*(A2^($H$1))*EXP(-$H$3*(A2^(1+$H$1)))</f>
        <v>0.34155893114633035</v>
      </c>
      <c r="D2">
        <f t="shared" ref="D2:D40" si="1">B2-C2</f>
        <v>-0.29686996024421808</v>
      </c>
      <c r="E2">
        <f t="shared" ref="E2:E40" si="2">D2^2</f>
        <v>8.8131773295403629E-2</v>
      </c>
    </row>
    <row r="3" spans="1:8" x14ac:dyDescent="0.25">
      <c r="A3">
        <v>0.81065440743750017</v>
      </c>
      <c r="B3">
        <v>0.13406691270633672</v>
      </c>
      <c r="C3">
        <f t="shared" si="0"/>
        <v>0.41735862002981028</v>
      </c>
      <c r="D3">
        <f t="shared" si="1"/>
        <v>-0.28329170732347353</v>
      </c>
      <c r="E3">
        <f t="shared" si="2"/>
        <v>8.0254191438248593E-2</v>
      </c>
      <c r="G3" t="s">
        <v>1</v>
      </c>
      <c r="H3">
        <f>(_xlfn.GAMMA((2+$H$1)/(1+$H$1)))^(1+$H$1)</f>
        <v>0.59081883977719263</v>
      </c>
    </row>
    <row r="4" spans="1:8" x14ac:dyDescent="0.25">
      <c r="A4">
        <v>0.82190260641250013</v>
      </c>
      <c r="B4">
        <v>0.1619975195201569</v>
      </c>
      <c r="C4">
        <f t="shared" si="0"/>
        <v>0.50804554455008122</v>
      </c>
      <c r="D4">
        <f t="shared" si="1"/>
        <v>-0.34604802502992432</v>
      </c>
      <c r="E4">
        <f t="shared" si="2"/>
        <v>0.11974923562711114</v>
      </c>
    </row>
    <row r="5" spans="1:8" x14ac:dyDescent="0.25">
      <c r="A5">
        <v>0.83315080538750008</v>
      </c>
      <c r="B5">
        <v>0.24020321859885332</v>
      </c>
      <c r="C5">
        <f t="shared" si="0"/>
        <v>0.61601428954720705</v>
      </c>
      <c r="D5">
        <f t="shared" si="1"/>
        <v>-0.37581107094835375</v>
      </c>
      <c r="E5">
        <f t="shared" si="2"/>
        <v>0.14123396104734859</v>
      </c>
      <c r="G5" t="s">
        <v>2</v>
      </c>
      <c r="H5">
        <f>SUM(E1:E40)</f>
        <v>16.273650209456683</v>
      </c>
    </row>
    <row r="6" spans="1:8" x14ac:dyDescent="0.25">
      <c r="A6">
        <v>0.84439900436250004</v>
      </c>
      <c r="B6">
        <v>0.3463395244913699</v>
      </c>
      <c r="C6">
        <f t="shared" si="0"/>
        <v>0.74387713029215741</v>
      </c>
      <c r="D6">
        <f t="shared" si="1"/>
        <v>-0.39753760580078751</v>
      </c>
      <c r="E6">
        <f t="shared" si="2"/>
        <v>0.15803614802582233</v>
      </c>
    </row>
    <row r="7" spans="1:8" x14ac:dyDescent="0.25">
      <c r="A7">
        <v>0.85564720333750011</v>
      </c>
      <c r="B7">
        <v>0.6088872285412793</v>
      </c>
      <c r="C7">
        <f t="shared" si="0"/>
        <v>0.89441807494298364</v>
      </c>
      <c r="D7">
        <f t="shared" si="1"/>
        <v>-0.28553084640170434</v>
      </c>
      <c r="E7">
        <f t="shared" si="2"/>
        <v>8.152786424687368E-2</v>
      </c>
    </row>
    <row r="8" spans="1:8" x14ac:dyDescent="0.25">
      <c r="A8">
        <v>0.86689540231250006</v>
      </c>
      <c r="B8">
        <v>1.0055018452975255</v>
      </c>
      <c r="C8">
        <f t="shared" si="0"/>
        <v>1.0705120436308742</v>
      </c>
      <c r="D8">
        <f t="shared" si="1"/>
        <v>-6.5010198333348646E-2</v>
      </c>
      <c r="E8">
        <f t="shared" si="2"/>
        <v>4.2263258873413267E-3</v>
      </c>
    </row>
    <row r="9" spans="1:8" x14ac:dyDescent="0.25">
      <c r="A9">
        <v>0.87814360128750002</v>
      </c>
      <c r="B9">
        <v>1.3797719766027157</v>
      </c>
      <c r="C9">
        <f t="shared" si="0"/>
        <v>1.274997020073896</v>
      </c>
      <c r="D9">
        <f t="shared" si="1"/>
        <v>0.10477495652881963</v>
      </c>
      <c r="E9">
        <f t="shared" si="2"/>
        <v>1.0977791515616044E-2</v>
      </c>
    </row>
    <row r="10" spans="1:8" x14ac:dyDescent="0.25">
      <c r="A10">
        <v>0.88939180026249998</v>
      </c>
      <c r="B10">
        <v>1.7372837438196136</v>
      </c>
      <c r="C10">
        <f t="shared" si="0"/>
        <v>1.5104849055415885</v>
      </c>
      <c r="D10">
        <f t="shared" si="1"/>
        <v>0.22679883827802505</v>
      </c>
      <c r="E10">
        <f t="shared" si="2"/>
        <v>5.1437713044261764E-2</v>
      </c>
    </row>
    <row r="11" spans="1:8" x14ac:dyDescent="0.25">
      <c r="A11">
        <v>0.90063999923750004</v>
      </c>
      <c r="B11">
        <v>2.3014820014587807</v>
      </c>
      <c r="C11">
        <f t="shared" si="0"/>
        <v>1.7790954252742885</v>
      </c>
      <c r="D11">
        <f t="shared" si="1"/>
        <v>0.52238657618449214</v>
      </c>
      <c r="E11">
        <f t="shared" si="2"/>
        <v>0.2728877349777562</v>
      </c>
    </row>
    <row r="12" spans="1:8" x14ac:dyDescent="0.25">
      <c r="A12">
        <v>0.9118881982125</v>
      </c>
      <c r="B12">
        <v>2.7818884386564871</v>
      </c>
      <c r="C12">
        <f t="shared" si="0"/>
        <v>2.082097694170773</v>
      </c>
      <c r="D12">
        <f t="shared" si="1"/>
        <v>0.6997907444857141</v>
      </c>
      <c r="E12">
        <f t="shared" si="2"/>
        <v>0.48970708606787</v>
      </c>
    </row>
    <row r="13" spans="1:8" x14ac:dyDescent="0.25">
      <c r="A13">
        <v>0.92313639718749996</v>
      </c>
      <c r="B13">
        <v>3.5192564585413391</v>
      </c>
      <c r="C13">
        <f t="shared" si="0"/>
        <v>2.4194473183905658</v>
      </c>
      <c r="D13">
        <f t="shared" si="1"/>
        <v>1.0998091401507732</v>
      </c>
      <c r="E13">
        <f t="shared" si="2"/>
        <v>1.2095801447591832</v>
      </c>
    </row>
    <row r="14" spans="1:8" x14ac:dyDescent="0.25">
      <c r="A14">
        <v>0.93438459616250003</v>
      </c>
      <c r="B14">
        <v>3.988490653013518</v>
      </c>
      <c r="C14">
        <f t="shared" si="0"/>
        <v>2.7892151145795752</v>
      </c>
      <c r="D14">
        <f t="shared" si="1"/>
        <v>1.1992755384339429</v>
      </c>
      <c r="E14">
        <f t="shared" si="2"/>
        <v>1.4382618170860235</v>
      </c>
    </row>
    <row r="15" spans="1:8" x14ac:dyDescent="0.25">
      <c r="A15">
        <v>0.94563279513750009</v>
      </c>
      <c r="B15">
        <v>4.3180718134165961</v>
      </c>
      <c r="C15">
        <f t="shared" si="0"/>
        <v>3.1869191066226294</v>
      </c>
      <c r="D15">
        <f t="shared" si="1"/>
        <v>1.1311527067939666</v>
      </c>
      <c r="E15">
        <f t="shared" si="2"/>
        <v>1.2795064460873173</v>
      </c>
    </row>
    <row r="16" spans="1:8" x14ac:dyDescent="0.25">
      <c r="A16">
        <v>0.95688099411250005</v>
      </c>
      <c r="B16">
        <v>4.5694472747409769</v>
      </c>
      <c r="C16">
        <f t="shared" si="0"/>
        <v>3.6047970967231326</v>
      </c>
      <c r="D16">
        <f t="shared" si="1"/>
        <v>0.96465017801784425</v>
      </c>
      <c r="E16">
        <f t="shared" si="2"/>
        <v>0.93054996594985862</v>
      </c>
    </row>
    <row r="17" spans="1:5" x14ac:dyDescent="0.25">
      <c r="A17">
        <v>0.96812919308750001</v>
      </c>
      <c r="B17">
        <v>5.133645532380144</v>
      </c>
      <c r="C17">
        <f t="shared" si="0"/>
        <v>4.0310950357370343</v>
      </c>
      <c r="D17">
        <f t="shared" si="1"/>
        <v>1.1025504966431097</v>
      </c>
      <c r="E17">
        <f t="shared" si="2"/>
        <v>1.2156175976479677</v>
      </c>
    </row>
    <row r="18" spans="1:5" x14ac:dyDescent="0.25">
      <c r="A18">
        <v>0.97937739206249996</v>
      </c>
      <c r="B18">
        <v>5.4073654791555814</v>
      </c>
      <c r="C18">
        <f t="shared" si="0"/>
        <v>4.4494970427512133</v>
      </c>
      <c r="D18">
        <f t="shared" si="1"/>
        <v>0.95786843640436814</v>
      </c>
      <c r="E18">
        <f t="shared" si="2"/>
        <v>0.91751194145974901</v>
      </c>
    </row>
    <row r="19" spans="1:5" x14ac:dyDescent="0.25">
      <c r="A19">
        <v>0.99062559103750003</v>
      </c>
      <c r="B19">
        <v>5.5805352414012663</v>
      </c>
      <c r="C19">
        <f t="shared" si="0"/>
        <v>4.8388825720579982</v>
      </c>
      <c r="D19">
        <f t="shared" si="1"/>
        <v>0.74165266934326812</v>
      </c>
      <c r="E19">
        <f t="shared" si="2"/>
        <v>0.55004868194399503</v>
      </c>
    </row>
    <row r="20" spans="1:5" x14ac:dyDescent="0.25">
      <c r="A20">
        <v>1.0018737900125001</v>
      </c>
      <c r="B20">
        <v>5.5135017850480983</v>
      </c>
      <c r="C20">
        <f t="shared" si="0"/>
        <v>5.1736540376660445</v>
      </c>
      <c r="D20">
        <f t="shared" si="1"/>
        <v>0.33984774738205381</v>
      </c>
      <c r="E20">
        <f t="shared" si="2"/>
        <v>0.11549649140065626</v>
      </c>
    </row>
    <row r="21" spans="1:5" x14ac:dyDescent="0.25">
      <c r="A21">
        <v>1.0131219889874998</v>
      </c>
      <c r="B21">
        <v>5.5470185132246828</v>
      </c>
      <c r="C21">
        <f t="shared" si="0"/>
        <v>5.4249127966892559</v>
      </c>
      <c r="D21">
        <f t="shared" si="1"/>
        <v>0.1221057165354269</v>
      </c>
      <c r="E21">
        <f t="shared" si="2"/>
        <v>1.4909806010630026E-2</v>
      </c>
    </row>
    <row r="22" spans="1:5" x14ac:dyDescent="0.25">
      <c r="A22">
        <v>1.0243701879625</v>
      </c>
      <c r="B22">
        <v>4.9381312846834033</v>
      </c>
      <c r="C22">
        <f t="shared" si="0"/>
        <v>5.5627390026228687</v>
      </c>
      <c r="D22">
        <f t="shared" si="1"/>
        <v>-0.62460771793946535</v>
      </c>
      <c r="E22">
        <f t="shared" si="2"/>
        <v>0.3901348013095467</v>
      </c>
    </row>
    <row r="23" spans="1:5" x14ac:dyDescent="0.25">
      <c r="A23">
        <v>1.0356183869375</v>
      </c>
      <c r="B23">
        <v>4.8319949787908865</v>
      </c>
      <c r="C23">
        <f t="shared" si="0"/>
        <v>5.5597082495042827</v>
      </c>
      <c r="D23">
        <f t="shared" si="1"/>
        <v>-0.7277132707133962</v>
      </c>
      <c r="E23">
        <f t="shared" si="2"/>
        <v>0.52956660437238867</v>
      </c>
    </row>
    <row r="24" spans="1:5" x14ac:dyDescent="0.25">
      <c r="A24">
        <v>1.0468665859124999</v>
      </c>
      <c r="B24">
        <v>4.4353803620346399</v>
      </c>
      <c r="C24">
        <f t="shared" si="0"/>
        <v>5.3955148114544365</v>
      </c>
      <c r="D24">
        <f t="shared" si="1"/>
        <v>-0.96013444941979653</v>
      </c>
      <c r="E24">
        <f t="shared" si="2"/>
        <v>0.92185816096265583</v>
      </c>
    </row>
    <row r="25" spans="1:5" x14ac:dyDescent="0.25">
      <c r="A25">
        <v>1.0581147848875001</v>
      </c>
      <c r="B25">
        <v>3.6644956139732039</v>
      </c>
      <c r="C25">
        <f t="shared" si="0"/>
        <v>5.0621561770606904</v>
      </c>
      <c r="D25">
        <f t="shared" si="1"/>
        <v>-1.3976605630874865</v>
      </c>
      <c r="E25">
        <f t="shared" si="2"/>
        <v>1.95345504961003</v>
      </c>
    </row>
    <row r="26" spans="1:5" x14ac:dyDescent="0.25">
      <c r="A26">
        <v>1.0693629838624998</v>
      </c>
      <c r="B26">
        <v>3.3684311817467103</v>
      </c>
      <c r="C26">
        <f t="shared" si="0"/>
        <v>4.5686225327405401</v>
      </c>
      <c r="D26">
        <f t="shared" si="1"/>
        <v>-1.2001913509938298</v>
      </c>
      <c r="E26">
        <f t="shared" si="2"/>
        <v>1.4404592790003943</v>
      </c>
    </row>
    <row r="27" spans="1:5" x14ac:dyDescent="0.25">
      <c r="A27">
        <v>1.0806111828375</v>
      </c>
      <c r="B27">
        <v>3.0332638999808688</v>
      </c>
      <c r="C27">
        <f t="shared" si="0"/>
        <v>3.9435891663493332</v>
      </c>
      <c r="D27">
        <f t="shared" si="1"/>
        <v>-0.91032526636846445</v>
      </c>
      <c r="E27">
        <f t="shared" si="2"/>
        <v>0.82869209058881577</v>
      </c>
    </row>
    <row r="28" spans="1:5" x14ac:dyDescent="0.25">
      <c r="A28">
        <v>1.0918593818125002</v>
      </c>
      <c r="B28">
        <v>2.5193407346065779</v>
      </c>
      <c r="C28">
        <f t="shared" si="0"/>
        <v>3.2345002771127858</v>
      </c>
      <c r="D28">
        <f t="shared" si="1"/>
        <v>-0.71515954250620783</v>
      </c>
      <c r="E28">
        <f t="shared" si="2"/>
        <v>0.51145317123768852</v>
      </c>
    </row>
    <row r="29" spans="1:5" x14ac:dyDescent="0.25">
      <c r="A29">
        <v>1.1031075807874999</v>
      </c>
      <c r="B29">
        <v>2.0389342974088711</v>
      </c>
      <c r="C29">
        <f t="shared" si="0"/>
        <v>2.5019640498213027</v>
      </c>
      <c r="D29">
        <f t="shared" si="1"/>
        <v>-0.46302975241243161</v>
      </c>
      <c r="E29">
        <f t="shared" si="2"/>
        <v>0.21439655161911772</v>
      </c>
    </row>
    <row r="30" spans="1:5" x14ac:dyDescent="0.25">
      <c r="A30">
        <v>1.1143557797625001</v>
      </c>
      <c r="B30">
        <v>1.6870086515547373</v>
      </c>
      <c r="C30">
        <f t="shared" si="0"/>
        <v>1.8097040800922002</v>
      </c>
      <c r="D30">
        <f t="shared" si="1"/>
        <v>-0.12269542853746285</v>
      </c>
      <c r="E30">
        <f t="shared" si="2"/>
        <v>1.5054168183991653E-2</v>
      </c>
    </row>
    <row r="31" spans="1:5" x14ac:dyDescent="0.25">
      <c r="A31">
        <v>1.1256039787374998</v>
      </c>
      <c r="B31">
        <v>1.2233605784453228</v>
      </c>
      <c r="C31">
        <f t="shared" si="0"/>
        <v>1.2121836748489327</v>
      </c>
      <c r="D31">
        <f t="shared" si="1"/>
        <v>1.1176903596390009E-2</v>
      </c>
      <c r="E31">
        <f t="shared" si="2"/>
        <v>1.2492317400299591E-4</v>
      </c>
    </row>
    <row r="32" spans="1:5" x14ac:dyDescent="0.25">
      <c r="A32">
        <v>1.1368521777125</v>
      </c>
      <c r="B32">
        <v>0.93288226758159309</v>
      </c>
      <c r="C32">
        <f t="shared" si="0"/>
        <v>0.74365005145063634</v>
      </c>
      <c r="D32">
        <f t="shared" si="1"/>
        <v>0.18923221613095675</v>
      </c>
      <c r="E32">
        <f t="shared" si="2"/>
        <v>3.5808831621833133E-2</v>
      </c>
    </row>
    <row r="33" spans="1:5" x14ac:dyDescent="0.25">
      <c r="A33">
        <v>1.1481003766874998</v>
      </c>
      <c r="B33">
        <v>0.6368178353550995</v>
      </c>
      <c r="C33">
        <f t="shared" si="0"/>
        <v>0.41263374650495993</v>
      </c>
      <c r="D33">
        <f t="shared" si="1"/>
        <v>0.22418408885013957</v>
      </c>
      <c r="E33">
        <f t="shared" si="2"/>
        <v>5.0258505693567275E-2</v>
      </c>
    </row>
    <row r="34" spans="1:5" x14ac:dyDescent="0.25">
      <c r="A34">
        <v>1.1593485756624999</v>
      </c>
      <c r="B34">
        <v>0.43013134493283034</v>
      </c>
      <c r="C34">
        <f t="shared" si="0"/>
        <v>0.20416701032273682</v>
      </c>
      <c r="D34">
        <f t="shared" si="1"/>
        <v>0.22596433461009352</v>
      </c>
      <c r="E34">
        <f t="shared" si="2"/>
        <v>5.1059880515782308E-2</v>
      </c>
    </row>
    <row r="35" spans="1:5" x14ac:dyDescent="0.25">
      <c r="A35">
        <v>1.1705967746375001</v>
      </c>
      <c r="B35">
        <v>0.28489218950096556</v>
      </c>
      <c r="C35">
        <f t="shared" si="0"/>
        <v>8.8642814493135311E-2</v>
      </c>
      <c r="D35">
        <f t="shared" si="1"/>
        <v>0.19624937500783024</v>
      </c>
      <c r="E35">
        <f t="shared" si="2"/>
        <v>3.8513817190963986E-2</v>
      </c>
    </row>
    <row r="36" spans="1:5" x14ac:dyDescent="0.25">
      <c r="A36">
        <v>1.1818449736125001</v>
      </c>
      <c r="B36">
        <v>0.18992812633397704</v>
      </c>
      <c r="C36">
        <f t="shared" si="0"/>
        <v>3.3161689672370993E-2</v>
      </c>
      <c r="D36">
        <f t="shared" si="1"/>
        <v>0.15676643666160606</v>
      </c>
      <c r="E36">
        <f t="shared" si="2"/>
        <v>2.4575715663577344E-2</v>
      </c>
    </row>
    <row r="37" spans="1:5" x14ac:dyDescent="0.25">
      <c r="A37">
        <v>1.1930931725875</v>
      </c>
      <c r="B37">
        <v>0.11172242725528062</v>
      </c>
      <c r="C37">
        <f t="shared" si="0"/>
        <v>1.0472241513853949E-2</v>
      </c>
      <c r="D37">
        <f t="shared" si="1"/>
        <v>0.10125018574142666</v>
      </c>
      <c r="E37">
        <f t="shared" si="2"/>
        <v>1.02516001126734E-2</v>
      </c>
    </row>
    <row r="38" spans="1:5" x14ac:dyDescent="0.25">
      <c r="A38">
        <v>1.2043413715625</v>
      </c>
      <c r="B38">
        <v>0.10613630589251657</v>
      </c>
      <c r="C38">
        <f t="shared" si="0"/>
        <v>2.7276173734572802E-3</v>
      </c>
      <c r="D38">
        <f t="shared" si="1"/>
        <v>0.10340868851905929</v>
      </c>
      <c r="E38">
        <f t="shared" si="2"/>
        <v>1.0693356861231825E-2</v>
      </c>
    </row>
    <row r="39" spans="1:5" x14ac:dyDescent="0.25">
      <c r="A39">
        <v>1.2155895705374999</v>
      </c>
      <c r="B39">
        <v>7.8205699078696428E-2</v>
      </c>
      <c r="C39">
        <f t="shared" si="0"/>
        <v>5.7084962359036609E-4</v>
      </c>
      <c r="D39">
        <f t="shared" si="1"/>
        <v>7.7634849455106056E-2</v>
      </c>
      <c r="E39">
        <f t="shared" si="2"/>
        <v>6.0271698499169812E-3</v>
      </c>
    </row>
    <row r="40" spans="1:5" x14ac:dyDescent="0.25">
      <c r="A40">
        <v>1.2268377695125001</v>
      </c>
      <c r="B40">
        <v>5.5861213627640308E-2</v>
      </c>
      <c r="C40">
        <f t="shared" si="0"/>
        <v>9.3214479277788849E-5</v>
      </c>
      <c r="D40">
        <f t="shared" si="1"/>
        <v>5.5767999148362515E-2</v>
      </c>
      <c r="E40">
        <f t="shared" si="2"/>
        <v>3.1100697290117624E-3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41900-B07D-4C81-AA04-CDDD3B8CA1C7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0.88891714128749988</v>
      </c>
      <c r="B1">
        <v>1.1652962245129343E-2</v>
      </c>
      <c r="C1">
        <f>$H$3*(1+$H$1)*(A1^($H$1))*EXP(-$H$3*(A1^(1+$H$1)))</f>
        <v>0.36302775544567595</v>
      </c>
      <c r="D1">
        <f>B1-C1</f>
        <v>-0.3513747932005466</v>
      </c>
      <c r="E1">
        <f>D1^2</f>
        <v>0.12346424529672689</v>
      </c>
      <c r="G1" t="s">
        <v>0</v>
      </c>
      <c r="H1">
        <v>34.019399967852962</v>
      </c>
    </row>
    <row r="2" spans="1:8" x14ac:dyDescent="0.25">
      <c r="A2">
        <v>0.89430922986249994</v>
      </c>
      <c r="B2">
        <v>0</v>
      </c>
      <c r="C2">
        <f t="shared" ref="C2:C40" si="0">$H$3*(1+$H$1)*(A2^($H$1))*EXP(-$H$3*(A2^(1+$H$1)))</f>
        <v>0.4449760777897393</v>
      </c>
      <c r="D2">
        <f t="shared" ref="D2:D40" si="1">B2-C2</f>
        <v>-0.4449760777897393</v>
      </c>
      <c r="E2">
        <f t="shared" ref="E2:E40" si="2">D2^2</f>
        <v>0.19800370980514012</v>
      </c>
    </row>
    <row r="3" spans="1:8" x14ac:dyDescent="0.25">
      <c r="A3">
        <v>0.89970131843750001</v>
      </c>
      <c r="B3">
        <v>2.3305924490258687E-2</v>
      </c>
      <c r="C3">
        <f t="shared" si="0"/>
        <v>0.54447694563986959</v>
      </c>
      <c r="D3">
        <f t="shared" si="1"/>
        <v>-0.52117102114961089</v>
      </c>
      <c r="E3">
        <f t="shared" si="2"/>
        <v>0.27161923328612814</v>
      </c>
      <c r="G3" t="s">
        <v>1</v>
      </c>
      <c r="H3">
        <f>(_xlfn.GAMMA((2+$H$1)/(1+$H$1)))^(1+$H$1)</f>
        <v>0.57461778147636855</v>
      </c>
    </row>
    <row r="4" spans="1:8" x14ac:dyDescent="0.25">
      <c r="A4">
        <v>0.90509340701250007</v>
      </c>
      <c r="B4">
        <v>8.1570735715905396E-2</v>
      </c>
      <c r="C4">
        <f t="shared" si="0"/>
        <v>0.66500840356859181</v>
      </c>
      <c r="D4">
        <f t="shared" si="1"/>
        <v>-0.58343766785268647</v>
      </c>
      <c r="E4">
        <f t="shared" si="2"/>
        <v>0.3403995122693817</v>
      </c>
    </row>
    <row r="5" spans="1:8" x14ac:dyDescent="0.25">
      <c r="A5">
        <v>0.91048549558749992</v>
      </c>
      <c r="B5">
        <v>0.17479443367694014</v>
      </c>
      <c r="C5">
        <f t="shared" si="0"/>
        <v>0.81064032071491099</v>
      </c>
      <c r="D5">
        <f t="shared" si="1"/>
        <v>-0.63584588703797085</v>
      </c>
      <c r="E5">
        <f t="shared" si="2"/>
        <v>0.40429999206310396</v>
      </c>
      <c r="G5" t="s">
        <v>2</v>
      </c>
      <c r="H5">
        <f>SUM(E1:E40)</f>
        <v>85.670556706451023</v>
      </c>
    </row>
    <row r="6" spans="1:8" x14ac:dyDescent="0.25">
      <c r="A6">
        <v>0.91587758416249998</v>
      </c>
      <c r="B6">
        <v>0.39620071633439768</v>
      </c>
      <c r="C6">
        <f t="shared" si="0"/>
        <v>0.98609576417381561</v>
      </c>
      <c r="D6">
        <f t="shared" si="1"/>
        <v>-0.58989504783941793</v>
      </c>
      <c r="E6">
        <f t="shared" si="2"/>
        <v>0.34797616746546917</v>
      </c>
    </row>
    <row r="7" spans="1:8" x14ac:dyDescent="0.25">
      <c r="A7">
        <v>0.92126967273749982</v>
      </c>
      <c r="B7">
        <v>0.39620071633439768</v>
      </c>
      <c r="C7">
        <f t="shared" si="0"/>
        <v>1.1967998440122154</v>
      </c>
      <c r="D7">
        <f t="shared" si="1"/>
        <v>-0.80059912767781771</v>
      </c>
      <c r="E7">
        <f t="shared" si="2"/>
        <v>0.64095896323848267</v>
      </c>
    </row>
    <row r="8" spans="1:8" x14ac:dyDescent="0.25">
      <c r="A8">
        <v>0.92666176131249989</v>
      </c>
      <c r="B8">
        <v>0.53603626327594978</v>
      </c>
      <c r="C8">
        <f t="shared" si="0"/>
        <v>1.4489039785181277</v>
      </c>
      <c r="D8">
        <f t="shared" si="1"/>
        <v>-0.91286771524217791</v>
      </c>
      <c r="E8">
        <f t="shared" si="2"/>
        <v>0.83332746553147397</v>
      </c>
    </row>
    <row r="9" spans="1:8" x14ac:dyDescent="0.25">
      <c r="A9">
        <v>0.93205384988750006</v>
      </c>
      <c r="B9">
        <v>1.1070314132872876</v>
      </c>
      <c r="C9">
        <f t="shared" si="0"/>
        <v>1.7492680088477615</v>
      </c>
      <c r="D9">
        <f t="shared" si="1"/>
        <v>-0.64223659556047386</v>
      </c>
      <c r="E9">
        <f t="shared" si="2"/>
        <v>0.41246784467710768</v>
      </c>
    </row>
    <row r="10" spans="1:8" x14ac:dyDescent="0.25">
      <c r="A10">
        <v>0.93744593846250002</v>
      </c>
      <c r="B10">
        <v>1.6081087898278494</v>
      </c>
      <c r="C10">
        <f t="shared" si="0"/>
        <v>2.1053753405466602</v>
      </c>
      <c r="D10">
        <f t="shared" si="1"/>
        <v>-0.49726655071881076</v>
      </c>
      <c r="E10">
        <f t="shared" si="2"/>
        <v>0.2472740224637836</v>
      </c>
    </row>
    <row r="11" spans="1:8" x14ac:dyDescent="0.25">
      <c r="A11">
        <v>0.94283802703749997</v>
      </c>
      <c r="B11">
        <v>2.5753046561735848</v>
      </c>
      <c r="C11">
        <f t="shared" si="0"/>
        <v>2.5251471418798928</v>
      </c>
      <c r="D11">
        <f t="shared" si="1"/>
        <v>5.0157514293692085E-2</v>
      </c>
      <c r="E11">
        <f t="shared" si="2"/>
        <v>2.5157762401219258E-3</v>
      </c>
    </row>
    <row r="12" spans="1:8" x14ac:dyDescent="0.25">
      <c r="A12">
        <v>0.94823011561249992</v>
      </c>
      <c r="B12">
        <v>3.7172949561962603</v>
      </c>
      <c r="C12">
        <f t="shared" si="0"/>
        <v>3.0166107216665154</v>
      </c>
      <c r="D12">
        <f t="shared" si="1"/>
        <v>0.70068423452974482</v>
      </c>
      <c r="E12">
        <f t="shared" si="2"/>
        <v>0.49095839651853446</v>
      </c>
    </row>
    <row r="13" spans="1:8" x14ac:dyDescent="0.25">
      <c r="A13">
        <v>0.95362220418749999</v>
      </c>
      <c r="B13">
        <v>4.7427556337676426</v>
      </c>
      <c r="C13">
        <f t="shared" si="0"/>
        <v>3.5873652906706393</v>
      </c>
      <c r="D13">
        <f t="shared" si="1"/>
        <v>1.1553903430970034</v>
      </c>
      <c r="E13">
        <f t="shared" si="2"/>
        <v>1.3349268449218112</v>
      </c>
    </row>
    <row r="14" spans="1:8" x14ac:dyDescent="0.25">
      <c r="A14">
        <v>0.95901429276250005</v>
      </c>
      <c r="B14">
        <v>5.6283807643974724</v>
      </c>
      <c r="C14">
        <f t="shared" si="0"/>
        <v>4.2437772376283718</v>
      </c>
      <c r="D14">
        <f t="shared" si="1"/>
        <v>1.3846035267691006</v>
      </c>
      <c r="E14">
        <f t="shared" si="2"/>
        <v>1.9171269263414314</v>
      </c>
    </row>
    <row r="15" spans="1:8" x14ac:dyDescent="0.25">
      <c r="A15">
        <v>0.96440638133750001</v>
      </c>
      <c r="B15">
        <v>7.5394665725986849</v>
      </c>
      <c r="C15">
        <f t="shared" si="0"/>
        <v>4.9898305179705753</v>
      </c>
      <c r="D15">
        <f t="shared" si="1"/>
        <v>2.5496360546281096</v>
      </c>
      <c r="E15">
        <f t="shared" si="2"/>
        <v>6.5006440110595927</v>
      </c>
    </row>
    <row r="16" spans="1:8" x14ac:dyDescent="0.25">
      <c r="A16">
        <v>0.96979846991249996</v>
      </c>
      <c r="B16">
        <v>8.5532742879249373</v>
      </c>
      <c r="C16">
        <f t="shared" si="0"/>
        <v>5.8255622523086066</v>
      </c>
      <c r="D16">
        <f t="shared" si="1"/>
        <v>2.7277120356163307</v>
      </c>
      <c r="E16">
        <f t="shared" si="2"/>
        <v>7.4404129492461868</v>
      </c>
    </row>
    <row r="17" spans="1:5" x14ac:dyDescent="0.25">
      <c r="A17">
        <v>0.97519055848750003</v>
      </c>
      <c r="B17">
        <v>9.4155934940645096</v>
      </c>
      <c r="C17">
        <f t="shared" si="0"/>
        <v>6.7450395132441576</v>
      </c>
      <c r="D17">
        <f t="shared" si="1"/>
        <v>2.670553980820352</v>
      </c>
      <c r="E17">
        <f t="shared" si="2"/>
        <v>7.1318585644754293</v>
      </c>
    </row>
    <row r="18" spans="1:5" x14ac:dyDescent="0.25">
      <c r="A18">
        <v>0.98058264706249998</v>
      </c>
      <c r="B18">
        <v>10.242953813468693</v>
      </c>
      <c r="C18">
        <f t="shared" si="0"/>
        <v>7.7338954928193129</v>
      </c>
      <c r="D18">
        <f t="shared" si="1"/>
        <v>2.5090583206493804</v>
      </c>
      <c r="E18">
        <f t="shared" si="2"/>
        <v>6.2953736564198888</v>
      </c>
    </row>
    <row r="19" spans="1:5" x14ac:dyDescent="0.25">
      <c r="A19">
        <v>0.98597473563750004</v>
      </c>
      <c r="B19">
        <v>11.186843755324169</v>
      </c>
      <c r="C19">
        <f t="shared" si="0"/>
        <v>8.7665608120420657</v>
      </c>
      <c r="D19">
        <f t="shared" si="1"/>
        <v>2.4202829432821034</v>
      </c>
      <c r="E19">
        <f t="shared" si="2"/>
        <v>5.857769525542281</v>
      </c>
    </row>
    <row r="20" spans="1:5" x14ac:dyDescent="0.25">
      <c r="A20">
        <v>0.9913668242125</v>
      </c>
      <c r="B20">
        <v>11.583044471658567</v>
      </c>
      <c r="C20">
        <f t="shared" si="0"/>
        <v>9.8035181979633457</v>
      </c>
      <c r="D20">
        <f t="shared" si="1"/>
        <v>1.7795262736952218</v>
      </c>
      <c r="E20">
        <f t="shared" si="2"/>
        <v>3.1667137587716012</v>
      </c>
    </row>
    <row r="21" spans="1:5" x14ac:dyDescent="0.25">
      <c r="A21">
        <v>0.99675891278750006</v>
      </c>
      <c r="B21">
        <v>12.736687733926372</v>
      </c>
      <c r="C21">
        <f t="shared" si="0"/>
        <v>10.789186839951883</v>
      </c>
      <c r="D21">
        <f t="shared" si="1"/>
        <v>1.9475008939744889</v>
      </c>
      <c r="E21">
        <f t="shared" si="2"/>
        <v>3.7927597320314335</v>
      </c>
    </row>
    <row r="22" spans="1:5" x14ac:dyDescent="0.25">
      <c r="A22">
        <v>1.0021510013624999</v>
      </c>
      <c r="B22">
        <v>11.851062603296542</v>
      </c>
      <c r="C22">
        <f t="shared" si="0"/>
        <v>11.651389983364023</v>
      </c>
      <c r="D22">
        <f t="shared" si="1"/>
        <v>0.19967261993251917</v>
      </c>
      <c r="E22">
        <f t="shared" si="2"/>
        <v>3.9869155150716248E-2</v>
      </c>
    </row>
    <row r="23" spans="1:5" x14ac:dyDescent="0.25">
      <c r="A23">
        <v>1.0075430899375002</v>
      </c>
      <c r="B23">
        <v>12.317181093101716</v>
      </c>
      <c r="C23">
        <f t="shared" si="0"/>
        <v>12.303702822073213</v>
      </c>
      <c r="D23">
        <f t="shared" si="1"/>
        <v>1.3478271028503741E-2</v>
      </c>
      <c r="E23">
        <f t="shared" si="2"/>
        <v>1.816637899178033E-4</v>
      </c>
    </row>
    <row r="24" spans="1:5" x14ac:dyDescent="0.25">
      <c r="A24">
        <v>1.0129351785125</v>
      </c>
      <c r="B24">
        <v>11.548085584923179</v>
      </c>
      <c r="C24">
        <f t="shared" si="0"/>
        <v>12.652152516014727</v>
      </c>
      <c r="D24">
        <f t="shared" si="1"/>
        <v>-1.1040669310915483</v>
      </c>
      <c r="E24">
        <f t="shared" si="2"/>
        <v>1.2189637883299096</v>
      </c>
    </row>
    <row r="25" spans="1:5" x14ac:dyDescent="0.25">
      <c r="A25">
        <v>1.0183272670875001</v>
      </c>
      <c r="B25">
        <v>10.009894568566105</v>
      </c>
      <c r="C25">
        <f t="shared" si="0"/>
        <v>12.607468400541235</v>
      </c>
      <c r="D25">
        <f t="shared" si="1"/>
        <v>-2.5975738319751294</v>
      </c>
      <c r="E25">
        <f t="shared" si="2"/>
        <v>6.7473898125619574</v>
      </c>
    </row>
    <row r="26" spans="1:5" x14ac:dyDescent="0.25">
      <c r="A26">
        <v>1.0237193556625002</v>
      </c>
      <c r="B26">
        <v>8.9727809287495948</v>
      </c>
      <c r="C26">
        <f t="shared" si="0"/>
        <v>12.102997768888798</v>
      </c>
      <c r="D26">
        <f t="shared" si="1"/>
        <v>-3.1302168401392034</v>
      </c>
      <c r="E26">
        <f t="shared" si="2"/>
        <v>9.7982574662910586</v>
      </c>
    </row>
    <row r="27" spans="1:5" x14ac:dyDescent="0.25">
      <c r="A27">
        <v>1.0291114442375</v>
      </c>
      <c r="B27">
        <v>8.1454206093454111</v>
      </c>
      <c r="C27">
        <f t="shared" si="0"/>
        <v>11.116228995716572</v>
      </c>
      <c r="D27">
        <f t="shared" si="1"/>
        <v>-2.9708083863711607</v>
      </c>
      <c r="E27">
        <f t="shared" si="2"/>
        <v>8.825702468533219</v>
      </c>
    </row>
    <row r="28" spans="1:5" x14ac:dyDescent="0.25">
      <c r="A28">
        <v>1.0345035328125001</v>
      </c>
      <c r="B28">
        <v>7.4229369501473919</v>
      </c>
      <c r="C28">
        <f t="shared" si="0"/>
        <v>9.6887355392422254</v>
      </c>
      <c r="D28">
        <f t="shared" si="1"/>
        <v>-2.2657985890948336</v>
      </c>
      <c r="E28">
        <f t="shared" si="2"/>
        <v>5.1338432463441386</v>
      </c>
    </row>
    <row r="29" spans="1:5" x14ac:dyDescent="0.25">
      <c r="A29">
        <v>1.0398956213875001</v>
      </c>
      <c r="B29">
        <v>6.1644170276734229</v>
      </c>
      <c r="C29">
        <f t="shared" si="0"/>
        <v>7.9362889839802513</v>
      </c>
      <c r="D29">
        <f t="shared" si="1"/>
        <v>-1.7718719563068284</v>
      </c>
      <c r="E29">
        <f t="shared" si="2"/>
        <v>3.1395302295465872</v>
      </c>
    </row>
    <row r="30" spans="1:5" x14ac:dyDescent="0.25">
      <c r="A30">
        <v>1.0452877099625</v>
      </c>
      <c r="B30">
        <v>4.9525089541799705</v>
      </c>
      <c r="C30">
        <f t="shared" si="0"/>
        <v>6.0400423929024303</v>
      </c>
      <c r="D30">
        <f t="shared" si="1"/>
        <v>-1.0875334387224598</v>
      </c>
      <c r="E30">
        <f t="shared" si="2"/>
        <v>1.1827289803394982</v>
      </c>
    </row>
    <row r="31" spans="1:5" x14ac:dyDescent="0.25">
      <c r="A31">
        <v>1.0506797985375003</v>
      </c>
      <c r="B31">
        <v>3.4492768245582854</v>
      </c>
      <c r="C31">
        <f t="shared" si="0"/>
        <v>4.2137431127679781</v>
      </c>
      <c r="D31">
        <f t="shared" si="1"/>
        <v>-0.76446628820969265</v>
      </c>
      <c r="E31">
        <f t="shared" si="2"/>
        <v>0.58440870580910487</v>
      </c>
    </row>
    <row r="32" spans="1:5" x14ac:dyDescent="0.25">
      <c r="A32">
        <v>1.0560718871125001</v>
      </c>
      <c r="B32">
        <v>3.0763820327141467</v>
      </c>
      <c r="C32">
        <f t="shared" si="0"/>
        <v>2.6520451919049473</v>
      </c>
      <c r="D32">
        <f t="shared" si="1"/>
        <v>0.42433684080919942</v>
      </c>
      <c r="E32">
        <f t="shared" si="2"/>
        <v>0.18006175446793185</v>
      </c>
    </row>
    <row r="33" spans="1:5" x14ac:dyDescent="0.25">
      <c r="A33">
        <v>1.0614639756874999</v>
      </c>
      <c r="B33">
        <v>1.7829032235047895</v>
      </c>
      <c r="C33">
        <f t="shared" si="0"/>
        <v>1.477819164490985</v>
      </c>
      <c r="D33">
        <f t="shared" si="1"/>
        <v>0.30508405901380442</v>
      </c>
      <c r="E33">
        <f t="shared" si="2"/>
        <v>9.3076283064338503E-2</v>
      </c>
    </row>
    <row r="34" spans="1:5" x14ac:dyDescent="0.25">
      <c r="A34">
        <v>1.0668560642625</v>
      </c>
      <c r="B34">
        <v>1.2119080734934518</v>
      </c>
      <c r="C34">
        <f t="shared" si="0"/>
        <v>0.71315289255623904</v>
      </c>
      <c r="D34">
        <f t="shared" si="1"/>
        <v>0.49875518093721272</v>
      </c>
      <c r="E34">
        <f t="shared" si="2"/>
        <v>0.24875673051171179</v>
      </c>
    </row>
    <row r="35" spans="1:5" x14ac:dyDescent="0.25">
      <c r="A35">
        <v>1.0722481528375001</v>
      </c>
      <c r="B35">
        <v>0.78074847042366602</v>
      </c>
      <c r="C35">
        <f t="shared" si="0"/>
        <v>0.29037636913325332</v>
      </c>
      <c r="D35">
        <f t="shared" si="1"/>
        <v>0.4903721012904127</v>
      </c>
      <c r="E35">
        <f t="shared" si="2"/>
        <v>0.24046479772397478</v>
      </c>
    </row>
    <row r="36" spans="1:5" x14ac:dyDescent="0.25">
      <c r="A36">
        <v>1.0776402414125001</v>
      </c>
      <c r="B36">
        <v>0.64091292348211382</v>
      </c>
      <c r="C36">
        <f t="shared" si="0"/>
        <v>9.675368128210253E-2</v>
      </c>
      <c r="D36">
        <f t="shared" si="1"/>
        <v>0.54415924220001133</v>
      </c>
      <c r="E36">
        <f t="shared" si="2"/>
        <v>0.29610928087169058</v>
      </c>
    </row>
    <row r="37" spans="1:5" x14ac:dyDescent="0.25">
      <c r="A37">
        <v>1.0830323299875002</v>
      </c>
      <c r="B37">
        <v>0.31462998061849229</v>
      </c>
      <c r="C37">
        <f t="shared" si="0"/>
        <v>2.5450109074294298E-2</v>
      </c>
      <c r="D37">
        <f t="shared" si="1"/>
        <v>0.289179871544198</v>
      </c>
      <c r="E37">
        <f t="shared" si="2"/>
        <v>8.3624998106318849E-2</v>
      </c>
    </row>
    <row r="38" spans="1:5" x14ac:dyDescent="0.25">
      <c r="A38">
        <v>1.0884244185625001</v>
      </c>
      <c r="B38">
        <v>0.24471220714771622</v>
      </c>
      <c r="C38">
        <f t="shared" si="0"/>
        <v>5.0664435424165842E-3</v>
      </c>
      <c r="D38">
        <f t="shared" si="1"/>
        <v>0.23964576360529963</v>
      </c>
      <c r="E38">
        <f t="shared" si="2"/>
        <v>5.7430092013967149E-2</v>
      </c>
    </row>
    <row r="39" spans="1:5" x14ac:dyDescent="0.25">
      <c r="A39">
        <v>1.0938165071375001</v>
      </c>
      <c r="B39">
        <v>0.16314147143181079</v>
      </c>
      <c r="C39">
        <f t="shared" si="0"/>
        <v>7.2646835718360677E-4</v>
      </c>
      <c r="D39">
        <f t="shared" si="1"/>
        <v>0.1624150030746272</v>
      </c>
      <c r="E39">
        <f t="shared" si="2"/>
        <v>2.6378633223731161E-2</v>
      </c>
    </row>
    <row r="40" spans="1:5" x14ac:dyDescent="0.25">
      <c r="A40">
        <v>1.0992085957125002</v>
      </c>
      <c r="B40">
        <v>0.15148850918668147</v>
      </c>
      <c r="C40">
        <f t="shared" si="0"/>
        <v>7.0801813576506486E-5</v>
      </c>
      <c r="D40">
        <f t="shared" si="1"/>
        <v>0.15141770737310498</v>
      </c>
      <c r="E40">
        <f t="shared" si="2"/>
        <v>2.2927322106127249E-2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6E51F-1EBA-40AE-BE13-5F0CD4348201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0.80423116545000006</v>
      </c>
      <c r="B1">
        <v>1.0902451727883245E-2</v>
      </c>
      <c r="C1">
        <f>$H$3*(1+$H$1)*(A1^($H$1))*EXP(-$H$3*(A1^(1+$H$1)))</f>
        <v>3.381000138275321E-9</v>
      </c>
      <c r="D1">
        <f>B1-C1</f>
        <v>1.0902448346883108E-2</v>
      </c>
      <c r="E1">
        <f>D1^2</f>
        <v>1.188633799564542E-4</v>
      </c>
      <c r="G1" t="s">
        <v>0</v>
      </c>
      <c r="H1">
        <v>108.46429808289109</v>
      </c>
    </row>
    <row r="2" spans="1:8" x14ac:dyDescent="0.25">
      <c r="A2">
        <v>0.80999443834999996</v>
      </c>
      <c r="B2">
        <v>0</v>
      </c>
      <c r="C2">
        <f t="shared" ref="C2:C40" si="0">$H$3*(1+$H$1)*(A2^($H$1))*EXP(-$H$3*(A2^(1+$H$1)))</f>
        <v>7.3351323569527376E-9</v>
      </c>
      <c r="D2">
        <f t="shared" ref="D2:D40" si="1">B2-C2</f>
        <v>-7.3351323569527376E-9</v>
      </c>
      <c r="E2">
        <f t="shared" ref="E2:E40" si="2">D2^2</f>
        <v>5.3804166694015022E-17</v>
      </c>
    </row>
    <row r="3" spans="1:8" x14ac:dyDescent="0.25">
      <c r="A3">
        <v>0.81575771124999996</v>
      </c>
      <c r="B3">
        <v>0</v>
      </c>
      <c r="C3">
        <f t="shared" si="0"/>
        <v>1.5826536969567788E-8</v>
      </c>
      <c r="D3">
        <f t="shared" si="1"/>
        <v>-1.5826536969567788E-8</v>
      </c>
      <c r="E3">
        <f t="shared" si="2"/>
        <v>2.5047927244909595E-16</v>
      </c>
      <c r="G3" t="s">
        <v>1</v>
      </c>
      <c r="H3">
        <f>(_xlfn.GAMMA((2+$H$1)/(1+$H$1)))^(1+$H$1)</f>
        <v>0.56567513315803797</v>
      </c>
    </row>
    <row r="4" spans="1:8" x14ac:dyDescent="0.25">
      <c r="A4">
        <v>0.82152098415000008</v>
      </c>
      <c r="B4">
        <v>0</v>
      </c>
      <c r="C4">
        <f t="shared" si="0"/>
        <v>3.396351206400792E-8</v>
      </c>
      <c r="D4">
        <f t="shared" si="1"/>
        <v>-3.396351206400792E-8</v>
      </c>
      <c r="E4">
        <f t="shared" si="2"/>
        <v>1.1535201517220114E-15</v>
      </c>
    </row>
    <row r="5" spans="1:8" x14ac:dyDescent="0.25">
      <c r="A5">
        <v>0.82728425705000008</v>
      </c>
      <c r="B5">
        <v>0</v>
      </c>
      <c r="C5">
        <f t="shared" si="0"/>
        <v>7.24971474564521E-8</v>
      </c>
      <c r="D5">
        <f t="shared" si="1"/>
        <v>-7.24971474564521E-8</v>
      </c>
      <c r="E5">
        <f t="shared" si="2"/>
        <v>5.2558363893225591E-15</v>
      </c>
      <c r="G5" t="s">
        <v>2</v>
      </c>
      <c r="H5">
        <f>SUM(E1:E40)</f>
        <v>258.72211742925583</v>
      </c>
    </row>
    <row r="6" spans="1:8" x14ac:dyDescent="0.25">
      <c r="A6">
        <v>0.83304752994999998</v>
      </c>
      <c r="B6">
        <v>0</v>
      </c>
      <c r="C6">
        <f t="shared" si="0"/>
        <v>1.5393701606460449E-7</v>
      </c>
      <c r="D6">
        <f t="shared" si="1"/>
        <v>-1.5393701606460449E-7</v>
      </c>
      <c r="E6">
        <f t="shared" si="2"/>
        <v>2.3696604914874299E-14</v>
      </c>
    </row>
    <row r="7" spans="1:8" x14ac:dyDescent="0.25">
      <c r="A7">
        <v>0.83881080284999998</v>
      </c>
      <c r="B7">
        <v>0</v>
      </c>
      <c r="C7">
        <f t="shared" si="0"/>
        <v>3.2517006106372086E-7</v>
      </c>
      <c r="D7">
        <f t="shared" si="1"/>
        <v>-3.2517006106372086E-7</v>
      </c>
      <c r="E7">
        <f t="shared" si="2"/>
        <v>1.0573556861218396E-13</v>
      </c>
    </row>
    <row r="8" spans="1:8" x14ac:dyDescent="0.25">
      <c r="A8">
        <v>0.84457407574999999</v>
      </c>
      <c r="B8">
        <v>0</v>
      </c>
      <c r="C8">
        <f t="shared" si="0"/>
        <v>6.8336740660614771E-7</v>
      </c>
      <c r="D8">
        <f t="shared" si="1"/>
        <v>-6.8336740660614771E-7</v>
      </c>
      <c r="E8">
        <f t="shared" si="2"/>
        <v>4.6699101241161203E-13</v>
      </c>
    </row>
    <row r="9" spans="1:8" x14ac:dyDescent="0.25">
      <c r="A9">
        <v>0.8503373486500001</v>
      </c>
      <c r="B9">
        <v>0</v>
      </c>
      <c r="C9">
        <f t="shared" si="0"/>
        <v>1.428908552901417E-6</v>
      </c>
      <c r="D9">
        <f t="shared" si="1"/>
        <v>-1.428908552901417E-6</v>
      </c>
      <c r="E9">
        <f t="shared" si="2"/>
        <v>2.0417796525548216E-12</v>
      </c>
    </row>
    <row r="10" spans="1:8" x14ac:dyDescent="0.25">
      <c r="A10">
        <v>0.85610062155</v>
      </c>
      <c r="B10">
        <v>0</v>
      </c>
      <c r="C10">
        <f t="shared" si="0"/>
        <v>2.972971245625563E-6</v>
      </c>
      <c r="D10">
        <f t="shared" si="1"/>
        <v>-2.972971245625563E-6</v>
      </c>
      <c r="E10">
        <f t="shared" si="2"/>
        <v>8.8385580273164118E-12</v>
      </c>
    </row>
    <row r="11" spans="1:8" x14ac:dyDescent="0.25">
      <c r="A11">
        <v>0.86186389445000011</v>
      </c>
      <c r="B11">
        <v>0</v>
      </c>
      <c r="C11">
        <f t="shared" si="0"/>
        <v>6.1551992291825648E-6</v>
      </c>
      <c r="D11">
        <f t="shared" si="1"/>
        <v>-6.1551992291825648E-6</v>
      </c>
      <c r="E11">
        <f t="shared" si="2"/>
        <v>3.7886477550929643E-11</v>
      </c>
    </row>
    <row r="12" spans="1:8" x14ac:dyDescent="0.25">
      <c r="A12">
        <v>0.86762716735000001</v>
      </c>
      <c r="B12">
        <v>0</v>
      </c>
      <c r="C12">
        <f t="shared" si="0"/>
        <v>1.268198116898042E-5</v>
      </c>
      <c r="D12">
        <f t="shared" si="1"/>
        <v>-1.268198116898042E-5</v>
      </c>
      <c r="E12">
        <f t="shared" si="2"/>
        <v>1.6083264637037396E-10</v>
      </c>
    </row>
    <row r="13" spans="1:8" x14ac:dyDescent="0.25">
      <c r="A13">
        <v>0.87339044025000001</v>
      </c>
      <c r="B13">
        <v>0</v>
      </c>
      <c r="C13">
        <f t="shared" si="0"/>
        <v>2.6004802294903954E-5</v>
      </c>
      <c r="D13">
        <f t="shared" si="1"/>
        <v>-2.6004802294903954E-5</v>
      </c>
      <c r="E13">
        <f t="shared" si="2"/>
        <v>6.7624974239704192E-10</v>
      </c>
    </row>
    <row r="14" spans="1:8" x14ac:dyDescent="0.25">
      <c r="A14">
        <v>0.87915371315000002</v>
      </c>
      <c r="B14">
        <v>0</v>
      </c>
      <c r="C14">
        <f t="shared" si="0"/>
        <v>5.3072407422799704E-5</v>
      </c>
      <c r="D14">
        <f t="shared" si="1"/>
        <v>-5.3072407422799704E-5</v>
      </c>
      <c r="E14">
        <f t="shared" si="2"/>
        <v>2.8166804296516452E-9</v>
      </c>
    </row>
    <row r="15" spans="1:8" x14ac:dyDescent="0.25">
      <c r="A15">
        <v>0.88491698605000002</v>
      </c>
      <c r="B15">
        <v>0</v>
      </c>
      <c r="C15">
        <f t="shared" si="0"/>
        <v>1.0781012630566813E-4</v>
      </c>
      <c r="D15">
        <f t="shared" si="1"/>
        <v>-1.0781012630566813E-4</v>
      </c>
      <c r="E15">
        <f t="shared" si="2"/>
        <v>1.1623023334044115E-8</v>
      </c>
    </row>
    <row r="16" spans="1:8" x14ac:dyDescent="0.25">
      <c r="A16">
        <v>0.89068025895000003</v>
      </c>
      <c r="B16">
        <v>0</v>
      </c>
      <c r="C16">
        <f t="shared" si="0"/>
        <v>2.1799776424249356E-4</v>
      </c>
      <c r="D16">
        <f t="shared" si="1"/>
        <v>-2.1799776424249356E-4</v>
      </c>
      <c r="E16">
        <f t="shared" si="2"/>
        <v>4.7523025214725803E-8</v>
      </c>
    </row>
    <row r="17" spans="1:5" x14ac:dyDescent="0.25">
      <c r="A17">
        <v>0.89644353185000003</v>
      </c>
      <c r="B17">
        <v>0</v>
      </c>
      <c r="C17">
        <f t="shared" si="0"/>
        <v>4.3880525198219917E-4</v>
      </c>
      <c r="D17">
        <f t="shared" si="1"/>
        <v>-4.3880525198219917E-4</v>
      </c>
      <c r="E17">
        <f t="shared" si="2"/>
        <v>1.925500491671613E-7</v>
      </c>
    </row>
    <row r="18" spans="1:5" x14ac:dyDescent="0.25">
      <c r="A18">
        <v>0.90220680475000004</v>
      </c>
      <c r="B18">
        <v>0</v>
      </c>
      <c r="C18">
        <f t="shared" si="0"/>
        <v>8.7931355493062982E-4</v>
      </c>
      <c r="D18">
        <f t="shared" si="1"/>
        <v>-8.7931355493062982E-4</v>
      </c>
      <c r="E18">
        <f t="shared" si="2"/>
        <v>7.7319232788474177E-7</v>
      </c>
    </row>
    <row r="19" spans="1:5" x14ac:dyDescent="0.25">
      <c r="A19">
        <v>0.90797007765000015</v>
      </c>
      <c r="B19">
        <v>0</v>
      </c>
      <c r="C19">
        <f t="shared" si="0"/>
        <v>1.7542516770573944E-3</v>
      </c>
      <c r="D19">
        <f t="shared" si="1"/>
        <v>-1.7542516770573944E-3</v>
      </c>
      <c r="E19">
        <f t="shared" si="2"/>
        <v>3.0773989464586808E-6</v>
      </c>
    </row>
    <row r="20" spans="1:5" x14ac:dyDescent="0.25">
      <c r="A20">
        <v>0.91373335055000005</v>
      </c>
      <c r="B20">
        <v>0</v>
      </c>
      <c r="C20">
        <f t="shared" si="0"/>
        <v>3.4844880854570108E-3</v>
      </c>
      <c r="D20">
        <f t="shared" si="1"/>
        <v>-3.4844880854570108E-3</v>
      </c>
      <c r="E20">
        <f t="shared" si="2"/>
        <v>1.2141657217691865E-5</v>
      </c>
    </row>
    <row r="21" spans="1:5" x14ac:dyDescent="0.25">
      <c r="A21">
        <v>0.91949662344999994</v>
      </c>
      <c r="B21">
        <v>0</v>
      </c>
      <c r="C21">
        <f t="shared" si="0"/>
        <v>6.8913741504502109E-3</v>
      </c>
      <c r="D21">
        <f t="shared" si="1"/>
        <v>-6.8913741504502109E-3</v>
      </c>
      <c r="E21">
        <f t="shared" si="2"/>
        <v>4.7491037681493366E-5</v>
      </c>
    </row>
    <row r="22" spans="1:5" x14ac:dyDescent="0.25">
      <c r="A22">
        <v>0.92525989635000006</v>
      </c>
      <c r="B22">
        <v>0</v>
      </c>
      <c r="C22">
        <f t="shared" si="0"/>
        <v>1.3570938435990111E-2</v>
      </c>
      <c r="D22">
        <f t="shared" si="1"/>
        <v>-1.3570938435990111E-2</v>
      </c>
      <c r="E22">
        <f t="shared" si="2"/>
        <v>1.8417037003343374E-4</v>
      </c>
    </row>
    <row r="23" spans="1:5" x14ac:dyDescent="0.25">
      <c r="A23">
        <v>0.93102316925000017</v>
      </c>
      <c r="B23">
        <v>0</v>
      </c>
      <c r="C23">
        <f t="shared" si="0"/>
        <v>2.6611078720340138E-2</v>
      </c>
      <c r="D23">
        <f t="shared" si="1"/>
        <v>-2.6611078720340138E-2</v>
      </c>
      <c r="E23">
        <f t="shared" si="2"/>
        <v>7.0814951066013976E-4</v>
      </c>
    </row>
    <row r="24" spans="1:5" x14ac:dyDescent="0.25">
      <c r="A24">
        <v>0.93678644215000006</v>
      </c>
      <c r="B24">
        <v>0</v>
      </c>
      <c r="C24">
        <f t="shared" si="0"/>
        <v>5.1959337968622482E-2</v>
      </c>
      <c r="D24">
        <f t="shared" si="1"/>
        <v>-5.1959337968622482E-2</v>
      </c>
      <c r="E24">
        <f t="shared" si="2"/>
        <v>2.6997728021375339E-3</v>
      </c>
    </row>
    <row r="25" spans="1:5" x14ac:dyDescent="0.25">
      <c r="A25">
        <v>0.94254971505000007</v>
      </c>
      <c r="B25">
        <v>0</v>
      </c>
      <c r="C25">
        <f t="shared" si="0"/>
        <v>0.10101637994797795</v>
      </c>
      <c r="D25">
        <f t="shared" si="1"/>
        <v>-0.10101637994797795</v>
      </c>
      <c r="E25">
        <f t="shared" si="2"/>
        <v>1.0204309017794242E-2</v>
      </c>
    </row>
    <row r="26" spans="1:5" x14ac:dyDescent="0.25">
      <c r="A26">
        <v>0.94831298795000007</v>
      </c>
      <c r="B26">
        <v>0</v>
      </c>
      <c r="C26">
        <f t="shared" si="0"/>
        <v>0.19551716613518849</v>
      </c>
      <c r="D26">
        <f t="shared" si="1"/>
        <v>-0.19551716613518849</v>
      </c>
      <c r="E26">
        <f t="shared" si="2"/>
        <v>3.8226962253534898E-2</v>
      </c>
    </row>
    <row r="27" spans="1:5" x14ac:dyDescent="0.25">
      <c r="A27">
        <v>0.95407626085000008</v>
      </c>
      <c r="B27">
        <v>0</v>
      </c>
      <c r="C27">
        <f t="shared" si="0"/>
        <v>0.37662007149480303</v>
      </c>
      <c r="D27">
        <f t="shared" si="1"/>
        <v>-0.37662007149480303</v>
      </c>
      <c r="E27">
        <f t="shared" si="2"/>
        <v>0.14184267825275054</v>
      </c>
    </row>
    <row r="28" spans="1:5" x14ac:dyDescent="0.25">
      <c r="A28">
        <v>0.95983953375000008</v>
      </c>
      <c r="B28">
        <v>0</v>
      </c>
      <c r="C28">
        <f t="shared" si="0"/>
        <v>0.72154198630588784</v>
      </c>
      <c r="D28">
        <f t="shared" si="1"/>
        <v>-0.72154198630588784</v>
      </c>
      <c r="E28">
        <f t="shared" si="2"/>
        <v>0.52062283800224607</v>
      </c>
    </row>
    <row r="29" spans="1:5" x14ac:dyDescent="0.25">
      <c r="A29">
        <v>0.96560280665000009</v>
      </c>
      <c r="B29">
        <v>2.1804903455766491E-2</v>
      </c>
      <c r="C29">
        <f t="shared" si="0"/>
        <v>1.3730821204311137</v>
      </c>
      <c r="D29">
        <f t="shared" si="1"/>
        <v>-1.3512772169753471</v>
      </c>
      <c r="E29">
        <f t="shared" si="2"/>
        <v>1.8259501171166392</v>
      </c>
    </row>
    <row r="30" spans="1:5" x14ac:dyDescent="0.25">
      <c r="A30">
        <v>0.97136607955000009</v>
      </c>
      <c r="B30">
        <v>0.68685445885664442</v>
      </c>
      <c r="C30">
        <f t="shared" si="0"/>
        <v>2.5889488292327014</v>
      </c>
      <c r="D30">
        <f t="shared" si="1"/>
        <v>-1.9020943703760569</v>
      </c>
      <c r="E30">
        <f t="shared" si="2"/>
        <v>3.6179629938162883</v>
      </c>
    </row>
    <row r="31" spans="1:5" x14ac:dyDescent="0.25">
      <c r="A31">
        <v>0.97712935244999999</v>
      </c>
      <c r="B31">
        <v>2.4421491870458469</v>
      </c>
      <c r="C31">
        <f t="shared" si="0"/>
        <v>4.8136845637026999</v>
      </c>
      <c r="D31">
        <f t="shared" si="1"/>
        <v>-2.371535376656853</v>
      </c>
      <c r="E31">
        <f t="shared" si="2"/>
        <v>5.6241800427349613</v>
      </c>
    </row>
    <row r="32" spans="1:5" x14ac:dyDescent="0.25">
      <c r="A32">
        <v>0.9828926253500001</v>
      </c>
      <c r="B32">
        <v>10.291914431121784</v>
      </c>
      <c r="C32">
        <f t="shared" si="0"/>
        <v>8.7470171729740276</v>
      </c>
      <c r="D32">
        <f t="shared" si="1"/>
        <v>1.5448972581477562</v>
      </c>
      <c r="E32">
        <f t="shared" si="2"/>
        <v>2.386707538232455</v>
      </c>
    </row>
    <row r="33" spans="1:5" x14ac:dyDescent="0.25">
      <c r="A33">
        <v>0.98865589825000011</v>
      </c>
      <c r="B33">
        <v>22.491757914623136</v>
      </c>
      <c r="C33">
        <f t="shared" si="0"/>
        <v>15.273955328640723</v>
      </c>
      <c r="D33">
        <f t="shared" si="1"/>
        <v>7.2178025859824135</v>
      </c>
      <c r="E33">
        <f t="shared" si="2"/>
        <v>52.096674170214413</v>
      </c>
    </row>
    <row r="34" spans="1:5" x14ac:dyDescent="0.25">
      <c r="A34">
        <v>0.99441917115000011</v>
      </c>
      <c r="B34">
        <v>32.609233118098786</v>
      </c>
      <c r="C34">
        <f t="shared" si="0"/>
        <v>24.835867935424645</v>
      </c>
      <c r="D34">
        <f t="shared" si="1"/>
        <v>7.7733651826741408</v>
      </c>
      <c r="E34">
        <f t="shared" si="2"/>
        <v>60.425206263210576</v>
      </c>
    </row>
    <row r="35" spans="1:5" x14ac:dyDescent="0.25">
      <c r="A35">
        <v>1.00018244405</v>
      </c>
      <c r="B35">
        <v>38.878142861631652</v>
      </c>
      <c r="C35">
        <f t="shared" si="0"/>
        <v>35.465669473143286</v>
      </c>
      <c r="D35">
        <f t="shared" si="1"/>
        <v>3.4124733884883653</v>
      </c>
      <c r="E35">
        <f t="shared" si="2"/>
        <v>11.644974627141266</v>
      </c>
    </row>
    <row r="36" spans="1:5" x14ac:dyDescent="0.25">
      <c r="A36">
        <v>1.0059457169499999</v>
      </c>
      <c r="B36">
        <v>32.085915435160388</v>
      </c>
      <c r="C36">
        <f t="shared" si="0"/>
        <v>39.902983988116041</v>
      </c>
      <c r="D36">
        <f t="shared" si="1"/>
        <v>-7.8170685529556536</v>
      </c>
      <c r="E36">
        <f t="shared" si="2"/>
        <v>61.106560761608193</v>
      </c>
    </row>
    <row r="37" spans="1:5" x14ac:dyDescent="0.25">
      <c r="A37">
        <v>1.0117089898500002</v>
      </c>
      <c r="B37">
        <v>21.488732355657877</v>
      </c>
      <c r="C37">
        <f t="shared" si="0"/>
        <v>28.950468199674557</v>
      </c>
      <c r="D37">
        <f t="shared" si="1"/>
        <v>-7.4617358440166797</v>
      </c>
      <c r="E37">
        <f t="shared" si="2"/>
        <v>55.67750180588331</v>
      </c>
    </row>
    <row r="38" spans="1:5" x14ac:dyDescent="0.25">
      <c r="A38">
        <v>1.0174722627500001</v>
      </c>
      <c r="B38">
        <v>9.408815841163241</v>
      </c>
      <c r="C38">
        <f t="shared" si="0"/>
        <v>9.3688932221036207</v>
      </c>
      <c r="D38">
        <f t="shared" si="1"/>
        <v>3.9922619059620246E-2</v>
      </c>
      <c r="E38">
        <f t="shared" si="2"/>
        <v>1.5938155125795536E-3</v>
      </c>
    </row>
    <row r="39" spans="1:5" x14ac:dyDescent="0.25">
      <c r="A39">
        <v>1.02323553565</v>
      </c>
      <c r="B39">
        <v>2.4857589939573801</v>
      </c>
      <c r="C39">
        <f t="shared" si="0"/>
        <v>0.68813731621740215</v>
      </c>
      <c r="D39">
        <f t="shared" si="1"/>
        <v>1.7976216777399778</v>
      </c>
      <c r="E39">
        <f t="shared" si="2"/>
        <v>3.2314436962806927</v>
      </c>
    </row>
    <row r="40" spans="1:5" x14ac:dyDescent="0.25">
      <c r="A40">
        <v>1.0289988085499999</v>
      </c>
      <c r="B40">
        <v>0.61053729676146173</v>
      </c>
      <c r="C40">
        <f t="shared" si="0"/>
        <v>3.3387170283563261E-3</v>
      </c>
      <c r="D40">
        <f t="shared" si="1"/>
        <v>0.60719857973310543</v>
      </c>
      <c r="E40">
        <f t="shared" si="2"/>
        <v>0.36869011522990036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Brody</vt:lpstr>
      <vt:lpstr>0.0001</vt:lpstr>
      <vt:lpstr>0.001</vt:lpstr>
      <vt:lpstr>0.005</vt:lpstr>
      <vt:lpstr>0.01</vt:lpstr>
      <vt:lpstr>0.025</vt:lpstr>
      <vt:lpstr>0.05</vt:lpstr>
      <vt:lpstr>0.075</vt:lpstr>
      <vt:lpstr>0.1</vt:lpstr>
      <vt:lpstr>0.15</vt:lpstr>
      <vt:lpstr>0.2</vt:lpstr>
      <vt:lpstr>0.25</vt:lpstr>
      <vt:lpstr>0.3</vt:lpstr>
      <vt:lpstr>0.35</vt:lpstr>
      <vt:lpstr>0.4</vt:lpstr>
      <vt:lpstr>0.45</vt:lpstr>
      <vt:lpstr>0.5</vt:lpstr>
      <vt:lpstr>0.55</vt:lpstr>
      <vt:lpstr>0.6</vt:lpstr>
      <vt:lpstr>0.65</vt:lpstr>
      <vt:lpstr>0.7</vt:lpstr>
      <vt:lpstr>0.75</vt:lpstr>
      <vt:lpstr>0.8</vt:lpstr>
      <vt:lpstr>0.85</vt:lpstr>
      <vt:lpstr>0.9</vt:lpstr>
      <vt:lpstr>0.925</vt:lpstr>
      <vt:lpstr>0.95</vt:lpstr>
      <vt:lpstr>0.975</vt:lpstr>
      <vt:lpstr>0.99</vt:lpstr>
      <vt:lpstr>0.995</vt:lpstr>
      <vt:lpstr>0.999</vt:lpstr>
      <vt:lpstr>0.9999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Luis Castillo Sánchez</cp:lastModifiedBy>
  <dcterms:created xsi:type="dcterms:W3CDTF">2018-05-22T02:41:32Z</dcterms:created>
  <dcterms:modified xsi:type="dcterms:W3CDTF">2024-10-03T00:07:20Z</dcterms:modified>
</cp:coreProperties>
</file>