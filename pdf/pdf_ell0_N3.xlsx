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14a35179d3ab5a9/Desktop/Julia/AD_2024/circ_transition/pdf/"/>
    </mc:Choice>
  </mc:AlternateContent>
  <xr:revisionPtr revIDLastSave="2517" documentId="115_{74F1F654-5603-4B7E-9885-1F8E9D30BCD1}" xr6:coauthVersionLast="47" xr6:coauthVersionMax="47" xr10:uidLastSave="{8DC14820-BB44-4B71-BD5E-C10D04B10292}"/>
  <bookViews>
    <workbookView xWindow="-120" yWindow="-120" windowWidth="29040" windowHeight="15720" xr2:uid="{52D9C27D-0EF6-DD41-9728-0267E68F7539}"/>
  </bookViews>
  <sheets>
    <sheet name="Brody" sheetId="34" r:id="rId1"/>
    <sheet name="0.0001" sheetId="2" r:id="rId2"/>
    <sheet name="0.001" sheetId="3" r:id="rId3"/>
    <sheet name="0.005" sheetId="4" r:id="rId4"/>
    <sheet name="0.01" sheetId="5" r:id="rId5"/>
    <sheet name="0.025" sheetId="6" r:id="rId6"/>
    <sheet name="0.05" sheetId="7" r:id="rId7"/>
    <sheet name="0.075" sheetId="8" r:id="rId8"/>
    <sheet name="0.1" sheetId="9" r:id="rId9"/>
    <sheet name="0.15" sheetId="10" r:id="rId10"/>
    <sheet name="0.2" sheetId="11" r:id="rId11"/>
    <sheet name="0.25" sheetId="12" r:id="rId12"/>
    <sheet name="0.3" sheetId="13" r:id="rId13"/>
    <sheet name="0.35" sheetId="14" r:id="rId14"/>
    <sheet name="0.4" sheetId="15" r:id="rId15"/>
    <sheet name="0.45" sheetId="16" r:id="rId16"/>
    <sheet name="0.5" sheetId="17" r:id="rId17"/>
    <sheet name="0.55" sheetId="18" r:id="rId18"/>
    <sheet name="0.6" sheetId="19" r:id="rId19"/>
    <sheet name="0.65" sheetId="20" r:id="rId20"/>
    <sheet name="0.7" sheetId="21" r:id="rId21"/>
    <sheet name="0.75" sheetId="22" r:id="rId22"/>
    <sheet name="0.8" sheetId="23" r:id="rId23"/>
    <sheet name="0.85" sheetId="24" r:id="rId24"/>
    <sheet name="0.9" sheetId="25" r:id="rId25"/>
    <sheet name="0.925" sheetId="26" r:id="rId26"/>
    <sheet name="0.95" sheetId="27" r:id="rId27"/>
    <sheet name="0.975" sheetId="28" r:id="rId28"/>
    <sheet name="0.99" sheetId="29" r:id="rId29"/>
    <sheet name="0.995" sheetId="30" r:id="rId30"/>
    <sheet name="0.999" sheetId="31" r:id="rId31"/>
    <sheet name="0.9999" sheetId="32" r:id="rId32"/>
  </sheets>
  <definedNames>
    <definedName name="solver_adj" localSheetId="1" hidden="1">'0.0001'!$H$1</definedName>
    <definedName name="solver_adj" localSheetId="2" hidden="1">'0.001'!$H$1</definedName>
    <definedName name="solver_adj" localSheetId="3" hidden="1">'0.005'!$H$1</definedName>
    <definedName name="solver_adj" localSheetId="4" hidden="1">'0.01'!$H$1</definedName>
    <definedName name="solver_adj" localSheetId="5" hidden="1">'0.025'!$H$1</definedName>
    <definedName name="solver_adj" localSheetId="6" hidden="1">'0.05'!$H$1</definedName>
    <definedName name="solver_adj" localSheetId="7" hidden="1">'0.075'!$H$1</definedName>
    <definedName name="solver_adj" localSheetId="8" hidden="1">'0.1'!$H$1</definedName>
    <definedName name="solver_adj" localSheetId="9" hidden="1">'0.15'!$H$1</definedName>
    <definedName name="solver_adj" localSheetId="10" hidden="1">'0.2'!$H$1</definedName>
    <definedName name="solver_adj" localSheetId="11" hidden="1">'0.25'!$H$1</definedName>
    <definedName name="solver_adj" localSheetId="12" hidden="1">'0.3'!$H$1</definedName>
    <definedName name="solver_adj" localSheetId="13" hidden="1">'0.35'!$H$1</definedName>
    <definedName name="solver_adj" localSheetId="14" hidden="1">'0.4'!$H$1</definedName>
    <definedName name="solver_adj" localSheetId="15" hidden="1">'0.45'!$H$1</definedName>
    <definedName name="solver_adj" localSheetId="16" hidden="1">'0.5'!$H$1</definedName>
    <definedName name="solver_adj" localSheetId="17" hidden="1">'0.55'!$H$1</definedName>
    <definedName name="solver_adj" localSheetId="18" hidden="1">'0.6'!$H$1</definedName>
    <definedName name="solver_adj" localSheetId="19" hidden="1">'0.65'!$H$1</definedName>
    <definedName name="solver_adj" localSheetId="20" hidden="1">'0.7'!$H$1</definedName>
    <definedName name="solver_adj" localSheetId="21" hidden="1">'0.75'!$H$1</definedName>
    <definedName name="solver_adj" localSheetId="22" hidden="1">'0.8'!$H$1</definedName>
    <definedName name="solver_adj" localSheetId="23" hidden="1">'0.85'!$H$1</definedName>
    <definedName name="solver_adj" localSheetId="24" hidden="1">'0.9'!$H$1</definedName>
    <definedName name="solver_adj" localSheetId="25" hidden="1">'0.925'!$H$1</definedName>
    <definedName name="solver_adj" localSheetId="26" hidden="1">'0.95'!$H$1</definedName>
    <definedName name="solver_adj" localSheetId="27" hidden="1">'0.975'!$H$1</definedName>
    <definedName name="solver_adj" localSheetId="28" hidden="1">'0.99'!$H$1</definedName>
    <definedName name="solver_adj" localSheetId="29" hidden="1">'0.995'!$H$1</definedName>
    <definedName name="solver_adj" localSheetId="30" hidden="1">'0.999'!$H$1</definedName>
    <definedName name="solver_adj" localSheetId="31" hidden="1">'0.9999'!$H$1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cvg" localSheetId="5" hidden="1">0.0001</definedName>
    <definedName name="solver_cvg" localSheetId="6" hidden="1">0.0001</definedName>
    <definedName name="solver_cvg" localSheetId="7" hidden="1">0.0001</definedName>
    <definedName name="solver_cvg" localSheetId="8" hidden="1">0.0001</definedName>
    <definedName name="solver_cvg" localSheetId="9" hidden="1">0.0001</definedName>
    <definedName name="solver_cvg" localSheetId="10" hidden="1">0.0001</definedName>
    <definedName name="solver_cvg" localSheetId="11" hidden="1">0.0001</definedName>
    <definedName name="solver_cvg" localSheetId="12" hidden="1">0.0001</definedName>
    <definedName name="solver_cvg" localSheetId="13" hidden="1">0.0001</definedName>
    <definedName name="solver_cvg" localSheetId="14" hidden="1">0.0001</definedName>
    <definedName name="solver_cvg" localSheetId="15" hidden="1">0.0001</definedName>
    <definedName name="solver_cvg" localSheetId="16" hidden="1">0.0001</definedName>
    <definedName name="solver_cvg" localSheetId="17" hidden="1">0.0001</definedName>
    <definedName name="solver_cvg" localSheetId="18" hidden="1">0.0001</definedName>
    <definedName name="solver_cvg" localSheetId="19" hidden="1">0.0001</definedName>
    <definedName name="solver_cvg" localSheetId="20" hidden="1">0.0001</definedName>
    <definedName name="solver_cvg" localSheetId="21" hidden="1">0.0001</definedName>
    <definedName name="solver_cvg" localSheetId="22" hidden="1">0.0001</definedName>
    <definedName name="solver_cvg" localSheetId="23" hidden="1">0.0001</definedName>
    <definedName name="solver_cvg" localSheetId="24" hidden="1">0.0001</definedName>
    <definedName name="solver_cvg" localSheetId="25" hidden="1">0.0001</definedName>
    <definedName name="solver_cvg" localSheetId="26" hidden="1">0.0001</definedName>
    <definedName name="solver_cvg" localSheetId="27" hidden="1">0.0001</definedName>
    <definedName name="solver_cvg" localSheetId="28" hidden="1">0.0001</definedName>
    <definedName name="solver_cvg" localSheetId="29" hidden="1">0.0001</definedName>
    <definedName name="solver_cvg" localSheetId="30" hidden="1">0.0001</definedName>
    <definedName name="solver_cvg" localSheetId="31" hidden="1">0.0001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drv" localSheetId="5" hidden="1">1</definedName>
    <definedName name="solver_drv" localSheetId="6" hidden="1">1</definedName>
    <definedName name="solver_drv" localSheetId="7" hidden="1">1</definedName>
    <definedName name="solver_drv" localSheetId="8" hidden="1">1</definedName>
    <definedName name="solver_drv" localSheetId="9" hidden="1">1</definedName>
    <definedName name="solver_drv" localSheetId="10" hidden="1">1</definedName>
    <definedName name="solver_drv" localSheetId="11" hidden="1">1</definedName>
    <definedName name="solver_drv" localSheetId="12" hidden="1">1</definedName>
    <definedName name="solver_drv" localSheetId="13" hidden="1">1</definedName>
    <definedName name="solver_drv" localSheetId="14" hidden="1">1</definedName>
    <definedName name="solver_drv" localSheetId="15" hidden="1">1</definedName>
    <definedName name="solver_drv" localSheetId="16" hidden="1">1</definedName>
    <definedName name="solver_drv" localSheetId="17" hidden="1">1</definedName>
    <definedName name="solver_drv" localSheetId="18" hidden="1">1</definedName>
    <definedName name="solver_drv" localSheetId="19" hidden="1">1</definedName>
    <definedName name="solver_drv" localSheetId="20" hidden="1">1</definedName>
    <definedName name="solver_drv" localSheetId="21" hidden="1">1</definedName>
    <definedName name="solver_drv" localSheetId="22" hidden="1">1</definedName>
    <definedName name="solver_drv" localSheetId="23" hidden="1">1</definedName>
    <definedName name="solver_drv" localSheetId="24" hidden="1">1</definedName>
    <definedName name="solver_drv" localSheetId="25" hidden="1">1</definedName>
    <definedName name="solver_drv" localSheetId="26" hidden="1">1</definedName>
    <definedName name="solver_drv" localSheetId="27" hidden="1">1</definedName>
    <definedName name="solver_drv" localSheetId="28" hidden="1">1</definedName>
    <definedName name="solver_drv" localSheetId="29" hidden="1">1</definedName>
    <definedName name="solver_drv" localSheetId="30" hidden="1">1</definedName>
    <definedName name="solver_drv" localSheetId="31" hidden="1">1</definedName>
    <definedName name="solver_eng" localSheetId="1" hidden="1">1</definedName>
    <definedName name="solver_eng" localSheetId="2" hidden="1">1</definedName>
    <definedName name="solver_eng" localSheetId="3" hidden="1">1</definedName>
    <definedName name="solver_eng" localSheetId="4" hidden="1">1</definedName>
    <definedName name="solver_eng" localSheetId="5" hidden="1">1</definedName>
    <definedName name="solver_eng" localSheetId="6" hidden="1">1</definedName>
    <definedName name="solver_eng" localSheetId="7" hidden="1">1</definedName>
    <definedName name="solver_eng" localSheetId="8" hidden="1">1</definedName>
    <definedName name="solver_eng" localSheetId="9" hidden="1">1</definedName>
    <definedName name="solver_eng" localSheetId="10" hidden="1">1</definedName>
    <definedName name="solver_eng" localSheetId="11" hidden="1">1</definedName>
    <definedName name="solver_eng" localSheetId="12" hidden="1">1</definedName>
    <definedName name="solver_eng" localSheetId="13" hidden="1">1</definedName>
    <definedName name="solver_eng" localSheetId="14" hidden="1">1</definedName>
    <definedName name="solver_eng" localSheetId="15" hidden="1">1</definedName>
    <definedName name="solver_eng" localSheetId="16" hidden="1">1</definedName>
    <definedName name="solver_eng" localSheetId="17" hidden="1">1</definedName>
    <definedName name="solver_eng" localSheetId="18" hidden="1">1</definedName>
    <definedName name="solver_eng" localSheetId="19" hidden="1">1</definedName>
    <definedName name="solver_eng" localSheetId="20" hidden="1">1</definedName>
    <definedName name="solver_eng" localSheetId="21" hidden="1">1</definedName>
    <definedName name="solver_eng" localSheetId="22" hidden="1">1</definedName>
    <definedName name="solver_eng" localSheetId="23" hidden="1">1</definedName>
    <definedName name="solver_eng" localSheetId="24" hidden="1">1</definedName>
    <definedName name="solver_eng" localSheetId="25" hidden="1">1</definedName>
    <definedName name="solver_eng" localSheetId="26" hidden="1">1</definedName>
    <definedName name="solver_eng" localSheetId="27" hidden="1">1</definedName>
    <definedName name="solver_eng" localSheetId="28" hidden="1">1</definedName>
    <definedName name="solver_eng" localSheetId="29" hidden="1">1</definedName>
    <definedName name="solver_eng" localSheetId="30" hidden="1">1</definedName>
    <definedName name="solver_eng" localSheetId="31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est" localSheetId="5" hidden="1">1</definedName>
    <definedName name="solver_est" localSheetId="6" hidden="1">1</definedName>
    <definedName name="solver_est" localSheetId="7" hidden="1">1</definedName>
    <definedName name="solver_est" localSheetId="8" hidden="1">1</definedName>
    <definedName name="solver_est" localSheetId="9" hidden="1">1</definedName>
    <definedName name="solver_est" localSheetId="10" hidden="1">1</definedName>
    <definedName name="solver_est" localSheetId="11" hidden="1">1</definedName>
    <definedName name="solver_est" localSheetId="12" hidden="1">1</definedName>
    <definedName name="solver_est" localSheetId="13" hidden="1">1</definedName>
    <definedName name="solver_est" localSheetId="14" hidden="1">1</definedName>
    <definedName name="solver_est" localSheetId="15" hidden="1">1</definedName>
    <definedName name="solver_est" localSheetId="16" hidden="1">1</definedName>
    <definedName name="solver_est" localSheetId="17" hidden="1">1</definedName>
    <definedName name="solver_est" localSheetId="18" hidden="1">1</definedName>
    <definedName name="solver_est" localSheetId="19" hidden="1">1</definedName>
    <definedName name="solver_est" localSheetId="20" hidden="1">1</definedName>
    <definedName name="solver_est" localSheetId="21" hidden="1">1</definedName>
    <definedName name="solver_est" localSheetId="22" hidden="1">1</definedName>
    <definedName name="solver_est" localSheetId="23" hidden="1">1</definedName>
    <definedName name="solver_est" localSheetId="24" hidden="1">1</definedName>
    <definedName name="solver_est" localSheetId="25" hidden="1">1</definedName>
    <definedName name="solver_est" localSheetId="26" hidden="1">1</definedName>
    <definedName name="solver_est" localSheetId="27" hidden="1">1</definedName>
    <definedName name="solver_est" localSheetId="28" hidden="1">1</definedName>
    <definedName name="solver_est" localSheetId="29" hidden="1">1</definedName>
    <definedName name="solver_est" localSheetId="30" hidden="1">1</definedName>
    <definedName name="solver_est" localSheetId="31" hidden="1">1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itr" localSheetId="5" hidden="1">2147483647</definedName>
    <definedName name="solver_itr" localSheetId="6" hidden="1">2147483647</definedName>
    <definedName name="solver_itr" localSheetId="7" hidden="1">2147483647</definedName>
    <definedName name="solver_itr" localSheetId="8" hidden="1">2147483647</definedName>
    <definedName name="solver_itr" localSheetId="9" hidden="1">2147483647</definedName>
    <definedName name="solver_itr" localSheetId="10" hidden="1">2147483647</definedName>
    <definedName name="solver_itr" localSheetId="11" hidden="1">2147483647</definedName>
    <definedName name="solver_itr" localSheetId="12" hidden="1">2147483647</definedName>
    <definedName name="solver_itr" localSheetId="13" hidden="1">2147483647</definedName>
    <definedName name="solver_itr" localSheetId="14" hidden="1">2147483647</definedName>
    <definedName name="solver_itr" localSheetId="15" hidden="1">2147483647</definedName>
    <definedName name="solver_itr" localSheetId="16" hidden="1">2147483647</definedName>
    <definedName name="solver_itr" localSheetId="17" hidden="1">2147483647</definedName>
    <definedName name="solver_itr" localSheetId="18" hidden="1">2147483647</definedName>
    <definedName name="solver_itr" localSheetId="19" hidden="1">2147483647</definedName>
    <definedName name="solver_itr" localSheetId="20" hidden="1">2147483647</definedName>
    <definedName name="solver_itr" localSheetId="21" hidden="1">2147483647</definedName>
    <definedName name="solver_itr" localSheetId="22" hidden="1">2147483647</definedName>
    <definedName name="solver_itr" localSheetId="23" hidden="1">2147483647</definedName>
    <definedName name="solver_itr" localSheetId="24" hidden="1">2147483647</definedName>
    <definedName name="solver_itr" localSheetId="25" hidden="1">2147483647</definedName>
    <definedName name="solver_itr" localSheetId="26" hidden="1">2147483647</definedName>
    <definedName name="solver_itr" localSheetId="27" hidden="1">2147483647</definedName>
    <definedName name="solver_itr" localSheetId="28" hidden="1">2147483647</definedName>
    <definedName name="solver_itr" localSheetId="29" hidden="1">2147483647</definedName>
    <definedName name="solver_itr" localSheetId="30" hidden="1">2147483647</definedName>
    <definedName name="solver_itr" localSheetId="31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ip" localSheetId="5" hidden="1">2147483647</definedName>
    <definedName name="solver_mip" localSheetId="6" hidden="1">2147483647</definedName>
    <definedName name="solver_mip" localSheetId="7" hidden="1">2147483647</definedName>
    <definedName name="solver_mip" localSheetId="8" hidden="1">2147483647</definedName>
    <definedName name="solver_mip" localSheetId="9" hidden="1">2147483647</definedName>
    <definedName name="solver_mip" localSheetId="10" hidden="1">2147483647</definedName>
    <definedName name="solver_mip" localSheetId="11" hidden="1">2147483647</definedName>
    <definedName name="solver_mip" localSheetId="12" hidden="1">2147483647</definedName>
    <definedName name="solver_mip" localSheetId="13" hidden="1">2147483647</definedName>
    <definedName name="solver_mip" localSheetId="14" hidden="1">2147483647</definedName>
    <definedName name="solver_mip" localSheetId="15" hidden="1">2147483647</definedName>
    <definedName name="solver_mip" localSheetId="16" hidden="1">2147483647</definedName>
    <definedName name="solver_mip" localSheetId="17" hidden="1">2147483647</definedName>
    <definedName name="solver_mip" localSheetId="18" hidden="1">2147483647</definedName>
    <definedName name="solver_mip" localSheetId="19" hidden="1">2147483647</definedName>
    <definedName name="solver_mip" localSheetId="20" hidden="1">2147483647</definedName>
    <definedName name="solver_mip" localSheetId="21" hidden="1">2147483647</definedName>
    <definedName name="solver_mip" localSheetId="22" hidden="1">2147483647</definedName>
    <definedName name="solver_mip" localSheetId="23" hidden="1">2147483647</definedName>
    <definedName name="solver_mip" localSheetId="24" hidden="1">2147483647</definedName>
    <definedName name="solver_mip" localSheetId="25" hidden="1">2147483647</definedName>
    <definedName name="solver_mip" localSheetId="26" hidden="1">2147483647</definedName>
    <definedName name="solver_mip" localSheetId="27" hidden="1">2147483647</definedName>
    <definedName name="solver_mip" localSheetId="28" hidden="1">2147483647</definedName>
    <definedName name="solver_mip" localSheetId="29" hidden="1">2147483647</definedName>
    <definedName name="solver_mip" localSheetId="30" hidden="1">2147483647</definedName>
    <definedName name="solver_mip" localSheetId="31" hidden="1">2147483647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ni" localSheetId="5" hidden="1">30</definedName>
    <definedName name="solver_mni" localSheetId="6" hidden="1">30</definedName>
    <definedName name="solver_mni" localSheetId="7" hidden="1">30</definedName>
    <definedName name="solver_mni" localSheetId="8" hidden="1">30</definedName>
    <definedName name="solver_mni" localSheetId="9" hidden="1">30</definedName>
    <definedName name="solver_mni" localSheetId="10" hidden="1">30</definedName>
    <definedName name="solver_mni" localSheetId="11" hidden="1">30</definedName>
    <definedName name="solver_mni" localSheetId="12" hidden="1">30</definedName>
    <definedName name="solver_mni" localSheetId="13" hidden="1">30</definedName>
    <definedName name="solver_mni" localSheetId="14" hidden="1">30</definedName>
    <definedName name="solver_mni" localSheetId="15" hidden="1">30</definedName>
    <definedName name="solver_mni" localSheetId="16" hidden="1">30</definedName>
    <definedName name="solver_mni" localSheetId="17" hidden="1">30</definedName>
    <definedName name="solver_mni" localSheetId="18" hidden="1">30</definedName>
    <definedName name="solver_mni" localSheetId="19" hidden="1">30</definedName>
    <definedName name="solver_mni" localSheetId="20" hidden="1">30</definedName>
    <definedName name="solver_mni" localSheetId="21" hidden="1">30</definedName>
    <definedName name="solver_mni" localSheetId="22" hidden="1">30</definedName>
    <definedName name="solver_mni" localSheetId="23" hidden="1">30</definedName>
    <definedName name="solver_mni" localSheetId="24" hidden="1">30</definedName>
    <definedName name="solver_mni" localSheetId="25" hidden="1">30</definedName>
    <definedName name="solver_mni" localSheetId="26" hidden="1">30</definedName>
    <definedName name="solver_mni" localSheetId="27" hidden="1">30</definedName>
    <definedName name="solver_mni" localSheetId="28" hidden="1">30</definedName>
    <definedName name="solver_mni" localSheetId="29" hidden="1">30</definedName>
    <definedName name="solver_mni" localSheetId="30" hidden="1">30</definedName>
    <definedName name="solver_mni" localSheetId="31" hidden="1">30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rt" localSheetId="5" hidden="1">0.075</definedName>
    <definedName name="solver_mrt" localSheetId="6" hidden="1">0.075</definedName>
    <definedName name="solver_mrt" localSheetId="7" hidden="1">0.075</definedName>
    <definedName name="solver_mrt" localSheetId="8" hidden="1">0.075</definedName>
    <definedName name="solver_mrt" localSheetId="9" hidden="1">0.075</definedName>
    <definedName name="solver_mrt" localSheetId="10" hidden="1">0.075</definedName>
    <definedName name="solver_mrt" localSheetId="11" hidden="1">0.075</definedName>
    <definedName name="solver_mrt" localSheetId="12" hidden="1">0.075</definedName>
    <definedName name="solver_mrt" localSheetId="13" hidden="1">0.075</definedName>
    <definedName name="solver_mrt" localSheetId="14" hidden="1">0.075</definedName>
    <definedName name="solver_mrt" localSheetId="15" hidden="1">0.075</definedName>
    <definedName name="solver_mrt" localSheetId="16" hidden="1">0.075</definedName>
    <definedName name="solver_mrt" localSheetId="17" hidden="1">0.075</definedName>
    <definedName name="solver_mrt" localSheetId="18" hidden="1">0.075</definedName>
    <definedName name="solver_mrt" localSheetId="19" hidden="1">0.075</definedName>
    <definedName name="solver_mrt" localSheetId="20" hidden="1">0.075</definedName>
    <definedName name="solver_mrt" localSheetId="21" hidden="1">0.075</definedName>
    <definedName name="solver_mrt" localSheetId="22" hidden="1">0.075</definedName>
    <definedName name="solver_mrt" localSheetId="23" hidden="1">0.075</definedName>
    <definedName name="solver_mrt" localSheetId="24" hidden="1">0.075</definedName>
    <definedName name="solver_mrt" localSheetId="25" hidden="1">0.075</definedName>
    <definedName name="solver_mrt" localSheetId="26" hidden="1">0.075</definedName>
    <definedName name="solver_mrt" localSheetId="27" hidden="1">0.075</definedName>
    <definedName name="solver_mrt" localSheetId="28" hidden="1">0.075</definedName>
    <definedName name="solver_mrt" localSheetId="29" hidden="1">0.075</definedName>
    <definedName name="solver_mrt" localSheetId="30" hidden="1">0.075</definedName>
    <definedName name="solver_mrt" localSheetId="31" hidden="1">0.075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msl" localSheetId="5" hidden="1">2</definedName>
    <definedName name="solver_msl" localSheetId="6" hidden="1">2</definedName>
    <definedName name="solver_msl" localSheetId="7" hidden="1">2</definedName>
    <definedName name="solver_msl" localSheetId="8" hidden="1">2</definedName>
    <definedName name="solver_msl" localSheetId="9" hidden="1">2</definedName>
    <definedName name="solver_msl" localSheetId="10" hidden="1">2</definedName>
    <definedName name="solver_msl" localSheetId="11" hidden="1">2</definedName>
    <definedName name="solver_msl" localSheetId="12" hidden="1">2</definedName>
    <definedName name="solver_msl" localSheetId="13" hidden="1">2</definedName>
    <definedName name="solver_msl" localSheetId="14" hidden="1">2</definedName>
    <definedName name="solver_msl" localSheetId="15" hidden="1">2</definedName>
    <definedName name="solver_msl" localSheetId="16" hidden="1">2</definedName>
    <definedName name="solver_msl" localSheetId="17" hidden="1">2</definedName>
    <definedName name="solver_msl" localSheetId="18" hidden="1">2</definedName>
    <definedName name="solver_msl" localSheetId="19" hidden="1">2</definedName>
    <definedName name="solver_msl" localSheetId="20" hidden="1">2</definedName>
    <definedName name="solver_msl" localSheetId="21" hidden="1">2</definedName>
    <definedName name="solver_msl" localSheetId="22" hidden="1">2</definedName>
    <definedName name="solver_msl" localSheetId="23" hidden="1">2</definedName>
    <definedName name="solver_msl" localSheetId="24" hidden="1">2</definedName>
    <definedName name="solver_msl" localSheetId="25" hidden="1">2</definedName>
    <definedName name="solver_msl" localSheetId="26" hidden="1">2</definedName>
    <definedName name="solver_msl" localSheetId="27" hidden="1">2</definedName>
    <definedName name="solver_msl" localSheetId="28" hidden="1">2</definedName>
    <definedName name="solver_msl" localSheetId="29" hidden="1">2</definedName>
    <definedName name="solver_msl" localSheetId="30" hidden="1">2</definedName>
    <definedName name="solver_msl" localSheetId="31" hidden="1">2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eg" localSheetId="5" hidden="1">1</definedName>
    <definedName name="solver_neg" localSheetId="6" hidden="1">1</definedName>
    <definedName name="solver_neg" localSheetId="7" hidden="1">1</definedName>
    <definedName name="solver_neg" localSheetId="8" hidden="1">1</definedName>
    <definedName name="solver_neg" localSheetId="9" hidden="1">1</definedName>
    <definedName name="solver_neg" localSheetId="10" hidden="1">1</definedName>
    <definedName name="solver_neg" localSheetId="11" hidden="1">1</definedName>
    <definedName name="solver_neg" localSheetId="12" hidden="1">1</definedName>
    <definedName name="solver_neg" localSheetId="13" hidden="1">1</definedName>
    <definedName name="solver_neg" localSheetId="14" hidden="1">1</definedName>
    <definedName name="solver_neg" localSheetId="15" hidden="1">1</definedName>
    <definedName name="solver_neg" localSheetId="16" hidden="1">1</definedName>
    <definedName name="solver_neg" localSheetId="17" hidden="1">1</definedName>
    <definedName name="solver_neg" localSheetId="18" hidden="1">1</definedName>
    <definedName name="solver_neg" localSheetId="19" hidden="1">1</definedName>
    <definedName name="solver_neg" localSheetId="20" hidden="1">1</definedName>
    <definedName name="solver_neg" localSheetId="21" hidden="1">1</definedName>
    <definedName name="solver_neg" localSheetId="22" hidden="1">1</definedName>
    <definedName name="solver_neg" localSheetId="23" hidden="1">1</definedName>
    <definedName name="solver_neg" localSheetId="24" hidden="1">1</definedName>
    <definedName name="solver_neg" localSheetId="25" hidden="1">1</definedName>
    <definedName name="solver_neg" localSheetId="26" hidden="1">1</definedName>
    <definedName name="solver_neg" localSheetId="27" hidden="1">1</definedName>
    <definedName name="solver_neg" localSheetId="28" hidden="1">1</definedName>
    <definedName name="solver_neg" localSheetId="29" hidden="1">1</definedName>
    <definedName name="solver_neg" localSheetId="30" hidden="1">1</definedName>
    <definedName name="solver_neg" localSheetId="31" hidden="1">1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od" localSheetId="5" hidden="1">2147483647</definedName>
    <definedName name="solver_nod" localSheetId="6" hidden="1">2147483647</definedName>
    <definedName name="solver_nod" localSheetId="7" hidden="1">2147483647</definedName>
    <definedName name="solver_nod" localSheetId="8" hidden="1">2147483647</definedName>
    <definedName name="solver_nod" localSheetId="9" hidden="1">2147483647</definedName>
    <definedName name="solver_nod" localSheetId="10" hidden="1">2147483647</definedName>
    <definedName name="solver_nod" localSheetId="11" hidden="1">2147483647</definedName>
    <definedName name="solver_nod" localSheetId="12" hidden="1">2147483647</definedName>
    <definedName name="solver_nod" localSheetId="13" hidden="1">2147483647</definedName>
    <definedName name="solver_nod" localSheetId="14" hidden="1">2147483647</definedName>
    <definedName name="solver_nod" localSheetId="15" hidden="1">2147483647</definedName>
    <definedName name="solver_nod" localSheetId="16" hidden="1">2147483647</definedName>
    <definedName name="solver_nod" localSheetId="17" hidden="1">2147483647</definedName>
    <definedName name="solver_nod" localSheetId="18" hidden="1">2147483647</definedName>
    <definedName name="solver_nod" localSheetId="19" hidden="1">2147483647</definedName>
    <definedName name="solver_nod" localSheetId="20" hidden="1">2147483647</definedName>
    <definedName name="solver_nod" localSheetId="21" hidden="1">2147483647</definedName>
    <definedName name="solver_nod" localSheetId="22" hidden="1">2147483647</definedName>
    <definedName name="solver_nod" localSheetId="23" hidden="1">2147483647</definedName>
    <definedName name="solver_nod" localSheetId="24" hidden="1">2147483647</definedName>
    <definedName name="solver_nod" localSheetId="25" hidden="1">2147483647</definedName>
    <definedName name="solver_nod" localSheetId="26" hidden="1">2147483647</definedName>
    <definedName name="solver_nod" localSheetId="27" hidden="1">2147483647</definedName>
    <definedName name="solver_nod" localSheetId="28" hidden="1">2147483647</definedName>
    <definedName name="solver_nod" localSheetId="29" hidden="1">2147483647</definedName>
    <definedName name="solver_nod" localSheetId="30" hidden="1">2147483647</definedName>
    <definedName name="solver_nod" localSheetId="31" hidden="1">2147483647</definedName>
    <definedName name="solver_num" localSheetId="1" hidden="1">0</definedName>
    <definedName name="solver_num" localSheetId="2" hidden="1">0</definedName>
    <definedName name="solver_num" localSheetId="3" hidden="1">0</definedName>
    <definedName name="solver_num" localSheetId="4" hidden="1">0</definedName>
    <definedName name="solver_num" localSheetId="5" hidden="1">0</definedName>
    <definedName name="solver_num" localSheetId="6" hidden="1">0</definedName>
    <definedName name="solver_num" localSheetId="7" hidden="1">0</definedName>
    <definedName name="solver_num" localSheetId="8" hidden="1">0</definedName>
    <definedName name="solver_num" localSheetId="9" hidden="1">0</definedName>
    <definedName name="solver_num" localSheetId="10" hidden="1">0</definedName>
    <definedName name="solver_num" localSheetId="11" hidden="1">0</definedName>
    <definedName name="solver_num" localSheetId="12" hidden="1">0</definedName>
    <definedName name="solver_num" localSheetId="13" hidden="1">0</definedName>
    <definedName name="solver_num" localSheetId="14" hidden="1">0</definedName>
    <definedName name="solver_num" localSheetId="15" hidden="1">0</definedName>
    <definedName name="solver_num" localSheetId="16" hidden="1">0</definedName>
    <definedName name="solver_num" localSheetId="17" hidden="1">0</definedName>
    <definedName name="solver_num" localSheetId="18" hidden="1">0</definedName>
    <definedName name="solver_num" localSheetId="19" hidden="1">0</definedName>
    <definedName name="solver_num" localSheetId="20" hidden="1">0</definedName>
    <definedName name="solver_num" localSheetId="21" hidden="1">0</definedName>
    <definedName name="solver_num" localSheetId="22" hidden="1">0</definedName>
    <definedName name="solver_num" localSheetId="23" hidden="1">0</definedName>
    <definedName name="solver_num" localSheetId="24" hidden="1">0</definedName>
    <definedName name="solver_num" localSheetId="25" hidden="1">0</definedName>
    <definedName name="solver_num" localSheetId="26" hidden="1">0</definedName>
    <definedName name="solver_num" localSheetId="27" hidden="1">0</definedName>
    <definedName name="solver_num" localSheetId="28" hidden="1">0</definedName>
    <definedName name="solver_num" localSheetId="29" hidden="1">0</definedName>
    <definedName name="solver_num" localSheetId="30" hidden="1">0</definedName>
    <definedName name="solver_num" localSheetId="31" hidden="1">0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nwt" localSheetId="5" hidden="1">1</definedName>
    <definedName name="solver_nwt" localSheetId="6" hidden="1">1</definedName>
    <definedName name="solver_nwt" localSheetId="7" hidden="1">1</definedName>
    <definedName name="solver_nwt" localSheetId="8" hidden="1">1</definedName>
    <definedName name="solver_nwt" localSheetId="9" hidden="1">1</definedName>
    <definedName name="solver_nwt" localSheetId="10" hidden="1">1</definedName>
    <definedName name="solver_nwt" localSheetId="11" hidden="1">1</definedName>
    <definedName name="solver_nwt" localSheetId="12" hidden="1">1</definedName>
    <definedName name="solver_nwt" localSheetId="13" hidden="1">1</definedName>
    <definedName name="solver_nwt" localSheetId="14" hidden="1">1</definedName>
    <definedName name="solver_nwt" localSheetId="15" hidden="1">1</definedName>
    <definedName name="solver_nwt" localSheetId="16" hidden="1">1</definedName>
    <definedName name="solver_nwt" localSheetId="17" hidden="1">1</definedName>
    <definedName name="solver_nwt" localSheetId="18" hidden="1">1</definedName>
    <definedName name="solver_nwt" localSheetId="19" hidden="1">1</definedName>
    <definedName name="solver_nwt" localSheetId="20" hidden="1">1</definedName>
    <definedName name="solver_nwt" localSheetId="21" hidden="1">1</definedName>
    <definedName name="solver_nwt" localSheetId="22" hidden="1">1</definedName>
    <definedName name="solver_nwt" localSheetId="23" hidden="1">1</definedName>
    <definedName name="solver_nwt" localSheetId="24" hidden="1">1</definedName>
    <definedName name="solver_nwt" localSheetId="25" hidden="1">1</definedName>
    <definedName name="solver_nwt" localSheetId="26" hidden="1">1</definedName>
    <definedName name="solver_nwt" localSheetId="27" hidden="1">1</definedName>
    <definedName name="solver_nwt" localSheetId="28" hidden="1">1</definedName>
    <definedName name="solver_nwt" localSheetId="29" hidden="1">1</definedName>
    <definedName name="solver_nwt" localSheetId="30" hidden="1">1</definedName>
    <definedName name="solver_nwt" localSheetId="31" hidden="1">1</definedName>
    <definedName name="solver_opt" localSheetId="1" hidden="1">'0.0001'!$H$5</definedName>
    <definedName name="solver_opt" localSheetId="2" hidden="1">'0.001'!$H$5</definedName>
    <definedName name="solver_opt" localSheetId="3" hidden="1">'0.005'!$H$5</definedName>
    <definedName name="solver_opt" localSheetId="4" hidden="1">'0.01'!$H$5</definedName>
    <definedName name="solver_opt" localSheetId="5" hidden="1">'0.025'!$H$5</definedName>
    <definedName name="solver_opt" localSheetId="6" hidden="1">'0.05'!$H$5</definedName>
    <definedName name="solver_opt" localSheetId="7" hidden="1">'0.075'!$H$5</definedName>
    <definedName name="solver_opt" localSheetId="8" hidden="1">'0.1'!$H$5</definedName>
    <definedName name="solver_opt" localSheetId="9" hidden="1">'0.15'!$H$5</definedName>
    <definedName name="solver_opt" localSheetId="10" hidden="1">'0.2'!$H$5</definedName>
    <definedName name="solver_opt" localSheetId="11" hidden="1">'0.25'!$H$5</definedName>
    <definedName name="solver_opt" localSheetId="12" hidden="1">'0.3'!$H$5</definedName>
    <definedName name="solver_opt" localSheetId="13" hidden="1">'0.35'!$H$5</definedName>
    <definedName name="solver_opt" localSheetId="14" hidden="1">'0.4'!$H$5</definedName>
    <definedName name="solver_opt" localSheetId="15" hidden="1">'0.45'!$H$5</definedName>
    <definedName name="solver_opt" localSheetId="16" hidden="1">'0.5'!$H$5</definedName>
    <definedName name="solver_opt" localSheetId="17" hidden="1">'0.55'!$H$5</definedName>
    <definedName name="solver_opt" localSheetId="18" hidden="1">'0.6'!$H$5</definedName>
    <definedName name="solver_opt" localSheetId="19" hidden="1">'0.65'!$H$5</definedName>
    <definedName name="solver_opt" localSheetId="20" hidden="1">'0.7'!$H$5</definedName>
    <definedName name="solver_opt" localSheetId="21" hidden="1">'0.75'!$H$5</definedName>
    <definedName name="solver_opt" localSheetId="22" hidden="1">'0.8'!$H$5</definedName>
    <definedName name="solver_opt" localSheetId="23" hidden="1">'0.85'!$H$5</definedName>
    <definedName name="solver_opt" localSheetId="24" hidden="1">'0.9'!$H$5</definedName>
    <definedName name="solver_opt" localSheetId="25" hidden="1">'0.925'!$H$5</definedName>
    <definedName name="solver_opt" localSheetId="26" hidden="1">'0.95'!$H$5</definedName>
    <definedName name="solver_opt" localSheetId="27" hidden="1">'0.975'!$H$5</definedName>
    <definedName name="solver_opt" localSheetId="28" hidden="1">'0.99'!$H$5</definedName>
    <definedName name="solver_opt" localSheetId="29" hidden="1">'0.995'!$H$5</definedName>
    <definedName name="solver_opt" localSheetId="30" hidden="1">'0.999'!$H$5</definedName>
    <definedName name="solver_opt" localSheetId="31" hidden="1">'0.9999'!$H$5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pre" localSheetId="5" hidden="1">0.000001</definedName>
    <definedName name="solver_pre" localSheetId="6" hidden="1">0.000001</definedName>
    <definedName name="solver_pre" localSheetId="7" hidden="1">0.000001</definedName>
    <definedName name="solver_pre" localSheetId="8" hidden="1">0.000001</definedName>
    <definedName name="solver_pre" localSheetId="9" hidden="1">0.000001</definedName>
    <definedName name="solver_pre" localSheetId="10" hidden="1">0.000001</definedName>
    <definedName name="solver_pre" localSheetId="11" hidden="1">0.000001</definedName>
    <definedName name="solver_pre" localSheetId="12" hidden="1">0.000001</definedName>
    <definedName name="solver_pre" localSheetId="13" hidden="1">0.000001</definedName>
    <definedName name="solver_pre" localSheetId="14" hidden="1">0.000001</definedName>
    <definedName name="solver_pre" localSheetId="15" hidden="1">0.000001</definedName>
    <definedName name="solver_pre" localSheetId="16" hidden="1">0.000001</definedName>
    <definedName name="solver_pre" localSheetId="17" hidden="1">0.000001</definedName>
    <definedName name="solver_pre" localSheetId="18" hidden="1">0.000001</definedName>
    <definedName name="solver_pre" localSheetId="19" hidden="1">0.000001</definedName>
    <definedName name="solver_pre" localSheetId="20" hidden="1">0.000001</definedName>
    <definedName name="solver_pre" localSheetId="21" hidden="1">0.000001</definedName>
    <definedName name="solver_pre" localSheetId="22" hidden="1">0.000001</definedName>
    <definedName name="solver_pre" localSheetId="23" hidden="1">0.000001</definedName>
    <definedName name="solver_pre" localSheetId="24" hidden="1">0.000001</definedName>
    <definedName name="solver_pre" localSheetId="25" hidden="1">0.000001</definedName>
    <definedName name="solver_pre" localSheetId="26" hidden="1">0.000001</definedName>
    <definedName name="solver_pre" localSheetId="27" hidden="1">0.000001</definedName>
    <definedName name="solver_pre" localSheetId="28" hidden="1">0.000001</definedName>
    <definedName name="solver_pre" localSheetId="29" hidden="1">0.000001</definedName>
    <definedName name="solver_pre" localSheetId="30" hidden="1">0.000001</definedName>
    <definedName name="solver_pre" localSheetId="31" hidden="1">0.000001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bv" localSheetId="5" hidden="1">1</definedName>
    <definedName name="solver_rbv" localSheetId="6" hidden="1">1</definedName>
    <definedName name="solver_rbv" localSheetId="7" hidden="1">1</definedName>
    <definedName name="solver_rbv" localSheetId="8" hidden="1">1</definedName>
    <definedName name="solver_rbv" localSheetId="9" hidden="1">1</definedName>
    <definedName name="solver_rbv" localSheetId="10" hidden="1">1</definedName>
    <definedName name="solver_rbv" localSheetId="11" hidden="1">1</definedName>
    <definedName name="solver_rbv" localSheetId="12" hidden="1">1</definedName>
    <definedName name="solver_rbv" localSheetId="13" hidden="1">1</definedName>
    <definedName name="solver_rbv" localSheetId="14" hidden="1">1</definedName>
    <definedName name="solver_rbv" localSheetId="15" hidden="1">1</definedName>
    <definedName name="solver_rbv" localSheetId="16" hidden="1">1</definedName>
    <definedName name="solver_rbv" localSheetId="17" hidden="1">1</definedName>
    <definedName name="solver_rbv" localSheetId="18" hidden="1">1</definedName>
    <definedName name="solver_rbv" localSheetId="19" hidden="1">1</definedName>
    <definedName name="solver_rbv" localSheetId="20" hidden="1">1</definedName>
    <definedName name="solver_rbv" localSheetId="21" hidden="1">1</definedName>
    <definedName name="solver_rbv" localSheetId="22" hidden="1">1</definedName>
    <definedName name="solver_rbv" localSheetId="23" hidden="1">1</definedName>
    <definedName name="solver_rbv" localSheetId="24" hidden="1">1</definedName>
    <definedName name="solver_rbv" localSheetId="25" hidden="1">1</definedName>
    <definedName name="solver_rbv" localSheetId="26" hidden="1">1</definedName>
    <definedName name="solver_rbv" localSheetId="27" hidden="1">1</definedName>
    <definedName name="solver_rbv" localSheetId="28" hidden="1">1</definedName>
    <definedName name="solver_rbv" localSheetId="29" hidden="1">1</definedName>
    <definedName name="solver_rbv" localSheetId="30" hidden="1">1</definedName>
    <definedName name="solver_rbv" localSheetId="31" hidden="1">1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lx" localSheetId="5" hidden="1">2</definedName>
    <definedName name="solver_rlx" localSheetId="6" hidden="1">2</definedName>
    <definedName name="solver_rlx" localSheetId="7" hidden="1">2</definedName>
    <definedName name="solver_rlx" localSheetId="8" hidden="1">2</definedName>
    <definedName name="solver_rlx" localSheetId="9" hidden="1">2</definedName>
    <definedName name="solver_rlx" localSheetId="10" hidden="1">2</definedName>
    <definedName name="solver_rlx" localSheetId="11" hidden="1">2</definedName>
    <definedName name="solver_rlx" localSheetId="12" hidden="1">2</definedName>
    <definedName name="solver_rlx" localSheetId="13" hidden="1">2</definedName>
    <definedName name="solver_rlx" localSheetId="14" hidden="1">2</definedName>
    <definedName name="solver_rlx" localSheetId="15" hidden="1">2</definedName>
    <definedName name="solver_rlx" localSheetId="16" hidden="1">2</definedName>
    <definedName name="solver_rlx" localSheetId="17" hidden="1">2</definedName>
    <definedName name="solver_rlx" localSheetId="18" hidden="1">2</definedName>
    <definedName name="solver_rlx" localSheetId="19" hidden="1">2</definedName>
    <definedName name="solver_rlx" localSheetId="20" hidden="1">2</definedName>
    <definedName name="solver_rlx" localSheetId="21" hidden="1">2</definedName>
    <definedName name="solver_rlx" localSheetId="22" hidden="1">2</definedName>
    <definedName name="solver_rlx" localSheetId="23" hidden="1">2</definedName>
    <definedName name="solver_rlx" localSheetId="24" hidden="1">2</definedName>
    <definedName name="solver_rlx" localSheetId="25" hidden="1">2</definedName>
    <definedName name="solver_rlx" localSheetId="26" hidden="1">2</definedName>
    <definedName name="solver_rlx" localSheetId="27" hidden="1">2</definedName>
    <definedName name="solver_rlx" localSheetId="28" hidden="1">2</definedName>
    <definedName name="solver_rlx" localSheetId="29" hidden="1">2</definedName>
    <definedName name="solver_rlx" localSheetId="30" hidden="1">2</definedName>
    <definedName name="solver_rlx" localSheetId="31" hidden="1">2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rsd" localSheetId="5" hidden="1">0</definedName>
    <definedName name="solver_rsd" localSheetId="6" hidden="1">0</definedName>
    <definedName name="solver_rsd" localSheetId="7" hidden="1">0</definedName>
    <definedName name="solver_rsd" localSheetId="8" hidden="1">0</definedName>
    <definedName name="solver_rsd" localSheetId="9" hidden="1">0</definedName>
    <definedName name="solver_rsd" localSheetId="10" hidden="1">0</definedName>
    <definedName name="solver_rsd" localSheetId="11" hidden="1">0</definedName>
    <definedName name="solver_rsd" localSheetId="12" hidden="1">0</definedName>
    <definedName name="solver_rsd" localSheetId="13" hidden="1">0</definedName>
    <definedName name="solver_rsd" localSheetId="14" hidden="1">0</definedName>
    <definedName name="solver_rsd" localSheetId="15" hidden="1">0</definedName>
    <definedName name="solver_rsd" localSheetId="16" hidden="1">0</definedName>
    <definedName name="solver_rsd" localSheetId="17" hidden="1">0</definedName>
    <definedName name="solver_rsd" localSheetId="18" hidden="1">0</definedName>
    <definedName name="solver_rsd" localSheetId="19" hidden="1">0</definedName>
    <definedName name="solver_rsd" localSheetId="20" hidden="1">0</definedName>
    <definedName name="solver_rsd" localSheetId="21" hidden="1">0</definedName>
    <definedName name="solver_rsd" localSheetId="22" hidden="1">0</definedName>
    <definedName name="solver_rsd" localSheetId="23" hidden="1">0</definedName>
    <definedName name="solver_rsd" localSheetId="24" hidden="1">0</definedName>
    <definedName name="solver_rsd" localSheetId="25" hidden="1">0</definedName>
    <definedName name="solver_rsd" localSheetId="26" hidden="1">0</definedName>
    <definedName name="solver_rsd" localSheetId="27" hidden="1">0</definedName>
    <definedName name="solver_rsd" localSheetId="28" hidden="1">0</definedName>
    <definedName name="solver_rsd" localSheetId="29" hidden="1">0</definedName>
    <definedName name="solver_rsd" localSheetId="30" hidden="1">0</definedName>
    <definedName name="solver_rsd" localSheetId="31" hidden="1">0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cl" localSheetId="5" hidden="1">1</definedName>
    <definedName name="solver_scl" localSheetId="6" hidden="1">1</definedName>
    <definedName name="solver_scl" localSheetId="7" hidden="1">1</definedName>
    <definedName name="solver_scl" localSheetId="8" hidden="1">1</definedName>
    <definedName name="solver_scl" localSheetId="9" hidden="1">1</definedName>
    <definedName name="solver_scl" localSheetId="10" hidden="1">1</definedName>
    <definedName name="solver_scl" localSheetId="11" hidden="1">1</definedName>
    <definedName name="solver_scl" localSheetId="12" hidden="1">1</definedName>
    <definedName name="solver_scl" localSheetId="13" hidden="1">1</definedName>
    <definedName name="solver_scl" localSheetId="14" hidden="1">1</definedName>
    <definedName name="solver_scl" localSheetId="15" hidden="1">1</definedName>
    <definedName name="solver_scl" localSheetId="16" hidden="1">1</definedName>
    <definedName name="solver_scl" localSheetId="17" hidden="1">1</definedName>
    <definedName name="solver_scl" localSheetId="18" hidden="1">1</definedName>
    <definedName name="solver_scl" localSheetId="19" hidden="1">1</definedName>
    <definedName name="solver_scl" localSheetId="20" hidden="1">1</definedName>
    <definedName name="solver_scl" localSheetId="21" hidden="1">1</definedName>
    <definedName name="solver_scl" localSheetId="22" hidden="1">1</definedName>
    <definedName name="solver_scl" localSheetId="23" hidden="1">1</definedName>
    <definedName name="solver_scl" localSheetId="24" hidden="1">1</definedName>
    <definedName name="solver_scl" localSheetId="25" hidden="1">1</definedName>
    <definedName name="solver_scl" localSheetId="26" hidden="1">1</definedName>
    <definedName name="solver_scl" localSheetId="27" hidden="1">1</definedName>
    <definedName name="solver_scl" localSheetId="28" hidden="1">1</definedName>
    <definedName name="solver_scl" localSheetId="29" hidden="1">1</definedName>
    <definedName name="solver_scl" localSheetId="30" hidden="1">1</definedName>
    <definedName name="solver_scl" localSheetId="31" hidden="1">1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ho" localSheetId="5" hidden="1">2</definedName>
    <definedName name="solver_sho" localSheetId="6" hidden="1">2</definedName>
    <definedName name="solver_sho" localSheetId="7" hidden="1">2</definedName>
    <definedName name="solver_sho" localSheetId="8" hidden="1">2</definedName>
    <definedName name="solver_sho" localSheetId="9" hidden="1">2</definedName>
    <definedName name="solver_sho" localSheetId="10" hidden="1">2</definedName>
    <definedName name="solver_sho" localSheetId="11" hidden="1">2</definedName>
    <definedName name="solver_sho" localSheetId="12" hidden="1">2</definedName>
    <definedName name="solver_sho" localSheetId="13" hidden="1">2</definedName>
    <definedName name="solver_sho" localSheetId="14" hidden="1">2</definedName>
    <definedName name="solver_sho" localSheetId="15" hidden="1">2</definedName>
    <definedName name="solver_sho" localSheetId="16" hidden="1">2</definedName>
    <definedName name="solver_sho" localSheetId="17" hidden="1">2</definedName>
    <definedName name="solver_sho" localSheetId="18" hidden="1">2</definedName>
    <definedName name="solver_sho" localSheetId="19" hidden="1">2</definedName>
    <definedName name="solver_sho" localSheetId="20" hidden="1">2</definedName>
    <definedName name="solver_sho" localSheetId="21" hidden="1">2</definedName>
    <definedName name="solver_sho" localSheetId="22" hidden="1">2</definedName>
    <definedName name="solver_sho" localSheetId="23" hidden="1">2</definedName>
    <definedName name="solver_sho" localSheetId="24" hidden="1">2</definedName>
    <definedName name="solver_sho" localSheetId="25" hidden="1">2</definedName>
    <definedName name="solver_sho" localSheetId="26" hidden="1">2</definedName>
    <definedName name="solver_sho" localSheetId="27" hidden="1">2</definedName>
    <definedName name="solver_sho" localSheetId="28" hidden="1">2</definedName>
    <definedName name="solver_sho" localSheetId="29" hidden="1">2</definedName>
    <definedName name="solver_sho" localSheetId="30" hidden="1">2</definedName>
    <definedName name="solver_sho" localSheetId="31" hidden="1">2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ssz" localSheetId="5" hidden="1">100</definedName>
    <definedName name="solver_ssz" localSheetId="6" hidden="1">100</definedName>
    <definedName name="solver_ssz" localSheetId="7" hidden="1">100</definedName>
    <definedName name="solver_ssz" localSheetId="8" hidden="1">100</definedName>
    <definedName name="solver_ssz" localSheetId="9" hidden="1">100</definedName>
    <definedName name="solver_ssz" localSheetId="10" hidden="1">100</definedName>
    <definedName name="solver_ssz" localSheetId="11" hidden="1">100</definedName>
    <definedName name="solver_ssz" localSheetId="12" hidden="1">100</definedName>
    <definedName name="solver_ssz" localSheetId="13" hidden="1">100</definedName>
    <definedName name="solver_ssz" localSheetId="14" hidden="1">100</definedName>
    <definedName name="solver_ssz" localSheetId="15" hidden="1">100</definedName>
    <definedName name="solver_ssz" localSheetId="16" hidden="1">100</definedName>
    <definedName name="solver_ssz" localSheetId="17" hidden="1">100</definedName>
    <definedName name="solver_ssz" localSheetId="18" hidden="1">100</definedName>
    <definedName name="solver_ssz" localSheetId="19" hidden="1">100</definedName>
    <definedName name="solver_ssz" localSheetId="20" hidden="1">100</definedName>
    <definedName name="solver_ssz" localSheetId="21" hidden="1">100</definedName>
    <definedName name="solver_ssz" localSheetId="22" hidden="1">100</definedName>
    <definedName name="solver_ssz" localSheetId="23" hidden="1">100</definedName>
    <definedName name="solver_ssz" localSheetId="24" hidden="1">100</definedName>
    <definedName name="solver_ssz" localSheetId="25" hidden="1">100</definedName>
    <definedName name="solver_ssz" localSheetId="26" hidden="1">100</definedName>
    <definedName name="solver_ssz" localSheetId="27" hidden="1">100</definedName>
    <definedName name="solver_ssz" localSheetId="28" hidden="1">100</definedName>
    <definedName name="solver_ssz" localSheetId="29" hidden="1">100</definedName>
    <definedName name="solver_ssz" localSheetId="30" hidden="1">100</definedName>
    <definedName name="solver_ssz" localSheetId="31" hidden="1">100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im" localSheetId="5" hidden="1">2147483647</definedName>
    <definedName name="solver_tim" localSheetId="6" hidden="1">2147483647</definedName>
    <definedName name="solver_tim" localSheetId="7" hidden="1">2147483647</definedName>
    <definedName name="solver_tim" localSheetId="8" hidden="1">2147483647</definedName>
    <definedName name="solver_tim" localSheetId="9" hidden="1">2147483647</definedName>
    <definedName name="solver_tim" localSheetId="10" hidden="1">2147483647</definedName>
    <definedName name="solver_tim" localSheetId="11" hidden="1">2147483647</definedName>
    <definedName name="solver_tim" localSheetId="12" hidden="1">2147483647</definedName>
    <definedName name="solver_tim" localSheetId="13" hidden="1">2147483647</definedName>
    <definedName name="solver_tim" localSheetId="14" hidden="1">2147483647</definedName>
    <definedName name="solver_tim" localSheetId="15" hidden="1">2147483647</definedName>
    <definedName name="solver_tim" localSheetId="16" hidden="1">2147483647</definedName>
    <definedName name="solver_tim" localSheetId="17" hidden="1">2147483647</definedName>
    <definedName name="solver_tim" localSheetId="18" hidden="1">2147483647</definedName>
    <definedName name="solver_tim" localSheetId="19" hidden="1">2147483647</definedName>
    <definedName name="solver_tim" localSheetId="20" hidden="1">2147483647</definedName>
    <definedName name="solver_tim" localSheetId="21" hidden="1">2147483647</definedName>
    <definedName name="solver_tim" localSheetId="22" hidden="1">2147483647</definedName>
    <definedName name="solver_tim" localSheetId="23" hidden="1">2147483647</definedName>
    <definedName name="solver_tim" localSheetId="24" hidden="1">2147483647</definedName>
    <definedName name="solver_tim" localSheetId="25" hidden="1">2147483647</definedName>
    <definedName name="solver_tim" localSheetId="26" hidden="1">2147483647</definedName>
    <definedName name="solver_tim" localSheetId="27" hidden="1">2147483647</definedName>
    <definedName name="solver_tim" localSheetId="28" hidden="1">2147483647</definedName>
    <definedName name="solver_tim" localSheetId="29" hidden="1">2147483647</definedName>
    <definedName name="solver_tim" localSheetId="30" hidden="1">2147483647</definedName>
    <definedName name="solver_tim" localSheetId="31" hidden="1">2147483647</definedName>
    <definedName name="solver_tol" localSheetId="1" hidden="1">0.01</definedName>
    <definedName name="solver_tol" localSheetId="2" hidden="1">0.01</definedName>
    <definedName name="solver_tol" localSheetId="3" hidden="1">0.01</definedName>
    <definedName name="solver_tol" localSheetId="4" hidden="1">0.01</definedName>
    <definedName name="solver_tol" localSheetId="5" hidden="1">0.01</definedName>
    <definedName name="solver_tol" localSheetId="6" hidden="1">0.01</definedName>
    <definedName name="solver_tol" localSheetId="7" hidden="1">0.01</definedName>
    <definedName name="solver_tol" localSheetId="8" hidden="1">0.01</definedName>
    <definedName name="solver_tol" localSheetId="9" hidden="1">0.01</definedName>
    <definedName name="solver_tol" localSheetId="10" hidden="1">0.01</definedName>
    <definedName name="solver_tol" localSheetId="11" hidden="1">0.01</definedName>
    <definedName name="solver_tol" localSheetId="12" hidden="1">0.01</definedName>
    <definedName name="solver_tol" localSheetId="13" hidden="1">0.01</definedName>
    <definedName name="solver_tol" localSheetId="14" hidden="1">0.01</definedName>
    <definedName name="solver_tol" localSheetId="15" hidden="1">0.01</definedName>
    <definedName name="solver_tol" localSheetId="16" hidden="1">0.01</definedName>
    <definedName name="solver_tol" localSheetId="17" hidden="1">0.01</definedName>
    <definedName name="solver_tol" localSheetId="18" hidden="1">0.01</definedName>
    <definedName name="solver_tol" localSheetId="19" hidden="1">0.01</definedName>
    <definedName name="solver_tol" localSheetId="20" hidden="1">0.01</definedName>
    <definedName name="solver_tol" localSheetId="21" hidden="1">0.01</definedName>
    <definedName name="solver_tol" localSheetId="22" hidden="1">0.01</definedName>
    <definedName name="solver_tol" localSheetId="23" hidden="1">0.01</definedName>
    <definedName name="solver_tol" localSheetId="24" hidden="1">0.01</definedName>
    <definedName name="solver_tol" localSheetId="25" hidden="1">0.01</definedName>
    <definedName name="solver_tol" localSheetId="26" hidden="1">0.01</definedName>
    <definedName name="solver_tol" localSheetId="27" hidden="1">0.01</definedName>
    <definedName name="solver_tol" localSheetId="28" hidden="1">0.01</definedName>
    <definedName name="solver_tol" localSheetId="29" hidden="1">0.01</definedName>
    <definedName name="solver_tol" localSheetId="30" hidden="1">0.01</definedName>
    <definedName name="solver_tol" localSheetId="31" hidden="1">0.01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typ" localSheetId="5" hidden="1">2</definedName>
    <definedName name="solver_typ" localSheetId="6" hidden="1">2</definedName>
    <definedName name="solver_typ" localSheetId="7" hidden="1">2</definedName>
    <definedName name="solver_typ" localSheetId="8" hidden="1">2</definedName>
    <definedName name="solver_typ" localSheetId="9" hidden="1">2</definedName>
    <definedName name="solver_typ" localSheetId="10" hidden="1">2</definedName>
    <definedName name="solver_typ" localSheetId="11" hidden="1">2</definedName>
    <definedName name="solver_typ" localSheetId="12" hidden="1">2</definedName>
    <definedName name="solver_typ" localSheetId="13" hidden="1">2</definedName>
    <definedName name="solver_typ" localSheetId="14" hidden="1">2</definedName>
    <definedName name="solver_typ" localSheetId="15" hidden="1">2</definedName>
    <definedName name="solver_typ" localSheetId="16" hidden="1">2</definedName>
    <definedName name="solver_typ" localSheetId="17" hidden="1">2</definedName>
    <definedName name="solver_typ" localSheetId="18" hidden="1">2</definedName>
    <definedName name="solver_typ" localSheetId="19" hidden="1">2</definedName>
    <definedName name="solver_typ" localSheetId="20" hidden="1">2</definedName>
    <definedName name="solver_typ" localSheetId="21" hidden="1">2</definedName>
    <definedName name="solver_typ" localSheetId="22" hidden="1">2</definedName>
    <definedName name="solver_typ" localSheetId="23" hidden="1">2</definedName>
    <definedName name="solver_typ" localSheetId="24" hidden="1">2</definedName>
    <definedName name="solver_typ" localSheetId="25" hidden="1">2</definedName>
    <definedName name="solver_typ" localSheetId="26" hidden="1">2</definedName>
    <definedName name="solver_typ" localSheetId="27" hidden="1">2</definedName>
    <definedName name="solver_typ" localSheetId="28" hidden="1">2</definedName>
    <definedName name="solver_typ" localSheetId="29" hidden="1">2</definedName>
    <definedName name="solver_typ" localSheetId="30" hidden="1">2</definedName>
    <definedName name="solver_typ" localSheetId="31" hidden="1">2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al" localSheetId="5" hidden="1">0</definedName>
    <definedName name="solver_val" localSheetId="6" hidden="1">0</definedName>
    <definedName name="solver_val" localSheetId="7" hidden="1">0</definedName>
    <definedName name="solver_val" localSheetId="8" hidden="1">0</definedName>
    <definedName name="solver_val" localSheetId="9" hidden="1">0</definedName>
    <definedName name="solver_val" localSheetId="10" hidden="1">0</definedName>
    <definedName name="solver_val" localSheetId="11" hidden="1">0</definedName>
    <definedName name="solver_val" localSheetId="12" hidden="1">0</definedName>
    <definedName name="solver_val" localSheetId="13" hidden="1">0</definedName>
    <definedName name="solver_val" localSheetId="14" hidden="1">0</definedName>
    <definedName name="solver_val" localSheetId="15" hidden="1">0</definedName>
    <definedName name="solver_val" localSheetId="16" hidden="1">0</definedName>
    <definedName name="solver_val" localSheetId="17" hidden="1">0</definedName>
    <definedName name="solver_val" localSheetId="18" hidden="1">0</definedName>
    <definedName name="solver_val" localSheetId="19" hidden="1">0</definedName>
    <definedName name="solver_val" localSheetId="20" hidden="1">0</definedName>
    <definedName name="solver_val" localSheetId="21" hidden="1">0</definedName>
    <definedName name="solver_val" localSheetId="22" hidden="1">0</definedName>
    <definedName name="solver_val" localSheetId="23" hidden="1">0</definedName>
    <definedName name="solver_val" localSheetId="24" hidden="1">0</definedName>
    <definedName name="solver_val" localSheetId="25" hidden="1">0</definedName>
    <definedName name="solver_val" localSheetId="26" hidden="1">0</definedName>
    <definedName name="solver_val" localSheetId="27" hidden="1">0</definedName>
    <definedName name="solver_val" localSheetId="28" hidden="1">0</definedName>
    <definedName name="solver_val" localSheetId="29" hidden="1">0</definedName>
    <definedName name="solver_val" localSheetId="30" hidden="1">0</definedName>
    <definedName name="solver_val" localSheetId="31" hidden="1">0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  <definedName name="solver_ver" localSheetId="5" hidden="1">3</definedName>
    <definedName name="solver_ver" localSheetId="6" hidden="1">3</definedName>
    <definedName name="solver_ver" localSheetId="7" hidden="1">3</definedName>
    <definedName name="solver_ver" localSheetId="8" hidden="1">3</definedName>
    <definedName name="solver_ver" localSheetId="9" hidden="1">3</definedName>
    <definedName name="solver_ver" localSheetId="10" hidden="1">3</definedName>
    <definedName name="solver_ver" localSheetId="11" hidden="1">3</definedName>
    <definedName name="solver_ver" localSheetId="12" hidden="1">3</definedName>
    <definedName name="solver_ver" localSheetId="13" hidden="1">3</definedName>
    <definedName name="solver_ver" localSheetId="14" hidden="1">3</definedName>
    <definedName name="solver_ver" localSheetId="15" hidden="1">3</definedName>
    <definedName name="solver_ver" localSheetId="16" hidden="1">3</definedName>
    <definedName name="solver_ver" localSheetId="17" hidden="1">3</definedName>
    <definedName name="solver_ver" localSheetId="18" hidden="1">3</definedName>
    <definedName name="solver_ver" localSheetId="19" hidden="1">3</definedName>
    <definedName name="solver_ver" localSheetId="20" hidden="1">3</definedName>
    <definedName name="solver_ver" localSheetId="21" hidden="1">3</definedName>
    <definedName name="solver_ver" localSheetId="22" hidden="1">3</definedName>
    <definedName name="solver_ver" localSheetId="23" hidden="1">3</definedName>
    <definedName name="solver_ver" localSheetId="24" hidden="1">3</definedName>
    <definedName name="solver_ver" localSheetId="25" hidden="1">3</definedName>
    <definedName name="solver_ver" localSheetId="26" hidden="1">3</definedName>
    <definedName name="solver_ver" localSheetId="27" hidden="1">3</definedName>
    <definedName name="solver_ver" localSheetId="28" hidden="1">3</definedName>
    <definedName name="solver_ver" localSheetId="29" hidden="1">3</definedName>
    <definedName name="solver_ver" localSheetId="30" hidden="1">3</definedName>
    <definedName name="solver_ver" localSheetId="3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34" l="1"/>
  <c r="B31" i="34"/>
  <c r="B30" i="34"/>
  <c r="B29" i="34"/>
  <c r="B28" i="34"/>
  <c r="B27" i="34"/>
  <c r="B26" i="34"/>
  <c r="B25" i="34"/>
  <c r="B24" i="34"/>
  <c r="B23" i="34"/>
  <c r="B22" i="34"/>
  <c r="B21" i="34"/>
  <c r="B20" i="34"/>
  <c r="B19" i="34"/>
  <c r="B18" i="34"/>
  <c r="B17" i="34"/>
  <c r="B16" i="34"/>
  <c r="B15" i="34"/>
  <c r="B14" i="34"/>
  <c r="B13" i="34"/>
  <c r="B12" i="34"/>
  <c r="B11" i="34"/>
  <c r="B10" i="34"/>
  <c r="B9" i="34"/>
  <c r="B8" i="34"/>
  <c r="B7" i="34"/>
  <c r="B6" i="34"/>
  <c r="B5" i="34"/>
  <c r="B4" i="34"/>
  <c r="B3" i="34"/>
  <c r="B2" i="34"/>
  <c r="H3" i="32"/>
  <c r="C5" i="32" s="1"/>
  <c r="D5" i="32" s="1"/>
  <c r="E5" i="32" s="1"/>
  <c r="H3" i="31"/>
  <c r="C5" i="31" s="1"/>
  <c r="D5" i="31" s="1"/>
  <c r="E5" i="31" s="1"/>
  <c r="H3" i="30"/>
  <c r="C5" i="30" s="1"/>
  <c r="D5" i="30" s="1"/>
  <c r="E5" i="30" s="1"/>
  <c r="H3" i="29"/>
  <c r="C5" i="29" s="1"/>
  <c r="D5" i="29" s="1"/>
  <c r="E5" i="29" s="1"/>
  <c r="H3" i="28"/>
  <c r="C5" i="28" s="1"/>
  <c r="D5" i="28" s="1"/>
  <c r="E5" i="28" s="1"/>
  <c r="H3" i="27"/>
  <c r="C5" i="27" s="1"/>
  <c r="D5" i="27" s="1"/>
  <c r="E5" i="27" s="1"/>
  <c r="H3" i="26"/>
  <c r="C5" i="26" s="1"/>
  <c r="D5" i="26" s="1"/>
  <c r="E5" i="26" s="1"/>
  <c r="H3" i="25"/>
  <c r="C5" i="25" s="1"/>
  <c r="D5" i="25" s="1"/>
  <c r="E5" i="25" s="1"/>
  <c r="H3" i="24"/>
  <c r="C5" i="24" s="1"/>
  <c r="D5" i="24" s="1"/>
  <c r="E5" i="24" s="1"/>
  <c r="H3" i="23"/>
  <c r="C5" i="23" s="1"/>
  <c r="D5" i="23" s="1"/>
  <c r="E5" i="23" s="1"/>
  <c r="H3" i="22"/>
  <c r="C5" i="22" s="1"/>
  <c r="D5" i="22" s="1"/>
  <c r="E5" i="22" s="1"/>
  <c r="H3" i="21"/>
  <c r="C5" i="21" s="1"/>
  <c r="D5" i="21" s="1"/>
  <c r="E5" i="21" s="1"/>
  <c r="H3" i="20"/>
  <c r="C5" i="20" s="1"/>
  <c r="D5" i="20" s="1"/>
  <c r="E5" i="20" s="1"/>
  <c r="H3" i="19"/>
  <c r="C5" i="19" s="1"/>
  <c r="D5" i="19" s="1"/>
  <c r="E5" i="19" s="1"/>
  <c r="H3" i="18"/>
  <c r="C5" i="18" s="1"/>
  <c r="D5" i="18" s="1"/>
  <c r="E5" i="18" s="1"/>
  <c r="H3" i="17"/>
  <c r="C5" i="17" s="1"/>
  <c r="D5" i="17" s="1"/>
  <c r="E5" i="17" s="1"/>
  <c r="H3" i="16"/>
  <c r="C5" i="16" s="1"/>
  <c r="D5" i="16" s="1"/>
  <c r="E5" i="16" s="1"/>
  <c r="H3" i="15"/>
  <c r="C5" i="15" s="1"/>
  <c r="D5" i="15" s="1"/>
  <c r="E5" i="15" s="1"/>
  <c r="H3" i="14"/>
  <c r="C5" i="14" s="1"/>
  <c r="D5" i="14" s="1"/>
  <c r="E5" i="14" s="1"/>
  <c r="H3" i="13"/>
  <c r="C5" i="13" s="1"/>
  <c r="D5" i="13" s="1"/>
  <c r="E5" i="13" s="1"/>
  <c r="H3" i="12"/>
  <c r="C5" i="12" s="1"/>
  <c r="D5" i="12" s="1"/>
  <c r="E5" i="12" s="1"/>
  <c r="H3" i="11"/>
  <c r="C5" i="11" s="1"/>
  <c r="D5" i="11" s="1"/>
  <c r="E5" i="11" s="1"/>
  <c r="H3" i="10"/>
  <c r="C5" i="10" s="1"/>
  <c r="D5" i="10" s="1"/>
  <c r="E5" i="10" s="1"/>
  <c r="H3" i="9"/>
  <c r="C5" i="9" s="1"/>
  <c r="D5" i="9" s="1"/>
  <c r="E5" i="9" s="1"/>
  <c r="H3" i="8"/>
  <c r="C5" i="8" s="1"/>
  <c r="D5" i="8" s="1"/>
  <c r="E5" i="8" s="1"/>
  <c r="H3" i="7"/>
  <c r="C5" i="7" s="1"/>
  <c r="D5" i="7" s="1"/>
  <c r="E5" i="7" s="1"/>
  <c r="H3" i="6"/>
  <c r="C5" i="6" s="1"/>
  <c r="D5" i="6" s="1"/>
  <c r="E5" i="6" s="1"/>
  <c r="H3" i="5"/>
  <c r="C5" i="5" s="1"/>
  <c r="D5" i="5" s="1"/>
  <c r="E5" i="5" s="1"/>
  <c r="H3" i="4"/>
  <c r="C5" i="4" s="1"/>
  <c r="D5" i="4" s="1"/>
  <c r="E5" i="4" s="1"/>
  <c r="H3" i="3"/>
  <c r="C1" i="3" s="1"/>
  <c r="D1" i="3" s="1"/>
  <c r="E1" i="3" s="1"/>
  <c r="C21" i="32" l="1"/>
  <c r="D21" i="32" s="1"/>
  <c r="E21" i="32" s="1"/>
  <c r="C22" i="32"/>
  <c r="D22" i="32" s="1"/>
  <c r="E22" i="32" s="1"/>
  <c r="C2" i="32"/>
  <c r="D2" i="32" s="1"/>
  <c r="E2" i="32" s="1"/>
  <c r="C25" i="32"/>
  <c r="D25" i="32" s="1"/>
  <c r="E25" i="32" s="1"/>
  <c r="C3" i="32"/>
  <c r="D3" i="32" s="1"/>
  <c r="E3" i="32" s="1"/>
  <c r="C29" i="32"/>
  <c r="D29" i="32" s="1"/>
  <c r="E29" i="32" s="1"/>
  <c r="C6" i="32"/>
  <c r="D6" i="32" s="1"/>
  <c r="E6" i="32" s="1"/>
  <c r="C30" i="32"/>
  <c r="D30" i="32" s="1"/>
  <c r="E30" i="32" s="1"/>
  <c r="C9" i="32"/>
  <c r="D9" i="32" s="1"/>
  <c r="E9" i="32" s="1"/>
  <c r="C33" i="32"/>
  <c r="D33" i="32" s="1"/>
  <c r="E33" i="32" s="1"/>
  <c r="C17" i="32"/>
  <c r="D17" i="32" s="1"/>
  <c r="E17" i="32" s="1"/>
  <c r="C10" i="32"/>
  <c r="D10" i="32" s="1"/>
  <c r="E10" i="32" s="1"/>
  <c r="C34" i="32"/>
  <c r="D34" i="32" s="1"/>
  <c r="E34" i="32" s="1"/>
  <c r="C13" i="32"/>
  <c r="D13" i="32" s="1"/>
  <c r="E13" i="32" s="1"/>
  <c r="C37" i="32"/>
  <c r="D37" i="32" s="1"/>
  <c r="E37" i="32" s="1"/>
  <c r="C18" i="32"/>
  <c r="D18" i="32" s="1"/>
  <c r="E18" i="32" s="1"/>
  <c r="C26" i="32"/>
  <c r="D26" i="32" s="1"/>
  <c r="E26" i="32" s="1"/>
  <c r="C14" i="32"/>
  <c r="D14" i="32" s="1"/>
  <c r="E14" i="32" s="1"/>
  <c r="C38" i="32"/>
  <c r="D38" i="32" s="1"/>
  <c r="E38" i="32" s="1"/>
  <c r="C37" i="31"/>
  <c r="D37" i="31" s="1"/>
  <c r="E37" i="31" s="1"/>
  <c r="C3" i="31"/>
  <c r="D3" i="31" s="1"/>
  <c r="E3" i="31" s="1"/>
  <c r="C18" i="31"/>
  <c r="D18" i="31" s="1"/>
  <c r="E18" i="31" s="1"/>
  <c r="C21" i="31"/>
  <c r="D21" i="31" s="1"/>
  <c r="E21" i="31" s="1"/>
  <c r="C38" i="31"/>
  <c r="D38" i="31" s="1"/>
  <c r="E38" i="31" s="1"/>
  <c r="C9" i="31"/>
  <c r="D9" i="31" s="1"/>
  <c r="E9" i="31" s="1"/>
  <c r="C13" i="31"/>
  <c r="D13" i="31" s="1"/>
  <c r="E13" i="31" s="1"/>
  <c r="C34" i="31"/>
  <c r="D34" i="31" s="1"/>
  <c r="E34" i="31" s="1"/>
  <c r="C2" i="31"/>
  <c r="D2" i="31" s="1"/>
  <c r="E2" i="31" s="1"/>
  <c r="C22" i="31"/>
  <c r="D22" i="31" s="1"/>
  <c r="E22" i="31" s="1"/>
  <c r="C4" i="31"/>
  <c r="D4" i="31" s="1"/>
  <c r="E4" i="31" s="1"/>
  <c r="C6" i="31"/>
  <c r="D6" i="31" s="1"/>
  <c r="E6" i="31" s="1"/>
  <c r="C26" i="31"/>
  <c r="D26" i="31" s="1"/>
  <c r="E26" i="31" s="1"/>
  <c r="C14" i="31"/>
  <c r="D14" i="31" s="1"/>
  <c r="E14" i="31" s="1"/>
  <c r="C30" i="31"/>
  <c r="D30" i="31" s="1"/>
  <c r="E30" i="31" s="1"/>
  <c r="C29" i="31"/>
  <c r="D29" i="31" s="1"/>
  <c r="E29" i="31" s="1"/>
  <c r="C17" i="31"/>
  <c r="D17" i="31" s="1"/>
  <c r="E17" i="31" s="1"/>
  <c r="C33" i="31"/>
  <c r="D33" i="31" s="1"/>
  <c r="E33" i="31" s="1"/>
  <c r="C25" i="31"/>
  <c r="D25" i="31" s="1"/>
  <c r="E25" i="31" s="1"/>
  <c r="C10" i="31"/>
  <c r="D10" i="31" s="1"/>
  <c r="E10" i="31" s="1"/>
  <c r="C29" i="30"/>
  <c r="D29" i="30" s="1"/>
  <c r="E29" i="30" s="1"/>
  <c r="C22" i="30"/>
  <c r="D22" i="30" s="1"/>
  <c r="E22" i="30" s="1"/>
  <c r="C30" i="30"/>
  <c r="D30" i="30" s="1"/>
  <c r="E30" i="30" s="1"/>
  <c r="C25" i="30"/>
  <c r="D25" i="30" s="1"/>
  <c r="E25" i="30" s="1"/>
  <c r="C38" i="30"/>
  <c r="D38" i="30" s="1"/>
  <c r="E38" i="30" s="1"/>
  <c r="C2" i="30"/>
  <c r="D2" i="30" s="1"/>
  <c r="E2" i="30" s="1"/>
  <c r="C10" i="30"/>
  <c r="D10" i="30" s="1"/>
  <c r="E10" i="30" s="1"/>
  <c r="C33" i="30"/>
  <c r="D33" i="30" s="1"/>
  <c r="E33" i="30" s="1"/>
  <c r="C13" i="30"/>
  <c r="D13" i="30" s="1"/>
  <c r="E13" i="30" s="1"/>
  <c r="C14" i="30"/>
  <c r="D14" i="30" s="1"/>
  <c r="E14" i="30" s="1"/>
  <c r="C34" i="30"/>
  <c r="D34" i="30" s="1"/>
  <c r="E34" i="30" s="1"/>
  <c r="C21" i="30"/>
  <c r="D21" i="30" s="1"/>
  <c r="E21" i="30" s="1"/>
  <c r="C26" i="30"/>
  <c r="D26" i="30" s="1"/>
  <c r="E26" i="30" s="1"/>
  <c r="C9" i="30"/>
  <c r="D9" i="30" s="1"/>
  <c r="E9" i="30" s="1"/>
  <c r="C17" i="30"/>
  <c r="D17" i="30" s="1"/>
  <c r="E17" i="30" s="1"/>
  <c r="C37" i="30"/>
  <c r="D37" i="30" s="1"/>
  <c r="E37" i="30" s="1"/>
  <c r="C6" i="30"/>
  <c r="D6" i="30" s="1"/>
  <c r="E6" i="30" s="1"/>
  <c r="C18" i="30"/>
  <c r="D18" i="30" s="1"/>
  <c r="E18" i="30" s="1"/>
  <c r="C2" i="29"/>
  <c r="D2" i="29" s="1"/>
  <c r="E2" i="29" s="1"/>
  <c r="C25" i="27"/>
  <c r="D25" i="27" s="1"/>
  <c r="E25" i="27" s="1"/>
  <c r="C21" i="27"/>
  <c r="D21" i="27" s="1"/>
  <c r="E21" i="27" s="1"/>
  <c r="C2" i="27"/>
  <c r="D2" i="27" s="1"/>
  <c r="E2" i="27" s="1"/>
  <c r="C3" i="27"/>
  <c r="D3" i="27" s="1"/>
  <c r="E3" i="27" s="1"/>
  <c r="C26" i="27"/>
  <c r="D26" i="27" s="1"/>
  <c r="E26" i="27" s="1"/>
  <c r="C17" i="27"/>
  <c r="D17" i="27" s="1"/>
  <c r="E17" i="27" s="1"/>
  <c r="C18" i="27"/>
  <c r="D18" i="27" s="1"/>
  <c r="E18" i="27" s="1"/>
  <c r="C34" i="27"/>
  <c r="D34" i="27" s="1"/>
  <c r="E34" i="27" s="1"/>
  <c r="C22" i="27"/>
  <c r="D22" i="27" s="1"/>
  <c r="E22" i="27" s="1"/>
  <c r="C29" i="27"/>
  <c r="D29" i="27" s="1"/>
  <c r="E29" i="27" s="1"/>
  <c r="C6" i="27"/>
  <c r="D6" i="27" s="1"/>
  <c r="E6" i="27" s="1"/>
  <c r="C33" i="27"/>
  <c r="D33" i="27" s="1"/>
  <c r="E33" i="27" s="1"/>
  <c r="C13" i="27"/>
  <c r="D13" i="27" s="1"/>
  <c r="E13" i="27" s="1"/>
  <c r="C37" i="27"/>
  <c r="D37" i="27" s="1"/>
  <c r="E37" i="27" s="1"/>
  <c r="C30" i="27"/>
  <c r="D30" i="27" s="1"/>
  <c r="E30" i="27" s="1"/>
  <c r="C9" i="27"/>
  <c r="D9" i="27" s="1"/>
  <c r="E9" i="27" s="1"/>
  <c r="C10" i="27"/>
  <c r="D10" i="27" s="1"/>
  <c r="E10" i="27" s="1"/>
  <c r="C14" i="27"/>
  <c r="D14" i="27" s="1"/>
  <c r="E14" i="27" s="1"/>
  <c r="C38" i="27"/>
  <c r="D38" i="27" s="1"/>
  <c r="E38" i="27" s="1"/>
  <c r="C25" i="26"/>
  <c r="D25" i="26" s="1"/>
  <c r="E25" i="26" s="1"/>
  <c r="C37" i="26"/>
  <c r="D37" i="26" s="1"/>
  <c r="E37" i="26" s="1"/>
  <c r="C9" i="26"/>
  <c r="D9" i="26" s="1"/>
  <c r="E9" i="26" s="1"/>
  <c r="C13" i="26"/>
  <c r="D13" i="26" s="1"/>
  <c r="E13" i="26" s="1"/>
  <c r="C2" i="26"/>
  <c r="D2" i="26" s="1"/>
  <c r="E2" i="26" s="1"/>
  <c r="C17" i="26"/>
  <c r="D17" i="26" s="1"/>
  <c r="E17" i="26" s="1"/>
  <c r="C29" i="26"/>
  <c r="D29" i="26" s="1"/>
  <c r="E29" i="26" s="1"/>
  <c r="C33" i="26"/>
  <c r="D33" i="26" s="1"/>
  <c r="E33" i="26" s="1"/>
  <c r="C21" i="26"/>
  <c r="D21" i="26" s="1"/>
  <c r="E21" i="26" s="1"/>
  <c r="C37" i="24"/>
  <c r="D37" i="24" s="1"/>
  <c r="E37" i="24" s="1"/>
  <c r="C21" i="24"/>
  <c r="D21" i="24" s="1"/>
  <c r="E21" i="24" s="1"/>
  <c r="C29" i="24"/>
  <c r="D29" i="24" s="1"/>
  <c r="E29" i="24" s="1"/>
  <c r="C2" i="24"/>
  <c r="D2" i="24" s="1"/>
  <c r="E2" i="24" s="1"/>
  <c r="C33" i="24"/>
  <c r="D33" i="24" s="1"/>
  <c r="E33" i="24" s="1"/>
  <c r="C9" i="24"/>
  <c r="D9" i="24" s="1"/>
  <c r="E9" i="24" s="1"/>
  <c r="C13" i="24"/>
  <c r="D13" i="24" s="1"/>
  <c r="E13" i="24" s="1"/>
  <c r="C25" i="24"/>
  <c r="D25" i="24" s="1"/>
  <c r="E25" i="24" s="1"/>
  <c r="C17" i="24"/>
  <c r="D17" i="24" s="1"/>
  <c r="E17" i="24" s="1"/>
  <c r="C13" i="22"/>
  <c r="D13" i="22" s="1"/>
  <c r="E13" i="22" s="1"/>
  <c r="C17" i="22"/>
  <c r="D17" i="22" s="1"/>
  <c r="E17" i="22" s="1"/>
  <c r="C37" i="22"/>
  <c r="D37" i="22" s="1"/>
  <c r="E37" i="22" s="1"/>
  <c r="C18" i="22"/>
  <c r="D18" i="22" s="1"/>
  <c r="E18" i="22" s="1"/>
  <c r="C21" i="22"/>
  <c r="D21" i="22" s="1"/>
  <c r="E21" i="22" s="1"/>
  <c r="C25" i="22"/>
  <c r="D25" i="22" s="1"/>
  <c r="E25" i="22" s="1"/>
  <c r="C33" i="22"/>
  <c r="D33" i="22" s="1"/>
  <c r="E33" i="22" s="1"/>
  <c r="C22" i="22"/>
  <c r="D22" i="22" s="1"/>
  <c r="E22" i="22" s="1"/>
  <c r="C2" i="22"/>
  <c r="D2" i="22" s="1"/>
  <c r="E2" i="22" s="1"/>
  <c r="C3" i="22"/>
  <c r="D3" i="22" s="1"/>
  <c r="E3" i="22" s="1"/>
  <c r="C26" i="22"/>
  <c r="D26" i="22" s="1"/>
  <c r="E26" i="22" s="1"/>
  <c r="C29" i="22"/>
  <c r="D29" i="22" s="1"/>
  <c r="E29" i="22" s="1"/>
  <c r="C14" i="22"/>
  <c r="D14" i="22" s="1"/>
  <c r="E14" i="22" s="1"/>
  <c r="C38" i="22"/>
  <c r="D38" i="22" s="1"/>
  <c r="E38" i="22" s="1"/>
  <c r="C6" i="22"/>
  <c r="D6" i="22" s="1"/>
  <c r="E6" i="22" s="1"/>
  <c r="C10" i="22"/>
  <c r="D10" i="22" s="1"/>
  <c r="E10" i="22" s="1"/>
  <c r="C34" i="22"/>
  <c r="D34" i="22" s="1"/>
  <c r="E34" i="22" s="1"/>
  <c r="C9" i="22"/>
  <c r="D9" i="22" s="1"/>
  <c r="E9" i="22" s="1"/>
  <c r="C30" i="22"/>
  <c r="D30" i="22" s="1"/>
  <c r="E30" i="22" s="1"/>
  <c r="C2" i="20"/>
  <c r="D2" i="20" s="1"/>
  <c r="E2" i="20" s="1"/>
  <c r="C9" i="20"/>
  <c r="D9" i="20" s="1"/>
  <c r="E9" i="20" s="1"/>
  <c r="C2" i="18"/>
  <c r="D2" i="18" s="1"/>
  <c r="E2" i="18" s="1"/>
  <c r="C13" i="18"/>
  <c r="D13" i="18" s="1"/>
  <c r="E13" i="18" s="1"/>
  <c r="C9" i="18"/>
  <c r="D9" i="18" s="1"/>
  <c r="E9" i="18" s="1"/>
  <c r="C17" i="18"/>
  <c r="D17" i="18" s="1"/>
  <c r="E17" i="18" s="1"/>
  <c r="C21" i="18"/>
  <c r="D21" i="18" s="1"/>
  <c r="E21" i="18" s="1"/>
  <c r="C33" i="18"/>
  <c r="D33" i="18" s="1"/>
  <c r="E33" i="18" s="1"/>
  <c r="C37" i="18"/>
  <c r="D37" i="18" s="1"/>
  <c r="E37" i="18" s="1"/>
  <c r="C25" i="18"/>
  <c r="D25" i="18" s="1"/>
  <c r="E25" i="18" s="1"/>
  <c r="C29" i="18"/>
  <c r="D29" i="18" s="1"/>
  <c r="E29" i="18" s="1"/>
  <c r="C9" i="17"/>
  <c r="D9" i="17" s="1"/>
  <c r="E9" i="17" s="1"/>
  <c r="C13" i="17"/>
  <c r="D13" i="17" s="1"/>
  <c r="E13" i="17" s="1"/>
  <c r="C17" i="17"/>
  <c r="D17" i="17" s="1"/>
  <c r="E17" i="17" s="1"/>
  <c r="C21" i="17"/>
  <c r="D21" i="17" s="1"/>
  <c r="E21" i="17" s="1"/>
  <c r="C37" i="11"/>
  <c r="D37" i="11" s="1"/>
  <c r="E37" i="11" s="1"/>
  <c r="C9" i="11"/>
  <c r="D9" i="11" s="1"/>
  <c r="E9" i="11" s="1"/>
  <c r="C2" i="9"/>
  <c r="D2" i="9" s="1"/>
  <c r="E2" i="9" s="1"/>
  <c r="C9" i="9"/>
  <c r="D9" i="9" s="1"/>
  <c r="E9" i="9" s="1"/>
  <c r="C13" i="9"/>
  <c r="D13" i="9" s="1"/>
  <c r="E13" i="9" s="1"/>
  <c r="C37" i="9"/>
  <c r="D37" i="9" s="1"/>
  <c r="E37" i="9" s="1"/>
  <c r="C17" i="9"/>
  <c r="D17" i="9" s="1"/>
  <c r="E17" i="9" s="1"/>
  <c r="C33" i="9"/>
  <c r="D33" i="9" s="1"/>
  <c r="E33" i="9" s="1"/>
  <c r="C21" i="9"/>
  <c r="D21" i="9" s="1"/>
  <c r="E21" i="9" s="1"/>
  <c r="C25" i="9"/>
  <c r="D25" i="9" s="1"/>
  <c r="E25" i="9" s="1"/>
  <c r="C29" i="9"/>
  <c r="D29" i="9" s="1"/>
  <c r="E29" i="9" s="1"/>
  <c r="C9" i="8"/>
  <c r="D9" i="8" s="1"/>
  <c r="E9" i="8" s="1"/>
  <c r="C9" i="5"/>
  <c r="D9" i="5" s="1"/>
  <c r="E9" i="5" s="1"/>
  <c r="C2" i="5"/>
  <c r="D2" i="5" s="1"/>
  <c r="E2" i="5" s="1"/>
  <c r="C13" i="5"/>
  <c r="D13" i="5" s="1"/>
  <c r="E13" i="5" s="1"/>
  <c r="C17" i="5"/>
  <c r="D17" i="5" s="1"/>
  <c r="E17" i="5" s="1"/>
  <c r="C21" i="5"/>
  <c r="D21" i="5" s="1"/>
  <c r="E21" i="5" s="1"/>
  <c r="C25" i="5"/>
  <c r="D25" i="5" s="1"/>
  <c r="E25" i="5" s="1"/>
  <c r="C29" i="5"/>
  <c r="D29" i="5" s="1"/>
  <c r="E29" i="5" s="1"/>
  <c r="C33" i="5"/>
  <c r="D33" i="5" s="1"/>
  <c r="E33" i="5" s="1"/>
  <c r="C37" i="5"/>
  <c r="D37" i="5" s="1"/>
  <c r="E37" i="5" s="1"/>
  <c r="C29" i="4"/>
  <c r="D29" i="4" s="1"/>
  <c r="E29" i="4" s="1"/>
  <c r="C7" i="32"/>
  <c r="D7" i="32" s="1"/>
  <c r="E7" i="32" s="1"/>
  <c r="C11" i="32"/>
  <c r="D11" i="32" s="1"/>
  <c r="E11" i="32" s="1"/>
  <c r="C15" i="32"/>
  <c r="D15" i="32" s="1"/>
  <c r="E15" i="32" s="1"/>
  <c r="C19" i="32"/>
  <c r="D19" i="32" s="1"/>
  <c r="E19" i="32" s="1"/>
  <c r="C23" i="32"/>
  <c r="D23" i="32" s="1"/>
  <c r="E23" i="32" s="1"/>
  <c r="C27" i="32"/>
  <c r="D27" i="32" s="1"/>
  <c r="E27" i="32" s="1"/>
  <c r="C31" i="32"/>
  <c r="D31" i="32" s="1"/>
  <c r="E31" i="32" s="1"/>
  <c r="C35" i="32"/>
  <c r="D35" i="32" s="1"/>
  <c r="E35" i="32" s="1"/>
  <c r="C39" i="32"/>
  <c r="D39" i="32" s="1"/>
  <c r="E39" i="32" s="1"/>
  <c r="C4" i="32"/>
  <c r="D4" i="32" s="1"/>
  <c r="E4" i="32" s="1"/>
  <c r="C8" i="32"/>
  <c r="D8" i="32" s="1"/>
  <c r="E8" i="32" s="1"/>
  <c r="C12" i="32"/>
  <c r="D12" i="32" s="1"/>
  <c r="E12" i="32" s="1"/>
  <c r="C16" i="32"/>
  <c r="D16" i="32" s="1"/>
  <c r="E16" i="32" s="1"/>
  <c r="C20" i="32"/>
  <c r="D20" i="32" s="1"/>
  <c r="E20" i="32" s="1"/>
  <c r="C24" i="32"/>
  <c r="D24" i="32" s="1"/>
  <c r="E24" i="32" s="1"/>
  <c r="C28" i="32"/>
  <c r="D28" i="32" s="1"/>
  <c r="E28" i="32" s="1"/>
  <c r="C32" i="32"/>
  <c r="D32" i="32" s="1"/>
  <c r="E32" i="32" s="1"/>
  <c r="C36" i="32"/>
  <c r="D36" i="32" s="1"/>
  <c r="E36" i="32" s="1"/>
  <c r="C40" i="32"/>
  <c r="D40" i="32" s="1"/>
  <c r="E40" i="32" s="1"/>
  <c r="C1" i="32"/>
  <c r="D1" i="32" s="1"/>
  <c r="E1" i="32" s="1"/>
  <c r="C7" i="31"/>
  <c r="D7" i="31" s="1"/>
  <c r="E7" i="31" s="1"/>
  <c r="C11" i="31"/>
  <c r="D11" i="31" s="1"/>
  <c r="E11" i="31" s="1"/>
  <c r="C15" i="31"/>
  <c r="D15" i="31" s="1"/>
  <c r="E15" i="31" s="1"/>
  <c r="C19" i="31"/>
  <c r="D19" i="31" s="1"/>
  <c r="E19" i="31" s="1"/>
  <c r="C23" i="31"/>
  <c r="D23" i="31" s="1"/>
  <c r="E23" i="31" s="1"/>
  <c r="C27" i="31"/>
  <c r="D27" i="31" s="1"/>
  <c r="E27" i="31" s="1"/>
  <c r="C31" i="31"/>
  <c r="D31" i="31" s="1"/>
  <c r="E31" i="31" s="1"/>
  <c r="C35" i="31"/>
  <c r="D35" i="31" s="1"/>
  <c r="E35" i="31" s="1"/>
  <c r="C39" i="31"/>
  <c r="D39" i="31" s="1"/>
  <c r="E39" i="31" s="1"/>
  <c r="C8" i="31"/>
  <c r="D8" i="31" s="1"/>
  <c r="E8" i="31" s="1"/>
  <c r="C12" i="31"/>
  <c r="D12" i="31" s="1"/>
  <c r="E12" i="31" s="1"/>
  <c r="C16" i="31"/>
  <c r="D16" i="31" s="1"/>
  <c r="E16" i="31" s="1"/>
  <c r="C20" i="31"/>
  <c r="D20" i="31" s="1"/>
  <c r="E20" i="31" s="1"/>
  <c r="C24" i="31"/>
  <c r="D24" i="31" s="1"/>
  <c r="E24" i="31" s="1"/>
  <c r="C28" i="31"/>
  <c r="D28" i="31" s="1"/>
  <c r="E28" i="31" s="1"/>
  <c r="C32" i="31"/>
  <c r="D32" i="31" s="1"/>
  <c r="E32" i="31" s="1"/>
  <c r="C36" i="31"/>
  <c r="D36" i="31" s="1"/>
  <c r="E36" i="31" s="1"/>
  <c r="C40" i="31"/>
  <c r="D40" i="31" s="1"/>
  <c r="E40" i="31" s="1"/>
  <c r="C1" i="31"/>
  <c r="D1" i="31" s="1"/>
  <c r="E1" i="31" s="1"/>
  <c r="C3" i="30"/>
  <c r="D3" i="30" s="1"/>
  <c r="E3" i="30" s="1"/>
  <c r="C7" i="30"/>
  <c r="D7" i="30" s="1"/>
  <c r="E7" i="30" s="1"/>
  <c r="C11" i="30"/>
  <c r="D11" i="30" s="1"/>
  <c r="E11" i="30" s="1"/>
  <c r="C15" i="30"/>
  <c r="D15" i="30" s="1"/>
  <c r="E15" i="30" s="1"/>
  <c r="C19" i="30"/>
  <c r="D19" i="30" s="1"/>
  <c r="E19" i="30" s="1"/>
  <c r="C23" i="30"/>
  <c r="D23" i="30" s="1"/>
  <c r="E23" i="30" s="1"/>
  <c r="C27" i="30"/>
  <c r="D27" i="30" s="1"/>
  <c r="E27" i="30" s="1"/>
  <c r="C31" i="30"/>
  <c r="D31" i="30" s="1"/>
  <c r="E31" i="30" s="1"/>
  <c r="C35" i="30"/>
  <c r="D35" i="30" s="1"/>
  <c r="E35" i="30" s="1"/>
  <c r="C39" i="30"/>
  <c r="D39" i="30" s="1"/>
  <c r="E39" i="30" s="1"/>
  <c r="C4" i="30"/>
  <c r="D4" i="30" s="1"/>
  <c r="E4" i="30" s="1"/>
  <c r="C8" i="30"/>
  <c r="D8" i="30" s="1"/>
  <c r="E8" i="30" s="1"/>
  <c r="C12" i="30"/>
  <c r="D12" i="30" s="1"/>
  <c r="E12" i="30" s="1"/>
  <c r="C16" i="30"/>
  <c r="D16" i="30" s="1"/>
  <c r="E16" i="30" s="1"/>
  <c r="C20" i="30"/>
  <c r="D20" i="30" s="1"/>
  <c r="E20" i="30" s="1"/>
  <c r="C24" i="30"/>
  <c r="D24" i="30" s="1"/>
  <c r="E24" i="30" s="1"/>
  <c r="C28" i="30"/>
  <c r="D28" i="30" s="1"/>
  <c r="E28" i="30" s="1"/>
  <c r="C32" i="30"/>
  <c r="D32" i="30" s="1"/>
  <c r="E32" i="30" s="1"/>
  <c r="C36" i="30"/>
  <c r="D36" i="30" s="1"/>
  <c r="E36" i="30" s="1"/>
  <c r="C40" i="30"/>
  <c r="D40" i="30" s="1"/>
  <c r="E40" i="30" s="1"/>
  <c r="C1" i="30"/>
  <c r="D1" i="30" s="1"/>
  <c r="E1" i="30" s="1"/>
  <c r="C9" i="29"/>
  <c r="D9" i="29" s="1"/>
  <c r="E9" i="29" s="1"/>
  <c r="C13" i="29"/>
  <c r="D13" i="29" s="1"/>
  <c r="E13" i="29" s="1"/>
  <c r="C17" i="29"/>
  <c r="D17" i="29" s="1"/>
  <c r="E17" i="29" s="1"/>
  <c r="C21" i="29"/>
  <c r="D21" i="29" s="1"/>
  <c r="E21" i="29" s="1"/>
  <c r="C25" i="29"/>
  <c r="D25" i="29" s="1"/>
  <c r="E25" i="29" s="1"/>
  <c r="C29" i="29"/>
  <c r="D29" i="29" s="1"/>
  <c r="E29" i="29" s="1"/>
  <c r="C33" i="29"/>
  <c r="D33" i="29" s="1"/>
  <c r="E33" i="29" s="1"/>
  <c r="C37" i="29"/>
  <c r="D37" i="29" s="1"/>
  <c r="E37" i="29" s="1"/>
  <c r="C6" i="29"/>
  <c r="D6" i="29" s="1"/>
  <c r="E6" i="29" s="1"/>
  <c r="C10" i="29"/>
  <c r="D10" i="29" s="1"/>
  <c r="E10" i="29" s="1"/>
  <c r="C14" i="29"/>
  <c r="D14" i="29" s="1"/>
  <c r="E14" i="29" s="1"/>
  <c r="C18" i="29"/>
  <c r="D18" i="29" s="1"/>
  <c r="E18" i="29" s="1"/>
  <c r="C22" i="29"/>
  <c r="D22" i="29" s="1"/>
  <c r="E22" i="29" s="1"/>
  <c r="C26" i="29"/>
  <c r="D26" i="29" s="1"/>
  <c r="E26" i="29" s="1"/>
  <c r="C30" i="29"/>
  <c r="D30" i="29" s="1"/>
  <c r="E30" i="29" s="1"/>
  <c r="C34" i="29"/>
  <c r="D34" i="29" s="1"/>
  <c r="E34" i="29" s="1"/>
  <c r="C38" i="29"/>
  <c r="D38" i="29" s="1"/>
  <c r="E38" i="29" s="1"/>
  <c r="C3" i="29"/>
  <c r="D3" i="29" s="1"/>
  <c r="E3" i="29" s="1"/>
  <c r="C7" i="29"/>
  <c r="D7" i="29" s="1"/>
  <c r="E7" i="29" s="1"/>
  <c r="C11" i="29"/>
  <c r="D11" i="29" s="1"/>
  <c r="E11" i="29" s="1"/>
  <c r="C15" i="29"/>
  <c r="D15" i="29" s="1"/>
  <c r="E15" i="29" s="1"/>
  <c r="C19" i="29"/>
  <c r="D19" i="29" s="1"/>
  <c r="E19" i="29" s="1"/>
  <c r="C23" i="29"/>
  <c r="D23" i="29" s="1"/>
  <c r="E23" i="29" s="1"/>
  <c r="C27" i="29"/>
  <c r="D27" i="29" s="1"/>
  <c r="E27" i="29" s="1"/>
  <c r="C31" i="29"/>
  <c r="D31" i="29" s="1"/>
  <c r="E31" i="29" s="1"/>
  <c r="C35" i="29"/>
  <c r="D35" i="29" s="1"/>
  <c r="E35" i="29" s="1"/>
  <c r="C39" i="29"/>
  <c r="D39" i="29" s="1"/>
  <c r="E39" i="29" s="1"/>
  <c r="C4" i="29"/>
  <c r="D4" i="29" s="1"/>
  <c r="E4" i="29" s="1"/>
  <c r="C8" i="29"/>
  <c r="D8" i="29" s="1"/>
  <c r="E8" i="29" s="1"/>
  <c r="C12" i="29"/>
  <c r="D12" i="29" s="1"/>
  <c r="E12" i="29" s="1"/>
  <c r="C16" i="29"/>
  <c r="D16" i="29" s="1"/>
  <c r="E16" i="29" s="1"/>
  <c r="C20" i="29"/>
  <c r="D20" i="29" s="1"/>
  <c r="E20" i="29" s="1"/>
  <c r="C24" i="29"/>
  <c r="D24" i="29" s="1"/>
  <c r="E24" i="29" s="1"/>
  <c r="C28" i="29"/>
  <c r="D28" i="29" s="1"/>
  <c r="E28" i="29" s="1"/>
  <c r="C32" i="29"/>
  <c r="D32" i="29" s="1"/>
  <c r="E32" i="29" s="1"/>
  <c r="C36" i="29"/>
  <c r="D36" i="29" s="1"/>
  <c r="E36" i="29" s="1"/>
  <c r="C40" i="29"/>
  <c r="D40" i="29" s="1"/>
  <c r="E40" i="29" s="1"/>
  <c r="C1" i="29"/>
  <c r="D1" i="29" s="1"/>
  <c r="E1" i="29" s="1"/>
  <c r="C34" i="28"/>
  <c r="D34" i="28" s="1"/>
  <c r="E34" i="28" s="1"/>
  <c r="C9" i="28"/>
  <c r="D9" i="28" s="1"/>
  <c r="E9" i="28" s="1"/>
  <c r="C13" i="28"/>
  <c r="D13" i="28" s="1"/>
  <c r="E13" i="28" s="1"/>
  <c r="C17" i="28"/>
  <c r="D17" i="28" s="1"/>
  <c r="E17" i="28" s="1"/>
  <c r="C21" i="28"/>
  <c r="D21" i="28" s="1"/>
  <c r="E21" i="28" s="1"/>
  <c r="C25" i="28"/>
  <c r="D25" i="28" s="1"/>
  <c r="E25" i="28" s="1"/>
  <c r="C29" i="28"/>
  <c r="D29" i="28" s="1"/>
  <c r="E29" i="28" s="1"/>
  <c r="C33" i="28"/>
  <c r="D33" i="28" s="1"/>
  <c r="E33" i="28" s="1"/>
  <c r="C37" i="28"/>
  <c r="D37" i="28" s="1"/>
  <c r="E37" i="28" s="1"/>
  <c r="C10" i="28"/>
  <c r="D10" i="28" s="1"/>
  <c r="E10" i="28" s="1"/>
  <c r="C3" i="28"/>
  <c r="D3" i="28" s="1"/>
  <c r="E3" i="28" s="1"/>
  <c r="C14" i="28"/>
  <c r="D14" i="28" s="1"/>
  <c r="E14" i="28" s="1"/>
  <c r="C26" i="28"/>
  <c r="D26" i="28" s="1"/>
  <c r="E26" i="28" s="1"/>
  <c r="C7" i="28"/>
  <c r="D7" i="28" s="1"/>
  <c r="E7" i="28" s="1"/>
  <c r="C11" i="28"/>
  <c r="D11" i="28" s="1"/>
  <c r="E11" i="28" s="1"/>
  <c r="C15" i="28"/>
  <c r="D15" i="28" s="1"/>
  <c r="E15" i="28" s="1"/>
  <c r="C19" i="28"/>
  <c r="D19" i="28" s="1"/>
  <c r="E19" i="28" s="1"/>
  <c r="C23" i="28"/>
  <c r="D23" i="28" s="1"/>
  <c r="E23" i="28" s="1"/>
  <c r="C27" i="28"/>
  <c r="D27" i="28" s="1"/>
  <c r="E27" i="28" s="1"/>
  <c r="C31" i="28"/>
  <c r="D31" i="28" s="1"/>
  <c r="E31" i="28" s="1"/>
  <c r="C35" i="28"/>
  <c r="D35" i="28" s="1"/>
  <c r="E35" i="28" s="1"/>
  <c r="C39" i="28"/>
  <c r="D39" i="28" s="1"/>
  <c r="E39" i="28" s="1"/>
  <c r="C6" i="28"/>
  <c r="D6" i="28" s="1"/>
  <c r="E6" i="28" s="1"/>
  <c r="C30" i="28"/>
  <c r="D30" i="28" s="1"/>
  <c r="E30" i="28" s="1"/>
  <c r="C4" i="28"/>
  <c r="D4" i="28" s="1"/>
  <c r="E4" i="28" s="1"/>
  <c r="C38" i="28"/>
  <c r="D38" i="28" s="1"/>
  <c r="E38" i="28" s="1"/>
  <c r="C8" i="28"/>
  <c r="D8" i="28" s="1"/>
  <c r="E8" i="28" s="1"/>
  <c r="C12" i="28"/>
  <c r="D12" i="28" s="1"/>
  <c r="E12" i="28" s="1"/>
  <c r="C16" i="28"/>
  <c r="D16" i="28" s="1"/>
  <c r="E16" i="28" s="1"/>
  <c r="C20" i="28"/>
  <c r="D20" i="28" s="1"/>
  <c r="E20" i="28" s="1"/>
  <c r="C24" i="28"/>
  <c r="D24" i="28" s="1"/>
  <c r="E24" i="28" s="1"/>
  <c r="C28" i="28"/>
  <c r="D28" i="28" s="1"/>
  <c r="E28" i="28" s="1"/>
  <c r="C32" i="28"/>
  <c r="D32" i="28" s="1"/>
  <c r="E32" i="28" s="1"/>
  <c r="C36" i="28"/>
  <c r="D36" i="28" s="1"/>
  <c r="E36" i="28" s="1"/>
  <c r="C40" i="28"/>
  <c r="D40" i="28" s="1"/>
  <c r="E40" i="28" s="1"/>
  <c r="C18" i="28"/>
  <c r="D18" i="28" s="1"/>
  <c r="E18" i="28" s="1"/>
  <c r="C1" i="28"/>
  <c r="D1" i="28" s="1"/>
  <c r="E1" i="28" s="1"/>
  <c r="C2" i="28"/>
  <c r="D2" i="28" s="1"/>
  <c r="E2" i="28" s="1"/>
  <c r="C22" i="28"/>
  <c r="D22" i="28" s="1"/>
  <c r="E22" i="28" s="1"/>
  <c r="C7" i="27"/>
  <c r="D7" i="27" s="1"/>
  <c r="E7" i="27" s="1"/>
  <c r="C11" i="27"/>
  <c r="D11" i="27" s="1"/>
  <c r="E11" i="27" s="1"/>
  <c r="C15" i="27"/>
  <c r="D15" i="27" s="1"/>
  <c r="E15" i="27" s="1"/>
  <c r="C19" i="27"/>
  <c r="D19" i="27" s="1"/>
  <c r="E19" i="27" s="1"/>
  <c r="C23" i="27"/>
  <c r="D23" i="27" s="1"/>
  <c r="E23" i="27" s="1"/>
  <c r="C27" i="27"/>
  <c r="D27" i="27" s="1"/>
  <c r="E27" i="27" s="1"/>
  <c r="C31" i="27"/>
  <c r="D31" i="27" s="1"/>
  <c r="E31" i="27" s="1"/>
  <c r="C35" i="27"/>
  <c r="D35" i="27" s="1"/>
  <c r="E35" i="27" s="1"/>
  <c r="C39" i="27"/>
  <c r="D39" i="27" s="1"/>
  <c r="E39" i="27" s="1"/>
  <c r="C4" i="27"/>
  <c r="D4" i="27" s="1"/>
  <c r="E4" i="27" s="1"/>
  <c r="C8" i="27"/>
  <c r="D8" i="27" s="1"/>
  <c r="E8" i="27" s="1"/>
  <c r="C12" i="27"/>
  <c r="D12" i="27" s="1"/>
  <c r="E12" i="27" s="1"/>
  <c r="C16" i="27"/>
  <c r="D16" i="27" s="1"/>
  <c r="E16" i="27" s="1"/>
  <c r="C20" i="27"/>
  <c r="D20" i="27" s="1"/>
  <c r="E20" i="27" s="1"/>
  <c r="C24" i="27"/>
  <c r="D24" i="27" s="1"/>
  <c r="E24" i="27" s="1"/>
  <c r="C28" i="27"/>
  <c r="D28" i="27" s="1"/>
  <c r="E28" i="27" s="1"/>
  <c r="C32" i="27"/>
  <c r="D32" i="27" s="1"/>
  <c r="E32" i="27" s="1"/>
  <c r="C36" i="27"/>
  <c r="D36" i="27" s="1"/>
  <c r="E36" i="27" s="1"/>
  <c r="C40" i="27"/>
  <c r="D40" i="27" s="1"/>
  <c r="E40" i="27" s="1"/>
  <c r="C1" i="27"/>
  <c r="D1" i="27" s="1"/>
  <c r="E1" i="27" s="1"/>
  <c r="C6" i="26"/>
  <c r="D6" i="26" s="1"/>
  <c r="E6" i="26" s="1"/>
  <c r="C10" i="26"/>
  <c r="D10" i="26" s="1"/>
  <c r="E10" i="26" s="1"/>
  <c r="C14" i="26"/>
  <c r="D14" i="26" s="1"/>
  <c r="E14" i="26" s="1"/>
  <c r="C18" i="26"/>
  <c r="D18" i="26" s="1"/>
  <c r="E18" i="26" s="1"/>
  <c r="C22" i="26"/>
  <c r="D22" i="26" s="1"/>
  <c r="E22" i="26" s="1"/>
  <c r="C26" i="26"/>
  <c r="D26" i="26" s="1"/>
  <c r="E26" i="26" s="1"/>
  <c r="C30" i="26"/>
  <c r="D30" i="26" s="1"/>
  <c r="E30" i="26" s="1"/>
  <c r="C34" i="26"/>
  <c r="D34" i="26" s="1"/>
  <c r="E34" i="26" s="1"/>
  <c r="C38" i="26"/>
  <c r="D38" i="26" s="1"/>
  <c r="E38" i="26" s="1"/>
  <c r="C3" i="26"/>
  <c r="D3" i="26" s="1"/>
  <c r="E3" i="26" s="1"/>
  <c r="C7" i="26"/>
  <c r="D7" i="26" s="1"/>
  <c r="E7" i="26" s="1"/>
  <c r="C11" i="26"/>
  <c r="D11" i="26" s="1"/>
  <c r="E11" i="26" s="1"/>
  <c r="C15" i="26"/>
  <c r="D15" i="26" s="1"/>
  <c r="E15" i="26" s="1"/>
  <c r="C19" i="26"/>
  <c r="D19" i="26" s="1"/>
  <c r="E19" i="26" s="1"/>
  <c r="C23" i="26"/>
  <c r="D23" i="26" s="1"/>
  <c r="E23" i="26" s="1"/>
  <c r="C27" i="26"/>
  <c r="D27" i="26" s="1"/>
  <c r="E27" i="26" s="1"/>
  <c r="C31" i="26"/>
  <c r="D31" i="26" s="1"/>
  <c r="E31" i="26" s="1"/>
  <c r="C35" i="26"/>
  <c r="D35" i="26" s="1"/>
  <c r="E35" i="26" s="1"/>
  <c r="C39" i="26"/>
  <c r="D39" i="26" s="1"/>
  <c r="E39" i="26" s="1"/>
  <c r="C4" i="26"/>
  <c r="D4" i="26" s="1"/>
  <c r="E4" i="26" s="1"/>
  <c r="C8" i="26"/>
  <c r="D8" i="26" s="1"/>
  <c r="E8" i="26" s="1"/>
  <c r="C12" i="26"/>
  <c r="D12" i="26" s="1"/>
  <c r="E12" i="26" s="1"/>
  <c r="C16" i="26"/>
  <c r="D16" i="26" s="1"/>
  <c r="E16" i="26" s="1"/>
  <c r="C20" i="26"/>
  <c r="D20" i="26" s="1"/>
  <c r="E20" i="26" s="1"/>
  <c r="C24" i="26"/>
  <c r="D24" i="26" s="1"/>
  <c r="E24" i="26" s="1"/>
  <c r="C28" i="26"/>
  <c r="D28" i="26" s="1"/>
  <c r="E28" i="26" s="1"/>
  <c r="C32" i="26"/>
  <c r="D32" i="26" s="1"/>
  <c r="E32" i="26" s="1"/>
  <c r="C36" i="26"/>
  <c r="D36" i="26" s="1"/>
  <c r="E36" i="26" s="1"/>
  <c r="C40" i="26"/>
  <c r="D40" i="26" s="1"/>
  <c r="E40" i="26" s="1"/>
  <c r="C1" i="26"/>
  <c r="D1" i="26" s="1"/>
  <c r="E1" i="26" s="1"/>
  <c r="C37" i="25"/>
  <c r="D37" i="25" s="1"/>
  <c r="E37" i="25" s="1"/>
  <c r="C17" i="25"/>
  <c r="D17" i="25" s="1"/>
  <c r="E17" i="25" s="1"/>
  <c r="C2" i="25"/>
  <c r="D2" i="25" s="1"/>
  <c r="E2" i="25" s="1"/>
  <c r="C6" i="25"/>
  <c r="D6" i="25" s="1"/>
  <c r="E6" i="25" s="1"/>
  <c r="C10" i="25"/>
  <c r="D10" i="25" s="1"/>
  <c r="E10" i="25" s="1"/>
  <c r="C14" i="25"/>
  <c r="D14" i="25" s="1"/>
  <c r="E14" i="25" s="1"/>
  <c r="C18" i="25"/>
  <c r="D18" i="25" s="1"/>
  <c r="E18" i="25" s="1"/>
  <c r="C22" i="25"/>
  <c r="D22" i="25" s="1"/>
  <c r="E22" i="25" s="1"/>
  <c r="C26" i="25"/>
  <c r="D26" i="25" s="1"/>
  <c r="E26" i="25" s="1"/>
  <c r="C30" i="25"/>
  <c r="D30" i="25" s="1"/>
  <c r="E30" i="25" s="1"/>
  <c r="C34" i="25"/>
  <c r="D34" i="25" s="1"/>
  <c r="E34" i="25" s="1"/>
  <c r="C38" i="25"/>
  <c r="D38" i="25" s="1"/>
  <c r="E38" i="25" s="1"/>
  <c r="C25" i="25"/>
  <c r="D25" i="25" s="1"/>
  <c r="E25" i="25" s="1"/>
  <c r="C3" i="25"/>
  <c r="D3" i="25" s="1"/>
  <c r="E3" i="25" s="1"/>
  <c r="C9" i="25"/>
  <c r="D9" i="25" s="1"/>
  <c r="E9" i="25" s="1"/>
  <c r="C7" i="25"/>
  <c r="D7" i="25" s="1"/>
  <c r="E7" i="25" s="1"/>
  <c r="C11" i="25"/>
  <c r="D11" i="25" s="1"/>
  <c r="E11" i="25" s="1"/>
  <c r="C15" i="25"/>
  <c r="D15" i="25" s="1"/>
  <c r="E15" i="25" s="1"/>
  <c r="C19" i="25"/>
  <c r="D19" i="25" s="1"/>
  <c r="E19" i="25" s="1"/>
  <c r="C23" i="25"/>
  <c r="D23" i="25" s="1"/>
  <c r="E23" i="25" s="1"/>
  <c r="C27" i="25"/>
  <c r="D27" i="25" s="1"/>
  <c r="E27" i="25" s="1"/>
  <c r="C31" i="25"/>
  <c r="D31" i="25" s="1"/>
  <c r="E31" i="25" s="1"/>
  <c r="C35" i="25"/>
  <c r="D35" i="25" s="1"/>
  <c r="E35" i="25" s="1"/>
  <c r="C39" i="25"/>
  <c r="D39" i="25" s="1"/>
  <c r="E39" i="25" s="1"/>
  <c r="C29" i="25"/>
  <c r="D29" i="25" s="1"/>
  <c r="E29" i="25" s="1"/>
  <c r="C4" i="25"/>
  <c r="D4" i="25" s="1"/>
  <c r="E4" i="25" s="1"/>
  <c r="C33" i="25"/>
  <c r="D33" i="25" s="1"/>
  <c r="E33" i="25" s="1"/>
  <c r="C8" i="25"/>
  <c r="D8" i="25" s="1"/>
  <c r="E8" i="25" s="1"/>
  <c r="C12" i="25"/>
  <c r="D12" i="25" s="1"/>
  <c r="E12" i="25" s="1"/>
  <c r="C16" i="25"/>
  <c r="D16" i="25" s="1"/>
  <c r="E16" i="25" s="1"/>
  <c r="C20" i="25"/>
  <c r="D20" i="25" s="1"/>
  <c r="E20" i="25" s="1"/>
  <c r="C24" i="25"/>
  <c r="D24" i="25" s="1"/>
  <c r="E24" i="25" s="1"/>
  <c r="C28" i="25"/>
  <c r="D28" i="25" s="1"/>
  <c r="E28" i="25" s="1"/>
  <c r="C32" i="25"/>
  <c r="D32" i="25" s="1"/>
  <c r="E32" i="25" s="1"/>
  <c r="C36" i="25"/>
  <c r="D36" i="25" s="1"/>
  <c r="E36" i="25" s="1"/>
  <c r="C40" i="25"/>
  <c r="D40" i="25" s="1"/>
  <c r="E40" i="25" s="1"/>
  <c r="C13" i="25"/>
  <c r="D13" i="25" s="1"/>
  <c r="E13" i="25" s="1"/>
  <c r="C1" i="25"/>
  <c r="D1" i="25" s="1"/>
  <c r="E1" i="25" s="1"/>
  <c r="C21" i="25"/>
  <c r="D21" i="25" s="1"/>
  <c r="E21" i="25" s="1"/>
  <c r="C18" i="24"/>
  <c r="D18" i="24" s="1"/>
  <c r="E18" i="24" s="1"/>
  <c r="C26" i="24"/>
  <c r="D26" i="24" s="1"/>
  <c r="E26" i="24" s="1"/>
  <c r="C30" i="24"/>
  <c r="D30" i="24" s="1"/>
  <c r="E30" i="24" s="1"/>
  <c r="C34" i="24"/>
  <c r="D34" i="24" s="1"/>
  <c r="E34" i="24" s="1"/>
  <c r="C38" i="24"/>
  <c r="D38" i="24" s="1"/>
  <c r="E38" i="24" s="1"/>
  <c r="C3" i="24"/>
  <c r="D3" i="24" s="1"/>
  <c r="E3" i="24" s="1"/>
  <c r="C22" i="24"/>
  <c r="D22" i="24" s="1"/>
  <c r="E22" i="24" s="1"/>
  <c r="C7" i="24"/>
  <c r="D7" i="24" s="1"/>
  <c r="E7" i="24" s="1"/>
  <c r="C11" i="24"/>
  <c r="D11" i="24" s="1"/>
  <c r="E11" i="24" s="1"/>
  <c r="C15" i="24"/>
  <c r="D15" i="24" s="1"/>
  <c r="E15" i="24" s="1"/>
  <c r="C19" i="24"/>
  <c r="D19" i="24" s="1"/>
  <c r="E19" i="24" s="1"/>
  <c r="C23" i="24"/>
  <c r="D23" i="24" s="1"/>
  <c r="E23" i="24" s="1"/>
  <c r="C27" i="24"/>
  <c r="D27" i="24" s="1"/>
  <c r="E27" i="24" s="1"/>
  <c r="C31" i="24"/>
  <c r="D31" i="24" s="1"/>
  <c r="E31" i="24" s="1"/>
  <c r="C35" i="24"/>
  <c r="D35" i="24" s="1"/>
  <c r="E35" i="24" s="1"/>
  <c r="C39" i="24"/>
  <c r="D39" i="24" s="1"/>
  <c r="E39" i="24" s="1"/>
  <c r="C14" i="24"/>
  <c r="D14" i="24" s="1"/>
  <c r="E14" i="24" s="1"/>
  <c r="C4" i="24"/>
  <c r="D4" i="24" s="1"/>
  <c r="E4" i="24" s="1"/>
  <c r="C8" i="24"/>
  <c r="D8" i="24" s="1"/>
  <c r="E8" i="24" s="1"/>
  <c r="C12" i="24"/>
  <c r="D12" i="24" s="1"/>
  <c r="E12" i="24" s="1"/>
  <c r="C16" i="24"/>
  <c r="D16" i="24" s="1"/>
  <c r="E16" i="24" s="1"/>
  <c r="C20" i="24"/>
  <c r="D20" i="24" s="1"/>
  <c r="E20" i="24" s="1"/>
  <c r="C24" i="24"/>
  <c r="D24" i="24" s="1"/>
  <c r="E24" i="24" s="1"/>
  <c r="C28" i="24"/>
  <c r="D28" i="24" s="1"/>
  <c r="E28" i="24" s="1"/>
  <c r="C32" i="24"/>
  <c r="D32" i="24" s="1"/>
  <c r="E32" i="24" s="1"/>
  <c r="C36" i="24"/>
  <c r="D36" i="24" s="1"/>
  <c r="E36" i="24" s="1"/>
  <c r="C40" i="24"/>
  <c r="D40" i="24" s="1"/>
  <c r="E40" i="24" s="1"/>
  <c r="C10" i="24"/>
  <c r="D10" i="24" s="1"/>
  <c r="E10" i="24" s="1"/>
  <c r="C1" i="24"/>
  <c r="D1" i="24" s="1"/>
  <c r="E1" i="24" s="1"/>
  <c r="C6" i="24"/>
  <c r="D6" i="24" s="1"/>
  <c r="E6" i="24" s="1"/>
  <c r="C13" i="23"/>
  <c r="D13" i="23" s="1"/>
  <c r="E13" i="23" s="1"/>
  <c r="C37" i="23"/>
  <c r="D37" i="23" s="1"/>
  <c r="E37" i="23" s="1"/>
  <c r="C29" i="23"/>
  <c r="D29" i="23" s="1"/>
  <c r="E29" i="23" s="1"/>
  <c r="C10" i="23"/>
  <c r="D10" i="23" s="1"/>
  <c r="E10" i="23" s="1"/>
  <c r="C14" i="23"/>
  <c r="D14" i="23" s="1"/>
  <c r="E14" i="23" s="1"/>
  <c r="C22" i="23"/>
  <c r="D22" i="23" s="1"/>
  <c r="E22" i="23" s="1"/>
  <c r="C25" i="23"/>
  <c r="D25" i="23" s="1"/>
  <c r="E25" i="23" s="1"/>
  <c r="C30" i="23"/>
  <c r="D30" i="23" s="1"/>
  <c r="E30" i="23" s="1"/>
  <c r="C7" i="23"/>
  <c r="D7" i="23" s="1"/>
  <c r="E7" i="23" s="1"/>
  <c r="C11" i="23"/>
  <c r="D11" i="23" s="1"/>
  <c r="E11" i="23" s="1"/>
  <c r="C15" i="23"/>
  <c r="D15" i="23" s="1"/>
  <c r="E15" i="23" s="1"/>
  <c r="C19" i="23"/>
  <c r="D19" i="23" s="1"/>
  <c r="E19" i="23" s="1"/>
  <c r="C23" i="23"/>
  <c r="D23" i="23" s="1"/>
  <c r="E23" i="23" s="1"/>
  <c r="C27" i="23"/>
  <c r="D27" i="23" s="1"/>
  <c r="E27" i="23" s="1"/>
  <c r="C31" i="23"/>
  <c r="D31" i="23" s="1"/>
  <c r="E31" i="23" s="1"/>
  <c r="C35" i="23"/>
  <c r="D35" i="23" s="1"/>
  <c r="E35" i="23" s="1"/>
  <c r="C39" i="23"/>
  <c r="D39" i="23" s="1"/>
  <c r="E39" i="23" s="1"/>
  <c r="C17" i="23"/>
  <c r="D17" i="23" s="1"/>
  <c r="E17" i="23" s="1"/>
  <c r="C2" i="23"/>
  <c r="D2" i="23" s="1"/>
  <c r="E2" i="23" s="1"/>
  <c r="C34" i="23"/>
  <c r="D34" i="23" s="1"/>
  <c r="E34" i="23" s="1"/>
  <c r="C6" i="23"/>
  <c r="D6" i="23" s="1"/>
  <c r="E6" i="23" s="1"/>
  <c r="C26" i="23"/>
  <c r="D26" i="23" s="1"/>
  <c r="E26" i="23" s="1"/>
  <c r="C3" i="23"/>
  <c r="D3" i="23" s="1"/>
  <c r="E3" i="23" s="1"/>
  <c r="C4" i="23"/>
  <c r="D4" i="23" s="1"/>
  <c r="E4" i="23" s="1"/>
  <c r="C8" i="23"/>
  <c r="D8" i="23" s="1"/>
  <c r="E8" i="23" s="1"/>
  <c r="C12" i="23"/>
  <c r="D12" i="23" s="1"/>
  <c r="E12" i="23" s="1"/>
  <c r="C16" i="23"/>
  <c r="D16" i="23" s="1"/>
  <c r="E16" i="23" s="1"/>
  <c r="C20" i="23"/>
  <c r="D20" i="23" s="1"/>
  <c r="E20" i="23" s="1"/>
  <c r="C24" i="23"/>
  <c r="D24" i="23" s="1"/>
  <c r="E24" i="23" s="1"/>
  <c r="C28" i="23"/>
  <c r="D28" i="23" s="1"/>
  <c r="E28" i="23" s="1"/>
  <c r="C32" i="23"/>
  <c r="D32" i="23" s="1"/>
  <c r="E32" i="23" s="1"/>
  <c r="C36" i="23"/>
  <c r="D36" i="23" s="1"/>
  <c r="E36" i="23" s="1"/>
  <c r="C40" i="23"/>
  <c r="D40" i="23" s="1"/>
  <c r="E40" i="23" s="1"/>
  <c r="C9" i="23"/>
  <c r="D9" i="23" s="1"/>
  <c r="E9" i="23" s="1"/>
  <c r="C21" i="23"/>
  <c r="D21" i="23" s="1"/>
  <c r="E21" i="23" s="1"/>
  <c r="C18" i="23"/>
  <c r="D18" i="23" s="1"/>
  <c r="E18" i="23" s="1"/>
  <c r="C1" i="23"/>
  <c r="D1" i="23" s="1"/>
  <c r="E1" i="23" s="1"/>
  <c r="C33" i="23"/>
  <c r="D33" i="23" s="1"/>
  <c r="E33" i="23" s="1"/>
  <c r="C38" i="23"/>
  <c r="D38" i="23" s="1"/>
  <c r="E38" i="23" s="1"/>
  <c r="C19" i="22"/>
  <c r="D19" i="22" s="1"/>
  <c r="E19" i="22" s="1"/>
  <c r="C39" i="22"/>
  <c r="D39" i="22" s="1"/>
  <c r="E39" i="22" s="1"/>
  <c r="C7" i="22"/>
  <c r="D7" i="22" s="1"/>
  <c r="E7" i="22" s="1"/>
  <c r="C15" i="22"/>
  <c r="D15" i="22" s="1"/>
  <c r="E15" i="22" s="1"/>
  <c r="C23" i="22"/>
  <c r="D23" i="22" s="1"/>
  <c r="E23" i="22" s="1"/>
  <c r="C4" i="22"/>
  <c r="D4" i="22" s="1"/>
  <c r="E4" i="22" s="1"/>
  <c r="C35" i="22"/>
  <c r="D35" i="22" s="1"/>
  <c r="E35" i="22" s="1"/>
  <c r="C8" i="22"/>
  <c r="D8" i="22" s="1"/>
  <c r="E8" i="22" s="1"/>
  <c r="C12" i="22"/>
  <c r="D12" i="22" s="1"/>
  <c r="E12" i="22" s="1"/>
  <c r="C16" i="22"/>
  <c r="D16" i="22" s="1"/>
  <c r="E16" i="22" s="1"/>
  <c r="C20" i="22"/>
  <c r="D20" i="22" s="1"/>
  <c r="E20" i="22" s="1"/>
  <c r="C24" i="22"/>
  <c r="D24" i="22" s="1"/>
  <c r="E24" i="22" s="1"/>
  <c r="C28" i="22"/>
  <c r="D28" i="22" s="1"/>
  <c r="E28" i="22" s="1"/>
  <c r="C32" i="22"/>
  <c r="D32" i="22" s="1"/>
  <c r="E32" i="22" s="1"/>
  <c r="C36" i="22"/>
  <c r="D36" i="22" s="1"/>
  <c r="E36" i="22" s="1"/>
  <c r="C40" i="22"/>
  <c r="D40" i="22" s="1"/>
  <c r="E40" i="22" s="1"/>
  <c r="C31" i="22"/>
  <c r="D31" i="22" s="1"/>
  <c r="E31" i="22" s="1"/>
  <c r="C1" i="22"/>
  <c r="D1" i="22" s="1"/>
  <c r="E1" i="22" s="1"/>
  <c r="C11" i="22"/>
  <c r="D11" i="22" s="1"/>
  <c r="E11" i="22" s="1"/>
  <c r="C27" i="22"/>
  <c r="D27" i="22" s="1"/>
  <c r="E27" i="22" s="1"/>
  <c r="C33" i="21"/>
  <c r="D33" i="21" s="1"/>
  <c r="E33" i="21" s="1"/>
  <c r="C17" i="21"/>
  <c r="D17" i="21" s="1"/>
  <c r="E17" i="21" s="1"/>
  <c r="C2" i="21"/>
  <c r="D2" i="21" s="1"/>
  <c r="E2" i="21" s="1"/>
  <c r="C6" i="21"/>
  <c r="D6" i="21" s="1"/>
  <c r="E6" i="21" s="1"/>
  <c r="C10" i="21"/>
  <c r="D10" i="21" s="1"/>
  <c r="E10" i="21" s="1"/>
  <c r="C14" i="21"/>
  <c r="D14" i="21" s="1"/>
  <c r="E14" i="21" s="1"/>
  <c r="C18" i="21"/>
  <c r="D18" i="21" s="1"/>
  <c r="E18" i="21" s="1"/>
  <c r="C22" i="21"/>
  <c r="D22" i="21" s="1"/>
  <c r="E22" i="21" s="1"/>
  <c r="C26" i="21"/>
  <c r="D26" i="21" s="1"/>
  <c r="E26" i="21" s="1"/>
  <c r="C30" i="21"/>
  <c r="D30" i="21" s="1"/>
  <c r="E30" i="21" s="1"/>
  <c r="C34" i="21"/>
  <c r="D34" i="21" s="1"/>
  <c r="E34" i="21" s="1"/>
  <c r="C38" i="21"/>
  <c r="D38" i="21" s="1"/>
  <c r="E38" i="21" s="1"/>
  <c r="C25" i="21"/>
  <c r="D25" i="21" s="1"/>
  <c r="E25" i="21" s="1"/>
  <c r="C3" i="21"/>
  <c r="D3" i="21" s="1"/>
  <c r="E3" i="21" s="1"/>
  <c r="C29" i="21"/>
  <c r="D29" i="21" s="1"/>
  <c r="E29" i="21" s="1"/>
  <c r="C7" i="21"/>
  <c r="D7" i="21" s="1"/>
  <c r="E7" i="21" s="1"/>
  <c r="C11" i="21"/>
  <c r="D11" i="21" s="1"/>
  <c r="E11" i="21" s="1"/>
  <c r="C15" i="21"/>
  <c r="D15" i="21" s="1"/>
  <c r="E15" i="21" s="1"/>
  <c r="C19" i="21"/>
  <c r="D19" i="21" s="1"/>
  <c r="E19" i="21" s="1"/>
  <c r="C23" i="21"/>
  <c r="D23" i="21" s="1"/>
  <c r="E23" i="21" s="1"/>
  <c r="C27" i="21"/>
  <c r="D27" i="21" s="1"/>
  <c r="E27" i="21" s="1"/>
  <c r="C31" i="21"/>
  <c r="D31" i="21" s="1"/>
  <c r="E31" i="21" s="1"/>
  <c r="C35" i="21"/>
  <c r="D35" i="21" s="1"/>
  <c r="E35" i="21" s="1"/>
  <c r="C39" i="21"/>
  <c r="D39" i="21" s="1"/>
  <c r="E39" i="21" s="1"/>
  <c r="C37" i="21"/>
  <c r="D37" i="21" s="1"/>
  <c r="E37" i="21" s="1"/>
  <c r="C4" i="21"/>
  <c r="D4" i="21" s="1"/>
  <c r="E4" i="21" s="1"/>
  <c r="C9" i="21"/>
  <c r="D9" i="21" s="1"/>
  <c r="E9" i="21" s="1"/>
  <c r="C8" i="21"/>
  <c r="D8" i="21" s="1"/>
  <c r="E8" i="21" s="1"/>
  <c r="C12" i="21"/>
  <c r="D12" i="21" s="1"/>
  <c r="E12" i="21" s="1"/>
  <c r="C16" i="21"/>
  <c r="D16" i="21" s="1"/>
  <c r="E16" i="21" s="1"/>
  <c r="C20" i="21"/>
  <c r="D20" i="21" s="1"/>
  <c r="E20" i="21" s="1"/>
  <c r="C24" i="21"/>
  <c r="D24" i="21" s="1"/>
  <c r="E24" i="21" s="1"/>
  <c r="C28" i="21"/>
  <c r="D28" i="21" s="1"/>
  <c r="E28" i="21" s="1"/>
  <c r="C32" i="21"/>
  <c r="D32" i="21" s="1"/>
  <c r="E32" i="21" s="1"/>
  <c r="C36" i="21"/>
  <c r="D36" i="21" s="1"/>
  <c r="E36" i="21" s="1"/>
  <c r="C40" i="21"/>
  <c r="D40" i="21" s="1"/>
  <c r="E40" i="21" s="1"/>
  <c r="C13" i="21"/>
  <c r="D13" i="21" s="1"/>
  <c r="E13" i="21" s="1"/>
  <c r="C1" i="21"/>
  <c r="D1" i="21" s="1"/>
  <c r="E1" i="21" s="1"/>
  <c r="C21" i="21"/>
  <c r="D21" i="21" s="1"/>
  <c r="E21" i="21" s="1"/>
  <c r="C13" i="20"/>
  <c r="D13" i="20" s="1"/>
  <c r="E13" i="20" s="1"/>
  <c r="C17" i="20"/>
  <c r="D17" i="20" s="1"/>
  <c r="E17" i="20" s="1"/>
  <c r="C21" i="20"/>
  <c r="D21" i="20" s="1"/>
  <c r="E21" i="20" s="1"/>
  <c r="C25" i="20"/>
  <c r="D25" i="20" s="1"/>
  <c r="E25" i="20" s="1"/>
  <c r="C29" i="20"/>
  <c r="D29" i="20" s="1"/>
  <c r="E29" i="20" s="1"/>
  <c r="C33" i="20"/>
  <c r="D33" i="20" s="1"/>
  <c r="E33" i="20" s="1"/>
  <c r="C37" i="20"/>
  <c r="D37" i="20" s="1"/>
  <c r="E37" i="20" s="1"/>
  <c r="C18" i="20"/>
  <c r="D18" i="20" s="1"/>
  <c r="E18" i="20" s="1"/>
  <c r="C34" i="20"/>
  <c r="D34" i="20" s="1"/>
  <c r="E34" i="20" s="1"/>
  <c r="C3" i="20"/>
  <c r="D3" i="20" s="1"/>
  <c r="E3" i="20" s="1"/>
  <c r="C38" i="20"/>
  <c r="D38" i="20" s="1"/>
  <c r="E38" i="20" s="1"/>
  <c r="C6" i="20"/>
  <c r="D6" i="20" s="1"/>
  <c r="E6" i="20" s="1"/>
  <c r="C30" i="20"/>
  <c r="D30" i="20" s="1"/>
  <c r="E30" i="20" s="1"/>
  <c r="C7" i="20"/>
  <c r="D7" i="20" s="1"/>
  <c r="E7" i="20" s="1"/>
  <c r="C11" i="20"/>
  <c r="D11" i="20" s="1"/>
  <c r="E11" i="20" s="1"/>
  <c r="C15" i="20"/>
  <c r="D15" i="20" s="1"/>
  <c r="E15" i="20" s="1"/>
  <c r="C19" i="20"/>
  <c r="D19" i="20" s="1"/>
  <c r="E19" i="20" s="1"/>
  <c r="C23" i="20"/>
  <c r="D23" i="20" s="1"/>
  <c r="E23" i="20" s="1"/>
  <c r="C27" i="20"/>
  <c r="D27" i="20" s="1"/>
  <c r="E27" i="20" s="1"/>
  <c r="C31" i="20"/>
  <c r="D31" i="20" s="1"/>
  <c r="E31" i="20" s="1"/>
  <c r="C35" i="20"/>
  <c r="D35" i="20" s="1"/>
  <c r="E35" i="20" s="1"/>
  <c r="C39" i="20"/>
  <c r="D39" i="20" s="1"/>
  <c r="E39" i="20" s="1"/>
  <c r="C10" i="20"/>
  <c r="D10" i="20" s="1"/>
  <c r="E10" i="20" s="1"/>
  <c r="C4" i="20"/>
  <c r="D4" i="20" s="1"/>
  <c r="E4" i="20" s="1"/>
  <c r="C22" i="20"/>
  <c r="D22" i="20" s="1"/>
  <c r="E22" i="20" s="1"/>
  <c r="C8" i="20"/>
  <c r="D8" i="20" s="1"/>
  <c r="E8" i="20" s="1"/>
  <c r="C12" i="20"/>
  <c r="D12" i="20" s="1"/>
  <c r="E12" i="20" s="1"/>
  <c r="C16" i="20"/>
  <c r="D16" i="20" s="1"/>
  <c r="E16" i="20" s="1"/>
  <c r="C20" i="20"/>
  <c r="D20" i="20" s="1"/>
  <c r="E20" i="20" s="1"/>
  <c r="C24" i="20"/>
  <c r="D24" i="20" s="1"/>
  <c r="E24" i="20" s="1"/>
  <c r="C28" i="20"/>
  <c r="D28" i="20" s="1"/>
  <c r="E28" i="20" s="1"/>
  <c r="C32" i="20"/>
  <c r="D32" i="20" s="1"/>
  <c r="E32" i="20" s="1"/>
  <c r="C36" i="20"/>
  <c r="D36" i="20" s="1"/>
  <c r="E36" i="20" s="1"/>
  <c r="C40" i="20"/>
  <c r="D40" i="20" s="1"/>
  <c r="E40" i="20" s="1"/>
  <c r="C14" i="20"/>
  <c r="D14" i="20" s="1"/>
  <c r="E14" i="20" s="1"/>
  <c r="C1" i="20"/>
  <c r="D1" i="20" s="1"/>
  <c r="E1" i="20" s="1"/>
  <c r="C26" i="20"/>
  <c r="D26" i="20" s="1"/>
  <c r="E26" i="20" s="1"/>
  <c r="C9" i="19"/>
  <c r="D9" i="19" s="1"/>
  <c r="E9" i="19" s="1"/>
  <c r="C13" i="19"/>
  <c r="D13" i="19" s="1"/>
  <c r="E13" i="19" s="1"/>
  <c r="C17" i="19"/>
  <c r="D17" i="19" s="1"/>
  <c r="E17" i="19" s="1"/>
  <c r="C21" i="19"/>
  <c r="D21" i="19" s="1"/>
  <c r="E21" i="19" s="1"/>
  <c r="C25" i="19"/>
  <c r="D25" i="19" s="1"/>
  <c r="E25" i="19" s="1"/>
  <c r="C29" i="19"/>
  <c r="D29" i="19" s="1"/>
  <c r="E29" i="19" s="1"/>
  <c r="C33" i="19"/>
  <c r="D33" i="19" s="1"/>
  <c r="E33" i="19" s="1"/>
  <c r="C37" i="19"/>
  <c r="D37" i="19" s="1"/>
  <c r="E37" i="19" s="1"/>
  <c r="C2" i="19"/>
  <c r="D2" i="19" s="1"/>
  <c r="E2" i="19" s="1"/>
  <c r="C6" i="19"/>
  <c r="D6" i="19" s="1"/>
  <c r="E6" i="19" s="1"/>
  <c r="C10" i="19"/>
  <c r="D10" i="19" s="1"/>
  <c r="E10" i="19" s="1"/>
  <c r="C14" i="19"/>
  <c r="D14" i="19" s="1"/>
  <c r="E14" i="19" s="1"/>
  <c r="C18" i="19"/>
  <c r="D18" i="19" s="1"/>
  <c r="E18" i="19" s="1"/>
  <c r="C22" i="19"/>
  <c r="D22" i="19" s="1"/>
  <c r="E22" i="19" s="1"/>
  <c r="C26" i="19"/>
  <c r="D26" i="19" s="1"/>
  <c r="E26" i="19" s="1"/>
  <c r="C30" i="19"/>
  <c r="D30" i="19" s="1"/>
  <c r="E30" i="19" s="1"/>
  <c r="C34" i="19"/>
  <c r="D34" i="19" s="1"/>
  <c r="E34" i="19" s="1"/>
  <c r="C38" i="19"/>
  <c r="D38" i="19" s="1"/>
  <c r="E38" i="19" s="1"/>
  <c r="C3" i="19"/>
  <c r="D3" i="19" s="1"/>
  <c r="E3" i="19" s="1"/>
  <c r="C7" i="19"/>
  <c r="D7" i="19" s="1"/>
  <c r="E7" i="19" s="1"/>
  <c r="C11" i="19"/>
  <c r="D11" i="19" s="1"/>
  <c r="E11" i="19" s="1"/>
  <c r="C15" i="19"/>
  <c r="D15" i="19" s="1"/>
  <c r="E15" i="19" s="1"/>
  <c r="C19" i="19"/>
  <c r="D19" i="19" s="1"/>
  <c r="E19" i="19" s="1"/>
  <c r="C23" i="19"/>
  <c r="D23" i="19" s="1"/>
  <c r="E23" i="19" s="1"/>
  <c r="C27" i="19"/>
  <c r="D27" i="19" s="1"/>
  <c r="E27" i="19" s="1"/>
  <c r="C31" i="19"/>
  <c r="D31" i="19" s="1"/>
  <c r="E31" i="19" s="1"/>
  <c r="C35" i="19"/>
  <c r="D35" i="19" s="1"/>
  <c r="E35" i="19" s="1"/>
  <c r="C39" i="19"/>
  <c r="D39" i="19" s="1"/>
  <c r="E39" i="19" s="1"/>
  <c r="C4" i="19"/>
  <c r="D4" i="19" s="1"/>
  <c r="E4" i="19" s="1"/>
  <c r="C8" i="19"/>
  <c r="D8" i="19" s="1"/>
  <c r="E8" i="19" s="1"/>
  <c r="C12" i="19"/>
  <c r="D12" i="19" s="1"/>
  <c r="E12" i="19" s="1"/>
  <c r="C16" i="19"/>
  <c r="D16" i="19" s="1"/>
  <c r="E16" i="19" s="1"/>
  <c r="C20" i="19"/>
  <c r="D20" i="19" s="1"/>
  <c r="E20" i="19" s="1"/>
  <c r="C24" i="19"/>
  <c r="D24" i="19" s="1"/>
  <c r="E24" i="19" s="1"/>
  <c r="C28" i="19"/>
  <c r="D28" i="19" s="1"/>
  <c r="E28" i="19" s="1"/>
  <c r="C32" i="19"/>
  <c r="D32" i="19" s="1"/>
  <c r="E32" i="19" s="1"/>
  <c r="C36" i="19"/>
  <c r="D36" i="19" s="1"/>
  <c r="E36" i="19" s="1"/>
  <c r="C40" i="19"/>
  <c r="D40" i="19" s="1"/>
  <c r="E40" i="19" s="1"/>
  <c r="C1" i="19"/>
  <c r="D1" i="19" s="1"/>
  <c r="E1" i="19" s="1"/>
  <c r="C14" i="18"/>
  <c r="D14" i="18" s="1"/>
  <c r="E14" i="18" s="1"/>
  <c r="C22" i="18"/>
  <c r="D22" i="18" s="1"/>
  <c r="E22" i="18" s="1"/>
  <c r="C26" i="18"/>
  <c r="D26" i="18" s="1"/>
  <c r="E26" i="18" s="1"/>
  <c r="C30" i="18"/>
  <c r="D30" i="18" s="1"/>
  <c r="E30" i="18" s="1"/>
  <c r="C34" i="18"/>
  <c r="D34" i="18" s="1"/>
  <c r="E34" i="18" s="1"/>
  <c r="C38" i="18"/>
  <c r="D38" i="18" s="1"/>
  <c r="E38" i="18" s="1"/>
  <c r="C3" i="18"/>
  <c r="D3" i="18" s="1"/>
  <c r="E3" i="18" s="1"/>
  <c r="C18" i="18"/>
  <c r="D18" i="18" s="1"/>
  <c r="E18" i="18" s="1"/>
  <c r="C39" i="18"/>
  <c r="D39" i="18" s="1"/>
  <c r="E39" i="18" s="1"/>
  <c r="C31" i="18"/>
  <c r="D31" i="18" s="1"/>
  <c r="E31" i="18" s="1"/>
  <c r="C4" i="18"/>
  <c r="D4" i="18" s="1"/>
  <c r="E4" i="18" s="1"/>
  <c r="C6" i="18"/>
  <c r="D6" i="18" s="1"/>
  <c r="E6" i="18" s="1"/>
  <c r="C7" i="18"/>
  <c r="D7" i="18" s="1"/>
  <c r="E7" i="18" s="1"/>
  <c r="C27" i="18"/>
  <c r="D27" i="18" s="1"/>
  <c r="E27" i="18" s="1"/>
  <c r="C8" i="18"/>
  <c r="D8" i="18" s="1"/>
  <c r="E8" i="18" s="1"/>
  <c r="C12" i="18"/>
  <c r="D12" i="18" s="1"/>
  <c r="E12" i="18" s="1"/>
  <c r="C16" i="18"/>
  <c r="D16" i="18" s="1"/>
  <c r="E16" i="18" s="1"/>
  <c r="C20" i="18"/>
  <c r="D20" i="18" s="1"/>
  <c r="E20" i="18" s="1"/>
  <c r="C24" i="18"/>
  <c r="D24" i="18" s="1"/>
  <c r="E24" i="18" s="1"/>
  <c r="C28" i="18"/>
  <c r="D28" i="18" s="1"/>
  <c r="E28" i="18" s="1"/>
  <c r="C32" i="18"/>
  <c r="D32" i="18" s="1"/>
  <c r="E32" i="18" s="1"/>
  <c r="C36" i="18"/>
  <c r="D36" i="18" s="1"/>
  <c r="E36" i="18" s="1"/>
  <c r="C40" i="18"/>
  <c r="D40" i="18" s="1"/>
  <c r="E40" i="18" s="1"/>
  <c r="C15" i="18"/>
  <c r="D15" i="18" s="1"/>
  <c r="E15" i="18" s="1"/>
  <c r="C23" i="18"/>
  <c r="D23" i="18" s="1"/>
  <c r="E23" i="18" s="1"/>
  <c r="C1" i="18"/>
  <c r="D1" i="18" s="1"/>
  <c r="E1" i="18" s="1"/>
  <c r="C10" i="18"/>
  <c r="D10" i="18" s="1"/>
  <c r="E10" i="18" s="1"/>
  <c r="C11" i="18"/>
  <c r="D11" i="18" s="1"/>
  <c r="E11" i="18" s="1"/>
  <c r="C19" i="18"/>
  <c r="D19" i="18" s="1"/>
  <c r="E19" i="18" s="1"/>
  <c r="C35" i="18"/>
  <c r="D35" i="18" s="1"/>
  <c r="E35" i="18" s="1"/>
  <c r="C38" i="17"/>
  <c r="D38" i="17" s="1"/>
  <c r="E38" i="17" s="1"/>
  <c r="C33" i="17"/>
  <c r="D33" i="17" s="1"/>
  <c r="E33" i="17" s="1"/>
  <c r="C14" i="17"/>
  <c r="D14" i="17" s="1"/>
  <c r="E14" i="17" s="1"/>
  <c r="C3" i="17"/>
  <c r="D3" i="17" s="1"/>
  <c r="E3" i="17" s="1"/>
  <c r="C26" i="17"/>
  <c r="D26" i="17" s="1"/>
  <c r="E26" i="17" s="1"/>
  <c r="C22" i="17"/>
  <c r="D22" i="17" s="1"/>
  <c r="E22" i="17" s="1"/>
  <c r="C7" i="17"/>
  <c r="D7" i="17" s="1"/>
  <c r="E7" i="17" s="1"/>
  <c r="C11" i="17"/>
  <c r="D11" i="17" s="1"/>
  <c r="E11" i="17" s="1"/>
  <c r="C15" i="17"/>
  <c r="D15" i="17" s="1"/>
  <c r="E15" i="17" s="1"/>
  <c r="C19" i="17"/>
  <c r="D19" i="17" s="1"/>
  <c r="E19" i="17" s="1"/>
  <c r="C23" i="17"/>
  <c r="D23" i="17" s="1"/>
  <c r="E23" i="17" s="1"/>
  <c r="C27" i="17"/>
  <c r="D27" i="17" s="1"/>
  <c r="E27" i="17" s="1"/>
  <c r="C31" i="17"/>
  <c r="D31" i="17" s="1"/>
  <c r="E31" i="17" s="1"/>
  <c r="C35" i="17"/>
  <c r="D35" i="17" s="1"/>
  <c r="E35" i="17" s="1"/>
  <c r="C39" i="17"/>
  <c r="D39" i="17" s="1"/>
  <c r="E39" i="17" s="1"/>
  <c r="C37" i="17"/>
  <c r="D37" i="17" s="1"/>
  <c r="E37" i="17" s="1"/>
  <c r="C10" i="17"/>
  <c r="D10" i="17" s="1"/>
  <c r="E10" i="17" s="1"/>
  <c r="C4" i="17"/>
  <c r="D4" i="17" s="1"/>
  <c r="E4" i="17" s="1"/>
  <c r="C29" i="17"/>
  <c r="D29" i="17" s="1"/>
  <c r="E29" i="17" s="1"/>
  <c r="C30" i="17"/>
  <c r="D30" i="17" s="1"/>
  <c r="E30" i="17" s="1"/>
  <c r="C8" i="17"/>
  <c r="D8" i="17" s="1"/>
  <c r="E8" i="17" s="1"/>
  <c r="C12" i="17"/>
  <c r="D12" i="17" s="1"/>
  <c r="E12" i="17" s="1"/>
  <c r="C16" i="17"/>
  <c r="D16" i="17" s="1"/>
  <c r="E16" i="17" s="1"/>
  <c r="C20" i="17"/>
  <c r="D20" i="17" s="1"/>
  <c r="E20" i="17" s="1"/>
  <c r="C24" i="17"/>
  <c r="D24" i="17" s="1"/>
  <c r="E24" i="17" s="1"/>
  <c r="C28" i="17"/>
  <c r="D28" i="17" s="1"/>
  <c r="E28" i="17" s="1"/>
  <c r="C32" i="17"/>
  <c r="D32" i="17" s="1"/>
  <c r="E32" i="17" s="1"/>
  <c r="C36" i="17"/>
  <c r="D36" i="17" s="1"/>
  <c r="E36" i="17" s="1"/>
  <c r="C40" i="17"/>
  <c r="D40" i="17" s="1"/>
  <c r="E40" i="17" s="1"/>
  <c r="C6" i="17"/>
  <c r="D6" i="17" s="1"/>
  <c r="E6" i="17" s="1"/>
  <c r="C18" i="17"/>
  <c r="D18" i="17" s="1"/>
  <c r="E18" i="17" s="1"/>
  <c r="C1" i="17"/>
  <c r="D1" i="17" s="1"/>
  <c r="E1" i="17" s="1"/>
  <c r="C25" i="17"/>
  <c r="D25" i="17" s="1"/>
  <c r="E25" i="17" s="1"/>
  <c r="C2" i="17"/>
  <c r="D2" i="17" s="1"/>
  <c r="E2" i="17" s="1"/>
  <c r="C34" i="17"/>
  <c r="D34" i="17" s="1"/>
  <c r="E34" i="17" s="1"/>
  <c r="C9" i="16"/>
  <c r="D9" i="16" s="1"/>
  <c r="E9" i="16" s="1"/>
  <c r="C13" i="16"/>
  <c r="D13" i="16" s="1"/>
  <c r="E13" i="16" s="1"/>
  <c r="C17" i="16"/>
  <c r="D17" i="16" s="1"/>
  <c r="E17" i="16" s="1"/>
  <c r="C21" i="16"/>
  <c r="D21" i="16" s="1"/>
  <c r="E21" i="16" s="1"/>
  <c r="C25" i="16"/>
  <c r="D25" i="16" s="1"/>
  <c r="E25" i="16" s="1"/>
  <c r="C29" i="16"/>
  <c r="D29" i="16" s="1"/>
  <c r="E29" i="16" s="1"/>
  <c r="C33" i="16"/>
  <c r="D33" i="16" s="1"/>
  <c r="E33" i="16" s="1"/>
  <c r="C37" i="16"/>
  <c r="D37" i="16" s="1"/>
  <c r="E37" i="16" s="1"/>
  <c r="C38" i="16"/>
  <c r="D38" i="16" s="1"/>
  <c r="E38" i="16" s="1"/>
  <c r="C6" i="16"/>
  <c r="D6" i="16" s="1"/>
  <c r="E6" i="16" s="1"/>
  <c r="C14" i="16"/>
  <c r="D14" i="16" s="1"/>
  <c r="E14" i="16" s="1"/>
  <c r="C22" i="16"/>
  <c r="D22" i="16" s="1"/>
  <c r="E22" i="16" s="1"/>
  <c r="C26" i="16"/>
  <c r="D26" i="16" s="1"/>
  <c r="E26" i="16" s="1"/>
  <c r="C3" i="16"/>
  <c r="D3" i="16" s="1"/>
  <c r="E3" i="16" s="1"/>
  <c r="C18" i="16"/>
  <c r="D18" i="16" s="1"/>
  <c r="E18" i="16" s="1"/>
  <c r="C34" i="16"/>
  <c r="D34" i="16" s="1"/>
  <c r="E34" i="16" s="1"/>
  <c r="C10" i="16"/>
  <c r="D10" i="16" s="1"/>
  <c r="E10" i="16" s="1"/>
  <c r="C30" i="16"/>
  <c r="D30" i="16" s="1"/>
  <c r="E30" i="16" s="1"/>
  <c r="C7" i="16"/>
  <c r="D7" i="16" s="1"/>
  <c r="E7" i="16" s="1"/>
  <c r="C11" i="16"/>
  <c r="D11" i="16" s="1"/>
  <c r="E11" i="16" s="1"/>
  <c r="C15" i="16"/>
  <c r="D15" i="16" s="1"/>
  <c r="E15" i="16" s="1"/>
  <c r="C19" i="16"/>
  <c r="D19" i="16" s="1"/>
  <c r="E19" i="16" s="1"/>
  <c r="C23" i="16"/>
  <c r="D23" i="16" s="1"/>
  <c r="E23" i="16" s="1"/>
  <c r="C27" i="16"/>
  <c r="D27" i="16" s="1"/>
  <c r="E27" i="16" s="1"/>
  <c r="C31" i="16"/>
  <c r="D31" i="16" s="1"/>
  <c r="E31" i="16" s="1"/>
  <c r="C35" i="16"/>
  <c r="D35" i="16" s="1"/>
  <c r="E35" i="16" s="1"/>
  <c r="C39" i="16"/>
  <c r="D39" i="16" s="1"/>
  <c r="E39" i="16" s="1"/>
  <c r="C4" i="16"/>
  <c r="D4" i="16" s="1"/>
  <c r="E4" i="16" s="1"/>
  <c r="C2" i="16"/>
  <c r="D2" i="16" s="1"/>
  <c r="E2" i="16" s="1"/>
  <c r="C8" i="16"/>
  <c r="D8" i="16" s="1"/>
  <c r="E8" i="16" s="1"/>
  <c r="C12" i="16"/>
  <c r="D12" i="16" s="1"/>
  <c r="E12" i="16" s="1"/>
  <c r="C16" i="16"/>
  <c r="D16" i="16" s="1"/>
  <c r="E16" i="16" s="1"/>
  <c r="C20" i="16"/>
  <c r="D20" i="16" s="1"/>
  <c r="E20" i="16" s="1"/>
  <c r="C24" i="16"/>
  <c r="D24" i="16" s="1"/>
  <c r="E24" i="16" s="1"/>
  <c r="C28" i="16"/>
  <c r="D28" i="16" s="1"/>
  <c r="E28" i="16" s="1"/>
  <c r="C32" i="16"/>
  <c r="D32" i="16" s="1"/>
  <c r="E32" i="16" s="1"/>
  <c r="C36" i="16"/>
  <c r="D36" i="16" s="1"/>
  <c r="E36" i="16" s="1"/>
  <c r="C40" i="16"/>
  <c r="D40" i="16" s="1"/>
  <c r="E40" i="16" s="1"/>
  <c r="C1" i="16"/>
  <c r="D1" i="16" s="1"/>
  <c r="E1" i="16" s="1"/>
  <c r="C17" i="15"/>
  <c r="D17" i="15" s="1"/>
  <c r="E17" i="15" s="1"/>
  <c r="C25" i="15"/>
  <c r="D25" i="15" s="1"/>
  <c r="E25" i="15" s="1"/>
  <c r="C33" i="15"/>
  <c r="D33" i="15" s="1"/>
  <c r="E33" i="15" s="1"/>
  <c r="C37" i="15"/>
  <c r="D37" i="15" s="1"/>
  <c r="E37" i="15" s="1"/>
  <c r="C13" i="15"/>
  <c r="D13" i="15" s="1"/>
  <c r="E13" i="15" s="1"/>
  <c r="C21" i="15"/>
  <c r="D21" i="15" s="1"/>
  <c r="E21" i="15" s="1"/>
  <c r="C29" i="15"/>
  <c r="D29" i="15" s="1"/>
  <c r="E29" i="15" s="1"/>
  <c r="C2" i="15"/>
  <c r="D2" i="15" s="1"/>
  <c r="E2" i="15" s="1"/>
  <c r="C6" i="15"/>
  <c r="D6" i="15" s="1"/>
  <c r="E6" i="15" s="1"/>
  <c r="C30" i="15"/>
  <c r="D30" i="15" s="1"/>
  <c r="E30" i="15" s="1"/>
  <c r="C3" i="15"/>
  <c r="D3" i="15" s="1"/>
  <c r="E3" i="15" s="1"/>
  <c r="C26" i="15"/>
  <c r="D26" i="15" s="1"/>
  <c r="E26" i="15" s="1"/>
  <c r="C19" i="15"/>
  <c r="D19" i="15" s="1"/>
  <c r="E19" i="15" s="1"/>
  <c r="C27" i="15"/>
  <c r="D27" i="15" s="1"/>
  <c r="E27" i="15" s="1"/>
  <c r="C39" i="15"/>
  <c r="D39" i="15" s="1"/>
  <c r="E39" i="15" s="1"/>
  <c r="C9" i="15"/>
  <c r="D9" i="15" s="1"/>
  <c r="E9" i="15" s="1"/>
  <c r="C10" i="15"/>
  <c r="D10" i="15" s="1"/>
  <c r="E10" i="15" s="1"/>
  <c r="C18" i="15"/>
  <c r="D18" i="15" s="1"/>
  <c r="E18" i="15" s="1"/>
  <c r="C11" i="15"/>
  <c r="D11" i="15" s="1"/>
  <c r="E11" i="15" s="1"/>
  <c r="C34" i="15"/>
  <c r="D34" i="15" s="1"/>
  <c r="E34" i="15" s="1"/>
  <c r="C7" i="15"/>
  <c r="D7" i="15" s="1"/>
  <c r="E7" i="15" s="1"/>
  <c r="C23" i="15"/>
  <c r="D23" i="15" s="1"/>
  <c r="E23" i="15" s="1"/>
  <c r="C4" i="15"/>
  <c r="D4" i="15" s="1"/>
  <c r="E4" i="15" s="1"/>
  <c r="C8" i="15"/>
  <c r="D8" i="15" s="1"/>
  <c r="E8" i="15" s="1"/>
  <c r="C12" i="15"/>
  <c r="D12" i="15" s="1"/>
  <c r="E12" i="15" s="1"/>
  <c r="C16" i="15"/>
  <c r="D16" i="15" s="1"/>
  <c r="E16" i="15" s="1"/>
  <c r="C20" i="15"/>
  <c r="D20" i="15" s="1"/>
  <c r="E20" i="15" s="1"/>
  <c r="C24" i="15"/>
  <c r="D24" i="15" s="1"/>
  <c r="E24" i="15" s="1"/>
  <c r="C28" i="15"/>
  <c r="D28" i="15" s="1"/>
  <c r="E28" i="15" s="1"/>
  <c r="C32" i="15"/>
  <c r="D32" i="15" s="1"/>
  <c r="E32" i="15" s="1"/>
  <c r="C36" i="15"/>
  <c r="D36" i="15" s="1"/>
  <c r="E36" i="15" s="1"/>
  <c r="C40" i="15"/>
  <c r="D40" i="15" s="1"/>
  <c r="E40" i="15" s="1"/>
  <c r="C14" i="15"/>
  <c r="D14" i="15" s="1"/>
  <c r="E14" i="15" s="1"/>
  <c r="C22" i="15"/>
  <c r="D22" i="15" s="1"/>
  <c r="E22" i="15" s="1"/>
  <c r="C35" i="15"/>
  <c r="D35" i="15" s="1"/>
  <c r="E35" i="15" s="1"/>
  <c r="C1" i="15"/>
  <c r="D1" i="15" s="1"/>
  <c r="E1" i="15" s="1"/>
  <c r="C38" i="15"/>
  <c r="D38" i="15" s="1"/>
  <c r="E38" i="15" s="1"/>
  <c r="C15" i="15"/>
  <c r="D15" i="15" s="1"/>
  <c r="E15" i="15" s="1"/>
  <c r="C31" i="15"/>
  <c r="D31" i="15" s="1"/>
  <c r="E31" i="15" s="1"/>
  <c r="C9" i="14"/>
  <c r="D9" i="14" s="1"/>
  <c r="E9" i="14" s="1"/>
  <c r="C21" i="14"/>
  <c r="D21" i="14" s="1"/>
  <c r="E21" i="14" s="1"/>
  <c r="C10" i="14"/>
  <c r="D10" i="14" s="1"/>
  <c r="E10" i="14" s="1"/>
  <c r="C22" i="14"/>
  <c r="D22" i="14" s="1"/>
  <c r="E22" i="14" s="1"/>
  <c r="C26" i="14"/>
  <c r="D26" i="14" s="1"/>
  <c r="E26" i="14" s="1"/>
  <c r="C30" i="14"/>
  <c r="D30" i="14" s="1"/>
  <c r="E30" i="14" s="1"/>
  <c r="C34" i="14"/>
  <c r="D34" i="14" s="1"/>
  <c r="E34" i="14" s="1"/>
  <c r="C38" i="14"/>
  <c r="D38" i="14" s="1"/>
  <c r="E38" i="14" s="1"/>
  <c r="C17" i="14"/>
  <c r="D17" i="14" s="1"/>
  <c r="E17" i="14" s="1"/>
  <c r="C18" i="14"/>
  <c r="D18" i="14" s="1"/>
  <c r="E18" i="14" s="1"/>
  <c r="C6" i="14"/>
  <c r="D6" i="14" s="1"/>
  <c r="E6" i="14" s="1"/>
  <c r="C39" i="14"/>
  <c r="D39" i="14" s="1"/>
  <c r="E39" i="14" s="1"/>
  <c r="C13" i="14"/>
  <c r="D13" i="14" s="1"/>
  <c r="E13" i="14" s="1"/>
  <c r="C29" i="14"/>
  <c r="D29" i="14" s="1"/>
  <c r="E29" i="14" s="1"/>
  <c r="C11" i="14"/>
  <c r="D11" i="14" s="1"/>
  <c r="E11" i="14" s="1"/>
  <c r="C27" i="14"/>
  <c r="D27" i="14" s="1"/>
  <c r="E27" i="14" s="1"/>
  <c r="C4" i="14"/>
  <c r="D4" i="14" s="1"/>
  <c r="E4" i="14" s="1"/>
  <c r="C37" i="14"/>
  <c r="D37" i="14" s="1"/>
  <c r="E37" i="14" s="1"/>
  <c r="C2" i="14"/>
  <c r="D2" i="14" s="1"/>
  <c r="E2" i="14" s="1"/>
  <c r="C14" i="14"/>
  <c r="D14" i="14" s="1"/>
  <c r="E14" i="14" s="1"/>
  <c r="C3" i="14"/>
  <c r="D3" i="14" s="1"/>
  <c r="E3" i="14" s="1"/>
  <c r="C7" i="14"/>
  <c r="D7" i="14" s="1"/>
  <c r="E7" i="14" s="1"/>
  <c r="C31" i="14"/>
  <c r="D31" i="14" s="1"/>
  <c r="E31" i="14" s="1"/>
  <c r="C8" i="14"/>
  <c r="D8" i="14" s="1"/>
  <c r="E8" i="14" s="1"/>
  <c r="C12" i="14"/>
  <c r="D12" i="14" s="1"/>
  <c r="E12" i="14" s="1"/>
  <c r="C16" i="14"/>
  <c r="D16" i="14" s="1"/>
  <c r="E16" i="14" s="1"/>
  <c r="C20" i="14"/>
  <c r="D20" i="14" s="1"/>
  <c r="E20" i="14" s="1"/>
  <c r="C24" i="14"/>
  <c r="D24" i="14" s="1"/>
  <c r="E24" i="14" s="1"/>
  <c r="C28" i="14"/>
  <c r="D28" i="14" s="1"/>
  <c r="E28" i="14" s="1"/>
  <c r="C32" i="14"/>
  <c r="D32" i="14" s="1"/>
  <c r="E32" i="14" s="1"/>
  <c r="C36" i="14"/>
  <c r="D36" i="14" s="1"/>
  <c r="E36" i="14" s="1"/>
  <c r="C40" i="14"/>
  <c r="D40" i="14" s="1"/>
  <c r="E40" i="14" s="1"/>
  <c r="C25" i="14"/>
  <c r="D25" i="14" s="1"/>
  <c r="E25" i="14" s="1"/>
  <c r="C15" i="14"/>
  <c r="D15" i="14" s="1"/>
  <c r="E15" i="14" s="1"/>
  <c r="C35" i="14"/>
  <c r="D35" i="14" s="1"/>
  <c r="E35" i="14" s="1"/>
  <c r="C1" i="14"/>
  <c r="D1" i="14" s="1"/>
  <c r="E1" i="14" s="1"/>
  <c r="C33" i="14"/>
  <c r="D33" i="14" s="1"/>
  <c r="E33" i="14" s="1"/>
  <c r="C19" i="14"/>
  <c r="D19" i="14" s="1"/>
  <c r="E19" i="14" s="1"/>
  <c r="C23" i="14"/>
  <c r="D23" i="14" s="1"/>
  <c r="E23" i="14" s="1"/>
  <c r="C37" i="13"/>
  <c r="D37" i="13" s="1"/>
  <c r="E37" i="13" s="1"/>
  <c r="C29" i="13"/>
  <c r="D29" i="13" s="1"/>
  <c r="E29" i="13" s="1"/>
  <c r="C10" i="13"/>
  <c r="D10" i="13" s="1"/>
  <c r="E10" i="13" s="1"/>
  <c r="C18" i="13"/>
  <c r="D18" i="13" s="1"/>
  <c r="E18" i="13" s="1"/>
  <c r="C17" i="13"/>
  <c r="D17" i="13" s="1"/>
  <c r="E17" i="13" s="1"/>
  <c r="C14" i="13"/>
  <c r="D14" i="13" s="1"/>
  <c r="E14" i="13" s="1"/>
  <c r="C34" i="13"/>
  <c r="D34" i="13" s="1"/>
  <c r="E34" i="13" s="1"/>
  <c r="C11" i="13"/>
  <c r="D11" i="13" s="1"/>
  <c r="E11" i="13" s="1"/>
  <c r="C19" i="13"/>
  <c r="D19" i="13" s="1"/>
  <c r="E19" i="13" s="1"/>
  <c r="C23" i="13"/>
  <c r="D23" i="13" s="1"/>
  <c r="E23" i="13" s="1"/>
  <c r="C27" i="13"/>
  <c r="D27" i="13" s="1"/>
  <c r="E27" i="13" s="1"/>
  <c r="C31" i="13"/>
  <c r="D31" i="13" s="1"/>
  <c r="E31" i="13" s="1"/>
  <c r="C35" i="13"/>
  <c r="D35" i="13" s="1"/>
  <c r="E35" i="13" s="1"/>
  <c r="C39" i="13"/>
  <c r="D39" i="13" s="1"/>
  <c r="E39" i="13" s="1"/>
  <c r="C9" i="13"/>
  <c r="D9" i="13" s="1"/>
  <c r="E9" i="13" s="1"/>
  <c r="C33" i="13"/>
  <c r="D33" i="13" s="1"/>
  <c r="E33" i="13" s="1"/>
  <c r="C2" i="13"/>
  <c r="D2" i="13" s="1"/>
  <c r="E2" i="13" s="1"/>
  <c r="C30" i="13"/>
  <c r="D30" i="13" s="1"/>
  <c r="E30" i="13" s="1"/>
  <c r="C25" i="13"/>
  <c r="D25" i="13" s="1"/>
  <c r="E25" i="13" s="1"/>
  <c r="C38" i="13"/>
  <c r="D38" i="13" s="1"/>
  <c r="E38" i="13" s="1"/>
  <c r="C7" i="13"/>
  <c r="D7" i="13" s="1"/>
  <c r="E7" i="13" s="1"/>
  <c r="C4" i="13"/>
  <c r="D4" i="13" s="1"/>
  <c r="E4" i="13" s="1"/>
  <c r="C21" i="13"/>
  <c r="D21" i="13" s="1"/>
  <c r="E21" i="13" s="1"/>
  <c r="C26" i="13"/>
  <c r="D26" i="13" s="1"/>
  <c r="E26" i="13" s="1"/>
  <c r="C3" i="13"/>
  <c r="D3" i="13" s="1"/>
  <c r="E3" i="13" s="1"/>
  <c r="C8" i="13"/>
  <c r="D8" i="13" s="1"/>
  <c r="E8" i="13" s="1"/>
  <c r="C12" i="13"/>
  <c r="D12" i="13" s="1"/>
  <c r="E12" i="13" s="1"/>
  <c r="C16" i="13"/>
  <c r="D16" i="13" s="1"/>
  <c r="E16" i="13" s="1"/>
  <c r="C20" i="13"/>
  <c r="D20" i="13" s="1"/>
  <c r="E20" i="13" s="1"/>
  <c r="C24" i="13"/>
  <c r="D24" i="13" s="1"/>
  <c r="E24" i="13" s="1"/>
  <c r="C28" i="13"/>
  <c r="D28" i="13" s="1"/>
  <c r="E28" i="13" s="1"/>
  <c r="C32" i="13"/>
  <c r="D32" i="13" s="1"/>
  <c r="E32" i="13" s="1"/>
  <c r="C36" i="13"/>
  <c r="D36" i="13" s="1"/>
  <c r="E36" i="13" s="1"/>
  <c r="C40" i="13"/>
  <c r="D40" i="13" s="1"/>
  <c r="E40" i="13" s="1"/>
  <c r="C13" i="13"/>
  <c r="D13" i="13" s="1"/>
  <c r="E13" i="13" s="1"/>
  <c r="C6" i="13"/>
  <c r="D6" i="13" s="1"/>
  <c r="E6" i="13" s="1"/>
  <c r="C22" i="13"/>
  <c r="D22" i="13" s="1"/>
  <c r="E22" i="13" s="1"/>
  <c r="C15" i="13"/>
  <c r="D15" i="13" s="1"/>
  <c r="E15" i="13" s="1"/>
  <c r="C1" i="13"/>
  <c r="D1" i="13" s="1"/>
  <c r="E1" i="13" s="1"/>
  <c r="C13" i="12"/>
  <c r="D13" i="12" s="1"/>
  <c r="E13" i="12" s="1"/>
  <c r="C17" i="12"/>
  <c r="D17" i="12" s="1"/>
  <c r="E17" i="12" s="1"/>
  <c r="C21" i="12"/>
  <c r="D21" i="12" s="1"/>
  <c r="E21" i="12" s="1"/>
  <c r="C25" i="12"/>
  <c r="D25" i="12" s="1"/>
  <c r="E25" i="12" s="1"/>
  <c r="C29" i="12"/>
  <c r="D29" i="12" s="1"/>
  <c r="E29" i="12" s="1"/>
  <c r="C33" i="12"/>
  <c r="D33" i="12" s="1"/>
  <c r="E33" i="12" s="1"/>
  <c r="C37" i="12"/>
  <c r="D37" i="12" s="1"/>
  <c r="E37" i="12" s="1"/>
  <c r="C6" i="12"/>
  <c r="D6" i="12" s="1"/>
  <c r="E6" i="12" s="1"/>
  <c r="C10" i="12"/>
  <c r="D10" i="12" s="1"/>
  <c r="E10" i="12" s="1"/>
  <c r="C14" i="12"/>
  <c r="D14" i="12" s="1"/>
  <c r="E14" i="12" s="1"/>
  <c r="C18" i="12"/>
  <c r="D18" i="12" s="1"/>
  <c r="E18" i="12" s="1"/>
  <c r="C22" i="12"/>
  <c r="D22" i="12" s="1"/>
  <c r="E22" i="12" s="1"/>
  <c r="C26" i="12"/>
  <c r="D26" i="12" s="1"/>
  <c r="E26" i="12" s="1"/>
  <c r="C30" i="12"/>
  <c r="D30" i="12" s="1"/>
  <c r="E30" i="12" s="1"/>
  <c r="C34" i="12"/>
  <c r="D34" i="12" s="1"/>
  <c r="E34" i="12" s="1"/>
  <c r="C38" i="12"/>
  <c r="D38" i="12" s="1"/>
  <c r="E38" i="12" s="1"/>
  <c r="C7" i="12"/>
  <c r="D7" i="12" s="1"/>
  <c r="E7" i="12" s="1"/>
  <c r="C11" i="12"/>
  <c r="D11" i="12" s="1"/>
  <c r="E11" i="12" s="1"/>
  <c r="C15" i="12"/>
  <c r="D15" i="12" s="1"/>
  <c r="E15" i="12" s="1"/>
  <c r="C19" i="12"/>
  <c r="D19" i="12" s="1"/>
  <c r="E19" i="12" s="1"/>
  <c r="C23" i="12"/>
  <c r="D23" i="12" s="1"/>
  <c r="E23" i="12" s="1"/>
  <c r="C27" i="12"/>
  <c r="D27" i="12" s="1"/>
  <c r="E27" i="12" s="1"/>
  <c r="C31" i="12"/>
  <c r="D31" i="12" s="1"/>
  <c r="E31" i="12" s="1"/>
  <c r="C35" i="12"/>
  <c r="D35" i="12" s="1"/>
  <c r="E35" i="12" s="1"/>
  <c r="C39" i="12"/>
  <c r="D39" i="12" s="1"/>
  <c r="E39" i="12" s="1"/>
  <c r="C9" i="12"/>
  <c r="D9" i="12" s="1"/>
  <c r="E9" i="12" s="1"/>
  <c r="C3" i="12"/>
  <c r="D3" i="12" s="1"/>
  <c r="E3" i="12" s="1"/>
  <c r="C4" i="12"/>
  <c r="D4" i="12" s="1"/>
  <c r="E4" i="12" s="1"/>
  <c r="C8" i="12"/>
  <c r="D8" i="12" s="1"/>
  <c r="E8" i="12" s="1"/>
  <c r="C12" i="12"/>
  <c r="D12" i="12" s="1"/>
  <c r="E12" i="12" s="1"/>
  <c r="C16" i="12"/>
  <c r="D16" i="12" s="1"/>
  <c r="E16" i="12" s="1"/>
  <c r="C20" i="12"/>
  <c r="D20" i="12" s="1"/>
  <c r="E20" i="12" s="1"/>
  <c r="C24" i="12"/>
  <c r="D24" i="12" s="1"/>
  <c r="E24" i="12" s="1"/>
  <c r="C28" i="12"/>
  <c r="D28" i="12" s="1"/>
  <c r="E28" i="12" s="1"/>
  <c r="C32" i="12"/>
  <c r="D32" i="12" s="1"/>
  <c r="E32" i="12" s="1"/>
  <c r="C36" i="12"/>
  <c r="D36" i="12" s="1"/>
  <c r="E36" i="12" s="1"/>
  <c r="C40" i="12"/>
  <c r="D40" i="12" s="1"/>
  <c r="E40" i="12" s="1"/>
  <c r="C1" i="12"/>
  <c r="D1" i="12" s="1"/>
  <c r="E1" i="12" s="1"/>
  <c r="C2" i="12"/>
  <c r="D2" i="12" s="1"/>
  <c r="E2" i="12" s="1"/>
  <c r="C33" i="11"/>
  <c r="D33" i="11" s="1"/>
  <c r="E33" i="11" s="1"/>
  <c r="C10" i="11"/>
  <c r="D10" i="11" s="1"/>
  <c r="E10" i="11" s="1"/>
  <c r="C18" i="11"/>
  <c r="D18" i="11" s="1"/>
  <c r="E18" i="11" s="1"/>
  <c r="C3" i="11"/>
  <c r="D3" i="11" s="1"/>
  <c r="E3" i="11" s="1"/>
  <c r="C17" i="11"/>
  <c r="D17" i="11" s="1"/>
  <c r="E17" i="11" s="1"/>
  <c r="C14" i="11"/>
  <c r="D14" i="11" s="1"/>
  <c r="E14" i="11" s="1"/>
  <c r="C30" i="11"/>
  <c r="D30" i="11" s="1"/>
  <c r="E30" i="11" s="1"/>
  <c r="C7" i="11"/>
  <c r="D7" i="11" s="1"/>
  <c r="E7" i="11" s="1"/>
  <c r="C11" i="11"/>
  <c r="D11" i="11" s="1"/>
  <c r="E11" i="11" s="1"/>
  <c r="C15" i="11"/>
  <c r="D15" i="11" s="1"/>
  <c r="E15" i="11" s="1"/>
  <c r="C19" i="11"/>
  <c r="D19" i="11" s="1"/>
  <c r="E19" i="11" s="1"/>
  <c r="C23" i="11"/>
  <c r="D23" i="11" s="1"/>
  <c r="E23" i="11" s="1"/>
  <c r="C27" i="11"/>
  <c r="D27" i="11" s="1"/>
  <c r="E27" i="11" s="1"/>
  <c r="C31" i="11"/>
  <c r="D31" i="11" s="1"/>
  <c r="E31" i="11" s="1"/>
  <c r="C35" i="11"/>
  <c r="D35" i="11" s="1"/>
  <c r="E35" i="11" s="1"/>
  <c r="C39" i="11"/>
  <c r="D39" i="11" s="1"/>
  <c r="E39" i="11" s="1"/>
  <c r="C13" i="11"/>
  <c r="D13" i="11" s="1"/>
  <c r="E13" i="11" s="1"/>
  <c r="C2" i="11"/>
  <c r="D2" i="11" s="1"/>
  <c r="E2" i="11" s="1"/>
  <c r="C38" i="11"/>
  <c r="D38" i="11" s="1"/>
  <c r="E38" i="11" s="1"/>
  <c r="C25" i="11"/>
  <c r="D25" i="11" s="1"/>
  <c r="E25" i="11" s="1"/>
  <c r="C34" i="11"/>
  <c r="D34" i="11" s="1"/>
  <c r="E34" i="11" s="1"/>
  <c r="C29" i="11"/>
  <c r="D29" i="11" s="1"/>
  <c r="E29" i="11" s="1"/>
  <c r="C6" i="11"/>
  <c r="D6" i="11" s="1"/>
  <c r="E6" i="11" s="1"/>
  <c r="C22" i="11"/>
  <c r="D22" i="11" s="1"/>
  <c r="E22" i="11" s="1"/>
  <c r="C8" i="11"/>
  <c r="D8" i="11" s="1"/>
  <c r="E8" i="11" s="1"/>
  <c r="C12" i="11"/>
  <c r="D12" i="11" s="1"/>
  <c r="E12" i="11" s="1"/>
  <c r="C16" i="11"/>
  <c r="D16" i="11" s="1"/>
  <c r="E16" i="11" s="1"/>
  <c r="C20" i="11"/>
  <c r="D20" i="11" s="1"/>
  <c r="E20" i="11" s="1"/>
  <c r="C24" i="11"/>
  <c r="D24" i="11" s="1"/>
  <c r="E24" i="11" s="1"/>
  <c r="C28" i="11"/>
  <c r="D28" i="11" s="1"/>
  <c r="E28" i="11" s="1"/>
  <c r="C32" i="11"/>
  <c r="D32" i="11" s="1"/>
  <c r="E32" i="11" s="1"/>
  <c r="C36" i="11"/>
  <c r="D36" i="11" s="1"/>
  <c r="E36" i="11" s="1"/>
  <c r="C40" i="11"/>
  <c r="D40" i="11" s="1"/>
  <c r="E40" i="11" s="1"/>
  <c r="C21" i="11"/>
  <c r="D21" i="11" s="1"/>
  <c r="E21" i="11" s="1"/>
  <c r="C26" i="11"/>
  <c r="D26" i="11" s="1"/>
  <c r="E26" i="11" s="1"/>
  <c r="C4" i="11"/>
  <c r="D4" i="11" s="1"/>
  <c r="E4" i="11" s="1"/>
  <c r="C1" i="11"/>
  <c r="D1" i="11" s="1"/>
  <c r="E1" i="11" s="1"/>
  <c r="C13" i="10"/>
  <c r="D13" i="10" s="1"/>
  <c r="E13" i="10" s="1"/>
  <c r="C21" i="10"/>
  <c r="D21" i="10" s="1"/>
  <c r="E21" i="10" s="1"/>
  <c r="C25" i="10"/>
  <c r="D25" i="10" s="1"/>
  <c r="E25" i="10" s="1"/>
  <c r="C29" i="10"/>
  <c r="D29" i="10" s="1"/>
  <c r="E29" i="10" s="1"/>
  <c r="C33" i="10"/>
  <c r="D33" i="10" s="1"/>
  <c r="E33" i="10" s="1"/>
  <c r="C37" i="10"/>
  <c r="D37" i="10" s="1"/>
  <c r="E37" i="10" s="1"/>
  <c r="C14" i="10"/>
  <c r="D14" i="10" s="1"/>
  <c r="E14" i="10" s="1"/>
  <c r="C22" i="10"/>
  <c r="D22" i="10" s="1"/>
  <c r="E22" i="10" s="1"/>
  <c r="C26" i="10"/>
  <c r="D26" i="10" s="1"/>
  <c r="E26" i="10" s="1"/>
  <c r="C30" i="10"/>
  <c r="D30" i="10" s="1"/>
  <c r="E30" i="10" s="1"/>
  <c r="C34" i="10"/>
  <c r="D34" i="10" s="1"/>
  <c r="E34" i="10" s="1"/>
  <c r="C38" i="10"/>
  <c r="D38" i="10" s="1"/>
  <c r="E38" i="10" s="1"/>
  <c r="C9" i="10"/>
  <c r="D9" i="10" s="1"/>
  <c r="E9" i="10" s="1"/>
  <c r="C23" i="10"/>
  <c r="D23" i="10" s="1"/>
  <c r="E23" i="10" s="1"/>
  <c r="C17" i="10"/>
  <c r="D17" i="10" s="1"/>
  <c r="E17" i="10" s="1"/>
  <c r="C2" i="10"/>
  <c r="D2" i="10" s="1"/>
  <c r="E2" i="10" s="1"/>
  <c r="C6" i="10"/>
  <c r="D6" i="10" s="1"/>
  <c r="E6" i="10" s="1"/>
  <c r="C15" i="10"/>
  <c r="D15" i="10" s="1"/>
  <c r="E15" i="10" s="1"/>
  <c r="C27" i="10"/>
  <c r="D27" i="10" s="1"/>
  <c r="E27" i="10" s="1"/>
  <c r="C31" i="10"/>
  <c r="D31" i="10" s="1"/>
  <c r="E31" i="10" s="1"/>
  <c r="C35" i="10"/>
  <c r="D35" i="10" s="1"/>
  <c r="E35" i="10" s="1"/>
  <c r="C39" i="10"/>
  <c r="D39" i="10" s="1"/>
  <c r="E39" i="10" s="1"/>
  <c r="C4" i="10"/>
  <c r="D4" i="10" s="1"/>
  <c r="E4" i="10" s="1"/>
  <c r="C8" i="10"/>
  <c r="D8" i="10" s="1"/>
  <c r="E8" i="10" s="1"/>
  <c r="C40" i="10"/>
  <c r="D40" i="10" s="1"/>
  <c r="E40" i="10" s="1"/>
  <c r="C10" i="10"/>
  <c r="D10" i="10" s="1"/>
  <c r="E10" i="10" s="1"/>
  <c r="C7" i="10"/>
  <c r="D7" i="10" s="1"/>
  <c r="E7" i="10" s="1"/>
  <c r="C19" i="10"/>
  <c r="D19" i="10" s="1"/>
  <c r="E19" i="10" s="1"/>
  <c r="C12" i="10"/>
  <c r="D12" i="10" s="1"/>
  <c r="E12" i="10" s="1"/>
  <c r="C16" i="10"/>
  <c r="D16" i="10" s="1"/>
  <c r="E16" i="10" s="1"/>
  <c r="C20" i="10"/>
  <c r="D20" i="10" s="1"/>
  <c r="E20" i="10" s="1"/>
  <c r="C24" i="10"/>
  <c r="D24" i="10" s="1"/>
  <c r="E24" i="10" s="1"/>
  <c r="C28" i="10"/>
  <c r="D28" i="10" s="1"/>
  <c r="E28" i="10" s="1"/>
  <c r="C32" i="10"/>
  <c r="D32" i="10" s="1"/>
  <c r="E32" i="10" s="1"/>
  <c r="C36" i="10"/>
  <c r="D36" i="10" s="1"/>
  <c r="E36" i="10" s="1"/>
  <c r="C1" i="10"/>
  <c r="D1" i="10" s="1"/>
  <c r="E1" i="10" s="1"/>
  <c r="C18" i="10"/>
  <c r="D18" i="10" s="1"/>
  <c r="E18" i="10" s="1"/>
  <c r="C3" i="10"/>
  <c r="D3" i="10" s="1"/>
  <c r="E3" i="10" s="1"/>
  <c r="C11" i="10"/>
  <c r="D11" i="10" s="1"/>
  <c r="E11" i="10" s="1"/>
  <c r="C10" i="9"/>
  <c r="D10" i="9" s="1"/>
  <c r="E10" i="9" s="1"/>
  <c r="C38" i="9"/>
  <c r="D38" i="9" s="1"/>
  <c r="E38" i="9" s="1"/>
  <c r="C14" i="9"/>
  <c r="D14" i="9" s="1"/>
  <c r="E14" i="9" s="1"/>
  <c r="C34" i="9"/>
  <c r="D34" i="9" s="1"/>
  <c r="E34" i="9" s="1"/>
  <c r="C7" i="9"/>
  <c r="D7" i="9" s="1"/>
  <c r="E7" i="9" s="1"/>
  <c r="C11" i="9"/>
  <c r="D11" i="9" s="1"/>
  <c r="E11" i="9" s="1"/>
  <c r="C15" i="9"/>
  <c r="D15" i="9" s="1"/>
  <c r="E15" i="9" s="1"/>
  <c r="C19" i="9"/>
  <c r="D19" i="9" s="1"/>
  <c r="E19" i="9" s="1"/>
  <c r="C23" i="9"/>
  <c r="D23" i="9" s="1"/>
  <c r="E23" i="9" s="1"/>
  <c r="C27" i="9"/>
  <c r="D27" i="9" s="1"/>
  <c r="E27" i="9" s="1"/>
  <c r="C31" i="9"/>
  <c r="D31" i="9" s="1"/>
  <c r="E31" i="9" s="1"/>
  <c r="C35" i="9"/>
  <c r="D35" i="9" s="1"/>
  <c r="E35" i="9" s="1"/>
  <c r="C39" i="9"/>
  <c r="D39" i="9" s="1"/>
  <c r="E39" i="9" s="1"/>
  <c r="C30" i="9"/>
  <c r="D30" i="9" s="1"/>
  <c r="E30" i="9" s="1"/>
  <c r="C4" i="9"/>
  <c r="D4" i="9" s="1"/>
  <c r="E4" i="9" s="1"/>
  <c r="C26" i="9"/>
  <c r="D26" i="9" s="1"/>
  <c r="E26" i="9" s="1"/>
  <c r="C8" i="9"/>
  <c r="D8" i="9" s="1"/>
  <c r="E8" i="9" s="1"/>
  <c r="C12" i="9"/>
  <c r="D12" i="9" s="1"/>
  <c r="E12" i="9" s="1"/>
  <c r="C16" i="9"/>
  <c r="D16" i="9" s="1"/>
  <c r="E16" i="9" s="1"/>
  <c r="C20" i="9"/>
  <c r="D20" i="9" s="1"/>
  <c r="E20" i="9" s="1"/>
  <c r="C24" i="9"/>
  <c r="D24" i="9" s="1"/>
  <c r="E24" i="9" s="1"/>
  <c r="C28" i="9"/>
  <c r="D28" i="9" s="1"/>
  <c r="E28" i="9" s="1"/>
  <c r="C32" i="9"/>
  <c r="D32" i="9" s="1"/>
  <c r="E32" i="9" s="1"/>
  <c r="C36" i="9"/>
  <c r="D36" i="9" s="1"/>
  <c r="E36" i="9" s="1"/>
  <c r="C40" i="9"/>
  <c r="D40" i="9" s="1"/>
  <c r="E40" i="9" s="1"/>
  <c r="C6" i="9"/>
  <c r="D6" i="9" s="1"/>
  <c r="E6" i="9" s="1"/>
  <c r="C22" i="9"/>
  <c r="D22" i="9" s="1"/>
  <c r="E22" i="9" s="1"/>
  <c r="C3" i="9"/>
  <c r="D3" i="9" s="1"/>
  <c r="E3" i="9" s="1"/>
  <c r="C1" i="9"/>
  <c r="D1" i="9" s="1"/>
  <c r="E1" i="9" s="1"/>
  <c r="C18" i="9"/>
  <c r="D18" i="9" s="1"/>
  <c r="E18" i="9" s="1"/>
  <c r="C13" i="8"/>
  <c r="D13" i="8" s="1"/>
  <c r="E13" i="8" s="1"/>
  <c r="C14" i="8"/>
  <c r="D14" i="8" s="1"/>
  <c r="E14" i="8" s="1"/>
  <c r="C34" i="8"/>
  <c r="D34" i="8" s="1"/>
  <c r="E34" i="8" s="1"/>
  <c r="C38" i="8"/>
  <c r="D38" i="8" s="1"/>
  <c r="E38" i="8" s="1"/>
  <c r="C25" i="8"/>
  <c r="D25" i="8" s="1"/>
  <c r="E25" i="8" s="1"/>
  <c r="C17" i="8"/>
  <c r="D17" i="8" s="1"/>
  <c r="E17" i="8" s="1"/>
  <c r="C2" i="8"/>
  <c r="D2" i="8" s="1"/>
  <c r="E2" i="8" s="1"/>
  <c r="C26" i="8"/>
  <c r="D26" i="8" s="1"/>
  <c r="E26" i="8" s="1"/>
  <c r="C33" i="8"/>
  <c r="D33" i="8" s="1"/>
  <c r="E33" i="8" s="1"/>
  <c r="C10" i="8"/>
  <c r="D10" i="8" s="1"/>
  <c r="E10" i="8" s="1"/>
  <c r="C39" i="8"/>
  <c r="D39" i="8" s="1"/>
  <c r="E39" i="8" s="1"/>
  <c r="C22" i="8"/>
  <c r="D22" i="8" s="1"/>
  <c r="E22" i="8" s="1"/>
  <c r="C3" i="8"/>
  <c r="D3" i="8" s="1"/>
  <c r="E3" i="8" s="1"/>
  <c r="C11" i="8"/>
  <c r="D11" i="8" s="1"/>
  <c r="E11" i="8" s="1"/>
  <c r="C31" i="8"/>
  <c r="D31" i="8" s="1"/>
  <c r="E31" i="8" s="1"/>
  <c r="C37" i="8"/>
  <c r="D37" i="8" s="1"/>
  <c r="E37" i="8" s="1"/>
  <c r="C6" i="8"/>
  <c r="D6" i="8" s="1"/>
  <c r="E6" i="8" s="1"/>
  <c r="C23" i="8"/>
  <c r="D23" i="8" s="1"/>
  <c r="E23" i="8" s="1"/>
  <c r="C29" i="8"/>
  <c r="D29" i="8" s="1"/>
  <c r="E29" i="8" s="1"/>
  <c r="C18" i="8"/>
  <c r="D18" i="8" s="1"/>
  <c r="E18" i="8" s="1"/>
  <c r="C15" i="8"/>
  <c r="D15" i="8" s="1"/>
  <c r="E15" i="8" s="1"/>
  <c r="C27" i="8"/>
  <c r="D27" i="8" s="1"/>
  <c r="E27" i="8" s="1"/>
  <c r="C8" i="8"/>
  <c r="D8" i="8" s="1"/>
  <c r="E8" i="8" s="1"/>
  <c r="C12" i="8"/>
  <c r="D12" i="8" s="1"/>
  <c r="E12" i="8" s="1"/>
  <c r="C16" i="8"/>
  <c r="D16" i="8" s="1"/>
  <c r="E16" i="8" s="1"/>
  <c r="C20" i="8"/>
  <c r="D20" i="8" s="1"/>
  <c r="E20" i="8" s="1"/>
  <c r="C24" i="8"/>
  <c r="D24" i="8" s="1"/>
  <c r="E24" i="8" s="1"/>
  <c r="C28" i="8"/>
  <c r="D28" i="8" s="1"/>
  <c r="E28" i="8" s="1"/>
  <c r="C32" i="8"/>
  <c r="D32" i="8" s="1"/>
  <c r="E32" i="8" s="1"/>
  <c r="C36" i="8"/>
  <c r="D36" i="8" s="1"/>
  <c r="E36" i="8" s="1"/>
  <c r="C40" i="8"/>
  <c r="D40" i="8" s="1"/>
  <c r="E40" i="8" s="1"/>
  <c r="C4" i="8"/>
  <c r="D4" i="8" s="1"/>
  <c r="E4" i="8" s="1"/>
  <c r="C1" i="8"/>
  <c r="D1" i="8" s="1"/>
  <c r="E1" i="8" s="1"/>
  <c r="C21" i="8"/>
  <c r="D21" i="8" s="1"/>
  <c r="E21" i="8" s="1"/>
  <c r="C30" i="8"/>
  <c r="D30" i="8" s="1"/>
  <c r="E30" i="8" s="1"/>
  <c r="C7" i="8"/>
  <c r="D7" i="8" s="1"/>
  <c r="E7" i="8" s="1"/>
  <c r="C19" i="8"/>
  <c r="D19" i="8" s="1"/>
  <c r="E19" i="8" s="1"/>
  <c r="C35" i="8"/>
  <c r="D35" i="8" s="1"/>
  <c r="E35" i="8" s="1"/>
  <c r="C37" i="7"/>
  <c r="D37" i="7" s="1"/>
  <c r="E37" i="7" s="1"/>
  <c r="C21" i="7"/>
  <c r="D21" i="7" s="1"/>
  <c r="E21" i="7" s="1"/>
  <c r="C18" i="7"/>
  <c r="D18" i="7" s="1"/>
  <c r="E18" i="7" s="1"/>
  <c r="C29" i="7"/>
  <c r="D29" i="7" s="1"/>
  <c r="E29" i="7" s="1"/>
  <c r="C38" i="7"/>
  <c r="D38" i="7" s="1"/>
  <c r="E38" i="7" s="1"/>
  <c r="C13" i="7"/>
  <c r="D13" i="7" s="1"/>
  <c r="E13" i="7" s="1"/>
  <c r="C2" i="7"/>
  <c r="D2" i="7" s="1"/>
  <c r="E2" i="7" s="1"/>
  <c r="C26" i="7"/>
  <c r="D26" i="7" s="1"/>
  <c r="E26" i="7" s="1"/>
  <c r="C19" i="7"/>
  <c r="D19" i="7" s="1"/>
  <c r="E19" i="7" s="1"/>
  <c r="C39" i="7"/>
  <c r="D39" i="7" s="1"/>
  <c r="E39" i="7" s="1"/>
  <c r="C10" i="7"/>
  <c r="D10" i="7" s="1"/>
  <c r="E10" i="7" s="1"/>
  <c r="C22" i="7"/>
  <c r="D22" i="7" s="1"/>
  <c r="E22" i="7" s="1"/>
  <c r="C3" i="7"/>
  <c r="D3" i="7" s="1"/>
  <c r="E3" i="7" s="1"/>
  <c r="C15" i="7"/>
  <c r="D15" i="7" s="1"/>
  <c r="E15" i="7" s="1"/>
  <c r="C23" i="7"/>
  <c r="D23" i="7" s="1"/>
  <c r="E23" i="7" s="1"/>
  <c r="C4" i="7"/>
  <c r="D4" i="7" s="1"/>
  <c r="E4" i="7" s="1"/>
  <c r="C25" i="7"/>
  <c r="D25" i="7" s="1"/>
  <c r="E25" i="7" s="1"/>
  <c r="C14" i="7"/>
  <c r="D14" i="7" s="1"/>
  <c r="E14" i="7" s="1"/>
  <c r="C34" i="7"/>
  <c r="D34" i="7" s="1"/>
  <c r="E34" i="7" s="1"/>
  <c r="C11" i="7"/>
  <c r="D11" i="7" s="1"/>
  <c r="E11" i="7" s="1"/>
  <c r="C27" i="7"/>
  <c r="D27" i="7" s="1"/>
  <c r="E27" i="7" s="1"/>
  <c r="C8" i="7"/>
  <c r="D8" i="7" s="1"/>
  <c r="E8" i="7" s="1"/>
  <c r="C12" i="7"/>
  <c r="D12" i="7" s="1"/>
  <c r="E12" i="7" s="1"/>
  <c r="C16" i="7"/>
  <c r="D16" i="7" s="1"/>
  <c r="E16" i="7" s="1"/>
  <c r="C20" i="7"/>
  <c r="D20" i="7" s="1"/>
  <c r="E20" i="7" s="1"/>
  <c r="C24" i="7"/>
  <c r="D24" i="7" s="1"/>
  <c r="E24" i="7" s="1"/>
  <c r="C28" i="7"/>
  <c r="D28" i="7" s="1"/>
  <c r="E28" i="7" s="1"/>
  <c r="C32" i="7"/>
  <c r="D32" i="7" s="1"/>
  <c r="E32" i="7" s="1"/>
  <c r="C36" i="7"/>
  <c r="D36" i="7" s="1"/>
  <c r="E36" i="7" s="1"/>
  <c r="C40" i="7"/>
  <c r="D40" i="7" s="1"/>
  <c r="E40" i="7" s="1"/>
  <c r="C33" i="7"/>
  <c r="D33" i="7" s="1"/>
  <c r="E33" i="7" s="1"/>
  <c r="C7" i="7"/>
  <c r="D7" i="7" s="1"/>
  <c r="E7" i="7" s="1"/>
  <c r="C31" i="7"/>
  <c r="D31" i="7" s="1"/>
  <c r="E31" i="7" s="1"/>
  <c r="C1" i="7"/>
  <c r="D1" i="7" s="1"/>
  <c r="E1" i="7" s="1"/>
  <c r="C9" i="7"/>
  <c r="D9" i="7" s="1"/>
  <c r="E9" i="7" s="1"/>
  <c r="C17" i="7"/>
  <c r="D17" i="7" s="1"/>
  <c r="E17" i="7" s="1"/>
  <c r="C6" i="7"/>
  <c r="D6" i="7" s="1"/>
  <c r="E6" i="7" s="1"/>
  <c r="C30" i="7"/>
  <c r="D30" i="7" s="1"/>
  <c r="E30" i="7" s="1"/>
  <c r="C35" i="7"/>
  <c r="D35" i="7" s="1"/>
  <c r="E35" i="7" s="1"/>
  <c r="C37" i="6"/>
  <c r="D37" i="6" s="1"/>
  <c r="E37" i="6" s="1"/>
  <c r="C29" i="6"/>
  <c r="D29" i="6" s="1"/>
  <c r="E29" i="6" s="1"/>
  <c r="C18" i="6"/>
  <c r="D18" i="6" s="1"/>
  <c r="E18" i="6" s="1"/>
  <c r="C38" i="6"/>
  <c r="D38" i="6" s="1"/>
  <c r="E38" i="6" s="1"/>
  <c r="C9" i="6"/>
  <c r="D9" i="6" s="1"/>
  <c r="E9" i="6" s="1"/>
  <c r="C17" i="6"/>
  <c r="D17" i="6" s="1"/>
  <c r="E17" i="6" s="1"/>
  <c r="C10" i="6"/>
  <c r="D10" i="6" s="1"/>
  <c r="E10" i="6" s="1"/>
  <c r="C34" i="6"/>
  <c r="D34" i="6" s="1"/>
  <c r="E34" i="6" s="1"/>
  <c r="C7" i="6"/>
  <c r="D7" i="6" s="1"/>
  <c r="E7" i="6" s="1"/>
  <c r="C11" i="6"/>
  <c r="D11" i="6" s="1"/>
  <c r="E11" i="6" s="1"/>
  <c r="C15" i="6"/>
  <c r="D15" i="6" s="1"/>
  <c r="E15" i="6" s="1"/>
  <c r="C19" i="6"/>
  <c r="D19" i="6" s="1"/>
  <c r="E19" i="6" s="1"/>
  <c r="C23" i="6"/>
  <c r="D23" i="6" s="1"/>
  <c r="E23" i="6" s="1"/>
  <c r="C27" i="6"/>
  <c r="D27" i="6" s="1"/>
  <c r="E27" i="6" s="1"/>
  <c r="C31" i="6"/>
  <c r="D31" i="6" s="1"/>
  <c r="E31" i="6" s="1"/>
  <c r="C35" i="6"/>
  <c r="D35" i="6" s="1"/>
  <c r="E35" i="6" s="1"/>
  <c r="C39" i="6"/>
  <c r="D39" i="6" s="1"/>
  <c r="E39" i="6" s="1"/>
  <c r="C13" i="6"/>
  <c r="D13" i="6" s="1"/>
  <c r="E13" i="6" s="1"/>
  <c r="C33" i="6"/>
  <c r="D33" i="6" s="1"/>
  <c r="E33" i="6" s="1"/>
  <c r="C2" i="6"/>
  <c r="D2" i="6" s="1"/>
  <c r="E2" i="6" s="1"/>
  <c r="C6" i="6"/>
  <c r="D6" i="6" s="1"/>
  <c r="E6" i="6" s="1"/>
  <c r="C26" i="6"/>
  <c r="D26" i="6" s="1"/>
  <c r="E26" i="6" s="1"/>
  <c r="C3" i="6"/>
  <c r="D3" i="6" s="1"/>
  <c r="E3" i="6" s="1"/>
  <c r="C4" i="6"/>
  <c r="D4" i="6" s="1"/>
  <c r="E4" i="6" s="1"/>
  <c r="C25" i="6"/>
  <c r="D25" i="6" s="1"/>
  <c r="E25" i="6" s="1"/>
  <c r="C14" i="6"/>
  <c r="D14" i="6" s="1"/>
  <c r="E14" i="6" s="1"/>
  <c r="C30" i="6"/>
  <c r="D30" i="6" s="1"/>
  <c r="E30" i="6" s="1"/>
  <c r="C8" i="6"/>
  <c r="D8" i="6" s="1"/>
  <c r="E8" i="6" s="1"/>
  <c r="C12" i="6"/>
  <c r="D12" i="6" s="1"/>
  <c r="E12" i="6" s="1"/>
  <c r="C16" i="6"/>
  <c r="D16" i="6" s="1"/>
  <c r="E16" i="6" s="1"/>
  <c r="C20" i="6"/>
  <c r="D20" i="6" s="1"/>
  <c r="E20" i="6" s="1"/>
  <c r="C24" i="6"/>
  <c r="D24" i="6" s="1"/>
  <c r="E24" i="6" s="1"/>
  <c r="C28" i="6"/>
  <c r="D28" i="6" s="1"/>
  <c r="E28" i="6" s="1"/>
  <c r="C32" i="6"/>
  <c r="D32" i="6" s="1"/>
  <c r="E32" i="6" s="1"/>
  <c r="C36" i="6"/>
  <c r="D36" i="6" s="1"/>
  <c r="E36" i="6" s="1"/>
  <c r="C40" i="6"/>
  <c r="D40" i="6" s="1"/>
  <c r="E40" i="6" s="1"/>
  <c r="C1" i="6"/>
  <c r="D1" i="6" s="1"/>
  <c r="E1" i="6" s="1"/>
  <c r="C21" i="6"/>
  <c r="D21" i="6" s="1"/>
  <c r="E21" i="6" s="1"/>
  <c r="C22" i="6"/>
  <c r="D22" i="6" s="1"/>
  <c r="E22" i="6" s="1"/>
  <c r="C3" i="5"/>
  <c r="D3" i="5" s="1"/>
  <c r="E3" i="5" s="1"/>
  <c r="C22" i="5"/>
  <c r="D22" i="5" s="1"/>
  <c r="E22" i="5" s="1"/>
  <c r="C39" i="5"/>
  <c r="D39" i="5" s="1"/>
  <c r="E39" i="5" s="1"/>
  <c r="C6" i="5"/>
  <c r="D6" i="5" s="1"/>
  <c r="E6" i="5" s="1"/>
  <c r="C38" i="5"/>
  <c r="D38" i="5" s="1"/>
  <c r="E38" i="5" s="1"/>
  <c r="C11" i="5"/>
  <c r="D11" i="5" s="1"/>
  <c r="E11" i="5" s="1"/>
  <c r="C19" i="5"/>
  <c r="D19" i="5" s="1"/>
  <c r="E19" i="5" s="1"/>
  <c r="C23" i="5"/>
  <c r="D23" i="5" s="1"/>
  <c r="E23" i="5" s="1"/>
  <c r="C4" i="5"/>
  <c r="D4" i="5" s="1"/>
  <c r="E4" i="5" s="1"/>
  <c r="C18" i="5"/>
  <c r="D18" i="5" s="1"/>
  <c r="E18" i="5" s="1"/>
  <c r="C30" i="5"/>
  <c r="D30" i="5" s="1"/>
  <c r="E30" i="5" s="1"/>
  <c r="C7" i="5"/>
  <c r="D7" i="5" s="1"/>
  <c r="E7" i="5" s="1"/>
  <c r="C27" i="5"/>
  <c r="D27" i="5" s="1"/>
  <c r="E27" i="5" s="1"/>
  <c r="C8" i="5"/>
  <c r="D8" i="5" s="1"/>
  <c r="E8" i="5" s="1"/>
  <c r="C12" i="5"/>
  <c r="D12" i="5" s="1"/>
  <c r="E12" i="5" s="1"/>
  <c r="C16" i="5"/>
  <c r="D16" i="5" s="1"/>
  <c r="E16" i="5" s="1"/>
  <c r="C20" i="5"/>
  <c r="D20" i="5" s="1"/>
  <c r="E20" i="5" s="1"/>
  <c r="C24" i="5"/>
  <c r="D24" i="5" s="1"/>
  <c r="E24" i="5" s="1"/>
  <c r="C28" i="5"/>
  <c r="D28" i="5" s="1"/>
  <c r="E28" i="5" s="1"/>
  <c r="C32" i="5"/>
  <c r="D32" i="5" s="1"/>
  <c r="E32" i="5" s="1"/>
  <c r="C36" i="5"/>
  <c r="D36" i="5" s="1"/>
  <c r="E36" i="5" s="1"/>
  <c r="C40" i="5"/>
  <c r="D40" i="5" s="1"/>
  <c r="E40" i="5" s="1"/>
  <c r="C14" i="5"/>
  <c r="D14" i="5" s="1"/>
  <c r="E14" i="5" s="1"/>
  <c r="C26" i="5"/>
  <c r="D26" i="5" s="1"/>
  <c r="E26" i="5" s="1"/>
  <c r="C35" i="5"/>
  <c r="D35" i="5" s="1"/>
  <c r="E35" i="5" s="1"/>
  <c r="C1" i="5"/>
  <c r="D1" i="5" s="1"/>
  <c r="E1" i="5" s="1"/>
  <c r="C10" i="5"/>
  <c r="D10" i="5" s="1"/>
  <c r="E10" i="5" s="1"/>
  <c r="C34" i="5"/>
  <c r="D34" i="5" s="1"/>
  <c r="E34" i="5" s="1"/>
  <c r="C15" i="5"/>
  <c r="D15" i="5" s="1"/>
  <c r="E15" i="5" s="1"/>
  <c r="C31" i="5"/>
  <c r="D31" i="5" s="1"/>
  <c r="E31" i="5" s="1"/>
  <c r="C13" i="4"/>
  <c r="D13" i="4" s="1"/>
  <c r="E13" i="4" s="1"/>
  <c r="C33" i="4"/>
  <c r="D33" i="4" s="1"/>
  <c r="E33" i="4" s="1"/>
  <c r="C10" i="4"/>
  <c r="D10" i="4" s="1"/>
  <c r="E10" i="4" s="1"/>
  <c r="C34" i="4"/>
  <c r="D34" i="4" s="1"/>
  <c r="E34" i="4" s="1"/>
  <c r="C37" i="4"/>
  <c r="D37" i="4" s="1"/>
  <c r="E37" i="4" s="1"/>
  <c r="C14" i="4"/>
  <c r="D14" i="4" s="1"/>
  <c r="E14" i="4" s="1"/>
  <c r="C26" i="4"/>
  <c r="D26" i="4" s="1"/>
  <c r="E26" i="4" s="1"/>
  <c r="C3" i="4"/>
  <c r="D3" i="4" s="1"/>
  <c r="E3" i="4" s="1"/>
  <c r="C7" i="4"/>
  <c r="D7" i="4" s="1"/>
  <c r="E7" i="4" s="1"/>
  <c r="C11" i="4"/>
  <c r="D11" i="4" s="1"/>
  <c r="E11" i="4" s="1"/>
  <c r="C15" i="4"/>
  <c r="D15" i="4" s="1"/>
  <c r="E15" i="4" s="1"/>
  <c r="C19" i="4"/>
  <c r="D19" i="4" s="1"/>
  <c r="E19" i="4" s="1"/>
  <c r="C23" i="4"/>
  <c r="D23" i="4" s="1"/>
  <c r="E23" i="4" s="1"/>
  <c r="C27" i="4"/>
  <c r="D27" i="4" s="1"/>
  <c r="E27" i="4" s="1"/>
  <c r="C31" i="4"/>
  <c r="D31" i="4" s="1"/>
  <c r="E31" i="4" s="1"/>
  <c r="C35" i="4"/>
  <c r="D35" i="4" s="1"/>
  <c r="E35" i="4" s="1"/>
  <c r="C39" i="4"/>
  <c r="D39" i="4" s="1"/>
  <c r="E39" i="4" s="1"/>
  <c r="C17" i="4"/>
  <c r="D17" i="4" s="1"/>
  <c r="E17" i="4" s="1"/>
  <c r="C2" i="4"/>
  <c r="D2" i="4" s="1"/>
  <c r="E2" i="4" s="1"/>
  <c r="C6" i="4"/>
  <c r="D6" i="4" s="1"/>
  <c r="E6" i="4" s="1"/>
  <c r="C38" i="4"/>
  <c r="D38" i="4" s="1"/>
  <c r="E38" i="4" s="1"/>
  <c r="C9" i="4"/>
  <c r="D9" i="4" s="1"/>
  <c r="E9" i="4" s="1"/>
  <c r="C21" i="4"/>
  <c r="D21" i="4" s="1"/>
  <c r="E21" i="4" s="1"/>
  <c r="C18" i="4"/>
  <c r="D18" i="4" s="1"/>
  <c r="E18" i="4" s="1"/>
  <c r="C4" i="4"/>
  <c r="D4" i="4" s="1"/>
  <c r="E4" i="4" s="1"/>
  <c r="C30" i="4"/>
  <c r="D30" i="4" s="1"/>
  <c r="E30" i="4" s="1"/>
  <c r="C8" i="4"/>
  <c r="D8" i="4" s="1"/>
  <c r="E8" i="4" s="1"/>
  <c r="C12" i="4"/>
  <c r="D12" i="4" s="1"/>
  <c r="E12" i="4" s="1"/>
  <c r="C16" i="4"/>
  <c r="D16" i="4" s="1"/>
  <c r="E16" i="4" s="1"/>
  <c r="C20" i="4"/>
  <c r="D20" i="4" s="1"/>
  <c r="E20" i="4" s="1"/>
  <c r="C24" i="4"/>
  <c r="D24" i="4" s="1"/>
  <c r="E24" i="4" s="1"/>
  <c r="C28" i="4"/>
  <c r="D28" i="4" s="1"/>
  <c r="E28" i="4" s="1"/>
  <c r="C32" i="4"/>
  <c r="D32" i="4" s="1"/>
  <c r="E32" i="4" s="1"/>
  <c r="C36" i="4"/>
  <c r="D36" i="4" s="1"/>
  <c r="E36" i="4" s="1"/>
  <c r="C40" i="4"/>
  <c r="D40" i="4" s="1"/>
  <c r="E40" i="4" s="1"/>
  <c r="C25" i="4"/>
  <c r="D25" i="4" s="1"/>
  <c r="E25" i="4" s="1"/>
  <c r="C22" i="4"/>
  <c r="D22" i="4" s="1"/>
  <c r="E22" i="4" s="1"/>
  <c r="C1" i="4"/>
  <c r="D1" i="4" s="1"/>
  <c r="E1" i="4" s="1"/>
  <c r="C37" i="3"/>
  <c r="D37" i="3" s="1"/>
  <c r="E37" i="3" s="1"/>
  <c r="C13" i="3"/>
  <c r="D13" i="3" s="1"/>
  <c r="E13" i="3" s="1"/>
  <c r="C33" i="3"/>
  <c r="D33" i="3" s="1"/>
  <c r="E33" i="3" s="1"/>
  <c r="C2" i="3"/>
  <c r="D2" i="3" s="1"/>
  <c r="E2" i="3" s="1"/>
  <c r="C17" i="3"/>
  <c r="D17" i="3" s="1"/>
  <c r="E17" i="3" s="1"/>
  <c r="C6" i="3"/>
  <c r="D6" i="3" s="1"/>
  <c r="E6" i="3" s="1"/>
  <c r="C10" i="3"/>
  <c r="D10" i="3" s="1"/>
  <c r="E10" i="3" s="1"/>
  <c r="C14" i="3"/>
  <c r="D14" i="3" s="1"/>
  <c r="E14" i="3" s="1"/>
  <c r="C18" i="3"/>
  <c r="D18" i="3" s="1"/>
  <c r="E18" i="3" s="1"/>
  <c r="C22" i="3"/>
  <c r="D22" i="3" s="1"/>
  <c r="E22" i="3" s="1"/>
  <c r="C26" i="3"/>
  <c r="D26" i="3" s="1"/>
  <c r="E26" i="3" s="1"/>
  <c r="C30" i="3"/>
  <c r="D30" i="3" s="1"/>
  <c r="E30" i="3" s="1"/>
  <c r="C34" i="3"/>
  <c r="D34" i="3" s="1"/>
  <c r="E34" i="3" s="1"/>
  <c r="C38" i="3"/>
  <c r="D38" i="3" s="1"/>
  <c r="E38" i="3" s="1"/>
  <c r="C5" i="3"/>
  <c r="D5" i="3" s="1"/>
  <c r="E5" i="3" s="1"/>
  <c r="C9" i="3"/>
  <c r="D9" i="3" s="1"/>
  <c r="E9" i="3" s="1"/>
  <c r="C21" i="3"/>
  <c r="D21" i="3" s="1"/>
  <c r="E21" i="3" s="1"/>
  <c r="C3" i="3"/>
  <c r="D3" i="3" s="1"/>
  <c r="E3" i="3" s="1"/>
  <c r="C25" i="3"/>
  <c r="D25" i="3" s="1"/>
  <c r="E25" i="3" s="1"/>
  <c r="C29" i="3"/>
  <c r="D29" i="3" s="1"/>
  <c r="E29" i="3" s="1"/>
  <c r="C7" i="3"/>
  <c r="D7" i="3" s="1"/>
  <c r="E7" i="3" s="1"/>
  <c r="C11" i="3"/>
  <c r="D11" i="3" s="1"/>
  <c r="E11" i="3" s="1"/>
  <c r="C15" i="3"/>
  <c r="D15" i="3" s="1"/>
  <c r="E15" i="3" s="1"/>
  <c r="C19" i="3"/>
  <c r="D19" i="3" s="1"/>
  <c r="E19" i="3" s="1"/>
  <c r="C23" i="3"/>
  <c r="D23" i="3" s="1"/>
  <c r="E23" i="3" s="1"/>
  <c r="C27" i="3"/>
  <c r="D27" i="3" s="1"/>
  <c r="E27" i="3" s="1"/>
  <c r="C31" i="3"/>
  <c r="D31" i="3" s="1"/>
  <c r="E31" i="3" s="1"/>
  <c r="C35" i="3"/>
  <c r="D35" i="3" s="1"/>
  <c r="E35" i="3" s="1"/>
  <c r="C39" i="3"/>
  <c r="D39" i="3" s="1"/>
  <c r="E39" i="3" s="1"/>
  <c r="C4" i="3"/>
  <c r="D4" i="3" s="1"/>
  <c r="E4" i="3" s="1"/>
  <c r="C12" i="3"/>
  <c r="D12" i="3" s="1"/>
  <c r="E12" i="3" s="1"/>
  <c r="C16" i="3"/>
  <c r="D16" i="3" s="1"/>
  <c r="E16" i="3" s="1"/>
  <c r="C20" i="3"/>
  <c r="D20" i="3" s="1"/>
  <c r="E20" i="3" s="1"/>
  <c r="C24" i="3"/>
  <c r="D24" i="3" s="1"/>
  <c r="E24" i="3" s="1"/>
  <c r="C28" i="3"/>
  <c r="D28" i="3" s="1"/>
  <c r="E28" i="3" s="1"/>
  <c r="C32" i="3"/>
  <c r="D32" i="3" s="1"/>
  <c r="E32" i="3" s="1"/>
  <c r="C36" i="3"/>
  <c r="D36" i="3" s="1"/>
  <c r="E36" i="3" s="1"/>
  <c r="C40" i="3"/>
  <c r="D40" i="3" s="1"/>
  <c r="E40" i="3" s="1"/>
  <c r="C8" i="3"/>
  <c r="D8" i="3" s="1"/>
  <c r="E8" i="3" s="1"/>
  <c r="H5" i="14" l="1"/>
  <c r="H5" i="32"/>
  <c r="H5" i="31"/>
  <c r="H5" i="30"/>
  <c r="H5" i="29"/>
  <c r="H5" i="28"/>
  <c r="H5" i="27"/>
  <c r="H5" i="26"/>
  <c r="H5" i="25"/>
  <c r="H5" i="24"/>
  <c r="H5" i="23"/>
  <c r="H5" i="22"/>
  <c r="H5" i="21"/>
  <c r="H5" i="20"/>
  <c r="H5" i="19"/>
  <c r="H5" i="18"/>
  <c r="H5" i="17"/>
  <c r="H5" i="16"/>
  <c r="H5" i="15"/>
  <c r="H5" i="13"/>
  <c r="H5" i="12"/>
  <c r="H5" i="11"/>
  <c r="H5" i="10"/>
  <c r="H5" i="9"/>
  <c r="H5" i="8"/>
  <c r="H5" i="7"/>
  <c r="H5" i="6"/>
  <c r="H5" i="5"/>
  <c r="H5" i="4"/>
  <c r="H5" i="3"/>
  <c r="H3" i="2" l="1"/>
  <c r="C9" i="2" s="1"/>
  <c r="D9" i="2" s="1"/>
  <c r="E9" i="2" s="1"/>
  <c r="C31" i="2" l="1"/>
  <c r="D31" i="2" s="1"/>
  <c r="E31" i="2" s="1"/>
  <c r="C19" i="2"/>
  <c r="D19" i="2" s="1"/>
  <c r="E19" i="2" s="1"/>
  <c r="C7" i="2"/>
  <c r="D7" i="2" s="1"/>
  <c r="E7" i="2" s="1"/>
  <c r="C30" i="2"/>
  <c r="D30" i="2" s="1"/>
  <c r="E30" i="2" s="1"/>
  <c r="C18" i="2"/>
  <c r="D18" i="2" s="1"/>
  <c r="E18" i="2" s="1"/>
  <c r="C6" i="2"/>
  <c r="D6" i="2" s="1"/>
  <c r="E6" i="2" s="1"/>
  <c r="C1" i="2"/>
  <c r="D1" i="2" s="1"/>
  <c r="E1" i="2" s="1"/>
  <c r="C29" i="2"/>
  <c r="D29" i="2" s="1"/>
  <c r="E29" i="2" s="1"/>
  <c r="C17" i="2"/>
  <c r="D17" i="2" s="1"/>
  <c r="E17" i="2" s="1"/>
  <c r="C5" i="2"/>
  <c r="D5" i="2" s="1"/>
  <c r="E5" i="2" s="1"/>
  <c r="C40" i="2"/>
  <c r="D40" i="2" s="1"/>
  <c r="E40" i="2" s="1"/>
  <c r="C28" i="2"/>
  <c r="D28" i="2" s="1"/>
  <c r="E28" i="2" s="1"/>
  <c r="C16" i="2"/>
  <c r="D16" i="2" s="1"/>
  <c r="E16" i="2" s="1"/>
  <c r="C4" i="2"/>
  <c r="D4" i="2" s="1"/>
  <c r="E4" i="2" s="1"/>
  <c r="C39" i="2"/>
  <c r="D39" i="2" s="1"/>
  <c r="E39" i="2" s="1"/>
  <c r="C27" i="2"/>
  <c r="D27" i="2" s="1"/>
  <c r="E27" i="2" s="1"/>
  <c r="C15" i="2"/>
  <c r="D15" i="2" s="1"/>
  <c r="E15" i="2" s="1"/>
  <c r="C3" i="2"/>
  <c r="D3" i="2" s="1"/>
  <c r="E3" i="2" s="1"/>
  <c r="C20" i="2"/>
  <c r="D20" i="2" s="1"/>
  <c r="E20" i="2" s="1"/>
  <c r="C38" i="2"/>
  <c r="D38" i="2" s="1"/>
  <c r="E38" i="2" s="1"/>
  <c r="C26" i="2"/>
  <c r="D26" i="2" s="1"/>
  <c r="E26" i="2" s="1"/>
  <c r="C14" i="2"/>
  <c r="D14" i="2" s="1"/>
  <c r="E14" i="2" s="1"/>
  <c r="C2" i="2"/>
  <c r="D2" i="2" s="1"/>
  <c r="E2" i="2" s="1"/>
  <c r="C8" i="2"/>
  <c r="D8" i="2" s="1"/>
  <c r="E8" i="2" s="1"/>
  <c r="C37" i="2"/>
  <c r="D37" i="2" s="1"/>
  <c r="E37" i="2" s="1"/>
  <c r="C25" i="2"/>
  <c r="D25" i="2" s="1"/>
  <c r="E25" i="2" s="1"/>
  <c r="C13" i="2"/>
  <c r="D13" i="2" s="1"/>
  <c r="E13" i="2" s="1"/>
  <c r="C36" i="2"/>
  <c r="D36" i="2" s="1"/>
  <c r="E36" i="2" s="1"/>
  <c r="C24" i="2"/>
  <c r="D24" i="2" s="1"/>
  <c r="E24" i="2" s="1"/>
  <c r="C12" i="2"/>
  <c r="D12" i="2" s="1"/>
  <c r="E12" i="2" s="1"/>
  <c r="C35" i="2"/>
  <c r="D35" i="2" s="1"/>
  <c r="E35" i="2" s="1"/>
  <c r="C23" i="2"/>
  <c r="D23" i="2" s="1"/>
  <c r="E23" i="2" s="1"/>
  <c r="C11" i="2"/>
  <c r="D11" i="2" s="1"/>
  <c r="E11" i="2" s="1"/>
  <c r="C32" i="2"/>
  <c r="D32" i="2" s="1"/>
  <c r="E32" i="2" s="1"/>
  <c r="C34" i="2"/>
  <c r="D34" i="2" s="1"/>
  <c r="E34" i="2" s="1"/>
  <c r="C22" i="2"/>
  <c r="D22" i="2" s="1"/>
  <c r="E22" i="2" s="1"/>
  <c r="C10" i="2"/>
  <c r="D10" i="2" s="1"/>
  <c r="E10" i="2" s="1"/>
  <c r="C33" i="2"/>
  <c r="D33" i="2" s="1"/>
  <c r="E33" i="2" s="1"/>
  <c r="C21" i="2"/>
  <c r="D21" i="2" s="1"/>
  <c r="E21" i="2" s="1"/>
  <c r="H5" i="2" l="1"/>
</calcChain>
</file>

<file path=xl/sharedStrings.xml><?xml version="1.0" encoding="utf-8"?>
<sst xmlns="http://schemas.openxmlformats.org/spreadsheetml/2006/main" count="93" uniqueCount="3">
  <si>
    <t>b</t>
  </si>
  <si>
    <t>a_b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</si>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</sst>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2D9B8-E661-4887-BE0C-DFD8472FB957}">
  <dimension ref="A1:B31"/>
  <sheetViews>
    <sheetView tabSelected="1" workbookViewId="0">
      <selection activeCell="E24" sqref="E24"/>
    </sheetView>
  </sheetViews>
  <sheetFormatPr defaultRowHeight="15.75" x14ac:dyDescent="0.25"/>
  <sheetData>
    <row r="1" spans="1:2" x14ac:dyDescent="0.25">
      <c r="A1">
        <v>1E-4</v>
      </c>
      <c r="B1">
        <f>'0.0001'!$H$1</f>
        <v>0.14513687751823789</v>
      </c>
    </row>
    <row r="2" spans="1:2" x14ac:dyDescent="0.25">
      <c r="A2">
        <v>1E-3</v>
      </c>
      <c r="B2">
        <f>'0.001'!$H$1</f>
        <v>0.15181596822894686</v>
      </c>
    </row>
    <row r="3" spans="1:2" x14ac:dyDescent="0.25">
      <c r="A3">
        <v>5.0000000000000001E-3</v>
      </c>
      <c r="B3">
        <f>'0.005'!$H$1</f>
        <v>0.18871175178848668</v>
      </c>
    </row>
    <row r="4" spans="1:2" x14ac:dyDescent="0.25">
      <c r="A4">
        <v>0.01</v>
      </c>
      <c r="B4">
        <f>'0.01'!$H$1</f>
        <v>0.21678311098690106</v>
      </c>
    </row>
    <row r="5" spans="1:2" x14ac:dyDescent="0.25">
      <c r="A5">
        <v>2.5000000000000001E-2</v>
      </c>
      <c r="B5">
        <f>'0.025'!$H$1</f>
        <v>0.27267332069858491</v>
      </c>
    </row>
    <row r="6" spans="1:2" x14ac:dyDescent="0.25">
      <c r="A6">
        <v>0.05</v>
      </c>
      <c r="B6">
        <f>'0.05'!$H$1</f>
        <v>0.34011536390003083</v>
      </c>
    </row>
    <row r="7" spans="1:2" x14ac:dyDescent="0.25">
      <c r="A7">
        <v>7.4999999999999997E-2</v>
      </c>
      <c r="B7">
        <f>'0.075'!$H$1</f>
        <v>0.39337383249013474</v>
      </c>
    </row>
    <row r="8" spans="1:2" x14ac:dyDescent="0.25">
      <c r="A8">
        <v>0.1</v>
      </c>
      <c r="B8">
        <f>'0.1'!$H$1</f>
        <v>0.44113706672986447</v>
      </c>
    </row>
    <row r="9" spans="1:2" x14ac:dyDescent="0.25">
      <c r="A9">
        <v>0.15</v>
      </c>
      <c r="B9">
        <f>'0.15'!$H$1</f>
        <v>0.53188022330790319</v>
      </c>
    </row>
    <row r="10" spans="1:2" x14ac:dyDescent="0.25">
      <c r="A10">
        <v>0.2</v>
      </c>
      <c r="B10">
        <f>'0.2'!$H$1</f>
        <v>0.61570317275302211</v>
      </c>
    </row>
    <row r="11" spans="1:2" x14ac:dyDescent="0.25">
      <c r="A11">
        <v>0.25</v>
      </c>
      <c r="B11">
        <f>'0.25'!$H$1</f>
        <v>0.69984035434364544</v>
      </c>
    </row>
    <row r="12" spans="1:2" x14ac:dyDescent="0.25">
      <c r="A12">
        <v>0.3</v>
      </c>
      <c r="B12">
        <f>'0.3'!$H$1</f>
        <v>0.79164532627627249</v>
      </c>
    </row>
    <row r="13" spans="1:2" x14ac:dyDescent="0.25">
      <c r="A13">
        <v>0.35</v>
      </c>
      <c r="B13">
        <f>'0.35'!$H$1</f>
        <v>0.88853253887406636</v>
      </c>
    </row>
    <row r="14" spans="1:2" x14ac:dyDescent="0.25">
      <c r="A14">
        <v>0.4</v>
      </c>
      <c r="B14">
        <f>'0.4'!$H$1</f>
        <v>0.98985541121558518</v>
      </c>
    </row>
    <row r="15" spans="1:2" x14ac:dyDescent="0.25">
      <c r="A15">
        <v>0.45</v>
      </c>
      <c r="B15">
        <f>'0.45'!$H$1</f>
        <v>1.0978974253092233</v>
      </c>
    </row>
    <row r="16" spans="1:2" x14ac:dyDescent="0.25">
      <c r="A16">
        <v>0.5</v>
      </c>
      <c r="B16">
        <f>'0.5'!$H$1</f>
        <v>1.2166312307249643</v>
      </c>
    </row>
    <row r="17" spans="1:2" x14ac:dyDescent="0.25">
      <c r="A17">
        <v>0.55000000000000004</v>
      </c>
      <c r="B17">
        <f>'0.55'!$H$1</f>
        <v>1.3539416561765567</v>
      </c>
    </row>
    <row r="18" spans="1:2" x14ac:dyDescent="0.25">
      <c r="A18">
        <v>0.6</v>
      </c>
      <c r="B18">
        <f>'0.6'!$H$1</f>
        <v>1.5119774906243388</v>
      </c>
    </row>
    <row r="19" spans="1:2" x14ac:dyDescent="0.25">
      <c r="A19">
        <v>0.65</v>
      </c>
      <c r="B19">
        <f>'0.65'!$H$1</f>
        <v>1.6975930134969606</v>
      </c>
    </row>
    <row r="20" spans="1:2" x14ac:dyDescent="0.25">
      <c r="A20">
        <v>0.7</v>
      </c>
      <c r="B20">
        <f>'0.7'!$H$1</f>
        <v>1.9241131544568715</v>
      </c>
    </row>
    <row r="21" spans="1:2" x14ac:dyDescent="0.25">
      <c r="A21">
        <v>0.75</v>
      </c>
      <c r="B21">
        <f>'0.75'!$H$1</f>
        <v>2.2192107497034081</v>
      </c>
    </row>
    <row r="22" spans="1:2" x14ac:dyDescent="0.25">
      <c r="A22">
        <v>0.8</v>
      </c>
      <c r="B22">
        <f>'0.8'!$H$1</f>
        <v>2.6055993186909423</v>
      </c>
    </row>
    <row r="23" spans="1:2" x14ac:dyDescent="0.25">
      <c r="A23">
        <v>0.85</v>
      </c>
      <c r="B23">
        <f>'0.85'!$H$1</f>
        <v>3.177332712980816</v>
      </c>
    </row>
    <row r="24" spans="1:2" x14ac:dyDescent="0.25">
      <c r="A24">
        <v>0.9</v>
      </c>
      <c r="B24">
        <f>'0.9'!$H$1</f>
        <v>4.1396303031290476</v>
      </c>
    </row>
    <row r="25" spans="1:2" x14ac:dyDescent="0.25">
      <c r="A25">
        <v>0.92500000000000004</v>
      </c>
      <c r="B25">
        <f>'0.925'!$H$1</f>
        <v>4.9478760531974881</v>
      </c>
    </row>
    <row r="26" spans="1:2" x14ac:dyDescent="0.25">
      <c r="A26">
        <v>0.95</v>
      </c>
      <c r="B26">
        <f>'0.95'!$H$1</f>
        <v>6.3035350648555681</v>
      </c>
    </row>
    <row r="27" spans="1:2" x14ac:dyDescent="0.25">
      <c r="A27">
        <v>0.97499999999999998</v>
      </c>
      <c r="B27">
        <f>'0.975'!$H$1</f>
        <v>9.3644599586407047</v>
      </c>
    </row>
    <row r="28" spans="1:2" x14ac:dyDescent="0.25">
      <c r="A28">
        <v>0.99</v>
      </c>
      <c r="B28">
        <f>'0.99'!$H$1</f>
        <v>15.475082856436114</v>
      </c>
    </row>
    <row r="29" spans="1:2" x14ac:dyDescent="0.25">
      <c r="A29">
        <v>0.995</v>
      </c>
      <c r="B29">
        <f>'0.995'!$H$1</f>
        <v>22.534999999836579</v>
      </c>
    </row>
    <row r="30" spans="1:2" x14ac:dyDescent="0.25">
      <c r="A30">
        <v>0.999</v>
      </c>
      <c r="B30">
        <f>'0.999'!$H$1</f>
        <v>51.782984038551355</v>
      </c>
    </row>
    <row r="31" spans="1:2" x14ac:dyDescent="0.25">
      <c r="A31">
        <v>0.99990000000000001</v>
      </c>
      <c r="B31">
        <f>'0.9999'!$H$1</f>
        <v>157.92250961201043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0DB11-C4BB-4D57-9257-34992CAC02C4}">
  <dimension ref="A1:H40"/>
  <sheetViews>
    <sheetView zoomScale="82" workbookViewId="0">
      <selection activeCell="C1" sqref="C1:H40"/>
    </sheetView>
  </sheetViews>
  <sheetFormatPr defaultColWidth="11" defaultRowHeight="15.75" x14ac:dyDescent="0.25"/>
  <sheetData>
    <row r="1" spans="1:8" x14ac:dyDescent="0.25">
      <c r="A1">
        <v>4.7362682700000013E-2</v>
      </c>
      <c r="B1">
        <v>0.71986841979748883</v>
      </c>
      <c r="C1">
        <f>$H$3*(1+$H$1)*(A1^($H$1))*EXP(-$H$3*(A1^(1+$H$1)))</f>
        <v>0.67625511084988654</v>
      </c>
      <c r="D1">
        <f>B1-C1</f>
        <v>4.3613308947602292E-2</v>
      </c>
      <c r="E1">
        <f>D1^2</f>
        <v>1.9021207173590062E-3</v>
      </c>
      <c r="G1" t="s">
        <v>0</v>
      </c>
      <c r="H1">
        <v>0.14513687751823789</v>
      </c>
    </row>
    <row r="2" spans="1:8" x14ac:dyDescent="0.25">
      <c r="A2">
        <v>0.13951218010000002</v>
      </c>
      <c r="B2">
        <v>0.70212758670295361</v>
      </c>
      <c r="C2">
        <f t="shared" ref="C2:C40" si="0">$H$3*(1+$H$1)*(A2^($H$1))*EXP(-$H$3*(A2^(1+$H$1)))</f>
        <v>0.73727598927848359</v>
      </c>
      <c r="D2">
        <f t="shared" ref="D2:D40" si="1">B2-C2</f>
        <v>-3.514840257552998E-2</v>
      </c>
      <c r="E2">
        <f t="shared" ref="E2:E40" si="2">D2^2</f>
        <v>1.2354102036115225E-3</v>
      </c>
    </row>
    <row r="3" spans="1:8" x14ac:dyDescent="0.25">
      <c r="A3">
        <v>0.2316616775</v>
      </c>
      <c r="B3">
        <v>0.68438675360841827</v>
      </c>
      <c r="C3">
        <f t="shared" si="0"/>
        <v>0.73397118101405634</v>
      </c>
      <c r="D3">
        <f t="shared" si="1"/>
        <v>-4.9584427405638065E-2</v>
      </c>
      <c r="E3">
        <f t="shared" si="2"/>
        <v>2.4586154411449911E-3</v>
      </c>
      <c r="G3" t="s">
        <v>1</v>
      </c>
      <c r="H3">
        <f>(_xlfn.GAMMA((2+$H$1)/(1+$H$1)))^(1+$H$1)</f>
        <v>0.94623299873180922</v>
      </c>
    </row>
    <row r="4" spans="1:8" x14ac:dyDescent="0.25">
      <c r="A4">
        <v>0.3238111749</v>
      </c>
      <c r="B4">
        <v>0.66118720263864139</v>
      </c>
      <c r="C4">
        <f t="shared" si="0"/>
        <v>0.7092532092326066</v>
      </c>
      <c r="D4">
        <f t="shared" si="1"/>
        <v>-4.8066006593965205E-2</v>
      </c>
      <c r="E4">
        <f t="shared" si="2"/>
        <v>2.3103409898911067E-3</v>
      </c>
    </row>
    <row r="5" spans="1:8" x14ac:dyDescent="0.25">
      <c r="A5">
        <v>0.4159606723</v>
      </c>
      <c r="B5">
        <v>0.59363556893252634</v>
      </c>
      <c r="C5">
        <f t="shared" si="0"/>
        <v>0.67462579550008528</v>
      </c>
      <c r="D5">
        <f t="shared" si="1"/>
        <v>-8.0990226567558943E-2</v>
      </c>
      <c r="E5">
        <f t="shared" si="2"/>
        <v>6.5594167994645304E-3</v>
      </c>
      <c r="G5" t="s">
        <v>2</v>
      </c>
      <c r="H5">
        <f>SUM(E1:E40)</f>
        <v>5.4416564572636612E-2</v>
      </c>
    </row>
    <row r="6" spans="1:8" x14ac:dyDescent="0.25">
      <c r="A6">
        <v>0.5081101697</v>
      </c>
      <c r="B6">
        <v>0.53631903124248936</v>
      </c>
      <c r="C6">
        <f t="shared" si="0"/>
        <v>0.63520939720134673</v>
      </c>
      <c r="D6">
        <f t="shared" si="1"/>
        <v>-9.8890365958857362E-2</v>
      </c>
      <c r="E6">
        <f t="shared" si="2"/>
        <v>9.7793044794767352E-3</v>
      </c>
    </row>
    <row r="7" spans="1:8" x14ac:dyDescent="0.25">
      <c r="A7">
        <v>0.60025966710000001</v>
      </c>
      <c r="B7">
        <v>0.52540159549200605</v>
      </c>
      <c r="C7">
        <f t="shared" si="0"/>
        <v>0.59377748268359809</v>
      </c>
      <c r="D7">
        <f t="shared" si="1"/>
        <v>-6.8375887191592044E-2</v>
      </c>
      <c r="E7">
        <f t="shared" si="2"/>
        <v>4.6752619492373207E-3</v>
      </c>
    </row>
    <row r="8" spans="1:8" x14ac:dyDescent="0.25">
      <c r="A8">
        <v>0.69240916450000001</v>
      </c>
      <c r="B8">
        <v>0.53222499283605806</v>
      </c>
      <c r="C8">
        <f t="shared" si="0"/>
        <v>0.55198494546046006</v>
      </c>
      <c r="D8">
        <f t="shared" si="1"/>
        <v>-1.9759952624402E-2</v>
      </c>
      <c r="E8">
        <f t="shared" si="2"/>
        <v>3.9045572771861145E-4</v>
      </c>
    </row>
    <row r="9" spans="1:8" x14ac:dyDescent="0.25">
      <c r="A9">
        <v>0.78455866190000001</v>
      </c>
      <c r="B9">
        <v>0.5138018200071176</v>
      </c>
      <c r="C9">
        <f t="shared" si="0"/>
        <v>0.51086760785505891</v>
      </c>
      <c r="D9">
        <f t="shared" si="1"/>
        <v>2.9342121520586906E-3</v>
      </c>
      <c r="E9">
        <f t="shared" si="2"/>
        <v>8.6096009532888917E-6</v>
      </c>
    </row>
    <row r="10" spans="1:8" x14ac:dyDescent="0.25">
      <c r="A10">
        <v>0.87670815930000012</v>
      </c>
      <c r="B10">
        <v>0.43874444922254535</v>
      </c>
      <c r="C10">
        <f t="shared" si="0"/>
        <v>0.47108463028109004</v>
      </c>
      <c r="D10">
        <f t="shared" si="1"/>
        <v>-3.2340181058544692E-2</v>
      </c>
      <c r="E10">
        <f t="shared" si="2"/>
        <v>1.045887310899453E-3</v>
      </c>
    </row>
    <row r="11" spans="1:8" x14ac:dyDescent="0.25">
      <c r="A11">
        <v>0.96885765670000001</v>
      </c>
      <c r="B11">
        <v>0.40803916117431122</v>
      </c>
      <c r="C11">
        <f t="shared" si="0"/>
        <v>0.4330512490231096</v>
      </c>
      <c r="D11">
        <f t="shared" si="1"/>
        <v>-2.5012087848798381E-2</v>
      </c>
      <c r="E11">
        <f t="shared" si="2"/>
        <v>6.2560453855600761E-4</v>
      </c>
    </row>
    <row r="12" spans="1:8" x14ac:dyDescent="0.25">
      <c r="A12">
        <v>1.0610071540999999</v>
      </c>
      <c r="B12">
        <v>0.41076852011193205</v>
      </c>
      <c r="C12">
        <f t="shared" si="0"/>
        <v>0.39701807425289454</v>
      </c>
      <c r="D12">
        <f t="shared" si="1"/>
        <v>1.3750445859037508E-2</v>
      </c>
      <c r="E12">
        <f t="shared" si="2"/>
        <v>1.8907476132232174E-4</v>
      </c>
    </row>
    <row r="13" spans="1:8" x14ac:dyDescent="0.25">
      <c r="A13">
        <v>1.1531566515</v>
      </c>
      <c r="B13">
        <v>0.39848640489263837</v>
      </c>
      <c r="C13">
        <f t="shared" si="0"/>
        <v>0.36312162475362392</v>
      </c>
      <c r="D13">
        <f t="shared" si="1"/>
        <v>3.5364780139014451E-2</v>
      </c>
      <c r="E13">
        <f t="shared" si="2"/>
        <v>1.2506676742808311E-3</v>
      </c>
    </row>
    <row r="14" spans="1:8" x14ac:dyDescent="0.25">
      <c r="A14">
        <v>1.2453061489000001</v>
      </c>
      <c r="B14">
        <v>0.35072262348427419</v>
      </c>
      <c r="C14">
        <f t="shared" si="0"/>
        <v>0.33141813433491163</v>
      </c>
      <c r="D14">
        <f t="shared" si="1"/>
        <v>1.9304489149362558E-2</v>
      </c>
      <c r="E14">
        <f t="shared" si="2"/>
        <v>3.7266330131785675E-4</v>
      </c>
    </row>
    <row r="15" spans="1:8" x14ac:dyDescent="0.25">
      <c r="A15">
        <v>1.3374556463</v>
      </c>
      <c r="B15">
        <v>0.31592329702960886</v>
      </c>
      <c r="C15">
        <f t="shared" si="0"/>
        <v>0.30190700930717512</v>
      </c>
      <c r="D15">
        <f t="shared" si="1"/>
        <v>1.401628772243374E-2</v>
      </c>
      <c r="E15">
        <f t="shared" si="2"/>
        <v>1.964563215180468E-4</v>
      </c>
    </row>
    <row r="16" spans="1:8" x14ac:dyDescent="0.25">
      <c r="A16">
        <v>1.4296051437000004</v>
      </c>
      <c r="B16">
        <v>0.32001733543604005</v>
      </c>
      <c r="C16">
        <f t="shared" si="0"/>
        <v>0.27454755585732937</v>
      </c>
      <c r="D16">
        <f t="shared" si="1"/>
        <v>4.5469779578710678E-2</v>
      </c>
      <c r="E16">
        <f t="shared" si="2"/>
        <v>2.0675008549365347E-3</v>
      </c>
    </row>
    <row r="17" spans="1:5" x14ac:dyDescent="0.25">
      <c r="A17">
        <v>1.5217546411000002</v>
      </c>
      <c r="B17">
        <v>0.30773522021674643</v>
      </c>
      <c r="C17">
        <f t="shared" si="0"/>
        <v>0.24927114953333929</v>
      </c>
      <c r="D17">
        <f t="shared" si="1"/>
        <v>5.8464070683407143E-2</v>
      </c>
      <c r="E17">
        <f t="shared" si="2"/>
        <v>3.4180475608744268E-3</v>
      </c>
    </row>
    <row r="18" spans="1:5" x14ac:dyDescent="0.25">
      <c r="A18">
        <v>1.6139041385000001</v>
      </c>
      <c r="B18">
        <v>0.2749829129652967</v>
      </c>
      <c r="C18">
        <f t="shared" si="0"/>
        <v>0.22599021450689474</v>
      </c>
      <c r="D18">
        <f t="shared" si="1"/>
        <v>4.8992698458401956E-2</v>
      </c>
      <c r="E18">
        <f t="shared" si="2"/>
        <v>2.4002845022359012E-3</v>
      </c>
    </row>
    <row r="19" spans="1:5" x14ac:dyDescent="0.25">
      <c r="A19">
        <v>1.7060536359</v>
      </c>
      <c r="B19">
        <v>0.23608954810420013</v>
      </c>
      <c r="C19">
        <f t="shared" si="0"/>
        <v>0.20460490954103491</v>
      </c>
      <c r="D19">
        <f t="shared" si="1"/>
        <v>3.1484638563165218E-2</v>
      </c>
      <c r="E19">
        <f t="shared" si="2"/>
        <v>9.9128246545315043E-4</v>
      </c>
    </row>
    <row r="20" spans="1:5" x14ac:dyDescent="0.25">
      <c r="A20">
        <v>1.7982031332999999</v>
      </c>
      <c r="B20">
        <v>0.21288999713442325</v>
      </c>
      <c r="C20">
        <f t="shared" si="0"/>
        <v>0.18500812975480571</v>
      </c>
      <c r="D20">
        <f t="shared" si="1"/>
        <v>2.7881867379617536E-2</v>
      </c>
      <c r="E20">
        <f t="shared" si="2"/>
        <v>7.7739852857458048E-4</v>
      </c>
    </row>
    <row r="21" spans="1:5" x14ac:dyDescent="0.25">
      <c r="A21">
        <v>1.8903526307000003</v>
      </c>
      <c r="B21">
        <v>0.21084297793120763</v>
      </c>
      <c r="C21">
        <f t="shared" si="0"/>
        <v>0.16708925034917552</v>
      </c>
      <c r="D21">
        <f t="shared" si="1"/>
        <v>4.3753727582032109E-2</v>
      </c>
      <c r="E21">
        <f t="shared" si="2"/>
        <v>1.9143886773226773E-3</v>
      </c>
    </row>
    <row r="22" spans="1:5" x14ac:dyDescent="0.25">
      <c r="A22">
        <v>1.9825021281000001</v>
      </c>
      <c r="B22">
        <v>0.19310214483667237</v>
      </c>
      <c r="C22">
        <f t="shared" si="0"/>
        <v>0.15073691816347437</v>
      </c>
      <c r="D22">
        <f t="shared" si="1"/>
        <v>4.2365226673198003E-2</v>
      </c>
      <c r="E22">
        <f t="shared" si="2"/>
        <v>1.7948124310714476E-3</v>
      </c>
    </row>
    <row r="23" spans="1:5" x14ac:dyDescent="0.25">
      <c r="A23">
        <v>2.0746516255000005</v>
      </c>
      <c r="B23">
        <v>0.17194961307011108</v>
      </c>
      <c r="C23">
        <f t="shared" si="0"/>
        <v>0.13584111538996921</v>
      </c>
      <c r="D23">
        <f t="shared" si="1"/>
        <v>3.6108497680141877E-2</v>
      </c>
      <c r="E23">
        <f t="shared" si="2"/>
        <v>1.3038236047168113E-3</v>
      </c>
    </row>
    <row r="24" spans="1:5" x14ac:dyDescent="0.25">
      <c r="A24">
        <v>2.1668011228999999</v>
      </c>
      <c r="B24">
        <v>0.15216176077236021</v>
      </c>
      <c r="C24">
        <f t="shared" si="0"/>
        <v>0.12229466299250343</v>
      </c>
      <c r="D24">
        <f t="shared" si="1"/>
        <v>2.9867097779856785E-2</v>
      </c>
      <c r="E24">
        <f t="shared" si="2"/>
        <v>8.920435297915261E-4</v>
      </c>
    </row>
    <row r="25" spans="1:5" x14ac:dyDescent="0.25">
      <c r="A25">
        <v>2.2589506203000003</v>
      </c>
      <c r="B25">
        <v>0.1487500621003342</v>
      </c>
      <c r="C25">
        <f t="shared" si="0"/>
        <v>0.10999429087918317</v>
      </c>
      <c r="D25">
        <f t="shared" si="1"/>
        <v>3.8755771221151036E-2</v>
      </c>
      <c r="E25">
        <f t="shared" si="2"/>
        <v>1.5020098029461988E-3</v>
      </c>
    </row>
    <row r="26" spans="1:5" x14ac:dyDescent="0.25">
      <c r="A26">
        <v>2.3511001177000006</v>
      </c>
      <c r="B26">
        <v>0.14056198528747177</v>
      </c>
      <c r="C26">
        <f t="shared" si="0"/>
        <v>9.8841372381891418E-2</v>
      </c>
      <c r="D26">
        <f t="shared" si="1"/>
        <v>4.1720612905580351E-2</v>
      </c>
      <c r="E26">
        <f t="shared" si="2"/>
        <v>1.7406095412172778E-3</v>
      </c>
    </row>
    <row r="27" spans="1:5" x14ac:dyDescent="0.25">
      <c r="A27">
        <v>2.4432496151</v>
      </c>
      <c r="B27">
        <v>0.10780967803602202</v>
      </c>
      <c r="C27">
        <f t="shared" si="0"/>
        <v>8.8742398707584699E-2</v>
      </c>
      <c r="D27">
        <f t="shared" si="1"/>
        <v>1.9067279328437325E-2</v>
      </c>
      <c r="E27">
        <f t="shared" si="2"/>
        <v>3.6356114098865335E-4</v>
      </c>
    </row>
    <row r="28" spans="1:5" x14ac:dyDescent="0.25">
      <c r="A28">
        <v>2.5353991125000004</v>
      </c>
      <c r="B28">
        <v>9.9621601223159592E-2</v>
      </c>
      <c r="C28">
        <f t="shared" si="0"/>
        <v>7.9609252520093834E-2</v>
      </c>
      <c r="D28">
        <f t="shared" si="1"/>
        <v>2.0012348703065758E-2</v>
      </c>
      <c r="E28">
        <f t="shared" si="2"/>
        <v>4.0049410061309771E-4</v>
      </c>
    </row>
    <row r="29" spans="1:5" x14ac:dyDescent="0.25">
      <c r="A29">
        <v>2.6275486098999998</v>
      </c>
      <c r="B29">
        <v>9.2115864144702367E-2</v>
      </c>
      <c r="C29">
        <f t="shared" si="0"/>
        <v>7.1359327187966157E-2</v>
      </c>
      <c r="D29">
        <f t="shared" si="1"/>
        <v>2.075653695673621E-2</v>
      </c>
      <c r="E29">
        <f t="shared" si="2"/>
        <v>4.3083382643635608E-4</v>
      </c>
    </row>
    <row r="30" spans="1:5" x14ac:dyDescent="0.25">
      <c r="A30">
        <v>2.7196981073000002</v>
      </c>
      <c r="B30">
        <v>8.5974806535055542E-2</v>
      </c>
      <c r="C30">
        <f t="shared" si="0"/>
        <v>6.3915528463897225E-2</v>
      </c>
      <c r="D30">
        <f t="shared" si="1"/>
        <v>2.2059278071158317E-2</v>
      </c>
      <c r="E30">
        <f t="shared" si="2"/>
        <v>4.8661174902068621E-4</v>
      </c>
    </row>
    <row r="31" spans="1:5" x14ac:dyDescent="0.25">
      <c r="A31">
        <v>2.8118476047000005</v>
      </c>
      <c r="B31">
        <v>6.3457595299683853E-2</v>
      </c>
      <c r="C31">
        <f t="shared" si="0"/>
        <v>5.7206187722507316E-2</v>
      </c>
      <c r="D31">
        <f t="shared" si="1"/>
        <v>6.2514075771765362E-3</v>
      </c>
      <c r="E31">
        <f t="shared" si="2"/>
        <v>3.9080096695980208E-5</v>
      </c>
    </row>
    <row r="32" spans="1:5" x14ac:dyDescent="0.25">
      <c r="A32">
        <v>2.9039971021000004</v>
      </c>
      <c r="B32">
        <v>5.6634197955631828E-2</v>
      </c>
      <c r="C32">
        <f t="shared" si="0"/>
        <v>5.1164909859902782E-2</v>
      </c>
      <c r="D32">
        <f t="shared" si="1"/>
        <v>5.4692880957290455E-3</v>
      </c>
      <c r="E32">
        <f t="shared" si="2"/>
        <v>2.9913112274083449E-5</v>
      </c>
    </row>
    <row r="33" spans="1:5" x14ac:dyDescent="0.25">
      <c r="A33">
        <v>2.9961465995000003</v>
      </c>
      <c r="B33">
        <v>4.4352082736338179E-2</v>
      </c>
      <c r="C33">
        <f t="shared" si="0"/>
        <v>4.5730374175896184E-2</v>
      </c>
      <c r="D33">
        <f t="shared" si="1"/>
        <v>-1.3782914395580048E-3</v>
      </c>
      <c r="E33">
        <f t="shared" si="2"/>
        <v>1.8996872923588773E-6</v>
      </c>
    </row>
    <row r="34" spans="1:5" x14ac:dyDescent="0.25">
      <c r="A34">
        <v>3.0882960968999997</v>
      </c>
      <c r="B34">
        <v>3.6846345657880947E-2</v>
      </c>
      <c r="C34">
        <f t="shared" si="0"/>
        <v>4.0846102741199417E-2</v>
      </c>
      <c r="D34">
        <f t="shared" si="1"/>
        <v>-3.9997570833184698E-3</v>
      </c>
      <c r="E34">
        <f t="shared" si="2"/>
        <v>1.5998056725556271E-5</v>
      </c>
    </row>
    <row r="35" spans="1:5" x14ac:dyDescent="0.25">
      <c r="A35">
        <v>3.1804455943000001</v>
      </c>
      <c r="B35">
        <v>3.3434646985854931E-2</v>
      </c>
      <c r="C35">
        <f t="shared" si="0"/>
        <v>3.6460207689974336E-2</v>
      </c>
      <c r="D35">
        <f t="shared" si="1"/>
        <v>-3.0255607041194052E-3</v>
      </c>
      <c r="E35">
        <f t="shared" si="2"/>
        <v>9.1540175743115103E-6</v>
      </c>
    </row>
    <row r="36" spans="1:5" x14ac:dyDescent="0.25">
      <c r="A36">
        <v>3.2725950917000004</v>
      </c>
      <c r="B36">
        <v>2.0470192032156082E-2</v>
      </c>
      <c r="C36">
        <f t="shared" si="0"/>
        <v>3.2525126415279861E-2</v>
      </c>
      <c r="D36">
        <f t="shared" si="1"/>
        <v>-1.2054934383123779E-2</v>
      </c>
      <c r="E36">
        <f t="shared" si="2"/>
        <v>1.453214429814199E-4</v>
      </c>
    </row>
    <row r="37" spans="1:5" x14ac:dyDescent="0.25">
      <c r="A37">
        <v>3.3647445891000003</v>
      </c>
      <c r="B37">
        <v>1.5011474156914459E-2</v>
      </c>
      <c r="C37">
        <f t="shared" si="0"/>
        <v>2.8997351660023353E-2</v>
      </c>
      <c r="D37">
        <f t="shared" si="1"/>
        <v>-1.3985877503108894E-2</v>
      </c>
      <c r="E37">
        <f t="shared" si="2"/>
        <v>1.9560476953196747E-4</v>
      </c>
    </row>
    <row r="38" spans="1:5" x14ac:dyDescent="0.25">
      <c r="A38">
        <v>3.4568940865000002</v>
      </c>
      <c r="B38">
        <v>2.0470192032156082E-2</v>
      </c>
      <c r="C38">
        <f t="shared" si="0"/>
        <v>2.5837161894761172E-2</v>
      </c>
      <c r="D38">
        <f t="shared" si="1"/>
        <v>-5.3669698626050907E-3</v>
      </c>
      <c r="E38">
        <f t="shared" si="2"/>
        <v>2.8804365506111306E-5</v>
      </c>
    </row>
    <row r="39" spans="1:5" x14ac:dyDescent="0.25">
      <c r="A39">
        <v>3.5490435839000001</v>
      </c>
      <c r="B39">
        <v>1.4329134422509257E-2</v>
      </c>
      <c r="C39">
        <f t="shared" si="0"/>
        <v>2.3008356082057767E-2</v>
      </c>
      <c r="D39">
        <f t="shared" si="1"/>
        <v>-8.6792216595485104E-3</v>
      </c>
      <c r="E39">
        <f t="shared" si="2"/>
        <v>7.5328888615576001E-5</v>
      </c>
    </row>
    <row r="40" spans="1:5" x14ac:dyDescent="0.25">
      <c r="A40">
        <v>3.6411930813</v>
      </c>
      <c r="B40">
        <v>6.8233973440520268E-4</v>
      </c>
      <c r="C40">
        <f t="shared" si="0"/>
        <v>2.0477995886406822E-2</v>
      </c>
      <c r="D40">
        <f t="shared" si="1"/>
        <v>-1.9795656152001618E-2</v>
      </c>
      <c r="E40">
        <f t="shared" si="2"/>
        <v>3.9186800248827952E-4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76C72-BF1C-4AE0-BACF-10B74D7CA22A}">
  <dimension ref="A1:H40"/>
  <sheetViews>
    <sheetView workbookViewId="0">
      <selection activeCell="H1" sqref="H1"/>
    </sheetView>
  </sheetViews>
  <sheetFormatPr defaultColWidth="11" defaultRowHeight="15.75" x14ac:dyDescent="0.25"/>
  <sheetData>
    <row r="1" spans="1:8" x14ac:dyDescent="0.25">
      <c r="A1">
        <v>4.5097457862500002E-2</v>
      </c>
      <c r="B1">
        <v>0.68686414062929346</v>
      </c>
      <c r="C1">
        <f>$H$3*(1+$H$1)*(A1^($H$1))*EXP(-$H$3*(A1^(1+$H$1)))</f>
        <v>0.66148224467609418</v>
      </c>
      <c r="D1">
        <f>B1-C1</f>
        <v>2.5381895953199285E-2</v>
      </c>
      <c r="E1">
        <f>D1^2</f>
        <v>6.4424064217903426E-4</v>
      </c>
      <c r="G1" t="s">
        <v>0</v>
      </c>
      <c r="H1">
        <v>0.15181596822894686</v>
      </c>
    </row>
    <row r="2" spans="1:8" x14ac:dyDescent="0.25">
      <c r="A2">
        <v>0.13423743758750001</v>
      </c>
      <c r="B2">
        <v>0.71648251219647041</v>
      </c>
      <c r="C2">
        <f t="shared" ref="C2:C40" si="0">$H$3*(1+$H$1)*(A2^($H$1))*EXP(-$H$3*(A2^(1+$H$1)))</f>
        <v>0.73015050200427689</v>
      </c>
      <c r="D2">
        <f t="shared" ref="D2:D40" si="1">B2-C2</f>
        <v>-1.366798980780648E-2</v>
      </c>
      <c r="E2">
        <f t="shared" ref="E2:E40" si="2">D2^2</f>
        <v>1.8681394538630182E-4</v>
      </c>
    </row>
    <row r="3" spans="1:8" x14ac:dyDescent="0.25">
      <c r="A3">
        <v>0.22337741731249997</v>
      </c>
      <c r="B3">
        <v>0.69603173182865774</v>
      </c>
      <c r="C3">
        <f t="shared" si="0"/>
        <v>0.73217972616115123</v>
      </c>
      <c r="D3">
        <f t="shared" si="1"/>
        <v>-3.6147994332493494E-2</v>
      </c>
      <c r="E3">
        <f t="shared" si="2"/>
        <v>1.3066774942619818E-3</v>
      </c>
      <c r="G3" t="s">
        <v>1</v>
      </c>
      <c r="H3">
        <f>(_xlfn.GAMMA((2+$H$1)/(1+$H$1)))^(1+$H$1)</f>
        <v>0.94407692565445966</v>
      </c>
    </row>
    <row r="4" spans="1:8" x14ac:dyDescent="0.25">
      <c r="A4">
        <v>0.31251739703749992</v>
      </c>
      <c r="B4">
        <v>0.67064455619964902</v>
      </c>
      <c r="C4">
        <f t="shared" si="0"/>
        <v>0.71172199399301339</v>
      </c>
      <c r="D4">
        <f t="shared" si="1"/>
        <v>-4.1077437793364369E-2</v>
      </c>
      <c r="E4">
        <f t="shared" si="2"/>
        <v>1.6873558956677194E-3</v>
      </c>
    </row>
    <row r="5" spans="1:8" x14ac:dyDescent="0.25">
      <c r="A5">
        <v>0.40165737676250002</v>
      </c>
      <c r="B5">
        <v>0.60576621848107093</v>
      </c>
      <c r="C5">
        <f t="shared" si="0"/>
        <v>0.68055552510445516</v>
      </c>
      <c r="D5">
        <f t="shared" si="1"/>
        <v>-7.4789306623384233E-2</v>
      </c>
      <c r="E5">
        <f t="shared" si="2"/>
        <v>5.5934403852065844E-3</v>
      </c>
      <c r="G5" t="s">
        <v>2</v>
      </c>
      <c r="H5">
        <f>SUM(E1:E40)</f>
        <v>5.175698182936897E-2</v>
      </c>
    </row>
    <row r="6" spans="1:8" x14ac:dyDescent="0.25">
      <c r="A6">
        <v>0.4907973564875</v>
      </c>
      <c r="B6">
        <v>0.53947748211643687</v>
      </c>
      <c r="C6">
        <f t="shared" si="0"/>
        <v>0.64393736880520569</v>
      </c>
      <c r="D6">
        <f t="shared" si="1"/>
        <v>-0.10445988668876882</v>
      </c>
      <c r="E6">
        <f t="shared" si="2"/>
        <v>1.0911867927030422E-2</v>
      </c>
    </row>
    <row r="7" spans="1:8" x14ac:dyDescent="0.25">
      <c r="A7">
        <v>0.57993733621249999</v>
      </c>
      <c r="B7">
        <v>0.53030989091707259</v>
      </c>
      <c r="C7">
        <f t="shared" si="0"/>
        <v>0.60473581899954421</v>
      </c>
      <c r="D7">
        <f t="shared" si="1"/>
        <v>-7.4425928082471615E-2</v>
      </c>
      <c r="E7">
        <f t="shared" si="2"/>
        <v>5.5392187709372371E-3</v>
      </c>
    </row>
    <row r="8" spans="1:8" x14ac:dyDescent="0.25">
      <c r="A8">
        <v>0.66907731593749997</v>
      </c>
      <c r="B8">
        <v>0.52819429294798848</v>
      </c>
      <c r="C8">
        <f t="shared" si="0"/>
        <v>0.56468233091138043</v>
      </c>
      <c r="D8">
        <f t="shared" si="1"/>
        <v>-3.648803796339195E-2</v>
      </c>
      <c r="E8">
        <f t="shared" si="2"/>
        <v>1.3313769144179322E-3</v>
      </c>
    </row>
    <row r="9" spans="1:8" x14ac:dyDescent="0.25">
      <c r="A9">
        <v>0.75821729566249996</v>
      </c>
      <c r="B9">
        <v>0.53172028956312867</v>
      </c>
      <c r="C9">
        <f t="shared" si="0"/>
        <v>0.52487872686799453</v>
      </c>
      <c r="D9">
        <f t="shared" si="1"/>
        <v>6.8415626951341402E-3</v>
      </c>
      <c r="E9">
        <f t="shared" si="2"/>
        <v>4.6806980111451118E-5</v>
      </c>
    </row>
    <row r="10" spans="1:8" x14ac:dyDescent="0.25">
      <c r="A10">
        <v>0.84735727538750005</v>
      </c>
      <c r="B10">
        <v>0.45837955996821433</v>
      </c>
      <c r="C10">
        <f t="shared" si="0"/>
        <v>0.4860426161874869</v>
      </c>
      <c r="D10">
        <f t="shared" si="1"/>
        <v>-2.7663056219272564E-2</v>
      </c>
      <c r="E10">
        <f t="shared" si="2"/>
        <v>7.6524467939063446E-4</v>
      </c>
    </row>
    <row r="11" spans="1:8" x14ac:dyDescent="0.25">
      <c r="A11">
        <v>0.93649725511249993</v>
      </c>
      <c r="B11">
        <v>0.42100399584772918</v>
      </c>
      <c r="C11">
        <f t="shared" si="0"/>
        <v>0.44864149998892106</v>
      </c>
      <c r="D11">
        <f t="shared" si="1"/>
        <v>-2.7637504141191871E-2</v>
      </c>
      <c r="E11">
        <f t="shared" si="2"/>
        <v>7.638316351543978E-4</v>
      </c>
    </row>
    <row r="12" spans="1:8" x14ac:dyDescent="0.25">
      <c r="A12">
        <v>1.0256372348374998</v>
      </c>
      <c r="B12">
        <v>0.40619481006414071</v>
      </c>
      <c r="C12">
        <f t="shared" si="0"/>
        <v>0.4129728058811874</v>
      </c>
      <c r="D12">
        <f t="shared" si="1"/>
        <v>-6.7779958170466892E-3</v>
      </c>
      <c r="E12">
        <f t="shared" si="2"/>
        <v>4.5941227295902416E-5</v>
      </c>
    </row>
    <row r="13" spans="1:8" x14ac:dyDescent="0.25">
      <c r="A13">
        <v>1.1147772145624999</v>
      </c>
      <c r="B13">
        <v>0.41324680329442093</v>
      </c>
      <c r="C13">
        <f t="shared" si="0"/>
        <v>0.37921490725166207</v>
      </c>
      <c r="D13">
        <f t="shared" si="1"/>
        <v>3.4031896042758858E-2</v>
      </c>
      <c r="E13">
        <f t="shared" si="2"/>
        <v>1.158169948265146E-3</v>
      </c>
    </row>
    <row r="14" spans="1:8" x14ac:dyDescent="0.25">
      <c r="A14">
        <v>1.2039171942875</v>
      </c>
      <c r="B14">
        <v>0.35965165474429123</v>
      </c>
      <c r="C14">
        <f t="shared" si="0"/>
        <v>0.347461312715937</v>
      </c>
      <c r="D14">
        <f t="shared" si="1"/>
        <v>1.2190342028354229E-2</v>
      </c>
      <c r="E14">
        <f t="shared" si="2"/>
        <v>1.4860443876825948E-4</v>
      </c>
    </row>
    <row r="15" spans="1:8" x14ac:dyDescent="0.25">
      <c r="A15">
        <v>1.2930571740124999</v>
      </c>
      <c r="B15">
        <v>0.3293280838540863</v>
      </c>
      <c r="C15">
        <f t="shared" si="0"/>
        <v>0.31774446610519591</v>
      </c>
      <c r="D15">
        <f t="shared" si="1"/>
        <v>1.1583617748890385E-2</v>
      </c>
      <c r="E15">
        <f t="shared" si="2"/>
        <v>1.3418020015240834E-4</v>
      </c>
    </row>
    <row r="16" spans="1:8" x14ac:dyDescent="0.25">
      <c r="A16">
        <v>1.3821971537375</v>
      </c>
      <c r="B16">
        <v>0.32227609062380608</v>
      </c>
      <c r="C16">
        <f t="shared" si="0"/>
        <v>0.29005279950855056</v>
      </c>
      <c r="D16">
        <f t="shared" si="1"/>
        <v>3.2223291115255515E-2</v>
      </c>
      <c r="E16">
        <f t="shared" si="2"/>
        <v>1.0383404902985049E-3</v>
      </c>
    </row>
    <row r="17" spans="1:5" x14ac:dyDescent="0.25">
      <c r="A17">
        <v>1.4713371334624998</v>
      </c>
      <c r="B17">
        <v>0.31663449603958188</v>
      </c>
      <c r="C17">
        <f t="shared" si="0"/>
        <v>0.26434321930595539</v>
      </c>
      <c r="D17">
        <f t="shared" si="1"/>
        <v>5.2291276733626491E-2</v>
      </c>
      <c r="E17">
        <f t="shared" si="2"/>
        <v>2.734377622432707E-3</v>
      </c>
    </row>
    <row r="18" spans="1:5" x14ac:dyDescent="0.25">
      <c r="A18">
        <v>1.5604771131874999</v>
      </c>
      <c r="B18">
        <v>0.29618371567176927</v>
      </c>
      <c r="C18">
        <f t="shared" si="0"/>
        <v>0.24055039389247565</v>
      </c>
      <c r="D18">
        <f t="shared" si="1"/>
        <v>5.5633321779293615E-2</v>
      </c>
      <c r="E18">
        <f t="shared" si="2"/>
        <v>3.0950664921984253E-3</v>
      </c>
    </row>
    <row r="19" spans="1:5" x14ac:dyDescent="0.25">
      <c r="A19">
        <v>1.6496170929125</v>
      </c>
      <c r="B19">
        <v>0.26656534410459232</v>
      </c>
      <c r="C19">
        <f t="shared" si="0"/>
        <v>0.21859373849037581</v>
      </c>
      <c r="D19">
        <f t="shared" si="1"/>
        <v>4.7971605614216511E-2</v>
      </c>
      <c r="E19">
        <f t="shared" si="2"/>
        <v>2.301274945205929E-3</v>
      </c>
    </row>
    <row r="20" spans="1:5" x14ac:dyDescent="0.25">
      <c r="A20">
        <v>1.7387570726374999</v>
      </c>
      <c r="B20">
        <v>0.21508579352354673</v>
      </c>
      <c r="C20">
        <f t="shared" si="0"/>
        <v>0.19838270391087234</v>
      </c>
      <c r="D20">
        <f t="shared" si="1"/>
        <v>1.6703089612674388E-2</v>
      </c>
      <c r="E20">
        <f t="shared" si="2"/>
        <v>2.7899320260903101E-4</v>
      </c>
    </row>
    <row r="21" spans="1:5" x14ac:dyDescent="0.25">
      <c r="A21">
        <v>1.8278970523625</v>
      </c>
      <c r="B21">
        <v>0.20944419893932256</v>
      </c>
      <c r="C21">
        <f t="shared" si="0"/>
        <v>0.17982079331390086</v>
      </c>
      <c r="D21">
        <f t="shared" si="1"/>
        <v>2.9623405625421706E-2</v>
      </c>
      <c r="E21">
        <f t="shared" si="2"/>
        <v>8.7754616084826634E-4</v>
      </c>
    </row>
    <row r="22" spans="1:5" x14ac:dyDescent="0.25">
      <c r="A22">
        <v>1.9170370320874999</v>
      </c>
      <c r="B22">
        <v>0.21014939826235057</v>
      </c>
      <c r="C22">
        <f t="shared" si="0"/>
        <v>0.16280861115465636</v>
      </c>
      <c r="D22">
        <f t="shared" si="1"/>
        <v>4.734078710769421E-2</v>
      </c>
      <c r="E22">
        <f t="shared" si="2"/>
        <v>2.2411501239760264E-3</v>
      </c>
    </row>
    <row r="23" spans="1:5" x14ac:dyDescent="0.25">
      <c r="A23">
        <v>2.0061770118124995</v>
      </c>
      <c r="B23">
        <v>0.18617262127939782</v>
      </c>
      <c r="C23">
        <f t="shared" si="0"/>
        <v>0.1472461674877745</v>
      </c>
      <c r="D23">
        <f t="shared" si="1"/>
        <v>3.8926453791623322E-2</v>
      </c>
      <c r="E23">
        <f t="shared" si="2"/>
        <v>1.5152688047913856E-3</v>
      </c>
    </row>
    <row r="24" spans="1:5" x14ac:dyDescent="0.25">
      <c r="A24">
        <v>2.0953169915374996</v>
      </c>
      <c r="B24">
        <v>0.16924783752672529</v>
      </c>
      <c r="C24">
        <f t="shared" si="0"/>
        <v>0.13303460452391819</v>
      </c>
      <c r="D24">
        <f t="shared" si="1"/>
        <v>3.6213233002807099E-2</v>
      </c>
      <c r="E24">
        <f t="shared" si="2"/>
        <v>1.3113982445155973E-3</v>
      </c>
    </row>
    <row r="25" spans="1:5" x14ac:dyDescent="0.25">
      <c r="A25">
        <v>2.1844569712624997</v>
      </c>
      <c r="B25">
        <v>0.15161785445102474</v>
      </c>
      <c r="C25">
        <f t="shared" si="0"/>
        <v>0.12007747228020155</v>
      </c>
      <c r="D25">
        <f t="shared" si="1"/>
        <v>3.1540382170823195E-2</v>
      </c>
      <c r="E25">
        <f t="shared" si="2"/>
        <v>9.9479570748158171E-4</v>
      </c>
    </row>
    <row r="26" spans="1:5" x14ac:dyDescent="0.25">
      <c r="A26">
        <v>2.2735969509874998</v>
      </c>
      <c r="B26">
        <v>0.14809185783588463</v>
      </c>
      <c r="C26">
        <f t="shared" si="0"/>
        <v>0.10828165103395315</v>
      </c>
      <c r="D26">
        <f t="shared" si="1"/>
        <v>3.981020680193148E-2</v>
      </c>
      <c r="E26">
        <f t="shared" si="2"/>
        <v>1.5848525656125515E-3</v>
      </c>
    </row>
    <row r="27" spans="1:5" x14ac:dyDescent="0.25">
      <c r="A27">
        <v>2.3627369307125003</v>
      </c>
      <c r="B27">
        <v>0.13328267205229616</v>
      </c>
      <c r="C27">
        <f t="shared" si="0"/>
        <v>9.7557996689651066E-2</v>
      </c>
      <c r="D27">
        <f t="shared" si="1"/>
        <v>3.5724675362645092E-2</v>
      </c>
      <c r="E27">
        <f t="shared" si="2"/>
        <v>1.2762524297663812E-3</v>
      </c>
    </row>
    <row r="28" spans="1:5" x14ac:dyDescent="0.25">
      <c r="A28">
        <v>2.4518769104375</v>
      </c>
      <c r="B28">
        <v>0.10507469913117529</v>
      </c>
      <c r="C28">
        <f t="shared" si="0"/>
        <v>8.7821768880452927E-2</v>
      </c>
      <c r="D28">
        <f t="shared" si="1"/>
        <v>1.7252930250722359E-2</v>
      </c>
      <c r="E28">
        <f t="shared" si="2"/>
        <v>2.9766360223629066E-4</v>
      </c>
    </row>
    <row r="29" spans="1:5" x14ac:dyDescent="0.25">
      <c r="A29">
        <v>2.5410168901624997</v>
      </c>
      <c r="B29">
        <v>0.10084350319300715</v>
      </c>
      <c r="C29">
        <f t="shared" si="0"/>
        <v>7.8992889159397103E-2</v>
      </c>
      <c r="D29">
        <f t="shared" si="1"/>
        <v>2.185061403361005E-2</v>
      </c>
      <c r="E29">
        <f t="shared" si="2"/>
        <v>4.7744933364579645E-4</v>
      </c>
    </row>
    <row r="30" spans="1:5" x14ac:dyDescent="0.25">
      <c r="A30">
        <v>2.6301568698874997</v>
      </c>
      <c r="B30">
        <v>9.308631063969891E-2</v>
      </c>
      <c r="C30">
        <f t="shared" si="0"/>
        <v>7.0996066970978489E-2</v>
      </c>
      <c r="D30">
        <f t="shared" si="1"/>
        <v>2.2090243668720422E-2</v>
      </c>
      <c r="E30">
        <f t="shared" si="2"/>
        <v>4.879788653434427E-4</v>
      </c>
    </row>
    <row r="31" spans="1:5" x14ac:dyDescent="0.25">
      <c r="A31">
        <v>2.7192968496124998</v>
      </c>
      <c r="B31">
        <v>8.6034317409418692E-2</v>
      </c>
      <c r="C31">
        <f t="shared" si="0"/>
        <v>6.3760823518652282E-2</v>
      </c>
      <c r="D31">
        <f t="shared" si="1"/>
        <v>2.227349389076641E-2</v>
      </c>
      <c r="E31">
        <f t="shared" si="2"/>
        <v>4.9610853010200861E-4</v>
      </c>
    </row>
    <row r="32" spans="1:5" x14ac:dyDescent="0.25">
      <c r="A32">
        <v>2.8084368293374999</v>
      </c>
      <c r="B32">
        <v>6.5583537041606049E-2</v>
      </c>
      <c r="C32">
        <f t="shared" si="0"/>
        <v>5.722143765049284E-2</v>
      </c>
      <c r="D32">
        <f t="shared" si="1"/>
        <v>8.3620993911132091E-3</v>
      </c>
      <c r="E32">
        <f t="shared" si="2"/>
        <v>6.9924706226855902E-5</v>
      </c>
    </row>
    <row r="33" spans="1:5" x14ac:dyDescent="0.25">
      <c r="A33">
        <v>2.8975768090624996</v>
      </c>
      <c r="B33">
        <v>5.1479550581045613E-2</v>
      </c>
      <c r="C33">
        <f t="shared" si="0"/>
        <v>5.1316833106190611E-2</v>
      </c>
      <c r="D33">
        <f t="shared" si="1"/>
        <v>1.6271747485500226E-4</v>
      </c>
      <c r="E33">
        <f t="shared" si="2"/>
        <v>2.6476976623188293E-8</v>
      </c>
    </row>
    <row r="34" spans="1:5" x14ac:dyDescent="0.25">
      <c r="A34">
        <v>2.9867167887874997</v>
      </c>
      <c r="B34">
        <v>4.7953553965905497E-2</v>
      </c>
      <c r="C34">
        <f t="shared" si="0"/>
        <v>4.5990422633195464E-2</v>
      </c>
      <c r="D34">
        <f t="shared" si="1"/>
        <v>1.963131332710033E-3</v>
      </c>
      <c r="E34">
        <f t="shared" si="2"/>
        <v>3.8538846294678702E-6</v>
      </c>
    </row>
    <row r="35" spans="1:5" x14ac:dyDescent="0.25">
      <c r="A35">
        <v>3.0758567685124998</v>
      </c>
      <c r="B35">
        <v>3.8785962766541213E-2</v>
      </c>
      <c r="C35">
        <f t="shared" si="0"/>
        <v>4.1189921385854318E-2</v>
      </c>
      <c r="D35">
        <f t="shared" si="1"/>
        <v>-2.4039586193131054E-3</v>
      </c>
      <c r="E35">
        <f t="shared" si="2"/>
        <v>5.7790170433697724E-6</v>
      </c>
    </row>
    <row r="36" spans="1:5" x14ac:dyDescent="0.25">
      <c r="A36">
        <v>3.1649967482374999</v>
      </c>
      <c r="B36">
        <v>3.6670364797457146E-2</v>
      </c>
      <c r="C36">
        <f t="shared" si="0"/>
        <v>3.6867139515502495E-2</v>
      </c>
      <c r="D36">
        <f t="shared" si="1"/>
        <v>-1.9677471804534913E-4</v>
      </c>
      <c r="E36">
        <f t="shared" si="2"/>
        <v>3.8720289661826647E-8</v>
      </c>
    </row>
    <row r="37" spans="1:5" x14ac:dyDescent="0.25">
      <c r="A37">
        <v>3.2541367279625</v>
      </c>
      <c r="B37">
        <v>1.9040381721756598E-2</v>
      </c>
      <c r="C37">
        <f t="shared" si="0"/>
        <v>3.2977761823933326E-2</v>
      </c>
      <c r="D37">
        <f t="shared" si="1"/>
        <v>-1.3937380102176728E-2</v>
      </c>
      <c r="E37">
        <f t="shared" si="2"/>
        <v>1.9425056411255179E-4</v>
      </c>
    </row>
    <row r="38" spans="1:5" x14ac:dyDescent="0.25">
      <c r="A38">
        <v>3.3432767076875001</v>
      </c>
      <c r="B38">
        <v>1.7629983075700552E-2</v>
      </c>
      <c r="C38">
        <f t="shared" si="0"/>
        <v>2.9481120695995639E-2</v>
      </c>
      <c r="D38">
        <f t="shared" si="1"/>
        <v>-1.1851137620295087E-2</v>
      </c>
      <c r="E38">
        <f t="shared" si="2"/>
        <v>1.4044946289517351E-4</v>
      </c>
    </row>
    <row r="39" spans="1:5" x14ac:dyDescent="0.25">
      <c r="A39">
        <v>3.4324166874124997</v>
      </c>
      <c r="B39">
        <v>1.9745581044784619E-2</v>
      </c>
      <c r="C39">
        <f t="shared" si="0"/>
        <v>2.6339967177421288E-2</v>
      </c>
      <c r="D39">
        <f t="shared" si="1"/>
        <v>-6.5943861326366697E-3</v>
      </c>
      <c r="E39">
        <f t="shared" si="2"/>
        <v>4.3485928466310814E-5</v>
      </c>
    </row>
    <row r="40" spans="1:5" x14ac:dyDescent="0.25">
      <c r="A40">
        <v>3.5215566671374998</v>
      </c>
      <c r="B40">
        <v>1.8335182398728573E-2</v>
      </c>
      <c r="C40">
        <f t="shared" si="0"/>
        <v>2.3520243964381227E-2</v>
      </c>
      <c r="D40">
        <f t="shared" si="1"/>
        <v>-5.1850615656526544E-3</v>
      </c>
      <c r="E40">
        <f t="shared" si="2"/>
        <v>2.6884863439608354E-5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7CBCB-F17C-4B12-9890-C3EEB635C2A0}">
  <dimension ref="A1:H40"/>
  <sheetViews>
    <sheetView workbookViewId="0">
      <selection activeCell="H1" sqref="H1"/>
    </sheetView>
  </sheetViews>
  <sheetFormatPr defaultColWidth="11" defaultRowHeight="15.75" x14ac:dyDescent="0.25"/>
  <sheetData>
    <row r="1" spans="1:8" x14ac:dyDescent="0.25">
      <c r="A1">
        <v>4.9470142199999997E-2</v>
      </c>
      <c r="B1">
        <v>0.50354447942832903</v>
      </c>
      <c r="C1">
        <f>$H$3*(1+$H$1)*(A1^($H$1))*EXP(-$H$3*(A1^(1+$H$1)))</f>
        <v>0.61237074729548691</v>
      </c>
      <c r="D1">
        <f>B1-C1</f>
        <v>-0.10882626786715788</v>
      </c>
      <c r="E1">
        <f>D1^2</f>
        <v>1.18431565778944E-2</v>
      </c>
      <c r="G1" t="s">
        <v>0</v>
      </c>
      <c r="H1">
        <v>0.18871175178848668</v>
      </c>
    </row>
    <row r="2" spans="1:8" x14ac:dyDescent="0.25">
      <c r="A2">
        <v>0.14533362459999999</v>
      </c>
      <c r="B2">
        <v>0.85759919152637287</v>
      </c>
      <c r="C2">
        <f t="shared" ref="C2:C40" si="0">$H$3*(1+$H$1)*(A2^($H$1))*EXP(-$H$3*(A2^(1+$H$1)))</f>
        <v>0.7011204567653283</v>
      </c>
      <c r="D2">
        <f t="shared" ref="D2:D40" si="1">B2-C2</f>
        <v>0.15647873476104457</v>
      </c>
      <c r="E2">
        <f t="shared" ref="E2:E40" si="2">D2^2</f>
        <v>2.4485594432417337E-2</v>
      </c>
    </row>
    <row r="3" spans="1:8" x14ac:dyDescent="0.25">
      <c r="A3">
        <v>0.24119710700000002</v>
      </c>
      <c r="B3">
        <v>0.71859993418417778</v>
      </c>
      <c r="C3">
        <f t="shared" si="0"/>
        <v>0.71370592333393212</v>
      </c>
      <c r="D3">
        <f t="shared" si="1"/>
        <v>4.8940108502456559E-3</v>
      </c>
      <c r="E3">
        <f t="shared" si="2"/>
        <v>2.3951342202322209E-5</v>
      </c>
      <c r="G3" t="s">
        <v>1</v>
      </c>
      <c r="H3">
        <f>(_xlfn.GAMMA((2+$H$1)/(1+$H$1)))^(1+$H$1)</f>
        <v>0.93259253107863938</v>
      </c>
    </row>
    <row r="4" spans="1:8" x14ac:dyDescent="0.25">
      <c r="A4">
        <v>0.3370605894</v>
      </c>
      <c r="B4">
        <v>0.6772935511060727</v>
      </c>
      <c r="C4">
        <f t="shared" si="0"/>
        <v>0.69896209895868588</v>
      </c>
      <c r="D4">
        <f t="shared" si="1"/>
        <v>-2.1668547852613185E-2</v>
      </c>
      <c r="E4">
        <f t="shared" si="2"/>
        <v>4.6952596604098748E-4</v>
      </c>
    </row>
    <row r="5" spans="1:8" x14ac:dyDescent="0.25">
      <c r="A5">
        <v>0.43292407179999998</v>
      </c>
      <c r="B5">
        <v>0.57173279435091517</v>
      </c>
      <c r="C5">
        <f t="shared" si="0"/>
        <v>0.67055886687641786</v>
      </c>
      <c r="D5">
        <f t="shared" si="1"/>
        <v>-9.8826072525502684E-2</v>
      </c>
      <c r="E5">
        <f t="shared" si="2"/>
        <v>9.7665926108159162E-3</v>
      </c>
      <c r="G5" t="s">
        <v>2</v>
      </c>
      <c r="H5">
        <f>SUM(E1:E40)</f>
        <v>8.0951213723932144E-2</v>
      </c>
    </row>
    <row r="6" spans="1:8" x14ac:dyDescent="0.25">
      <c r="A6">
        <v>0.52878755420000001</v>
      </c>
      <c r="B6">
        <v>0.54157257813515591</v>
      </c>
      <c r="C6">
        <f t="shared" si="0"/>
        <v>0.63480885147364075</v>
      </c>
      <c r="D6">
        <f t="shared" si="1"/>
        <v>-9.3236273338484832E-2</v>
      </c>
      <c r="E6">
        <f t="shared" si="2"/>
        <v>8.6930026660486572E-3</v>
      </c>
    </row>
    <row r="7" spans="1:8" x14ac:dyDescent="0.25">
      <c r="A7">
        <v>0.62465103659999999</v>
      </c>
      <c r="B7">
        <v>0.53632732314111087</v>
      </c>
      <c r="C7">
        <f t="shared" si="0"/>
        <v>0.59525687769280466</v>
      </c>
      <c r="D7">
        <f t="shared" si="1"/>
        <v>-5.8929554551693797E-2</v>
      </c>
      <c r="E7">
        <f t="shared" si="2"/>
        <v>3.472692399661055E-3</v>
      </c>
    </row>
    <row r="8" spans="1:8" x14ac:dyDescent="0.25">
      <c r="A8">
        <v>0.72051451899999996</v>
      </c>
      <c r="B8">
        <v>0.53042641127281009</v>
      </c>
      <c r="C8">
        <f t="shared" si="0"/>
        <v>0.55409710713977167</v>
      </c>
      <c r="D8">
        <f t="shared" si="1"/>
        <v>-2.3670695866961577E-2</v>
      </c>
      <c r="E8">
        <f t="shared" si="2"/>
        <v>5.603018428261919E-4</v>
      </c>
    </row>
    <row r="9" spans="1:8" x14ac:dyDescent="0.25">
      <c r="A9">
        <v>0.81637800139999994</v>
      </c>
      <c r="B9">
        <v>0.49174265569172754</v>
      </c>
      <c r="C9">
        <f t="shared" si="0"/>
        <v>0.51275732752560743</v>
      </c>
      <c r="D9">
        <f t="shared" si="1"/>
        <v>-2.1014671833879894E-2</v>
      </c>
      <c r="E9">
        <f t="shared" si="2"/>
        <v>4.4161643228566498E-4</v>
      </c>
    </row>
    <row r="10" spans="1:8" x14ac:dyDescent="0.25">
      <c r="A10">
        <v>0.91224148380000003</v>
      </c>
      <c r="B10">
        <v>0.42224302702063005</v>
      </c>
      <c r="C10">
        <f t="shared" si="0"/>
        <v>0.47218689754105042</v>
      </c>
      <c r="D10">
        <f t="shared" si="1"/>
        <v>-4.9943870520420375E-2</v>
      </c>
      <c r="E10">
        <f t="shared" si="2"/>
        <v>2.4943902025605152E-3</v>
      </c>
    </row>
    <row r="11" spans="1:8" x14ac:dyDescent="0.25">
      <c r="A11">
        <v>1.0081049662000001</v>
      </c>
      <c r="B11">
        <v>0.41240817390679552</v>
      </c>
      <c r="C11">
        <f t="shared" si="0"/>
        <v>0.43301720057330284</v>
      </c>
      <c r="D11">
        <f t="shared" si="1"/>
        <v>-2.0609026666507324E-2</v>
      </c>
      <c r="E11">
        <f t="shared" si="2"/>
        <v>4.2473198014081001E-4</v>
      </c>
    </row>
    <row r="12" spans="1:8" x14ac:dyDescent="0.25">
      <c r="A12">
        <v>1.1039684485999999</v>
      </c>
      <c r="B12">
        <v>0.40978554640977294</v>
      </c>
      <c r="C12">
        <f t="shared" si="0"/>
        <v>0.39565938703532327</v>
      </c>
      <c r="D12">
        <f t="shared" si="1"/>
        <v>1.4126159374449665E-2</v>
      </c>
      <c r="E12">
        <f t="shared" si="2"/>
        <v>1.9954837867235215E-4</v>
      </c>
    </row>
    <row r="13" spans="1:8" x14ac:dyDescent="0.25">
      <c r="A13">
        <v>1.1998319309999999</v>
      </c>
      <c r="B13">
        <v>0.3822479576910362</v>
      </c>
      <c r="C13">
        <f t="shared" si="0"/>
        <v>0.36036798319975172</v>
      </c>
      <c r="D13">
        <f t="shared" si="1"/>
        <v>2.1879974491284482E-2</v>
      </c>
      <c r="E13">
        <f t="shared" si="2"/>
        <v>4.7873328373925964E-4</v>
      </c>
    </row>
    <row r="14" spans="1:8" x14ac:dyDescent="0.25">
      <c r="A14">
        <v>1.2956954133999998</v>
      </c>
      <c r="B14">
        <v>0.31864924088823943</v>
      </c>
      <c r="C14">
        <f t="shared" si="0"/>
        <v>0.32728438124498144</v>
      </c>
      <c r="D14">
        <f t="shared" si="1"/>
        <v>-8.6351403567420104E-3</v>
      </c>
      <c r="E14">
        <f t="shared" si="2"/>
        <v>7.4565648980634534E-5</v>
      </c>
    </row>
    <row r="15" spans="1:8" x14ac:dyDescent="0.25">
      <c r="A15">
        <v>1.3915588957999998</v>
      </c>
      <c r="B15">
        <v>0.31537095651696123</v>
      </c>
      <c r="C15">
        <f t="shared" si="0"/>
        <v>0.29646768707996501</v>
      </c>
      <c r="D15">
        <f t="shared" si="1"/>
        <v>1.8903269436996217E-2</v>
      </c>
      <c r="E15">
        <f t="shared" si="2"/>
        <v>3.573335954076753E-4</v>
      </c>
    </row>
    <row r="16" spans="1:8" x14ac:dyDescent="0.25">
      <c r="A16">
        <v>1.4874223781999998</v>
      </c>
      <c r="B16">
        <v>0.3193048977624951</v>
      </c>
      <c r="C16">
        <f t="shared" si="0"/>
        <v>0.26791720087546211</v>
      </c>
      <c r="D16">
        <f t="shared" si="1"/>
        <v>5.1387696887032985E-2</v>
      </c>
      <c r="E16">
        <f t="shared" si="2"/>
        <v>2.6406953913535795E-3</v>
      </c>
    </row>
    <row r="17" spans="1:5" x14ac:dyDescent="0.25">
      <c r="A17">
        <v>1.5832858606</v>
      </c>
      <c r="B17">
        <v>0.28783336779822449</v>
      </c>
      <c r="C17">
        <f t="shared" si="0"/>
        <v>0.24158912171601141</v>
      </c>
      <c r="D17">
        <f t="shared" si="1"/>
        <v>4.6244246082213086E-2</v>
      </c>
      <c r="E17">
        <f t="shared" si="2"/>
        <v>2.1385302957122802E-3</v>
      </c>
    </row>
    <row r="18" spans="1:5" x14ac:dyDescent="0.25">
      <c r="A18">
        <v>1.6791493430000002</v>
      </c>
      <c r="B18">
        <v>0.25111658283990884</v>
      </c>
      <c r="C18">
        <f t="shared" si="0"/>
        <v>0.21740912773875895</v>
      </c>
      <c r="D18">
        <f t="shared" si="1"/>
        <v>3.3707455101149891E-2</v>
      </c>
      <c r="E18">
        <f t="shared" si="2"/>
        <v>1.1361925293960358E-3</v>
      </c>
    </row>
    <row r="19" spans="1:5" x14ac:dyDescent="0.25">
      <c r="A19">
        <v>1.7750128254000002</v>
      </c>
      <c r="B19">
        <v>0.20390928789350302</v>
      </c>
      <c r="C19">
        <f t="shared" si="0"/>
        <v>0.19528193027895427</v>
      </c>
      <c r="D19">
        <f t="shared" si="1"/>
        <v>8.6273576145487474E-3</v>
      </c>
      <c r="E19">
        <f t="shared" si="2"/>
        <v>7.443129940931225E-5</v>
      </c>
    </row>
    <row r="20" spans="1:5" x14ac:dyDescent="0.25">
      <c r="A20">
        <v>1.8708763077999999</v>
      </c>
      <c r="B20">
        <v>0.21571111163010448</v>
      </c>
      <c r="C20">
        <f t="shared" si="0"/>
        <v>0.17509856025351178</v>
      </c>
      <c r="D20">
        <f t="shared" si="1"/>
        <v>4.0612551376592698E-2</v>
      </c>
      <c r="E20">
        <f t="shared" si="2"/>
        <v>1.6493793293163815E-3</v>
      </c>
    </row>
    <row r="21" spans="1:5" x14ac:dyDescent="0.25">
      <c r="A21">
        <v>1.9667397901999999</v>
      </c>
      <c r="B21">
        <v>0.20063100352222482</v>
      </c>
      <c r="C21">
        <f t="shared" si="0"/>
        <v>0.15674192689564792</v>
      </c>
      <c r="D21">
        <f t="shared" si="1"/>
        <v>4.3889076626576901E-2</v>
      </c>
      <c r="E21">
        <f t="shared" si="2"/>
        <v>1.9262510471335387E-3</v>
      </c>
    </row>
    <row r="22" spans="1:5" x14ac:dyDescent="0.25">
      <c r="A22">
        <v>2.0626032726000001</v>
      </c>
      <c r="B22">
        <v>0.17702735604902192</v>
      </c>
      <c r="C22">
        <f t="shared" si="0"/>
        <v>0.14009104397637295</v>
      </c>
      <c r="D22">
        <f t="shared" si="1"/>
        <v>3.6936312072648969E-2</v>
      </c>
      <c r="E22">
        <f t="shared" si="2"/>
        <v>1.364291149528114E-3</v>
      </c>
    </row>
    <row r="23" spans="1:5" x14ac:dyDescent="0.25">
      <c r="A23">
        <v>2.1584667550000001</v>
      </c>
      <c r="B23">
        <v>0.15080108107879645</v>
      </c>
      <c r="C23">
        <f t="shared" si="0"/>
        <v>0.12502421909908809</v>
      </c>
      <c r="D23">
        <f t="shared" si="1"/>
        <v>2.5776861979708354E-2</v>
      </c>
      <c r="E23">
        <f t="shared" si="2"/>
        <v>6.644466135209341E-4</v>
      </c>
    </row>
    <row r="24" spans="1:5" x14ac:dyDescent="0.25">
      <c r="A24">
        <v>2.2543302373999996</v>
      </c>
      <c r="B24">
        <v>0.14686713983326263</v>
      </c>
      <c r="C24">
        <f t="shared" si="0"/>
        <v>0.11142143128104032</v>
      </c>
      <c r="D24">
        <f t="shared" si="1"/>
        <v>3.5445708552222316E-2</v>
      </c>
      <c r="E24">
        <f t="shared" si="2"/>
        <v>1.2563982547690862E-3</v>
      </c>
    </row>
    <row r="25" spans="1:5" x14ac:dyDescent="0.25">
      <c r="A25">
        <v>2.3501937198</v>
      </c>
      <c r="B25">
        <v>0.13637662984517243</v>
      </c>
      <c r="C25">
        <f t="shared" si="0"/>
        <v>9.9166070989655797E-2</v>
      </c>
      <c r="D25">
        <f t="shared" si="1"/>
        <v>3.7210558855516634E-2</v>
      </c>
      <c r="E25">
        <f t="shared" si="2"/>
        <v>1.3846256903398675E-3</v>
      </c>
    </row>
    <row r="26" spans="1:5" x14ac:dyDescent="0.25">
      <c r="A26">
        <v>2.4460572022</v>
      </c>
      <c r="B26">
        <v>0.10883904112643569</v>
      </c>
      <c r="C26">
        <f t="shared" si="0"/>
        <v>8.8146178928262528E-2</v>
      </c>
      <c r="D26">
        <f t="shared" si="1"/>
        <v>2.0692862198173165E-2</v>
      </c>
      <c r="E26">
        <f t="shared" si="2"/>
        <v>4.2819454595258394E-4</v>
      </c>
    </row>
    <row r="27" spans="1:5" x14ac:dyDescent="0.25">
      <c r="A27">
        <v>2.5419206846</v>
      </c>
      <c r="B27">
        <v>9.4414589892811693E-2</v>
      </c>
      <c r="C27">
        <f t="shared" si="0"/>
        <v>7.8255291209443759E-2</v>
      </c>
      <c r="D27">
        <f t="shared" si="1"/>
        <v>1.6159298683367934E-2</v>
      </c>
      <c r="E27">
        <f t="shared" si="2"/>
        <v>2.6112293393829662E-4</v>
      </c>
    </row>
    <row r="28" spans="1:5" x14ac:dyDescent="0.25">
      <c r="A28">
        <v>2.637784167</v>
      </c>
      <c r="B28">
        <v>9.3758933018556048E-2</v>
      </c>
      <c r="C28">
        <f t="shared" si="0"/>
        <v>6.9392976506139445E-2</v>
      </c>
      <c r="D28">
        <f t="shared" si="1"/>
        <v>2.4365956512416603E-2</v>
      </c>
      <c r="E28">
        <f t="shared" si="2"/>
        <v>5.9369983676497713E-4</v>
      </c>
    </row>
    <row r="29" spans="1:5" x14ac:dyDescent="0.25">
      <c r="A29">
        <v>2.7336476493999999</v>
      </c>
      <c r="B29">
        <v>8.1957109281954585E-2</v>
      </c>
      <c r="C29">
        <f t="shared" si="0"/>
        <v>6.1465133566206941E-2</v>
      </c>
      <c r="D29">
        <f t="shared" si="1"/>
        <v>2.0491975715747644E-2</v>
      </c>
      <c r="E29">
        <f t="shared" si="2"/>
        <v>4.1992106873479115E-4</v>
      </c>
    </row>
    <row r="30" spans="1:5" x14ac:dyDescent="0.25">
      <c r="A30">
        <v>2.8295111317999999</v>
      </c>
      <c r="B30">
        <v>6.1631746180029853E-2</v>
      </c>
      <c r="C30">
        <f t="shared" si="0"/>
        <v>5.4384103894071709E-2</v>
      </c>
      <c r="D30">
        <f t="shared" si="1"/>
        <v>7.2476422859581446E-3</v>
      </c>
      <c r="E30">
        <f t="shared" si="2"/>
        <v>5.2528318705208602E-5</v>
      </c>
    </row>
    <row r="31" spans="1:5" x14ac:dyDescent="0.25">
      <c r="A31">
        <v>2.9253746141999999</v>
      </c>
      <c r="B31">
        <v>5.0485579317684028E-2</v>
      </c>
      <c r="C31">
        <f t="shared" si="0"/>
        <v>4.8068643578810674E-2</v>
      </c>
      <c r="D31">
        <f t="shared" si="1"/>
        <v>2.4169357388733534E-3</v>
      </c>
      <c r="E31">
        <f t="shared" si="2"/>
        <v>5.8415783658432826E-6</v>
      </c>
    </row>
    <row r="32" spans="1:5" x14ac:dyDescent="0.25">
      <c r="A32">
        <v>3.0212380966000003</v>
      </c>
      <c r="B32">
        <v>4.3929010575127658E-2</v>
      </c>
      <c r="C32">
        <f t="shared" si="0"/>
        <v>4.2443789556723469E-2</v>
      </c>
      <c r="D32">
        <f t="shared" si="1"/>
        <v>1.4852210184041897E-3</v>
      </c>
      <c r="E32">
        <f t="shared" si="2"/>
        <v>2.2058814735095784E-6</v>
      </c>
    </row>
    <row r="33" spans="1:5" x14ac:dyDescent="0.25">
      <c r="A33">
        <v>3.1171015789999998</v>
      </c>
      <c r="B33">
        <v>3.6061128084060021E-2</v>
      </c>
      <c r="C33">
        <f t="shared" si="0"/>
        <v>3.7440648577616628E-2</v>
      </c>
      <c r="D33">
        <f t="shared" si="1"/>
        <v>-1.3795204935566074E-3</v>
      </c>
      <c r="E33">
        <f t="shared" si="2"/>
        <v>1.9030767921426659E-6</v>
      </c>
    </row>
    <row r="34" spans="1:5" x14ac:dyDescent="0.25">
      <c r="A34">
        <v>3.2129650613999998</v>
      </c>
      <c r="B34">
        <v>2.6881931844481104E-2</v>
      </c>
      <c r="C34">
        <f t="shared" si="0"/>
        <v>3.2996131451984413E-2</v>
      </c>
      <c r="D34">
        <f t="shared" si="1"/>
        <v>-6.1141996075033088E-3</v>
      </c>
      <c r="E34">
        <f t="shared" si="2"/>
        <v>3.7383436840393615E-5</v>
      </c>
    </row>
    <row r="35" spans="1:5" x14ac:dyDescent="0.25">
      <c r="A35">
        <v>3.3088285437999998</v>
      </c>
      <c r="B35">
        <v>1.5735764982135282E-2</v>
      </c>
      <c r="C35">
        <f t="shared" si="0"/>
        <v>2.9052650527171434E-2</v>
      </c>
      <c r="D35">
        <f t="shared" si="1"/>
        <v>-1.3316885545036152E-2</v>
      </c>
      <c r="E35">
        <f t="shared" si="2"/>
        <v>1.773394406195928E-4</v>
      </c>
    </row>
    <row r="36" spans="1:5" x14ac:dyDescent="0.25">
      <c r="A36">
        <v>3.4046920262000002</v>
      </c>
      <c r="B36">
        <v>2.0981019976180376E-2</v>
      </c>
      <c r="C36">
        <f t="shared" si="0"/>
        <v>2.555779456999676E-2</v>
      </c>
      <c r="D36">
        <f t="shared" si="1"/>
        <v>-4.5767745938163837E-3</v>
      </c>
      <c r="E36">
        <f t="shared" si="2"/>
        <v>2.0946865682603126E-5</v>
      </c>
    </row>
    <row r="37" spans="1:5" x14ac:dyDescent="0.25">
      <c r="A37">
        <v>3.5005555085999998</v>
      </c>
      <c r="B37">
        <v>1.7047078730646554E-2</v>
      </c>
      <c r="C37">
        <f t="shared" si="0"/>
        <v>2.2463992160625383E-2</v>
      </c>
      <c r="D37">
        <f t="shared" si="1"/>
        <v>-5.4169134299788292E-3</v>
      </c>
      <c r="E37">
        <f t="shared" si="2"/>
        <v>2.9342951107885004E-5</v>
      </c>
    </row>
    <row r="38" spans="1:5" x14ac:dyDescent="0.25">
      <c r="A38">
        <v>3.5964189910000002</v>
      </c>
      <c r="B38">
        <v>0</v>
      </c>
      <c r="C38">
        <f t="shared" si="0"/>
        <v>1.9728172200053934E-2</v>
      </c>
      <c r="D38">
        <f t="shared" si="1"/>
        <v>-1.9728172200053934E-2</v>
      </c>
      <c r="E38">
        <f t="shared" si="2"/>
        <v>3.8920077835498086E-4</v>
      </c>
    </row>
    <row r="39" spans="1:5" x14ac:dyDescent="0.25">
      <c r="A39">
        <v>3.6922824733999997</v>
      </c>
      <c r="B39">
        <v>0</v>
      </c>
      <c r="C39">
        <f t="shared" si="0"/>
        <v>1.731142809894317E-2</v>
      </c>
      <c r="D39">
        <f t="shared" si="1"/>
        <v>-1.731142809894317E-2</v>
      </c>
      <c r="E39">
        <f t="shared" si="2"/>
        <v>2.9968554282487912E-4</v>
      </c>
    </row>
    <row r="40" spans="1:5" x14ac:dyDescent="0.25">
      <c r="A40">
        <v>3.7881459557999997</v>
      </c>
      <c r="B40">
        <v>6.5565687425563676E-4</v>
      </c>
      <c r="C40">
        <f t="shared" si="0"/>
        <v>1.5178690565656587E-2</v>
      </c>
      <c r="D40">
        <f t="shared" si="1"/>
        <v>-1.4523033691400952E-2</v>
      </c>
      <c r="E40">
        <f t="shared" si="2"/>
        <v>2.1091850760156716E-4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2C80-D839-4732-A67F-54E3C64AFB0C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4.4801994662500004E-2</v>
      </c>
      <c r="B1">
        <v>0.36533213442370982</v>
      </c>
      <c r="C1">
        <f>$H$3*(1+$H$1)*(A1^($H$1))*EXP(-$H$3*(A1^(1+$H$1)))</f>
        <v>0.56167054741870315</v>
      </c>
      <c r="D1">
        <f>B1-C1</f>
        <v>-0.19633841299499333</v>
      </c>
      <c r="E1">
        <f>D1^2</f>
        <v>3.8548772417392567E-2</v>
      </c>
      <c r="G1" t="s">
        <v>0</v>
      </c>
      <c r="H1">
        <v>0.21678311098690106</v>
      </c>
    </row>
    <row r="2" spans="1:8" x14ac:dyDescent="0.25">
      <c r="A2">
        <v>0.13269486998749999</v>
      </c>
      <c r="B2">
        <v>0.868646855821541</v>
      </c>
      <c r="C2">
        <f t="shared" ref="C2:C40" si="0">$H$3*(1+$H$1)*(A2^($H$1))*EXP(-$H$3*(A2^(1+$H$1)))</f>
        <v>0.67065700162871045</v>
      </c>
      <c r="D2">
        <f t="shared" ref="D2:D40" si="1">B2-C2</f>
        <v>0.19798985419283055</v>
      </c>
      <c r="E2">
        <f t="shared" ref="E2:E40" si="2">D2^2</f>
        <v>3.9199982363298302E-2</v>
      </c>
    </row>
    <row r="3" spans="1:8" x14ac:dyDescent="0.25">
      <c r="A3">
        <v>0.22058774531249997</v>
      </c>
      <c r="B3">
        <v>0.78213963808128872</v>
      </c>
      <c r="C3">
        <f t="shared" si="0"/>
        <v>0.69971510272365789</v>
      </c>
      <c r="D3">
        <f t="shared" si="1"/>
        <v>8.2424535357630835E-2</v>
      </c>
      <c r="E3">
        <f t="shared" si="2"/>
        <v>6.7938040289213355E-3</v>
      </c>
      <c r="G3" t="s">
        <v>1</v>
      </c>
      <c r="H3">
        <f>(_xlfn.GAMMA((2+$H$1)/(1+$H$1)))^(1+$H$1)</f>
        <v>0.92431007702145984</v>
      </c>
    </row>
    <row r="4" spans="1:8" x14ac:dyDescent="0.25">
      <c r="A4">
        <v>0.30848062063749998</v>
      </c>
      <c r="B4">
        <v>0.70778632696569999</v>
      </c>
      <c r="C4">
        <f t="shared" si="0"/>
        <v>0.6987812567821754</v>
      </c>
      <c r="D4">
        <f t="shared" si="1"/>
        <v>9.0050701835245883E-3</v>
      </c>
      <c r="E4">
        <f t="shared" si="2"/>
        <v>8.1091289010203559E-5</v>
      </c>
    </row>
    <row r="5" spans="1:8" x14ac:dyDescent="0.25">
      <c r="A5">
        <v>0.39637349596249999</v>
      </c>
      <c r="B5">
        <v>0.63557782290152254</v>
      </c>
      <c r="C5">
        <f t="shared" si="0"/>
        <v>0.68189149663290172</v>
      </c>
      <c r="D5">
        <f t="shared" si="1"/>
        <v>-4.6313673731379179E-2</v>
      </c>
      <c r="E5">
        <f t="shared" si="2"/>
        <v>2.144956374496642E-3</v>
      </c>
      <c r="G5" t="s">
        <v>2</v>
      </c>
      <c r="H5">
        <f>SUM(E1:E40)</f>
        <v>0.12755964827016639</v>
      </c>
    </row>
    <row r="6" spans="1:8" x14ac:dyDescent="0.25">
      <c r="A6">
        <v>0.48426637128749994</v>
      </c>
      <c r="B6">
        <v>0.56265438315354133</v>
      </c>
      <c r="C6">
        <f t="shared" si="0"/>
        <v>0.65560762168849263</v>
      </c>
      <c r="D6">
        <f t="shared" si="1"/>
        <v>-9.2953238534951299E-2</v>
      </c>
      <c r="E6">
        <f t="shared" si="2"/>
        <v>8.6403045541355548E-3</v>
      </c>
    </row>
    <row r="7" spans="1:8" x14ac:dyDescent="0.25">
      <c r="A7">
        <v>0.57215924661249984</v>
      </c>
      <c r="B7">
        <v>0.5283374703309619</v>
      </c>
      <c r="C7">
        <f t="shared" si="0"/>
        <v>0.62369192444671873</v>
      </c>
      <c r="D7">
        <f t="shared" si="1"/>
        <v>-9.5354454115756826E-2</v>
      </c>
      <c r="E7">
        <f t="shared" si="2"/>
        <v>9.0924719197139747E-3</v>
      </c>
    </row>
    <row r="8" spans="1:8" x14ac:dyDescent="0.25">
      <c r="A8">
        <v>0.66005212193749996</v>
      </c>
      <c r="B8">
        <v>0.56050957610213015</v>
      </c>
      <c r="C8">
        <f t="shared" si="0"/>
        <v>0.58854238332965592</v>
      </c>
      <c r="D8">
        <f t="shared" si="1"/>
        <v>-2.8032807227525769E-2</v>
      </c>
      <c r="E8">
        <f t="shared" si="2"/>
        <v>7.8583828105562102E-4</v>
      </c>
    </row>
    <row r="9" spans="1:8" x14ac:dyDescent="0.25">
      <c r="A9">
        <v>0.74794499726250008</v>
      </c>
      <c r="B9">
        <v>0.52547772759574696</v>
      </c>
      <c r="C9">
        <f t="shared" si="0"/>
        <v>0.55178016620947401</v>
      </c>
      <c r="D9">
        <f t="shared" si="1"/>
        <v>-2.6302438613727053E-2</v>
      </c>
      <c r="E9">
        <f t="shared" si="2"/>
        <v>6.9181827702887984E-4</v>
      </c>
    </row>
    <row r="10" spans="1:8" x14ac:dyDescent="0.25">
      <c r="A10">
        <v>0.83583787258749997</v>
      </c>
      <c r="B10">
        <v>0.46399325878862557</v>
      </c>
      <c r="C10">
        <f t="shared" si="0"/>
        <v>0.51453709341759801</v>
      </c>
      <c r="D10">
        <f t="shared" si="1"/>
        <v>-5.0543834628972439E-2</v>
      </c>
      <c r="E10">
        <f t="shared" si="2"/>
        <v>2.5546792190009136E-3</v>
      </c>
    </row>
    <row r="11" spans="1:8" x14ac:dyDescent="0.25">
      <c r="A11">
        <v>0.92373074791249998</v>
      </c>
      <c r="B11">
        <v>0.4296763459660462</v>
      </c>
      <c r="C11">
        <f t="shared" si="0"/>
        <v>0.47761492641552428</v>
      </c>
      <c r="D11">
        <f t="shared" si="1"/>
        <v>-4.7938580449478074E-2</v>
      </c>
      <c r="E11">
        <f t="shared" si="2"/>
        <v>2.2981074955110816E-3</v>
      </c>
    </row>
    <row r="12" spans="1:8" x14ac:dyDescent="0.25">
      <c r="A12">
        <v>1.0116236232375</v>
      </c>
      <c r="B12">
        <v>0.42395686049561626</v>
      </c>
      <c r="C12">
        <f t="shared" si="0"/>
        <v>0.44158213557891518</v>
      </c>
      <c r="D12">
        <f t="shared" si="1"/>
        <v>-1.7625275083298919E-2</v>
      </c>
      <c r="E12">
        <f t="shared" si="2"/>
        <v>3.1065032176195772E-4</v>
      </c>
    </row>
    <row r="13" spans="1:8" x14ac:dyDescent="0.25">
      <c r="A13">
        <v>1.0995164985624999</v>
      </c>
      <c r="B13">
        <v>0.39893411156248548</v>
      </c>
      <c r="C13">
        <f t="shared" si="0"/>
        <v>0.40683694293579725</v>
      </c>
      <c r="D13">
        <f t="shared" si="1"/>
        <v>-7.9028313733117694E-3</v>
      </c>
      <c r="E13">
        <f t="shared" si="2"/>
        <v>6.2454743715000793E-5</v>
      </c>
    </row>
    <row r="14" spans="1:8" x14ac:dyDescent="0.25">
      <c r="A14">
        <v>1.1874093738874998</v>
      </c>
      <c r="B14">
        <v>0.39178475472444813</v>
      </c>
      <c r="C14">
        <f t="shared" si="0"/>
        <v>0.37365065815765863</v>
      </c>
      <c r="D14">
        <f t="shared" si="1"/>
        <v>1.8134096566789493E-2</v>
      </c>
      <c r="E14">
        <f t="shared" si="2"/>
        <v>3.2884545829364644E-4</v>
      </c>
    </row>
    <row r="15" spans="1:8" x14ac:dyDescent="0.25">
      <c r="A15">
        <v>1.2753022492124999</v>
      </c>
      <c r="B15">
        <v>0.32601067181450427</v>
      </c>
      <c r="C15">
        <f t="shared" si="0"/>
        <v>0.3421987210004232</v>
      </c>
      <c r="D15">
        <f t="shared" si="1"/>
        <v>-1.6188049185918929E-2</v>
      </c>
      <c r="E15">
        <f t="shared" si="2"/>
        <v>2.6205293644573051E-4</v>
      </c>
    </row>
    <row r="16" spans="1:8" x14ac:dyDescent="0.25">
      <c r="A16">
        <v>1.3631951245375</v>
      </c>
      <c r="B16">
        <v>0.31099702245462579</v>
      </c>
      <c r="C16">
        <f t="shared" si="0"/>
        <v>0.31258364722785847</v>
      </c>
      <c r="D16">
        <f t="shared" si="1"/>
        <v>-1.586624773232681E-3</v>
      </c>
      <c r="E16">
        <f t="shared" si="2"/>
        <v>2.5173781710356566E-6</v>
      </c>
    </row>
    <row r="17" spans="1:5" x14ac:dyDescent="0.25">
      <c r="A17">
        <v>1.4510879998625001</v>
      </c>
      <c r="B17">
        <v>0.32315092907928933</v>
      </c>
      <c r="C17">
        <f t="shared" si="0"/>
        <v>0.28485239576133631</v>
      </c>
      <c r="D17">
        <f t="shared" si="1"/>
        <v>3.8298533317953021E-2</v>
      </c>
      <c r="E17">
        <f t="shared" si="2"/>
        <v>1.4667776543063576E-3</v>
      </c>
    </row>
    <row r="18" spans="1:5" x14ac:dyDescent="0.25">
      <c r="A18">
        <v>1.5389808751875</v>
      </c>
      <c r="B18">
        <v>0.3017028585651772</v>
      </c>
      <c r="C18">
        <f t="shared" si="0"/>
        <v>0.25900974503043017</v>
      </c>
      <c r="D18">
        <f t="shared" si="1"/>
        <v>4.2693113534747029E-2</v>
      </c>
      <c r="E18">
        <f t="shared" si="2"/>
        <v>1.8227019432908E-3</v>
      </c>
    </row>
    <row r="19" spans="1:5" x14ac:dyDescent="0.25">
      <c r="A19">
        <v>1.6268737505124999</v>
      </c>
      <c r="B19">
        <v>0.27596517394824266</v>
      </c>
      <c r="C19">
        <f t="shared" si="0"/>
        <v>0.23502872506828468</v>
      </c>
      <c r="D19">
        <f t="shared" si="1"/>
        <v>4.0936448879957982E-2</v>
      </c>
      <c r="E19">
        <f t="shared" si="2"/>
        <v>1.6757928469014131E-3</v>
      </c>
    </row>
    <row r="20" spans="1:5" x14ac:dyDescent="0.25">
      <c r="A20">
        <v>1.7147666258374998</v>
      </c>
      <c r="B20">
        <v>0.22806448313339223</v>
      </c>
      <c r="C20">
        <f t="shared" si="0"/>
        <v>0.21285882229480921</v>
      </c>
      <c r="D20">
        <f t="shared" si="1"/>
        <v>1.5205660838583018E-2</v>
      </c>
      <c r="E20">
        <f t="shared" si="2"/>
        <v>2.3121212153801721E-4</v>
      </c>
    </row>
    <row r="21" spans="1:5" x14ac:dyDescent="0.25">
      <c r="A21">
        <v>1.8026595011625</v>
      </c>
      <c r="B21">
        <v>0.21162096240590628</v>
      </c>
      <c r="C21">
        <f t="shared" si="0"/>
        <v>0.1924324651464647</v>
      </c>
      <c r="D21">
        <f t="shared" si="1"/>
        <v>1.9188497259441578E-2</v>
      </c>
      <c r="E21">
        <f t="shared" si="2"/>
        <v>3.6819842707559697E-4</v>
      </c>
    </row>
    <row r="22" spans="1:5" x14ac:dyDescent="0.25">
      <c r="A22">
        <v>1.8905523764874999</v>
      </c>
      <c r="B22">
        <v>0.2066164126192801</v>
      </c>
      <c r="C22">
        <f t="shared" si="0"/>
        <v>0.17367016159875218</v>
      </c>
      <c r="D22">
        <f t="shared" si="1"/>
        <v>3.2946251020527922E-2</v>
      </c>
      <c r="E22">
        <f t="shared" si="2"/>
        <v>1.0854554563076372E-3</v>
      </c>
    </row>
    <row r="23" spans="1:5" x14ac:dyDescent="0.25">
      <c r="A23">
        <v>1.9784452518125</v>
      </c>
      <c r="B23">
        <v>0.2066164126192801</v>
      </c>
      <c r="C23">
        <f t="shared" si="0"/>
        <v>0.15648456655962809</v>
      </c>
      <c r="D23">
        <f t="shared" si="1"/>
        <v>5.0131846059652013E-2</v>
      </c>
      <c r="E23">
        <f t="shared" si="2"/>
        <v>2.5132019893486469E-3</v>
      </c>
    </row>
    <row r="24" spans="1:5" x14ac:dyDescent="0.25">
      <c r="A24">
        <v>2.0663381271374996</v>
      </c>
      <c r="B24">
        <v>0.17015469274528949</v>
      </c>
      <c r="C24">
        <f t="shared" si="0"/>
        <v>0.14078369199649565</v>
      </c>
      <c r="D24">
        <f t="shared" si="1"/>
        <v>2.9371000748793841E-2</v>
      </c>
      <c r="E24">
        <f t="shared" si="2"/>
        <v>8.6265568498564832E-4</v>
      </c>
    </row>
    <row r="25" spans="1:5" x14ac:dyDescent="0.25">
      <c r="A25">
        <v>2.1542310024624998</v>
      </c>
      <c r="B25">
        <v>0.15013649359878486</v>
      </c>
      <c r="C25">
        <f t="shared" si="0"/>
        <v>0.1264734258193343</v>
      </c>
      <c r="D25">
        <f t="shared" si="1"/>
        <v>2.3663067779450569E-2</v>
      </c>
      <c r="E25">
        <f t="shared" si="2"/>
        <v>5.5994077673487172E-4</v>
      </c>
    </row>
    <row r="26" spans="1:5" x14ac:dyDescent="0.25">
      <c r="A26">
        <v>2.2421238777874999</v>
      </c>
      <c r="B26">
        <v>0.14513194381215869</v>
      </c>
      <c r="C26">
        <f t="shared" si="0"/>
        <v>0.11345949098877076</v>
      </c>
      <c r="D26">
        <f t="shared" si="1"/>
        <v>3.1672452823387931E-2</v>
      </c>
      <c r="E26">
        <f t="shared" si="2"/>
        <v>1.0031442678497342E-3</v>
      </c>
    </row>
    <row r="27" spans="1:5" x14ac:dyDescent="0.25">
      <c r="A27">
        <v>2.3300167531125</v>
      </c>
      <c r="B27">
        <v>0.1394124583417288</v>
      </c>
      <c r="C27">
        <f t="shared" si="0"/>
        <v>0.10164895024394582</v>
      </c>
      <c r="D27">
        <f t="shared" si="1"/>
        <v>3.7763508097782977E-2</v>
      </c>
      <c r="E27">
        <f t="shared" si="2"/>
        <v>1.4260825438513205E-3</v>
      </c>
    </row>
    <row r="28" spans="1:5" x14ac:dyDescent="0.25">
      <c r="A28">
        <v>2.4179096284375001</v>
      </c>
      <c r="B28">
        <v>0.11724945214381294</v>
      </c>
      <c r="C28">
        <f t="shared" si="0"/>
        <v>9.0951341771175878E-2</v>
      </c>
      <c r="D28">
        <f t="shared" si="1"/>
        <v>2.629811037263706E-2</v>
      </c>
      <c r="E28">
        <f t="shared" si="2"/>
        <v>6.9159060917140089E-4</v>
      </c>
    </row>
    <row r="29" spans="1:5" x14ac:dyDescent="0.25">
      <c r="A29">
        <v>2.5058025037624998</v>
      </c>
      <c r="B29">
        <v>0.10581048120295314</v>
      </c>
      <c r="C29">
        <f t="shared" si="0"/>
        <v>8.1279515406995531E-2</v>
      </c>
      <c r="D29">
        <f t="shared" si="1"/>
        <v>2.4530965795957607E-2</v>
      </c>
      <c r="E29">
        <f t="shared" si="2"/>
        <v>6.01768282882442E-4</v>
      </c>
    </row>
    <row r="30" spans="1:5" x14ac:dyDescent="0.25">
      <c r="A30">
        <v>2.5936953790874999</v>
      </c>
      <c r="B30">
        <v>8.6507217740252232E-2</v>
      </c>
      <c r="C30">
        <f t="shared" si="0"/>
        <v>7.2550226460639092E-2</v>
      </c>
      <c r="D30">
        <f t="shared" si="1"/>
        <v>1.395699127961314E-2</v>
      </c>
      <c r="E30">
        <f t="shared" si="2"/>
        <v>1.9479760557919725E-4</v>
      </c>
    </row>
    <row r="31" spans="1:5" x14ac:dyDescent="0.25">
      <c r="A31">
        <v>2.6815882544124996</v>
      </c>
      <c r="B31">
        <v>8.4362410688841011E-2</v>
      </c>
      <c r="C31">
        <f t="shared" si="0"/>
        <v>6.4684534165772148E-2</v>
      </c>
      <c r="D31">
        <f t="shared" si="1"/>
        <v>1.9677876523068863E-2</v>
      </c>
      <c r="E31">
        <f t="shared" si="2"/>
        <v>3.8721882445714474E-4</v>
      </c>
    </row>
    <row r="32" spans="1:5" x14ac:dyDescent="0.25">
      <c r="A32">
        <v>2.7694811297374997</v>
      </c>
      <c r="B32">
        <v>8.0787732269822332E-2</v>
      </c>
      <c r="C32">
        <f t="shared" si="0"/>
        <v>5.7608043570443981E-2</v>
      </c>
      <c r="D32">
        <f t="shared" si="1"/>
        <v>2.3179688699378351E-2</v>
      </c>
      <c r="E32">
        <f t="shared" si="2"/>
        <v>5.3729796820008841E-4</v>
      </c>
    </row>
    <row r="33" spans="1:5" x14ac:dyDescent="0.25">
      <c r="A33">
        <v>2.8573740050624998</v>
      </c>
      <c r="B33">
        <v>5.8624726071906469E-2</v>
      </c>
      <c r="C33">
        <f t="shared" si="0"/>
        <v>5.1251022942105526E-2</v>
      </c>
      <c r="D33">
        <f t="shared" si="1"/>
        <v>7.3737031298009431E-3</v>
      </c>
      <c r="E33">
        <f t="shared" si="2"/>
        <v>5.4371497846436227E-5</v>
      </c>
    </row>
    <row r="34" spans="1:5" x14ac:dyDescent="0.25">
      <c r="A34">
        <v>2.9452668803875</v>
      </c>
      <c r="B34">
        <v>4.2181205344420505E-2</v>
      </c>
      <c r="C34">
        <f t="shared" si="0"/>
        <v>4.5548423200764888E-2</v>
      </c>
      <c r="D34">
        <f t="shared" si="1"/>
        <v>-3.367217856344383E-3</v>
      </c>
      <c r="E34">
        <f t="shared" si="2"/>
        <v>1.1338156092084462E-5</v>
      </c>
    </row>
    <row r="35" spans="1:5" x14ac:dyDescent="0.25">
      <c r="A35">
        <v>3.0331597557125001</v>
      </c>
      <c r="B35">
        <v>4.5040948079635455E-2</v>
      </c>
      <c r="C35">
        <f t="shared" si="0"/>
        <v>4.0439821271392985E-2</v>
      </c>
      <c r="D35">
        <f t="shared" si="1"/>
        <v>4.60112680824247E-3</v>
      </c>
      <c r="E35">
        <f t="shared" si="2"/>
        <v>2.1170367905527538E-5</v>
      </c>
    </row>
    <row r="36" spans="1:5" x14ac:dyDescent="0.25">
      <c r="A36">
        <v>3.1210526310375002</v>
      </c>
      <c r="B36">
        <v>3.7176655557794348E-2</v>
      </c>
      <c r="C36">
        <f t="shared" si="0"/>
        <v>3.5869305392556498E-2</v>
      </c>
      <c r="D36">
        <f t="shared" si="1"/>
        <v>1.30735016523785E-3</v>
      </c>
      <c r="E36">
        <f t="shared" si="2"/>
        <v>1.7091644545474337E-6</v>
      </c>
    </row>
    <row r="37" spans="1:5" x14ac:dyDescent="0.25">
      <c r="A37">
        <v>3.2089455063625003</v>
      </c>
      <c r="B37">
        <v>2.430781324932707E-2</v>
      </c>
      <c r="C37">
        <f t="shared" si="0"/>
        <v>3.1785317196112599E-2</v>
      </c>
      <c r="D37">
        <f t="shared" si="1"/>
        <v>-7.4775039467855284E-3</v>
      </c>
      <c r="E37">
        <f t="shared" si="2"/>
        <v>5.5913065274193153E-5</v>
      </c>
    </row>
    <row r="38" spans="1:5" x14ac:dyDescent="0.25">
      <c r="A38">
        <v>3.2968383816874995</v>
      </c>
      <c r="B38">
        <v>1.5728585043682224E-2</v>
      </c>
      <c r="C38">
        <f t="shared" si="0"/>
        <v>2.8140462674940768E-2</v>
      </c>
      <c r="D38">
        <f t="shared" si="1"/>
        <v>-1.2411877631258544E-2</v>
      </c>
      <c r="E38">
        <f t="shared" si="2"/>
        <v>1.5405470633333621E-4</v>
      </c>
    </row>
    <row r="39" spans="1:5" x14ac:dyDescent="0.25">
      <c r="A39">
        <v>3.3847312570124997</v>
      </c>
      <c r="B39">
        <v>2.2877941881719596E-2</v>
      </c>
      <c r="C39">
        <f t="shared" si="0"/>
        <v>2.4891301895527587E-2</v>
      </c>
      <c r="D39">
        <f t="shared" si="1"/>
        <v>-2.0133600138079917E-3</v>
      </c>
      <c r="E39">
        <f t="shared" si="2"/>
        <v>4.0536185452009165E-6</v>
      </c>
    </row>
    <row r="40" spans="1:5" x14ac:dyDescent="0.25">
      <c r="A40">
        <v>3.4726241323374998</v>
      </c>
      <c r="B40">
        <v>1.644352072748596E-2</v>
      </c>
      <c r="C40">
        <f t="shared" si="0"/>
        <v>2.1998125419297413E-2</v>
      </c>
      <c r="D40">
        <f t="shared" si="1"/>
        <v>-5.5546046918114531E-3</v>
      </c>
      <c r="E40">
        <f t="shared" si="2"/>
        <v>3.085363328229381E-5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FAFA8-0237-48DA-8CD3-257F815AA4A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4.5296832775000004E-2</v>
      </c>
      <c r="B1">
        <v>0.35414925978649958</v>
      </c>
      <c r="C1">
        <f>$H$3*(1+$H$1)*(A1^($H$1))*EXP(-$H$3*(A1^(1+$H$1)))</f>
        <v>0.48874264465947348</v>
      </c>
      <c r="D1">
        <f>B1-C1</f>
        <v>-0.1345933848729739</v>
      </c>
      <c r="E1">
        <f>D1^2</f>
        <v>1.8115379251564478E-2</v>
      </c>
      <c r="G1" t="s">
        <v>0</v>
      </c>
      <c r="H1">
        <v>0.27267332069858491</v>
      </c>
    </row>
    <row r="2" spans="1:8" x14ac:dyDescent="0.25">
      <c r="A2">
        <v>0.13170668632499999</v>
      </c>
      <c r="B2">
        <v>0.43777793509542662</v>
      </c>
      <c r="C2">
        <f t="shared" ref="C2:C40" si="0">$H$3*(1+$H$1)*(A2^($H$1))*EXP(-$H$3*(A2^(1+$H$1)))</f>
        <v>0.62123114129261592</v>
      </c>
      <c r="D2">
        <f t="shared" ref="D2:D40" si="1">B2-C2</f>
        <v>-0.1834532061971893</v>
      </c>
      <c r="E2">
        <f t="shared" ref="E2:E40" si="2">D2^2</f>
        <v>3.3655078864028458E-2</v>
      </c>
    </row>
    <row r="3" spans="1:8" x14ac:dyDescent="0.25">
      <c r="A3">
        <v>0.21811653987500002</v>
      </c>
      <c r="B3">
        <v>1.0384499855751981</v>
      </c>
      <c r="C3">
        <f t="shared" si="0"/>
        <v>0.66997990127667617</v>
      </c>
      <c r="D3">
        <f t="shared" si="1"/>
        <v>0.3684700842985219</v>
      </c>
      <c r="E3">
        <f t="shared" si="2"/>
        <v>0.13577020302295983</v>
      </c>
      <c r="G3" t="s">
        <v>1</v>
      </c>
      <c r="H3">
        <f>(_xlfn.GAMMA((2+$H$1)/(1+$H$1)))^(1+$H$1)</f>
        <v>0.90888170940420965</v>
      </c>
    </row>
    <row r="4" spans="1:8" x14ac:dyDescent="0.25">
      <c r="A4">
        <v>0.30452639342499999</v>
      </c>
      <c r="B4">
        <v>0.78538234203166235</v>
      </c>
      <c r="C4">
        <f t="shared" si="0"/>
        <v>0.68470510042523136</v>
      </c>
      <c r="D4">
        <f t="shared" si="1"/>
        <v>0.10067724160643099</v>
      </c>
      <c r="E4">
        <f t="shared" si="2"/>
        <v>1.0135906977479679E-2</v>
      </c>
    </row>
    <row r="5" spans="1:8" x14ac:dyDescent="0.25">
      <c r="A5">
        <v>0.39093624697500001</v>
      </c>
      <c r="B5">
        <v>0.68430072578869838</v>
      </c>
      <c r="C5">
        <f t="shared" si="0"/>
        <v>0.68007267774463775</v>
      </c>
      <c r="D5">
        <f t="shared" si="1"/>
        <v>4.2280480440606283E-3</v>
      </c>
      <c r="E5">
        <f t="shared" si="2"/>
        <v>1.7876390262884905E-5</v>
      </c>
      <c r="G5" t="s">
        <v>2</v>
      </c>
      <c r="H5">
        <f>SUM(E1:E40)</f>
        <v>0.2341999766941095</v>
      </c>
    </row>
    <row r="6" spans="1:8" x14ac:dyDescent="0.25">
      <c r="A6">
        <v>0.47734610052500004</v>
      </c>
      <c r="B6">
        <v>0.59994484460751984</v>
      </c>
      <c r="C6">
        <f t="shared" si="0"/>
        <v>0.6631928346586593</v>
      </c>
      <c r="D6">
        <f t="shared" si="1"/>
        <v>-6.3247990051139458E-2</v>
      </c>
      <c r="E6">
        <f t="shared" si="2"/>
        <v>4.000308245509036E-3</v>
      </c>
    </row>
    <row r="7" spans="1:8" x14ac:dyDescent="0.25">
      <c r="A7">
        <v>0.56375595407500001</v>
      </c>
      <c r="B7">
        <v>0.58758234477924365</v>
      </c>
      <c r="C7">
        <f t="shared" si="0"/>
        <v>0.63829495351552878</v>
      </c>
      <c r="D7">
        <f t="shared" si="1"/>
        <v>-5.0712608736285136E-2</v>
      </c>
      <c r="E7">
        <f t="shared" si="2"/>
        <v>2.5717686848395435E-3</v>
      </c>
    </row>
    <row r="8" spans="1:8" x14ac:dyDescent="0.25">
      <c r="A8">
        <v>0.65016580762500009</v>
      </c>
      <c r="B8">
        <v>0.53667793372163597</v>
      </c>
      <c r="C8">
        <f t="shared" si="0"/>
        <v>0.60817999191372119</v>
      </c>
      <c r="D8">
        <f t="shared" si="1"/>
        <v>-7.1502058192085216E-2</v>
      </c>
      <c r="E8">
        <f t="shared" si="2"/>
        <v>5.1125443257043404E-3</v>
      </c>
    </row>
    <row r="9" spans="1:8" x14ac:dyDescent="0.25">
      <c r="A9">
        <v>0.73657566117500006</v>
      </c>
      <c r="B9">
        <v>0.53740513959388747</v>
      </c>
      <c r="C9">
        <f t="shared" si="0"/>
        <v>0.57481881358191689</v>
      </c>
      <c r="D9">
        <f t="shared" si="1"/>
        <v>-3.7413673988029417E-2</v>
      </c>
      <c r="E9">
        <f t="shared" si="2"/>
        <v>1.3997830012825491E-3</v>
      </c>
    </row>
    <row r="10" spans="1:8" x14ac:dyDescent="0.25">
      <c r="A10">
        <v>0.82298551472500003</v>
      </c>
      <c r="B10">
        <v>0.48868234615303435</v>
      </c>
      <c r="C10">
        <f t="shared" si="0"/>
        <v>0.53964658102408025</v>
      </c>
      <c r="D10">
        <f t="shared" si="1"/>
        <v>-5.0964234871045899E-2</v>
      </c>
      <c r="E10">
        <f t="shared" si="2"/>
        <v>2.5973532359911309E-3</v>
      </c>
    </row>
    <row r="11" spans="1:8" x14ac:dyDescent="0.25">
      <c r="A11">
        <v>0.909395368275</v>
      </c>
      <c r="B11">
        <v>0.44214117032893585</v>
      </c>
      <c r="C11">
        <f t="shared" si="0"/>
        <v>0.50372712017301047</v>
      </c>
      <c r="D11">
        <f t="shared" si="1"/>
        <v>-6.1585949844074617E-2</v>
      </c>
      <c r="E11">
        <f t="shared" si="2"/>
        <v>3.7928292181968744E-3</v>
      </c>
    </row>
    <row r="12" spans="1:8" x14ac:dyDescent="0.25">
      <c r="A12">
        <v>0.99580522182500009</v>
      </c>
      <c r="B12">
        <v>0.41596175892788045</v>
      </c>
      <c r="C12">
        <f t="shared" si="0"/>
        <v>0.46785389679953227</v>
      </c>
      <c r="D12">
        <f t="shared" si="1"/>
        <v>-5.1892137871651811E-2</v>
      </c>
      <c r="E12">
        <f t="shared" si="2"/>
        <v>2.6927939728905201E-3</v>
      </c>
    </row>
    <row r="13" spans="1:8" x14ac:dyDescent="0.25">
      <c r="A13">
        <v>1.0822150753750002</v>
      </c>
      <c r="B13">
        <v>0.40868970020536505</v>
      </c>
      <c r="C13">
        <f t="shared" si="0"/>
        <v>0.43261683079777935</v>
      </c>
      <c r="D13">
        <f t="shared" si="1"/>
        <v>-2.3927130592414303E-2</v>
      </c>
      <c r="E13">
        <f t="shared" si="2"/>
        <v>5.7250757838644842E-4</v>
      </c>
    </row>
    <row r="14" spans="1:8" x14ac:dyDescent="0.25">
      <c r="A14">
        <v>1.1686249289250001</v>
      </c>
      <c r="B14">
        <v>0.41814337654463507</v>
      </c>
      <c r="C14">
        <f t="shared" si="0"/>
        <v>0.39844913929144182</v>
      </c>
      <c r="D14">
        <f t="shared" si="1"/>
        <v>1.9694237253193247E-2</v>
      </c>
      <c r="E14">
        <f t="shared" si="2"/>
        <v>3.8786298098506471E-4</v>
      </c>
    </row>
    <row r="15" spans="1:8" x14ac:dyDescent="0.25">
      <c r="A15">
        <v>1.2550347824750001</v>
      </c>
      <c r="B15">
        <v>0.33815073059696571</v>
      </c>
      <c r="C15">
        <f t="shared" si="0"/>
        <v>0.36566167989051063</v>
      </c>
      <c r="D15">
        <f t="shared" si="1"/>
        <v>-2.7510949293544917E-2</v>
      </c>
      <c r="E15">
        <f t="shared" si="2"/>
        <v>7.5685233103199958E-4</v>
      </c>
    </row>
    <row r="16" spans="1:8" x14ac:dyDescent="0.25">
      <c r="A16">
        <v>1.3414446360249999</v>
      </c>
      <c r="B16">
        <v>0.31633455442941955</v>
      </c>
      <c r="C16">
        <f t="shared" si="0"/>
        <v>0.3344690012764821</v>
      </c>
      <c r="D16">
        <f t="shared" si="1"/>
        <v>-1.8134446847062557E-2</v>
      </c>
      <c r="E16">
        <f t="shared" si="2"/>
        <v>3.2885816244893713E-4</v>
      </c>
    </row>
    <row r="17" spans="1:5" x14ac:dyDescent="0.25">
      <c r="A17">
        <v>1.4278544895750001</v>
      </c>
      <c r="B17">
        <v>0.30906249570690414</v>
      </c>
      <c r="C17">
        <f t="shared" si="0"/>
        <v>0.30500961173417207</v>
      </c>
      <c r="D17">
        <f t="shared" si="1"/>
        <v>4.0528839727320687E-3</v>
      </c>
      <c r="E17">
        <f t="shared" si="2"/>
        <v>1.6425868496428477E-5</v>
      </c>
    </row>
    <row r="18" spans="1:5" x14ac:dyDescent="0.25">
      <c r="A18">
        <v>1.514264343125</v>
      </c>
      <c r="B18">
        <v>0.30760808396240108</v>
      </c>
      <c r="C18">
        <f t="shared" si="0"/>
        <v>0.27736204310637841</v>
      </c>
      <c r="D18">
        <f t="shared" si="1"/>
        <v>3.0246040856022671E-2</v>
      </c>
      <c r="E18">
        <f t="shared" si="2"/>
        <v>9.1482298746419269E-4</v>
      </c>
    </row>
    <row r="19" spans="1:5" x14ac:dyDescent="0.25">
      <c r="A19">
        <v>1.600674196675</v>
      </c>
      <c r="B19">
        <v>0.29088234890061571</v>
      </c>
      <c r="C19">
        <f t="shared" si="0"/>
        <v>0.2515577487427566</v>
      </c>
      <c r="D19">
        <f t="shared" si="1"/>
        <v>3.9324600157859102E-2</v>
      </c>
      <c r="E19">
        <f t="shared" si="2"/>
        <v>1.5464241775754921E-3</v>
      </c>
    </row>
    <row r="20" spans="1:5" x14ac:dyDescent="0.25">
      <c r="A20">
        <v>1.687084050225</v>
      </c>
      <c r="B20">
        <v>0.22979705563148639</v>
      </c>
      <c r="C20">
        <f t="shared" si="0"/>
        <v>0.22759154901255604</v>
      </c>
      <c r="D20">
        <f t="shared" si="1"/>
        <v>2.2055066189303474E-3</v>
      </c>
      <c r="E20">
        <f t="shared" si="2"/>
        <v>4.8642594461455726E-6</v>
      </c>
    </row>
    <row r="21" spans="1:5" x14ac:dyDescent="0.25">
      <c r="A21">
        <v>1.7734939037750002</v>
      </c>
      <c r="B21">
        <v>0.22906984975923486</v>
      </c>
      <c r="C21">
        <f t="shared" si="0"/>
        <v>0.20543013403885757</v>
      </c>
      <c r="D21">
        <f t="shared" si="1"/>
        <v>2.3639715720377291E-2</v>
      </c>
      <c r="E21">
        <f t="shared" si="2"/>
        <v>5.5883615934025318E-4</v>
      </c>
    </row>
    <row r="22" spans="1:5" x14ac:dyDescent="0.25">
      <c r="A22">
        <v>1.8599037573250001</v>
      </c>
      <c r="B22">
        <v>0.20725367359168867</v>
      </c>
      <c r="C22">
        <f t="shared" si="0"/>
        <v>0.18501900054372669</v>
      </c>
      <c r="D22">
        <f t="shared" si="1"/>
        <v>2.2234673047961978E-2</v>
      </c>
      <c r="E22">
        <f t="shared" si="2"/>
        <v>4.943806855497668E-4</v>
      </c>
    </row>
    <row r="23" spans="1:5" x14ac:dyDescent="0.25">
      <c r="A23">
        <v>1.9463136108750001</v>
      </c>
      <c r="B23">
        <v>0.20579926184718558</v>
      </c>
      <c r="C23">
        <f t="shared" si="0"/>
        <v>0.16628811013884659</v>
      </c>
      <c r="D23">
        <f t="shared" si="1"/>
        <v>3.9511151708338993E-2</v>
      </c>
      <c r="E23">
        <f t="shared" si="2"/>
        <v>1.5611311093193794E-3</v>
      </c>
    </row>
    <row r="24" spans="1:5" x14ac:dyDescent="0.25">
      <c r="A24">
        <v>2.0327234644250001</v>
      </c>
      <c r="B24">
        <v>0.18834632091314865</v>
      </c>
      <c r="C24">
        <f t="shared" si="0"/>
        <v>0.14915649390414046</v>
      </c>
      <c r="D24">
        <f t="shared" si="1"/>
        <v>3.9189827009008193E-2</v>
      </c>
      <c r="E24">
        <f t="shared" si="2"/>
        <v>1.5358425409959882E-3</v>
      </c>
    </row>
    <row r="25" spans="1:5" x14ac:dyDescent="0.25">
      <c r="A25">
        <v>2.1191333179750003</v>
      </c>
      <c r="B25">
        <v>0.15416764491732632</v>
      </c>
      <c r="C25">
        <f t="shared" si="0"/>
        <v>0.13353598304908817</v>
      </c>
      <c r="D25">
        <f t="shared" si="1"/>
        <v>2.0631661868238144E-2</v>
      </c>
      <c r="E25">
        <f t="shared" si="2"/>
        <v>4.2566547144531186E-4</v>
      </c>
    </row>
    <row r="26" spans="1:5" x14ac:dyDescent="0.25">
      <c r="A26">
        <v>2.205543171525</v>
      </c>
      <c r="B26">
        <v>0.13962352747229553</v>
      </c>
      <c r="C26">
        <f t="shared" si="0"/>
        <v>0.11933421196667771</v>
      </c>
      <c r="D26">
        <f t="shared" si="1"/>
        <v>2.0289315505617828E-2</v>
      </c>
      <c r="E26">
        <f t="shared" si="2"/>
        <v>4.1165632368650402E-4</v>
      </c>
    </row>
    <row r="27" spans="1:5" x14ac:dyDescent="0.25">
      <c r="A27">
        <v>2.2919530250750002</v>
      </c>
      <c r="B27">
        <v>0.13889632160004398</v>
      </c>
      <c r="C27">
        <f t="shared" si="0"/>
        <v>0.10645701438486407</v>
      </c>
      <c r="D27">
        <f t="shared" si="1"/>
        <v>3.2439307215179902E-2</v>
      </c>
      <c r="E27">
        <f t="shared" si="2"/>
        <v>1.0523086526008228E-3</v>
      </c>
    </row>
    <row r="28" spans="1:5" x14ac:dyDescent="0.25">
      <c r="A28">
        <v>2.3783628786250004</v>
      </c>
      <c r="B28">
        <v>0.13089705700527707</v>
      </c>
      <c r="C28">
        <f t="shared" si="0"/>
        <v>9.4810313236184052E-2</v>
      </c>
      <c r="D28">
        <f t="shared" si="1"/>
        <v>3.6086743769093016E-2</v>
      </c>
      <c r="E28">
        <f t="shared" si="2"/>
        <v>1.3022530758561735E-3</v>
      </c>
    </row>
    <row r="29" spans="1:5" x14ac:dyDescent="0.25">
      <c r="A29">
        <v>2.4647727321750001</v>
      </c>
      <c r="B29">
        <v>0.1148985278157432</v>
      </c>
      <c r="C29">
        <f t="shared" si="0"/>
        <v>8.4301588759446933E-2</v>
      </c>
      <c r="D29">
        <f t="shared" si="1"/>
        <v>3.0596939056296263E-2</v>
      </c>
      <c r="E29">
        <f t="shared" si="2"/>
        <v>9.361726796147077E-4</v>
      </c>
    </row>
    <row r="30" spans="1:5" x14ac:dyDescent="0.25">
      <c r="A30">
        <v>2.5511825857249999</v>
      </c>
      <c r="B30">
        <v>9.0173528159190858E-2</v>
      </c>
      <c r="C30">
        <f t="shared" si="0"/>
        <v>7.4840996186932671E-2</v>
      </c>
      <c r="D30">
        <f t="shared" si="1"/>
        <v>1.5332531972258187E-2</v>
      </c>
      <c r="E30">
        <f t="shared" si="2"/>
        <v>2.3508653668031953E-4</v>
      </c>
    </row>
    <row r="31" spans="1:5" x14ac:dyDescent="0.25">
      <c r="A31">
        <v>2.6375924392750001</v>
      </c>
      <c r="B31">
        <v>7.5629410714160072E-2</v>
      </c>
      <c r="C31">
        <f t="shared" si="0"/>
        <v>6.6342193452168144E-2</v>
      </c>
      <c r="D31">
        <f t="shared" si="1"/>
        <v>9.2872172619919285E-3</v>
      </c>
      <c r="E31">
        <f t="shared" si="2"/>
        <v>8.6252404471440851E-5</v>
      </c>
    </row>
    <row r="32" spans="1:5" x14ac:dyDescent="0.25">
      <c r="A32">
        <v>2.7240022928250003</v>
      </c>
      <c r="B32">
        <v>8.5083087053430081E-2</v>
      </c>
      <c r="C32">
        <f t="shared" si="0"/>
        <v>5.8722930185544663E-2</v>
      </c>
      <c r="D32">
        <f t="shared" si="1"/>
        <v>2.6360156867885419E-2</v>
      </c>
      <c r="E32">
        <f t="shared" si="2"/>
        <v>6.9485787009952683E-4</v>
      </c>
    </row>
    <row r="33" spans="1:5" x14ac:dyDescent="0.25">
      <c r="A33">
        <v>2.8104121463749996</v>
      </c>
      <c r="B33">
        <v>7.126617548065084E-2</v>
      </c>
      <c r="C33">
        <f t="shared" si="0"/>
        <v>5.1905441496425564E-2</v>
      </c>
      <c r="D33">
        <f t="shared" si="1"/>
        <v>1.9360733984225276E-2</v>
      </c>
      <c r="E33">
        <f t="shared" si="2"/>
        <v>3.7483802040793549E-4</v>
      </c>
    </row>
    <row r="34" spans="1:5" x14ac:dyDescent="0.25">
      <c r="A34">
        <v>2.8968219999249998</v>
      </c>
      <c r="B34">
        <v>4.8722793440853125E-2</v>
      </c>
      <c r="C34">
        <f t="shared" si="0"/>
        <v>4.5816683413529347E-2</v>
      </c>
      <c r="D34">
        <f t="shared" si="1"/>
        <v>2.9061100273237786E-3</v>
      </c>
      <c r="E34">
        <f t="shared" si="2"/>
        <v>8.4454754909118129E-6</v>
      </c>
    </row>
    <row r="35" spans="1:5" x14ac:dyDescent="0.25">
      <c r="A35">
        <v>2.983231853475</v>
      </c>
      <c r="B35">
        <v>3.999632297383466E-2</v>
      </c>
      <c r="C35">
        <f t="shared" si="0"/>
        <v>4.038844117675966E-2</v>
      </c>
      <c r="D35">
        <f t="shared" si="1"/>
        <v>-3.9211820292500005E-4</v>
      </c>
      <c r="E35">
        <f t="shared" si="2"/>
        <v>1.5375668506513153E-7</v>
      </c>
    </row>
    <row r="36" spans="1:5" x14ac:dyDescent="0.25">
      <c r="A36">
        <v>3.0696417070250002</v>
      </c>
      <c r="B36">
        <v>3.7814705357080036E-2</v>
      </c>
      <c r="C36">
        <f t="shared" si="0"/>
        <v>3.5557336694043602E-2</v>
      </c>
      <c r="D36">
        <f t="shared" si="1"/>
        <v>2.257368663036434E-3</v>
      </c>
      <c r="E36">
        <f t="shared" si="2"/>
        <v>5.0957132808588974E-6</v>
      </c>
    </row>
    <row r="37" spans="1:5" x14ac:dyDescent="0.25">
      <c r="A37">
        <v>3.1560515605750004</v>
      </c>
      <c r="B37">
        <v>3.1269852506816187E-2</v>
      </c>
      <c r="C37">
        <f t="shared" si="0"/>
        <v>3.1264757278114889E-2</v>
      </c>
      <c r="D37">
        <f t="shared" si="1"/>
        <v>5.0952287012975828E-6</v>
      </c>
      <c r="E37">
        <f t="shared" si="2"/>
        <v>2.5961355518526652E-11</v>
      </c>
    </row>
    <row r="38" spans="1:5" x14ac:dyDescent="0.25">
      <c r="A38">
        <v>3.2424614141250001</v>
      </c>
      <c r="B38">
        <v>1.9634558550791558E-2</v>
      </c>
      <c r="C38">
        <f t="shared" si="0"/>
        <v>2.7456724164954548E-2</v>
      </c>
      <c r="D38">
        <f t="shared" si="1"/>
        <v>-7.8221656141629903E-3</v>
      </c>
      <c r="E38">
        <f t="shared" si="2"/>
        <v>6.1186274895393876E-5</v>
      </c>
    </row>
    <row r="39" spans="1:5" x14ac:dyDescent="0.25">
      <c r="A39">
        <v>3.3288712676749999</v>
      </c>
      <c r="B39">
        <v>1.5998529189533862E-2</v>
      </c>
      <c r="C39">
        <f t="shared" si="0"/>
        <v>2.4083716208788037E-2</v>
      </c>
      <c r="D39">
        <f t="shared" si="1"/>
        <v>-8.0851870192541753E-3</v>
      </c>
      <c r="E39">
        <f t="shared" si="2"/>
        <v>6.5370249136316211E-5</v>
      </c>
    </row>
    <row r="40" spans="1:5" x14ac:dyDescent="0.25">
      <c r="A40">
        <v>3.415281121225</v>
      </c>
      <c r="B40">
        <v>2.1088970295294638E-2</v>
      </c>
      <c r="C40">
        <f t="shared" si="0"/>
        <v>2.1100461481603872E-2</v>
      </c>
      <c r="D40">
        <f t="shared" si="1"/>
        <v>-1.1491186309234291E-5</v>
      </c>
      <c r="E40">
        <f t="shared" si="2"/>
        <v>1.3204736279353361E-10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A8184-1EAB-4C15-BD54-843D7B2F817A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4.6517252262499996E-2</v>
      </c>
      <c r="B1">
        <v>0.3077379858196822</v>
      </c>
      <c r="C1">
        <f>$H$3*(1+$H$1)*(A1^($H$1))*EXP(-$H$3*(A1^(1+$H$1)))</f>
        <v>0.41492054401602113</v>
      </c>
      <c r="D1">
        <f>B1-C1</f>
        <v>-0.10718255819633893</v>
      </c>
      <c r="E1">
        <f>D1^2</f>
        <v>1.148810078151158E-2</v>
      </c>
      <c r="G1" t="s">
        <v>0</v>
      </c>
      <c r="H1">
        <v>0.34011536390003083</v>
      </c>
    </row>
    <row r="2" spans="1:8" x14ac:dyDescent="0.25">
      <c r="A2">
        <v>0.13084870678749999</v>
      </c>
      <c r="B2">
        <v>0.42621338471878506</v>
      </c>
      <c r="C2">
        <f t="shared" ref="C2:C40" si="0">$H$3*(1+$H$1)*(A2^($H$1))*EXP(-$H$3*(A2^(1+$H$1)))</f>
        <v>0.56454268217429149</v>
      </c>
      <c r="D2">
        <f t="shared" ref="D2:D40" si="1">B2-C2</f>
        <v>-0.13832929745550643</v>
      </c>
      <c r="E2">
        <f t="shared" ref="E2:E40" si="2">D2^2</f>
        <v>1.9134994534533978E-2</v>
      </c>
    </row>
    <row r="3" spans="1:8" x14ac:dyDescent="0.25">
      <c r="A3">
        <v>0.21518016131250001</v>
      </c>
      <c r="B3">
        <v>0.51786416499922305</v>
      </c>
      <c r="C3">
        <f t="shared" si="0"/>
        <v>0.63258941910395461</v>
      </c>
      <c r="D3">
        <f t="shared" si="1"/>
        <v>-0.11472525410473156</v>
      </c>
      <c r="E3">
        <f t="shared" si="2"/>
        <v>1.3161883929395225E-2</v>
      </c>
      <c r="G3" t="s">
        <v>1</v>
      </c>
      <c r="H3">
        <f>(_xlfn.GAMMA((2+$H$1)/(1+$H$1)))^(1+$H$1)</f>
        <v>0.89193802238851549</v>
      </c>
    </row>
    <row r="4" spans="1:8" x14ac:dyDescent="0.25">
      <c r="A4">
        <v>0.29951161583749997</v>
      </c>
      <c r="B4">
        <v>1.0849067974659983</v>
      </c>
      <c r="C4">
        <f t="shared" si="0"/>
        <v>0.66436051686003594</v>
      </c>
      <c r="D4">
        <f t="shared" si="1"/>
        <v>0.42054628060596233</v>
      </c>
      <c r="E4">
        <f t="shared" si="2"/>
        <v>0.17685917413150881</v>
      </c>
    </row>
    <row r="5" spans="1:8" x14ac:dyDescent="0.25">
      <c r="A5">
        <v>0.38384307036249998</v>
      </c>
      <c r="B5">
        <v>0.82038625275416499</v>
      </c>
      <c r="C5">
        <f t="shared" si="0"/>
        <v>0.67403510399536504</v>
      </c>
      <c r="D5">
        <f t="shared" si="1"/>
        <v>0.14635114875879995</v>
      </c>
      <c r="E5">
        <f t="shared" si="2"/>
        <v>2.1418658743020392E-2</v>
      </c>
      <c r="G5" t="s">
        <v>2</v>
      </c>
      <c r="H5">
        <f>SUM(E1:E40)</f>
        <v>0.28092746652144279</v>
      </c>
    </row>
    <row r="6" spans="1:8" x14ac:dyDescent="0.25">
      <c r="A6">
        <v>0.4681745248875</v>
      </c>
      <c r="B6">
        <v>0.69296931431550712</v>
      </c>
      <c r="C6">
        <f t="shared" si="0"/>
        <v>0.66877642015149263</v>
      </c>
      <c r="D6">
        <f t="shared" si="1"/>
        <v>2.4192894164014489E-2</v>
      </c>
      <c r="E6">
        <f t="shared" si="2"/>
        <v>5.8529612803120631E-4</v>
      </c>
    </row>
    <row r="7" spans="1:8" x14ac:dyDescent="0.25">
      <c r="A7">
        <v>0.55250597941250001</v>
      </c>
      <c r="B7">
        <v>0.61696622822929026</v>
      </c>
      <c r="C7">
        <f t="shared" si="0"/>
        <v>0.65302412176411229</v>
      </c>
      <c r="D7">
        <f t="shared" si="1"/>
        <v>-3.6057893534822028E-2</v>
      </c>
      <c r="E7">
        <f t="shared" si="2"/>
        <v>1.3001716861685603E-3</v>
      </c>
    </row>
    <row r="8" spans="1:8" x14ac:dyDescent="0.25">
      <c r="A8">
        <v>0.63683743393749992</v>
      </c>
      <c r="B8">
        <v>0.57449391541640438</v>
      </c>
      <c r="C8">
        <f t="shared" si="0"/>
        <v>0.62984573998433235</v>
      </c>
      <c r="D8">
        <f t="shared" si="1"/>
        <v>-5.5351824567927976E-2</v>
      </c>
      <c r="E8">
        <f t="shared" si="2"/>
        <v>3.0638244829986751E-3</v>
      </c>
    </row>
    <row r="9" spans="1:8" x14ac:dyDescent="0.25">
      <c r="A9">
        <v>0.72116888846250005</v>
      </c>
      <c r="B9">
        <v>0.55512057974736861</v>
      </c>
      <c r="C9">
        <f t="shared" si="0"/>
        <v>0.60149512193593413</v>
      </c>
      <c r="D9">
        <f t="shared" si="1"/>
        <v>-4.6374542188565515E-2</v>
      </c>
      <c r="E9">
        <f t="shared" si="2"/>
        <v>2.1505981631990429E-3</v>
      </c>
    </row>
    <row r="10" spans="1:8" x14ac:dyDescent="0.25">
      <c r="A10">
        <v>0.80550034298750006</v>
      </c>
      <c r="B10">
        <v>0.51562878011433433</v>
      </c>
      <c r="C10">
        <f t="shared" si="0"/>
        <v>0.5696870872745593</v>
      </c>
      <c r="D10">
        <f t="shared" si="1"/>
        <v>-5.4058307160224972E-2</v>
      </c>
      <c r="E10">
        <f t="shared" si="2"/>
        <v>2.9223005730292305E-3</v>
      </c>
    </row>
    <row r="11" spans="1:8" x14ac:dyDescent="0.25">
      <c r="A11">
        <v>0.88983179751249997</v>
      </c>
      <c r="B11">
        <v>0.46794056923670807</v>
      </c>
      <c r="C11">
        <f t="shared" si="0"/>
        <v>0.53575092183657902</v>
      </c>
      <c r="D11">
        <f t="shared" si="1"/>
        <v>-6.7810352599870949E-2</v>
      </c>
      <c r="E11">
        <f t="shared" si="2"/>
        <v>4.5982439197188247E-3</v>
      </c>
    </row>
    <row r="12" spans="1:8" x14ac:dyDescent="0.25">
      <c r="A12">
        <v>0.97416325203749987</v>
      </c>
      <c r="B12">
        <v>0.41056569052456393</v>
      </c>
      <c r="C12">
        <f t="shared" si="0"/>
        <v>0.50072524180883493</v>
      </c>
      <c r="D12">
        <f t="shared" si="1"/>
        <v>-9.0159551284271E-2</v>
      </c>
      <c r="E12">
        <f t="shared" si="2"/>
        <v>8.1287446877810927E-3</v>
      </c>
    </row>
    <row r="13" spans="1:8" x14ac:dyDescent="0.25">
      <c r="A13">
        <v>1.0584947065624999</v>
      </c>
      <c r="B13">
        <v>0.43664518084826581</v>
      </c>
      <c r="C13">
        <f t="shared" si="0"/>
        <v>0.46542159580283465</v>
      </c>
      <c r="D13">
        <f t="shared" si="1"/>
        <v>-2.8776414954568841E-2</v>
      </c>
      <c r="E13">
        <f t="shared" si="2"/>
        <v>8.2808205763753326E-4</v>
      </c>
    </row>
    <row r="14" spans="1:8" x14ac:dyDescent="0.25">
      <c r="A14">
        <v>1.1428261610874999</v>
      </c>
      <c r="B14">
        <v>0.41056569052456393</v>
      </c>
      <c r="C14">
        <f t="shared" si="0"/>
        <v>0.43046999362839844</v>
      </c>
      <c r="D14">
        <f t="shared" si="1"/>
        <v>-1.9904303103834509E-2</v>
      </c>
      <c r="E14">
        <f t="shared" si="2"/>
        <v>3.9618128204931604E-4</v>
      </c>
    </row>
    <row r="15" spans="1:8" x14ac:dyDescent="0.25">
      <c r="A15">
        <v>1.2271576156124999</v>
      </c>
      <c r="B15">
        <v>0.36436773623686347</v>
      </c>
      <c r="C15">
        <f t="shared" si="0"/>
        <v>0.39635321719112948</v>
      </c>
      <c r="D15">
        <f t="shared" si="1"/>
        <v>-3.198548095426601E-2</v>
      </c>
      <c r="E15">
        <f t="shared" si="2"/>
        <v>1.0230709918757138E-3</v>
      </c>
    </row>
    <row r="16" spans="1:8" x14ac:dyDescent="0.25">
      <c r="A16">
        <v>1.3114890701374999</v>
      </c>
      <c r="B16">
        <v>0.33903337420812446</v>
      </c>
      <c r="C16">
        <f t="shared" si="0"/>
        <v>0.36343370677585407</v>
      </c>
      <c r="D16">
        <f t="shared" si="1"/>
        <v>-2.440033256772961E-2</v>
      </c>
      <c r="E16">
        <f t="shared" si="2"/>
        <v>5.9537622941580623E-4</v>
      </c>
    </row>
    <row r="17" spans="1:5" x14ac:dyDescent="0.25">
      <c r="A17">
        <v>1.3958205246625</v>
      </c>
      <c r="B17">
        <v>0.30401234434486768</v>
      </c>
      <c r="C17">
        <f t="shared" si="0"/>
        <v>0.33197523931651424</v>
      </c>
      <c r="D17">
        <f t="shared" si="1"/>
        <v>-2.7962894971646557E-2</v>
      </c>
      <c r="E17">
        <f t="shared" si="2"/>
        <v>7.8192349519533625E-4</v>
      </c>
    </row>
    <row r="18" spans="1:5" x14ac:dyDescent="0.25">
      <c r="A18">
        <v>1.4801519791875</v>
      </c>
      <c r="B18">
        <v>0.31071849899953385</v>
      </c>
      <c r="C18">
        <f t="shared" si="0"/>
        <v>0.30216076082516474</v>
      </c>
      <c r="D18">
        <f t="shared" si="1"/>
        <v>8.5577381743691117E-3</v>
      </c>
      <c r="E18">
        <f t="shared" si="2"/>
        <v>7.3234882661054378E-5</v>
      </c>
    </row>
    <row r="19" spans="1:5" x14ac:dyDescent="0.25">
      <c r="A19">
        <v>1.5644834337124998</v>
      </c>
      <c r="B19">
        <v>0.3062477292297564</v>
      </c>
      <c r="C19">
        <f t="shared" si="0"/>
        <v>0.27410725186924245</v>
      </c>
      <c r="D19">
        <f t="shared" si="1"/>
        <v>3.2140477360513953E-2</v>
      </c>
      <c r="E19">
        <f t="shared" si="2"/>
        <v>1.0330102849617098E-3</v>
      </c>
    </row>
    <row r="20" spans="1:5" x14ac:dyDescent="0.25">
      <c r="A20">
        <v>1.6488148882374998</v>
      </c>
      <c r="B20">
        <v>0.25706926176220429</v>
      </c>
      <c r="C20">
        <f t="shared" si="0"/>
        <v>0.24787822127873307</v>
      </c>
      <c r="D20">
        <f t="shared" si="1"/>
        <v>9.1910404834712189E-3</v>
      </c>
      <c r="E20">
        <f t="shared" si="2"/>
        <v>8.4475225168806852E-5</v>
      </c>
    </row>
    <row r="21" spans="1:5" x14ac:dyDescent="0.25">
      <c r="A21">
        <v>1.7331463427625</v>
      </c>
      <c r="B21">
        <v>0.22428361678383618</v>
      </c>
      <c r="C21">
        <f t="shared" si="0"/>
        <v>0.2234942509573227</v>
      </c>
      <c r="D21">
        <f t="shared" si="1"/>
        <v>7.8936582651348286E-4</v>
      </c>
      <c r="E21">
        <f t="shared" si="2"/>
        <v>6.2309840806731388E-7</v>
      </c>
    </row>
    <row r="22" spans="1:5" x14ac:dyDescent="0.25">
      <c r="A22">
        <v>1.8174777972875</v>
      </c>
      <c r="B22">
        <v>0.21385182065435543</v>
      </c>
      <c r="C22">
        <f t="shared" si="0"/>
        <v>0.20094190649442653</v>
      </c>
      <c r="D22">
        <f t="shared" si="1"/>
        <v>1.2909914159928898E-2</v>
      </c>
      <c r="E22">
        <f t="shared" si="2"/>
        <v>1.6666588361673266E-4</v>
      </c>
    </row>
    <row r="23" spans="1:5" x14ac:dyDescent="0.25">
      <c r="A23">
        <v>1.9018092518124998</v>
      </c>
      <c r="B23">
        <v>0.21385182065435543</v>
      </c>
      <c r="C23">
        <f t="shared" si="0"/>
        <v>0.18018125797894169</v>
      </c>
      <c r="D23">
        <f t="shared" si="1"/>
        <v>3.367056267541374E-2</v>
      </c>
      <c r="E23">
        <f t="shared" si="2"/>
        <v>1.1337067908789649E-3</v>
      </c>
    </row>
    <row r="24" spans="1:5" x14ac:dyDescent="0.25">
      <c r="A24">
        <v>1.9861407063374998</v>
      </c>
      <c r="B24">
        <v>0.20863592258961505</v>
      </c>
      <c r="C24">
        <f t="shared" si="0"/>
        <v>0.16115220799247751</v>
      </c>
      <c r="D24">
        <f t="shared" si="1"/>
        <v>4.7483714597137544E-2</v>
      </c>
      <c r="E24">
        <f t="shared" si="2"/>
        <v>2.2547031519424129E-3</v>
      </c>
    </row>
    <row r="25" spans="1:5" x14ac:dyDescent="0.25">
      <c r="A25">
        <v>2.0704721608624999</v>
      </c>
      <c r="B25">
        <v>0.16169284000695167</v>
      </c>
      <c r="C25">
        <f t="shared" si="0"/>
        <v>0.1437797904217252</v>
      </c>
      <c r="D25">
        <f t="shared" si="1"/>
        <v>1.7913049585226465E-2</v>
      </c>
      <c r="E25">
        <f t="shared" si="2"/>
        <v>3.2087734544278203E-4</v>
      </c>
    </row>
    <row r="26" spans="1:5" x14ac:dyDescent="0.25">
      <c r="A26">
        <v>2.1548036153874999</v>
      </c>
      <c r="B26">
        <v>0.12816206673362068</v>
      </c>
      <c r="C26">
        <f t="shared" si="0"/>
        <v>0.12797857923221018</v>
      </c>
      <c r="D26">
        <f t="shared" si="1"/>
        <v>1.834875014105064E-4</v>
      </c>
      <c r="E26">
        <f t="shared" si="2"/>
        <v>3.3667663173870588E-8</v>
      </c>
    </row>
    <row r="27" spans="1:5" x14ac:dyDescent="0.25">
      <c r="A27">
        <v>2.2391350699124999</v>
      </c>
      <c r="B27">
        <v>0.13859386286310144</v>
      </c>
      <c r="C27">
        <f t="shared" si="0"/>
        <v>0.1136563275131877</v>
      </c>
      <c r="D27">
        <f t="shared" si="1"/>
        <v>2.4937535349913734E-2</v>
      </c>
      <c r="E27">
        <f t="shared" si="2"/>
        <v>6.2188066932819704E-4</v>
      </c>
    </row>
    <row r="28" spans="1:5" x14ac:dyDescent="0.25">
      <c r="A28">
        <v>2.3234665244374999</v>
      </c>
      <c r="B28">
        <v>0.15498668535228546</v>
      </c>
      <c r="C28">
        <f t="shared" si="0"/>
        <v>0.10071694199213344</v>
      </c>
      <c r="D28">
        <f t="shared" si="1"/>
        <v>5.4269743360152028E-2</v>
      </c>
      <c r="E28">
        <f t="shared" si="2"/>
        <v>2.9452050443767651E-3</v>
      </c>
    </row>
    <row r="29" spans="1:5" x14ac:dyDescent="0.25">
      <c r="A29">
        <v>2.4077979789624999</v>
      </c>
      <c r="B29">
        <v>0.12071078378399157</v>
      </c>
      <c r="C29">
        <f t="shared" si="0"/>
        <v>8.9062885628561766E-2</v>
      </c>
      <c r="D29">
        <f t="shared" si="1"/>
        <v>3.1647898155429802E-2</v>
      </c>
      <c r="E29">
        <f t="shared" si="2"/>
        <v>1.001589457656457E-3</v>
      </c>
    </row>
    <row r="30" spans="1:5" x14ac:dyDescent="0.25">
      <c r="A30">
        <v>2.4921294334874999</v>
      </c>
      <c r="B30">
        <v>9.6866678345178425E-2</v>
      </c>
      <c r="C30">
        <f t="shared" si="0"/>
        <v>7.8597090088066743E-2</v>
      </c>
      <c r="D30">
        <f t="shared" si="1"/>
        <v>1.8269588257111682E-2</v>
      </c>
      <c r="E30">
        <f t="shared" si="2"/>
        <v>3.337778550843931E-4</v>
      </c>
    </row>
    <row r="31" spans="1:5" x14ac:dyDescent="0.25">
      <c r="A31">
        <v>2.5764608880125</v>
      </c>
      <c r="B31">
        <v>7.6748214381179833E-2</v>
      </c>
      <c r="C31">
        <f t="shared" si="0"/>
        <v>6.9224450406565982E-2</v>
      </c>
      <c r="D31">
        <f t="shared" si="1"/>
        <v>7.5237639746138507E-3</v>
      </c>
      <c r="E31">
        <f t="shared" si="2"/>
        <v>5.6607024345697206E-5</v>
      </c>
    </row>
    <row r="32" spans="1:5" x14ac:dyDescent="0.25">
      <c r="A32">
        <v>2.6607923425375</v>
      </c>
      <c r="B32">
        <v>7.7493342676142732E-2</v>
      </c>
      <c r="C32">
        <f t="shared" si="0"/>
        <v>6.085296569300816E-2</v>
      </c>
      <c r="D32">
        <f t="shared" si="1"/>
        <v>1.6640376983134572E-2</v>
      </c>
      <c r="E32">
        <f t="shared" si="2"/>
        <v>2.7690214614083483E-4</v>
      </c>
    </row>
    <row r="33" spans="1:5" x14ac:dyDescent="0.25">
      <c r="A33">
        <v>2.7451237970625</v>
      </c>
      <c r="B33">
        <v>9.3141036870363861E-2</v>
      </c>
      <c r="C33">
        <f t="shared" si="0"/>
        <v>5.3394582104061492E-2</v>
      </c>
      <c r="D33">
        <f t="shared" si="1"/>
        <v>3.9746454766302369E-2</v>
      </c>
      <c r="E33">
        <f t="shared" si="2"/>
        <v>1.5797806664897204E-3</v>
      </c>
    </row>
    <row r="34" spans="1:5" x14ac:dyDescent="0.25">
      <c r="A34">
        <v>2.8294552515874996</v>
      </c>
      <c r="B34">
        <v>5.8120007007107052E-2</v>
      </c>
      <c r="C34">
        <f t="shared" si="0"/>
        <v>4.6765787439214827E-2</v>
      </c>
      <c r="D34">
        <f t="shared" si="1"/>
        <v>1.1354219567892225E-2</v>
      </c>
      <c r="E34">
        <f t="shared" si="2"/>
        <v>1.2891830199590672E-4</v>
      </c>
    </row>
    <row r="35" spans="1:5" x14ac:dyDescent="0.25">
      <c r="A35">
        <v>2.9137867061125</v>
      </c>
      <c r="B35">
        <v>3.4275901568293902E-2</v>
      </c>
      <c r="C35">
        <f t="shared" si="0"/>
        <v>4.0888000470794515E-2</v>
      </c>
      <c r="D35">
        <f t="shared" si="1"/>
        <v>-6.6120989025006127E-3</v>
      </c>
      <c r="E35">
        <f t="shared" si="2"/>
        <v>4.3719851896449805E-5</v>
      </c>
    </row>
    <row r="36" spans="1:5" x14ac:dyDescent="0.25">
      <c r="A36">
        <v>2.9981181606375</v>
      </c>
      <c r="B36">
        <v>3.353077327333099E-2</v>
      </c>
      <c r="C36">
        <f t="shared" si="0"/>
        <v>3.5687792484786256E-2</v>
      </c>
      <c r="D36">
        <f t="shared" si="1"/>
        <v>-2.1570192114552661E-3</v>
      </c>
      <c r="E36">
        <f t="shared" si="2"/>
        <v>4.6527318785870982E-6</v>
      </c>
    </row>
    <row r="37" spans="1:5" x14ac:dyDescent="0.25">
      <c r="A37">
        <v>3.0824496151625</v>
      </c>
      <c r="B37">
        <v>4.0236927927997192E-2</v>
      </c>
      <c r="C37">
        <f t="shared" si="0"/>
        <v>3.109697342187491E-2</v>
      </c>
      <c r="D37">
        <f t="shared" si="1"/>
        <v>9.1399545061222817E-3</v>
      </c>
      <c r="E37">
        <f t="shared" si="2"/>
        <v>8.3538768373985002E-5</v>
      </c>
    </row>
    <row r="38" spans="1:5" x14ac:dyDescent="0.25">
      <c r="A38">
        <v>3.1667810696874996</v>
      </c>
      <c r="B38">
        <v>3.5021029863256815E-2</v>
      </c>
      <c r="C38">
        <f t="shared" si="0"/>
        <v>2.7052570437287E-2</v>
      </c>
      <c r="D38">
        <f t="shared" si="1"/>
        <v>7.9684594259698156E-3</v>
      </c>
      <c r="E38">
        <f t="shared" si="2"/>
        <v>6.3496345623327203E-5</v>
      </c>
    </row>
    <row r="39" spans="1:5" x14ac:dyDescent="0.25">
      <c r="A39">
        <v>3.2511125242124996</v>
      </c>
      <c r="B39">
        <v>6.7061546546661986E-3</v>
      </c>
      <c r="C39">
        <f t="shared" si="0"/>
        <v>2.349672260954928E-2</v>
      </c>
      <c r="D39">
        <f t="shared" si="1"/>
        <v>-1.6790567954883082E-2</v>
      </c>
      <c r="E39">
        <f t="shared" si="2"/>
        <v>2.8192317224754663E-4</v>
      </c>
    </row>
    <row r="40" spans="1:5" x14ac:dyDescent="0.25">
      <c r="A40">
        <v>3.3354439787374996</v>
      </c>
      <c r="B40">
        <v>2.1608720553924418E-2</v>
      </c>
      <c r="C40">
        <f t="shared" si="0"/>
        <v>2.0376511890214156E-2</v>
      </c>
      <c r="D40">
        <f t="shared" si="1"/>
        <v>1.2322086637102624E-3</v>
      </c>
      <c r="E40">
        <f t="shared" si="2"/>
        <v>1.5183381909226304E-6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7F008-DD71-4593-A8C8-1CA3B66E411F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4.8741398762500006E-2</v>
      </c>
      <c r="B1">
        <v>0.27111837448969101</v>
      </c>
      <c r="C1">
        <f>$H$3*(1+$H$1)*(A1^($H$1))*EXP(-$H$3*(A1^(1+$H$1)))</f>
        <v>0.36861843132324001</v>
      </c>
      <c r="D1">
        <f>B1-C1</f>
        <v>-9.7500056833549009E-2</v>
      </c>
      <c r="E1">
        <f>D1^2</f>
        <v>9.5062610825452868E-3</v>
      </c>
      <c r="G1" t="s">
        <v>0</v>
      </c>
      <c r="H1">
        <v>0.39337383249013474</v>
      </c>
    </row>
    <row r="2" spans="1:8" x14ac:dyDescent="0.25">
      <c r="A2">
        <v>0.13102059628750001</v>
      </c>
      <c r="B2">
        <v>0.43608054037637622</v>
      </c>
      <c r="C2">
        <f t="shared" ref="C2:C40" si="0">$H$3*(1+$H$1)*(A2^($H$1))*EXP(-$H$3*(A2^(1+$H$1)))</f>
        <v>0.52321349636663972</v>
      </c>
      <c r="D2">
        <f t="shared" ref="D2:D40" si="1">B2-C2</f>
        <v>-8.7132955990263494E-2</v>
      </c>
      <c r="E2">
        <f t="shared" ref="E2:E40" si="2">D2^2</f>
        <v>7.5921520196011952E-3</v>
      </c>
    </row>
    <row r="3" spans="1:8" x14ac:dyDescent="0.25">
      <c r="A3">
        <v>0.21329979381249997</v>
      </c>
      <c r="B3">
        <v>0.45059110126455687</v>
      </c>
      <c r="C3">
        <f t="shared" si="0"/>
        <v>0.60264819841300188</v>
      </c>
      <c r="D3">
        <f t="shared" si="1"/>
        <v>-0.15205709714844501</v>
      </c>
      <c r="E3">
        <f t="shared" si="2"/>
        <v>2.3121360793211643E-2</v>
      </c>
      <c r="G3" t="s">
        <v>1</v>
      </c>
      <c r="H3">
        <f>(_xlfn.GAMMA((2+$H$1)/(1+$H$1)))^(1+$H$1)</f>
        <v>0.87969005143732992</v>
      </c>
    </row>
    <row r="4" spans="1:8" x14ac:dyDescent="0.25">
      <c r="A4">
        <v>0.29557899133749999</v>
      </c>
      <c r="B4">
        <v>0.66977694204918037</v>
      </c>
      <c r="C4">
        <f t="shared" si="0"/>
        <v>0.64604106385712401</v>
      </c>
      <c r="D4">
        <f t="shared" si="1"/>
        <v>2.3735878192056359E-2</v>
      </c>
      <c r="E4">
        <f t="shared" si="2"/>
        <v>5.6339191354813666E-4</v>
      </c>
    </row>
    <row r="5" spans="1:8" x14ac:dyDescent="0.25">
      <c r="A5">
        <v>0.3778581888625</v>
      </c>
      <c r="B5">
        <v>1.1264777531613923</v>
      </c>
      <c r="C5">
        <f t="shared" si="0"/>
        <v>0.66632909030557042</v>
      </c>
      <c r="D5">
        <f t="shared" si="1"/>
        <v>0.4601486628558219</v>
      </c>
      <c r="E5">
        <f t="shared" si="2"/>
        <v>0.21173679192800085</v>
      </c>
      <c r="G5" t="s">
        <v>2</v>
      </c>
      <c r="H5">
        <f>SUM(E1:E40)</f>
        <v>0.31343255399480169</v>
      </c>
    </row>
    <row r="6" spans="1:8" x14ac:dyDescent="0.25">
      <c r="A6">
        <v>0.46013738638750001</v>
      </c>
      <c r="B6">
        <v>0.81030026854524551</v>
      </c>
      <c r="C6">
        <f t="shared" si="0"/>
        <v>0.67027058656366167</v>
      </c>
      <c r="D6">
        <f t="shared" si="1"/>
        <v>0.14002968198158383</v>
      </c>
      <c r="E6">
        <f t="shared" si="2"/>
        <v>1.9608311835863503E-2</v>
      </c>
    </row>
    <row r="7" spans="1:8" x14ac:dyDescent="0.25">
      <c r="A7">
        <v>0.54241658391249992</v>
      </c>
      <c r="B7">
        <v>0.65679380862291348</v>
      </c>
      <c r="C7">
        <f t="shared" si="0"/>
        <v>0.66219148209895606</v>
      </c>
      <c r="D7">
        <f t="shared" si="1"/>
        <v>-5.397673476042586E-3</v>
      </c>
      <c r="E7">
        <f t="shared" si="2"/>
        <v>2.9134878953973653E-5</v>
      </c>
    </row>
    <row r="8" spans="1:8" x14ac:dyDescent="0.25">
      <c r="A8">
        <v>0.62469578143749993</v>
      </c>
      <c r="B8">
        <v>0.61631698088219899</v>
      </c>
      <c r="C8">
        <f t="shared" si="0"/>
        <v>0.6451810576600866</v>
      </c>
      <c r="D8">
        <f t="shared" si="1"/>
        <v>-2.8864076777887604E-2</v>
      </c>
      <c r="E8">
        <f t="shared" si="2"/>
        <v>8.3313492823979039E-4</v>
      </c>
    </row>
    <row r="9" spans="1:8" x14ac:dyDescent="0.25">
      <c r="A9">
        <v>0.70697497896249994</v>
      </c>
      <c r="B9">
        <v>0.58653214537488085</v>
      </c>
      <c r="C9">
        <f t="shared" si="0"/>
        <v>0.62158618161591461</v>
      </c>
      <c r="D9">
        <f t="shared" si="1"/>
        <v>-3.5054036241033759E-2</v>
      </c>
      <c r="E9">
        <f t="shared" si="2"/>
        <v>1.2287854567877082E-3</v>
      </c>
    </row>
    <row r="10" spans="1:8" x14ac:dyDescent="0.25">
      <c r="A10">
        <v>0.78925417648750007</v>
      </c>
      <c r="B10">
        <v>0.53230847047694263</v>
      </c>
      <c r="C10">
        <f t="shared" si="0"/>
        <v>0.59325283246115679</v>
      </c>
      <c r="D10">
        <f t="shared" si="1"/>
        <v>-6.0944361984214157E-2</v>
      </c>
      <c r="E10">
        <f t="shared" si="2"/>
        <v>3.7142152576629278E-3</v>
      </c>
    </row>
    <row r="11" spans="1:8" x14ac:dyDescent="0.25">
      <c r="A11">
        <v>0.87153337401249997</v>
      </c>
      <c r="B11">
        <v>0.48343079169570258</v>
      </c>
      <c r="C11">
        <f t="shared" si="0"/>
        <v>0.56165999731383653</v>
      </c>
      <c r="D11">
        <f t="shared" si="1"/>
        <v>-7.8229205618133957E-2</v>
      </c>
      <c r="E11">
        <f t="shared" si="2"/>
        <v>6.1198086116442812E-3</v>
      </c>
    </row>
    <row r="12" spans="1:8" x14ac:dyDescent="0.25">
      <c r="A12">
        <v>0.95381257153749999</v>
      </c>
      <c r="B12">
        <v>0.43608054037637622</v>
      </c>
      <c r="C12">
        <f t="shared" si="0"/>
        <v>0.52800204172622933</v>
      </c>
      <c r="D12">
        <f t="shared" si="1"/>
        <v>-9.1921501349853107E-2</v>
      </c>
      <c r="E12">
        <f t="shared" si="2"/>
        <v>8.4495624104110462E-3</v>
      </c>
    </row>
    <row r="13" spans="1:8" x14ac:dyDescent="0.25">
      <c r="A13">
        <v>1.0360917690625</v>
      </c>
      <c r="B13">
        <v>0.45211852872647063</v>
      </c>
      <c r="C13">
        <f t="shared" si="0"/>
        <v>0.49324408455168789</v>
      </c>
      <c r="D13">
        <f t="shared" si="1"/>
        <v>-4.1125555825217264E-2</v>
      </c>
      <c r="E13">
        <f t="shared" si="2"/>
        <v>1.6913113419330615E-3</v>
      </c>
    </row>
    <row r="14" spans="1:8" x14ac:dyDescent="0.25">
      <c r="A14">
        <v>1.1183709665874999</v>
      </c>
      <c r="B14">
        <v>0.41698769710245431</v>
      </c>
      <c r="C14">
        <f t="shared" si="0"/>
        <v>0.45816211588298511</v>
      </c>
      <c r="D14">
        <f t="shared" si="1"/>
        <v>-4.1174418780530797E-2</v>
      </c>
      <c r="E14">
        <f t="shared" si="2"/>
        <v>1.6953327619145273E-3</v>
      </c>
    </row>
    <row r="15" spans="1:8" x14ac:dyDescent="0.25">
      <c r="A15">
        <v>1.2006501641125</v>
      </c>
      <c r="B15">
        <v>0.40247713621427367</v>
      </c>
      <c r="C15">
        <f t="shared" si="0"/>
        <v>0.42337386913877095</v>
      </c>
      <c r="D15">
        <f t="shared" si="1"/>
        <v>-2.0896732924497285E-2</v>
      </c>
      <c r="E15">
        <f t="shared" si="2"/>
        <v>4.3667344691776885E-4</v>
      </c>
    </row>
    <row r="16" spans="1:8" x14ac:dyDescent="0.25">
      <c r="A16">
        <v>1.2829293616375002</v>
      </c>
      <c r="B16">
        <v>0.3345066141591117</v>
      </c>
      <c r="C16">
        <f t="shared" si="0"/>
        <v>0.38936369523535341</v>
      </c>
      <c r="D16">
        <f t="shared" si="1"/>
        <v>-5.4857081076241709E-2</v>
      </c>
      <c r="E16">
        <f t="shared" si="2"/>
        <v>3.0092993442053561E-3</v>
      </c>
    </row>
    <row r="17" spans="1:5" x14ac:dyDescent="0.25">
      <c r="A17">
        <v>1.3652085591624998</v>
      </c>
      <c r="B17">
        <v>0.31235891596136234</v>
      </c>
      <c r="C17">
        <f t="shared" si="0"/>
        <v>0.35650327450869812</v>
      </c>
      <c r="D17">
        <f t="shared" si="1"/>
        <v>-4.4144358547335782E-2</v>
      </c>
      <c r="E17">
        <f t="shared" si="2"/>
        <v>1.9487243915557377E-3</v>
      </c>
    </row>
    <row r="18" spans="1:5" x14ac:dyDescent="0.25">
      <c r="A18">
        <v>1.4474877566875</v>
      </c>
      <c r="B18">
        <v>0.31235891596136234</v>
      </c>
      <c r="C18">
        <f t="shared" si="0"/>
        <v>0.32506924766038731</v>
      </c>
      <c r="D18">
        <f t="shared" si="1"/>
        <v>-1.2710331699024968E-2</v>
      </c>
      <c r="E18">
        <f t="shared" si="2"/>
        <v>1.6155253189923893E-4</v>
      </c>
    </row>
    <row r="19" spans="1:5" x14ac:dyDescent="0.25">
      <c r="A19">
        <v>1.5297669542125001</v>
      </c>
      <c r="B19">
        <v>0.31770491207806045</v>
      </c>
      <c r="C19">
        <f t="shared" si="0"/>
        <v>0.29525843036750277</v>
      </c>
      <c r="D19">
        <f t="shared" si="1"/>
        <v>2.2446481710557686E-2</v>
      </c>
      <c r="E19">
        <f t="shared" si="2"/>
        <v>5.0384454118240069E-4</v>
      </c>
    </row>
    <row r="20" spans="1:5" x14ac:dyDescent="0.25">
      <c r="A20">
        <v>1.6120461517375</v>
      </c>
      <c r="B20">
        <v>0.27188208822064791</v>
      </c>
      <c r="C20">
        <f t="shared" si="0"/>
        <v>0.26720104033322445</v>
      </c>
      <c r="D20">
        <f t="shared" si="1"/>
        <v>4.6810478874234618E-3</v>
      </c>
      <c r="E20">
        <f t="shared" si="2"/>
        <v>2.1912209324351655E-5</v>
      </c>
    </row>
    <row r="21" spans="1:5" x14ac:dyDescent="0.25">
      <c r="A21">
        <v>1.6943253492624999</v>
      </c>
      <c r="B21">
        <v>0.23827868405854533</v>
      </c>
      <c r="C21">
        <f t="shared" si="0"/>
        <v>0.24097222956528899</v>
      </c>
      <c r="D21">
        <f t="shared" si="1"/>
        <v>-2.6935455067436664E-3</v>
      </c>
      <c r="E21">
        <f t="shared" si="2"/>
        <v>7.2551873968989951E-6</v>
      </c>
    </row>
    <row r="22" spans="1:5" x14ac:dyDescent="0.25">
      <c r="A22">
        <v>1.7766045467875</v>
      </c>
      <c r="B22">
        <v>0.21765841332270969</v>
      </c>
      <c r="C22">
        <f t="shared" si="0"/>
        <v>0.21660213512510668</v>
      </c>
      <c r="D22">
        <f t="shared" si="1"/>
        <v>1.0562781976030111E-3</v>
      </c>
      <c r="E22">
        <f t="shared" si="2"/>
        <v>1.1157236307314658E-6</v>
      </c>
    </row>
    <row r="23" spans="1:5" x14ac:dyDescent="0.25">
      <c r="A23">
        <v>1.8588837443124999</v>
      </c>
      <c r="B23">
        <v>0.22758669182514907</v>
      </c>
      <c r="C23">
        <f t="shared" si="0"/>
        <v>0.19408461439189698</v>
      </c>
      <c r="D23">
        <f t="shared" si="1"/>
        <v>3.3502077433252092E-2</v>
      </c>
      <c r="E23">
        <f t="shared" si="2"/>
        <v>1.122389192343619E-3</v>
      </c>
    </row>
    <row r="24" spans="1:5" x14ac:dyDescent="0.25">
      <c r="A24">
        <v>1.9411629418374998</v>
      </c>
      <c r="B24">
        <v>0.2138398446679253</v>
      </c>
      <c r="C24">
        <f t="shared" si="0"/>
        <v>0.17338480231178408</v>
      </c>
      <c r="D24">
        <f t="shared" si="1"/>
        <v>4.0455042356141224E-2</v>
      </c>
      <c r="E24">
        <f t="shared" si="2"/>
        <v>1.6366104520371804E-3</v>
      </c>
    </row>
    <row r="25" spans="1:5" x14ac:dyDescent="0.25">
      <c r="A25">
        <v>2.0234421393624999</v>
      </c>
      <c r="B25">
        <v>0.17259930319625399</v>
      </c>
      <c r="C25">
        <f t="shared" si="0"/>
        <v>0.15444561019437966</v>
      </c>
      <c r="D25">
        <f t="shared" si="1"/>
        <v>1.8153693001874333E-2</v>
      </c>
      <c r="E25">
        <f t="shared" si="2"/>
        <v>3.2955656960630109E-4</v>
      </c>
    </row>
    <row r="26" spans="1:5" x14ac:dyDescent="0.25">
      <c r="A26">
        <v>2.1057213368875001</v>
      </c>
      <c r="B26">
        <v>0.13899589903415144</v>
      </c>
      <c r="C26">
        <f t="shared" si="0"/>
        <v>0.13719327371747864</v>
      </c>
      <c r="D26">
        <f t="shared" si="1"/>
        <v>1.8026253166728012E-3</v>
      </c>
      <c r="E26">
        <f t="shared" si="2"/>
        <v>3.249458032309717E-6</v>
      </c>
    </row>
    <row r="27" spans="1:5" x14ac:dyDescent="0.25">
      <c r="A27">
        <v>2.1880005344125002</v>
      </c>
      <c r="B27">
        <v>0.1435781814198927</v>
      </c>
      <c r="C27">
        <f t="shared" si="0"/>
        <v>0.12154204917054726</v>
      </c>
      <c r="D27">
        <f t="shared" si="1"/>
        <v>2.2036132249345447E-2</v>
      </c>
      <c r="E27">
        <f t="shared" si="2"/>
        <v>4.8559112451064242E-4</v>
      </c>
    </row>
    <row r="28" spans="1:5" x14ac:dyDescent="0.25">
      <c r="A28">
        <v>2.2702797319375003</v>
      </c>
      <c r="B28">
        <v>0.14586932261276334</v>
      </c>
      <c r="C28">
        <f t="shared" si="0"/>
        <v>0.10739815002364636</v>
      </c>
      <c r="D28">
        <f t="shared" si="1"/>
        <v>3.8471172589116975E-2</v>
      </c>
      <c r="E28">
        <f t="shared" si="2"/>
        <v>1.4800311203816254E-3</v>
      </c>
    </row>
    <row r="29" spans="1:5" x14ac:dyDescent="0.25">
      <c r="A29">
        <v>2.3525589294625</v>
      </c>
      <c r="B29">
        <v>0.1504516049985046</v>
      </c>
      <c r="C29">
        <f t="shared" si="0"/>
        <v>9.4663009754778996E-2</v>
      </c>
      <c r="D29">
        <f t="shared" si="1"/>
        <v>5.5788595243725606E-2</v>
      </c>
      <c r="E29">
        <f t="shared" si="2"/>
        <v>3.1123673592682432E-3</v>
      </c>
    </row>
    <row r="30" spans="1:5" x14ac:dyDescent="0.25">
      <c r="A30">
        <v>2.4348381269874997</v>
      </c>
      <c r="B30">
        <v>8.7827079060040752E-2</v>
      </c>
      <c r="C30">
        <f t="shared" si="0"/>
        <v>8.3235951026565766E-2</v>
      </c>
      <c r="D30">
        <f t="shared" si="1"/>
        <v>4.5911280334749865E-3</v>
      </c>
      <c r="E30">
        <f t="shared" si="2"/>
        <v>2.1078456619759897E-5</v>
      </c>
    </row>
    <row r="31" spans="1:5" x14ac:dyDescent="0.25">
      <c r="A31">
        <v>2.5171173245124998</v>
      </c>
      <c r="B31">
        <v>9.0118220252911371E-2</v>
      </c>
      <c r="C31">
        <f t="shared" si="0"/>
        <v>7.3016335543735558E-2</v>
      </c>
      <c r="D31">
        <f t="shared" si="1"/>
        <v>1.7101884709175813E-2</v>
      </c>
      <c r="E31">
        <f t="shared" si="2"/>
        <v>2.924744606059415E-4</v>
      </c>
    </row>
    <row r="32" spans="1:5" x14ac:dyDescent="0.25">
      <c r="A32">
        <v>2.5993965220374999</v>
      </c>
      <c r="B32">
        <v>7.7135086826644481E-2</v>
      </c>
      <c r="C32">
        <f t="shared" si="0"/>
        <v>6.3905263164064044E-2</v>
      </c>
      <c r="D32">
        <f t="shared" si="1"/>
        <v>1.3229823662580437E-2</v>
      </c>
      <c r="E32">
        <f t="shared" si="2"/>
        <v>1.7502823414297324E-4</v>
      </c>
    </row>
    <row r="33" spans="1:5" x14ac:dyDescent="0.25">
      <c r="A33">
        <v>2.6816757195625001</v>
      </c>
      <c r="B33">
        <v>9.7755357562480133E-2</v>
      </c>
      <c r="C33">
        <f t="shared" si="0"/>
        <v>5.5806883077694221E-2</v>
      </c>
      <c r="D33">
        <f t="shared" si="1"/>
        <v>4.1948474484785912E-2</v>
      </c>
      <c r="E33">
        <f t="shared" si="2"/>
        <v>1.7596745116007348E-3</v>
      </c>
    </row>
    <row r="34" spans="1:5" x14ac:dyDescent="0.25">
      <c r="A34">
        <v>2.7639549170875002</v>
      </c>
      <c r="B34">
        <v>6.6443094593248223E-2</v>
      </c>
      <c r="C34">
        <f t="shared" si="0"/>
        <v>4.8629374156572945E-2</v>
      </c>
      <c r="D34">
        <f t="shared" si="1"/>
        <v>1.7813720436675277E-2</v>
      </c>
      <c r="E34">
        <f t="shared" si="2"/>
        <v>3.1732863579602246E-4</v>
      </c>
    </row>
    <row r="35" spans="1:5" x14ac:dyDescent="0.25">
      <c r="A35">
        <v>2.8462341146124999</v>
      </c>
      <c r="B35">
        <v>3.8185686547843802E-2</v>
      </c>
      <c r="C35">
        <f t="shared" si="0"/>
        <v>4.2285645968553831E-2</v>
      </c>
      <c r="D35">
        <f t="shared" si="1"/>
        <v>-4.0999594207100296E-3</v>
      </c>
      <c r="E35">
        <f t="shared" si="2"/>
        <v>1.6809667251468923E-5</v>
      </c>
    </row>
    <row r="36" spans="1:5" x14ac:dyDescent="0.25">
      <c r="A36">
        <v>2.9285133121374995</v>
      </c>
      <c r="B36">
        <v>3.4367117893059421E-2</v>
      </c>
      <c r="C36">
        <f t="shared" si="0"/>
        <v>3.6693806514387604E-2</v>
      </c>
      <c r="D36">
        <f t="shared" si="1"/>
        <v>-2.3266886213281837E-3</v>
      </c>
      <c r="E36">
        <f t="shared" si="2"/>
        <v>5.4134799406180439E-6</v>
      </c>
    </row>
    <row r="37" spans="1:5" x14ac:dyDescent="0.25">
      <c r="A37">
        <v>3.0107925096625001</v>
      </c>
      <c r="B37">
        <v>4.6586537588369441E-2</v>
      </c>
      <c r="C37">
        <f t="shared" si="0"/>
        <v>3.1777437539962969E-2</v>
      </c>
      <c r="D37">
        <f t="shared" si="1"/>
        <v>1.4809100048406472E-2</v>
      </c>
      <c r="E37">
        <f t="shared" si="2"/>
        <v>2.1930944424371256E-4</v>
      </c>
    </row>
    <row r="38" spans="1:5" x14ac:dyDescent="0.25">
      <c r="A38">
        <v>3.0930717071874998</v>
      </c>
      <c r="B38">
        <v>4.1240541471671312E-2</v>
      </c>
      <c r="C38">
        <f t="shared" si="0"/>
        <v>2.7465713350686673E-2</v>
      </c>
      <c r="D38">
        <f t="shared" si="1"/>
        <v>1.3774828120984638E-2</v>
      </c>
      <c r="E38">
        <f t="shared" si="2"/>
        <v>1.8974588976266918E-4</v>
      </c>
    </row>
    <row r="39" spans="1:5" x14ac:dyDescent="0.25">
      <c r="A39">
        <v>3.1753509047124999</v>
      </c>
      <c r="B39">
        <v>6.873423578611885E-3</v>
      </c>
      <c r="C39">
        <f t="shared" si="0"/>
        <v>2.3693394448080975E-2</v>
      </c>
      <c r="D39">
        <f t="shared" si="1"/>
        <v>-1.6819970869469091E-2</v>
      </c>
      <c r="E39">
        <f t="shared" si="2"/>
        <v>2.8291142004978879E-4</v>
      </c>
    </row>
    <row r="40" spans="1:5" x14ac:dyDescent="0.25">
      <c r="A40">
        <v>3.2576301022375</v>
      </c>
      <c r="B40">
        <v>2.2147698197749408E-2</v>
      </c>
      <c r="C40">
        <f t="shared" si="0"/>
        <v>2.0400723046895452E-2</v>
      </c>
      <c r="D40">
        <f t="shared" si="1"/>
        <v>1.7469751508539556E-3</v>
      </c>
      <c r="E40">
        <f t="shared" si="2"/>
        <v>3.0519221777012012E-6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5DA6E-4271-443E-A4AE-600A854B25F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5.17421297E-2</v>
      </c>
      <c r="B1">
        <v>0.2324717524281395</v>
      </c>
      <c r="C1">
        <f>$H$3*(1+$H$1)*(A1^($H$1))*EXP(-$H$3*(A1^(1+$H$1)))</f>
        <v>0.33519104136929911</v>
      </c>
      <c r="D1">
        <f>B1-C1</f>
        <v>-0.10271928894115961</v>
      </c>
      <c r="E1">
        <f>D1^2</f>
        <v>1.0551252320577437E-2</v>
      </c>
      <c r="G1" t="s">
        <v>0</v>
      </c>
      <c r="H1">
        <v>0.44113706672986447</v>
      </c>
    </row>
    <row r="2" spans="1:8" x14ac:dyDescent="0.25">
      <c r="A2">
        <v>0.13202204510000001</v>
      </c>
      <c r="B2">
        <v>0.44146150966151743</v>
      </c>
      <c r="C2">
        <f t="shared" ref="C2:C40" si="0">$H$3*(1+$H$1)*(A2^($H$1))*EXP(-$H$3*(A2^(1+$H$1)))</f>
        <v>0.48936425294088143</v>
      </c>
      <c r="D2">
        <f t="shared" ref="D2:D40" si="1">B2-C2</f>
        <v>-4.7902743279364002E-2</v>
      </c>
      <c r="E2">
        <f t="shared" ref="E2:E40" si="2">D2^2</f>
        <v>2.2946728136886531E-3</v>
      </c>
    </row>
    <row r="3" spans="1:8" x14ac:dyDescent="0.25">
      <c r="A3">
        <v>0.2123019605</v>
      </c>
      <c r="B3">
        <v>0.43128597841045407</v>
      </c>
      <c r="C3">
        <f t="shared" si="0"/>
        <v>0.57621327270726452</v>
      </c>
      <c r="D3">
        <f t="shared" si="1"/>
        <v>-0.14492729429681045</v>
      </c>
      <c r="E3">
        <f t="shared" si="2"/>
        <v>2.1003920632194306E-2</v>
      </c>
      <c r="G3" t="s">
        <v>1</v>
      </c>
      <c r="H3">
        <f>(_xlfn.GAMMA((2+$H$1)/(1+$H$1)))^(1+$H$1)</f>
        <v>0.8694581527886861</v>
      </c>
    </row>
    <row r="4" spans="1:8" x14ac:dyDescent="0.25">
      <c r="A4">
        <v>0.29258187590000001</v>
      </c>
      <c r="B4">
        <v>0.53460675726740492</v>
      </c>
      <c r="C4">
        <f t="shared" si="0"/>
        <v>0.62842497263746033</v>
      </c>
      <c r="D4">
        <f t="shared" si="1"/>
        <v>-9.3818215370055413E-2</v>
      </c>
      <c r="E4">
        <f t="shared" si="2"/>
        <v>8.8018575352221025E-3</v>
      </c>
    </row>
    <row r="5" spans="1:8" x14ac:dyDescent="0.25">
      <c r="A5">
        <v>0.37286179129999997</v>
      </c>
      <c r="B5">
        <v>0.94788987269520852</v>
      </c>
      <c r="C5">
        <f t="shared" si="0"/>
        <v>0.65740958637923741</v>
      </c>
      <c r="D5">
        <f t="shared" si="1"/>
        <v>0.29048028631597111</v>
      </c>
      <c r="E5">
        <f t="shared" si="2"/>
        <v>8.4378796738208556E-2</v>
      </c>
      <c r="G5" t="s">
        <v>2</v>
      </c>
      <c r="H5">
        <f>SUM(E1:E40)</f>
        <v>0.2960827125495108</v>
      </c>
    </row>
    <row r="6" spans="1:8" x14ac:dyDescent="0.25">
      <c r="A6">
        <v>0.45314170669999998</v>
      </c>
      <c r="B6">
        <v>1.0152049255868583</v>
      </c>
      <c r="C6">
        <f t="shared" si="0"/>
        <v>0.66931500207643935</v>
      </c>
      <c r="D6">
        <f t="shared" si="1"/>
        <v>0.34588992351041892</v>
      </c>
      <c r="E6">
        <f t="shared" si="2"/>
        <v>0.11963983918604346</v>
      </c>
    </row>
    <row r="7" spans="1:8" x14ac:dyDescent="0.25">
      <c r="A7">
        <v>0.53342162209999999</v>
      </c>
      <c r="B7">
        <v>0.74751018036657646</v>
      </c>
      <c r="C7">
        <f t="shared" si="0"/>
        <v>0.66819320731619625</v>
      </c>
      <c r="D7">
        <f t="shared" si="1"/>
        <v>7.9316973050380213E-2</v>
      </c>
      <c r="E7">
        <f t="shared" si="2"/>
        <v>6.291182213874741E-3</v>
      </c>
    </row>
    <row r="8" spans="1:8" x14ac:dyDescent="0.25">
      <c r="A8">
        <v>0.61370153750000001</v>
      </c>
      <c r="B8">
        <v>0.66923686305070462</v>
      </c>
      <c r="C8">
        <f t="shared" si="0"/>
        <v>0.65702586211751612</v>
      </c>
      <c r="D8">
        <f t="shared" si="1"/>
        <v>1.2211000933188498E-2</v>
      </c>
      <c r="E8">
        <f t="shared" si="2"/>
        <v>1.4910854379033037E-4</v>
      </c>
    </row>
    <row r="9" spans="1:8" x14ac:dyDescent="0.25">
      <c r="A9">
        <v>0.69398145290000002</v>
      </c>
      <c r="B9">
        <v>0.60661820919800713</v>
      </c>
      <c r="C9">
        <f t="shared" si="0"/>
        <v>0.63814754995349565</v>
      </c>
      <c r="D9">
        <f t="shared" si="1"/>
        <v>-3.1529340755488522E-2</v>
      </c>
      <c r="E9">
        <f t="shared" si="2"/>
        <v>9.9409932847570955E-4</v>
      </c>
    </row>
    <row r="10" spans="1:8" x14ac:dyDescent="0.25">
      <c r="A10">
        <v>0.77426136830000003</v>
      </c>
      <c r="B10">
        <v>0.56904701688638859</v>
      </c>
      <c r="C10">
        <f t="shared" si="0"/>
        <v>0.61345018050208922</v>
      </c>
      <c r="D10">
        <f t="shared" si="1"/>
        <v>-4.4403163615700625E-2</v>
      </c>
      <c r="E10">
        <f t="shared" si="2"/>
        <v>1.9716409390826799E-3</v>
      </c>
    </row>
    <row r="11" spans="1:8" x14ac:dyDescent="0.25">
      <c r="A11">
        <v>0.85454128370000004</v>
      </c>
      <c r="B11">
        <v>0.5064283630336911</v>
      </c>
      <c r="C11">
        <f t="shared" si="0"/>
        <v>0.58449438428312339</v>
      </c>
      <c r="D11">
        <f t="shared" si="1"/>
        <v>-7.8066021249432294E-2</v>
      </c>
      <c r="E11">
        <f t="shared" si="2"/>
        <v>6.0943036737168147E-3</v>
      </c>
    </row>
    <row r="12" spans="1:8" x14ac:dyDescent="0.25">
      <c r="A12">
        <v>0.93482119909999994</v>
      </c>
      <c r="B12">
        <v>0.45868163947100921</v>
      </c>
      <c r="C12">
        <f t="shared" si="0"/>
        <v>0.55257694144741032</v>
      </c>
      <c r="D12">
        <f t="shared" si="1"/>
        <v>-9.3895301976401113E-2</v>
      </c>
      <c r="E12">
        <f t="shared" si="2"/>
        <v>8.8163277332395547E-3</v>
      </c>
    </row>
    <row r="13" spans="1:8" x14ac:dyDescent="0.25">
      <c r="A13">
        <v>1.0151011145</v>
      </c>
      <c r="B13">
        <v>0.4696399038952313</v>
      </c>
      <c r="C13">
        <f t="shared" si="0"/>
        <v>0.51877573212479</v>
      </c>
      <c r="D13">
        <f t="shared" si="1"/>
        <v>-4.9135828229558698E-2</v>
      </c>
      <c r="E13">
        <f t="shared" si="2"/>
        <v>2.4143296158046974E-3</v>
      </c>
    </row>
    <row r="14" spans="1:8" x14ac:dyDescent="0.25">
      <c r="A14">
        <v>1.0953810299</v>
      </c>
      <c r="B14">
        <v>0.4281550457178192</v>
      </c>
      <c r="C14">
        <f t="shared" si="0"/>
        <v>0.48398243307431138</v>
      </c>
      <c r="D14">
        <f t="shared" si="1"/>
        <v>-5.5827387356492175E-2</v>
      </c>
      <c r="E14">
        <f t="shared" si="2"/>
        <v>3.1166971790518223E-3</v>
      </c>
    </row>
    <row r="15" spans="1:8" x14ac:dyDescent="0.25">
      <c r="A15">
        <v>1.1756609452999998</v>
      </c>
      <c r="B15">
        <v>0.40154211783042276</v>
      </c>
      <c r="C15">
        <f t="shared" si="0"/>
        <v>0.44892811849431835</v>
      </c>
      <c r="D15">
        <f t="shared" si="1"/>
        <v>-4.7386000663895589E-2</v>
      </c>
      <c r="E15">
        <f t="shared" si="2"/>
        <v>2.245433058918713E-3</v>
      </c>
    </row>
    <row r="16" spans="1:8" x14ac:dyDescent="0.25">
      <c r="A16">
        <v>1.2559408607</v>
      </c>
      <c r="B16">
        <v>0.37101552407723271</v>
      </c>
      <c r="C16">
        <f t="shared" si="0"/>
        <v>0.41420447397965049</v>
      </c>
      <c r="D16">
        <f t="shared" si="1"/>
        <v>-4.3188949902417784E-2</v>
      </c>
      <c r="E16">
        <f t="shared" si="2"/>
        <v>1.8652853936735531E-3</v>
      </c>
    </row>
    <row r="17" spans="1:5" x14ac:dyDescent="0.25">
      <c r="A17">
        <v>1.3362207761</v>
      </c>
      <c r="B17">
        <v>0.31309326926348752</v>
      </c>
      <c r="C17">
        <f t="shared" si="0"/>
        <v>0.38028208493264365</v>
      </c>
      <c r="D17">
        <f t="shared" si="1"/>
        <v>-6.7188815669156132E-2</v>
      </c>
      <c r="E17">
        <f t="shared" si="2"/>
        <v>4.5143369510238403E-3</v>
      </c>
    </row>
    <row r="18" spans="1:5" x14ac:dyDescent="0.25">
      <c r="A18">
        <v>1.4165006915</v>
      </c>
      <c r="B18">
        <v>0.33109613224613804</v>
      </c>
      <c r="C18">
        <f t="shared" si="0"/>
        <v>0.34752660134975971</v>
      </c>
      <c r="D18">
        <f t="shared" si="1"/>
        <v>-1.643046910362167E-2</v>
      </c>
      <c r="E18">
        <f t="shared" si="2"/>
        <v>2.6996031496506626E-4</v>
      </c>
    </row>
    <row r="19" spans="1:5" x14ac:dyDescent="0.25">
      <c r="A19">
        <v>1.4967806069</v>
      </c>
      <c r="B19">
        <v>0.30996233657085265</v>
      </c>
      <c r="C19">
        <f t="shared" si="0"/>
        <v>0.31621322485515546</v>
      </c>
      <c r="D19">
        <f t="shared" si="1"/>
        <v>-6.2508882843028135E-3</v>
      </c>
      <c r="E19">
        <f t="shared" si="2"/>
        <v>3.9073604342834169E-5</v>
      </c>
    </row>
    <row r="20" spans="1:5" x14ac:dyDescent="0.25">
      <c r="A20">
        <v>1.5770605223</v>
      </c>
      <c r="B20">
        <v>0.29900407214663061</v>
      </c>
      <c r="C20">
        <f t="shared" si="0"/>
        <v>0.28653977046623241</v>
      </c>
      <c r="D20">
        <f t="shared" si="1"/>
        <v>1.2464301680398193E-2</v>
      </c>
      <c r="E20">
        <f t="shared" si="2"/>
        <v>1.5535881637997721E-4</v>
      </c>
    </row>
    <row r="21" spans="1:5" x14ac:dyDescent="0.25">
      <c r="A21">
        <v>1.6573404376999998</v>
      </c>
      <c r="B21">
        <v>0.24029908415972667</v>
      </c>
      <c r="C21">
        <f t="shared" si="0"/>
        <v>0.25863845185117385</v>
      </c>
      <c r="D21">
        <f t="shared" si="1"/>
        <v>-1.8339367691447173E-2</v>
      </c>
      <c r="E21">
        <f t="shared" si="2"/>
        <v>3.3633240732209641E-4</v>
      </c>
    </row>
    <row r="22" spans="1:5" x14ac:dyDescent="0.25">
      <c r="A22">
        <v>1.7376203531000001</v>
      </c>
      <c r="B22">
        <v>0.22620988704286973</v>
      </c>
      <c r="C22">
        <f t="shared" si="0"/>
        <v>0.23258648528724671</v>
      </c>
      <c r="D22">
        <f t="shared" si="1"/>
        <v>-6.3765982443769742E-3</v>
      </c>
      <c r="E22">
        <f t="shared" si="2"/>
        <v>4.0661005170191507E-5</v>
      </c>
    </row>
    <row r="23" spans="1:5" x14ac:dyDescent="0.25">
      <c r="A23">
        <v>1.8179002685000001</v>
      </c>
      <c r="B23">
        <v>0.24186455050604411</v>
      </c>
      <c r="C23">
        <f t="shared" si="0"/>
        <v>0.20841558207077251</v>
      </c>
      <c r="D23">
        <f t="shared" si="1"/>
        <v>3.3448968435271592E-2</v>
      </c>
      <c r="E23">
        <f t="shared" si="2"/>
        <v>1.1188334893837953E-3</v>
      </c>
    </row>
    <row r="24" spans="1:5" x14ac:dyDescent="0.25">
      <c r="A24">
        <v>1.8981801838999999</v>
      </c>
      <c r="B24">
        <v>0.2168170889649651</v>
      </c>
      <c r="C24">
        <f t="shared" si="0"/>
        <v>0.1861203891077744</v>
      </c>
      <c r="D24">
        <f t="shared" si="1"/>
        <v>3.0696699857190701E-2</v>
      </c>
      <c r="E24">
        <f t="shared" si="2"/>
        <v>9.4228738212245161E-4</v>
      </c>
    </row>
    <row r="25" spans="1:5" x14ac:dyDescent="0.25">
      <c r="A25">
        <v>1.9784600992999999</v>
      </c>
      <c r="B25">
        <v>0.18472502886545764</v>
      </c>
      <c r="C25">
        <f t="shared" si="0"/>
        <v>0.16566593545927022</v>
      </c>
      <c r="D25">
        <f t="shared" si="1"/>
        <v>1.9059093406187416E-2</v>
      </c>
      <c r="E25">
        <f t="shared" si="2"/>
        <v>3.6324904146577667E-4</v>
      </c>
    </row>
    <row r="26" spans="1:5" x14ac:dyDescent="0.25">
      <c r="A26">
        <v>2.0587400146999997</v>
      </c>
      <c r="B26">
        <v>0.15106750241963274</v>
      </c>
      <c r="C26">
        <f t="shared" si="0"/>
        <v>0.14699414441801498</v>
      </c>
      <c r="D26">
        <f t="shared" si="1"/>
        <v>4.0733580016177606E-3</v>
      </c>
      <c r="E26">
        <f t="shared" si="2"/>
        <v>1.6592245409343437E-5</v>
      </c>
    </row>
    <row r="27" spans="1:5" x14ac:dyDescent="0.25">
      <c r="A27">
        <v>2.1390199300999999</v>
      </c>
      <c r="B27">
        <v>0.14558837020752169</v>
      </c>
      <c r="C27">
        <f t="shared" si="0"/>
        <v>0.13002947376092883</v>
      </c>
      <c r="D27">
        <f t="shared" si="1"/>
        <v>1.5558896446592863E-2</v>
      </c>
      <c r="E27">
        <f t="shared" si="2"/>
        <v>2.420792586358E-4</v>
      </c>
    </row>
    <row r="28" spans="1:5" x14ac:dyDescent="0.25">
      <c r="A28">
        <v>2.2192998455000001</v>
      </c>
      <c r="B28">
        <v>0.14793656972699787</v>
      </c>
      <c r="C28">
        <f t="shared" si="0"/>
        <v>0.11468374975758013</v>
      </c>
      <c r="D28">
        <f t="shared" si="1"/>
        <v>3.3252819969417743E-2</v>
      </c>
      <c r="E28">
        <f t="shared" si="2"/>
        <v>1.1057500359185075E-3</v>
      </c>
    </row>
    <row r="29" spans="1:5" x14ac:dyDescent="0.25">
      <c r="A29">
        <v>2.2995797608999999</v>
      </c>
      <c r="B29">
        <v>0.14402290386120425</v>
      </c>
      <c r="C29">
        <f t="shared" si="0"/>
        <v>0.10086026259441168</v>
      </c>
      <c r="D29">
        <f t="shared" si="1"/>
        <v>4.3162641266792576E-2</v>
      </c>
      <c r="E29">
        <f t="shared" si="2"/>
        <v>1.8630136011258255E-3</v>
      </c>
    </row>
    <row r="30" spans="1:5" x14ac:dyDescent="0.25">
      <c r="A30">
        <v>2.3798596762999997</v>
      </c>
      <c r="B30">
        <v>0.11036537741537936</v>
      </c>
      <c r="C30">
        <f t="shared" si="0"/>
        <v>8.8457191781229835E-2</v>
      </c>
      <c r="D30">
        <f t="shared" si="1"/>
        <v>2.1908185634149521E-2</v>
      </c>
      <c r="E30">
        <f t="shared" si="2"/>
        <v>4.7996859778035549E-4</v>
      </c>
    </row>
    <row r="31" spans="1:5" x14ac:dyDescent="0.25">
      <c r="A31">
        <v>2.4601395917</v>
      </c>
      <c r="B31">
        <v>9.9407112991157287E-2</v>
      </c>
      <c r="C31">
        <f t="shared" si="0"/>
        <v>7.7370429772556329E-2</v>
      </c>
      <c r="D31">
        <f t="shared" si="1"/>
        <v>2.2036683218600958E-2</v>
      </c>
      <c r="E31">
        <f t="shared" si="2"/>
        <v>4.856154072769691E-4</v>
      </c>
    </row>
    <row r="32" spans="1:5" x14ac:dyDescent="0.25">
      <c r="A32">
        <v>2.5404195071000002</v>
      </c>
      <c r="B32">
        <v>7.9838783662189314E-2</v>
      </c>
      <c r="C32">
        <f t="shared" si="0"/>
        <v>6.7495870537859368E-2</v>
      </c>
      <c r="D32">
        <f t="shared" si="1"/>
        <v>1.2342913124329946E-2</v>
      </c>
      <c r="E32">
        <f t="shared" si="2"/>
        <v>1.5234750439475643E-4</v>
      </c>
    </row>
    <row r="33" spans="1:5" x14ac:dyDescent="0.25">
      <c r="A33">
        <v>2.6206994225</v>
      </c>
      <c r="B33">
        <v>0.10097257933747472</v>
      </c>
      <c r="C33">
        <f t="shared" si="0"/>
        <v>5.8731227305970649E-2</v>
      </c>
      <c r="D33">
        <f t="shared" si="1"/>
        <v>4.2241352031504073E-2</v>
      </c>
      <c r="E33">
        <f t="shared" si="2"/>
        <v>1.7843318214494533E-3</v>
      </c>
    </row>
    <row r="34" spans="1:5" x14ac:dyDescent="0.25">
      <c r="A34">
        <v>2.7009793378999998</v>
      </c>
      <c r="B34">
        <v>8.1404250008506762E-2</v>
      </c>
      <c r="C34">
        <f t="shared" si="0"/>
        <v>5.0977440380774508E-2</v>
      </c>
      <c r="D34">
        <f t="shared" si="1"/>
        <v>3.0426809627732254E-2</v>
      </c>
      <c r="E34">
        <f t="shared" si="2"/>
        <v>9.2579074412226024E-4</v>
      </c>
    </row>
    <row r="35" spans="1:5" x14ac:dyDescent="0.25">
      <c r="A35">
        <v>2.7812592533</v>
      </c>
      <c r="B35">
        <v>3.8353925484777222E-2</v>
      </c>
      <c r="C35">
        <f t="shared" si="0"/>
        <v>4.4139731977293276E-2</v>
      </c>
      <c r="D35">
        <f t="shared" si="1"/>
        <v>-5.7858064925160532E-3</v>
      </c>
      <c r="E35">
        <f t="shared" si="2"/>
        <v>3.3475556768840911E-5</v>
      </c>
    </row>
    <row r="36" spans="1:5" x14ac:dyDescent="0.25">
      <c r="A36">
        <v>2.8615391687000002</v>
      </c>
      <c r="B36">
        <v>3.6788459138459781E-2</v>
      </c>
      <c r="C36">
        <f t="shared" si="0"/>
        <v>3.8128360651877316E-2</v>
      </c>
      <c r="D36">
        <f t="shared" si="1"/>
        <v>-1.3399015134175352E-3</v>
      </c>
      <c r="E36">
        <f t="shared" si="2"/>
        <v>1.7953360656586012E-6</v>
      </c>
    </row>
    <row r="37" spans="1:5" x14ac:dyDescent="0.25">
      <c r="A37">
        <v>2.9418190841</v>
      </c>
      <c r="B37">
        <v>4.0702125004253381E-2</v>
      </c>
      <c r="C37">
        <f t="shared" si="0"/>
        <v>3.285912327225067E-2</v>
      </c>
      <c r="D37">
        <f t="shared" si="1"/>
        <v>7.8430017320027107E-3</v>
      </c>
      <c r="E37">
        <f t="shared" si="2"/>
        <v>6.1512676168197513E-5</v>
      </c>
    </row>
    <row r="38" spans="1:5" x14ac:dyDescent="0.25">
      <c r="A38">
        <v>3.0220989994999998</v>
      </c>
      <c r="B38">
        <v>4.8529456735840568E-2</v>
      </c>
      <c r="C38">
        <f t="shared" si="0"/>
        <v>2.8253647745046996E-2</v>
      </c>
      <c r="D38">
        <f t="shared" si="1"/>
        <v>2.0275808990793572E-2</v>
      </c>
      <c r="E38">
        <f t="shared" si="2"/>
        <v>4.1110843023114545E-4</v>
      </c>
    </row>
    <row r="39" spans="1:5" x14ac:dyDescent="0.25">
      <c r="A39">
        <v>3.1023789149000001</v>
      </c>
      <c r="B39">
        <v>1.4089197116856939E-2</v>
      </c>
      <c r="C39">
        <f t="shared" si="0"/>
        <v>2.4239515017936832E-2</v>
      </c>
      <c r="D39">
        <f t="shared" si="1"/>
        <v>-1.0150317901079894E-2</v>
      </c>
      <c r="E39">
        <f t="shared" si="2"/>
        <v>1.0302895349298294E-4</v>
      </c>
    </row>
    <row r="40" spans="1:5" x14ac:dyDescent="0.25">
      <c r="A40">
        <v>3.1826588303000003</v>
      </c>
      <c r="B40">
        <v>2.3481995194761563E-2</v>
      </c>
      <c r="C40">
        <f t="shared" si="0"/>
        <v>2.0750244303565334E-2</v>
      </c>
      <c r="D40">
        <f t="shared" si="1"/>
        <v>2.7317508911962295E-3</v>
      </c>
      <c r="E40">
        <f t="shared" si="2"/>
        <v>7.4624629315513943E-6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7062F-8611-4C3B-9B53-DA172DE0C46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5.9885212937500001E-2</v>
      </c>
      <c r="B1">
        <v>0.14626405134430437</v>
      </c>
      <c r="C1">
        <f>$H$3*(1+$H$1)*(A1^($H$1))*EXP(-$H$3*(A1^(1+$H$1)))</f>
        <v>0.28857291641354399</v>
      </c>
      <c r="D1">
        <f>B1-C1</f>
        <v>-0.14230886506923962</v>
      </c>
      <c r="E1">
        <f>D1^2</f>
        <v>2.0251813077295049E-2</v>
      </c>
      <c r="G1" t="s">
        <v>0</v>
      </c>
      <c r="H1">
        <v>0.53188022330790319</v>
      </c>
    </row>
    <row r="2" spans="1:8" x14ac:dyDescent="0.25">
      <c r="A2">
        <v>0.13635731881250002</v>
      </c>
      <c r="B2">
        <v>0.42728823988223752</v>
      </c>
      <c r="C2">
        <f t="shared" ref="C2:C40" si="0">$H$3*(1+$H$1)*(A2^($H$1))*EXP(-$H$3*(A2^(1+$H$1)))</f>
        <v>0.43431419394358711</v>
      </c>
      <c r="D2">
        <f t="shared" ref="D2:D40" si="1">B2-C2</f>
        <v>-7.025954061349593E-3</v>
      </c>
      <c r="E2">
        <f t="shared" ref="E2:E40" si="2">D2^2</f>
        <v>4.936403047219484E-5</v>
      </c>
    </row>
    <row r="3" spans="1:8" x14ac:dyDescent="0.25">
      <c r="A3">
        <v>0.21282942468749999</v>
      </c>
      <c r="B3">
        <v>0.45522631710530687</v>
      </c>
      <c r="C3">
        <f t="shared" si="0"/>
        <v>0.52911820707434742</v>
      </c>
      <c r="D3">
        <f t="shared" si="1"/>
        <v>-7.3891889969040558E-2</v>
      </c>
      <c r="E3">
        <f t="shared" si="2"/>
        <v>5.460011403196797E-3</v>
      </c>
      <c r="G3" t="s">
        <v>1</v>
      </c>
      <c r="H3">
        <f>(_xlfn.GAMMA((2+$H$1)/(1+$H$1)))^(1+$H$1)</f>
        <v>0.85173759167080454</v>
      </c>
    </row>
    <row r="4" spans="1:8" x14ac:dyDescent="0.25">
      <c r="A4">
        <v>0.28930153056249996</v>
      </c>
      <c r="B4">
        <v>0.5061722226297275</v>
      </c>
      <c r="C4">
        <f t="shared" si="0"/>
        <v>0.59388979096153582</v>
      </c>
      <c r="D4">
        <f t="shared" si="1"/>
        <v>-8.7717568331808327E-2</v>
      </c>
      <c r="E4">
        <f t="shared" si="2"/>
        <v>7.6943717940454633E-3</v>
      </c>
    </row>
    <row r="5" spans="1:8" x14ac:dyDescent="0.25">
      <c r="A5">
        <v>0.36577363643749999</v>
      </c>
      <c r="B5">
        <v>0.5908081624525553</v>
      </c>
      <c r="C5">
        <f t="shared" si="0"/>
        <v>0.63674384303775244</v>
      </c>
      <c r="D5">
        <f t="shared" si="1"/>
        <v>-4.5935680585197147E-2</v>
      </c>
      <c r="E5">
        <f t="shared" si="2"/>
        <v>2.110086750825258E-3</v>
      </c>
      <c r="G5" t="s">
        <v>2</v>
      </c>
      <c r="H5">
        <f>SUM(E1:E40)</f>
        <v>0.31672330843993812</v>
      </c>
    </row>
    <row r="6" spans="1:8" x14ac:dyDescent="0.25">
      <c r="A6">
        <v>0.44224574231249991</v>
      </c>
      <c r="B6">
        <v>0.88908822221650186</v>
      </c>
      <c r="C6">
        <f t="shared" si="0"/>
        <v>0.66232351971742742</v>
      </c>
      <c r="D6">
        <f t="shared" si="1"/>
        <v>0.22676470249907443</v>
      </c>
      <c r="E6">
        <f t="shared" si="2"/>
        <v>5.1422230299493735E-2</v>
      </c>
    </row>
    <row r="7" spans="1:8" x14ac:dyDescent="0.25">
      <c r="A7">
        <v>0.51871784818749989</v>
      </c>
      <c r="B7">
        <v>1.0657554752447347</v>
      </c>
      <c r="C7">
        <f t="shared" si="0"/>
        <v>0.67387085796092561</v>
      </c>
      <c r="D7">
        <f t="shared" si="1"/>
        <v>0.39188461728380908</v>
      </c>
      <c r="E7">
        <f t="shared" si="2"/>
        <v>0.15357355326367753</v>
      </c>
    </row>
    <row r="8" spans="1:8" x14ac:dyDescent="0.25">
      <c r="A8">
        <v>0.59518995406249997</v>
      </c>
      <c r="B8">
        <v>0.82746011069502534</v>
      </c>
      <c r="C8">
        <f t="shared" si="0"/>
        <v>0.67391922899775569</v>
      </c>
      <c r="D8">
        <f t="shared" si="1"/>
        <v>0.15354088169726965</v>
      </c>
      <c r="E8">
        <f t="shared" si="2"/>
        <v>2.3574802352374954E-2</v>
      </c>
    </row>
    <row r="9" spans="1:8" x14ac:dyDescent="0.25">
      <c r="A9">
        <v>0.67166205993750006</v>
      </c>
      <c r="B9">
        <v>0.69680851426949497</v>
      </c>
      <c r="C9">
        <f t="shared" si="0"/>
        <v>0.66457611335446842</v>
      </c>
      <c r="D9">
        <f t="shared" si="1"/>
        <v>3.2232400915026549E-2</v>
      </c>
      <c r="E9">
        <f t="shared" si="2"/>
        <v>1.0389276687470042E-3</v>
      </c>
    </row>
    <row r="10" spans="1:8" x14ac:dyDescent="0.25">
      <c r="A10">
        <v>0.74813416581250003</v>
      </c>
      <c r="B10">
        <v>0.65161456582041222</v>
      </c>
      <c r="C10">
        <f t="shared" si="0"/>
        <v>0.64765334474416336</v>
      </c>
      <c r="D10">
        <f t="shared" si="1"/>
        <v>3.9612210762488553E-3</v>
      </c>
      <c r="E10">
        <f t="shared" si="2"/>
        <v>1.5691272414918141E-5</v>
      </c>
    </row>
    <row r="11" spans="1:8" x14ac:dyDescent="0.25">
      <c r="A11">
        <v>0.8246062716875</v>
      </c>
      <c r="B11">
        <v>0.5341102998527969</v>
      </c>
      <c r="C11">
        <f t="shared" si="0"/>
        <v>0.6247325599021859</v>
      </c>
      <c r="D11">
        <f t="shared" si="1"/>
        <v>-9.0622260049389003E-2</v>
      </c>
      <c r="E11">
        <f t="shared" si="2"/>
        <v>8.2123940164590854E-3</v>
      </c>
    </row>
    <row r="12" spans="1:8" x14ac:dyDescent="0.25">
      <c r="A12">
        <v>0.90107837756249998</v>
      </c>
      <c r="B12">
        <v>0.53328859169917719</v>
      </c>
      <c r="C12">
        <f t="shared" si="0"/>
        <v>0.59720093837616661</v>
      </c>
      <c r="D12">
        <f t="shared" si="1"/>
        <v>-6.3912346676989418E-2</v>
      </c>
      <c r="E12">
        <f t="shared" si="2"/>
        <v>4.0847880577596805E-3</v>
      </c>
    </row>
    <row r="13" spans="1:8" x14ac:dyDescent="0.25">
      <c r="A13">
        <v>0.97755048343749995</v>
      </c>
      <c r="B13">
        <v>0.48809464325009438</v>
      </c>
      <c r="C13">
        <f t="shared" si="0"/>
        <v>0.56627283147879215</v>
      </c>
      <c r="D13">
        <f t="shared" si="1"/>
        <v>-7.8178188228697765E-2</v>
      </c>
      <c r="E13">
        <f t="shared" si="2"/>
        <v>6.1118291147216975E-3</v>
      </c>
    </row>
    <row r="14" spans="1:8" x14ac:dyDescent="0.25">
      <c r="A14">
        <v>1.0540225893124999</v>
      </c>
      <c r="B14">
        <v>0.46755193940960221</v>
      </c>
      <c r="C14">
        <f t="shared" si="0"/>
        <v>0.53300470988311499</v>
      </c>
      <c r="D14">
        <f t="shared" si="1"/>
        <v>-6.5452770473512778E-2</v>
      </c>
      <c r="E14">
        <f t="shared" si="2"/>
        <v>4.2840651626583461E-3</v>
      </c>
    </row>
    <row r="15" spans="1:8" x14ac:dyDescent="0.25">
      <c r="A15">
        <v>1.1304946951874999</v>
      </c>
      <c r="B15">
        <v>0.42564482357499811</v>
      </c>
      <c r="C15">
        <f t="shared" si="0"/>
        <v>0.49830710020337698</v>
      </c>
      <c r="D15">
        <f t="shared" si="1"/>
        <v>-7.2662276628378875E-2</v>
      </c>
      <c r="E15">
        <f t="shared" si="2"/>
        <v>5.2798064448190546E-3</v>
      </c>
    </row>
    <row r="16" spans="1:8" x14ac:dyDescent="0.25">
      <c r="A16">
        <v>1.2069668010625001</v>
      </c>
      <c r="B16">
        <v>0.37387720989695783</v>
      </c>
      <c r="C16">
        <f t="shared" si="0"/>
        <v>0.46295532756614299</v>
      </c>
      <c r="D16">
        <f t="shared" si="1"/>
        <v>-8.9078117669185164E-2</v>
      </c>
      <c r="E16">
        <f t="shared" si="2"/>
        <v>7.9349110474851974E-3</v>
      </c>
    </row>
    <row r="17" spans="1:5" x14ac:dyDescent="0.25">
      <c r="A17">
        <v>1.2834389069375001</v>
      </c>
      <c r="B17">
        <v>0.36812525282162001</v>
      </c>
      <c r="C17">
        <f t="shared" si="0"/>
        <v>0.42759992230607424</v>
      </c>
      <c r="D17">
        <f t="shared" si="1"/>
        <v>-5.9474669484454235E-2</v>
      </c>
      <c r="E17">
        <f t="shared" si="2"/>
        <v>3.5372363102850715E-3</v>
      </c>
    </row>
    <row r="18" spans="1:5" x14ac:dyDescent="0.25">
      <c r="A18">
        <v>1.3599110128124998</v>
      </c>
      <c r="B18">
        <v>0.36237329574628219</v>
      </c>
      <c r="C18">
        <f t="shared" si="0"/>
        <v>0.39277703922405732</v>
      </c>
      <c r="D18">
        <f t="shared" si="1"/>
        <v>-3.0403743477775136E-2</v>
      </c>
      <c r="E18">
        <f t="shared" si="2"/>
        <v>9.2438761746235407E-4</v>
      </c>
    </row>
    <row r="19" spans="1:5" x14ac:dyDescent="0.25">
      <c r="A19">
        <v>1.4363831186874998</v>
      </c>
      <c r="B19">
        <v>0.32703984514063561</v>
      </c>
      <c r="C19">
        <f t="shared" si="0"/>
        <v>0.35891896645283089</v>
      </c>
      <c r="D19">
        <f t="shared" si="1"/>
        <v>-3.187912131219528E-2</v>
      </c>
      <c r="E19">
        <f t="shared" si="2"/>
        <v>1.0162783756376634E-3</v>
      </c>
    </row>
    <row r="20" spans="1:5" x14ac:dyDescent="0.25">
      <c r="A20">
        <v>1.5128552245624998</v>
      </c>
      <c r="B20">
        <v>0.29417151899584815</v>
      </c>
      <c r="C20">
        <f t="shared" si="0"/>
        <v>0.32636466153361798</v>
      </c>
      <c r="D20">
        <f t="shared" si="1"/>
        <v>-3.2193142537769837E-2</v>
      </c>
      <c r="E20">
        <f t="shared" si="2"/>
        <v>1.0363984264571658E-3</v>
      </c>
    </row>
    <row r="21" spans="1:5" x14ac:dyDescent="0.25">
      <c r="A21">
        <v>1.5893273304375</v>
      </c>
      <c r="B21">
        <v>0.28020248038431345</v>
      </c>
      <c r="C21">
        <f t="shared" si="0"/>
        <v>0.29537018810872218</v>
      </c>
      <c r="D21">
        <f t="shared" si="1"/>
        <v>-1.516770772440873E-2</v>
      </c>
      <c r="E21">
        <f t="shared" si="2"/>
        <v>2.3005935761308825E-4</v>
      </c>
    </row>
    <row r="22" spans="1:5" x14ac:dyDescent="0.25">
      <c r="A22">
        <v>1.6657994363125002</v>
      </c>
      <c r="B22">
        <v>0.24486902977866687</v>
      </c>
      <c r="C22">
        <f t="shared" si="0"/>
        <v>0.26611890591779908</v>
      </c>
      <c r="D22">
        <f t="shared" si="1"/>
        <v>-2.1249876139132207E-2</v>
      </c>
      <c r="E22">
        <f t="shared" si="2"/>
        <v>4.5155723592846031E-4</v>
      </c>
    </row>
    <row r="23" spans="1:5" x14ac:dyDescent="0.25">
      <c r="A23">
        <v>1.7422715421874999</v>
      </c>
      <c r="B23">
        <v>0.25555123577572281</v>
      </c>
      <c r="C23">
        <f t="shared" si="0"/>
        <v>0.23873127098687846</v>
      </c>
      <c r="D23">
        <f t="shared" si="1"/>
        <v>1.6819964788844344E-2</v>
      </c>
      <c r="E23">
        <f t="shared" si="2"/>
        <v>2.8291121549796355E-4</v>
      </c>
    </row>
    <row r="24" spans="1:5" x14ac:dyDescent="0.25">
      <c r="A24">
        <v>1.8187436480624997</v>
      </c>
      <c r="B24">
        <v>0.23829536454970937</v>
      </c>
      <c r="C24">
        <f t="shared" si="0"/>
        <v>0.21327412078829247</v>
      </c>
      <c r="D24">
        <f t="shared" si="1"/>
        <v>2.50212437614169E-2</v>
      </c>
      <c r="E24">
        <f t="shared" si="2"/>
        <v>6.2606263936824415E-4</v>
      </c>
    </row>
    <row r="25" spans="1:5" x14ac:dyDescent="0.25">
      <c r="A25">
        <v>1.8952157539374999</v>
      </c>
      <c r="B25">
        <v>0.18324091825719033</v>
      </c>
      <c r="C25">
        <f t="shared" si="0"/>
        <v>0.18976934376130444</v>
      </c>
      <c r="D25">
        <f t="shared" si="1"/>
        <v>-6.5284255041141159E-3</v>
      </c>
      <c r="E25">
        <f t="shared" si="2"/>
        <v>4.2620339562767649E-5</v>
      </c>
    </row>
    <row r="26" spans="1:5" x14ac:dyDescent="0.25">
      <c r="A26">
        <v>1.9716878598125001</v>
      </c>
      <c r="B26">
        <v>0.18488433456442968</v>
      </c>
      <c r="C26">
        <f t="shared" si="0"/>
        <v>0.16820185954510028</v>
      </c>
      <c r="D26">
        <f t="shared" si="1"/>
        <v>1.6682475019329401E-2</v>
      </c>
      <c r="E26">
        <f t="shared" si="2"/>
        <v>2.7830497277054949E-4</v>
      </c>
    </row>
    <row r="27" spans="1:5" x14ac:dyDescent="0.25">
      <c r="A27">
        <v>2.0481599656875003</v>
      </c>
      <c r="B27">
        <v>0.17255871226013439</v>
      </c>
      <c r="C27">
        <f t="shared" si="0"/>
        <v>0.14852686285513766</v>
      </c>
      <c r="D27">
        <f t="shared" si="1"/>
        <v>2.4031849404996725E-2</v>
      </c>
      <c r="E27">
        <f t="shared" si="2"/>
        <v>5.7752978582444145E-4</v>
      </c>
    </row>
    <row r="28" spans="1:5" x14ac:dyDescent="0.25">
      <c r="A28">
        <v>2.1246320715625</v>
      </c>
      <c r="B28">
        <v>0.15283771657326187</v>
      </c>
      <c r="C28">
        <f t="shared" si="0"/>
        <v>0.13067630847023279</v>
      </c>
      <c r="D28">
        <f t="shared" si="1"/>
        <v>2.2161408103029079E-2</v>
      </c>
      <c r="E28">
        <f t="shared" si="2"/>
        <v>4.911280091090029E-4</v>
      </c>
    </row>
    <row r="29" spans="1:5" x14ac:dyDescent="0.25">
      <c r="A29">
        <v>2.2011041774374998</v>
      </c>
      <c r="B29">
        <v>0.14872917580516343</v>
      </c>
      <c r="C29">
        <f t="shared" si="0"/>
        <v>0.11456463634979965</v>
      </c>
      <c r="D29">
        <f t="shared" si="1"/>
        <v>3.4164539455363782E-2</v>
      </c>
      <c r="E29">
        <f t="shared" si="2"/>
        <v>1.1672157561971085E-3</v>
      </c>
    </row>
    <row r="30" spans="1:5" x14ac:dyDescent="0.25">
      <c r="A30">
        <v>2.2775762833124999</v>
      </c>
      <c r="B30">
        <v>0.11832597412123501</v>
      </c>
      <c r="C30">
        <f t="shared" si="0"/>
        <v>0.10009375401646069</v>
      </c>
      <c r="D30">
        <f t="shared" si="1"/>
        <v>1.8232220104774322E-2</v>
      </c>
      <c r="E30">
        <f t="shared" si="2"/>
        <v>3.3241384994893696E-4</v>
      </c>
    </row>
    <row r="31" spans="1:5" x14ac:dyDescent="0.25">
      <c r="A31">
        <v>2.3540483891874997</v>
      </c>
      <c r="B31">
        <v>0.12243451488933343</v>
      </c>
      <c r="C31">
        <f t="shared" si="0"/>
        <v>8.7157307900654415E-2</v>
      </c>
      <c r="D31">
        <f t="shared" si="1"/>
        <v>3.5277206988679019E-2</v>
      </c>
      <c r="E31">
        <f t="shared" si="2"/>
        <v>1.2444813329221039E-3</v>
      </c>
    </row>
    <row r="32" spans="1:5" x14ac:dyDescent="0.25">
      <c r="A32">
        <v>2.4305204950624999</v>
      </c>
      <c r="B32">
        <v>9.367472951264437E-2</v>
      </c>
      <c r="C32">
        <f t="shared" si="0"/>
        <v>7.5644286457361556E-2</v>
      </c>
      <c r="D32">
        <f t="shared" si="1"/>
        <v>1.8030443055282813E-2</v>
      </c>
      <c r="E32">
        <f t="shared" si="2"/>
        <v>3.2509687676979623E-4</v>
      </c>
    </row>
    <row r="33" spans="1:5" x14ac:dyDescent="0.25">
      <c r="A33">
        <v>2.5069926009374996</v>
      </c>
      <c r="B33">
        <v>0.10107010289522156</v>
      </c>
      <c r="C33">
        <f t="shared" si="0"/>
        <v>6.5442005783077406E-2</v>
      </c>
      <c r="D33">
        <f t="shared" si="1"/>
        <v>3.5628097112144153E-2</v>
      </c>
      <c r="E33">
        <f t="shared" si="2"/>
        <v>1.2693613038323745E-3</v>
      </c>
    </row>
    <row r="34" spans="1:5" x14ac:dyDescent="0.25">
      <c r="A34">
        <v>2.5834647068124994</v>
      </c>
      <c r="B34">
        <v>8.2992523515588446E-2</v>
      </c>
      <c r="C34">
        <f t="shared" si="0"/>
        <v>5.643853352443725E-2</v>
      </c>
      <c r="D34">
        <f t="shared" si="1"/>
        <v>2.6553989991151196E-2</v>
      </c>
      <c r="E34">
        <f t="shared" si="2"/>
        <v>7.0511438445015786E-4</v>
      </c>
    </row>
    <row r="35" spans="1:5" x14ac:dyDescent="0.25">
      <c r="A35">
        <v>2.6599368126874996</v>
      </c>
      <c r="B35">
        <v>7.3132025672152184E-2</v>
      </c>
      <c r="C35">
        <f t="shared" si="0"/>
        <v>4.8524609465175957E-2</v>
      </c>
      <c r="D35">
        <f t="shared" si="1"/>
        <v>2.4607416206976228E-2</v>
      </c>
      <c r="E35">
        <f t="shared" si="2"/>
        <v>6.0552493238335637E-4</v>
      </c>
    </row>
    <row r="36" spans="1:5" x14ac:dyDescent="0.25">
      <c r="A36">
        <v>2.7364089185624998</v>
      </c>
      <c r="B36">
        <v>4.3550532141843436E-2</v>
      </c>
      <c r="C36">
        <f t="shared" si="0"/>
        <v>4.1595121706941747E-2</v>
      </c>
      <c r="D36">
        <f t="shared" si="1"/>
        <v>1.9554104349016888E-3</v>
      </c>
      <c r="E36">
        <f t="shared" si="2"/>
        <v>3.8236299689224117E-6</v>
      </c>
    </row>
    <row r="37" spans="1:5" x14ac:dyDescent="0.25">
      <c r="A37">
        <v>2.8128810244375</v>
      </c>
      <c r="B37">
        <v>5.0945905524420625E-2</v>
      </c>
      <c r="C37">
        <f t="shared" si="0"/>
        <v>3.5550196216031435E-2</v>
      </c>
      <c r="D37">
        <f t="shared" si="1"/>
        <v>1.539570930838919E-2</v>
      </c>
      <c r="E37">
        <f t="shared" si="2"/>
        <v>2.3702786510842154E-4</v>
      </c>
    </row>
    <row r="38" spans="1:5" x14ac:dyDescent="0.25">
      <c r="A38">
        <v>2.8893531303124997</v>
      </c>
      <c r="B38">
        <v>4.519394844908281E-2</v>
      </c>
      <c r="C38">
        <f t="shared" si="0"/>
        <v>3.0295955063536655E-2</v>
      </c>
      <c r="D38">
        <f t="shared" si="1"/>
        <v>1.4897993385546156E-2</v>
      </c>
      <c r="E38">
        <f t="shared" si="2"/>
        <v>2.2195020691577702E-4</v>
      </c>
    </row>
    <row r="39" spans="1:5" x14ac:dyDescent="0.25">
      <c r="A39">
        <v>2.9658252361874995</v>
      </c>
      <c r="B39">
        <v>2.7938077223069374E-2</v>
      </c>
      <c r="C39">
        <f t="shared" si="0"/>
        <v>2.5744995278778632E-2</v>
      </c>
      <c r="D39">
        <f t="shared" si="1"/>
        <v>2.1930819442907423E-3</v>
      </c>
      <c r="E39">
        <f t="shared" si="2"/>
        <v>4.8096084143740624E-6</v>
      </c>
    </row>
    <row r="40" spans="1:5" x14ac:dyDescent="0.25">
      <c r="A40">
        <v>3.0422973420624997</v>
      </c>
      <c r="B40">
        <v>2.5472952762210312E-2</v>
      </c>
      <c r="C40">
        <f t="shared" si="0"/>
        <v>2.1816636164298242E-2</v>
      </c>
      <c r="D40">
        <f t="shared" si="1"/>
        <v>3.6563165979120703E-3</v>
      </c>
      <c r="E40">
        <f t="shared" si="2"/>
        <v>1.3368651064167297E-5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57EF-6BFE-4237-93C4-5B1681BC8F6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7.4028541212499993E-2</v>
      </c>
      <c r="B1">
        <v>0.13795154779235563</v>
      </c>
      <c r="C1">
        <f>$H$3*(1+$H$1)*(A1^($H$1))*EXP(-$H$3*(A1^(1+$H$1)))</f>
        <v>0.26890915218754458</v>
      </c>
      <c r="D1">
        <f>B1-C1</f>
        <v>-0.13095760439518894</v>
      </c>
      <c r="E1">
        <f>D1^2</f>
        <v>1.7149894148926811E-2</v>
      </c>
      <c r="G1" t="s">
        <v>0</v>
      </c>
      <c r="H1">
        <v>0.61570317275302211</v>
      </c>
    </row>
    <row r="2" spans="1:8" x14ac:dyDescent="0.25">
      <c r="A2">
        <v>0.1469094956375</v>
      </c>
      <c r="B2">
        <v>0.3922997140345113</v>
      </c>
      <c r="C2">
        <f t="shared" ref="C2:C40" si="0">$H$3*(1+$H$1)*(A2^($H$1))*EXP(-$H$3*(A2^(1+$H$1)))</f>
        <v>0.39984463193703512</v>
      </c>
      <c r="D2">
        <f t="shared" ref="D2:D40" si="1">B2-C2</f>
        <v>-7.5449179025238178E-3</v>
      </c>
      <c r="E2">
        <f t="shared" ref="E2:E40" si="2">D2^2</f>
        <v>5.6925786155824407E-5</v>
      </c>
    </row>
    <row r="3" spans="1:8" x14ac:dyDescent="0.25">
      <c r="A3">
        <v>0.21979045006249998</v>
      </c>
      <c r="B3">
        <v>0.45179131901996472</v>
      </c>
      <c r="C3">
        <f t="shared" si="0"/>
        <v>0.49496422864846473</v>
      </c>
      <c r="D3">
        <f t="shared" si="1"/>
        <v>-4.3172909628500011E-2</v>
      </c>
      <c r="E3">
        <f t="shared" si="2"/>
        <v>1.8639001257906289E-3</v>
      </c>
      <c r="G3" t="s">
        <v>1</v>
      </c>
      <c r="H3">
        <f>(_xlfn.GAMMA((2+$H$1)/(1+$H$1)))^(1+$H$1)</f>
        <v>0.83709855619177631</v>
      </c>
    </row>
    <row r="4" spans="1:8" x14ac:dyDescent="0.25">
      <c r="A4">
        <v>0.29267140448749995</v>
      </c>
      <c r="B4">
        <v>0.50524754378950254</v>
      </c>
      <c r="C4">
        <f t="shared" si="0"/>
        <v>0.56578779081816721</v>
      </c>
      <c r="D4">
        <f t="shared" si="1"/>
        <v>-6.0540247028664673E-2</v>
      </c>
      <c r="E4">
        <f t="shared" si="2"/>
        <v>3.6651215102917419E-3</v>
      </c>
    </row>
    <row r="5" spans="1:8" x14ac:dyDescent="0.25">
      <c r="A5">
        <v>0.36555235891249999</v>
      </c>
      <c r="B5">
        <v>0.57680990920678699</v>
      </c>
      <c r="C5">
        <f t="shared" si="0"/>
        <v>0.61734302962060961</v>
      </c>
      <c r="D5">
        <f t="shared" si="1"/>
        <v>-4.0533120413822621E-2</v>
      </c>
      <c r="E5">
        <f t="shared" si="2"/>
        <v>1.642933850481444E-3</v>
      </c>
      <c r="G5" t="s">
        <v>2</v>
      </c>
      <c r="H5">
        <f>SUM(E1:E40)</f>
        <v>0.35425102633404304</v>
      </c>
    </row>
    <row r="6" spans="1:8" x14ac:dyDescent="0.25">
      <c r="A6">
        <v>0.43843331333749996</v>
      </c>
      <c r="B6">
        <v>0.59664044420193807</v>
      </c>
      <c r="C6">
        <f t="shared" si="0"/>
        <v>0.65271060293275163</v>
      </c>
      <c r="D6">
        <f t="shared" si="1"/>
        <v>-5.6070158730813557E-2</v>
      </c>
      <c r="E6">
        <f t="shared" si="2"/>
        <v>3.1438627000986278E-3</v>
      </c>
    </row>
    <row r="7" spans="1:8" x14ac:dyDescent="0.25">
      <c r="A7">
        <v>0.51131426776249989</v>
      </c>
      <c r="B7">
        <v>0.9320351447721027</v>
      </c>
      <c r="C7">
        <f t="shared" si="0"/>
        <v>0.67418876660071791</v>
      </c>
      <c r="D7">
        <f t="shared" si="1"/>
        <v>0.25784637817138478</v>
      </c>
      <c r="E7">
        <f t="shared" si="2"/>
        <v>6.6484754736100771E-2</v>
      </c>
    </row>
    <row r="8" spans="1:8" x14ac:dyDescent="0.25">
      <c r="A8">
        <v>0.58419522218749997</v>
      </c>
      <c r="B8">
        <v>1.0691244953907562</v>
      </c>
      <c r="C8">
        <f t="shared" si="0"/>
        <v>0.68370022332065716</v>
      </c>
      <c r="D8">
        <f t="shared" si="1"/>
        <v>0.38542427207009899</v>
      </c>
      <c r="E8">
        <f t="shared" si="2"/>
        <v>0.14855186950076568</v>
      </c>
    </row>
    <row r="9" spans="1:8" x14ac:dyDescent="0.25">
      <c r="A9">
        <v>0.65707617661249995</v>
      </c>
      <c r="B9">
        <v>0.89064968043439607</v>
      </c>
      <c r="C9">
        <f t="shared" si="0"/>
        <v>0.68295510106218049</v>
      </c>
      <c r="D9">
        <f t="shared" si="1"/>
        <v>0.20769457937221558</v>
      </c>
      <c r="E9">
        <f t="shared" si="2"/>
        <v>4.313703830060156E-2</v>
      </c>
    </row>
    <row r="10" spans="1:8" x14ac:dyDescent="0.25">
      <c r="A10">
        <v>0.72995713103749993</v>
      </c>
      <c r="B10">
        <v>0.73372979482059153</v>
      </c>
      <c r="C10">
        <f t="shared" si="0"/>
        <v>0.67351901199038056</v>
      </c>
      <c r="D10">
        <f t="shared" si="1"/>
        <v>6.0210782830210974E-2</v>
      </c>
      <c r="E10">
        <f t="shared" si="2"/>
        <v>3.6253383690268287E-3</v>
      </c>
    </row>
    <row r="11" spans="1:8" x14ac:dyDescent="0.25">
      <c r="A11">
        <v>0.80283808546250002</v>
      </c>
      <c r="B11">
        <v>0.60784900746006698</v>
      </c>
      <c r="C11">
        <f t="shared" si="0"/>
        <v>0.65684013361270843</v>
      </c>
      <c r="D11">
        <f t="shared" si="1"/>
        <v>-4.8991126152641451E-2</v>
      </c>
      <c r="E11">
        <f t="shared" si="2"/>
        <v>2.4001304417040291E-3</v>
      </c>
    </row>
    <row r="12" spans="1:8" x14ac:dyDescent="0.25">
      <c r="A12">
        <v>0.87571903988750011</v>
      </c>
      <c r="B12">
        <v>0.57077452899087144</v>
      </c>
      <c r="C12">
        <f t="shared" si="0"/>
        <v>0.63425792514800483</v>
      </c>
      <c r="D12">
        <f t="shared" si="1"/>
        <v>-6.3483396157133387E-2</v>
      </c>
      <c r="E12">
        <f t="shared" si="2"/>
        <v>4.0301415876435381E-3</v>
      </c>
    </row>
    <row r="13" spans="1:8" x14ac:dyDescent="0.25">
      <c r="A13">
        <v>0.94859999431250008</v>
      </c>
      <c r="B13">
        <v>0.54749520530091145</v>
      </c>
      <c r="C13">
        <f t="shared" si="0"/>
        <v>0.60700394693084581</v>
      </c>
      <c r="D13">
        <f t="shared" si="1"/>
        <v>-5.9508741629934359E-2</v>
      </c>
      <c r="E13">
        <f t="shared" si="2"/>
        <v>3.5412903303782828E-3</v>
      </c>
    </row>
    <row r="14" spans="1:8" x14ac:dyDescent="0.25">
      <c r="A14">
        <v>1.0214809487375001</v>
      </c>
      <c r="B14">
        <v>0.51904269856873808</v>
      </c>
      <c r="C14">
        <f t="shared" si="0"/>
        <v>0.57619993693307758</v>
      </c>
      <c r="D14">
        <f t="shared" si="1"/>
        <v>-5.7157238364339502E-2</v>
      </c>
      <c r="E14">
        <f t="shared" si="2"/>
        <v>3.2669498974379233E-3</v>
      </c>
    </row>
    <row r="15" spans="1:8" x14ac:dyDescent="0.25">
      <c r="A15">
        <v>1.0943619031624998</v>
      </c>
      <c r="B15">
        <v>0.44230715010924027</v>
      </c>
      <c r="C15">
        <f t="shared" si="0"/>
        <v>0.542855742652258</v>
      </c>
      <c r="D15">
        <f t="shared" si="1"/>
        <v>-0.10054859254301773</v>
      </c>
      <c r="E15">
        <f t="shared" si="2"/>
        <v>1.0110019462381801E-2</v>
      </c>
    </row>
    <row r="16" spans="1:8" x14ac:dyDescent="0.25">
      <c r="A16">
        <v>1.1672428575875</v>
      </c>
      <c r="B16">
        <v>0.38540213664489353</v>
      </c>
      <c r="C16">
        <f t="shared" si="0"/>
        <v>0.50786838219416597</v>
      </c>
      <c r="D16">
        <f t="shared" si="1"/>
        <v>-0.12246624554927243</v>
      </c>
      <c r="E16">
        <f t="shared" si="2"/>
        <v>1.499798129893469E-2</v>
      </c>
    </row>
    <row r="17" spans="1:5" x14ac:dyDescent="0.25">
      <c r="A17">
        <v>1.2401238120125</v>
      </c>
      <c r="B17">
        <v>0.42333881228779136</v>
      </c>
      <c r="C17">
        <f t="shared" si="0"/>
        <v>0.47202278292583649</v>
      </c>
      <c r="D17">
        <f t="shared" si="1"/>
        <v>-4.8683970638045138E-2</v>
      </c>
      <c r="E17">
        <f t="shared" si="2"/>
        <v>2.3701289970860409E-3</v>
      </c>
    </row>
    <row r="18" spans="1:5" x14ac:dyDescent="0.25">
      <c r="A18">
        <v>1.3130047664375</v>
      </c>
      <c r="B18">
        <v>0.36039841860752908</v>
      </c>
      <c r="C18">
        <f t="shared" si="0"/>
        <v>0.43599433484724537</v>
      </c>
      <c r="D18">
        <f t="shared" si="1"/>
        <v>-7.5595916239716288E-2</v>
      </c>
      <c r="E18">
        <f t="shared" si="2"/>
        <v>5.7147425521222005E-3</v>
      </c>
    </row>
    <row r="19" spans="1:5" x14ac:dyDescent="0.25">
      <c r="A19">
        <v>1.3858857208624999</v>
      </c>
      <c r="B19">
        <v>0.36729599599714685</v>
      </c>
      <c r="C19">
        <f t="shared" si="0"/>
        <v>0.40035316092255024</v>
      </c>
      <c r="D19">
        <f t="shared" si="1"/>
        <v>-3.3057164925403393E-2</v>
      </c>
      <c r="E19">
        <f t="shared" si="2"/>
        <v>1.0927761529053203E-3</v>
      </c>
    </row>
    <row r="20" spans="1:5" x14ac:dyDescent="0.25">
      <c r="A20">
        <v>1.4587666752874999</v>
      </c>
      <c r="B20">
        <v>0.31383977122760909</v>
      </c>
      <c r="C20">
        <f t="shared" si="0"/>
        <v>0.36556987656051726</v>
      </c>
      <c r="D20">
        <f t="shared" si="1"/>
        <v>-5.1730105332908172E-2</v>
      </c>
      <c r="E20">
        <f t="shared" si="2"/>
        <v>2.6760037977537746E-3</v>
      </c>
    </row>
    <row r="21" spans="1:5" x14ac:dyDescent="0.25">
      <c r="A21">
        <v>1.5316476297124999</v>
      </c>
      <c r="B21">
        <v>0.2629701379791779</v>
      </c>
      <c r="C21">
        <f t="shared" si="0"/>
        <v>0.33202254567883865</v>
      </c>
      <c r="D21">
        <f t="shared" si="1"/>
        <v>-6.9052407699660756E-2</v>
      </c>
      <c r="E21">
        <f t="shared" si="2"/>
        <v>4.7682350091201682E-3</v>
      </c>
    </row>
    <row r="22" spans="1:5" x14ac:dyDescent="0.25">
      <c r="A22">
        <v>1.6045285841375001</v>
      </c>
      <c r="B22">
        <v>0.31039098253280017</v>
      </c>
      <c r="C22">
        <f t="shared" si="0"/>
        <v>0.30000451795689687</v>
      </c>
      <c r="D22">
        <f t="shared" si="1"/>
        <v>1.0386464575903309E-2</v>
      </c>
      <c r="E22">
        <f t="shared" si="2"/>
        <v>1.0787864638649431E-4</v>
      </c>
    </row>
    <row r="23" spans="1:5" x14ac:dyDescent="0.25">
      <c r="A23">
        <v>1.6774095385624999</v>
      </c>
      <c r="B23">
        <v>0.26383233515288013</v>
      </c>
      <c r="C23">
        <f t="shared" si="0"/>
        <v>0.26973283627781774</v>
      </c>
      <c r="D23">
        <f t="shared" si="1"/>
        <v>-5.9005011249376182E-3</v>
      </c>
      <c r="E23">
        <f t="shared" si="2"/>
        <v>3.4815913525390097E-5</v>
      </c>
    </row>
    <row r="24" spans="1:5" x14ac:dyDescent="0.25">
      <c r="A24">
        <v>1.7502904929874998</v>
      </c>
      <c r="B24">
        <v>0.2534859690684535</v>
      </c>
      <c r="C24">
        <f t="shared" si="0"/>
        <v>0.24135692520852714</v>
      </c>
      <c r="D24">
        <f t="shared" si="1"/>
        <v>1.2129043859926358E-2</v>
      </c>
      <c r="E24">
        <f t="shared" si="2"/>
        <v>1.4711370495601729E-4</v>
      </c>
    </row>
    <row r="25" spans="1:5" x14ac:dyDescent="0.25">
      <c r="A25">
        <v>1.8231714474124998</v>
      </c>
      <c r="B25">
        <v>0.21123830755704456</v>
      </c>
      <c r="C25">
        <f t="shared" si="0"/>
        <v>0.21496730386848178</v>
      </c>
      <c r="D25">
        <f t="shared" si="1"/>
        <v>-3.7289963114372215E-3</v>
      </c>
      <c r="E25">
        <f t="shared" si="2"/>
        <v>1.3905413490712403E-5</v>
      </c>
    </row>
    <row r="26" spans="1:5" x14ac:dyDescent="0.25">
      <c r="A26">
        <v>1.8960524018375</v>
      </c>
      <c r="B26">
        <v>0.17157723756674231</v>
      </c>
      <c r="C26">
        <f t="shared" si="0"/>
        <v>0.19060410482245696</v>
      </c>
      <c r="D26">
        <f t="shared" si="1"/>
        <v>-1.9026867255714647E-2</v>
      </c>
      <c r="E26">
        <f t="shared" si="2"/>
        <v>3.6202167756658619E-4</v>
      </c>
    </row>
    <row r="27" spans="1:5" x14ac:dyDescent="0.25">
      <c r="A27">
        <v>1.9689333562624998</v>
      </c>
      <c r="B27">
        <v>0.20778951886223568</v>
      </c>
      <c r="C27">
        <f t="shared" si="0"/>
        <v>0.1682652211606474</v>
      </c>
      <c r="D27">
        <f t="shared" si="1"/>
        <v>3.9524297701588273E-2</v>
      </c>
      <c r="E27">
        <f t="shared" si="2"/>
        <v>1.562170108803776E-3</v>
      </c>
    </row>
    <row r="28" spans="1:5" x14ac:dyDescent="0.25">
      <c r="A28">
        <v>2.0418143106874997</v>
      </c>
      <c r="B28">
        <v>0.16640405452452897</v>
      </c>
      <c r="C28">
        <f t="shared" si="0"/>
        <v>0.1479139441365504</v>
      </c>
      <c r="D28">
        <f t="shared" si="1"/>
        <v>1.849011038797857E-2</v>
      </c>
      <c r="E28">
        <f t="shared" si="2"/>
        <v>3.4188418215963301E-4</v>
      </c>
    </row>
    <row r="29" spans="1:5" x14ac:dyDescent="0.25">
      <c r="A29">
        <v>2.1146952651124997</v>
      </c>
      <c r="B29">
        <v>0.15778208278750674</v>
      </c>
      <c r="C29">
        <f t="shared" si="0"/>
        <v>0.12948599180291923</v>
      </c>
      <c r="D29">
        <f t="shared" si="1"/>
        <v>2.8296090984587519E-2</v>
      </c>
      <c r="E29">
        <f t="shared" si="2"/>
        <v>8.006687650080551E-4</v>
      </c>
    </row>
    <row r="30" spans="1:5" x14ac:dyDescent="0.25">
      <c r="A30">
        <v>2.1875762195374997</v>
      </c>
      <c r="B30">
        <v>0.13191616757644006</v>
      </c>
      <c r="C30">
        <f t="shared" si="0"/>
        <v>0.11289586378950502</v>
      </c>
      <c r="D30">
        <f t="shared" si="1"/>
        <v>1.9020303786935047E-2</v>
      </c>
      <c r="E30">
        <f t="shared" si="2"/>
        <v>3.6177195614729571E-4</v>
      </c>
    </row>
    <row r="31" spans="1:5" x14ac:dyDescent="0.25">
      <c r="A31">
        <v>2.2604571739625001</v>
      </c>
      <c r="B31">
        <v>0.11294782975499118</v>
      </c>
      <c r="C31">
        <f t="shared" si="0"/>
        <v>9.8042487942102019E-2</v>
      </c>
      <c r="D31">
        <f t="shared" si="1"/>
        <v>1.4905341812889161E-2</v>
      </c>
      <c r="E31">
        <f t="shared" si="2"/>
        <v>2.2216921455906196E-4</v>
      </c>
    </row>
    <row r="32" spans="1:5" x14ac:dyDescent="0.25">
      <c r="A32">
        <v>2.3333381283875001</v>
      </c>
      <c r="B32">
        <v>0.13105397040273786</v>
      </c>
      <c r="C32">
        <f t="shared" si="0"/>
        <v>8.4814150600592692E-2</v>
      </c>
      <c r="D32">
        <f t="shared" si="1"/>
        <v>4.6239819802145171E-2</v>
      </c>
      <c r="E32">
        <f t="shared" si="2"/>
        <v>2.1381209353348567E-3</v>
      </c>
    </row>
    <row r="33" spans="1:5" x14ac:dyDescent="0.25">
      <c r="A33">
        <v>2.4062190828125001</v>
      </c>
      <c r="B33">
        <v>0.10863684388648007</v>
      </c>
      <c r="C33">
        <f t="shared" si="0"/>
        <v>7.3092723734734036E-2</v>
      </c>
      <c r="D33">
        <f t="shared" si="1"/>
        <v>3.5544120151746031E-2</v>
      </c>
      <c r="E33">
        <f t="shared" si="2"/>
        <v>1.2633844773617582E-3</v>
      </c>
    </row>
    <row r="34" spans="1:5" x14ac:dyDescent="0.25">
      <c r="A34">
        <v>2.4791000372374996</v>
      </c>
      <c r="B34">
        <v>9.3117294759840055E-2</v>
      </c>
      <c r="C34">
        <f t="shared" si="0"/>
        <v>6.2757219102010861E-2</v>
      </c>
      <c r="D34">
        <f t="shared" si="1"/>
        <v>3.0360075657829194E-2</v>
      </c>
      <c r="E34">
        <f t="shared" si="2"/>
        <v>9.2173419394911275E-4</v>
      </c>
    </row>
    <row r="35" spans="1:5" x14ac:dyDescent="0.25">
      <c r="A35">
        <v>2.5519809916625</v>
      </c>
      <c r="B35">
        <v>7.0700168243582259E-2</v>
      </c>
      <c r="C35">
        <f t="shared" si="0"/>
        <v>5.3686712325192731E-2</v>
      </c>
      <c r="D35">
        <f t="shared" si="1"/>
        <v>1.7013455918389528E-2</v>
      </c>
      <c r="E35">
        <f t="shared" si="2"/>
        <v>2.8945768228698366E-4</v>
      </c>
    </row>
    <row r="36" spans="1:5" x14ac:dyDescent="0.25">
      <c r="A36">
        <v>2.6248619460875</v>
      </c>
      <c r="B36">
        <v>7.0700168243582259E-2</v>
      </c>
      <c r="C36">
        <f t="shared" si="0"/>
        <v>4.5762688702056666E-2</v>
      </c>
      <c r="D36">
        <f t="shared" si="1"/>
        <v>2.4937479541525594E-2</v>
      </c>
      <c r="E36">
        <f t="shared" si="2"/>
        <v>6.2187788588400749E-4</v>
      </c>
    </row>
    <row r="37" spans="1:5" x14ac:dyDescent="0.25">
      <c r="A37">
        <v>2.6977429005125</v>
      </c>
      <c r="B37">
        <v>5.5180619116942255E-2</v>
      </c>
      <c r="C37">
        <f t="shared" si="0"/>
        <v>3.8870868117473312E-2</v>
      </c>
      <c r="D37">
        <f t="shared" si="1"/>
        <v>1.6309750999468943E-2</v>
      </c>
      <c r="E37">
        <f t="shared" si="2"/>
        <v>2.6600797766467818E-4</v>
      </c>
    </row>
    <row r="38" spans="1:5" x14ac:dyDescent="0.25">
      <c r="A38">
        <v>2.7706238549375</v>
      </c>
      <c r="B38">
        <v>4.3109858685111135E-2</v>
      </c>
      <c r="C38">
        <f t="shared" si="0"/>
        <v>3.2902569122492648E-2</v>
      </c>
      <c r="D38">
        <f t="shared" si="1"/>
        <v>1.0207289562618488E-2</v>
      </c>
      <c r="E38">
        <f t="shared" si="2"/>
        <v>1.0418876021514032E-4</v>
      </c>
    </row>
    <row r="39" spans="1:5" x14ac:dyDescent="0.25">
      <c r="A39">
        <v>2.8435048093624999</v>
      </c>
      <c r="B39">
        <v>3.1039098253280016E-2</v>
      </c>
      <c r="C39">
        <f t="shared" si="0"/>
        <v>2.7755672574136778E-2</v>
      </c>
      <c r="D39">
        <f t="shared" si="1"/>
        <v>3.2834256791432377E-3</v>
      </c>
      <c r="E39">
        <f t="shared" si="2"/>
        <v>1.0780884190457232E-5</v>
      </c>
    </row>
    <row r="40" spans="1:5" x14ac:dyDescent="0.25">
      <c r="A40">
        <v>2.9163857637874999</v>
      </c>
      <c r="B40">
        <v>4.3109858685111135E-2</v>
      </c>
      <c r="C40">
        <f t="shared" si="0"/>
        <v>2.3335243673805874E-2</v>
      </c>
      <c r="D40">
        <f t="shared" si="1"/>
        <v>1.9774615011305261E-2</v>
      </c>
      <c r="E40">
        <f t="shared" si="2"/>
        <v>3.9103539884533938E-4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9CB7-B942-499E-B87E-8CCB02E90B7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9.3199486337499998E-2</v>
      </c>
      <c r="B1">
        <v>0.13014592308757339</v>
      </c>
      <c r="C1">
        <f>$H$3*(1+$H$1)*(A1^($H$1))*EXP(-$H$3*(A1^(1+$H$1)))</f>
        <v>0.26221755728905793</v>
      </c>
      <c r="D1">
        <f>B1-C1</f>
        <v>-0.13207163420148454</v>
      </c>
      <c r="E1">
        <f>D1^2</f>
        <v>1.744291656065074E-2</v>
      </c>
      <c r="G1" t="s">
        <v>0</v>
      </c>
      <c r="H1">
        <v>0.69984035434364544</v>
      </c>
    </row>
    <row r="2" spans="1:8" x14ac:dyDescent="0.25">
      <c r="A2">
        <v>0.1627263390125</v>
      </c>
      <c r="B2">
        <v>0.359708870755932</v>
      </c>
      <c r="C2">
        <f t="shared" ref="C2:C40" si="0">$H$3*(1+$H$1)*(A2^($H$1))*EXP(-$H$3*(A2^(1+$H$1)))</f>
        <v>0.37848686651521801</v>
      </c>
      <c r="D2">
        <f t="shared" ref="D2:D40" si="1">B2-C2</f>
        <v>-1.8777995759286015E-2</v>
      </c>
      <c r="E2">
        <f t="shared" ref="E2:E40" si="2">D2^2</f>
        <v>3.5261312473576354E-4</v>
      </c>
    </row>
    <row r="3" spans="1:8" x14ac:dyDescent="0.25">
      <c r="A3">
        <v>0.2322531916875</v>
      </c>
      <c r="B3">
        <v>0.45370314854140165</v>
      </c>
      <c r="C3">
        <f t="shared" si="0"/>
        <v>0.47054923202793975</v>
      </c>
      <c r="D3">
        <f t="shared" si="1"/>
        <v>-1.6846083486538099E-2</v>
      </c>
      <c r="E3">
        <f t="shared" si="2"/>
        <v>2.8379052883541162E-4</v>
      </c>
      <c r="G3" t="s">
        <v>1</v>
      </c>
      <c r="H3">
        <f>(_xlfn.GAMMA((2+$H$1)/(1+$H$1)))^(1+$H$1)</f>
        <v>0.82382549915657721</v>
      </c>
    </row>
    <row r="4" spans="1:8" x14ac:dyDescent="0.25">
      <c r="A4">
        <v>0.3017800443625</v>
      </c>
      <c r="B4">
        <v>0.52871781254326689</v>
      </c>
      <c r="C4">
        <f t="shared" si="0"/>
        <v>0.54378207465105943</v>
      </c>
      <c r="D4">
        <f t="shared" si="1"/>
        <v>-1.5064262107792548E-2</v>
      </c>
      <c r="E4">
        <f t="shared" si="2"/>
        <v>2.2693199285227437E-4</v>
      </c>
    </row>
    <row r="5" spans="1:8" x14ac:dyDescent="0.25">
      <c r="A5">
        <v>0.37130689703749997</v>
      </c>
      <c r="B5">
        <v>0.56215808444771276</v>
      </c>
      <c r="C5">
        <f t="shared" si="0"/>
        <v>0.60077939972451844</v>
      </c>
      <c r="D5">
        <f t="shared" si="1"/>
        <v>-3.8621315276805679E-2</v>
      </c>
      <c r="E5">
        <f t="shared" si="2"/>
        <v>1.4916059937104236E-3</v>
      </c>
      <c r="G5" t="s">
        <v>2</v>
      </c>
      <c r="H5">
        <f>SUM(E1:E40)</f>
        <v>0.36706075935477694</v>
      </c>
    </row>
    <row r="6" spans="1:8" x14ac:dyDescent="0.25">
      <c r="A6">
        <v>0.4408337497125</v>
      </c>
      <c r="B6">
        <v>0.5847528627615276</v>
      </c>
      <c r="C6">
        <f t="shared" si="0"/>
        <v>0.64325620686033846</v>
      </c>
      <c r="D6">
        <f t="shared" si="1"/>
        <v>-5.8503344098810861E-2</v>
      </c>
      <c r="E6">
        <f t="shared" si="2"/>
        <v>3.4226412707438676E-3</v>
      </c>
    </row>
    <row r="7" spans="1:8" x14ac:dyDescent="0.25">
      <c r="A7">
        <v>0.51036060238749992</v>
      </c>
      <c r="B7">
        <v>0.71670636811420618</v>
      </c>
      <c r="C7">
        <f t="shared" si="0"/>
        <v>0.67261100962708864</v>
      </c>
      <c r="D7">
        <f t="shared" si="1"/>
        <v>4.4095358487117542E-2</v>
      </c>
      <c r="E7">
        <f t="shared" si="2"/>
        <v>1.9444006401074091E-3</v>
      </c>
    </row>
    <row r="8" spans="1:8" x14ac:dyDescent="0.25">
      <c r="A8">
        <v>0.57988745506249995</v>
      </c>
      <c r="B8">
        <v>0.94626931578256479</v>
      </c>
      <c r="C8">
        <f t="shared" si="0"/>
        <v>0.69013007126279446</v>
      </c>
      <c r="D8">
        <f t="shared" si="1"/>
        <v>0.25613924451977033</v>
      </c>
      <c r="E8">
        <f t="shared" si="2"/>
        <v>6.5607312583158689E-2</v>
      </c>
    </row>
    <row r="9" spans="1:8" x14ac:dyDescent="0.25">
      <c r="A9">
        <v>0.64941430773749997</v>
      </c>
      <c r="B9">
        <v>1.0800304034003485</v>
      </c>
      <c r="C9">
        <f t="shared" si="0"/>
        <v>0.6970642697080196</v>
      </c>
      <c r="D9">
        <f t="shared" si="1"/>
        <v>0.3829661336923289</v>
      </c>
      <c r="E9">
        <f t="shared" si="2"/>
        <v>0.14666305955525075</v>
      </c>
    </row>
    <row r="10" spans="1:8" x14ac:dyDescent="0.25">
      <c r="A10">
        <v>0.7189411604125</v>
      </c>
      <c r="B10">
        <v>0.91825179067343443</v>
      </c>
      <c r="C10">
        <f t="shared" si="0"/>
        <v>0.69465292299266646</v>
      </c>
      <c r="D10">
        <f t="shared" si="1"/>
        <v>0.22359886768076798</v>
      </c>
      <c r="E10">
        <f t="shared" si="2"/>
        <v>4.9996453628121586E-2</v>
      </c>
    </row>
    <row r="11" spans="1:8" x14ac:dyDescent="0.25">
      <c r="A11">
        <v>0.78846801308749992</v>
      </c>
      <c r="B11">
        <v>0.70947603905378542</v>
      </c>
      <c r="C11">
        <f t="shared" si="0"/>
        <v>0.68412373655419489</v>
      </c>
      <c r="D11">
        <f t="shared" si="1"/>
        <v>2.5352302499590529E-2</v>
      </c>
      <c r="E11">
        <f t="shared" si="2"/>
        <v>6.4273924203074422E-4</v>
      </c>
    </row>
    <row r="12" spans="1:8" x14ac:dyDescent="0.25">
      <c r="A12">
        <v>0.85799486576249995</v>
      </c>
      <c r="B12">
        <v>0.62180829919618397</v>
      </c>
      <c r="C12">
        <f t="shared" si="0"/>
        <v>0.66668203156471006</v>
      </c>
      <c r="D12">
        <f t="shared" si="1"/>
        <v>-4.4873732368526098E-2</v>
      </c>
      <c r="E12">
        <f t="shared" si="2"/>
        <v>2.0136518566821067E-3</v>
      </c>
    </row>
    <row r="13" spans="1:8" x14ac:dyDescent="0.25">
      <c r="A13">
        <v>0.92752171843749998</v>
      </c>
      <c r="B13">
        <v>0.61728934353342091</v>
      </c>
      <c r="C13">
        <f t="shared" si="0"/>
        <v>0.64349582709216369</v>
      </c>
      <c r="D13">
        <f t="shared" si="1"/>
        <v>-2.6206483558742777E-2</v>
      </c>
      <c r="E13">
        <f t="shared" si="2"/>
        <v>6.867797805146555E-4</v>
      </c>
    </row>
    <row r="14" spans="1:8" x14ac:dyDescent="0.25">
      <c r="A14">
        <v>0.99704857111249989</v>
      </c>
      <c r="B14">
        <v>0.5666770401104757</v>
      </c>
      <c r="C14">
        <f t="shared" si="0"/>
        <v>0.61568028922919626</v>
      </c>
      <c r="D14">
        <f t="shared" si="1"/>
        <v>-4.900324911872056E-2</v>
      </c>
      <c r="E14">
        <f t="shared" si="2"/>
        <v>2.4013184241913873E-3</v>
      </c>
    </row>
    <row r="15" spans="1:8" x14ac:dyDescent="0.25">
      <c r="A15">
        <v>1.0665754237874998</v>
      </c>
      <c r="B15">
        <v>0.44376144608332313</v>
      </c>
      <c r="C15">
        <f t="shared" si="0"/>
        <v>0.5842834828006167</v>
      </c>
      <c r="D15">
        <f t="shared" si="1"/>
        <v>-0.14052203671729357</v>
      </c>
      <c r="E15">
        <f t="shared" si="2"/>
        <v>1.9746442803176403E-2</v>
      </c>
    </row>
    <row r="16" spans="1:8" x14ac:dyDescent="0.25">
      <c r="A16">
        <v>1.1361022764624999</v>
      </c>
      <c r="B16">
        <v>0.43833869928800756</v>
      </c>
      <c r="C16">
        <f t="shared" si="0"/>
        <v>0.55027447083341685</v>
      </c>
      <c r="D16">
        <f t="shared" si="1"/>
        <v>-0.11193577154540929</v>
      </c>
      <c r="E16">
        <f t="shared" si="2"/>
        <v>1.2529616951466061E-2</v>
      </c>
    </row>
    <row r="17" spans="1:5" x14ac:dyDescent="0.25">
      <c r="A17">
        <v>1.2056291291374999</v>
      </c>
      <c r="B17">
        <v>0.43924249042056013</v>
      </c>
      <c r="C17">
        <f t="shared" si="0"/>
        <v>0.51453426552254689</v>
      </c>
      <c r="D17">
        <f t="shared" si="1"/>
        <v>-7.5291775101986758E-2</v>
      </c>
      <c r="E17">
        <f t="shared" si="2"/>
        <v>5.6688513980081533E-3</v>
      </c>
    </row>
    <row r="18" spans="1:5" x14ac:dyDescent="0.25">
      <c r="A18">
        <v>1.2751559818125</v>
      </c>
      <c r="B18">
        <v>0.41664771210674534</v>
      </c>
      <c r="C18">
        <f t="shared" si="0"/>
        <v>0.477849787035382</v>
      </c>
      <c r="D18">
        <f t="shared" si="1"/>
        <v>-6.1202074928636663E-2</v>
      </c>
      <c r="E18">
        <f t="shared" si="2"/>
        <v>3.7456939755704565E-3</v>
      </c>
    </row>
    <row r="19" spans="1:5" x14ac:dyDescent="0.25">
      <c r="A19">
        <v>1.3446828344874997</v>
      </c>
      <c r="B19">
        <v>0.37236194661166827</v>
      </c>
      <c r="C19">
        <f t="shared" si="0"/>
        <v>0.4409107571937797</v>
      </c>
      <c r="D19">
        <f t="shared" si="1"/>
        <v>-6.854881058211143E-2</v>
      </c>
      <c r="E19">
        <f t="shared" si="2"/>
        <v>4.6989394322221921E-3</v>
      </c>
    </row>
    <row r="20" spans="1:5" x14ac:dyDescent="0.25">
      <c r="A20">
        <v>1.4142096871624998</v>
      </c>
      <c r="B20">
        <v>0.3163268963934075</v>
      </c>
      <c r="C20">
        <f t="shared" si="0"/>
        <v>0.40430930388880088</v>
      </c>
      <c r="D20">
        <f t="shared" si="1"/>
        <v>-8.7982407495393378E-2</v>
      </c>
      <c r="E20">
        <f t="shared" si="2"/>
        <v>7.7409040286854532E-3</v>
      </c>
    </row>
    <row r="21" spans="1:5" x14ac:dyDescent="0.25">
      <c r="A21">
        <v>1.4837365398375</v>
      </c>
      <c r="B21">
        <v>0.28740558015172452</v>
      </c>
      <c r="C21">
        <f t="shared" si="0"/>
        <v>0.36854195624410324</v>
      </c>
      <c r="D21">
        <f t="shared" si="1"/>
        <v>-8.1136376092378726E-2</v>
      </c>
      <c r="E21">
        <f t="shared" si="2"/>
        <v>6.5831115254039261E-3</v>
      </c>
    </row>
    <row r="22" spans="1:5" x14ac:dyDescent="0.25">
      <c r="A22">
        <v>1.5532633925125001</v>
      </c>
      <c r="B22">
        <v>0.32626859885148601</v>
      </c>
      <c r="C22">
        <f t="shared" si="0"/>
        <v>0.33401365580976139</v>
      </c>
      <c r="D22">
        <f t="shared" si="1"/>
        <v>-7.7450569582753759E-3</v>
      </c>
      <c r="E22">
        <f t="shared" si="2"/>
        <v>5.9985907286929819E-5</v>
      </c>
    </row>
    <row r="23" spans="1:5" x14ac:dyDescent="0.25">
      <c r="A23">
        <v>1.6227902451874998</v>
      </c>
      <c r="B23">
        <v>0.31723068752596012</v>
      </c>
      <c r="C23">
        <f t="shared" si="0"/>
        <v>0.30104338561453931</v>
      </c>
      <c r="D23">
        <f t="shared" si="1"/>
        <v>1.6187301911420815E-2</v>
      </c>
      <c r="E23">
        <f t="shared" si="2"/>
        <v>2.6202874317148798E-4</v>
      </c>
    </row>
    <row r="24" spans="1:5" x14ac:dyDescent="0.25">
      <c r="A24">
        <v>1.6923170978624997</v>
      </c>
      <c r="B24">
        <v>0.24492739692175267</v>
      </c>
      <c r="C24">
        <f t="shared" si="0"/>
        <v>0.26987101932292301</v>
      </c>
      <c r="D24">
        <f t="shared" si="1"/>
        <v>-2.4943622401170346E-2</v>
      </c>
      <c r="E24">
        <f t="shared" si="2"/>
        <v>6.2218429849216709E-4</v>
      </c>
    </row>
    <row r="25" spans="1:5" x14ac:dyDescent="0.25">
      <c r="A25">
        <v>1.7618439505374999</v>
      </c>
      <c r="B25">
        <v>0.21962124521028006</v>
      </c>
      <c r="C25">
        <f t="shared" si="0"/>
        <v>0.24066501106626809</v>
      </c>
      <c r="D25">
        <f t="shared" si="1"/>
        <v>-2.1043765855988023E-2</v>
      </c>
      <c r="E25">
        <f t="shared" si="2"/>
        <v>4.4284008140164731E-4</v>
      </c>
    </row>
    <row r="26" spans="1:5" x14ac:dyDescent="0.25">
      <c r="A26">
        <v>1.8313708032124998</v>
      </c>
      <c r="B26">
        <v>0.20696816935454376</v>
      </c>
      <c r="C26">
        <f t="shared" si="0"/>
        <v>0.21353057775022294</v>
      </c>
      <c r="D26">
        <f t="shared" si="1"/>
        <v>-6.5624083956791757E-3</v>
      </c>
      <c r="E26">
        <f t="shared" si="2"/>
        <v>4.3065203951680531E-5</v>
      </c>
    </row>
    <row r="27" spans="1:5" x14ac:dyDescent="0.25">
      <c r="A27">
        <v>1.9008976558874999</v>
      </c>
      <c r="B27">
        <v>0.19521888463136006</v>
      </c>
      <c r="C27">
        <f t="shared" si="0"/>
        <v>0.18851806554044404</v>
      </c>
      <c r="D27">
        <f t="shared" si="1"/>
        <v>6.7008190909160215E-3</v>
      </c>
      <c r="E27">
        <f t="shared" si="2"/>
        <v>4.4900976489184617E-5</v>
      </c>
    </row>
    <row r="28" spans="1:5" x14ac:dyDescent="0.25">
      <c r="A28">
        <v>1.9704245085624996</v>
      </c>
      <c r="B28">
        <v>0.20606437822199117</v>
      </c>
      <c r="C28">
        <f t="shared" si="0"/>
        <v>0.16563123720346756</v>
      </c>
      <c r="D28">
        <f t="shared" si="1"/>
        <v>4.0433141018523605E-2</v>
      </c>
      <c r="E28">
        <f t="shared" si="2"/>
        <v>1.634838892623816E-3</v>
      </c>
    </row>
    <row r="29" spans="1:5" x14ac:dyDescent="0.25">
      <c r="A29">
        <v>2.0399513612374998</v>
      </c>
      <c r="B29">
        <v>0.17081652405244005</v>
      </c>
      <c r="C29">
        <f t="shared" si="0"/>
        <v>0.14483526403798402</v>
      </c>
      <c r="D29">
        <f t="shared" si="1"/>
        <v>2.5981260014456026E-2</v>
      </c>
      <c r="E29">
        <f t="shared" si="2"/>
        <v>6.7502587193877151E-4</v>
      </c>
    </row>
    <row r="30" spans="1:5" x14ac:dyDescent="0.25">
      <c r="A30">
        <v>2.1094782139124995</v>
      </c>
      <c r="B30">
        <v>0.12653075855736301</v>
      </c>
      <c r="C30">
        <f t="shared" si="0"/>
        <v>0.126064252849624</v>
      </c>
      <c r="D30">
        <f t="shared" si="1"/>
        <v>4.6650570773901223E-4</v>
      </c>
      <c r="E30">
        <f t="shared" si="2"/>
        <v>2.176275753530767E-7</v>
      </c>
    </row>
    <row r="31" spans="1:5" x14ac:dyDescent="0.25">
      <c r="A31">
        <v>2.1790050665875</v>
      </c>
      <c r="B31">
        <v>0.13195350535267855</v>
      </c>
      <c r="C31">
        <f t="shared" si="0"/>
        <v>0.10922818291032746</v>
      </c>
      <c r="D31">
        <f t="shared" si="1"/>
        <v>2.2725322442351092E-2</v>
      </c>
      <c r="E31">
        <f t="shared" si="2"/>
        <v>5.1644028010882617E-4</v>
      </c>
    </row>
    <row r="32" spans="1:5" x14ac:dyDescent="0.25">
      <c r="A32">
        <v>2.2485319192624997</v>
      </c>
      <c r="B32">
        <v>0.13285729648523115</v>
      </c>
      <c r="C32">
        <f t="shared" si="0"/>
        <v>9.4219168707537784E-2</v>
      </c>
      <c r="D32">
        <f t="shared" si="1"/>
        <v>3.8638127777693362E-2</v>
      </c>
      <c r="E32">
        <f t="shared" si="2"/>
        <v>1.4929049181653595E-3</v>
      </c>
    </row>
    <row r="33" spans="1:5" x14ac:dyDescent="0.25">
      <c r="A33">
        <v>2.3180587719374999</v>
      </c>
      <c r="B33">
        <v>0.13737625214799412</v>
      </c>
      <c r="C33">
        <f t="shared" si="0"/>
        <v>8.0917000582744592E-2</v>
      </c>
      <c r="D33">
        <f t="shared" si="1"/>
        <v>5.645925156524953E-2</v>
      </c>
      <c r="E33">
        <f t="shared" si="2"/>
        <v>3.1876470873081313E-3</v>
      </c>
    </row>
    <row r="34" spans="1:5" x14ac:dyDescent="0.25">
      <c r="A34">
        <v>2.3875856246125</v>
      </c>
      <c r="B34">
        <v>9.7609442315680028E-2</v>
      </c>
      <c r="C34">
        <f t="shared" si="0"/>
        <v>6.9193946530473283E-2</v>
      </c>
      <c r="D34">
        <f t="shared" si="1"/>
        <v>2.8415495785206746E-2</v>
      </c>
      <c r="E34">
        <f t="shared" si="2"/>
        <v>8.074404007191023E-4</v>
      </c>
    </row>
    <row r="35" spans="1:5" x14ac:dyDescent="0.25">
      <c r="A35">
        <v>2.4571124772874997</v>
      </c>
      <c r="B35">
        <v>7.1399499471654845E-2</v>
      </c>
      <c r="C35">
        <f t="shared" si="0"/>
        <v>5.8918824258564477E-2</v>
      </c>
      <c r="D35">
        <f t="shared" si="1"/>
        <v>1.2480675213090368E-2</v>
      </c>
      <c r="E35">
        <f t="shared" si="2"/>
        <v>1.5576725377464831E-4</v>
      </c>
    </row>
    <row r="36" spans="1:5" x14ac:dyDescent="0.25">
      <c r="A36">
        <v>2.5266393299624994</v>
      </c>
      <c r="B36">
        <v>7.3207081736760021E-2</v>
      </c>
      <c r="C36">
        <f t="shared" si="0"/>
        <v>4.9960373151938527E-2</v>
      </c>
      <c r="D36">
        <f t="shared" si="1"/>
        <v>2.3246708584821495E-2</v>
      </c>
      <c r="E36">
        <f t="shared" si="2"/>
        <v>5.4040946002761338E-4</v>
      </c>
    </row>
    <row r="37" spans="1:5" x14ac:dyDescent="0.25">
      <c r="A37">
        <v>2.5961661826375</v>
      </c>
      <c r="B37">
        <v>8.5860157592496322E-2</v>
      </c>
      <c r="C37">
        <f t="shared" si="0"/>
        <v>4.2189971300509263E-2</v>
      </c>
      <c r="D37">
        <f t="shared" si="1"/>
        <v>4.3670186291987059E-2</v>
      </c>
      <c r="E37">
        <f t="shared" si="2"/>
        <v>1.9070851707768545E-3</v>
      </c>
    </row>
    <row r="38" spans="1:5" x14ac:dyDescent="0.25">
      <c r="A38">
        <v>2.6656930353124997</v>
      </c>
      <c r="B38">
        <v>4.7900930025287426E-2</v>
      </c>
      <c r="C38">
        <f t="shared" si="0"/>
        <v>3.5483753668132258E-2</v>
      </c>
      <c r="D38">
        <f t="shared" si="1"/>
        <v>1.2417176357155169E-2</v>
      </c>
      <c r="E38">
        <f t="shared" si="2"/>
        <v>1.5418626868469331E-4</v>
      </c>
    </row>
    <row r="39" spans="1:5" x14ac:dyDescent="0.25">
      <c r="A39">
        <v>2.7352198879874998</v>
      </c>
      <c r="B39">
        <v>3.1632689639340753E-2</v>
      </c>
      <c r="C39">
        <f t="shared" si="0"/>
        <v>2.9724194317302329E-2</v>
      </c>
      <c r="D39">
        <f t="shared" si="1"/>
        <v>1.9084953220384233E-3</v>
      </c>
      <c r="E39">
        <f t="shared" si="2"/>
        <v>3.6423543942425453E-6</v>
      </c>
    </row>
    <row r="40" spans="1:5" x14ac:dyDescent="0.25">
      <c r="A40">
        <v>2.8047467406625</v>
      </c>
      <c r="B40">
        <v>4.9708512290392609E-2</v>
      </c>
      <c r="C40">
        <f t="shared" si="0"/>
        <v>2.4801218945512335E-2</v>
      </c>
      <c r="D40">
        <f t="shared" si="1"/>
        <v>2.4907293344880274E-2</v>
      </c>
      <c r="E40">
        <f t="shared" si="2"/>
        <v>6.2037326176791715E-4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7F48F-5133-4147-91CA-FCDC9692E65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0.10244701639999999</v>
      </c>
      <c r="B1">
        <v>0.1106369202990215</v>
      </c>
      <c r="C1">
        <f>$H$3*(1+$H$1)*(A1^($H$1))*EXP(-$H$3*(A1^(1+$H$1)))</f>
        <v>0.2359700764380612</v>
      </c>
      <c r="D1">
        <f>B1-C1</f>
        <v>-0.1253331561390397</v>
      </c>
      <c r="E1">
        <f>D1^2</f>
        <v>1.5708400027772903E-2</v>
      </c>
      <c r="G1" t="s">
        <v>0</v>
      </c>
      <c r="H1">
        <v>0.79164532627627249</v>
      </c>
    </row>
    <row r="2" spans="1:8" x14ac:dyDescent="0.25">
      <c r="A2">
        <v>0.1694667312</v>
      </c>
      <c r="B2">
        <v>0.2325250528318418</v>
      </c>
      <c r="C2">
        <f t="shared" ref="C2:C40" si="0">$H$3*(1+$H$1)*(A2^($H$1))*EXP(-$H$3*(A2^(1+$H$1)))</f>
        <v>0.3445103566737609</v>
      </c>
      <c r="D2">
        <f t="shared" ref="D2:D40" si="1">B2-C2</f>
        <v>-0.1119853038419191</v>
      </c>
      <c r="E2">
        <f t="shared" ref="E2:E40" si="2">D2^2</f>
        <v>1.2540708276566941E-2</v>
      </c>
    </row>
    <row r="3" spans="1:8" x14ac:dyDescent="0.25">
      <c r="A3">
        <v>0.23648644600000002</v>
      </c>
      <c r="B3">
        <v>0.48942773217024765</v>
      </c>
      <c r="C3">
        <f t="shared" si="0"/>
        <v>0.43633097704861679</v>
      </c>
      <c r="D3">
        <f t="shared" si="1"/>
        <v>5.3096755121630868E-2</v>
      </c>
      <c r="E3">
        <f t="shared" si="2"/>
        <v>2.8192654044464339E-3</v>
      </c>
      <c r="G3" t="s">
        <v>1</v>
      </c>
      <c r="H3">
        <f>(_xlfn.GAMMA((2+$H$1)/(1+$H$1)))^(1+$H$1)</f>
        <v>0.81073527300131987</v>
      </c>
    </row>
    <row r="4" spans="1:8" x14ac:dyDescent="0.25">
      <c r="A4">
        <v>0.30350616080000004</v>
      </c>
      <c r="B4">
        <v>0.54099578824182548</v>
      </c>
      <c r="C4">
        <f t="shared" si="0"/>
        <v>0.51358318341063214</v>
      </c>
      <c r="D4">
        <f t="shared" si="1"/>
        <v>2.7412604831193343E-2</v>
      </c>
      <c r="E4">
        <f t="shared" si="2"/>
        <v>7.5145090363116466E-4</v>
      </c>
    </row>
    <row r="5" spans="1:8" x14ac:dyDescent="0.25">
      <c r="A5">
        <v>0.3705258756</v>
      </c>
      <c r="B5">
        <v>0.54193338926130874</v>
      </c>
      <c r="C5">
        <f t="shared" si="0"/>
        <v>0.57721826518356634</v>
      </c>
      <c r="D5">
        <f t="shared" si="1"/>
        <v>-3.5284875922257597E-2</v>
      </c>
      <c r="E5">
        <f t="shared" si="2"/>
        <v>1.245022468849114E-3</v>
      </c>
      <c r="G5" t="s">
        <v>2</v>
      </c>
      <c r="H5">
        <f>SUM(E1:E40)</f>
        <v>0.42862747478676994</v>
      </c>
    </row>
    <row r="6" spans="1:8" x14ac:dyDescent="0.25">
      <c r="A6">
        <v>0.43754559040000002</v>
      </c>
      <c r="B6">
        <v>0.61225346572255113</v>
      </c>
      <c r="C6">
        <f t="shared" si="0"/>
        <v>0.62787400654219594</v>
      </c>
      <c r="D6">
        <f t="shared" si="1"/>
        <v>-1.5620540819644813E-2</v>
      </c>
      <c r="E6">
        <f t="shared" si="2"/>
        <v>2.4400129549818984E-4</v>
      </c>
    </row>
    <row r="7" spans="1:8" x14ac:dyDescent="0.25">
      <c r="A7">
        <v>0.50456530519999998</v>
      </c>
      <c r="B7">
        <v>0.67132232994999486</v>
      </c>
      <c r="C7">
        <f t="shared" si="0"/>
        <v>0.66615689213111873</v>
      </c>
      <c r="D7">
        <f t="shared" si="1"/>
        <v>5.1654378188761285E-3</v>
      </c>
      <c r="E7">
        <f t="shared" si="2"/>
        <v>2.6681747860675776E-5</v>
      </c>
    </row>
    <row r="8" spans="1:8" x14ac:dyDescent="0.25">
      <c r="A8">
        <v>0.57158502</v>
      </c>
      <c r="B8">
        <v>0.70320076461242476</v>
      </c>
      <c r="C8">
        <f t="shared" si="0"/>
        <v>0.6927442903854677</v>
      </c>
      <c r="D8">
        <f t="shared" si="1"/>
        <v>1.0456474226957058E-2</v>
      </c>
      <c r="E8">
        <f t="shared" si="2"/>
        <v>1.0933785325901719E-4</v>
      </c>
    </row>
    <row r="9" spans="1:8" x14ac:dyDescent="0.25">
      <c r="A9">
        <v>0.63860473480000002</v>
      </c>
      <c r="B9">
        <v>1.0154219041003414</v>
      </c>
      <c r="C9">
        <f t="shared" si="0"/>
        <v>0.70841669369630456</v>
      </c>
      <c r="D9">
        <f t="shared" si="1"/>
        <v>0.30700521040403683</v>
      </c>
      <c r="E9">
        <f t="shared" si="2"/>
        <v>9.4252199215226928E-2</v>
      </c>
    </row>
    <row r="10" spans="1:8" x14ac:dyDescent="0.25">
      <c r="A10">
        <v>0.70562444960000004</v>
      </c>
      <c r="B10">
        <v>1.1298092284772958</v>
      </c>
      <c r="C10">
        <f t="shared" si="0"/>
        <v>0.71405813006648744</v>
      </c>
      <c r="D10">
        <f t="shared" si="1"/>
        <v>0.41575109841080837</v>
      </c>
      <c r="E10">
        <f t="shared" si="2"/>
        <v>0.17284897582979367</v>
      </c>
    </row>
    <row r="11" spans="1:8" x14ac:dyDescent="0.25">
      <c r="A11">
        <v>0.77264416440000006</v>
      </c>
      <c r="B11">
        <v>0.86821854404147381</v>
      </c>
      <c r="C11">
        <f t="shared" si="0"/>
        <v>0.71064086113266001</v>
      </c>
      <c r="D11">
        <f t="shared" si="1"/>
        <v>0.1575776829088138</v>
      </c>
      <c r="E11">
        <f t="shared" si="2"/>
        <v>2.4830726150910667E-2</v>
      </c>
    </row>
    <row r="12" spans="1:8" x14ac:dyDescent="0.25">
      <c r="A12">
        <v>0.83966387920000007</v>
      </c>
      <c r="B12">
        <v>0.69007435033965947</v>
      </c>
      <c r="C12">
        <f t="shared" si="0"/>
        <v>0.69920234587157948</v>
      </c>
      <c r="D12">
        <f t="shared" si="1"/>
        <v>-9.1279955319200079E-3</v>
      </c>
      <c r="E12">
        <f t="shared" si="2"/>
        <v>8.3320302430751634E-5</v>
      </c>
    </row>
    <row r="13" spans="1:8" x14ac:dyDescent="0.25">
      <c r="A13">
        <v>0.90668359400000009</v>
      </c>
      <c r="B13">
        <v>0.69945036053449183</v>
      </c>
      <c r="C13">
        <f t="shared" si="0"/>
        <v>0.6808189568942673</v>
      </c>
      <c r="D13">
        <f t="shared" si="1"/>
        <v>1.8631403640224531E-2</v>
      </c>
      <c r="E13">
        <f t="shared" si="2"/>
        <v>3.4712920160497192E-4</v>
      </c>
    </row>
    <row r="14" spans="1:8" x14ac:dyDescent="0.25">
      <c r="A14">
        <v>0.9737033088</v>
      </c>
      <c r="B14">
        <v>0.65538311261877991</v>
      </c>
      <c r="C14">
        <f t="shared" si="0"/>
        <v>0.65657921949679232</v>
      </c>
      <c r="D14">
        <f t="shared" si="1"/>
        <v>-1.1961068780124151E-3</v>
      </c>
      <c r="E14">
        <f t="shared" si="2"/>
        <v>1.4306716636286064E-6</v>
      </c>
    </row>
    <row r="15" spans="1:8" x14ac:dyDescent="0.25">
      <c r="A15">
        <v>1.0407230236</v>
      </c>
      <c r="B15">
        <v>0.46880050974161652</v>
      </c>
      <c r="C15">
        <f t="shared" si="0"/>
        <v>0.62755837943525017</v>
      </c>
      <c r="D15">
        <f t="shared" si="1"/>
        <v>-0.15875786969363365</v>
      </c>
      <c r="E15">
        <f t="shared" si="2"/>
        <v>2.5204061189660759E-2</v>
      </c>
    </row>
    <row r="16" spans="1:8" x14ac:dyDescent="0.25">
      <c r="A16">
        <v>1.1077427384</v>
      </c>
      <c r="B16">
        <v>0.47723891891696563</v>
      </c>
      <c r="C16">
        <f t="shared" si="0"/>
        <v>0.59479549077324034</v>
      </c>
      <c r="D16">
        <f t="shared" si="1"/>
        <v>-0.11755657185627472</v>
      </c>
      <c r="E16">
        <f t="shared" si="2"/>
        <v>1.3819547586599481E-2</v>
      </c>
    </row>
    <row r="17" spans="1:5" x14ac:dyDescent="0.25">
      <c r="A17">
        <v>1.1747624532000001</v>
      </c>
      <c r="B17">
        <v>0.44348528221556921</v>
      </c>
      <c r="C17">
        <f t="shared" si="0"/>
        <v>0.55927377998347849</v>
      </c>
      <c r="D17">
        <f t="shared" si="1"/>
        <v>-0.11578849776790928</v>
      </c>
      <c r="E17">
        <f t="shared" si="2"/>
        <v>1.3406976215349134E-2</v>
      </c>
    </row>
    <row r="18" spans="1:5" x14ac:dyDescent="0.25">
      <c r="A18">
        <v>1.2417821680000001</v>
      </c>
      <c r="B18">
        <v>0.46223730260523388</v>
      </c>
      <c r="C18">
        <f t="shared" si="0"/>
        <v>0.52190471152795148</v>
      </c>
      <c r="D18">
        <f t="shared" si="1"/>
        <v>-5.9667408922717602E-2</v>
      </c>
      <c r="E18">
        <f t="shared" si="2"/>
        <v>3.5601996875508002E-3</v>
      </c>
    </row>
    <row r="19" spans="1:5" x14ac:dyDescent="0.25">
      <c r="A19">
        <v>1.3088018828000001</v>
      </c>
      <c r="B19">
        <v>0.41066924653365605</v>
      </c>
      <c r="C19">
        <f t="shared" si="0"/>
        <v>0.48351591907577862</v>
      </c>
      <c r="D19">
        <f t="shared" si="1"/>
        <v>-7.284667254212257E-2</v>
      </c>
      <c r="E19">
        <f t="shared" si="2"/>
        <v>5.3066377004592344E-3</v>
      </c>
    </row>
    <row r="20" spans="1:5" x14ac:dyDescent="0.25">
      <c r="A20">
        <v>1.3758215975999999</v>
      </c>
      <c r="B20">
        <v>0.30940833642946691</v>
      </c>
      <c r="C20">
        <f t="shared" si="0"/>
        <v>0.44484295918755862</v>
      </c>
      <c r="D20">
        <f t="shared" si="1"/>
        <v>-0.13543462275809171</v>
      </c>
      <c r="E20">
        <f t="shared" si="2"/>
        <v>1.8342537041626611E-2</v>
      </c>
    </row>
    <row r="21" spans="1:5" x14ac:dyDescent="0.25">
      <c r="A21">
        <v>1.4428413124000001</v>
      </c>
      <c r="B21">
        <v>0.33284836191654771</v>
      </c>
      <c r="C21">
        <f t="shared" si="0"/>
        <v>0.40652468252537827</v>
      </c>
      <c r="D21">
        <f t="shared" si="1"/>
        <v>-7.3676320608830559E-2</v>
      </c>
      <c r="E21">
        <f t="shared" si="2"/>
        <v>5.4282002184551908E-3</v>
      </c>
    </row>
    <row r="22" spans="1:5" x14ac:dyDescent="0.25">
      <c r="A22">
        <v>1.5098610272000001</v>
      </c>
      <c r="B22">
        <v>0.33472356395551423</v>
      </c>
      <c r="C22">
        <f t="shared" si="0"/>
        <v>0.36910189652734104</v>
      </c>
      <c r="D22">
        <f t="shared" si="1"/>
        <v>-3.437833257182682E-2</v>
      </c>
      <c r="E22">
        <f t="shared" si="2"/>
        <v>1.1818697504191289E-3</v>
      </c>
    </row>
    <row r="23" spans="1:5" x14ac:dyDescent="0.25">
      <c r="A23">
        <v>1.5768807420000002</v>
      </c>
      <c r="B23">
        <v>0.31222113948791663</v>
      </c>
      <c r="C23">
        <f t="shared" si="0"/>
        <v>0.33301890916339583</v>
      </c>
      <c r="D23">
        <f t="shared" si="1"/>
        <v>-2.0797769675479194E-2</v>
      </c>
      <c r="E23">
        <f t="shared" si="2"/>
        <v>4.3254722347428192E-4</v>
      </c>
    </row>
    <row r="24" spans="1:5" x14ac:dyDescent="0.25">
      <c r="A24">
        <v>1.6439004568</v>
      </c>
      <c r="B24">
        <v>0.30472033133205073</v>
      </c>
      <c r="C24">
        <f t="shared" si="0"/>
        <v>0.29862749209734918</v>
      </c>
      <c r="D24">
        <f t="shared" si="1"/>
        <v>6.0928392347015525E-3</v>
      </c>
      <c r="E24">
        <f t="shared" si="2"/>
        <v>3.71226899399186E-5</v>
      </c>
    </row>
    <row r="25" spans="1:5" x14ac:dyDescent="0.25">
      <c r="A25">
        <v>1.7109201716000002</v>
      </c>
      <c r="B25">
        <v>0.21658583550062682</v>
      </c>
      <c r="C25">
        <f t="shared" si="0"/>
        <v>0.26619277927334162</v>
      </c>
      <c r="D25">
        <f t="shared" si="1"/>
        <v>-4.9606943772714795E-2</v>
      </c>
      <c r="E25">
        <f t="shared" si="2"/>
        <v>2.4608488704692872E-3</v>
      </c>
    </row>
    <row r="26" spans="1:5" x14ac:dyDescent="0.25">
      <c r="A26">
        <v>1.7779398864</v>
      </c>
      <c r="B26">
        <v>0.22596184569545916</v>
      </c>
      <c r="C26">
        <f t="shared" si="0"/>
        <v>0.23590061925719483</v>
      </c>
      <c r="D26">
        <f t="shared" si="1"/>
        <v>-9.9387735617356698E-3</v>
      </c>
      <c r="E26">
        <f t="shared" si="2"/>
        <v>9.8779219911455932E-5</v>
      </c>
    </row>
    <row r="27" spans="1:5" x14ac:dyDescent="0.25">
      <c r="A27">
        <v>1.8449596012000002</v>
      </c>
      <c r="B27">
        <v>0.20345942122786156</v>
      </c>
      <c r="C27">
        <f t="shared" si="0"/>
        <v>0.20786592201460719</v>
      </c>
      <c r="D27">
        <f t="shared" si="1"/>
        <v>-4.4065007867456207E-3</v>
      </c>
      <c r="E27">
        <f t="shared" si="2"/>
        <v>1.9417249183589775E-5</v>
      </c>
    </row>
    <row r="28" spans="1:5" x14ac:dyDescent="0.25">
      <c r="A28">
        <v>1.911979316</v>
      </c>
      <c r="B28">
        <v>0.21471063346166036</v>
      </c>
      <c r="C28">
        <f t="shared" si="0"/>
        <v>0.18214157858092592</v>
      </c>
      <c r="D28">
        <f t="shared" si="1"/>
        <v>3.2569054880734444E-2</v>
      </c>
      <c r="E28">
        <f t="shared" si="2"/>
        <v>1.060743335824292E-3</v>
      </c>
    </row>
    <row r="29" spans="1:5" x14ac:dyDescent="0.25">
      <c r="A29">
        <v>1.9789990308000001</v>
      </c>
      <c r="B29">
        <v>0.18752020389664661</v>
      </c>
      <c r="C29">
        <f t="shared" si="0"/>
        <v>0.15872758079981381</v>
      </c>
      <c r="D29">
        <f t="shared" si="1"/>
        <v>2.8792623096832809E-2</v>
      </c>
      <c r="E29">
        <f t="shared" si="2"/>
        <v>8.2901514479627014E-4</v>
      </c>
    </row>
    <row r="30" spans="1:5" x14ac:dyDescent="0.25">
      <c r="A30">
        <v>2.0460187456000005</v>
      </c>
      <c r="B30">
        <v>0.14064015292248497</v>
      </c>
      <c r="C30">
        <f t="shared" si="0"/>
        <v>0.13758002382518855</v>
      </c>
      <c r="D30">
        <f t="shared" si="1"/>
        <v>3.0601290972964157E-3</v>
      </c>
      <c r="E30">
        <f t="shared" si="2"/>
        <v>9.3643900921201767E-6</v>
      </c>
    </row>
    <row r="31" spans="1:5" x14ac:dyDescent="0.25">
      <c r="A31">
        <v>2.1130384604000003</v>
      </c>
      <c r="B31">
        <v>0.13501454680558556</v>
      </c>
      <c r="C31">
        <f t="shared" si="0"/>
        <v>0.11861973268797762</v>
      </c>
      <c r="D31">
        <f t="shared" si="1"/>
        <v>1.6394814117607931E-2</v>
      </c>
      <c r="E31">
        <f t="shared" si="2"/>
        <v>2.6878992995091631E-4</v>
      </c>
    </row>
    <row r="32" spans="1:5" x14ac:dyDescent="0.25">
      <c r="A32">
        <v>2.1800581752000001</v>
      </c>
      <c r="B32">
        <v>0.14064015292248497</v>
      </c>
      <c r="C32">
        <f t="shared" si="0"/>
        <v>0.10174031276777508</v>
      </c>
      <c r="D32">
        <f t="shared" si="1"/>
        <v>3.8899840154709889E-2</v>
      </c>
      <c r="E32">
        <f t="shared" si="2"/>
        <v>1.5131975640619798E-3</v>
      </c>
    </row>
    <row r="33" spans="1:5" x14ac:dyDescent="0.25">
      <c r="A33">
        <v>2.2470778899999999</v>
      </c>
      <c r="B33">
        <v>0.16314257739008256</v>
      </c>
      <c r="C33">
        <f t="shared" si="0"/>
        <v>8.6815479918405061E-2</v>
      </c>
      <c r="D33">
        <f t="shared" si="1"/>
        <v>7.6327097471677499E-2</v>
      </c>
      <c r="E33">
        <f t="shared" si="2"/>
        <v>5.8258258084509578E-3</v>
      </c>
    </row>
    <row r="34" spans="1:5" x14ac:dyDescent="0.25">
      <c r="A34">
        <v>2.3140976048000002</v>
      </c>
      <c r="B34">
        <v>9.3760101948323307E-2</v>
      </c>
      <c r="C34">
        <f t="shared" si="0"/>
        <v>7.3705577325661881E-2</v>
      </c>
      <c r="D34">
        <f t="shared" si="1"/>
        <v>2.0054524622661427E-2</v>
      </c>
      <c r="E34">
        <f t="shared" si="2"/>
        <v>4.0218395784093344E-4</v>
      </c>
    </row>
    <row r="35" spans="1:5" x14ac:dyDescent="0.25">
      <c r="A35">
        <v>2.3811173196000004</v>
      </c>
      <c r="B35">
        <v>7.5008081558658637E-2</v>
      </c>
      <c r="C35">
        <f t="shared" si="0"/>
        <v>6.2263231565387066E-2</v>
      </c>
      <c r="D35">
        <f t="shared" si="1"/>
        <v>1.2744849993271572E-2</v>
      </c>
      <c r="E35">
        <f t="shared" si="2"/>
        <v>1.6243120135099438E-4</v>
      </c>
    </row>
    <row r="36" spans="1:5" x14ac:dyDescent="0.25">
      <c r="A36">
        <v>2.4481370344000002</v>
      </c>
      <c r="B36">
        <v>8.2508889714524511E-2</v>
      </c>
      <c r="C36">
        <f t="shared" si="0"/>
        <v>5.2338138963767551E-2</v>
      </c>
      <c r="D36">
        <f t="shared" si="1"/>
        <v>3.017075075075696E-2</v>
      </c>
      <c r="E36">
        <f t="shared" si="2"/>
        <v>9.1027420086430162E-4</v>
      </c>
    </row>
    <row r="37" spans="1:5" x14ac:dyDescent="0.25">
      <c r="A37">
        <v>2.5151567492</v>
      </c>
      <c r="B37">
        <v>8.2508889714524511E-2</v>
      </c>
      <c r="C37">
        <f t="shared" si="0"/>
        <v>4.3781004898891522E-2</v>
      </c>
      <c r="D37">
        <f t="shared" si="1"/>
        <v>3.8727884815632989E-2</v>
      </c>
      <c r="E37">
        <f t="shared" si="2"/>
        <v>1.4998490622929361E-3</v>
      </c>
    </row>
    <row r="38" spans="1:5" x14ac:dyDescent="0.25">
      <c r="A38">
        <v>2.5821764640000002</v>
      </c>
      <c r="B38">
        <v>6.0006465246926918E-2</v>
      </c>
      <c r="C38">
        <f t="shared" si="0"/>
        <v>3.6446683180643188E-2</v>
      </c>
      <c r="D38">
        <f t="shared" si="1"/>
        <v>2.355978206628373E-2</v>
      </c>
      <c r="E38">
        <f t="shared" si="2"/>
        <v>5.5506333101078449E-4</v>
      </c>
    </row>
    <row r="39" spans="1:5" x14ac:dyDescent="0.25">
      <c r="A39">
        <v>2.6491961788000005</v>
      </c>
      <c r="B39">
        <v>3.6566439759846088E-2</v>
      </c>
      <c r="C39">
        <f t="shared" si="0"/>
        <v>3.0196580476632939E-2</v>
      </c>
      <c r="D39">
        <f t="shared" si="1"/>
        <v>6.3698592832131494E-3</v>
      </c>
      <c r="E39">
        <f t="shared" si="2"/>
        <v>4.0575107287936738E-5</v>
      </c>
    </row>
    <row r="40" spans="1:5" x14ac:dyDescent="0.25">
      <c r="A40">
        <v>2.7162158936000003</v>
      </c>
      <c r="B40">
        <v>4.5942449954678416E-2</v>
      </c>
      <c r="C40">
        <f t="shared" si="0"/>
        <v>2.4900402517900603E-2</v>
      </c>
      <c r="D40">
        <f t="shared" si="1"/>
        <v>2.1042047436777813E-2</v>
      </c>
      <c r="E40">
        <f t="shared" si="2"/>
        <v>4.4276776033160773E-4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918A-8279-486D-91D2-EDF9A4FBE69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0.115209390725</v>
      </c>
      <c r="B1">
        <v>9.2694367130140745E-2</v>
      </c>
      <c r="C1">
        <f>$H$3*(1+$H$1)*(A1^($H$1))*EXP(-$H$3*(A1^(1+$H$1)))</f>
        <v>0.21803293061495266</v>
      </c>
      <c r="D1">
        <f>B1-C1</f>
        <v>-0.12533856348481193</v>
      </c>
      <c r="E1">
        <f>D1^2</f>
        <v>1.5709755496436231E-2</v>
      </c>
      <c r="G1" t="s">
        <v>0</v>
      </c>
      <c r="H1">
        <v>0.88853253887406636</v>
      </c>
    </row>
    <row r="2" spans="1:8" x14ac:dyDescent="0.25">
      <c r="A2">
        <v>0.17961013817499999</v>
      </c>
      <c r="B2">
        <v>0.1912431153421851</v>
      </c>
      <c r="C2">
        <f t="shared" ref="C2:C40" si="0">$H$3*(1+$H$1)*(A2^($H$1))*EXP(-$H$3*(A2^(1+$H$1)))</f>
        <v>0.31782006418238423</v>
      </c>
      <c r="D2">
        <f t="shared" ref="D2:D40" si="1">B2-C2</f>
        <v>-0.12657694884019913</v>
      </c>
      <c r="E2">
        <f t="shared" ref="E2:E40" si="2">D2^2</f>
        <v>1.6021723977694389E-2</v>
      </c>
    </row>
    <row r="3" spans="1:8" x14ac:dyDescent="0.25">
      <c r="A3">
        <v>0.24401088562500001</v>
      </c>
      <c r="B3">
        <v>0.45176307348689648</v>
      </c>
      <c r="C3">
        <f t="shared" si="0"/>
        <v>0.40720401532275691</v>
      </c>
      <c r="D3">
        <f t="shared" si="1"/>
        <v>4.4559058164139576E-2</v>
      </c>
      <c r="E3">
        <f t="shared" si="2"/>
        <v>1.9855096644751736E-3</v>
      </c>
      <c r="G3" t="s">
        <v>1</v>
      </c>
      <c r="H3">
        <f>(_xlfn.GAMMA((2+$H$1)/(1+$H$1)))^(1+$H$1)</f>
        <v>0.79827246361123794</v>
      </c>
    </row>
    <row r="4" spans="1:8" x14ac:dyDescent="0.25">
      <c r="A4">
        <v>0.30841163307499997</v>
      </c>
      <c r="B4">
        <v>0.51420980502720182</v>
      </c>
      <c r="C4">
        <f t="shared" si="0"/>
        <v>0.48613357418342135</v>
      </c>
      <c r="D4">
        <f t="shared" si="1"/>
        <v>2.807623084378047E-2</v>
      </c>
      <c r="E4">
        <f t="shared" si="2"/>
        <v>7.8827473839324981E-4</v>
      </c>
    </row>
    <row r="5" spans="1:8" x14ac:dyDescent="0.25">
      <c r="A5">
        <v>0.37281238052499999</v>
      </c>
      <c r="B5">
        <v>0.57665653656750715</v>
      </c>
      <c r="C5">
        <f t="shared" si="0"/>
        <v>0.5542980833602571</v>
      </c>
      <c r="D5">
        <f t="shared" si="1"/>
        <v>2.2358453207250051E-2</v>
      </c>
      <c r="E5">
        <f t="shared" si="2"/>
        <v>4.9990042982079013E-4</v>
      </c>
      <c r="G5" t="s">
        <v>2</v>
      </c>
      <c r="H5">
        <f>SUM(E1:E40)</f>
        <v>0.40647530775361018</v>
      </c>
    </row>
    <row r="6" spans="1:8" x14ac:dyDescent="0.25">
      <c r="A6">
        <v>0.437213127975</v>
      </c>
      <c r="B6">
        <v>0.568850695124969</v>
      </c>
      <c r="C6">
        <f t="shared" si="0"/>
        <v>0.61143017673626754</v>
      </c>
      <c r="D6">
        <f t="shared" si="1"/>
        <v>-4.2579481611298542E-2</v>
      </c>
      <c r="E6">
        <f t="shared" si="2"/>
        <v>1.8130122542869107E-3</v>
      </c>
    </row>
    <row r="7" spans="1:8" x14ac:dyDescent="0.25">
      <c r="A7">
        <v>0.50161387542500002</v>
      </c>
      <c r="B7">
        <v>0.70545292036938689</v>
      </c>
      <c r="C7">
        <f t="shared" si="0"/>
        <v>0.65741451332561263</v>
      </c>
      <c r="D7">
        <f t="shared" si="1"/>
        <v>4.8038407043774267E-2</v>
      </c>
      <c r="E7">
        <f t="shared" si="2"/>
        <v>2.3076885513033411E-3</v>
      </c>
    </row>
    <row r="8" spans="1:8" x14ac:dyDescent="0.25">
      <c r="A8">
        <v>0.56601462287500004</v>
      </c>
      <c r="B8">
        <v>0.67618101495986882</v>
      </c>
      <c r="C8">
        <f t="shared" si="0"/>
        <v>0.6923281391837951</v>
      </c>
      <c r="D8">
        <f t="shared" si="1"/>
        <v>-1.6147124223926279E-2</v>
      </c>
      <c r="E8">
        <f t="shared" si="2"/>
        <v>2.6072962070290684E-4</v>
      </c>
    </row>
    <row r="9" spans="1:8" x14ac:dyDescent="0.25">
      <c r="A9">
        <v>0.63041537032499995</v>
      </c>
      <c r="B9">
        <v>0.79619582713889314</v>
      </c>
      <c r="C9">
        <f t="shared" si="0"/>
        <v>0.71644914202893617</v>
      </c>
      <c r="D9">
        <f t="shared" si="1"/>
        <v>7.9746685109956972E-2</v>
      </c>
      <c r="E9">
        <f t="shared" si="2"/>
        <v>6.3595337860266332E-3</v>
      </c>
    </row>
    <row r="10" spans="1:8" x14ac:dyDescent="0.25">
      <c r="A10">
        <v>0.69481611777500007</v>
      </c>
      <c r="B10">
        <v>1.0918420717750263</v>
      </c>
      <c r="C10">
        <f t="shared" si="0"/>
        <v>0.7302476704005284</v>
      </c>
      <c r="D10">
        <f t="shared" si="1"/>
        <v>0.36159440137449794</v>
      </c>
      <c r="E10">
        <f t="shared" si="2"/>
        <v>0.13075051110538152</v>
      </c>
    </row>
    <row r="11" spans="1:8" x14ac:dyDescent="0.25">
      <c r="A11">
        <v>0.75921686522499998</v>
      </c>
      <c r="B11">
        <v>1.0342739911363072</v>
      </c>
      <c r="C11">
        <f t="shared" si="0"/>
        <v>0.73436609885198079</v>
      </c>
      <c r="D11">
        <f t="shared" si="1"/>
        <v>0.29990789228432646</v>
      </c>
      <c r="E11">
        <f t="shared" si="2"/>
        <v>8.9944743854427162E-2</v>
      </c>
    </row>
    <row r="12" spans="1:8" x14ac:dyDescent="0.25">
      <c r="A12">
        <v>0.82361761267500011</v>
      </c>
      <c r="B12">
        <v>0.8898659244493512</v>
      </c>
      <c r="C12">
        <f t="shared" si="0"/>
        <v>0.72959235171250447</v>
      </c>
      <c r="D12">
        <f t="shared" si="1"/>
        <v>0.16027357273684673</v>
      </c>
      <c r="E12">
        <f t="shared" si="2"/>
        <v>2.5687618117833298E-2</v>
      </c>
    </row>
    <row r="13" spans="1:8" x14ac:dyDescent="0.25">
      <c r="A13">
        <v>0.88801836012500002</v>
      </c>
      <c r="B13">
        <v>0.78741425551603772</v>
      </c>
      <c r="C13">
        <f t="shared" si="0"/>
        <v>0.71682918304844534</v>
      </c>
      <c r="D13">
        <f t="shared" si="1"/>
        <v>7.058507246759238E-2</v>
      </c>
      <c r="E13">
        <f t="shared" si="2"/>
        <v>4.9822524552552679E-3</v>
      </c>
    </row>
    <row r="14" spans="1:8" x14ac:dyDescent="0.25">
      <c r="A14">
        <v>0.95241910757499992</v>
      </c>
      <c r="B14">
        <v>0.67618101495986882</v>
      </c>
      <c r="C14">
        <f t="shared" si="0"/>
        <v>0.6970615781190499</v>
      </c>
      <c r="D14">
        <f t="shared" si="1"/>
        <v>-2.0880563159181076E-2</v>
      </c>
      <c r="E14">
        <f t="shared" si="2"/>
        <v>4.3599791784455002E-4</v>
      </c>
    </row>
    <row r="15" spans="1:8" x14ac:dyDescent="0.25">
      <c r="A15">
        <v>1.0168198550250001</v>
      </c>
      <c r="B15">
        <v>0.5844623780100453</v>
      </c>
      <c r="C15">
        <f t="shared" si="0"/>
        <v>0.67132403479416303</v>
      </c>
      <c r="D15">
        <f t="shared" si="1"/>
        <v>-8.6861656784117725E-2</v>
      </c>
      <c r="E15">
        <f t="shared" si="2"/>
        <v>7.5449474192818651E-3</v>
      </c>
    </row>
    <row r="16" spans="1:8" x14ac:dyDescent="0.25">
      <c r="A16">
        <v>1.081220602475</v>
      </c>
      <c r="B16">
        <v>0.52787002755164358</v>
      </c>
      <c r="C16">
        <f t="shared" si="0"/>
        <v>0.64066916224076365</v>
      </c>
      <c r="D16">
        <f t="shared" si="1"/>
        <v>-0.11279913468912006</v>
      </c>
      <c r="E16">
        <f t="shared" si="2"/>
        <v>1.2723644786614249E-2</v>
      </c>
    </row>
    <row r="17" spans="1:5" x14ac:dyDescent="0.25">
      <c r="A17">
        <v>1.1456213499249999</v>
      </c>
      <c r="B17">
        <v>0.45566599420816556</v>
      </c>
      <c r="C17">
        <f t="shared" si="0"/>
        <v>0.60613874421928138</v>
      </c>
      <c r="D17">
        <f t="shared" si="1"/>
        <v>-0.15047275001111582</v>
      </c>
      <c r="E17">
        <f t="shared" si="2"/>
        <v>2.2642048495907757E-2</v>
      </c>
    </row>
    <row r="18" spans="1:5" x14ac:dyDescent="0.25">
      <c r="A18">
        <v>1.210022097375</v>
      </c>
      <c r="B18">
        <v>0.48884082033895276</v>
      </c>
      <c r="C18">
        <f t="shared" si="0"/>
        <v>0.56873813727334477</v>
      </c>
      <c r="D18">
        <f t="shared" si="1"/>
        <v>-7.9897316934392004E-2</v>
      </c>
      <c r="E18">
        <f t="shared" si="2"/>
        <v>6.3835812533146836E-3</v>
      </c>
    </row>
    <row r="19" spans="1:5" x14ac:dyDescent="0.25">
      <c r="A19">
        <v>1.2744228448250001</v>
      </c>
      <c r="B19">
        <v>0.44298150186404106</v>
      </c>
      <c r="C19">
        <f t="shared" si="0"/>
        <v>0.52941460754571767</v>
      </c>
      <c r="D19">
        <f t="shared" si="1"/>
        <v>-8.6433105681676614E-2</v>
      </c>
      <c r="E19">
        <f t="shared" si="2"/>
        <v>7.4706817577798786E-3</v>
      </c>
    </row>
    <row r="20" spans="1:5" x14ac:dyDescent="0.25">
      <c r="A20">
        <v>1.338823592275</v>
      </c>
      <c r="B20">
        <v>0.35516578563548662</v>
      </c>
      <c r="C20">
        <f t="shared" si="0"/>
        <v>0.48903995820661572</v>
      </c>
      <c r="D20">
        <f t="shared" si="1"/>
        <v>-0.1338741725711291</v>
      </c>
      <c r="E20">
        <f t="shared" si="2"/>
        <v>1.7922294081604454E-2</v>
      </c>
    </row>
    <row r="21" spans="1:5" x14ac:dyDescent="0.25">
      <c r="A21">
        <v>1.4032243397249999</v>
      </c>
      <c r="B21">
        <v>0.36297162707802483</v>
      </c>
      <c r="C21">
        <f t="shared" si="0"/>
        <v>0.44839756904173395</v>
      </c>
      <c r="D21">
        <f t="shared" si="1"/>
        <v>-8.5425941963709118E-2</v>
      </c>
      <c r="E21">
        <f t="shared" si="2"/>
        <v>7.2975915603869981E-3</v>
      </c>
    </row>
    <row r="22" spans="1:5" x14ac:dyDescent="0.25">
      <c r="A22">
        <v>1.4676250871750001</v>
      </c>
      <c r="B22">
        <v>0.31711230860311307</v>
      </c>
      <c r="C22">
        <f t="shared" si="0"/>
        <v>0.40817376700419533</v>
      </c>
      <c r="D22">
        <f t="shared" si="1"/>
        <v>-9.1061458401082263E-2</v>
      </c>
      <c r="E22">
        <f t="shared" si="2"/>
        <v>8.2921892061320352E-3</v>
      </c>
    </row>
    <row r="23" spans="1:5" x14ac:dyDescent="0.25">
      <c r="A23">
        <v>1.532025834625</v>
      </c>
      <c r="B23">
        <v>0.33955410275041031</v>
      </c>
      <c r="C23">
        <f t="shared" si="0"/>
        <v>0.36895327655598398</v>
      </c>
      <c r="D23">
        <f t="shared" si="1"/>
        <v>-2.9399173805573664E-2</v>
      </c>
      <c r="E23">
        <f t="shared" si="2"/>
        <v>8.6431142045032873E-4</v>
      </c>
    </row>
    <row r="24" spans="1:5" x14ac:dyDescent="0.25">
      <c r="A24">
        <v>1.5964265820749999</v>
      </c>
      <c r="B24">
        <v>0.32199095950469941</v>
      </c>
      <c r="C24">
        <f t="shared" si="0"/>
        <v>0.33121836459283599</v>
      </c>
      <c r="D24">
        <f t="shared" si="1"/>
        <v>-9.2274050881365755E-3</v>
      </c>
      <c r="E24">
        <f t="shared" si="2"/>
        <v>8.5145004660568764E-5</v>
      </c>
    </row>
    <row r="25" spans="1:5" x14ac:dyDescent="0.25">
      <c r="A25">
        <v>1.660827329525</v>
      </c>
      <c r="B25">
        <v>0.26344714868566316</v>
      </c>
      <c r="C25">
        <f t="shared" si="0"/>
        <v>0.29535119778800539</v>
      </c>
      <c r="D25">
        <f t="shared" si="1"/>
        <v>-3.1904049102342236E-2</v>
      </c>
      <c r="E25">
        <f t="shared" si="2"/>
        <v>1.0178683491246644E-3</v>
      </c>
    </row>
    <row r="26" spans="1:5" x14ac:dyDescent="0.25">
      <c r="A26">
        <v>1.7252280769750001</v>
      </c>
      <c r="B26">
        <v>0.21953929057138596</v>
      </c>
      <c r="C26">
        <f t="shared" si="0"/>
        <v>0.26163886946260062</v>
      </c>
      <c r="D26">
        <f t="shared" si="1"/>
        <v>-4.2099578891214656E-2</v>
      </c>
      <c r="E26">
        <f t="shared" si="2"/>
        <v>1.7723745428176066E-3</v>
      </c>
    </row>
    <row r="27" spans="1:5" x14ac:dyDescent="0.25">
      <c r="A27">
        <v>1.789628824425</v>
      </c>
      <c r="B27">
        <v>0.22539367165328961</v>
      </c>
      <c r="C27">
        <f t="shared" si="0"/>
        <v>0.23028052603994414</v>
      </c>
      <c r="D27">
        <f t="shared" si="1"/>
        <v>-4.8868543866545378E-3</v>
      </c>
      <c r="E27">
        <f t="shared" si="2"/>
        <v>2.3881345796364698E-5</v>
      </c>
    </row>
    <row r="28" spans="1:5" x14ac:dyDescent="0.25">
      <c r="A28">
        <v>1.8540295718749999</v>
      </c>
      <c r="B28">
        <v>0.21953929057138596</v>
      </c>
      <c r="C28">
        <f t="shared" si="0"/>
        <v>0.20139602586265201</v>
      </c>
      <c r="D28">
        <f t="shared" si="1"/>
        <v>1.8143264708733953E-2</v>
      </c>
      <c r="E28">
        <f t="shared" si="2"/>
        <v>3.2917805429119091E-4</v>
      </c>
    </row>
    <row r="29" spans="1:5" x14ac:dyDescent="0.25">
      <c r="A29">
        <v>1.9184303193250001</v>
      </c>
      <c r="B29">
        <v>0.21466063966979962</v>
      </c>
      <c r="C29">
        <f t="shared" si="0"/>
        <v>0.17503559079232228</v>
      </c>
      <c r="D29">
        <f t="shared" si="1"/>
        <v>3.9625048877477337E-2</v>
      </c>
      <c r="E29">
        <f t="shared" si="2"/>
        <v>1.570144498542468E-3</v>
      </c>
    </row>
    <row r="30" spans="1:5" x14ac:dyDescent="0.25">
      <c r="A30">
        <v>1.9828310667750002</v>
      </c>
      <c r="B30">
        <v>0.14733525722790791</v>
      </c>
      <c r="C30">
        <f t="shared" si="0"/>
        <v>0.15118995818919009</v>
      </c>
      <c r="D30">
        <f t="shared" si="1"/>
        <v>-3.8547009612821814E-3</v>
      </c>
      <c r="E30">
        <f t="shared" si="2"/>
        <v>1.4858719500909773E-5</v>
      </c>
    </row>
    <row r="31" spans="1:5" x14ac:dyDescent="0.25">
      <c r="A31">
        <v>2.0472318142250003</v>
      </c>
      <c r="B31">
        <v>0.14343233650663884</v>
      </c>
      <c r="C31">
        <f t="shared" si="0"/>
        <v>0.12980060205377425</v>
      </c>
      <c r="D31">
        <f t="shared" si="1"/>
        <v>1.3631734452864586E-2</v>
      </c>
      <c r="E31">
        <f t="shared" si="2"/>
        <v>1.8582418419341534E-4</v>
      </c>
    </row>
    <row r="32" spans="1:5" x14ac:dyDescent="0.25">
      <c r="A32">
        <v>2.111632561675</v>
      </c>
      <c r="B32">
        <v>0.15318963830981155</v>
      </c>
      <c r="C32">
        <f t="shared" si="0"/>
        <v>0.11076966196595023</v>
      </c>
      <c r="D32">
        <f t="shared" si="1"/>
        <v>4.2419976343861326E-2</v>
      </c>
      <c r="E32">
        <f t="shared" si="2"/>
        <v>1.7994543930137546E-3</v>
      </c>
    </row>
    <row r="33" spans="1:5" x14ac:dyDescent="0.25">
      <c r="A33">
        <v>2.1760333091249997</v>
      </c>
      <c r="B33">
        <v>0.16684986083425335</v>
      </c>
      <c r="C33">
        <f t="shared" si="0"/>
        <v>9.3969292101297772E-2</v>
      </c>
      <c r="D33">
        <f t="shared" si="1"/>
        <v>7.2880568732955578E-2</v>
      </c>
      <c r="E33">
        <f t="shared" si="2"/>
        <v>5.3115772988390625E-3</v>
      </c>
    </row>
    <row r="34" spans="1:5" x14ac:dyDescent="0.25">
      <c r="A34">
        <v>2.2404340565749998</v>
      </c>
      <c r="B34">
        <v>0.11611189145775525</v>
      </c>
      <c r="C34">
        <f t="shared" si="0"/>
        <v>7.9250215819497566E-2</v>
      </c>
      <c r="D34">
        <f t="shared" si="1"/>
        <v>3.6861675638257679E-2</v>
      </c>
      <c r="E34">
        <f t="shared" si="2"/>
        <v>1.3587831308601197E-3</v>
      </c>
    </row>
    <row r="35" spans="1:5" x14ac:dyDescent="0.25">
      <c r="A35">
        <v>2.304834804025</v>
      </c>
      <c r="B35">
        <v>8.0985604966333488E-2</v>
      </c>
      <c r="C35">
        <f t="shared" si="0"/>
        <v>6.6449340664080203E-2</v>
      </c>
      <c r="D35">
        <f t="shared" si="1"/>
        <v>1.4536264302253285E-2</v>
      </c>
      <c r="E35">
        <f t="shared" si="2"/>
        <v>2.1130297986496319E-4</v>
      </c>
    </row>
    <row r="36" spans="1:5" x14ac:dyDescent="0.25">
      <c r="A36">
        <v>2.3692355514750001</v>
      </c>
      <c r="B36">
        <v>9.9524478392361643E-2</v>
      </c>
      <c r="C36">
        <f t="shared" si="0"/>
        <v>5.5396351478721483E-2</v>
      </c>
      <c r="D36">
        <f t="shared" si="1"/>
        <v>4.412812691364016E-2</v>
      </c>
      <c r="E36">
        <f t="shared" si="2"/>
        <v>1.9472915849063331E-3</v>
      </c>
    </row>
    <row r="37" spans="1:5" x14ac:dyDescent="0.25">
      <c r="A37">
        <v>2.4336362989250002</v>
      </c>
      <c r="B37">
        <v>7.3179763523795321E-2</v>
      </c>
      <c r="C37">
        <f t="shared" si="0"/>
        <v>4.5919253949618724E-2</v>
      </c>
      <c r="D37">
        <f t="shared" si="1"/>
        <v>2.7260509574176597E-2</v>
      </c>
      <c r="E37">
        <f t="shared" si="2"/>
        <v>7.4313538224377398E-4</v>
      </c>
    </row>
    <row r="38" spans="1:5" x14ac:dyDescent="0.25">
      <c r="A38">
        <v>2.4980370463749999</v>
      </c>
      <c r="B38">
        <v>6.8301112622208976E-2</v>
      </c>
      <c r="C38">
        <f t="shared" si="0"/>
        <v>3.7848886212797805E-2</v>
      </c>
      <c r="D38">
        <f t="shared" si="1"/>
        <v>3.0452226409411171E-2</v>
      </c>
      <c r="E38">
        <f t="shared" si="2"/>
        <v>9.273380932900392E-4</v>
      </c>
    </row>
    <row r="39" spans="1:5" x14ac:dyDescent="0.25">
      <c r="A39">
        <v>2.562437793825</v>
      </c>
      <c r="B39">
        <v>4.2932127933959924E-2</v>
      </c>
      <c r="C39">
        <f t="shared" si="0"/>
        <v>3.1022451883561071E-2</v>
      </c>
      <c r="D39">
        <f t="shared" si="1"/>
        <v>1.1909676050398853E-2</v>
      </c>
      <c r="E39">
        <f t="shared" si="2"/>
        <v>1.41840383625444E-4</v>
      </c>
    </row>
    <row r="40" spans="1:5" x14ac:dyDescent="0.25">
      <c r="A40">
        <v>2.6268385412750002</v>
      </c>
      <c r="B40">
        <v>4.3907858114277193E-2</v>
      </c>
      <c r="C40">
        <f t="shared" si="0"/>
        <v>2.5286154199601889E-2</v>
      </c>
      <c r="D40">
        <f t="shared" si="1"/>
        <v>1.8621703914675304E-2</v>
      </c>
      <c r="E40">
        <f t="shared" si="2"/>
        <v>3.4676785668583354E-4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119C1-80AE-4EAF-81BA-E900F6F672D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0.13344592156249999</v>
      </c>
      <c r="B1">
        <v>9.4848999438764819E-2</v>
      </c>
      <c r="C1">
        <f>$H$3*(1+$H$1)*(A1^($H$1))*EXP(-$H$3*(A1^(1+$H$1)))</f>
        <v>0.21013430393101193</v>
      </c>
      <c r="D1">
        <f>B1-C1</f>
        <v>-0.11528530449224711</v>
      </c>
      <c r="E1">
        <f>D1^2</f>
        <v>1.3290701431870132E-2</v>
      </c>
      <c r="G1" t="s">
        <v>0</v>
      </c>
      <c r="H1">
        <v>0.98985541121558518</v>
      </c>
    </row>
    <row r="2" spans="1:8" x14ac:dyDescent="0.25">
      <c r="A2">
        <v>0.19505870668749997</v>
      </c>
      <c r="B2">
        <v>0.1733798914472045</v>
      </c>
      <c r="C2">
        <f t="shared" ref="C2:C40" si="0">$H$3*(1+$H$1)*(A2^($H$1))*EXP(-$H$3*(A2^(1+$H$1)))</f>
        <v>0.30107817027809319</v>
      </c>
      <c r="D2">
        <f t="shared" ref="D2:D40" si="1">B2-C2</f>
        <v>-0.12769827883088869</v>
      </c>
      <c r="E2">
        <f t="shared" ref="E2:E40" si="2">D2^2</f>
        <v>1.6306850416371393E-2</v>
      </c>
    </row>
    <row r="3" spans="1:8" x14ac:dyDescent="0.25">
      <c r="A3">
        <v>0.25667149181249999</v>
      </c>
      <c r="B3">
        <v>0.35185919146638561</v>
      </c>
      <c r="C3">
        <f t="shared" si="0"/>
        <v>0.38643812874029865</v>
      </c>
      <c r="D3">
        <f t="shared" si="1"/>
        <v>-3.4578937273913035E-2</v>
      </c>
      <c r="E3">
        <f t="shared" si="2"/>
        <v>1.1957029029932122E-3</v>
      </c>
      <c r="G3" t="s">
        <v>1</v>
      </c>
      <c r="H3">
        <f>(_xlfn.GAMMA((2+$H$1)/(1+$H$1)))^(1+$H$1)</f>
        <v>0.78651139963752137</v>
      </c>
    </row>
    <row r="4" spans="1:8" x14ac:dyDescent="0.25">
      <c r="A4">
        <v>0.3182842769375</v>
      </c>
      <c r="B4">
        <v>0.56195482463182167</v>
      </c>
      <c r="C4">
        <f t="shared" si="0"/>
        <v>0.46491951285550492</v>
      </c>
      <c r="D4">
        <f t="shared" si="1"/>
        <v>9.7035311776316746E-2</v>
      </c>
      <c r="E4">
        <f t="shared" si="2"/>
        <v>9.4158517315269946E-3</v>
      </c>
    </row>
    <row r="5" spans="1:8" x14ac:dyDescent="0.25">
      <c r="A5">
        <v>0.37989706206249996</v>
      </c>
      <c r="B5">
        <v>0.56093494291742629</v>
      </c>
      <c r="C5">
        <f t="shared" si="0"/>
        <v>0.53539351386854794</v>
      </c>
      <c r="D5">
        <f t="shared" si="1"/>
        <v>2.554142904887835E-2</v>
      </c>
      <c r="E5">
        <f t="shared" si="2"/>
        <v>6.5236459785888686E-4</v>
      </c>
      <c r="G5" t="s">
        <v>2</v>
      </c>
      <c r="H5">
        <f>SUM(E1:E40)</f>
        <v>0.43970885780952634</v>
      </c>
    </row>
    <row r="6" spans="1:8" x14ac:dyDescent="0.25">
      <c r="A6">
        <v>0.44150984718749997</v>
      </c>
      <c r="B6">
        <v>0.62008808235235491</v>
      </c>
      <c r="C6">
        <f t="shared" si="0"/>
        <v>0.59693948276521147</v>
      </c>
      <c r="D6">
        <f t="shared" si="1"/>
        <v>2.3148599587143437E-2</v>
      </c>
      <c r="E6">
        <f t="shared" si="2"/>
        <v>5.3585766284589725E-4</v>
      </c>
    </row>
    <row r="7" spans="1:8" x14ac:dyDescent="0.25">
      <c r="A7">
        <v>0.50312263231249998</v>
      </c>
      <c r="B7">
        <v>0.66292311435695839</v>
      </c>
      <c r="C7">
        <f t="shared" si="0"/>
        <v>0.64887018036026156</v>
      </c>
      <c r="D7">
        <f t="shared" si="1"/>
        <v>1.4052933996696826E-2</v>
      </c>
      <c r="E7">
        <f t="shared" si="2"/>
        <v>1.9748495391551743E-4</v>
      </c>
    </row>
    <row r="8" spans="1:8" x14ac:dyDescent="0.25">
      <c r="A8">
        <v>0.56473541743749989</v>
      </c>
      <c r="B8">
        <v>0.69861897436079468</v>
      </c>
      <c r="C8">
        <f t="shared" si="0"/>
        <v>0.69074491701146967</v>
      </c>
      <c r="D8">
        <f t="shared" si="1"/>
        <v>7.8740573493250032E-3</v>
      </c>
      <c r="E8">
        <f t="shared" si="2"/>
        <v>6.200077914045909E-5</v>
      </c>
    </row>
    <row r="9" spans="1:8" x14ac:dyDescent="0.25">
      <c r="A9">
        <v>0.62634820256250001</v>
      </c>
      <c r="B9">
        <v>0.75981187722451382</v>
      </c>
      <c r="C9">
        <f t="shared" si="0"/>
        <v>0.72237229252682322</v>
      </c>
      <c r="D9">
        <f t="shared" si="1"/>
        <v>3.7439584697690598E-2</v>
      </c>
      <c r="E9">
        <f t="shared" si="2"/>
        <v>1.4017225023355479E-3</v>
      </c>
    </row>
    <row r="10" spans="1:8" x14ac:dyDescent="0.25">
      <c r="A10">
        <v>0.68796098768749991</v>
      </c>
      <c r="B10">
        <v>0.83120359723218629</v>
      </c>
      <c r="C10">
        <f t="shared" si="0"/>
        <v>0.74380359765433013</v>
      </c>
      <c r="D10">
        <f t="shared" si="1"/>
        <v>8.7399999577856158E-2</v>
      </c>
      <c r="E10">
        <f t="shared" si="2"/>
        <v>7.6387599262092562E-3</v>
      </c>
    </row>
    <row r="11" spans="1:8" x14ac:dyDescent="0.25">
      <c r="A11">
        <v>0.74957377281250004</v>
      </c>
      <c r="B11">
        <v>1.1769434984122</v>
      </c>
      <c r="C11">
        <f t="shared" si="0"/>
        <v>0.75531793606325903</v>
      </c>
      <c r="D11">
        <f t="shared" si="1"/>
        <v>0.421625562348941</v>
      </c>
      <c r="E11">
        <f t="shared" si="2"/>
        <v>0.17776811482606072</v>
      </c>
    </row>
    <row r="12" spans="1:8" x14ac:dyDescent="0.25">
      <c r="A12">
        <v>0.81118655793749994</v>
      </c>
      <c r="B12">
        <v>1.0096828972513674</v>
      </c>
      <c r="C12">
        <f t="shared" si="0"/>
        <v>0.75740028877322874</v>
      </c>
      <c r="D12">
        <f t="shared" si="1"/>
        <v>0.25228260847813866</v>
      </c>
      <c r="E12">
        <f t="shared" si="2"/>
        <v>6.36465145405338E-2</v>
      </c>
    </row>
    <row r="13" spans="1:8" x14ac:dyDescent="0.25">
      <c r="A13">
        <v>0.87279934306249984</v>
      </c>
      <c r="B13">
        <v>0.91687366124139325</v>
      </c>
      <c r="C13">
        <f t="shared" si="0"/>
        <v>0.75071391763989703</v>
      </c>
      <c r="D13">
        <f t="shared" si="1"/>
        <v>0.16615974360149621</v>
      </c>
      <c r="E13">
        <f t="shared" si="2"/>
        <v>2.7609060393714961E-2</v>
      </c>
    </row>
    <row r="14" spans="1:8" x14ac:dyDescent="0.25">
      <c r="A14">
        <v>0.93441212818749986</v>
      </c>
      <c r="B14">
        <v>0.76899081265407176</v>
      </c>
      <c r="C14">
        <f t="shared" si="0"/>
        <v>0.73606863246066412</v>
      </c>
      <c r="D14">
        <f t="shared" si="1"/>
        <v>3.2922180193407646E-2</v>
      </c>
      <c r="E14">
        <f t="shared" si="2"/>
        <v>1.0838699486872027E-3</v>
      </c>
    </row>
    <row r="15" spans="1:8" x14ac:dyDescent="0.25">
      <c r="A15">
        <v>0.99602491331249987</v>
      </c>
      <c r="B15">
        <v>0.65476406064179582</v>
      </c>
      <c r="C15">
        <f t="shared" si="0"/>
        <v>0.71438650454526031</v>
      </c>
      <c r="D15">
        <f t="shared" si="1"/>
        <v>-5.9622443903464495E-2</v>
      </c>
      <c r="E15">
        <f t="shared" si="2"/>
        <v>3.5548358170217707E-3</v>
      </c>
    </row>
    <row r="16" spans="1:8" x14ac:dyDescent="0.25">
      <c r="A16">
        <v>1.0576376984375</v>
      </c>
      <c r="B16">
        <v>0.62212784578114555</v>
      </c>
      <c r="C16">
        <f t="shared" si="0"/>
        <v>0.6866665917689998</v>
      </c>
      <c r="D16">
        <f t="shared" si="1"/>
        <v>-6.4538745987854251E-2</v>
      </c>
      <c r="E16">
        <f t="shared" si="2"/>
        <v>4.1652497336847729E-3</v>
      </c>
    </row>
    <row r="17" spans="1:5" x14ac:dyDescent="0.25">
      <c r="A17">
        <v>1.1192504835624999</v>
      </c>
      <c r="B17">
        <v>0.49974204005370709</v>
      </c>
      <c r="C17">
        <f t="shared" si="0"/>
        <v>0.65395014925989403</v>
      </c>
      <c r="D17">
        <f t="shared" si="1"/>
        <v>-0.15420810920618694</v>
      </c>
      <c r="E17">
        <f t="shared" si="2"/>
        <v>2.3780140944947278E-2</v>
      </c>
    </row>
    <row r="18" spans="1:5" x14ac:dyDescent="0.25">
      <c r="A18">
        <v>1.1808632686874998</v>
      </c>
      <c r="B18">
        <v>0.49362274976733517</v>
      </c>
      <c r="C18">
        <f t="shared" si="0"/>
        <v>0.6172876451779773</v>
      </c>
      <c r="D18">
        <f t="shared" si="1"/>
        <v>-0.12366489541064213</v>
      </c>
      <c r="E18">
        <f t="shared" si="2"/>
        <v>1.5293006356925057E-2</v>
      </c>
    </row>
    <row r="19" spans="1:5" x14ac:dyDescent="0.25">
      <c r="A19">
        <v>1.2424760538124999</v>
      </c>
      <c r="B19">
        <v>0.45588712633470835</v>
      </c>
      <c r="C19">
        <f t="shared" si="0"/>
        <v>0.57770869575076267</v>
      </c>
      <c r="D19">
        <f t="shared" si="1"/>
        <v>-0.12182156941605432</v>
      </c>
      <c r="E19">
        <f t="shared" si="2"/>
        <v>1.4840494774990541E-2</v>
      </c>
    </row>
    <row r="20" spans="1:5" x14ac:dyDescent="0.25">
      <c r="A20">
        <v>1.3040888389375001</v>
      </c>
      <c r="B20">
        <v>0.43344972861801129</v>
      </c>
      <c r="C20">
        <f t="shared" si="0"/>
        <v>0.53619579338498324</v>
      </c>
      <c r="D20">
        <f t="shared" si="1"/>
        <v>-0.10274606476697196</v>
      </c>
      <c r="E20">
        <f t="shared" si="2"/>
        <v>1.0556753825098795E-2</v>
      </c>
    </row>
    <row r="21" spans="1:5" x14ac:dyDescent="0.25">
      <c r="A21">
        <v>1.3657016240625</v>
      </c>
      <c r="B21">
        <v>0.37429658918308267</v>
      </c>
      <c r="C21">
        <f t="shared" si="0"/>
        <v>0.49366244270066062</v>
      </c>
      <c r="D21">
        <f t="shared" si="1"/>
        <v>-0.11936585351757795</v>
      </c>
      <c r="E21">
        <f t="shared" si="2"/>
        <v>1.4248206985979875E-2</v>
      </c>
    </row>
    <row r="22" spans="1:5" x14ac:dyDescent="0.25">
      <c r="A22">
        <v>1.4273144091874999</v>
      </c>
      <c r="B22">
        <v>0.35899836346715286</v>
      </c>
      <c r="C22">
        <f t="shared" si="0"/>
        <v>0.45093605773861389</v>
      </c>
      <c r="D22">
        <f t="shared" si="1"/>
        <v>-9.1937694271461035E-2</v>
      </c>
      <c r="E22">
        <f t="shared" si="2"/>
        <v>8.4525396279526398E-3</v>
      </c>
    </row>
    <row r="23" spans="1:5" x14ac:dyDescent="0.25">
      <c r="A23">
        <v>1.4889271943124998</v>
      </c>
      <c r="B23">
        <v>0.34777966460880433</v>
      </c>
      <c r="C23">
        <f t="shared" si="0"/>
        <v>0.40874572391034625</v>
      </c>
      <c r="D23">
        <f t="shared" si="1"/>
        <v>-6.0966059301541919E-2</v>
      </c>
      <c r="E23">
        <f t="shared" si="2"/>
        <v>3.7168603867591258E-3</v>
      </c>
    </row>
    <row r="24" spans="1:5" x14ac:dyDescent="0.25">
      <c r="A24">
        <v>1.5505399794374997</v>
      </c>
      <c r="B24">
        <v>0.33248143889287451</v>
      </c>
      <c r="C24">
        <f t="shared" si="0"/>
        <v>0.36771470272451756</v>
      </c>
      <c r="D24">
        <f t="shared" si="1"/>
        <v>-3.5233263831643047E-2</v>
      </c>
      <c r="E24">
        <f t="shared" si="2"/>
        <v>1.2413828802301662E-3</v>
      </c>
    </row>
    <row r="25" spans="1:5" x14ac:dyDescent="0.25">
      <c r="A25">
        <v>1.6121527645625</v>
      </c>
      <c r="B25">
        <v>0.3120838046049681</v>
      </c>
      <c r="C25">
        <f t="shared" si="0"/>
        <v>0.32835736531812115</v>
      </c>
      <c r="D25">
        <f t="shared" si="1"/>
        <v>-1.6273560713153057E-2</v>
      </c>
      <c r="E25">
        <f t="shared" si="2"/>
        <v>2.6482877828467861E-4</v>
      </c>
    </row>
    <row r="26" spans="1:5" x14ac:dyDescent="0.25">
      <c r="A26">
        <v>1.6737655496874999</v>
      </c>
      <c r="B26">
        <v>0.23559267602531905</v>
      </c>
      <c r="C26">
        <f t="shared" si="0"/>
        <v>0.29108008858949708</v>
      </c>
      <c r="D26">
        <f t="shared" si="1"/>
        <v>-5.5487412564178024E-2</v>
      </c>
      <c r="E26">
        <f t="shared" si="2"/>
        <v>3.0788529530673013E-3</v>
      </c>
    </row>
    <row r="27" spans="1:5" x14ac:dyDescent="0.25">
      <c r="A27">
        <v>1.7353783348124998</v>
      </c>
      <c r="B27">
        <v>0.22437397716697055</v>
      </c>
      <c r="C27">
        <f t="shared" si="0"/>
        <v>0.25618553836429969</v>
      </c>
      <c r="D27">
        <f t="shared" si="1"/>
        <v>-3.1811561197329141E-2</v>
      </c>
      <c r="E27">
        <f t="shared" si="2"/>
        <v>1.011975425811417E-3</v>
      </c>
    </row>
    <row r="28" spans="1:5" x14ac:dyDescent="0.25">
      <c r="A28">
        <v>1.7969911199374997</v>
      </c>
      <c r="B28">
        <v>0.2376324394541097</v>
      </c>
      <c r="C28">
        <f t="shared" si="0"/>
        <v>0.22387969766281449</v>
      </c>
      <c r="D28">
        <f t="shared" si="1"/>
        <v>1.3752741791295209E-2</v>
      </c>
      <c r="E28">
        <f t="shared" si="2"/>
        <v>1.8913790677803775E-4</v>
      </c>
    </row>
    <row r="29" spans="1:5" x14ac:dyDescent="0.25">
      <c r="A29">
        <v>1.8586039050624996</v>
      </c>
      <c r="B29">
        <v>0.22335409545257523</v>
      </c>
      <c r="C29">
        <f t="shared" si="0"/>
        <v>0.1942809723503621</v>
      </c>
      <c r="D29">
        <f t="shared" si="1"/>
        <v>2.9073123102213133E-2</v>
      </c>
      <c r="E29">
        <f t="shared" si="2"/>
        <v>8.4524648691643904E-4</v>
      </c>
    </row>
    <row r="30" spans="1:5" x14ac:dyDescent="0.25">
      <c r="A30">
        <v>1.9202166901875</v>
      </c>
      <c r="B30">
        <v>0.16726060116083258</v>
      </c>
      <c r="C30">
        <f t="shared" si="0"/>
        <v>0.16743071676262614</v>
      </c>
      <c r="D30">
        <f t="shared" si="1"/>
        <v>-1.7011560179355789E-4</v>
      </c>
      <c r="E30">
        <f t="shared" si="2"/>
        <v>2.8939317973584358E-8</v>
      </c>
    </row>
    <row r="31" spans="1:5" x14ac:dyDescent="0.25">
      <c r="A31">
        <v>1.9818294753124999</v>
      </c>
      <c r="B31">
        <v>0.16216119258885597</v>
      </c>
      <c r="C31">
        <f t="shared" si="0"/>
        <v>0.14330456235694045</v>
      </c>
      <c r="D31">
        <f t="shared" si="1"/>
        <v>1.8856630231915528E-2</v>
      </c>
      <c r="E31">
        <f t="shared" si="2"/>
        <v>3.5557250370319067E-4</v>
      </c>
    </row>
    <row r="32" spans="1:5" x14ac:dyDescent="0.25">
      <c r="A32">
        <v>2.0434422604374998</v>
      </c>
      <c r="B32">
        <v>0.15604190230248405</v>
      </c>
      <c r="C32">
        <f t="shared" si="0"/>
        <v>0.12182399623324375</v>
      </c>
      <c r="D32">
        <f t="shared" si="1"/>
        <v>3.42179060692403E-2</v>
      </c>
      <c r="E32">
        <f t="shared" si="2"/>
        <v>1.1708650957633522E-3</v>
      </c>
    </row>
    <row r="33" spans="1:5" x14ac:dyDescent="0.25">
      <c r="A33">
        <v>2.1050550455624997</v>
      </c>
      <c r="B33">
        <v>0.17439977316159982</v>
      </c>
      <c r="C33">
        <f t="shared" si="0"/>
        <v>0.10286771638054798</v>
      </c>
      <c r="D33">
        <f t="shared" si="1"/>
        <v>7.1532056781051845E-2</v>
      </c>
      <c r="E33">
        <f t="shared" si="2"/>
        <v>5.1168351473276251E-3</v>
      </c>
    </row>
    <row r="34" spans="1:5" x14ac:dyDescent="0.25">
      <c r="A34">
        <v>2.1666678306874996</v>
      </c>
      <c r="B34">
        <v>0.11830627886985719</v>
      </c>
      <c r="C34">
        <f t="shared" si="0"/>
        <v>8.6282379824666133E-2</v>
      </c>
      <c r="D34">
        <f t="shared" si="1"/>
        <v>3.2023899045191054E-2</v>
      </c>
      <c r="E34">
        <f t="shared" si="2"/>
        <v>1.0255301100565884E-3</v>
      </c>
    </row>
    <row r="35" spans="1:5" x14ac:dyDescent="0.25">
      <c r="A35">
        <v>2.2282806158124995</v>
      </c>
      <c r="B35">
        <v>0.10504781658271803</v>
      </c>
      <c r="C35">
        <f t="shared" si="0"/>
        <v>7.1892452177508379E-2</v>
      </c>
      <c r="D35">
        <f t="shared" si="1"/>
        <v>3.315536440520965E-2</v>
      </c>
      <c r="E35">
        <f t="shared" si="2"/>
        <v>1.099278188842243E-3</v>
      </c>
    </row>
    <row r="36" spans="1:5" x14ac:dyDescent="0.25">
      <c r="A36">
        <v>2.2898934009374998</v>
      </c>
      <c r="B36">
        <v>0.10708758001150867</v>
      </c>
      <c r="C36">
        <f t="shared" si="0"/>
        <v>5.9508957019481605E-2</v>
      </c>
      <c r="D36">
        <f t="shared" si="1"/>
        <v>4.7578622992027066E-2</v>
      </c>
      <c r="E36">
        <f t="shared" si="2"/>
        <v>2.2637253658174465E-3</v>
      </c>
    </row>
    <row r="37" spans="1:5" x14ac:dyDescent="0.25">
      <c r="A37">
        <v>2.3515061860625002</v>
      </c>
      <c r="B37">
        <v>8.5670064009206931E-2</v>
      </c>
      <c r="C37">
        <f t="shared" si="0"/>
        <v>4.8937006775554751E-2</v>
      </c>
      <c r="D37">
        <f t="shared" si="1"/>
        <v>3.673305723365218E-2</v>
      </c>
      <c r="E37">
        <f t="shared" si="2"/>
        <v>1.3493174937307668E-3</v>
      </c>
    </row>
    <row r="38" spans="1:5" x14ac:dyDescent="0.25">
      <c r="A38">
        <v>2.4131189711875001</v>
      </c>
      <c r="B38">
        <v>6.2212784578114556E-2</v>
      </c>
      <c r="C38">
        <f t="shared" si="0"/>
        <v>3.9982070129768045E-2</v>
      </c>
      <c r="D38">
        <f t="shared" si="1"/>
        <v>2.2230714448346511E-2</v>
      </c>
      <c r="E38">
        <f t="shared" si="2"/>
        <v>4.9420466488392237E-4</v>
      </c>
    </row>
    <row r="39" spans="1:5" x14ac:dyDescent="0.25">
      <c r="A39">
        <v>2.4747317563125</v>
      </c>
      <c r="B39">
        <v>5.5073612577347317E-2</v>
      </c>
      <c r="C39">
        <f t="shared" si="0"/>
        <v>3.2454992569850863E-2</v>
      </c>
      <c r="D39">
        <f t="shared" si="1"/>
        <v>2.2618620007496454E-2</v>
      </c>
      <c r="E39">
        <f t="shared" si="2"/>
        <v>5.1160197104351891E-4</v>
      </c>
    </row>
    <row r="40" spans="1:5" x14ac:dyDescent="0.25">
      <c r="A40">
        <v>2.5363445414374999</v>
      </c>
      <c r="B40">
        <v>4.2835032004603465E-2</v>
      </c>
      <c r="C40">
        <f t="shared" si="0"/>
        <v>2.6175835429502477E-2</v>
      </c>
      <c r="D40">
        <f t="shared" si="1"/>
        <v>1.6659196575100989E-2</v>
      </c>
      <c r="E40">
        <f t="shared" si="2"/>
        <v>2.7752883052785653E-4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C5BC2-2114-46CF-9E85-FCD71723D9FD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0.1561204050875</v>
      </c>
      <c r="B1">
        <v>9.9567237196719019E-2</v>
      </c>
      <c r="C1">
        <f>$H$3*(1+$H$1)*(A1^($H$1))*EXP(-$H$3*(A1^(1+$H$1)))</f>
        <v>0.20838022273920001</v>
      </c>
      <c r="D1">
        <f>B1-C1</f>
        <v>-0.10881298554248099</v>
      </c>
      <c r="E1">
        <f>D1^2</f>
        <v>1.1840265822668177E-2</v>
      </c>
      <c r="G1" t="s">
        <v>0</v>
      </c>
      <c r="H1">
        <v>1.0978974253092233</v>
      </c>
    </row>
    <row r="2" spans="1:8" x14ac:dyDescent="0.25">
      <c r="A2">
        <v>0.2148135172625</v>
      </c>
      <c r="B2">
        <v>0.16380416442040871</v>
      </c>
      <c r="C2">
        <f t="shared" ref="C2:C40" si="0">$H$3*(1+$H$1)*(A2^($H$1))*EXP(-$H$3*(A2^(1+$H$1)))</f>
        <v>0.29141036441684337</v>
      </c>
      <c r="D2">
        <f t="shared" ref="D2:D40" si="1">B2-C2</f>
        <v>-0.12760619999643466</v>
      </c>
      <c r="E2">
        <f t="shared" ref="E2:E40" si="2">D2^2</f>
        <v>1.6283342277530082E-2</v>
      </c>
    </row>
    <row r="3" spans="1:8" x14ac:dyDescent="0.25">
      <c r="A3">
        <v>0.27350662943749998</v>
      </c>
      <c r="B3">
        <v>0.28157186433050646</v>
      </c>
      <c r="C3">
        <f t="shared" si="0"/>
        <v>0.3722738092523647</v>
      </c>
      <c r="D3">
        <f t="shared" si="1"/>
        <v>-9.0701944921858235E-2</v>
      </c>
      <c r="E3">
        <f t="shared" si="2"/>
        <v>8.2268428126078055E-3</v>
      </c>
      <c r="G3" t="s">
        <v>1</v>
      </c>
      <c r="H3">
        <f>(_xlfn.GAMMA((2+$H$1)/(1+$H$1)))^(1+$H$1)</f>
        <v>0.7751975699350826</v>
      </c>
    </row>
    <row r="4" spans="1:8" x14ac:dyDescent="0.25">
      <c r="A4">
        <v>0.33219974161249999</v>
      </c>
      <c r="B4">
        <v>0.58883849955048884</v>
      </c>
      <c r="C4">
        <f t="shared" si="0"/>
        <v>0.44914715979962827</v>
      </c>
      <c r="D4">
        <f t="shared" si="1"/>
        <v>0.13969133975086057</v>
      </c>
      <c r="E4">
        <f t="shared" si="2"/>
        <v>1.9513670401390359E-2</v>
      </c>
    </row>
    <row r="5" spans="1:8" x14ac:dyDescent="0.25">
      <c r="A5">
        <v>0.39089285378749999</v>
      </c>
      <c r="B5">
        <v>0.56207311320728481</v>
      </c>
      <c r="C5">
        <f t="shared" si="0"/>
        <v>0.52047032876922117</v>
      </c>
      <c r="D5">
        <f t="shared" si="1"/>
        <v>4.1602784438063645E-2</v>
      </c>
      <c r="E5">
        <f t="shared" si="2"/>
        <v>1.7307916729999906E-3</v>
      </c>
      <c r="G5" t="s">
        <v>2</v>
      </c>
      <c r="H5">
        <f>SUM(E1:E40)</f>
        <v>0.48061479185114819</v>
      </c>
    </row>
    <row r="6" spans="1:8" x14ac:dyDescent="0.25">
      <c r="A6">
        <v>0.4495859659625</v>
      </c>
      <c r="B6">
        <v>0.60168588499522679</v>
      </c>
      <c r="C6">
        <f t="shared" si="0"/>
        <v>0.58491690885723502</v>
      </c>
      <c r="D6">
        <f t="shared" si="1"/>
        <v>1.6768976137991776E-2</v>
      </c>
      <c r="E6">
        <f t="shared" si="2"/>
        <v>2.8119856071653757E-4</v>
      </c>
    </row>
    <row r="7" spans="1:8" x14ac:dyDescent="0.25">
      <c r="A7">
        <v>0.50827907813749995</v>
      </c>
      <c r="B7">
        <v>0.7098180458217711</v>
      </c>
      <c r="C7">
        <f t="shared" si="0"/>
        <v>0.64139582005890661</v>
      </c>
      <c r="D7">
        <f t="shared" si="1"/>
        <v>6.8422225762864497E-2</v>
      </c>
      <c r="E7">
        <f t="shared" si="2"/>
        <v>4.6816009783443979E-3</v>
      </c>
    </row>
    <row r="8" spans="1:8" x14ac:dyDescent="0.25">
      <c r="A8">
        <v>0.56697219031250001</v>
      </c>
      <c r="B8">
        <v>0.70660619946058656</v>
      </c>
      <c r="C8">
        <f t="shared" si="0"/>
        <v>0.68906087084388845</v>
      </c>
      <c r="D8">
        <f t="shared" si="1"/>
        <v>1.7545328616698108E-2</v>
      </c>
      <c r="E8">
        <f t="shared" si="2"/>
        <v>3.0783855626792555E-4</v>
      </c>
    </row>
    <row r="9" spans="1:8" x14ac:dyDescent="0.25">
      <c r="A9">
        <v>0.62566530248750007</v>
      </c>
      <c r="B9">
        <v>0.76334881850817915</v>
      </c>
      <c r="C9">
        <f t="shared" si="0"/>
        <v>0.72731917847805905</v>
      </c>
      <c r="D9">
        <f t="shared" si="1"/>
        <v>3.6029640030120103E-2</v>
      </c>
      <c r="E9">
        <f t="shared" si="2"/>
        <v>1.2981349607000328E-3</v>
      </c>
    </row>
    <row r="10" spans="1:8" x14ac:dyDescent="0.25">
      <c r="A10">
        <v>0.68435841466249991</v>
      </c>
      <c r="B10">
        <v>0.79867912848120848</v>
      </c>
      <c r="C10">
        <f t="shared" si="0"/>
        <v>0.75583443128285421</v>
      </c>
      <c r="D10">
        <f t="shared" si="1"/>
        <v>4.2844697198354265E-2</v>
      </c>
      <c r="E10">
        <f t="shared" si="2"/>
        <v>1.8356680780186657E-3</v>
      </c>
    </row>
    <row r="11" spans="1:8" x14ac:dyDescent="0.25">
      <c r="A11">
        <v>0.74305152683749998</v>
      </c>
      <c r="B11">
        <v>0.90145821203911203</v>
      </c>
      <c r="C11">
        <f t="shared" si="0"/>
        <v>0.77452321861571505</v>
      </c>
      <c r="D11">
        <f t="shared" si="1"/>
        <v>0.12693499342339698</v>
      </c>
      <c r="E11">
        <f t="shared" si="2"/>
        <v>1.6112492555397834E-2</v>
      </c>
    </row>
    <row r="12" spans="1:8" x14ac:dyDescent="0.25">
      <c r="A12">
        <v>0.80174463901250004</v>
      </c>
      <c r="B12">
        <v>1.2237134636112885</v>
      </c>
      <c r="C12">
        <f t="shared" si="0"/>
        <v>0.78354388198339064</v>
      </c>
      <c r="D12">
        <f t="shared" si="1"/>
        <v>0.44016958162789788</v>
      </c>
      <c r="E12">
        <f t="shared" si="2"/>
        <v>0.19374926059047864</v>
      </c>
    </row>
    <row r="13" spans="1:8" x14ac:dyDescent="0.25">
      <c r="A13">
        <v>0.86043775118749999</v>
      </c>
      <c r="B13">
        <v>0.98710744833736497</v>
      </c>
      <c r="C13">
        <f t="shared" si="0"/>
        <v>0.78327812736057201</v>
      </c>
      <c r="D13">
        <f t="shared" si="1"/>
        <v>0.20382932097679296</v>
      </c>
      <c r="E13">
        <f t="shared" si="2"/>
        <v>4.1546392089860489E-2</v>
      </c>
    </row>
    <row r="14" spans="1:8" x14ac:dyDescent="0.25">
      <c r="A14">
        <v>0.91913086336249994</v>
      </c>
      <c r="B14">
        <v>0.94107098382705401</v>
      </c>
      <c r="C14">
        <f t="shared" si="0"/>
        <v>0.77430618847670929</v>
      </c>
      <c r="D14">
        <f t="shared" si="1"/>
        <v>0.16676479535034472</v>
      </c>
      <c r="E14">
        <f t="shared" si="2"/>
        <v>2.7810496968242355E-2</v>
      </c>
    </row>
    <row r="15" spans="1:8" x14ac:dyDescent="0.25">
      <c r="A15">
        <v>0.9778239755375</v>
      </c>
      <c r="B15">
        <v>0.73979527852615956</v>
      </c>
      <c r="C15">
        <f t="shared" si="0"/>
        <v>0.75737671953752272</v>
      </c>
      <c r="D15">
        <f t="shared" si="1"/>
        <v>-1.7581441011363164E-2</v>
      </c>
      <c r="E15">
        <f t="shared" si="2"/>
        <v>3.091070680360426E-4</v>
      </c>
    </row>
    <row r="16" spans="1:8" x14ac:dyDescent="0.25">
      <c r="A16">
        <v>1.0365170877124998</v>
      </c>
      <c r="B16">
        <v>0.67769958220992621</v>
      </c>
      <c r="C16">
        <f t="shared" si="0"/>
        <v>0.73337285298385602</v>
      </c>
      <c r="D16">
        <f t="shared" si="1"/>
        <v>-5.5673270773929806E-2</v>
      </c>
      <c r="E16">
        <f t="shared" si="2"/>
        <v>3.0995130786673065E-3</v>
      </c>
    </row>
    <row r="17" spans="1:5" x14ac:dyDescent="0.25">
      <c r="A17">
        <v>1.0952101998874999</v>
      </c>
      <c r="B17">
        <v>0.62095696316233373</v>
      </c>
      <c r="C17">
        <f t="shared" si="0"/>
        <v>0.70327599688771469</v>
      </c>
      <c r="D17">
        <f t="shared" si="1"/>
        <v>-8.2319033725380963E-2</v>
      </c>
      <c r="E17">
        <f t="shared" si="2"/>
        <v>6.7764233134804085E-3</v>
      </c>
    </row>
    <row r="18" spans="1:5" x14ac:dyDescent="0.25">
      <c r="A18">
        <v>1.1539033120625</v>
      </c>
      <c r="B18">
        <v>0.49248310871495432</v>
      </c>
      <c r="C18">
        <f t="shared" si="0"/>
        <v>0.66812897721395847</v>
      </c>
      <c r="D18">
        <f t="shared" si="1"/>
        <v>-0.17564586849900415</v>
      </c>
      <c r="E18">
        <f t="shared" si="2"/>
        <v>3.0851471120769459E-2</v>
      </c>
    </row>
    <row r="19" spans="1:5" x14ac:dyDescent="0.25">
      <c r="A19">
        <v>1.2125964242375</v>
      </c>
      <c r="B19">
        <v>0.51817787960443018</v>
      </c>
      <c r="C19">
        <f t="shared" si="0"/>
        <v>0.62900006353478899</v>
      </c>
      <c r="D19">
        <f t="shared" si="1"/>
        <v>-0.11082218393035881</v>
      </c>
      <c r="E19">
        <f t="shared" si="2"/>
        <v>1.2281556451094277E-2</v>
      </c>
    </row>
    <row r="20" spans="1:5" x14ac:dyDescent="0.25">
      <c r="A20">
        <v>1.2712895364125001</v>
      </c>
      <c r="B20">
        <v>0.44002295148227438</v>
      </c>
      <c r="C20">
        <f t="shared" si="0"/>
        <v>0.58694926697788019</v>
      </c>
      <c r="D20">
        <f t="shared" si="1"/>
        <v>-0.14692631549560581</v>
      </c>
      <c r="E20">
        <f t="shared" si="2"/>
        <v>2.1587342185114294E-2</v>
      </c>
    </row>
    <row r="21" spans="1:5" x14ac:dyDescent="0.25">
      <c r="A21">
        <v>1.3299826485874999</v>
      </c>
      <c r="B21">
        <v>0.43038741239872091</v>
      </c>
      <c r="C21">
        <f t="shared" si="0"/>
        <v>0.54299808336862088</v>
      </c>
      <c r="D21">
        <f t="shared" si="1"/>
        <v>-0.11261067096989996</v>
      </c>
      <c r="E21">
        <f t="shared" si="2"/>
        <v>1.2681163216291071E-2</v>
      </c>
    </row>
    <row r="22" spans="1:5" x14ac:dyDescent="0.25">
      <c r="A22">
        <v>1.3886757607625002</v>
      </c>
      <c r="B22">
        <v>0.40362202605551689</v>
      </c>
      <c r="C22">
        <f t="shared" si="0"/>
        <v>0.4981035920782057</v>
      </c>
      <c r="D22">
        <f t="shared" si="1"/>
        <v>-9.4481566022688812E-2</v>
      </c>
      <c r="E22">
        <f t="shared" si="2"/>
        <v>8.9267663180997055E-3</v>
      </c>
    </row>
    <row r="23" spans="1:5" x14ac:dyDescent="0.25">
      <c r="A23">
        <v>1.4473688729375001</v>
      </c>
      <c r="B23">
        <v>0.35437371518402144</v>
      </c>
      <c r="C23">
        <f t="shared" si="0"/>
        <v>0.45313753240748988</v>
      </c>
      <c r="D23">
        <f t="shared" si="1"/>
        <v>-9.8763817223468442E-2</v>
      </c>
      <c r="E23">
        <f t="shared" si="2"/>
        <v>9.7542915925506821E-3</v>
      </c>
    </row>
    <row r="24" spans="1:5" x14ac:dyDescent="0.25">
      <c r="A24">
        <v>1.5060619851124999</v>
      </c>
      <c r="B24">
        <v>0.3222552515721766</v>
      </c>
      <c r="C24">
        <f t="shared" si="0"/>
        <v>0.40887068446641023</v>
      </c>
      <c r="D24">
        <f t="shared" si="1"/>
        <v>-8.6615432894233624E-2</v>
      </c>
      <c r="E24">
        <f t="shared" si="2"/>
        <v>7.5022332154554882E-3</v>
      </c>
    </row>
    <row r="25" spans="1:5" x14ac:dyDescent="0.25">
      <c r="A25">
        <v>1.5647550972874997</v>
      </c>
      <c r="B25">
        <v>0.33938509883182721</v>
      </c>
      <c r="C25">
        <f t="shared" si="0"/>
        <v>0.36596259884762539</v>
      </c>
      <c r="D25">
        <f t="shared" si="1"/>
        <v>-2.6577500015798172E-2</v>
      </c>
      <c r="E25">
        <f t="shared" si="2"/>
        <v>7.0636350708975181E-4</v>
      </c>
    </row>
    <row r="26" spans="1:5" x14ac:dyDescent="0.25">
      <c r="A26">
        <v>1.6234482094625</v>
      </c>
      <c r="B26">
        <v>0.3008429424976134</v>
      </c>
      <c r="C26">
        <f t="shared" si="0"/>
        <v>0.32495646459528671</v>
      </c>
      <c r="D26">
        <f t="shared" si="1"/>
        <v>-2.4113522097673312E-2</v>
      </c>
      <c r="E26">
        <f t="shared" si="2"/>
        <v>5.8146194795497918E-4</v>
      </c>
    </row>
    <row r="27" spans="1:5" x14ac:dyDescent="0.25">
      <c r="A27">
        <v>1.6821413216374999</v>
      </c>
      <c r="B27">
        <v>0.23232355345901104</v>
      </c>
      <c r="C27">
        <f t="shared" si="0"/>
        <v>0.28627869014721391</v>
      </c>
      <c r="D27">
        <f t="shared" si="1"/>
        <v>-5.395513668820287E-2</v>
      </c>
      <c r="E27">
        <f t="shared" si="2"/>
        <v>2.9111567750426553E-3</v>
      </c>
    </row>
    <row r="28" spans="1:5" x14ac:dyDescent="0.25">
      <c r="A28">
        <v>1.7408344338124999</v>
      </c>
      <c r="B28">
        <v>0.26658324797831223</v>
      </c>
      <c r="C28">
        <f t="shared" si="0"/>
        <v>0.25024260519235275</v>
      </c>
      <c r="D28">
        <f t="shared" si="1"/>
        <v>1.634064278595948E-2</v>
      </c>
      <c r="E28">
        <f t="shared" si="2"/>
        <v>2.670166066583296E-4</v>
      </c>
    </row>
    <row r="29" spans="1:5" x14ac:dyDescent="0.25">
      <c r="A29">
        <v>1.7995275459875</v>
      </c>
      <c r="B29">
        <v>0.2109112443844478</v>
      </c>
      <c r="C29">
        <f t="shared" si="0"/>
        <v>0.21705557673903594</v>
      </c>
      <c r="D29">
        <f t="shared" si="1"/>
        <v>-6.144332354588139E-3</v>
      </c>
      <c r="E29">
        <f t="shared" si="2"/>
        <v>3.7752820083638625E-5</v>
      </c>
    </row>
    <row r="30" spans="1:5" x14ac:dyDescent="0.25">
      <c r="A30">
        <v>1.8582206581624998</v>
      </c>
      <c r="B30">
        <v>0.1777221653188748</v>
      </c>
      <c r="C30">
        <f t="shared" si="0"/>
        <v>0.1868287702464887</v>
      </c>
      <c r="D30">
        <f t="shared" si="1"/>
        <v>-9.1066049276138927E-3</v>
      </c>
      <c r="E30">
        <f t="shared" si="2"/>
        <v>8.2930253307641634E-5</v>
      </c>
    </row>
    <row r="31" spans="1:5" x14ac:dyDescent="0.25">
      <c r="A31">
        <v>1.9169137703375001</v>
      </c>
      <c r="B31">
        <v>0.20555816711580702</v>
      </c>
      <c r="C31">
        <f t="shared" si="0"/>
        <v>0.1595887731415995</v>
      </c>
      <c r="D31">
        <f t="shared" si="1"/>
        <v>4.5969393974207517E-2</v>
      </c>
      <c r="E31">
        <f t="shared" si="2"/>
        <v>2.1131851823559065E-3</v>
      </c>
    </row>
    <row r="32" spans="1:5" x14ac:dyDescent="0.25">
      <c r="A32">
        <v>1.9756068825124999</v>
      </c>
      <c r="B32">
        <v>0.15845108715176789</v>
      </c>
      <c r="C32">
        <f t="shared" si="0"/>
        <v>0.13529032741456457</v>
      </c>
      <c r="D32">
        <f t="shared" si="1"/>
        <v>2.3160759737203329E-2</v>
      </c>
      <c r="E32">
        <f t="shared" si="2"/>
        <v>5.3642079160445887E-4</v>
      </c>
    </row>
    <row r="33" spans="1:5" x14ac:dyDescent="0.25">
      <c r="A33">
        <v>2.0342999946874998</v>
      </c>
      <c r="B33">
        <v>0.18093401168005929</v>
      </c>
      <c r="C33">
        <f t="shared" si="0"/>
        <v>0.11382948232974831</v>
      </c>
      <c r="D33">
        <f t="shared" si="1"/>
        <v>6.7104529350310985E-2</v>
      </c>
      <c r="E33">
        <f t="shared" si="2"/>
        <v>4.5030178593267484E-3</v>
      </c>
    </row>
    <row r="34" spans="1:5" x14ac:dyDescent="0.25">
      <c r="A34">
        <v>2.0929931068624996</v>
      </c>
      <c r="B34">
        <v>0.12633262353992306</v>
      </c>
      <c r="C34">
        <f t="shared" si="0"/>
        <v>9.5056568585451348E-2</v>
      </c>
      <c r="D34">
        <f t="shared" si="1"/>
        <v>3.1276054954471708E-2</v>
      </c>
      <c r="E34">
        <f t="shared" si="2"/>
        <v>9.7819161351513431E-4</v>
      </c>
    </row>
    <row r="35" spans="1:5" x14ac:dyDescent="0.25">
      <c r="A35">
        <v>2.1516862190374999</v>
      </c>
      <c r="B35">
        <v>0.11883831536382593</v>
      </c>
      <c r="C35">
        <f t="shared" si="0"/>
        <v>7.8788502201709701E-2</v>
      </c>
      <c r="D35">
        <f t="shared" si="1"/>
        <v>4.0049813162116227E-2</v>
      </c>
      <c r="E35">
        <f t="shared" si="2"/>
        <v>1.6039875343204181E-3</v>
      </c>
    </row>
    <row r="36" spans="1:5" x14ac:dyDescent="0.25">
      <c r="A36">
        <v>2.2103793312124997</v>
      </c>
      <c r="B36">
        <v>0.12205016172501042</v>
      </c>
      <c r="C36">
        <f t="shared" si="0"/>
        <v>6.4820041109919777E-2</v>
      </c>
      <c r="D36">
        <f t="shared" si="1"/>
        <v>5.7230120615090641E-2</v>
      </c>
      <c r="E36">
        <f t="shared" si="2"/>
        <v>3.2752867056178225E-3</v>
      </c>
    </row>
    <row r="37" spans="1:5" x14ac:dyDescent="0.25">
      <c r="A37">
        <v>2.2690724433875</v>
      </c>
      <c r="B37">
        <v>9.528477538180638E-2</v>
      </c>
      <c r="C37">
        <f t="shared" si="0"/>
        <v>5.2933731927954794E-2</v>
      </c>
      <c r="D37">
        <f t="shared" si="1"/>
        <v>4.2351043453851586E-2</v>
      </c>
      <c r="E37">
        <f t="shared" si="2"/>
        <v>1.7936108816300252E-3</v>
      </c>
    </row>
    <row r="38" spans="1:5" x14ac:dyDescent="0.25">
      <c r="A38">
        <v>2.3277655555624999</v>
      </c>
      <c r="B38">
        <v>5.8883849955048882E-2</v>
      </c>
      <c r="C38">
        <f t="shared" si="0"/>
        <v>4.290839215388146E-2</v>
      </c>
      <c r="D38">
        <f t="shared" si="1"/>
        <v>1.5975457801167423E-2</v>
      </c>
      <c r="E38">
        <f t="shared" si="2"/>
        <v>2.5521525195688107E-4</v>
      </c>
    </row>
    <row r="39" spans="1:5" x14ac:dyDescent="0.25">
      <c r="A39">
        <v>2.3864586677374997</v>
      </c>
      <c r="B39">
        <v>7.8154928122155784E-2</v>
      </c>
      <c r="C39">
        <f t="shared" si="0"/>
        <v>3.4526069007848506E-2</v>
      </c>
      <c r="D39">
        <f t="shared" si="1"/>
        <v>4.3628859114307278E-2</v>
      </c>
      <c r="E39">
        <f t="shared" si="2"/>
        <v>1.9034773476160733E-3</v>
      </c>
    </row>
    <row r="40" spans="1:5" x14ac:dyDescent="0.25">
      <c r="A40">
        <v>2.4451517799125</v>
      </c>
      <c r="B40">
        <v>3.6400925426757491E-2</v>
      </c>
      <c r="C40">
        <f t="shared" si="0"/>
        <v>2.7577497051936708E-2</v>
      </c>
      <c r="D40">
        <f t="shared" si="1"/>
        <v>8.8234283748207833E-3</v>
      </c>
      <c r="E40">
        <f t="shared" si="2"/>
        <v>7.7852888285592529E-5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4D11-A2D1-4AF9-AED0-891B5AB4509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0.1827559004</v>
      </c>
      <c r="B1">
        <v>9.0320152020853903E-2</v>
      </c>
      <c r="C1">
        <f>$H$3*(1+$H$1)*(A1^($H$1))*EXP(-$H$3*(A1^(1+$H$1)))</f>
        <v>0.21042366289457548</v>
      </c>
      <c r="D1">
        <f>B1-C1</f>
        <v>-0.12010351087372158</v>
      </c>
      <c r="E1">
        <f>D1^2</f>
        <v>1.4424853324194157E-2</v>
      </c>
      <c r="G1" t="s">
        <v>0</v>
      </c>
      <c r="H1">
        <v>1.2166312307249643</v>
      </c>
    </row>
    <row r="2" spans="1:8" x14ac:dyDescent="0.25">
      <c r="A2">
        <v>0.23841019520000001</v>
      </c>
      <c r="B2">
        <v>0.17386629264014375</v>
      </c>
      <c r="C2">
        <f t="shared" ref="C2:C40" si="0">$H$3*(1+$H$1)*(A2^($H$1))*EXP(-$H$3*(A2^(1+$H$1)))</f>
        <v>0.28668387922730754</v>
      </c>
      <c r="D2">
        <f t="shared" ref="D2:D40" si="1">B2-C2</f>
        <v>-0.11281758658716379</v>
      </c>
      <c r="E2">
        <f t="shared" ref="E2:E40" si="2">D2^2</f>
        <v>1.2727807843352198E-2</v>
      </c>
    </row>
    <row r="3" spans="1:8" x14ac:dyDescent="0.25">
      <c r="A3">
        <v>0.29406449000000001</v>
      </c>
      <c r="B3">
        <v>0.24499341235656619</v>
      </c>
      <c r="C3">
        <f t="shared" si="0"/>
        <v>0.36314026511617553</v>
      </c>
      <c r="D3">
        <f t="shared" si="1"/>
        <v>-0.11814685275960934</v>
      </c>
      <c r="E3">
        <f t="shared" si="2"/>
        <v>1.3958678817000809E-2</v>
      </c>
      <c r="G3" t="s">
        <v>1</v>
      </c>
      <c r="H3">
        <f>(_xlfn.GAMMA((2+$H$1)/(1+$H$1)))^(1+$H$1)</f>
        <v>0.76401202611819496</v>
      </c>
    </row>
    <row r="4" spans="1:8" x14ac:dyDescent="0.25">
      <c r="A4">
        <v>0.34971878479999996</v>
      </c>
      <c r="B4">
        <v>0.50917985701756385</v>
      </c>
      <c r="C4">
        <f t="shared" si="0"/>
        <v>0.43787223445085072</v>
      </c>
      <c r="D4">
        <f t="shared" si="1"/>
        <v>7.1307622566713136E-2</v>
      </c>
      <c r="E4">
        <f t="shared" si="2"/>
        <v>5.0847770361168165E-3</v>
      </c>
    </row>
    <row r="5" spans="1:8" x14ac:dyDescent="0.25">
      <c r="A5">
        <v>0.40537307959999996</v>
      </c>
      <c r="B5">
        <v>0.64578908694910542</v>
      </c>
      <c r="C5">
        <f t="shared" si="0"/>
        <v>0.50916666231235319</v>
      </c>
      <c r="D5">
        <f t="shared" si="1"/>
        <v>0.13662242463675223</v>
      </c>
      <c r="E5">
        <f t="shared" si="2"/>
        <v>1.8665686913625041E-2</v>
      </c>
      <c r="G5" t="s">
        <v>2</v>
      </c>
      <c r="H5">
        <f>SUM(E1:E40)</f>
        <v>0.47041160489033101</v>
      </c>
    </row>
    <row r="6" spans="1:8" x14ac:dyDescent="0.25">
      <c r="A6">
        <v>0.46102737439999997</v>
      </c>
      <c r="B6">
        <v>0.61756403944258853</v>
      </c>
      <c r="C6">
        <f t="shared" si="0"/>
        <v>0.57549229520026279</v>
      </c>
      <c r="D6">
        <f t="shared" si="1"/>
        <v>4.2071744242325737E-2</v>
      </c>
      <c r="E6">
        <f t="shared" si="2"/>
        <v>1.7700316635916688E-3</v>
      </c>
    </row>
    <row r="7" spans="1:8" x14ac:dyDescent="0.25">
      <c r="A7">
        <v>0.51668166919999992</v>
      </c>
      <c r="B7">
        <v>0.70449718576266041</v>
      </c>
      <c r="C7">
        <f t="shared" si="0"/>
        <v>0.63550553610332616</v>
      </c>
      <c r="D7">
        <f t="shared" si="1"/>
        <v>6.8991649659334242E-2</v>
      </c>
      <c r="E7">
        <f t="shared" si="2"/>
        <v>4.759847722716315E-3</v>
      </c>
    </row>
    <row r="8" spans="1:8" x14ac:dyDescent="0.25">
      <c r="A8">
        <v>0.57233596399999997</v>
      </c>
      <c r="B8">
        <v>0.71240019906448515</v>
      </c>
      <c r="C8">
        <f t="shared" si="0"/>
        <v>0.6880674818238306</v>
      </c>
      <c r="D8">
        <f t="shared" si="1"/>
        <v>2.4332717240654556E-2</v>
      </c>
      <c r="E8">
        <f t="shared" si="2"/>
        <v>5.9208112831364741E-4</v>
      </c>
    </row>
    <row r="9" spans="1:8" x14ac:dyDescent="0.25">
      <c r="A9">
        <v>0.62799025879999992</v>
      </c>
      <c r="B9">
        <v>0.78239831688064687</v>
      </c>
      <c r="C9">
        <f t="shared" si="0"/>
        <v>0.73226296431921367</v>
      </c>
      <c r="D9">
        <f t="shared" si="1"/>
        <v>5.01353525614332E-2</v>
      </c>
      <c r="E9">
        <f t="shared" si="2"/>
        <v>2.5135535764592063E-3</v>
      </c>
    </row>
    <row r="10" spans="1:8" x14ac:dyDescent="0.25">
      <c r="A10">
        <v>0.68364455359999998</v>
      </c>
      <c r="B10">
        <v>0.80497835488586034</v>
      </c>
      <c r="C10">
        <f t="shared" si="0"/>
        <v>0.76741666062398883</v>
      </c>
      <c r="D10">
        <f t="shared" si="1"/>
        <v>3.7561694261871503E-2</v>
      </c>
      <c r="E10">
        <f t="shared" si="2"/>
        <v>1.4108808758223107E-3</v>
      </c>
    </row>
    <row r="11" spans="1:8" x14ac:dyDescent="0.25">
      <c r="A11">
        <v>0.73929884840000004</v>
      </c>
      <c r="B11">
        <v>0.90997553161010303</v>
      </c>
      <c r="C11">
        <f t="shared" si="0"/>
        <v>0.79310342779595322</v>
      </c>
      <c r="D11">
        <f t="shared" si="1"/>
        <v>0.11687210381414981</v>
      </c>
      <c r="E11">
        <f t="shared" si="2"/>
        <v>1.365908864994541E-2</v>
      </c>
    </row>
    <row r="12" spans="1:8" x14ac:dyDescent="0.25">
      <c r="A12">
        <v>0.79495314319999999</v>
      </c>
      <c r="B12">
        <v>1.0420687539406019</v>
      </c>
      <c r="C12">
        <f t="shared" si="0"/>
        <v>0.80915125910986829</v>
      </c>
      <c r="D12">
        <f t="shared" si="1"/>
        <v>0.23291749483073365</v>
      </c>
      <c r="E12">
        <f t="shared" si="2"/>
        <v>5.4250559398224839E-2</v>
      </c>
    </row>
    <row r="13" spans="1:8" x14ac:dyDescent="0.25">
      <c r="A13">
        <v>0.85060743799999994</v>
      </c>
      <c r="B13">
        <v>1.1651299610690153</v>
      </c>
      <c r="C13">
        <f t="shared" si="0"/>
        <v>0.81563613139281921</v>
      </c>
      <c r="D13">
        <f t="shared" si="1"/>
        <v>0.34949382967619613</v>
      </c>
      <c r="E13">
        <f t="shared" si="2"/>
        <v>0.122145936981734</v>
      </c>
    </row>
    <row r="14" spans="1:8" x14ac:dyDescent="0.25">
      <c r="A14">
        <v>0.90626173279999989</v>
      </c>
      <c r="B14">
        <v>0.9754576418252221</v>
      </c>
      <c r="C14">
        <f t="shared" si="0"/>
        <v>0.8128687021665354</v>
      </c>
      <c r="D14">
        <f t="shared" si="1"/>
        <v>0.1625889396586867</v>
      </c>
      <c r="E14">
        <f t="shared" si="2"/>
        <v>2.6435163299336067E-2</v>
      </c>
    </row>
    <row r="15" spans="1:8" x14ac:dyDescent="0.25">
      <c r="A15">
        <v>0.96191602759999983</v>
      </c>
      <c r="B15">
        <v>0.92916856391453451</v>
      </c>
      <c r="C15">
        <f t="shared" si="0"/>
        <v>0.80137338347199694</v>
      </c>
      <c r="D15">
        <f t="shared" si="1"/>
        <v>0.12779518044253757</v>
      </c>
      <c r="E15">
        <f t="shared" si="2"/>
        <v>1.6331608144340738E-2</v>
      </c>
    </row>
    <row r="16" spans="1:8" x14ac:dyDescent="0.25">
      <c r="A16">
        <v>1.0175703223999999</v>
      </c>
      <c r="B16">
        <v>0.74627025607230535</v>
      </c>
      <c r="C16">
        <f t="shared" si="0"/>
        <v>0.78186078403045878</v>
      </c>
      <c r="D16">
        <f t="shared" si="1"/>
        <v>-3.5590527958153428E-2</v>
      </c>
      <c r="E16">
        <f t="shared" si="2"/>
        <v>1.2666856803401009E-3</v>
      </c>
    </row>
    <row r="17" spans="1:5" x14ac:dyDescent="0.25">
      <c r="A17">
        <v>1.0732246172</v>
      </c>
      <c r="B17">
        <v>0.73046422946865586</v>
      </c>
      <c r="C17">
        <f t="shared" si="0"/>
        <v>0.75519487165653831</v>
      </c>
      <c r="D17">
        <f t="shared" si="1"/>
        <v>-2.4730642187882457E-2</v>
      </c>
      <c r="E17">
        <f t="shared" si="2"/>
        <v>6.1160466302507155E-4</v>
      </c>
    </row>
    <row r="18" spans="1:5" x14ac:dyDescent="0.25">
      <c r="A18">
        <v>1.128878912</v>
      </c>
      <c r="B18">
        <v>0.56901695773137961</v>
      </c>
      <c r="C18">
        <f t="shared" si="0"/>
        <v>0.72235645763160983</v>
      </c>
      <c r="D18">
        <f t="shared" si="1"/>
        <v>-0.15333949990023021</v>
      </c>
      <c r="E18">
        <f t="shared" si="2"/>
        <v>2.3513002229652701E-2</v>
      </c>
    </row>
    <row r="19" spans="1:5" x14ac:dyDescent="0.25">
      <c r="A19">
        <v>1.1845332067999998</v>
      </c>
      <c r="B19">
        <v>0.5046638494165212</v>
      </c>
      <c r="C19">
        <f t="shared" si="0"/>
        <v>0.68440473983439054</v>
      </c>
      <c r="D19">
        <f t="shared" si="1"/>
        <v>-0.17974089041786934</v>
      </c>
      <c r="E19">
        <f t="shared" si="2"/>
        <v>3.2306787688208514E-2</v>
      </c>
    </row>
    <row r="20" spans="1:5" x14ac:dyDescent="0.25">
      <c r="A20">
        <v>1.2401875015999999</v>
      </c>
      <c r="B20">
        <v>0.52498588362121323</v>
      </c>
      <c r="C20">
        <f t="shared" si="0"/>
        <v>0.64243866251001613</v>
      </c>
      <c r="D20">
        <f t="shared" si="1"/>
        <v>-0.1174527788888029</v>
      </c>
      <c r="E20">
        <f t="shared" si="2"/>
        <v>1.3795155268702024E-2</v>
      </c>
    </row>
    <row r="21" spans="1:5" x14ac:dyDescent="0.25">
      <c r="A21">
        <v>1.2958417964</v>
      </c>
      <c r="B21">
        <v>0.43240772779983805</v>
      </c>
      <c r="C21">
        <f t="shared" si="0"/>
        <v>0.59755976454741055</v>
      </c>
      <c r="D21">
        <f t="shared" si="1"/>
        <v>-0.16515203674757251</v>
      </c>
      <c r="E21">
        <f t="shared" si="2"/>
        <v>2.7275195241871539E-2</v>
      </c>
    </row>
    <row r="22" spans="1:5" x14ac:dyDescent="0.25">
      <c r="A22">
        <v>1.3514960912</v>
      </c>
      <c r="B22">
        <v>0.4628907791068762</v>
      </c>
      <c r="C22">
        <f t="shared" si="0"/>
        <v>0.55083800814278583</v>
      </c>
      <c r="D22">
        <f t="shared" si="1"/>
        <v>-8.7947229035909624E-2</v>
      </c>
      <c r="E22">
        <f t="shared" si="2"/>
        <v>7.7347150950947451E-3</v>
      </c>
    </row>
    <row r="23" spans="1:5" x14ac:dyDescent="0.25">
      <c r="A23">
        <v>1.4071503860000001</v>
      </c>
      <c r="B23">
        <v>0.40869868789436387</v>
      </c>
      <c r="C23">
        <f t="shared" si="0"/>
        <v>0.50328182419024792</v>
      </c>
      <c r="D23">
        <f t="shared" si="1"/>
        <v>-9.4583136295884052E-2</v>
      </c>
      <c r="E23">
        <f t="shared" si="2"/>
        <v>8.9459696715657785E-3</v>
      </c>
    </row>
    <row r="24" spans="1:5" x14ac:dyDescent="0.25">
      <c r="A24">
        <v>1.4628046807999997</v>
      </c>
      <c r="B24">
        <v>0.32966855487611674</v>
      </c>
      <c r="C24">
        <f t="shared" si="0"/>
        <v>0.4558133019288213</v>
      </c>
      <c r="D24">
        <f t="shared" si="1"/>
        <v>-0.12614474705270456</v>
      </c>
      <c r="E24">
        <f t="shared" si="2"/>
        <v>1.5912497208990815E-2</v>
      </c>
    </row>
    <row r="25" spans="1:5" x14ac:dyDescent="0.25">
      <c r="A25">
        <v>1.5184589755999998</v>
      </c>
      <c r="B25">
        <v>0.35789360238263357</v>
      </c>
      <c r="C25">
        <f t="shared" si="0"/>
        <v>0.40924911256241403</v>
      </c>
      <c r="D25">
        <f t="shared" si="1"/>
        <v>-5.1355510179780461E-2</v>
      </c>
      <c r="E25">
        <f t="shared" si="2"/>
        <v>2.6373884258255346E-3</v>
      </c>
    </row>
    <row r="26" spans="1:5" x14ac:dyDescent="0.25">
      <c r="A26">
        <v>1.5741132703999998</v>
      </c>
      <c r="B26">
        <v>0.30595951497064261</v>
      </c>
      <c r="C26">
        <f t="shared" si="0"/>
        <v>0.36428741408918308</v>
      </c>
      <c r="D26">
        <f t="shared" si="1"/>
        <v>-5.8327899118540472E-2</v>
      </c>
      <c r="E26">
        <f t="shared" si="2"/>
        <v>3.4021438155826342E-3</v>
      </c>
    </row>
    <row r="27" spans="1:5" x14ac:dyDescent="0.25">
      <c r="A27">
        <v>1.6297675651999999</v>
      </c>
      <c r="B27">
        <v>0.30257250926986057</v>
      </c>
      <c r="C27">
        <f t="shared" si="0"/>
        <v>0.32150065997832689</v>
      </c>
      <c r="D27">
        <f t="shared" si="1"/>
        <v>-1.8928150708466318E-2</v>
      </c>
      <c r="E27">
        <f t="shared" si="2"/>
        <v>3.5827488924241398E-4</v>
      </c>
    </row>
    <row r="28" spans="1:5" x14ac:dyDescent="0.25">
      <c r="A28">
        <v>1.6854218599999999</v>
      </c>
      <c r="B28">
        <v>0.28337947696542909</v>
      </c>
      <c r="C28">
        <f t="shared" si="0"/>
        <v>0.28133394680892609</v>
      </c>
      <c r="D28">
        <f t="shared" si="1"/>
        <v>2.0455301565029949E-3</v>
      </c>
      <c r="E28">
        <f t="shared" si="2"/>
        <v>4.1841936211631667E-6</v>
      </c>
    </row>
    <row r="29" spans="1:5" x14ac:dyDescent="0.25">
      <c r="A29">
        <v>1.7410761547999998</v>
      </c>
      <c r="B29">
        <v>0.19531732874509655</v>
      </c>
      <c r="C29">
        <f t="shared" si="0"/>
        <v>0.24410830020890611</v>
      </c>
      <c r="D29">
        <f t="shared" si="1"/>
        <v>-4.8790971463809563E-2</v>
      </c>
      <c r="E29">
        <f t="shared" si="2"/>
        <v>2.3805588963822792E-3</v>
      </c>
    </row>
    <row r="30" spans="1:5" x14ac:dyDescent="0.25">
      <c r="A30">
        <v>1.7967304495999998</v>
      </c>
      <c r="B30">
        <v>0.1975753325456179</v>
      </c>
      <c r="C30">
        <f t="shared" si="0"/>
        <v>0.21002812386875197</v>
      </c>
      <c r="D30">
        <f t="shared" si="1"/>
        <v>-1.2452791323134066E-2</v>
      </c>
      <c r="E30">
        <f t="shared" si="2"/>
        <v>1.5507201173752309E-4</v>
      </c>
    </row>
    <row r="31" spans="1:5" x14ac:dyDescent="0.25">
      <c r="A31">
        <v>1.8523847443999997</v>
      </c>
      <c r="B31">
        <v>0.22128437245109206</v>
      </c>
      <c r="C31">
        <f t="shared" si="0"/>
        <v>0.17919192713318643</v>
      </c>
      <c r="D31">
        <f t="shared" si="1"/>
        <v>4.2092445317905625E-2</v>
      </c>
      <c r="E31">
        <f t="shared" si="2"/>
        <v>1.7717739528408751E-3</v>
      </c>
    </row>
    <row r="32" spans="1:5" x14ac:dyDescent="0.25">
      <c r="A32">
        <v>1.9080390391999997</v>
      </c>
      <c r="B32">
        <v>0.21112335534874599</v>
      </c>
      <c r="C32">
        <f t="shared" si="0"/>
        <v>0.15160540167520362</v>
      </c>
      <c r="D32">
        <f t="shared" si="1"/>
        <v>5.9517953673542373E-2</v>
      </c>
      <c r="E32">
        <f t="shared" si="2"/>
        <v>3.542386809485936E-3</v>
      </c>
    </row>
    <row r="33" spans="1:5" x14ac:dyDescent="0.25">
      <c r="A33">
        <v>1.9636933339999998</v>
      </c>
      <c r="B33">
        <v>0.17499529454040444</v>
      </c>
      <c r="C33">
        <f t="shared" si="0"/>
        <v>0.1271959315976457</v>
      </c>
      <c r="D33">
        <f t="shared" si="1"/>
        <v>4.7799362942758744E-2</v>
      </c>
      <c r="E33">
        <f t="shared" si="2"/>
        <v>2.284779097733578E-3</v>
      </c>
    </row>
    <row r="34" spans="1:5" x14ac:dyDescent="0.25">
      <c r="A34">
        <v>2.0193476287999998</v>
      </c>
      <c r="B34">
        <v>0.1332222242307595</v>
      </c>
      <c r="C34">
        <f t="shared" si="0"/>
        <v>0.10582768511437327</v>
      </c>
      <c r="D34">
        <f t="shared" si="1"/>
        <v>2.739453911638623E-2</v>
      </c>
      <c r="E34">
        <f t="shared" si="2"/>
        <v>7.5046077339921522E-4</v>
      </c>
    </row>
    <row r="35" spans="1:5" x14ac:dyDescent="0.25">
      <c r="A35">
        <v>2.0750019235999999</v>
      </c>
      <c r="B35">
        <v>0.12757721472945613</v>
      </c>
      <c r="C35">
        <f t="shared" si="0"/>
        <v>8.7316538561546975E-2</v>
      </c>
      <c r="D35">
        <f t="shared" si="1"/>
        <v>4.0260676167909154E-2</v>
      </c>
      <c r="E35">
        <f t="shared" si="2"/>
        <v>1.6209220454972482E-3</v>
      </c>
    </row>
    <row r="36" spans="1:5" x14ac:dyDescent="0.25">
      <c r="A36">
        <v>2.1306562184</v>
      </c>
      <c r="B36">
        <v>0.1546732603357123</v>
      </c>
      <c r="C36">
        <f t="shared" si="0"/>
        <v>7.1444212584786948E-2</v>
      </c>
      <c r="D36">
        <f t="shared" si="1"/>
        <v>8.322904775092535E-2</v>
      </c>
      <c r="E36">
        <f t="shared" si="2"/>
        <v>6.9270743895258119E-3</v>
      </c>
    </row>
    <row r="37" spans="1:5" x14ac:dyDescent="0.25">
      <c r="A37">
        <v>2.1863105132</v>
      </c>
      <c r="B37">
        <v>9.4836159621896593E-2</v>
      </c>
      <c r="C37">
        <f t="shared" si="0"/>
        <v>5.7971143634860271E-2</v>
      </c>
      <c r="D37">
        <f t="shared" si="1"/>
        <v>3.6865015987036322E-2</v>
      </c>
      <c r="E37">
        <f t="shared" si="2"/>
        <v>1.3590294037244435E-3</v>
      </c>
    </row>
    <row r="38" spans="1:5" x14ac:dyDescent="0.25">
      <c r="A38">
        <v>2.2419648079999996</v>
      </c>
      <c r="B38">
        <v>6.0966102614076381E-2</v>
      </c>
      <c r="C38">
        <f t="shared" si="0"/>
        <v>4.6647760015673834E-2</v>
      </c>
      <c r="D38">
        <f t="shared" si="1"/>
        <v>1.4318342598402548E-2</v>
      </c>
      <c r="E38">
        <f t="shared" si="2"/>
        <v>2.0501493476522901E-4</v>
      </c>
    </row>
    <row r="39" spans="1:5" x14ac:dyDescent="0.25">
      <c r="A39">
        <v>2.2976191027999997</v>
      </c>
      <c r="B39">
        <v>9.0320152020853903E-2</v>
      </c>
      <c r="C39">
        <f t="shared" si="0"/>
        <v>3.7223970958935253E-2</v>
      </c>
      <c r="D39">
        <f t="shared" si="1"/>
        <v>5.309618106191865E-2</v>
      </c>
      <c r="E39">
        <f t="shared" si="2"/>
        <v>2.8192044433600488E-3</v>
      </c>
    </row>
    <row r="40" spans="1:5" x14ac:dyDescent="0.25">
      <c r="A40">
        <v>2.3532733975999998</v>
      </c>
      <c r="B40">
        <v>3.9515066509123578E-2</v>
      </c>
      <c r="C40">
        <f t="shared" si="0"/>
        <v>2.9456801977774734E-2</v>
      </c>
      <c r="D40">
        <f t="shared" si="1"/>
        <v>1.0058264531348844E-2</v>
      </c>
      <c r="E40">
        <f t="shared" si="2"/>
        <v>1.0116868538259018E-4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5125E-127D-400F-AF15-0D5B911F4B2E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0.21117368728749999</v>
      </c>
      <c r="B1">
        <v>9.6860353363440996E-2</v>
      </c>
      <c r="C1">
        <f>$H$3*(1+$H$1)*(A1^($H$1))*EXP(-$H$3*(A1^(1+$H$1)))</f>
        <v>0.21158020029428912</v>
      </c>
      <c r="D1">
        <f>B1-C1</f>
        <v>-0.11471984693084812</v>
      </c>
      <c r="E1">
        <f>D1^2</f>
        <v>1.3160643279837222E-2</v>
      </c>
      <c r="G1" t="s">
        <v>0</v>
      </c>
      <c r="H1">
        <v>1.3539416561765567</v>
      </c>
    </row>
    <row r="2" spans="1:8" x14ac:dyDescent="0.25">
      <c r="A2">
        <v>0.26371879986250002</v>
      </c>
      <c r="B2">
        <v>0.1698045700939336</v>
      </c>
      <c r="C2">
        <f t="shared" ref="C2:C40" si="0">$H$3*(1+$H$1)*(A2^($H$1))*EXP(-$H$3*(A2^(1+$H$1)))</f>
        <v>0.28206999093561425</v>
      </c>
      <c r="D2">
        <f t="shared" ref="D2:D40" si="1">B2-C2</f>
        <v>-0.11226542084168065</v>
      </c>
      <c r="E2">
        <f t="shared" ref="E2:E40" si="2">D2^2</f>
        <v>1.2603524716759663E-2</v>
      </c>
    </row>
    <row r="3" spans="1:8" x14ac:dyDescent="0.25">
      <c r="A3">
        <v>0.31626391243749996</v>
      </c>
      <c r="B3">
        <v>0.2367697526661891</v>
      </c>
      <c r="C3">
        <f t="shared" si="0"/>
        <v>0.35450835706733586</v>
      </c>
      <c r="D3">
        <f t="shared" si="1"/>
        <v>-0.11773860440114675</v>
      </c>
      <c r="E3">
        <f t="shared" si="2"/>
        <v>1.3862378966329733E-2</v>
      </c>
      <c r="G3" t="s">
        <v>1</v>
      </c>
      <c r="H3">
        <f>(_xlfn.GAMMA((2+$H$1)/(1+$H$1)))^(1+$H$1)</f>
        <v>0.75245763846953073</v>
      </c>
    </row>
    <row r="4" spans="1:8" x14ac:dyDescent="0.25">
      <c r="A4">
        <v>0.36880902501250001</v>
      </c>
      <c r="B4">
        <v>0.43886110721460303</v>
      </c>
      <c r="C4">
        <f t="shared" si="0"/>
        <v>0.42709494555477007</v>
      </c>
      <c r="D4">
        <f t="shared" si="1"/>
        <v>1.1766161659832963E-2</v>
      </c>
      <c r="E4">
        <f t="shared" si="2"/>
        <v>1.384425602053232E-4</v>
      </c>
    </row>
    <row r="5" spans="1:8" x14ac:dyDescent="0.25">
      <c r="A5">
        <v>0.42135413758750001</v>
      </c>
      <c r="B5">
        <v>0.6505189164161963</v>
      </c>
      <c r="C5">
        <f t="shared" si="0"/>
        <v>0.49813206669854004</v>
      </c>
      <c r="D5">
        <f t="shared" si="1"/>
        <v>0.15238684971765626</v>
      </c>
      <c r="E5">
        <f t="shared" si="2"/>
        <v>2.3221751966871554E-2</v>
      </c>
      <c r="G5" t="s">
        <v>2</v>
      </c>
      <c r="H5">
        <f>SUM(E1:E40)</f>
        <v>0.53691273734219447</v>
      </c>
    </row>
    <row r="6" spans="1:8" x14ac:dyDescent="0.25">
      <c r="A6">
        <v>0.47389925016250001</v>
      </c>
      <c r="B6">
        <v>0.63497342760477982</v>
      </c>
      <c r="C6">
        <f t="shared" si="0"/>
        <v>0.56601927296739318</v>
      </c>
      <c r="D6">
        <f t="shared" si="1"/>
        <v>6.8954154637386633E-2</v>
      </c>
      <c r="E6">
        <f t="shared" si="2"/>
        <v>4.7546754417566285E-3</v>
      </c>
    </row>
    <row r="7" spans="1:8" x14ac:dyDescent="0.25">
      <c r="A7">
        <v>0.52644436273749995</v>
      </c>
      <c r="B7">
        <v>0.72824636047327862</v>
      </c>
      <c r="C7">
        <f t="shared" si="0"/>
        <v>0.62926993587894686</v>
      </c>
      <c r="D7">
        <f t="shared" si="1"/>
        <v>9.8976424594331758E-2</v>
      </c>
      <c r="E7">
        <f t="shared" si="2"/>
        <v>9.7963326254774403E-3</v>
      </c>
    </row>
    <row r="8" spans="1:8" x14ac:dyDescent="0.25">
      <c r="A8">
        <v>0.5789894753125</v>
      </c>
      <c r="B8">
        <v>0.74737926977963731</v>
      </c>
      <c r="C8">
        <f t="shared" si="0"/>
        <v>0.68653783700422188</v>
      </c>
      <c r="D8">
        <f t="shared" si="1"/>
        <v>6.0841432775415427E-2</v>
      </c>
      <c r="E8">
        <f t="shared" si="2"/>
        <v>3.7016799421653946E-3</v>
      </c>
    </row>
    <row r="9" spans="1:8" x14ac:dyDescent="0.25">
      <c r="A9">
        <v>0.63153458788750005</v>
      </c>
      <c r="B9">
        <v>0.78205766789741249</v>
      </c>
      <c r="C9">
        <f t="shared" si="0"/>
        <v>0.73664711007550998</v>
      </c>
      <c r="D9">
        <f t="shared" si="1"/>
        <v>4.5410557821902509E-2</v>
      </c>
      <c r="E9">
        <f t="shared" si="2"/>
        <v>2.0621187616963509E-3</v>
      </c>
    </row>
    <row r="10" spans="1:8" x14ac:dyDescent="0.25">
      <c r="A10">
        <v>0.6840797004625</v>
      </c>
      <c r="B10">
        <v>0.87652640759755862</v>
      </c>
      <c r="C10">
        <f t="shared" si="0"/>
        <v>0.778621210806269</v>
      </c>
      <c r="D10">
        <f t="shared" si="1"/>
        <v>9.7905196791289617E-2</v>
      </c>
      <c r="E10">
        <f t="shared" si="2"/>
        <v>9.5854275587411459E-3</v>
      </c>
    </row>
    <row r="11" spans="1:8" x14ac:dyDescent="0.25">
      <c r="A11">
        <v>0.73662481303750005</v>
      </c>
      <c r="B11">
        <v>0.82271510017342475</v>
      </c>
      <c r="C11">
        <f t="shared" si="0"/>
        <v>0.81170783358616028</v>
      </c>
      <c r="D11">
        <f t="shared" si="1"/>
        <v>1.1007266587264475E-2</v>
      </c>
      <c r="E11">
        <f t="shared" si="2"/>
        <v>1.2115991772310892E-4</v>
      </c>
    </row>
    <row r="12" spans="1:8" x14ac:dyDescent="0.25">
      <c r="A12">
        <v>0.78916992561249999</v>
      </c>
      <c r="B12">
        <v>1.0056735454154799</v>
      </c>
      <c r="C12">
        <f t="shared" si="0"/>
        <v>0.83539751897016823</v>
      </c>
      <c r="D12">
        <f t="shared" si="1"/>
        <v>0.1702760264453117</v>
      </c>
      <c r="E12">
        <f t="shared" si="2"/>
        <v>2.8993925182004488E-2</v>
      </c>
    </row>
    <row r="13" spans="1:8" x14ac:dyDescent="0.25">
      <c r="A13">
        <v>0.84171503818749993</v>
      </c>
      <c r="B13">
        <v>1.0834009894725622</v>
      </c>
      <c r="C13">
        <f t="shared" si="0"/>
        <v>0.8494343680921761</v>
      </c>
      <c r="D13">
        <f t="shared" si="1"/>
        <v>0.23396662138038615</v>
      </c>
      <c r="E13">
        <f t="shared" si="2"/>
        <v>5.4740379920152966E-2</v>
      </c>
    </row>
    <row r="14" spans="1:8" x14ac:dyDescent="0.25">
      <c r="A14">
        <v>0.89426015076249987</v>
      </c>
      <c r="B14">
        <v>1.2328768434284898</v>
      </c>
      <c r="C14">
        <f t="shared" si="0"/>
        <v>0.853817902175113</v>
      </c>
      <c r="D14">
        <f t="shared" si="1"/>
        <v>0.3790589412533768</v>
      </c>
      <c r="E14">
        <f t="shared" si="2"/>
        <v>0.14368568094413098</v>
      </c>
    </row>
    <row r="15" spans="1:8" x14ac:dyDescent="0.25">
      <c r="A15">
        <v>0.94680526333749992</v>
      </c>
      <c r="B15">
        <v>0.96860353363440999</v>
      </c>
      <c r="C15">
        <f t="shared" si="0"/>
        <v>0.84879570793142256</v>
      </c>
      <c r="D15">
        <f t="shared" si="1"/>
        <v>0.11980782570298742</v>
      </c>
      <c r="E15">
        <f t="shared" si="2"/>
        <v>1.4353915099677414E-2</v>
      </c>
    </row>
    <row r="16" spans="1:8" x14ac:dyDescent="0.25">
      <c r="A16">
        <v>0.99935037591249998</v>
      </c>
      <c r="B16">
        <v>0.90881319205203892</v>
      </c>
      <c r="C16">
        <f t="shared" si="0"/>
        <v>0.83484708962881149</v>
      </c>
      <c r="D16">
        <f t="shared" si="1"/>
        <v>7.3966102423227431E-2</v>
      </c>
      <c r="E16">
        <f t="shared" si="2"/>
        <v>5.4709843076833709E-3</v>
      </c>
    </row>
    <row r="17" spans="1:5" x14ac:dyDescent="0.25">
      <c r="A17">
        <v>1.0518954884875</v>
      </c>
      <c r="B17">
        <v>0.77368702007588053</v>
      </c>
      <c r="C17">
        <f t="shared" si="0"/>
        <v>0.81265848661754447</v>
      </c>
      <c r="D17">
        <f t="shared" si="1"/>
        <v>-3.8971466541663946E-2</v>
      </c>
      <c r="E17">
        <f t="shared" si="2"/>
        <v>1.5187752044080324E-3</v>
      </c>
    </row>
    <row r="18" spans="1:5" x14ac:dyDescent="0.25">
      <c r="A18">
        <v>1.1044406010625001</v>
      </c>
      <c r="B18">
        <v>0.74737926977963731</v>
      </c>
      <c r="C18">
        <f t="shared" si="0"/>
        <v>0.78309188565698262</v>
      </c>
      <c r="D18">
        <f t="shared" si="1"/>
        <v>-3.5712615877345311E-2</v>
      </c>
      <c r="E18">
        <f t="shared" si="2"/>
        <v>1.2753909328028163E-3</v>
      </c>
    </row>
    <row r="19" spans="1:5" x14ac:dyDescent="0.25">
      <c r="A19">
        <v>1.1569857136374999</v>
      </c>
      <c r="B19">
        <v>0.5345256537463966</v>
      </c>
      <c r="C19">
        <f t="shared" si="0"/>
        <v>0.74714783501739401</v>
      </c>
      <c r="D19">
        <f t="shared" si="1"/>
        <v>-0.21262218127099741</v>
      </c>
      <c r="E19">
        <f t="shared" si="2"/>
        <v>4.5208191968436881E-2</v>
      </c>
    </row>
    <row r="20" spans="1:5" x14ac:dyDescent="0.25">
      <c r="A20">
        <v>1.2095308262125</v>
      </c>
      <c r="B20">
        <v>0.56202921087428725</v>
      </c>
      <c r="C20">
        <f t="shared" si="0"/>
        <v>0.70592493107325183</v>
      </c>
      <c r="D20">
        <f t="shared" si="1"/>
        <v>-0.14389572019896457</v>
      </c>
      <c r="E20">
        <f t="shared" si="2"/>
        <v>2.0705978291578702E-2</v>
      </c>
    </row>
    <row r="21" spans="1:5" x14ac:dyDescent="0.25">
      <c r="A21">
        <v>1.2620759387875</v>
      </c>
      <c r="B21">
        <v>0.45440659602601946</v>
      </c>
      <c r="C21">
        <f t="shared" si="0"/>
        <v>0.6605777843255275</v>
      </c>
      <c r="D21">
        <f t="shared" si="1"/>
        <v>-0.20617118829950803</v>
      </c>
      <c r="E21">
        <f t="shared" si="2"/>
        <v>4.2506558884831201E-2</v>
      </c>
    </row>
    <row r="22" spans="1:5" x14ac:dyDescent="0.25">
      <c r="A22">
        <v>1.3146210513625001</v>
      </c>
      <c r="B22">
        <v>0.53213404008310172</v>
      </c>
      <c r="C22">
        <f t="shared" si="0"/>
        <v>0.61227547599023291</v>
      </c>
      <c r="D22">
        <f t="shared" si="1"/>
        <v>-8.0141435907131187E-2</v>
      </c>
      <c r="E22">
        <f t="shared" si="2"/>
        <v>6.4226497492568162E-3</v>
      </c>
    </row>
    <row r="23" spans="1:5" x14ac:dyDescent="0.25">
      <c r="A23">
        <v>1.3671661639375001</v>
      </c>
      <c r="B23">
        <v>0.45799401652096172</v>
      </c>
      <c r="C23">
        <f t="shared" si="0"/>
        <v>0.56216239369042464</v>
      </c>
      <c r="D23">
        <f t="shared" si="1"/>
        <v>-0.10416837716946292</v>
      </c>
      <c r="E23">
        <f t="shared" si="2"/>
        <v>1.0851050802119485E-2</v>
      </c>
    </row>
    <row r="24" spans="1:5" x14ac:dyDescent="0.25">
      <c r="A24">
        <v>1.4197112765125</v>
      </c>
      <c r="B24">
        <v>0.35395882216763624</v>
      </c>
      <c r="C24">
        <f t="shared" si="0"/>
        <v>0.51132309987409741</v>
      </c>
      <c r="D24">
        <f t="shared" si="1"/>
        <v>-0.15736427770646116</v>
      </c>
      <c r="E24">
        <f t="shared" si="2"/>
        <v>2.4763515898076231E-2</v>
      </c>
    </row>
    <row r="25" spans="1:5" x14ac:dyDescent="0.25">
      <c r="A25">
        <v>1.4722563890875</v>
      </c>
      <c r="B25">
        <v>0.38026657246387946</v>
      </c>
      <c r="C25">
        <f t="shared" si="0"/>
        <v>0.46075256169959422</v>
      </c>
      <c r="D25">
        <f t="shared" si="1"/>
        <v>-8.0485989235714761E-2</v>
      </c>
      <c r="E25">
        <f t="shared" si="2"/>
        <v>6.4779944632515924E-3</v>
      </c>
    </row>
    <row r="26" spans="1:5" x14ac:dyDescent="0.25">
      <c r="A26">
        <v>1.5248015016625001</v>
      </c>
      <c r="B26">
        <v>0.31928042404986107</v>
      </c>
      <c r="C26">
        <f t="shared" si="0"/>
        <v>0.41133268435675518</v>
      </c>
      <c r="D26">
        <f t="shared" si="1"/>
        <v>-9.2052260306894118E-2</v>
      </c>
      <c r="E26">
        <f t="shared" si="2"/>
        <v>8.4736186276081951E-3</v>
      </c>
    </row>
    <row r="27" spans="1:5" x14ac:dyDescent="0.25">
      <c r="A27">
        <v>1.5773466142375001</v>
      </c>
      <c r="B27">
        <v>0.3479797880093991</v>
      </c>
      <c r="C27">
        <f t="shared" si="0"/>
        <v>0.36381567230606482</v>
      </c>
      <c r="D27">
        <f t="shared" si="1"/>
        <v>-1.5835884296665714E-2</v>
      </c>
      <c r="E27">
        <f t="shared" si="2"/>
        <v>2.5077523145738376E-4</v>
      </c>
    </row>
    <row r="28" spans="1:5" x14ac:dyDescent="0.25">
      <c r="A28">
        <v>1.6298917268125002</v>
      </c>
      <c r="B28">
        <v>0.31808461721821363</v>
      </c>
      <c r="C28">
        <f t="shared" si="0"/>
        <v>0.31881432620497929</v>
      </c>
      <c r="D28">
        <f t="shared" si="1"/>
        <v>-7.2970898676566476E-4</v>
      </c>
      <c r="E28">
        <f t="shared" si="2"/>
        <v>5.3247520536657313E-7</v>
      </c>
    </row>
    <row r="29" spans="1:5" x14ac:dyDescent="0.25">
      <c r="A29">
        <v>1.6824368393875</v>
      </c>
      <c r="B29">
        <v>0.20926619553829845</v>
      </c>
      <c r="C29">
        <f t="shared" si="0"/>
        <v>0.27679899645632794</v>
      </c>
      <c r="D29">
        <f t="shared" si="1"/>
        <v>-6.753280091802949E-2</v>
      </c>
      <c r="E29">
        <f t="shared" si="2"/>
        <v>4.5606791998342045E-3</v>
      </c>
    </row>
    <row r="30" spans="1:5" x14ac:dyDescent="0.25">
      <c r="A30">
        <v>1.7349819519624998</v>
      </c>
      <c r="B30">
        <v>0.23557394583454166</v>
      </c>
      <c r="C30">
        <f t="shared" si="0"/>
        <v>0.23810058178573615</v>
      </c>
      <c r="D30">
        <f t="shared" si="1"/>
        <v>-2.5266359511944836E-3</v>
      </c>
      <c r="E30">
        <f t="shared" si="2"/>
        <v>6.3838892298684525E-6</v>
      </c>
    </row>
    <row r="31" spans="1:5" x14ac:dyDescent="0.25">
      <c r="A31">
        <v>1.7875270645375001</v>
      </c>
      <c r="B31">
        <v>0.20448296821170878</v>
      </c>
      <c r="C31">
        <f t="shared" si="0"/>
        <v>0.2029187010807654</v>
      </c>
      <c r="D31">
        <f t="shared" si="1"/>
        <v>1.5642671309433753E-3</v>
      </c>
      <c r="E31">
        <f t="shared" si="2"/>
        <v>2.446931656949819E-6</v>
      </c>
    </row>
    <row r="32" spans="1:5" x14ac:dyDescent="0.25">
      <c r="A32">
        <v>1.8400721771125002</v>
      </c>
      <c r="B32">
        <v>0.24155297999277878</v>
      </c>
      <c r="C32">
        <f t="shared" si="0"/>
        <v>0.17133398959729615</v>
      </c>
      <c r="D32">
        <f t="shared" si="1"/>
        <v>7.0218990395482628E-2</v>
      </c>
      <c r="E32">
        <f t="shared" si="2"/>
        <v>4.9307066121608819E-3</v>
      </c>
    </row>
    <row r="33" spans="1:5" x14ac:dyDescent="0.25">
      <c r="A33">
        <v>1.8926172896875002</v>
      </c>
      <c r="B33">
        <v>0.19372070672688199</v>
      </c>
      <c r="C33">
        <f t="shared" si="0"/>
        <v>0.14332337969385808</v>
      </c>
      <c r="D33">
        <f t="shared" si="1"/>
        <v>5.0397327033023909E-2</v>
      </c>
      <c r="E33">
        <f t="shared" si="2"/>
        <v>2.5398905720735625E-3</v>
      </c>
    </row>
    <row r="34" spans="1:5" x14ac:dyDescent="0.25">
      <c r="A34">
        <v>1.9451624022625</v>
      </c>
      <c r="B34">
        <v>0.16143392227240166</v>
      </c>
      <c r="C34">
        <f t="shared" si="0"/>
        <v>0.11877721758806956</v>
      </c>
      <c r="D34">
        <f t="shared" si="1"/>
        <v>4.2656704684332108E-2</v>
      </c>
      <c r="E34">
        <f t="shared" si="2"/>
        <v>1.8195944545263208E-3</v>
      </c>
    </row>
    <row r="35" spans="1:5" x14ac:dyDescent="0.25">
      <c r="A35">
        <v>1.9977075148375001</v>
      </c>
      <c r="B35">
        <v>0.13393036514451101</v>
      </c>
      <c r="C35">
        <f t="shared" si="0"/>
        <v>9.751713141826826E-2</v>
      </c>
      <c r="D35">
        <f t="shared" si="1"/>
        <v>3.641323372624275E-2</v>
      </c>
      <c r="E35">
        <f t="shared" si="2"/>
        <v>1.3259235904019824E-3</v>
      </c>
    </row>
    <row r="36" spans="1:5" x14ac:dyDescent="0.25">
      <c r="A36">
        <v>2.0502526274125001</v>
      </c>
      <c r="B36">
        <v>0.16262972910404908</v>
      </c>
      <c r="C36">
        <f t="shared" si="0"/>
        <v>7.9313687942488387E-2</v>
      </c>
      <c r="D36">
        <f t="shared" si="1"/>
        <v>8.3316041161560689E-2</v>
      </c>
      <c r="E36">
        <f t="shared" si="2"/>
        <v>6.9415627148348754E-3</v>
      </c>
    </row>
    <row r="37" spans="1:5" x14ac:dyDescent="0.25">
      <c r="A37">
        <v>2.1027977399875</v>
      </c>
      <c r="B37">
        <v>0.11001422851156262</v>
      </c>
      <c r="C37">
        <f t="shared" si="0"/>
        <v>6.3903038716662044E-2</v>
      </c>
      <c r="D37">
        <f t="shared" si="1"/>
        <v>4.6111189794900573E-2</v>
      </c>
      <c r="E37">
        <f t="shared" si="2"/>
        <v>2.1262418243013425E-3</v>
      </c>
    </row>
    <row r="38" spans="1:5" x14ac:dyDescent="0.25">
      <c r="A38">
        <v>2.1553428525624998</v>
      </c>
      <c r="B38">
        <v>7.4140023562140014E-2</v>
      </c>
      <c r="C38">
        <f t="shared" si="0"/>
        <v>5.1001943945548245E-2</v>
      </c>
      <c r="D38">
        <f t="shared" si="1"/>
        <v>2.313807961659177E-2</v>
      </c>
      <c r="E38">
        <f t="shared" si="2"/>
        <v>5.3537072834373956E-4</v>
      </c>
    </row>
    <row r="39" spans="1:5" x14ac:dyDescent="0.25">
      <c r="A39">
        <v>2.2078879651375001</v>
      </c>
      <c r="B39">
        <v>9.8056160195088407E-2</v>
      </c>
      <c r="C39">
        <f t="shared" si="0"/>
        <v>4.0320756574622245E-2</v>
      </c>
      <c r="D39">
        <f t="shared" si="1"/>
        <v>5.7735403620466162E-2</v>
      </c>
      <c r="E39">
        <f t="shared" si="2"/>
        <v>3.3333768312181372E-3</v>
      </c>
    </row>
    <row r="40" spans="1:5" x14ac:dyDescent="0.25">
      <c r="A40">
        <v>2.2604330777125003</v>
      </c>
      <c r="B40">
        <v>4.0657432276012269E-2</v>
      </c>
      <c r="C40">
        <f t="shared" si="0"/>
        <v>3.1574135882795083E-2</v>
      </c>
      <c r="D40">
        <f t="shared" si="1"/>
        <v>9.0832963932171856E-3</v>
      </c>
      <c r="E40">
        <f t="shared" si="2"/>
        <v>8.2506273367032338E-5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7A238-4C19-44CE-9BC1-01E198B6BAD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0.2420525230625</v>
      </c>
      <c r="B1">
        <v>9.551754437038687E-2</v>
      </c>
      <c r="C1">
        <f>$H$3*(1+$H$1)*(A1^($H$1))*EXP(-$H$3*(A1^(1+$H$1)))</f>
        <v>0.21331634665656268</v>
      </c>
      <c r="D1">
        <f>B1-C1</f>
        <v>-0.11779880228617581</v>
      </c>
      <c r="E1">
        <f>D1^2</f>
        <v>1.387655782005754E-2</v>
      </c>
      <c r="G1" t="s">
        <v>0</v>
      </c>
      <c r="H1">
        <v>1.5119774906243388</v>
      </c>
    </row>
    <row r="2" spans="1:8" x14ac:dyDescent="0.25">
      <c r="A2">
        <v>0.29138937918749996</v>
      </c>
      <c r="B2">
        <v>0.17320514712496821</v>
      </c>
      <c r="C2">
        <f t="shared" ref="C2:C40" si="0">$H$3*(1+$H$1)*(A2^($H$1))*EXP(-$H$3*(A2^(1+$H$1)))</f>
        <v>0.27888422604619156</v>
      </c>
      <c r="D2">
        <f t="shared" ref="D2:D40" si="1">B2-C2</f>
        <v>-0.10567907892122336</v>
      </c>
      <c r="E2">
        <f t="shared" ref="E2:E40" si="2">D2^2</f>
        <v>1.1168067721638156E-2</v>
      </c>
    </row>
    <row r="3" spans="1:8" x14ac:dyDescent="0.25">
      <c r="A3">
        <v>0.34072623531250001</v>
      </c>
      <c r="B3">
        <v>0.23051567374720031</v>
      </c>
      <c r="C3">
        <f t="shared" si="0"/>
        <v>0.34765080724842284</v>
      </c>
      <c r="D3">
        <f t="shared" si="1"/>
        <v>-0.11713513350122254</v>
      </c>
      <c r="E3">
        <f t="shared" si="2"/>
        <v>1.3720639500349227E-2</v>
      </c>
      <c r="G3" t="s">
        <v>1</v>
      </c>
      <c r="H3">
        <f>(_xlfn.GAMMA((2+$H$1)/(1+$H$1)))^(1+$H$1)</f>
        <v>0.74069513114479324</v>
      </c>
    </row>
    <row r="4" spans="1:8" x14ac:dyDescent="0.25">
      <c r="A4">
        <v>0.39006309143750006</v>
      </c>
      <c r="B4">
        <v>0.35787239957438283</v>
      </c>
      <c r="C4">
        <f t="shared" si="0"/>
        <v>0.41805701895055891</v>
      </c>
      <c r="D4">
        <f t="shared" si="1"/>
        <v>-6.0184619376176085E-2</v>
      </c>
      <c r="E4">
        <f t="shared" si="2"/>
        <v>3.6221884094551899E-3</v>
      </c>
    </row>
    <row r="5" spans="1:8" x14ac:dyDescent="0.25">
      <c r="A5">
        <v>0.4393999475625</v>
      </c>
      <c r="B5">
        <v>0.62150082203665058</v>
      </c>
      <c r="C5">
        <f t="shared" si="0"/>
        <v>0.48854185308816622</v>
      </c>
      <c r="D5">
        <f t="shared" si="1"/>
        <v>0.13295896894848436</v>
      </c>
      <c r="E5">
        <f t="shared" si="2"/>
        <v>1.7678087423844028E-2</v>
      </c>
      <c r="G5" t="s">
        <v>2</v>
      </c>
      <c r="H5">
        <f>SUM(E1:E40)</f>
        <v>0.57291924695204233</v>
      </c>
    </row>
    <row r="6" spans="1:8" x14ac:dyDescent="0.25">
      <c r="A6">
        <v>0.4887368036875</v>
      </c>
      <c r="B6">
        <v>0.73866900979765848</v>
      </c>
      <c r="C6">
        <f t="shared" si="0"/>
        <v>0.55755202508933044</v>
      </c>
      <c r="D6">
        <f t="shared" si="1"/>
        <v>0.18111698470832804</v>
      </c>
      <c r="E6">
        <f t="shared" si="2"/>
        <v>3.2803362149836736E-2</v>
      </c>
    </row>
    <row r="7" spans="1:8" x14ac:dyDescent="0.25">
      <c r="A7">
        <v>0.53807365981249999</v>
      </c>
      <c r="B7">
        <v>0.69918842479123189</v>
      </c>
      <c r="C7">
        <f t="shared" si="0"/>
        <v>0.62356588160992188</v>
      </c>
      <c r="D7">
        <f t="shared" si="1"/>
        <v>7.5622543181310009E-2</v>
      </c>
      <c r="E7">
        <f t="shared" si="2"/>
        <v>5.7187690372090972E-3</v>
      </c>
    </row>
    <row r="8" spans="1:8" x14ac:dyDescent="0.25">
      <c r="A8">
        <v>0.58741051593750004</v>
      </c>
      <c r="B8">
        <v>0.76159322044655131</v>
      </c>
      <c r="C8">
        <f t="shared" si="0"/>
        <v>0.68512586559626565</v>
      </c>
      <c r="D8">
        <f t="shared" si="1"/>
        <v>7.6467354850285663E-2</v>
      </c>
      <c r="E8">
        <f t="shared" si="2"/>
        <v>5.8472563577995065E-3</v>
      </c>
    </row>
    <row r="9" spans="1:8" x14ac:dyDescent="0.25">
      <c r="A9">
        <v>0.63674737206250009</v>
      </c>
      <c r="B9">
        <v>0.82654515061841438</v>
      </c>
      <c r="C9">
        <f t="shared" si="0"/>
        <v>0.74087556801252852</v>
      </c>
      <c r="D9">
        <f t="shared" si="1"/>
        <v>8.5669582605885863E-2</v>
      </c>
      <c r="E9">
        <f t="shared" si="2"/>
        <v>7.3392773838667014E-3</v>
      </c>
    </row>
    <row r="10" spans="1:8" x14ac:dyDescent="0.25">
      <c r="A10">
        <v>0.68608422818750014</v>
      </c>
      <c r="B10">
        <v>0.88640281175719016</v>
      </c>
      <c r="C10">
        <f t="shared" si="0"/>
        <v>0.78959814784552329</v>
      </c>
      <c r="D10">
        <f t="shared" si="1"/>
        <v>9.6804663911666866E-2</v>
      </c>
      <c r="E10">
        <f t="shared" si="2"/>
        <v>9.371142955050777E-3</v>
      </c>
    </row>
    <row r="11" spans="1:8" x14ac:dyDescent="0.25">
      <c r="A11">
        <v>0.73542108431250008</v>
      </c>
      <c r="B11">
        <v>0.91951556047225758</v>
      </c>
      <c r="C11">
        <f t="shared" si="0"/>
        <v>0.83025329678391058</v>
      </c>
      <c r="D11">
        <f t="shared" si="1"/>
        <v>8.9262263688346999E-2</v>
      </c>
      <c r="E11">
        <f t="shared" si="2"/>
        <v>7.9677517187679917E-3</v>
      </c>
    </row>
    <row r="12" spans="1:8" x14ac:dyDescent="0.25">
      <c r="A12">
        <v>0.78475794043750002</v>
      </c>
      <c r="B12">
        <v>0.93861906934633499</v>
      </c>
      <c r="C12">
        <f t="shared" si="0"/>
        <v>0.86201022127521421</v>
      </c>
      <c r="D12">
        <f t="shared" si="1"/>
        <v>7.6608848071120783E-2</v>
      </c>
      <c r="E12">
        <f t="shared" si="2"/>
        <v>5.8689156027840663E-3</v>
      </c>
    </row>
    <row r="13" spans="1:8" x14ac:dyDescent="0.25">
      <c r="A13">
        <v>0.83409479656250007</v>
      </c>
      <c r="B13">
        <v>1.0035709995181981</v>
      </c>
      <c r="C13">
        <f t="shared" si="0"/>
        <v>0.88427443031663533</v>
      </c>
      <c r="D13">
        <f t="shared" si="1"/>
        <v>0.11929656920156273</v>
      </c>
      <c r="E13">
        <f t="shared" si="2"/>
        <v>1.4231671423263245E-2</v>
      </c>
    </row>
    <row r="14" spans="1:8" x14ac:dyDescent="0.25">
      <c r="A14">
        <v>0.88343165268750001</v>
      </c>
      <c r="B14">
        <v>1.2035210590668746</v>
      </c>
      <c r="C14">
        <f t="shared" si="0"/>
        <v>0.89670650379577632</v>
      </c>
      <c r="D14">
        <f t="shared" si="1"/>
        <v>0.30681455527109824</v>
      </c>
      <c r="E14">
        <f t="shared" si="2"/>
        <v>9.4135171326201805E-2</v>
      </c>
    </row>
    <row r="15" spans="1:8" x14ac:dyDescent="0.25">
      <c r="A15">
        <v>0.93276850881249995</v>
      </c>
      <c r="B15">
        <v>1.2047946263251463</v>
      </c>
      <c r="C15">
        <f t="shared" si="0"/>
        <v>0.89923148823320842</v>
      </c>
      <c r="D15">
        <f t="shared" si="1"/>
        <v>0.30556313809193791</v>
      </c>
      <c r="E15">
        <f t="shared" si="2"/>
        <v>9.3368831360592722E-2</v>
      </c>
    </row>
    <row r="16" spans="1:8" x14ac:dyDescent="0.25">
      <c r="A16">
        <v>0.98210536493750011</v>
      </c>
      <c r="B16">
        <v>0.98956175967720794</v>
      </c>
      <c r="C16">
        <f t="shared" si="0"/>
        <v>0.89203811583665593</v>
      </c>
      <c r="D16">
        <f t="shared" si="1"/>
        <v>9.752364384055201E-2</v>
      </c>
      <c r="E16">
        <f t="shared" si="2"/>
        <v>9.5108611079388373E-3</v>
      </c>
    </row>
    <row r="17" spans="1:5" x14ac:dyDescent="0.25">
      <c r="A17">
        <v>1.0314422210625001</v>
      </c>
      <c r="B17">
        <v>0.91314772418089851</v>
      </c>
      <c r="C17">
        <f t="shared" si="0"/>
        <v>0.87556764436807555</v>
      </c>
      <c r="D17">
        <f t="shared" si="1"/>
        <v>3.7580079812822964E-2</v>
      </c>
      <c r="E17">
        <f t="shared" si="2"/>
        <v>1.4122623987381441E-3</v>
      </c>
    </row>
    <row r="18" spans="1:5" x14ac:dyDescent="0.25">
      <c r="A18">
        <v>1.0807790771875001</v>
      </c>
      <c r="B18">
        <v>0.85583719755866638</v>
      </c>
      <c r="C18">
        <f t="shared" si="0"/>
        <v>0.8504927343657408</v>
      </c>
      <c r="D18">
        <f t="shared" si="1"/>
        <v>5.3444631929255859E-3</v>
      </c>
      <c r="E18">
        <f t="shared" si="2"/>
        <v>2.8563286820536347E-5</v>
      </c>
    </row>
    <row r="19" spans="1:5" x14ac:dyDescent="0.25">
      <c r="A19">
        <v>1.1301159333125002</v>
      </c>
      <c r="B19">
        <v>0.71701836640703742</v>
      </c>
      <c r="C19">
        <f t="shared" si="0"/>
        <v>0.81768737585020879</v>
      </c>
      <c r="D19">
        <f t="shared" si="1"/>
        <v>-0.10066900944317136</v>
      </c>
      <c r="E19">
        <f t="shared" si="2"/>
        <v>1.0134249462269325E-2</v>
      </c>
    </row>
    <row r="20" spans="1:5" x14ac:dyDescent="0.25">
      <c r="A20">
        <v>1.1794527894375</v>
      </c>
      <c r="B20">
        <v>0.55272819008997198</v>
      </c>
      <c r="C20">
        <f t="shared" si="0"/>
        <v>0.77818940671051084</v>
      </c>
      <c r="D20">
        <f t="shared" si="1"/>
        <v>-0.22546121662053886</v>
      </c>
      <c r="E20">
        <f t="shared" si="2"/>
        <v>5.0832760200013552E-2</v>
      </c>
    </row>
    <row r="21" spans="1:5" x14ac:dyDescent="0.25">
      <c r="A21">
        <v>1.2287896455625</v>
      </c>
      <c r="B21">
        <v>0.51706830685836092</v>
      </c>
      <c r="C21">
        <f t="shared" si="0"/>
        <v>0.73315759078234144</v>
      </c>
      <c r="D21">
        <f t="shared" si="1"/>
        <v>-0.21608928392398052</v>
      </c>
      <c r="E21">
        <f t="shared" si="2"/>
        <v>4.6694578626778671E-2</v>
      </c>
    </row>
    <row r="22" spans="1:5" x14ac:dyDescent="0.25">
      <c r="A22">
        <v>1.2781265016875003</v>
      </c>
      <c r="B22">
        <v>0.54253965202379739</v>
      </c>
      <c r="C22">
        <f t="shared" si="0"/>
        <v>0.68382551385647439</v>
      </c>
      <c r="D22">
        <f t="shared" si="1"/>
        <v>-0.141285861832677</v>
      </c>
      <c r="E22">
        <f t="shared" si="2"/>
        <v>1.9961694753802293E-2</v>
      </c>
    </row>
    <row r="23" spans="1:5" x14ac:dyDescent="0.25">
      <c r="A23">
        <v>1.3274633578125001</v>
      </c>
      <c r="B23">
        <v>0.55145462283170021</v>
      </c>
      <c r="C23">
        <f t="shared" si="0"/>
        <v>0.63145468983776787</v>
      </c>
      <c r="D23">
        <f t="shared" si="1"/>
        <v>-8.0000067006067654E-2</v>
      </c>
      <c r="E23">
        <f t="shared" si="2"/>
        <v>6.4000107209753144E-3</v>
      </c>
    </row>
    <row r="24" spans="1:5" x14ac:dyDescent="0.25">
      <c r="A24">
        <v>1.3768002139375</v>
      </c>
      <c r="B24">
        <v>0.41390935893834313</v>
      </c>
      <c r="C24">
        <f t="shared" si="0"/>
        <v>0.57728923922222608</v>
      </c>
      <c r="D24">
        <f t="shared" si="1"/>
        <v>-0.16337988028388295</v>
      </c>
      <c r="E24">
        <f t="shared" si="2"/>
        <v>2.6692985281575925E-2</v>
      </c>
    </row>
    <row r="25" spans="1:5" x14ac:dyDescent="0.25">
      <c r="A25">
        <v>1.4261370700625</v>
      </c>
      <c r="B25">
        <v>0.40117368635562484</v>
      </c>
      <c r="C25">
        <f t="shared" si="0"/>
        <v>0.52251431389149816</v>
      </c>
      <c r="D25">
        <f t="shared" si="1"/>
        <v>-0.12134062753587332</v>
      </c>
      <c r="E25">
        <f t="shared" si="2"/>
        <v>1.472354789079954E-2</v>
      </c>
    </row>
    <row r="26" spans="1:5" x14ac:dyDescent="0.25">
      <c r="A26">
        <v>1.4754739261875001</v>
      </c>
      <c r="B26">
        <v>0.34641029424993641</v>
      </c>
      <c r="C26">
        <f t="shared" si="0"/>
        <v>0.4682201149860688</v>
      </c>
      <c r="D26">
        <f t="shared" si="1"/>
        <v>-0.12180982073613239</v>
      </c>
      <c r="E26">
        <f t="shared" si="2"/>
        <v>1.4837632427768709E-2</v>
      </c>
    </row>
    <row r="27" spans="1:5" x14ac:dyDescent="0.25">
      <c r="A27">
        <v>1.5248107823125001</v>
      </c>
      <c r="B27">
        <v>0.39098514828945025</v>
      </c>
      <c r="C27">
        <f t="shared" si="0"/>
        <v>0.41537291453285086</v>
      </c>
      <c r="D27">
        <f t="shared" si="1"/>
        <v>-2.438776624340061E-2</v>
      </c>
      <c r="E27">
        <f t="shared" si="2"/>
        <v>5.9476314234275032E-4</v>
      </c>
    </row>
    <row r="28" spans="1:5" x14ac:dyDescent="0.25">
      <c r="A28">
        <v>1.5741476384375002</v>
      </c>
      <c r="B28">
        <v>0.34768386150820824</v>
      </c>
      <c r="C28">
        <f t="shared" si="0"/>
        <v>0.36479398488859177</v>
      </c>
      <c r="D28">
        <f t="shared" si="1"/>
        <v>-1.7110123380383535E-2</v>
      </c>
      <c r="E28">
        <f t="shared" si="2"/>
        <v>2.9275632209194727E-4</v>
      </c>
    </row>
    <row r="29" spans="1:5" x14ac:dyDescent="0.25">
      <c r="A29">
        <v>1.6234844945625</v>
      </c>
      <c r="B29">
        <v>0.24707204810473404</v>
      </c>
      <c r="C29">
        <f t="shared" si="0"/>
        <v>0.3171468054809844</v>
      </c>
      <c r="D29">
        <f t="shared" si="1"/>
        <v>-7.0074757376250352E-2</v>
      </c>
      <c r="E29">
        <f t="shared" si="2"/>
        <v>4.9104716213403529E-3</v>
      </c>
    </row>
    <row r="30" spans="1:5" x14ac:dyDescent="0.25">
      <c r="A30">
        <v>1.6728213506875</v>
      </c>
      <c r="B30">
        <v>0.24325134632991857</v>
      </c>
      <c r="C30">
        <f t="shared" si="0"/>
        <v>0.27293239642358991</v>
      </c>
      <c r="D30">
        <f t="shared" si="1"/>
        <v>-2.9681050093671335E-2</v>
      </c>
      <c r="E30">
        <f t="shared" si="2"/>
        <v>8.8096473466302717E-4</v>
      </c>
    </row>
    <row r="31" spans="1:5" x14ac:dyDescent="0.25">
      <c r="A31">
        <v>1.7221582068125001</v>
      </c>
      <c r="B31">
        <v>0.21905356842275389</v>
      </c>
      <c r="C31">
        <f t="shared" si="0"/>
        <v>0.2324921620548458</v>
      </c>
      <c r="D31">
        <f t="shared" si="1"/>
        <v>-1.3438593632091905E-2</v>
      </c>
      <c r="E31">
        <f t="shared" si="2"/>
        <v>1.8059579880850112E-4</v>
      </c>
    </row>
    <row r="32" spans="1:5" x14ac:dyDescent="0.25">
      <c r="A32">
        <v>1.7714950629375001</v>
      </c>
      <c r="B32">
        <v>0.28909976762770428</v>
      </c>
      <c r="C32">
        <f t="shared" si="0"/>
        <v>0.19601724567791445</v>
      </c>
      <c r="D32">
        <f t="shared" si="1"/>
        <v>9.3082521949789832E-2</v>
      </c>
      <c r="E32">
        <f t="shared" si="2"/>
        <v>8.664355892533105E-3</v>
      </c>
    </row>
    <row r="33" spans="1:5" x14ac:dyDescent="0.25">
      <c r="A33">
        <v>1.8208319190625</v>
      </c>
      <c r="B33">
        <v>0.19740292503213286</v>
      </c>
      <c r="C33">
        <f t="shared" si="0"/>
        <v>0.16356312135441722</v>
      </c>
      <c r="D33">
        <f t="shared" si="1"/>
        <v>3.3839803677715635E-2</v>
      </c>
      <c r="E33">
        <f t="shared" si="2"/>
        <v>1.1451323129463367E-3</v>
      </c>
    </row>
    <row r="34" spans="1:5" x14ac:dyDescent="0.25">
      <c r="A34">
        <v>1.8701687751875</v>
      </c>
      <c r="B34">
        <v>0.1833936851911428</v>
      </c>
      <c r="C34">
        <f t="shared" si="0"/>
        <v>0.1350679900920877</v>
      </c>
      <c r="D34">
        <f t="shared" si="1"/>
        <v>4.8325695099055099E-2</v>
      </c>
      <c r="E34">
        <f t="shared" si="2"/>
        <v>2.335372806806838E-3</v>
      </c>
    </row>
    <row r="35" spans="1:5" x14ac:dyDescent="0.25">
      <c r="A35">
        <v>1.9195056313125001</v>
      </c>
      <c r="B35">
        <v>0.15537520550916264</v>
      </c>
      <c r="C35">
        <f t="shared" si="0"/>
        <v>0.11037350566789637</v>
      </c>
      <c r="D35">
        <f t="shared" si="1"/>
        <v>4.5001699841266271E-2</v>
      </c>
      <c r="E35">
        <f t="shared" si="2"/>
        <v>2.0251529886034249E-3</v>
      </c>
    </row>
    <row r="36" spans="1:5" x14ac:dyDescent="0.25">
      <c r="A36">
        <v>1.9688424874375001</v>
      </c>
      <c r="B36">
        <v>0.17447871438324003</v>
      </c>
      <c r="C36">
        <f t="shared" si="0"/>
        <v>8.9246419218152656E-2</v>
      </c>
      <c r="D36">
        <f t="shared" si="1"/>
        <v>8.5232295165087374E-2</v>
      </c>
      <c r="E36">
        <f t="shared" si="2"/>
        <v>7.2645441391085766E-3</v>
      </c>
    </row>
    <row r="37" spans="1:5" x14ac:dyDescent="0.25">
      <c r="A37">
        <v>2.0181793435625002</v>
      </c>
      <c r="B37">
        <v>0.12353602405236702</v>
      </c>
      <c r="C37">
        <f t="shared" si="0"/>
        <v>7.1399883297254801E-2</v>
      </c>
      <c r="D37">
        <f t="shared" si="1"/>
        <v>5.213614075511222E-2</v>
      </c>
      <c r="E37">
        <f t="shared" si="2"/>
        <v>2.7181771728368733E-3</v>
      </c>
    </row>
    <row r="38" spans="1:5" x14ac:dyDescent="0.25">
      <c r="A38">
        <v>2.0675161996874998</v>
      </c>
      <c r="B38">
        <v>8.5329006304212279E-2</v>
      </c>
      <c r="C38">
        <f t="shared" si="0"/>
        <v>5.6513371815729033E-2</v>
      </c>
      <c r="D38">
        <f t="shared" si="1"/>
        <v>2.8815634488483247E-2</v>
      </c>
      <c r="E38">
        <f t="shared" si="2"/>
        <v>8.3034079097386512E-4</v>
      </c>
    </row>
    <row r="39" spans="1:5" x14ac:dyDescent="0.25">
      <c r="A39">
        <v>2.1168530558125003</v>
      </c>
      <c r="B39">
        <v>9.6791111628658694E-2</v>
      </c>
      <c r="C39">
        <f t="shared" si="0"/>
        <v>4.4250426228322461E-2</v>
      </c>
      <c r="D39">
        <f t="shared" si="1"/>
        <v>5.2540685400336233E-2</v>
      </c>
      <c r="E39">
        <f t="shared" si="2"/>
        <v>2.760523622337105E-3</v>
      </c>
    </row>
    <row r="40" spans="1:5" x14ac:dyDescent="0.25">
      <c r="A40">
        <v>2.1661899119374999</v>
      </c>
      <c r="B40">
        <v>5.3489824847416649E-2</v>
      </c>
      <c r="C40">
        <f t="shared" si="0"/>
        <v>3.4273705092066432E-2</v>
      </c>
      <c r="D40">
        <f t="shared" si="1"/>
        <v>1.9216119755350217E-2</v>
      </c>
      <c r="E40">
        <f t="shared" si="2"/>
        <v>3.6925925845196088E-4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019D9-FCA1-4B61-91C3-EB2B02B4B676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0.27754792267500006</v>
      </c>
      <c r="B1">
        <v>9.1601475950797151E-2</v>
      </c>
      <c r="C1">
        <f>$H$3*(1+$H$1)*(A1^($H$1))*EXP(-$H$3*(A1^(1+$H$1)))</f>
        <v>0.21803058749246512</v>
      </c>
      <c r="D1">
        <f>B1-C1</f>
        <v>-0.12642911154166797</v>
      </c>
      <c r="E1">
        <f>D1^2</f>
        <v>1.5984320245215521E-2</v>
      </c>
      <c r="G1" t="s">
        <v>0</v>
      </c>
      <c r="H1">
        <v>1.6975930134969606</v>
      </c>
    </row>
    <row r="2" spans="1:8" x14ac:dyDescent="0.25">
      <c r="A2">
        <v>0.32350640602500003</v>
      </c>
      <c r="B2">
        <v>0.16953108981938578</v>
      </c>
      <c r="C2">
        <f t="shared" ref="C2:C40" si="0">$H$3*(1+$H$1)*(A2^($H$1))*EXP(-$H$3*(A2^(1+$H$1)))</f>
        <v>0.27949954562778012</v>
      </c>
      <c r="D2">
        <f t="shared" ref="D2:D40" si="1">B2-C2</f>
        <v>-0.10996845580839434</v>
      </c>
      <c r="E2">
        <f t="shared" ref="E2:E40" si="2">D2^2</f>
        <v>1.2093061272882779E-2</v>
      </c>
    </row>
    <row r="3" spans="1:8" x14ac:dyDescent="0.25">
      <c r="A3">
        <v>0.36946488937499999</v>
      </c>
      <c r="B3">
        <v>0.23378884160576585</v>
      </c>
      <c r="C3">
        <f t="shared" si="0"/>
        <v>0.34500139717228606</v>
      </c>
      <c r="D3">
        <f t="shared" si="1"/>
        <v>-0.11121255556652021</v>
      </c>
      <c r="E3">
        <f t="shared" si="2"/>
        <v>1.2368232515636346E-2</v>
      </c>
      <c r="G3" t="s">
        <v>1</v>
      </c>
      <c r="H3">
        <f>(_xlfn.GAMMA((2+$H$1)/(1+$H$1)))^(1+$H$1)</f>
        <v>0.72860994928802836</v>
      </c>
    </row>
    <row r="4" spans="1:8" x14ac:dyDescent="0.25">
      <c r="A4">
        <v>0.41542337272500002</v>
      </c>
      <c r="B4">
        <v>0.33632780722232986</v>
      </c>
      <c r="C4">
        <f t="shared" si="0"/>
        <v>0.41327189543094728</v>
      </c>
      <c r="D4">
        <f t="shared" si="1"/>
        <v>-7.6944088208617423E-2</v>
      </c>
      <c r="E4">
        <f t="shared" si="2"/>
        <v>5.9203927102554985E-3</v>
      </c>
    </row>
    <row r="5" spans="1:8" x14ac:dyDescent="0.25">
      <c r="A5">
        <v>0.46138185607500004</v>
      </c>
      <c r="B5">
        <v>0.5687494626198748</v>
      </c>
      <c r="C5">
        <f t="shared" si="0"/>
        <v>0.48296299626433781</v>
      </c>
      <c r="D5">
        <f t="shared" si="1"/>
        <v>8.5786466355536994E-2</v>
      </c>
      <c r="E5">
        <f t="shared" si="2"/>
        <v>7.3593178097696808E-3</v>
      </c>
      <c r="G5" t="s">
        <v>2</v>
      </c>
      <c r="H5">
        <f>SUM(E1:E40)</f>
        <v>0.61402516277275976</v>
      </c>
    </row>
    <row r="6" spans="1:8" x14ac:dyDescent="0.25">
      <c r="A6">
        <v>0.50734033942500001</v>
      </c>
      <c r="B6">
        <v>0.75878834556257346</v>
      </c>
      <c r="C6">
        <f t="shared" si="0"/>
        <v>0.55265750225173094</v>
      </c>
      <c r="D6">
        <f t="shared" si="1"/>
        <v>0.20613084331084253</v>
      </c>
      <c r="E6">
        <f t="shared" si="2"/>
        <v>4.2489924564039112E-2</v>
      </c>
    </row>
    <row r="7" spans="1:8" x14ac:dyDescent="0.25">
      <c r="A7">
        <v>0.55329882277499998</v>
      </c>
      <c r="B7">
        <v>0.73144462139815636</v>
      </c>
      <c r="C7">
        <f t="shared" si="0"/>
        <v>0.62089355782152378</v>
      </c>
      <c r="D7">
        <f t="shared" si="1"/>
        <v>0.11055106357663258</v>
      </c>
      <c r="E7">
        <f t="shared" si="2"/>
        <v>1.2221537657924659E-2</v>
      </c>
    </row>
    <row r="8" spans="1:8" x14ac:dyDescent="0.25">
      <c r="A8">
        <v>0.59925730612499994</v>
      </c>
      <c r="B8">
        <v>0.80527267664208246</v>
      </c>
      <c r="C8">
        <f t="shared" si="0"/>
        <v>0.68619701900161012</v>
      </c>
      <c r="D8">
        <f t="shared" si="1"/>
        <v>0.11907565764047234</v>
      </c>
      <c r="E8">
        <f t="shared" si="2"/>
        <v>1.417901224251098E-2</v>
      </c>
    </row>
    <row r="9" spans="1:8" x14ac:dyDescent="0.25">
      <c r="A9">
        <v>0.64521578947500002</v>
      </c>
      <c r="B9">
        <v>0.82714765597361606</v>
      </c>
      <c r="C9">
        <f t="shared" si="0"/>
        <v>0.74711980233538156</v>
      </c>
      <c r="D9">
        <f t="shared" si="1"/>
        <v>8.0027853638234503E-2</v>
      </c>
      <c r="E9">
        <f t="shared" si="2"/>
        <v>6.404457357942683E-3</v>
      </c>
    </row>
    <row r="10" spans="1:8" x14ac:dyDescent="0.25">
      <c r="A10">
        <v>0.69117427282499999</v>
      </c>
      <c r="B10">
        <v>0.92695224917373831</v>
      </c>
      <c r="C10">
        <f t="shared" si="0"/>
        <v>0.80228218768932846</v>
      </c>
      <c r="D10">
        <f t="shared" si="1"/>
        <v>0.12467006148440984</v>
      </c>
      <c r="E10">
        <f t="shared" si="2"/>
        <v>1.5542624230526532E-2</v>
      </c>
    </row>
    <row r="11" spans="1:8" x14ac:dyDescent="0.25">
      <c r="A11">
        <v>0.73713275617500007</v>
      </c>
      <c r="B11">
        <v>0.98574125612723495</v>
      </c>
      <c r="C11">
        <f t="shared" si="0"/>
        <v>0.85041685917460319</v>
      </c>
      <c r="D11">
        <f t="shared" si="1"/>
        <v>0.13532439695263176</v>
      </c>
      <c r="E11">
        <f t="shared" si="2"/>
        <v>1.8312692410593454E-2</v>
      </c>
    </row>
    <row r="12" spans="1:8" x14ac:dyDescent="0.25">
      <c r="A12">
        <v>0.78309123952500004</v>
      </c>
      <c r="B12">
        <v>0.98300688371079326</v>
      </c>
      <c r="C12">
        <f t="shared" si="0"/>
        <v>0.89041230537406646</v>
      </c>
      <c r="D12">
        <f t="shared" si="1"/>
        <v>9.2594578336726796E-2</v>
      </c>
      <c r="E12">
        <f t="shared" si="2"/>
        <v>8.5737559373562349E-3</v>
      </c>
    </row>
    <row r="13" spans="1:8" x14ac:dyDescent="0.25">
      <c r="A13">
        <v>0.82904972287500001</v>
      </c>
      <c r="B13">
        <v>1.0199209113327563</v>
      </c>
      <c r="C13">
        <f t="shared" si="0"/>
        <v>0.92135312249989343</v>
      </c>
      <c r="D13">
        <f t="shared" si="1"/>
        <v>9.8567788832862879E-2</v>
      </c>
      <c r="E13">
        <f t="shared" si="2"/>
        <v>9.7156089953998482E-3</v>
      </c>
    </row>
    <row r="14" spans="1:8" x14ac:dyDescent="0.25">
      <c r="A14">
        <v>0.87500820622499997</v>
      </c>
      <c r="B14">
        <v>1.0937489665766824</v>
      </c>
      <c r="C14">
        <f t="shared" si="0"/>
        <v>0.94255481079726988</v>
      </c>
      <c r="D14">
        <f t="shared" si="1"/>
        <v>0.15119415577941253</v>
      </c>
      <c r="E14">
        <f t="shared" si="2"/>
        <v>2.2859672741849264E-2</v>
      </c>
    </row>
    <row r="15" spans="1:8" x14ac:dyDescent="0.25">
      <c r="A15">
        <v>0.92096668957499994</v>
      </c>
      <c r="B15">
        <v>1.2550769391467431</v>
      </c>
      <c r="C15">
        <f t="shared" si="0"/>
        <v>0.9535908481938421</v>
      </c>
      <c r="D15">
        <f t="shared" si="1"/>
        <v>0.30148609095290102</v>
      </c>
      <c r="E15">
        <f t="shared" si="2"/>
        <v>9.0893863038060907E-2</v>
      </c>
    </row>
    <row r="16" spans="1:8" x14ac:dyDescent="0.25">
      <c r="A16">
        <v>0.96692517292500002</v>
      </c>
      <c r="B16">
        <v>1.235936332231651</v>
      </c>
      <c r="C16">
        <f t="shared" si="0"/>
        <v>0.95431017290444087</v>
      </c>
      <c r="D16">
        <f t="shared" si="1"/>
        <v>0.28162615932721013</v>
      </c>
      <c r="E16">
        <f t="shared" si="2"/>
        <v>7.9313293617395142E-2</v>
      </c>
    </row>
    <row r="17" spans="1:5" x14ac:dyDescent="0.25">
      <c r="A17">
        <v>1.0128836562750001</v>
      </c>
      <c r="B17">
        <v>0.95156160092171371</v>
      </c>
      <c r="C17">
        <f t="shared" si="0"/>
        <v>0.9448436995739099</v>
      </c>
      <c r="D17">
        <f t="shared" si="1"/>
        <v>6.7179013478038119E-3</v>
      </c>
      <c r="E17">
        <f t="shared" si="2"/>
        <v>4.5130198518824273E-5</v>
      </c>
    </row>
    <row r="18" spans="1:5" x14ac:dyDescent="0.25">
      <c r="A18">
        <v>1.0588421396249998</v>
      </c>
      <c r="B18">
        <v>0.99394437337656016</v>
      </c>
      <c r="C18">
        <f t="shared" si="0"/>
        <v>0.92559910722150018</v>
      </c>
      <c r="D18">
        <f t="shared" si="1"/>
        <v>6.834526615505998E-2</v>
      </c>
      <c r="E18">
        <f t="shared" si="2"/>
        <v>4.6710754058059871E-3</v>
      </c>
    </row>
    <row r="19" spans="1:5" x14ac:dyDescent="0.25">
      <c r="A19">
        <v>1.104800622975</v>
      </c>
      <c r="B19">
        <v>0.85449138013803316</v>
      </c>
      <c r="C19">
        <f t="shared" si="0"/>
        <v>0.8972438334569941</v>
      </c>
      <c r="D19">
        <f t="shared" si="1"/>
        <v>-4.2752453318960937E-2</v>
      </c>
      <c r="E19">
        <f t="shared" si="2"/>
        <v>1.827772264789934E-3</v>
      </c>
    </row>
    <row r="20" spans="1:5" x14ac:dyDescent="0.25">
      <c r="A20">
        <v>1.1507591063249998</v>
      </c>
      <c r="B20">
        <v>0.69589777998441416</v>
      </c>
      <c r="C20">
        <f t="shared" si="0"/>
        <v>0.86067693892229546</v>
      </c>
      <c r="D20">
        <f t="shared" si="1"/>
        <v>-0.16477915893788131</v>
      </c>
      <c r="E20">
        <f t="shared" si="2"/>
        <v>2.7152171220275551E-2</v>
      </c>
    </row>
    <row r="21" spans="1:5" x14ac:dyDescent="0.25">
      <c r="A21">
        <v>1.196717589675</v>
      </c>
      <c r="B21">
        <v>0.61660097990760465</v>
      </c>
      <c r="C21">
        <f t="shared" si="0"/>
        <v>0.8169912127348713</v>
      </c>
      <c r="D21">
        <f t="shared" si="1"/>
        <v>-0.20039023282726665</v>
      </c>
      <c r="E21">
        <f t="shared" si="2"/>
        <v>4.0156245412566134E-2</v>
      </c>
    </row>
    <row r="22" spans="1:5" x14ac:dyDescent="0.25">
      <c r="A22">
        <v>1.2426760730249999</v>
      </c>
      <c r="B22">
        <v>0.56191353157877055</v>
      </c>
      <c r="C22">
        <f t="shared" si="0"/>
        <v>0.76742751653423591</v>
      </c>
      <c r="D22">
        <f t="shared" si="1"/>
        <v>-0.20551398495546536</v>
      </c>
      <c r="E22">
        <f t="shared" si="2"/>
        <v>4.223599801227524E-2</v>
      </c>
    </row>
    <row r="23" spans="1:5" x14ac:dyDescent="0.25">
      <c r="A23">
        <v>1.2886345563749999</v>
      </c>
      <c r="B23">
        <v>0.58652288332674596</v>
      </c>
      <c r="C23">
        <f t="shared" si="0"/>
        <v>0.71332385861229941</v>
      </c>
      <c r="D23">
        <f t="shared" si="1"/>
        <v>-0.12680097528555345</v>
      </c>
      <c r="E23">
        <f t="shared" si="2"/>
        <v>1.6078487333367537E-2</v>
      </c>
    </row>
    <row r="24" spans="1:5" x14ac:dyDescent="0.25">
      <c r="A24">
        <v>1.3345930397249999</v>
      </c>
      <c r="B24">
        <v>0.49492140737594881</v>
      </c>
      <c r="C24">
        <f t="shared" si="0"/>
        <v>0.65606200763088274</v>
      </c>
      <c r="D24">
        <f t="shared" si="1"/>
        <v>-0.16114060025493393</v>
      </c>
      <c r="E24">
        <f t="shared" si="2"/>
        <v>2.5966293050520412E-2</v>
      </c>
    </row>
    <row r="25" spans="1:5" x14ac:dyDescent="0.25">
      <c r="A25">
        <v>1.3805515230749998</v>
      </c>
      <c r="B25">
        <v>0.46074175217042745</v>
      </c>
      <c r="C25">
        <f t="shared" si="0"/>
        <v>0.59701456953390697</v>
      </c>
      <c r="D25">
        <f t="shared" si="1"/>
        <v>-0.13627281736347951</v>
      </c>
      <c r="E25">
        <f t="shared" si="2"/>
        <v>1.8570280752180243E-2</v>
      </c>
    </row>
    <row r="26" spans="1:5" x14ac:dyDescent="0.25">
      <c r="A26">
        <v>1.426510006425</v>
      </c>
      <c r="B26">
        <v>0.3923824417593848</v>
      </c>
      <c r="C26">
        <f t="shared" si="0"/>
        <v>0.53749535159175121</v>
      </c>
      <c r="D26">
        <f t="shared" si="1"/>
        <v>-0.14511290983236641</v>
      </c>
      <c r="E26">
        <f t="shared" si="2"/>
        <v>2.1057756600016506E-2</v>
      </c>
    </row>
    <row r="27" spans="1:5" x14ac:dyDescent="0.25">
      <c r="A27">
        <v>1.4724684897750002</v>
      </c>
      <c r="B27">
        <v>0.4128902348826976</v>
      </c>
      <c r="C27">
        <f t="shared" si="0"/>
        <v>0.47871553383286414</v>
      </c>
      <c r="D27">
        <f t="shared" si="1"/>
        <v>-6.5825298950166533E-2</v>
      </c>
      <c r="E27">
        <f t="shared" si="2"/>
        <v>4.3329699818787952E-3</v>
      </c>
    </row>
    <row r="28" spans="1:5" x14ac:dyDescent="0.25">
      <c r="A28">
        <v>1.518426973125</v>
      </c>
      <c r="B28">
        <v>0.3869136969265014</v>
      </c>
      <c r="C28">
        <f t="shared" si="0"/>
        <v>0.42174768902806037</v>
      </c>
      <c r="D28">
        <f t="shared" si="1"/>
        <v>-3.4833992101558964E-2</v>
      </c>
      <c r="E28">
        <f t="shared" si="2"/>
        <v>1.2134070057314723E-3</v>
      </c>
    </row>
    <row r="29" spans="1:5" x14ac:dyDescent="0.25">
      <c r="A29">
        <v>1.5643854564749999</v>
      </c>
      <c r="B29">
        <v>0.28710910372637916</v>
      </c>
      <c r="C29">
        <f t="shared" si="0"/>
        <v>0.36749908241953427</v>
      </c>
      <c r="D29">
        <f t="shared" si="1"/>
        <v>-8.0389978693155117E-2</v>
      </c>
      <c r="E29">
        <f t="shared" si="2"/>
        <v>6.4625486742859338E-3</v>
      </c>
    </row>
    <row r="30" spans="1:5" x14ac:dyDescent="0.25">
      <c r="A30">
        <v>1.6103439398249999</v>
      </c>
      <c r="B30">
        <v>0.3021481520168085</v>
      </c>
      <c r="C30">
        <f t="shared" si="0"/>
        <v>0.31669499722183553</v>
      </c>
      <c r="D30">
        <f t="shared" si="1"/>
        <v>-1.4546845205027026E-2</v>
      </c>
      <c r="E30">
        <f t="shared" si="2"/>
        <v>2.1161070541901778E-4</v>
      </c>
    </row>
    <row r="31" spans="1:5" x14ac:dyDescent="0.25">
      <c r="A31">
        <v>1.6563024231750001</v>
      </c>
      <c r="B31">
        <v>0.22148416573177818</v>
      </c>
      <c r="C31">
        <f t="shared" si="0"/>
        <v>0.26987213243401065</v>
      </c>
      <c r="D31">
        <f t="shared" si="1"/>
        <v>-4.8387966702232471E-2</v>
      </c>
      <c r="E31">
        <f t="shared" si="2"/>
        <v>2.3413953215763584E-3</v>
      </c>
    </row>
    <row r="32" spans="1:5" x14ac:dyDescent="0.25">
      <c r="A32">
        <v>1.7022609065250001</v>
      </c>
      <c r="B32">
        <v>0.29257784855926255</v>
      </c>
      <c r="C32">
        <f t="shared" si="0"/>
        <v>0.22738146525003475</v>
      </c>
      <c r="D32">
        <f t="shared" si="1"/>
        <v>6.5196383309227807E-2</v>
      </c>
      <c r="E32">
        <f t="shared" si="2"/>
        <v>4.2505683966037582E-3</v>
      </c>
    </row>
    <row r="33" spans="1:5" x14ac:dyDescent="0.25">
      <c r="A33">
        <v>1.748219389875</v>
      </c>
      <c r="B33">
        <v>0.2351560278139867</v>
      </c>
      <c r="C33">
        <f t="shared" si="0"/>
        <v>0.18939941343212149</v>
      </c>
      <c r="D33">
        <f t="shared" si="1"/>
        <v>4.5756614381865207E-2</v>
      </c>
      <c r="E33">
        <f t="shared" si="2"/>
        <v>2.093667759690714E-3</v>
      </c>
    </row>
    <row r="34" spans="1:5" x14ac:dyDescent="0.25">
      <c r="A34">
        <v>1.7941778732249998</v>
      </c>
      <c r="B34">
        <v>0.2091794898577905</v>
      </c>
      <c r="C34">
        <f t="shared" si="0"/>
        <v>0.15594571298191018</v>
      </c>
      <c r="D34">
        <f t="shared" si="1"/>
        <v>5.3233776875880323E-2</v>
      </c>
      <c r="E34">
        <f t="shared" si="2"/>
        <v>2.8338350004710106E-3</v>
      </c>
    </row>
    <row r="35" spans="1:5" x14ac:dyDescent="0.25">
      <c r="A35">
        <v>1.840136356575</v>
      </c>
      <c r="B35">
        <v>0.19140606915091943</v>
      </c>
      <c r="C35">
        <f t="shared" si="0"/>
        <v>0.12690616696574672</v>
      </c>
      <c r="D35">
        <f t="shared" si="1"/>
        <v>6.4499902185172708E-2</v>
      </c>
      <c r="E35">
        <f t="shared" si="2"/>
        <v>4.1602373818968473E-3</v>
      </c>
    </row>
    <row r="36" spans="1:5" x14ac:dyDescent="0.25">
      <c r="A36">
        <v>1.8860948399250002</v>
      </c>
      <c r="B36">
        <v>0.17226546223582748</v>
      </c>
      <c r="C36">
        <f t="shared" si="0"/>
        <v>0.10205832883572331</v>
      </c>
      <c r="D36">
        <f t="shared" si="1"/>
        <v>7.0207133400104163E-2</v>
      </c>
      <c r="E36">
        <f t="shared" si="2"/>
        <v>4.9290415802600218E-3</v>
      </c>
    </row>
    <row r="37" spans="1:5" x14ac:dyDescent="0.25">
      <c r="A37">
        <v>1.9320533232749999</v>
      </c>
      <c r="B37">
        <v>0.14355455186318958</v>
      </c>
      <c r="C37">
        <f t="shared" si="0"/>
        <v>8.1098247955744954E-2</v>
      </c>
      <c r="D37">
        <f t="shared" si="1"/>
        <v>6.2456303907444624E-2</v>
      </c>
      <c r="E37">
        <f t="shared" si="2"/>
        <v>3.9007898977790828E-3</v>
      </c>
    </row>
    <row r="38" spans="1:5" x14ac:dyDescent="0.25">
      <c r="A38">
        <v>1.9780118066249996</v>
      </c>
      <c r="B38">
        <v>0.10664052424122654</v>
      </c>
      <c r="C38">
        <f t="shared" si="0"/>
        <v>6.3666602314559589E-2</v>
      </c>
      <c r="D38">
        <f t="shared" si="1"/>
        <v>4.297392192666695E-2</v>
      </c>
      <c r="E38">
        <f t="shared" si="2"/>
        <v>1.8467579657592665E-3</v>
      </c>
    </row>
    <row r="39" spans="1:5" x14ac:dyDescent="0.25">
      <c r="A39">
        <v>2.0239702899749998</v>
      </c>
      <c r="B39">
        <v>0.10253896561656398</v>
      </c>
      <c r="C39">
        <f t="shared" si="0"/>
        <v>4.9372839689076402E-2</v>
      </c>
      <c r="D39">
        <f t="shared" si="1"/>
        <v>5.3166125927487574E-2</v>
      </c>
      <c r="E39">
        <f t="shared" si="2"/>
        <v>2.8266369461374665E-3</v>
      </c>
    </row>
    <row r="40" spans="1:5" x14ac:dyDescent="0.25">
      <c r="A40">
        <v>2.0699287733249996</v>
      </c>
      <c r="B40">
        <v>6.2890565578159238E-2</v>
      </c>
      <c r="C40">
        <f t="shared" si="0"/>
        <v>3.7816304719760975E-2</v>
      </c>
      <c r="D40">
        <f t="shared" si="1"/>
        <v>2.5074260858398263E-2</v>
      </c>
      <c r="E40">
        <f t="shared" si="2"/>
        <v>6.2871855759500316E-4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3BC86-198B-41A8-928A-FBA4DCB3C154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0.31840093083749998</v>
      </c>
      <c r="B1">
        <v>8.8981595678951225E-2</v>
      </c>
      <c r="C1">
        <f>$H$3*(1+$H$1)*(A1^($H$1))*EXP(-$H$3*(A1^(1+$H$1)))</f>
        <v>0.22572012023969268</v>
      </c>
      <c r="D1">
        <f>B1-C1</f>
        <v>-0.13673852456074145</v>
      </c>
      <c r="E1">
        <f>D1^2</f>
        <v>1.8697424099048492E-2</v>
      </c>
      <c r="G1" t="s">
        <v>0</v>
      </c>
      <c r="H1">
        <v>1.9241131544568715</v>
      </c>
    </row>
    <row r="2" spans="1:8" x14ac:dyDescent="0.25">
      <c r="A2">
        <v>0.36076956051249998</v>
      </c>
      <c r="B2">
        <v>0.16609897860070896</v>
      </c>
      <c r="C2">
        <f t="shared" ref="C2:C40" si="0">$H$3*(1+$H$1)*(A2^($H$1))*EXP(-$H$3*(A2^(1+$H$1)))</f>
        <v>0.28388154648235292</v>
      </c>
      <c r="D2">
        <f t="shared" ref="D2:D40" si="1">B2-C2</f>
        <v>-0.11778256788164396</v>
      </c>
      <c r="E2">
        <f t="shared" ref="E2:E40" si="2">D2^2</f>
        <v>1.3872733296794067E-2</v>
      </c>
    </row>
    <row r="3" spans="1:8" x14ac:dyDescent="0.25">
      <c r="A3">
        <v>0.40313819018749997</v>
      </c>
      <c r="B3">
        <v>0.25508057427966019</v>
      </c>
      <c r="C3">
        <f t="shared" si="0"/>
        <v>0.3466369422740227</v>
      </c>
      <c r="D3">
        <f t="shared" si="1"/>
        <v>-9.1556367994362509E-2</v>
      </c>
      <c r="E3">
        <f t="shared" si="2"/>
        <v>8.382568520319128E-3</v>
      </c>
      <c r="G3" t="s">
        <v>1</v>
      </c>
      <c r="H3">
        <f>(_xlfn.GAMMA((2+$H$1)/(1+$H$1)))^(1+$H$1)</f>
        <v>0.7159066304154349</v>
      </c>
    </row>
    <row r="4" spans="1:8" x14ac:dyDescent="0.25">
      <c r="A4">
        <v>0.44550681986249996</v>
      </c>
      <c r="B4">
        <v>0.31736769125492609</v>
      </c>
      <c r="C4">
        <f t="shared" si="0"/>
        <v>0.41302382818959055</v>
      </c>
      <c r="D4">
        <f t="shared" si="1"/>
        <v>-9.565613693466446E-2</v>
      </c>
      <c r="E4">
        <f t="shared" si="2"/>
        <v>9.1500965332632789E-3</v>
      </c>
    </row>
    <row r="5" spans="1:8" x14ac:dyDescent="0.25">
      <c r="A5">
        <v>0.48787544953750001</v>
      </c>
      <c r="B5">
        <v>0.52202536131651389</v>
      </c>
      <c r="C5">
        <f t="shared" si="0"/>
        <v>0.48194310695706449</v>
      </c>
      <c r="D5">
        <f t="shared" si="1"/>
        <v>4.0082254359449399E-2</v>
      </c>
      <c r="E5">
        <f t="shared" si="2"/>
        <v>1.6065871145356002E-3</v>
      </c>
      <c r="G5" t="s">
        <v>2</v>
      </c>
      <c r="H5">
        <f>SUM(E1:E40)</f>
        <v>0.6983993337258938</v>
      </c>
    </row>
    <row r="6" spans="1:8" x14ac:dyDescent="0.25">
      <c r="A6">
        <v>0.53024407921250005</v>
      </c>
      <c r="B6">
        <v>0.76524172283898062</v>
      </c>
      <c r="C6">
        <f t="shared" si="0"/>
        <v>0.55216992520649533</v>
      </c>
      <c r="D6">
        <f t="shared" si="1"/>
        <v>0.21307179763248529</v>
      </c>
      <c r="E6">
        <f t="shared" si="2"/>
        <v>4.5399590946338768E-2</v>
      </c>
    </row>
    <row r="7" spans="1:8" x14ac:dyDescent="0.25">
      <c r="A7">
        <v>0.57261270888749993</v>
      </c>
      <c r="B7">
        <v>0.78007198878547246</v>
      </c>
      <c r="C7">
        <f t="shared" si="0"/>
        <v>0.62237233921655521</v>
      </c>
      <c r="D7">
        <f t="shared" si="1"/>
        <v>0.15769964956891724</v>
      </c>
      <c r="E7">
        <f t="shared" si="2"/>
        <v>2.48691794741593E-2</v>
      </c>
    </row>
    <row r="8" spans="1:8" x14ac:dyDescent="0.25">
      <c r="A8">
        <v>0.61498133856249992</v>
      </c>
      <c r="B8">
        <v>0.85422331851793187</v>
      </c>
      <c r="C8">
        <f t="shared" si="0"/>
        <v>0.69113770836271538</v>
      </c>
      <c r="D8">
        <f t="shared" si="1"/>
        <v>0.1630856101552165</v>
      </c>
      <c r="E8">
        <f t="shared" si="2"/>
        <v>2.6596916239699255E-2</v>
      </c>
    </row>
    <row r="9" spans="1:8" x14ac:dyDescent="0.25">
      <c r="A9">
        <v>0.65734996823749992</v>
      </c>
      <c r="B9">
        <v>0.90316319614135498</v>
      </c>
      <c r="C9">
        <f t="shared" si="0"/>
        <v>0.75700636512044495</v>
      </c>
      <c r="D9">
        <f t="shared" si="1"/>
        <v>0.14615683102091004</v>
      </c>
      <c r="E9">
        <f t="shared" si="2"/>
        <v>2.1361819254074852E-2</v>
      </c>
    </row>
    <row r="10" spans="1:8" x14ac:dyDescent="0.25">
      <c r="A10">
        <v>0.69971859791250002</v>
      </c>
      <c r="B10">
        <v>0.88981595678951231</v>
      </c>
      <c r="C10">
        <f t="shared" si="0"/>
        <v>0.81851167058156515</v>
      </c>
      <c r="D10">
        <f t="shared" si="1"/>
        <v>7.1304286207947154E-2</v>
      </c>
      <c r="E10">
        <f t="shared" si="2"/>
        <v>5.0843012316248428E-3</v>
      </c>
    </row>
    <row r="11" spans="1:8" x14ac:dyDescent="0.25">
      <c r="A11">
        <v>0.74208722758750001</v>
      </c>
      <c r="B11">
        <v>1.07667730771531</v>
      </c>
      <c r="C11">
        <f t="shared" si="0"/>
        <v>0.87422509483206234</v>
      </c>
      <c r="D11">
        <f t="shared" si="1"/>
        <v>0.20245221288324766</v>
      </c>
      <c r="E11">
        <f t="shared" si="2"/>
        <v>4.098689850132383E-2</v>
      </c>
    </row>
    <row r="12" spans="1:8" x14ac:dyDescent="0.25">
      <c r="A12">
        <v>0.7844558572625</v>
      </c>
      <c r="B12">
        <v>1.0366355896597819</v>
      </c>
      <c r="C12">
        <f t="shared" si="0"/>
        <v>0.92280450156502491</v>
      </c>
      <c r="D12">
        <f t="shared" si="1"/>
        <v>0.11383108809475695</v>
      </c>
      <c r="E12">
        <f t="shared" si="2"/>
        <v>1.2957516616836317E-2</v>
      </c>
    </row>
    <row r="13" spans="1:8" x14ac:dyDescent="0.25">
      <c r="A13">
        <v>0.82682448693749999</v>
      </c>
      <c r="B13">
        <v>1.0514658556062737</v>
      </c>
      <c r="C13">
        <f t="shared" si="0"/>
        <v>0.96304340890132867</v>
      </c>
      <c r="D13">
        <f t="shared" si="1"/>
        <v>8.8422446704945035E-2</v>
      </c>
      <c r="E13">
        <f t="shared" si="2"/>
        <v>7.8185290812888449E-3</v>
      </c>
    </row>
    <row r="14" spans="1:8" x14ac:dyDescent="0.25">
      <c r="A14">
        <v>0.86919311661249998</v>
      </c>
      <c r="B14">
        <v>1.0915075736618018</v>
      </c>
      <c r="C14">
        <f t="shared" si="0"/>
        <v>0.99391868772597192</v>
      </c>
      <c r="D14">
        <f t="shared" si="1"/>
        <v>9.7588885935829928E-2</v>
      </c>
      <c r="E14">
        <f t="shared" si="2"/>
        <v>9.5235906581964246E-3</v>
      </c>
    </row>
    <row r="15" spans="1:8" x14ac:dyDescent="0.25">
      <c r="A15">
        <v>0.91156174628749997</v>
      </c>
      <c r="B15">
        <v>1.2338781267481238</v>
      </c>
      <c r="C15">
        <f t="shared" si="0"/>
        <v>1.0146339866545453</v>
      </c>
      <c r="D15">
        <f t="shared" si="1"/>
        <v>0.21924414009357851</v>
      </c>
      <c r="E15">
        <f t="shared" si="2"/>
        <v>4.8067992965372681E-2</v>
      </c>
    </row>
    <row r="16" spans="1:8" x14ac:dyDescent="0.25">
      <c r="A16">
        <v>0.95393037596249997</v>
      </c>
      <c r="B16">
        <v>1.2724368182090027</v>
      </c>
      <c r="C16">
        <f t="shared" si="0"/>
        <v>1.0246561739155353</v>
      </c>
      <c r="D16">
        <f t="shared" si="1"/>
        <v>0.24778064429346736</v>
      </c>
      <c r="E16">
        <f t="shared" si="2"/>
        <v>6.1395247686485799E-2</v>
      </c>
    </row>
    <row r="17" spans="1:5" x14ac:dyDescent="0.25">
      <c r="A17">
        <v>0.99629900563750007</v>
      </c>
      <c r="B17">
        <v>1.2724368182090027</v>
      </c>
      <c r="C17">
        <f t="shared" si="0"/>
        <v>1.0237422844083868</v>
      </c>
      <c r="D17">
        <f t="shared" si="1"/>
        <v>0.2486945338006159</v>
      </c>
      <c r="E17">
        <f t="shared" si="2"/>
        <v>6.1848971142305684E-2</v>
      </c>
    </row>
    <row r="18" spans="1:5" x14ac:dyDescent="0.25">
      <c r="A18">
        <v>1.0386676353124999</v>
      </c>
      <c r="B18">
        <v>1.0633300683634672</v>
      </c>
      <c r="C18">
        <f t="shared" si="0"/>
        <v>1.0119548627766661</v>
      </c>
      <c r="D18">
        <f t="shared" si="1"/>
        <v>5.1375205586801087E-2</v>
      </c>
      <c r="E18">
        <f t="shared" si="2"/>
        <v>2.6394117490860778E-3</v>
      </c>
    </row>
    <row r="19" spans="1:5" x14ac:dyDescent="0.25">
      <c r="A19">
        <v>1.0810362649875001</v>
      </c>
      <c r="B19">
        <v>0.99066176522565708</v>
      </c>
      <c r="C19">
        <f t="shared" si="0"/>
        <v>0.98966418959778657</v>
      </c>
      <c r="D19">
        <f t="shared" si="1"/>
        <v>9.9757562787050613E-4</v>
      </c>
      <c r="E19">
        <f t="shared" si="2"/>
        <v>9.9515713332123455E-7</v>
      </c>
    </row>
    <row r="20" spans="1:5" x14ac:dyDescent="0.25">
      <c r="A20">
        <v>1.1234048946624999</v>
      </c>
      <c r="B20">
        <v>0.81714765365170217</v>
      </c>
      <c r="C20">
        <f t="shared" si="0"/>
        <v>0.95753663670860423</v>
      </c>
      <c r="D20">
        <f t="shared" si="1"/>
        <v>-0.14038898305690206</v>
      </c>
      <c r="E20">
        <f t="shared" si="2"/>
        <v>1.9709066563751133E-2</v>
      </c>
    </row>
    <row r="21" spans="1:5" x14ac:dyDescent="0.25">
      <c r="A21">
        <v>1.1657735243374998</v>
      </c>
      <c r="B21">
        <v>0.81121554727310541</v>
      </c>
      <c r="C21">
        <f t="shared" si="0"/>
        <v>0.91650926893257223</v>
      </c>
      <c r="D21">
        <f t="shared" si="1"/>
        <v>-0.10529372165946682</v>
      </c>
      <c r="E21">
        <f t="shared" si="2"/>
        <v>1.1086767820901273E-2</v>
      </c>
    </row>
    <row r="22" spans="1:5" x14ac:dyDescent="0.25">
      <c r="A22">
        <v>1.2081421540125001</v>
      </c>
      <c r="B22">
        <v>0.6332523559152029</v>
      </c>
      <c r="C22">
        <f t="shared" si="0"/>
        <v>0.86775172664688682</v>
      </c>
      <c r="D22">
        <f t="shared" si="1"/>
        <v>-0.23449937073168392</v>
      </c>
      <c r="E22">
        <f t="shared" si="2"/>
        <v>5.4989954873555735E-2</v>
      </c>
    </row>
    <row r="23" spans="1:5" x14ac:dyDescent="0.25">
      <c r="A23">
        <v>1.2505107836875</v>
      </c>
      <c r="B23">
        <v>0.65104867505099318</v>
      </c>
      <c r="C23">
        <f t="shared" si="0"/>
        <v>0.81261730982058455</v>
      </c>
      <c r="D23">
        <f t="shared" si="1"/>
        <v>-0.16156863476959138</v>
      </c>
      <c r="E23">
        <f t="shared" si="2"/>
        <v>2.6104423741309613E-2</v>
      </c>
    </row>
    <row r="24" spans="1:5" x14ac:dyDescent="0.25">
      <c r="A24">
        <v>1.2928794133624999</v>
      </c>
      <c r="B24">
        <v>0.53092352088440897</v>
      </c>
      <c r="C24">
        <f t="shared" si="0"/>
        <v>0.75258595943881268</v>
      </c>
      <c r="D24">
        <f t="shared" si="1"/>
        <v>-0.22166243855440371</v>
      </c>
      <c r="E24">
        <f t="shared" si="2"/>
        <v>4.9134236665884796E-2</v>
      </c>
    </row>
    <row r="25" spans="1:5" x14ac:dyDescent="0.25">
      <c r="A25">
        <v>1.3352480430374998</v>
      </c>
      <c r="B25">
        <v>0.51164417515396954</v>
      </c>
      <c r="C25">
        <f t="shared" si="0"/>
        <v>0.68920242227949036</v>
      </c>
      <c r="D25">
        <f t="shared" si="1"/>
        <v>-0.17755824712552082</v>
      </c>
      <c r="E25">
        <f t="shared" si="2"/>
        <v>3.1526931122287521E-2</v>
      </c>
    </row>
    <row r="26" spans="1:5" x14ac:dyDescent="0.25">
      <c r="A26">
        <v>1.3776166727125001</v>
      </c>
      <c r="B26">
        <v>0.48346666985563502</v>
      </c>
      <c r="C26">
        <f t="shared" si="0"/>
        <v>0.62401322983019081</v>
      </c>
      <c r="D26">
        <f t="shared" si="1"/>
        <v>-0.14054655997455578</v>
      </c>
      <c r="E26">
        <f t="shared" si="2"/>
        <v>1.9753335520681405E-2</v>
      </c>
    </row>
    <row r="27" spans="1:5" x14ac:dyDescent="0.25">
      <c r="A27">
        <v>1.4199853023875</v>
      </c>
      <c r="B27">
        <v>0.4864327230449334</v>
      </c>
      <c r="C27">
        <f t="shared" si="0"/>
        <v>0.55850618371194605</v>
      </c>
      <c r="D27">
        <f t="shared" si="1"/>
        <v>-7.2073460667012645E-2</v>
      </c>
      <c r="E27">
        <f t="shared" si="2"/>
        <v>5.1945837325194193E-3</v>
      </c>
    </row>
    <row r="28" spans="1:5" x14ac:dyDescent="0.25">
      <c r="A28">
        <v>1.4623539320624999</v>
      </c>
      <c r="B28">
        <v>0.41969652628571996</v>
      </c>
      <c r="C28">
        <f t="shared" si="0"/>
        <v>0.49405580772555108</v>
      </c>
      <c r="D28">
        <f t="shared" si="1"/>
        <v>-7.4359281439831115E-2</v>
      </c>
      <c r="E28">
        <f t="shared" si="2"/>
        <v>5.529302736248012E-3</v>
      </c>
    </row>
    <row r="29" spans="1:5" x14ac:dyDescent="0.25">
      <c r="A29">
        <v>1.5047225617374997</v>
      </c>
      <c r="B29">
        <v>0.29067321255124068</v>
      </c>
      <c r="C29">
        <f t="shared" si="0"/>
        <v>0.43187771971581845</v>
      </c>
      <c r="D29">
        <f t="shared" si="1"/>
        <v>-0.14120450716457777</v>
      </c>
      <c r="E29">
        <f t="shared" si="2"/>
        <v>1.9938712843591295E-2</v>
      </c>
    </row>
    <row r="30" spans="1:5" x14ac:dyDescent="0.25">
      <c r="A30">
        <v>1.5470911914125001</v>
      </c>
      <c r="B30">
        <v>0.36482454228370004</v>
      </c>
      <c r="C30">
        <f t="shared" si="0"/>
        <v>0.37299414245260276</v>
      </c>
      <c r="D30">
        <f t="shared" si="1"/>
        <v>-8.1696001689027242E-3</v>
      </c>
      <c r="E30">
        <f t="shared" si="2"/>
        <v>6.6742366919735418E-5</v>
      </c>
    </row>
    <row r="31" spans="1:5" x14ac:dyDescent="0.25">
      <c r="A31">
        <v>1.5894598210874999</v>
      </c>
      <c r="B31">
        <v>0.2669447870368537</v>
      </c>
      <c r="C31">
        <f t="shared" si="0"/>
        <v>0.31821188272027945</v>
      </c>
      <c r="D31">
        <f t="shared" si="1"/>
        <v>-5.1267095683425745E-2</v>
      </c>
      <c r="E31">
        <f t="shared" si="2"/>
        <v>2.6283150998135307E-3</v>
      </c>
    </row>
    <row r="32" spans="1:5" x14ac:dyDescent="0.25">
      <c r="A32">
        <v>1.6318284507624998</v>
      </c>
      <c r="B32">
        <v>0.33961309017466385</v>
      </c>
      <c r="C32">
        <f t="shared" si="0"/>
        <v>0.26811314827675292</v>
      </c>
      <c r="D32">
        <f t="shared" si="1"/>
        <v>7.1499941897910924E-2</v>
      </c>
      <c r="E32">
        <f t="shared" si="2"/>
        <v>5.1122416914046375E-3</v>
      </c>
    </row>
    <row r="33" spans="1:5" x14ac:dyDescent="0.25">
      <c r="A33">
        <v>1.6741970804374999</v>
      </c>
      <c r="B33">
        <v>0.23135214876527321</v>
      </c>
      <c r="C33">
        <f t="shared" si="0"/>
        <v>0.22305863509244897</v>
      </c>
      <c r="D33">
        <f t="shared" si="1"/>
        <v>8.2935136728242431E-3</v>
      </c>
      <c r="E33">
        <f t="shared" si="2"/>
        <v>6.8782369041322668E-5</v>
      </c>
    </row>
    <row r="34" spans="1:5" x14ac:dyDescent="0.25">
      <c r="A34">
        <v>1.7165657101125</v>
      </c>
      <c r="B34">
        <v>0.23876728173851913</v>
      </c>
      <c r="C34">
        <f t="shared" si="0"/>
        <v>0.18320148865841146</v>
      </c>
      <c r="D34">
        <f t="shared" si="1"/>
        <v>5.5565793080107673E-2</v>
      </c>
      <c r="E34">
        <f t="shared" si="2"/>
        <v>3.0875573606213417E-3</v>
      </c>
    </row>
    <row r="35" spans="1:5" x14ac:dyDescent="0.25">
      <c r="A35">
        <v>1.7589343397874999</v>
      </c>
      <c r="B35">
        <v>0.2432163615224667</v>
      </c>
      <c r="C35">
        <f t="shared" si="0"/>
        <v>0.14851009413490465</v>
      </c>
      <c r="D35">
        <f t="shared" si="1"/>
        <v>9.4706267387562049E-2</v>
      </c>
      <c r="E35">
        <f t="shared" si="2"/>
        <v>8.969277082484399E-3</v>
      </c>
    </row>
    <row r="36" spans="1:5" x14ac:dyDescent="0.25">
      <c r="A36">
        <v>1.8013029694624998</v>
      </c>
      <c r="B36">
        <v>0.17351411157395491</v>
      </c>
      <c r="C36">
        <f t="shared" si="0"/>
        <v>0.11879722861829628</v>
      </c>
      <c r="D36">
        <f t="shared" si="1"/>
        <v>5.471688295565863E-2</v>
      </c>
      <c r="E36">
        <f t="shared" si="2"/>
        <v>2.993937280383246E-3</v>
      </c>
    </row>
    <row r="37" spans="1:5" x14ac:dyDescent="0.25">
      <c r="A37">
        <v>1.8436715991375001</v>
      </c>
      <c r="B37">
        <v>0.15571779243816466</v>
      </c>
      <c r="C37">
        <f t="shared" si="0"/>
        <v>9.3752935304118976E-2</v>
      </c>
      <c r="D37">
        <f t="shared" si="1"/>
        <v>6.1964857134045689E-2</v>
      </c>
      <c r="E37">
        <f t="shared" si="2"/>
        <v>3.8396435196426928E-3</v>
      </c>
    </row>
    <row r="38" spans="1:5" x14ac:dyDescent="0.25">
      <c r="A38">
        <v>1.8860402288125</v>
      </c>
      <c r="B38">
        <v>0.14088752649167277</v>
      </c>
      <c r="C38">
        <f t="shared" si="0"/>
        <v>7.2978546232150554E-2</v>
      </c>
      <c r="D38">
        <f t="shared" si="1"/>
        <v>6.7908980259522217E-2</v>
      </c>
      <c r="E38">
        <f t="shared" si="2"/>
        <v>4.6116295998881781E-3</v>
      </c>
    </row>
    <row r="39" spans="1:5" x14ac:dyDescent="0.25">
      <c r="A39">
        <v>1.9284088584874999</v>
      </c>
      <c r="B39">
        <v>0.11122699459868904</v>
      </c>
      <c r="C39">
        <f t="shared" si="0"/>
        <v>5.6019555068243979E-2</v>
      </c>
      <c r="D39">
        <f t="shared" si="1"/>
        <v>5.520743953044506E-2</v>
      </c>
      <c r="E39">
        <f t="shared" si="2"/>
        <v>3.0478613795077479E-3</v>
      </c>
    </row>
    <row r="40" spans="1:5" x14ac:dyDescent="0.25">
      <c r="A40">
        <v>1.9707774881624998</v>
      </c>
      <c r="B40">
        <v>6.9702249948511805E-2</v>
      </c>
      <c r="C40">
        <f t="shared" si="0"/>
        <v>4.2395472629133436E-2</v>
      </c>
      <c r="D40">
        <f t="shared" si="1"/>
        <v>2.7306777319378368E-2</v>
      </c>
      <c r="E40">
        <f t="shared" si="2"/>
        <v>7.4566008757011683E-4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77AA-8EE4-4E53-B2A4-581DDA136B7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0.36575969528750002</v>
      </c>
      <c r="B1">
        <v>8.4852194151909102E-2</v>
      </c>
      <c r="C1">
        <f>$H$3*(1+$H$1)*(A1^($H$1))*EXP(-$H$3*(A1^(1+$H$1)))</f>
        <v>0.23591676106582896</v>
      </c>
      <c r="D1">
        <f>B1-C1</f>
        <v>-0.15106456691391984</v>
      </c>
      <c r="E1">
        <f>D1^2</f>
        <v>2.2820503376890164E-2</v>
      </c>
      <c r="G1" t="s">
        <v>0</v>
      </c>
      <c r="H1">
        <v>2.2192107497034081</v>
      </c>
    </row>
    <row r="2" spans="1:8" x14ac:dyDescent="0.25">
      <c r="A2">
        <v>0.40426615786249998</v>
      </c>
      <c r="B2">
        <v>0.19581275573517484</v>
      </c>
      <c r="C2">
        <f t="shared" ref="C2:C40" si="0">$H$3*(1+$H$1)*(A2^($H$1))*EXP(-$H$3*(A2^(1+$H$1)))</f>
        <v>0.29152894792076817</v>
      </c>
      <c r="D2">
        <f t="shared" ref="D2:D40" si="1">B2-C2</f>
        <v>-9.5716192185593324E-2</v>
      </c>
      <c r="E2">
        <f t="shared" ref="E2:E40" si="2">D2^2</f>
        <v>9.1615894465094366E-3</v>
      </c>
    </row>
    <row r="3" spans="1:8" x14ac:dyDescent="0.25">
      <c r="A3">
        <v>0.44277262043749999</v>
      </c>
      <c r="B3">
        <v>0.24802949059788812</v>
      </c>
      <c r="C3">
        <f t="shared" si="0"/>
        <v>0.35216797590833987</v>
      </c>
      <c r="D3">
        <f t="shared" si="1"/>
        <v>-0.10413848531045175</v>
      </c>
      <c r="E3">
        <f t="shared" si="2"/>
        <v>1.0844824122755175E-2</v>
      </c>
      <c r="G3" t="s">
        <v>1</v>
      </c>
      <c r="H3">
        <f>(_xlfn.GAMMA((2+$H$1)/(1+$H$1)))^(1+$H$1)</f>
        <v>0.70199827575046825</v>
      </c>
    </row>
    <row r="4" spans="1:8" x14ac:dyDescent="0.25">
      <c r="A4">
        <v>0.4812790830125</v>
      </c>
      <c r="B4">
        <v>0.35409473328777452</v>
      </c>
      <c r="C4">
        <f t="shared" si="0"/>
        <v>0.4171619774447981</v>
      </c>
      <c r="D4">
        <f t="shared" si="1"/>
        <v>-6.3067244157023583E-2</v>
      </c>
      <c r="E4">
        <f t="shared" si="2"/>
        <v>3.9774772855616257E-3</v>
      </c>
    </row>
    <row r="5" spans="1:8" x14ac:dyDescent="0.25">
      <c r="A5">
        <v>0.51978554558750001</v>
      </c>
      <c r="B5">
        <v>0.43078806261738467</v>
      </c>
      <c r="C5">
        <f t="shared" si="0"/>
        <v>0.48567516553882273</v>
      </c>
      <c r="D5">
        <f t="shared" si="1"/>
        <v>-5.4887102921438058E-2</v>
      </c>
      <c r="E5">
        <f t="shared" si="2"/>
        <v>3.0125940671085344E-3</v>
      </c>
      <c r="G5" t="s">
        <v>2</v>
      </c>
      <c r="H5">
        <f>SUM(E1:E40)</f>
        <v>0.83771283837884758</v>
      </c>
    </row>
    <row r="6" spans="1:8" x14ac:dyDescent="0.25">
      <c r="A6">
        <v>0.55829200816250002</v>
      </c>
      <c r="B6">
        <v>0.71471655843338822</v>
      </c>
      <c r="C6">
        <f t="shared" si="0"/>
        <v>0.55670952287481235</v>
      </c>
      <c r="D6">
        <f t="shared" si="1"/>
        <v>0.15800703555857587</v>
      </c>
      <c r="E6">
        <f t="shared" si="2"/>
        <v>2.4966223286009059E-2</v>
      </c>
    </row>
    <row r="7" spans="1:8" x14ac:dyDescent="0.25">
      <c r="A7">
        <v>0.59679847073750003</v>
      </c>
      <c r="B7">
        <v>0.90726576823964344</v>
      </c>
      <c r="C7">
        <f t="shared" si="0"/>
        <v>0.62911303081713432</v>
      </c>
      <c r="D7">
        <f t="shared" si="1"/>
        <v>0.27815273742250912</v>
      </c>
      <c r="E7">
        <f t="shared" si="2"/>
        <v>7.7368945335635306E-2</v>
      </c>
    </row>
    <row r="8" spans="1:8" x14ac:dyDescent="0.25">
      <c r="A8">
        <v>0.63530493331250004</v>
      </c>
      <c r="B8">
        <v>0.84199484966125182</v>
      </c>
      <c r="C8">
        <f t="shared" si="0"/>
        <v>0.70159534778627852</v>
      </c>
      <c r="D8">
        <f t="shared" si="1"/>
        <v>0.1403995018749733</v>
      </c>
      <c r="E8">
        <f t="shared" si="2"/>
        <v>1.9712020126740632E-2</v>
      </c>
    </row>
    <row r="9" spans="1:8" x14ac:dyDescent="0.25">
      <c r="A9">
        <v>0.67381139588750005</v>
      </c>
      <c r="B9">
        <v>0.98722264349817312</v>
      </c>
      <c r="C9">
        <f t="shared" si="0"/>
        <v>0.77275153201693825</v>
      </c>
      <c r="D9">
        <f t="shared" si="1"/>
        <v>0.21447111148123488</v>
      </c>
      <c r="E9">
        <f t="shared" si="2"/>
        <v>4.5997857659996276E-2</v>
      </c>
    </row>
    <row r="10" spans="1:8" x14ac:dyDescent="0.25">
      <c r="A10">
        <v>0.71231785846250006</v>
      </c>
      <c r="B10">
        <v>0.96927314088911543</v>
      </c>
      <c r="C10">
        <f t="shared" si="0"/>
        <v>0.84109399460867251</v>
      </c>
      <c r="D10">
        <f t="shared" si="1"/>
        <v>0.12817914628044291</v>
      </c>
      <c r="E10">
        <f t="shared" si="2"/>
        <v>1.6429893541183183E-2</v>
      </c>
    </row>
    <row r="11" spans="1:8" x14ac:dyDescent="0.25">
      <c r="A11">
        <v>0.75082432103750008</v>
      </c>
      <c r="B11">
        <v>1.0622841998633235</v>
      </c>
      <c r="C11">
        <f t="shared" si="0"/>
        <v>0.90509237088892192</v>
      </c>
      <c r="D11">
        <f t="shared" si="1"/>
        <v>0.15719182897440154</v>
      </c>
      <c r="E11">
        <f t="shared" si="2"/>
        <v>2.4709271096317504E-2</v>
      </c>
    </row>
    <row r="12" spans="1:8" x14ac:dyDescent="0.25">
      <c r="A12">
        <v>0.78933078361249998</v>
      </c>
      <c r="B12">
        <v>1.1846671721978077</v>
      </c>
      <c r="C12">
        <f t="shared" si="0"/>
        <v>0.96322042970278399</v>
      </c>
      <c r="D12">
        <f t="shared" si="1"/>
        <v>0.22144674249502372</v>
      </c>
      <c r="E12">
        <f t="shared" si="2"/>
        <v>4.9038659761657347E-2</v>
      </c>
    </row>
    <row r="13" spans="1:8" x14ac:dyDescent="0.25">
      <c r="A13">
        <v>0.82783724618749988</v>
      </c>
      <c r="B13">
        <v>1.1814036262688883</v>
      </c>
      <c r="C13">
        <f t="shared" si="0"/>
        <v>1.0140085322545189</v>
      </c>
      <c r="D13">
        <f t="shared" si="1"/>
        <v>0.16739509401436936</v>
      </c>
      <c r="E13">
        <f t="shared" si="2"/>
        <v>2.8021117500079556E-2</v>
      </c>
    </row>
    <row r="14" spans="1:8" x14ac:dyDescent="0.25">
      <c r="A14">
        <v>0.8663437087625</v>
      </c>
      <c r="B14">
        <v>1.1079738428681976</v>
      </c>
      <c r="C14">
        <f t="shared" si="0"/>
        <v>1.0560995473916692</v>
      </c>
      <c r="D14">
        <f t="shared" si="1"/>
        <v>5.1874295476528332E-2</v>
      </c>
      <c r="E14">
        <f t="shared" si="2"/>
        <v>2.6909425311861675E-3</v>
      </c>
    </row>
    <row r="15" spans="1:8" x14ac:dyDescent="0.25">
      <c r="A15">
        <v>0.90485017133750001</v>
      </c>
      <c r="B15">
        <v>1.2173026314870037</v>
      </c>
      <c r="C15">
        <f t="shared" si="0"/>
        <v>1.0883055813337152</v>
      </c>
      <c r="D15">
        <f t="shared" si="1"/>
        <v>0.12899705015328844</v>
      </c>
      <c r="E15">
        <f t="shared" si="2"/>
        <v>1.6640238948250011E-2</v>
      </c>
    </row>
    <row r="16" spans="1:8" x14ac:dyDescent="0.25">
      <c r="A16">
        <v>0.94335663391250002</v>
      </c>
      <c r="B16">
        <v>1.3233678741768899</v>
      </c>
      <c r="C16">
        <f t="shared" si="0"/>
        <v>1.1096624453471784</v>
      </c>
      <c r="D16">
        <f t="shared" si="1"/>
        <v>0.21370542882971155</v>
      </c>
      <c r="E16">
        <f t="shared" si="2"/>
        <v>4.5670010311290907E-2</v>
      </c>
    </row>
    <row r="17" spans="1:5" x14ac:dyDescent="0.25">
      <c r="A17">
        <v>0.98186309648749992</v>
      </c>
      <c r="B17">
        <v>1.3429491497504074</v>
      </c>
      <c r="C17">
        <f t="shared" si="0"/>
        <v>1.1194785238397593</v>
      </c>
      <c r="D17">
        <f t="shared" si="1"/>
        <v>0.22347062591064804</v>
      </c>
      <c r="E17">
        <f t="shared" si="2"/>
        <v>4.9939120644896799E-2</v>
      </c>
    </row>
    <row r="18" spans="1:5" x14ac:dyDescent="0.25">
      <c r="A18">
        <v>1.0203695590624999</v>
      </c>
      <c r="B18">
        <v>1.369057517181764</v>
      </c>
      <c r="C18">
        <f t="shared" si="0"/>
        <v>1.1173746706707743</v>
      </c>
      <c r="D18">
        <f t="shared" si="1"/>
        <v>0.25168284651098971</v>
      </c>
      <c r="E18">
        <f t="shared" si="2"/>
        <v>6.3344255227874402E-2</v>
      </c>
    </row>
    <row r="19" spans="1:5" x14ac:dyDescent="0.25">
      <c r="A19">
        <v>1.0588760216374999</v>
      </c>
      <c r="B19">
        <v>1.1047102969392781</v>
      </c>
      <c r="C19">
        <f t="shared" si="0"/>
        <v>1.1033119923834847</v>
      </c>
      <c r="D19">
        <f t="shared" si="1"/>
        <v>1.3983045557934837E-3</v>
      </c>
      <c r="E19">
        <f t="shared" si="2"/>
        <v>1.9552556307528119E-6</v>
      </c>
    </row>
    <row r="20" spans="1:5" x14ac:dyDescent="0.25">
      <c r="A20">
        <v>1.0973824842125</v>
      </c>
      <c r="B20">
        <v>1.0247534216807483</v>
      </c>
      <c r="C20">
        <f t="shared" si="0"/>
        <v>1.0776048918405365</v>
      </c>
      <c r="D20">
        <f t="shared" si="1"/>
        <v>-5.2851470159788194E-2</v>
      </c>
      <c r="E20">
        <f t="shared" si="2"/>
        <v>2.7932778980509819E-3</v>
      </c>
    </row>
    <row r="21" spans="1:5" x14ac:dyDescent="0.25">
      <c r="A21">
        <v>1.1358889467875</v>
      </c>
      <c r="B21">
        <v>0.90237044934626409</v>
      </c>
      <c r="C21">
        <f t="shared" si="0"/>
        <v>1.0409175356756728</v>
      </c>
      <c r="D21">
        <f t="shared" si="1"/>
        <v>-0.13854708632940871</v>
      </c>
      <c r="E21">
        <f t="shared" si="2"/>
        <v>1.919529513036863E-2</v>
      </c>
    </row>
    <row r="22" spans="1:5" x14ac:dyDescent="0.25">
      <c r="A22">
        <v>1.1743954093625</v>
      </c>
      <c r="B22">
        <v>0.84199484966125182</v>
      </c>
      <c r="C22">
        <f t="shared" si="0"/>
        <v>0.99424293470262881</v>
      </c>
      <c r="D22">
        <f t="shared" si="1"/>
        <v>-0.15224808504137699</v>
      </c>
      <c r="E22">
        <f t="shared" si="2"/>
        <v>2.317947939876636E-2</v>
      </c>
    </row>
    <row r="23" spans="1:5" x14ac:dyDescent="0.25">
      <c r="A23">
        <v>1.2129018719375</v>
      </c>
      <c r="B23">
        <v>0.72940251511352627</v>
      </c>
      <c r="C23">
        <f t="shared" si="0"/>
        <v>0.9388650177007184</v>
      </c>
      <c r="D23">
        <f t="shared" si="1"/>
        <v>-0.20946250258719212</v>
      </c>
      <c r="E23">
        <f t="shared" si="2"/>
        <v>4.3874539990089466E-2</v>
      </c>
    </row>
    <row r="24" spans="1:5" x14ac:dyDescent="0.25">
      <c r="A24">
        <v>1.2514083345125</v>
      </c>
      <c r="B24">
        <v>0.65597273171283577</v>
      </c>
      <c r="C24">
        <f t="shared" si="0"/>
        <v>0.87630533858336579</v>
      </c>
      <c r="D24">
        <f t="shared" si="1"/>
        <v>-0.22033260687053002</v>
      </c>
      <c r="E24">
        <f t="shared" si="2"/>
        <v>4.8546457650363535E-2</v>
      </c>
    </row>
    <row r="25" spans="1:5" x14ac:dyDescent="0.25">
      <c r="A25">
        <v>1.2899147970875</v>
      </c>
      <c r="B25">
        <v>0.53848507827173087</v>
      </c>
      <c r="C25">
        <f t="shared" si="0"/>
        <v>0.80825726878758863</v>
      </c>
      <c r="D25">
        <f t="shared" si="1"/>
        <v>-0.26977219051585777</v>
      </c>
      <c r="E25">
        <f t="shared" si="2"/>
        <v>7.2777034775724253E-2</v>
      </c>
    </row>
    <row r="26" spans="1:5" x14ac:dyDescent="0.25">
      <c r="A26">
        <v>1.3284212596625</v>
      </c>
      <c r="B26">
        <v>0.60865131574350184</v>
      </c>
      <c r="C26">
        <f t="shared" si="0"/>
        <v>0.73651156788370509</v>
      </c>
      <c r="D26">
        <f t="shared" si="1"/>
        <v>-0.12786025214020325</v>
      </c>
      <c r="E26">
        <f t="shared" si="2"/>
        <v>1.6348244077356348E-2</v>
      </c>
    </row>
    <row r="27" spans="1:5" x14ac:dyDescent="0.25">
      <c r="A27">
        <v>1.3669277222375</v>
      </c>
      <c r="B27">
        <v>0.54664394309402975</v>
      </c>
      <c r="C27">
        <f t="shared" si="0"/>
        <v>0.66287798066665937</v>
      </c>
      <c r="D27">
        <f t="shared" si="1"/>
        <v>-0.11623403757262962</v>
      </c>
      <c r="E27">
        <f t="shared" si="2"/>
        <v>1.3510351490435476E-2</v>
      </c>
    </row>
    <row r="28" spans="1:5" x14ac:dyDescent="0.25">
      <c r="A28">
        <v>1.4054341848125</v>
      </c>
      <c r="B28">
        <v>0.43405160854630426</v>
      </c>
      <c r="C28">
        <f t="shared" si="0"/>
        <v>0.5891078860719523</v>
      </c>
      <c r="D28">
        <f t="shared" si="1"/>
        <v>-0.15505627752564805</v>
      </c>
      <c r="E28">
        <f t="shared" si="2"/>
        <v>2.4042449200110786E-2</v>
      </c>
    </row>
    <row r="29" spans="1:5" x14ac:dyDescent="0.25">
      <c r="A29">
        <v>1.4439406473875001</v>
      </c>
      <c r="B29">
        <v>0.37693955479021157</v>
      </c>
      <c r="C29">
        <f t="shared" si="0"/>
        <v>0.51682296655285809</v>
      </c>
      <c r="D29">
        <f t="shared" si="1"/>
        <v>-0.13988341176264651</v>
      </c>
      <c r="E29">
        <f t="shared" si="2"/>
        <v>1.9567368886358114E-2</v>
      </c>
    </row>
    <row r="30" spans="1:5" x14ac:dyDescent="0.25">
      <c r="A30">
        <v>1.4824471099625001</v>
      </c>
      <c r="B30">
        <v>0.38673019257697033</v>
      </c>
      <c r="C30">
        <f t="shared" si="0"/>
        <v>0.44745436701167934</v>
      </c>
      <c r="D30">
        <f t="shared" si="1"/>
        <v>-6.0724174434709011E-2</v>
      </c>
      <c r="E30">
        <f t="shared" si="2"/>
        <v>3.6874253607769676E-3</v>
      </c>
    </row>
    <row r="31" spans="1:5" x14ac:dyDescent="0.25">
      <c r="A31">
        <v>1.5209535725375001</v>
      </c>
      <c r="B31">
        <v>0.37367600886129199</v>
      </c>
      <c r="C31">
        <f t="shared" si="0"/>
        <v>0.38219591159816541</v>
      </c>
      <c r="D31">
        <f t="shared" si="1"/>
        <v>-8.5199027368734193E-3</v>
      </c>
      <c r="E31">
        <f t="shared" si="2"/>
        <v>7.2588742645783184E-5</v>
      </c>
    </row>
    <row r="32" spans="1:5" x14ac:dyDescent="0.25">
      <c r="A32">
        <v>1.5594600351125001</v>
      </c>
      <c r="B32">
        <v>0.334513457714257</v>
      </c>
      <c r="C32">
        <f t="shared" si="0"/>
        <v>0.32197373405949298</v>
      </c>
      <c r="D32">
        <f t="shared" si="1"/>
        <v>1.2539723654764023E-2</v>
      </c>
      <c r="E32">
        <f t="shared" si="2"/>
        <v>1.572446693378484E-4</v>
      </c>
    </row>
    <row r="33" spans="1:5" x14ac:dyDescent="0.25">
      <c r="A33">
        <v>1.5979664976875001</v>
      </c>
      <c r="B33">
        <v>0.27740140395816437</v>
      </c>
      <c r="C33">
        <f t="shared" si="0"/>
        <v>0.26743328010566569</v>
      </c>
      <c r="D33">
        <f t="shared" si="1"/>
        <v>9.9681238524986782E-3</v>
      </c>
      <c r="E33">
        <f t="shared" si="2"/>
        <v>9.936349313875309E-5</v>
      </c>
    </row>
    <row r="34" spans="1:5" x14ac:dyDescent="0.25">
      <c r="A34">
        <v>1.6364729602624999</v>
      </c>
      <c r="B34">
        <v>0.25945190134910667</v>
      </c>
      <c r="C34">
        <f t="shared" si="0"/>
        <v>0.21894320773859138</v>
      </c>
      <c r="D34">
        <f t="shared" si="1"/>
        <v>4.0508693610515289E-2</v>
      </c>
      <c r="E34">
        <f t="shared" si="2"/>
        <v>1.6409542580306023E-3</v>
      </c>
    </row>
    <row r="35" spans="1:5" x14ac:dyDescent="0.25">
      <c r="A35">
        <v>1.6749794228375001</v>
      </c>
      <c r="B35">
        <v>0.27740140395816437</v>
      </c>
      <c r="C35">
        <f t="shared" si="0"/>
        <v>0.17661439551172839</v>
      </c>
      <c r="D35">
        <f t="shared" si="1"/>
        <v>0.10078700844643598</v>
      </c>
      <c r="E35">
        <f t="shared" si="2"/>
        <v>1.0158021071581959E-2</v>
      </c>
    </row>
    <row r="36" spans="1:5" x14ac:dyDescent="0.25">
      <c r="A36">
        <v>1.7134858854125001</v>
      </c>
      <c r="B36">
        <v>0.22028935020207169</v>
      </c>
      <c r="C36">
        <f t="shared" si="0"/>
        <v>0.1403312034297528</v>
      </c>
      <c r="D36">
        <f t="shared" si="1"/>
        <v>7.9958146772318883E-2</v>
      </c>
      <c r="E36">
        <f t="shared" si="2"/>
        <v>6.3933052352636889E-3</v>
      </c>
    </row>
    <row r="37" spans="1:5" x14ac:dyDescent="0.25">
      <c r="A37">
        <v>1.7519923479875001</v>
      </c>
      <c r="B37">
        <v>0.15991375051705944</v>
      </c>
      <c r="C37">
        <f t="shared" si="0"/>
        <v>0.10979141562690492</v>
      </c>
      <c r="D37">
        <f t="shared" si="1"/>
        <v>5.0122334890154524E-2</v>
      </c>
      <c r="E37">
        <f t="shared" si="2"/>
        <v>2.5122484548408017E-3</v>
      </c>
    </row>
    <row r="38" spans="1:5" x14ac:dyDescent="0.25">
      <c r="A38">
        <v>1.7904988105624997</v>
      </c>
      <c r="B38">
        <v>0.18439034498395632</v>
      </c>
      <c r="C38">
        <f t="shared" si="0"/>
        <v>8.4550979689027111E-2</v>
      </c>
      <c r="D38">
        <f t="shared" si="1"/>
        <v>9.9839365294929205E-2</v>
      </c>
      <c r="E38">
        <f t="shared" si="2"/>
        <v>9.9678988624943149E-3</v>
      </c>
    </row>
    <row r="39" spans="1:5" x14ac:dyDescent="0.25">
      <c r="A39">
        <v>1.8290052731374997</v>
      </c>
      <c r="B39">
        <v>0.12075119937002449</v>
      </c>
      <c r="C39">
        <f t="shared" si="0"/>
        <v>6.4069744037349621E-2</v>
      </c>
      <c r="D39">
        <f t="shared" si="1"/>
        <v>5.6681455332674865E-2</v>
      </c>
      <c r="E39">
        <f t="shared" si="2"/>
        <v>3.2127873786300157E-3</v>
      </c>
    </row>
    <row r="40" spans="1:5" x14ac:dyDescent="0.25">
      <c r="A40">
        <v>1.8675117357125</v>
      </c>
      <c r="B40">
        <v>8.8115740080828675E-2</v>
      </c>
      <c r="C40">
        <f t="shared" si="0"/>
        <v>4.7754832894418689E-2</v>
      </c>
      <c r="D40">
        <f t="shared" si="1"/>
        <v>4.0360907186409986E-2</v>
      </c>
      <c r="E40">
        <f t="shared" si="2"/>
        <v>1.6290028289100012E-3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4A2F-F50A-4D1C-B0AD-DF93B972BBEB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0.42145370734999998</v>
      </c>
      <c r="B1">
        <v>9.5210783029193627E-2</v>
      </c>
      <c r="C1">
        <f>$H$3*(1+$H$1)*(A1^($H$1))*EXP(-$H$3*(A1^(1+$H$1)))</f>
        <v>0.25296365456048736</v>
      </c>
      <c r="D1">
        <f>B1-C1</f>
        <v>-0.15775287153129375</v>
      </c>
      <c r="E1">
        <f>D1^2</f>
        <v>2.4885968476368869E-2</v>
      </c>
      <c r="G1" t="s">
        <v>0</v>
      </c>
      <c r="H1">
        <v>2.6055993186909423</v>
      </c>
    </row>
    <row r="2" spans="1:8" x14ac:dyDescent="0.25">
      <c r="A2">
        <v>0.45577080604999998</v>
      </c>
      <c r="B2">
        <v>0.20506937883210935</v>
      </c>
      <c r="C2">
        <f t="shared" ref="C2:C40" si="0">$H$3*(1+$H$1)*(A2^($H$1))*EXP(-$H$3*(A2^(1+$H$1)))</f>
        <v>0.30713011844743104</v>
      </c>
      <c r="D2">
        <f t="shared" ref="D2:D40" si="1">B2-C2</f>
        <v>-0.10206073961532169</v>
      </c>
      <c r="E2">
        <f t="shared" ref="E2:E40" si="2">D2^2</f>
        <v>1.0416394570826494E-2</v>
      </c>
    </row>
    <row r="3" spans="1:8" x14ac:dyDescent="0.25">
      <c r="A3">
        <v>0.49008790475000003</v>
      </c>
      <c r="B3">
        <v>0.26366062992699774</v>
      </c>
      <c r="C3">
        <f t="shared" si="0"/>
        <v>0.36662120937224285</v>
      </c>
      <c r="D3">
        <f t="shared" si="1"/>
        <v>-0.10296057944524512</v>
      </c>
      <c r="E3">
        <f t="shared" si="2"/>
        <v>1.0600880919700632E-2</v>
      </c>
      <c r="G3" t="s">
        <v>1</v>
      </c>
      <c r="H3">
        <f>(_xlfn.GAMMA((2+$H$1)/(1+$H$1)))^(1+$H$1)</f>
        <v>0.68718090497157069</v>
      </c>
    </row>
    <row r="4" spans="1:8" x14ac:dyDescent="0.25">
      <c r="A4">
        <v>0.52440500345000007</v>
      </c>
      <c r="B4">
        <v>0.37901215552005924</v>
      </c>
      <c r="C4">
        <f t="shared" si="0"/>
        <v>0.43102222582786687</v>
      </c>
      <c r="D4">
        <f t="shared" si="1"/>
        <v>-5.2010070307807632E-2</v>
      </c>
      <c r="E4">
        <f t="shared" si="2"/>
        <v>2.705047413423093E-3</v>
      </c>
    </row>
    <row r="5" spans="1:8" x14ac:dyDescent="0.25">
      <c r="A5">
        <v>0.55872210214999996</v>
      </c>
      <c r="B5">
        <v>0.45774414917881551</v>
      </c>
      <c r="C5">
        <f t="shared" si="0"/>
        <v>0.49975103489798667</v>
      </c>
      <c r="D5">
        <f t="shared" si="1"/>
        <v>-4.2006885719171161E-2</v>
      </c>
      <c r="E5">
        <f t="shared" si="2"/>
        <v>1.7645784478235061E-3</v>
      </c>
      <c r="G5" t="s">
        <v>2</v>
      </c>
      <c r="H5">
        <f>SUM(E1:E40)</f>
        <v>1.1152022997965605</v>
      </c>
    </row>
    <row r="6" spans="1:8" x14ac:dyDescent="0.25">
      <c r="A6">
        <v>0.59303920085000006</v>
      </c>
      <c r="B6">
        <v>0.62619399607661963</v>
      </c>
      <c r="C6">
        <f t="shared" si="0"/>
        <v>0.57204943033761524</v>
      </c>
      <c r="D6">
        <f t="shared" si="1"/>
        <v>5.4144565739004391E-2</v>
      </c>
      <c r="E6">
        <f t="shared" si="2"/>
        <v>2.9316339990653681E-3</v>
      </c>
    </row>
    <row r="7" spans="1:8" x14ac:dyDescent="0.25">
      <c r="A7">
        <v>0.62735629954999994</v>
      </c>
      <c r="B7">
        <v>0.92464318134120738</v>
      </c>
      <c r="C7">
        <f t="shared" si="0"/>
        <v>0.6469794353919317</v>
      </c>
      <c r="D7">
        <f t="shared" si="1"/>
        <v>0.27766374594927568</v>
      </c>
      <c r="E7">
        <f t="shared" si="2"/>
        <v>7.7097155814583901E-2</v>
      </c>
    </row>
    <row r="8" spans="1:8" x14ac:dyDescent="0.25">
      <c r="A8">
        <v>0.66167339825000004</v>
      </c>
      <c r="B8">
        <v>0.99422029201638729</v>
      </c>
      <c r="C8">
        <f t="shared" si="0"/>
        <v>0.72342592642538905</v>
      </c>
      <c r="D8">
        <f t="shared" si="1"/>
        <v>0.27079436559099823</v>
      </c>
      <c r="E8">
        <f t="shared" si="2"/>
        <v>7.3329588435831206E-2</v>
      </c>
    </row>
    <row r="9" spans="1:8" x14ac:dyDescent="0.25">
      <c r="A9">
        <v>0.69599049694999993</v>
      </c>
      <c r="B9">
        <v>1.0106990813868246</v>
      </c>
      <c r="C9">
        <f t="shared" si="0"/>
        <v>0.80010686648737672</v>
      </c>
      <c r="D9">
        <f t="shared" si="1"/>
        <v>0.2105922148994479</v>
      </c>
      <c r="E9">
        <f t="shared" si="2"/>
        <v>4.4349080976255249E-2</v>
      </c>
    </row>
    <row r="10" spans="1:8" x14ac:dyDescent="0.25">
      <c r="A10">
        <v>0.73030759565000003</v>
      </c>
      <c r="B10">
        <v>1.1406984197536083</v>
      </c>
      <c r="C10">
        <f t="shared" si="0"/>
        <v>0.87559223844729928</v>
      </c>
      <c r="D10">
        <f t="shared" si="1"/>
        <v>0.26510618130630903</v>
      </c>
      <c r="E10">
        <f t="shared" si="2"/>
        <v>7.0281287366813591E-2</v>
      </c>
    </row>
    <row r="11" spans="1:8" x14ac:dyDescent="0.25">
      <c r="A11">
        <v>0.76462469435000002</v>
      </c>
      <c r="B11">
        <v>1.0345017771441232</v>
      </c>
      <c r="C11">
        <f t="shared" si="0"/>
        <v>0.94833243913687637</v>
      </c>
      <c r="D11">
        <f t="shared" si="1"/>
        <v>8.6169338007246798E-2</v>
      </c>
      <c r="E11">
        <f t="shared" si="2"/>
        <v>7.425154812607148E-3</v>
      </c>
    </row>
    <row r="12" spans="1:8" x14ac:dyDescent="0.25">
      <c r="A12">
        <v>0.79894179305000002</v>
      </c>
      <c r="B12">
        <v>1.2871765474908292</v>
      </c>
      <c r="C12">
        <f t="shared" si="0"/>
        <v>1.0166964313893478</v>
      </c>
      <c r="D12">
        <f t="shared" si="1"/>
        <v>0.27048011610148137</v>
      </c>
      <c r="E12">
        <f t="shared" si="2"/>
        <v>7.315949320627084E-2</v>
      </c>
    </row>
    <row r="13" spans="1:8" x14ac:dyDescent="0.25">
      <c r="A13">
        <v>0.83325889175000001</v>
      </c>
      <c r="B13">
        <v>1.3512607283758633</v>
      </c>
      <c r="C13">
        <f t="shared" si="0"/>
        <v>1.0790193543043218</v>
      </c>
      <c r="D13">
        <f t="shared" si="1"/>
        <v>0.27224137407154148</v>
      </c>
      <c r="E13">
        <f t="shared" si="2"/>
        <v>7.4115365756360976E-2</v>
      </c>
    </row>
    <row r="14" spans="1:8" x14ac:dyDescent="0.25">
      <c r="A14">
        <v>0.86757599045</v>
      </c>
      <c r="B14">
        <v>1.2761906879105376</v>
      </c>
      <c r="C14">
        <f t="shared" si="0"/>
        <v>1.1336585830201278</v>
      </c>
      <c r="D14">
        <f t="shared" si="1"/>
        <v>0.14253210489040979</v>
      </c>
      <c r="E14">
        <f t="shared" si="2"/>
        <v>2.031540092449078E-2</v>
      </c>
    </row>
    <row r="15" spans="1:8" x14ac:dyDescent="0.25">
      <c r="A15">
        <v>0.90189308914999999</v>
      </c>
      <c r="B15">
        <v>1.1937967410583508</v>
      </c>
      <c r="C15">
        <f t="shared" si="0"/>
        <v>1.1790564447549612</v>
      </c>
      <c r="D15">
        <f t="shared" si="1"/>
        <v>1.4740296303389577E-2</v>
      </c>
      <c r="E15">
        <f t="shared" si="2"/>
        <v>2.1727633511172043E-4</v>
      </c>
    </row>
    <row r="16" spans="1:8" x14ac:dyDescent="0.25">
      <c r="A16">
        <v>0.93621018784999999</v>
      </c>
      <c r="B16">
        <v>1.4318236986313349</v>
      </c>
      <c r="C16">
        <f t="shared" si="0"/>
        <v>1.2138069931105859</v>
      </c>
      <c r="D16">
        <f t="shared" si="1"/>
        <v>0.21801670552074892</v>
      </c>
      <c r="E16">
        <f t="shared" si="2"/>
        <v>4.7531283886120955E-2</v>
      </c>
    </row>
    <row r="17" spans="1:5" x14ac:dyDescent="0.25">
      <c r="A17">
        <v>0.97052728654999998</v>
      </c>
      <c r="B17">
        <v>1.347598775182433</v>
      </c>
      <c r="C17">
        <f t="shared" si="0"/>
        <v>1.236723489556774</v>
      </c>
      <c r="D17">
        <f t="shared" si="1"/>
        <v>0.11087528562565896</v>
      </c>
      <c r="E17">
        <f t="shared" si="2"/>
        <v>1.2293328962571456E-2</v>
      </c>
    </row>
    <row r="18" spans="1:5" x14ac:dyDescent="0.25">
      <c r="A18">
        <v>1.00484438525</v>
      </c>
      <c r="B18">
        <v>1.5764708497718407</v>
      </c>
      <c r="C18">
        <f t="shared" si="0"/>
        <v>1.2469026240229519</v>
      </c>
      <c r="D18">
        <f t="shared" si="1"/>
        <v>0.32956822574888878</v>
      </c>
      <c r="E18">
        <f t="shared" si="2"/>
        <v>0.10861521542327052</v>
      </c>
    </row>
    <row r="19" spans="1:5" x14ac:dyDescent="0.25">
      <c r="A19">
        <v>1.0391614839500001</v>
      </c>
      <c r="B19">
        <v>1.4171758858576129</v>
      </c>
      <c r="C19">
        <f t="shared" si="0"/>
        <v>1.2437811152036649</v>
      </c>
      <c r="D19">
        <f t="shared" si="1"/>
        <v>0.17339477065394804</v>
      </c>
      <c r="E19">
        <f t="shared" si="2"/>
        <v>3.0065746490135239E-2</v>
      </c>
    </row>
    <row r="20" spans="1:5" x14ac:dyDescent="0.25">
      <c r="A20">
        <v>1.07347858265</v>
      </c>
      <c r="B20">
        <v>1.1535152559306152</v>
      </c>
      <c r="C20">
        <f t="shared" si="0"/>
        <v>1.227180250255868</v>
      </c>
      <c r="D20">
        <f t="shared" si="1"/>
        <v>-7.3664994325252753E-2</v>
      </c>
      <c r="E20">
        <f t="shared" si="2"/>
        <v>5.4265313889395204E-3</v>
      </c>
    </row>
    <row r="21" spans="1:5" x14ac:dyDescent="0.25">
      <c r="A21">
        <v>1.1077956813499998</v>
      </c>
      <c r="B21">
        <v>1.1278815835766014</v>
      </c>
      <c r="C21">
        <f t="shared" si="0"/>
        <v>1.1973342207500313</v>
      </c>
      <c r="D21">
        <f t="shared" si="1"/>
        <v>-6.9452637173429865E-2</v>
      </c>
      <c r="E21">
        <f t="shared" si="2"/>
        <v>4.8236688103440919E-3</v>
      </c>
    </row>
    <row r="22" spans="1:5" x14ac:dyDescent="0.25">
      <c r="A22">
        <v>1.1421127800500002</v>
      </c>
      <c r="B22">
        <v>1.0564734963047062</v>
      </c>
      <c r="C22">
        <f t="shared" si="0"/>
        <v>1.1548988249050391</v>
      </c>
      <c r="D22">
        <f t="shared" si="1"/>
        <v>-9.8425328600332929E-2</v>
      </c>
      <c r="E22">
        <f t="shared" si="2"/>
        <v>9.687545310083515E-3</v>
      </c>
    </row>
    <row r="23" spans="1:5" x14ac:dyDescent="0.25">
      <c r="A23">
        <v>1.17642987875</v>
      </c>
      <c r="B23">
        <v>0.87886876642332579</v>
      </c>
      <c r="C23">
        <f t="shared" si="0"/>
        <v>1.1009382316176646</v>
      </c>
      <c r="D23">
        <f t="shared" si="1"/>
        <v>-0.22206946519433879</v>
      </c>
      <c r="E23">
        <f t="shared" si="2"/>
        <v>4.9314847371699645E-2</v>
      </c>
    </row>
    <row r="24" spans="1:5" x14ac:dyDescent="0.25">
      <c r="A24">
        <v>1.2107469774499999</v>
      </c>
      <c r="B24">
        <v>0.80013677276456951</v>
      </c>
      <c r="C24">
        <f t="shared" si="0"/>
        <v>1.0368889860711719</v>
      </c>
      <c r="D24">
        <f t="shared" si="1"/>
        <v>-0.23675221330660234</v>
      </c>
      <c r="E24">
        <f t="shared" si="2"/>
        <v>5.6051610505574938E-2</v>
      </c>
    </row>
    <row r="25" spans="1:5" x14ac:dyDescent="0.25">
      <c r="A25">
        <v>1.2450640761499998</v>
      </c>
      <c r="B25">
        <v>0.63168692586676545</v>
      </c>
      <c r="C25">
        <f t="shared" si="0"/>
        <v>0.96450217372199376</v>
      </c>
      <c r="D25">
        <f t="shared" si="1"/>
        <v>-0.33281524785522831</v>
      </c>
      <c r="E25">
        <f t="shared" si="2"/>
        <v>0.11076598920493705</v>
      </c>
    </row>
    <row r="26" spans="1:5" x14ac:dyDescent="0.25">
      <c r="A26">
        <v>1.2793811748500001</v>
      </c>
      <c r="B26">
        <v>0.69943305994523008</v>
      </c>
      <c r="C26">
        <f t="shared" si="0"/>
        <v>0.88576649537206731</v>
      </c>
      <c r="D26">
        <f t="shared" si="1"/>
        <v>-0.18633343542683722</v>
      </c>
      <c r="E26">
        <f t="shared" si="2"/>
        <v>3.4720149157967319E-2</v>
      </c>
    </row>
    <row r="27" spans="1:5" x14ac:dyDescent="0.25">
      <c r="A27">
        <v>1.31369827355</v>
      </c>
      <c r="B27">
        <v>0.63534887906019599</v>
      </c>
      <c r="C27">
        <f t="shared" si="0"/>
        <v>0.80281675223605065</v>
      </c>
      <c r="D27">
        <f t="shared" si="1"/>
        <v>-0.16746787317585465</v>
      </c>
      <c r="E27">
        <f t="shared" si="2"/>
        <v>2.8045488546044137E-2</v>
      </c>
    </row>
    <row r="28" spans="1:5" x14ac:dyDescent="0.25">
      <c r="A28">
        <v>1.3480153722499999</v>
      </c>
      <c r="B28">
        <v>0.54746200241786336</v>
      </c>
      <c r="C28">
        <f t="shared" si="0"/>
        <v>0.71783369391990293</v>
      </c>
      <c r="D28">
        <f t="shared" si="1"/>
        <v>-0.17037169150203957</v>
      </c>
      <c r="E28">
        <f t="shared" si="2"/>
        <v>2.9026513265266143E-2</v>
      </c>
    </row>
    <row r="29" spans="1:5" x14ac:dyDescent="0.25">
      <c r="A29">
        <v>1.38233247095</v>
      </c>
      <c r="B29">
        <v>0.46689903216239181</v>
      </c>
      <c r="C29">
        <f t="shared" si="0"/>
        <v>0.63294215430587963</v>
      </c>
      <c r="D29">
        <f t="shared" si="1"/>
        <v>-0.16604312214348782</v>
      </c>
      <c r="E29">
        <f t="shared" si="2"/>
        <v>2.7570318411157216E-2</v>
      </c>
    </row>
    <row r="30" spans="1:5" x14ac:dyDescent="0.25">
      <c r="A30">
        <v>1.4166495696500001</v>
      </c>
      <c r="B30">
        <v>0.41563168745436452</v>
      </c>
      <c r="C30">
        <f t="shared" si="0"/>
        <v>0.5501147423181626</v>
      </c>
      <c r="D30">
        <f t="shared" si="1"/>
        <v>-0.13448305486379808</v>
      </c>
      <c r="E30">
        <f t="shared" si="2"/>
        <v>1.8085692045499323E-2</v>
      </c>
    </row>
    <row r="31" spans="1:5" x14ac:dyDescent="0.25">
      <c r="A31">
        <v>1.45096666835</v>
      </c>
      <c r="B31">
        <v>0.42295559384122555</v>
      </c>
      <c r="C31">
        <f t="shared" si="0"/>
        <v>0.47108798607907387</v>
      </c>
      <c r="D31">
        <f t="shared" si="1"/>
        <v>-4.813239223784832E-2</v>
      </c>
      <c r="E31">
        <f t="shared" si="2"/>
        <v>2.3167271825380812E-3</v>
      </c>
    </row>
    <row r="32" spans="1:5" x14ac:dyDescent="0.25">
      <c r="A32">
        <v>1.4852837670499999</v>
      </c>
      <c r="B32">
        <v>0.45042024279195447</v>
      </c>
      <c r="C32">
        <f t="shared" si="0"/>
        <v>0.39729675618362076</v>
      </c>
      <c r="D32">
        <f t="shared" si="1"/>
        <v>5.3123486608333714E-2</v>
      </c>
      <c r="E32">
        <f t="shared" si="2"/>
        <v>2.8221048294258116E-3</v>
      </c>
    </row>
    <row r="33" spans="1:5" x14ac:dyDescent="0.25">
      <c r="A33">
        <v>1.51960086575</v>
      </c>
      <c r="B33">
        <v>0.31309699803830982</v>
      </c>
      <c r="C33">
        <f t="shared" si="0"/>
        <v>0.32983111593368747</v>
      </c>
      <c r="D33">
        <f t="shared" si="1"/>
        <v>-1.6734117895377654E-2</v>
      </c>
      <c r="E33">
        <f t="shared" si="2"/>
        <v>2.8003070173639866E-4</v>
      </c>
    </row>
    <row r="34" spans="1:5" x14ac:dyDescent="0.25">
      <c r="A34">
        <v>1.5539179644499999</v>
      </c>
      <c r="B34">
        <v>0.28929430228101138</v>
      </c>
      <c r="C34">
        <f t="shared" si="0"/>
        <v>0.26941764760646458</v>
      </c>
      <c r="D34">
        <f t="shared" si="1"/>
        <v>1.9876654674546801E-2</v>
      </c>
      <c r="E34">
        <f t="shared" si="2"/>
        <v>3.9508140105118318E-4</v>
      </c>
    </row>
    <row r="35" spans="1:5" x14ac:dyDescent="0.25">
      <c r="A35">
        <v>1.58823506315</v>
      </c>
      <c r="B35">
        <v>0.32225188102188612</v>
      </c>
      <c r="C35">
        <f t="shared" si="0"/>
        <v>0.21642503055972856</v>
      </c>
      <c r="D35">
        <f t="shared" si="1"/>
        <v>0.10582685046215756</v>
      </c>
      <c r="E35">
        <f t="shared" si="2"/>
        <v>1.1199322278739859E-2</v>
      </c>
    </row>
    <row r="36" spans="1:5" x14ac:dyDescent="0.25">
      <c r="A36">
        <v>1.6225521618499998</v>
      </c>
      <c r="B36">
        <v>0.28380137249086562</v>
      </c>
      <c r="C36">
        <f t="shared" si="0"/>
        <v>0.170891472969467</v>
      </c>
      <c r="D36">
        <f t="shared" si="1"/>
        <v>0.11290989952139863</v>
      </c>
      <c r="E36">
        <f t="shared" si="2"/>
        <v>1.2748645409932334E-2</v>
      </c>
    </row>
    <row r="37" spans="1:5" x14ac:dyDescent="0.25">
      <c r="A37">
        <v>1.6568692605500002</v>
      </c>
      <c r="B37">
        <v>0.17760472988138043</v>
      </c>
      <c r="C37">
        <f t="shared" si="0"/>
        <v>0.13256978434989267</v>
      </c>
      <c r="D37">
        <f t="shared" si="1"/>
        <v>4.5034945531487763E-2</v>
      </c>
      <c r="E37">
        <f t="shared" si="2"/>
        <v>2.0281463190240695E-3</v>
      </c>
    </row>
    <row r="38" spans="1:5" x14ac:dyDescent="0.25">
      <c r="A38">
        <v>1.69118635925</v>
      </c>
      <c r="B38">
        <v>0.19957644904196356</v>
      </c>
      <c r="C38">
        <f t="shared" si="0"/>
        <v>0.10098462709373247</v>
      </c>
      <c r="D38">
        <f t="shared" si="1"/>
        <v>9.8591821948231087E-2</v>
      </c>
      <c r="E38">
        <f t="shared" si="2"/>
        <v>9.7203473550717019E-3</v>
      </c>
    </row>
    <row r="39" spans="1:5" x14ac:dyDescent="0.25">
      <c r="A39">
        <v>1.7255034579499999</v>
      </c>
      <c r="B39">
        <v>0.15197105752736675</v>
      </c>
      <c r="C39">
        <f t="shared" si="0"/>
        <v>7.5495923291257511E-2</v>
      </c>
      <c r="D39">
        <f t="shared" si="1"/>
        <v>7.6475134236109243E-2</v>
      </c>
      <c r="E39">
        <f t="shared" si="2"/>
        <v>5.8484461564309283E-3</v>
      </c>
    </row>
    <row r="40" spans="1:5" x14ac:dyDescent="0.25">
      <c r="A40">
        <v>1.7598205566499998</v>
      </c>
      <c r="B40">
        <v>0.10253468941605468</v>
      </c>
      <c r="C40">
        <f t="shared" si="0"/>
        <v>5.5362537382623117E-2</v>
      </c>
      <c r="D40">
        <f t="shared" si="1"/>
        <v>4.7172152033431558E-2</v>
      </c>
      <c r="E40">
        <f t="shared" si="2"/>
        <v>2.225211927465181E-3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E6947-23E3-4C5F-98E2-F7BC3F877A62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0.48823126823749996</v>
      </c>
      <c r="B1">
        <v>0.10574101703797846</v>
      </c>
      <c r="C1">
        <f>$H$3*(1+$H$1)*(A1^($H$1))*EXP(-$H$3*(A1^(1+$H$1)))</f>
        <v>0.27746794328131175</v>
      </c>
      <c r="D1">
        <f>B1-C1</f>
        <v>-0.1717269262433333</v>
      </c>
      <c r="E1">
        <f>D1^2</f>
        <v>2.9490137196983235E-2</v>
      </c>
      <c r="G1" t="s">
        <v>0</v>
      </c>
      <c r="H1">
        <v>3.177332712980816</v>
      </c>
    </row>
    <row r="2" spans="1:8" x14ac:dyDescent="0.25">
      <c r="A2">
        <v>0.5179424467125</v>
      </c>
      <c r="B2">
        <v>0.25377844089114832</v>
      </c>
      <c r="C2">
        <f t="shared" ref="C2:C40" si="0">$H$3*(1+$H$1)*(A2^($H$1))*EXP(-$H$3*(A2^(1+$H$1)))</f>
        <v>0.33162997402253103</v>
      </c>
      <c r="D2">
        <f t="shared" ref="D2:D40" si="1">B2-C2</f>
        <v>-7.7851533131382711E-2</v>
      </c>
      <c r="E2">
        <f t="shared" ref="E2:E40" si="2">D2^2</f>
        <v>6.0608612109067797E-3</v>
      </c>
    </row>
    <row r="3" spans="1:8" x14ac:dyDescent="0.25">
      <c r="A3">
        <v>0.54765362518749994</v>
      </c>
      <c r="B3">
        <v>0.27069700361722487</v>
      </c>
      <c r="C3">
        <f t="shared" si="0"/>
        <v>0.39150005575083752</v>
      </c>
      <c r="D3">
        <f t="shared" si="1"/>
        <v>-0.12080305213361264</v>
      </c>
      <c r="E3">
        <f t="shared" si="2"/>
        <v>1.4593377404796335E-2</v>
      </c>
      <c r="G3" t="s">
        <v>1</v>
      </c>
      <c r="H3">
        <f>(_xlfn.GAMMA((2+$H$1)/(1+$H$1)))^(1+$H$1)</f>
        <v>0.67022108943443792</v>
      </c>
    </row>
    <row r="4" spans="1:8" x14ac:dyDescent="0.25">
      <c r="A4">
        <v>0.57736480366250009</v>
      </c>
      <c r="B4">
        <v>0.39335658338127988</v>
      </c>
      <c r="C4">
        <f t="shared" si="0"/>
        <v>0.45690156851502584</v>
      </c>
      <c r="D4">
        <f t="shared" si="1"/>
        <v>-6.3544985133745957E-2</v>
      </c>
      <c r="E4">
        <f t="shared" si="2"/>
        <v>4.0379651356479947E-3</v>
      </c>
    </row>
    <row r="5" spans="1:8" x14ac:dyDescent="0.25">
      <c r="A5">
        <v>0.60707598213750003</v>
      </c>
      <c r="B5">
        <v>0.50755688178229663</v>
      </c>
      <c r="C5">
        <f t="shared" si="0"/>
        <v>0.52750010599286778</v>
      </c>
      <c r="D5">
        <f t="shared" si="1"/>
        <v>-1.9943224210571153E-2</v>
      </c>
      <c r="E5">
        <f t="shared" si="2"/>
        <v>3.9773219191311141E-4</v>
      </c>
      <c r="G5" t="s">
        <v>2</v>
      </c>
      <c r="H5">
        <f>SUM(E1:E40)</f>
        <v>1.4072496315239456</v>
      </c>
    </row>
    <row r="6" spans="1:8" x14ac:dyDescent="0.25">
      <c r="A6">
        <v>0.63678716061249996</v>
      </c>
      <c r="B6">
        <v>0.61118307847951547</v>
      </c>
      <c r="C6">
        <f t="shared" si="0"/>
        <v>0.6027847685625346</v>
      </c>
      <c r="D6">
        <f t="shared" si="1"/>
        <v>8.3983099169808728E-3</v>
      </c>
      <c r="E6">
        <f t="shared" si="2"/>
        <v>7.0531609461659274E-5</v>
      </c>
    </row>
    <row r="7" spans="1:8" x14ac:dyDescent="0.25">
      <c r="A7">
        <v>0.6664983390875</v>
      </c>
      <c r="B7">
        <v>0.90091346516357651</v>
      </c>
      <c r="C7">
        <f t="shared" si="0"/>
        <v>0.68205216661053081</v>
      </c>
      <c r="D7">
        <f t="shared" si="1"/>
        <v>0.2188612985530457</v>
      </c>
      <c r="E7">
        <f t="shared" si="2"/>
        <v>4.7900268004325404E-2</v>
      </c>
    </row>
    <row r="8" spans="1:8" x14ac:dyDescent="0.25">
      <c r="A8">
        <v>0.69620951756250005</v>
      </c>
      <c r="B8">
        <v>1.1758401094623205</v>
      </c>
      <c r="C8">
        <f t="shared" si="0"/>
        <v>0.7643946888660258</v>
      </c>
      <c r="D8">
        <f t="shared" si="1"/>
        <v>0.41144542059629474</v>
      </c>
      <c r="E8">
        <f t="shared" si="2"/>
        <v>0.16928733412966188</v>
      </c>
    </row>
    <row r="9" spans="1:8" x14ac:dyDescent="0.25">
      <c r="A9">
        <v>0.72592069603749998</v>
      </c>
      <c r="B9">
        <v>1.0912472958319377</v>
      </c>
      <c r="C9">
        <f t="shared" si="0"/>
        <v>0.84869475890544688</v>
      </c>
      <c r="D9">
        <f t="shared" si="1"/>
        <v>0.24255253692649081</v>
      </c>
      <c r="E9">
        <f t="shared" si="2"/>
        <v>5.8831733169476687E-2</v>
      </c>
    </row>
    <row r="10" spans="1:8" x14ac:dyDescent="0.25">
      <c r="A10">
        <v>0.75563187451249991</v>
      </c>
      <c r="B10">
        <v>1.2308254383220694</v>
      </c>
      <c r="C10">
        <f t="shared" si="0"/>
        <v>0.93362688972398633</v>
      </c>
      <c r="D10">
        <f t="shared" si="1"/>
        <v>0.29719854859808303</v>
      </c>
      <c r="E10">
        <f t="shared" si="2"/>
        <v>8.8326977288807118E-2</v>
      </c>
    </row>
    <row r="11" spans="1:8" x14ac:dyDescent="0.25">
      <c r="A11">
        <v>0.78534305298750007</v>
      </c>
      <c r="B11">
        <v>1.2265957976405502</v>
      </c>
      <c r="C11">
        <f t="shared" si="0"/>
        <v>1.0176693157246623</v>
      </c>
      <c r="D11">
        <f t="shared" si="1"/>
        <v>0.20892648191588781</v>
      </c>
      <c r="E11">
        <f t="shared" si="2"/>
        <v>4.3650274845749792E-2</v>
      </c>
    </row>
    <row r="12" spans="1:8" x14ac:dyDescent="0.25">
      <c r="A12">
        <v>0.8150542314625</v>
      </c>
      <c r="B12">
        <v>1.3577146587676434</v>
      </c>
      <c r="C12">
        <f t="shared" si="0"/>
        <v>1.0991267972882361</v>
      </c>
      <c r="D12">
        <f t="shared" si="1"/>
        <v>0.25858786147940727</v>
      </c>
      <c r="E12">
        <f t="shared" si="2"/>
        <v>6.686768210449312E-2</v>
      </c>
    </row>
    <row r="13" spans="1:8" x14ac:dyDescent="0.25">
      <c r="A13">
        <v>0.84476540993749993</v>
      </c>
      <c r="B13">
        <v>1.5374743877322068</v>
      </c>
      <c r="C13">
        <f t="shared" si="0"/>
        <v>1.1761658225311786</v>
      </c>
      <c r="D13">
        <f t="shared" si="1"/>
        <v>0.36130856520102816</v>
      </c>
      <c r="E13">
        <f t="shared" si="2"/>
        <v>0.13054387928762562</v>
      </c>
    </row>
    <row r="14" spans="1:8" x14ac:dyDescent="0.25">
      <c r="A14">
        <v>0.87447658841249998</v>
      </c>
      <c r="B14">
        <v>1.5205558250061302</v>
      </c>
      <c r="C14">
        <f t="shared" si="0"/>
        <v>1.2468628503763284</v>
      </c>
      <c r="D14">
        <f t="shared" si="1"/>
        <v>0.2736929746298018</v>
      </c>
      <c r="E14">
        <f t="shared" si="2"/>
        <v>7.490784436170933E-2</v>
      </c>
    </row>
    <row r="15" spans="1:8" x14ac:dyDescent="0.25">
      <c r="A15">
        <v>0.90418776688750002</v>
      </c>
      <c r="B15">
        <v>1.3809776825159987</v>
      </c>
      <c r="C15">
        <f t="shared" si="0"/>
        <v>1.3092654408091402</v>
      </c>
      <c r="D15">
        <f t="shared" si="1"/>
        <v>7.1712241706858526E-2</v>
      </c>
      <c r="E15">
        <f t="shared" si="2"/>
        <v>5.1426456106228998E-3</v>
      </c>
    </row>
    <row r="16" spans="1:8" x14ac:dyDescent="0.25">
      <c r="A16">
        <v>0.93389894536250007</v>
      </c>
      <c r="B16">
        <v>1.4571112147833432</v>
      </c>
      <c r="C16">
        <f t="shared" si="0"/>
        <v>1.3614651169515879</v>
      </c>
      <c r="D16">
        <f t="shared" si="1"/>
        <v>9.5646097831755261E-2</v>
      </c>
      <c r="E16">
        <f t="shared" si="2"/>
        <v>9.1481760304416987E-3</v>
      </c>
    </row>
    <row r="17" spans="1:5" x14ac:dyDescent="0.25">
      <c r="A17">
        <v>0.96361012383750011</v>
      </c>
      <c r="B17">
        <v>1.5924597165919556</v>
      </c>
      <c r="C17">
        <f t="shared" si="0"/>
        <v>1.401679643042272</v>
      </c>
      <c r="D17">
        <f t="shared" si="1"/>
        <v>0.19078007354968363</v>
      </c>
      <c r="E17">
        <f t="shared" si="2"/>
        <v>3.6397036463622696E-2</v>
      </c>
    </row>
    <row r="18" spans="1:5" x14ac:dyDescent="0.25">
      <c r="A18">
        <v>0.99332130231250004</v>
      </c>
      <c r="B18">
        <v>1.5691966928436003</v>
      </c>
      <c r="C18">
        <f t="shared" si="0"/>
        <v>1.4283411594906665</v>
      </c>
      <c r="D18">
        <f t="shared" si="1"/>
        <v>0.14085553335293377</v>
      </c>
      <c r="E18">
        <f t="shared" si="2"/>
        <v>1.9840281276139439E-2</v>
      </c>
    </row>
    <row r="19" spans="1:5" x14ac:dyDescent="0.25">
      <c r="A19">
        <v>1.0230324807875</v>
      </c>
      <c r="B19">
        <v>1.6833969912446169</v>
      </c>
      <c r="C19">
        <f t="shared" si="0"/>
        <v>1.440185401871469</v>
      </c>
      <c r="D19">
        <f t="shared" si="1"/>
        <v>0.24321158937314791</v>
      </c>
      <c r="E19">
        <f t="shared" si="2"/>
        <v>5.9151877205412713E-2</v>
      </c>
    </row>
    <row r="20" spans="1:5" x14ac:dyDescent="0.25">
      <c r="A20">
        <v>1.0527436592625001</v>
      </c>
      <c r="B20">
        <v>1.5374743877322068</v>
      </c>
      <c r="C20">
        <f t="shared" si="0"/>
        <v>1.4363361858771759</v>
      </c>
      <c r="D20">
        <f t="shared" si="1"/>
        <v>0.10113820185503086</v>
      </c>
      <c r="E20">
        <f t="shared" si="2"/>
        <v>1.0228935874468967E-2</v>
      </c>
    </row>
    <row r="21" spans="1:5" x14ac:dyDescent="0.25">
      <c r="A21">
        <v>1.0824548377375001</v>
      </c>
      <c r="B21">
        <v>1.3725184011529603</v>
      </c>
      <c r="C21">
        <f t="shared" si="0"/>
        <v>1.4163786250010004</v>
      </c>
      <c r="D21">
        <f t="shared" si="1"/>
        <v>-4.3860223848040114E-2</v>
      </c>
      <c r="E21">
        <f t="shared" si="2"/>
        <v>1.9237192360001868E-3</v>
      </c>
    </row>
    <row r="22" spans="1:5" x14ac:dyDescent="0.25">
      <c r="A22">
        <v>1.1121660162125</v>
      </c>
      <c r="B22">
        <v>1.3006145095671351</v>
      </c>
      <c r="C22">
        <f t="shared" si="0"/>
        <v>1.3804143242132849</v>
      </c>
      <c r="D22">
        <f t="shared" si="1"/>
        <v>-7.9799814646149825E-2</v>
      </c>
      <c r="E22">
        <f t="shared" si="2"/>
        <v>6.3680104175598681E-3</v>
      </c>
    </row>
    <row r="23" spans="1:5" x14ac:dyDescent="0.25">
      <c r="A23">
        <v>1.1418771946874999</v>
      </c>
      <c r="B23">
        <v>1.0722139127651016</v>
      </c>
      <c r="C23">
        <f t="shared" si="0"/>
        <v>1.3290922017939302</v>
      </c>
      <c r="D23">
        <f t="shared" si="1"/>
        <v>-0.25687828902882859</v>
      </c>
      <c r="E23">
        <f t="shared" si="2"/>
        <v>6.5986455374378403E-2</v>
      </c>
    </row>
    <row r="24" spans="1:5" x14ac:dyDescent="0.25">
      <c r="A24">
        <v>1.1715883731625001</v>
      </c>
      <c r="B24">
        <v>1.0278026856091507</v>
      </c>
      <c r="C24">
        <f t="shared" si="0"/>
        <v>1.2636097246066522</v>
      </c>
      <c r="D24">
        <f t="shared" si="1"/>
        <v>-0.23580703899750155</v>
      </c>
      <c r="E24">
        <f t="shared" si="2"/>
        <v>5.5604959640769218E-2</v>
      </c>
    </row>
    <row r="25" spans="1:5" x14ac:dyDescent="0.25">
      <c r="A25">
        <v>1.2012995516375002</v>
      </c>
      <c r="B25">
        <v>0.95589879402332523</v>
      </c>
      <c r="C25">
        <f t="shared" si="0"/>
        <v>1.1856812149057843</v>
      </c>
      <c r="D25">
        <f t="shared" si="1"/>
        <v>-0.22978242088245904</v>
      </c>
      <c r="E25">
        <f t="shared" si="2"/>
        <v>5.2799960946603545E-2</v>
      </c>
    </row>
    <row r="26" spans="1:5" x14ac:dyDescent="0.25">
      <c r="A26">
        <v>1.2310107301125002</v>
      </c>
      <c r="B26">
        <v>0.76979460403648314</v>
      </c>
      <c r="C26">
        <f t="shared" si="0"/>
        <v>1.0974724159833811</v>
      </c>
      <c r="D26">
        <f t="shared" si="1"/>
        <v>-0.32767781194689793</v>
      </c>
      <c r="E26">
        <f t="shared" si="2"/>
        <v>0.10737274844230661</v>
      </c>
    </row>
    <row r="27" spans="1:5" x14ac:dyDescent="0.25">
      <c r="A27">
        <v>1.2607219085875001</v>
      </c>
      <c r="B27">
        <v>0.78459834642180015</v>
      </c>
      <c r="C27">
        <f t="shared" si="0"/>
        <v>1.0015034963320169</v>
      </c>
      <c r="D27">
        <f t="shared" si="1"/>
        <v>-0.2169051499102167</v>
      </c>
      <c r="E27">
        <f t="shared" si="2"/>
        <v>4.7047844057573576E-2</v>
      </c>
    </row>
    <row r="28" spans="1:5" x14ac:dyDescent="0.25">
      <c r="A28">
        <v>1.2904330870625</v>
      </c>
      <c r="B28">
        <v>0.61752753950179418</v>
      </c>
      <c r="C28">
        <f t="shared" si="0"/>
        <v>0.90052582965263195</v>
      </c>
      <c r="D28">
        <f t="shared" si="1"/>
        <v>-0.28299829015083777</v>
      </c>
      <c r="E28">
        <f t="shared" si="2"/>
        <v>8.0088032228297759E-2</v>
      </c>
    </row>
    <row r="29" spans="1:5" x14ac:dyDescent="0.25">
      <c r="A29">
        <v>1.3201442655375</v>
      </c>
      <c r="B29">
        <v>0.64502020393166859</v>
      </c>
      <c r="C29">
        <f t="shared" si="0"/>
        <v>0.79738083420339168</v>
      </c>
      <c r="D29">
        <f t="shared" si="1"/>
        <v>-0.15236063027172309</v>
      </c>
      <c r="E29">
        <f t="shared" si="2"/>
        <v>2.32137616567967E-2</v>
      </c>
    </row>
    <row r="30" spans="1:5" x14ac:dyDescent="0.25">
      <c r="A30">
        <v>1.3498554440124999</v>
      </c>
      <c r="B30">
        <v>0.51601616314533483</v>
      </c>
      <c r="C30">
        <f t="shared" si="0"/>
        <v>0.69485148019847098</v>
      </c>
      <c r="D30">
        <f t="shared" si="1"/>
        <v>-0.17883531705313616</v>
      </c>
      <c r="E30">
        <f t="shared" si="2"/>
        <v>3.1982070625495733E-2</v>
      </c>
    </row>
    <row r="31" spans="1:5" x14ac:dyDescent="0.25">
      <c r="A31">
        <v>1.3795666224875001</v>
      </c>
      <c r="B31">
        <v>0.49275313939697962</v>
      </c>
      <c r="C31">
        <f t="shared" si="0"/>
        <v>0.59551839845480103</v>
      </c>
      <c r="D31">
        <f t="shared" si="1"/>
        <v>-0.10276525905782141</v>
      </c>
      <c r="E31">
        <f t="shared" si="2"/>
        <v>1.0560698469221147E-2</v>
      </c>
    </row>
    <row r="32" spans="1:5" x14ac:dyDescent="0.25">
      <c r="A32">
        <v>1.4092778009625002</v>
      </c>
      <c r="B32">
        <v>0.46737529530786481</v>
      </c>
      <c r="C32">
        <f t="shared" si="0"/>
        <v>0.50163256652306754</v>
      </c>
      <c r="D32">
        <f t="shared" si="1"/>
        <v>-3.4257271215202723E-2</v>
      </c>
      <c r="E32">
        <f t="shared" si="2"/>
        <v>1.1735606311119571E-3</v>
      </c>
    </row>
    <row r="33" spans="1:5" x14ac:dyDescent="0.25">
      <c r="A33">
        <v>1.4389889794375001</v>
      </c>
      <c r="B33">
        <v>0.43565299019647125</v>
      </c>
      <c r="C33">
        <f t="shared" si="0"/>
        <v>0.4150151916255041</v>
      </c>
      <c r="D33">
        <f t="shared" si="1"/>
        <v>2.0637798570967147E-2</v>
      </c>
      <c r="E33">
        <f t="shared" si="2"/>
        <v>4.2591872985581365E-4</v>
      </c>
    </row>
    <row r="34" spans="1:5" x14ac:dyDescent="0.25">
      <c r="A34">
        <v>1.4687001579125001</v>
      </c>
      <c r="B34">
        <v>0.39124176304052027</v>
      </c>
      <c r="C34">
        <f t="shared" si="0"/>
        <v>0.33699273889063974</v>
      </c>
      <c r="D34">
        <f t="shared" si="1"/>
        <v>5.4249024149880531E-2</v>
      </c>
      <c r="E34">
        <f t="shared" si="2"/>
        <v>2.9429566212143209E-3</v>
      </c>
    </row>
    <row r="35" spans="1:5" x14ac:dyDescent="0.25">
      <c r="A35">
        <v>1.4984113363875</v>
      </c>
      <c r="B35">
        <v>0.3277971528177332</v>
      </c>
      <c r="C35">
        <f t="shared" si="0"/>
        <v>0.26837136773896619</v>
      </c>
      <c r="D35">
        <f t="shared" si="1"/>
        <v>5.9425785078767002E-2</v>
      </c>
      <c r="E35">
        <f t="shared" si="2"/>
        <v>3.5314239322278068E-3</v>
      </c>
    </row>
    <row r="36" spans="1:5" x14ac:dyDescent="0.25">
      <c r="A36">
        <v>1.5281225148624999</v>
      </c>
      <c r="B36">
        <v>0.3299119731584928</v>
      </c>
      <c r="C36">
        <f t="shared" si="0"/>
        <v>0.20945081852748515</v>
      </c>
      <c r="D36">
        <f t="shared" si="1"/>
        <v>0.12046115463100765</v>
      </c>
      <c r="E36">
        <f t="shared" si="2"/>
        <v>1.4510889775035537E-2</v>
      </c>
    </row>
    <row r="37" spans="1:5" x14ac:dyDescent="0.25">
      <c r="A37">
        <v>1.5578336933374999</v>
      </c>
      <c r="B37">
        <v>0.23685987816507176</v>
      </c>
      <c r="C37">
        <f t="shared" si="0"/>
        <v>0.16007362380900764</v>
      </c>
      <c r="D37">
        <f t="shared" si="1"/>
        <v>7.6786254356064121E-2</v>
      </c>
      <c r="E37">
        <f t="shared" si="2"/>
        <v>5.8961288580341763E-3</v>
      </c>
    </row>
    <row r="38" spans="1:5" x14ac:dyDescent="0.25">
      <c r="A38">
        <v>1.5875448718125</v>
      </c>
      <c r="B38">
        <v>0.22840059680203348</v>
      </c>
      <c r="C38">
        <f t="shared" si="0"/>
        <v>0.11970199977042256</v>
      </c>
      <c r="D38">
        <f t="shared" si="1"/>
        <v>0.10869859703161092</v>
      </c>
      <c r="E38">
        <f t="shared" si="2"/>
        <v>1.1815384996640534E-2</v>
      </c>
    </row>
    <row r="39" spans="1:5" x14ac:dyDescent="0.25">
      <c r="A39">
        <v>1.6172560502875</v>
      </c>
      <c r="B39">
        <v>0.16918562726076553</v>
      </c>
      <c r="C39">
        <f t="shared" si="0"/>
        <v>8.7512398268923416E-2</v>
      </c>
      <c r="D39">
        <f t="shared" si="1"/>
        <v>8.1673228991842109E-2</v>
      </c>
      <c r="E39">
        <f t="shared" si="2"/>
        <v>6.670516333953878E-3</v>
      </c>
    </row>
    <row r="40" spans="1:5" x14ac:dyDescent="0.25">
      <c r="A40">
        <v>1.6469672287625001</v>
      </c>
      <c r="B40">
        <v>0.11208547806025716</v>
      </c>
      <c r="C40">
        <f t="shared" si="0"/>
        <v>6.2496768169769915E-2</v>
      </c>
      <c r="D40">
        <f t="shared" si="1"/>
        <v>4.9588709890487248E-2</v>
      </c>
      <c r="E40">
        <f t="shared" si="2"/>
        <v>2.4590401486029078E-3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E9C4-0E58-41E6-81E1-3D911909E6B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0.57244853427500009</v>
      </c>
      <c r="B1">
        <v>0.12184819933100703</v>
      </c>
      <c r="C1">
        <f>$H$3*(1+$H$1)*(A1^($H$1))*EXP(-$H$3*(A1^(1+$H$1)))</f>
        <v>0.31987304680565026</v>
      </c>
      <c r="D1">
        <f>B1-C1</f>
        <v>-0.19802484747464322</v>
      </c>
      <c r="E1">
        <f>D1^2</f>
        <v>3.921384021735571E-2</v>
      </c>
      <c r="G1" t="s">
        <v>0</v>
      </c>
      <c r="H1">
        <v>4.1396303031290476</v>
      </c>
    </row>
    <row r="2" spans="1:8" x14ac:dyDescent="0.25">
      <c r="A2">
        <v>0.59668515682500001</v>
      </c>
      <c r="B2">
        <v>0.2929541813702935</v>
      </c>
      <c r="C2">
        <f t="shared" ref="C2:C40" si="0">$H$3*(1+$H$1)*(A2^($H$1))*EXP(-$H$3*(A2^(1+$H$1)))</f>
        <v>0.37645545369887956</v>
      </c>
      <c r="D2">
        <f t="shared" ref="D2:D40" si="1">B2-C2</f>
        <v>-8.3501272328586063E-2</v>
      </c>
      <c r="E2">
        <f t="shared" ref="E2:E40" si="2">D2^2</f>
        <v>6.9724624804926921E-3</v>
      </c>
    </row>
    <row r="3" spans="1:8" x14ac:dyDescent="0.25">
      <c r="A3">
        <v>0.62092177937499993</v>
      </c>
      <c r="B3">
        <v>0.3214718450435079</v>
      </c>
      <c r="C3">
        <f t="shared" si="0"/>
        <v>0.43932182364624539</v>
      </c>
      <c r="D3">
        <f t="shared" si="1"/>
        <v>-0.11784997860273749</v>
      </c>
      <c r="E3">
        <f t="shared" si="2"/>
        <v>1.3888617456665685E-2</v>
      </c>
      <c r="G3" t="s">
        <v>1</v>
      </c>
      <c r="H3">
        <f>(_xlfn.GAMMA((2+$H$1)/(1+$H$1)))^(1+$H$1)</f>
        <v>0.65010385132340809</v>
      </c>
    </row>
    <row r="4" spans="1:8" x14ac:dyDescent="0.25">
      <c r="A4">
        <v>0.64515840192500007</v>
      </c>
      <c r="B4">
        <v>0.47961525268587873</v>
      </c>
      <c r="C4">
        <f t="shared" si="0"/>
        <v>0.50853365594283806</v>
      </c>
      <c r="D4">
        <f t="shared" si="1"/>
        <v>-2.8918403256959324E-2</v>
      </c>
      <c r="E4">
        <f t="shared" si="2"/>
        <v>8.3627404693211566E-4</v>
      </c>
    </row>
    <row r="5" spans="1:8" x14ac:dyDescent="0.25">
      <c r="A5">
        <v>0.66939502447499999</v>
      </c>
      <c r="B5">
        <v>0.53924309491169065</v>
      </c>
      <c r="C5">
        <f t="shared" si="0"/>
        <v>0.58401715598552928</v>
      </c>
      <c r="D5">
        <f t="shared" si="1"/>
        <v>-4.4774061073838634E-2</v>
      </c>
      <c r="E5">
        <f t="shared" si="2"/>
        <v>2.0047165450438318E-3</v>
      </c>
      <c r="G5" t="s">
        <v>2</v>
      </c>
      <c r="H5">
        <f>SUM(E1:E40)</f>
        <v>2.2282401815664405</v>
      </c>
    </row>
    <row r="6" spans="1:8" x14ac:dyDescent="0.25">
      <c r="A6">
        <v>0.69363164702499991</v>
      </c>
      <c r="B6">
        <v>0.72331165134789277</v>
      </c>
      <c r="C6">
        <f t="shared" si="0"/>
        <v>0.6655362217395141</v>
      </c>
      <c r="D6">
        <f t="shared" si="1"/>
        <v>5.777542960837867E-2</v>
      </c>
      <c r="E6">
        <f t="shared" si="2"/>
        <v>3.3380002664327186E-3</v>
      </c>
    </row>
    <row r="7" spans="1:8" x14ac:dyDescent="0.25">
      <c r="A7">
        <v>0.71786826957499994</v>
      </c>
      <c r="B7">
        <v>0.86071493995519854</v>
      </c>
      <c r="C7">
        <f t="shared" si="0"/>
        <v>0.75266505128140826</v>
      </c>
      <c r="D7">
        <f t="shared" si="1"/>
        <v>0.10804988867379028</v>
      </c>
      <c r="E7">
        <f t="shared" si="2"/>
        <v>1.1674778442418474E-2</v>
      </c>
    </row>
    <row r="8" spans="1:8" x14ac:dyDescent="0.25">
      <c r="A8">
        <v>0.74210489212499997</v>
      </c>
      <c r="B8">
        <v>1.2340370825863691</v>
      </c>
      <c r="C8">
        <f t="shared" si="0"/>
        <v>0.84476170599513545</v>
      </c>
      <c r="D8">
        <f t="shared" si="1"/>
        <v>0.38927537659123368</v>
      </c>
      <c r="E8">
        <f t="shared" si="2"/>
        <v>0.15153531882024679</v>
      </c>
    </row>
    <row r="9" spans="1:8" x14ac:dyDescent="0.25">
      <c r="A9">
        <v>0.766341514675</v>
      </c>
      <c r="B9">
        <v>1.4129206092638049</v>
      </c>
      <c r="C9">
        <f t="shared" si="0"/>
        <v>0.94094435120664743</v>
      </c>
      <c r="D9">
        <f t="shared" si="1"/>
        <v>0.47197625805715748</v>
      </c>
      <c r="E9">
        <f t="shared" si="2"/>
        <v>0.22276158816963651</v>
      </c>
    </row>
    <row r="10" spans="1:8" x14ac:dyDescent="0.25">
      <c r="A10">
        <v>0.79057813722500003</v>
      </c>
      <c r="B10">
        <v>1.4025505497462725</v>
      </c>
      <c r="C10">
        <f t="shared" si="0"/>
        <v>1.0400722864470526</v>
      </c>
      <c r="D10">
        <f t="shared" si="1"/>
        <v>0.36247826329921984</v>
      </c>
      <c r="E10">
        <f t="shared" si="2"/>
        <v>0.13139049136441855</v>
      </c>
    </row>
    <row r="11" spans="1:8" x14ac:dyDescent="0.25">
      <c r="A11">
        <v>0.81481475977499995</v>
      </c>
      <c r="B11">
        <v>1.5010661151628313</v>
      </c>
      <c r="C11">
        <f t="shared" si="0"/>
        <v>1.1407342342621274</v>
      </c>
      <c r="D11">
        <f t="shared" si="1"/>
        <v>0.36033188090070389</v>
      </c>
      <c r="E11">
        <f t="shared" si="2"/>
        <v>0.12983906439343906</v>
      </c>
    </row>
    <row r="12" spans="1:8" x14ac:dyDescent="0.25">
      <c r="A12">
        <v>0.83905138232499998</v>
      </c>
      <c r="B12">
        <v>1.6332843740113707</v>
      </c>
      <c r="C12">
        <f t="shared" si="0"/>
        <v>1.241246630151253</v>
      </c>
      <c r="D12">
        <f t="shared" si="1"/>
        <v>0.39203774386011769</v>
      </c>
      <c r="E12">
        <f t="shared" si="2"/>
        <v>0.15369359261093124</v>
      </c>
    </row>
    <row r="13" spans="1:8" x14ac:dyDescent="0.25">
      <c r="A13">
        <v>0.86328800487500001</v>
      </c>
      <c r="B13">
        <v>1.6410619186495201</v>
      </c>
      <c r="C13">
        <f t="shared" si="0"/>
        <v>1.3396647855152097</v>
      </c>
      <c r="D13">
        <f t="shared" si="1"/>
        <v>0.30139713313431038</v>
      </c>
      <c r="E13">
        <f t="shared" si="2"/>
        <v>9.0840231861581217E-2</v>
      </c>
    </row>
    <row r="14" spans="1:8" x14ac:dyDescent="0.25">
      <c r="A14">
        <v>0.88752462742499993</v>
      </c>
      <c r="B14">
        <v>1.921053525622898</v>
      </c>
      <c r="C14">
        <f t="shared" si="0"/>
        <v>1.4338097099582763</v>
      </c>
      <c r="D14">
        <f t="shared" si="1"/>
        <v>0.48724381566462172</v>
      </c>
      <c r="E14">
        <f t="shared" si="2"/>
        <v>0.23740653590341987</v>
      </c>
    </row>
    <row r="15" spans="1:8" x14ac:dyDescent="0.25">
      <c r="A15">
        <v>0.91176124997499997</v>
      </c>
      <c r="B15">
        <v>1.6695795823227346</v>
      </c>
      <c r="C15">
        <f t="shared" si="0"/>
        <v>1.5213130049364552</v>
      </c>
      <c r="D15">
        <f t="shared" si="1"/>
        <v>0.14826657738627946</v>
      </c>
      <c r="E15">
        <f t="shared" si="2"/>
        <v>2.1982977969841597E-2</v>
      </c>
    </row>
    <row r="16" spans="1:8" x14ac:dyDescent="0.25">
      <c r="A16">
        <v>0.935997872525</v>
      </c>
      <c r="B16">
        <v>1.7914277816537416</v>
      </c>
      <c r="C16">
        <f t="shared" si="0"/>
        <v>1.5996815091069643</v>
      </c>
      <c r="D16">
        <f t="shared" si="1"/>
        <v>0.19174627254677734</v>
      </c>
      <c r="E16">
        <f t="shared" si="2"/>
        <v>3.6766633035583016E-2</v>
      </c>
    </row>
    <row r="17" spans="1:5" x14ac:dyDescent="0.25">
      <c r="A17">
        <v>0.96023449507500003</v>
      </c>
      <c r="B17">
        <v>1.8121679006888067</v>
      </c>
      <c r="C17">
        <f t="shared" si="0"/>
        <v>1.6663822365330583</v>
      </c>
      <c r="D17">
        <f t="shared" si="1"/>
        <v>0.14578566415574845</v>
      </c>
      <c r="E17">
        <f t="shared" si="2"/>
        <v>2.1253459873332679E-2</v>
      </c>
    </row>
    <row r="18" spans="1:5" x14ac:dyDescent="0.25">
      <c r="A18">
        <v>0.98447111762500006</v>
      </c>
      <c r="B18">
        <v>1.8692032280352355</v>
      </c>
      <c r="C18">
        <f t="shared" si="0"/>
        <v>1.7189465858216024</v>
      </c>
      <c r="D18">
        <f t="shared" si="1"/>
        <v>0.15025664221363311</v>
      </c>
      <c r="E18">
        <f t="shared" si="2"/>
        <v>2.2577058529315751E-2</v>
      </c>
    </row>
    <row r="19" spans="1:5" x14ac:dyDescent="0.25">
      <c r="A19">
        <v>1.008707740175</v>
      </c>
      <c r="B19">
        <v>1.8458705941207874</v>
      </c>
      <c r="C19">
        <f t="shared" si="0"/>
        <v>1.7550908464852171</v>
      </c>
      <c r="D19">
        <f t="shared" si="1"/>
        <v>9.0779747635570285E-2</v>
      </c>
      <c r="E19">
        <f t="shared" si="2"/>
        <v>8.2409625807778279E-3</v>
      </c>
    </row>
    <row r="20" spans="1:5" x14ac:dyDescent="0.25">
      <c r="A20">
        <v>1.0329443627249999</v>
      </c>
      <c r="B20">
        <v>2.0662343588683534</v>
      </c>
      <c r="C20">
        <f t="shared" si="0"/>
        <v>1.7728477916181178</v>
      </c>
      <c r="D20">
        <f t="shared" si="1"/>
        <v>0.2933865672502356</v>
      </c>
      <c r="E20">
        <f t="shared" si="2"/>
        <v>8.6075677842877021E-2</v>
      </c>
    </row>
    <row r="21" spans="1:5" x14ac:dyDescent="0.25">
      <c r="A21">
        <v>1.057180985275</v>
      </c>
      <c r="B21">
        <v>1.7214298799103971</v>
      </c>
      <c r="C21">
        <f t="shared" si="0"/>
        <v>1.7707018067524474</v>
      </c>
      <c r="D21">
        <f t="shared" si="1"/>
        <v>-4.9271926842050284E-2</v>
      </c>
      <c r="E21">
        <f t="shared" si="2"/>
        <v>2.4277227747283555E-3</v>
      </c>
    </row>
    <row r="22" spans="1:5" x14ac:dyDescent="0.25">
      <c r="A22">
        <v>1.081417607825</v>
      </c>
      <c r="B22">
        <v>1.7758726923774428</v>
      </c>
      <c r="C22">
        <f t="shared" si="0"/>
        <v>1.7477178295360853</v>
      </c>
      <c r="D22">
        <f t="shared" si="1"/>
        <v>2.8154862841357486E-2</v>
      </c>
      <c r="E22">
        <f t="shared" si="2"/>
        <v>7.9269630161565255E-4</v>
      </c>
    </row>
    <row r="23" spans="1:5" x14ac:dyDescent="0.25">
      <c r="A23">
        <v>1.1056542303749999</v>
      </c>
      <c r="B23">
        <v>1.4673634217308507</v>
      </c>
      <c r="C23">
        <f t="shared" si="0"/>
        <v>1.7036527001981816</v>
      </c>
      <c r="D23">
        <f t="shared" si="1"/>
        <v>-0.23628927846733094</v>
      </c>
      <c r="E23">
        <f t="shared" si="2"/>
        <v>5.5832623118611868E-2</v>
      </c>
    </row>
    <row r="24" spans="1:5" x14ac:dyDescent="0.25">
      <c r="A24">
        <v>1.129890852925</v>
      </c>
      <c r="B24">
        <v>1.3299601331235449</v>
      </c>
      <c r="C24">
        <f t="shared" si="0"/>
        <v>1.6390367247616793</v>
      </c>
      <c r="D24">
        <f t="shared" si="1"/>
        <v>-0.30907659163813439</v>
      </c>
      <c r="E24">
        <f t="shared" si="2"/>
        <v>9.5528339498646087E-2</v>
      </c>
    </row>
    <row r="25" spans="1:5" x14ac:dyDescent="0.25">
      <c r="A25">
        <v>1.1541274754749999</v>
      </c>
      <c r="B25">
        <v>1.2807023504152653</v>
      </c>
      <c r="C25">
        <f t="shared" si="0"/>
        <v>1.5552136955565354</v>
      </c>
      <c r="D25">
        <f t="shared" si="1"/>
        <v>-0.27451134514127018</v>
      </c>
      <c r="E25">
        <f t="shared" si="2"/>
        <v>7.5356478611269553E-2</v>
      </c>
    </row>
    <row r="26" spans="1:5" x14ac:dyDescent="0.25">
      <c r="A26">
        <v>1.1783640980249999</v>
      </c>
      <c r="B26">
        <v>1.1614466659636415</v>
      </c>
      <c r="C26">
        <f t="shared" si="0"/>
        <v>1.4543295783768613</v>
      </c>
      <c r="D26">
        <f t="shared" si="1"/>
        <v>-0.29288291241321973</v>
      </c>
      <c r="E26">
        <f t="shared" si="2"/>
        <v>8.5780400383649744E-2</v>
      </c>
    </row>
    <row r="27" spans="1:5" x14ac:dyDescent="0.25">
      <c r="A27">
        <v>1.202600720575</v>
      </c>
      <c r="B27">
        <v>0.94108290121607552</v>
      </c>
      <c r="C27">
        <f t="shared" si="0"/>
        <v>1.339263681430594</v>
      </c>
      <c r="D27">
        <f t="shared" si="1"/>
        <v>-0.39818078021451853</v>
      </c>
      <c r="E27">
        <f t="shared" si="2"/>
        <v>0.15854793373224271</v>
      </c>
    </row>
    <row r="28" spans="1:5" x14ac:dyDescent="0.25">
      <c r="A28">
        <v>1.2268373431249999</v>
      </c>
      <c r="B28">
        <v>0.83478979116136731</v>
      </c>
      <c r="C28">
        <f t="shared" si="0"/>
        <v>1.2135012479140419</v>
      </c>
      <c r="D28">
        <f t="shared" si="1"/>
        <v>-0.37871145675267459</v>
      </c>
      <c r="E28">
        <f t="shared" si="2"/>
        <v>0.14342236747573292</v>
      </c>
    </row>
    <row r="29" spans="1:5" x14ac:dyDescent="0.25">
      <c r="A29">
        <v>1.2510739656749998</v>
      </c>
      <c r="B29">
        <v>0.85812242507581549</v>
      </c>
      <c r="C29">
        <f t="shared" si="0"/>
        <v>1.0809526504177418</v>
      </c>
      <c r="D29">
        <f t="shared" si="1"/>
        <v>-0.22283022534192631</v>
      </c>
      <c r="E29">
        <f t="shared" si="2"/>
        <v>4.9653309325933662E-2</v>
      </c>
    </row>
    <row r="30" spans="1:5" x14ac:dyDescent="0.25">
      <c r="A30">
        <v>1.275310588225</v>
      </c>
      <c r="B30">
        <v>0.77775446381493851</v>
      </c>
      <c r="C30">
        <f t="shared" si="0"/>
        <v>0.94573100305049407</v>
      </c>
      <c r="D30">
        <f t="shared" si="1"/>
        <v>-0.16797653923555556</v>
      </c>
      <c r="E30">
        <f t="shared" si="2"/>
        <v>2.8216117733554136E-2</v>
      </c>
    </row>
    <row r="31" spans="1:5" x14ac:dyDescent="0.25">
      <c r="A31">
        <v>1.2995472107750001</v>
      </c>
      <c r="B31">
        <v>0.59627842225811956</v>
      </c>
      <c r="C31">
        <f t="shared" si="0"/>
        <v>0.81190609862970031</v>
      </c>
      <c r="D31">
        <f t="shared" si="1"/>
        <v>-0.21562767637158076</v>
      </c>
      <c r="E31">
        <f t="shared" si="2"/>
        <v>4.6495294817407169E-2</v>
      </c>
    </row>
    <row r="32" spans="1:5" x14ac:dyDescent="0.25">
      <c r="A32">
        <v>1.3237838333249998</v>
      </c>
      <c r="B32">
        <v>0.54183560979107381</v>
      </c>
      <c r="C32">
        <f t="shared" si="0"/>
        <v>0.68325706668206954</v>
      </c>
      <c r="D32">
        <f t="shared" si="1"/>
        <v>-0.14142145689099572</v>
      </c>
      <c r="E32">
        <f t="shared" si="2"/>
        <v>2.000002846917176E-2</v>
      </c>
    </row>
    <row r="33" spans="1:5" x14ac:dyDescent="0.25">
      <c r="A33">
        <v>1.348020455875</v>
      </c>
      <c r="B33">
        <v>0.54442812467045698</v>
      </c>
      <c r="C33">
        <f t="shared" si="0"/>
        <v>0.56304805889308185</v>
      </c>
      <c r="D33">
        <f t="shared" si="1"/>
        <v>-1.8619934222624868E-2</v>
      </c>
      <c r="E33">
        <f t="shared" si="2"/>
        <v>3.4670195045487674E-4</v>
      </c>
    </row>
    <row r="34" spans="1:5" x14ac:dyDescent="0.25">
      <c r="A34">
        <v>1.3722570784250001</v>
      </c>
      <c r="B34">
        <v>0.57035327346428821</v>
      </c>
      <c r="C34">
        <f t="shared" si="0"/>
        <v>0.45384993266544393</v>
      </c>
      <c r="D34">
        <f t="shared" si="1"/>
        <v>0.11650334079884428</v>
      </c>
      <c r="E34">
        <f t="shared" si="2"/>
        <v>1.3573028417291653E-2</v>
      </c>
    </row>
    <row r="35" spans="1:5" x14ac:dyDescent="0.25">
      <c r="A35">
        <v>1.3964937009749998</v>
      </c>
      <c r="B35">
        <v>0.38887723190746926</v>
      </c>
      <c r="C35">
        <f t="shared" si="0"/>
        <v>0.35742615981868786</v>
      </c>
      <c r="D35">
        <f t="shared" si="1"/>
        <v>3.1451072088781395E-2</v>
      </c>
      <c r="E35">
        <f t="shared" si="2"/>
        <v>9.8916993553372409E-4</v>
      </c>
    </row>
    <row r="36" spans="1:5" x14ac:dyDescent="0.25">
      <c r="A36">
        <v>1.4207303235249999</v>
      </c>
      <c r="B36">
        <v>0.36554459799302108</v>
      </c>
      <c r="C36">
        <f t="shared" si="0"/>
        <v>0.27469350886729549</v>
      </c>
      <c r="D36">
        <f t="shared" si="1"/>
        <v>9.0851089125725593E-2</v>
      </c>
      <c r="E36">
        <f t="shared" si="2"/>
        <v>8.2539203953305353E-3</v>
      </c>
    </row>
    <row r="37" spans="1:5" x14ac:dyDescent="0.25">
      <c r="A37">
        <v>1.4449669460750001</v>
      </c>
      <c r="B37">
        <v>0.33443441944042357</v>
      </c>
      <c r="C37">
        <f t="shared" si="0"/>
        <v>0.20575853551883128</v>
      </c>
      <c r="D37">
        <f t="shared" si="1"/>
        <v>0.12867588392159229</v>
      </c>
      <c r="E37">
        <f t="shared" si="2"/>
        <v>1.6557483103003093E-2</v>
      </c>
    </row>
    <row r="38" spans="1:5" x14ac:dyDescent="0.25">
      <c r="A38">
        <v>1.4692035686249998</v>
      </c>
      <c r="B38">
        <v>0.29036166649091039</v>
      </c>
      <c r="C38">
        <f t="shared" si="0"/>
        <v>0.15002113015781041</v>
      </c>
      <c r="D38">
        <f t="shared" si="1"/>
        <v>0.14034053633309998</v>
      </c>
      <c r="E38">
        <f t="shared" si="2"/>
        <v>1.9695466138262157E-2</v>
      </c>
    </row>
    <row r="39" spans="1:5" x14ac:dyDescent="0.25">
      <c r="A39">
        <v>1.4934401911749999</v>
      </c>
      <c r="B39">
        <v>0.21517873498879964</v>
      </c>
      <c r="C39">
        <f t="shared" si="0"/>
        <v>0.10632803484109936</v>
      </c>
      <c r="D39">
        <f t="shared" si="1"/>
        <v>0.10885070014770028</v>
      </c>
      <c r="E39">
        <f t="shared" si="2"/>
        <v>1.1848474922644557E-2</v>
      </c>
    </row>
    <row r="40" spans="1:5" x14ac:dyDescent="0.25">
      <c r="A40">
        <v>1.5176768137250001</v>
      </c>
      <c r="B40">
        <v>0.12444071421039016</v>
      </c>
      <c r="C40">
        <f t="shared" si="0"/>
        <v>7.3153853801370544E-2</v>
      </c>
      <c r="D40">
        <f t="shared" si="1"/>
        <v>5.1286860409019613E-2</v>
      </c>
      <c r="E40">
        <f t="shared" si="2"/>
        <v>2.6303420506142636E-3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9CCB6-9F3B-46C5-9CEB-5B4A0DCFCCE7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0.62510299332499997</v>
      </c>
      <c r="B1">
        <v>0.13783304989966322</v>
      </c>
      <c r="C1">
        <f>$H$3*(1+$H$1)*(A1^($H$1))*EXP(-$H$3*(A1^(1+$H$1)))</f>
        <v>0.35707361786600167</v>
      </c>
      <c r="D1">
        <f>B1-C1</f>
        <v>-0.21924056796633845</v>
      </c>
      <c r="E1">
        <f>D1^2</f>
        <v>4.8066426642202668E-2</v>
      </c>
      <c r="G1" t="s">
        <v>0</v>
      </c>
      <c r="H1">
        <v>4.9478760531974881</v>
      </c>
    </row>
    <row r="2" spans="1:8" x14ac:dyDescent="0.25">
      <c r="A2">
        <v>0.64607296397500003</v>
      </c>
      <c r="B2">
        <v>0.32960077149919464</v>
      </c>
      <c r="C2">
        <f t="shared" ref="C2:C40" si="0">$H$3*(1+$H$1)*(A2^($H$1))*EXP(-$H$3*(A2^(1+$H$1)))</f>
        <v>0.4168560730095624</v>
      </c>
      <c r="D2">
        <f t="shared" ref="D2:D40" si="1">B2-C2</f>
        <v>-8.7255301510367755E-2</v>
      </c>
      <c r="E2">
        <f t="shared" ref="E2:E40" si="2">D2^2</f>
        <v>7.6134876416651858E-3</v>
      </c>
    </row>
    <row r="3" spans="1:8" x14ac:dyDescent="0.25">
      <c r="A3">
        <v>0.66704293462499997</v>
      </c>
      <c r="B3">
        <v>0.36256084864911409</v>
      </c>
      <c r="C3">
        <f t="shared" si="0"/>
        <v>0.48340322020998688</v>
      </c>
      <c r="D3">
        <f t="shared" si="1"/>
        <v>-0.1208423715608728</v>
      </c>
      <c r="E3">
        <f t="shared" si="2"/>
        <v>1.4602878764456038E-2</v>
      </c>
      <c r="G3" t="s">
        <v>1</v>
      </c>
      <c r="H3">
        <f>(_xlfn.GAMMA((2+$H$1)/(1+$H$1)))^(1+$H$1)</f>
        <v>0.63818792148316683</v>
      </c>
    </row>
    <row r="4" spans="1:8" x14ac:dyDescent="0.25">
      <c r="A4">
        <v>0.68801290527500003</v>
      </c>
      <c r="B4">
        <v>0.56931042349860894</v>
      </c>
      <c r="C4">
        <f t="shared" si="0"/>
        <v>0.55690645994346377</v>
      </c>
      <c r="D4">
        <f t="shared" si="1"/>
        <v>1.240396355514517E-2</v>
      </c>
      <c r="E4">
        <f t="shared" si="2"/>
        <v>1.538583118773696E-4</v>
      </c>
    </row>
    <row r="5" spans="1:8" x14ac:dyDescent="0.25">
      <c r="A5">
        <v>0.70898287592500009</v>
      </c>
      <c r="B5">
        <v>0.57829953544858692</v>
      </c>
      <c r="C5">
        <f t="shared" si="0"/>
        <v>0.63743745226796233</v>
      </c>
      <c r="D5">
        <f t="shared" si="1"/>
        <v>-5.9137916819375413E-2</v>
      </c>
      <c r="E5">
        <f t="shared" si="2"/>
        <v>3.4972932057353652E-3</v>
      </c>
      <c r="G5" t="s">
        <v>2</v>
      </c>
      <c r="H5">
        <f>SUM(E1:E40)</f>
        <v>3.129257598388854</v>
      </c>
    </row>
    <row r="6" spans="1:8" x14ac:dyDescent="0.25">
      <c r="A6">
        <v>0.72995284657500004</v>
      </c>
      <c r="B6">
        <v>0.81201644614801594</v>
      </c>
      <c r="C6">
        <f t="shared" si="0"/>
        <v>0.72491781513161913</v>
      </c>
      <c r="D6">
        <f t="shared" si="1"/>
        <v>8.709863101639681E-2</v>
      </c>
      <c r="E6">
        <f t="shared" si="2"/>
        <v>7.5861715249304403E-3</v>
      </c>
    </row>
    <row r="7" spans="1:8" x14ac:dyDescent="0.25">
      <c r="A7">
        <v>0.75092281722499998</v>
      </c>
      <c r="B7">
        <v>0.98880231449758393</v>
      </c>
      <c r="C7">
        <f t="shared" si="0"/>
        <v>0.81908660272450595</v>
      </c>
      <c r="D7">
        <f t="shared" si="1"/>
        <v>0.16971571177307798</v>
      </c>
      <c r="E7">
        <f t="shared" si="2"/>
        <v>2.8803422822642481E-2</v>
      </c>
    </row>
    <row r="8" spans="1:8" x14ac:dyDescent="0.25">
      <c r="A8">
        <v>0.77189278787499993</v>
      </c>
      <c r="B8">
        <v>1.1715809241471373</v>
      </c>
      <c r="C8">
        <f t="shared" si="0"/>
        <v>0.91946659004383491</v>
      </c>
      <c r="D8">
        <f t="shared" si="1"/>
        <v>0.25211433410330242</v>
      </c>
      <c r="E8">
        <f t="shared" si="2"/>
        <v>6.3561637460351594E-2</v>
      </c>
    </row>
    <row r="9" spans="1:8" x14ac:dyDescent="0.25">
      <c r="A9">
        <v>0.7928627585250001</v>
      </c>
      <c r="B9">
        <v>1.5131671782463028</v>
      </c>
      <c r="C9">
        <f t="shared" si="0"/>
        <v>1.025330844881388</v>
      </c>
      <c r="D9">
        <f t="shared" si="1"/>
        <v>0.48783633336491472</v>
      </c>
      <c r="E9">
        <f t="shared" si="2"/>
        <v>0.23798428815092421</v>
      </c>
    </row>
    <row r="10" spans="1:8" x14ac:dyDescent="0.25">
      <c r="A10">
        <v>0.81383272917500005</v>
      </c>
      <c r="B10">
        <v>1.779844166095651</v>
      </c>
      <c r="C10">
        <f t="shared" si="0"/>
        <v>1.1356715837117219</v>
      </c>
      <c r="D10">
        <f t="shared" si="1"/>
        <v>0.64417258238392905</v>
      </c>
      <c r="E10">
        <f t="shared" si="2"/>
        <v>0.41495831589517984</v>
      </c>
    </row>
    <row r="11" spans="1:8" x14ac:dyDescent="0.25">
      <c r="A11">
        <v>0.83480269982499999</v>
      </c>
      <c r="B11">
        <v>1.4981853249963393</v>
      </c>
      <c r="C11">
        <f t="shared" si="0"/>
        <v>1.24917385829642</v>
      </c>
      <c r="D11">
        <f t="shared" si="1"/>
        <v>0.24901146669991925</v>
      </c>
      <c r="E11">
        <f t="shared" si="2"/>
        <v>6.2006710548044991E-2</v>
      </c>
    </row>
    <row r="12" spans="1:8" x14ac:dyDescent="0.25">
      <c r="A12">
        <v>0.85577267047499994</v>
      </c>
      <c r="B12">
        <v>1.938651810545263</v>
      </c>
      <c r="C12">
        <f t="shared" si="0"/>
        <v>1.3641971635841228</v>
      </c>
      <c r="D12">
        <f t="shared" si="1"/>
        <v>0.57445464696114024</v>
      </c>
      <c r="E12">
        <f t="shared" si="2"/>
        <v>0.32999814141524825</v>
      </c>
    </row>
    <row r="13" spans="1:8" x14ac:dyDescent="0.25">
      <c r="A13">
        <v>0.876742641125</v>
      </c>
      <c r="B13">
        <v>1.8158006138955631</v>
      </c>
      <c r="C13">
        <f t="shared" si="0"/>
        <v>1.4787685336664311</v>
      </c>
      <c r="D13">
        <f t="shared" si="1"/>
        <v>0.337032080229132</v>
      </c>
      <c r="E13">
        <f t="shared" si="2"/>
        <v>0.11359062310357607</v>
      </c>
    </row>
    <row r="14" spans="1:8" x14ac:dyDescent="0.25">
      <c r="A14">
        <v>0.89771261177500006</v>
      </c>
      <c r="B14">
        <v>2.0974594549948749</v>
      </c>
      <c r="C14">
        <f t="shared" si="0"/>
        <v>1.5905910193519319</v>
      </c>
      <c r="D14">
        <f t="shared" si="1"/>
        <v>0.50686843564294293</v>
      </c>
      <c r="E14">
        <f t="shared" si="2"/>
        <v>0.25691561105112415</v>
      </c>
    </row>
    <row r="15" spans="1:8" x14ac:dyDescent="0.25">
      <c r="A15">
        <v>0.918682582425</v>
      </c>
      <c r="B15">
        <v>2.1933433157946407</v>
      </c>
      <c r="C15">
        <f t="shared" si="0"/>
        <v>1.6970715170283359</v>
      </c>
      <c r="D15">
        <f t="shared" si="1"/>
        <v>0.49627179876630478</v>
      </c>
      <c r="E15">
        <f t="shared" si="2"/>
        <v>0.2462856982507437</v>
      </c>
    </row>
    <row r="16" spans="1:8" x14ac:dyDescent="0.25">
      <c r="A16">
        <v>0.93965255307499995</v>
      </c>
      <c r="B16">
        <v>1.9626227757452044</v>
      </c>
      <c r="C16">
        <f t="shared" si="0"/>
        <v>1.7953716283784122</v>
      </c>
      <c r="D16">
        <f t="shared" si="1"/>
        <v>0.16725114736679214</v>
      </c>
      <c r="E16">
        <f t="shared" si="2"/>
        <v>2.7972946295508422E-2</v>
      </c>
    </row>
    <row r="17" spans="1:5" x14ac:dyDescent="0.25">
      <c r="A17">
        <v>0.9606225237249999</v>
      </c>
      <c r="B17">
        <v>1.9506372931452338</v>
      </c>
      <c r="C17">
        <f t="shared" si="0"/>
        <v>1.8824844552791899</v>
      </c>
      <c r="D17">
        <f t="shared" si="1"/>
        <v>6.8152837866043869E-2</v>
      </c>
      <c r="E17">
        <f t="shared" si="2"/>
        <v>4.6448093091952629E-3</v>
      </c>
    </row>
    <row r="18" spans="1:5" x14ac:dyDescent="0.25">
      <c r="A18">
        <v>0.98159249437499996</v>
      </c>
      <c r="B18">
        <v>2.1483977560447505</v>
      </c>
      <c r="C18">
        <f t="shared" si="0"/>
        <v>1.9553388689127031</v>
      </c>
      <c r="D18">
        <f t="shared" si="1"/>
        <v>0.19305888713204733</v>
      </c>
      <c r="E18">
        <f t="shared" si="2"/>
        <v>3.7271733900664593E-2</v>
      </c>
    </row>
    <row r="19" spans="1:5" x14ac:dyDescent="0.25">
      <c r="A19">
        <v>1.002562465025</v>
      </c>
      <c r="B19">
        <v>2.145401385394758</v>
      </c>
      <c r="C19">
        <f t="shared" si="0"/>
        <v>2.0109307700960906</v>
      </c>
      <c r="D19">
        <f t="shared" si="1"/>
        <v>0.13447061529866744</v>
      </c>
      <c r="E19">
        <f t="shared" si="2"/>
        <v>1.8082346378802214E-2</v>
      </c>
    </row>
    <row r="20" spans="1:5" x14ac:dyDescent="0.25">
      <c r="A20">
        <v>1.023532435675</v>
      </c>
      <c r="B20">
        <v>2.1933433157946407</v>
      </c>
      <c r="C20">
        <f t="shared" si="0"/>
        <v>2.0464781808050394</v>
      </c>
      <c r="D20">
        <f t="shared" si="1"/>
        <v>0.1468651349896013</v>
      </c>
      <c r="E20">
        <f t="shared" si="2"/>
        <v>2.156936787551381E-2</v>
      </c>
    </row>
    <row r="21" spans="1:5" x14ac:dyDescent="0.25">
      <c r="A21">
        <v>1.0445024063249999</v>
      </c>
      <c r="B21">
        <v>2.2233070222945677</v>
      </c>
      <c r="C21">
        <f t="shared" si="0"/>
        <v>2.0595937775453166</v>
      </c>
      <c r="D21">
        <f t="shared" si="1"/>
        <v>0.16371324474925109</v>
      </c>
      <c r="E21">
        <f t="shared" si="2"/>
        <v>2.6802026506328187E-2</v>
      </c>
    </row>
    <row r="22" spans="1:5" x14ac:dyDescent="0.25">
      <c r="A22">
        <v>1.0654723769750001</v>
      </c>
      <c r="B22">
        <v>1.9776046289951679</v>
      </c>
      <c r="C22">
        <f t="shared" si="0"/>
        <v>2.0484649287820349</v>
      </c>
      <c r="D22">
        <f t="shared" si="1"/>
        <v>-7.0860299786867031E-2</v>
      </c>
      <c r="E22">
        <f t="shared" si="2"/>
        <v>5.0211820858846682E-3</v>
      </c>
    </row>
    <row r="23" spans="1:5" x14ac:dyDescent="0.25">
      <c r="A23">
        <v>1.086442347625</v>
      </c>
      <c r="B23">
        <v>1.8996989920953582</v>
      </c>
      <c r="C23">
        <f t="shared" si="0"/>
        <v>2.0120278122580242</v>
      </c>
      <c r="D23">
        <f t="shared" si="1"/>
        <v>-0.11232882016266599</v>
      </c>
      <c r="E23">
        <f t="shared" si="2"/>
        <v>1.2617763839136558E-2</v>
      </c>
    </row>
    <row r="24" spans="1:5" x14ac:dyDescent="0.25">
      <c r="A24">
        <v>1.107412318275</v>
      </c>
      <c r="B24">
        <v>1.5790873325461416</v>
      </c>
      <c r="C24">
        <f t="shared" si="0"/>
        <v>1.9501192881402298</v>
      </c>
      <c r="D24">
        <f t="shared" si="1"/>
        <v>-0.37103195559408819</v>
      </c>
      <c r="E24">
        <f t="shared" si="2"/>
        <v>0.13766471207197342</v>
      </c>
    </row>
    <row r="25" spans="1:5" x14ac:dyDescent="0.25">
      <c r="A25">
        <v>1.1283822889250001</v>
      </c>
      <c r="B25">
        <v>1.5071744369463174</v>
      </c>
      <c r="C25">
        <f t="shared" si="0"/>
        <v>1.8635885201106213</v>
      </c>
      <c r="D25">
        <f t="shared" si="1"/>
        <v>-0.3564140831643039</v>
      </c>
      <c r="E25">
        <f t="shared" si="2"/>
        <v>0.12703099867785134</v>
      </c>
    </row>
    <row r="26" spans="1:5" x14ac:dyDescent="0.25">
      <c r="A26">
        <v>1.1493522595750001</v>
      </c>
      <c r="B26">
        <v>1.4352615413464931</v>
      </c>
      <c r="C26">
        <f t="shared" si="0"/>
        <v>1.754350524195919</v>
      </c>
      <c r="D26">
        <f t="shared" si="1"/>
        <v>-0.31908898284942588</v>
      </c>
      <c r="E26">
        <f t="shared" si="2"/>
        <v>0.10181777897588121</v>
      </c>
    </row>
    <row r="27" spans="1:5" x14ac:dyDescent="0.25">
      <c r="A27">
        <v>1.170322230225</v>
      </c>
      <c r="B27">
        <v>1.2345047077969835</v>
      </c>
      <c r="C27">
        <f t="shared" si="0"/>
        <v>1.6253664440254414</v>
      </c>
      <c r="D27">
        <f t="shared" si="1"/>
        <v>-0.39086173622845788</v>
      </c>
      <c r="E27">
        <f t="shared" si="2"/>
        <v>0.15277289684752457</v>
      </c>
    </row>
    <row r="28" spans="1:5" x14ac:dyDescent="0.25">
      <c r="A28">
        <v>1.191292200875</v>
      </c>
      <c r="B28">
        <v>0.97981320254760584</v>
      </c>
      <c r="C28">
        <f t="shared" si="0"/>
        <v>1.4805407120309098</v>
      </c>
      <c r="D28">
        <f t="shared" si="1"/>
        <v>-0.50072750948330391</v>
      </c>
      <c r="E28">
        <f t="shared" si="2"/>
        <v>0.2507280387533522</v>
      </c>
    </row>
    <row r="29" spans="1:5" x14ac:dyDescent="0.25">
      <c r="A29">
        <v>1.2122621715249999</v>
      </c>
      <c r="B29">
        <v>0.97082409059762786</v>
      </c>
      <c r="C29">
        <f t="shared" si="0"/>
        <v>1.3245332608091549</v>
      </c>
      <c r="D29">
        <f t="shared" si="1"/>
        <v>-0.35370917021152704</v>
      </c>
      <c r="E29">
        <f t="shared" si="2"/>
        <v>0.125110177091727</v>
      </c>
    </row>
    <row r="30" spans="1:5" x14ac:dyDescent="0.25">
      <c r="A30">
        <v>1.2332321421749999</v>
      </c>
      <c r="B30">
        <v>0.95584223734766449</v>
      </c>
      <c r="C30">
        <f t="shared" si="0"/>
        <v>1.1624949644726346</v>
      </c>
      <c r="D30">
        <f t="shared" si="1"/>
        <v>-0.20665272712497007</v>
      </c>
      <c r="E30">
        <f t="shared" si="2"/>
        <v>4.2705349628187339E-2</v>
      </c>
    </row>
    <row r="31" spans="1:5" x14ac:dyDescent="0.25">
      <c r="A31">
        <v>1.2542021128249998</v>
      </c>
      <c r="B31">
        <v>0.73710717989819896</v>
      </c>
      <c r="C31">
        <f t="shared" si="0"/>
        <v>0.99974530523425598</v>
      </c>
      <c r="D31">
        <f t="shared" si="1"/>
        <v>-0.26263812533605702</v>
      </c>
      <c r="E31">
        <f t="shared" si="2"/>
        <v>6.8978784880038391E-2</v>
      </c>
    </row>
    <row r="32" spans="1:5" x14ac:dyDescent="0.25">
      <c r="A32">
        <v>1.275172083475</v>
      </c>
      <c r="B32">
        <v>0.66219791364838199</v>
      </c>
      <c r="C32">
        <f t="shared" si="0"/>
        <v>0.84142117336386379</v>
      </c>
      <c r="D32">
        <f t="shared" si="1"/>
        <v>-0.17922325971548181</v>
      </c>
      <c r="E32">
        <f t="shared" si="2"/>
        <v>3.2120976823043046E-2</v>
      </c>
    </row>
    <row r="33" spans="1:5" x14ac:dyDescent="0.25">
      <c r="A33">
        <v>1.2961420541249999</v>
      </c>
      <c r="B33">
        <v>0.62923783649846254</v>
      </c>
      <c r="C33">
        <f t="shared" si="0"/>
        <v>0.69213276914369937</v>
      </c>
      <c r="D33">
        <f t="shared" si="1"/>
        <v>-6.2894932645236823E-2</v>
      </c>
      <c r="E33">
        <f t="shared" si="2"/>
        <v>3.9557725524488763E-3</v>
      </c>
    </row>
    <row r="34" spans="1:5" x14ac:dyDescent="0.25">
      <c r="A34">
        <v>1.3171120247750001</v>
      </c>
      <c r="B34">
        <v>0.65620517234839659</v>
      </c>
      <c r="C34">
        <f t="shared" si="0"/>
        <v>0.55566497470108256</v>
      </c>
      <c r="D34">
        <f t="shared" si="1"/>
        <v>0.10054019764731403</v>
      </c>
      <c r="E34">
        <f t="shared" si="2"/>
        <v>1.010833134296097E-2</v>
      </c>
    </row>
    <row r="35" spans="1:5" x14ac:dyDescent="0.25">
      <c r="A35">
        <v>1.3380819954250001</v>
      </c>
      <c r="B35">
        <v>0.50039389854877736</v>
      </c>
      <c r="C35">
        <f t="shared" si="0"/>
        <v>0.43475910266938111</v>
      </c>
      <c r="D35">
        <f t="shared" si="1"/>
        <v>6.5634795879396246E-2</v>
      </c>
      <c r="E35">
        <f t="shared" si="2"/>
        <v>4.3079264301300107E-3</v>
      </c>
    </row>
    <row r="36" spans="1:5" x14ac:dyDescent="0.25">
      <c r="A36">
        <v>1.359051966075</v>
      </c>
      <c r="B36">
        <v>0.40750640839900426</v>
      </c>
      <c r="C36">
        <f t="shared" si="0"/>
        <v>0.331000451998335</v>
      </c>
      <c r="D36">
        <f t="shared" si="1"/>
        <v>7.6505956400669262E-2</v>
      </c>
      <c r="E36">
        <f t="shared" si="2"/>
        <v>5.8531613647811063E-3</v>
      </c>
    </row>
    <row r="37" spans="1:5" x14ac:dyDescent="0.25">
      <c r="A37">
        <v>1.3800219367250002</v>
      </c>
      <c r="B37">
        <v>0.41949189099897499</v>
      </c>
      <c r="C37">
        <f t="shared" si="0"/>
        <v>0.24482275065685</v>
      </c>
      <c r="D37">
        <f t="shared" si="1"/>
        <v>0.174669140342125</v>
      </c>
      <c r="E37">
        <f t="shared" si="2"/>
        <v>3.0509308587856956E-2</v>
      </c>
    </row>
    <row r="38" spans="1:5" x14ac:dyDescent="0.25">
      <c r="A38">
        <v>1.4009919073749999</v>
      </c>
      <c r="B38">
        <v>0.34158625409916538</v>
      </c>
      <c r="C38">
        <f t="shared" si="0"/>
        <v>0.17562372465394252</v>
      </c>
      <c r="D38">
        <f t="shared" si="1"/>
        <v>0.16596252944522286</v>
      </c>
      <c r="E38">
        <f t="shared" si="2"/>
        <v>2.7543561179856464E-2</v>
      </c>
    </row>
    <row r="39" spans="1:5" x14ac:dyDescent="0.25">
      <c r="A39">
        <v>1.4219618780249998</v>
      </c>
      <c r="B39">
        <v>0.24570239329939964</v>
      </c>
      <c r="C39">
        <f t="shared" si="0"/>
        <v>0.12196990699819174</v>
      </c>
      <c r="D39">
        <f t="shared" si="1"/>
        <v>0.12373248630120789</v>
      </c>
      <c r="E39">
        <f t="shared" si="2"/>
        <v>1.53097281662786E-2</v>
      </c>
    </row>
    <row r="40" spans="1:5" x14ac:dyDescent="0.25">
      <c r="A40">
        <v>1.442931848675</v>
      </c>
      <c r="B40">
        <v>0.13783304989966322</v>
      </c>
      <c r="C40">
        <f t="shared" si="0"/>
        <v>8.1856679570512361E-2</v>
      </c>
      <c r="D40">
        <f t="shared" si="1"/>
        <v>5.5976370329150857E-2</v>
      </c>
      <c r="E40">
        <f t="shared" si="2"/>
        <v>3.1333540352262404E-3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C892-5963-4EB9-8E00-47198B9215E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0.6896798756875</v>
      </c>
      <c r="B1">
        <v>0.17273613874105403</v>
      </c>
      <c r="C1">
        <f>$H$3*(1+$H$1)*(A1^($H$1))*EXP(-$H$3*(A1^(1+$H$1)))</f>
        <v>0.42044312412536466</v>
      </c>
      <c r="D1">
        <f>B1-C1</f>
        <v>-0.24770698538431063</v>
      </c>
      <c r="E1">
        <f>D1^2</f>
        <v>6.1358750608183077E-2</v>
      </c>
      <c r="G1" t="s">
        <v>0</v>
      </c>
      <c r="H1">
        <v>6.3035350648555681</v>
      </c>
    </row>
    <row r="2" spans="1:8" x14ac:dyDescent="0.25">
      <c r="A2">
        <v>0.7067764070625</v>
      </c>
      <c r="B2">
        <v>0.44470367633335189</v>
      </c>
      <c r="C2">
        <f t="shared" ref="C2:C40" si="0">$H$3*(1+$H$1)*(A2^($H$1))*EXP(-$H$3*(A2^(1+$H$1)))</f>
        <v>0.48665684694855538</v>
      </c>
      <c r="D2">
        <f t="shared" ref="D2:D40" si="1">B2-C2</f>
        <v>-4.1953170615203483E-2</v>
      </c>
      <c r="E2">
        <f t="shared" ref="E2:E40" si="2">D2^2</f>
        <v>1.760068524668373E-3</v>
      </c>
    </row>
    <row r="3" spans="1:8" x14ac:dyDescent="0.25">
      <c r="A3">
        <v>0.7238729384375</v>
      </c>
      <c r="B3">
        <v>0.42632749136089937</v>
      </c>
      <c r="C3">
        <f t="shared" si="0"/>
        <v>0.56047538926611562</v>
      </c>
      <c r="D3">
        <f t="shared" si="1"/>
        <v>-0.13414789790521625</v>
      </c>
      <c r="E3">
        <f t="shared" si="2"/>
        <v>1.7995658512388324E-2</v>
      </c>
      <c r="G3" t="s">
        <v>1</v>
      </c>
      <c r="H3">
        <f>(_xlfn.GAMMA((2+$H$1)/(1+$H$1)))^(1+$H$1)</f>
        <v>0.62407407760754452</v>
      </c>
    </row>
    <row r="4" spans="1:8" x14ac:dyDescent="0.25">
      <c r="A4">
        <v>0.7409694698125</v>
      </c>
      <c r="B4">
        <v>0.69094455496421614</v>
      </c>
      <c r="C4">
        <f t="shared" si="0"/>
        <v>0.64225117092100692</v>
      </c>
      <c r="D4">
        <f t="shared" si="1"/>
        <v>4.869338404320922E-2</v>
      </c>
      <c r="E4">
        <f t="shared" si="2"/>
        <v>2.3710456495794623E-3</v>
      </c>
    </row>
    <row r="5" spans="1:8" x14ac:dyDescent="0.25">
      <c r="A5">
        <v>0.7580660011875</v>
      </c>
      <c r="B5">
        <v>0.61743981507440593</v>
      </c>
      <c r="C5">
        <f t="shared" si="0"/>
        <v>0.73223576866136619</v>
      </c>
      <c r="D5">
        <f t="shared" si="1"/>
        <v>-0.11479595358696026</v>
      </c>
      <c r="E5">
        <f t="shared" si="2"/>
        <v>1.3178110959939536E-2</v>
      </c>
      <c r="G5" t="s">
        <v>2</v>
      </c>
      <c r="H5">
        <f>SUM(E1:E40)</f>
        <v>4.7945928638330138</v>
      </c>
    </row>
    <row r="6" spans="1:8" x14ac:dyDescent="0.25">
      <c r="A6">
        <v>0.77516253256250001</v>
      </c>
      <c r="B6">
        <v>0.9959892255069287</v>
      </c>
      <c r="C6">
        <f t="shared" si="0"/>
        <v>0.83054654242863835</v>
      </c>
      <c r="D6">
        <f t="shared" si="1"/>
        <v>0.16544268307829035</v>
      </c>
      <c r="E6">
        <f t="shared" si="2"/>
        <v>2.737128138414362E-2</v>
      </c>
    </row>
    <row r="7" spans="1:8" x14ac:dyDescent="0.25">
      <c r="A7">
        <v>0.79225906393750001</v>
      </c>
      <c r="B7">
        <v>1.15034917927553</v>
      </c>
      <c r="C7">
        <f t="shared" si="0"/>
        <v>0.93712888463170851</v>
      </c>
      <c r="D7">
        <f t="shared" si="1"/>
        <v>0.21322029464382153</v>
      </c>
      <c r="E7">
        <f t="shared" si="2"/>
        <v>4.5462894047998068E-2</v>
      </c>
    </row>
    <row r="8" spans="1:8" x14ac:dyDescent="0.25">
      <c r="A8">
        <v>0.80935559531250001</v>
      </c>
      <c r="B8">
        <v>1.2091529711873783</v>
      </c>
      <c r="C8">
        <f t="shared" si="0"/>
        <v>1.0517146264189288</v>
      </c>
      <c r="D8">
        <f t="shared" si="1"/>
        <v>0.15743834476844953</v>
      </c>
      <c r="E8">
        <f t="shared" si="2"/>
        <v>2.4786832403429181E-2</v>
      </c>
    </row>
    <row r="9" spans="1:8" x14ac:dyDescent="0.25">
      <c r="A9">
        <v>0.82645212668750001</v>
      </c>
      <c r="B9">
        <v>1.7200109134215595</v>
      </c>
      <c r="C9">
        <f t="shared" si="0"/>
        <v>1.1737776109350655</v>
      </c>
      <c r="D9">
        <f t="shared" si="1"/>
        <v>0.54623330248649404</v>
      </c>
      <c r="E9">
        <f t="shared" si="2"/>
        <v>0.29837082074530169</v>
      </c>
    </row>
    <row r="10" spans="1:8" x14ac:dyDescent="0.25">
      <c r="A10">
        <v>0.84354865806250001</v>
      </c>
      <c r="B10">
        <v>2.1022355608485728</v>
      </c>
      <c r="C10">
        <f t="shared" si="0"/>
        <v>1.3024880427484224</v>
      </c>
      <c r="D10">
        <f t="shared" si="1"/>
        <v>0.79974751810015032</v>
      </c>
      <c r="E10">
        <f t="shared" si="2"/>
        <v>0.63959609270735029</v>
      </c>
    </row>
    <row r="11" spans="1:8" x14ac:dyDescent="0.25">
      <c r="A11">
        <v>0.86064518943750001</v>
      </c>
      <c r="B11">
        <v>1.9772775030358953</v>
      </c>
      <c r="C11">
        <f t="shared" si="0"/>
        <v>1.436667942715699</v>
      </c>
      <c r="D11">
        <f t="shared" si="1"/>
        <v>0.54060956032019636</v>
      </c>
      <c r="E11">
        <f t="shared" si="2"/>
        <v>0.29225869670959603</v>
      </c>
    </row>
    <row r="12" spans="1:8" x14ac:dyDescent="0.25">
      <c r="A12">
        <v>0.87774172081250001</v>
      </c>
      <c r="B12">
        <v>2.0948850868595916</v>
      </c>
      <c r="C12">
        <f t="shared" si="0"/>
        <v>1.5747508598422764</v>
      </c>
      <c r="D12">
        <f t="shared" si="1"/>
        <v>0.52013422701731526</v>
      </c>
      <c r="E12">
        <f t="shared" si="2"/>
        <v>0.27053961411490007</v>
      </c>
    </row>
    <row r="13" spans="1:8" x14ac:dyDescent="0.25">
      <c r="A13">
        <v>0.89483825218750002</v>
      </c>
      <c r="B13">
        <v>2.3227497805180035</v>
      </c>
      <c r="C13">
        <f t="shared" si="0"/>
        <v>1.7147498743458276</v>
      </c>
      <c r="D13">
        <f t="shared" si="1"/>
        <v>0.60799990617217592</v>
      </c>
      <c r="E13">
        <f t="shared" si="2"/>
        <v>0.36966388590537475</v>
      </c>
    </row>
    <row r="14" spans="1:8" x14ac:dyDescent="0.25">
      <c r="A14">
        <v>0.91193478356250002</v>
      </c>
      <c r="B14">
        <v>2.3705278614463801</v>
      </c>
      <c r="C14">
        <f t="shared" si="0"/>
        <v>1.8542387969117902</v>
      </c>
      <c r="D14">
        <f t="shared" si="1"/>
        <v>0.51628906453458989</v>
      </c>
      <c r="E14">
        <f t="shared" si="2"/>
        <v>0.26655439815800192</v>
      </c>
    </row>
    <row r="15" spans="1:8" x14ac:dyDescent="0.25">
      <c r="A15">
        <v>0.92903131493750002</v>
      </c>
      <c r="B15">
        <v>2.5726658961433584</v>
      </c>
      <c r="C15">
        <f t="shared" si="0"/>
        <v>1.9903522190134149</v>
      </c>
      <c r="D15">
        <f t="shared" si="1"/>
        <v>0.58231367712994353</v>
      </c>
      <c r="E15">
        <f t="shared" si="2"/>
        <v>0.33908921857259611</v>
      </c>
    </row>
    <row r="16" spans="1:8" x14ac:dyDescent="0.25">
      <c r="A16">
        <v>0.94612784631250002</v>
      </c>
      <c r="B16">
        <v>2.5873668441213202</v>
      </c>
      <c r="C16">
        <f t="shared" si="0"/>
        <v>2.1198105485686174</v>
      </c>
      <c r="D16">
        <f t="shared" si="1"/>
        <v>0.46755629555270284</v>
      </c>
      <c r="E16">
        <f t="shared" si="2"/>
        <v>0.21860888951096641</v>
      </c>
    </row>
    <row r="17" spans="1:5" x14ac:dyDescent="0.25">
      <c r="A17">
        <v>0.96322437768750002</v>
      </c>
      <c r="B17">
        <v>2.3668526244518895</v>
      </c>
      <c r="C17">
        <f t="shared" si="0"/>
        <v>2.2389761854644847</v>
      </c>
      <c r="D17">
        <f t="shared" si="1"/>
        <v>0.12787643898740475</v>
      </c>
      <c r="E17">
        <f t="shared" si="2"/>
        <v>1.6352383648099451E-2</v>
      </c>
    </row>
    <row r="18" spans="1:5" x14ac:dyDescent="0.25">
      <c r="A18">
        <v>0.98032090906250002</v>
      </c>
      <c r="B18">
        <v>2.5248878152149814</v>
      </c>
      <c r="C18">
        <f t="shared" si="0"/>
        <v>2.3439463348779537</v>
      </c>
      <c r="D18">
        <f t="shared" si="1"/>
        <v>0.18094148033702773</v>
      </c>
      <c r="E18">
        <f t="shared" si="2"/>
        <v>3.2739819306554993E-2</v>
      </c>
    </row>
    <row r="19" spans="1:5" x14ac:dyDescent="0.25">
      <c r="A19">
        <v>0.99741744043750002</v>
      </c>
      <c r="B19">
        <v>2.6057430290937726</v>
      </c>
      <c r="C19">
        <f t="shared" si="0"/>
        <v>2.4306863981094633</v>
      </c>
      <c r="D19">
        <f t="shared" si="1"/>
        <v>0.17505663098430935</v>
      </c>
      <c r="E19">
        <f t="shared" si="2"/>
        <v>3.0644824051576654E-2</v>
      </c>
    </row>
    <row r="20" spans="1:5" x14ac:dyDescent="0.25">
      <c r="A20">
        <v>1.0145139718125</v>
      </c>
      <c r="B20">
        <v>2.5653154221543772</v>
      </c>
      <c r="C20">
        <f t="shared" si="0"/>
        <v>2.4952052261173203</v>
      </c>
      <c r="D20">
        <f t="shared" si="1"/>
        <v>7.0110196037056927E-2</v>
      </c>
      <c r="E20">
        <f t="shared" si="2"/>
        <v>4.9154395883545532E-3</v>
      </c>
    </row>
    <row r="21" spans="1:5" x14ac:dyDescent="0.25">
      <c r="A21">
        <v>1.0316105031875</v>
      </c>
      <c r="B21">
        <v>2.7895048788182986</v>
      </c>
      <c r="C21">
        <f t="shared" si="0"/>
        <v>2.5337696587393728</v>
      </c>
      <c r="D21">
        <f t="shared" si="1"/>
        <v>0.2557352200789258</v>
      </c>
      <c r="E21">
        <f t="shared" si="2"/>
        <v>6.5400502788816609E-2</v>
      </c>
    </row>
    <row r="22" spans="1:5" x14ac:dyDescent="0.25">
      <c r="A22">
        <v>1.0487070345625</v>
      </c>
      <c r="B22">
        <v>2.4991611562535478</v>
      </c>
      <c r="C22">
        <f t="shared" si="0"/>
        <v>2.5431507419446673</v>
      </c>
      <c r="D22">
        <f t="shared" si="1"/>
        <v>-4.3989585691119437E-2</v>
      </c>
      <c r="E22">
        <f t="shared" si="2"/>
        <v>1.9350836492763399E-3</v>
      </c>
    </row>
    <row r="23" spans="1:5" x14ac:dyDescent="0.25">
      <c r="A23">
        <v>1.0658035659375</v>
      </c>
      <c r="B23">
        <v>2.3080488325400412</v>
      </c>
      <c r="C23">
        <f t="shared" si="0"/>
        <v>2.5208880794838922</v>
      </c>
      <c r="D23">
        <f t="shared" si="1"/>
        <v>-0.21283924694385092</v>
      </c>
      <c r="E23">
        <f t="shared" si="2"/>
        <v>4.5300545039625557E-2</v>
      </c>
    </row>
    <row r="24" spans="1:5" x14ac:dyDescent="0.25">
      <c r="A24">
        <v>1.0829000973125</v>
      </c>
      <c r="B24">
        <v>2.1059107978430633</v>
      </c>
      <c r="C24">
        <f t="shared" si="0"/>
        <v>2.4655524853034634</v>
      </c>
      <c r="D24">
        <f t="shared" si="1"/>
        <v>-0.35964168746040004</v>
      </c>
      <c r="E24">
        <f t="shared" si="2"/>
        <v>0.12934214335936406</v>
      </c>
    </row>
    <row r="25" spans="1:5" x14ac:dyDescent="0.25">
      <c r="A25">
        <v>1.0999966286875</v>
      </c>
      <c r="B25">
        <v>1.9552260810689521</v>
      </c>
      <c r="C25">
        <f t="shared" si="0"/>
        <v>2.3769813310773698</v>
      </c>
      <c r="D25">
        <f t="shared" si="1"/>
        <v>-0.42175525000841763</v>
      </c>
      <c r="E25">
        <f t="shared" si="2"/>
        <v>0.17787749090966284</v>
      </c>
    </row>
    <row r="26" spans="1:5" x14ac:dyDescent="0.25">
      <c r="A26">
        <v>1.1170931600625</v>
      </c>
      <c r="B26">
        <v>1.8706956301956705</v>
      </c>
      <c r="C26">
        <f t="shared" si="0"/>
        <v>2.2564568941740797</v>
      </c>
      <c r="D26">
        <f t="shared" si="1"/>
        <v>-0.38576126397840915</v>
      </c>
      <c r="E26">
        <f t="shared" si="2"/>
        <v>0.14881175278621986</v>
      </c>
    </row>
    <row r="27" spans="1:5" x14ac:dyDescent="0.25">
      <c r="A27">
        <v>1.1341896914375</v>
      </c>
      <c r="B27">
        <v>1.6465061735317492</v>
      </c>
      <c r="C27">
        <f t="shared" si="0"/>
        <v>2.1067969465009955</v>
      </c>
      <c r="D27">
        <f t="shared" si="1"/>
        <v>-0.46029077296924625</v>
      </c>
      <c r="E27">
        <f t="shared" si="2"/>
        <v>0.21186759568062619</v>
      </c>
    </row>
    <row r="28" spans="1:5" x14ac:dyDescent="0.25">
      <c r="A28">
        <v>1.1512862228125</v>
      </c>
      <c r="B28">
        <v>1.3818891099284323</v>
      </c>
      <c r="C28">
        <f t="shared" si="0"/>
        <v>1.9323300767751341</v>
      </c>
      <c r="D28">
        <f t="shared" si="1"/>
        <v>-0.55044096684670185</v>
      </c>
      <c r="E28">
        <f t="shared" si="2"/>
        <v>0.30298525798313192</v>
      </c>
    </row>
    <row r="29" spans="1:5" x14ac:dyDescent="0.25">
      <c r="A29">
        <v>1.1683827541875</v>
      </c>
      <c r="B29">
        <v>1.2385548671433024</v>
      </c>
      <c r="C29">
        <f t="shared" si="0"/>
        <v>1.7387367245250924</v>
      </c>
      <c r="D29">
        <f t="shared" si="1"/>
        <v>-0.50018185738179</v>
      </c>
      <c r="E29">
        <f t="shared" si="2"/>
        <v>0.25018189045389733</v>
      </c>
    </row>
    <row r="30" spans="1:5" x14ac:dyDescent="0.25">
      <c r="A30">
        <v>1.1854792855625</v>
      </c>
      <c r="B30">
        <v>1.1724006012424733</v>
      </c>
      <c r="C30">
        <f t="shared" si="0"/>
        <v>1.5327507752760443</v>
      </c>
      <c r="D30">
        <f t="shared" si="1"/>
        <v>-0.36035017403357106</v>
      </c>
      <c r="E30">
        <f t="shared" si="2"/>
        <v>0.12985224792602496</v>
      </c>
    </row>
    <row r="31" spans="1:5" x14ac:dyDescent="0.25">
      <c r="A31">
        <v>1.2025758169375</v>
      </c>
      <c r="B31">
        <v>1.0070149364904002</v>
      </c>
      <c r="C31">
        <f t="shared" si="0"/>
        <v>1.3217348484017204</v>
      </c>
      <c r="D31">
        <f t="shared" si="1"/>
        <v>-0.3147199119113202</v>
      </c>
      <c r="E31">
        <f t="shared" si="2"/>
        <v>9.9048622953469154E-2</v>
      </c>
    </row>
    <row r="32" spans="1:5" x14ac:dyDescent="0.25">
      <c r="A32">
        <v>1.2196723483125</v>
      </c>
      <c r="B32">
        <v>0.81590261277689358</v>
      </c>
      <c r="C32">
        <f t="shared" si="0"/>
        <v>1.1131627971718667</v>
      </c>
      <c r="D32">
        <f t="shared" si="1"/>
        <v>-0.29726018439497315</v>
      </c>
      <c r="E32">
        <f t="shared" si="2"/>
        <v>8.8363617226533436E-2</v>
      </c>
    </row>
    <row r="33" spans="1:5" x14ac:dyDescent="0.25">
      <c r="A33">
        <v>1.2367688796875</v>
      </c>
      <c r="B33">
        <v>0.79385119080995048</v>
      </c>
      <c r="C33">
        <f t="shared" si="0"/>
        <v>0.91406189711648844</v>
      </c>
      <c r="D33">
        <f t="shared" si="1"/>
        <v>-0.12021070630653796</v>
      </c>
      <c r="E33">
        <f t="shared" si="2"/>
        <v>1.4450613910716725E-2</v>
      </c>
    </row>
    <row r="34" spans="1:5" x14ac:dyDescent="0.25">
      <c r="A34">
        <v>1.2538654110625</v>
      </c>
      <c r="B34">
        <v>0.78282547982647899</v>
      </c>
      <c r="C34">
        <f t="shared" si="0"/>
        <v>0.73048046316572457</v>
      </c>
      <c r="D34">
        <f t="shared" si="1"/>
        <v>5.2345016660754418E-2</v>
      </c>
      <c r="E34">
        <f t="shared" si="2"/>
        <v>2.7400007692146575E-3</v>
      </c>
    </row>
    <row r="35" spans="1:5" x14ac:dyDescent="0.25">
      <c r="A35">
        <v>1.2709619424375</v>
      </c>
      <c r="B35">
        <v>0.70197026594768774</v>
      </c>
      <c r="C35">
        <f t="shared" si="0"/>
        <v>0.5670501536458078</v>
      </c>
      <c r="D35">
        <f t="shared" si="1"/>
        <v>0.13492011230187995</v>
      </c>
      <c r="E35">
        <f t="shared" si="2"/>
        <v>1.8203436703551897E-2</v>
      </c>
    </row>
    <row r="36" spans="1:5" x14ac:dyDescent="0.25">
      <c r="A36">
        <v>1.2880584738125003</v>
      </c>
      <c r="B36">
        <v>0.45205415032233293</v>
      </c>
      <c r="C36">
        <f t="shared" si="0"/>
        <v>0.42670334250194808</v>
      </c>
      <c r="D36">
        <f t="shared" si="1"/>
        <v>2.5350807820384846E-2</v>
      </c>
      <c r="E36">
        <f t="shared" si="2"/>
        <v>6.4266345714608544E-4</v>
      </c>
    </row>
    <row r="37" spans="1:5" x14ac:dyDescent="0.25">
      <c r="A37">
        <v>1.3051550051875003</v>
      </c>
      <c r="B37">
        <v>0.56966173414602927</v>
      </c>
      <c r="C37">
        <f t="shared" si="0"/>
        <v>0.31058457673078316</v>
      </c>
      <c r="D37">
        <f t="shared" si="1"/>
        <v>0.25907715741524612</v>
      </c>
      <c r="E37">
        <f t="shared" si="2"/>
        <v>6.7120973494364217E-2</v>
      </c>
    </row>
    <row r="38" spans="1:5" x14ac:dyDescent="0.25">
      <c r="A38">
        <v>1.3222515365624998</v>
      </c>
      <c r="B38">
        <v>0.42632749136089937</v>
      </c>
      <c r="C38">
        <f t="shared" si="0"/>
        <v>0.2181644010876837</v>
      </c>
      <c r="D38">
        <f t="shared" si="1"/>
        <v>0.20816309027321567</v>
      </c>
      <c r="E38">
        <f t="shared" si="2"/>
        <v>4.3331872152094934E-2</v>
      </c>
    </row>
    <row r="39" spans="1:5" x14ac:dyDescent="0.25">
      <c r="A39">
        <v>1.3393480679374998</v>
      </c>
      <c r="B39">
        <v>0.27564277458678837</v>
      </c>
      <c r="C39">
        <f t="shared" si="0"/>
        <v>0.14752981387680997</v>
      </c>
      <c r="D39">
        <f t="shared" si="1"/>
        <v>0.12811296070997841</v>
      </c>
      <c r="E39">
        <f t="shared" si="2"/>
        <v>1.6412930701876473E-2</v>
      </c>
    </row>
    <row r="40" spans="1:5" x14ac:dyDescent="0.25">
      <c r="A40">
        <v>1.3564445993125001</v>
      </c>
      <c r="B40">
        <v>0.18008661273003507</v>
      </c>
      <c r="C40">
        <f t="shared" si="0"/>
        <v>9.5796062972683824E-2</v>
      </c>
      <c r="D40">
        <f t="shared" si="1"/>
        <v>8.4290549757351244E-2</v>
      </c>
      <c r="E40">
        <f t="shared" si="2"/>
        <v>7.1048967783965055E-3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3891C-A026-4397-BDE6-3190F79AFCF9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0.77695307946250003</v>
      </c>
      <c r="B1">
        <v>0.29700877002531012</v>
      </c>
      <c r="C1">
        <f>$H$3*(1+$H$1)*(A1^($H$1))*EXP(-$H$3*(A1^(1+$H$1)))</f>
        <v>0.56517144869746827</v>
      </c>
      <c r="D1">
        <f>B1-C1</f>
        <v>-0.26816267867215815</v>
      </c>
      <c r="E1">
        <f>D1^2</f>
        <v>7.1911222232627151E-2</v>
      </c>
      <c r="G1" t="s">
        <v>0</v>
      </c>
      <c r="H1">
        <v>9.3644599586407047</v>
      </c>
    </row>
    <row r="2" spans="1:8" x14ac:dyDescent="0.25">
      <c r="A2">
        <v>0.7890117363875</v>
      </c>
      <c r="B2">
        <v>0.59922822022650279</v>
      </c>
      <c r="C2">
        <f t="shared" ref="C2:C40" si="0">$H$3*(1+$H$1)*(A2^($H$1))*EXP(-$H$3*(A2^(1+$H$1)))</f>
        <v>0.64786919926164743</v>
      </c>
      <c r="D2">
        <f t="shared" ref="D2:D40" si="1">B2-C2</f>
        <v>-4.8640979035144638E-2</v>
      </c>
      <c r="E2">
        <f t="shared" ref="E2:E40" si="2">D2^2</f>
        <v>2.3659448414973801E-3</v>
      </c>
    </row>
    <row r="3" spans="1:8" x14ac:dyDescent="0.25">
      <c r="A3">
        <v>0.80107039331250007</v>
      </c>
      <c r="B3">
        <v>0.58359617969885491</v>
      </c>
      <c r="C3">
        <f t="shared" si="0"/>
        <v>0.74017140369695555</v>
      </c>
      <c r="D3">
        <f t="shared" si="1"/>
        <v>-0.15657522399810064</v>
      </c>
      <c r="E3">
        <f t="shared" si="2"/>
        <v>2.4515800770055392E-2</v>
      </c>
      <c r="G3" t="s">
        <v>1</v>
      </c>
      <c r="H3">
        <f>(_xlfn.GAMMA((2+$H$1)/(1+$H$1)))^(1+$H$1)</f>
        <v>0.6057034533156197</v>
      </c>
    </row>
    <row r="4" spans="1:8" x14ac:dyDescent="0.25">
      <c r="A4">
        <v>0.81312905023750004</v>
      </c>
      <c r="B4">
        <v>0.90665835060357813</v>
      </c>
      <c r="C4">
        <f t="shared" si="0"/>
        <v>0.84270246018516171</v>
      </c>
      <c r="D4">
        <f t="shared" si="1"/>
        <v>6.3955890418416428E-2</v>
      </c>
      <c r="E4">
        <f t="shared" si="2"/>
        <v>4.0903559192124904E-3</v>
      </c>
    </row>
    <row r="5" spans="1:8" x14ac:dyDescent="0.25">
      <c r="A5">
        <v>0.82518770716250001</v>
      </c>
      <c r="B5">
        <v>0.99002923341770033</v>
      </c>
      <c r="C5">
        <f t="shared" si="0"/>
        <v>0.95601120756266955</v>
      </c>
      <c r="D5">
        <f t="shared" si="1"/>
        <v>3.4018025855030776E-2</v>
      </c>
      <c r="E5">
        <f t="shared" si="2"/>
        <v>1.1572260830735423E-3</v>
      </c>
      <c r="G5" t="s">
        <v>2</v>
      </c>
      <c r="H5">
        <f>SUM(E1:E40)</f>
        <v>10.582404228568253</v>
      </c>
    </row>
    <row r="6" spans="1:8" x14ac:dyDescent="0.25">
      <c r="A6">
        <v>0.83724636408749997</v>
      </c>
      <c r="B6">
        <v>1.1463496386941794</v>
      </c>
      <c r="C6">
        <f t="shared" si="0"/>
        <v>1.0805332446735441</v>
      </c>
      <c r="D6">
        <f t="shared" si="1"/>
        <v>6.5816394020635327E-2</v>
      </c>
      <c r="E6">
        <f t="shared" si="2"/>
        <v>4.3317977218795215E-3</v>
      </c>
    </row>
    <row r="7" spans="1:8" x14ac:dyDescent="0.25">
      <c r="A7">
        <v>0.84930502101249994</v>
      </c>
      <c r="B7">
        <v>1.5632040527647899</v>
      </c>
      <c r="C7">
        <f t="shared" si="0"/>
        <v>1.2165457941155267</v>
      </c>
      <c r="D7">
        <f t="shared" si="1"/>
        <v>0.34665825864926325</v>
      </c>
      <c r="E7">
        <f t="shared" si="2"/>
        <v>0.1201719482897395</v>
      </c>
    </row>
    <row r="8" spans="1:8" x14ac:dyDescent="0.25">
      <c r="A8">
        <v>0.86136367793750002</v>
      </c>
      <c r="B8">
        <v>1.7612098994483301</v>
      </c>
      <c r="C8">
        <f t="shared" si="0"/>
        <v>1.3641147962184994</v>
      </c>
      <c r="D8">
        <f t="shared" si="1"/>
        <v>0.39709510322983066</v>
      </c>
      <c r="E8">
        <f t="shared" si="2"/>
        <v>0.15768452100910987</v>
      </c>
    </row>
    <row r="9" spans="1:8" x14ac:dyDescent="0.25">
      <c r="A9">
        <v>0.87342233486249998</v>
      </c>
      <c r="B9">
        <v>1.8862662236695131</v>
      </c>
      <c r="C9">
        <f t="shared" si="0"/>
        <v>1.5230343330930751</v>
      </c>
      <c r="D9">
        <f t="shared" si="1"/>
        <v>0.36323189057643801</v>
      </c>
      <c r="E9">
        <f t="shared" si="2"/>
        <v>0.13193740633173343</v>
      </c>
    </row>
    <row r="10" spans="1:8" x14ac:dyDescent="0.25">
      <c r="A10">
        <v>0.88548099178750006</v>
      </c>
      <c r="B10">
        <v>2.6678682500519084</v>
      </c>
      <c r="C10">
        <f t="shared" si="0"/>
        <v>1.6927590883089272</v>
      </c>
      <c r="D10">
        <f t="shared" si="1"/>
        <v>0.97510916174298123</v>
      </c>
      <c r="E10">
        <f t="shared" si="2"/>
        <v>0.9508378773150995</v>
      </c>
    </row>
    <row r="11" spans="1:8" x14ac:dyDescent="0.25">
      <c r="A11">
        <v>0.89753964871250003</v>
      </c>
      <c r="B11">
        <v>3.1524615064089931</v>
      </c>
      <c r="C11">
        <f t="shared" si="0"/>
        <v>1.872331383080668</v>
      </c>
      <c r="D11">
        <f t="shared" si="1"/>
        <v>1.2801301233283251</v>
      </c>
      <c r="E11">
        <f t="shared" si="2"/>
        <v>1.6387331326525929</v>
      </c>
    </row>
    <row r="12" spans="1:8" x14ac:dyDescent="0.25">
      <c r="A12">
        <v>0.90959830563749999</v>
      </c>
      <c r="B12">
        <v>2.5844973672377862</v>
      </c>
      <c r="C12">
        <f t="shared" si="0"/>
        <v>2.060305425213528</v>
      </c>
      <c r="D12">
        <f t="shared" si="1"/>
        <v>0.52419194202425823</v>
      </c>
      <c r="E12">
        <f t="shared" si="2"/>
        <v>0.27477719208316331</v>
      </c>
    </row>
    <row r="13" spans="1:8" x14ac:dyDescent="0.25">
      <c r="A13">
        <v>0.92165696256250007</v>
      </c>
      <c r="B13">
        <v>3.1628828667607585</v>
      </c>
      <c r="C13">
        <f t="shared" si="0"/>
        <v>2.2546727759300169</v>
      </c>
      <c r="D13">
        <f t="shared" si="1"/>
        <v>0.90821009083074156</v>
      </c>
      <c r="E13">
        <f t="shared" si="2"/>
        <v>0.82484556908678386</v>
      </c>
    </row>
    <row r="14" spans="1:8" x14ac:dyDescent="0.25">
      <c r="A14">
        <v>0.93371561948750004</v>
      </c>
      <c r="B14">
        <v>3.256675109926646</v>
      </c>
      <c r="C14">
        <f t="shared" si="0"/>
        <v>2.4527946650964618</v>
      </c>
      <c r="D14">
        <f t="shared" si="1"/>
        <v>0.80388044483018417</v>
      </c>
      <c r="E14">
        <f t="shared" si="2"/>
        <v>0.64622376958037475</v>
      </c>
    </row>
    <row r="15" spans="1:8" x14ac:dyDescent="0.25">
      <c r="A15">
        <v>0.94577427641249989</v>
      </c>
      <c r="B15">
        <v>3.4807343574895988</v>
      </c>
      <c r="C15">
        <f t="shared" si="0"/>
        <v>2.6513486026805744</v>
      </c>
      <c r="D15">
        <f t="shared" si="1"/>
        <v>0.82938575480902443</v>
      </c>
      <c r="E15">
        <f t="shared" si="2"/>
        <v>0.68788073028013519</v>
      </c>
    </row>
    <row r="16" spans="1:8" x14ac:dyDescent="0.25">
      <c r="A16">
        <v>0.95783293333749997</v>
      </c>
      <c r="B16">
        <v>3.7308470059319654</v>
      </c>
      <c r="C16">
        <f t="shared" si="0"/>
        <v>2.8462986109207904</v>
      </c>
      <c r="D16">
        <f t="shared" si="1"/>
        <v>0.88454839501117499</v>
      </c>
      <c r="E16">
        <f t="shared" si="2"/>
        <v>0.7824258631168457</v>
      </c>
    </row>
    <row r="17" spans="1:5" x14ac:dyDescent="0.25">
      <c r="A17">
        <v>0.96989159026250005</v>
      </c>
      <c r="B17">
        <v>3.5015770781931295</v>
      </c>
      <c r="C17">
        <f t="shared" si="0"/>
        <v>3.032900115991072</v>
      </c>
      <c r="D17">
        <f t="shared" si="1"/>
        <v>0.46867696220205746</v>
      </c>
      <c r="E17">
        <f t="shared" si="2"/>
        <v>0.2196580948989488</v>
      </c>
    </row>
    <row r="18" spans="1:5" x14ac:dyDescent="0.25">
      <c r="A18">
        <v>0.98195024718750001</v>
      </c>
      <c r="B18">
        <v>3.4338382359066553</v>
      </c>
      <c r="C18">
        <f t="shared" si="0"/>
        <v>3.2057517614978672</v>
      </c>
      <c r="D18">
        <f t="shared" si="1"/>
        <v>0.22808647440878804</v>
      </c>
      <c r="E18">
        <f t="shared" si="2"/>
        <v>5.2023439808230723E-2</v>
      </c>
    </row>
    <row r="19" spans="1:5" x14ac:dyDescent="0.25">
      <c r="A19">
        <v>0.99400890411249998</v>
      </c>
      <c r="B19">
        <v>3.4025741548513597</v>
      </c>
      <c r="C19">
        <f t="shared" si="0"/>
        <v>3.3589066968403727</v>
      </c>
      <c r="D19">
        <f t="shared" si="1"/>
        <v>4.3667458010987037E-2</v>
      </c>
      <c r="E19">
        <f t="shared" si="2"/>
        <v>1.9068468891413159E-3</v>
      </c>
    </row>
    <row r="20" spans="1:5" x14ac:dyDescent="0.25">
      <c r="A20">
        <v>1.0060675610374998</v>
      </c>
      <c r="B20">
        <v>3.8454819698013836</v>
      </c>
      <c r="C20">
        <f t="shared" si="0"/>
        <v>3.4860547092340344</v>
      </c>
      <c r="D20">
        <f t="shared" si="1"/>
        <v>0.35942726056734919</v>
      </c>
      <c r="E20">
        <f t="shared" si="2"/>
        <v>0.12918795563894914</v>
      </c>
    </row>
    <row r="21" spans="1:5" x14ac:dyDescent="0.25">
      <c r="A21">
        <v>1.0181262179625001</v>
      </c>
      <c r="B21">
        <v>3.6057906817107823</v>
      </c>
      <c r="C21">
        <f t="shared" si="0"/>
        <v>3.5807833140832965</v>
      </c>
      <c r="D21">
        <f t="shared" si="1"/>
        <v>2.5007367627485788E-2</v>
      </c>
      <c r="E21">
        <f t="shared" si="2"/>
        <v>6.2536843565622416E-4</v>
      </c>
    </row>
    <row r="22" spans="1:5" x14ac:dyDescent="0.25">
      <c r="A22">
        <v>1.0301848748875</v>
      </c>
      <c r="B22">
        <v>3.8402712896255009</v>
      </c>
      <c r="C22">
        <f t="shared" si="0"/>
        <v>3.6369200400612609</v>
      </c>
      <c r="D22">
        <f t="shared" si="1"/>
        <v>0.20335124956424</v>
      </c>
      <c r="E22">
        <f t="shared" si="2"/>
        <v>4.135173069933782E-2</v>
      </c>
    </row>
    <row r="23" spans="1:5" x14ac:dyDescent="0.25">
      <c r="A23">
        <v>1.0422435318125001</v>
      </c>
      <c r="B23">
        <v>3.1524615064089931</v>
      </c>
      <c r="C23">
        <f t="shared" si="0"/>
        <v>3.6489492785446767</v>
      </c>
      <c r="D23">
        <f t="shared" si="1"/>
        <v>-0.49648777213568351</v>
      </c>
      <c r="E23">
        <f t="shared" si="2"/>
        <v>0.24650010788025439</v>
      </c>
    </row>
    <row r="24" spans="1:5" x14ac:dyDescent="0.25">
      <c r="A24">
        <v>1.0543021887374999</v>
      </c>
      <c r="B24">
        <v>3.2723071504542935</v>
      </c>
      <c r="C24">
        <f t="shared" si="0"/>
        <v>3.6124852429226784</v>
      </c>
      <c r="D24">
        <f t="shared" si="1"/>
        <v>-0.34017809246838482</v>
      </c>
      <c r="E24">
        <f t="shared" si="2"/>
        <v>0.11572113459542897</v>
      </c>
    </row>
    <row r="25" spans="1:5" x14ac:dyDescent="0.25">
      <c r="A25">
        <v>1.0663608456625</v>
      </c>
      <c r="B25">
        <v>3.0169838218360447</v>
      </c>
      <c r="C25">
        <f t="shared" si="0"/>
        <v>3.5247684684937539</v>
      </c>
      <c r="D25">
        <f t="shared" si="1"/>
        <v>-0.50778464665770917</v>
      </c>
      <c r="E25">
        <f t="shared" si="2"/>
        <v>0.25784524738129455</v>
      </c>
    </row>
    <row r="26" spans="1:5" x14ac:dyDescent="0.25">
      <c r="A26">
        <v>1.0784195025875001</v>
      </c>
      <c r="B26">
        <v>2.7564498130419128</v>
      </c>
      <c r="C26">
        <f t="shared" si="0"/>
        <v>3.3851384087360397</v>
      </c>
      <c r="D26">
        <f t="shared" si="1"/>
        <v>-0.62868859569412683</v>
      </c>
      <c r="E26">
        <f t="shared" si="2"/>
        <v>0.39524935035585329</v>
      </c>
    </row>
    <row r="27" spans="1:5" x14ac:dyDescent="0.25">
      <c r="A27">
        <v>1.0904781595124999</v>
      </c>
      <c r="B27">
        <v>2.5063371645995467</v>
      </c>
      <c r="C27">
        <f t="shared" si="0"/>
        <v>3.1954215753386803</v>
      </c>
      <c r="D27">
        <f t="shared" si="1"/>
        <v>-0.68908441073913362</v>
      </c>
      <c r="E27">
        <f t="shared" si="2"/>
        <v>0.47483732512369903</v>
      </c>
    </row>
    <row r="28" spans="1:5" x14ac:dyDescent="0.25">
      <c r="A28">
        <v>1.1025368164375</v>
      </c>
      <c r="B28">
        <v>2.2562245161571801</v>
      </c>
      <c r="C28">
        <f t="shared" si="0"/>
        <v>2.9601667727968972</v>
      </c>
      <c r="D28">
        <f t="shared" si="1"/>
        <v>-0.7039422566397171</v>
      </c>
      <c r="E28">
        <f t="shared" si="2"/>
        <v>0.49553470068301736</v>
      </c>
    </row>
    <row r="29" spans="1:5" x14ac:dyDescent="0.25">
      <c r="A29">
        <v>1.1145954733624999</v>
      </c>
      <c r="B29">
        <v>1.9487943857801049</v>
      </c>
      <c r="C29">
        <f t="shared" si="0"/>
        <v>2.6866602466869294</v>
      </c>
      <c r="D29">
        <f t="shared" si="1"/>
        <v>-0.73786586090682449</v>
      </c>
      <c r="E29">
        <f t="shared" si="2"/>
        <v>0.54444602869176928</v>
      </c>
    </row>
    <row r="30" spans="1:5" x14ac:dyDescent="0.25">
      <c r="A30">
        <v>1.1266541302874999</v>
      </c>
      <c r="B30">
        <v>1.6778390166342079</v>
      </c>
      <c r="C30">
        <f t="shared" si="0"/>
        <v>2.3846676275957246</v>
      </c>
      <c r="D30">
        <f t="shared" si="1"/>
        <v>-0.70682861096151672</v>
      </c>
      <c r="E30">
        <f t="shared" si="2"/>
        <v>0.49960668527378715</v>
      </c>
    </row>
    <row r="31" spans="1:5" x14ac:dyDescent="0.25">
      <c r="A31">
        <v>1.1387127872125</v>
      </c>
      <c r="B31">
        <v>1.5684147329406726</v>
      </c>
      <c r="C31">
        <f t="shared" si="0"/>
        <v>2.0658784832803936</v>
      </c>
      <c r="D31">
        <f t="shared" si="1"/>
        <v>-0.49746375033972101</v>
      </c>
      <c r="E31">
        <f t="shared" si="2"/>
        <v>0.24747018290206027</v>
      </c>
    </row>
    <row r="32" spans="1:5" x14ac:dyDescent="0.25">
      <c r="A32">
        <v>1.1507714441374999</v>
      </c>
      <c r="B32">
        <v>1.3391448052018367</v>
      </c>
      <c r="C32">
        <f t="shared" si="0"/>
        <v>1.7430721732159371</v>
      </c>
      <c r="D32">
        <f t="shared" si="1"/>
        <v>-0.40392736801410045</v>
      </c>
      <c r="E32">
        <f t="shared" si="2"/>
        <v>0.16315731863079855</v>
      </c>
    </row>
    <row r="33" spans="1:5" x14ac:dyDescent="0.25">
      <c r="A33">
        <v>1.1628301010625</v>
      </c>
      <c r="B33">
        <v>1.1828243999253578</v>
      </c>
      <c r="C33">
        <f t="shared" si="0"/>
        <v>1.4290754229849818</v>
      </c>
      <c r="D33">
        <f t="shared" si="1"/>
        <v>-0.24625102305962399</v>
      </c>
      <c r="E33">
        <f t="shared" si="2"/>
        <v>6.0639566357911463E-2</v>
      </c>
    </row>
    <row r="34" spans="1:5" x14ac:dyDescent="0.25">
      <c r="A34">
        <v>1.1748887579875</v>
      </c>
      <c r="B34">
        <v>1.0786107964077052</v>
      </c>
      <c r="C34">
        <f t="shared" si="0"/>
        <v>1.1356329526919291</v>
      </c>
      <c r="D34">
        <f t="shared" si="1"/>
        <v>-5.7022156284223913E-2</v>
      </c>
      <c r="E34">
        <f t="shared" si="2"/>
        <v>3.2515263073024567E-3</v>
      </c>
    </row>
    <row r="35" spans="1:5" x14ac:dyDescent="0.25">
      <c r="A35">
        <v>1.1869474149124999</v>
      </c>
      <c r="B35">
        <v>1.0681894360559399</v>
      </c>
      <c r="C35">
        <f t="shared" si="0"/>
        <v>0.87234957166685945</v>
      </c>
      <c r="D35">
        <f t="shared" si="1"/>
        <v>0.19583986438908041</v>
      </c>
      <c r="E35">
        <f t="shared" si="2"/>
        <v>3.8353252483933405E-2</v>
      </c>
    </row>
    <row r="36" spans="1:5" x14ac:dyDescent="0.25">
      <c r="A36">
        <v>1.1990060718375</v>
      </c>
      <c r="B36">
        <v>0.63570298145768123</v>
      </c>
      <c r="C36">
        <f t="shared" si="0"/>
        <v>0.64587197791008066</v>
      </c>
      <c r="D36">
        <f t="shared" si="1"/>
        <v>-1.0168996452399437E-2</v>
      </c>
      <c r="E36">
        <f t="shared" si="2"/>
        <v>1.0340848884891233E-4</v>
      </c>
    </row>
    <row r="37" spans="1:5" x14ac:dyDescent="0.25">
      <c r="A37">
        <v>1.2110647287625</v>
      </c>
      <c r="B37">
        <v>0.8024447470859255</v>
      </c>
      <c r="C37">
        <f t="shared" si="0"/>
        <v>0.45945179049225038</v>
      </c>
      <c r="D37">
        <f t="shared" si="1"/>
        <v>0.34299295659367512</v>
      </c>
      <c r="E37">
        <f t="shared" si="2"/>
        <v>0.11764416827287071</v>
      </c>
    </row>
    <row r="38" spans="1:5" x14ac:dyDescent="0.25">
      <c r="A38">
        <v>1.2231233856874999</v>
      </c>
      <c r="B38">
        <v>0.64612434180944656</v>
      </c>
      <c r="C38">
        <f t="shared" si="0"/>
        <v>0.31296767935602882</v>
      </c>
      <c r="D38">
        <f t="shared" si="1"/>
        <v>0.33315666245341774</v>
      </c>
      <c r="E38">
        <f t="shared" si="2"/>
        <v>0.11099336173710053</v>
      </c>
    </row>
    <row r="39" spans="1:5" x14ac:dyDescent="0.25">
      <c r="A39">
        <v>1.2351820426125</v>
      </c>
      <c r="B39">
        <v>0.34390489160825377</v>
      </c>
      <c r="C39">
        <f t="shared" si="0"/>
        <v>0.20339519077360702</v>
      </c>
      <c r="D39">
        <f t="shared" si="1"/>
        <v>0.14050970083464676</v>
      </c>
      <c r="E39">
        <f t="shared" si="2"/>
        <v>1.9742976028641931E-2</v>
      </c>
    </row>
    <row r="40" spans="1:5" x14ac:dyDescent="0.25">
      <c r="A40">
        <v>1.2472406995375001</v>
      </c>
      <c r="B40">
        <v>0.27616604932177957</v>
      </c>
      <c r="C40">
        <f t="shared" si="0"/>
        <v>0.12562006402329062</v>
      </c>
      <c r="D40">
        <f t="shared" si="1"/>
        <v>0.15054598529848895</v>
      </c>
      <c r="E40">
        <f t="shared" si="2"/>
        <v>2.2664093689492851E-2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299B9-C69D-4390-8FD4-069C2BA4CC95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0.85599990552499994</v>
      </c>
      <c r="B1">
        <v>0.41988685780832741</v>
      </c>
      <c r="C1">
        <f>$H$3*(1+$H$1)*(A1^($H$1))*EXP(-$H$3*(A1^(1+$H$1)))</f>
        <v>0.83652992567308448</v>
      </c>
      <c r="D1">
        <f>B1-C1</f>
        <v>-0.41664306786475708</v>
      </c>
      <c r="E1">
        <f>D1^2</f>
        <v>0.17359144599975657</v>
      </c>
      <c r="G1" t="s">
        <v>0</v>
      </c>
      <c r="H1">
        <v>15.475082856436114</v>
      </c>
    </row>
    <row r="2" spans="1:8" x14ac:dyDescent="0.25">
      <c r="A2">
        <v>0.86363178057500001</v>
      </c>
      <c r="B2">
        <v>0.87270601818985694</v>
      </c>
      <c r="C2">
        <f t="shared" ref="C2:C40" si="0">$H$3*(1+$H$1)*(A2^($H$1))*EXP(-$H$3*(A2^(1+$H$1)))</f>
        <v>0.95285235842897942</v>
      </c>
      <c r="D2">
        <f t="shared" ref="D2:D40" si="1">B2-C2</f>
        <v>-8.0146340239122482E-2</v>
      </c>
      <c r="E2">
        <f t="shared" ref="E2:E40" si="2">D2^2</f>
        <v>6.4234358537251833E-3</v>
      </c>
    </row>
    <row r="3" spans="1:8" x14ac:dyDescent="0.25">
      <c r="A3">
        <v>0.87126365562499997</v>
      </c>
      <c r="B3">
        <v>0.95503677462286241</v>
      </c>
      <c r="C3">
        <f t="shared" si="0"/>
        <v>1.0829017851053344</v>
      </c>
      <c r="D3">
        <f t="shared" si="1"/>
        <v>-0.12786501048247201</v>
      </c>
      <c r="E3">
        <f t="shared" si="2"/>
        <v>1.6349460905682678E-2</v>
      </c>
      <c r="G3" t="s">
        <v>1</v>
      </c>
      <c r="H3">
        <f>(_xlfn.GAMMA((2+$H$1)/(1+$H$1)))^(1+$H$1)</f>
        <v>0.58936347829457669</v>
      </c>
    </row>
    <row r="4" spans="1:8" x14ac:dyDescent="0.25">
      <c r="A4">
        <v>0.87889553067500004</v>
      </c>
      <c r="B4">
        <v>1.3337582542146871</v>
      </c>
      <c r="C4">
        <f t="shared" si="0"/>
        <v>1.2277759120642722</v>
      </c>
      <c r="D4">
        <f t="shared" si="1"/>
        <v>0.10598234215041491</v>
      </c>
      <c r="E4">
        <f t="shared" si="2"/>
        <v>1.1232256847687612E-2</v>
      </c>
    </row>
    <row r="5" spans="1:8" x14ac:dyDescent="0.25">
      <c r="A5">
        <v>0.88652740572499988</v>
      </c>
      <c r="B5">
        <v>1.5395851452972005</v>
      </c>
      <c r="C5">
        <f t="shared" si="0"/>
        <v>1.3885291374408431</v>
      </c>
      <c r="D5">
        <f t="shared" si="1"/>
        <v>0.15105600785635742</v>
      </c>
      <c r="E5">
        <f t="shared" si="2"/>
        <v>2.2817917509499915E-2</v>
      </c>
      <c r="G5" t="s">
        <v>2</v>
      </c>
      <c r="H5">
        <f>SUM(E1:E40)</f>
        <v>27.832030712585865</v>
      </c>
    </row>
    <row r="6" spans="1:8" x14ac:dyDescent="0.25">
      <c r="A6">
        <v>0.89415928077499984</v>
      </c>
      <c r="B6">
        <v>1.7124797338065119</v>
      </c>
      <c r="C6">
        <f t="shared" si="0"/>
        <v>1.5661275551057752</v>
      </c>
      <c r="D6">
        <f t="shared" si="1"/>
        <v>0.14635217870073669</v>
      </c>
      <c r="E6">
        <f t="shared" si="2"/>
        <v>2.1418960210452365E-2</v>
      </c>
    </row>
    <row r="7" spans="1:8" x14ac:dyDescent="0.25">
      <c r="A7">
        <v>0.90179115582499991</v>
      </c>
      <c r="B7">
        <v>2.1652988941880413</v>
      </c>
      <c r="C7">
        <f t="shared" si="0"/>
        <v>1.761392136533781</v>
      </c>
      <c r="D7">
        <f t="shared" si="1"/>
        <v>0.40390675765426032</v>
      </c>
      <c r="E7">
        <f t="shared" si="2"/>
        <v>0.16314066887877737</v>
      </c>
    </row>
    <row r="8" spans="1:8" x14ac:dyDescent="0.25">
      <c r="A8">
        <v>0.90942303087499998</v>
      </c>
      <c r="B8">
        <v>2.725148037932478</v>
      </c>
      <c r="C8">
        <f t="shared" si="0"/>
        <v>1.9749285198045852</v>
      </c>
      <c r="D8">
        <f t="shared" si="1"/>
        <v>0.75021951812789278</v>
      </c>
      <c r="E8">
        <f t="shared" si="2"/>
        <v>0.5628293253800476</v>
      </c>
    </row>
    <row r="9" spans="1:8" x14ac:dyDescent="0.25">
      <c r="A9">
        <v>0.91705490592499994</v>
      </c>
      <c r="B9">
        <v>2.683982659715975</v>
      </c>
      <c r="C9">
        <f t="shared" si="0"/>
        <v>2.2070420787835969</v>
      </c>
      <c r="D9">
        <f t="shared" si="1"/>
        <v>0.47694058093237812</v>
      </c>
      <c r="E9">
        <f t="shared" si="2"/>
        <v>0.22747231774011434</v>
      </c>
    </row>
    <row r="10" spans="1:8" x14ac:dyDescent="0.25">
      <c r="A10">
        <v>0.9246867809749999</v>
      </c>
      <c r="B10">
        <v>3.8366132497780505</v>
      </c>
      <c r="C10">
        <f t="shared" si="0"/>
        <v>2.457637437805253</v>
      </c>
      <c r="D10">
        <f t="shared" si="1"/>
        <v>1.3789758119727975</v>
      </c>
      <c r="E10">
        <f t="shared" si="2"/>
        <v>1.9015742900060362</v>
      </c>
    </row>
    <row r="11" spans="1:8" x14ac:dyDescent="0.25">
      <c r="A11">
        <v>0.93231865602499997</v>
      </c>
      <c r="B11">
        <v>4.1000716703636675</v>
      </c>
      <c r="C11">
        <f t="shared" si="0"/>
        <v>2.7261024281103454</v>
      </c>
      <c r="D11">
        <f t="shared" si="1"/>
        <v>1.3739692422533221</v>
      </c>
      <c r="E11">
        <f t="shared" si="2"/>
        <v>1.887791478658168</v>
      </c>
    </row>
    <row r="12" spans="1:8" x14ac:dyDescent="0.25">
      <c r="A12">
        <v>0.93995053107499982</v>
      </c>
      <c r="B12">
        <v>4.9151461590504208</v>
      </c>
      <c r="C12">
        <f t="shared" si="0"/>
        <v>3.0111777544950726</v>
      </c>
      <c r="D12">
        <f t="shared" si="1"/>
        <v>1.9039684045553482</v>
      </c>
      <c r="E12">
        <f t="shared" si="2"/>
        <v>3.625095685545038</v>
      </c>
    </row>
    <row r="13" spans="1:8" x14ac:dyDescent="0.25">
      <c r="A13">
        <v>0.947582406125</v>
      </c>
      <c r="B13">
        <v>4.1165378216502688</v>
      </c>
      <c r="C13">
        <f t="shared" si="0"/>
        <v>3.3108154612774463</v>
      </c>
      <c r="D13">
        <f t="shared" si="1"/>
        <v>0.80572236037282252</v>
      </c>
      <c r="E13">
        <f t="shared" si="2"/>
        <v>0.64918852200475252</v>
      </c>
    </row>
    <row r="14" spans="1:8" x14ac:dyDescent="0.25">
      <c r="A14">
        <v>0.95521428117499996</v>
      </c>
      <c r="B14">
        <v>5.3021007142855465</v>
      </c>
      <c r="C14">
        <f t="shared" si="0"/>
        <v>3.6220317524642001</v>
      </c>
      <c r="D14">
        <f t="shared" si="1"/>
        <v>1.6800689618213465</v>
      </c>
      <c r="E14">
        <f t="shared" si="2"/>
        <v>2.8226317164754571</v>
      </c>
    </row>
    <row r="15" spans="1:8" x14ac:dyDescent="0.25">
      <c r="A15">
        <v>0.96284615622499992</v>
      </c>
      <c r="B15">
        <v>4.9398453859803224</v>
      </c>
      <c r="C15">
        <f t="shared" si="0"/>
        <v>3.9407628932699681</v>
      </c>
      <c r="D15">
        <f t="shared" si="1"/>
        <v>0.99908249271035432</v>
      </c>
      <c r="E15">
        <f t="shared" si="2"/>
        <v>0.9981658272403352</v>
      </c>
    </row>
    <row r="16" spans="1:8" x14ac:dyDescent="0.25">
      <c r="A16">
        <v>0.97047803127499987</v>
      </c>
      <c r="B16">
        <v>5.8866490849598847</v>
      </c>
      <c r="C16">
        <f t="shared" si="0"/>
        <v>4.2617367875659573</v>
      </c>
      <c r="D16">
        <f t="shared" si="1"/>
        <v>1.6249122973939274</v>
      </c>
      <c r="E16">
        <f t="shared" si="2"/>
        <v>2.6403399742220111</v>
      </c>
    </row>
    <row r="17" spans="1:5" x14ac:dyDescent="0.25">
      <c r="A17">
        <v>0.97810990632499983</v>
      </c>
      <c r="B17">
        <v>5.6890552695206713</v>
      </c>
      <c r="C17">
        <f t="shared" si="0"/>
        <v>4.578377252778675</v>
      </c>
      <c r="D17">
        <f t="shared" si="1"/>
        <v>1.1106780167419963</v>
      </c>
      <c r="E17">
        <f t="shared" si="2"/>
        <v>1.2336056568739342</v>
      </c>
    </row>
    <row r="18" spans="1:5" x14ac:dyDescent="0.25">
      <c r="A18">
        <v>0.9857417813749999</v>
      </c>
      <c r="B18">
        <v>5.4832283784381577</v>
      </c>
      <c r="C18">
        <f t="shared" si="0"/>
        <v>4.8827626750913318</v>
      </c>
      <c r="D18">
        <f t="shared" si="1"/>
        <v>0.60046570334682592</v>
      </c>
      <c r="E18">
        <f t="shared" si="2"/>
        <v>0.36055906089579837</v>
      </c>
    </row>
    <row r="19" spans="1:5" x14ac:dyDescent="0.25">
      <c r="A19">
        <v>0.99337365642499997</v>
      </c>
      <c r="B19">
        <v>5.4749953027948575</v>
      </c>
      <c r="C19">
        <f t="shared" si="0"/>
        <v>5.1656650355778391</v>
      </c>
      <c r="D19">
        <f t="shared" si="1"/>
        <v>0.3093302672170184</v>
      </c>
      <c r="E19">
        <f t="shared" si="2"/>
        <v>9.5685214216552003E-2</v>
      </c>
    </row>
    <row r="20" spans="1:5" x14ac:dyDescent="0.25">
      <c r="A20">
        <v>1.0010055314749999</v>
      </c>
      <c r="B20">
        <v>5.4832283784381577</v>
      </c>
      <c r="C20">
        <f t="shared" si="0"/>
        <v>5.4166983330351046</v>
      </c>
      <c r="D20">
        <f t="shared" si="1"/>
        <v>6.6530045403053073E-2</v>
      </c>
      <c r="E20">
        <f t="shared" si="2"/>
        <v>4.4262469413323029E-3</v>
      </c>
    </row>
    <row r="21" spans="1:5" x14ac:dyDescent="0.25">
      <c r="A21">
        <v>1.0086374065249999</v>
      </c>
      <c r="B21">
        <v>6.0595436734691956</v>
      </c>
      <c r="C21">
        <f t="shared" si="0"/>
        <v>5.6246059025273638</v>
      </c>
      <c r="D21">
        <f t="shared" si="1"/>
        <v>0.43493777094183184</v>
      </c>
      <c r="E21">
        <f t="shared" si="2"/>
        <v>0.18917086459184937</v>
      </c>
    </row>
    <row r="22" spans="1:5" x14ac:dyDescent="0.25">
      <c r="A22">
        <v>1.0162692815749998</v>
      </c>
      <c r="B22">
        <v>5.6067245130876664</v>
      </c>
      <c r="C22">
        <f t="shared" si="0"/>
        <v>5.7777124089436303</v>
      </c>
      <c r="D22">
        <f t="shared" si="1"/>
        <v>-0.17098789585596386</v>
      </c>
      <c r="E22">
        <f t="shared" si="2"/>
        <v>2.9236860529249942E-2</v>
      </c>
    </row>
    <row r="23" spans="1:5" x14ac:dyDescent="0.25">
      <c r="A23">
        <v>1.023901156625</v>
      </c>
      <c r="B23">
        <v>5.6890552695206713</v>
      </c>
      <c r="C23">
        <f t="shared" si="0"/>
        <v>5.8645565564742554</v>
      </c>
      <c r="D23">
        <f t="shared" si="1"/>
        <v>-0.17550128695358413</v>
      </c>
      <c r="E23">
        <f t="shared" si="2"/>
        <v>3.0800701722364279E-2</v>
      </c>
    </row>
    <row r="24" spans="1:5" x14ac:dyDescent="0.25">
      <c r="A24">
        <v>1.031533031675</v>
      </c>
      <c r="B24">
        <v>5.0386422936999287</v>
      </c>
      <c r="C24">
        <f t="shared" si="0"/>
        <v>5.8747031017816509</v>
      </c>
      <c r="D24">
        <f t="shared" si="1"/>
        <v>-0.83606080808172223</v>
      </c>
      <c r="E24">
        <f t="shared" si="2"/>
        <v>0.69899767481026231</v>
      </c>
    </row>
    <row r="25" spans="1:5" x14ac:dyDescent="0.25">
      <c r="A25">
        <v>1.0391649067249999</v>
      </c>
      <c r="B25">
        <v>5.0304092180566284</v>
      </c>
      <c r="C25">
        <f t="shared" si="0"/>
        <v>5.7997065736243831</v>
      </c>
      <c r="D25">
        <f t="shared" si="1"/>
        <v>-0.76929735556775469</v>
      </c>
      <c r="E25">
        <f t="shared" si="2"/>
        <v>0.59181842128354034</v>
      </c>
    </row>
    <row r="26" spans="1:5" x14ac:dyDescent="0.25">
      <c r="A26">
        <v>1.0467967817750001</v>
      </c>
      <c r="B26">
        <v>4.8328154026174159</v>
      </c>
      <c r="C26">
        <f t="shared" si="0"/>
        <v>5.6341646260112634</v>
      </c>
      <c r="D26">
        <f t="shared" si="1"/>
        <v>-0.80134922339384751</v>
      </c>
      <c r="E26">
        <f t="shared" si="2"/>
        <v>0.64216057783392255</v>
      </c>
    </row>
    <row r="27" spans="1:5" x14ac:dyDescent="0.25">
      <c r="A27">
        <v>1.0544286568250001</v>
      </c>
      <c r="B27">
        <v>4.165936275510072</v>
      </c>
      <c r="C27">
        <f t="shared" si="0"/>
        <v>5.3767590108204528</v>
      </c>
      <c r="D27">
        <f t="shared" si="1"/>
        <v>-1.2108227353103809</v>
      </c>
      <c r="E27">
        <f t="shared" si="2"/>
        <v>1.4660916963445128</v>
      </c>
    </row>
    <row r="28" spans="1:5" x14ac:dyDescent="0.25">
      <c r="A28">
        <v>1.062060531875</v>
      </c>
      <c r="B28">
        <v>3.8530794010646514</v>
      </c>
      <c r="C28">
        <f t="shared" si="0"/>
        <v>5.0311428032939762</v>
      </c>
      <c r="D28">
        <f t="shared" si="1"/>
        <v>-1.1780634022293248</v>
      </c>
      <c r="E28">
        <f t="shared" si="2"/>
        <v>1.3878333796721321</v>
      </c>
    </row>
    <row r="29" spans="1:5" x14ac:dyDescent="0.25">
      <c r="A29">
        <v>1.069692406925</v>
      </c>
      <c r="B29">
        <v>3.5072902240460291</v>
      </c>
      <c r="C29">
        <f t="shared" si="0"/>
        <v>4.6065033909000839</v>
      </c>
      <c r="D29">
        <f t="shared" si="1"/>
        <v>-1.0992131668540548</v>
      </c>
      <c r="E29">
        <f t="shared" si="2"/>
        <v>1.2082695861853201</v>
      </c>
    </row>
    <row r="30" spans="1:5" x14ac:dyDescent="0.25">
      <c r="A30">
        <v>1.077324281975</v>
      </c>
      <c r="B30">
        <v>2.9062757020850896</v>
      </c>
      <c r="C30">
        <f t="shared" si="0"/>
        <v>4.1176243800942656</v>
      </c>
      <c r="D30">
        <f t="shared" si="1"/>
        <v>-1.211348678009176</v>
      </c>
      <c r="E30">
        <f t="shared" si="2"/>
        <v>1.4673656197145784</v>
      </c>
    </row>
    <row r="31" spans="1:5" x14ac:dyDescent="0.25">
      <c r="A31">
        <v>1.0849561570249999</v>
      </c>
      <c r="B31">
        <v>2.5687196007097679</v>
      </c>
      <c r="C31">
        <f t="shared" si="0"/>
        <v>3.584299103305967</v>
      </c>
      <c r="D31">
        <f t="shared" si="1"/>
        <v>-1.0155795025961991</v>
      </c>
      <c r="E31">
        <f t="shared" si="2"/>
        <v>1.0314017260935433</v>
      </c>
    </row>
    <row r="32" spans="1:5" x14ac:dyDescent="0.25">
      <c r="A32">
        <v>1.0925880320749999</v>
      </c>
      <c r="B32">
        <v>2.2229304236911451</v>
      </c>
      <c r="C32">
        <f t="shared" si="0"/>
        <v>3.0300232797687237</v>
      </c>
      <c r="D32">
        <f t="shared" si="1"/>
        <v>-0.80709285607757852</v>
      </c>
      <c r="E32">
        <f t="shared" si="2"/>
        <v>0.65139887833146293</v>
      </c>
    </row>
    <row r="33" spans="1:5" x14ac:dyDescent="0.25">
      <c r="A33">
        <v>1.1002199071249998</v>
      </c>
      <c r="B33">
        <v>1.9924043056787302</v>
      </c>
      <c r="C33">
        <f t="shared" si="0"/>
        <v>2.4800146790550897</v>
      </c>
      <c r="D33">
        <f t="shared" si="1"/>
        <v>-0.48761037337635948</v>
      </c>
      <c r="E33">
        <f t="shared" si="2"/>
        <v>0.2377638762242327</v>
      </c>
    </row>
    <row r="34" spans="1:5" x14ac:dyDescent="0.25">
      <c r="A34">
        <v>1.107851782175</v>
      </c>
      <c r="B34">
        <v>1.761878187666315</v>
      </c>
      <c r="C34">
        <f t="shared" si="0"/>
        <v>1.9587584439550443</v>
      </c>
      <c r="D34">
        <f t="shared" si="1"/>
        <v>-0.19688025628872929</v>
      </c>
      <c r="E34">
        <f t="shared" si="2"/>
        <v>3.8761835316315732E-2</v>
      </c>
    </row>
    <row r="35" spans="1:5" x14ac:dyDescent="0.25">
      <c r="A35">
        <v>1.115483657225</v>
      </c>
      <c r="B35">
        <v>1.6548482043034081</v>
      </c>
      <c r="C35">
        <f t="shared" si="0"/>
        <v>1.4874255002794809</v>
      </c>
      <c r="D35">
        <f t="shared" si="1"/>
        <v>0.16742270402392712</v>
      </c>
      <c r="E35">
        <f t="shared" si="2"/>
        <v>2.8030361822683501E-2</v>
      </c>
    </row>
    <row r="36" spans="1:5" x14ac:dyDescent="0.25">
      <c r="A36">
        <v>1.1231155322749999</v>
      </c>
      <c r="B36">
        <v>1.2596605734249822</v>
      </c>
      <c r="C36">
        <f t="shared" si="0"/>
        <v>1.0816117970773145</v>
      </c>
      <c r="D36">
        <f t="shared" si="1"/>
        <v>0.17804877634766769</v>
      </c>
      <c r="E36">
        <f t="shared" si="2"/>
        <v>3.170136675890179E-2</v>
      </c>
    </row>
    <row r="37" spans="1:5" x14ac:dyDescent="0.25">
      <c r="A37">
        <v>1.1307474073249999</v>
      </c>
      <c r="B37">
        <v>1.119698287488873</v>
      </c>
      <c r="C37">
        <f t="shared" si="0"/>
        <v>0.74985019366077121</v>
      </c>
      <c r="D37">
        <f t="shared" si="1"/>
        <v>0.3698480938281018</v>
      </c>
      <c r="E37">
        <f t="shared" si="2"/>
        <v>0.13678761250828039</v>
      </c>
    </row>
    <row r="38" spans="1:5" x14ac:dyDescent="0.25">
      <c r="A38">
        <v>1.1383792823749999</v>
      </c>
      <c r="B38">
        <v>1.1361644387754741</v>
      </c>
      <c r="C38">
        <f t="shared" si="0"/>
        <v>0.49322542532497854</v>
      </c>
      <c r="D38">
        <f t="shared" si="1"/>
        <v>0.64293901345049553</v>
      </c>
      <c r="E38">
        <f t="shared" si="2"/>
        <v>0.4133705750166965</v>
      </c>
    </row>
    <row r="39" spans="1:5" x14ac:dyDescent="0.25">
      <c r="A39">
        <v>1.146011157425</v>
      </c>
      <c r="B39">
        <v>0.55984914374443651</v>
      </c>
      <c r="C39">
        <f t="shared" si="0"/>
        <v>0.30618570213700896</v>
      </c>
      <c r="D39">
        <f t="shared" si="1"/>
        <v>0.25366344160742754</v>
      </c>
      <c r="E39">
        <f t="shared" si="2"/>
        <v>6.4345141608124809E-2</v>
      </c>
    </row>
    <row r="40" spans="1:5" x14ac:dyDescent="0.25">
      <c r="A40">
        <v>1.153643032475</v>
      </c>
      <c r="B40">
        <v>0.42811993345162797</v>
      </c>
      <c r="C40">
        <f t="shared" si="0"/>
        <v>0.17835105265832232</v>
      </c>
      <c r="D40">
        <f t="shared" si="1"/>
        <v>0.24976888079330564</v>
      </c>
      <c r="E40">
        <f t="shared" si="2"/>
        <v>6.2384493812740527E-2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F5413-38F8-45DD-9954-50BAF858D7E8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0.86799926333749999</v>
      </c>
      <c r="B1">
        <v>1.0240585875800422E-2</v>
      </c>
      <c r="C1">
        <f>$H$3*(1+$H$1)*(A1^($H$1))*EXP(-$H$3*(A1^(1+$H$1)))</f>
        <v>0.55134279300971578</v>
      </c>
      <c r="D1">
        <f>B1-C1</f>
        <v>-0.54110220713391532</v>
      </c>
      <c r="E1">
        <f>D1^2</f>
        <v>0.2927915985651946</v>
      </c>
      <c r="G1" t="s">
        <v>0</v>
      </c>
      <c r="H1">
        <v>22.534999999836579</v>
      </c>
    </row>
    <row r="2" spans="1:8" x14ac:dyDescent="0.25">
      <c r="A2">
        <v>0.87413502601249993</v>
      </c>
      <c r="B2">
        <v>0</v>
      </c>
      <c r="C2">
        <f t="shared" ref="C2:C40" si="0">$H$3*(1+$H$1)*(A2^($H$1))*EXP(-$H$3*(A2^(1+$H$1)))</f>
        <v>0.64377520466575711</v>
      </c>
      <c r="D2">
        <f t="shared" ref="D2:D40" si="1">B2-C2</f>
        <v>-0.64377520466575711</v>
      </c>
      <c r="E2">
        <f t="shared" ref="E2:E40" si="2">D2^2</f>
        <v>0.41444651414243744</v>
      </c>
    </row>
    <row r="3" spans="1:8" x14ac:dyDescent="0.25">
      <c r="A3">
        <v>0.88027078868749997</v>
      </c>
      <c r="B3">
        <v>0</v>
      </c>
      <c r="C3">
        <f t="shared" si="0"/>
        <v>0.7503881955759184</v>
      </c>
      <c r="D3">
        <f t="shared" si="1"/>
        <v>-0.7503881955759184</v>
      </c>
      <c r="E3">
        <f t="shared" si="2"/>
        <v>0.56308244405968277</v>
      </c>
      <c r="G3" t="s">
        <v>1</v>
      </c>
      <c r="H3">
        <f>(_xlfn.GAMMA((2+$H$1)/(1+$H$1)))^(1+$H$1)</f>
        <v>0.58101865899065175</v>
      </c>
    </row>
    <row r="4" spans="1:8" x14ac:dyDescent="0.25">
      <c r="A4">
        <v>0.88640655136250002</v>
      </c>
      <c r="B4">
        <v>0</v>
      </c>
      <c r="C4">
        <f t="shared" si="0"/>
        <v>0.873048485109988</v>
      </c>
      <c r="D4">
        <f t="shared" si="1"/>
        <v>-0.873048485109988</v>
      </c>
      <c r="E4">
        <f t="shared" si="2"/>
        <v>0.76221365735284496</v>
      </c>
    </row>
    <row r="5" spans="1:8" x14ac:dyDescent="0.25">
      <c r="A5">
        <v>0.89254231403749995</v>
      </c>
      <c r="B5">
        <v>7.1684101130602945E-2</v>
      </c>
      <c r="C5">
        <f t="shared" si="0"/>
        <v>1.0137845462466404</v>
      </c>
      <c r="D5">
        <f t="shared" si="1"/>
        <v>-0.94210044511603741</v>
      </c>
      <c r="E5">
        <f t="shared" si="2"/>
        <v>0.88755324868783581</v>
      </c>
      <c r="G5" t="s">
        <v>2</v>
      </c>
      <c r="H5">
        <f>SUM(E1:E40)</f>
        <v>51.881333090906558</v>
      </c>
    </row>
    <row r="6" spans="1:8" x14ac:dyDescent="0.25">
      <c r="A6">
        <v>0.8986780767125</v>
      </c>
      <c r="B6">
        <v>0.73732218305763031</v>
      </c>
      <c r="C6">
        <f t="shared" si="0"/>
        <v>1.1747733969697864</v>
      </c>
      <c r="D6">
        <f t="shared" si="1"/>
        <v>-0.43745121391215613</v>
      </c>
      <c r="E6">
        <f t="shared" si="2"/>
        <v>0.19136356455321898</v>
      </c>
    </row>
    <row r="7" spans="1:8" x14ac:dyDescent="0.25">
      <c r="A7">
        <v>0.90481383938749993</v>
      </c>
      <c r="B7">
        <v>1.310794992102454</v>
      </c>
      <c r="C7">
        <f t="shared" si="0"/>
        <v>1.3583153584852925</v>
      </c>
      <c r="D7">
        <f t="shared" si="1"/>
        <v>-4.7520366382838519E-2</v>
      </c>
      <c r="E7">
        <f t="shared" si="2"/>
        <v>2.2581852211592092E-3</v>
      </c>
    </row>
    <row r="8" spans="1:8" x14ac:dyDescent="0.25">
      <c r="A8">
        <v>0.91094960206249997</v>
      </c>
      <c r="B8">
        <v>1.5872908107490653</v>
      </c>
      <c r="C8">
        <f t="shared" si="0"/>
        <v>1.5667927946918088</v>
      </c>
      <c r="D8">
        <f t="shared" si="1"/>
        <v>2.0498016057256541E-2</v>
      </c>
      <c r="E8">
        <f t="shared" si="2"/>
        <v>4.2016866228354697E-4</v>
      </c>
    </row>
    <row r="9" spans="1:8" x14ac:dyDescent="0.25">
      <c r="A9">
        <v>0.91708536473750002</v>
      </c>
      <c r="B9">
        <v>2.0685983469116853</v>
      </c>
      <c r="C9">
        <f t="shared" si="0"/>
        <v>1.8026080150343471</v>
      </c>
      <c r="D9">
        <f t="shared" si="1"/>
        <v>0.26599033187733823</v>
      </c>
      <c r="E9">
        <f t="shared" si="2"/>
        <v>7.0750856652216532E-2</v>
      </c>
    </row>
    <row r="10" spans="1:8" x14ac:dyDescent="0.25">
      <c r="A10">
        <v>0.92322112741249995</v>
      </c>
      <c r="B10">
        <v>2.3553347514340968</v>
      </c>
      <c r="C10">
        <f t="shared" si="0"/>
        <v>2.0680946784545133</v>
      </c>
      <c r="D10">
        <f t="shared" si="1"/>
        <v>0.28724007297958343</v>
      </c>
      <c r="E10">
        <f t="shared" si="2"/>
        <v>8.2506859525316417E-2</v>
      </c>
    </row>
    <row r="11" spans="1:8" x14ac:dyDescent="0.25">
      <c r="A11">
        <v>0.9293568900875</v>
      </c>
      <c r="B11">
        <v>2.8878452169757187</v>
      </c>
      <c r="C11">
        <f t="shared" si="0"/>
        <v>2.3653962788523488</v>
      </c>
      <c r="D11">
        <f t="shared" si="1"/>
        <v>0.5224489381233699</v>
      </c>
      <c r="E11">
        <f t="shared" si="2"/>
        <v>0.27295289294623681</v>
      </c>
    </row>
    <row r="12" spans="1:8" x14ac:dyDescent="0.25">
      <c r="A12">
        <v>0.93549265276249993</v>
      </c>
      <c r="B12">
        <v>3.7685356022945551</v>
      </c>
      <c r="C12">
        <f t="shared" si="0"/>
        <v>2.6963047835996687</v>
      </c>
      <c r="D12">
        <f t="shared" si="1"/>
        <v>1.0722308186948863</v>
      </c>
      <c r="E12">
        <f t="shared" si="2"/>
        <v>1.1496789285591063</v>
      </c>
    </row>
    <row r="13" spans="1:8" x14ac:dyDescent="0.25">
      <c r="A13">
        <v>0.94162841543749998</v>
      </c>
      <c r="B13">
        <v>3.8607008751767591</v>
      </c>
      <c r="C13">
        <f t="shared" si="0"/>
        <v>3.0620524816757193</v>
      </c>
      <c r="D13">
        <f t="shared" si="1"/>
        <v>0.79864839350103978</v>
      </c>
      <c r="E13">
        <f t="shared" si="2"/>
        <v>0.63783925644179162</v>
      </c>
    </row>
    <row r="14" spans="1:8" x14ac:dyDescent="0.25">
      <c r="A14">
        <v>0.94776417811250002</v>
      </c>
      <c r="B14">
        <v>5.427510514174223</v>
      </c>
      <c r="C14">
        <f t="shared" si="0"/>
        <v>3.4630509303072379</v>
      </c>
      <c r="D14">
        <f t="shared" si="1"/>
        <v>1.9644595838669852</v>
      </c>
      <c r="E14">
        <f t="shared" si="2"/>
        <v>3.8591014566468487</v>
      </c>
    </row>
    <row r="15" spans="1:8" x14ac:dyDescent="0.25">
      <c r="A15">
        <v>0.95389994078749996</v>
      </c>
      <c r="B15">
        <v>5.9190586362126432</v>
      </c>
      <c r="C15">
        <f t="shared" si="0"/>
        <v>3.8985730505148561</v>
      </c>
      <c r="D15">
        <f t="shared" si="1"/>
        <v>2.020485585697787</v>
      </c>
      <c r="E15">
        <f t="shared" si="2"/>
        <v>4.0823620020125295</v>
      </c>
    </row>
    <row r="16" spans="1:8" x14ac:dyDescent="0.25">
      <c r="A16">
        <v>0.9600357034625</v>
      </c>
      <c r="B16">
        <v>6.359403828872062</v>
      </c>
      <c r="C16">
        <f t="shared" si="0"/>
        <v>4.3663785317685928</v>
      </c>
      <c r="D16">
        <f t="shared" si="1"/>
        <v>1.9930252971034692</v>
      </c>
      <c r="E16">
        <f t="shared" si="2"/>
        <v>3.9721498348943718</v>
      </c>
    </row>
    <row r="17" spans="1:5" x14ac:dyDescent="0.25">
      <c r="A17">
        <v>0.96617146613749993</v>
      </c>
      <c r="B17">
        <v>6.5949373040154713</v>
      </c>
      <c r="C17">
        <f t="shared" si="0"/>
        <v>4.8622895014652823</v>
      </c>
      <c r="D17">
        <f t="shared" si="1"/>
        <v>1.732647802550189</v>
      </c>
      <c r="E17">
        <f t="shared" si="2"/>
        <v>3.0020684076819988</v>
      </c>
    </row>
    <row r="18" spans="1:5" x14ac:dyDescent="0.25">
      <c r="A18">
        <v>0.97230722881249998</v>
      </c>
      <c r="B18">
        <v>7.5063494469617087</v>
      </c>
      <c r="C18">
        <f t="shared" si="0"/>
        <v>5.379733682138216</v>
      </c>
      <c r="D18">
        <f t="shared" si="1"/>
        <v>2.1266157648234927</v>
      </c>
      <c r="E18">
        <f t="shared" si="2"/>
        <v>4.5224946111958086</v>
      </c>
    </row>
    <row r="19" spans="1:5" x14ac:dyDescent="0.25">
      <c r="A19">
        <v>0.97844299148749991</v>
      </c>
      <c r="B19">
        <v>7.8340481949873224</v>
      </c>
      <c r="C19">
        <f t="shared" si="0"/>
        <v>5.9092866790026726</v>
      </c>
      <c r="D19">
        <f t="shared" si="1"/>
        <v>1.9247615159846498</v>
      </c>
      <c r="E19">
        <f t="shared" si="2"/>
        <v>3.7047068934155276</v>
      </c>
    </row>
    <row r="20" spans="1:5" x14ac:dyDescent="0.25">
      <c r="A20">
        <v>0.98457875416249996</v>
      </c>
      <c r="B20">
        <v>8.1310251853855338</v>
      </c>
      <c r="C20">
        <f t="shared" si="0"/>
        <v>6.4382639104812549</v>
      </c>
      <c r="D20">
        <f t="shared" si="1"/>
        <v>1.6927612749042789</v>
      </c>
      <c r="E20">
        <f t="shared" si="2"/>
        <v>2.8654407338155594</v>
      </c>
    </row>
    <row r="21" spans="1:5" x14ac:dyDescent="0.25">
      <c r="A21">
        <v>0.9907145168375</v>
      </c>
      <c r="B21">
        <v>7.9159728819937261</v>
      </c>
      <c r="C21">
        <f t="shared" si="0"/>
        <v>6.9504354887460602</v>
      </c>
      <c r="D21">
        <f t="shared" si="1"/>
        <v>0.96553739324766585</v>
      </c>
      <c r="E21">
        <f t="shared" si="2"/>
        <v>0.93226245775949779</v>
      </c>
    </row>
    <row r="22" spans="1:5" x14ac:dyDescent="0.25">
      <c r="A22">
        <v>0.99685027951250005</v>
      </c>
      <c r="B22">
        <v>7.4756276893343081</v>
      </c>
      <c r="C22">
        <f t="shared" si="0"/>
        <v>7.4259621040902974</v>
      </c>
      <c r="D22">
        <f t="shared" si="1"/>
        <v>4.9665585244010657E-2</v>
      </c>
      <c r="E22">
        <f t="shared" si="2"/>
        <v>2.466670357630089E-3</v>
      </c>
    </row>
    <row r="23" spans="1:5" x14ac:dyDescent="0.25">
      <c r="A23">
        <v>1.0029860421875001</v>
      </c>
      <c r="B23">
        <v>8.2436716300193389</v>
      </c>
      <c r="C23">
        <f t="shared" si="0"/>
        <v>7.8416724840264607</v>
      </c>
      <c r="D23">
        <f t="shared" si="1"/>
        <v>0.40199914599287823</v>
      </c>
      <c r="E23">
        <f t="shared" si="2"/>
        <v>0.16160331337900341</v>
      </c>
    </row>
    <row r="24" spans="1:5" x14ac:dyDescent="0.25">
      <c r="A24">
        <v>1.0091218048625001</v>
      </c>
      <c r="B24">
        <v>8.0695816701307326</v>
      </c>
      <c r="C24">
        <f t="shared" si="0"/>
        <v>8.1718161408717815</v>
      </c>
      <c r="D24">
        <f t="shared" si="1"/>
        <v>-0.10223447074104897</v>
      </c>
      <c r="E24">
        <f t="shared" si="2"/>
        <v>1.0451887007702398E-2</v>
      </c>
    </row>
    <row r="25" spans="1:5" x14ac:dyDescent="0.25">
      <c r="A25">
        <v>1.0152575675375</v>
      </c>
      <c r="B25">
        <v>8.0388599125033302</v>
      </c>
      <c r="C25">
        <f t="shared" si="0"/>
        <v>8.3894183829584268</v>
      </c>
      <c r="D25">
        <f t="shared" si="1"/>
        <v>-0.35055847045509658</v>
      </c>
      <c r="E25">
        <f t="shared" si="2"/>
        <v>0.12289124120781682</v>
      </c>
    </row>
    <row r="26" spans="1:5" x14ac:dyDescent="0.25">
      <c r="A26">
        <v>1.0213933302125</v>
      </c>
      <c r="B26">
        <v>7.547311790464911</v>
      </c>
      <c r="C26">
        <f t="shared" si="0"/>
        <v>8.468324615135522</v>
      </c>
      <c r="D26">
        <f t="shared" si="1"/>
        <v>-0.92101282467061107</v>
      </c>
      <c r="E26">
        <f t="shared" si="2"/>
        <v>0.84826462320773777</v>
      </c>
    </row>
    <row r="27" spans="1:5" x14ac:dyDescent="0.25">
      <c r="A27">
        <v>1.0275290928874998</v>
      </c>
      <c r="B27">
        <v>6.9328766379168849</v>
      </c>
      <c r="C27">
        <f t="shared" si="0"/>
        <v>8.385933952302759</v>
      </c>
      <c r="D27">
        <f t="shared" si="1"/>
        <v>-1.453057314385874</v>
      </c>
      <c r="E27">
        <f t="shared" si="2"/>
        <v>2.1113755588902889</v>
      </c>
    </row>
    <row r="28" spans="1:5" x14ac:dyDescent="0.25">
      <c r="A28">
        <v>1.0336648555624999</v>
      </c>
      <c r="B28">
        <v>6.922636052041085</v>
      </c>
      <c r="C28">
        <f t="shared" si="0"/>
        <v>8.1264787218818739</v>
      </c>
      <c r="D28">
        <f t="shared" si="1"/>
        <v>-1.2038426698407889</v>
      </c>
      <c r="E28">
        <f t="shared" si="2"/>
        <v>1.4492371737293988</v>
      </c>
    </row>
    <row r="29" spans="1:5" x14ac:dyDescent="0.25">
      <c r="A29">
        <v>1.0398006182374999</v>
      </c>
      <c r="B29">
        <v>5.6835251610692339</v>
      </c>
      <c r="C29">
        <f t="shared" si="0"/>
        <v>7.6845096359325682</v>
      </c>
      <c r="D29">
        <f t="shared" si="1"/>
        <v>-2.0009844748633343</v>
      </c>
      <c r="E29">
        <f t="shared" si="2"/>
        <v>4.0039388686440933</v>
      </c>
    </row>
    <row r="30" spans="1:5" x14ac:dyDescent="0.25">
      <c r="A30">
        <v>1.0459363809125</v>
      </c>
      <c r="B30">
        <v>5.4787134435532252</v>
      </c>
      <c r="C30">
        <f t="shared" si="0"/>
        <v>7.068022064586712</v>
      </c>
      <c r="D30">
        <f t="shared" si="1"/>
        <v>-1.5893086210334868</v>
      </c>
      <c r="E30">
        <f t="shared" si="2"/>
        <v>2.5259018928913632</v>
      </c>
    </row>
    <row r="31" spans="1:5" x14ac:dyDescent="0.25">
      <c r="A31">
        <v>1.0520721435875</v>
      </c>
      <c r="B31">
        <v>4.7311506746197951</v>
      </c>
      <c r="C31">
        <f t="shared" si="0"/>
        <v>6.3004643250705641</v>
      </c>
      <c r="D31">
        <f t="shared" si="1"/>
        <v>-1.569313650450769</v>
      </c>
      <c r="E31">
        <f t="shared" si="2"/>
        <v>2.4627453334911182</v>
      </c>
    </row>
    <row r="32" spans="1:5" x14ac:dyDescent="0.25">
      <c r="A32">
        <v>1.0582079062625001</v>
      </c>
      <c r="B32">
        <v>3.8094979457977569</v>
      </c>
      <c r="C32">
        <f t="shared" si="0"/>
        <v>5.420793946667791</v>
      </c>
      <c r="D32">
        <f t="shared" si="1"/>
        <v>-1.6112960008700341</v>
      </c>
      <c r="E32">
        <f t="shared" si="2"/>
        <v>2.596274802419765</v>
      </c>
    </row>
    <row r="33" spans="1:5" x14ac:dyDescent="0.25">
      <c r="A33">
        <v>1.0643436689375001</v>
      </c>
      <c r="B33">
        <v>3.3486715813867378</v>
      </c>
      <c r="C33">
        <f t="shared" si="0"/>
        <v>4.480897826514</v>
      </c>
      <c r="D33">
        <f t="shared" si="1"/>
        <v>-1.1322262451272622</v>
      </c>
      <c r="E33">
        <f t="shared" si="2"/>
        <v>1.2819362701549792</v>
      </c>
    </row>
    <row r="34" spans="1:5" x14ac:dyDescent="0.25">
      <c r="A34">
        <v>1.0704794316125001</v>
      </c>
      <c r="B34">
        <v>2.8264017017209162</v>
      </c>
      <c r="C34">
        <f t="shared" si="0"/>
        <v>3.5401462803209047</v>
      </c>
      <c r="D34">
        <f t="shared" si="1"/>
        <v>-0.71374457859998852</v>
      </c>
      <c r="E34">
        <f t="shared" si="2"/>
        <v>0.50943132348087516</v>
      </c>
    </row>
    <row r="35" spans="1:5" x14ac:dyDescent="0.25">
      <c r="A35">
        <v>1.0766151942875</v>
      </c>
      <c r="B35">
        <v>2.4065376808130989</v>
      </c>
      <c r="C35">
        <f t="shared" si="0"/>
        <v>2.6575986269134337</v>
      </c>
      <c r="D35">
        <f t="shared" si="1"/>
        <v>-0.2510609461003348</v>
      </c>
      <c r="E35">
        <f t="shared" si="2"/>
        <v>6.3031598656795224E-2</v>
      </c>
    </row>
    <row r="36" spans="1:5" x14ac:dyDescent="0.25">
      <c r="A36">
        <v>1.0827509569625</v>
      </c>
      <c r="B36">
        <v>2.304131822055095</v>
      </c>
      <c r="C36">
        <f t="shared" si="0"/>
        <v>1.8832569897430314</v>
      </c>
      <c r="D36">
        <f t="shared" si="1"/>
        <v>0.42087483231206368</v>
      </c>
      <c r="E36">
        <f t="shared" si="2"/>
        <v>0.17713562447370773</v>
      </c>
    </row>
    <row r="37" spans="1:5" x14ac:dyDescent="0.25">
      <c r="A37">
        <v>1.0888867196374998</v>
      </c>
      <c r="B37">
        <v>1.5668096389974644</v>
      </c>
      <c r="C37">
        <f t="shared" si="0"/>
        <v>1.2504497867155735</v>
      </c>
      <c r="D37">
        <f t="shared" si="1"/>
        <v>0.3163598522818909</v>
      </c>
      <c r="E37">
        <f t="shared" si="2"/>
        <v>0.10008355613581983</v>
      </c>
    </row>
    <row r="38" spans="1:5" x14ac:dyDescent="0.25">
      <c r="A38">
        <v>1.0950224823124999</v>
      </c>
      <c r="B38">
        <v>1.6180125683764666</v>
      </c>
      <c r="C38">
        <f t="shared" si="0"/>
        <v>0.77151893068187372</v>
      </c>
      <c r="D38">
        <f t="shared" si="1"/>
        <v>0.84649363769459285</v>
      </c>
      <c r="E38">
        <f t="shared" si="2"/>
        <v>0.71655147865742463</v>
      </c>
    </row>
    <row r="39" spans="1:5" x14ac:dyDescent="0.25">
      <c r="A39">
        <v>1.1011582449874999</v>
      </c>
      <c r="B39">
        <v>0.97285565820104003</v>
      </c>
      <c r="C39">
        <f t="shared" si="0"/>
        <v>0.43822197494667753</v>
      </c>
      <c r="D39">
        <f t="shared" si="1"/>
        <v>0.53463368325436256</v>
      </c>
      <c r="E39">
        <f t="shared" si="2"/>
        <v>0.28583317527012608</v>
      </c>
    </row>
    <row r="40" spans="1:5" x14ac:dyDescent="0.25">
      <c r="A40">
        <v>1.1072940076625</v>
      </c>
      <c r="B40">
        <v>0.65539749605122699</v>
      </c>
      <c r="C40">
        <f t="shared" si="0"/>
        <v>0.22675530720433895</v>
      </c>
      <c r="D40">
        <f t="shared" si="1"/>
        <v>0.42864218884688804</v>
      </c>
      <c r="E40">
        <f t="shared" si="2"/>
        <v>0.18373412605945122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A1C4-7456-47E2-BE81-9940E070AB13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0.81110608318749999</v>
      </c>
      <c r="B1">
        <v>1.0443205341695643E-2</v>
      </c>
      <c r="C1">
        <f>$H$3*(1+$H$1)*(A1^($H$1))*EXP(-$H$3*(A1^(1+$H$1)))</f>
        <v>5.8922857344450468E-4</v>
      </c>
      <c r="D1">
        <f>B1-C1</f>
        <v>9.8539767682511385E-3</v>
      </c>
      <c r="E1">
        <f>D1^2</f>
        <v>9.7100858149233154E-5</v>
      </c>
      <c r="G1" t="s">
        <v>0</v>
      </c>
      <c r="H1">
        <v>51.782984038551355</v>
      </c>
    </row>
    <row r="2" spans="1:8" x14ac:dyDescent="0.25">
      <c r="A2">
        <v>0.81712279956249989</v>
      </c>
      <c r="B2">
        <v>0</v>
      </c>
      <c r="C2">
        <f t="shared" ref="C2:C40" si="0">$H$3*(1+$H$1)*(A2^($H$1))*EXP(-$H$3*(A2^(1+$H$1)))</f>
        <v>8.6394920172762823E-4</v>
      </c>
      <c r="D2">
        <f t="shared" ref="D2:D40" si="1">B2-C2</f>
        <v>-8.6394920172762823E-4</v>
      </c>
      <c r="E2">
        <f t="shared" ref="E2:E40" si="2">D2^2</f>
        <v>7.464082231658061E-7</v>
      </c>
    </row>
    <row r="3" spans="1:8" x14ac:dyDescent="0.25">
      <c r="A3">
        <v>0.8231395159374999</v>
      </c>
      <c r="B3">
        <v>0</v>
      </c>
      <c r="C3">
        <f t="shared" si="0"/>
        <v>1.2632008174871139E-3</v>
      </c>
      <c r="D3">
        <f t="shared" si="1"/>
        <v>-1.2632008174871139E-3</v>
      </c>
      <c r="E3">
        <f t="shared" si="2"/>
        <v>1.595676305300113E-6</v>
      </c>
      <c r="G3" t="s">
        <v>1</v>
      </c>
      <c r="H3">
        <f>(_xlfn.GAMMA((2+$H$1)/(1+$H$1)))^(1+$H$1)</f>
        <v>0.57019571280153991</v>
      </c>
    </row>
    <row r="4" spans="1:8" x14ac:dyDescent="0.25">
      <c r="A4">
        <v>0.82915623231250002</v>
      </c>
      <c r="B4">
        <v>0</v>
      </c>
      <c r="C4">
        <f t="shared" si="0"/>
        <v>1.8418477931857E-3</v>
      </c>
      <c r="D4">
        <f t="shared" si="1"/>
        <v>-1.8418477931857E-3</v>
      </c>
      <c r="E4">
        <f t="shared" si="2"/>
        <v>3.3924032932630333E-6</v>
      </c>
    </row>
    <row r="5" spans="1:8" x14ac:dyDescent="0.25">
      <c r="A5">
        <v>0.83517294868750003</v>
      </c>
      <c r="B5">
        <v>0</v>
      </c>
      <c r="C5">
        <f t="shared" si="0"/>
        <v>2.6782372016201325E-3</v>
      </c>
      <c r="D5">
        <f t="shared" si="1"/>
        <v>-2.6782372016201325E-3</v>
      </c>
      <c r="E5">
        <f t="shared" si="2"/>
        <v>7.1729545081420384E-6</v>
      </c>
      <c r="G5" t="s">
        <v>2</v>
      </c>
      <c r="H5">
        <f>SUM(E1:E40)</f>
        <v>124.31699458359684</v>
      </c>
    </row>
    <row r="6" spans="1:8" x14ac:dyDescent="0.25">
      <c r="A6">
        <v>0.84118966506249992</v>
      </c>
      <c r="B6">
        <v>0</v>
      </c>
      <c r="C6">
        <f t="shared" si="0"/>
        <v>3.8839576803896265E-3</v>
      </c>
      <c r="D6">
        <f t="shared" si="1"/>
        <v>-3.8839576803896265E-3</v>
      </c>
      <c r="E6">
        <f t="shared" si="2"/>
        <v>1.5085127263057569E-5</v>
      </c>
    </row>
    <row r="7" spans="1:8" x14ac:dyDescent="0.25">
      <c r="A7">
        <v>0.84720638143749993</v>
      </c>
      <c r="B7">
        <v>0</v>
      </c>
      <c r="C7">
        <f t="shared" si="0"/>
        <v>5.6175321735640856E-3</v>
      </c>
      <c r="D7">
        <f t="shared" si="1"/>
        <v>-5.6175321735640856E-3</v>
      </c>
      <c r="E7">
        <f t="shared" si="2"/>
        <v>3.155666772102764E-5</v>
      </c>
    </row>
    <row r="8" spans="1:8" x14ac:dyDescent="0.25">
      <c r="A8">
        <v>0.85322309781249994</v>
      </c>
      <c r="B8">
        <v>0</v>
      </c>
      <c r="C8">
        <f t="shared" si="0"/>
        <v>8.1035796360497368E-3</v>
      </c>
      <c r="D8">
        <f t="shared" si="1"/>
        <v>-8.1035796360497368E-3</v>
      </c>
      <c r="E8">
        <f t="shared" si="2"/>
        <v>6.5668002917799989E-5</v>
      </c>
    </row>
    <row r="9" spans="1:8" x14ac:dyDescent="0.25">
      <c r="A9">
        <v>0.85923981418750006</v>
      </c>
      <c r="B9">
        <v>0</v>
      </c>
      <c r="C9">
        <f t="shared" si="0"/>
        <v>1.165955781160896E-2</v>
      </c>
      <c r="D9">
        <f t="shared" si="1"/>
        <v>-1.165955781160896E-2</v>
      </c>
      <c r="E9">
        <f t="shared" si="2"/>
        <v>1.359452883622515E-4</v>
      </c>
    </row>
    <row r="10" spans="1:8" x14ac:dyDescent="0.25">
      <c r="A10">
        <v>0.86525653056249996</v>
      </c>
      <c r="B10">
        <v>0</v>
      </c>
      <c r="C10">
        <f t="shared" si="0"/>
        <v>1.67329823847817E-2</v>
      </c>
      <c r="D10">
        <f t="shared" si="1"/>
        <v>-1.67329823847817E-2</v>
      </c>
      <c r="E10">
        <f t="shared" si="2"/>
        <v>2.7999269948941464E-4</v>
      </c>
    </row>
    <row r="11" spans="1:8" x14ac:dyDescent="0.25">
      <c r="A11">
        <v>0.87127324693749997</v>
      </c>
      <c r="B11">
        <v>0</v>
      </c>
      <c r="C11">
        <f t="shared" si="0"/>
        <v>2.3953074395450431E-2</v>
      </c>
      <c r="D11">
        <f t="shared" si="1"/>
        <v>-2.3953074395450431E-2</v>
      </c>
      <c r="E11">
        <f t="shared" si="2"/>
        <v>5.7374977299398298E-4</v>
      </c>
    </row>
    <row r="12" spans="1:8" x14ac:dyDescent="0.25">
      <c r="A12">
        <v>0.87728996331249998</v>
      </c>
      <c r="B12">
        <v>0</v>
      </c>
      <c r="C12">
        <f t="shared" si="0"/>
        <v>3.4202202125996943E-2</v>
      </c>
      <c r="D12">
        <f t="shared" si="1"/>
        <v>-3.4202202125996943E-2</v>
      </c>
      <c r="E12">
        <f t="shared" si="2"/>
        <v>1.1697906302675497E-3</v>
      </c>
    </row>
    <row r="13" spans="1:8" x14ac:dyDescent="0.25">
      <c r="A13">
        <v>0.88330667968749998</v>
      </c>
      <c r="B13">
        <v>0</v>
      </c>
      <c r="C13">
        <f t="shared" si="0"/>
        <v>4.8714357089374979E-2</v>
      </c>
      <c r="D13">
        <f t="shared" si="1"/>
        <v>-4.8714357089374979E-2</v>
      </c>
      <c r="E13">
        <f t="shared" si="2"/>
        <v>2.3730885866311384E-3</v>
      </c>
    </row>
    <row r="14" spans="1:8" x14ac:dyDescent="0.25">
      <c r="A14">
        <v>0.88932339606249999</v>
      </c>
      <c r="B14">
        <v>0</v>
      </c>
      <c r="C14">
        <f t="shared" si="0"/>
        <v>6.921034926368605E-2</v>
      </c>
      <c r="D14">
        <f t="shared" si="1"/>
        <v>-6.921034926368605E-2</v>
      </c>
      <c r="E14">
        <f t="shared" si="2"/>
        <v>4.7900724452014081E-3</v>
      </c>
    </row>
    <row r="15" spans="1:8" x14ac:dyDescent="0.25">
      <c r="A15">
        <v>0.8953401124375</v>
      </c>
      <c r="B15">
        <v>0</v>
      </c>
      <c r="C15">
        <f t="shared" si="0"/>
        <v>9.808253188178892E-2</v>
      </c>
      <c r="D15">
        <f t="shared" si="1"/>
        <v>-9.808253188178892E-2</v>
      </c>
      <c r="E15">
        <f t="shared" si="2"/>
        <v>9.6201830603421402E-3</v>
      </c>
    </row>
    <row r="16" spans="1:8" x14ac:dyDescent="0.25">
      <c r="A16">
        <v>0.90135682881250001</v>
      </c>
      <c r="B16">
        <v>0</v>
      </c>
      <c r="C16">
        <f t="shared" si="0"/>
        <v>0.13864573190295221</v>
      </c>
      <c r="D16">
        <f t="shared" si="1"/>
        <v>-0.13864573190295221</v>
      </c>
      <c r="E16">
        <f t="shared" si="2"/>
        <v>1.9222638974905299E-2</v>
      </c>
    </row>
    <row r="17" spans="1:5" x14ac:dyDescent="0.25">
      <c r="A17">
        <v>0.90737354518750002</v>
      </c>
      <c r="B17">
        <v>0</v>
      </c>
      <c r="C17">
        <f t="shared" si="0"/>
        <v>0.19547559508070778</v>
      </c>
      <c r="D17">
        <f t="shared" si="1"/>
        <v>-0.19547559508070778</v>
      </c>
      <c r="E17">
        <f t="shared" si="2"/>
        <v>3.8210708272156828E-2</v>
      </c>
    </row>
    <row r="18" spans="1:5" x14ac:dyDescent="0.25">
      <c r="A18">
        <v>0.91339026156250003</v>
      </c>
      <c r="B18">
        <v>0</v>
      </c>
      <c r="C18">
        <f t="shared" si="0"/>
        <v>0.27486036839152106</v>
      </c>
      <c r="D18">
        <f t="shared" si="1"/>
        <v>-0.27486036839152106</v>
      </c>
      <c r="E18">
        <f t="shared" si="2"/>
        <v>7.5548222112322663E-2</v>
      </c>
    </row>
    <row r="19" spans="1:5" x14ac:dyDescent="0.25">
      <c r="A19">
        <v>0.91940697793750004</v>
      </c>
      <c r="B19">
        <v>0</v>
      </c>
      <c r="C19">
        <f t="shared" si="0"/>
        <v>0.38539619721933488</v>
      </c>
      <c r="D19">
        <f t="shared" si="1"/>
        <v>-0.38539619721933488</v>
      </c>
      <c r="E19">
        <f t="shared" si="2"/>
        <v>0.14853022883112446</v>
      </c>
    </row>
    <row r="20" spans="1:5" x14ac:dyDescent="0.25">
      <c r="A20">
        <v>0.92542369431250004</v>
      </c>
      <c r="B20">
        <v>0</v>
      </c>
      <c r="C20">
        <f t="shared" si="0"/>
        <v>0.53875697941183531</v>
      </c>
      <c r="D20">
        <f t="shared" si="1"/>
        <v>-0.53875697941183531</v>
      </c>
      <c r="E20">
        <f t="shared" si="2"/>
        <v>0.29025908286496471</v>
      </c>
    </row>
    <row r="21" spans="1:5" x14ac:dyDescent="0.25">
      <c r="A21">
        <v>0.93144041068750005</v>
      </c>
      <c r="B21">
        <v>0</v>
      </c>
      <c r="C21">
        <f t="shared" si="0"/>
        <v>0.75066293165377862</v>
      </c>
      <c r="D21">
        <f t="shared" si="1"/>
        <v>-0.75066293165377862</v>
      </c>
      <c r="E21">
        <f t="shared" si="2"/>
        <v>0.56349483695904556</v>
      </c>
    </row>
    <row r="22" spans="1:5" x14ac:dyDescent="0.25">
      <c r="A22">
        <v>0.93745712706250006</v>
      </c>
      <c r="B22">
        <v>0</v>
      </c>
      <c r="C22">
        <f t="shared" si="0"/>
        <v>1.0420481342771479</v>
      </c>
      <c r="D22">
        <f t="shared" si="1"/>
        <v>-1.0420481342771479</v>
      </c>
      <c r="E22">
        <f t="shared" si="2"/>
        <v>1.0858643141504849</v>
      </c>
    </row>
    <row r="23" spans="1:5" x14ac:dyDescent="0.25">
      <c r="A23">
        <v>0.94347384343750007</v>
      </c>
      <c r="B23">
        <v>0</v>
      </c>
      <c r="C23">
        <f t="shared" si="0"/>
        <v>1.4403697164954057</v>
      </c>
      <c r="D23">
        <f t="shared" si="1"/>
        <v>-1.4403697164954057</v>
      </c>
      <c r="E23">
        <f t="shared" si="2"/>
        <v>2.0746649201970553</v>
      </c>
    </row>
    <row r="24" spans="1:5" x14ac:dyDescent="0.25">
      <c r="A24">
        <v>0.94949055981250008</v>
      </c>
      <c r="B24">
        <v>6.265923205017386E-2</v>
      </c>
      <c r="C24">
        <f t="shared" si="0"/>
        <v>1.9808810911787691</v>
      </c>
      <c r="D24">
        <f t="shared" si="1"/>
        <v>-1.9182218591285953</v>
      </c>
      <c r="E24">
        <f t="shared" si="2"/>
        <v>3.6795751008387647</v>
      </c>
    </row>
    <row r="25" spans="1:5" x14ac:dyDescent="0.25">
      <c r="A25">
        <v>0.95550727618750009</v>
      </c>
      <c r="B25">
        <v>2.2244027377811721</v>
      </c>
      <c r="C25">
        <f t="shared" si="0"/>
        <v>2.7074619590740729</v>
      </c>
      <c r="D25">
        <f t="shared" si="1"/>
        <v>-0.4830592212929008</v>
      </c>
      <c r="E25">
        <f t="shared" si="2"/>
        <v>0.23334621127610369</v>
      </c>
    </row>
    <row r="26" spans="1:5" x14ac:dyDescent="0.25">
      <c r="A26">
        <v>0.96152399256249987</v>
      </c>
      <c r="B26">
        <v>4.1459525206531707</v>
      </c>
      <c r="C26">
        <f t="shared" si="0"/>
        <v>3.672190624460097</v>
      </c>
      <c r="D26">
        <f t="shared" si="1"/>
        <v>0.47376189619307363</v>
      </c>
      <c r="E26">
        <f t="shared" si="2"/>
        <v>0.22445033428445668</v>
      </c>
    </row>
    <row r="27" spans="1:5" x14ac:dyDescent="0.25">
      <c r="A27">
        <v>0.96754070893749999</v>
      </c>
      <c r="B27">
        <v>6.1197183302336473</v>
      </c>
      <c r="C27">
        <f t="shared" si="0"/>
        <v>4.9321792997470446</v>
      </c>
      <c r="D27">
        <f t="shared" si="1"/>
        <v>1.1875390304866027</v>
      </c>
      <c r="E27">
        <f t="shared" si="2"/>
        <v>1.4102489489290604</v>
      </c>
    </row>
    <row r="28" spans="1:5" x14ac:dyDescent="0.25">
      <c r="A28">
        <v>0.9735574253125</v>
      </c>
      <c r="B28">
        <v>8.8245085137328179</v>
      </c>
      <c r="C28">
        <f t="shared" si="0"/>
        <v>6.5412262244972341</v>
      </c>
      <c r="D28">
        <f t="shared" si="1"/>
        <v>2.2832822892355837</v>
      </c>
      <c r="E28">
        <f t="shared" si="2"/>
        <v>5.2133780123368876</v>
      </c>
    </row>
    <row r="29" spans="1:5" x14ac:dyDescent="0.25">
      <c r="A29">
        <v>0.9795741416874999</v>
      </c>
      <c r="B29">
        <v>13.419518864078903</v>
      </c>
      <c r="C29">
        <f t="shared" si="0"/>
        <v>8.5327044653419257</v>
      </c>
      <c r="D29">
        <f t="shared" si="1"/>
        <v>4.886814398736977</v>
      </c>
      <c r="E29">
        <f t="shared" si="2"/>
        <v>23.88095496770304</v>
      </c>
    </row>
    <row r="30" spans="1:5" x14ac:dyDescent="0.25">
      <c r="A30">
        <v>0.98559085806250002</v>
      </c>
      <c r="B30">
        <v>15.330625441609204</v>
      </c>
      <c r="C30">
        <f t="shared" si="0"/>
        <v>10.889452857823853</v>
      </c>
      <c r="D30">
        <f t="shared" si="1"/>
        <v>4.4411725837853506</v>
      </c>
      <c r="E30">
        <f t="shared" si="2"/>
        <v>19.724013918966648</v>
      </c>
    </row>
    <row r="31" spans="1:5" x14ac:dyDescent="0.25">
      <c r="A31">
        <v>0.99160757443749992</v>
      </c>
      <c r="B31">
        <v>17.555028179390376</v>
      </c>
      <c r="C31">
        <f t="shared" si="0"/>
        <v>13.498022618715162</v>
      </c>
      <c r="D31">
        <f t="shared" si="1"/>
        <v>4.0570055606752149</v>
      </c>
      <c r="E31">
        <f t="shared" si="2"/>
        <v>16.459294119349615</v>
      </c>
    </row>
    <row r="32" spans="1:5" x14ac:dyDescent="0.25">
      <c r="A32">
        <v>0.99762429081249993</v>
      </c>
      <c r="B32">
        <v>17.35660727789816</v>
      </c>
      <c r="C32">
        <f t="shared" si="0"/>
        <v>16.092034474054007</v>
      </c>
      <c r="D32">
        <f t="shared" si="1"/>
        <v>1.2645728038441533</v>
      </c>
      <c r="E32">
        <f t="shared" si="2"/>
        <v>1.5991443762222632</v>
      </c>
    </row>
    <row r="33" spans="1:5" x14ac:dyDescent="0.25">
      <c r="A33">
        <v>1.0036410071874999</v>
      </c>
      <c r="B33">
        <v>18.286052553309073</v>
      </c>
      <c r="C33">
        <f t="shared" si="0"/>
        <v>18.207584842641069</v>
      </c>
      <c r="D33">
        <f t="shared" si="1"/>
        <v>7.8467710668004287E-2</v>
      </c>
      <c r="E33">
        <f t="shared" si="2"/>
        <v>6.1571816174776335E-3</v>
      </c>
    </row>
    <row r="34" spans="1:5" x14ac:dyDescent="0.25">
      <c r="A34">
        <v>1.0096577235624999</v>
      </c>
      <c r="B34">
        <v>16.719571752054726</v>
      </c>
      <c r="C34">
        <f t="shared" si="0"/>
        <v>19.204050094859227</v>
      </c>
      <c r="D34">
        <f t="shared" si="1"/>
        <v>-2.4844783428045005</v>
      </c>
      <c r="E34">
        <f t="shared" si="2"/>
        <v>6.1726326358645975</v>
      </c>
    </row>
    <row r="35" spans="1:5" x14ac:dyDescent="0.25">
      <c r="A35">
        <v>1.0156744399375</v>
      </c>
      <c r="B35">
        <v>14.641373889057292</v>
      </c>
      <c r="C35">
        <f t="shared" si="0"/>
        <v>18.429590381033364</v>
      </c>
      <c r="D35">
        <f t="shared" si="1"/>
        <v>-3.7882164919760726</v>
      </c>
      <c r="E35">
        <f t="shared" si="2"/>
        <v>14.350584190079502</v>
      </c>
    </row>
    <row r="36" spans="1:5" x14ac:dyDescent="0.25">
      <c r="A36">
        <v>1.0216911563125</v>
      </c>
      <c r="B36">
        <v>11.915697294874729</v>
      </c>
      <c r="C36">
        <f t="shared" si="0"/>
        <v>15.576517711675749</v>
      </c>
      <c r="D36">
        <f t="shared" si="1"/>
        <v>-3.6608204168010197</v>
      </c>
      <c r="E36">
        <f t="shared" si="2"/>
        <v>13.401606124067191</v>
      </c>
    </row>
    <row r="37" spans="1:5" x14ac:dyDescent="0.25">
      <c r="A37">
        <v>1.0277078726875</v>
      </c>
      <c r="B37">
        <v>8.0099384970805581</v>
      </c>
      <c r="C37">
        <f t="shared" si="0"/>
        <v>11.098178095938648</v>
      </c>
      <c r="D37">
        <f t="shared" si="1"/>
        <v>-3.08823959885809</v>
      </c>
      <c r="E37">
        <f t="shared" si="2"/>
        <v>9.5372238199551767</v>
      </c>
    </row>
    <row r="38" spans="1:5" x14ac:dyDescent="0.25">
      <c r="A38">
        <v>1.0337245890625</v>
      </c>
      <c r="B38">
        <v>5.5662284471237777</v>
      </c>
      <c r="C38">
        <f t="shared" si="0"/>
        <v>6.2860769303844846</v>
      </c>
      <c r="D38">
        <f t="shared" si="1"/>
        <v>-0.71984848326070683</v>
      </c>
      <c r="E38">
        <f t="shared" si="2"/>
        <v>0.51818183885274016</v>
      </c>
    </row>
    <row r="39" spans="1:5" x14ac:dyDescent="0.25">
      <c r="A39">
        <v>1.0397413054375</v>
      </c>
      <c r="B39">
        <v>4.0101908512111271</v>
      </c>
      <c r="C39">
        <f t="shared" si="0"/>
        <v>2.6166979856102031</v>
      </c>
      <c r="D39">
        <f t="shared" si="1"/>
        <v>1.393492865600924</v>
      </c>
      <c r="E39">
        <f t="shared" si="2"/>
        <v>1.9418223664806749</v>
      </c>
    </row>
    <row r="40" spans="1:5" x14ac:dyDescent="0.25">
      <c r="A40">
        <v>1.0457580218125</v>
      </c>
      <c r="B40">
        <v>2.0050954256055635</v>
      </c>
      <c r="C40">
        <f t="shared" si="0"/>
        <v>0.72079781841752932</v>
      </c>
      <c r="D40">
        <f t="shared" si="1"/>
        <v>1.2842976071880341</v>
      </c>
      <c r="E40">
        <f t="shared" si="2"/>
        <v>1.6494203438289099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B55AE-8CCD-427C-91CA-54CEF15C7AD0}">
  <dimension ref="A1:H40"/>
  <sheetViews>
    <sheetView workbookViewId="0">
      <selection activeCell="H5" sqref="H5"/>
    </sheetView>
  </sheetViews>
  <sheetFormatPr defaultColWidth="11" defaultRowHeight="15.75" x14ac:dyDescent="0.25"/>
  <sheetData>
    <row r="1" spans="1:8" x14ac:dyDescent="0.25">
      <c r="A1">
        <v>0.780668127125</v>
      </c>
      <c r="B1">
        <v>1.0577215726552328E-2</v>
      </c>
      <c r="C1">
        <f>$H$3*(1+$H$1)*(A1^($H$1))*EXP(-$H$3*(A1^(1+$H$1)))</f>
        <v>9.3492386272938666E-16</v>
      </c>
      <c r="D1">
        <f>B1-C1</f>
        <v>1.0577215726551393E-2</v>
      </c>
      <c r="E1">
        <f>D1^2</f>
        <v>1.118774925260061E-4</v>
      </c>
      <c r="G1" t="s">
        <v>0</v>
      </c>
      <c r="H1">
        <v>157.92250961201043</v>
      </c>
    </row>
    <row r="2" spans="1:8" x14ac:dyDescent="0.25">
      <c r="A2">
        <v>0.78660861337499988</v>
      </c>
      <c r="B2">
        <v>0</v>
      </c>
      <c r="C2">
        <f t="shared" ref="C2:C40" si="0">$H$3*(1+$H$1)*(A2^($H$1))*EXP(-$H$3*(A2^(1+$H$1)))</f>
        <v>3.0952554126528842E-15</v>
      </c>
      <c r="D2">
        <f t="shared" ref="D2:D40" si="1">B2-C2</f>
        <v>-3.0952554126528842E-15</v>
      </c>
      <c r="E2">
        <f t="shared" ref="E2:E40" si="2">D2^2</f>
        <v>9.5806060695569767E-30</v>
      </c>
    </row>
    <row r="3" spans="1:8" x14ac:dyDescent="0.25">
      <c r="A3">
        <v>0.79254909962499998</v>
      </c>
      <c r="B3">
        <v>0</v>
      </c>
      <c r="C3">
        <f t="shared" si="0"/>
        <v>1.0155586803870356E-14</v>
      </c>
      <c r="D3">
        <f t="shared" si="1"/>
        <v>-1.0155586803870356E-14</v>
      </c>
      <c r="E3">
        <f t="shared" si="2"/>
        <v>1.0313594333094571E-28</v>
      </c>
      <c r="G3" t="s">
        <v>1</v>
      </c>
      <c r="H3">
        <f>(_xlfn.GAMMA((2+$H$1)/(1+$H$1)))^(1+$H$1)</f>
        <v>0.56436380467286895</v>
      </c>
    </row>
    <row r="4" spans="1:8" x14ac:dyDescent="0.25">
      <c r="A4">
        <v>0.79848958587500007</v>
      </c>
      <c r="B4">
        <v>0</v>
      </c>
      <c r="C4">
        <f t="shared" si="0"/>
        <v>3.3026325671615277E-14</v>
      </c>
      <c r="D4">
        <f t="shared" si="1"/>
        <v>-3.3026325671615277E-14</v>
      </c>
      <c r="E4">
        <f t="shared" si="2"/>
        <v>1.0907381873675942E-27</v>
      </c>
    </row>
    <row r="5" spans="1:8" x14ac:dyDescent="0.25">
      <c r="A5">
        <v>0.80443007212499995</v>
      </c>
      <c r="B5">
        <v>0</v>
      </c>
      <c r="C5">
        <f t="shared" si="0"/>
        <v>1.0646805591730445E-13</v>
      </c>
      <c r="D5">
        <f t="shared" si="1"/>
        <v>-1.0646805591730445E-13</v>
      </c>
      <c r="E5">
        <f t="shared" si="2"/>
        <v>1.1335446930810267E-26</v>
      </c>
      <c r="G5" t="s">
        <v>2</v>
      </c>
      <c r="H5">
        <f>SUM(E1:E40)</f>
        <v>408.87308157542492</v>
      </c>
    </row>
    <row r="6" spans="1:8" x14ac:dyDescent="0.25">
      <c r="A6">
        <v>0.81037055837499983</v>
      </c>
      <c r="B6">
        <v>0</v>
      </c>
      <c r="C6">
        <f t="shared" si="0"/>
        <v>3.4028129663235444E-13</v>
      </c>
      <c r="D6">
        <f t="shared" si="1"/>
        <v>-3.4028129663235444E-13</v>
      </c>
      <c r="E6">
        <f t="shared" si="2"/>
        <v>1.157913608377964E-25</v>
      </c>
    </row>
    <row r="7" spans="1:8" x14ac:dyDescent="0.25">
      <c r="A7">
        <v>0.81631104462499993</v>
      </c>
      <c r="B7">
        <v>0</v>
      </c>
      <c r="C7">
        <f t="shared" si="0"/>
        <v>1.0783783541282118E-12</v>
      </c>
      <c r="D7">
        <f t="shared" si="1"/>
        <v>-1.0783783541282118E-12</v>
      </c>
      <c r="E7">
        <f t="shared" si="2"/>
        <v>1.162899874652271E-24</v>
      </c>
    </row>
    <row r="8" spans="1:8" x14ac:dyDescent="0.25">
      <c r="A8">
        <v>0.82225153087500003</v>
      </c>
      <c r="B8">
        <v>0</v>
      </c>
      <c r="C8">
        <f t="shared" si="0"/>
        <v>3.3890035346454799E-12</v>
      </c>
      <c r="D8">
        <f t="shared" si="1"/>
        <v>-3.3890035346454799E-12</v>
      </c>
      <c r="E8">
        <f t="shared" si="2"/>
        <v>1.1485344957839557E-23</v>
      </c>
    </row>
    <row r="9" spans="1:8" x14ac:dyDescent="0.25">
      <c r="A9">
        <v>0.8281920171249999</v>
      </c>
      <c r="B9">
        <v>0</v>
      </c>
      <c r="C9">
        <f t="shared" si="0"/>
        <v>1.056313800404133E-11</v>
      </c>
      <c r="D9">
        <f t="shared" si="1"/>
        <v>-1.056313800404133E-11</v>
      </c>
      <c r="E9">
        <f t="shared" si="2"/>
        <v>1.1157988449242225E-22</v>
      </c>
    </row>
    <row r="10" spans="1:8" x14ac:dyDescent="0.25">
      <c r="A10">
        <v>0.83413250337499989</v>
      </c>
      <c r="B10">
        <v>0</v>
      </c>
      <c r="C10">
        <f t="shared" si="0"/>
        <v>3.2657665116775481E-11</v>
      </c>
      <c r="D10">
        <f t="shared" si="1"/>
        <v>-3.2657665116775481E-11</v>
      </c>
      <c r="E10">
        <f t="shared" si="2"/>
        <v>1.0665230908794541E-21</v>
      </c>
    </row>
    <row r="11" spans="1:8" x14ac:dyDescent="0.25">
      <c r="A11">
        <v>0.84007298962499988</v>
      </c>
      <c r="B11">
        <v>0</v>
      </c>
      <c r="C11">
        <f t="shared" si="0"/>
        <v>1.0016099695154511E-10</v>
      </c>
      <c r="D11">
        <f t="shared" si="1"/>
        <v>-1.0016099695154511E-10</v>
      </c>
      <c r="E11">
        <f t="shared" si="2"/>
        <v>1.0032225310327429E-20</v>
      </c>
    </row>
    <row r="12" spans="1:8" x14ac:dyDescent="0.25">
      <c r="A12">
        <v>0.84601347587499998</v>
      </c>
      <c r="B12">
        <v>0</v>
      </c>
      <c r="C12">
        <f t="shared" si="0"/>
        <v>3.0477721839470132E-10</v>
      </c>
      <c r="D12">
        <f t="shared" si="1"/>
        <v>-3.0477721839470132E-10</v>
      </c>
      <c r="E12">
        <f t="shared" si="2"/>
        <v>9.2889152852411458E-20</v>
      </c>
    </row>
    <row r="13" spans="1:8" x14ac:dyDescent="0.25">
      <c r="A13">
        <v>0.85195396212499985</v>
      </c>
      <c r="B13">
        <v>0</v>
      </c>
      <c r="C13">
        <f t="shared" si="0"/>
        <v>9.202052672823015E-10</v>
      </c>
      <c r="D13">
        <f t="shared" si="1"/>
        <v>-9.202052672823015E-10</v>
      </c>
      <c r="E13">
        <f t="shared" si="2"/>
        <v>8.467777339340919E-19</v>
      </c>
    </row>
    <row r="14" spans="1:8" x14ac:dyDescent="0.25">
      <c r="A14">
        <v>0.85789444837499995</v>
      </c>
      <c r="B14">
        <v>0</v>
      </c>
      <c r="C14">
        <f t="shared" si="0"/>
        <v>2.757098460045258E-9</v>
      </c>
      <c r="D14">
        <f t="shared" si="1"/>
        <v>-2.757098460045258E-9</v>
      </c>
      <c r="E14">
        <f t="shared" si="2"/>
        <v>7.6015919183839336E-18</v>
      </c>
    </row>
    <row r="15" spans="1:8" x14ac:dyDescent="0.25">
      <c r="A15">
        <v>0.86383493462500005</v>
      </c>
      <c r="B15">
        <v>0</v>
      </c>
      <c r="C15">
        <f t="shared" si="0"/>
        <v>8.1984396921022759E-9</v>
      </c>
      <c r="D15">
        <f t="shared" si="1"/>
        <v>-8.1984396921022759E-9</v>
      </c>
      <c r="E15">
        <f t="shared" si="2"/>
        <v>6.7214413385038056E-17</v>
      </c>
    </row>
    <row r="16" spans="1:8" x14ac:dyDescent="0.25">
      <c r="A16">
        <v>0.86977542087499993</v>
      </c>
      <c r="B16">
        <v>0</v>
      </c>
      <c r="C16">
        <f t="shared" si="0"/>
        <v>2.4197281860086786E-8</v>
      </c>
      <c r="D16">
        <f t="shared" si="1"/>
        <v>-2.4197281860086786E-8</v>
      </c>
      <c r="E16">
        <f t="shared" si="2"/>
        <v>5.8550844941648502E-16</v>
      </c>
    </row>
    <row r="17" spans="1:5" x14ac:dyDescent="0.25">
      <c r="A17">
        <v>0.87571590712499991</v>
      </c>
      <c r="B17">
        <v>0</v>
      </c>
      <c r="C17">
        <f t="shared" si="0"/>
        <v>7.0892870693076612E-8</v>
      </c>
      <c r="D17">
        <f t="shared" si="1"/>
        <v>-7.0892870693076612E-8</v>
      </c>
      <c r="E17">
        <f t="shared" si="2"/>
        <v>5.0257991151052805E-15</v>
      </c>
    </row>
    <row r="18" spans="1:5" x14ac:dyDescent="0.25">
      <c r="A18">
        <v>0.8816563933749999</v>
      </c>
      <c r="B18">
        <v>0</v>
      </c>
      <c r="C18">
        <f t="shared" si="0"/>
        <v>2.061970296977571E-7</v>
      </c>
      <c r="D18">
        <f t="shared" si="1"/>
        <v>-2.061970296977571E-7</v>
      </c>
      <c r="E18">
        <f t="shared" si="2"/>
        <v>4.2517215056177727E-14</v>
      </c>
    </row>
    <row r="19" spans="1:5" x14ac:dyDescent="0.25">
      <c r="A19">
        <v>0.887596879625</v>
      </c>
      <c r="B19">
        <v>0</v>
      </c>
      <c r="C19">
        <f t="shared" si="0"/>
        <v>5.9545438573164205E-7</v>
      </c>
      <c r="D19">
        <f t="shared" si="1"/>
        <v>-5.9545438573164205E-7</v>
      </c>
      <c r="E19">
        <f t="shared" si="2"/>
        <v>3.5456592548704716E-13</v>
      </c>
    </row>
    <row r="20" spans="1:5" x14ac:dyDescent="0.25">
      <c r="A20">
        <v>0.89353736587499988</v>
      </c>
      <c r="B20">
        <v>0</v>
      </c>
      <c r="C20">
        <f t="shared" si="0"/>
        <v>1.7074279350428861E-6</v>
      </c>
      <c r="D20">
        <f t="shared" si="1"/>
        <v>-1.7074279350428861E-6</v>
      </c>
      <c r="E20">
        <f t="shared" si="2"/>
        <v>2.9153101533648141E-12</v>
      </c>
    </row>
    <row r="21" spans="1:5" x14ac:dyDescent="0.25">
      <c r="A21">
        <v>0.89947785212499987</v>
      </c>
      <c r="B21">
        <v>0</v>
      </c>
      <c r="C21">
        <f t="shared" si="0"/>
        <v>4.8618859759246818E-6</v>
      </c>
      <c r="D21">
        <f t="shared" si="1"/>
        <v>-4.8618859759246818E-6</v>
      </c>
      <c r="E21">
        <f t="shared" si="2"/>
        <v>2.3637935242893094E-11</v>
      </c>
    </row>
    <row r="22" spans="1:5" x14ac:dyDescent="0.25">
      <c r="A22">
        <v>0.90541833837499985</v>
      </c>
      <c r="B22">
        <v>0</v>
      </c>
      <c r="C22">
        <f t="shared" si="0"/>
        <v>1.374914081818983E-5</v>
      </c>
      <c r="D22">
        <f t="shared" si="1"/>
        <v>-1.374914081818983E-5</v>
      </c>
      <c r="E22">
        <f t="shared" si="2"/>
        <v>1.8903887323841371E-10</v>
      </c>
    </row>
    <row r="23" spans="1:5" x14ac:dyDescent="0.25">
      <c r="A23">
        <v>0.91135882462499995</v>
      </c>
      <c r="B23">
        <v>0</v>
      </c>
      <c r="C23">
        <f t="shared" si="0"/>
        <v>3.8618362679255967E-5</v>
      </c>
      <c r="D23">
        <f t="shared" si="1"/>
        <v>-3.8618362679255967E-5</v>
      </c>
      <c r="E23">
        <f t="shared" si="2"/>
        <v>1.49137793602655E-9</v>
      </c>
    </row>
    <row r="24" spans="1:5" x14ac:dyDescent="0.25">
      <c r="A24">
        <v>0.91729931087499983</v>
      </c>
      <c r="B24">
        <v>0</v>
      </c>
      <c r="C24">
        <f t="shared" si="0"/>
        <v>1.0774520537071918E-4</v>
      </c>
      <c r="D24">
        <f t="shared" si="1"/>
        <v>-1.0774520537071918E-4</v>
      </c>
      <c r="E24">
        <f t="shared" si="2"/>
        <v>1.1609029280378453E-8</v>
      </c>
    </row>
    <row r="25" spans="1:5" x14ac:dyDescent="0.25">
      <c r="A25">
        <v>0.92323979712499993</v>
      </c>
      <c r="B25">
        <v>0</v>
      </c>
      <c r="C25">
        <f t="shared" si="0"/>
        <v>2.9862438879238982E-4</v>
      </c>
      <c r="D25">
        <f t="shared" si="1"/>
        <v>-2.9862438879238982E-4</v>
      </c>
      <c r="E25">
        <f t="shared" si="2"/>
        <v>8.9176525581628397E-8</v>
      </c>
    </row>
    <row r="26" spans="1:5" x14ac:dyDescent="0.25">
      <c r="A26">
        <v>0.92918028337499992</v>
      </c>
      <c r="B26">
        <v>0</v>
      </c>
      <c r="C26">
        <f t="shared" si="0"/>
        <v>8.2226570128498839E-4</v>
      </c>
      <c r="D26">
        <f t="shared" si="1"/>
        <v>-8.2226570128498839E-4</v>
      </c>
      <c r="E26">
        <f t="shared" si="2"/>
        <v>6.7612088350969373E-7</v>
      </c>
    </row>
    <row r="27" spans="1:5" x14ac:dyDescent="0.25">
      <c r="A27">
        <v>0.9351207696249999</v>
      </c>
      <c r="B27">
        <v>0</v>
      </c>
      <c r="C27">
        <f t="shared" si="0"/>
        <v>2.2495382127506619E-3</v>
      </c>
      <c r="D27">
        <f t="shared" si="1"/>
        <v>-2.2495382127506619E-3</v>
      </c>
      <c r="E27">
        <f t="shared" si="2"/>
        <v>5.060422170625442E-6</v>
      </c>
    </row>
    <row r="28" spans="1:5" x14ac:dyDescent="0.25">
      <c r="A28">
        <v>0.941061255875</v>
      </c>
      <c r="B28">
        <v>0</v>
      </c>
      <c r="C28">
        <f t="shared" si="0"/>
        <v>6.1150552805461908E-3</v>
      </c>
      <c r="D28">
        <f t="shared" si="1"/>
        <v>-6.1150552805461908E-3</v>
      </c>
      <c r="E28">
        <f t="shared" si="2"/>
        <v>3.7393901084135854E-5</v>
      </c>
    </row>
    <row r="29" spans="1:5" x14ac:dyDescent="0.25">
      <c r="A29">
        <v>0.94700174212499988</v>
      </c>
      <c r="B29">
        <v>0</v>
      </c>
      <c r="C29">
        <f t="shared" si="0"/>
        <v>1.6517994531434068E-2</v>
      </c>
      <c r="D29">
        <f t="shared" si="1"/>
        <v>-1.6517994531434068E-2</v>
      </c>
      <c r="E29">
        <f t="shared" si="2"/>
        <v>2.7284414334048575E-4</v>
      </c>
    </row>
    <row r="30" spans="1:5" x14ac:dyDescent="0.25">
      <c r="A30">
        <v>0.95294222837499998</v>
      </c>
      <c r="B30">
        <v>0</v>
      </c>
      <c r="C30">
        <f t="shared" si="0"/>
        <v>4.4337344613328E-2</v>
      </c>
      <c r="D30">
        <f t="shared" si="1"/>
        <v>-4.4337344613328E-2</v>
      </c>
      <c r="E30">
        <f t="shared" si="2"/>
        <v>1.9658001273610056E-3</v>
      </c>
    </row>
    <row r="31" spans="1:5" x14ac:dyDescent="0.25">
      <c r="A31">
        <v>0.95888271462499997</v>
      </c>
      <c r="B31">
        <v>0</v>
      </c>
      <c r="C31">
        <f t="shared" si="0"/>
        <v>0.11824829477039554</v>
      </c>
      <c r="D31">
        <f t="shared" si="1"/>
        <v>-0.11824829477039554</v>
      </c>
      <c r="E31">
        <f t="shared" si="2"/>
        <v>1.3982659216106355E-2</v>
      </c>
    </row>
    <row r="32" spans="1:5" x14ac:dyDescent="0.25">
      <c r="A32">
        <v>0.96482320087499995</v>
      </c>
      <c r="B32">
        <v>0</v>
      </c>
      <c r="C32">
        <f t="shared" si="0"/>
        <v>0.31323113512447981</v>
      </c>
      <c r="D32">
        <f t="shared" si="1"/>
        <v>-0.31323113512447981</v>
      </c>
      <c r="E32">
        <f t="shared" si="2"/>
        <v>9.811374401137013E-2</v>
      </c>
    </row>
    <row r="33" spans="1:5" x14ac:dyDescent="0.25">
      <c r="A33">
        <v>0.97076368712499983</v>
      </c>
      <c r="B33">
        <v>0</v>
      </c>
      <c r="C33">
        <f t="shared" si="0"/>
        <v>0.82316125130904172</v>
      </c>
      <c r="D33">
        <f t="shared" si="1"/>
        <v>-0.82316125130904172</v>
      </c>
      <c r="E33">
        <f t="shared" si="2"/>
        <v>0.67759444565666738</v>
      </c>
    </row>
    <row r="34" spans="1:5" x14ac:dyDescent="0.25">
      <c r="A34">
        <v>0.97670417337499993</v>
      </c>
      <c r="B34">
        <v>0</v>
      </c>
      <c r="C34">
        <f t="shared" si="0"/>
        <v>2.1394965919131232</v>
      </c>
      <c r="D34">
        <f t="shared" si="1"/>
        <v>-2.1394965919131232</v>
      </c>
      <c r="E34">
        <f t="shared" si="2"/>
        <v>4.5774456668078694</v>
      </c>
    </row>
    <row r="35" spans="1:5" x14ac:dyDescent="0.25">
      <c r="A35">
        <v>0.98264465962499992</v>
      </c>
      <c r="B35">
        <v>0.62405572786658736</v>
      </c>
      <c r="C35">
        <f t="shared" si="0"/>
        <v>5.4552018596101339</v>
      </c>
      <c r="D35">
        <f t="shared" si="1"/>
        <v>-4.8311461317435462</v>
      </c>
      <c r="E35">
        <f t="shared" si="2"/>
        <v>23.33997294626063</v>
      </c>
    </row>
    <row r="36" spans="1:5" x14ac:dyDescent="0.25">
      <c r="A36">
        <v>0.9885851458749999</v>
      </c>
      <c r="B36">
        <v>16.08794512008609</v>
      </c>
      <c r="C36">
        <f t="shared" si="0"/>
        <v>13.360473765726002</v>
      </c>
      <c r="D36">
        <f t="shared" si="1"/>
        <v>2.7274713543600875</v>
      </c>
      <c r="E36">
        <f t="shared" si="2"/>
        <v>7.4390999888548501</v>
      </c>
    </row>
    <row r="37" spans="1:5" x14ac:dyDescent="0.25">
      <c r="A37">
        <v>0.994525632125</v>
      </c>
      <c r="B37">
        <v>43.736787029293872</v>
      </c>
      <c r="C37">
        <f t="shared" si="0"/>
        <v>29.772435818428317</v>
      </c>
      <c r="D37">
        <f t="shared" si="1"/>
        <v>13.964351210865555</v>
      </c>
      <c r="E37">
        <f t="shared" si="2"/>
        <v>195.00310474040228</v>
      </c>
    </row>
    <row r="38" spans="1:5" x14ac:dyDescent="0.25">
      <c r="A38">
        <v>1.0004661183749999</v>
      </c>
      <c r="B38">
        <v>55.964048409188365</v>
      </c>
      <c r="C38">
        <f t="shared" si="0"/>
        <v>52.573229912544832</v>
      </c>
      <c r="D38">
        <f t="shared" si="1"/>
        <v>3.3908184966435329</v>
      </c>
      <c r="E38">
        <f t="shared" si="2"/>
        <v>11.497650077179909</v>
      </c>
    </row>
    <row r="39" spans="1:5" x14ac:dyDescent="0.25">
      <c r="A39">
        <v>1.006406604625</v>
      </c>
      <c r="B39">
        <v>38.977039952345329</v>
      </c>
      <c r="C39">
        <f t="shared" si="0"/>
        <v>51.818221879566437</v>
      </c>
      <c r="D39">
        <f t="shared" si="1"/>
        <v>-12.841181927221108</v>
      </c>
      <c r="E39">
        <f t="shared" si="2"/>
        <v>164.89595328799001</v>
      </c>
    </row>
    <row r="40" spans="1:5" x14ac:dyDescent="0.25">
      <c r="A40">
        <v>1.0123470908750001</v>
      </c>
      <c r="B40">
        <v>12.935934833573496</v>
      </c>
      <c r="C40">
        <f t="shared" si="0"/>
        <v>11.783645692626255</v>
      </c>
      <c r="D40">
        <f t="shared" si="1"/>
        <v>1.1522891409472411</v>
      </c>
      <c r="E40">
        <f t="shared" si="2"/>
        <v>1.327770264344931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Brody</vt:lpstr>
      <vt:lpstr>0.0001</vt:lpstr>
      <vt:lpstr>0.001</vt:lpstr>
      <vt:lpstr>0.005</vt:lpstr>
      <vt:lpstr>0.01</vt:lpstr>
      <vt:lpstr>0.025</vt:lpstr>
      <vt:lpstr>0.05</vt:lpstr>
      <vt:lpstr>0.075</vt:lpstr>
      <vt:lpstr>0.1</vt:lpstr>
      <vt:lpstr>0.15</vt:lpstr>
      <vt:lpstr>0.2</vt:lpstr>
      <vt:lpstr>0.25</vt:lpstr>
      <vt:lpstr>0.3</vt:lpstr>
      <vt:lpstr>0.35</vt:lpstr>
      <vt:lpstr>0.4</vt:lpstr>
      <vt:lpstr>0.45</vt:lpstr>
      <vt:lpstr>0.5</vt:lpstr>
      <vt:lpstr>0.55</vt:lpstr>
      <vt:lpstr>0.6</vt:lpstr>
      <vt:lpstr>0.65</vt:lpstr>
      <vt:lpstr>0.7</vt:lpstr>
      <vt:lpstr>0.75</vt:lpstr>
      <vt:lpstr>0.8</vt:lpstr>
      <vt:lpstr>0.85</vt:lpstr>
      <vt:lpstr>0.9</vt:lpstr>
      <vt:lpstr>0.925</vt:lpstr>
      <vt:lpstr>0.95</vt:lpstr>
      <vt:lpstr>0.975</vt:lpstr>
      <vt:lpstr>0.99</vt:lpstr>
      <vt:lpstr>0.995</vt:lpstr>
      <vt:lpstr>0.999</vt:lpstr>
      <vt:lpstr>0.9999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Luis Castillo Sánchez</cp:lastModifiedBy>
  <dcterms:created xsi:type="dcterms:W3CDTF">2018-05-22T02:41:32Z</dcterms:created>
  <dcterms:modified xsi:type="dcterms:W3CDTF">2024-10-02T23:59:37Z</dcterms:modified>
</cp:coreProperties>
</file>