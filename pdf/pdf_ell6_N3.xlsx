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5345" documentId="115_{87DECE54-16D4-499C-96A9-7744FB0A501B}" xr6:coauthVersionLast="47" xr6:coauthVersionMax="47" xr10:uidLastSave="{BF0E5FF6-BD85-46EA-83BB-4E244261EEB8}"/>
  <bookViews>
    <workbookView xWindow="-120" yWindow="-120" windowWidth="29040" windowHeight="15720" tabRatio="1000" xr2:uid="{52D9C27D-0EF6-DD41-9728-0267E68F7539}"/>
  </bookViews>
  <sheets>
    <sheet name="Brody" sheetId="1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C18" i="32" l="1"/>
  <c r="D18" i="32" s="1"/>
  <c r="E18" i="32" s="1"/>
  <c r="C10" i="32"/>
  <c r="D10" i="32" s="1"/>
  <c r="E10" i="32" s="1"/>
  <c r="C22" i="32"/>
  <c r="D22" i="32" s="1"/>
  <c r="E22" i="32" s="1"/>
  <c r="C34" i="32"/>
  <c r="D34" i="32" s="1"/>
  <c r="E34" i="32" s="1"/>
  <c r="C17" i="32"/>
  <c r="D17" i="32" s="1"/>
  <c r="E17" i="32" s="1"/>
  <c r="C21" i="32"/>
  <c r="D21" i="32" s="1"/>
  <c r="E21" i="32" s="1"/>
  <c r="C2" i="32"/>
  <c r="D2" i="32" s="1"/>
  <c r="E2" i="32" s="1"/>
  <c r="C25" i="32"/>
  <c r="D25" i="32" s="1"/>
  <c r="E25" i="32" s="1"/>
  <c r="C3" i="32"/>
  <c r="D3" i="32" s="1"/>
  <c r="E3" i="32" s="1"/>
  <c r="C26" i="32"/>
  <c r="D26" i="32" s="1"/>
  <c r="E26" i="32" s="1"/>
  <c r="C29" i="32"/>
  <c r="D29" i="32" s="1"/>
  <c r="E29" i="32" s="1"/>
  <c r="C6" i="32"/>
  <c r="D6" i="32" s="1"/>
  <c r="E6" i="32" s="1"/>
  <c r="C30" i="32"/>
  <c r="D30" i="32" s="1"/>
  <c r="E30" i="32" s="1"/>
  <c r="C9" i="32"/>
  <c r="D9" i="32" s="1"/>
  <c r="E9" i="32" s="1"/>
  <c r="C33" i="32"/>
  <c r="D33" i="32" s="1"/>
  <c r="E33" i="32" s="1"/>
  <c r="C13" i="32"/>
  <c r="D13" i="32" s="1"/>
  <c r="E13" i="32" s="1"/>
  <c r="C37" i="32"/>
  <c r="D37" i="32" s="1"/>
  <c r="E37" i="32" s="1"/>
  <c r="C14" i="32"/>
  <c r="D14" i="32" s="1"/>
  <c r="E14" i="32" s="1"/>
  <c r="C38" i="32"/>
  <c r="D38" i="32" s="1"/>
  <c r="E38" i="32" s="1"/>
  <c r="C2" i="31"/>
  <c r="D2" i="31" s="1"/>
  <c r="E2" i="31" s="1"/>
  <c r="C37" i="30"/>
  <c r="D37" i="30" s="1"/>
  <c r="E37" i="30" s="1"/>
  <c r="C33" i="30"/>
  <c r="D33" i="30" s="1"/>
  <c r="E33" i="30" s="1"/>
  <c r="C2" i="30"/>
  <c r="D2" i="30" s="1"/>
  <c r="E2" i="30" s="1"/>
  <c r="C9" i="30"/>
  <c r="D9" i="30" s="1"/>
  <c r="E9" i="30" s="1"/>
  <c r="C13" i="30"/>
  <c r="D13" i="30" s="1"/>
  <c r="E13" i="30" s="1"/>
  <c r="C17" i="30"/>
  <c r="D17" i="30" s="1"/>
  <c r="E17" i="30" s="1"/>
  <c r="C21" i="30"/>
  <c r="D21" i="30" s="1"/>
  <c r="E21" i="30" s="1"/>
  <c r="C25" i="30"/>
  <c r="D25" i="30" s="1"/>
  <c r="E25" i="30" s="1"/>
  <c r="C29" i="30"/>
  <c r="D29" i="30" s="1"/>
  <c r="E29" i="30" s="1"/>
  <c r="C17" i="29"/>
  <c r="D17" i="29" s="1"/>
  <c r="E17" i="29" s="1"/>
  <c r="C21" i="29"/>
  <c r="D21" i="29" s="1"/>
  <c r="E21" i="29" s="1"/>
  <c r="C25" i="29"/>
  <c r="D25" i="29" s="1"/>
  <c r="E25" i="29" s="1"/>
  <c r="C2" i="29"/>
  <c r="D2" i="29" s="1"/>
  <c r="E2" i="29" s="1"/>
  <c r="C9" i="29"/>
  <c r="D9" i="29" s="1"/>
  <c r="E9" i="29" s="1"/>
  <c r="C13" i="29"/>
  <c r="D13" i="29" s="1"/>
  <c r="E13" i="29" s="1"/>
  <c r="C11" i="28"/>
  <c r="D11" i="28" s="1"/>
  <c r="E11" i="28" s="1"/>
  <c r="C10" i="28"/>
  <c r="D10" i="28" s="1"/>
  <c r="E10" i="28" s="1"/>
  <c r="C34" i="28"/>
  <c r="D34" i="28" s="1"/>
  <c r="E34" i="28" s="1"/>
  <c r="C35" i="28"/>
  <c r="D35" i="28" s="1"/>
  <c r="E35" i="28" s="1"/>
  <c r="C14" i="28"/>
  <c r="D14" i="28" s="1"/>
  <c r="E14" i="28" s="1"/>
  <c r="C38" i="28"/>
  <c r="D38" i="28" s="1"/>
  <c r="E38" i="28" s="1"/>
  <c r="C15" i="28"/>
  <c r="D15" i="28" s="1"/>
  <c r="E15" i="28" s="1"/>
  <c r="C39" i="28"/>
  <c r="D39" i="28" s="1"/>
  <c r="E39" i="28" s="1"/>
  <c r="C18" i="28"/>
  <c r="D18" i="28" s="1"/>
  <c r="E18" i="28" s="1"/>
  <c r="C19" i="28"/>
  <c r="D19" i="28" s="1"/>
  <c r="E19" i="28" s="1"/>
  <c r="C22" i="28"/>
  <c r="D22" i="28" s="1"/>
  <c r="E22" i="28" s="1"/>
  <c r="C23" i="28"/>
  <c r="D23" i="28" s="1"/>
  <c r="E23" i="28" s="1"/>
  <c r="C2" i="28"/>
  <c r="D2" i="28" s="1"/>
  <c r="E2" i="28" s="1"/>
  <c r="C26" i="28"/>
  <c r="D26" i="28" s="1"/>
  <c r="E26" i="28" s="1"/>
  <c r="C27" i="28"/>
  <c r="D27" i="28" s="1"/>
  <c r="E27" i="28" s="1"/>
  <c r="C6" i="28"/>
  <c r="D6" i="28" s="1"/>
  <c r="E6" i="28" s="1"/>
  <c r="C30" i="28"/>
  <c r="D30" i="28" s="1"/>
  <c r="E30" i="28" s="1"/>
  <c r="C7" i="28"/>
  <c r="D7" i="28" s="1"/>
  <c r="E7" i="28" s="1"/>
  <c r="C31" i="28"/>
  <c r="D31" i="28" s="1"/>
  <c r="E31" i="28" s="1"/>
  <c r="C9" i="27"/>
  <c r="D9" i="27" s="1"/>
  <c r="E9" i="27" s="1"/>
  <c r="C13" i="27"/>
  <c r="D13" i="27" s="1"/>
  <c r="E13" i="27" s="1"/>
  <c r="C17" i="27"/>
  <c r="D17" i="27" s="1"/>
  <c r="E17" i="27" s="1"/>
  <c r="C21" i="27"/>
  <c r="D21" i="27" s="1"/>
  <c r="E21" i="27" s="1"/>
  <c r="C25" i="27"/>
  <c r="D25" i="27" s="1"/>
  <c r="E25" i="27" s="1"/>
  <c r="C29" i="27"/>
  <c r="D29" i="27" s="1"/>
  <c r="E29" i="27" s="1"/>
  <c r="C33" i="27"/>
  <c r="D33" i="27" s="1"/>
  <c r="E33" i="27" s="1"/>
  <c r="C37" i="27"/>
  <c r="D37" i="27" s="1"/>
  <c r="E37" i="27" s="1"/>
  <c r="C2" i="27"/>
  <c r="D2" i="27" s="1"/>
  <c r="E2" i="27" s="1"/>
  <c r="C22" i="26"/>
  <c r="D22" i="26" s="1"/>
  <c r="E22" i="26" s="1"/>
  <c r="C21" i="26"/>
  <c r="D21" i="26" s="1"/>
  <c r="E21" i="26" s="1"/>
  <c r="C2" i="26"/>
  <c r="D2" i="26" s="1"/>
  <c r="E2" i="26" s="1"/>
  <c r="C25" i="26"/>
  <c r="D25" i="26" s="1"/>
  <c r="E25" i="26" s="1"/>
  <c r="C3" i="26"/>
  <c r="D3" i="26" s="1"/>
  <c r="E3" i="26" s="1"/>
  <c r="C26" i="26"/>
  <c r="D26" i="26" s="1"/>
  <c r="E26" i="26" s="1"/>
  <c r="C29" i="26"/>
  <c r="D29" i="26" s="1"/>
  <c r="E29" i="26" s="1"/>
  <c r="C6" i="26"/>
  <c r="D6" i="26" s="1"/>
  <c r="E6" i="26" s="1"/>
  <c r="C30" i="26"/>
  <c r="D30" i="26" s="1"/>
  <c r="E30" i="26" s="1"/>
  <c r="C9" i="26"/>
  <c r="D9" i="26" s="1"/>
  <c r="E9" i="26" s="1"/>
  <c r="C33" i="26"/>
  <c r="D33" i="26" s="1"/>
  <c r="E33" i="26" s="1"/>
  <c r="C10" i="26"/>
  <c r="D10" i="26" s="1"/>
  <c r="E10" i="26" s="1"/>
  <c r="C34" i="26"/>
  <c r="D34" i="26" s="1"/>
  <c r="E34" i="26" s="1"/>
  <c r="C13" i="26"/>
  <c r="D13" i="26" s="1"/>
  <c r="E13" i="26" s="1"/>
  <c r="C37" i="26"/>
  <c r="D37" i="26" s="1"/>
  <c r="E37" i="26" s="1"/>
  <c r="C14" i="26"/>
  <c r="D14" i="26" s="1"/>
  <c r="E14" i="26" s="1"/>
  <c r="C38" i="26"/>
  <c r="D38" i="26" s="1"/>
  <c r="E38" i="26" s="1"/>
  <c r="C17" i="26"/>
  <c r="D17" i="26" s="1"/>
  <c r="E17" i="26" s="1"/>
  <c r="C18" i="26"/>
  <c r="D18" i="26" s="1"/>
  <c r="E18" i="26" s="1"/>
  <c r="C2" i="25"/>
  <c r="D2" i="25" s="1"/>
  <c r="E2" i="25" s="1"/>
  <c r="C2" i="24"/>
  <c r="D2" i="24" s="1"/>
  <c r="E2" i="24" s="1"/>
  <c r="C9" i="23"/>
  <c r="D9" i="23" s="1"/>
  <c r="E9" i="23" s="1"/>
  <c r="C13" i="23"/>
  <c r="D13" i="23" s="1"/>
  <c r="E13" i="23" s="1"/>
  <c r="C14" i="23"/>
  <c r="D14" i="23" s="1"/>
  <c r="E14" i="23" s="1"/>
  <c r="C25" i="23"/>
  <c r="D25" i="23" s="1"/>
  <c r="E25" i="23" s="1"/>
  <c r="C29" i="23"/>
  <c r="D29" i="23" s="1"/>
  <c r="E29" i="23" s="1"/>
  <c r="C30" i="23"/>
  <c r="D30" i="23" s="1"/>
  <c r="E30" i="23" s="1"/>
  <c r="C10" i="23"/>
  <c r="D10" i="23" s="1"/>
  <c r="E10" i="23" s="1"/>
  <c r="C26" i="23"/>
  <c r="D26" i="23" s="1"/>
  <c r="E26" i="23" s="1"/>
  <c r="C17" i="23"/>
  <c r="D17" i="23" s="1"/>
  <c r="E17" i="23" s="1"/>
  <c r="C33" i="23"/>
  <c r="D33" i="23" s="1"/>
  <c r="E33" i="23" s="1"/>
  <c r="C18" i="23"/>
  <c r="D18" i="23" s="1"/>
  <c r="E18" i="23" s="1"/>
  <c r="C34" i="23"/>
  <c r="D34" i="23" s="1"/>
  <c r="E34" i="23" s="1"/>
  <c r="C2" i="23"/>
  <c r="D2" i="23" s="1"/>
  <c r="E2" i="23" s="1"/>
  <c r="C21" i="23"/>
  <c r="D21" i="23" s="1"/>
  <c r="E21" i="23" s="1"/>
  <c r="C37" i="23"/>
  <c r="D37" i="23" s="1"/>
  <c r="E37" i="23" s="1"/>
  <c r="C6" i="23"/>
  <c r="D6" i="23" s="1"/>
  <c r="E6" i="23" s="1"/>
  <c r="C22" i="23"/>
  <c r="D22" i="23" s="1"/>
  <c r="E22" i="23" s="1"/>
  <c r="C38" i="23"/>
  <c r="D38" i="23" s="1"/>
  <c r="E38" i="23" s="1"/>
  <c r="C2" i="22"/>
  <c r="D2" i="22" s="1"/>
  <c r="E2" i="22" s="1"/>
  <c r="C2" i="21"/>
  <c r="D2" i="21" s="1"/>
  <c r="E2" i="21" s="1"/>
  <c r="C25" i="20"/>
  <c r="D25" i="20" s="1"/>
  <c r="E25" i="20" s="1"/>
  <c r="C33" i="20"/>
  <c r="D33" i="20" s="1"/>
  <c r="E33" i="20" s="1"/>
  <c r="C37" i="20"/>
  <c r="D37" i="20" s="1"/>
  <c r="E37" i="20" s="1"/>
  <c r="C13" i="20"/>
  <c r="D13" i="20" s="1"/>
  <c r="E13" i="20" s="1"/>
  <c r="C21" i="20"/>
  <c r="D21" i="20" s="1"/>
  <c r="E21" i="20" s="1"/>
  <c r="C29" i="20"/>
  <c r="D29" i="20" s="1"/>
  <c r="E29" i="20" s="1"/>
  <c r="C2" i="20"/>
  <c r="D2" i="20" s="1"/>
  <c r="E2" i="20" s="1"/>
  <c r="C9" i="20"/>
  <c r="D9" i="20" s="1"/>
  <c r="E9" i="20" s="1"/>
  <c r="C17" i="20"/>
  <c r="D17" i="20" s="1"/>
  <c r="E17" i="20" s="1"/>
  <c r="C4" i="19"/>
  <c r="D4" i="19" s="1"/>
  <c r="E4" i="19" s="1"/>
  <c r="C13" i="19"/>
  <c r="D13" i="19" s="1"/>
  <c r="E13" i="19" s="1"/>
  <c r="C21" i="19"/>
  <c r="D21" i="19" s="1"/>
  <c r="E21" i="19" s="1"/>
  <c r="C29" i="19"/>
  <c r="D29" i="19" s="1"/>
  <c r="E29" i="19" s="1"/>
  <c r="C2" i="19"/>
  <c r="D2" i="19" s="1"/>
  <c r="E2" i="19" s="1"/>
  <c r="C25" i="19"/>
  <c r="D25" i="19" s="1"/>
  <c r="E25" i="19" s="1"/>
  <c r="C33" i="19"/>
  <c r="D33" i="19" s="1"/>
  <c r="E33" i="19" s="1"/>
  <c r="C37" i="19"/>
  <c r="D37" i="19" s="1"/>
  <c r="E37" i="19" s="1"/>
  <c r="C1" i="19"/>
  <c r="D1" i="19" s="1"/>
  <c r="E1" i="19" s="1"/>
  <c r="C9" i="19"/>
  <c r="D9" i="19" s="1"/>
  <c r="E9" i="19" s="1"/>
  <c r="C17" i="19"/>
  <c r="D17" i="19" s="1"/>
  <c r="E17" i="19" s="1"/>
  <c r="C2" i="18"/>
  <c r="D2" i="18" s="1"/>
  <c r="E2" i="18" s="1"/>
  <c r="C9" i="18"/>
  <c r="D9" i="18" s="1"/>
  <c r="E9" i="18" s="1"/>
  <c r="C33" i="18"/>
  <c r="D33" i="18" s="1"/>
  <c r="E33" i="18" s="1"/>
  <c r="C13" i="18"/>
  <c r="D13" i="18" s="1"/>
  <c r="E13" i="18" s="1"/>
  <c r="C37" i="18"/>
  <c r="D37" i="18" s="1"/>
  <c r="E37" i="18" s="1"/>
  <c r="C17" i="18"/>
  <c r="D17" i="18" s="1"/>
  <c r="E17" i="18" s="1"/>
  <c r="C21" i="18"/>
  <c r="D21" i="18" s="1"/>
  <c r="E21" i="18" s="1"/>
  <c r="C25" i="18"/>
  <c r="D25" i="18" s="1"/>
  <c r="E25" i="18" s="1"/>
  <c r="C3" i="18"/>
  <c r="D3" i="18" s="1"/>
  <c r="E3" i="18" s="1"/>
  <c r="C29" i="18"/>
  <c r="D29" i="18" s="1"/>
  <c r="E29" i="18" s="1"/>
  <c r="C2" i="17"/>
  <c r="D2" i="17" s="1"/>
  <c r="E2" i="17" s="1"/>
  <c r="C14" i="16"/>
  <c r="D14" i="16" s="1"/>
  <c r="E14" i="16" s="1"/>
  <c r="C26" i="16"/>
  <c r="D26" i="16" s="1"/>
  <c r="E26" i="16" s="1"/>
  <c r="C4" i="16"/>
  <c r="D4" i="16" s="1"/>
  <c r="E4" i="16" s="1"/>
  <c r="C17" i="16"/>
  <c r="D17" i="16" s="1"/>
  <c r="E17" i="16" s="1"/>
  <c r="C30" i="16"/>
  <c r="D30" i="16" s="1"/>
  <c r="E30" i="16" s="1"/>
  <c r="C32" i="16"/>
  <c r="D32" i="16" s="1"/>
  <c r="E32" i="16" s="1"/>
  <c r="C6" i="16"/>
  <c r="D6" i="16" s="1"/>
  <c r="E6" i="16" s="1"/>
  <c r="C18" i="16"/>
  <c r="D18" i="16" s="1"/>
  <c r="E18" i="16" s="1"/>
  <c r="C34" i="16"/>
  <c r="D34" i="16" s="1"/>
  <c r="E34" i="16" s="1"/>
  <c r="C8" i="16"/>
  <c r="D8" i="16" s="1"/>
  <c r="E8" i="16" s="1"/>
  <c r="C20" i="16"/>
  <c r="D20" i="16" s="1"/>
  <c r="E20" i="16" s="1"/>
  <c r="C36" i="16"/>
  <c r="D36" i="16" s="1"/>
  <c r="E36" i="16" s="1"/>
  <c r="C9" i="16"/>
  <c r="D9" i="16" s="1"/>
  <c r="E9" i="16" s="1"/>
  <c r="C21" i="16"/>
  <c r="D21" i="16" s="1"/>
  <c r="E21" i="16" s="1"/>
  <c r="C38" i="16"/>
  <c r="D38" i="16" s="1"/>
  <c r="E38" i="16" s="1"/>
  <c r="C40" i="16"/>
  <c r="D40" i="16" s="1"/>
  <c r="E40" i="16" s="1"/>
  <c r="C10" i="16"/>
  <c r="D10" i="16" s="1"/>
  <c r="E10" i="16" s="1"/>
  <c r="C22" i="16"/>
  <c r="D22" i="16" s="1"/>
  <c r="E22" i="16" s="1"/>
  <c r="C28" i="16"/>
  <c r="D28" i="16" s="1"/>
  <c r="E28" i="16" s="1"/>
  <c r="C12" i="16"/>
  <c r="D12" i="16" s="1"/>
  <c r="E12" i="16" s="1"/>
  <c r="C24" i="16"/>
  <c r="D24" i="16" s="1"/>
  <c r="E24" i="16" s="1"/>
  <c r="C16" i="16"/>
  <c r="D16" i="16" s="1"/>
  <c r="E16" i="16" s="1"/>
  <c r="C2" i="16"/>
  <c r="D2" i="16" s="1"/>
  <c r="E2" i="16" s="1"/>
  <c r="C13" i="16"/>
  <c r="D13" i="16" s="1"/>
  <c r="E13" i="16" s="1"/>
  <c r="C25" i="16"/>
  <c r="D25" i="16" s="1"/>
  <c r="E25" i="16" s="1"/>
  <c r="C3" i="16"/>
  <c r="D3" i="16" s="1"/>
  <c r="E3" i="16" s="1"/>
  <c r="C6" i="15"/>
  <c r="D6" i="15" s="1"/>
  <c r="E6" i="15" s="1"/>
  <c r="C10" i="15"/>
  <c r="D10" i="15" s="1"/>
  <c r="E10" i="15" s="1"/>
  <c r="C26" i="15"/>
  <c r="D26" i="15" s="1"/>
  <c r="E26" i="15" s="1"/>
  <c r="C34" i="15"/>
  <c r="D34" i="15" s="1"/>
  <c r="E34" i="15" s="1"/>
  <c r="C38" i="15"/>
  <c r="D38" i="15" s="1"/>
  <c r="E38" i="15" s="1"/>
  <c r="C14" i="15"/>
  <c r="D14" i="15" s="1"/>
  <c r="E14" i="15" s="1"/>
  <c r="C18" i="15"/>
  <c r="D18" i="15" s="1"/>
  <c r="E18" i="15" s="1"/>
  <c r="C22" i="15"/>
  <c r="D22" i="15" s="1"/>
  <c r="E22" i="15" s="1"/>
  <c r="C30" i="15"/>
  <c r="D30" i="15" s="1"/>
  <c r="E30" i="15" s="1"/>
  <c r="C2" i="15"/>
  <c r="D2" i="15" s="1"/>
  <c r="E2" i="15" s="1"/>
  <c r="C3" i="15"/>
  <c r="D3" i="15" s="1"/>
  <c r="E3" i="15" s="1"/>
  <c r="C2" i="14"/>
  <c r="D2" i="14" s="1"/>
  <c r="E2" i="14" s="1"/>
  <c r="C17" i="14"/>
  <c r="D17" i="14" s="1"/>
  <c r="E17" i="14" s="1"/>
  <c r="C13" i="14"/>
  <c r="D13" i="14" s="1"/>
  <c r="E13" i="14" s="1"/>
  <c r="C9" i="14"/>
  <c r="D9" i="14" s="1"/>
  <c r="E9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1" i="13"/>
  <c r="D1" i="13" s="1"/>
  <c r="E1" i="13" s="1"/>
  <c r="C2" i="13"/>
  <c r="D2" i="13" s="1"/>
  <c r="E2" i="13" s="1"/>
  <c r="C4" i="13"/>
  <c r="D4" i="13" s="1"/>
  <c r="E4" i="13" s="1"/>
  <c r="C2" i="12"/>
  <c r="D2" i="12" s="1"/>
  <c r="E2" i="12" s="1"/>
  <c r="C10" i="12"/>
  <c r="D10" i="12" s="1"/>
  <c r="E10" i="12" s="1"/>
  <c r="C14" i="12"/>
  <c r="D14" i="12" s="1"/>
  <c r="E14" i="12" s="1"/>
  <c r="C18" i="12"/>
  <c r="D18" i="12" s="1"/>
  <c r="E18" i="12" s="1"/>
  <c r="C22" i="12"/>
  <c r="D22" i="12" s="1"/>
  <c r="E22" i="12" s="1"/>
  <c r="C26" i="12"/>
  <c r="D26" i="12" s="1"/>
  <c r="E26" i="12" s="1"/>
  <c r="C30" i="12"/>
  <c r="D30" i="12" s="1"/>
  <c r="E30" i="12" s="1"/>
  <c r="C34" i="12"/>
  <c r="D34" i="12" s="1"/>
  <c r="E34" i="12" s="1"/>
  <c r="C38" i="12"/>
  <c r="D38" i="12" s="1"/>
  <c r="E38" i="12" s="1"/>
  <c r="C6" i="12"/>
  <c r="D6" i="12" s="1"/>
  <c r="E6" i="12" s="1"/>
  <c r="C2" i="11"/>
  <c r="D2" i="11" s="1"/>
  <c r="E2" i="11" s="1"/>
  <c r="C9" i="11"/>
  <c r="D9" i="11" s="1"/>
  <c r="E9" i="11" s="1"/>
  <c r="C21" i="11"/>
  <c r="D21" i="11" s="1"/>
  <c r="E21" i="11" s="1"/>
  <c r="C13" i="11"/>
  <c r="D13" i="11" s="1"/>
  <c r="E13" i="11" s="1"/>
  <c r="C17" i="11"/>
  <c r="D17" i="11" s="1"/>
  <c r="E17" i="11" s="1"/>
  <c r="C25" i="11"/>
  <c r="D25" i="11" s="1"/>
  <c r="E25" i="11" s="1"/>
  <c r="C29" i="11"/>
  <c r="D29" i="11" s="1"/>
  <c r="E29" i="11" s="1"/>
  <c r="C33" i="11"/>
  <c r="D33" i="11" s="1"/>
  <c r="E33" i="11" s="1"/>
  <c r="C37" i="11"/>
  <c r="D37" i="11" s="1"/>
  <c r="E37" i="11" s="1"/>
  <c r="C3" i="11"/>
  <c r="D3" i="11" s="1"/>
  <c r="E3" i="11" s="1"/>
  <c r="C2" i="10"/>
  <c r="D2" i="10" s="1"/>
  <c r="E2" i="10" s="1"/>
  <c r="C9" i="10"/>
  <c r="D9" i="10" s="1"/>
  <c r="E9" i="10" s="1"/>
  <c r="C13" i="10"/>
  <c r="D13" i="10" s="1"/>
  <c r="E13" i="10" s="1"/>
  <c r="C17" i="10"/>
  <c r="D17" i="10" s="1"/>
  <c r="E17" i="10" s="1"/>
  <c r="C21" i="10"/>
  <c r="D21" i="10" s="1"/>
  <c r="E21" i="10" s="1"/>
  <c r="C25" i="10"/>
  <c r="D25" i="10" s="1"/>
  <c r="E25" i="10" s="1"/>
  <c r="C29" i="10"/>
  <c r="D29" i="10" s="1"/>
  <c r="E29" i="10" s="1"/>
  <c r="C33" i="10"/>
  <c r="D33" i="10" s="1"/>
  <c r="E33" i="10" s="1"/>
  <c r="C37" i="10"/>
  <c r="D37" i="10" s="1"/>
  <c r="E37" i="10" s="1"/>
  <c r="C9" i="9"/>
  <c r="D9" i="9" s="1"/>
  <c r="E9" i="9" s="1"/>
  <c r="C25" i="9"/>
  <c r="D25" i="9" s="1"/>
  <c r="E25" i="9" s="1"/>
  <c r="C10" i="9"/>
  <c r="D10" i="9" s="1"/>
  <c r="E10" i="9" s="1"/>
  <c r="C26" i="9"/>
  <c r="D26" i="9" s="1"/>
  <c r="E26" i="9" s="1"/>
  <c r="C13" i="9"/>
  <c r="D13" i="9" s="1"/>
  <c r="E13" i="9" s="1"/>
  <c r="C29" i="9"/>
  <c r="D29" i="9" s="1"/>
  <c r="E29" i="9" s="1"/>
  <c r="C14" i="9"/>
  <c r="D14" i="9" s="1"/>
  <c r="E14" i="9" s="1"/>
  <c r="C30" i="9"/>
  <c r="D30" i="9" s="1"/>
  <c r="E30" i="9" s="1"/>
  <c r="C17" i="9"/>
  <c r="D17" i="9" s="1"/>
  <c r="E17" i="9" s="1"/>
  <c r="C33" i="9"/>
  <c r="D33" i="9" s="1"/>
  <c r="E33" i="9" s="1"/>
  <c r="C1" i="9"/>
  <c r="D1" i="9" s="1"/>
  <c r="E1" i="9" s="1"/>
  <c r="C18" i="9"/>
  <c r="D18" i="9" s="1"/>
  <c r="E18" i="9" s="1"/>
  <c r="C34" i="9"/>
  <c r="D34" i="9" s="1"/>
  <c r="E34" i="9" s="1"/>
  <c r="C2" i="9"/>
  <c r="D2" i="9" s="1"/>
  <c r="E2" i="9" s="1"/>
  <c r="C21" i="9"/>
  <c r="D21" i="9" s="1"/>
  <c r="E21" i="9" s="1"/>
  <c r="C37" i="9"/>
  <c r="D37" i="9" s="1"/>
  <c r="E37" i="9" s="1"/>
  <c r="C6" i="9"/>
  <c r="D6" i="9" s="1"/>
  <c r="E6" i="9" s="1"/>
  <c r="C22" i="9"/>
  <c r="D22" i="9" s="1"/>
  <c r="E22" i="9" s="1"/>
  <c r="C38" i="9"/>
  <c r="D38" i="9" s="1"/>
  <c r="E38" i="9" s="1"/>
  <c r="C2" i="8"/>
  <c r="D2" i="8" s="1"/>
  <c r="E2" i="8" s="1"/>
  <c r="C2" i="7"/>
  <c r="D2" i="7" s="1"/>
  <c r="E2" i="7" s="1"/>
  <c r="C13" i="6"/>
  <c r="D13" i="6" s="1"/>
  <c r="E13" i="6" s="1"/>
  <c r="C25" i="6"/>
  <c r="D25" i="6" s="1"/>
  <c r="E25" i="6" s="1"/>
  <c r="C37" i="6"/>
  <c r="D37" i="6" s="1"/>
  <c r="E37" i="6" s="1"/>
  <c r="C14" i="6"/>
  <c r="D14" i="6" s="1"/>
  <c r="E14" i="6" s="1"/>
  <c r="C26" i="6"/>
  <c r="D26" i="6" s="1"/>
  <c r="E26" i="6" s="1"/>
  <c r="C38" i="6"/>
  <c r="D38" i="6" s="1"/>
  <c r="E38" i="6" s="1"/>
  <c r="C2" i="6"/>
  <c r="D2" i="6" s="1"/>
  <c r="E2" i="6" s="1"/>
  <c r="C15" i="6"/>
  <c r="D15" i="6" s="1"/>
  <c r="E15" i="6" s="1"/>
  <c r="C27" i="6"/>
  <c r="D27" i="6" s="1"/>
  <c r="E27" i="6" s="1"/>
  <c r="C39" i="6"/>
  <c r="D39" i="6" s="1"/>
  <c r="E39" i="6" s="1"/>
  <c r="C3" i="6"/>
  <c r="D3" i="6" s="1"/>
  <c r="E3" i="6" s="1"/>
  <c r="C17" i="6"/>
  <c r="D17" i="6" s="1"/>
  <c r="E17" i="6" s="1"/>
  <c r="C29" i="6"/>
  <c r="D29" i="6" s="1"/>
  <c r="E29" i="6" s="1"/>
  <c r="C6" i="6"/>
  <c r="D6" i="6" s="1"/>
  <c r="E6" i="6" s="1"/>
  <c r="C18" i="6"/>
  <c r="D18" i="6" s="1"/>
  <c r="E18" i="6" s="1"/>
  <c r="C30" i="6"/>
  <c r="D30" i="6" s="1"/>
  <c r="E30" i="6" s="1"/>
  <c r="C7" i="6"/>
  <c r="D7" i="6" s="1"/>
  <c r="E7" i="6" s="1"/>
  <c r="C19" i="6"/>
  <c r="D19" i="6" s="1"/>
  <c r="E19" i="6" s="1"/>
  <c r="C31" i="6"/>
  <c r="D31" i="6" s="1"/>
  <c r="E31" i="6" s="1"/>
  <c r="C9" i="6"/>
  <c r="D9" i="6" s="1"/>
  <c r="E9" i="6" s="1"/>
  <c r="C21" i="6"/>
  <c r="D21" i="6" s="1"/>
  <c r="E21" i="6" s="1"/>
  <c r="C33" i="6"/>
  <c r="D33" i="6" s="1"/>
  <c r="E33" i="6" s="1"/>
  <c r="C10" i="6"/>
  <c r="D10" i="6" s="1"/>
  <c r="E10" i="6" s="1"/>
  <c r="C22" i="6"/>
  <c r="D22" i="6" s="1"/>
  <c r="E22" i="6" s="1"/>
  <c r="C34" i="6"/>
  <c r="D34" i="6" s="1"/>
  <c r="E34" i="6" s="1"/>
  <c r="C11" i="6"/>
  <c r="D11" i="6" s="1"/>
  <c r="E11" i="6" s="1"/>
  <c r="C23" i="6"/>
  <c r="D23" i="6" s="1"/>
  <c r="E23" i="6" s="1"/>
  <c r="C35" i="6"/>
  <c r="D35" i="6" s="1"/>
  <c r="E35" i="6" s="1"/>
  <c r="C37" i="5"/>
  <c r="D37" i="5" s="1"/>
  <c r="E37" i="5" s="1"/>
  <c r="C18" i="5"/>
  <c r="D18" i="5" s="1"/>
  <c r="E18" i="5" s="1"/>
  <c r="C38" i="5"/>
  <c r="D38" i="5" s="1"/>
  <c r="E38" i="5" s="1"/>
  <c r="C30" i="5"/>
  <c r="D30" i="5" s="1"/>
  <c r="E30" i="5" s="1"/>
  <c r="C6" i="5"/>
  <c r="D6" i="5" s="1"/>
  <c r="E6" i="5" s="1"/>
  <c r="C13" i="5"/>
  <c r="D13" i="5" s="1"/>
  <c r="E13" i="5" s="1"/>
  <c r="C14" i="5"/>
  <c r="D14" i="5" s="1"/>
  <c r="E14" i="5" s="1"/>
  <c r="C10" i="5"/>
  <c r="D10" i="5" s="1"/>
  <c r="E10" i="5" s="1"/>
  <c r="C34" i="5"/>
  <c r="D34" i="5" s="1"/>
  <c r="E34" i="5" s="1"/>
  <c r="C17" i="5"/>
  <c r="D17" i="5" s="1"/>
  <c r="E17" i="5" s="1"/>
  <c r="C21" i="5"/>
  <c r="D21" i="5" s="1"/>
  <c r="E21" i="5" s="1"/>
  <c r="C22" i="5"/>
  <c r="D22" i="5" s="1"/>
  <c r="E22" i="5" s="1"/>
  <c r="C25" i="5"/>
  <c r="D25" i="5" s="1"/>
  <c r="E25" i="5" s="1"/>
  <c r="C2" i="5"/>
  <c r="D2" i="5" s="1"/>
  <c r="E2" i="5" s="1"/>
  <c r="C26" i="5"/>
  <c r="D26" i="5" s="1"/>
  <c r="E26" i="5" s="1"/>
  <c r="C29" i="5"/>
  <c r="D29" i="5" s="1"/>
  <c r="E29" i="5" s="1"/>
  <c r="C9" i="5"/>
  <c r="D9" i="5" s="1"/>
  <c r="E9" i="5" s="1"/>
  <c r="C33" i="5"/>
  <c r="D33" i="5" s="1"/>
  <c r="E33" i="5" s="1"/>
  <c r="C14" i="4"/>
  <c r="D14" i="4" s="1"/>
  <c r="E14" i="4" s="1"/>
  <c r="C30" i="4"/>
  <c r="D30" i="4" s="1"/>
  <c r="E30" i="4" s="1"/>
  <c r="C17" i="4"/>
  <c r="D17" i="4" s="1"/>
  <c r="E17" i="4" s="1"/>
  <c r="C33" i="4"/>
  <c r="D33" i="4" s="1"/>
  <c r="E33" i="4" s="1"/>
  <c r="C18" i="4"/>
  <c r="D18" i="4" s="1"/>
  <c r="E18" i="4" s="1"/>
  <c r="C34" i="4"/>
  <c r="D34" i="4" s="1"/>
  <c r="E34" i="4" s="1"/>
  <c r="C2" i="4"/>
  <c r="D2" i="4" s="1"/>
  <c r="E2" i="4" s="1"/>
  <c r="C21" i="4"/>
  <c r="D21" i="4" s="1"/>
  <c r="E21" i="4" s="1"/>
  <c r="C37" i="4"/>
  <c r="D37" i="4" s="1"/>
  <c r="E37" i="4" s="1"/>
  <c r="C6" i="4"/>
  <c r="D6" i="4" s="1"/>
  <c r="E6" i="4" s="1"/>
  <c r="C22" i="4"/>
  <c r="D22" i="4" s="1"/>
  <c r="E22" i="4" s="1"/>
  <c r="C38" i="4"/>
  <c r="D38" i="4" s="1"/>
  <c r="E38" i="4" s="1"/>
  <c r="C9" i="4"/>
  <c r="D9" i="4" s="1"/>
  <c r="E9" i="4" s="1"/>
  <c r="C25" i="4"/>
  <c r="D25" i="4" s="1"/>
  <c r="E25" i="4" s="1"/>
  <c r="C10" i="4"/>
  <c r="D10" i="4" s="1"/>
  <c r="E10" i="4" s="1"/>
  <c r="C26" i="4"/>
  <c r="D26" i="4" s="1"/>
  <c r="E26" i="4" s="1"/>
  <c r="C13" i="4"/>
  <c r="D13" i="4" s="1"/>
  <c r="E13" i="4" s="1"/>
  <c r="C29" i="4"/>
  <c r="D29" i="4" s="1"/>
  <c r="E29" i="4" s="1"/>
  <c r="C25" i="3"/>
  <c r="D25" i="3" s="1"/>
  <c r="E25" i="3" s="1"/>
  <c r="C37" i="3"/>
  <c r="D37" i="3" s="1"/>
  <c r="E37" i="3" s="1"/>
  <c r="C17" i="3"/>
  <c r="D17" i="3" s="1"/>
  <c r="E17" i="3" s="1"/>
  <c r="C21" i="3"/>
  <c r="D21" i="3" s="1"/>
  <c r="E21" i="3" s="1"/>
  <c r="C29" i="3"/>
  <c r="D29" i="3" s="1"/>
  <c r="E29" i="3" s="1"/>
  <c r="C33" i="3"/>
  <c r="D33" i="3" s="1"/>
  <c r="E33" i="3" s="1"/>
  <c r="C2" i="3"/>
  <c r="D2" i="3" s="1"/>
  <c r="E2" i="3" s="1"/>
  <c r="C3" i="3"/>
  <c r="D3" i="3" s="1"/>
  <c r="E3" i="3" s="1"/>
  <c r="C9" i="3"/>
  <c r="D9" i="3" s="1"/>
  <c r="E9" i="3" s="1"/>
  <c r="C13" i="3"/>
  <c r="D13" i="3" s="1"/>
  <c r="E13" i="3" s="1"/>
  <c r="C2" i="2"/>
  <c r="D2" i="2" s="1"/>
  <c r="E2" i="2" s="1"/>
  <c r="C1" i="2"/>
  <c r="D1" i="2" s="1"/>
  <c r="E1" i="2" s="1"/>
  <c r="C17" i="2"/>
  <c r="D17" i="2" s="1"/>
  <c r="E17" i="2" s="1"/>
  <c r="C33" i="2"/>
  <c r="D33" i="2" s="1"/>
  <c r="E33" i="2" s="1"/>
  <c r="C3" i="2"/>
  <c r="D3" i="2" s="1"/>
  <c r="E3" i="2" s="1"/>
  <c r="C18" i="2"/>
  <c r="D18" i="2" s="1"/>
  <c r="E18" i="2" s="1"/>
  <c r="C34" i="2"/>
  <c r="D34" i="2" s="1"/>
  <c r="E34" i="2" s="1"/>
  <c r="C21" i="2"/>
  <c r="D21" i="2" s="1"/>
  <c r="E21" i="2" s="1"/>
  <c r="C37" i="2"/>
  <c r="D37" i="2" s="1"/>
  <c r="E37" i="2" s="1"/>
  <c r="C6" i="2"/>
  <c r="D6" i="2" s="1"/>
  <c r="E6" i="2" s="1"/>
  <c r="C22" i="2"/>
  <c r="D22" i="2" s="1"/>
  <c r="E22" i="2" s="1"/>
  <c r="C38" i="2"/>
  <c r="D38" i="2" s="1"/>
  <c r="E38" i="2" s="1"/>
  <c r="C9" i="2"/>
  <c r="D9" i="2" s="1"/>
  <c r="E9" i="2" s="1"/>
  <c r="C25" i="2"/>
  <c r="D25" i="2" s="1"/>
  <c r="E25" i="2" s="1"/>
  <c r="C10" i="2"/>
  <c r="D10" i="2" s="1"/>
  <c r="E10" i="2" s="1"/>
  <c r="C26" i="2"/>
  <c r="D26" i="2" s="1"/>
  <c r="E26" i="2" s="1"/>
  <c r="C13" i="2"/>
  <c r="D13" i="2" s="1"/>
  <c r="E13" i="2" s="1"/>
  <c r="C29" i="2"/>
  <c r="D29" i="2" s="1"/>
  <c r="E29" i="2" s="1"/>
  <c r="C14" i="2"/>
  <c r="D14" i="2" s="1"/>
  <c r="E14" i="2" s="1"/>
  <c r="C30" i="2"/>
  <c r="D30" i="2" s="1"/>
  <c r="E30" i="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9" i="31"/>
  <c r="D9" i="31" s="1"/>
  <c r="E9" i="31" s="1"/>
  <c r="C13" i="31"/>
  <c r="D13" i="31" s="1"/>
  <c r="E13" i="31" s="1"/>
  <c r="C17" i="31"/>
  <c r="D17" i="31" s="1"/>
  <c r="E17" i="31" s="1"/>
  <c r="C21" i="31"/>
  <c r="D21" i="31" s="1"/>
  <c r="E21" i="31" s="1"/>
  <c r="C25" i="31"/>
  <c r="D25" i="31" s="1"/>
  <c r="E25" i="31" s="1"/>
  <c r="C29" i="31"/>
  <c r="D29" i="31" s="1"/>
  <c r="E29" i="31" s="1"/>
  <c r="C33" i="31"/>
  <c r="D33" i="31" s="1"/>
  <c r="E33" i="31" s="1"/>
  <c r="C37" i="31"/>
  <c r="D37" i="31" s="1"/>
  <c r="E37" i="31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8" i="31"/>
  <c r="D38" i="31" s="1"/>
  <c r="E38" i="31" s="1"/>
  <c r="C3" i="31"/>
  <c r="D3" i="31" s="1"/>
  <c r="E3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3" i="30"/>
  <c r="D3" i="30" s="1"/>
  <c r="E3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29" i="29"/>
  <c r="D29" i="29" s="1"/>
  <c r="E29" i="29" s="1"/>
  <c r="C33" i="29"/>
  <c r="D33" i="29" s="1"/>
  <c r="E33" i="29" s="1"/>
  <c r="C37" i="29"/>
  <c r="D37" i="29" s="1"/>
  <c r="E37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9" i="28"/>
  <c r="D9" i="28" s="1"/>
  <c r="E9" i="28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37" i="28"/>
  <c r="D37" i="28" s="1"/>
  <c r="E37" i="28" s="1"/>
  <c r="C3" i="28"/>
  <c r="D3" i="28" s="1"/>
  <c r="E3" i="28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6" i="27"/>
  <c r="D6" i="27" s="1"/>
  <c r="E6" i="27" s="1"/>
  <c r="C10" i="27"/>
  <c r="D10" i="27" s="1"/>
  <c r="E10" i="27" s="1"/>
  <c r="C14" i="27"/>
  <c r="D14" i="27" s="1"/>
  <c r="E14" i="27" s="1"/>
  <c r="C18" i="27"/>
  <c r="D18" i="27" s="1"/>
  <c r="E18" i="27" s="1"/>
  <c r="C22" i="27"/>
  <c r="D22" i="27" s="1"/>
  <c r="E22" i="27" s="1"/>
  <c r="C26" i="27"/>
  <c r="D26" i="27" s="1"/>
  <c r="E26" i="27" s="1"/>
  <c r="C30" i="27"/>
  <c r="D30" i="27" s="1"/>
  <c r="E30" i="27" s="1"/>
  <c r="C34" i="27"/>
  <c r="D34" i="27" s="1"/>
  <c r="E34" i="27" s="1"/>
  <c r="C38" i="27"/>
  <c r="D38" i="27" s="1"/>
  <c r="E38" i="27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9" i="25"/>
  <c r="D9" i="25" s="1"/>
  <c r="E9" i="25" s="1"/>
  <c r="C13" i="25"/>
  <c r="D13" i="25" s="1"/>
  <c r="E13" i="25" s="1"/>
  <c r="C17" i="25"/>
  <c r="D17" i="25" s="1"/>
  <c r="E17" i="25" s="1"/>
  <c r="C21" i="25"/>
  <c r="D21" i="25" s="1"/>
  <c r="E21" i="25" s="1"/>
  <c r="C25" i="25"/>
  <c r="D25" i="25" s="1"/>
  <c r="E25" i="25" s="1"/>
  <c r="C29" i="25"/>
  <c r="D29" i="25" s="1"/>
  <c r="E29" i="25" s="1"/>
  <c r="C33" i="25"/>
  <c r="D33" i="25" s="1"/>
  <c r="E33" i="25" s="1"/>
  <c r="C37" i="25"/>
  <c r="D37" i="25" s="1"/>
  <c r="E37" i="25" s="1"/>
  <c r="C6" i="25"/>
  <c r="D6" i="25" s="1"/>
  <c r="E6" i="25" s="1"/>
  <c r="C10" i="25"/>
  <c r="D10" i="25" s="1"/>
  <c r="E10" i="25" s="1"/>
  <c r="C14" i="25"/>
  <c r="D14" i="25" s="1"/>
  <c r="E14" i="25" s="1"/>
  <c r="C18" i="25"/>
  <c r="D18" i="25" s="1"/>
  <c r="E18" i="25" s="1"/>
  <c r="C22" i="25"/>
  <c r="D22" i="25" s="1"/>
  <c r="E22" i="25" s="1"/>
  <c r="C26" i="25"/>
  <c r="D26" i="25" s="1"/>
  <c r="E26" i="25" s="1"/>
  <c r="C30" i="25"/>
  <c r="D30" i="25" s="1"/>
  <c r="E30" i="25" s="1"/>
  <c r="C34" i="25"/>
  <c r="D34" i="25" s="1"/>
  <c r="E34" i="25" s="1"/>
  <c r="C38" i="25"/>
  <c r="D38" i="25" s="1"/>
  <c r="E38" i="25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9" i="24"/>
  <c r="D9" i="24" s="1"/>
  <c r="E9" i="24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9" i="24"/>
  <c r="D29" i="24" s="1"/>
  <c r="E29" i="24" s="1"/>
  <c r="C33" i="24"/>
  <c r="D33" i="24" s="1"/>
  <c r="E33" i="24" s="1"/>
  <c r="C37" i="24"/>
  <c r="D37" i="24" s="1"/>
  <c r="E37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9" i="22"/>
  <c r="D9" i="22" s="1"/>
  <c r="E9" i="22" s="1"/>
  <c r="C13" i="22"/>
  <c r="D13" i="22" s="1"/>
  <c r="E13" i="22" s="1"/>
  <c r="C17" i="22"/>
  <c r="D17" i="22" s="1"/>
  <c r="E17" i="22" s="1"/>
  <c r="C21" i="22"/>
  <c r="D21" i="22" s="1"/>
  <c r="E21" i="22" s="1"/>
  <c r="C25" i="22"/>
  <c r="D25" i="22" s="1"/>
  <c r="E25" i="22" s="1"/>
  <c r="C29" i="22"/>
  <c r="D29" i="22" s="1"/>
  <c r="E29" i="22" s="1"/>
  <c r="C33" i="22"/>
  <c r="D33" i="22" s="1"/>
  <c r="E33" i="22" s="1"/>
  <c r="C37" i="22"/>
  <c r="D37" i="22" s="1"/>
  <c r="E37" i="22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3" i="22"/>
  <c r="D3" i="22" s="1"/>
  <c r="E3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9" i="21"/>
  <c r="D9" i="21" s="1"/>
  <c r="E9" i="21" s="1"/>
  <c r="C13" i="21"/>
  <c r="D13" i="21" s="1"/>
  <c r="E13" i="21" s="1"/>
  <c r="C17" i="21"/>
  <c r="D17" i="21" s="1"/>
  <c r="E17" i="21" s="1"/>
  <c r="C21" i="21"/>
  <c r="D21" i="21" s="1"/>
  <c r="E21" i="21" s="1"/>
  <c r="C25" i="21"/>
  <c r="D25" i="21" s="1"/>
  <c r="E25" i="21" s="1"/>
  <c r="C29" i="21"/>
  <c r="D29" i="21" s="1"/>
  <c r="E29" i="21" s="1"/>
  <c r="C33" i="21"/>
  <c r="D33" i="21" s="1"/>
  <c r="E33" i="21" s="1"/>
  <c r="C37" i="21"/>
  <c r="D37" i="21" s="1"/>
  <c r="E37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3" i="21"/>
  <c r="D3" i="21" s="1"/>
  <c r="E3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1" i="21"/>
  <c r="D1" i="21" s="1"/>
  <c r="E1" i="21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6" i="19"/>
  <c r="D6" i="19" s="1"/>
  <c r="E6" i="19" s="1"/>
  <c r="C10" i="19"/>
  <c r="D10" i="19" s="1"/>
  <c r="E10" i="19" s="1"/>
  <c r="C14" i="19"/>
  <c r="D14" i="19" s="1"/>
  <c r="E14" i="19" s="1"/>
  <c r="C18" i="19"/>
  <c r="D18" i="19" s="1"/>
  <c r="E18" i="19" s="1"/>
  <c r="C22" i="19"/>
  <c r="D22" i="19" s="1"/>
  <c r="E22" i="19" s="1"/>
  <c r="C26" i="19"/>
  <c r="D26" i="19" s="1"/>
  <c r="E26" i="19" s="1"/>
  <c r="C30" i="19"/>
  <c r="D30" i="19" s="1"/>
  <c r="E30" i="19" s="1"/>
  <c r="C34" i="19"/>
  <c r="D34" i="19" s="1"/>
  <c r="E34" i="19" s="1"/>
  <c r="C38" i="19"/>
  <c r="D38" i="19" s="1"/>
  <c r="E38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6" i="18"/>
  <c r="D6" i="18" s="1"/>
  <c r="E6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1" i="18"/>
  <c r="D1" i="18" s="1"/>
  <c r="E1" i="18" s="1"/>
  <c r="C9" i="17"/>
  <c r="D9" i="17" s="1"/>
  <c r="E9" i="17" s="1"/>
  <c r="C13" i="17"/>
  <c r="D13" i="17" s="1"/>
  <c r="E13" i="17" s="1"/>
  <c r="C17" i="17"/>
  <c r="D17" i="17" s="1"/>
  <c r="E17" i="17" s="1"/>
  <c r="C21" i="17"/>
  <c r="D21" i="17" s="1"/>
  <c r="E21" i="17" s="1"/>
  <c r="C25" i="17"/>
  <c r="D25" i="17" s="1"/>
  <c r="E25" i="17" s="1"/>
  <c r="C29" i="17"/>
  <c r="D29" i="17" s="1"/>
  <c r="E29" i="17" s="1"/>
  <c r="C33" i="17"/>
  <c r="D33" i="17" s="1"/>
  <c r="E33" i="17" s="1"/>
  <c r="C37" i="17"/>
  <c r="D37" i="17" s="1"/>
  <c r="E37" i="17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1" i="17"/>
  <c r="D1" i="17" s="1"/>
  <c r="E1" i="17" s="1"/>
  <c r="C29" i="16"/>
  <c r="D29" i="16" s="1"/>
  <c r="E29" i="16" s="1"/>
  <c r="C33" i="16"/>
  <c r="D33" i="16" s="1"/>
  <c r="E33" i="16" s="1"/>
  <c r="C37" i="16"/>
  <c r="D37" i="16" s="1"/>
  <c r="E37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1" i="16"/>
  <c r="D1" i="16" s="1"/>
  <c r="E1" i="16" s="1"/>
  <c r="C9" i="15"/>
  <c r="D9" i="15" s="1"/>
  <c r="E9" i="15" s="1"/>
  <c r="C13" i="15"/>
  <c r="D13" i="15" s="1"/>
  <c r="E13" i="15" s="1"/>
  <c r="C17" i="15"/>
  <c r="D17" i="15" s="1"/>
  <c r="E17" i="15" s="1"/>
  <c r="C21" i="15"/>
  <c r="D21" i="15" s="1"/>
  <c r="E21" i="15" s="1"/>
  <c r="C25" i="15"/>
  <c r="D25" i="15" s="1"/>
  <c r="E25" i="15" s="1"/>
  <c r="C29" i="15"/>
  <c r="D29" i="15" s="1"/>
  <c r="E29" i="15" s="1"/>
  <c r="C33" i="15"/>
  <c r="D33" i="15" s="1"/>
  <c r="E33" i="15" s="1"/>
  <c r="C37" i="15"/>
  <c r="D37" i="15" s="1"/>
  <c r="E37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1" i="15"/>
  <c r="D1" i="15" s="1"/>
  <c r="E1" i="15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3" i="14"/>
  <c r="D3" i="14" s="1"/>
  <c r="E3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1" i="14"/>
  <c r="D1" i="14" s="1"/>
  <c r="E1" i="14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9" i="12"/>
  <c r="D9" i="12" s="1"/>
  <c r="E9" i="12" s="1"/>
  <c r="C13" i="12"/>
  <c r="D13" i="12" s="1"/>
  <c r="E13" i="12" s="1"/>
  <c r="C17" i="12"/>
  <c r="D17" i="12" s="1"/>
  <c r="E17" i="12" s="1"/>
  <c r="C21" i="12"/>
  <c r="D21" i="12" s="1"/>
  <c r="E21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3" i="12"/>
  <c r="D3" i="12" s="1"/>
  <c r="E3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8" i="11"/>
  <c r="D38" i="11" s="1"/>
  <c r="E38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1" i="11"/>
  <c r="D1" i="11" s="1"/>
  <c r="E1" i="11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9" i="8"/>
  <c r="D9" i="8" s="1"/>
  <c r="E9" i="8" s="1"/>
  <c r="C13" i="8"/>
  <c r="D13" i="8" s="1"/>
  <c r="E13" i="8" s="1"/>
  <c r="C17" i="8"/>
  <c r="D17" i="8" s="1"/>
  <c r="E17" i="8" s="1"/>
  <c r="C21" i="8"/>
  <c r="D21" i="8" s="1"/>
  <c r="E21" i="8" s="1"/>
  <c r="C25" i="8"/>
  <c r="D25" i="8" s="1"/>
  <c r="E25" i="8" s="1"/>
  <c r="C29" i="8"/>
  <c r="D29" i="8" s="1"/>
  <c r="E29" i="8" s="1"/>
  <c r="C33" i="8"/>
  <c r="D33" i="8" s="1"/>
  <c r="E33" i="8" s="1"/>
  <c r="C37" i="8"/>
  <c r="D37" i="8" s="1"/>
  <c r="E37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1" i="8"/>
  <c r="D1" i="8" s="1"/>
  <c r="E1" i="8" s="1"/>
  <c r="C9" i="7"/>
  <c r="D9" i="7" s="1"/>
  <c r="E9" i="7" s="1"/>
  <c r="C13" i="7"/>
  <c r="D13" i="7" s="1"/>
  <c r="E13" i="7" s="1"/>
  <c r="C17" i="7"/>
  <c r="D17" i="7" s="1"/>
  <c r="E17" i="7" s="1"/>
  <c r="C21" i="7"/>
  <c r="D21" i="7" s="1"/>
  <c r="E21" i="7" s="1"/>
  <c r="C25" i="7"/>
  <c r="D25" i="7" s="1"/>
  <c r="E25" i="7" s="1"/>
  <c r="C29" i="7"/>
  <c r="D29" i="7" s="1"/>
  <c r="E29" i="7" s="1"/>
  <c r="C33" i="7"/>
  <c r="D33" i="7" s="1"/>
  <c r="E33" i="7" s="1"/>
  <c r="C37" i="7"/>
  <c r="D37" i="7" s="1"/>
  <c r="E37" i="7" s="1"/>
  <c r="C6" i="7"/>
  <c r="D6" i="7" s="1"/>
  <c r="E6" i="7" s="1"/>
  <c r="C10" i="7"/>
  <c r="D10" i="7" s="1"/>
  <c r="E10" i="7" s="1"/>
  <c r="C14" i="7"/>
  <c r="D14" i="7" s="1"/>
  <c r="E14" i="7" s="1"/>
  <c r="C18" i="7"/>
  <c r="D18" i="7" s="1"/>
  <c r="E18" i="7" s="1"/>
  <c r="C22" i="7"/>
  <c r="D22" i="7" s="1"/>
  <c r="E22" i="7" s="1"/>
  <c r="C26" i="7"/>
  <c r="D26" i="7" s="1"/>
  <c r="E26" i="7" s="1"/>
  <c r="C30" i="7"/>
  <c r="D30" i="7" s="1"/>
  <c r="E30" i="7" s="1"/>
  <c r="C34" i="7"/>
  <c r="D34" i="7" s="1"/>
  <c r="E34" i="7" s="1"/>
  <c r="C38" i="7"/>
  <c r="D38" i="7" s="1"/>
  <c r="E38" i="7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1" i="7"/>
  <c r="D1" i="7" s="1"/>
  <c r="E1" i="7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3" i="5"/>
  <c r="D3" i="5" s="1"/>
  <c r="E3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" i="5"/>
  <c r="D1" i="5" s="1"/>
  <c r="E1" i="5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1" i="4"/>
  <c r="D1" i="4" s="1"/>
  <c r="E1" i="4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1" i="3"/>
  <c r="D1" i="3" s="1"/>
  <c r="E1" i="3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H5" i="29" l="1"/>
  <c r="H5" i="19"/>
  <c r="H5" i="13"/>
  <c r="H5" i="9"/>
  <c r="H5" i="6"/>
  <c r="H5" i="2"/>
  <c r="H5" i="32"/>
  <c r="H5" i="31"/>
  <c r="H5" i="30"/>
  <c r="H5" i="28"/>
  <c r="H5" i="27"/>
  <c r="H5" i="26"/>
  <c r="H5" i="25"/>
  <c r="H5" i="24"/>
  <c r="H5" i="23"/>
  <c r="H5" i="22"/>
  <c r="H5" i="21"/>
  <c r="H5" i="20"/>
  <c r="H5" i="18"/>
  <c r="H5" i="17"/>
  <c r="H5" i="16"/>
  <c r="H5" i="15"/>
  <c r="H5" i="14"/>
  <c r="H5" i="12"/>
  <c r="H5" i="11"/>
  <c r="H5" i="10"/>
  <c r="H5" i="8"/>
  <c r="H5" i="7"/>
  <c r="H5" i="5"/>
  <c r="H5" i="4"/>
  <c r="H5" i="3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<sst xmlns="http://schemas.openxmlformats.org/spreadsheetml/2006/main" count="93" uniqueCount="3">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</sst>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9AFA-DE41-40CB-8F89-A027CD19B9AC}">
  <dimension ref="A1:B31"/>
  <sheetViews>
    <sheetView tabSelected="1" workbookViewId="0">
      <selection activeCell="L10" sqref="L10"/>
    </sheetView>
  </sheetViews>
  <sheetFormatPr defaultColWidth="11" defaultRowHeight="15.75" x14ac:dyDescent="0.25"/>
  <sheetData>
    <row r="1" spans="1:2" x14ac:dyDescent="0.25">
      <c r="A1">
        <v>1E-4</v>
      </c>
      <c r="B1">
        <f>'0.0001'!$H$1</f>
        <v>0.15014698007488952</v>
      </c>
    </row>
    <row r="2" spans="1:2" x14ac:dyDescent="0.25">
      <c r="A2">
        <v>1E-3</v>
      </c>
      <c r="B2">
        <f>'0.001'!$H$1</f>
        <v>0.15413571187052572</v>
      </c>
    </row>
    <row r="3" spans="1:2" x14ac:dyDescent="0.25">
      <c r="A3">
        <v>5.0000000000000001E-3</v>
      </c>
      <c r="B3">
        <f>'0.005'!$H$1</f>
        <v>0.18686171813414115</v>
      </c>
    </row>
    <row r="4" spans="1:2" x14ac:dyDescent="0.25">
      <c r="A4">
        <v>0.01</v>
      </c>
      <c r="B4">
        <f>'0.01'!$H$1</f>
        <v>0.22256381007570467</v>
      </c>
    </row>
    <row r="5" spans="1:2" x14ac:dyDescent="0.25">
      <c r="A5">
        <v>2.5000000000000001E-2</v>
      </c>
      <c r="B5">
        <f>'0.025'!$H$1</f>
        <v>0.27315422517147792</v>
      </c>
    </row>
    <row r="6" spans="1:2" x14ac:dyDescent="0.25">
      <c r="A6">
        <v>0.05</v>
      </c>
      <c r="B6">
        <f>'0.05'!$H$1</f>
        <v>0.34097950839057595</v>
      </c>
    </row>
    <row r="7" spans="1:2" x14ac:dyDescent="0.25">
      <c r="A7">
        <v>7.4999999999999997E-2</v>
      </c>
      <c r="B7">
        <f>'0.075'!$H$1</f>
        <v>0.39501656938297808</v>
      </c>
    </row>
    <row r="8" spans="1:2" x14ac:dyDescent="0.25">
      <c r="A8">
        <v>0.1</v>
      </c>
      <c r="B8">
        <f>'0.1'!$H$1</f>
        <v>0.44941295744134691</v>
      </c>
    </row>
    <row r="9" spans="1:2" x14ac:dyDescent="0.25">
      <c r="A9">
        <v>0.15</v>
      </c>
      <c r="B9">
        <f>'0.15'!$H$1</f>
        <v>0.53749696324076612</v>
      </c>
    </row>
    <row r="10" spans="1:2" x14ac:dyDescent="0.25">
      <c r="A10">
        <v>0.2</v>
      </c>
      <c r="B10">
        <f>'0.2'!$H$1</f>
        <v>0.62160654883350197</v>
      </c>
    </row>
    <row r="11" spans="1:2" x14ac:dyDescent="0.25">
      <c r="A11">
        <v>0.25</v>
      </c>
      <c r="B11">
        <f>'0.25'!$H$1</f>
        <v>0.71925674595629963</v>
      </c>
    </row>
    <row r="12" spans="1:2" x14ac:dyDescent="0.25">
      <c r="A12">
        <v>0.3</v>
      </c>
      <c r="B12">
        <f>'0.3'!$H$1</f>
        <v>0.80861132459645657</v>
      </c>
    </row>
    <row r="13" spans="1:2" x14ac:dyDescent="0.25">
      <c r="A13">
        <v>0.35</v>
      </c>
      <c r="B13">
        <f>'0.35'!$H$1</f>
        <v>0.90038093194501789</v>
      </c>
    </row>
    <row r="14" spans="1:2" x14ac:dyDescent="0.25">
      <c r="A14">
        <v>0.4</v>
      </c>
      <c r="B14">
        <f>'0.4'!$H$1</f>
        <v>1.0041106036478336</v>
      </c>
    </row>
    <row r="15" spans="1:2" x14ac:dyDescent="0.25">
      <c r="A15">
        <v>0.45</v>
      </c>
      <c r="B15">
        <f>'0.45'!$H$1</f>
        <v>1.1155569345611918</v>
      </c>
    </row>
    <row r="16" spans="1:2" x14ac:dyDescent="0.25">
      <c r="A16">
        <v>0.5</v>
      </c>
      <c r="B16">
        <f>'0.5'!$H$1</f>
        <v>1.2453343061580997</v>
      </c>
    </row>
    <row r="17" spans="1:2" x14ac:dyDescent="0.25">
      <c r="A17">
        <v>0.55000000000000004</v>
      </c>
      <c r="B17">
        <f>'0.55'!$H$1</f>
        <v>1.3800800879636721</v>
      </c>
    </row>
    <row r="18" spans="1:2" x14ac:dyDescent="0.25">
      <c r="A18">
        <v>0.6</v>
      </c>
      <c r="B18">
        <f>'0.6'!$H$1</f>
        <v>1.5093311432069774</v>
      </c>
    </row>
    <row r="19" spans="1:2" x14ac:dyDescent="0.25">
      <c r="A19">
        <v>0.65</v>
      </c>
      <c r="B19">
        <f>'0.65'!$H$1</f>
        <v>1.733368987790419</v>
      </c>
    </row>
    <row r="20" spans="1:2" x14ac:dyDescent="0.25">
      <c r="A20">
        <v>0.7</v>
      </c>
      <c r="B20">
        <f>'0.7'!$H$1</f>
        <v>1.9709228712140148</v>
      </c>
    </row>
    <row r="21" spans="1:2" x14ac:dyDescent="0.25">
      <c r="A21">
        <v>0.75</v>
      </c>
      <c r="B21">
        <f>'0.75'!$H$1</f>
        <v>2.2606643785683436</v>
      </c>
    </row>
    <row r="22" spans="1:2" x14ac:dyDescent="0.25">
      <c r="A22">
        <v>0.8</v>
      </c>
      <c r="B22">
        <f>'0.8'!$H$1</f>
        <v>2.6125861294091406</v>
      </c>
    </row>
    <row r="23" spans="1:2" x14ac:dyDescent="0.25">
      <c r="A23">
        <v>0.85</v>
      </c>
      <c r="B23">
        <f>'0.85'!$H$1</f>
        <v>3.2493349691918771</v>
      </c>
    </row>
    <row r="24" spans="1:2" x14ac:dyDescent="0.25">
      <c r="A24">
        <v>0.9</v>
      </c>
      <c r="B24">
        <f>'0.9'!$H$1</f>
        <v>4.1785099906206717</v>
      </c>
    </row>
    <row r="25" spans="1:2" x14ac:dyDescent="0.25">
      <c r="A25">
        <v>0.92500000000000004</v>
      </c>
      <c r="B25">
        <f>'0.925'!$H$1</f>
        <v>4.9917846860041042</v>
      </c>
    </row>
    <row r="26" spans="1:2" x14ac:dyDescent="0.25">
      <c r="A26">
        <v>0.95</v>
      </c>
      <c r="B26">
        <f>'0.95'!$H$1</f>
        <v>6.3641499384628846</v>
      </c>
    </row>
    <row r="27" spans="1:2" x14ac:dyDescent="0.25">
      <c r="A27">
        <v>0.97499999999999998</v>
      </c>
      <c r="B27">
        <f>'0.975'!$H$1</f>
        <v>9.304369860373221</v>
      </c>
    </row>
    <row r="28" spans="1:2" x14ac:dyDescent="0.25">
      <c r="A28">
        <v>0.99</v>
      </c>
      <c r="B28">
        <f>'0.99'!$H$1</f>
        <v>17.148053445882304</v>
      </c>
    </row>
    <row r="29" spans="1:2" x14ac:dyDescent="0.25">
      <c r="A29">
        <v>0.995</v>
      </c>
      <c r="B29">
        <f>'0.995'!$H$1</f>
        <v>25.496102277053698</v>
      </c>
    </row>
    <row r="30" spans="1:2" x14ac:dyDescent="0.25">
      <c r="A30">
        <v>0.999</v>
      </c>
      <c r="B30">
        <f>'0.999'!$H$1</f>
        <v>35.916710654884184</v>
      </c>
    </row>
    <row r="31" spans="1:2" x14ac:dyDescent="0.25">
      <c r="A31">
        <v>0.99990000000000001</v>
      </c>
      <c r="B31">
        <f>'0.9999'!$H$1</f>
        <v>46.576120616595418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FC03-0D4A-4E28-8715-B0D72F3CE6C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5.1215018850000002E-2</v>
      </c>
      <c r="B1">
        <v>0.70786381580020363</v>
      </c>
      <c r="C1">
        <f>$H$3*(1+$H$1)*(A1^($H$1))*EXP(-$H$3*(A1^(1+$H$1)))</f>
        <v>0.67418551530878701</v>
      </c>
      <c r="D1">
        <f>B1-C1</f>
        <v>3.3678300491416624E-2</v>
      </c>
      <c r="E1">
        <f>D1^2</f>
        <v>1.1342279239901533E-3</v>
      </c>
      <c r="G1" t="s">
        <v>0</v>
      </c>
      <c r="H1">
        <v>0.15014698007488952</v>
      </c>
    </row>
    <row r="2" spans="1:8" x14ac:dyDescent="0.25">
      <c r="A2">
        <v>0.15363873654999999</v>
      </c>
      <c r="B2">
        <v>0.70049662951260394</v>
      </c>
      <c r="C2">
        <f t="shared" ref="C2:C40" si="0">$H$3*(1+$H$1)*(A2^($H$1))*EXP(-$H$3*(A2^(1+$H$1)))</f>
        <v>0.73499815239002197</v>
      </c>
      <c r="D2">
        <f t="shared" ref="D2:D40" si="1">B2-C2</f>
        <v>-3.4501522877418034E-2</v>
      </c>
      <c r="E2">
        <f t="shared" ref="E2:E40" si="2">D2^2</f>
        <v>1.1903550808609999E-3</v>
      </c>
    </row>
    <row r="3" spans="1:8" x14ac:dyDescent="0.25">
      <c r="A3">
        <v>0.25606245424999996</v>
      </c>
      <c r="B3">
        <v>0.6814647316029715</v>
      </c>
      <c r="C3">
        <f t="shared" si="0"/>
        <v>0.72703863980179106</v>
      </c>
      <c r="D3">
        <f t="shared" si="1"/>
        <v>-4.5573908198819568E-2</v>
      </c>
      <c r="E3">
        <f t="shared" si="2"/>
        <v>2.0769811085144334E-3</v>
      </c>
      <c r="G3" t="s">
        <v>1</v>
      </c>
      <c r="H3">
        <f>(_xlfn.GAMMA((2+$H$1)/(1+$H$1)))^(1+$H$1)</f>
        <v>0.94461340265046623</v>
      </c>
    </row>
    <row r="4" spans="1:8" x14ac:dyDescent="0.25">
      <c r="A4">
        <v>0.35848617194999999</v>
      </c>
      <c r="B4">
        <v>0.6489263254994061</v>
      </c>
      <c r="C4">
        <f t="shared" si="0"/>
        <v>0.69669313834442392</v>
      </c>
      <c r="D4">
        <f t="shared" si="1"/>
        <v>-4.7766812845017825E-2</v>
      </c>
      <c r="E4">
        <f t="shared" si="2"/>
        <v>2.28166840937096E-3</v>
      </c>
    </row>
    <row r="5" spans="1:8" x14ac:dyDescent="0.25">
      <c r="A5">
        <v>0.46090988964999996</v>
      </c>
      <c r="B5">
        <v>0.54332998871047722</v>
      </c>
      <c r="C5">
        <f t="shared" si="0"/>
        <v>0.65641104744766887</v>
      </c>
      <c r="D5">
        <f t="shared" si="1"/>
        <v>-0.11308105873719165</v>
      </c>
      <c r="E5">
        <f t="shared" si="2"/>
        <v>1.2787325845124188E-2</v>
      </c>
      <c r="G5" t="s">
        <v>2</v>
      </c>
      <c r="H5">
        <f>SUM(E1:E40)</f>
        <v>4.8899925972642547E-2</v>
      </c>
    </row>
    <row r="6" spans="1:8" x14ac:dyDescent="0.25">
      <c r="A6">
        <v>0.56333360734999993</v>
      </c>
      <c r="B6">
        <v>0.5353488702322442</v>
      </c>
      <c r="C6">
        <f t="shared" si="0"/>
        <v>0.61173453192023197</v>
      </c>
      <c r="D6">
        <f t="shared" si="1"/>
        <v>-7.6385661687987771E-2</v>
      </c>
      <c r="E6">
        <f t="shared" si="2"/>
        <v>5.8347693115117227E-3</v>
      </c>
    </row>
    <row r="7" spans="1:8" x14ac:dyDescent="0.25">
      <c r="A7">
        <v>0.66575732504999996</v>
      </c>
      <c r="B7">
        <v>0.53473493804161099</v>
      </c>
      <c r="C7">
        <f t="shared" si="0"/>
        <v>0.56564294882866817</v>
      </c>
      <c r="D7">
        <f t="shared" si="1"/>
        <v>-3.0908010787057183E-2</v>
      </c>
      <c r="E7">
        <f t="shared" si="2"/>
        <v>9.5530513081284313E-4</v>
      </c>
    </row>
    <row r="8" spans="1:8" x14ac:dyDescent="0.25">
      <c r="A8">
        <v>0.76818104274999999</v>
      </c>
      <c r="B8">
        <v>0.51570304013197843</v>
      </c>
      <c r="C8">
        <f t="shared" si="0"/>
        <v>0.51988389357937492</v>
      </c>
      <c r="D8">
        <f t="shared" si="1"/>
        <v>-4.1808534473964931E-3</v>
      </c>
      <c r="E8">
        <f t="shared" si="2"/>
        <v>1.747953554860714E-5</v>
      </c>
    </row>
    <row r="9" spans="1:8" x14ac:dyDescent="0.25">
      <c r="A9">
        <v>0.87060476045000001</v>
      </c>
      <c r="B9">
        <v>0.44387297382788138</v>
      </c>
      <c r="C9">
        <f t="shared" si="0"/>
        <v>0.47551976124199868</v>
      </c>
      <c r="D9">
        <f t="shared" si="1"/>
        <v>-3.1646787414117306E-2</v>
      </c>
      <c r="E9">
        <f t="shared" si="2"/>
        <v>1.0015191536343335E-3</v>
      </c>
    </row>
    <row r="10" spans="1:8" x14ac:dyDescent="0.25">
      <c r="A10">
        <v>0.97302847814999993</v>
      </c>
      <c r="B10">
        <v>0.4088788389617829</v>
      </c>
      <c r="C10">
        <f t="shared" si="0"/>
        <v>0.43319589537714437</v>
      </c>
      <c r="D10">
        <f t="shared" si="1"/>
        <v>-2.4317056415361471E-2</v>
      </c>
      <c r="E10">
        <f t="shared" si="2"/>
        <v>5.9131923270787248E-4</v>
      </c>
    </row>
    <row r="11" spans="1:8" x14ac:dyDescent="0.25">
      <c r="A11">
        <v>1.0754521958500001</v>
      </c>
      <c r="B11">
        <v>0.40580917800861632</v>
      </c>
      <c r="C11">
        <f t="shared" si="0"/>
        <v>0.39328895947442927</v>
      </c>
      <c r="D11">
        <f t="shared" si="1"/>
        <v>1.2520218534187055E-2</v>
      </c>
      <c r="E11">
        <f t="shared" si="2"/>
        <v>1.5675587214380107E-4</v>
      </c>
    </row>
    <row r="12" spans="1:8" x14ac:dyDescent="0.25">
      <c r="A12">
        <v>1.1778759135499999</v>
      </c>
      <c r="B12">
        <v>0.38432155133645057</v>
      </c>
      <c r="C12">
        <f t="shared" si="0"/>
        <v>0.35599634557746385</v>
      </c>
      <c r="D12">
        <f t="shared" si="1"/>
        <v>2.8325205758986727E-2</v>
      </c>
      <c r="E12">
        <f t="shared" si="2"/>
        <v>8.0231728128893484E-4</v>
      </c>
    </row>
    <row r="13" spans="1:8" x14ac:dyDescent="0.25">
      <c r="A13">
        <v>1.2802996312499999</v>
      </c>
      <c r="B13">
        <v>0.3395045014202191</v>
      </c>
      <c r="C13">
        <f t="shared" si="0"/>
        <v>0.3213934868446755</v>
      </c>
      <c r="D13">
        <f t="shared" si="1"/>
        <v>1.8111014575543594E-2</v>
      </c>
      <c r="E13">
        <f t="shared" si="2"/>
        <v>3.2800884895555247E-4</v>
      </c>
    </row>
    <row r="14" spans="1:8" x14ac:dyDescent="0.25">
      <c r="A14">
        <v>1.3827233489499999</v>
      </c>
      <c r="B14">
        <v>0.31985867131995327</v>
      </c>
      <c r="C14">
        <f t="shared" si="0"/>
        <v>0.28947228620582288</v>
      </c>
      <c r="D14">
        <f t="shared" si="1"/>
        <v>3.0386385114130388E-2</v>
      </c>
      <c r="E14">
        <f t="shared" si="2"/>
        <v>9.2333240030424485E-4</v>
      </c>
    </row>
    <row r="15" spans="1:8" x14ac:dyDescent="0.25">
      <c r="A15">
        <v>1.4851470666499997</v>
      </c>
      <c r="B15">
        <v>0.3155611459855201</v>
      </c>
      <c r="C15">
        <f t="shared" si="0"/>
        <v>0.26016773318025038</v>
      </c>
      <c r="D15">
        <f t="shared" si="1"/>
        <v>5.5393412805269715E-2</v>
      </c>
      <c r="E15">
        <f t="shared" si="2"/>
        <v>3.0684301822150187E-3</v>
      </c>
    </row>
    <row r="16" spans="1:8" x14ac:dyDescent="0.25">
      <c r="A16">
        <v>1.58757078435</v>
      </c>
      <c r="B16">
        <v>0.28118094331005489</v>
      </c>
      <c r="C16">
        <f t="shared" si="0"/>
        <v>0.23337676504594942</v>
      </c>
      <c r="D16">
        <f t="shared" si="1"/>
        <v>4.7804178264105462E-2</v>
      </c>
      <c r="E16">
        <f t="shared" si="2"/>
        <v>2.2852394595063732E-3</v>
      </c>
    </row>
    <row r="17" spans="1:5" x14ac:dyDescent="0.25">
      <c r="A17">
        <v>1.6899945020499998</v>
      </c>
      <c r="B17">
        <v>0.2431171474907898</v>
      </c>
      <c r="C17">
        <f t="shared" si="0"/>
        <v>0.20897183611297981</v>
      </c>
      <c r="D17">
        <f t="shared" si="1"/>
        <v>3.4145311377809989E-2</v>
      </c>
      <c r="E17">
        <f t="shared" si="2"/>
        <v>1.1659022890876003E-3</v>
      </c>
    </row>
    <row r="18" spans="1:5" x14ac:dyDescent="0.25">
      <c r="A18">
        <v>1.7924182197499998</v>
      </c>
      <c r="B18">
        <v>0.21426233453102436</v>
      </c>
      <c r="C18">
        <f t="shared" si="0"/>
        <v>0.18681076532188243</v>
      </c>
      <c r="D18">
        <f t="shared" si="1"/>
        <v>2.7451569209141935E-2</v>
      </c>
      <c r="E18">
        <f t="shared" si="2"/>
        <v>7.5358865204430952E-4</v>
      </c>
    </row>
    <row r="19" spans="1:5" x14ac:dyDescent="0.25">
      <c r="A19">
        <v>1.8948419374499998</v>
      </c>
      <c r="B19">
        <v>0.20750908043405797</v>
      </c>
      <c r="C19">
        <f t="shared" si="0"/>
        <v>0.16674390421682658</v>
      </c>
      <c r="D19">
        <f t="shared" si="1"/>
        <v>4.0765176217231386E-2</v>
      </c>
      <c r="E19">
        <f t="shared" si="2"/>
        <v>1.6617995920219274E-3</v>
      </c>
    </row>
    <row r="20" spans="1:5" x14ac:dyDescent="0.25">
      <c r="A20">
        <v>1.9972656551499999</v>
      </c>
      <c r="B20">
        <v>0.19031897909632536</v>
      </c>
      <c r="C20">
        <f t="shared" si="0"/>
        <v>0.14861934070676996</v>
      </c>
      <c r="D20">
        <f t="shared" si="1"/>
        <v>4.1699638389555399E-2</v>
      </c>
      <c r="E20">
        <f t="shared" si="2"/>
        <v>1.7388598418196825E-3</v>
      </c>
    </row>
    <row r="21" spans="1:5" x14ac:dyDescent="0.25">
      <c r="A21">
        <v>2.0996893728499999</v>
      </c>
      <c r="B21">
        <v>0.17190101337732613</v>
      </c>
      <c r="C21">
        <f t="shared" si="0"/>
        <v>0.13228664388408801</v>
      </c>
      <c r="D21">
        <f t="shared" si="1"/>
        <v>3.9614369493238127E-2</v>
      </c>
      <c r="E21">
        <f t="shared" si="2"/>
        <v>1.5692982703467955E-3</v>
      </c>
    </row>
    <row r="22" spans="1:5" x14ac:dyDescent="0.25">
      <c r="A22">
        <v>2.2021130905500002</v>
      </c>
      <c r="B22">
        <v>0.14550192918009391</v>
      </c>
      <c r="C22">
        <f t="shared" si="0"/>
        <v>0.11759951520624827</v>
      </c>
      <c r="D22">
        <f t="shared" si="1"/>
        <v>2.7902413973845644E-2</v>
      </c>
      <c r="E22">
        <f t="shared" si="2"/>
        <v>7.7854470556785668E-4</v>
      </c>
    </row>
    <row r="23" spans="1:5" x14ac:dyDescent="0.25">
      <c r="A23">
        <v>2.30453680825</v>
      </c>
      <c r="B23">
        <v>0.15041338670516036</v>
      </c>
      <c r="C23">
        <f t="shared" si="0"/>
        <v>0.10441761525344426</v>
      </c>
      <c r="D23">
        <f t="shared" si="1"/>
        <v>4.59957714517161E-2</v>
      </c>
      <c r="E23">
        <f t="shared" si="2"/>
        <v>2.1156109914385016E-3</v>
      </c>
    </row>
    <row r="24" spans="1:5" x14ac:dyDescent="0.25">
      <c r="A24">
        <v>2.4069605259499998</v>
      </c>
      <c r="B24">
        <v>0.11541925183906183</v>
      </c>
      <c r="C24">
        <f t="shared" si="0"/>
        <v>9.2607767535087773E-2</v>
      </c>
      <c r="D24">
        <f t="shared" si="1"/>
        <v>2.2811484303974061E-2</v>
      </c>
      <c r="E24">
        <f t="shared" si="2"/>
        <v>5.2036381615045498E-4</v>
      </c>
    </row>
    <row r="25" spans="1:5" x14ac:dyDescent="0.25">
      <c r="A25">
        <v>2.5093842436499996</v>
      </c>
      <c r="B25">
        <v>0.10191274364512906</v>
      </c>
      <c r="C25">
        <f t="shared" si="0"/>
        <v>8.2044691960484542E-2</v>
      </c>
      <c r="D25">
        <f t="shared" si="1"/>
        <v>1.9868051684644519E-2</v>
      </c>
      <c r="E25">
        <f t="shared" si="2"/>
        <v>3.9473947774370594E-4</v>
      </c>
    </row>
    <row r="26" spans="1:5" x14ac:dyDescent="0.25">
      <c r="A26">
        <v>2.6118079613499994</v>
      </c>
      <c r="B26">
        <v>9.3317692976262759E-2</v>
      </c>
      <c r="C26">
        <f t="shared" si="0"/>
        <v>7.2611384652978839E-2</v>
      </c>
      <c r="D26">
        <f t="shared" si="1"/>
        <v>2.070630832328392E-2</v>
      </c>
      <c r="E26">
        <f t="shared" si="2"/>
        <v>4.2875120437889695E-4</v>
      </c>
    </row>
    <row r="27" spans="1:5" x14ac:dyDescent="0.25">
      <c r="A27">
        <v>2.7142316790500001</v>
      </c>
      <c r="B27">
        <v>8.8406235451196302E-2</v>
      </c>
      <c r="C27">
        <f t="shared" si="0"/>
        <v>6.4199233912247522E-2</v>
      </c>
      <c r="D27">
        <f t="shared" si="1"/>
        <v>2.420700153894878E-2</v>
      </c>
      <c r="E27">
        <f t="shared" si="2"/>
        <v>5.8597892350666862E-4</v>
      </c>
    </row>
    <row r="28" spans="1:5" x14ac:dyDescent="0.25">
      <c r="A28">
        <v>2.8166553967499999</v>
      </c>
      <c r="B28">
        <v>5.955142249143084E-2</v>
      </c>
      <c r="C28">
        <f t="shared" si="0"/>
        <v>5.6707941750148073E-2</v>
      </c>
      <c r="D28">
        <f t="shared" si="1"/>
        <v>2.8434807412827667E-3</v>
      </c>
      <c r="E28">
        <f t="shared" si="2"/>
        <v>8.085382726045993E-6</v>
      </c>
    </row>
    <row r="29" spans="1:5" x14ac:dyDescent="0.25">
      <c r="A29">
        <v>2.9190791144499997</v>
      </c>
      <c r="B29">
        <v>5.5253897156997682E-2</v>
      </c>
      <c r="C29">
        <f t="shared" si="0"/>
        <v>5.0045304793898869E-2</v>
      </c>
      <c r="D29">
        <f t="shared" si="1"/>
        <v>5.2085923630988129E-3</v>
      </c>
      <c r="E29">
        <f t="shared" si="2"/>
        <v>2.7129434404931278E-5</v>
      </c>
    </row>
    <row r="30" spans="1:5" x14ac:dyDescent="0.25">
      <c r="A30">
        <v>3.0215028321499995</v>
      </c>
      <c r="B30">
        <v>4.0519524581798305E-2</v>
      </c>
      <c r="C30">
        <f t="shared" si="0"/>
        <v>4.4126896249147222E-2</v>
      </c>
      <c r="D30">
        <f t="shared" si="1"/>
        <v>-3.6073716673489173E-3</v>
      </c>
      <c r="E30">
        <f t="shared" si="2"/>
        <v>1.3013130346391708E-5</v>
      </c>
    </row>
    <row r="31" spans="1:5" x14ac:dyDescent="0.25">
      <c r="A31">
        <v>3.1239265498500002</v>
      </c>
      <c r="B31">
        <v>4.2975253344331533E-2</v>
      </c>
      <c r="C31">
        <f t="shared" si="0"/>
        <v>3.887568117917737E-2</v>
      </c>
      <c r="D31">
        <f t="shared" si="1"/>
        <v>4.0995721651541639E-3</v>
      </c>
      <c r="E31">
        <f t="shared" si="2"/>
        <v>1.6806491937306799E-5</v>
      </c>
    </row>
    <row r="32" spans="1:5" x14ac:dyDescent="0.25">
      <c r="A32">
        <v>3.22635026755</v>
      </c>
      <c r="B32">
        <v>2.2715491053432381E-2</v>
      </c>
      <c r="C32">
        <f t="shared" si="0"/>
        <v>3.4221589958033059E-2</v>
      </c>
      <c r="D32">
        <f t="shared" si="1"/>
        <v>-1.1506098904600678E-2</v>
      </c>
      <c r="E32">
        <f t="shared" si="2"/>
        <v>1.3239031200245292E-4</v>
      </c>
    </row>
    <row r="33" spans="1:5" x14ac:dyDescent="0.25">
      <c r="A33">
        <v>3.3287739852499998</v>
      </c>
      <c r="B33">
        <v>1.841796571899923E-2</v>
      </c>
      <c r="C33">
        <f t="shared" si="0"/>
        <v>3.0101068932386572E-2</v>
      </c>
      <c r="D33">
        <f t="shared" si="1"/>
        <v>-1.1683103213387343E-2</v>
      </c>
      <c r="E33">
        <f t="shared" si="2"/>
        <v>1.3649490069466165E-4</v>
      </c>
    </row>
    <row r="34" spans="1:5" x14ac:dyDescent="0.25">
      <c r="A34">
        <v>3.4311977029499996</v>
      </c>
      <c r="B34">
        <v>1.9031897909632535E-2</v>
      </c>
      <c r="C34">
        <f t="shared" si="0"/>
        <v>2.6456622733475477E-2</v>
      </c>
      <c r="D34">
        <f t="shared" si="1"/>
        <v>-7.4247248238429424E-3</v>
      </c>
      <c r="E34">
        <f t="shared" si="2"/>
        <v>5.5126538709789614E-5</v>
      </c>
    </row>
    <row r="35" spans="1:5" x14ac:dyDescent="0.25">
      <c r="A35">
        <v>3.5336214206499998</v>
      </c>
      <c r="B35">
        <v>1.5348304765832691E-2</v>
      </c>
      <c r="C35">
        <f t="shared" si="0"/>
        <v>2.3236359053587161E-2</v>
      </c>
      <c r="D35">
        <f t="shared" si="1"/>
        <v>-7.8880542877544698E-3</v>
      </c>
      <c r="E35">
        <f t="shared" si="2"/>
        <v>6.2221400446561679E-5</v>
      </c>
    </row>
    <row r="36" spans="1:5" x14ac:dyDescent="0.25">
      <c r="A36">
        <v>3.6360451383499997</v>
      </c>
      <c r="B36">
        <v>0</v>
      </c>
      <c r="C36">
        <f t="shared" si="0"/>
        <v>2.0393543839459988E-2</v>
      </c>
      <c r="D36">
        <f t="shared" si="1"/>
        <v>-2.0393543839459988E-2</v>
      </c>
      <c r="E36">
        <f t="shared" si="2"/>
        <v>4.1589663033197641E-4</v>
      </c>
    </row>
    <row r="37" spans="1:5" x14ac:dyDescent="0.25">
      <c r="A37">
        <v>3.7384688560499999</v>
      </c>
      <c r="B37">
        <v>0</v>
      </c>
      <c r="C37">
        <f t="shared" si="0"/>
        <v>1.7886172600706254E-2</v>
      </c>
      <c r="D37">
        <f t="shared" si="1"/>
        <v>-1.7886172600706254E-2</v>
      </c>
      <c r="E37">
        <f t="shared" si="2"/>
        <v>3.1991517030225514E-4</v>
      </c>
    </row>
    <row r="38" spans="1:5" x14ac:dyDescent="0.25">
      <c r="A38">
        <v>3.8408925737499997</v>
      </c>
      <c r="B38">
        <v>0</v>
      </c>
      <c r="C38">
        <f t="shared" si="0"/>
        <v>1.5676561761947084E-2</v>
      </c>
      <c r="D38">
        <f t="shared" si="1"/>
        <v>-1.5676561761947084E-2</v>
      </c>
      <c r="E38">
        <f t="shared" si="2"/>
        <v>2.4575458867614146E-4</v>
      </c>
    </row>
    <row r="39" spans="1:5" x14ac:dyDescent="0.25">
      <c r="A39">
        <v>3.9433162914499995</v>
      </c>
      <c r="B39">
        <v>0</v>
      </c>
      <c r="C39">
        <f t="shared" si="0"/>
        <v>1.3730962605568976E-2</v>
      </c>
      <c r="D39">
        <f t="shared" si="1"/>
        <v>-1.3730962605568976E-2</v>
      </c>
      <c r="E39">
        <f t="shared" si="2"/>
        <v>1.8853933407553356E-4</v>
      </c>
    </row>
    <row r="40" spans="1:5" x14ac:dyDescent="0.25">
      <c r="A40">
        <v>4.0457400091499993</v>
      </c>
      <c r="B40">
        <v>6.1393219063330762E-4</v>
      </c>
      <c r="C40">
        <f t="shared" si="0"/>
        <v>1.2019199280538816E-2</v>
      </c>
      <c r="D40">
        <f t="shared" si="1"/>
        <v>-1.1405267089905509E-2</v>
      </c>
      <c r="E40">
        <f t="shared" si="2"/>
        <v>1.3008011739208168E-4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6A46-7EC8-4C44-908E-80E4C2CD9B8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5.3335136825000011E-2</v>
      </c>
      <c r="B1">
        <v>0.69718182269934881</v>
      </c>
      <c r="C1">
        <f>$H$3*(1+$H$1)*(A1^($H$1))*EXP(-$H$3*(A1^(1+$H$1)))</f>
        <v>0.67112285730615062</v>
      </c>
      <c r="D1">
        <f>B1-C1</f>
        <v>2.6058965393198186E-2</v>
      </c>
      <c r="E1">
        <f>D1^2</f>
        <v>6.7906967736390067E-4</v>
      </c>
      <c r="G1" t="s">
        <v>0</v>
      </c>
      <c r="H1">
        <v>0.15413571187052572</v>
      </c>
    </row>
    <row r="2" spans="1:8" x14ac:dyDescent="0.25">
      <c r="A2">
        <v>0.15828069047500001</v>
      </c>
      <c r="B2">
        <v>0.70436926417047618</v>
      </c>
      <c r="C2">
        <f t="shared" ref="C2:C40" si="0">$H$3*(1+$H$1)*(A2^($H$1))*EXP(-$H$3*(A2^(1+$H$1)))</f>
        <v>0.73234995612808784</v>
      </c>
      <c r="D2">
        <f t="shared" ref="D2:D40" si="1">B2-C2</f>
        <v>-2.7980691957611659E-2</v>
      </c>
      <c r="E2">
        <f t="shared" ref="E2:E40" si="2">D2^2</f>
        <v>7.8291912242675372E-4</v>
      </c>
    </row>
    <row r="3" spans="1:8" x14ac:dyDescent="0.25">
      <c r="A3">
        <v>0.26322624412500001</v>
      </c>
      <c r="B3">
        <v>0.68400484666894878</v>
      </c>
      <c r="C3">
        <f t="shared" si="0"/>
        <v>0.72408099960046313</v>
      </c>
      <c r="D3">
        <f t="shared" si="1"/>
        <v>-4.0076152931514342E-2</v>
      </c>
      <c r="E3">
        <f t="shared" si="2"/>
        <v>1.6060980337901255E-3</v>
      </c>
      <c r="G3" t="s">
        <v>1</v>
      </c>
      <c r="H3">
        <f>(_xlfn.GAMMA((2+$H$1)/(1+$H$1)))^(1+$H$1)</f>
        <v>0.94333378327538253</v>
      </c>
    </row>
    <row r="4" spans="1:8" x14ac:dyDescent="0.25">
      <c r="A4">
        <v>0.36817179777500003</v>
      </c>
      <c r="B4">
        <v>0.65106240659294856</v>
      </c>
      <c r="C4">
        <f t="shared" si="0"/>
        <v>0.69299613760268231</v>
      </c>
      <c r="D4">
        <f t="shared" si="1"/>
        <v>-4.1933731009733743E-2</v>
      </c>
      <c r="E4">
        <f t="shared" si="2"/>
        <v>1.7584377963967054E-3</v>
      </c>
    </row>
    <row r="5" spans="1:8" x14ac:dyDescent="0.25">
      <c r="A5">
        <v>0.47311735142500005</v>
      </c>
      <c r="B5">
        <v>0.54145392415825722</v>
      </c>
      <c r="C5">
        <f t="shared" si="0"/>
        <v>0.65179720498122107</v>
      </c>
      <c r="D5">
        <f t="shared" si="1"/>
        <v>-0.11034328082296385</v>
      </c>
      <c r="E5">
        <f t="shared" si="2"/>
        <v>1.2175639622775462E-2</v>
      </c>
      <c r="G5" t="s">
        <v>2</v>
      </c>
      <c r="H5">
        <f>SUM(E1:E40)</f>
        <v>4.57258937108787E-2</v>
      </c>
    </row>
    <row r="6" spans="1:8" x14ac:dyDescent="0.25">
      <c r="A6">
        <v>0.57806290507500013</v>
      </c>
      <c r="B6">
        <v>0.52767799467192977</v>
      </c>
      <c r="C6">
        <f t="shared" si="0"/>
        <v>0.606171005824517</v>
      </c>
      <c r="D6">
        <f t="shared" si="1"/>
        <v>-7.8493011152587222E-2</v>
      </c>
      <c r="E6">
        <f t="shared" si="2"/>
        <v>6.1611527998001823E-3</v>
      </c>
    </row>
    <row r="7" spans="1:8" x14ac:dyDescent="0.25">
      <c r="A7">
        <v>0.68300845872500004</v>
      </c>
      <c r="B7">
        <v>0.53726124996676627</v>
      </c>
      <c r="C7">
        <f t="shared" si="0"/>
        <v>0.55918141979026703</v>
      </c>
      <c r="D7">
        <f t="shared" si="1"/>
        <v>-2.1920169823500757E-2</v>
      </c>
      <c r="E7">
        <f t="shared" si="2"/>
        <v>4.8049384509111321E-4</v>
      </c>
    </row>
    <row r="8" spans="1:8" x14ac:dyDescent="0.25">
      <c r="A8">
        <v>0.78795401237500007</v>
      </c>
      <c r="B8">
        <v>0.50611567025854787</v>
      </c>
      <c r="C8">
        <f t="shared" si="0"/>
        <v>0.51262454790322343</v>
      </c>
      <c r="D8">
        <f t="shared" si="1"/>
        <v>-6.5088776446755592E-3</v>
      </c>
      <c r="E8">
        <f t="shared" si="2"/>
        <v>4.2365488193357252E-5</v>
      </c>
    </row>
    <row r="9" spans="1:8" x14ac:dyDescent="0.25">
      <c r="A9">
        <v>0.89289956602500009</v>
      </c>
      <c r="B9">
        <v>0.43124648826763845</v>
      </c>
      <c r="C9">
        <f t="shared" si="0"/>
        <v>0.46758841484550345</v>
      </c>
      <c r="D9">
        <f t="shared" si="1"/>
        <v>-3.6341926577865002E-2</v>
      </c>
      <c r="E9">
        <f t="shared" si="2"/>
        <v>1.3207356273909306E-3</v>
      </c>
    </row>
    <row r="10" spans="1:8" x14ac:dyDescent="0.25">
      <c r="A10">
        <v>0.997845119675</v>
      </c>
      <c r="B10">
        <v>0.40788730348647467</v>
      </c>
      <c r="C10">
        <f t="shared" si="0"/>
        <v>0.42472901760698412</v>
      </c>
      <c r="D10">
        <f t="shared" si="1"/>
        <v>-1.6841714120509443E-2</v>
      </c>
      <c r="E10">
        <f t="shared" si="2"/>
        <v>2.8364333451696717E-4</v>
      </c>
    </row>
    <row r="11" spans="1:8" x14ac:dyDescent="0.25">
      <c r="A11">
        <v>1.1027906733249999</v>
      </c>
      <c r="B11">
        <v>0.41207997767796561</v>
      </c>
      <c r="C11">
        <f t="shared" si="0"/>
        <v>0.38442379305236907</v>
      </c>
      <c r="D11">
        <f t="shared" si="1"/>
        <v>2.7656184625596547E-2</v>
      </c>
      <c r="E11">
        <f t="shared" si="2"/>
        <v>7.6486454804508281E-4</v>
      </c>
    </row>
    <row r="12" spans="1:8" x14ac:dyDescent="0.25">
      <c r="A12">
        <v>1.207736226975</v>
      </c>
      <c r="B12">
        <v>0.36775742193934724</v>
      </c>
      <c r="C12">
        <f t="shared" si="0"/>
        <v>0.34686447008266008</v>
      </c>
      <c r="D12">
        <f t="shared" si="1"/>
        <v>2.0892951856687159E-2</v>
      </c>
      <c r="E12">
        <f t="shared" si="2"/>
        <v>4.365154372858474E-4</v>
      </c>
    </row>
    <row r="13" spans="1:8" x14ac:dyDescent="0.25">
      <c r="A13">
        <v>1.3126817806250002</v>
      </c>
      <c r="B13">
        <v>0.32163800583294699</v>
      </c>
      <c r="C13">
        <f t="shared" si="0"/>
        <v>0.31211677571243146</v>
      </c>
      <c r="D13">
        <f t="shared" si="1"/>
        <v>9.5212301205155336E-3</v>
      </c>
      <c r="E13">
        <f t="shared" si="2"/>
        <v>9.0653823007812238E-5</v>
      </c>
    </row>
    <row r="14" spans="1:8" x14ac:dyDescent="0.25">
      <c r="A14">
        <v>1.4176273342750001</v>
      </c>
      <c r="B14">
        <v>0.32463277311258337</v>
      </c>
      <c r="C14">
        <f t="shared" si="0"/>
        <v>0.28016055199127504</v>
      </c>
      <c r="D14">
        <f t="shared" si="1"/>
        <v>4.4472221121308331E-2</v>
      </c>
      <c r="E14">
        <f t="shared" si="2"/>
        <v>1.9777784514625426E-3</v>
      </c>
    </row>
    <row r="15" spans="1:8" x14ac:dyDescent="0.25">
      <c r="A15">
        <v>1.522572887925</v>
      </c>
      <c r="B15">
        <v>0.30127358833141965</v>
      </c>
      <c r="C15">
        <f t="shared" si="0"/>
        <v>0.25091756823140476</v>
      </c>
      <c r="D15">
        <f t="shared" si="1"/>
        <v>5.0356020100014887E-2</v>
      </c>
      <c r="E15">
        <f t="shared" si="2"/>
        <v>2.5357287603131034E-3</v>
      </c>
    </row>
    <row r="16" spans="1:8" x14ac:dyDescent="0.25">
      <c r="A16">
        <v>1.6275184415750004</v>
      </c>
      <c r="B16">
        <v>0.26952905516727405</v>
      </c>
      <c r="C16">
        <f t="shared" si="0"/>
        <v>0.22427122365120863</v>
      </c>
      <c r="D16">
        <f t="shared" si="1"/>
        <v>4.5257831516065411E-2</v>
      </c>
      <c r="E16">
        <f t="shared" si="2"/>
        <v>2.0482713135365634E-3</v>
      </c>
    </row>
    <row r="17" spans="1:5" x14ac:dyDescent="0.25">
      <c r="A17">
        <v>1.7324639952250003</v>
      </c>
      <c r="B17">
        <v>0.22820126670829202</v>
      </c>
      <c r="C17">
        <f t="shared" si="0"/>
        <v>0.20008069944866524</v>
      </c>
      <c r="D17">
        <f t="shared" si="1"/>
        <v>2.8120567259626778E-2</v>
      </c>
      <c r="E17">
        <f t="shared" si="2"/>
        <v>7.9076630300319343E-4</v>
      </c>
    </row>
    <row r="18" spans="1:5" x14ac:dyDescent="0.25">
      <c r="A18">
        <v>1.8374095488750002</v>
      </c>
      <c r="B18">
        <v>0.20603998883898281</v>
      </c>
      <c r="C18">
        <f t="shared" si="0"/>
        <v>0.17819119826150276</v>
      </c>
      <c r="D18">
        <f t="shared" si="1"/>
        <v>2.7848790577480048E-2</v>
      </c>
      <c r="E18">
        <f t="shared" si="2"/>
        <v>7.7555513662834149E-4</v>
      </c>
    </row>
    <row r="19" spans="1:5" x14ac:dyDescent="0.25">
      <c r="A19">
        <v>1.9423551025250001</v>
      </c>
      <c r="B19">
        <v>0.21382638376603741</v>
      </c>
      <c r="C19">
        <f t="shared" si="0"/>
        <v>0.15844136254965147</v>
      </c>
      <c r="D19">
        <f t="shared" si="1"/>
        <v>5.5385021216385943E-2</v>
      </c>
      <c r="E19">
        <f t="shared" si="2"/>
        <v>3.067500575139521E-3</v>
      </c>
    </row>
    <row r="20" spans="1:5" x14ac:dyDescent="0.25">
      <c r="A20">
        <v>2.047300656175</v>
      </c>
      <c r="B20">
        <v>0.17369650221890992</v>
      </c>
      <c r="C20">
        <f t="shared" si="0"/>
        <v>0.14066862417576365</v>
      </c>
      <c r="D20">
        <f t="shared" si="1"/>
        <v>3.3027878043146275E-2</v>
      </c>
      <c r="E20">
        <f t="shared" si="2"/>
        <v>1.0908407280329439E-3</v>
      </c>
    </row>
    <row r="21" spans="1:5" x14ac:dyDescent="0.25">
      <c r="A21">
        <v>2.1522462098250004</v>
      </c>
      <c r="B21">
        <v>0.15333208471738255</v>
      </c>
      <c r="C21">
        <f t="shared" si="0"/>
        <v>0.12471301827862963</v>
      </c>
      <c r="D21">
        <f t="shared" si="1"/>
        <v>2.8619066438752921E-2</v>
      </c>
      <c r="E21">
        <f t="shared" si="2"/>
        <v>8.1905096382575379E-4</v>
      </c>
    </row>
    <row r="22" spans="1:5" x14ac:dyDescent="0.25">
      <c r="A22">
        <v>2.2571917634750003</v>
      </c>
      <c r="B22">
        <v>0.14674359670218254</v>
      </c>
      <c r="C22">
        <f t="shared" si="0"/>
        <v>0.11041984792123706</v>
      </c>
      <c r="D22">
        <f t="shared" si="1"/>
        <v>3.6323748780945478E-2</v>
      </c>
      <c r="E22">
        <f t="shared" si="2"/>
        <v>1.3194147255012382E-3</v>
      </c>
    </row>
    <row r="23" spans="1:5" x14ac:dyDescent="0.25">
      <c r="A23">
        <v>2.3621373171249997</v>
      </c>
      <c r="B23">
        <v>0.13596243449549156</v>
      </c>
      <c r="C23">
        <f t="shared" si="0"/>
        <v>9.7641484905970161E-2</v>
      </c>
      <c r="D23">
        <f t="shared" si="1"/>
        <v>3.8320949589521397E-2</v>
      </c>
      <c r="E23">
        <f t="shared" si="2"/>
        <v>1.4684951774426402E-3</v>
      </c>
    </row>
    <row r="24" spans="1:5" x14ac:dyDescent="0.25">
      <c r="A24">
        <v>2.4670828707750001</v>
      </c>
      <c r="B24">
        <v>0.10900952897876416</v>
      </c>
      <c r="C24">
        <f t="shared" si="0"/>
        <v>8.6238520595067605E-2</v>
      </c>
      <c r="D24">
        <f t="shared" si="1"/>
        <v>2.2771008383696556E-2</v>
      </c>
      <c r="E24">
        <f t="shared" si="2"/>
        <v>5.1851882281037879E-4</v>
      </c>
    </row>
    <row r="25" spans="1:5" x14ac:dyDescent="0.25">
      <c r="A25">
        <v>2.5720284244250005</v>
      </c>
      <c r="B25">
        <v>8.9244064933164072E-2</v>
      </c>
      <c r="C25">
        <f t="shared" si="0"/>
        <v>7.6080428772094949E-2</v>
      </c>
      <c r="D25">
        <f t="shared" si="1"/>
        <v>1.3163636161069123E-2</v>
      </c>
      <c r="E25">
        <f t="shared" si="2"/>
        <v>1.7328131698100664E-4</v>
      </c>
    </row>
    <row r="26" spans="1:5" x14ac:dyDescent="0.25">
      <c r="A26">
        <v>2.6769739780749999</v>
      </c>
      <c r="B26">
        <v>9.3436739124654999E-2</v>
      </c>
      <c r="C26">
        <f t="shared" si="0"/>
        <v>6.7045864353639753E-2</v>
      </c>
      <c r="D26">
        <f t="shared" si="1"/>
        <v>2.6390874771015246E-2</v>
      </c>
      <c r="E26">
        <f t="shared" si="2"/>
        <v>6.9647827117940906E-4</v>
      </c>
    </row>
    <row r="27" spans="1:5" x14ac:dyDescent="0.25">
      <c r="A27">
        <v>2.7819195317250003</v>
      </c>
      <c r="B27">
        <v>6.8879647431636701E-2</v>
      </c>
      <c r="C27">
        <f t="shared" si="0"/>
        <v>5.9022693096562079E-2</v>
      </c>
      <c r="D27">
        <f t="shared" si="1"/>
        <v>9.8569543350746219E-3</v>
      </c>
      <c r="E27">
        <f t="shared" si="2"/>
        <v>9.7159548763746381E-5</v>
      </c>
    </row>
    <row r="28" spans="1:5" x14ac:dyDescent="0.25">
      <c r="A28">
        <v>2.8868650853750002</v>
      </c>
      <c r="B28">
        <v>5.5702671401236636E-2</v>
      </c>
      <c r="C28">
        <f t="shared" si="0"/>
        <v>5.1907825666950125E-2</v>
      </c>
      <c r="D28">
        <f t="shared" si="1"/>
        <v>3.7948457342865116E-3</v>
      </c>
      <c r="E28">
        <f t="shared" si="2"/>
        <v>1.4400854147032533E-5</v>
      </c>
    </row>
    <row r="29" spans="1:5" x14ac:dyDescent="0.25">
      <c r="A29">
        <v>2.9918106390250001</v>
      </c>
      <c r="B29">
        <v>4.67183695623275E-2</v>
      </c>
      <c r="C29">
        <f t="shared" si="0"/>
        <v>4.5606912710980052E-2</v>
      </c>
      <c r="D29">
        <f t="shared" si="1"/>
        <v>1.1114568513474476E-3</v>
      </c>
      <c r="E29">
        <f t="shared" si="2"/>
        <v>1.2353363324071824E-6</v>
      </c>
    </row>
    <row r="30" spans="1:5" x14ac:dyDescent="0.25">
      <c r="A30">
        <v>3.0967561926750005</v>
      </c>
      <c r="B30">
        <v>4.0728835003054742E-2</v>
      </c>
      <c r="C30">
        <f t="shared" si="0"/>
        <v>4.0033944613916836E-2</v>
      </c>
      <c r="D30">
        <f t="shared" si="1"/>
        <v>6.9489038913790602E-4</v>
      </c>
      <c r="E30">
        <f t="shared" si="2"/>
        <v>4.8287265291623042E-7</v>
      </c>
    </row>
    <row r="31" spans="1:5" x14ac:dyDescent="0.25">
      <c r="A31">
        <v>3.2017017463249999</v>
      </c>
      <c r="B31">
        <v>2.6353952060800129E-2</v>
      </c>
      <c r="C31">
        <f t="shared" si="0"/>
        <v>3.5110789536316356E-2</v>
      </c>
      <c r="D31">
        <f t="shared" si="1"/>
        <v>-8.756837475516227E-3</v>
      </c>
      <c r="E31">
        <f t="shared" si="2"/>
        <v>7.6682202572605414E-5</v>
      </c>
    </row>
    <row r="32" spans="1:5" x14ac:dyDescent="0.25">
      <c r="A32">
        <v>3.3066472999750003</v>
      </c>
      <c r="B32">
        <v>1.8567557133745544E-2</v>
      </c>
      <c r="C32">
        <f t="shared" si="0"/>
        <v>3.0766695409897626E-2</v>
      </c>
      <c r="D32">
        <f t="shared" si="1"/>
        <v>-1.2199138276152082E-2</v>
      </c>
      <c r="E32">
        <f t="shared" si="2"/>
        <v>1.488189746806788E-4</v>
      </c>
    </row>
    <row r="33" spans="1:5" x14ac:dyDescent="0.25">
      <c r="A33">
        <v>3.4115928536250002</v>
      </c>
      <c r="B33">
        <v>1.8567557133745544E-2</v>
      </c>
      <c r="C33">
        <f t="shared" si="0"/>
        <v>2.693777536617931E-2</v>
      </c>
      <c r="D33">
        <f t="shared" si="1"/>
        <v>-8.3702182324337654E-3</v>
      </c>
      <c r="E33">
        <f t="shared" si="2"/>
        <v>7.0060553258566622E-5</v>
      </c>
    </row>
    <row r="34" spans="1:5" x14ac:dyDescent="0.25">
      <c r="A34">
        <v>3.5165384072750001</v>
      </c>
      <c r="B34">
        <v>1.796860367781827E-2</v>
      </c>
      <c r="C34">
        <f t="shared" si="0"/>
        <v>2.3566491187832252E-2</v>
      </c>
      <c r="D34">
        <f t="shared" si="1"/>
        <v>-5.5978875100139817E-3</v>
      </c>
      <c r="E34">
        <f t="shared" si="2"/>
        <v>3.1336344574770538E-5</v>
      </c>
    </row>
    <row r="35" spans="1:5" x14ac:dyDescent="0.25">
      <c r="A35">
        <v>3.621483960925</v>
      </c>
      <c r="B35">
        <v>0</v>
      </c>
      <c r="C35">
        <f t="shared" si="0"/>
        <v>2.0601145533023106E-2</v>
      </c>
      <c r="D35">
        <f t="shared" si="1"/>
        <v>-2.0601145533023106E-2</v>
      </c>
      <c r="E35">
        <f t="shared" si="2"/>
        <v>4.2440719727279789E-4</v>
      </c>
    </row>
    <row r="36" spans="1:5" x14ac:dyDescent="0.25">
      <c r="A36">
        <v>3.7264295145749999</v>
      </c>
      <c r="B36">
        <v>0</v>
      </c>
      <c r="C36">
        <f t="shared" si="0"/>
        <v>1.7995390668714455E-2</v>
      </c>
      <c r="D36">
        <f t="shared" si="1"/>
        <v>-1.7995390668714455E-2</v>
      </c>
      <c r="E36">
        <f t="shared" si="2"/>
        <v>3.2383408531965532E-4</v>
      </c>
    </row>
    <row r="37" spans="1:5" x14ac:dyDescent="0.25">
      <c r="A37">
        <v>3.8313750682250003</v>
      </c>
      <c r="B37">
        <v>0</v>
      </c>
      <c r="C37">
        <f t="shared" si="0"/>
        <v>1.5707759090023549E-2</v>
      </c>
      <c r="D37">
        <f t="shared" si="1"/>
        <v>-1.5707759090023549E-2</v>
      </c>
      <c r="E37">
        <f t="shared" si="2"/>
        <v>2.4673369563021745E-4</v>
      </c>
    </row>
    <row r="38" spans="1:5" x14ac:dyDescent="0.25">
      <c r="A38">
        <v>3.9363206218750002</v>
      </c>
      <c r="B38">
        <v>0</v>
      </c>
      <c r="C38">
        <f t="shared" si="0"/>
        <v>1.3701219565767035E-2</v>
      </c>
      <c r="D38">
        <f t="shared" si="1"/>
        <v>-1.3701219565767035E-2</v>
      </c>
      <c r="E38">
        <f t="shared" si="2"/>
        <v>1.877234175893574E-4</v>
      </c>
    </row>
    <row r="39" spans="1:5" x14ac:dyDescent="0.25">
      <c r="A39">
        <v>4.0412661755250001</v>
      </c>
      <c r="B39">
        <v>0</v>
      </c>
      <c r="C39">
        <f t="shared" si="0"/>
        <v>1.1942760729521849E-2</v>
      </c>
      <c r="D39">
        <f t="shared" si="1"/>
        <v>-1.1942760729521849E-2</v>
      </c>
      <c r="E39">
        <f t="shared" si="2"/>
        <v>1.4262953384260924E-4</v>
      </c>
    </row>
    <row r="40" spans="1:5" x14ac:dyDescent="0.25">
      <c r="A40">
        <v>4.1462117291750005</v>
      </c>
      <c r="B40">
        <v>5.9895345592727558E-4</v>
      </c>
      <c r="C40">
        <f t="shared" si="0"/>
        <v>1.0403003246725745E-2</v>
      </c>
      <c r="D40">
        <f t="shared" si="1"/>
        <v>-9.8040497907984688E-3</v>
      </c>
      <c r="E40">
        <f t="shared" si="2"/>
        <v>9.61193923004555E-5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FC99-DE1F-4C2C-9E0B-5DD4083794E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5.1236521225000005E-2</v>
      </c>
      <c r="B1">
        <v>0.54316875542551302</v>
      </c>
      <c r="C1">
        <f>$H$3*(1+$H$1)*(A1^($H$1))*EXP(-$H$3*(A1^(1+$H$1)))</f>
        <v>0.61845019165275494</v>
      </c>
      <c r="D1">
        <f>B1-C1</f>
        <v>-7.5281436227241927E-2</v>
      </c>
      <c r="E1">
        <f>D1^2</f>
        <v>5.6672946404362932E-3</v>
      </c>
      <c r="G1" t="s">
        <v>0</v>
      </c>
      <c r="H1">
        <v>0.18686171813414115</v>
      </c>
    </row>
    <row r="2" spans="1:8" x14ac:dyDescent="0.25">
      <c r="A2">
        <v>0.15351056367500002</v>
      </c>
      <c r="B2">
        <v>0.81352424455133399</v>
      </c>
      <c r="C2">
        <f t="shared" ref="C2:C40" si="0">$H$3*(1+$H$1)*(A2^($H$1))*EXP(-$H$3*(A2^(1+$H$1)))</f>
        <v>0.70540805723658762</v>
      </c>
      <c r="D2">
        <f t="shared" ref="D2:D40" si="1">B2-C2</f>
        <v>0.10811618731474637</v>
      </c>
      <c r="E2">
        <f t="shared" ref="E2:E40" si="2">D2^2</f>
        <v>1.1689109959477324E-2</v>
      </c>
    </row>
    <row r="3" spans="1:8" x14ac:dyDescent="0.25">
      <c r="A3">
        <v>0.25578460612500004</v>
      </c>
      <c r="B3">
        <v>0.71521315759649007</v>
      </c>
      <c r="C3">
        <f t="shared" si="0"/>
        <v>0.71344516936687163</v>
      </c>
      <c r="D3">
        <f t="shared" si="1"/>
        <v>1.7679882296184335E-3</v>
      </c>
      <c r="E3">
        <f t="shared" si="2"/>
        <v>3.1257823800693227E-6</v>
      </c>
      <c r="G3" t="s">
        <v>1</v>
      </c>
      <c r="H3">
        <f>(_xlfn.GAMMA((2+$H$1)/(1+$H$1)))^(1+$H$1)</f>
        <v>0.93315179992468622</v>
      </c>
    </row>
    <row r="4" spans="1:8" x14ac:dyDescent="0.25">
      <c r="A4">
        <v>0.35805864857500003</v>
      </c>
      <c r="B4">
        <v>0.65806983830398691</v>
      </c>
      <c r="C4">
        <f t="shared" si="0"/>
        <v>0.69380149145935321</v>
      </c>
      <c r="D4">
        <f t="shared" si="1"/>
        <v>-3.5731653155366305E-2</v>
      </c>
      <c r="E4">
        <f t="shared" si="2"/>
        <v>1.2767510372153987E-3</v>
      </c>
    </row>
    <row r="5" spans="1:8" x14ac:dyDescent="0.25">
      <c r="A5">
        <v>0.46033269102500007</v>
      </c>
      <c r="B5">
        <v>0.55730097417527191</v>
      </c>
      <c r="C5">
        <f t="shared" si="0"/>
        <v>0.66071404494342689</v>
      </c>
      <c r="D5">
        <f t="shared" si="1"/>
        <v>-0.10341307076815498</v>
      </c>
      <c r="E5">
        <f t="shared" si="2"/>
        <v>1.069426320569943E-2</v>
      </c>
      <c r="G5" t="s">
        <v>2</v>
      </c>
      <c r="H5">
        <f>SUM(E1:E40)</f>
        <v>5.8836313251194504E-2</v>
      </c>
    </row>
    <row r="6" spans="1:8" x14ac:dyDescent="0.25">
      <c r="A6">
        <v>0.56260673347500001</v>
      </c>
      <c r="B6">
        <v>0.5333376467300287</v>
      </c>
      <c r="C6">
        <f t="shared" si="0"/>
        <v>0.62073494372182536</v>
      </c>
      <c r="D6">
        <f t="shared" si="1"/>
        <v>-8.7397296991796658E-2</v>
      </c>
      <c r="E6">
        <f t="shared" si="2"/>
        <v>7.6382875214723095E-3</v>
      </c>
    </row>
    <row r="7" spans="1:8" x14ac:dyDescent="0.25">
      <c r="A7">
        <v>0.66488077592500006</v>
      </c>
      <c r="B7">
        <v>0.5456265325993841</v>
      </c>
      <c r="C7">
        <f t="shared" si="0"/>
        <v>0.57751708150793568</v>
      </c>
      <c r="D7">
        <f t="shared" si="1"/>
        <v>-3.1890548908551586E-2</v>
      </c>
      <c r="E7">
        <f t="shared" si="2"/>
        <v>1.0170071096887207E-3</v>
      </c>
    </row>
    <row r="8" spans="1:8" x14ac:dyDescent="0.25">
      <c r="A8">
        <v>0.7671548183750001</v>
      </c>
      <c r="B8">
        <v>0.51859098368680201</v>
      </c>
      <c r="C8">
        <f t="shared" si="0"/>
        <v>0.5332933786306866</v>
      </c>
      <c r="D8">
        <f t="shared" si="1"/>
        <v>-1.4702394943884589E-2</v>
      </c>
      <c r="E8">
        <f t="shared" si="2"/>
        <v>2.1616041708596314E-4</v>
      </c>
    </row>
    <row r="9" spans="1:8" x14ac:dyDescent="0.25">
      <c r="A9">
        <v>0.86942886082500004</v>
      </c>
      <c r="B9">
        <v>0.43809878124252355</v>
      </c>
      <c r="C9">
        <f t="shared" si="0"/>
        <v>0.48948953619903612</v>
      </c>
      <c r="D9">
        <f t="shared" si="1"/>
        <v>-5.1390754956512574E-2</v>
      </c>
      <c r="E9">
        <f t="shared" si="2"/>
        <v>2.6410096950003218E-3</v>
      </c>
    </row>
    <row r="10" spans="1:8" x14ac:dyDescent="0.25">
      <c r="A10">
        <v>0.97170290327500008</v>
      </c>
      <c r="B10">
        <v>0.41536434238421588</v>
      </c>
      <c r="C10">
        <f t="shared" si="0"/>
        <v>0.44702787954130396</v>
      </c>
      <c r="D10">
        <f t="shared" si="1"/>
        <v>-3.1663537157088084E-2</v>
      </c>
      <c r="E10">
        <f t="shared" si="2"/>
        <v>1.0025795852982976E-3</v>
      </c>
    </row>
    <row r="11" spans="1:8" x14ac:dyDescent="0.25">
      <c r="A11">
        <v>1.0739769457250001</v>
      </c>
      <c r="B11">
        <v>0.41659323097115142</v>
      </c>
      <c r="C11">
        <f t="shared" si="0"/>
        <v>0.40649772977875015</v>
      </c>
      <c r="D11">
        <f t="shared" si="1"/>
        <v>1.0095501192401268E-2</v>
      </c>
      <c r="E11">
        <f t="shared" si="2"/>
        <v>1.0191914432577544E-4</v>
      </c>
    </row>
    <row r="12" spans="1:8" x14ac:dyDescent="0.25">
      <c r="A12">
        <v>1.1762509881750001</v>
      </c>
      <c r="B12">
        <v>0.38587101629776266</v>
      </c>
      <c r="C12">
        <f t="shared" si="0"/>
        <v>0.36825972154842485</v>
      </c>
      <c r="D12">
        <f t="shared" si="1"/>
        <v>1.7611294749337814E-2</v>
      </c>
      <c r="E12">
        <f t="shared" si="2"/>
        <v>3.1015770274805363E-4</v>
      </c>
    </row>
    <row r="13" spans="1:8" x14ac:dyDescent="0.25">
      <c r="A13">
        <v>1.278525030625</v>
      </c>
      <c r="B13">
        <v>0.32934214129872735</v>
      </c>
      <c r="C13">
        <f t="shared" si="0"/>
        <v>0.33251390627806277</v>
      </c>
      <c r="D13">
        <f t="shared" si="1"/>
        <v>-3.1717649793354119E-3</v>
      </c>
      <c r="E13">
        <f t="shared" si="2"/>
        <v>1.0060093084138566E-5</v>
      </c>
    </row>
    <row r="14" spans="1:8" x14ac:dyDescent="0.25">
      <c r="A14">
        <v>1.3807990730749999</v>
      </c>
      <c r="B14">
        <v>0.31398103396203297</v>
      </c>
      <c r="C14">
        <f t="shared" si="0"/>
        <v>0.29934634489462891</v>
      </c>
      <c r="D14">
        <f t="shared" si="1"/>
        <v>1.4634689067404061E-2</v>
      </c>
      <c r="E14">
        <f t="shared" si="2"/>
        <v>2.1417412409959594E-4</v>
      </c>
    </row>
    <row r="15" spans="1:8" x14ac:dyDescent="0.25">
      <c r="A15">
        <v>1.4830731155249999</v>
      </c>
      <c r="B15">
        <v>0.32258325407058186</v>
      </c>
      <c r="C15">
        <f t="shared" si="0"/>
        <v>0.26876208336157698</v>
      </c>
      <c r="D15">
        <f t="shared" si="1"/>
        <v>5.3821170709004884E-2</v>
      </c>
      <c r="E15">
        <f t="shared" si="2"/>
        <v>2.8967184164878455E-3</v>
      </c>
    </row>
    <row r="16" spans="1:8" x14ac:dyDescent="0.25">
      <c r="A16">
        <v>1.5853471579750003</v>
      </c>
      <c r="B16">
        <v>0.28325881928864427</v>
      </c>
      <c r="C16">
        <f t="shared" si="0"/>
        <v>0.24070905822574262</v>
      </c>
      <c r="D16">
        <f t="shared" si="1"/>
        <v>4.2549761062901648E-2</v>
      </c>
      <c r="E16">
        <f t="shared" si="2"/>
        <v>1.8104821665100212E-3</v>
      </c>
    </row>
    <row r="17" spans="1:5" x14ac:dyDescent="0.25">
      <c r="A17">
        <v>1.6876212004250002</v>
      </c>
      <c r="B17">
        <v>0.24147660733283555</v>
      </c>
      <c r="C17">
        <f t="shared" si="0"/>
        <v>0.21509571179529183</v>
      </c>
      <c r="D17">
        <f t="shared" si="1"/>
        <v>2.6380895537543719E-2</v>
      </c>
      <c r="E17">
        <f t="shared" si="2"/>
        <v>6.959516493627941E-4</v>
      </c>
    </row>
    <row r="18" spans="1:5" x14ac:dyDescent="0.25">
      <c r="A18">
        <v>1.7898952428750001</v>
      </c>
      <c r="B18">
        <v>0.21198328124638235</v>
      </c>
      <c r="C18">
        <f t="shared" si="0"/>
        <v>0.19180410382518404</v>
      </c>
      <c r="D18">
        <f t="shared" si="1"/>
        <v>2.0179177421198319E-2</v>
      </c>
      <c r="E18">
        <f t="shared" si="2"/>
        <v>4.0719920139620003E-4</v>
      </c>
    </row>
    <row r="19" spans="1:5" x14ac:dyDescent="0.25">
      <c r="A19">
        <v>1.8921692853250001</v>
      </c>
      <c r="B19">
        <v>0.21444105842025346</v>
      </c>
      <c r="C19">
        <f t="shared" si="0"/>
        <v>0.17069971858490479</v>
      </c>
      <c r="D19">
        <f t="shared" si="1"/>
        <v>4.3741339835348669E-2</v>
      </c>
      <c r="E19">
        <f t="shared" si="2"/>
        <v>1.9133048105914603E-3</v>
      </c>
    </row>
    <row r="20" spans="1:5" x14ac:dyDescent="0.25">
      <c r="A20">
        <v>1.994443327775</v>
      </c>
      <c r="B20">
        <v>0.19170661956194579</v>
      </c>
      <c r="C20">
        <f t="shared" si="0"/>
        <v>0.15163880124872806</v>
      </c>
      <c r="D20">
        <f t="shared" si="1"/>
        <v>4.0067818313217735E-2</v>
      </c>
      <c r="E20">
        <f t="shared" si="2"/>
        <v>1.6054300643810265E-3</v>
      </c>
    </row>
    <row r="21" spans="1:5" x14ac:dyDescent="0.25">
      <c r="A21">
        <v>2.0967173702249999</v>
      </c>
      <c r="B21">
        <v>0.16528551494283145</v>
      </c>
      <c r="C21">
        <f t="shared" si="0"/>
        <v>0.1344738214737472</v>
      </c>
      <c r="D21">
        <f t="shared" si="1"/>
        <v>3.0811693469084245E-2</v>
      </c>
      <c r="E21">
        <f t="shared" si="2"/>
        <v>9.4936045443280866E-4</v>
      </c>
    </row>
    <row r="22" spans="1:5" x14ac:dyDescent="0.25">
      <c r="A22">
        <v>2.1989914126750003</v>
      </c>
      <c r="B22">
        <v>0.15238218478000817</v>
      </c>
      <c r="C22">
        <f t="shared" si="0"/>
        <v>0.11905750358707029</v>
      </c>
      <c r="D22">
        <f t="shared" si="1"/>
        <v>3.3324681192937883E-2</v>
      </c>
      <c r="E22">
        <f t="shared" si="2"/>
        <v>1.1105343766109478E-3</v>
      </c>
    </row>
    <row r="23" spans="1:5" x14ac:dyDescent="0.25">
      <c r="A23">
        <v>2.3012654551250002</v>
      </c>
      <c r="B23">
        <v>0.14439440896492711</v>
      </c>
      <c r="C23">
        <f t="shared" si="0"/>
        <v>0.10524575294111313</v>
      </c>
      <c r="D23">
        <f t="shared" si="1"/>
        <v>3.9148656023813982E-2</v>
      </c>
      <c r="E23">
        <f t="shared" si="2"/>
        <v>1.5326172684709068E-3</v>
      </c>
    </row>
    <row r="24" spans="1:5" x14ac:dyDescent="0.25">
      <c r="A24">
        <v>2.4035394975750002</v>
      </c>
      <c r="B24">
        <v>0.11612997146540946</v>
      </c>
      <c r="C24">
        <f t="shared" si="0"/>
        <v>9.2899729610685294E-2</v>
      </c>
      <c r="D24">
        <f t="shared" si="1"/>
        <v>2.3230241854724165E-2</v>
      </c>
      <c r="E24">
        <f t="shared" si="2"/>
        <v>5.3964413662897846E-4</v>
      </c>
    </row>
    <row r="25" spans="1:5" x14ac:dyDescent="0.25">
      <c r="A25">
        <v>2.5058135400250001</v>
      </c>
      <c r="B25">
        <v>0.10445552988952174</v>
      </c>
      <c r="C25">
        <f t="shared" si="0"/>
        <v>8.1887263276367112E-2</v>
      </c>
      <c r="D25">
        <f t="shared" si="1"/>
        <v>2.2568266613154628E-2</v>
      </c>
      <c r="E25">
        <f t="shared" si="2"/>
        <v>5.093266579224298E-4</v>
      </c>
    </row>
    <row r="26" spans="1:5" x14ac:dyDescent="0.25">
      <c r="A26">
        <v>2.6080875824750001</v>
      </c>
      <c r="B26">
        <v>8.7251089672424037E-2</v>
      </c>
      <c r="C26">
        <f t="shared" si="0"/>
        <v>7.2083760312695394E-2</v>
      </c>
      <c r="D26">
        <f t="shared" si="1"/>
        <v>1.5167329359728643E-2</v>
      </c>
      <c r="E26">
        <f t="shared" si="2"/>
        <v>2.3004787990648647E-4</v>
      </c>
    </row>
    <row r="27" spans="1:5" x14ac:dyDescent="0.25">
      <c r="A27">
        <v>2.7103616249250004</v>
      </c>
      <c r="B27">
        <v>8.7865533965891821E-2</v>
      </c>
      <c r="C27">
        <f t="shared" si="0"/>
        <v>6.3372721533623166E-2</v>
      </c>
      <c r="D27">
        <f t="shared" si="1"/>
        <v>2.4492812432268654E-2</v>
      </c>
      <c r="E27">
        <f t="shared" si="2"/>
        <v>5.9989786084229399E-4</v>
      </c>
    </row>
    <row r="28" spans="1:5" x14ac:dyDescent="0.25">
      <c r="A28">
        <v>2.8126356673749999</v>
      </c>
      <c r="B28">
        <v>6.3902206520648597E-2</v>
      </c>
      <c r="C28">
        <f t="shared" si="0"/>
        <v>5.5645963916974031E-2</v>
      </c>
      <c r="D28">
        <f t="shared" si="1"/>
        <v>8.2562426036745656E-3</v>
      </c>
      <c r="E28">
        <f t="shared" si="2"/>
        <v>6.8165541930730972E-5</v>
      </c>
    </row>
    <row r="29" spans="1:5" x14ac:dyDescent="0.25">
      <c r="A29">
        <v>2.9149097098250003</v>
      </c>
      <c r="B29">
        <v>5.3456653531696423E-2</v>
      </c>
      <c r="C29">
        <f t="shared" si="0"/>
        <v>4.8803620004437644E-2</v>
      </c>
      <c r="D29">
        <f t="shared" si="1"/>
        <v>4.6530335272587792E-3</v>
      </c>
      <c r="E29">
        <f t="shared" si="2"/>
        <v>2.1650721005794275E-5</v>
      </c>
    </row>
    <row r="30" spans="1:5" x14ac:dyDescent="0.25">
      <c r="A30">
        <v>3.0171837522749998</v>
      </c>
      <c r="B30">
        <v>4.1782211955808696E-2</v>
      </c>
      <c r="C30">
        <f t="shared" si="0"/>
        <v>4.2753973203085452E-2</v>
      </c>
      <c r="D30">
        <f t="shared" si="1"/>
        <v>-9.7176124727675617E-4</v>
      </c>
      <c r="E30">
        <f t="shared" si="2"/>
        <v>9.4431992170887685E-7</v>
      </c>
    </row>
    <row r="31" spans="1:5" x14ac:dyDescent="0.25">
      <c r="A31">
        <v>3.1194577947250002</v>
      </c>
      <c r="B31">
        <v>3.9324434781937596E-2</v>
      </c>
      <c r="C31">
        <f t="shared" si="0"/>
        <v>3.7413174930748062E-2</v>
      </c>
      <c r="D31">
        <f t="shared" si="1"/>
        <v>1.911259851189534E-3</v>
      </c>
      <c r="E31">
        <f t="shared" si="2"/>
        <v>3.6529142187690398E-6</v>
      </c>
    </row>
    <row r="32" spans="1:5" x14ac:dyDescent="0.25">
      <c r="A32">
        <v>3.2217318371750006</v>
      </c>
      <c r="B32">
        <v>2.3348883151775447E-2</v>
      </c>
      <c r="C32">
        <f t="shared" si="0"/>
        <v>3.2704879742951894E-2</v>
      </c>
      <c r="D32">
        <f t="shared" si="1"/>
        <v>-9.3559965911764464E-3</v>
      </c>
      <c r="E32">
        <f t="shared" si="2"/>
        <v>8.7534672214105281E-5</v>
      </c>
    </row>
    <row r="33" spans="1:5" x14ac:dyDescent="0.25">
      <c r="A33">
        <v>3.324005879625</v>
      </c>
      <c r="B33">
        <v>1.6589995923629922E-2</v>
      </c>
      <c r="C33">
        <f t="shared" si="0"/>
        <v>2.8559826725374691E-2</v>
      </c>
      <c r="D33">
        <f t="shared" si="1"/>
        <v>-1.1969830801744769E-2</v>
      </c>
      <c r="E33">
        <f t="shared" si="2"/>
        <v>1.432768494223978E-4</v>
      </c>
    </row>
    <row r="34" spans="1:5" x14ac:dyDescent="0.25">
      <c r="A34">
        <v>3.4262799220750004</v>
      </c>
      <c r="B34">
        <v>2.0891105977904348E-2</v>
      </c>
      <c r="C34">
        <f t="shared" si="0"/>
        <v>2.4915389132077977E-2</v>
      </c>
      <c r="D34">
        <f t="shared" si="1"/>
        <v>-4.0242831541736288E-3</v>
      </c>
      <c r="E34">
        <f t="shared" si="2"/>
        <v>1.6194854904965651E-5</v>
      </c>
    </row>
    <row r="35" spans="1:5" x14ac:dyDescent="0.25">
      <c r="A35">
        <v>3.5285539645250004</v>
      </c>
      <c r="B35">
        <v>9.2166644020166243E-3</v>
      </c>
      <c r="C35">
        <f t="shared" si="0"/>
        <v>2.1715109187036081E-2</v>
      </c>
      <c r="D35">
        <f t="shared" si="1"/>
        <v>-1.2498444785019457E-2</v>
      </c>
      <c r="E35">
        <f t="shared" si="2"/>
        <v>1.5621112204418006E-4</v>
      </c>
    </row>
    <row r="36" spans="1:5" x14ac:dyDescent="0.25">
      <c r="A36">
        <v>3.6308280069750003</v>
      </c>
      <c r="B36">
        <v>0</v>
      </c>
      <c r="C36">
        <f t="shared" si="0"/>
        <v>1.8908230903148485E-2</v>
      </c>
      <c r="D36">
        <f t="shared" si="1"/>
        <v>-1.8908230903148485E-2</v>
      </c>
      <c r="E36">
        <f t="shared" si="2"/>
        <v>3.5752119588677937E-4</v>
      </c>
    </row>
    <row r="37" spans="1:5" x14ac:dyDescent="0.25">
      <c r="A37">
        <v>3.7331020494250002</v>
      </c>
      <c r="B37">
        <v>0</v>
      </c>
      <c r="C37">
        <f t="shared" si="0"/>
        <v>1.6449240518000181E-2</v>
      </c>
      <c r="D37">
        <f t="shared" si="1"/>
        <v>-1.6449240518000181E-2</v>
      </c>
      <c r="E37">
        <f t="shared" si="2"/>
        <v>2.7057751361901888E-4</v>
      </c>
    </row>
    <row r="38" spans="1:5" x14ac:dyDescent="0.25">
      <c r="A38">
        <v>3.8353760918750002</v>
      </c>
      <c r="B38">
        <v>1.2288885869355499E-3</v>
      </c>
      <c r="C38">
        <f t="shared" si="0"/>
        <v>1.4297421546602882E-2</v>
      </c>
      <c r="D38">
        <f t="shared" si="1"/>
        <v>-1.3068532959667332E-2</v>
      </c>
      <c r="E38">
        <f t="shared" si="2"/>
        <v>1.7078655371791142E-4</v>
      </c>
    </row>
    <row r="39" spans="1:5" x14ac:dyDescent="0.25">
      <c r="A39">
        <v>3.9376501343250001</v>
      </c>
      <c r="B39">
        <v>0</v>
      </c>
      <c r="C39">
        <f t="shared" si="0"/>
        <v>1.2416429385438344E-2</v>
      </c>
      <c r="D39">
        <f t="shared" si="1"/>
        <v>-1.2416429385438344E-2</v>
      </c>
      <c r="E39">
        <f t="shared" si="2"/>
        <v>1.5416771868357682E-4</v>
      </c>
    </row>
    <row r="40" spans="1:5" x14ac:dyDescent="0.25">
      <c r="A40">
        <v>4.039924176775</v>
      </c>
      <c r="B40">
        <v>6.1444429346777494E-4</v>
      </c>
      <c r="C40">
        <f t="shared" si="0"/>
        <v>1.077388876984986E-2</v>
      </c>
      <c r="D40">
        <f t="shared" si="1"/>
        <v>-1.0159444476382085E-2</v>
      </c>
      <c r="E40">
        <f t="shared" si="2"/>
        <v>1.0321431206869046E-4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7443-511C-4A21-A38D-F4AF2016F43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5.0958634674999996E-2</v>
      </c>
      <c r="B1">
        <v>0.3800084365976405</v>
      </c>
      <c r="C1">
        <f>$H$3*(1+$H$1)*(A1^($H$1))*EXP(-$H$3*(A1^(1+$H$1)))</f>
        <v>0.5676165469039075</v>
      </c>
      <c r="D1">
        <f>B1-C1</f>
        <v>-0.18760811030626701</v>
      </c>
      <c r="E1">
        <f>D1^2</f>
        <v>3.519680305268845E-2</v>
      </c>
      <c r="G1" t="s">
        <v>0</v>
      </c>
      <c r="H1">
        <v>0.22256381007570467</v>
      </c>
    </row>
    <row r="2" spans="1:8" x14ac:dyDescent="0.25">
      <c r="A2">
        <v>0.15276210402499998</v>
      </c>
      <c r="B2">
        <v>0.90437072735737178</v>
      </c>
      <c r="C2">
        <f t="shared" ref="C2:C40" si="0">$H$3*(1+$H$1)*(A2^($H$1))*EXP(-$H$3*(A2^(1+$H$1)))</f>
        <v>0.67671730844816225</v>
      </c>
      <c r="D2">
        <f t="shared" ref="D2:D40" si="1">B2-C2</f>
        <v>0.22765341890920954</v>
      </c>
      <c r="E2">
        <f t="shared" ref="E2:E40" si="2">D2^2</f>
        <v>5.1826079141052042E-2</v>
      </c>
    </row>
    <row r="3" spans="1:8" x14ac:dyDescent="0.25">
      <c r="A3">
        <v>0.25456557337499996</v>
      </c>
      <c r="B3">
        <v>0.75384790506869592</v>
      </c>
      <c r="C3">
        <f t="shared" si="0"/>
        <v>0.6995750189225094</v>
      </c>
      <c r="D3">
        <f t="shared" si="1"/>
        <v>5.4272886146186528E-2</v>
      </c>
      <c r="E3">
        <f t="shared" si="2"/>
        <v>2.9455461706369254E-3</v>
      </c>
      <c r="G3" t="s">
        <v>1</v>
      </c>
      <c r="H3">
        <f>(_xlfn.GAMMA((2+$H$1)/(1+$H$1)))^(1+$H$1)</f>
        <v>0.92265055122937056</v>
      </c>
    </row>
    <row r="4" spans="1:8" x14ac:dyDescent="0.25">
      <c r="A4">
        <v>0.35636904272499997</v>
      </c>
      <c r="B4">
        <v>0.67673580348638251</v>
      </c>
      <c r="C4">
        <f t="shared" si="0"/>
        <v>0.69036582790620482</v>
      </c>
      <c r="D4">
        <f t="shared" si="1"/>
        <v>-1.3630024419822306E-2</v>
      </c>
      <c r="E4">
        <f t="shared" si="2"/>
        <v>1.8577756568495239E-4</v>
      </c>
    </row>
    <row r="5" spans="1:8" x14ac:dyDescent="0.25">
      <c r="A5">
        <v>0.45817251207499998</v>
      </c>
      <c r="B5">
        <v>0.56816196445848521</v>
      </c>
      <c r="C5">
        <f t="shared" si="0"/>
        <v>0.66458600464091555</v>
      </c>
      <c r="D5">
        <f t="shared" si="1"/>
        <v>-9.6424040182430337E-2</v>
      </c>
      <c r="E5">
        <f t="shared" si="2"/>
        <v>9.2975955251029408E-3</v>
      </c>
      <c r="G5" t="s">
        <v>2</v>
      </c>
      <c r="H5">
        <f>SUM(E1:E40)</f>
        <v>0.13012146673281075</v>
      </c>
    </row>
    <row r="6" spans="1:8" x14ac:dyDescent="0.25">
      <c r="A6">
        <v>0.55997598142499994</v>
      </c>
      <c r="B6">
        <v>0.53670022701290132</v>
      </c>
      <c r="C6">
        <f t="shared" si="0"/>
        <v>0.62957026385907677</v>
      </c>
      <c r="D6">
        <f t="shared" si="1"/>
        <v>-9.2870036846175452E-2</v>
      </c>
      <c r="E6">
        <f t="shared" si="2"/>
        <v>8.6248437438099859E-3</v>
      </c>
    </row>
    <row r="7" spans="1:8" x14ac:dyDescent="0.25">
      <c r="A7">
        <v>0.66177945077499989</v>
      </c>
      <c r="B7">
        <v>0.54657057601543746</v>
      </c>
      <c r="C7">
        <f t="shared" si="0"/>
        <v>0.58953303362757081</v>
      </c>
      <c r="D7">
        <f t="shared" si="1"/>
        <v>-4.2962457612133353E-2</v>
      </c>
      <c r="E7">
        <f t="shared" si="2"/>
        <v>1.8457727640743551E-3</v>
      </c>
    </row>
    <row r="8" spans="1:8" x14ac:dyDescent="0.25">
      <c r="A8">
        <v>0.76358292012499995</v>
      </c>
      <c r="B8">
        <v>0.53176505251163331</v>
      </c>
      <c r="C8">
        <f t="shared" si="0"/>
        <v>0.54713604287767648</v>
      </c>
      <c r="D8">
        <f t="shared" si="1"/>
        <v>-1.5370990366043169E-2</v>
      </c>
      <c r="E8">
        <f t="shared" si="2"/>
        <v>2.3626734483299191E-4</v>
      </c>
    </row>
    <row r="9" spans="1:8" x14ac:dyDescent="0.25">
      <c r="A9">
        <v>0.86538638947500002</v>
      </c>
      <c r="B9">
        <v>0.44169811786349122</v>
      </c>
      <c r="C9">
        <f t="shared" si="0"/>
        <v>0.5041414985779995</v>
      </c>
      <c r="D9">
        <f t="shared" si="1"/>
        <v>-6.2443380714508279E-2</v>
      </c>
      <c r="E9">
        <f t="shared" si="2"/>
        <v>3.8991757950570245E-3</v>
      </c>
    </row>
    <row r="10" spans="1:8" x14ac:dyDescent="0.25">
      <c r="A10">
        <v>0.96718985882499986</v>
      </c>
      <c r="B10">
        <v>0.421957419858419</v>
      </c>
      <c r="C10">
        <f t="shared" si="0"/>
        <v>0.46173855497102506</v>
      </c>
      <c r="D10">
        <f t="shared" si="1"/>
        <v>-3.9781135112606059E-2</v>
      </c>
      <c r="E10">
        <f t="shared" si="2"/>
        <v>1.5825387108474186E-3</v>
      </c>
    </row>
    <row r="11" spans="1:8" x14ac:dyDescent="0.25">
      <c r="A11">
        <v>1.0689933281749999</v>
      </c>
      <c r="B11">
        <v>0.41208707085588286</v>
      </c>
      <c r="C11">
        <f t="shared" si="0"/>
        <v>0.42072838612816182</v>
      </c>
      <c r="D11">
        <f t="shared" si="1"/>
        <v>-8.6413152722789599E-3</v>
      </c>
      <c r="E11">
        <f t="shared" si="2"/>
        <v>7.4672329634921592E-5</v>
      </c>
    </row>
    <row r="12" spans="1:8" x14ac:dyDescent="0.25">
      <c r="A12">
        <v>1.170796797525</v>
      </c>
      <c r="B12">
        <v>0.40098292822802978</v>
      </c>
      <c r="C12">
        <f t="shared" si="0"/>
        <v>0.38163910778259502</v>
      </c>
      <c r="D12">
        <f t="shared" si="1"/>
        <v>1.9343820445434756E-2</v>
      </c>
      <c r="E12">
        <f t="shared" si="2"/>
        <v>3.7418338942521971E-4</v>
      </c>
    </row>
    <row r="13" spans="1:8" x14ac:dyDescent="0.25">
      <c r="A13">
        <v>1.2726002668749998</v>
      </c>
      <c r="B13">
        <v>0.32695531070900891</v>
      </c>
      <c r="C13">
        <f t="shared" si="0"/>
        <v>0.34480206717059986</v>
      </c>
      <c r="D13">
        <f t="shared" si="1"/>
        <v>-1.7846756461590951E-2</v>
      </c>
      <c r="E13">
        <f t="shared" si="2"/>
        <v>3.1850671619933836E-4</v>
      </c>
    </row>
    <row r="14" spans="1:8" x14ac:dyDescent="0.25">
      <c r="A14">
        <v>1.3744037362249997</v>
      </c>
      <c r="B14">
        <v>0.30844840632925369</v>
      </c>
      <c r="C14">
        <f t="shared" si="0"/>
        <v>0.31040502146749999</v>
      </c>
      <c r="D14">
        <f t="shared" si="1"/>
        <v>-1.9566151382462982E-3</v>
      </c>
      <c r="E14">
        <f t="shared" si="2"/>
        <v>3.8283427992145807E-6</v>
      </c>
    </row>
    <row r="15" spans="1:8" x14ac:dyDescent="0.25">
      <c r="A15">
        <v>1.4762072055749997</v>
      </c>
      <c r="B15">
        <v>0.31708496170647277</v>
      </c>
      <c r="C15">
        <f t="shared" si="0"/>
        <v>0.27853053588434468</v>
      </c>
      <c r="D15">
        <f t="shared" si="1"/>
        <v>3.8554425822128091E-2</v>
      </c>
      <c r="E15">
        <f t="shared" si="2"/>
        <v>1.4864437504739773E-3</v>
      </c>
    </row>
    <row r="16" spans="1:8" x14ac:dyDescent="0.25">
      <c r="A16">
        <v>1.5780106749249998</v>
      </c>
      <c r="B16">
        <v>0.29055839876215694</v>
      </c>
      <c r="C16">
        <f t="shared" si="0"/>
        <v>0.24918440736696817</v>
      </c>
      <c r="D16">
        <f t="shared" si="1"/>
        <v>4.1373991395188769E-2</v>
      </c>
      <c r="E16">
        <f t="shared" si="2"/>
        <v>1.7118071639691543E-3</v>
      </c>
    </row>
    <row r="17" spans="1:5" x14ac:dyDescent="0.25">
      <c r="A17">
        <v>1.6798141442749999</v>
      </c>
      <c r="B17">
        <v>0.24182355056213486</v>
      </c>
      <c r="C17">
        <f t="shared" si="0"/>
        <v>0.22231706236299106</v>
      </c>
      <c r="D17">
        <f t="shared" si="1"/>
        <v>1.9506488199143801E-2</v>
      </c>
      <c r="E17">
        <f t="shared" si="2"/>
        <v>3.8050308186333639E-4</v>
      </c>
    </row>
    <row r="18" spans="1:5" x14ac:dyDescent="0.25">
      <c r="A18">
        <v>1.7816176136249999</v>
      </c>
      <c r="B18">
        <v>0.21591388443047757</v>
      </c>
      <c r="C18">
        <f t="shared" si="0"/>
        <v>0.1978398362646929</v>
      </c>
      <c r="D18">
        <f t="shared" si="1"/>
        <v>1.8074048165784673E-2</v>
      </c>
      <c r="E18">
        <f t="shared" si="2"/>
        <v>3.2667121709910432E-4</v>
      </c>
    </row>
    <row r="19" spans="1:5" x14ac:dyDescent="0.25">
      <c r="A19">
        <v>1.883421082975</v>
      </c>
      <c r="B19">
        <v>0.210361813116551</v>
      </c>
      <c r="C19">
        <f t="shared" si="0"/>
        <v>0.17563742651295244</v>
      </c>
      <c r="D19">
        <f t="shared" si="1"/>
        <v>3.4724386603598556E-2</v>
      </c>
      <c r="E19">
        <f t="shared" si="2"/>
        <v>1.2057830249961748E-3</v>
      </c>
    </row>
    <row r="20" spans="1:5" x14ac:dyDescent="0.25">
      <c r="A20">
        <v>1.9852245523249996</v>
      </c>
      <c r="B20">
        <v>0.2029590513646489</v>
      </c>
      <c r="C20">
        <f t="shared" si="0"/>
        <v>0.15557742919510845</v>
      </c>
      <c r="D20">
        <f t="shared" si="1"/>
        <v>4.7381622169540449E-2</v>
      </c>
      <c r="E20">
        <f t="shared" si="2"/>
        <v>2.245018119417087E-3</v>
      </c>
    </row>
    <row r="21" spans="1:5" x14ac:dyDescent="0.25">
      <c r="A21">
        <v>2.0870280216749997</v>
      </c>
      <c r="B21">
        <v>0.16779593304311399</v>
      </c>
      <c r="C21">
        <f t="shared" si="0"/>
        <v>0.13751762113565599</v>
      </c>
      <c r="D21">
        <f t="shared" si="1"/>
        <v>3.0278311907458E-2</v>
      </c>
      <c r="E21">
        <f t="shared" si="2"/>
        <v>9.1677617196531287E-4</v>
      </c>
    </row>
    <row r="22" spans="1:5" x14ac:dyDescent="0.25">
      <c r="A22">
        <v>2.1888314910249997</v>
      </c>
      <c r="B22">
        <v>0.14558764778740774</v>
      </c>
      <c r="C22">
        <f t="shared" si="0"/>
        <v>0.12131148225299183</v>
      </c>
      <c r="D22">
        <f t="shared" si="1"/>
        <v>2.4276165534415903E-2</v>
      </c>
      <c r="E22">
        <f t="shared" si="2"/>
        <v>5.8933221305436259E-4</v>
      </c>
    </row>
    <row r="23" spans="1:5" x14ac:dyDescent="0.25">
      <c r="A23">
        <v>2.2906349603749998</v>
      </c>
      <c r="B23">
        <v>0.14126937009879817</v>
      </c>
      <c r="C23">
        <f t="shared" si="0"/>
        <v>0.10681233602404672</v>
      </c>
      <c r="D23">
        <f t="shared" si="1"/>
        <v>3.4457034074751453E-2</v>
      </c>
      <c r="E23">
        <f t="shared" si="2"/>
        <v>1.1872871972285826E-3</v>
      </c>
    </row>
    <row r="24" spans="1:5" x14ac:dyDescent="0.25">
      <c r="A24">
        <v>2.3924384297249994</v>
      </c>
      <c r="B24">
        <v>0.12152867209372595</v>
      </c>
      <c r="C24">
        <f t="shared" si="0"/>
        <v>9.3876401509448995E-2</v>
      </c>
      <c r="D24">
        <f t="shared" si="1"/>
        <v>2.7652270584276953E-2</v>
      </c>
      <c r="E24">
        <f t="shared" si="2"/>
        <v>7.6464806846606847E-4</v>
      </c>
    </row>
    <row r="25" spans="1:5" x14ac:dyDescent="0.25">
      <c r="A25">
        <v>2.4942418990749999</v>
      </c>
      <c r="B25">
        <v>0.11042452946587281</v>
      </c>
      <c r="C25">
        <f t="shared" si="0"/>
        <v>8.2364987791076774E-2</v>
      </c>
      <c r="D25">
        <f t="shared" si="1"/>
        <v>2.8059541674796032E-2</v>
      </c>
      <c r="E25">
        <f t="shared" si="2"/>
        <v>7.8733787899961532E-4</v>
      </c>
    </row>
    <row r="26" spans="1:5" x14ac:dyDescent="0.25">
      <c r="A26">
        <v>2.596045368425</v>
      </c>
      <c r="B26">
        <v>8.6365553772191031E-2</v>
      </c>
      <c r="C26">
        <f t="shared" si="0"/>
        <v>7.2146014137697792E-2</v>
      </c>
      <c r="D26">
        <f t="shared" si="1"/>
        <v>1.4219539634493239E-2</v>
      </c>
      <c r="E26">
        <f t="shared" si="2"/>
        <v>2.0219530741692412E-4</v>
      </c>
    </row>
    <row r="27" spans="1:5" x14ac:dyDescent="0.25">
      <c r="A27">
        <v>2.6978488377750001</v>
      </c>
      <c r="B27">
        <v>8.3281069708898495E-2</v>
      </c>
      <c r="C27">
        <f t="shared" si="0"/>
        <v>6.3095002410228265E-2</v>
      </c>
      <c r="D27">
        <f t="shared" si="1"/>
        <v>2.0186067298670229E-2</v>
      </c>
      <c r="E27">
        <f t="shared" si="2"/>
        <v>4.0747731298644362E-4</v>
      </c>
    </row>
    <row r="28" spans="1:5" x14ac:dyDescent="0.25">
      <c r="A28">
        <v>2.7996523071250001</v>
      </c>
      <c r="B28">
        <v>6.9092443017752816E-2</v>
      </c>
      <c r="C28">
        <f t="shared" si="0"/>
        <v>5.5095659271831944E-2</v>
      </c>
      <c r="D28">
        <f t="shared" si="1"/>
        <v>1.3996783745920872E-2</v>
      </c>
      <c r="E28">
        <f t="shared" si="2"/>
        <v>1.9590995523007472E-4</v>
      </c>
    </row>
    <row r="29" spans="1:5" x14ac:dyDescent="0.25">
      <c r="A29">
        <v>2.9014557764749997</v>
      </c>
      <c r="B29">
        <v>5.6754506764582671E-2</v>
      </c>
      <c r="C29">
        <f t="shared" si="0"/>
        <v>4.8040142718519335E-2</v>
      </c>
      <c r="D29">
        <f t="shared" si="1"/>
        <v>8.7143640460633359E-3</v>
      </c>
      <c r="E29">
        <f t="shared" si="2"/>
        <v>7.5940140727321352E-5</v>
      </c>
    </row>
    <row r="30" spans="1:5" x14ac:dyDescent="0.25">
      <c r="A30">
        <v>3.0032592458249998</v>
      </c>
      <c r="B30">
        <v>4.5033467324071035E-2</v>
      </c>
      <c r="C30">
        <f t="shared" si="0"/>
        <v>4.1829088917926131E-2</v>
      </c>
      <c r="D30">
        <f t="shared" si="1"/>
        <v>3.2043784061449032E-3</v>
      </c>
      <c r="E30">
        <f t="shared" si="2"/>
        <v>1.026804096976775E-5</v>
      </c>
    </row>
    <row r="31" spans="1:5" x14ac:dyDescent="0.25">
      <c r="A31">
        <v>3.1050627151749999</v>
      </c>
      <c r="B31">
        <v>3.4546221508876408E-2</v>
      </c>
      <c r="C31">
        <f t="shared" si="0"/>
        <v>3.6371460347613661E-2</v>
      </c>
      <c r="D31">
        <f t="shared" si="1"/>
        <v>-1.8252388387372531E-3</v>
      </c>
      <c r="E31">
        <f t="shared" si="2"/>
        <v>3.3314968184349162E-6</v>
      </c>
    </row>
    <row r="32" spans="1:5" x14ac:dyDescent="0.25">
      <c r="A32">
        <v>3.2068661845249999</v>
      </c>
      <c r="B32">
        <v>2.4058975693681785E-2</v>
      </c>
      <c r="C32">
        <f t="shared" si="0"/>
        <v>3.1584264029062621E-2</v>
      </c>
      <c r="D32">
        <f t="shared" si="1"/>
        <v>-7.5252883353808357E-3</v>
      </c>
      <c r="E32">
        <f t="shared" si="2"/>
        <v>5.662996453061887E-5</v>
      </c>
    </row>
    <row r="33" spans="1:5" x14ac:dyDescent="0.25">
      <c r="A33">
        <v>3.3086696538749996</v>
      </c>
      <c r="B33">
        <v>1.7890007567096713E-2</v>
      </c>
      <c r="C33">
        <f t="shared" si="0"/>
        <v>2.7392178707963784E-2</v>
      </c>
      <c r="D33">
        <f t="shared" si="1"/>
        <v>-9.5021711408670717E-3</v>
      </c>
      <c r="E33">
        <f t="shared" si="2"/>
        <v>9.0291256390327026E-5</v>
      </c>
    </row>
    <row r="34" spans="1:5" x14ac:dyDescent="0.25">
      <c r="A34">
        <v>3.4104731232249996</v>
      </c>
      <c r="B34">
        <v>1.9740698005072235E-2</v>
      </c>
      <c r="C34">
        <f t="shared" si="0"/>
        <v>2.3727121710295163E-2</v>
      </c>
      <c r="D34">
        <f t="shared" si="1"/>
        <v>-3.986423705222928E-3</v>
      </c>
      <c r="E34">
        <f t="shared" si="2"/>
        <v>1.5891573957563298E-5</v>
      </c>
    </row>
    <row r="35" spans="1:5" x14ac:dyDescent="0.25">
      <c r="A35">
        <v>3.5122765925749997</v>
      </c>
      <c r="B35">
        <v>9.8703490025361176E-3</v>
      </c>
      <c r="C35">
        <f t="shared" si="0"/>
        <v>2.0527779573256244E-2</v>
      </c>
      <c r="D35">
        <f t="shared" si="1"/>
        <v>-1.0657430570720126E-2</v>
      </c>
      <c r="E35">
        <f t="shared" si="2"/>
        <v>1.1358082636971992E-4</v>
      </c>
    </row>
    <row r="36" spans="1:5" x14ac:dyDescent="0.25">
      <c r="A36">
        <v>3.6140800619249998</v>
      </c>
      <c r="B36">
        <v>0</v>
      </c>
      <c r="C36">
        <f t="shared" si="0"/>
        <v>1.7739121144291853E-2</v>
      </c>
      <c r="D36">
        <f t="shared" si="1"/>
        <v>-1.7739121144291853E-2</v>
      </c>
      <c r="E36">
        <f t="shared" si="2"/>
        <v>3.1467641897186231E-4</v>
      </c>
    </row>
    <row r="37" spans="1:5" x14ac:dyDescent="0.25">
      <c r="A37">
        <v>3.7158835312749998</v>
      </c>
      <c r="B37">
        <v>0</v>
      </c>
      <c r="C37">
        <f t="shared" si="0"/>
        <v>1.5311907445234234E-2</v>
      </c>
      <c r="D37">
        <f t="shared" si="1"/>
        <v>-1.5311907445234234E-2</v>
      </c>
      <c r="E37">
        <f t="shared" si="2"/>
        <v>2.3445450961141959E-4</v>
      </c>
    </row>
    <row r="38" spans="1:5" x14ac:dyDescent="0.25">
      <c r="A38">
        <v>3.8176870006249999</v>
      </c>
      <c r="B38">
        <v>0</v>
      </c>
      <c r="C38">
        <f t="shared" si="0"/>
        <v>1.3202209036568014E-2</v>
      </c>
      <c r="D38">
        <f t="shared" si="1"/>
        <v>-1.3202209036568014E-2</v>
      </c>
      <c r="E38">
        <f t="shared" si="2"/>
        <v>1.7429832344523813E-4</v>
      </c>
    </row>
    <row r="39" spans="1:5" x14ac:dyDescent="0.25">
      <c r="A39">
        <v>3.9194904699749995</v>
      </c>
      <c r="B39">
        <v>0</v>
      </c>
      <c r="C39">
        <f t="shared" si="0"/>
        <v>1.137093874459204E-2</v>
      </c>
      <c r="D39">
        <f t="shared" si="1"/>
        <v>-1.137093874459204E-2</v>
      </c>
      <c r="E39">
        <f t="shared" si="2"/>
        <v>1.2929824793326438E-4</v>
      </c>
    </row>
    <row r="40" spans="1:5" x14ac:dyDescent="0.25">
      <c r="A40">
        <v>4.021293939325</v>
      </c>
      <c r="B40">
        <v>6.1689681265850735E-4</v>
      </c>
      <c r="C40">
        <f t="shared" si="0"/>
        <v>9.7834053122564137E-3</v>
      </c>
      <c r="D40">
        <f t="shared" si="1"/>
        <v>-9.1665084995979067E-3</v>
      </c>
      <c r="E40">
        <f t="shared" si="2"/>
        <v>8.4024878073200664E-5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88BC-2A88-47A1-8227-43DA84C25AE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5.0691175050000002E-2</v>
      </c>
      <c r="B1">
        <v>0.36203660772451091</v>
      </c>
      <c r="C1">
        <f>$H$3*(1+$H$1)*(A1^($H$1))*EXP(-$H$3*(A1^(1+$H$1)))</f>
        <v>0.50201300167501905</v>
      </c>
      <c r="D1">
        <f>B1-C1</f>
        <v>-0.13997639395050815</v>
      </c>
      <c r="E1">
        <f>D1^2</f>
        <v>1.9593390863387853E-2</v>
      </c>
      <c r="G1" t="s">
        <v>0</v>
      </c>
      <c r="H1">
        <v>0.27315422517147792</v>
      </c>
    </row>
    <row r="2" spans="1:8" x14ac:dyDescent="0.25">
      <c r="A2">
        <v>0.15177933515</v>
      </c>
      <c r="B2">
        <v>0.57876178113077903</v>
      </c>
      <c r="C2">
        <f t="shared" ref="C2:C40" si="0">$H$3*(1+$H$1)*(A2^($H$1))*EXP(-$H$3*(A2^(1+$H$1)))</f>
        <v>0.63661996810214561</v>
      </c>
      <c r="D2">
        <f t="shared" ref="D2:D40" si="1">B2-C2</f>
        <v>-5.7858186971366576E-2</v>
      </c>
      <c r="E2">
        <f t="shared" ref="E2:E40" si="2">D2^2</f>
        <v>3.3475697996136131E-3</v>
      </c>
    </row>
    <row r="3" spans="1:8" x14ac:dyDescent="0.25">
      <c r="A3">
        <v>0.25286749524999996</v>
      </c>
      <c r="B3">
        <v>0.96874289545495196</v>
      </c>
      <c r="C3">
        <f t="shared" si="0"/>
        <v>0.67869263811131242</v>
      </c>
      <c r="D3">
        <f t="shared" si="1"/>
        <v>0.29005025734363954</v>
      </c>
      <c r="E3">
        <f t="shared" si="2"/>
        <v>8.4129151785111517E-2</v>
      </c>
      <c r="G3" t="s">
        <v>1</v>
      </c>
      <c r="H3">
        <f>(_xlfn.GAMMA((2+$H$1)/(1+$H$1)))^(1+$H$1)</f>
        <v>0.90875469264800934</v>
      </c>
    </row>
    <row r="4" spans="1:8" x14ac:dyDescent="0.25">
      <c r="A4">
        <v>0.35395565534999995</v>
      </c>
      <c r="B4">
        <v>0.73773497423107881</v>
      </c>
      <c r="C4">
        <f t="shared" si="0"/>
        <v>0.68380368086372612</v>
      </c>
      <c r="D4">
        <f t="shared" si="1"/>
        <v>5.3931293367352695E-2</v>
      </c>
      <c r="E4">
        <f t="shared" si="2"/>
        <v>2.9085844042754608E-3</v>
      </c>
    </row>
    <row r="5" spans="1:8" x14ac:dyDescent="0.25">
      <c r="A5">
        <v>0.45504381544999994</v>
      </c>
      <c r="B5">
        <v>0.61043222194372937</v>
      </c>
      <c r="C5">
        <f t="shared" si="0"/>
        <v>0.6684767678755329</v>
      </c>
      <c r="D5">
        <f t="shared" si="1"/>
        <v>-5.8044545931803526E-2</v>
      </c>
      <c r="E5">
        <f t="shared" si="2"/>
        <v>3.3691693124292491E-3</v>
      </c>
      <c r="G5" t="s">
        <v>2</v>
      </c>
      <c r="H5">
        <f>SUM(E1:E40)</f>
        <v>0.14280367902311666</v>
      </c>
    </row>
    <row r="6" spans="1:8" x14ac:dyDescent="0.25">
      <c r="A6">
        <v>0.55613197554999994</v>
      </c>
      <c r="B6">
        <v>0.58124573727297124</v>
      </c>
      <c r="C6">
        <f t="shared" si="0"/>
        <v>0.64082363122628372</v>
      </c>
      <c r="D6">
        <f t="shared" si="1"/>
        <v>-5.9577893953312477E-2</v>
      </c>
      <c r="E6">
        <f t="shared" si="2"/>
        <v>3.5495254479121475E-3</v>
      </c>
    </row>
    <row r="7" spans="1:8" x14ac:dyDescent="0.25">
      <c r="A7">
        <v>0.65722013564999981</v>
      </c>
      <c r="B7">
        <v>0.54212342803344427</v>
      </c>
      <c r="C7">
        <f t="shared" si="0"/>
        <v>0.60568794403351922</v>
      </c>
      <c r="D7">
        <f t="shared" si="1"/>
        <v>-6.3564516000074955E-2</v>
      </c>
      <c r="E7">
        <f t="shared" si="2"/>
        <v>4.0404476943237851E-3</v>
      </c>
    </row>
    <row r="8" spans="1:8" x14ac:dyDescent="0.25">
      <c r="A8">
        <v>0.75830829574999992</v>
      </c>
      <c r="B8">
        <v>0.53280859250022361</v>
      </c>
      <c r="C8">
        <f t="shared" si="0"/>
        <v>0.5662541781865833</v>
      </c>
      <c r="D8">
        <f t="shared" si="1"/>
        <v>-3.3445585686359691E-2</v>
      </c>
      <c r="E8">
        <f t="shared" si="2"/>
        <v>1.1186072019036283E-3</v>
      </c>
    </row>
    <row r="9" spans="1:8" x14ac:dyDescent="0.25">
      <c r="A9">
        <v>0.85939645585000002</v>
      </c>
      <c r="B9">
        <v>0.45456397402116977</v>
      </c>
      <c r="C9">
        <f t="shared" si="0"/>
        <v>0.52472123149107996</v>
      </c>
      <c r="D9">
        <f t="shared" si="1"/>
        <v>-7.0157257469910195E-2</v>
      </c>
      <c r="E9">
        <f t="shared" si="2"/>
        <v>4.9220407756992695E-3</v>
      </c>
    </row>
    <row r="10" spans="1:8" x14ac:dyDescent="0.25">
      <c r="A10">
        <v>0.9604846159499999</v>
      </c>
      <c r="B10">
        <v>0.43779727006137253</v>
      </c>
      <c r="C10">
        <f t="shared" si="0"/>
        <v>0.48264175860609354</v>
      </c>
      <c r="D10">
        <f t="shared" si="1"/>
        <v>-4.4844488544721006E-2</v>
      </c>
      <c r="E10">
        <f t="shared" si="2"/>
        <v>2.0110281528376134E-3</v>
      </c>
    </row>
    <row r="11" spans="1:8" x14ac:dyDescent="0.25">
      <c r="A11">
        <v>1.0615727760499998</v>
      </c>
      <c r="B11">
        <v>0.40364287310622998</v>
      </c>
      <c r="C11">
        <f t="shared" si="0"/>
        <v>0.44111702938868325</v>
      </c>
      <c r="D11">
        <f t="shared" si="1"/>
        <v>-3.7474156282453264E-2</v>
      </c>
      <c r="E11">
        <f t="shared" si="2"/>
        <v>1.4043123890817315E-3</v>
      </c>
    </row>
    <row r="12" spans="1:8" x14ac:dyDescent="0.25">
      <c r="A12">
        <v>1.16266093615</v>
      </c>
      <c r="B12">
        <v>0.40426386214177806</v>
      </c>
      <c r="C12">
        <f t="shared" si="0"/>
        <v>0.40092017968807458</v>
      </c>
      <c r="D12">
        <f t="shared" si="1"/>
        <v>3.3436824537034782E-3</v>
      </c>
      <c r="E12">
        <f t="shared" si="2"/>
        <v>1.1180212351204512E-5</v>
      </c>
    </row>
    <row r="13" spans="1:8" x14ac:dyDescent="0.25">
      <c r="A13">
        <v>1.2637490962499998</v>
      </c>
      <c r="B13">
        <v>0.33843902437368517</v>
      </c>
      <c r="C13">
        <f t="shared" si="0"/>
        <v>0.36257995615530697</v>
      </c>
      <c r="D13">
        <f t="shared" si="1"/>
        <v>-2.4140931781621799E-2</v>
      </c>
      <c r="E13">
        <f t="shared" si="2"/>
        <v>5.8278458728491746E-4</v>
      </c>
    </row>
    <row r="14" spans="1:8" x14ac:dyDescent="0.25">
      <c r="A14">
        <v>1.3648372563499998</v>
      </c>
      <c r="B14">
        <v>0.32105133137833985</v>
      </c>
      <c r="C14">
        <f t="shared" si="0"/>
        <v>0.32644067294771451</v>
      </c>
      <c r="D14">
        <f t="shared" si="1"/>
        <v>-5.3893415693746505E-3</v>
      </c>
      <c r="E14">
        <f t="shared" si="2"/>
        <v>2.9045002551389622E-5</v>
      </c>
    </row>
    <row r="15" spans="1:8" x14ac:dyDescent="0.25">
      <c r="A15">
        <v>1.4659254164499997</v>
      </c>
      <c r="B15">
        <v>0.30055869320525436</v>
      </c>
      <c r="C15">
        <f t="shared" si="0"/>
        <v>0.29270676858758327</v>
      </c>
      <c r="D15">
        <f t="shared" si="1"/>
        <v>7.8519246176710911E-3</v>
      </c>
      <c r="E15">
        <f t="shared" si="2"/>
        <v>6.165272020158931E-5</v>
      </c>
    </row>
    <row r="16" spans="1:8" x14ac:dyDescent="0.25">
      <c r="A16">
        <v>1.56701357655</v>
      </c>
      <c r="B16">
        <v>0.30863155066737896</v>
      </c>
      <c r="C16">
        <f t="shared" si="0"/>
        <v>0.26147678230617738</v>
      </c>
      <c r="D16">
        <f t="shared" si="1"/>
        <v>4.7154768361201582E-2</v>
      </c>
      <c r="E16">
        <f t="shared" si="2"/>
        <v>2.2235721791985779E-3</v>
      </c>
    </row>
    <row r="17" spans="1:5" x14ac:dyDescent="0.25">
      <c r="A17">
        <v>1.6681017366499999</v>
      </c>
      <c r="B17">
        <v>0.2365968225438056</v>
      </c>
      <c r="C17">
        <f t="shared" si="0"/>
        <v>0.23276970540722594</v>
      </c>
      <c r="D17">
        <f t="shared" si="1"/>
        <v>3.8271171365796552E-3</v>
      </c>
      <c r="E17">
        <f t="shared" si="2"/>
        <v>1.464682557710166E-5</v>
      </c>
    </row>
    <row r="18" spans="1:5" x14ac:dyDescent="0.25">
      <c r="A18">
        <v>1.7691898967499999</v>
      </c>
      <c r="B18">
        <v>0.23038693218832512</v>
      </c>
      <c r="C18">
        <f t="shared" si="0"/>
        <v>0.20654562925770184</v>
      </c>
      <c r="D18">
        <f t="shared" si="1"/>
        <v>2.3841302930623282E-2</v>
      </c>
      <c r="E18">
        <f t="shared" si="2"/>
        <v>5.6840772542974627E-4</v>
      </c>
    </row>
    <row r="19" spans="1:5" x14ac:dyDescent="0.25">
      <c r="A19">
        <v>1.8702780568499997</v>
      </c>
      <c r="B19">
        <v>0.20554737076640328</v>
      </c>
      <c r="C19">
        <f t="shared" si="0"/>
        <v>0.18272200596705879</v>
      </c>
      <c r="D19">
        <f t="shared" si="1"/>
        <v>2.2825364799344494E-2</v>
      </c>
      <c r="E19">
        <f t="shared" si="2"/>
        <v>5.2099727822315473E-4</v>
      </c>
    </row>
    <row r="20" spans="1:5" x14ac:dyDescent="0.25">
      <c r="A20">
        <v>1.9713662169499999</v>
      </c>
      <c r="B20">
        <v>0.21051528305078765</v>
      </c>
      <c r="C20">
        <f t="shared" si="0"/>
        <v>0.16118646481998009</v>
      </c>
      <c r="D20">
        <f t="shared" si="1"/>
        <v>4.9328818230807564E-2</v>
      </c>
      <c r="E20">
        <f t="shared" si="2"/>
        <v>2.4333323080480526E-3</v>
      </c>
    </row>
    <row r="21" spans="1:5" x14ac:dyDescent="0.25">
      <c r="A21">
        <v>2.0724543770499997</v>
      </c>
      <c r="B21">
        <v>0.16083616020694394</v>
      </c>
      <c r="C21">
        <f t="shared" si="0"/>
        <v>0.1418068865212129</v>
      </c>
      <c r="D21">
        <f t="shared" si="1"/>
        <v>1.9029273685731041E-2</v>
      </c>
      <c r="E21">
        <f t="shared" si="2"/>
        <v>3.6211325700645584E-4</v>
      </c>
    </row>
    <row r="22" spans="1:5" x14ac:dyDescent="0.25">
      <c r="A22">
        <v>2.1735425371499999</v>
      </c>
      <c r="B22">
        <v>0.14593242335379084</v>
      </c>
      <c r="C22">
        <f t="shared" si="0"/>
        <v>0.1244392743411312</v>
      </c>
      <c r="D22">
        <f t="shared" si="1"/>
        <v>2.149314901265964E-2</v>
      </c>
      <c r="E22">
        <f t="shared" si="2"/>
        <v>4.6195545448039207E-4</v>
      </c>
    </row>
    <row r="23" spans="1:5" x14ac:dyDescent="0.25">
      <c r="A23">
        <v>2.2746306972499997</v>
      </c>
      <c r="B23">
        <v>0.13972253299831039</v>
      </c>
      <c r="C23">
        <f t="shared" si="0"/>
        <v>0.10893384624896391</v>
      </c>
      <c r="D23">
        <f t="shared" si="1"/>
        <v>3.0788686749346483E-2</v>
      </c>
      <c r="E23">
        <f t="shared" si="2"/>
        <v>9.4794323174938371E-4</v>
      </c>
    </row>
    <row r="24" spans="1:5" x14ac:dyDescent="0.25">
      <c r="A24">
        <v>2.3757188573499999</v>
      </c>
      <c r="B24">
        <v>0.13413363167837797</v>
      </c>
      <c r="C24">
        <f t="shared" si="0"/>
        <v>9.5139687754765945E-2</v>
      </c>
      <c r="D24">
        <f t="shared" si="1"/>
        <v>3.8993943923612023E-2</v>
      </c>
      <c r="E24">
        <f t="shared" si="2"/>
        <v>1.5205276627177991E-3</v>
      </c>
    </row>
    <row r="25" spans="1:5" x14ac:dyDescent="0.25">
      <c r="A25">
        <v>2.4768070174499996</v>
      </c>
      <c r="B25">
        <v>0.1049471470076198</v>
      </c>
      <c r="C25">
        <f t="shared" si="0"/>
        <v>8.2908241146546088E-2</v>
      </c>
      <c r="D25">
        <f t="shared" si="1"/>
        <v>2.203890586107371E-2</v>
      </c>
      <c r="E25">
        <f t="shared" si="2"/>
        <v>4.8571337155326914E-4</v>
      </c>
    </row>
    <row r="26" spans="1:5" x14ac:dyDescent="0.25">
      <c r="A26">
        <v>2.5778951775499999</v>
      </c>
      <c r="B26">
        <v>8.5696486905630365E-2</v>
      </c>
      <c r="C26">
        <f t="shared" si="0"/>
        <v>7.2095856795885288E-2</v>
      </c>
      <c r="D26">
        <f t="shared" si="1"/>
        <v>1.3600630109745077E-2</v>
      </c>
      <c r="E26">
        <f t="shared" si="2"/>
        <v>1.8497713938210437E-4</v>
      </c>
    </row>
    <row r="27" spans="1:5" x14ac:dyDescent="0.25">
      <c r="A27">
        <v>2.6789833376500001</v>
      </c>
      <c r="B27">
        <v>7.7623629443505773E-2</v>
      </c>
      <c r="C27">
        <f t="shared" si="0"/>
        <v>6.2565592235635209E-2</v>
      </c>
      <c r="D27">
        <f t="shared" si="1"/>
        <v>1.5058037207870564E-2</v>
      </c>
      <c r="E27">
        <f t="shared" si="2"/>
        <v>2.2674448455361435E-4</v>
      </c>
    </row>
    <row r="28" spans="1:5" x14ac:dyDescent="0.25">
      <c r="A28">
        <v>2.7800714977499998</v>
      </c>
      <c r="B28">
        <v>8.0728574621245996E-2</v>
      </c>
      <c r="C28">
        <f t="shared" si="0"/>
        <v>5.4188412201564291E-2</v>
      </c>
      <c r="D28">
        <f t="shared" si="1"/>
        <v>2.6540162419681705E-2</v>
      </c>
      <c r="E28">
        <f t="shared" si="2"/>
        <v>7.0438022126308511E-4</v>
      </c>
    </row>
    <row r="29" spans="1:5" x14ac:dyDescent="0.25">
      <c r="A29">
        <v>2.8811596578499996</v>
      </c>
      <c r="B29">
        <v>5.3405057057131972E-2</v>
      </c>
      <c r="C29">
        <f t="shared" si="0"/>
        <v>4.6843916041431545E-2</v>
      </c>
      <c r="D29">
        <f t="shared" si="1"/>
        <v>6.5611410157004266E-3</v>
      </c>
      <c r="E29">
        <f t="shared" si="2"/>
        <v>4.3048571427906422E-5</v>
      </c>
    </row>
    <row r="30" spans="1:5" x14ac:dyDescent="0.25">
      <c r="A30">
        <v>2.9822478179499994</v>
      </c>
      <c r="B30">
        <v>3.7259342132882768E-2</v>
      </c>
      <c r="C30">
        <f t="shared" si="0"/>
        <v>4.0420696625882539E-2</v>
      </c>
      <c r="D30">
        <f t="shared" si="1"/>
        <v>-3.1613544929997711E-3</v>
      </c>
      <c r="E30">
        <f t="shared" si="2"/>
        <v>9.9941622304098407E-6</v>
      </c>
    </row>
    <row r="31" spans="1:5" x14ac:dyDescent="0.25">
      <c r="A31">
        <v>3.08333597805</v>
      </c>
      <c r="B31">
        <v>3.7880331168430814E-2</v>
      </c>
      <c r="C31">
        <f t="shared" si="0"/>
        <v>3.481641628002824E-2</v>
      </c>
      <c r="D31">
        <f t="shared" si="1"/>
        <v>3.0639148884025746E-3</v>
      </c>
      <c r="E31">
        <f t="shared" si="2"/>
        <v>9.3875744433749614E-6</v>
      </c>
    </row>
    <row r="32" spans="1:5" x14ac:dyDescent="0.25">
      <c r="A32">
        <v>3.1844241381499998</v>
      </c>
      <c r="B32">
        <v>2.5460550457469894E-2</v>
      </c>
      <c r="C32">
        <f t="shared" si="0"/>
        <v>2.9937669647701906E-2</v>
      </c>
      <c r="D32">
        <f t="shared" si="1"/>
        <v>-4.4771191902320123E-3</v>
      </c>
      <c r="E32">
        <f t="shared" si="2"/>
        <v>2.0044596243543748E-5</v>
      </c>
    </row>
    <row r="33" spans="1:5" x14ac:dyDescent="0.25">
      <c r="A33">
        <v>3.2855122982499996</v>
      </c>
      <c r="B33">
        <v>2.2976594315277706E-2</v>
      </c>
      <c r="C33">
        <f t="shared" si="0"/>
        <v>2.5699690305279996E-2</v>
      </c>
      <c r="D33">
        <f t="shared" si="1"/>
        <v>-2.7230959900022902E-3</v>
      </c>
      <c r="E33">
        <f t="shared" si="2"/>
        <v>7.4152517707665531E-6</v>
      </c>
    </row>
    <row r="34" spans="1:5" x14ac:dyDescent="0.25">
      <c r="A34">
        <v>3.3866004583499993</v>
      </c>
      <c r="B34">
        <v>1.1798791675412876E-2</v>
      </c>
      <c r="C34">
        <f t="shared" si="0"/>
        <v>2.202594696394447E-2</v>
      </c>
      <c r="D34">
        <f t="shared" si="1"/>
        <v>-1.0227155288531594E-2</v>
      </c>
      <c r="E34">
        <f t="shared" si="2"/>
        <v>1.0459470529573976E-4</v>
      </c>
    </row>
    <row r="35" spans="1:5" x14ac:dyDescent="0.25">
      <c r="A35">
        <v>3.4876886184499996</v>
      </c>
      <c r="B35">
        <v>7.451868426576554E-3</v>
      </c>
      <c r="C35">
        <f t="shared" si="0"/>
        <v>1.8847665916647719E-2</v>
      </c>
      <c r="D35">
        <f t="shared" si="1"/>
        <v>-1.1395797490071165E-2</v>
      </c>
      <c r="E35">
        <f t="shared" si="2"/>
        <v>1.2986420043471227E-4</v>
      </c>
    </row>
    <row r="36" spans="1:5" x14ac:dyDescent="0.25">
      <c r="A36">
        <v>3.5887767785499998</v>
      </c>
      <c r="B36">
        <v>0</v>
      </c>
      <c r="C36">
        <f t="shared" si="0"/>
        <v>1.610330873117247E-2</v>
      </c>
      <c r="D36">
        <f t="shared" si="1"/>
        <v>-1.610330873117247E-2</v>
      </c>
      <c r="E36">
        <f t="shared" si="2"/>
        <v>2.593165520914555E-4</v>
      </c>
    </row>
    <row r="37" spans="1:5" x14ac:dyDescent="0.25">
      <c r="A37">
        <v>3.6898649386499995</v>
      </c>
      <c r="B37">
        <v>0</v>
      </c>
      <c r="C37">
        <f t="shared" si="0"/>
        <v>1.3738027837350978E-2</v>
      </c>
      <c r="D37">
        <f t="shared" si="1"/>
        <v>-1.3738027837350978E-2</v>
      </c>
      <c r="E37">
        <f t="shared" si="2"/>
        <v>1.8873340885983039E-4</v>
      </c>
    </row>
    <row r="38" spans="1:5" x14ac:dyDescent="0.25">
      <c r="A38">
        <v>3.7909530987499998</v>
      </c>
      <c r="B38">
        <v>0</v>
      </c>
      <c r="C38">
        <f t="shared" si="0"/>
        <v>1.1703117411484163E-2</v>
      </c>
      <c r="D38">
        <f t="shared" si="1"/>
        <v>-1.1703117411484163E-2</v>
      </c>
      <c r="E38">
        <f t="shared" si="2"/>
        <v>1.3696295714698379E-4</v>
      </c>
    </row>
    <row r="39" spans="1:5" x14ac:dyDescent="0.25">
      <c r="A39">
        <v>3.8920412588499995</v>
      </c>
      <c r="B39">
        <v>0</v>
      </c>
      <c r="C39">
        <f t="shared" si="0"/>
        <v>9.9554726580098844E-3</v>
      </c>
      <c r="D39">
        <f t="shared" si="1"/>
        <v>-9.9554726580098844E-3</v>
      </c>
      <c r="E39">
        <f t="shared" si="2"/>
        <v>9.9111435844382388E-5</v>
      </c>
    </row>
    <row r="40" spans="1:5" x14ac:dyDescent="0.25">
      <c r="A40">
        <v>3.9931294189499997</v>
      </c>
      <c r="B40">
        <v>6.2098903554804613E-4</v>
      </c>
      <c r="C40">
        <f t="shared" si="0"/>
        <v>8.4570670839031765E-3</v>
      </c>
      <c r="D40">
        <f t="shared" si="1"/>
        <v>-7.8360780483551305E-3</v>
      </c>
      <c r="E40">
        <f t="shared" si="2"/>
        <v>6.1404119179913155E-5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4942-7B5E-42FF-A71F-20F1CF6C5F7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5.1003435437500001E-2</v>
      </c>
      <c r="B1">
        <v>0.3102024199839537</v>
      </c>
      <c r="C1">
        <f>$H$3*(1+$H$1)*(A1^($H$1))*EXP(-$H$3*(A1^(1+$H$1)))</f>
        <v>0.42639673222554719</v>
      </c>
      <c r="D1">
        <f>B1-C1</f>
        <v>-0.11619431224159349</v>
      </c>
      <c r="E1">
        <f>D1^2</f>
        <v>1.3501118197296923E-2</v>
      </c>
      <c r="G1" t="s">
        <v>0</v>
      </c>
      <c r="H1">
        <v>0.34097950839057595</v>
      </c>
    </row>
    <row r="2" spans="1:8" x14ac:dyDescent="0.25">
      <c r="A2">
        <v>0.1511749503125</v>
      </c>
      <c r="B2">
        <v>0.44556347597695173</v>
      </c>
      <c r="C2">
        <f t="shared" ref="C2:C40" si="0">$H$3*(1+$H$1)*(A2^($H$1))*EXP(-$H$3*(A2^(1+$H$1)))</f>
        <v>0.58497163268081731</v>
      </c>
      <c r="D2">
        <f t="shared" ref="D2:D40" si="1">B2-C2</f>
        <v>-0.13940815670386558</v>
      </c>
      <c r="E2">
        <f t="shared" ref="E2:E40" si="2">D2^2</f>
        <v>1.9434634155569543E-2</v>
      </c>
    </row>
    <row r="3" spans="1:8" x14ac:dyDescent="0.25">
      <c r="A3">
        <v>0.25134646518749998</v>
      </c>
      <c r="B3">
        <v>0.77393937107107647</v>
      </c>
      <c r="C3">
        <f t="shared" si="0"/>
        <v>0.64919719683471733</v>
      </c>
      <c r="D3">
        <f t="shared" si="1"/>
        <v>0.12474217423635914</v>
      </c>
      <c r="E3">
        <f t="shared" si="2"/>
        <v>1.5560610033214182E-2</v>
      </c>
      <c r="G3" t="s">
        <v>1</v>
      </c>
      <c r="H3">
        <f>(_xlfn.GAMMA((2+$H$1)/(1+$H$1)))^(1+$H$1)</f>
        <v>0.89173171654259864</v>
      </c>
    </row>
    <row r="4" spans="1:8" x14ac:dyDescent="0.25">
      <c r="A4">
        <v>0.35151798006250001</v>
      </c>
      <c r="B4">
        <v>0.96131416617249499</v>
      </c>
      <c r="C4">
        <f t="shared" si="0"/>
        <v>0.67223740021054279</v>
      </c>
      <c r="D4">
        <f t="shared" si="1"/>
        <v>0.2890767659619522</v>
      </c>
      <c r="E4">
        <f t="shared" si="2"/>
        <v>8.3565376619021289E-2</v>
      </c>
    </row>
    <row r="5" spans="1:8" x14ac:dyDescent="0.25">
      <c r="A5">
        <v>0.45168949493749999</v>
      </c>
      <c r="B5">
        <v>0.70500549996353112</v>
      </c>
      <c r="C5">
        <f t="shared" si="0"/>
        <v>0.67075007974177436</v>
      </c>
      <c r="D5">
        <f t="shared" si="1"/>
        <v>3.425542022175676E-2</v>
      </c>
      <c r="E5">
        <f t="shared" si="2"/>
        <v>1.1734338145691419E-3</v>
      </c>
      <c r="G5" t="s">
        <v>2</v>
      </c>
      <c r="H5">
        <f>SUM(E1:E40)</f>
        <v>0.16707178944673964</v>
      </c>
    </row>
    <row r="6" spans="1:8" x14ac:dyDescent="0.25">
      <c r="A6">
        <v>0.55186100981249986</v>
      </c>
      <c r="B6">
        <v>0.60348470796878273</v>
      </c>
      <c r="C6">
        <f t="shared" si="0"/>
        <v>0.65330611959944163</v>
      </c>
      <c r="D6">
        <f t="shared" si="1"/>
        <v>-4.9821411630658896E-2</v>
      </c>
      <c r="E6">
        <f t="shared" si="2"/>
        <v>2.4821730568715533E-3</v>
      </c>
    </row>
    <row r="7" spans="1:8" x14ac:dyDescent="0.25">
      <c r="A7">
        <v>0.65203252468749984</v>
      </c>
      <c r="B7">
        <v>0.57591115952576455</v>
      </c>
      <c r="C7">
        <f t="shared" si="0"/>
        <v>0.62527979111644161</v>
      </c>
      <c r="D7">
        <f t="shared" si="1"/>
        <v>-4.9368631590677059E-2</v>
      </c>
      <c r="E7">
        <f t="shared" si="2"/>
        <v>2.437261785135997E-3</v>
      </c>
    </row>
    <row r="8" spans="1:8" x14ac:dyDescent="0.25">
      <c r="A8">
        <v>0.75220403956249993</v>
      </c>
      <c r="B8">
        <v>0.54645759641617708</v>
      </c>
      <c r="C8">
        <f t="shared" si="0"/>
        <v>0.59038397607313142</v>
      </c>
      <c r="D8">
        <f t="shared" si="1"/>
        <v>-4.392637965695434E-2</v>
      </c>
      <c r="E8">
        <f t="shared" si="2"/>
        <v>1.9295268297668921E-3</v>
      </c>
    </row>
    <row r="9" spans="1:8" x14ac:dyDescent="0.25">
      <c r="A9">
        <v>0.85237555443750002</v>
      </c>
      <c r="B9">
        <v>0.48504378397490944</v>
      </c>
      <c r="C9">
        <f t="shared" si="0"/>
        <v>0.55131246809203771</v>
      </c>
      <c r="D9">
        <f t="shared" si="1"/>
        <v>-6.6268684117128274E-2</v>
      </c>
      <c r="E9">
        <f t="shared" si="2"/>
        <v>4.391538494615729E-3</v>
      </c>
    </row>
    <row r="10" spans="1:8" x14ac:dyDescent="0.25">
      <c r="A10">
        <v>0.95254706931249999</v>
      </c>
      <c r="B10">
        <v>0.42927001553335009</v>
      </c>
      <c r="C10">
        <f t="shared" si="0"/>
        <v>0.51006436570309144</v>
      </c>
      <c r="D10">
        <f t="shared" si="1"/>
        <v>-8.0794350169741347E-2</v>
      </c>
      <c r="E10">
        <f t="shared" si="2"/>
        <v>6.5277270193507837E-3</v>
      </c>
    </row>
    <row r="11" spans="1:8" x14ac:dyDescent="0.25">
      <c r="A11">
        <v>1.0527185841875</v>
      </c>
      <c r="B11">
        <v>0.43240337331096579</v>
      </c>
      <c r="C11">
        <f t="shared" si="0"/>
        <v>0.46813247552677184</v>
      </c>
      <c r="D11">
        <f t="shared" si="1"/>
        <v>-3.5729102215806052E-2</v>
      </c>
      <c r="E11">
        <f t="shared" si="2"/>
        <v>1.2765687451475169E-3</v>
      </c>
    </row>
    <row r="12" spans="1:8" x14ac:dyDescent="0.25">
      <c r="A12">
        <v>1.1528900990624997</v>
      </c>
      <c r="B12">
        <v>0.40545649642347081</v>
      </c>
      <c r="C12">
        <f t="shared" si="0"/>
        <v>0.42662516241082865</v>
      </c>
      <c r="D12">
        <f t="shared" si="1"/>
        <v>-2.1168665987357838E-2</v>
      </c>
      <c r="E12">
        <f t="shared" si="2"/>
        <v>4.4811241968432058E-4</v>
      </c>
    </row>
    <row r="13" spans="1:8" x14ac:dyDescent="0.25">
      <c r="A13">
        <v>1.2530616139374997</v>
      </c>
      <c r="B13">
        <v>0.36033614442580481</v>
      </c>
      <c r="C13">
        <f t="shared" si="0"/>
        <v>0.38635185333438338</v>
      </c>
      <c r="D13">
        <f t="shared" si="1"/>
        <v>-2.6015708908578572E-2</v>
      </c>
      <c r="E13">
        <f t="shared" si="2"/>
        <v>6.7681711001589442E-4</v>
      </c>
    </row>
    <row r="14" spans="1:8" x14ac:dyDescent="0.25">
      <c r="A14">
        <v>1.3532331288124997</v>
      </c>
      <c r="B14">
        <v>0.30644239065081491</v>
      </c>
      <c r="C14">
        <f t="shared" si="0"/>
        <v>0.34788670569183422</v>
      </c>
      <c r="D14">
        <f t="shared" si="1"/>
        <v>-4.1444315041019308E-2</v>
      </c>
      <c r="E14">
        <f t="shared" si="2"/>
        <v>1.7176312492192592E-3</v>
      </c>
    </row>
    <row r="15" spans="1:8" x14ac:dyDescent="0.25">
      <c r="A15">
        <v>1.4534046436874997</v>
      </c>
      <c r="B15">
        <v>0.30142901820662976</v>
      </c>
      <c r="C15">
        <f t="shared" si="0"/>
        <v>0.31161800256161376</v>
      </c>
      <c r="D15">
        <f t="shared" si="1"/>
        <v>-1.0188984354983999E-2</v>
      </c>
      <c r="E15">
        <f t="shared" si="2"/>
        <v>1.038154021861087E-4</v>
      </c>
    </row>
    <row r="16" spans="1:8" x14ac:dyDescent="0.25">
      <c r="A16">
        <v>1.5535761585625001</v>
      </c>
      <c r="B16">
        <v>0.31709580709470825</v>
      </c>
      <c r="C16">
        <f t="shared" si="0"/>
        <v>0.27778751409334218</v>
      </c>
      <c r="D16">
        <f t="shared" si="1"/>
        <v>3.9308293001366068E-2</v>
      </c>
      <c r="E16">
        <f t="shared" si="2"/>
        <v>1.5451418986812445E-3</v>
      </c>
    </row>
    <row r="17" spans="1:5" x14ac:dyDescent="0.25">
      <c r="A17">
        <v>1.6537476734375001</v>
      </c>
      <c r="B17">
        <v>0.25756200932001005</v>
      </c>
      <c r="C17">
        <f t="shared" si="0"/>
        <v>0.24652237277587968</v>
      </c>
      <c r="D17">
        <f t="shared" si="1"/>
        <v>1.1039636544130371E-2</v>
      </c>
      <c r="E17">
        <f t="shared" si="2"/>
        <v>1.2187357502649876E-4</v>
      </c>
    </row>
    <row r="18" spans="1:5" x14ac:dyDescent="0.25">
      <c r="A18">
        <v>1.7539191883124998</v>
      </c>
      <c r="B18">
        <v>0.21432167198891347</v>
      </c>
      <c r="C18">
        <f t="shared" si="0"/>
        <v>0.21786110327510075</v>
      </c>
      <c r="D18">
        <f t="shared" si="1"/>
        <v>-3.5394312861872779E-3</v>
      </c>
      <c r="E18">
        <f t="shared" si="2"/>
        <v>1.2527573829641328E-5</v>
      </c>
    </row>
    <row r="19" spans="1:5" x14ac:dyDescent="0.25">
      <c r="A19">
        <v>1.8540907031874996</v>
      </c>
      <c r="B19">
        <v>0.21432167198891347</v>
      </c>
      <c r="C19">
        <f t="shared" si="0"/>
        <v>0.19177493716914121</v>
      </c>
      <c r="D19">
        <f t="shared" si="1"/>
        <v>2.2546734819772263E-2</v>
      </c>
      <c r="E19">
        <f t="shared" si="2"/>
        <v>5.0835525103313096E-4</v>
      </c>
    </row>
    <row r="20" spans="1:5" x14ac:dyDescent="0.25">
      <c r="A20">
        <v>1.9542622180624998</v>
      </c>
      <c r="B20">
        <v>0.22121505909966802</v>
      </c>
      <c r="C20">
        <f t="shared" si="0"/>
        <v>0.16818524156450615</v>
      </c>
      <c r="D20">
        <f t="shared" si="1"/>
        <v>5.3029817535161866E-2</v>
      </c>
      <c r="E20">
        <f t="shared" si="2"/>
        <v>2.812161547812561E-3</v>
      </c>
    </row>
    <row r="21" spans="1:5" x14ac:dyDescent="0.25">
      <c r="A21">
        <v>2.0544337329375</v>
      </c>
      <c r="B21">
        <v>0.16794797688020122</v>
      </c>
      <c r="C21">
        <f t="shared" si="0"/>
        <v>0.14697770306845376</v>
      </c>
      <c r="D21">
        <f t="shared" si="1"/>
        <v>2.0970273811747459E-2</v>
      </c>
      <c r="E21">
        <f t="shared" si="2"/>
        <v>4.3975238373966126E-4</v>
      </c>
    </row>
    <row r="22" spans="1:5" x14ac:dyDescent="0.25">
      <c r="A22">
        <v>2.1546052478125</v>
      </c>
      <c r="B22">
        <v>0.13160102665985915</v>
      </c>
      <c r="C22">
        <f t="shared" si="0"/>
        <v>0.12801378487386131</v>
      </c>
      <c r="D22">
        <f t="shared" si="1"/>
        <v>3.5872417859978412E-3</v>
      </c>
      <c r="E22">
        <f t="shared" si="2"/>
        <v>1.2868303631208981E-5</v>
      </c>
    </row>
    <row r="23" spans="1:5" x14ac:dyDescent="0.25">
      <c r="A23">
        <v>2.2547767626874995</v>
      </c>
      <c r="B23">
        <v>0.13849441377061367</v>
      </c>
      <c r="C23">
        <f t="shared" si="0"/>
        <v>0.1111398877276682</v>
      </c>
      <c r="D23">
        <f t="shared" si="1"/>
        <v>2.7354526042945471E-2</v>
      </c>
      <c r="E23">
        <f t="shared" si="2"/>
        <v>7.4827009503418201E-4</v>
      </c>
    </row>
    <row r="24" spans="1:5" x14ac:dyDescent="0.25">
      <c r="A24">
        <v>2.3549482775624995</v>
      </c>
      <c r="B24">
        <v>0.14664114399241449</v>
      </c>
      <c r="C24">
        <f t="shared" si="0"/>
        <v>9.6194580380522129E-2</v>
      </c>
      <c r="D24">
        <f t="shared" si="1"/>
        <v>5.0446563611892356E-2</v>
      </c>
      <c r="E24">
        <f t="shared" si="2"/>
        <v>2.544855780248702E-3</v>
      </c>
    </row>
    <row r="25" spans="1:5" x14ac:dyDescent="0.25">
      <c r="A25">
        <v>2.4551197924374994</v>
      </c>
      <c r="B25">
        <v>0.10528082132788733</v>
      </c>
      <c r="C25">
        <f t="shared" si="0"/>
        <v>8.3014213410116319E-2</v>
      </c>
      <c r="D25">
        <f t="shared" si="1"/>
        <v>2.2266607917771006E-2</v>
      </c>
      <c r="E25">
        <f t="shared" si="2"/>
        <v>4.9580182816374248E-4</v>
      </c>
    </row>
    <row r="26" spans="1:5" x14ac:dyDescent="0.25">
      <c r="A26">
        <v>2.5552913073124999</v>
      </c>
      <c r="B26">
        <v>8.3973988440100608E-2</v>
      </c>
      <c r="C26">
        <f t="shared" si="0"/>
        <v>7.1437187369834718E-2</v>
      </c>
      <c r="D26">
        <f t="shared" si="1"/>
        <v>1.2536801070265891E-2</v>
      </c>
      <c r="E26">
        <f t="shared" si="2"/>
        <v>1.5717138107541998E-4</v>
      </c>
    </row>
    <row r="27" spans="1:5" x14ac:dyDescent="0.25">
      <c r="A27">
        <v>2.6554628221874998</v>
      </c>
      <c r="B27">
        <v>7.4573915107253516E-2</v>
      </c>
      <c r="C27">
        <f t="shared" si="0"/>
        <v>6.1307109371406952E-2</v>
      </c>
      <c r="D27">
        <f t="shared" si="1"/>
        <v>1.3266805735846564E-2</v>
      </c>
      <c r="E27">
        <f t="shared" si="2"/>
        <v>1.7600813443269128E-4</v>
      </c>
    </row>
    <row r="28" spans="1:5" x14ac:dyDescent="0.25">
      <c r="A28">
        <v>2.7556343370624994</v>
      </c>
      <c r="B28">
        <v>8.5227331551146882E-2</v>
      </c>
      <c r="C28">
        <f t="shared" si="0"/>
        <v>5.2475039944566183E-2</v>
      </c>
      <c r="D28">
        <f t="shared" si="1"/>
        <v>3.2752291606580698E-2</v>
      </c>
      <c r="E28">
        <f t="shared" si="2"/>
        <v>1.0727126054824964E-3</v>
      </c>
    </row>
    <row r="29" spans="1:5" x14ac:dyDescent="0.25">
      <c r="A29">
        <v>2.8558058519374994</v>
      </c>
      <c r="B29">
        <v>4.7627038219758548E-2</v>
      </c>
      <c r="C29">
        <f t="shared" si="0"/>
        <v>4.4801003448290175E-2</v>
      </c>
      <c r="D29">
        <f t="shared" si="1"/>
        <v>2.8260347714683734E-3</v>
      </c>
      <c r="E29">
        <f t="shared" si="2"/>
        <v>7.9864725295483008E-6</v>
      </c>
    </row>
    <row r="30" spans="1:5" x14ac:dyDescent="0.25">
      <c r="A30">
        <v>2.9559773668124993</v>
      </c>
      <c r="B30">
        <v>3.5093607109295773E-2</v>
      </c>
      <c r="C30">
        <f t="shared" si="0"/>
        <v>3.8154909909884294E-2</v>
      </c>
      <c r="D30">
        <f t="shared" si="1"/>
        <v>-3.0613028005885209E-3</v>
      </c>
      <c r="E30">
        <f t="shared" si="2"/>
        <v>9.371574836891121E-6</v>
      </c>
    </row>
    <row r="31" spans="1:5" x14ac:dyDescent="0.25">
      <c r="A31">
        <v>3.0561488816874998</v>
      </c>
      <c r="B31">
        <v>4.0733651109004024E-2</v>
      </c>
      <c r="C31">
        <f t="shared" si="0"/>
        <v>3.2417013601167249E-2</v>
      </c>
      <c r="D31">
        <f t="shared" si="1"/>
        <v>8.3166375078367744E-3</v>
      </c>
      <c r="E31">
        <f t="shared" si="2"/>
        <v>6.9166459436757473E-5</v>
      </c>
    </row>
    <row r="32" spans="1:5" x14ac:dyDescent="0.25">
      <c r="A32">
        <v>3.1563203965625002</v>
      </c>
      <c r="B32">
        <v>3.3840263998249499E-2</v>
      </c>
      <c r="C32">
        <f t="shared" si="0"/>
        <v>2.7478013682250141E-2</v>
      </c>
      <c r="D32">
        <f t="shared" si="1"/>
        <v>6.3622503159993585E-3</v>
      </c>
      <c r="E32">
        <f t="shared" si="2"/>
        <v>4.0478229083433939E-5</v>
      </c>
    </row>
    <row r="33" spans="1:5" x14ac:dyDescent="0.25">
      <c r="A33">
        <v>3.2564919114374997</v>
      </c>
      <c r="B33">
        <v>6.893387110754527E-3</v>
      </c>
      <c r="C33">
        <f t="shared" si="0"/>
        <v>2.3238884654493634E-2</v>
      </c>
      <c r="D33">
        <f t="shared" si="1"/>
        <v>-1.6345497543739106E-2</v>
      </c>
      <c r="E33">
        <f t="shared" si="2"/>
        <v>2.6717528995238115E-4</v>
      </c>
    </row>
    <row r="34" spans="1:5" x14ac:dyDescent="0.25">
      <c r="A34">
        <v>3.3566634263124993</v>
      </c>
      <c r="B34">
        <v>1.7546803554647886E-2</v>
      </c>
      <c r="C34">
        <f t="shared" si="0"/>
        <v>1.9610508984934757E-2</v>
      </c>
      <c r="D34">
        <f t="shared" si="1"/>
        <v>-2.0637054302868711E-3</v>
      </c>
      <c r="E34">
        <f t="shared" si="2"/>
        <v>4.2588801029955195E-6</v>
      </c>
    </row>
    <row r="35" spans="1:5" x14ac:dyDescent="0.25">
      <c r="A35">
        <v>3.4568349411874992</v>
      </c>
      <c r="B35">
        <v>0</v>
      </c>
      <c r="C35">
        <f t="shared" si="0"/>
        <v>1.6513170920095938E-2</v>
      </c>
      <c r="D35">
        <f t="shared" si="1"/>
        <v>-1.6513170920095938E-2</v>
      </c>
      <c r="E35">
        <f t="shared" si="2"/>
        <v>2.7268481383630209E-4</v>
      </c>
    </row>
    <row r="36" spans="1:5" x14ac:dyDescent="0.25">
      <c r="A36">
        <v>3.5570064560624997</v>
      </c>
      <c r="B36">
        <v>0</v>
      </c>
      <c r="C36">
        <f t="shared" si="0"/>
        <v>1.3875959023812964E-2</v>
      </c>
      <c r="D36">
        <f t="shared" si="1"/>
        <v>-1.3875959023812964E-2</v>
      </c>
      <c r="E36">
        <f t="shared" si="2"/>
        <v>1.9254223883053643E-4</v>
      </c>
    </row>
    <row r="37" spans="1:5" x14ac:dyDescent="0.25">
      <c r="A37">
        <v>3.6571779709375001</v>
      </c>
      <c r="B37">
        <v>0</v>
      </c>
      <c r="C37">
        <f t="shared" si="0"/>
        <v>1.1636115178175315E-2</v>
      </c>
      <c r="D37">
        <f t="shared" si="1"/>
        <v>-1.1636115178175315E-2</v>
      </c>
      <c r="E37">
        <f t="shared" si="2"/>
        <v>1.3539917643976197E-4</v>
      </c>
    </row>
    <row r="38" spans="1:5" x14ac:dyDescent="0.25">
      <c r="A38">
        <v>3.7573494858124996</v>
      </c>
      <c r="B38">
        <v>0</v>
      </c>
      <c r="C38">
        <f t="shared" si="0"/>
        <v>9.7383595075224896E-3</v>
      </c>
      <c r="D38">
        <f t="shared" si="1"/>
        <v>-9.7383595075224896E-3</v>
      </c>
      <c r="E38">
        <f t="shared" si="2"/>
        <v>9.4835645897753667E-5</v>
      </c>
    </row>
    <row r="39" spans="1:5" x14ac:dyDescent="0.25">
      <c r="A39">
        <v>3.8575210006874991</v>
      </c>
      <c r="B39">
        <v>0</v>
      </c>
      <c r="C39">
        <f t="shared" si="0"/>
        <v>8.1342137557406553E-3</v>
      </c>
      <c r="D39">
        <f t="shared" si="1"/>
        <v>-8.1342137557406553E-3</v>
      </c>
      <c r="E39">
        <f t="shared" si="2"/>
        <v>6.6165433424080495E-5</v>
      </c>
    </row>
    <row r="40" spans="1:5" x14ac:dyDescent="0.25">
      <c r="A40">
        <v>3.9576925155624996</v>
      </c>
      <c r="B40">
        <v>6.2667155552313886E-4</v>
      </c>
      <c r="C40">
        <f t="shared" si="0"/>
        <v>6.7813399067004395E-3</v>
      </c>
      <c r="D40">
        <f t="shared" si="1"/>
        <v>-6.1546683511773011E-3</v>
      </c>
      <c r="E40">
        <f t="shared" si="2"/>
        <v>3.787994251298352E-5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ABE1-0EAF-4100-8643-BCF444A292D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4.974945125E-2</v>
      </c>
      <c r="B1">
        <v>0.27638715891897547</v>
      </c>
      <c r="C1">
        <f>$H$3*(1+$H$1)*(A1^($H$1))*EXP(-$H$3*(A1^(1+$H$1)))</f>
        <v>0.36994120557453031</v>
      </c>
      <c r="D1">
        <f>B1-C1</f>
        <v>-9.3554046655554834E-2</v>
      </c>
      <c r="E1">
        <f>D1^2</f>
        <v>8.7523596456297315E-3</v>
      </c>
      <c r="G1" t="s">
        <v>0</v>
      </c>
      <c r="H1">
        <v>0.39501656938297808</v>
      </c>
    </row>
    <row r="2" spans="1:8" x14ac:dyDescent="0.25">
      <c r="A2">
        <v>0.14920555375</v>
      </c>
      <c r="B2">
        <v>0.43729749116632416</v>
      </c>
      <c r="C2">
        <f t="shared" ref="C2:C40" si="0">$H$3*(1+$H$1)*(A2^($H$1))*EXP(-$H$3*(A2^(1+$H$1)))</f>
        <v>0.54385846679221406</v>
      </c>
      <c r="D2">
        <f t="shared" ref="D2:D40" si="1">B2-C2</f>
        <v>-0.1065609756258899</v>
      </c>
      <c r="E2">
        <f t="shared" ref="E2:E40" si="2">D2^2</f>
        <v>1.13552415263415E-2</v>
      </c>
    </row>
    <row r="3" spans="1:8" x14ac:dyDescent="0.25">
      <c r="A3">
        <v>0.24866165625</v>
      </c>
      <c r="B3">
        <v>0.5086028540837767</v>
      </c>
      <c r="C3">
        <f t="shared" si="0"/>
        <v>0.62399746272342638</v>
      </c>
      <c r="D3">
        <f t="shared" si="1"/>
        <v>-0.11539460863964968</v>
      </c>
      <c r="E3">
        <f t="shared" si="2"/>
        <v>1.3315915703097911E-2</v>
      </c>
      <c r="G3" t="s">
        <v>1</v>
      </c>
      <c r="H3">
        <f>(_xlfn.GAMMA((2+$H$1)/(1+$H$1)))^(1+$H$1)</f>
        <v>0.87932678572884571</v>
      </c>
    </row>
    <row r="4" spans="1:8" x14ac:dyDescent="0.25">
      <c r="A4">
        <v>0.34811775875000001</v>
      </c>
      <c r="B4">
        <v>1.0285640845614841</v>
      </c>
      <c r="C4">
        <f t="shared" si="0"/>
        <v>0.66081136221815573</v>
      </c>
      <c r="D4">
        <f t="shared" si="1"/>
        <v>0.36775272234332834</v>
      </c>
      <c r="E4">
        <f t="shared" si="2"/>
        <v>0.13524206479092915</v>
      </c>
    </row>
    <row r="5" spans="1:8" x14ac:dyDescent="0.25">
      <c r="A5">
        <v>0.44757386124999998</v>
      </c>
      <c r="B5">
        <v>0.83862679041853505</v>
      </c>
      <c r="C5">
        <f t="shared" si="0"/>
        <v>0.67049710109862515</v>
      </c>
      <c r="D5">
        <f t="shared" si="1"/>
        <v>0.1681296893199099</v>
      </c>
      <c r="E5">
        <f t="shared" si="2"/>
        <v>2.8267592430809427E-2</v>
      </c>
      <c r="G5" t="s">
        <v>2</v>
      </c>
      <c r="H5">
        <f>SUM(E1:E40)</f>
        <v>0.23016966265511507</v>
      </c>
    </row>
    <row r="6" spans="1:8" x14ac:dyDescent="0.25">
      <c r="A6">
        <v>0.54702996375000001</v>
      </c>
      <c r="B6">
        <v>0.65436868447255148</v>
      </c>
      <c r="C6">
        <f t="shared" si="0"/>
        <v>0.66165238678479932</v>
      </c>
      <c r="D6">
        <f t="shared" si="1"/>
        <v>-7.2837023122478417E-3</v>
      </c>
      <c r="E6">
        <f t="shared" si="2"/>
        <v>5.3052319373444554E-5</v>
      </c>
    </row>
    <row r="7" spans="1:8" x14ac:dyDescent="0.25">
      <c r="A7">
        <v>0.64648606625000005</v>
      </c>
      <c r="B7">
        <v>0.60199394887831637</v>
      </c>
      <c r="C7">
        <f t="shared" si="0"/>
        <v>0.63986706789342107</v>
      </c>
      <c r="D7">
        <f t="shared" si="1"/>
        <v>-3.7873119015104706E-2</v>
      </c>
      <c r="E7">
        <f t="shared" si="2"/>
        <v>1.4343731439322856E-3</v>
      </c>
    </row>
    <row r="8" spans="1:8" x14ac:dyDescent="0.25">
      <c r="A8">
        <v>0.74594216874999997</v>
      </c>
      <c r="B8">
        <v>0.5729669869827162</v>
      </c>
      <c r="C8">
        <f t="shared" si="0"/>
        <v>0.60915136493360689</v>
      </c>
      <c r="D8">
        <f t="shared" si="1"/>
        <v>-3.6184377950890689E-2</v>
      </c>
      <c r="E8">
        <f t="shared" si="2"/>
        <v>1.3093092076929044E-3</v>
      </c>
    </row>
    <row r="9" spans="1:8" x14ac:dyDescent="0.25">
      <c r="A9">
        <v>0.84539827125</v>
      </c>
      <c r="B9">
        <v>0.50544774952990712</v>
      </c>
      <c r="C9">
        <f t="shared" si="0"/>
        <v>0.57252512598210392</v>
      </c>
      <c r="D9">
        <f t="shared" si="1"/>
        <v>-6.7077376452196802E-2</v>
      </c>
      <c r="E9">
        <f t="shared" si="2"/>
        <v>4.4993744317097257E-3</v>
      </c>
    </row>
    <row r="10" spans="1:8" x14ac:dyDescent="0.25">
      <c r="A10">
        <v>0.94485437375000003</v>
      </c>
      <c r="B10">
        <v>0.44108361663096768</v>
      </c>
      <c r="C10">
        <f t="shared" si="0"/>
        <v>0.53231191722391458</v>
      </c>
      <c r="D10">
        <f t="shared" si="1"/>
        <v>-9.1228300592946898E-2</v>
      </c>
      <c r="E10">
        <f t="shared" si="2"/>
        <v>8.3226028290770762E-3</v>
      </c>
    </row>
    <row r="11" spans="1:8" x14ac:dyDescent="0.25">
      <c r="A11">
        <v>1.0443104762500002</v>
      </c>
      <c r="B11">
        <v>0.4423456584525155</v>
      </c>
      <c r="C11">
        <f t="shared" si="0"/>
        <v>0.49030943129269222</v>
      </c>
      <c r="D11">
        <f t="shared" si="1"/>
        <v>-4.7963772840176722E-2</v>
      </c>
      <c r="E11">
        <f t="shared" si="2"/>
        <v>2.300523505064074E-3</v>
      </c>
    </row>
    <row r="12" spans="1:8" x14ac:dyDescent="0.25">
      <c r="A12">
        <v>1.1437665787500002</v>
      </c>
      <c r="B12">
        <v>0.41079461291381969</v>
      </c>
      <c r="C12">
        <f t="shared" si="0"/>
        <v>0.44790101961952539</v>
      </c>
      <c r="D12">
        <f t="shared" si="1"/>
        <v>-3.7106406705705697E-2</v>
      </c>
      <c r="E12">
        <f t="shared" si="2"/>
        <v>1.3768854186092408E-3</v>
      </c>
    </row>
    <row r="13" spans="1:8" x14ac:dyDescent="0.25">
      <c r="A13">
        <v>1.24322268125</v>
      </c>
      <c r="B13">
        <v>0.3622060027842281</v>
      </c>
      <c r="C13">
        <f t="shared" si="0"/>
        <v>0.40613601256672682</v>
      </c>
      <c r="D13">
        <f t="shared" si="1"/>
        <v>-4.3930009782498725E-2</v>
      </c>
      <c r="E13">
        <f t="shared" si="2"/>
        <v>1.9298457594904336E-3</v>
      </c>
    </row>
    <row r="14" spans="1:8" x14ac:dyDescent="0.25">
      <c r="A14">
        <v>1.34267878375</v>
      </c>
      <c r="B14">
        <v>0.32308270631624525</v>
      </c>
      <c r="C14">
        <f t="shared" si="0"/>
        <v>0.36579171921877268</v>
      </c>
      <c r="D14">
        <f t="shared" si="1"/>
        <v>-4.2709012902527432E-2</v>
      </c>
      <c r="E14">
        <f t="shared" si="2"/>
        <v>1.8240597831082547E-3</v>
      </c>
    </row>
    <row r="15" spans="1:8" x14ac:dyDescent="0.25">
      <c r="A15">
        <v>1.4421348862500001</v>
      </c>
      <c r="B15">
        <v>0.31109330901154086</v>
      </c>
      <c r="C15">
        <f t="shared" si="0"/>
        <v>0.3274235421821407</v>
      </c>
      <c r="D15">
        <f t="shared" si="1"/>
        <v>-1.6330233170599839E-2</v>
      </c>
      <c r="E15">
        <f t="shared" si="2"/>
        <v>2.666765154061593E-4</v>
      </c>
    </row>
    <row r="16" spans="1:8" x14ac:dyDescent="0.25">
      <c r="A16">
        <v>1.5415909887499999</v>
      </c>
      <c r="B16">
        <v>0.30289003717147994</v>
      </c>
      <c r="C16">
        <f t="shared" si="0"/>
        <v>0.29140662386362076</v>
      </c>
      <c r="D16">
        <f t="shared" si="1"/>
        <v>1.148341330785918E-2</v>
      </c>
      <c r="E16">
        <f t="shared" si="2"/>
        <v>1.3186878119911732E-4</v>
      </c>
    </row>
    <row r="17" spans="1:5" x14ac:dyDescent="0.25">
      <c r="A17">
        <v>1.6410470912499999</v>
      </c>
      <c r="B17">
        <v>0.26565980343581885</v>
      </c>
      <c r="C17">
        <f t="shared" si="0"/>
        <v>0.25797096065648722</v>
      </c>
      <c r="D17">
        <f t="shared" si="1"/>
        <v>7.6888427793316283E-3</v>
      </c>
      <c r="E17">
        <f t="shared" si="2"/>
        <v>5.9118303285280122E-5</v>
      </c>
    </row>
    <row r="18" spans="1:5" x14ac:dyDescent="0.25">
      <c r="A18">
        <v>1.74050319375</v>
      </c>
      <c r="B18">
        <v>0.21833323512777514</v>
      </c>
      <c r="C18">
        <f t="shared" si="0"/>
        <v>0.22723117193840989</v>
      </c>
      <c r="D18">
        <f t="shared" si="1"/>
        <v>-8.8979368106347489E-3</v>
      </c>
      <c r="E18">
        <f t="shared" si="2"/>
        <v>7.9173279486048883E-5</v>
      </c>
    </row>
    <row r="19" spans="1:5" x14ac:dyDescent="0.25">
      <c r="A19">
        <v>1.83995929625</v>
      </c>
      <c r="B19">
        <v>0.22842956970015779</v>
      </c>
      <c r="C19">
        <f t="shared" si="0"/>
        <v>0.19921172252878477</v>
      </c>
      <c r="D19">
        <f t="shared" si="1"/>
        <v>2.9217847171373018E-2</v>
      </c>
      <c r="E19">
        <f t="shared" si="2"/>
        <v>8.5368259332971026E-4</v>
      </c>
    </row>
    <row r="20" spans="1:5" x14ac:dyDescent="0.25">
      <c r="A20">
        <v>1.93941539875</v>
      </c>
      <c r="B20">
        <v>0.21644017239545338</v>
      </c>
      <c r="C20">
        <f t="shared" si="0"/>
        <v>0.17386819206661519</v>
      </c>
      <c r="D20">
        <f t="shared" si="1"/>
        <v>4.2571980328838188E-2</v>
      </c>
      <c r="E20">
        <f t="shared" si="2"/>
        <v>1.8123735091189856E-3</v>
      </c>
    </row>
    <row r="21" spans="1:5" x14ac:dyDescent="0.25">
      <c r="A21">
        <v>2.0388715012500001</v>
      </c>
      <c r="B21">
        <v>0.16217237406889656</v>
      </c>
      <c r="C21">
        <f t="shared" si="0"/>
        <v>0.15110507305966744</v>
      </c>
      <c r="D21">
        <f t="shared" si="1"/>
        <v>1.1067301009229119E-2</v>
      </c>
      <c r="E21">
        <f t="shared" si="2"/>
        <v>1.2248515162888388E-4</v>
      </c>
    </row>
    <row r="22" spans="1:5" x14ac:dyDescent="0.25">
      <c r="A22">
        <v>2.1383276037500001</v>
      </c>
      <c r="B22">
        <v>0.14134868401335732</v>
      </c>
      <c r="C22">
        <f t="shared" si="0"/>
        <v>0.13079051483924736</v>
      </c>
      <c r="D22">
        <f t="shared" si="1"/>
        <v>1.0558169174109955E-2</v>
      </c>
      <c r="E22">
        <f t="shared" si="2"/>
        <v>1.1147493630912569E-4</v>
      </c>
    </row>
    <row r="23" spans="1:5" x14ac:dyDescent="0.25">
      <c r="A23">
        <v>2.2377837062500001</v>
      </c>
      <c r="B23">
        <v>0.14576583038877472</v>
      </c>
      <c r="C23">
        <f t="shared" si="0"/>
        <v>0.11276838913391816</v>
      </c>
      <c r="D23">
        <f t="shared" si="1"/>
        <v>3.2997441254856555E-2</v>
      </c>
      <c r="E23">
        <f t="shared" si="2"/>
        <v>1.0888311293677094E-3</v>
      </c>
    </row>
    <row r="24" spans="1:5" x14ac:dyDescent="0.25">
      <c r="A24">
        <v>2.3372398087499997</v>
      </c>
      <c r="B24">
        <v>0.14702787221032257</v>
      </c>
      <c r="C24">
        <f t="shared" si="0"/>
        <v>9.6868021876419366E-2</v>
      </c>
      <c r="D24">
        <f t="shared" si="1"/>
        <v>5.0159850333903203E-2</v>
      </c>
      <c r="E24">
        <f t="shared" si="2"/>
        <v>2.5160105855195694E-3</v>
      </c>
    </row>
    <row r="25" spans="1:5" x14ac:dyDescent="0.25">
      <c r="A25">
        <v>2.4366959112500002</v>
      </c>
      <c r="B25">
        <v>9.4022115705313561E-2</v>
      </c>
      <c r="C25">
        <f t="shared" si="0"/>
        <v>8.2911908855751615E-2</v>
      </c>
      <c r="D25">
        <f t="shared" si="1"/>
        <v>1.1110206849561946E-2</v>
      </c>
      <c r="E25">
        <f t="shared" si="2"/>
        <v>1.2343669624005318E-4</v>
      </c>
    </row>
    <row r="26" spans="1:5" x14ac:dyDescent="0.25">
      <c r="A26">
        <v>2.5361520137500002</v>
      </c>
      <c r="B26">
        <v>8.4556802043704818E-2</v>
      </c>
      <c r="C26">
        <f t="shared" si="0"/>
        <v>7.072170697961859E-2</v>
      </c>
      <c r="D26">
        <f t="shared" si="1"/>
        <v>1.3835095064086228E-2</v>
      </c>
      <c r="E26">
        <f t="shared" si="2"/>
        <v>1.9140985543230311E-4</v>
      </c>
    </row>
    <row r="27" spans="1:5" x14ac:dyDescent="0.25">
      <c r="A27">
        <v>2.6356081162500002</v>
      </c>
      <c r="B27">
        <v>8.3294760222156983E-2</v>
      </c>
      <c r="C27">
        <f t="shared" si="0"/>
        <v>6.0122767094810091E-2</v>
      </c>
      <c r="D27">
        <f t="shared" si="1"/>
        <v>2.3171993127346892E-2</v>
      </c>
      <c r="E27">
        <f t="shared" si="2"/>
        <v>5.3694126549381159E-4</v>
      </c>
    </row>
    <row r="28" spans="1:5" x14ac:dyDescent="0.25">
      <c r="A28">
        <v>2.7350642187499998</v>
      </c>
      <c r="B28">
        <v>8.5187822954478729E-2</v>
      </c>
      <c r="C28">
        <f t="shared" si="0"/>
        <v>5.0947448337295378E-2</v>
      </c>
      <c r="D28">
        <f t="shared" si="1"/>
        <v>3.424037461718335E-2</v>
      </c>
      <c r="E28">
        <f t="shared" si="2"/>
        <v>1.1724032539250538E-3</v>
      </c>
    </row>
    <row r="29" spans="1:5" x14ac:dyDescent="0.25">
      <c r="A29">
        <v>2.8345203212500003</v>
      </c>
      <c r="B29">
        <v>3.9754317378756746E-2</v>
      </c>
      <c r="C29">
        <f t="shared" si="0"/>
        <v>4.3037428108284842E-2</v>
      </c>
      <c r="D29">
        <f t="shared" si="1"/>
        <v>-3.2831107295280965E-3</v>
      </c>
      <c r="E29">
        <f t="shared" si="2"/>
        <v>1.0778816062342511E-5</v>
      </c>
    </row>
    <row r="30" spans="1:5" x14ac:dyDescent="0.25">
      <c r="A30">
        <v>2.9339764237499999</v>
      </c>
      <c r="B30">
        <v>3.4706150092565412E-2</v>
      </c>
      <c r="C30">
        <f t="shared" si="0"/>
        <v>3.6245196425825667E-2</v>
      </c>
      <c r="D30">
        <f t="shared" si="1"/>
        <v>-1.539046333260255E-3</v>
      </c>
      <c r="E30">
        <f t="shared" si="2"/>
        <v>2.3686636159218358E-6</v>
      </c>
    </row>
    <row r="31" spans="1:5" x14ac:dyDescent="0.25">
      <c r="A31">
        <v>3.0334325262500004</v>
      </c>
      <c r="B31">
        <v>4.795758921881766E-2</v>
      </c>
      <c r="C31">
        <f t="shared" si="0"/>
        <v>3.0434899031956009E-2</v>
      </c>
      <c r="D31">
        <f t="shared" si="1"/>
        <v>1.7522690186861652E-2</v>
      </c>
      <c r="E31">
        <f t="shared" si="2"/>
        <v>3.0704467138473765E-4</v>
      </c>
    </row>
    <row r="32" spans="1:5" x14ac:dyDescent="0.25">
      <c r="A32">
        <v>3.13288862875</v>
      </c>
      <c r="B32">
        <v>2.1454710966313163E-2</v>
      </c>
      <c r="C32">
        <f t="shared" si="0"/>
        <v>2.5482670634643271E-2</v>
      </c>
      <c r="D32">
        <f t="shared" si="1"/>
        <v>-4.0279596683301076E-3</v>
      </c>
      <c r="E32">
        <f t="shared" si="2"/>
        <v>1.6224459089693991E-5</v>
      </c>
    </row>
    <row r="33" spans="1:5" x14ac:dyDescent="0.25">
      <c r="A33">
        <v>3.23234473125</v>
      </c>
      <c r="B33">
        <v>1.2620418215478331E-2</v>
      </c>
      <c r="C33">
        <f t="shared" si="0"/>
        <v>2.127657833299965E-2</v>
      </c>
      <c r="D33">
        <f t="shared" si="1"/>
        <v>-8.6561601175213186E-3</v>
      </c>
      <c r="E33">
        <f t="shared" si="2"/>
        <v>7.4929107980166692E-5</v>
      </c>
    </row>
    <row r="34" spans="1:5" x14ac:dyDescent="0.25">
      <c r="A34">
        <v>3.33180083375</v>
      </c>
      <c r="B34">
        <v>7.5722509292869989E-3</v>
      </c>
      <c r="C34">
        <f t="shared" si="0"/>
        <v>1.7716275816090612E-2</v>
      </c>
      <c r="D34">
        <f t="shared" si="1"/>
        <v>-1.0144024886803613E-2</v>
      </c>
      <c r="E34">
        <f t="shared" si="2"/>
        <v>1.0290124090409105E-4</v>
      </c>
    </row>
    <row r="35" spans="1:5" x14ac:dyDescent="0.25">
      <c r="A35">
        <v>3.4312569362500001</v>
      </c>
      <c r="B35">
        <v>0</v>
      </c>
      <c r="C35">
        <f t="shared" si="0"/>
        <v>1.4712451448813519E-2</v>
      </c>
      <c r="D35">
        <f t="shared" si="1"/>
        <v>-1.4712451448813519E-2</v>
      </c>
      <c r="E35">
        <f t="shared" si="2"/>
        <v>2.16456227633695E-4</v>
      </c>
    </row>
    <row r="36" spans="1:5" x14ac:dyDescent="0.25">
      <c r="A36">
        <v>3.5307130387500001</v>
      </c>
      <c r="B36">
        <v>0</v>
      </c>
      <c r="C36">
        <f t="shared" si="0"/>
        <v>1.2186137890162024E-2</v>
      </c>
      <c r="D36">
        <f t="shared" si="1"/>
        <v>-1.2186137890162024E-2</v>
      </c>
      <c r="E36">
        <f t="shared" si="2"/>
        <v>1.4850195667804252E-4</v>
      </c>
    </row>
    <row r="37" spans="1:5" x14ac:dyDescent="0.25">
      <c r="A37">
        <v>3.6301691412500001</v>
      </c>
      <c r="B37">
        <v>0</v>
      </c>
      <c r="C37">
        <f t="shared" si="0"/>
        <v>1.0067937390647673E-2</v>
      </c>
      <c r="D37">
        <f t="shared" si="1"/>
        <v>-1.0067937390647673E-2</v>
      </c>
      <c r="E37">
        <f t="shared" si="2"/>
        <v>1.0136336330200148E-4</v>
      </c>
    </row>
    <row r="38" spans="1:5" x14ac:dyDescent="0.25">
      <c r="A38">
        <v>3.7296252437500002</v>
      </c>
      <c r="B38">
        <v>0</v>
      </c>
      <c r="C38">
        <f t="shared" si="0"/>
        <v>8.2972052968238123E-3</v>
      </c>
      <c r="D38">
        <f t="shared" si="1"/>
        <v>-8.2972052968238123E-3</v>
      </c>
      <c r="E38">
        <f t="shared" si="2"/>
        <v>6.8843615737641123E-5</v>
      </c>
    </row>
    <row r="39" spans="1:5" x14ac:dyDescent="0.25">
      <c r="A39">
        <v>3.8290813462499997</v>
      </c>
      <c r="B39">
        <v>0</v>
      </c>
      <c r="C39">
        <f t="shared" si="0"/>
        <v>6.8212244255021811E-3</v>
      </c>
      <c r="D39">
        <f t="shared" si="1"/>
        <v>-6.8212244255021811E-3</v>
      </c>
      <c r="E39">
        <f t="shared" si="2"/>
        <v>4.6529102663067563E-5</v>
      </c>
    </row>
    <row r="40" spans="1:5" x14ac:dyDescent="0.25">
      <c r="A40">
        <v>3.9285374487500002</v>
      </c>
      <c r="B40">
        <v>6.310209107739165E-4</v>
      </c>
      <c r="C40">
        <f t="shared" si="0"/>
        <v>5.5943947085834835E-3</v>
      </c>
      <c r="D40">
        <f t="shared" si="1"/>
        <v>-4.9633737978095668E-3</v>
      </c>
      <c r="E40">
        <f t="shared" si="2"/>
        <v>2.4635079456782561E-5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7115-0E26-4AAD-A700-0EEFFB31798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4.9450016712500003E-2</v>
      </c>
      <c r="B1">
        <v>0.21517328860086649</v>
      </c>
      <c r="C1">
        <f>$H$3*(1+$H$1)*(A1^($H$1))*EXP(-$H$3*(A1^(1+$H$1)))</f>
        <v>0.32203603006308723</v>
      </c>
      <c r="D1">
        <f>B1-C1</f>
        <v>-0.10686274146222074</v>
      </c>
      <c r="E1">
        <f>D1^2</f>
        <v>1.1419645512821432E-2</v>
      </c>
      <c r="G1" t="s">
        <v>0</v>
      </c>
      <c r="H1">
        <v>0.44941295744134691</v>
      </c>
    </row>
    <row r="2" spans="1:8" x14ac:dyDescent="0.25">
      <c r="A2">
        <v>0.14815105013750002</v>
      </c>
      <c r="B2">
        <v>0.44753497599529335</v>
      </c>
      <c r="C2">
        <f t="shared" ref="C2:C40" si="0">$H$3*(1+$H$1)*(A2^($H$1))*EXP(-$H$3*(A2^(1+$H$1)))</f>
        <v>0.50491975353220675</v>
      </c>
      <c r="D2">
        <f t="shared" ref="D2:D40" si="1">B2-C2</f>
        <v>-5.7384777536913401E-2</v>
      </c>
      <c r="E2">
        <f t="shared" ref="E2:E40" si="2">D2^2</f>
        <v>3.2930126929610407E-3</v>
      </c>
    </row>
    <row r="3" spans="1:8" x14ac:dyDescent="0.25">
      <c r="A3">
        <v>0.24685208356249999</v>
      </c>
      <c r="B3">
        <v>0.47554569995516943</v>
      </c>
      <c r="C3">
        <f t="shared" si="0"/>
        <v>0.59831653994101275</v>
      </c>
      <c r="D3">
        <f t="shared" si="1"/>
        <v>-0.12277083998584332</v>
      </c>
      <c r="E3">
        <f t="shared" si="2"/>
        <v>1.5072679150829544E-2</v>
      </c>
      <c r="G3" t="s">
        <v>1</v>
      </c>
      <c r="H3">
        <f>(_xlfn.GAMMA((2+$H$1)/(1+$H$1)))^(1+$H$1)</f>
        <v>0.86775223675056112</v>
      </c>
    </row>
    <row r="4" spans="1:8" x14ac:dyDescent="0.25">
      <c r="A4">
        <v>0.34555311698750002</v>
      </c>
      <c r="B4">
        <v>0.74101097021126805</v>
      </c>
      <c r="C4">
        <f t="shared" si="0"/>
        <v>0.64775630709966858</v>
      </c>
      <c r="D4">
        <f t="shared" si="1"/>
        <v>9.3254663111599467E-2</v>
      </c>
      <c r="E4">
        <f t="shared" si="2"/>
        <v>8.69643219205791E-3</v>
      </c>
    </row>
    <row r="5" spans="1:8" x14ac:dyDescent="0.25">
      <c r="A5">
        <v>0.44425415041250005</v>
      </c>
      <c r="B5">
        <v>1.0580414368480477</v>
      </c>
      <c r="C5">
        <f t="shared" si="0"/>
        <v>0.66828690432864524</v>
      </c>
      <c r="D5">
        <f t="shared" si="1"/>
        <v>0.38975453251940251</v>
      </c>
      <c r="E5">
        <f t="shared" si="2"/>
        <v>0.151908595619418</v>
      </c>
      <c r="G5" t="s">
        <v>2</v>
      </c>
      <c r="H5">
        <f>SUM(E1:E40)</f>
        <v>0.23118238834303001</v>
      </c>
    </row>
    <row r="6" spans="1:8" x14ac:dyDescent="0.25">
      <c r="A6">
        <v>0.54295518383749997</v>
      </c>
      <c r="B6">
        <v>0.72063953460408536</v>
      </c>
      <c r="C6">
        <f t="shared" si="0"/>
        <v>0.66816338611615467</v>
      </c>
      <c r="D6">
        <f t="shared" si="1"/>
        <v>5.2476148487930696E-2</v>
      </c>
      <c r="E6">
        <f t="shared" si="2"/>
        <v>2.7537461601273511E-3</v>
      </c>
    </row>
    <row r="7" spans="1:8" x14ac:dyDescent="0.25">
      <c r="A7">
        <v>0.64165621726249999</v>
      </c>
      <c r="B7">
        <v>0.66016183514526194</v>
      </c>
      <c r="C7">
        <f t="shared" si="0"/>
        <v>0.65296269247368044</v>
      </c>
      <c r="D7">
        <f t="shared" si="1"/>
        <v>7.1991426715815043E-3</v>
      </c>
      <c r="E7">
        <f t="shared" si="2"/>
        <v>5.1827655205785681E-5</v>
      </c>
    </row>
    <row r="8" spans="1:8" x14ac:dyDescent="0.25">
      <c r="A8">
        <v>0.74035725068750002</v>
      </c>
      <c r="B8">
        <v>0.58631538106922498</v>
      </c>
      <c r="C8">
        <f t="shared" si="0"/>
        <v>0.62684764545017979</v>
      </c>
      <c r="D8">
        <f t="shared" si="1"/>
        <v>-4.0532264380954808E-2</v>
      </c>
      <c r="E8">
        <f t="shared" si="2"/>
        <v>1.6428644558476179E-3</v>
      </c>
    </row>
    <row r="9" spans="1:8" x14ac:dyDescent="0.25">
      <c r="A9">
        <v>0.83905828411250005</v>
      </c>
      <c r="B9">
        <v>0.5239278595222282</v>
      </c>
      <c r="C9">
        <f t="shared" si="0"/>
        <v>0.59307556633314196</v>
      </c>
      <c r="D9">
        <f t="shared" si="1"/>
        <v>-6.9147706810913756E-2</v>
      </c>
      <c r="E9">
        <f t="shared" si="2"/>
        <v>4.7814053572080885E-3</v>
      </c>
    </row>
    <row r="10" spans="1:8" x14ac:dyDescent="0.25">
      <c r="A10">
        <v>0.93775931753749997</v>
      </c>
      <c r="B10">
        <v>0.45199122753436455</v>
      </c>
      <c r="C10">
        <f t="shared" si="0"/>
        <v>0.55424501436136031</v>
      </c>
      <c r="D10">
        <f t="shared" si="1"/>
        <v>-0.10225378682699576</v>
      </c>
      <c r="E10">
        <f t="shared" si="2"/>
        <v>1.0455836920460692E-2</v>
      </c>
    </row>
    <row r="11" spans="1:8" x14ac:dyDescent="0.25">
      <c r="A11">
        <v>1.0364603509624999</v>
      </c>
      <c r="B11">
        <v>0.459630515887058</v>
      </c>
      <c r="C11">
        <f t="shared" si="0"/>
        <v>0.5124361766212403</v>
      </c>
      <c r="D11">
        <f t="shared" si="1"/>
        <v>-5.2805660734182303E-2</v>
      </c>
      <c r="E11">
        <f t="shared" si="2"/>
        <v>2.7884378055735627E-3</v>
      </c>
    </row>
    <row r="12" spans="1:8" x14ac:dyDescent="0.25">
      <c r="A12">
        <v>1.1351613843874999</v>
      </c>
      <c r="B12">
        <v>0.42398050357448841</v>
      </c>
      <c r="C12">
        <f t="shared" si="0"/>
        <v>0.4693031199186698</v>
      </c>
      <c r="D12">
        <f t="shared" si="1"/>
        <v>-4.5322616344181388E-2</v>
      </c>
      <c r="E12">
        <f t="shared" si="2"/>
        <v>2.0541395522818578E-3</v>
      </c>
    </row>
    <row r="13" spans="1:8" x14ac:dyDescent="0.25">
      <c r="A13">
        <v>1.2338624178124999</v>
      </c>
      <c r="B13">
        <v>0.36031976730204268</v>
      </c>
      <c r="C13">
        <f t="shared" si="0"/>
        <v>0.42614216794127147</v>
      </c>
      <c r="D13">
        <f t="shared" si="1"/>
        <v>-6.5822400639228784E-2</v>
      </c>
      <c r="E13">
        <f t="shared" si="2"/>
        <v>4.3325884259111458E-3</v>
      </c>
    </row>
    <row r="14" spans="1:8" x14ac:dyDescent="0.25">
      <c r="A14">
        <v>1.3325634512375</v>
      </c>
      <c r="B14">
        <v>0.33421886543033996</v>
      </c>
      <c r="C14">
        <f t="shared" si="0"/>
        <v>0.38394720226782425</v>
      </c>
      <c r="D14">
        <f t="shared" si="1"/>
        <v>-4.9728336837484288E-2</v>
      </c>
      <c r="E14">
        <f t="shared" si="2"/>
        <v>2.472907484622297E-3</v>
      </c>
    </row>
    <row r="15" spans="1:8" x14ac:dyDescent="0.25">
      <c r="A15">
        <v>1.4312644846625</v>
      </c>
      <c r="B15">
        <v>0.32848939916581987</v>
      </c>
      <c r="C15">
        <f t="shared" si="0"/>
        <v>0.34345686460524205</v>
      </c>
      <c r="D15">
        <f t="shared" si="1"/>
        <v>-1.4967465439422178E-2</v>
      </c>
      <c r="E15">
        <f t="shared" si="2"/>
        <v>2.2402502168029735E-4</v>
      </c>
    </row>
    <row r="16" spans="1:8" x14ac:dyDescent="0.25">
      <c r="A16">
        <v>1.5299655180875</v>
      </c>
      <c r="B16">
        <v>0.30875457092136166</v>
      </c>
      <c r="C16">
        <f t="shared" si="0"/>
        <v>0.30519598551336158</v>
      </c>
      <c r="D16">
        <f t="shared" si="1"/>
        <v>3.5585854080000812E-3</v>
      </c>
      <c r="E16">
        <f t="shared" si="2"/>
        <v>1.2663530106031104E-5</v>
      </c>
    </row>
    <row r="17" spans="1:5" x14ac:dyDescent="0.25">
      <c r="A17">
        <v>1.6286665515125001</v>
      </c>
      <c r="B17">
        <v>0.24891347882526271</v>
      </c>
      <c r="C17">
        <f t="shared" si="0"/>
        <v>0.26951233167902394</v>
      </c>
      <c r="D17">
        <f t="shared" si="1"/>
        <v>-2.0598852853761229E-2</v>
      </c>
      <c r="E17">
        <f t="shared" si="2"/>
        <v>4.2431273889090716E-4</v>
      </c>
    </row>
    <row r="18" spans="1:5" x14ac:dyDescent="0.25">
      <c r="A18">
        <v>1.7273675849374999</v>
      </c>
      <c r="B18">
        <v>0.23363490211987575</v>
      </c>
      <c r="C18">
        <f t="shared" si="0"/>
        <v>0.23660920009377809</v>
      </c>
      <c r="D18">
        <f t="shared" si="1"/>
        <v>-2.9742979739023345E-3</v>
      </c>
      <c r="E18">
        <f t="shared" si="2"/>
        <v>8.846448437559533E-6</v>
      </c>
    </row>
    <row r="19" spans="1:5" x14ac:dyDescent="0.25">
      <c r="A19">
        <v>1.8260686183625001</v>
      </c>
      <c r="B19">
        <v>0.23745454629622248</v>
      </c>
      <c r="C19">
        <f t="shared" si="0"/>
        <v>0.20657414854697059</v>
      </c>
      <c r="D19">
        <f t="shared" si="1"/>
        <v>3.0880397749251887E-2</v>
      </c>
      <c r="E19">
        <f t="shared" si="2"/>
        <v>9.5359896515200102E-4</v>
      </c>
    </row>
    <row r="20" spans="1:5" x14ac:dyDescent="0.25">
      <c r="A20">
        <v>1.9247696517874999</v>
      </c>
      <c r="B20">
        <v>0.20689739288544856</v>
      </c>
      <c r="C20">
        <f t="shared" si="0"/>
        <v>0.17940407015030888</v>
      </c>
      <c r="D20">
        <f t="shared" si="1"/>
        <v>2.7493322735139686E-2</v>
      </c>
      <c r="E20">
        <f t="shared" si="2"/>
        <v>7.5588279501854875E-4</v>
      </c>
    </row>
    <row r="21" spans="1:5" x14ac:dyDescent="0.25">
      <c r="A21">
        <v>2.0234706852125002</v>
      </c>
      <c r="B21">
        <v>0.16488130694563438</v>
      </c>
      <c r="C21">
        <f t="shared" si="0"/>
        <v>0.15502681059939782</v>
      </c>
      <c r="D21">
        <f t="shared" si="1"/>
        <v>9.8544963462365576E-3</v>
      </c>
      <c r="E21">
        <f t="shared" si="2"/>
        <v>9.7111098237989669E-5</v>
      </c>
    </row>
    <row r="22" spans="1:5" x14ac:dyDescent="0.25">
      <c r="A22">
        <v>2.1221717186375004</v>
      </c>
      <c r="B22">
        <v>0.14323665661300283</v>
      </c>
      <c r="C22">
        <f t="shared" si="0"/>
        <v>0.13331954706014928</v>
      </c>
      <c r="D22">
        <f t="shared" si="1"/>
        <v>9.917109552853548E-3</v>
      </c>
      <c r="E22">
        <f t="shared" si="2"/>
        <v>9.8349061883299093E-5</v>
      </c>
    </row>
    <row r="23" spans="1:5" x14ac:dyDescent="0.25">
      <c r="A23">
        <v>2.2208727520625002</v>
      </c>
      <c r="B23">
        <v>0.15533219650476754</v>
      </c>
      <c r="C23">
        <f t="shared" si="0"/>
        <v>0.11412417472657747</v>
      </c>
      <c r="D23">
        <f t="shared" si="1"/>
        <v>4.1208021778190065E-2</v>
      </c>
      <c r="E23">
        <f t="shared" si="2"/>
        <v>1.6981010588717868E-3</v>
      </c>
    </row>
    <row r="24" spans="1:5" x14ac:dyDescent="0.25">
      <c r="A24">
        <v>2.3195737854875</v>
      </c>
      <c r="B24">
        <v>0.13750719034848272</v>
      </c>
      <c r="C24">
        <f t="shared" si="0"/>
        <v>9.7259970409468127E-2</v>
      </c>
      <c r="D24">
        <f t="shared" si="1"/>
        <v>4.0247219939014589E-2</v>
      </c>
      <c r="E24">
        <f t="shared" si="2"/>
        <v>1.6198387128194135E-3</v>
      </c>
    </row>
    <row r="25" spans="1:5" x14ac:dyDescent="0.25">
      <c r="A25">
        <v>2.4182748189124998</v>
      </c>
      <c r="B25">
        <v>0.10185717803591313</v>
      </c>
      <c r="C25">
        <f t="shared" si="0"/>
        <v>8.2533817378319191E-2</v>
      </c>
      <c r="D25">
        <f t="shared" si="1"/>
        <v>1.9323360657593935E-2</v>
      </c>
      <c r="E25">
        <f t="shared" si="2"/>
        <v>3.7339226710344912E-4</v>
      </c>
    </row>
    <row r="26" spans="1:5" x14ac:dyDescent="0.25">
      <c r="A26">
        <v>2.5169758523375001</v>
      </c>
      <c r="B26">
        <v>8.3395564516903872E-2</v>
      </c>
      <c r="C26">
        <f t="shared" si="0"/>
        <v>6.9748280875838287E-2</v>
      </c>
      <c r="D26">
        <f t="shared" si="1"/>
        <v>1.3647283641065586E-2</v>
      </c>
      <c r="E26">
        <f t="shared" si="2"/>
        <v>1.8624835077969636E-4</v>
      </c>
    </row>
    <row r="27" spans="1:5" x14ac:dyDescent="0.25">
      <c r="A27">
        <v>2.6156768857625003</v>
      </c>
      <c r="B27">
        <v>9.4217889683219647E-2</v>
      </c>
      <c r="C27">
        <f t="shared" si="0"/>
        <v>5.8707819829140848E-2</v>
      </c>
      <c r="D27">
        <f t="shared" si="1"/>
        <v>3.5510069854078799E-2</v>
      </c>
      <c r="E27">
        <f t="shared" si="2"/>
        <v>1.2609650610415559E-3</v>
      </c>
    </row>
    <row r="28" spans="1:5" x14ac:dyDescent="0.25">
      <c r="A28">
        <v>2.7143779191875002</v>
      </c>
      <c r="B28">
        <v>7.0663417262414735E-2</v>
      </c>
      <c r="C28">
        <f t="shared" si="0"/>
        <v>4.9223408734765647E-2</v>
      </c>
      <c r="D28">
        <f t="shared" si="1"/>
        <v>2.1440008527649088E-2</v>
      </c>
      <c r="E28">
        <f t="shared" si="2"/>
        <v>4.5967396566566561E-4</v>
      </c>
    </row>
    <row r="29" spans="1:5" x14ac:dyDescent="0.25">
      <c r="A29">
        <v>2.8130789526125</v>
      </c>
      <c r="B29">
        <v>4.0106263851640796E-2</v>
      </c>
      <c r="C29">
        <f t="shared" si="0"/>
        <v>4.1115826263868741E-2</v>
      </c>
      <c r="D29">
        <f t="shared" si="1"/>
        <v>-1.0095624122279448E-3</v>
      </c>
      <c r="E29">
        <f t="shared" si="2"/>
        <v>1.0192162641835068E-6</v>
      </c>
    </row>
    <row r="30" spans="1:5" x14ac:dyDescent="0.25">
      <c r="A30">
        <v>2.9117799860374998</v>
      </c>
      <c r="B30">
        <v>3.7559834400742967E-2</v>
      </c>
      <c r="C30">
        <f t="shared" si="0"/>
        <v>3.4217845605965011E-2</v>
      </c>
      <c r="D30">
        <f t="shared" si="1"/>
        <v>3.3419887947779559E-3</v>
      </c>
      <c r="E30">
        <f t="shared" si="2"/>
        <v>1.1168889104421414E-5</v>
      </c>
    </row>
    <row r="31" spans="1:5" x14ac:dyDescent="0.25">
      <c r="A31">
        <v>3.0104810194624996</v>
      </c>
      <c r="B31">
        <v>4.9655374292507652E-2</v>
      </c>
      <c r="C31">
        <f t="shared" si="0"/>
        <v>2.8375537578654235E-2</v>
      </c>
      <c r="D31">
        <f t="shared" si="1"/>
        <v>2.1279836713853417E-2</v>
      </c>
      <c r="E31">
        <f t="shared" si="2"/>
        <v>4.528314505682638E-4</v>
      </c>
    </row>
    <row r="32" spans="1:5" x14ac:dyDescent="0.25">
      <c r="A32">
        <v>3.1091820528875003</v>
      </c>
      <c r="B32">
        <v>1.2732147254489141E-2</v>
      </c>
      <c r="C32">
        <f t="shared" si="0"/>
        <v>2.3448872474757427E-2</v>
      </c>
      <c r="D32">
        <f t="shared" si="1"/>
        <v>-1.0716725220268286E-2</v>
      </c>
      <c r="E32">
        <f t="shared" si="2"/>
        <v>1.1484819944673435E-4</v>
      </c>
    </row>
    <row r="33" spans="1:5" x14ac:dyDescent="0.25">
      <c r="A33">
        <v>3.2078830863125001</v>
      </c>
      <c r="B33">
        <v>1.718839879356034E-2</v>
      </c>
      <c r="C33">
        <f t="shared" si="0"/>
        <v>1.9311781627806782E-2</v>
      </c>
      <c r="D33">
        <f t="shared" si="1"/>
        <v>-2.1233828342464428E-3</v>
      </c>
      <c r="E33">
        <f t="shared" si="2"/>
        <v>4.5087546607724561E-6</v>
      </c>
    </row>
    <row r="34" spans="1:5" x14ac:dyDescent="0.25">
      <c r="A34">
        <v>3.3065841197374999</v>
      </c>
      <c r="B34">
        <v>0</v>
      </c>
      <c r="C34">
        <f t="shared" si="0"/>
        <v>1.58518156171806E-2</v>
      </c>
      <c r="D34">
        <f t="shared" si="1"/>
        <v>-1.58518156171806E-2</v>
      </c>
      <c r="E34">
        <f t="shared" si="2"/>
        <v>2.5128005836109075E-4</v>
      </c>
    </row>
    <row r="35" spans="1:5" x14ac:dyDescent="0.25">
      <c r="A35">
        <v>3.4052851531624997</v>
      </c>
      <c r="B35">
        <v>0</v>
      </c>
      <c r="C35">
        <f t="shared" si="0"/>
        <v>1.2969513526300665E-2</v>
      </c>
      <c r="D35">
        <f t="shared" si="1"/>
        <v>-1.2969513526300665E-2</v>
      </c>
      <c r="E35">
        <f t="shared" si="2"/>
        <v>1.6820828110889591E-4</v>
      </c>
    </row>
    <row r="36" spans="1:5" x14ac:dyDescent="0.25">
      <c r="A36">
        <v>3.5039861865874999</v>
      </c>
      <c r="B36">
        <v>0</v>
      </c>
      <c r="C36">
        <f t="shared" si="0"/>
        <v>1.0577577118844966E-2</v>
      </c>
      <c r="D36">
        <f t="shared" si="1"/>
        <v>-1.0577577118844966E-2</v>
      </c>
      <c r="E36">
        <f t="shared" si="2"/>
        <v>1.1188513770511258E-4</v>
      </c>
    </row>
    <row r="37" spans="1:5" x14ac:dyDescent="0.25">
      <c r="A37">
        <v>3.6026872200125002</v>
      </c>
      <c r="B37">
        <v>0</v>
      </c>
      <c r="C37">
        <f t="shared" si="0"/>
        <v>8.5999254382968134E-3</v>
      </c>
      <c r="D37">
        <f t="shared" si="1"/>
        <v>-8.5999254382968134E-3</v>
      </c>
      <c r="E37">
        <f t="shared" si="2"/>
        <v>7.3958717544264632E-5</v>
      </c>
    </row>
    <row r="38" spans="1:5" x14ac:dyDescent="0.25">
      <c r="A38">
        <v>3.7013882534375</v>
      </c>
      <c r="B38">
        <v>0</v>
      </c>
      <c r="C38">
        <f t="shared" si="0"/>
        <v>6.9706892519644176E-3</v>
      </c>
      <c r="D38">
        <f t="shared" si="1"/>
        <v>-6.9706892519644176E-3</v>
      </c>
      <c r="E38">
        <f t="shared" si="2"/>
        <v>4.8590508647452249E-5</v>
      </c>
    </row>
    <row r="39" spans="1:5" x14ac:dyDescent="0.25">
      <c r="A39">
        <v>3.8000892868624998</v>
      </c>
      <c r="B39">
        <v>0</v>
      </c>
      <c r="C39">
        <f t="shared" si="0"/>
        <v>5.6331909288330076E-3</v>
      </c>
      <c r="D39">
        <f t="shared" si="1"/>
        <v>-5.6331909288330076E-3</v>
      </c>
      <c r="E39">
        <f t="shared" si="2"/>
        <v>3.173284004068648E-5</v>
      </c>
    </row>
    <row r="40" spans="1:5" x14ac:dyDescent="0.25">
      <c r="A40">
        <v>3.8987903202875001</v>
      </c>
      <c r="B40">
        <v>6.366073627244571E-4</v>
      </c>
      <c r="C40">
        <f t="shared" si="0"/>
        <v>4.5389436582817088E-3</v>
      </c>
      <c r="D40">
        <f t="shared" si="1"/>
        <v>-3.9023362955572516E-3</v>
      </c>
      <c r="E40">
        <f t="shared" si="2"/>
        <v>1.5228228563623493E-5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B082-CE04-4B5F-9409-3607FB512F2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4.9582565087499995E-2</v>
      </c>
      <c r="B1">
        <v>0.12215377111171205</v>
      </c>
      <c r="C1">
        <f>$H$3*(1+$H$1)*(A1^($H$1))*EXP(-$H$3*(A1^(1+$H$1)))</f>
        <v>0.25804387170799548</v>
      </c>
      <c r="D1">
        <f>B1-C1</f>
        <v>-0.13589010059628343</v>
      </c>
      <c r="E1">
        <f>D1^2</f>
        <v>1.846611944006803E-2</v>
      </c>
      <c r="G1" t="s">
        <v>0</v>
      </c>
      <c r="H1">
        <v>0.53749696324076612</v>
      </c>
    </row>
    <row r="2" spans="1:8" x14ac:dyDescent="0.25">
      <c r="A2">
        <v>0.14723553926249999</v>
      </c>
      <c r="B2">
        <v>0.44618272185014823</v>
      </c>
      <c r="C2">
        <f t="shared" ref="C2:C40" si="0">$H$3*(1+$H$1)*(A2^($H$1))*EXP(-$H$3*(A2^(1+$H$1)))</f>
        <v>0.44666088576065027</v>
      </c>
      <c r="D2">
        <f t="shared" ref="D2:D40" si="1">B2-C2</f>
        <v>-4.7816391050203855E-4</v>
      </c>
      <c r="E2">
        <f t="shared" ref="E2:E40" si="2">D2^2</f>
        <v>2.2864072530660152E-7</v>
      </c>
    </row>
    <row r="3" spans="1:8" x14ac:dyDescent="0.25">
      <c r="A3">
        <v>0.24488851343750001</v>
      </c>
      <c r="B3">
        <v>0.46547015939410274</v>
      </c>
      <c r="C3">
        <f t="shared" si="0"/>
        <v>0.55679438272536219</v>
      </c>
      <c r="D3">
        <f t="shared" si="1"/>
        <v>-9.1324223331259446E-2</v>
      </c>
      <c r="E3">
        <f t="shared" si="2"/>
        <v>8.3401137670577521E-3</v>
      </c>
      <c r="G3" t="s">
        <v>1</v>
      </c>
      <c r="H3">
        <f>(_xlfn.GAMMA((2+$H$1)/(1+$H$1)))^(1+$H$1)</f>
        <v>0.85070792965037267</v>
      </c>
    </row>
    <row r="4" spans="1:8" x14ac:dyDescent="0.25">
      <c r="A4">
        <v>0.34254148761250003</v>
      </c>
      <c r="B4">
        <v>0.55547820126589065</v>
      </c>
      <c r="C4">
        <f t="shared" si="0"/>
        <v>0.624241151748955</v>
      </c>
      <c r="D4">
        <f t="shared" si="1"/>
        <v>-6.8762950483064356E-2</v>
      </c>
      <c r="E4">
        <f t="shared" si="2"/>
        <v>4.7283433591363607E-3</v>
      </c>
    </row>
    <row r="5" spans="1:8" x14ac:dyDescent="0.25">
      <c r="A5">
        <v>0.44019446178749999</v>
      </c>
      <c r="B5">
        <v>0.88786504160670709</v>
      </c>
      <c r="C5">
        <f t="shared" si="0"/>
        <v>0.66133515993011294</v>
      </c>
      <c r="D5">
        <f t="shared" si="1"/>
        <v>0.22652988167659416</v>
      </c>
      <c r="E5">
        <f t="shared" si="2"/>
        <v>5.1315787292411749E-2</v>
      </c>
      <c r="G5" t="s">
        <v>2</v>
      </c>
      <c r="H5">
        <f>SUM(E1:E40)</f>
        <v>0.23425727436957233</v>
      </c>
    </row>
    <row r="6" spans="1:8" x14ac:dyDescent="0.25">
      <c r="A6">
        <v>0.53784743596250006</v>
      </c>
      <c r="B6">
        <v>0.99716052102244945</v>
      </c>
      <c r="C6">
        <f t="shared" si="0"/>
        <v>0.67521673357710688</v>
      </c>
      <c r="D6">
        <f t="shared" si="1"/>
        <v>0.32194378744534258</v>
      </c>
      <c r="E6">
        <f t="shared" si="2"/>
        <v>0.10364780227465192</v>
      </c>
    </row>
    <row r="7" spans="1:8" x14ac:dyDescent="0.25">
      <c r="A7">
        <v>0.63550041013749992</v>
      </c>
      <c r="B7">
        <v>0.73935177251825712</v>
      </c>
      <c r="C7">
        <f t="shared" si="0"/>
        <v>0.67104854212486487</v>
      </c>
      <c r="D7">
        <f t="shared" si="1"/>
        <v>6.8303230393392256E-2</v>
      </c>
      <c r="E7">
        <f t="shared" si="2"/>
        <v>4.6653312821728233E-3</v>
      </c>
    </row>
    <row r="8" spans="1:8" x14ac:dyDescent="0.25">
      <c r="A8">
        <v>0.73315338431249999</v>
      </c>
      <c r="B8">
        <v>0.66284493692723745</v>
      </c>
      <c r="C8">
        <f t="shared" si="0"/>
        <v>0.65296682642124249</v>
      </c>
      <c r="D8">
        <f t="shared" si="1"/>
        <v>9.8781105059949637E-3</v>
      </c>
      <c r="E8">
        <f t="shared" si="2"/>
        <v>9.7577067168648076E-5</v>
      </c>
    </row>
    <row r="9" spans="1:8" x14ac:dyDescent="0.25">
      <c r="A9">
        <v>0.83080635848750006</v>
      </c>
      <c r="B9">
        <v>0.53297619079794367</v>
      </c>
      <c r="C9">
        <f t="shared" si="0"/>
        <v>0.62443229460256122</v>
      </c>
      <c r="D9">
        <f t="shared" si="1"/>
        <v>-9.145610380461755E-2</v>
      </c>
      <c r="E9">
        <f t="shared" si="2"/>
        <v>8.3642189231209804E-3</v>
      </c>
    </row>
    <row r="10" spans="1:8" x14ac:dyDescent="0.25">
      <c r="A10">
        <v>0.92845933266250014</v>
      </c>
      <c r="B10">
        <v>0.52526121578036178</v>
      </c>
      <c r="C10">
        <f t="shared" si="0"/>
        <v>0.58837936889474707</v>
      </c>
      <c r="D10">
        <f t="shared" si="1"/>
        <v>-6.3118153114385289E-2</v>
      </c>
      <c r="E10">
        <f t="shared" si="2"/>
        <v>3.9839012525709856E-3</v>
      </c>
    </row>
    <row r="11" spans="1:8" x14ac:dyDescent="0.25">
      <c r="A11">
        <v>1.0261123068375002</v>
      </c>
      <c r="B11">
        <v>0.47318513441168458</v>
      </c>
      <c r="C11">
        <f t="shared" si="0"/>
        <v>0.54729022937647054</v>
      </c>
      <c r="D11">
        <f t="shared" si="1"/>
        <v>-7.4105094964785956E-2</v>
      </c>
      <c r="E11">
        <f t="shared" si="2"/>
        <v>5.4915650997399449E-3</v>
      </c>
    </row>
    <row r="12" spans="1:8" x14ac:dyDescent="0.25">
      <c r="A12">
        <v>1.1237652810125001</v>
      </c>
      <c r="B12">
        <v>0.43268151556938006</v>
      </c>
      <c r="C12">
        <f t="shared" si="0"/>
        <v>0.50324053451711814</v>
      </c>
      <c r="D12">
        <f t="shared" si="1"/>
        <v>-7.0559018947738084E-2</v>
      </c>
      <c r="E12">
        <f t="shared" si="2"/>
        <v>4.9785751548672621E-3</v>
      </c>
    </row>
    <row r="13" spans="1:8" x14ac:dyDescent="0.25">
      <c r="A13">
        <v>1.2214182551874999</v>
      </c>
      <c r="B13">
        <v>0.36903297167433008</v>
      </c>
      <c r="C13">
        <f t="shared" si="0"/>
        <v>0.4579355554455975</v>
      </c>
      <c r="D13">
        <f t="shared" si="1"/>
        <v>-8.8902583771267418E-2</v>
      </c>
      <c r="E13">
        <f t="shared" si="2"/>
        <v>7.9036694012072205E-3</v>
      </c>
    </row>
    <row r="14" spans="1:8" x14ac:dyDescent="0.25">
      <c r="A14">
        <v>1.3190712293625</v>
      </c>
      <c r="B14">
        <v>0.35296010705436798</v>
      </c>
      <c r="C14">
        <f t="shared" si="0"/>
        <v>0.41274416813747034</v>
      </c>
      <c r="D14">
        <f t="shared" si="1"/>
        <v>-5.9784061083102358E-2</v>
      </c>
      <c r="E14">
        <f t="shared" si="2"/>
        <v>3.574133959588114E-3</v>
      </c>
    </row>
    <row r="15" spans="1:8" x14ac:dyDescent="0.25">
      <c r="A15">
        <v>1.4167242035375001</v>
      </c>
      <c r="B15">
        <v>0.34460221745198766</v>
      </c>
      <c r="C15">
        <f t="shared" si="0"/>
        <v>0.36873325451978001</v>
      </c>
      <c r="D15">
        <f t="shared" si="1"/>
        <v>-2.4131037067792349E-2</v>
      </c>
      <c r="E15">
        <f t="shared" si="2"/>
        <v>5.823069499671684E-4</v>
      </c>
    </row>
    <row r="16" spans="1:8" x14ac:dyDescent="0.25">
      <c r="A16">
        <v>1.5143771777124999</v>
      </c>
      <c r="B16">
        <v>0.30024111110089224</v>
      </c>
      <c r="C16">
        <f t="shared" si="0"/>
        <v>0.32670288742061182</v>
      </c>
      <c r="D16">
        <f t="shared" si="1"/>
        <v>-2.6461776319719577E-2</v>
      </c>
      <c r="E16">
        <f t="shared" si="2"/>
        <v>7.0022560599487175E-4</v>
      </c>
    </row>
    <row r="17" spans="1:5" x14ac:dyDescent="0.25">
      <c r="A17">
        <v>1.6120301518875</v>
      </c>
      <c r="B17">
        <v>0.26295206518258013</v>
      </c>
      <c r="C17">
        <f t="shared" si="0"/>
        <v>0.28722175125816696</v>
      </c>
      <c r="D17">
        <f t="shared" si="1"/>
        <v>-2.4269686075586827E-2</v>
      </c>
      <c r="E17">
        <f t="shared" si="2"/>
        <v>5.8901766220753311E-4</v>
      </c>
    </row>
    <row r="18" spans="1:5" x14ac:dyDescent="0.25">
      <c r="A18">
        <v>1.7096831260625001</v>
      </c>
      <c r="B18">
        <v>0.25266543182580442</v>
      </c>
      <c r="C18">
        <f t="shared" si="0"/>
        <v>0.25066193686603422</v>
      </c>
      <c r="D18">
        <f t="shared" si="1"/>
        <v>2.0034949597702023E-3</v>
      </c>
      <c r="E18">
        <f t="shared" si="2"/>
        <v>4.0139920538246043E-6</v>
      </c>
    </row>
    <row r="19" spans="1:5" x14ac:dyDescent="0.25">
      <c r="A19">
        <v>1.8073361002374999</v>
      </c>
      <c r="B19">
        <v>0.2398071401298347</v>
      </c>
      <c r="C19">
        <f t="shared" si="0"/>
        <v>0.21723223695902466</v>
      </c>
      <c r="D19">
        <f t="shared" si="1"/>
        <v>2.257490317081004E-2</v>
      </c>
      <c r="E19">
        <f t="shared" si="2"/>
        <v>5.0962625317144919E-4</v>
      </c>
    </row>
    <row r="20" spans="1:5" x14ac:dyDescent="0.25">
      <c r="A20">
        <v>1.9049890744125</v>
      </c>
      <c r="B20">
        <v>0.1903027171003514</v>
      </c>
      <c r="C20">
        <f t="shared" si="0"/>
        <v>0.18700920050083861</v>
      </c>
      <c r="D20">
        <f t="shared" si="1"/>
        <v>3.2935165995127968E-3</v>
      </c>
      <c r="E20">
        <f t="shared" si="2"/>
        <v>1.0847251591266337E-5</v>
      </c>
    </row>
    <row r="21" spans="1:5" x14ac:dyDescent="0.25">
      <c r="A21">
        <v>2.0026420485875001</v>
      </c>
      <c r="B21">
        <v>0.17358693789559082</v>
      </c>
      <c r="C21">
        <f t="shared" si="0"/>
        <v>0.15996539444676336</v>
      </c>
      <c r="D21">
        <f t="shared" si="1"/>
        <v>1.3621543448827461E-2</v>
      </c>
      <c r="E21">
        <f t="shared" si="2"/>
        <v>1.8554644592829432E-4</v>
      </c>
    </row>
    <row r="22" spans="1:5" x14ac:dyDescent="0.25">
      <c r="A22">
        <v>2.1002950227624999</v>
      </c>
      <c r="B22">
        <v>0.16072864619962113</v>
      </c>
      <c r="C22">
        <f t="shared" si="0"/>
        <v>0.13599452292172348</v>
      </c>
      <c r="D22">
        <f t="shared" si="1"/>
        <v>2.4734123277897646E-2</v>
      </c>
      <c r="E22">
        <f t="shared" si="2"/>
        <v>6.1177685432623819E-4</v>
      </c>
    </row>
    <row r="23" spans="1:5" x14ac:dyDescent="0.25">
      <c r="A23">
        <v>2.1979479969374998</v>
      </c>
      <c r="B23">
        <v>0.1491561836732484</v>
      </c>
      <c r="C23">
        <f t="shared" si="0"/>
        <v>0.11493324114952563</v>
      </c>
      <c r="D23">
        <f t="shared" si="1"/>
        <v>3.4222942523722766E-2</v>
      </c>
      <c r="E23">
        <f t="shared" si="2"/>
        <v>1.1712097949820319E-3</v>
      </c>
    </row>
    <row r="24" spans="1:5" x14ac:dyDescent="0.25">
      <c r="A24">
        <v>2.2956009711125001</v>
      </c>
      <c r="B24">
        <v>0.12279668569651053</v>
      </c>
      <c r="C24">
        <f t="shared" si="0"/>
        <v>9.6579661315586818E-2</v>
      </c>
      <c r="D24">
        <f t="shared" si="1"/>
        <v>2.6217024380923715E-2</v>
      </c>
      <c r="E24">
        <f t="shared" si="2"/>
        <v>6.8733236738994846E-4</v>
      </c>
    </row>
    <row r="25" spans="1:5" x14ac:dyDescent="0.25">
      <c r="A25">
        <v>2.3932539452875004</v>
      </c>
      <c r="B25">
        <v>0.10350924815255601</v>
      </c>
      <c r="C25">
        <f t="shared" si="0"/>
        <v>8.0708674707669695E-2</v>
      </c>
      <c r="D25">
        <f t="shared" si="1"/>
        <v>2.2800573444886313E-2</v>
      </c>
      <c r="E25">
        <f t="shared" si="2"/>
        <v>5.1986614941565488E-4</v>
      </c>
    </row>
    <row r="26" spans="1:5" x14ac:dyDescent="0.25">
      <c r="A26">
        <v>2.4909069194624998</v>
      </c>
      <c r="B26">
        <v>9.8365931474168125E-2</v>
      </c>
      <c r="C26">
        <f t="shared" si="0"/>
        <v>6.7084308397364387E-2</v>
      </c>
      <c r="D26">
        <f t="shared" si="1"/>
        <v>3.1281623076803738E-2</v>
      </c>
      <c r="E26">
        <f t="shared" si="2"/>
        <v>9.7853994231922011E-4</v>
      </c>
    </row>
    <row r="27" spans="1:5" x14ac:dyDescent="0.25">
      <c r="A27">
        <v>2.5885598936375001</v>
      </c>
      <c r="B27">
        <v>8.1007237684609046E-2</v>
      </c>
      <c r="C27">
        <f t="shared" si="0"/>
        <v>5.5469397730251134E-2</v>
      </c>
      <c r="D27">
        <f t="shared" si="1"/>
        <v>2.5537839954357912E-2</v>
      </c>
      <c r="E27">
        <f t="shared" si="2"/>
        <v>6.521812695343993E-4</v>
      </c>
    </row>
    <row r="28" spans="1:5" x14ac:dyDescent="0.25">
      <c r="A28">
        <v>2.6862128678124999</v>
      </c>
      <c r="B28">
        <v>6.4291458479848448E-2</v>
      </c>
      <c r="C28">
        <f t="shared" si="0"/>
        <v>4.5632891913370721E-2</v>
      </c>
      <c r="D28">
        <f t="shared" si="1"/>
        <v>1.8658566566477727E-2</v>
      </c>
      <c r="E28">
        <f t="shared" si="2"/>
        <v>3.4814210631568045E-4</v>
      </c>
    </row>
    <row r="29" spans="1:5" x14ac:dyDescent="0.25">
      <c r="A29">
        <v>2.7838658419874998</v>
      </c>
      <c r="B29">
        <v>4.3718191766296946E-2</v>
      </c>
      <c r="C29">
        <f t="shared" si="0"/>
        <v>3.7355123684004427E-2</v>
      </c>
      <c r="D29">
        <f t="shared" si="1"/>
        <v>6.3630680822925195E-3</v>
      </c>
      <c r="E29">
        <f t="shared" si="2"/>
        <v>4.0488635419889803E-5</v>
      </c>
    </row>
    <row r="30" spans="1:5" x14ac:dyDescent="0.25">
      <c r="A30">
        <v>2.8815188161625001</v>
      </c>
      <c r="B30">
        <v>5.0790252199080274E-2</v>
      </c>
      <c r="C30">
        <f t="shared" si="0"/>
        <v>3.043137021711953E-2</v>
      </c>
      <c r="D30">
        <f t="shared" si="1"/>
        <v>2.0358881981960744E-2</v>
      </c>
      <c r="E30">
        <f t="shared" si="2"/>
        <v>4.1448407555540586E-4</v>
      </c>
    </row>
    <row r="31" spans="1:5" x14ac:dyDescent="0.25">
      <c r="A31">
        <v>2.9791717903375003</v>
      </c>
      <c r="B31">
        <v>2.1859095883148473E-2</v>
      </c>
      <c r="C31">
        <f t="shared" si="0"/>
        <v>2.4674015643255741E-2</v>
      </c>
      <c r="D31">
        <f t="shared" si="1"/>
        <v>-2.8149197601072679E-3</v>
      </c>
      <c r="E31">
        <f t="shared" si="2"/>
        <v>7.9237732558423577E-6</v>
      </c>
    </row>
    <row r="32" spans="1:5" x14ac:dyDescent="0.25">
      <c r="A32">
        <v>3.0768247645125002</v>
      </c>
      <c r="B32">
        <v>1.6715779204760597E-2</v>
      </c>
      <c r="C32">
        <f t="shared" si="0"/>
        <v>1.991359989221279E-2</v>
      </c>
      <c r="D32">
        <f t="shared" si="1"/>
        <v>-3.1978206874521929E-3</v>
      </c>
      <c r="E32">
        <f t="shared" si="2"/>
        <v>1.0226057149097215E-5</v>
      </c>
    </row>
    <row r="33" spans="1:5" x14ac:dyDescent="0.25">
      <c r="A33">
        <v>3.1744777386875001</v>
      </c>
      <c r="B33">
        <v>0</v>
      </c>
      <c r="C33">
        <f t="shared" si="0"/>
        <v>1.5999007539483471E-2</v>
      </c>
      <c r="D33">
        <f t="shared" si="1"/>
        <v>-1.5999007539483471E-2</v>
      </c>
      <c r="E33">
        <f t="shared" si="2"/>
        <v>2.5596824224844892E-4</v>
      </c>
    </row>
    <row r="34" spans="1:5" x14ac:dyDescent="0.25">
      <c r="A34">
        <v>3.2721307128624999</v>
      </c>
      <c r="B34">
        <v>0</v>
      </c>
      <c r="C34">
        <f t="shared" si="0"/>
        <v>1.2797016757563321E-2</v>
      </c>
      <c r="D34">
        <f t="shared" si="1"/>
        <v>-1.2797016757563321E-2</v>
      </c>
      <c r="E34">
        <f t="shared" si="2"/>
        <v>1.6376363789335645E-4</v>
      </c>
    </row>
    <row r="35" spans="1:5" x14ac:dyDescent="0.25">
      <c r="A35">
        <v>3.3697836870374998</v>
      </c>
      <c r="B35">
        <v>0</v>
      </c>
      <c r="C35">
        <f t="shared" si="0"/>
        <v>1.0191394577718123E-2</v>
      </c>
      <c r="D35">
        <f t="shared" si="1"/>
        <v>-1.0191394577718123E-2</v>
      </c>
      <c r="E35">
        <f t="shared" si="2"/>
        <v>1.0386452343874235E-4</v>
      </c>
    </row>
    <row r="36" spans="1:5" x14ac:dyDescent="0.25">
      <c r="A36">
        <v>3.4674366612125</v>
      </c>
      <c r="B36">
        <v>0</v>
      </c>
      <c r="C36">
        <f t="shared" si="0"/>
        <v>8.0816920824758696E-3</v>
      </c>
      <c r="D36">
        <f t="shared" si="1"/>
        <v>-8.0816920824758696E-3</v>
      </c>
      <c r="E36">
        <f t="shared" si="2"/>
        <v>6.5313746915953162E-5</v>
      </c>
    </row>
    <row r="37" spans="1:5" x14ac:dyDescent="0.25">
      <c r="A37">
        <v>3.5650896353875003</v>
      </c>
      <c r="B37">
        <v>0</v>
      </c>
      <c r="C37">
        <f t="shared" si="0"/>
        <v>6.3818629975343688E-3</v>
      </c>
      <c r="D37">
        <f t="shared" si="1"/>
        <v>-6.3818629975343688E-3</v>
      </c>
      <c r="E37">
        <f t="shared" si="2"/>
        <v>4.0728175319298359E-5</v>
      </c>
    </row>
    <row r="38" spans="1:5" x14ac:dyDescent="0.25">
      <c r="A38">
        <v>3.6627426095625002</v>
      </c>
      <c r="B38">
        <v>0</v>
      </c>
      <c r="C38">
        <f t="shared" si="0"/>
        <v>5.0188021274882536E-3</v>
      </c>
      <c r="D38">
        <f t="shared" si="1"/>
        <v>-5.0188021274882536E-3</v>
      </c>
      <c r="E38">
        <f t="shared" si="2"/>
        <v>2.518837479488062E-5</v>
      </c>
    </row>
    <row r="39" spans="1:5" x14ac:dyDescent="0.25">
      <c r="A39">
        <v>3.7603955837375</v>
      </c>
      <c r="B39">
        <v>0</v>
      </c>
      <c r="C39">
        <f t="shared" si="0"/>
        <v>3.9308765308114007E-3</v>
      </c>
      <c r="D39">
        <f t="shared" si="1"/>
        <v>-3.9308765308114007E-3</v>
      </c>
      <c r="E39">
        <f t="shared" si="2"/>
        <v>1.5451790300483873E-5</v>
      </c>
    </row>
    <row r="40" spans="1:5" x14ac:dyDescent="0.25">
      <c r="A40">
        <v>3.8580485579124999</v>
      </c>
      <c r="B40">
        <v>6.4291458479848445E-4</v>
      </c>
      <c r="C40">
        <f t="shared" si="0"/>
        <v>3.0665023377603657E-3</v>
      </c>
      <c r="D40">
        <f t="shared" si="1"/>
        <v>-2.4235877529618813E-3</v>
      </c>
      <c r="E40">
        <f t="shared" si="2"/>
        <v>5.8737775963068208E-6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29E0-EFD7-4B4D-A4A5-9B3263A3AA0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8.2591708287499996E-2</v>
      </c>
      <c r="B1">
        <v>0.13840444029237681</v>
      </c>
      <c r="C1">
        <f>$H$3*(1+$H$1)*(A1^($H$1))*EXP(-$H$3*(A1^(1+$H$1)))</f>
        <v>0.28353856252022214</v>
      </c>
      <c r="D1">
        <f>B1-C1</f>
        <v>-0.14513412222784533</v>
      </c>
      <c r="E1">
        <f>D1^2</f>
        <v>2.1063913434847148E-2</v>
      </c>
      <c r="G1" t="s">
        <v>0</v>
      </c>
      <c r="H1">
        <v>0.62160654883350197</v>
      </c>
    </row>
    <row r="2" spans="1:8" x14ac:dyDescent="0.25">
      <c r="A2">
        <v>0.1802234328625</v>
      </c>
      <c r="B2">
        <v>0.4692876138285707</v>
      </c>
      <c r="C2">
        <f t="shared" ref="C2:C40" si="0">$H$3*(1+$H$1)*(A2^($H$1))*EXP(-$H$3*(A2^(1+$H$1)))</f>
        <v>0.44367674441035626</v>
      </c>
      <c r="D2">
        <f t="shared" ref="D2:D40" si="1">B2-C2</f>
        <v>2.5610869418214444E-2</v>
      </c>
      <c r="E2">
        <f t="shared" ref="E2:E40" si="2">D2^2</f>
        <v>6.5591663235683181E-4</v>
      </c>
    </row>
    <row r="3" spans="1:8" x14ac:dyDescent="0.25">
      <c r="A3">
        <v>0.2778551574375</v>
      </c>
      <c r="B3">
        <v>0.49696850188704605</v>
      </c>
      <c r="C3">
        <f t="shared" si="0"/>
        <v>0.5507766820452189</v>
      </c>
      <c r="D3">
        <f t="shared" si="1"/>
        <v>-5.3808180158172847E-2</v>
      </c>
      <c r="E3">
        <f t="shared" si="2"/>
        <v>2.895320251934386E-3</v>
      </c>
      <c r="G3" t="s">
        <v>1</v>
      </c>
      <c r="H3">
        <f>(_xlfn.GAMMA((2+$H$1)/(1+$H$1)))^(1+$H$1)</f>
        <v>0.83612335703641893</v>
      </c>
    </row>
    <row r="4" spans="1:8" x14ac:dyDescent="0.25">
      <c r="A4">
        <v>0.37548688201250002</v>
      </c>
      <c r="B4">
        <v>0.5709987839038988</v>
      </c>
      <c r="C4">
        <f t="shared" si="0"/>
        <v>0.62174668265601907</v>
      </c>
      <c r="D4">
        <f t="shared" si="1"/>
        <v>-5.0747898752120268E-2</v>
      </c>
      <c r="E4">
        <f t="shared" si="2"/>
        <v>2.5753492277554497E-3</v>
      </c>
    </row>
    <row r="5" spans="1:8" x14ac:dyDescent="0.25">
      <c r="A5">
        <v>0.47311860658750005</v>
      </c>
      <c r="B5">
        <v>0.70425329153423366</v>
      </c>
      <c r="C5">
        <f t="shared" si="0"/>
        <v>0.66417787551711149</v>
      </c>
      <c r="D5">
        <f t="shared" si="1"/>
        <v>4.0075416017122167E-2</v>
      </c>
      <c r="E5">
        <f t="shared" si="2"/>
        <v>1.6060389689454119E-3</v>
      </c>
      <c r="G5" t="s">
        <v>2</v>
      </c>
      <c r="H5">
        <f>SUM(E1:E40)</f>
        <v>0.2730346739616325</v>
      </c>
    </row>
    <row r="6" spans="1:8" x14ac:dyDescent="0.25">
      <c r="A6">
        <v>0.57075033116250007</v>
      </c>
      <c r="B6">
        <v>1.0911419827701334</v>
      </c>
      <c r="C6">
        <f t="shared" si="0"/>
        <v>0.68323124483566222</v>
      </c>
      <c r="D6">
        <f t="shared" si="1"/>
        <v>0.40791073793447119</v>
      </c>
      <c r="E6">
        <f t="shared" si="2"/>
        <v>0.16639117012224483</v>
      </c>
    </row>
    <row r="7" spans="1:8" x14ac:dyDescent="0.25">
      <c r="A7">
        <v>0.66838205573749998</v>
      </c>
      <c r="B7">
        <v>0.86003875456100198</v>
      </c>
      <c r="C7">
        <f t="shared" si="0"/>
        <v>0.68314759348461718</v>
      </c>
      <c r="D7">
        <f t="shared" si="1"/>
        <v>0.17689116107638481</v>
      </c>
      <c r="E7">
        <f t="shared" si="2"/>
        <v>3.1290482866951512E-2</v>
      </c>
    </row>
    <row r="8" spans="1:8" x14ac:dyDescent="0.25">
      <c r="A8">
        <v>0.7660137803125</v>
      </c>
      <c r="B8">
        <v>0.66112260548963253</v>
      </c>
      <c r="C8">
        <f t="shared" si="0"/>
        <v>0.6676848813427374</v>
      </c>
      <c r="D8">
        <f t="shared" si="1"/>
        <v>-6.5622758531048708E-3</v>
      </c>
      <c r="E8">
        <f t="shared" si="2"/>
        <v>4.3063464372243259E-5</v>
      </c>
    </row>
    <row r="9" spans="1:8" x14ac:dyDescent="0.25">
      <c r="A9">
        <v>0.86364550488750003</v>
      </c>
      <c r="B9">
        <v>0.58258613239349311</v>
      </c>
      <c r="C9">
        <f t="shared" si="0"/>
        <v>0.64024347498872469</v>
      </c>
      <c r="D9">
        <f t="shared" si="1"/>
        <v>-5.7657342595231587E-2</v>
      </c>
      <c r="E9">
        <f t="shared" si="2"/>
        <v>3.3243691551439066E-3</v>
      </c>
    </row>
    <row r="10" spans="1:8" x14ac:dyDescent="0.25">
      <c r="A10">
        <v>0.96127722946250005</v>
      </c>
      <c r="B10">
        <v>0.54267415426266818</v>
      </c>
      <c r="C10">
        <f t="shared" si="0"/>
        <v>0.60388825379847166</v>
      </c>
      <c r="D10">
        <f t="shared" si="1"/>
        <v>-6.1214099535803479E-2</v>
      </c>
      <c r="E10">
        <f t="shared" si="2"/>
        <v>3.7471659819792555E-3</v>
      </c>
    </row>
    <row r="11" spans="1:8" x14ac:dyDescent="0.25">
      <c r="A11">
        <v>1.0589089540374998</v>
      </c>
      <c r="B11">
        <v>0.47894373756989927</v>
      </c>
      <c r="C11">
        <f t="shared" si="0"/>
        <v>0.56133963352636229</v>
      </c>
      <c r="D11">
        <f t="shared" si="1"/>
        <v>-8.2395895956463017E-2</v>
      </c>
      <c r="E11">
        <f t="shared" si="2"/>
        <v>6.7890836704682786E-3</v>
      </c>
    </row>
    <row r="12" spans="1:8" x14ac:dyDescent="0.25">
      <c r="A12">
        <v>1.1565406786125001</v>
      </c>
      <c r="B12">
        <v>0.39590107339447322</v>
      </c>
      <c r="C12">
        <f t="shared" si="0"/>
        <v>0.51496134930556381</v>
      </c>
      <c r="D12">
        <f t="shared" si="1"/>
        <v>-0.11906027591109059</v>
      </c>
      <c r="E12">
        <f t="shared" si="2"/>
        <v>1.4175349300025017E-2</v>
      </c>
    </row>
    <row r="13" spans="1:8" x14ac:dyDescent="0.25">
      <c r="A13">
        <v>1.2541724031874999</v>
      </c>
      <c r="B13">
        <v>0.40555719713580185</v>
      </c>
      <c r="C13">
        <f t="shared" si="0"/>
        <v>0.46675576401249935</v>
      </c>
      <c r="D13">
        <f t="shared" si="1"/>
        <v>-6.1198566876697502E-2</v>
      </c>
      <c r="E13">
        <f t="shared" si="2"/>
        <v>3.7452645877616166E-3</v>
      </c>
    </row>
    <row r="14" spans="1:8" x14ac:dyDescent="0.25">
      <c r="A14">
        <v>1.3518041277625001</v>
      </c>
      <c r="B14">
        <v>0.37015141008426355</v>
      </c>
      <c r="C14">
        <f t="shared" si="0"/>
        <v>0.41837001610796654</v>
      </c>
      <c r="D14">
        <f t="shared" si="1"/>
        <v>-4.8218606023702981E-2</v>
      </c>
      <c r="E14">
        <f t="shared" si="2"/>
        <v>2.3250339668690854E-3</v>
      </c>
    </row>
    <row r="15" spans="1:8" x14ac:dyDescent="0.25">
      <c r="A15">
        <v>1.4494358523374999</v>
      </c>
      <c r="B15">
        <v>0.32058330821211001</v>
      </c>
      <c r="C15">
        <f t="shared" si="0"/>
        <v>0.37111284454834109</v>
      </c>
      <c r="D15">
        <f t="shared" si="1"/>
        <v>-5.0529536336231085E-2</v>
      </c>
      <c r="E15">
        <f t="shared" si="2"/>
        <v>2.5532340423544977E-3</v>
      </c>
    </row>
    <row r="16" spans="1:8" x14ac:dyDescent="0.25">
      <c r="A16">
        <v>1.5470675769125002</v>
      </c>
      <c r="B16">
        <v>0.27680888058475361</v>
      </c>
      <c r="C16">
        <f t="shared" si="0"/>
        <v>0.32598031758361395</v>
      </c>
      <c r="D16">
        <f t="shared" si="1"/>
        <v>-4.9171436998860341E-2</v>
      </c>
      <c r="E16">
        <f t="shared" si="2"/>
        <v>2.4178302165328916E-3</v>
      </c>
    </row>
    <row r="17" spans="1:5" x14ac:dyDescent="0.25">
      <c r="A17">
        <v>1.6446993014875</v>
      </c>
      <c r="B17">
        <v>0.2845337795778165</v>
      </c>
      <c r="C17">
        <f t="shared" si="0"/>
        <v>0.28368804969521089</v>
      </c>
      <c r="D17">
        <f t="shared" si="1"/>
        <v>8.4572988260561699E-4</v>
      </c>
      <c r="E17">
        <f t="shared" si="2"/>
        <v>7.1525903433211072E-7</v>
      </c>
    </row>
    <row r="18" spans="1:5" x14ac:dyDescent="0.25">
      <c r="A18">
        <v>1.7423310260625002</v>
      </c>
      <c r="B18">
        <v>0.2497717341090335</v>
      </c>
      <c r="C18">
        <f t="shared" si="0"/>
        <v>0.24470738368987688</v>
      </c>
      <c r="D18">
        <f t="shared" si="1"/>
        <v>5.0643504191566213E-3</v>
      </c>
      <c r="E18">
        <f t="shared" si="2"/>
        <v>2.5647645168011846E-5</v>
      </c>
    </row>
    <row r="19" spans="1:5" x14ac:dyDescent="0.25">
      <c r="A19">
        <v>1.8399627506375</v>
      </c>
      <c r="B19">
        <v>0.20084737381963519</v>
      </c>
      <c r="C19">
        <f t="shared" si="0"/>
        <v>0.20930320797343477</v>
      </c>
      <c r="D19">
        <f t="shared" si="1"/>
        <v>-8.4558341537995796E-3</v>
      </c>
      <c r="E19">
        <f t="shared" si="2"/>
        <v>7.1501131236563451E-5</v>
      </c>
    </row>
    <row r="20" spans="1:5" x14ac:dyDescent="0.25">
      <c r="A20">
        <v>1.9375944752125003</v>
      </c>
      <c r="B20">
        <v>0.19505369957483801</v>
      </c>
      <c r="C20">
        <f t="shared" si="0"/>
        <v>0.17757143134185294</v>
      </c>
      <c r="D20">
        <f t="shared" si="1"/>
        <v>1.7482268232985071E-2</v>
      </c>
      <c r="E20">
        <f t="shared" si="2"/>
        <v>3.0562970257003895E-4</v>
      </c>
    </row>
    <row r="21" spans="1:5" x14ac:dyDescent="0.25">
      <c r="A21">
        <v>2.0352261997875001</v>
      </c>
      <c r="B21">
        <v>0.17187900259564934</v>
      </c>
      <c r="C21">
        <f t="shared" si="0"/>
        <v>0.14947455905336912</v>
      </c>
      <c r="D21">
        <f t="shared" si="1"/>
        <v>2.2404443542280217E-2</v>
      </c>
      <c r="E21">
        <f t="shared" si="2"/>
        <v>5.0195909043922171E-4</v>
      </c>
    </row>
    <row r="22" spans="1:5" x14ac:dyDescent="0.25">
      <c r="A22">
        <v>2.1328579243624999</v>
      </c>
      <c r="B22">
        <v>0.14677308086819493</v>
      </c>
      <c r="C22">
        <f t="shared" si="0"/>
        <v>0.12487424531799671</v>
      </c>
      <c r="D22">
        <f t="shared" si="1"/>
        <v>2.1898835550198226E-2</v>
      </c>
      <c r="E22">
        <f t="shared" si="2"/>
        <v>4.7955899845462561E-4</v>
      </c>
    </row>
    <row r="23" spans="1:5" x14ac:dyDescent="0.25">
      <c r="A23">
        <v>2.2304896489375001</v>
      </c>
      <c r="B23">
        <v>0.12874831655104821</v>
      </c>
      <c r="C23">
        <f t="shared" si="0"/>
        <v>0.10356010054501801</v>
      </c>
      <c r="D23">
        <f t="shared" si="1"/>
        <v>2.5188216006030203E-2</v>
      </c>
      <c r="E23">
        <f t="shared" si="2"/>
        <v>6.3444622556643618E-4</v>
      </c>
    </row>
    <row r="24" spans="1:5" x14ac:dyDescent="0.25">
      <c r="A24">
        <v>2.3281213735125004</v>
      </c>
      <c r="B24">
        <v>0.12037967597523007</v>
      </c>
      <c r="C24">
        <f t="shared" si="0"/>
        <v>8.5274383848989097E-2</v>
      </c>
      <c r="D24">
        <f t="shared" si="1"/>
        <v>3.5105292126240972E-2</v>
      </c>
      <c r="E24">
        <f t="shared" si="2"/>
        <v>1.2323815352687163E-3</v>
      </c>
    </row>
    <row r="25" spans="1:5" x14ac:dyDescent="0.25">
      <c r="A25">
        <v>2.4257530980875002</v>
      </c>
      <c r="B25">
        <v>0.11587348489594337</v>
      </c>
      <c r="C25">
        <f t="shared" si="0"/>
        <v>6.9732500851498472E-2</v>
      </c>
      <c r="D25">
        <f t="shared" si="1"/>
        <v>4.6140984044444902E-2</v>
      </c>
      <c r="E25">
        <f t="shared" si="2"/>
        <v>2.1289904085897192E-3</v>
      </c>
    </row>
    <row r="26" spans="1:5" x14ac:dyDescent="0.25">
      <c r="A26">
        <v>2.5233848226625</v>
      </c>
      <c r="B26">
        <v>7.2099057268586994E-2</v>
      </c>
      <c r="C26">
        <f t="shared" si="0"/>
        <v>5.6639450440930134E-2</v>
      </c>
      <c r="D26">
        <f t="shared" si="1"/>
        <v>1.545960682765686E-2</v>
      </c>
      <c r="E26">
        <f t="shared" si="2"/>
        <v>2.389994432657346E-4</v>
      </c>
    </row>
    <row r="27" spans="1:5" x14ac:dyDescent="0.25">
      <c r="A27">
        <v>2.6210165472375002</v>
      </c>
      <c r="B27">
        <v>6.7592866189300299E-2</v>
      </c>
      <c r="C27">
        <f t="shared" si="0"/>
        <v>4.5702524424923979E-2</v>
      </c>
      <c r="D27">
        <f t="shared" si="1"/>
        <v>2.189034176437632E-2</v>
      </c>
      <c r="E27">
        <f t="shared" si="2"/>
        <v>4.791870625611982E-4</v>
      </c>
    </row>
    <row r="28" spans="1:5" x14ac:dyDescent="0.25">
      <c r="A28">
        <v>2.7186482718125</v>
      </c>
      <c r="B28">
        <v>5.5361776116950728E-2</v>
      </c>
      <c r="C28">
        <f t="shared" si="0"/>
        <v>3.6640667321797486E-2</v>
      </c>
      <c r="D28">
        <f t="shared" si="1"/>
        <v>1.8721108795153242E-2</v>
      </c>
      <c r="E28">
        <f t="shared" si="2"/>
        <v>3.504799145199641E-4</v>
      </c>
    </row>
    <row r="29" spans="1:5" x14ac:dyDescent="0.25">
      <c r="A29">
        <v>2.8162799963875003</v>
      </c>
      <c r="B29">
        <v>3.2187079137762052E-2</v>
      </c>
      <c r="C29">
        <f t="shared" si="0"/>
        <v>2.9190958474690894E-2</v>
      </c>
      <c r="D29">
        <f t="shared" si="1"/>
        <v>2.9961206630711584E-3</v>
      </c>
      <c r="E29">
        <f t="shared" si="2"/>
        <v>8.9767390276819583E-6</v>
      </c>
    </row>
    <row r="30" spans="1:5" x14ac:dyDescent="0.25">
      <c r="A30">
        <v>2.9139117209625001</v>
      </c>
      <c r="B30">
        <v>3.5405787051538254E-2</v>
      </c>
      <c r="C30">
        <f t="shared" si="0"/>
        <v>2.3112694733421195E-2</v>
      </c>
      <c r="D30">
        <f t="shared" si="1"/>
        <v>1.2293092318117059E-2</v>
      </c>
      <c r="E30">
        <f t="shared" si="2"/>
        <v>1.5112011874174864E-4</v>
      </c>
    </row>
    <row r="31" spans="1:5" x14ac:dyDescent="0.25">
      <c r="A31">
        <v>3.0115434455374999</v>
      </c>
      <c r="B31">
        <v>0</v>
      </c>
      <c r="C31">
        <f t="shared" si="0"/>
        <v>1.8189538586141359E-2</v>
      </c>
      <c r="D31">
        <f t="shared" si="1"/>
        <v>-1.8189538586141359E-2</v>
      </c>
      <c r="E31">
        <f t="shared" si="2"/>
        <v>3.3085931397672539E-4</v>
      </c>
    </row>
    <row r="32" spans="1:5" x14ac:dyDescent="0.25">
      <c r="A32">
        <v>3.1091751701125001</v>
      </c>
      <c r="B32">
        <v>0</v>
      </c>
      <c r="C32">
        <f t="shared" si="0"/>
        <v>1.4230162580034062E-2</v>
      </c>
      <c r="D32">
        <f t="shared" si="1"/>
        <v>-1.4230162580034062E-2</v>
      </c>
      <c r="E32">
        <f t="shared" si="2"/>
        <v>2.0249752705420166E-4</v>
      </c>
    </row>
    <row r="33" spans="1:5" x14ac:dyDescent="0.25">
      <c r="A33">
        <v>3.2068068946875004</v>
      </c>
      <c r="B33">
        <v>0</v>
      </c>
      <c r="C33">
        <f t="shared" si="0"/>
        <v>1.1067773773189599E-2</v>
      </c>
      <c r="D33">
        <f t="shared" si="1"/>
        <v>-1.1067773773189599E-2</v>
      </c>
      <c r="E33">
        <f t="shared" si="2"/>
        <v>1.2249561629450352E-4</v>
      </c>
    </row>
    <row r="34" spans="1:5" x14ac:dyDescent="0.25">
      <c r="A34">
        <v>3.3044386192625002</v>
      </c>
      <c r="B34">
        <v>0</v>
      </c>
      <c r="C34">
        <f t="shared" si="0"/>
        <v>8.5588481115242455E-3</v>
      </c>
      <c r="D34">
        <f t="shared" si="1"/>
        <v>-8.5588481115242455E-3</v>
      </c>
      <c r="E34">
        <f t="shared" si="2"/>
        <v>7.3253880996142139E-5</v>
      </c>
    </row>
    <row r="35" spans="1:5" x14ac:dyDescent="0.25">
      <c r="A35">
        <v>3.4020703438375</v>
      </c>
      <c r="B35">
        <v>0</v>
      </c>
      <c r="C35">
        <f t="shared" si="0"/>
        <v>6.5813489589451072E-3</v>
      </c>
      <c r="D35">
        <f t="shared" si="1"/>
        <v>-6.5813489589451072E-3</v>
      </c>
      <c r="E35">
        <f t="shared" si="2"/>
        <v>4.3314154119407848E-5</v>
      </c>
    </row>
    <row r="36" spans="1:5" x14ac:dyDescent="0.25">
      <c r="A36">
        <v>3.4997020684125002</v>
      </c>
      <c r="B36">
        <v>0</v>
      </c>
      <c r="C36">
        <f t="shared" si="0"/>
        <v>5.0326501577475004E-3</v>
      </c>
      <c r="D36">
        <f t="shared" si="1"/>
        <v>-5.0326501577475004E-3</v>
      </c>
      <c r="E36">
        <f t="shared" si="2"/>
        <v>2.532756761027594E-5</v>
      </c>
    </row>
    <row r="37" spans="1:5" x14ac:dyDescent="0.25">
      <c r="A37">
        <v>3.5973337929875004</v>
      </c>
      <c r="B37">
        <v>0</v>
      </c>
      <c r="C37">
        <f t="shared" si="0"/>
        <v>3.8273344297119747E-3</v>
      </c>
      <c r="D37">
        <f t="shared" si="1"/>
        <v>-3.8273344297119747E-3</v>
      </c>
      <c r="E37">
        <f t="shared" si="2"/>
        <v>1.4648488836858687E-5</v>
      </c>
    </row>
    <row r="38" spans="1:5" x14ac:dyDescent="0.25">
      <c r="A38">
        <v>3.6949655175625002</v>
      </c>
      <c r="B38">
        <v>0</v>
      </c>
      <c r="C38">
        <f t="shared" si="0"/>
        <v>2.8949941361798618E-3</v>
      </c>
      <c r="D38">
        <f t="shared" si="1"/>
        <v>-2.8949941361798618E-3</v>
      </c>
      <c r="E38">
        <f t="shared" si="2"/>
        <v>8.3809910485157842E-6</v>
      </c>
    </row>
    <row r="39" spans="1:5" x14ac:dyDescent="0.25">
      <c r="A39">
        <v>3.7925972421375</v>
      </c>
      <c r="B39">
        <v>0</v>
      </c>
      <c r="C39">
        <f t="shared" si="0"/>
        <v>2.1781241017797453E-3</v>
      </c>
      <c r="D39">
        <f t="shared" si="1"/>
        <v>-2.1781241017797453E-3</v>
      </c>
      <c r="E39">
        <f t="shared" si="2"/>
        <v>4.7442246027538224E-6</v>
      </c>
    </row>
    <row r="40" spans="1:5" x14ac:dyDescent="0.25">
      <c r="A40">
        <v>3.8902289667125003</v>
      </c>
      <c r="B40">
        <v>6.4374158275524096E-4</v>
      </c>
      <c r="C40">
        <f t="shared" si="0"/>
        <v>1.6301654809086467E-3</v>
      </c>
      <c r="D40">
        <f t="shared" si="1"/>
        <v>-9.8642389815340576E-4</v>
      </c>
      <c r="E40">
        <f t="shared" si="2"/>
        <v>9.730321068481606E-7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F2A1-EAE6-4ADB-BFDE-3239DDB69CC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4.77545625875E-2</v>
      </c>
      <c r="B1">
        <v>6.5091321255990306E-2</v>
      </c>
      <c r="C1">
        <f>$H$3*(1+$H$1)*(A1^($H$1))*EXP(-$H$3*(A1^(1+$H$1)))</f>
        <v>0.15762186943716042</v>
      </c>
      <c r="D1">
        <f>B1-C1</f>
        <v>-9.2530548181170111E-2</v>
      </c>
      <c r="E1">
        <f>D1^2</f>
        <v>8.5619023467078427E-3</v>
      </c>
      <c r="G1" t="s">
        <v>0</v>
      </c>
      <c r="H1">
        <v>0.71925674595629963</v>
      </c>
    </row>
    <row r="2" spans="1:8" x14ac:dyDescent="0.25">
      <c r="A2">
        <v>0.1432550077625</v>
      </c>
      <c r="B2">
        <v>0.26694016595890979</v>
      </c>
      <c r="C2">
        <f t="shared" ref="C2:C40" si="0">$H$3*(1+$H$1)*(A2^($H$1))*EXP(-$H$3*(A2^(1+$H$1)))</f>
        <v>0.3388870367234737</v>
      </c>
      <c r="D2">
        <f t="shared" ref="D2:D40" si="1">B2-C2</f>
        <v>-7.1946870764563908E-2</v>
      </c>
      <c r="E2">
        <f t="shared" ref="E2:E40" si="2">D2^2</f>
        <v>5.1763522128128606E-3</v>
      </c>
    </row>
    <row r="3" spans="1:8" x14ac:dyDescent="0.25">
      <c r="A3">
        <v>0.23875545293749997</v>
      </c>
      <c r="B3">
        <v>0.48917114156016961</v>
      </c>
      <c r="C3">
        <f t="shared" si="0"/>
        <v>0.46974139527974562</v>
      </c>
      <c r="D3">
        <f t="shared" si="1"/>
        <v>1.9429746280423987E-2</v>
      </c>
      <c r="E3">
        <f t="shared" si="2"/>
        <v>3.7751504052164976E-4</v>
      </c>
      <c r="G3" t="s">
        <v>1</v>
      </c>
      <c r="H3">
        <f>(_xlfn.GAMMA((2+$H$1)/(1+$H$1)))^(1+$H$1)</f>
        <v>0.82094296955723156</v>
      </c>
    </row>
    <row r="4" spans="1:8" x14ac:dyDescent="0.25">
      <c r="A4">
        <v>0.33425589811250001</v>
      </c>
      <c r="B4">
        <v>0.50429336771055122</v>
      </c>
      <c r="C4">
        <f t="shared" si="0"/>
        <v>0.56644910308744789</v>
      </c>
      <c r="D4">
        <f t="shared" si="1"/>
        <v>-6.215573537689667E-2</v>
      </c>
      <c r="E4">
        <f t="shared" si="2"/>
        <v>3.8633354402428043E-3</v>
      </c>
    </row>
    <row r="5" spans="1:8" x14ac:dyDescent="0.25">
      <c r="A5">
        <v>0.42975634328750001</v>
      </c>
      <c r="B5">
        <v>0.60554653410875836</v>
      </c>
      <c r="C5">
        <f t="shared" si="0"/>
        <v>0.63442439841602216</v>
      </c>
      <c r="D5">
        <f t="shared" si="1"/>
        <v>-2.8877864307263801E-2</v>
      </c>
      <c r="E5">
        <f t="shared" si="2"/>
        <v>8.3393104694874057E-4</v>
      </c>
      <c r="G5" t="s">
        <v>2</v>
      </c>
      <c r="H5">
        <f>SUM(E1:E40)</f>
        <v>0.27798038524129626</v>
      </c>
    </row>
    <row r="6" spans="1:8" x14ac:dyDescent="0.25">
      <c r="A6">
        <v>0.52525678846250001</v>
      </c>
      <c r="B6">
        <v>0.72257941475084198</v>
      </c>
      <c r="C6">
        <f t="shared" si="0"/>
        <v>0.6771348120682058</v>
      </c>
      <c r="D6">
        <f t="shared" si="1"/>
        <v>4.544460268263617E-2</v>
      </c>
      <c r="E6">
        <f t="shared" si="2"/>
        <v>2.0652119129826625E-3</v>
      </c>
    </row>
    <row r="7" spans="1:8" x14ac:dyDescent="0.25">
      <c r="A7">
        <v>0.62075723363750002</v>
      </c>
      <c r="B7">
        <v>1.0730205685835978</v>
      </c>
      <c r="C7">
        <f t="shared" si="0"/>
        <v>0.69766560444299608</v>
      </c>
      <c r="D7">
        <f t="shared" si="1"/>
        <v>0.37535496414060177</v>
      </c>
      <c r="E7">
        <f t="shared" si="2"/>
        <v>0.14089134910499243</v>
      </c>
    </row>
    <row r="8" spans="1:8" x14ac:dyDescent="0.25">
      <c r="A8">
        <v>0.71625767881249991</v>
      </c>
      <c r="B8">
        <v>0.93231811657569963</v>
      </c>
      <c r="C8">
        <f t="shared" si="0"/>
        <v>0.69909648160945481</v>
      </c>
      <c r="D8">
        <f t="shared" si="1"/>
        <v>0.23322163496624482</v>
      </c>
      <c r="E8">
        <f t="shared" si="2"/>
        <v>5.439233101632835E-2</v>
      </c>
    </row>
    <row r="9" spans="1:8" x14ac:dyDescent="0.25">
      <c r="A9">
        <v>0.81175812398750002</v>
      </c>
      <c r="B9">
        <v>0.66866539108426415</v>
      </c>
      <c r="C9">
        <f t="shared" si="0"/>
        <v>0.68455054641443236</v>
      </c>
      <c r="D9">
        <f t="shared" si="1"/>
        <v>-1.588515533016821E-2</v>
      </c>
      <c r="E9">
        <f t="shared" si="2"/>
        <v>2.523381598635715E-4</v>
      </c>
    </row>
    <row r="10" spans="1:8" x14ac:dyDescent="0.25">
      <c r="A10">
        <v>0.90725856916249992</v>
      </c>
      <c r="B10">
        <v>0.62592866500709876</v>
      </c>
      <c r="C10">
        <f t="shared" si="0"/>
        <v>0.65713576681316388</v>
      </c>
      <c r="D10">
        <f t="shared" si="1"/>
        <v>-3.1207101806065118E-2</v>
      </c>
      <c r="E10">
        <f t="shared" si="2"/>
        <v>9.7388320313411276E-4</v>
      </c>
    </row>
    <row r="11" spans="1:8" x14ac:dyDescent="0.25">
      <c r="A11">
        <v>1.0027590143375</v>
      </c>
      <c r="B11">
        <v>0.54900255806820109</v>
      </c>
      <c r="C11">
        <f t="shared" si="0"/>
        <v>0.6198555611305604</v>
      </c>
      <c r="D11">
        <f t="shared" si="1"/>
        <v>-7.085300306235931E-2</v>
      </c>
      <c r="E11">
        <f t="shared" si="2"/>
        <v>5.0201480429546974E-3</v>
      </c>
    </row>
    <row r="12" spans="1:8" x14ac:dyDescent="0.25">
      <c r="A12">
        <v>1.0982594595125001</v>
      </c>
      <c r="B12">
        <v>0.44117451073504543</v>
      </c>
      <c r="C12">
        <f t="shared" si="0"/>
        <v>0.57552042452602581</v>
      </c>
      <c r="D12">
        <f t="shared" si="1"/>
        <v>-0.13434591379098038</v>
      </c>
      <c r="E12">
        <f t="shared" si="2"/>
        <v>1.8048824552333531E-2</v>
      </c>
    </row>
    <row r="13" spans="1:8" x14ac:dyDescent="0.25">
      <c r="A13">
        <v>1.1937599046875</v>
      </c>
      <c r="B13">
        <v>0.42670977267815874</v>
      </c>
      <c r="C13">
        <f t="shared" si="0"/>
        <v>0.52667488733822487</v>
      </c>
      <c r="D13">
        <f t="shared" si="1"/>
        <v>-9.9965114660066134E-2</v>
      </c>
      <c r="E13">
        <f t="shared" si="2"/>
        <v>9.9930241490001695E-3</v>
      </c>
    </row>
    <row r="14" spans="1:8" x14ac:dyDescent="0.25">
      <c r="A14">
        <v>1.2892603498624999</v>
      </c>
      <c r="B14">
        <v>0.41224503462127199</v>
      </c>
      <c r="C14">
        <f t="shared" si="0"/>
        <v>0.47554566498344736</v>
      </c>
      <c r="D14">
        <f t="shared" si="1"/>
        <v>-6.330063036217537E-2</v>
      </c>
      <c r="E14">
        <f t="shared" si="2"/>
        <v>4.0069698042487579E-3</v>
      </c>
    </row>
    <row r="15" spans="1:8" x14ac:dyDescent="0.25">
      <c r="A15">
        <v>1.3847607950374998</v>
      </c>
      <c r="B15">
        <v>0.33071651102791039</v>
      </c>
      <c r="C15">
        <f t="shared" si="0"/>
        <v>0.42401223661836368</v>
      </c>
      <c r="D15">
        <f t="shared" si="1"/>
        <v>-9.3295725590453293E-2</v>
      </c>
      <c r="E15">
        <f t="shared" si="2"/>
        <v>8.7040924134491621E-3</v>
      </c>
    </row>
    <row r="16" spans="1:8" x14ac:dyDescent="0.25">
      <c r="A16">
        <v>1.4802612402125002</v>
      </c>
      <c r="B16">
        <v>0.30375949919462147</v>
      </c>
      <c r="C16">
        <f t="shared" si="0"/>
        <v>0.37359838275371976</v>
      </c>
      <c r="D16">
        <f t="shared" si="1"/>
        <v>-6.9838883559098286E-2</v>
      </c>
      <c r="E16">
        <f t="shared" si="2"/>
        <v>4.8774696567812888E-3</v>
      </c>
    </row>
    <row r="17" spans="1:5" x14ac:dyDescent="0.25">
      <c r="A17">
        <v>1.5757616853875001</v>
      </c>
      <c r="B17">
        <v>0.31362182059704424</v>
      </c>
      <c r="C17">
        <f t="shared" si="0"/>
        <v>0.32548165319065303</v>
      </c>
      <c r="D17">
        <f t="shared" si="1"/>
        <v>-1.1859832593608788E-2</v>
      </c>
      <c r="E17">
        <f t="shared" si="2"/>
        <v>1.4065562914842533E-4</v>
      </c>
    </row>
    <row r="18" spans="1:5" x14ac:dyDescent="0.25">
      <c r="A18">
        <v>1.6712621305624999</v>
      </c>
      <c r="B18">
        <v>0.27417253498735311</v>
      </c>
      <c r="C18">
        <f t="shared" si="0"/>
        <v>0.28051695462320259</v>
      </c>
      <c r="D18">
        <f t="shared" si="1"/>
        <v>-6.3444196358494742E-3</v>
      </c>
      <c r="E18">
        <f t="shared" si="2"/>
        <v>4.0251660515752375E-5</v>
      </c>
    </row>
    <row r="19" spans="1:5" x14ac:dyDescent="0.25">
      <c r="A19">
        <v>1.7667625757375001</v>
      </c>
      <c r="B19">
        <v>0.22091599941427015</v>
      </c>
      <c r="C19">
        <f t="shared" si="0"/>
        <v>0.23927021945552843</v>
      </c>
      <c r="D19">
        <f t="shared" si="1"/>
        <v>-1.8354220041258279E-2</v>
      </c>
      <c r="E19">
        <f t="shared" si="2"/>
        <v>3.3687739332292704E-4</v>
      </c>
    </row>
    <row r="20" spans="1:5" x14ac:dyDescent="0.25">
      <c r="A20">
        <v>1.8622630209125</v>
      </c>
      <c r="B20">
        <v>0.19724642804845549</v>
      </c>
      <c r="C20">
        <f t="shared" si="0"/>
        <v>0.20205828278833507</v>
      </c>
      <c r="D20">
        <f t="shared" si="1"/>
        <v>-4.8118547398795786E-3</v>
      </c>
      <c r="E20">
        <f t="shared" si="2"/>
        <v>2.3153946037701566E-5</v>
      </c>
    </row>
    <row r="21" spans="1:5" x14ac:dyDescent="0.25">
      <c r="A21">
        <v>1.9577634660875001</v>
      </c>
      <c r="B21">
        <v>0.20710874945087826</v>
      </c>
      <c r="C21">
        <f t="shared" si="0"/>
        <v>0.1689915233153714</v>
      </c>
      <c r="D21">
        <f t="shared" si="1"/>
        <v>3.811722613550686E-2</v>
      </c>
      <c r="E21">
        <f t="shared" si="2"/>
        <v>1.4529229282653673E-3</v>
      </c>
    </row>
    <row r="22" spans="1:5" x14ac:dyDescent="0.25">
      <c r="A22">
        <v>2.0532639112625004</v>
      </c>
      <c r="B22">
        <v>0.15911211862575408</v>
      </c>
      <c r="C22">
        <f t="shared" si="0"/>
        <v>0.1400164080862886</v>
      </c>
      <c r="D22">
        <f t="shared" si="1"/>
        <v>1.9095710539465488E-2</v>
      </c>
      <c r="E22">
        <f t="shared" si="2"/>
        <v>3.6464616100705333E-4</v>
      </c>
    </row>
    <row r="23" spans="1:5" x14ac:dyDescent="0.25">
      <c r="A23">
        <v>2.1487643564374999</v>
      </c>
      <c r="B23">
        <v>0.13741501154042399</v>
      </c>
      <c r="C23">
        <f t="shared" si="0"/>
        <v>0.11495573256262334</v>
      </c>
      <c r="D23">
        <f t="shared" si="1"/>
        <v>2.2459278977800645E-2</v>
      </c>
      <c r="E23">
        <f t="shared" si="2"/>
        <v>5.0441921220267805E-4</v>
      </c>
    </row>
    <row r="24" spans="1:5" x14ac:dyDescent="0.25">
      <c r="A24">
        <v>2.2442648016124997</v>
      </c>
      <c r="B24">
        <v>0.13281259488596003</v>
      </c>
      <c r="C24">
        <f t="shared" si="0"/>
        <v>9.3544997453224366E-2</v>
      </c>
      <c r="D24">
        <f t="shared" si="1"/>
        <v>3.9267597432735668E-2</v>
      </c>
      <c r="E24">
        <f t="shared" si="2"/>
        <v>1.5419442081393889E-3</v>
      </c>
    </row>
    <row r="25" spans="1:5" x14ac:dyDescent="0.25">
      <c r="A25">
        <v>2.3397652467875001</v>
      </c>
      <c r="B25">
        <v>0.12097780920305271</v>
      </c>
      <c r="C25">
        <f t="shared" si="0"/>
        <v>7.5463962784808242E-2</v>
      </c>
      <c r="D25">
        <f t="shared" si="1"/>
        <v>4.5513846418244464E-2</v>
      </c>
      <c r="E25">
        <f t="shared" si="2"/>
        <v>2.0715102157835442E-3</v>
      </c>
    </row>
    <row r="26" spans="1:5" x14ac:dyDescent="0.25">
      <c r="A26">
        <v>2.4352656919625</v>
      </c>
      <c r="B26">
        <v>7.6926106938897648E-2</v>
      </c>
      <c r="C26">
        <f t="shared" si="0"/>
        <v>6.0362935451931186E-2</v>
      </c>
      <c r="D26">
        <f t="shared" si="1"/>
        <v>1.6563171486966462E-2</v>
      </c>
      <c r="E26">
        <f t="shared" si="2"/>
        <v>2.7433864970665881E-4</v>
      </c>
    </row>
    <row r="27" spans="1:5" x14ac:dyDescent="0.25">
      <c r="A27">
        <v>2.5307661371375003</v>
      </c>
      <c r="B27">
        <v>6.7721273629969714E-2</v>
      </c>
      <c r="C27">
        <f t="shared" si="0"/>
        <v>4.7883762334735125E-2</v>
      </c>
      <c r="D27">
        <f t="shared" si="1"/>
        <v>1.9837511295234589E-2</v>
      </c>
      <c r="E27">
        <f t="shared" si="2"/>
        <v>3.935268543885599E-4</v>
      </c>
    </row>
    <row r="28" spans="1:5" x14ac:dyDescent="0.25">
      <c r="A28">
        <v>2.6262665823124998</v>
      </c>
      <c r="B28">
        <v>8.1528523593361601E-2</v>
      </c>
      <c r="C28">
        <f t="shared" si="0"/>
        <v>3.7675812682948881E-2</v>
      </c>
      <c r="D28">
        <f t="shared" si="1"/>
        <v>4.3852710910412721E-2</v>
      </c>
      <c r="E28">
        <f t="shared" si="2"/>
        <v>1.9230602541922309E-3</v>
      </c>
    </row>
    <row r="29" spans="1:5" x14ac:dyDescent="0.25">
      <c r="A29">
        <v>2.7217670274875001</v>
      </c>
      <c r="B29">
        <v>2.827198802027862E-2</v>
      </c>
      <c r="C29">
        <f t="shared" si="0"/>
        <v>2.9407445925030615E-2</v>
      </c>
      <c r="D29">
        <f t="shared" si="1"/>
        <v>-1.135457904751995E-3</v>
      </c>
      <c r="E29">
        <f t="shared" si="2"/>
        <v>1.2892646534637904E-6</v>
      </c>
    </row>
    <row r="30" spans="1:5" x14ac:dyDescent="0.25">
      <c r="A30">
        <v>2.8172674726625004</v>
      </c>
      <c r="B30">
        <v>3.5504357048721992E-2</v>
      </c>
      <c r="C30">
        <f t="shared" si="0"/>
        <v>2.2773585796270458E-2</v>
      </c>
      <c r="D30">
        <f t="shared" si="1"/>
        <v>1.2730771252451534E-2</v>
      </c>
      <c r="E30">
        <f t="shared" si="2"/>
        <v>1.6207253668224639E-4</v>
      </c>
    </row>
    <row r="31" spans="1:5" x14ac:dyDescent="0.25">
      <c r="A31">
        <v>2.9127679178374999</v>
      </c>
      <c r="B31">
        <v>0</v>
      </c>
      <c r="C31">
        <f t="shared" si="0"/>
        <v>1.7500073728665567E-2</v>
      </c>
      <c r="D31">
        <f t="shared" si="1"/>
        <v>-1.7500073728665567E-2</v>
      </c>
      <c r="E31">
        <f t="shared" si="2"/>
        <v>3.0625258050873073E-4</v>
      </c>
    </row>
    <row r="32" spans="1:5" x14ac:dyDescent="0.25">
      <c r="A32">
        <v>3.0082683630125002</v>
      </c>
      <c r="B32">
        <v>0</v>
      </c>
      <c r="C32">
        <f t="shared" si="0"/>
        <v>1.334547020213022E-2</v>
      </c>
      <c r="D32">
        <f t="shared" si="1"/>
        <v>-1.334547020213022E-2</v>
      </c>
      <c r="E32">
        <f t="shared" si="2"/>
        <v>1.7810157491594561E-4</v>
      </c>
    </row>
    <row r="33" spans="1:5" x14ac:dyDescent="0.25">
      <c r="A33">
        <v>3.1037688081874997</v>
      </c>
      <c r="B33">
        <v>0</v>
      </c>
      <c r="C33">
        <f t="shared" si="0"/>
        <v>1.0100928241747801E-2</v>
      </c>
      <c r="D33">
        <f t="shared" si="1"/>
        <v>-1.0100928241747801E-2</v>
      </c>
      <c r="E33">
        <f t="shared" si="2"/>
        <v>1.0202875134493833E-4</v>
      </c>
    </row>
    <row r="34" spans="1:5" x14ac:dyDescent="0.25">
      <c r="A34">
        <v>3.1992692533625</v>
      </c>
      <c r="B34">
        <v>0</v>
      </c>
      <c r="C34">
        <f t="shared" si="0"/>
        <v>7.5886929150366543E-3</v>
      </c>
      <c r="D34">
        <f t="shared" si="1"/>
        <v>-7.5886929150366543E-3</v>
      </c>
      <c r="E34">
        <f t="shared" si="2"/>
        <v>5.7588260158727513E-5</v>
      </c>
    </row>
    <row r="35" spans="1:5" x14ac:dyDescent="0.25">
      <c r="A35">
        <v>3.2947696985375003</v>
      </c>
      <c r="B35">
        <v>0</v>
      </c>
      <c r="C35">
        <f t="shared" si="0"/>
        <v>5.6596967209951669E-3</v>
      </c>
      <c r="D35">
        <f t="shared" si="1"/>
        <v>-5.6596967209951669E-3</v>
      </c>
      <c r="E35">
        <f t="shared" si="2"/>
        <v>3.2032166973643443E-5</v>
      </c>
    </row>
    <row r="36" spans="1:5" x14ac:dyDescent="0.25">
      <c r="A36">
        <v>3.3902701437124998</v>
      </c>
      <c r="B36">
        <v>0</v>
      </c>
      <c r="C36">
        <f t="shared" si="0"/>
        <v>4.1906327805190605E-3</v>
      </c>
      <c r="D36">
        <f t="shared" si="1"/>
        <v>-4.1906327805190605E-3</v>
      </c>
      <c r="E36">
        <f t="shared" si="2"/>
        <v>1.7561403101160914E-5</v>
      </c>
    </row>
    <row r="37" spans="1:5" x14ac:dyDescent="0.25">
      <c r="A37">
        <v>3.4857705888875001</v>
      </c>
      <c r="B37">
        <v>0</v>
      </c>
      <c r="C37">
        <f t="shared" si="0"/>
        <v>3.0808027824231728E-3</v>
      </c>
      <c r="D37">
        <f t="shared" si="1"/>
        <v>-3.0808027824231728E-3</v>
      </c>
      <c r="E37">
        <f t="shared" si="2"/>
        <v>9.4913457841863635E-6</v>
      </c>
    </row>
    <row r="38" spans="1:5" x14ac:dyDescent="0.25">
      <c r="A38">
        <v>3.5812710340625</v>
      </c>
      <c r="B38">
        <v>0</v>
      </c>
      <c r="C38">
        <f t="shared" si="0"/>
        <v>2.2489594153053544E-3</v>
      </c>
      <c r="D38">
        <f t="shared" si="1"/>
        <v>-2.2489594153053544E-3</v>
      </c>
      <c r="E38">
        <f t="shared" si="2"/>
        <v>5.0578184516906014E-6</v>
      </c>
    </row>
    <row r="39" spans="1:5" x14ac:dyDescent="0.25">
      <c r="A39">
        <v>3.6767714792374999</v>
      </c>
      <c r="B39">
        <v>0</v>
      </c>
      <c r="C39">
        <f t="shared" si="0"/>
        <v>1.6302962359551771E-3</v>
      </c>
      <c r="D39">
        <f t="shared" si="1"/>
        <v>-1.6302962359551771E-3</v>
      </c>
      <c r="E39">
        <f t="shared" si="2"/>
        <v>2.6578658169696186E-6</v>
      </c>
    </row>
    <row r="40" spans="1:5" x14ac:dyDescent="0.25">
      <c r="A40">
        <v>3.7722719244125003</v>
      </c>
      <c r="B40">
        <v>6.5748809349485164E-4</v>
      </c>
      <c r="C40">
        <f t="shared" si="0"/>
        <v>1.1736827191806698E-3</v>
      </c>
      <c r="D40">
        <f t="shared" si="1"/>
        <v>-5.1619462568581814E-4</v>
      </c>
      <c r="E40">
        <f t="shared" si="2"/>
        <v>2.664568915869219E-7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C4BA-6F31-4285-9765-64F8F264FA7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4.7256516525000007E-2</v>
      </c>
      <c r="B1">
        <v>4.1849842155714245E-2</v>
      </c>
      <c r="C1">
        <f>$H$3*(1+$H$1)*(A1^($H$1))*EXP(-$H$3*(A1^(1+$H$1)))</f>
        <v>0.1235240400484889</v>
      </c>
      <c r="D1">
        <f>B1-C1</f>
        <v>-8.167419789277465E-2</v>
      </c>
      <c r="E1">
        <f>D1^2</f>
        <v>6.6706746014281153E-3</v>
      </c>
      <c r="G1" t="s">
        <v>0</v>
      </c>
      <c r="H1">
        <v>0.80861132459645657</v>
      </c>
    </row>
    <row r="2" spans="1:8" x14ac:dyDescent="0.25">
      <c r="A2">
        <v>0.14175632957500001</v>
      </c>
      <c r="B2">
        <v>0.16806365183167785</v>
      </c>
      <c r="C2">
        <f t="shared" ref="C2:C40" si="0">$H$3*(1+$H$1)*(A2^($H$1))*EXP(-$H$3*(A2^(1+$H$1)))</f>
        <v>0.29422270287450714</v>
      </c>
      <c r="D2">
        <f t="shared" ref="D2:D40" si="1">B2-C2</f>
        <v>-0.12615905104282929</v>
      </c>
      <c r="E2">
        <f t="shared" ref="E2:E40" si="2">D2^2</f>
        <v>1.5916106160027206E-2</v>
      </c>
    </row>
    <row r="3" spans="1:8" x14ac:dyDescent="0.25">
      <c r="A3">
        <v>0.236256142625</v>
      </c>
      <c r="B3">
        <v>0.46034826371285675</v>
      </c>
      <c r="C3">
        <f t="shared" si="0"/>
        <v>0.42902521475697719</v>
      </c>
      <c r="D3">
        <f t="shared" si="1"/>
        <v>3.1323048955879562E-2</v>
      </c>
      <c r="E3">
        <f t="shared" si="2"/>
        <v>9.811333958924277E-4</v>
      </c>
      <c r="G3" t="s">
        <v>1</v>
      </c>
      <c r="H3">
        <f>(_xlfn.GAMMA((2+$H$1)/(1+$H$1)))^(1+$H$1)</f>
        <v>0.80845854422085428</v>
      </c>
    </row>
    <row r="4" spans="1:8" x14ac:dyDescent="0.25">
      <c r="A4">
        <v>0.33075595567500005</v>
      </c>
      <c r="B4">
        <v>0.54205509839782262</v>
      </c>
      <c r="C4">
        <f t="shared" si="0"/>
        <v>0.53579860254624545</v>
      </c>
      <c r="D4">
        <f t="shared" si="1"/>
        <v>6.2564958515771707E-3</v>
      </c>
      <c r="E4">
        <f t="shared" si="2"/>
        <v>3.9143740340802343E-5</v>
      </c>
    </row>
    <row r="5" spans="1:8" x14ac:dyDescent="0.25">
      <c r="A5">
        <v>0.42525576872500004</v>
      </c>
      <c r="B5">
        <v>0.59918345435641673</v>
      </c>
      <c r="C5">
        <f t="shared" si="0"/>
        <v>0.61651029675417213</v>
      </c>
      <c r="D5">
        <f t="shared" si="1"/>
        <v>-1.7326842397755393E-2</v>
      </c>
      <c r="E5">
        <f t="shared" si="2"/>
        <v>3.0021946747665386E-4</v>
      </c>
      <c r="G5" t="s">
        <v>2</v>
      </c>
      <c r="H5">
        <f>SUM(E1:E40)</f>
        <v>0.27905248158100365</v>
      </c>
    </row>
    <row r="6" spans="1:8" x14ac:dyDescent="0.25">
      <c r="A6">
        <v>0.51975558177499992</v>
      </c>
      <c r="B6">
        <v>0.65830465994147336</v>
      </c>
      <c r="C6">
        <f t="shared" si="0"/>
        <v>0.6724946891826159</v>
      </c>
      <c r="D6">
        <f t="shared" si="1"/>
        <v>-1.4190029241142543E-2</v>
      </c>
      <c r="E6">
        <f t="shared" si="2"/>
        <v>2.0135692986448042E-4</v>
      </c>
    </row>
    <row r="7" spans="1:8" x14ac:dyDescent="0.25">
      <c r="A7">
        <v>0.61425539482500002</v>
      </c>
      <c r="B7">
        <v>0.89013949981995388</v>
      </c>
      <c r="C7">
        <f t="shared" si="0"/>
        <v>0.70539393644074033</v>
      </c>
      <c r="D7">
        <f t="shared" si="1"/>
        <v>0.18474556337921355</v>
      </c>
      <c r="E7">
        <f t="shared" si="2"/>
        <v>3.4130923188303013E-2</v>
      </c>
    </row>
    <row r="8" spans="1:8" x14ac:dyDescent="0.25">
      <c r="A8">
        <v>0.70875520787500002</v>
      </c>
      <c r="B8">
        <v>1.0934101617191374</v>
      </c>
      <c r="C8">
        <f t="shared" si="0"/>
        <v>0.71734304888494727</v>
      </c>
      <c r="D8">
        <f t="shared" si="1"/>
        <v>0.37606711283419014</v>
      </c>
      <c r="E8">
        <f t="shared" si="2"/>
        <v>0.1414264733554435</v>
      </c>
    </row>
    <row r="9" spans="1:8" x14ac:dyDescent="0.25">
      <c r="A9">
        <v>0.80325502092500001</v>
      </c>
      <c r="B9">
        <v>0.79182558491446642</v>
      </c>
      <c r="C9">
        <f t="shared" si="0"/>
        <v>0.71092441461663247</v>
      </c>
      <c r="D9">
        <f t="shared" si="1"/>
        <v>8.0901170297833946E-2</v>
      </c>
      <c r="E9">
        <f t="shared" si="2"/>
        <v>6.5449993555591291E-3</v>
      </c>
    </row>
    <row r="10" spans="1:8" x14ac:dyDescent="0.25">
      <c r="A10">
        <v>0.89775483397499989</v>
      </c>
      <c r="B10">
        <v>0.68819740433841203</v>
      </c>
      <c r="C10">
        <f t="shared" si="0"/>
        <v>0.68903675547415477</v>
      </c>
      <c r="D10">
        <f t="shared" si="1"/>
        <v>-8.3935113574273856E-4</v>
      </c>
      <c r="E10">
        <f t="shared" si="2"/>
        <v>7.0451032907262511E-7</v>
      </c>
    </row>
    <row r="11" spans="1:8" x14ac:dyDescent="0.25">
      <c r="A11">
        <v>0.99225464702499999</v>
      </c>
      <c r="B11">
        <v>0.58656207338882038</v>
      </c>
      <c r="C11">
        <f t="shared" si="0"/>
        <v>0.65473626074494773</v>
      </c>
      <c r="D11">
        <f t="shared" si="1"/>
        <v>-6.8174187356127347E-2</v>
      </c>
      <c r="E11">
        <f t="shared" si="2"/>
        <v>4.6477198216683538E-3</v>
      </c>
    </row>
    <row r="12" spans="1:8" x14ac:dyDescent="0.25">
      <c r="A12">
        <v>1.0867544600749999</v>
      </c>
      <c r="B12">
        <v>0.47429821109809484</v>
      </c>
      <c r="C12">
        <f t="shared" si="0"/>
        <v>0.61107919249639298</v>
      </c>
      <c r="D12">
        <f t="shared" si="1"/>
        <v>-0.13678098139829814</v>
      </c>
      <c r="E12">
        <f t="shared" si="2"/>
        <v>1.8709036872281582E-2</v>
      </c>
    </row>
    <row r="13" spans="1:8" x14ac:dyDescent="0.25">
      <c r="A13">
        <v>1.181254273125</v>
      </c>
      <c r="B13">
        <v>0.45237686520700637</v>
      </c>
      <c r="C13">
        <f t="shared" si="0"/>
        <v>0.56098262649827202</v>
      </c>
      <c r="D13">
        <f t="shared" si="1"/>
        <v>-0.10860576129126565</v>
      </c>
      <c r="E13">
        <f t="shared" si="2"/>
        <v>1.1795211385655376E-2</v>
      </c>
    </row>
    <row r="14" spans="1:8" x14ac:dyDescent="0.25">
      <c r="A14">
        <v>1.2757540861750001</v>
      </c>
      <c r="B14">
        <v>0.44839116595408124</v>
      </c>
      <c r="C14">
        <f t="shared" si="0"/>
        <v>0.50711262855243044</v>
      </c>
      <c r="D14">
        <f t="shared" si="1"/>
        <v>-5.8721462598349206E-2</v>
      </c>
      <c r="E14">
        <f t="shared" si="2"/>
        <v>3.4482101696893248E-3</v>
      </c>
    </row>
    <row r="15" spans="1:8" x14ac:dyDescent="0.25">
      <c r="A15">
        <v>1.370253899225</v>
      </c>
      <c r="B15">
        <v>0.32018450665165504</v>
      </c>
      <c r="C15">
        <f t="shared" si="0"/>
        <v>0.45180404266276436</v>
      </c>
      <c r="D15">
        <f t="shared" si="1"/>
        <v>-0.13161953601110932</v>
      </c>
      <c r="E15">
        <f t="shared" si="2"/>
        <v>1.7323702259779701E-2</v>
      </c>
    </row>
    <row r="16" spans="1:8" x14ac:dyDescent="0.25">
      <c r="A16">
        <v>1.4647537122750001</v>
      </c>
      <c r="B16">
        <v>0.32815590515750537</v>
      </c>
      <c r="C16">
        <f t="shared" si="0"/>
        <v>0.39701225972382226</v>
      </c>
      <c r="D16">
        <f t="shared" si="1"/>
        <v>-6.8856354566316891E-2</v>
      </c>
      <c r="E16">
        <f t="shared" si="2"/>
        <v>4.7411975641623487E-3</v>
      </c>
    </row>
    <row r="17" spans="1:5" x14ac:dyDescent="0.25">
      <c r="A17">
        <v>1.5592535253249999</v>
      </c>
      <c r="B17">
        <v>0.31885594023401331</v>
      </c>
      <c r="C17">
        <f t="shared" si="0"/>
        <v>0.34429455022769673</v>
      </c>
      <c r="D17">
        <f t="shared" si="1"/>
        <v>-2.5438609993683414E-2</v>
      </c>
      <c r="E17">
        <f t="shared" si="2"/>
        <v>6.4712287841072965E-4</v>
      </c>
    </row>
    <row r="18" spans="1:5" x14ac:dyDescent="0.25">
      <c r="A18">
        <v>1.653753338375</v>
      </c>
      <c r="B18">
        <v>0.28298464695768683</v>
      </c>
      <c r="C18">
        <f t="shared" si="0"/>
        <v>0.29481666416194813</v>
      </c>
      <c r="D18">
        <f t="shared" si="1"/>
        <v>-1.1832017204261303E-2</v>
      </c>
      <c r="E18">
        <f t="shared" si="2"/>
        <v>1.3999663112193545E-4</v>
      </c>
    </row>
    <row r="19" spans="1:5" x14ac:dyDescent="0.25">
      <c r="A19">
        <v>1.7482531514249999</v>
      </c>
      <c r="B19">
        <v>0.21987774211970501</v>
      </c>
      <c r="C19">
        <f t="shared" si="0"/>
        <v>0.24937933268302367</v>
      </c>
      <c r="D19">
        <f t="shared" si="1"/>
        <v>-2.9501590563318664E-2</v>
      </c>
      <c r="E19">
        <f t="shared" si="2"/>
        <v>8.7034384576569282E-4</v>
      </c>
    </row>
    <row r="20" spans="1:5" x14ac:dyDescent="0.25">
      <c r="A20">
        <v>1.8427529644749998</v>
      </c>
      <c r="B20">
        <v>0.20459922831682523</v>
      </c>
      <c r="C20">
        <f t="shared" si="0"/>
        <v>0.20845893619362924</v>
      </c>
      <c r="D20">
        <f t="shared" si="1"/>
        <v>-3.8597078768040083E-3</v>
      </c>
      <c r="E20">
        <f t="shared" si="2"/>
        <v>1.4897344894262906E-5</v>
      </c>
    </row>
    <row r="21" spans="1:5" x14ac:dyDescent="0.25">
      <c r="A21">
        <v>1.9372527775249999</v>
      </c>
      <c r="B21">
        <v>0.22452772458145104</v>
      </c>
      <c r="C21">
        <f t="shared" si="0"/>
        <v>0.17225679456539686</v>
      </c>
      <c r="D21">
        <f t="shared" si="1"/>
        <v>5.2270930016054179E-2</v>
      </c>
      <c r="E21">
        <f t="shared" si="2"/>
        <v>2.7322501247432338E-3</v>
      </c>
    </row>
    <row r="22" spans="1:5" x14ac:dyDescent="0.25">
      <c r="A22">
        <v>2.031752590575</v>
      </c>
      <c r="B22">
        <v>0.14082804027002255</v>
      </c>
      <c r="C22">
        <f t="shared" si="0"/>
        <v>0.14075213588016933</v>
      </c>
      <c r="D22">
        <f t="shared" si="1"/>
        <v>7.5904389853220788E-5</v>
      </c>
      <c r="E22">
        <f t="shared" si="2"/>
        <v>5.761476398989727E-9</v>
      </c>
    </row>
    <row r="23" spans="1:5" x14ac:dyDescent="0.25">
      <c r="A23">
        <v>2.1262524036250001</v>
      </c>
      <c r="B23">
        <v>0.13684234101709739</v>
      </c>
      <c r="C23">
        <f t="shared" si="0"/>
        <v>0.11375465908450677</v>
      </c>
      <c r="D23">
        <f t="shared" si="1"/>
        <v>2.3087681932590615E-2</v>
      </c>
      <c r="E23">
        <f t="shared" si="2"/>
        <v>5.3304105702047108E-4</v>
      </c>
    </row>
    <row r="24" spans="1:5" x14ac:dyDescent="0.25">
      <c r="A24">
        <v>2.2207522166749998</v>
      </c>
      <c r="B24">
        <v>0.14414945631412684</v>
      </c>
      <c r="C24">
        <f t="shared" si="0"/>
        <v>9.0953585804326414E-2</v>
      </c>
      <c r="D24">
        <f t="shared" si="1"/>
        <v>5.319587050980043E-2</v>
      </c>
      <c r="E24">
        <f t="shared" si="2"/>
        <v>2.8298006392954551E-3</v>
      </c>
    </row>
    <row r="25" spans="1:5" x14ac:dyDescent="0.25">
      <c r="A25">
        <v>2.3152520297249994</v>
      </c>
      <c r="B25">
        <v>0.10827816303780036</v>
      </c>
      <c r="C25">
        <f t="shared" si="0"/>
        <v>7.1961082813142146E-2</v>
      </c>
      <c r="D25">
        <f t="shared" si="1"/>
        <v>3.631708022465821E-2</v>
      </c>
      <c r="E25">
        <f t="shared" si="2"/>
        <v>1.3189303160442605E-3</v>
      </c>
    </row>
    <row r="26" spans="1:5" x14ac:dyDescent="0.25">
      <c r="A26">
        <v>2.409751842775</v>
      </c>
      <c r="B26">
        <v>7.8385418640861612E-2</v>
      </c>
      <c r="C26">
        <f t="shared" si="0"/>
        <v>5.6348843190359384E-2</v>
      </c>
      <c r="D26">
        <f t="shared" si="1"/>
        <v>2.2036575450502228E-2</v>
      </c>
      <c r="E26">
        <f t="shared" si="2"/>
        <v>4.8561065758567751E-4</v>
      </c>
    </row>
    <row r="27" spans="1:5" x14ac:dyDescent="0.25">
      <c r="A27">
        <v>2.5042516558250005</v>
      </c>
      <c r="B27">
        <v>8.2371117893786774E-2</v>
      </c>
      <c r="C27">
        <f t="shared" si="0"/>
        <v>4.3677384414152844E-2</v>
      </c>
      <c r="D27">
        <f t="shared" si="1"/>
        <v>3.8693733479633931E-2</v>
      </c>
      <c r="E27">
        <f t="shared" si="2"/>
        <v>1.4972050105929438E-3</v>
      </c>
    </row>
    <row r="28" spans="1:5" x14ac:dyDescent="0.25">
      <c r="A28">
        <v>2.5987514688750002</v>
      </c>
      <c r="B28">
        <v>4.7828391035101996E-2</v>
      </c>
      <c r="C28">
        <f t="shared" si="0"/>
        <v>3.3518226178008523E-2</v>
      </c>
      <c r="D28">
        <f t="shared" si="1"/>
        <v>1.4310164857093473E-2</v>
      </c>
      <c r="E28">
        <f t="shared" si="2"/>
        <v>2.0478081823719306E-4</v>
      </c>
    </row>
    <row r="29" spans="1:5" x14ac:dyDescent="0.25">
      <c r="A29">
        <v>2.6932512819249999</v>
      </c>
      <c r="B29">
        <v>4.251412536453511E-2</v>
      </c>
      <c r="C29">
        <f t="shared" si="0"/>
        <v>2.5469543164880031E-2</v>
      </c>
      <c r="D29">
        <f t="shared" si="1"/>
        <v>1.704458219965508E-2</v>
      </c>
      <c r="E29">
        <f t="shared" si="2"/>
        <v>2.9051778236079882E-4</v>
      </c>
    </row>
    <row r="30" spans="1:5" x14ac:dyDescent="0.25">
      <c r="A30">
        <v>2.7877510949749995</v>
      </c>
      <c r="B30">
        <v>5.9785488793877494E-3</v>
      </c>
      <c r="C30">
        <f t="shared" si="0"/>
        <v>1.9166159222675019E-2</v>
      </c>
      <c r="D30">
        <f t="shared" si="1"/>
        <v>-1.3187610343287269E-2</v>
      </c>
      <c r="E30">
        <f t="shared" si="2"/>
        <v>1.7391306656637737E-4</v>
      </c>
    </row>
    <row r="31" spans="1:5" x14ac:dyDescent="0.25">
      <c r="A31">
        <v>2.8822509080250001</v>
      </c>
      <c r="B31">
        <v>0</v>
      </c>
      <c r="C31">
        <f t="shared" si="0"/>
        <v>1.4284881682119048E-2</v>
      </c>
      <c r="D31">
        <f t="shared" si="1"/>
        <v>-1.4284881682119048E-2</v>
      </c>
      <c r="E31">
        <f t="shared" si="2"/>
        <v>2.0405784467214031E-4</v>
      </c>
    </row>
    <row r="32" spans="1:5" x14ac:dyDescent="0.25">
      <c r="A32">
        <v>2.9767507210750002</v>
      </c>
      <c r="B32">
        <v>0</v>
      </c>
      <c r="C32">
        <f t="shared" si="0"/>
        <v>1.0546196340012137E-2</v>
      </c>
      <c r="D32">
        <f t="shared" si="1"/>
        <v>-1.0546196340012137E-2</v>
      </c>
      <c r="E32">
        <f t="shared" si="2"/>
        <v>1.1122225724208539E-4</v>
      </c>
    </row>
    <row r="33" spans="1:5" x14ac:dyDescent="0.25">
      <c r="A33">
        <v>3.0712505341250003</v>
      </c>
      <c r="B33">
        <v>0</v>
      </c>
      <c r="C33">
        <f t="shared" si="0"/>
        <v>7.7132849028178629E-3</v>
      </c>
      <c r="D33">
        <f t="shared" si="1"/>
        <v>-7.7132849028178629E-3</v>
      </c>
      <c r="E33">
        <f t="shared" si="2"/>
        <v>5.9494763992037971E-5</v>
      </c>
    </row>
    <row r="34" spans="1:5" x14ac:dyDescent="0.25">
      <c r="A34">
        <v>3.1657503471749999</v>
      </c>
      <c r="B34">
        <v>0</v>
      </c>
      <c r="C34">
        <f t="shared" si="0"/>
        <v>5.5892157337562448E-3</v>
      </c>
      <c r="D34">
        <f t="shared" si="1"/>
        <v>-5.5892157337562448E-3</v>
      </c>
      <c r="E34">
        <f t="shared" si="2"/>
        <v>3.1239332518468357E-5</v>
      </c>
    </row>
    <row r="35" spans="1:5" x14ac:dyDescent="0.25">
      <c r="A35">
        <v>3.2602501602249996</v>
      </c>
      <c r="B35">
        <v>0</v>
      </c>
      <c r="C35">
        <f t="shared" si="0"/>
        <v>4.0130199748157893E-3</v>
      </c>
      <c r="D35">
        <f t="shared" si="1"/>
        <v>-4.0130199748157893E-3</v>
      </c>
      <c r="E35">
        <f t="shared" si="2"/>
        <v>1.6104329318270519E-5</v>
      </c>
    </row>
    <row r="36" spans="1:5" x14ac:dyDescent="0.25">
      <c r="A36">
        <v>3.3547499732750001</v>
      </c>
      <c r="B36">
        <v>0</v>
      </c>
      <c r="C36">
        <f t="shared" si="0"/>
        <v>2.855217928012947E-3</v>
      </c>
      <c r="D36">
        <f t="shared" si="1"/>
        <v>-2.855217928012947E-3</v>
      </c>
      <c r="E36">
        <f t="shared" si="2"/>
        <v>8.1522694164465472E-6</v>
      </c>
    </row>
    <row r="37" spans="1:5" x14ac:dyDescent="0.25">
      <c r="A37">
        <v>3.4492497863249998</v>
      </c>
      <c r="B37">
        <v>0</v>
      </c>
      <c r="C37">
        <f t="shared" si="0"/>
        <v>2.0132191132729506E-3</v>
      </c>
      <c r="D37">
        <f t="shared" si="1"/>
        <v>-2.0132191132729506E-3</v>
      </c>
      <c r="E37">
        <f t="shared" si="2"/>
        <v>4.0530511980475257E-6</v>
      </c>
    </row>
    <row r="38" spans="1:5" x14ac:dyDescent="0.25">
      <c r="A38">
        <v>3.5437495993749999</v>
      </c>
      <c r="B38">
        <v>0</v>
      </c>
      <c r="C38">
        <f t="shared" si="0"/>
        <v>1.4068928809316964E-3</v>
      </c>
      <c r="D38">
        <f t="shared" si="1"/>
        <v>-1.4068928809316964E-3</v>
      </c>
      <c r="E38">
        <f t="shared" si="2"/>
        <v>1.9793475784162886E-6</v>
      </c>
    </row>
    <row r="39" spans="1:5" x14ac:dyDescent="0.25">
      <c r="A39">
        <v>3.638249412425</v>
      </c>
      <c r="B39">
        <v>0</v>
      </c>
      <c r="C39">
        <f t="shared" si="0"/>
        <v>9.7449984681125977E-4</v>
      </c>
      <c r="D39">
        <f t="shared" si="1"/>
        <v>-9.7449984681125977E-4</v>
      </c>
      <c r="E39">
        <f t="shared" si="2"/>
        <v>9.496499514351687E-7</v>
      </c>
    </row>
    <row r="40" spans="1:5" x14ac:dyDescent="0.25">
      <c r="A40">
        <v>3.7327492254749997</v>
      </c>
      <c r="B40">
        <v>6.642832088208611E-4</v>
      </c>
      <c r="C40">
        <f t="shared" si="0"/>
        <v>6.6908943739921178E-4</v>
      </c>
      <c r="D40">
        <f t="shared" si="1"/>
        <v>-4.806228578350686E-6</v>
      </c>
      <c r="E40">
        <f t="shared" si="2"/>
        <v>2.3099833147354856E-11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B345-8F6B-4448-B9E9-5DD666C31E4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4.7015694312500009E-2</v>
      </c>
      <c r="B1">
        <v>1.2725133533159416E-2</v>
      </c>
      <c r="C1">
        <f>$H$3*(1+$H$1)*(A1^($H$1))*EXP(-$H$3*(A1^(1+$H$1)))</f>
        <v>9.631277009738734E-2</v>
      </c>
      <c r="D1">
        <f>B1-C1</f>
        <v>-8.3587636564227921E-2</v>
      </c>
      <c r="E1">
        <f>D1^2</f>
        <v>6.9868929863934528E-3</v>
      </c>
      <c r="G1" t="s">
        <v>0</v>
      </c>
      <c r="H1">
        <v>0.90038093194501789</v>
      </c>
    </row>
    <row r="2" spans="1:8" x14ac:dyDescent="0.25">
      <c r="A2">
        <v>0.1407980009375</v>
      </c>
      <c r="B2">
        <v>0.14064621273491987</v>
      </c>
      <c r="C2">
        <f t="shared" ref="C2:C40" si="0">$H$3*(1+$H$1)*(A2^($H$1))*EXP(-$H$3*(A2^(1+$H$1)))</f>
        <v>0.25426173579078681</v>
      </c>
      <c r="D2">
        <f t="shared" ref="D2:D40" si="1">B2-C2</f>
        <v>-0.11361552305586695</v>
      </c>
      <c r="E2">
        <f t="shared" ref="E2:E40" si="2">D2^2</f>
        <v>1.2908487079258233E-2</v>
      </c>
    </row>
    <row r="3" spans="1:8" x14ac:dyDescent="0.25">
      <c r="A3">
        <v>0.23458030756250003</v>
      </c>
      <c r="B3">
        <v>0.3891211885666116</v>
      </c>
      <c r="C3">
        <f t="shared" si="0"/>
        <v>0.39014740092836436</v>
      </c>
      <c r="D3">
        <f t="shared" si="1"/>
        <v>-1.0262123617527652E-3</v>
      </c>
      <c r="E3">
        <f t="shared" si="2"/>
        <v>1.0531118114141882E-6</v>
      </c>
      <c r="G3" t="s">
        <v>1</v>
      </c>
      <c r="H3">
        <f>(_xlfn.GAMMA((2+$H$1)/(1+$H$1)))^(1+$H$1)</f>
        <v>0.7968337753890703</v>
      </c>
    </row>
    <row r="4" spans="1:8" x14ac:dyDescent="0.25">
      <c r="A4">
        <v>0.32836261418750001</v>
      </c>
      <c r="B4">
        <v>0.54852022966618741</v>
      </c>
      <c r="C4">
        <f t="shared" si="0"/>
        <v>0.50472141589683694</v>
      </c>
      <c r="D4">
        <f t="shared" si="1"/>
        <v>4.3798813769350464E-2</v>
      </c>
      <c r="E4">
        <f t="shared" si="2"/>
        <v>1.9183360876022439E-3</v>
      </c>
    </row>
    <row r="5" spans="1:8" x14ac:dyDescent="0.25">
      <c r="A5">
        <v>0.42214492081249999</v>
      </c>
      <c r="B5">
        <v>0.56057561932918054</v>
      </c>
      <c r="C5">
        <f t="shared" si="0"/>
        <v>0.5967308537985111</v>
      </c>
      <c r="D5">
        <f t="shared" si="1"/>
        <v>-3.6155234469330555E-2</v>
      </c>
      <c r="E5">
        <f t="shared" si="2"/>
        <v>1.3072009795322683E-3</v>
      </c>
      <c r="G5" t="s">
        <v>2</v>
      </c>
      <c r="H5">
        <f>SUM(E1:E40)</f>
        <v>0.28299136795681662</v>
      </c>
    </row>
    <row r="6" spans="1:8" x14ac:dyDescent="0.25">
      <c r="A6">
        <v>0.51592722743749997</v>
      </c>
      <c r="B6">
        <v>0.6777807966082805</v>
      </c>
      <c r="C6">
        <f t="shared" si="0"/>
        <v>0.66532881147214495</v>
      </c>
      <c r="D6">
        <f t="shared" si="1"/>
        <v>1.2451985136135546E-2</v>
      </c>
      <c r="E6">
        <f t="shared" si="2"/>
        <v>1.5505193383054058E-4</v>
      </c>
    </row>
    <row r="7" spans="1:8" x14ac:dyDescent="0.25">
      <c r="A7">
        <v>0.60970953406249995</v>
      </c>
      <c r="B7">
        <v>0.75547108554756948</v>
      </c>
      <c r="C7">
        <f t="shared" si="0"/>
        <v>0.71054407776507345</v>
      </c>
      <c r="D7">
        <f t="shared" si="1"/>
        <v>4.4927007782496031E-2</v>
      </c>
      <c r="E7">
        <f t="shared" si="2"/>
        <v>2.018436028288459E-3</v>
      </c>
    </row>
    <row r="8" spans="1:8" x14ac:dyDescent="0.25">
      <c r="A8">
        <v>0.70349184068749993</v>
      </c>
      <c r="B8">
        <v>1.1097655928655343</v>
      </c>
      <c r="C8">
        <f t="shared" si="0"/>
        <v>0.73334942450707119</v>
      </c>
      <c r="D8">
        <f t="shared" si="1"/>
        <v>0.37641616835846314</v>
      </c>
      <c r="E8">
        <f t="shared" si="2"/>
        <v>0.14168913180166687</v>
      </c>
    </row>
    <row r="9" spans="1:8" x14ac:dyDescent="0.25">
      <c r="A9">
        <v>0.79727414731250001</v>
      </c>
      <c r="B9">
        <v>0.92692551631013842</v>
      </c>
      <c r="C9">
        <f t="shared" si="0"/>
        <v>0.73557125887783326</v>
      </c>
      <c r="D9">
        <f t="shared" si="1"/>
        <v>0.19135425743230516</v>
      </c>
      <c r="E9">
        <f t="shared" si="2"/>
        <v>3.6616451837468915E-2</v>
      </c>
    </row>
    <row r="10" spans="1:8" x14ac:dyDescent="0.25">
      <c r="A10">
        <v>0.89105645393749999</v>
      </c>
      <c r="B10">
        <v>0.76283826811939859</v>
      </c>
      <c r="C10">
        <f t="shared" si="0"/>
        <v>0.71971879467672362</v>
      </c>
      <c r="D10">
        <f t="shared" si="1"/>
        <v>4.3119473442674972E-2</v>
      </c>
      <c r="E10">
        <f t="shared" si="2"/>
        <v>1.8592889899735521E-3</v>
      </c>
    </row>
    <row r="11" spans="1:8" x14ac:dyDescent="0.25">
      <c r="A11">
        <v>0.98483876056249997</v>
      </c>
      <c r="B11">
        <v>0.63692642052813708</v>
      </c>
      <c r="C11">
        <f t="shared" si="0"/>
        <v>0.68877381829124396</v>
      </c>
      <c r="D11">
        <f t="shared" si="1"/>
        <v>-5.1847397763106873E-2</v>
      </c>
      <c r="E11">
        <f t="shared" si="2"/>
        <v>2.6881526548058195E-3</v>
      </c>
    </row>
    <row r="12" spans="1:8" x14ac:dyDescent="0.25">
      <c r="A12">
        <v>1.0786210671875001</v>
      </c>
      <c r="B12">
        <v>0.51771201163853831</v>
      </c>
      <c r="C12">
        <f t="shared" si="0"/>
        <v>0.64596968078280081</v>
      </c>
      <c r="D12">
        <f t="shared" si="1"/>
        <v>-0.12825766914426251</v>
      </c>
      <c r="E12">
        <f t="shared" si="2"/>
        <v>1.6450029694319107E-2</v>
      </c>
    </row>
    <row r="13" spans="1:8" x14ac:dyDescent="0.25">
      <c r="A13">
        <v>1.1724033738125001</v>
      </c>
      <c r="B13">
        <v>0.47618789168822867</v>
      </c>
      <c r="C13">
        <f t="shared" si="0"/>
        <v>0.59458126516303278</v>
      </c>
      <c r="D13">
        <f t="shared" si="1"/>
        <v>-0.11839337347480411</v>
      </c>
      <c r="E13">
        <f t="shared" si="2"/>
        <v>1.4016990882744449E-2</v>
      </c>
    </row>
    <row r="14" spans="1:8" x14ac:dyDescent="0.25">
      <c r="A14">
        <v>1.2661856804374998</v>
      </c>
      <c r="B14">
        <v>0.439351978829083</v>
      </c>
      <c r="C14">
        <f t="shared" si="0"/>
        <v>0.53774192183586511</v>
      </c>
      <c r="D14">
        <f t="shared" si="1"/>
        <v>-9.838994300678211E-2</v>
      </c>
      <c r="E14">
        <f t="shared" si="2"/>
        <v>9.6805808848778319E-3</v>
      </c>
    </row>
    <row r="15" spans="1:8" x14ac:dyDescent="0.25">
      <c r="A15">
        <v>1.3599679870624999</v>
      </c>
      <c r="B15">
        <v>0.36032220214946137</v>
      </c>
      <c r="C15">
        <f t="shared" si="0"/>
        <v>0.47829781260443777</v>
      </c>
      <c r="D15">
        <f t="shared" si="1"/>
        <v>-0.1179756104549764</v>
      </c>
      <c r="E15">
        <f t="shared" si="2"/>
        <v>1.3918244662224336E-2</v>
      </c>
    </row>
    <row r="16" spans="1:8" x14ac:dyDescent="0.25">
      <c r="A16">
        <v>1.4537502936875</v>
      </c>
      <c r="B16">
        <v>0.33420219121297623</v>
      </c>
      <c r="C16">
        <f t="shared" si="0"/>
        <v>0.4187048198680432</v>
      </c>
      <c r="D16">
        <f t="shared" si="1"/>
        <v>-8.4502628655066969E-2</v>
      </c>
      <c r="E16">
        <f t="shared" si="2"/>
        <v>7.140694249616145E-3</v>
      </c>
    </row>
    <row r="17" spans="1:5" x14ac:dyDescent="0.25">
      <c r="A17">
        <v>1.5475326003125001</v>
      </c>
      <c r="B17">
        <v>0.34759706861630191</v>
      </c>
      <c r="C17">
        <f t="shared" si="0"/>
        <v>0.36096847753764988</v>
      </c>
      <c r="D17">
        <f t="shared" si="1"/>
        <v>-1.3371408921347971E-2</v>
      </c>
      <c r="E17">
        <f t="shared" si="2"/>
        <v>1.7879457654190411E-4</v>
      </c>
    </row>
    <row r="18" spans="1:5" x14ac:dyDescent="0.25">
      <c r="A18">
        <v>1.6413149069375002</v>
      </c>
      <c r="B18">
        <v>0.2692370358068466</v>
      </c>
      <c r="C18">
        <f t="shared" si="0"/>
        <v>0.30662356647266775</v>
      </c>
      <c r="D18">
        <f t="shared" si="1"/>
        <v>-3.7386530665821149E-2</v>
      </c>
      <c r="E18">
        <f t="shared" si="2"/>
        <v>1.3977526752263852E-3</v>
      </c>
    </row>
    <row r="19" spans="1:5" x14ac:dyDescent="0.25">
      <c r="A19">
        <v>1.7350972135624998</v>
      </c>
      <c r="B19">
        <v>0.22034573328470777</v>
      </c>
      <c r="C19">
        <f t="shared" si="0"/>
        <v>0.25674728135091451</v>
      </c>
      <c r="D19">
        <f t="shared" si="1"/>
        <v>-3.640154806620674E-2</v>
      </c>
      <c r="E19">
        <f t="shared" si="2"/>
        <v>1.3250727016163597E-3</v>
      </c>
    </row>
    <row r="20" spans="1:5" x14ac:dyDescent="0.25">
      <c r="A20">
        <v>1.8288795201874999</v>
      </c>
      <c r="B20">
        <v>0.22771291585653691</v>
      </c>
      <c r="C20">
        <f t="shared" si="0"/>
        <v>0.21199827067656377</v>
      </c>
      <c r="D20">
        <f t="shared" si="1"/>
        <v>1.5714645179973147E-2</v>
      </c>
      <c r="E20">
        <f t="shared" si="2"/>
        <v>2.4695007313245323E-4</v>
      </c>
    </row>
    <row r="21" spans="1:5" x14ac:dyDescent="0.25">
      <c r="A21">
        <v>1.9226618268125</v>
      </c>
      <c r="B21">
        <v>0.20360213653055065</v>
      </c>
      <c r="C21">
        <f t="shared" si="0"/>
        <v>0.17267330178355458</v>
      </c>
      <c r="D21">
        <f t="shared" si="1"/>
        <v>3.0928834746996064E-2</v>
      </c>
      <c r="E21">
        <f t="shared" si="2"/>
        <v>9.565928188069911E-4</v>
      </c>
    </row>
    <row r="22" spans="1:5" x14ac:dyDescent="0.25">
      <c r="A22">
        <v>2.0164441334375001</v>
      </c>
      <c r="B22">
        <v>0.14198570047525241</v>
      </c>
      <c r="C22">
        <f t="shared" si="0"/>
        <v>0.13877363552810618</v>
      </c>
      <c r="D22">
        <f t="shared" si="1"/>
        <v>3.212064947146237E-3</v>
      </c>
      <c r="E22">
        <f t="shared" si="2"/>
        <v>1.0317361224685559E-5</v>
      </c>
    </row>
    <row r="23" spans="1:5" x14ac:dyDescent="0.25">
      <c r="A23">
        <v>2.1102264400625002</v>
      </c>
      <c r="B23">
        <v>0.14935288304708155</v>
      </c>
      <c r="C23">
        <f t="shared" si="0"/>
        <v>0.11007418028213248</v>
      </c>
      <c r="D23">
        <f t="shared" si="1"/>
        <v>3.9278702764949075E-2</v>
      </c>
      <c r="E23">
        <f t="shared" si="2"/>
        <v>1.5428164908972181E-3</v>
      </c>
    </row>
    <row r="24" spans="1:5" x14ac:dyDescent="0.25">
      <c r="A24">
        <v>2.2040087466874998</v>
      </c>
      <c r="B24">
        <v>0.15270160239791297</v>
      </c>
      <c r="C24">
        <f t="shared" si="0"/>
        <v>8.6189882691626404E-2</v>
      </c>
      <c r="D24">
        <f t="shared" si="1"/>
        <v>6.6511719706286568E-2</v>
      </c>
      <c r="E24">
        <f t="shared" si="2"/>
        <v>4.4238088582876289E-3</v>
      </c>
    </row>
    <row r="25" spans="1:5" x14ac:dyDescent="0.25">
      <c r="A25">
        <v>2.2977910533125003</v>
      </c>
      <c r="B25">
        <v>8.5057471511118199E-2</v>
      </c>
      <c r="C25">
        <f t="shared" si="0"/>
        <v>6.6635369087955795E-2</v>
      </c>
      <c r="D25">
        <f t="shared" si="1"/>
        <v>1.8422102423162404E-2</v>
      </c>
      <c r="E25">
        <f t="shared" si="2"/>
        <v>3.3937385768948613E-4</v>
      </c>
    </row>
    <row r="26" spans="1:5" x14ac:dyDescent="0.25">
      <c r="A26">
        <v>2.3915733599375004</v>
      </c>
      <c r="B26">
        <v>8.9745678602282192E-2</v>
      </c>
      <c r="C26">
        <f t="shared" si="0"/>
        <v>5.087538071473427E-2</v>
      </c>
      <c r="D26">
        <f t="shared" si="1"/>
        <v>3.8870297887547922E-2</v>
      </c>
      <c r="E26">
        <f t="shared" si="2"/>
        <v>1.5109000578667124E-3</v>
      </c>
    </row>
    <row r="27" spans="1:5" x14ac:dyDescent="0.25">
      <c r="A27">
        <v>2.4853556665625001</v>
      </c>
      <c r="B27">
        <v>6.8313874756961074E-2</v>
      </c>
      <c r="C27">
        <f t="shared" si="0"/>
        <v>3.8364904261805777E-2</v>
      </c>
      <c r="D27">
        <f t="shared" si="1"/>
        <v>2.9948970495155297E-2</v>
      </c>
      <c r="E27">
        <f t="shared" si="2"/>
        <v>8.9694083371968253E-4</v>
      </c>
    </row>
    <row r="28" spans="1:5" x14ac:dyDescent="0.25">
      <c r="A28">
        <v>2.5791379731874997</v>
      </c>
      <c r="B28">
        <v>4.4872839301141096E-2</v>
      </c>
      <c r="C28">
        <f t="shared" si="0"/>
        <v>2.8578998181531073E-2</v>
      </c>
      <c r="D28">
        <f t="shared" si="1"/>
        <v>1.6293841119610023E-2</v>
      </c>
      <c r="E28">
        <f t="shared" si="2"/>
        <v>2.6548925843109439E-4</v>
      </c>
    </row>
    <row r="29" spans="1:5" x14ac:dyDescent="0.25">
      <c r="A29">
        <v>2.6729202798124998</v>
      </c>
      <c r="B29">
        <v>1.2725133533159416E-2</v>
      </c>
      <c r="C29">
        <f t="shared" si="0"/>
        <v>2.1033117575532792E-2</v>
      </c>
      <c r="D29">
        <f t="shared" si="1"/>
        <v>-8.3079840423733765E-3</v>
      </c>
      <c r="E29">
        <f t="shared" si="2"/>
        <v>6.9022598848330669E-5</v>
      </c>
    </row>
    <row r="30" spans="1:5" x14ac:dyDescent="0.25">
      <c r="A30">
        <v>2.7667025864374999</v>
      </c>
      <c r="B30">
        <v>0</v>
      </c>
      <c r="C30">
        <f t="shared" si="0"/>
        <v>1.5295250328754889E-2</v>
      </c>
      <c r="D30">
        <f t="shared" si="1"/>
        <v>-1.5295250328754889E-2</v>
      </c>
      <c r="E30">
        <f t="shared" si="2"/>
        <v>2.3394468261927654E-4</v>
      </c>
    </row>
    <row r="31" spans="1:5" x14ac:dyDescent="0.25">
      <c r="A31">
        <v>2.8604848930625</v>
      </c>
      <c r="B31">
        <v>0</v>
      </c>
      <c r="C31">
        <f t="shared" si="0"/>
        <v>1.0991428428197213E-2</v>
      </c>
      <c r="D31">
        <f t="shared" si="1"/>
        <v>-1.0991428428197213E-2</v>
      </c>
      <c r="E31">
        <f t="shared" si="2"/>
        <v>1.2081149889218186E-4</v>
      </c>
    </row>
    <row r="32" spans="1:5" x14ac:dyDescent="0.25">
      <c r="A32">
        <v>2.9542671996875001</v>
      </c>
      <c r="B32">
        <v>0</v>
      </c>
      <c r="C32">
        <f t="shared" si="0"/>
        <v>7.8062221243533018E-3</v>
      </c>
      <c r="D32">
        <f t="shared" si="1"/>
        <v>-7.8062221243533018E-3</v>
      </c>
      <c r="E32">
        <f t="shared" si="2"/>
        <v>6.0937103854742978E-5</v>
      </c>
    </row>
    <row r="33" spans="1:5" x14ac:dyDescent="0.25">
      <c r="A33">
        <v>3.0480495063125002</v>
      </c>
      <c r="B33">
        <v>0</v>
      </c>
      <c r="C33">
        <f t="shared" si="0"/>
        <v>5.4797183348933732E-3</v>
      </c>
      <c r="D33">
        <f t="shared" si="1"/>
        <v>-5.4797183348933732E-3</v>
      </c>
      <c r="E33">
        <f t="shared" si="2"/>
        <v>3.0027313029766603E-5</v>
      </c>
    </row>
    <row r="34" spans="1:5" x14ac:dyDescent="0.25">
      <c r="A34">
        <v>3.1418318129374998</v>
      </c>
      <c r="B34">
        <v>0</v>
      </c>
      <c r="C34">
        <f t="shared" si="0"/>
        <v>3.8022840900597704E-3</v>
      </c>
      <c r="D34">
        <f t="shared" si="1"/>
        <v>-3.8022840900597704E-3</v>
      </c>
      <c r="E34">
        <f t="shared" si="2"/>
        <v>1.4457364301521655E-5</v>
      </c>
    </row>
    <row r="35" spans="1:5" x14ac:dyDescent="0.25">
      <c r="A35">
        <v>3.2356141195624999</v>
      </c>
      <c r="B35">
        <v>0</v>
      </c>
      <c r="C35">
        <f t="shared" si="0"/>
        <v>2.6081689785925357E-3</v>
      </c>
      <c r="D35">
        <f t="shared" si="1"/>
        <v>-2.6081689785925357E-3</v>
      </c>
      <c r="E35">
        <f t="shared" si="2"/>
        <v>6.8025454208924311E-6</v>
      </c>
    </row>
    <row r="36" spans="1:5" x14ac:dyDescent="0.25">
      <c r="A36">
        <v>3.3293964261875</v>
      </c>
      <c r="B36">
        <v>0</v>
      </c>
      <c r="C36">
        <f t="shared" si="0"/>
        <v>1.7687450704919558E-3</v>
      </c>
      <c r="D36">
        <f t="shared" si="1"/>
        <v>-1.7687450704919558E-3</v>
      </c>
      <c r="E36">
        <f t="shared" si="2"/>
        <v>3.1284591243895934E-6</v>
      </c>
    </row>
    <row r="37" spans="1:5" x14ac:dyDescent="0.25">
      <c r="A37">
        <v>3.4231787328125001</v>
      </c>
      <c r="B37">
        <v>0</v>
      </c>
      <c r="C37">
        <f t="shared" si="0"/>
        <v>1.1859449920395794E-3</v>
      </c>
      <c r="D37">
        <f t="shared" si="1"/>
        <v>-1.1859449920395794E-3</v>
      </c>
      <c r="E37">
        <f t="shared" si="2"/>
        <v>1.4064655241437579E-6</v>
      </c>
    </row>
    <row r="38" spans="1:5" x14ac:dyDescent="0.25">
      <c r="A38">
        <v>3.5169610394374997</v>
      </c>
      <c r="B38">
        <v>0</v>
      </c>
      <c r="C38">
        <f t="shared" si="0"/>
        <v>7.8625456961968173E-4</v>
      </c>
      <c r="D38">
        <f t="shared" si="1"/>
        <v>-7.8625456961968173E-4</v>
      </c>
      <c r="E38">
        <f t="shared" si="2"/>
        <v>6.1819624824783095E-7</v>
      </c>
    </row>
    <row r="39" spans="1:5" x14ac:dyDescent="0.25">
      <c r="A39">
        <v>3.6107433460624998</v>
      </c>
      <c r="B39">
        <v>0</v>
      </c>
      <c r="C39">
        <f t="shared" si="0"/>
        <v>5.1545291234676607E-4</v>
      </c>
      <c r="D39">
        <f t="shared" si="1"/>
        <v>-5.1545291234676607E-4</v>
      </c>
      <c r="E39">
        <f t="shared" si="2"/>
        <v>2.6569170484676288E-7</v>
      </c>
    </row>
    <row r="40" spans="1:5" x14ac:dyDescent="0.25">
      <c r="A40">
        <v>3.7045256526874999</v>
      </c>
      <c r="B40">
        <v>6.6974387016628504E-4</v>
      </c>
      <c r="C40">
        <f t="shared" si="0"/>
        <v>3.3417063830388155E-4</v>
      </c>
      <c r="D40">
        <f t="shared" si="1"/>
        <v>3.355732318624035E-4</v>
      </c>
      <c r="E40">
        <f t="shared" si="2"/>
        <v>1.1260939394257842E-7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F003-217F-4774-83B8-14919C9CBF0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4.6303505724999999E-2</v>
      </c>
      <c r="B1">
        <v>1.0171415290553871E-2</v>
      </c>
      <c r="C1">
        <f>$H$3*(1+$H$1)*(A1^($H$1))*EXP(-$H$3*(A1^(1+$H$1)))</f>
        <v>7.1807667943460024E-2</v>
      </c>
      <c r="D1">
        <f>B1-C1</f>
        <v>-6.1636252652906155E-2</v>
      </c>
      <c r="E1">
        <f>D1^2</f>
        <v>3.799027641092881E-3</v>
      </c>
      <c r="G1" t="s">
        <v>0</v>
      </c>
      <c r="H1">
        <v>1.0041106036478336</v>
      </c>
    </row>
    <row r="2" spans="1:8" x14ac:dyDescent="0.25">
      <c r="A2">
        <v>0.13890183717499999</v>
      </c>
      <c r="B2">
        <v>9.4933209378502789E-2</v>
      </c>
      <c r="C2">
        <f t="shared" ref="C2:C40" si="0">$H$3*(1+$H$1)*(A2^($H$1))*EXP(-$H$3*(A2^(1+$H$1)))</f>
        <v>0.21351271217100834</v>
      </c>
      <c r="D2">
        <f t="shared" ref="D2:D40" si="1">B2-C2</f>
        <v>-0.11857950279250555</v>
      </c>
      <c r="E2">
        <f t="shared" ref="E2:E40" si="2">D2^2</f>
        <v>1.4061098482517832E-2</v>
      </c>
    </row>
    <row r="3" spans="1:8" x14ac:dyDescent="0.25">
      <c r="A3">
        <v>0.231500168625</v>
      </c>
      <c r="B3">
        <v>0.2644567975544006</v>
      </c>
      <c r="C3">
        <f t="shared" si="0"/>
        <v>0.34717063906612883</v>
      </c>
      <c r="D3">
        <f t="shared" si="1"/>
        <v>-8.2713841511728226E-2</v>
      </c>
      <c r="E3">
        <f t="shared" si="2"/>
        <v>6.8415795776272954E-3</v>
      </c>
      <c r="G3" t="s">
        <v>1</v>
      </c>
      <c r="H3">
        <f>(_xlfn.GAMMA((2+$H$1)/(1+$H$1)))^(1+$H$1)</f>
        <v>0.78495022127405012</v>
      </c>
    </row>
    <row r="4" spans="1:8" x14ac:dyDescent="0.25">
      <c r="A4">
        <v>0.32409850007499996</v>
      </c>
      <c r="B4">
        <v>0.55874974662775923</v>
      </c>
      <c r="C4">
        <f t="shared" si="0"/>
        <v>0.46750562069117241</v>
      </c>
      <c r="D4">
        <f t="shared" si="1"/>
        <v>9.1244125936586817E-2</v>
      </c>
      <c r="E4">
        <f t="shared" si="2"/>
        <v>8.3254905179317145E-3</v>
      </c>
    </row>
    <row r="5" spans="1:8" x14ac:dyDescent="0.25">
      <c r="A5">
        <v>0.41669683152500003</v>
      </c>
      <c r="B5">
        <v>0.5818049546196814</v>
      </c>
      <c r="C5">
        <f t="shared" si="0"/>
        <v>0.57021853319023774</v>
      </c>
      <c r="D5">
        <f t="shared" si="1"/>
        <v>1.1586421429443661E-2</v>
      </c>
      <c r="E5">
        <f t="shared" si="2"/>
        <v>1.3424516154067129E-4</v>
      </c>
      <c r="G5" t="s">
        <v>2</v>
      </c>
      <c r="H5">
        <f>SUM(E1:E40)</f>
        <v>0.27533451489718913</v>
      </c>
    </row>
    <row r="6" spans="1:8" x14ac:dyDescent="0.25">
      <c r="A6">
        <v>0.50929516297499999</v>
      </c>
      <c r="B6">
        <v>0.68623148493603447</v>
      </c>
      <c r="C6">
        <f t="shared" si="0"/>
        <v>0.65215475987332006</v>
      </c>
      <c r="D6">
        <f t="shared" si="1"/>
        <v>3.4076725062714419E-2</v>
      </c>
      <c r="E6">
        <f t="shared" si="2"/>
        <v>1.1612231909998291E-3</v>
      </c>
    </row>
    <row r="7" spans="1:8" x14ac:dyDescent="0.25">
      <c r="A7">
        <v>0.60189349442500006</v>
      </c>
      <c r="B7">
        <v>0.72556095739284276</v>
      </c>
      <c r="C7">
        <f t="shared" si="0"/>
        <v>0.71143454729790934</v>
      </c>
      <c r="D7">
        <f t="shared" si="1"/>
        <v>1.4126410094933428E-2</v>
      </c>
      <c r="E7">
        <f t="shared" si="2"/>
        <v>1.9955546217023705E-4</v>
      </c>
    </row>
    <row r="8" spans="1:8" x14ac:dyDescent="0.25">
      <c r="A8">
        <v>0.69449182587499991</v>
      </c>
      <c r="B8">
        <v>0.87067314887141134</v>
      </c>
      <c r="C8">
        <f t="shared" si="0"/>
        <v>0.74748765560288155</v>
      </c>
      <c r="D8">
        <f t="shared" si="1"/>
        <v>0.12318549326852979</v>
      </c>
      <c r="E8">
        <f t="shared" si="2"/>
        <v>1.5174665751810998E-2</v>
      </c>
    </row>
    <row r="9" spans="1:8" x14ac:dyDescent="0.25">
      <c r="A9">
        <v>0.78709015732499998</v>
      </c>
      <c r="B9">
        <v>1.1127528327865934</v>
      </c>
      <c r="C9">
        <f t="shared" si="0"/>
        <v>0.76098768097786684</v>
      </c>
      <c r="D9">
        <f t="shared" si="1"/>
        <v>0.35176515180872658</v>
      </c>
      <c r="E9">
        <f t="shared" si="2"/>
        <v>0.12373872202701645</v>
      </c>
    </row>
    <row r="10" spans="1:8" x14ac:dyDescent="0.25">
      <c r="A10">
        <v>0.87968848877500005</v>
      </c>
      <c r="B10">
        <v>0.89576263992144423</v>
      </c>
      <c r="C10">
        <f t="shared" si="0"/>
        <v>0.75369753763875857</v>
      </c>
      <c r="D10">
        <f t="shared" si="1"/>
        <v>0.14206510228268565</v>
      </c>
      <c r="E10">
        <f t="shared" si="2"/>
        <v>2.0182493286589935E-2</v>
      </c>
    </row>
    <row r="11" spans="1:8" x14ac:dyDescent="0.25">
      <c r="A11">
        <v>0.97228682022500013</v>
      </c>
      <c r="B11">
        <v>0.69572480587388474</v>
      </c>
      <c r="C11">
        <f t="shared" si="0"/>
        <v>0.72824700979625545</v>
      </c>
      <c r="D11">
        <f t="shared" si="1"/>
        <v>-3.2522203922370707E-2</v>
      </c>
      <c r="E11">
        <f t="shared" si="2"/>
        <v>1.0576937479682645E-3</v>
      </c>
    </row>
    <row r="12" spans="1:8" x14ac:dyDescent="0.25">
      <c r="A12">
        <v>1.064885151675</v>
      </c>
      <c r="B12">
        <v>0.58722970944131014</v>
      </c>
      <c r="C12">
        <f t="shared" si="0"/>
        <v>0.68786860735920652</v>
      </c>
      <c r="D12">
        <f t="shared" si="1"/>
        <v>-0.10063889791789637</v>
      </c>
      <c r="E12">
        <f t="shared" si="2"/>
        <v>1.0128187774128767E-2</v>
      </c>
    </row>
    <row r="13" spans="1:8" x14ac:dyDescent="0.25">
      <c r="A13">
        <v>1.157483483125</v>
      </c>
      <c r="B13">
        <v>0.48551555653577139</v>
      </c>
      <c r="C13">
        <f t="shared" si="0"/>
        <v>0.63611952240672798</v>
      </c>
      <c r="D13">
        <f t="shared" si="1"/>
        <v>-0.15060396587095659</v>
      </c>
      <c r="E13">
        <f t="shared" si="2"/>
        <v>2.2681554536060258E-2</v>
      </c>
    </row>
    <row r="14" spans="1:8" x14ac:dyDescent="0.25">
      <c r="A14">
        <v>1.2500818145749999</v>
      </c>
      <c r="B14">
        <v>0.47330985818710675</v>
      </c>
      <c r="C14">
        <f t="shared" si="0"/>
        <v>0.5766156527862949</v>
      </c>
      <c r="D14">
        <f t="shared" si="1"/>
        <v>-0.10330579459918815</v>
      </c>
      <c r="E14">
        <f t="shared" si="2"/>
        <v>1.0672087197769652E-2</v>
      </c>
    </row>
    <row r="15" spans="1:8" x14ac:dyDescent="0.25">
      <c r="A15">
        <v>1.342680146025</v>
      </c>
      <c r="B15">
        <v>0.40210995115322967</v>
      </c>
      <c r="C15">
        <f t="shared" si="0"/>
        <v>0.51279911437074266</v>
      </c>
      <c r="D15">
        <f t="shared" si="1"/>
        <v>-0.11068916321751299</v>
      </c>
      <c r="E15">
        <f t="shared" si="2"/>
        <v>1.2252090853793231E-2</v>
      </c>
    </row>
    <row r="16" spans="1:8" x14ac:dyDescent="0.25">
      <c r="A16">
        <v>1.435278477475</v>
      </c>
      <c r="B16">
        <v>0.34311574246801724</v>
      </c>
      <c r="C16">
        <f t="shared" si="0"/>
        <v>0.44775433759380945</v>
      </c>
      <c r="D16">
        <f t="shared" si="1"/>
        <v>-0.10463859512579221</v>
      </c>
      <c r="E16">
        <f t="shared" si="2"/>
        <v>1.0949235589899466E-2</v>
      </c>
    </row>
    <row r="17" spans="1:5" x14ac:dyDescent="0.25">
      <c r="A17">
        <v>1.5278768089249999</v>
      </c>
      <c r="B17">
        <v>0.34447193117342439</v>
      </c>
      <c r="C17">
        <f t="shared" si="0"/>
        <v>0.38408077382837258</v>
      </c>
      <c r="D17">
        <f t="shared" si="1"/>
        <v>-3.9608842654948184E-2</v>
      </c>
      <c r="E17">
        <f t="shared" si="2"/>
        <v>1.5688604164644426E-3</v>
      </c>
    </row>
    <row r="18" spans="1:5" x14ac:dyDescent="0.25">
      <c r="A18">
        <v>1.620475140375</v>
      </c>
      <c r="B18">
        <v>0.28751200554632272</v>
      </c>
      <c r="C18">
        <f t="shared" si="0"/>
        <v>0.32382340364209017</v>
      </c>
      <c r="D18">
        <f t="shared" si="1"/>
        <v>-3.6311398095767444E-2</v>
      </c>
      <c r="E18">
        <f t="shared" si="2"/>
        <v>1.3185176316693036E-3</v>
      </c>
    </row>
    <row r="19" spans="1:5" x14ac:dyDescent="0.25">
      <c r="A19">
        <v>1.713073471825</v>
      </c>
      <c r="B19">
        <v>0.23123017427192466</v>
      </c>
      <c r="C19">
        <f t="shared" si="0"/>
        <v>0.26845643418434773</v>
      </c>
      <c r="D19">
        <f t="shared" si="1"/>
        <v>-3.7226259912423065E-2</v>
      </c>
      <c r="E19">
        <f t="shared" si="2"/>
        <v>1.3857944270672766E-3</v>
      </c>
    </row>
    <row r="20" spans="1:5" x14ac:dyDescent="0.25">
      <c r="A20">
        <v>1.8056718032749999</v>
      </c>
      <c r="B20">
        <v>0.24140158956247851</v>
      </c>
      <c r="C20">
        <f t="shared" si="0"/>
        <v>0.21891131755123272</v>
      </c>
      <c r="D20">
        <f t="shared" si="1"/>
        <v>2.2490272011245788E-2</v>
      </c>
      <c r="E20">
        <f t="shared" si="2"/>
        <v>5.0581233513982563E-4</v>
      </c>
    </row>
    <row r="21" spans="1:5" x14ac:dyDescent="0.25">
      <c r="A21">
        <v>1.8982701347250002</v>
      </c>
      <c r="B21">
        <v>0.18511975828808044</v>
      </c>
      <c r="C21">
        <f t="shared" si="0"/>
        <v>0.17563773777358352</v>
      </c>
      <c r="D21">
        <f t="shared" si="1"/>
        <v>9.482020514496925E-3</v>
      </c>
      <c r="E21">
        <f t="shared" si="2"/>
        <v>8.9908713037340523E-5</v>
      </c>
    </row>
    <row r="22" spans="1:5" x14ac:dyDescent="0.25">
      <c r="A22">
        <v>1.9908684661750002</v>
      </c>
      <c r="B22">
        <v>0.16613311641237988</v>
      </c>
      <c r="C22">
        <f t="shared" si="0"/>
        <v>0.13868544801036048</v>
      </c>
      <c r="D22">
        <f t="shared" si="1"/>
        <v>2.7447668402019398E-2</v>
      </c>
      <c r="E22">
        <f t="shared" si="2"/>
        <v>7.5337450070721409E-4</v>
      </c>
    </row>
    <row r="23" spans="1:5" x14ac:dyDescent="0.25">
      <c r="A23">
        <v>2.0834667976249999</v>
      </c>
      <c r="B23">
        <v>0.15867407853264037</v>
      </c>
      <c r="C23">
        <f t="shared" si="0"/>
        <v>0.10779552531254689</v>
      </c>
      <c r="D23">
        <f t="shared" si="1"/>
        <v>5.0878553220093478E-2</v>
      </c>
      <c r="E23">
        <f t="shared" si="2"/>
        <v>2.5886271777698843E-3</v>
      </c>
    </row>
    <row r="24" spans="1:5" x14ac:dyDescent="0.25">
      <c r="A24">
        <v>2.1760651290749999</v>
      </c>
      <c r="B24">
        <v>0.12273507783935003</v>
      </c>
      <c r="C24">
        <f t="shared" si="0"/>
        <v>8.2491350327685106E-2</v>
      </c>
      <c r="D24">
        <f t="shared" si="1"/>
        <v>4.0243727511664926E-2</v>
      </c>
      <c r="E24">
        <f t="shared" si="2"/>
        <v>1.6195576040331364E-3</v>
      </c>
    </row>
    <row r="25" spans="1:5" x14ac:dyDescent="0.25">
      <c r="A25">
        <v>2.2686634605250005</v>
      </c>
      <c r="B25">
        <v>0.10442653031635307</v>
      </c>
      <c r="C25">
        <f t="shared" si="0"/>
        <v>6.2161969090560626E-2</v>
      </c>
      <c r="D25">
        <f t="shared" si="1"/>
        <v>4.2264561225792446E-2</v>
      </c>
      <c r="E25">
        <f t="shared" si="2"/>
        <v>1.7862931356087584E-3</v>
      </c>
    </row>
    <row r="26" spans="1:5" x14ac:dyDescent="0.25">
      <c r="A26">
        <v>2.3612617919750001</v>
      </c>
      <c r="B26">
        <v>8.0015133619023779E-2</v>
      </c>
      <c r="C26">
        <f t="shared" si="0"/>
        <v>4.6133035068351168E-2</v>
      </c>
      <c r="D26">
        <f t="shared" si="1"/>
        <v>3.3882098550672611E-2</v>
      </c>
      <c r="E26">
        <f t="shared" si="2"/>
        <v>1.147996602197491E-3</v>
      </c>
    </row>
    <row r="27" spans="1:5" x14ac:dyDescent="0.25">
      <c r="A27">
        <v>2.4538601234249997</v>
      </c>
      <c r="B27">
        <v>5.8316114332508856E-2</v>
      </c>
      <c r="C27">
        <f t="shared" si="0"/>
        <v>3.3722921187852452E-2</v>
      </c>
      <c r="D27">
        <f t="shared" si="1"/>
        <v>2.4593193144656404E-2</v>
      </c>
      <c r="E27">
        <f t="shared" si="2"/>
        <v>6.0482514905037471E-4</v>
      </c>
    </row>
    <row r="28" spans="1:5" x14ac:dyDescent="0.25">
      <c r="A28">
        <v>2.5464584548749998</v>
      </c>
      <c r="B28">
        <v>3.051424587166161E-2</v>
      </c>
      <c r="C28">
        <f t="shared" si="0"/>
        <v>2.428359838657692E-2</v>
      </c>
      <c r="D28">
        <f t="shared" si="1"/>
        <v>6.23064748508469E-3</v>
      </c>
      <c r="E28">
        <f t="shared" si="2"/>
        <v>3.8820968083392175E-5</v>
      </c>
    </row>
    <row r="29" spans="1:5" x14ac:dyDescent="0.25">
      <c r="A29">
        <v>2.6390567863249998</v>
      </c>
      <c r="B29">
        <v>0</v>
      </c>
      <c r="C29">
        <f t="shared" si="0"/>
        <v>1.7227374395698658E-2</v>
      </c>
      <c r="D29">
        <f t="shared" si="1"/>
        <v>-1.7227374395698658E-2</v>
      </c>
      <c r="E29">
        <f t="shared" si="2"/>
        <v>2.967824285695737E-4</v>
      </c>
    </row>
    <row r="30" spans="1:5" x14ac:dyDescent="0.25">
      <c r="A30">
        <v>2.7316551177750004</v>
      </c>
      <c r="B30">
        <v>0</v>
      </c>
      <c r="C30">
        <f t="shared" si="0"/>
        <v>1.2041546803638337E-2</v>
      </c>
      <c r="D30">
        <f t="shared" si="1"/>
        <v>-1.2041546803638337E-2</v>
      </c>
      <c r="E30">
        <f t="shared" si="2"/>
        <v>1.4499884942421263E-4</v>
      </c>
    </row>
    <row r="31" spans="1:5" x14ac:dyDescent="0.25">
      <c r="A31">
        <v>2.824253449225</v>
      </c>
      <c r="B31">
        <v>0</v>
      </c>
      <c r="C31">
        <f t="shared" si="0"/>
        <v>8.2934949779859685E-3</v>
      </c>
      <c r="D31">
        <f t="shared" si="1"/>
        <v>-8.2934949779859685E-3</v>
      </c>
      <c r="E31">
        <f t="shared" si="2"/>
        <v>6.8782058949878473E-5</v>
      </c>
    </row>
    <row r="32" spans="1:5" x14ac:dyDescent="0.25">
      <c r="A32">
        <v>2.9168517806750001</v>
      </c>
      <c r="B32">
        <v>0</v>
      </c>
      <c r="C32">
        <f t="shared" si="0"/>
        <v>5.6288096517632677E-3</v>
      </c>
      <c r="D32">
        <f t="shared" si="1"/>
        <v>-5.6288096517632677E-3</v>
      </c>
      <c r="E32">
        <f t="shared" si="2"/>
        <v>3.1683498095783316E-5</v>
      </c>
    </row>
    <row r="33" spans="1:5" x14ac:dyDescent="0.25">
      <c r="A33">
        <v>3.0094501121249997</v>
      </c>
      <c r="B33">
        <v>0</v>
      </c>
      <c r="C33">
        <f t="shared" si="0"/>
        <v>3.7648505876959537E-3</v>
      </c>
      <c r="D33">
        <f t="shared" si="1"/>
        <v>-3.7648505876959537E-3</v>
      </c>
      <c r="E33">
        <f t="shared" si="2"/>
        <v>1.4174099947674567E-5</v>
      </c>
    </row>
    <row r="34" spans="1:5" x14ac:dyDescent="0.25">
      <c r="A34">
        <v>3.1020484435749998</v>
      </c>
      <c r="B34">
        <v>0</v>
      </c>
      <c r="C34">
        <f t="shared" si="0"/>
        <v>2.4817442871390193E-3</v>
      </c>
      <c r="D34">
        <f t="shared" si="1"/>
        <v>-2.4817442871390193E-3</v>
      </c>
      <c r="E34">
        <f t="shared" si="2"/>
        <v>6.1590547067471591E-6</v>
      </c>
    </row>
    <row r="35" spans="1:5" x14ac:dyDescent="0.25">
      <c r="A35">
        <v>3.1946467750250003</v>
      </c>
      <c r="B35">
        <v>0</v>
      </c>
      <c r="C35">
        <f t="shared" si="0"/>
        <v>1.6123821623744326E-3</v>
      </c>
      <c r="D35">
        <f t="shared" si="1"/>
        <v>-1.6123821623744326E-3</v>
      </c>
      <c r="E35">
        <f t="shared" si="2"/>
        <v>2.5997762375432511E-6</v>
      </c>
    </row>
    <row r="36" spans="1:5" x14ac:dyDescent="0.25">
      <c r="A36">
        <v>3.2872451064749999</v>
      </c>
      <c r="B36">
        <v>0</v>
      </c>
      <c r="C36">
        <f t="shared" si="0"/>
        <v>1.0325286521673249E-3</v>
      </c>
      <c r="D36">
        <f t="shared" si="1"/>
        <v>-1.0325286521673249E-3</v>
      </c>
      <c r="E36">
        <f t="shared" si="2"/>
        <v>1.0661154175464726E-6</v>
      </c>
    </row>
    <row r="37" spans="1:5" x14ac:dyDescent="0.25">
      <c r="A37">
        <v>3.379843437925</v>
      </c>
      <c r="B37">
        <v>0</v>
      </c>
      <c r="C37">
        <f t="shared" si="0"/>
        <v>6.5174706529673215E-4</v>
      </c>
      <c r="D37">
        <f t="shared" si="1"/>
        <v>-6.5174706529673215E-4</v>
      </c>
      <c r="E37">
        <f t="shared" si="2"/>
        <v>4.2477423712290287E-7</v>
      </c>
    </row>
    <row r="38" spans="1:5" x14ac:dyDescent="0.25">
      <c r="A38">
        <v>3.472441769375</v>
      </c>
      <c r="B38">
        <v>0</v>
      </c>
      <c r="C38">
        <f t="shared" si="0"/>
        <v>4.055243546631684E-4</v>
      </c>
      <c r="D38">
        <f t="shared" si="1"/>
        <v>-4.055243546631684E-4</v>
      </c>
      <c r="E38">
        <f t="shared" si="2"/>
        <v>1.6445000222497918E-7</v>
      </c>
    </row>
    <row r="39" spans="1:5" x14ac:dyDescent="0.25">
      <c r="A39">
        <v>3.5650401008249997</v>
      </c>
      <c r="B39">
        <v>0</v>
      </c>
      <c r="C39">
        <f t="shared" si="0"/>
        <v>2.4873234528983111E-4</v>
      </c>
      <c r="D39">
        <f t="shared" si="1"/>
        <v>-2.4873234528983111E-4</v>
      </c>
      <c r="E39">
        <f t="shared" si="2"/>
        <v>6.1867779593379774E-8</v>
      </c>
    </row>
    <row r="40" spans="1:5" x14ac:dyDescent="0.25">
      <c r="A40">
        <v>3.6576384322750002</v>
      </c>
      <c r="B40">
        <v>6.7809435270359134E-4</v>
      </c>
      <c r="C40">
        <f t="shared" si="0"/>
        <v>1.5039739861928954E-4</v>
      </c>
      <c r="D40">
        <f t="shared" si="1"/>
        <v>5.2769695408430182E-4</v>
      </c>
      <c r="E40">
        <f t="shared" si="2"/>
        <v>2.7846407534984973E-7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310C-4B5B-422F-A061-5A19A3E653D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4.58408082125E-2</v>
      </c>
      <c r="B1">
        <v>1.0274090927161061E-2</v>
      </c>
      <c r="C1">
        <f>$H$3*(1+$H$1)*(A1^($H$1))*EXP(-$H$3*(A1^(1+$H$1)))</f>
        <v>5.2470680162948952E-2</v>
      </c>
      <c r="D1">
        <f>B1-C1</f>
        <v>-4.2196589235787889E-2</v>
      </c>
      <c r="E1">
        <f>D1^2</f>
        <v>1.7805521431338103E-3</v>
      </c>
      <c r="G1" t="s">
        <v>0</v>
      </c>
      <c r="H1">
        <v>1.1155569345611918</v>
      </c>
    </row>
    <row r="2" spans="1:8" x14ac:dyDescent="0.25">
      <c r="A2">
        <v>0.13751374463749999</v>
      </c>
      <c r="B2">
        <v>5.7534909192101948E-2</v>
      </c>
      <c r="C2">
        <f t="shared" ref="C2:C40" si="0">$H$3*(1+$H$1)*(A2^($H$1))*EXP(-$H$3*(A2^(1+$H$1)))</f>
        <v>0.17684214966721523</v>
      </c>
      <c r="D2">
        <f t="shared" ref="D2:D40" si="1">B2-C2</f>
        <v>-0.11930724047511329</v>
      </c>
      <c r="E2">
        <f t="shared" ref="E2:E40" si="2">D2^2</f>
        <v>1.4234217629786512E-2</v>
      </c>
    </row>
    <row r="3" spans="1:8" x14ac:dyDescent="0.25">
      <c r="A3">
        <v>0.22918668106250001</v>
      </c>
      <c r="B3">
        <v>0.19520772761606017</v>
      </c>
      <c r="C3">
        <f t="shared" si="0"/>
        <v>0.30565610363546308</v>
      </c>
      <c r="D3">
        <f t="shared" si="1"/>
        <v>-0.11044837601940291</v>
      </c>
      <c r="E3">
        <f t="shared" si="2"/>
        <v>1.2198843765323417E-2</v>
      </c>
      <c r="G3" t="s">
        <v>1</v>
      </c>
      <c r="H3">
        <f>(_xlfn.GAMMA((2+$H$1)/(1+$H$1)))^(1+$H$1)</f>
        <v>0.77345603276827324</v>
      </c>
    </row>
    <row r="4" spans="1:8" x14ac:dyDescent="0.25">
      <c r="A4">
        <v>0.32085961748750003</v>
      </c>
      <c r="B4">
        <v>0.50411539482603607</v>
      </c>
      <c r="C4">
        <f t="shared" si="0"/>
        <v>0.42934029922715239</v>
      </c>
      <c r="D4">
        <f t="shared" si="1"/>
        <v>7.4775095598883679E-2</v>
      </c>
      <c r="E4">
        <f t="shared" si="2"/>
        <v>5.5913149218221932E-3</v>
      </c>
    </row>
    <row r="5" spans="1:8" x14ac:dyDescent="0.25">
      <c r="A5">
        <v>0.41253255391249999</v>
      </c>
      <c r="B5">
        <v>0.5691846373647228</v>
      </c>
      <c r="C5">
        <f t="shared" si="0"/>
        <v>0.54109826094029634</v>
      </c>
      <c r="D5">
        <f t="shared" si="1"/>
        <v>2.8086376424426462E-2</v>
      </c>
      <c r="E5">
        <f t="shared" si="2"/>
        <v>7.8884454065457864E-4</v>
      </c>
      <c r="G5" t="s">
        <v>2</v>
      </c>
      <c r="H5">
        <f>SUM(E1:E40)</f>
        <v>0.27313946266496297</v>
      </c>
    </row>
    <row r="6" spans="1:8" x14ac:dyDescent="0.25">
      <c r="A6">
        <v>0.50420549033750006</v>
      </c>
      <c r="B6">
        <v>0.67672012240234192</v>
      </c>
      <c r="C6">
        <f t="shared" si="0"/>
        <v>0.6356287852839666</v>
      </c>
      <c r="D6">
        <f t="shared" si="1"/>
        <v>4.1091337118375315E-2</v>
      </c>
      <c r="E6">
        <f t="shared" si="2"/>
        <v>1.688497986175969E-3</v>
      </c>
    </row>
    <row r="7" spans="1:8" x14ac:dyDescent="0.25">
      <c r="A7">
        <v>0.59587842676250002</v>
      </c>
      <c r="B7">
        <v>0.74041948615074049</v>
      </c>
      <c r="C7">
        <f t="shared" si="0"/>
        <v>0.70907319508654443</v>
      </c>
      <c r="D7">
        <f t="shared" si="1"/>
        <v>3.1346291064196063E-2</v>
      </c>
      <c r="E7">
        <f t="shared" si="2"/>
        <v>9.8258996348129807E-4</v>
      </c>
    </row>
    <row r="8" spans="1:8" x14ac:dyDescent="0.25">
      <c r="A8">
        <v>0.68755136318749999</v>
      </c>
      <c r="B8">
        <v>0.81028330445543573</v>
      </c>
      <c r="C8">
        <f t="shared" si="0"/>
        <v>0.75910144724757256</v>
      </c>
      <c r="D8">
        <f t="shared" si="1"/>
        <v>5.1181857207863168E-2</v>
      </c>
      <c r="E8">
        <f t="shared" si="2"/>
        <v>2.619582507246095E-3</v>
      </c>
    </row>
    <row r="9" spans="1:8" x14ac:dyDescent="0.25">
      <c r="A9">
        <v>0.77922429961250006</v>
      </c>
      <c r="B9">
        <v>1.1102867595285388</v>
      </c>
      <c r="C9">
        <f t="shared" si="0"/>
        <v>0.7849449978414017</v>
      </c>
      <c r="D9">
        <f t="shared" si="1"/>
        <v>0.32534176168713713</v>
      </c>
      <c r="E9">
        <f t="shared" si="2"/>
        <v>0.10584726189768993</v>
      </c>
    </row>
    <row r="10" spans="1:8" x14ac:dyDescent="0.25">
      <c r="A10">
        <v>0.87089723603750002</v>
      </c>
      <c r="B10">
        <v>0.98288803203174158</v>
      </c>
      <c r="C10">
        <f t="shared" si="0"/>
        <v>0.78732513680703353</v>
      </c>
      <c r="D10">
        <f t="shared" si="1"/>
        <v>0.19556289522470804</v>
      </c>
      <c r="E10">
        <f t="shared" si="2"/>
        <v>3.8244845988670138E-2</v>
      </c>
    </row>
    <row r="11" spans="1:8" x14ac:dyDescent="0.25">
      <c r="A11">
        <v>0.96257017246250021</v>
      </c>
      <c r="B11">
        <v>0.79452969836712217</v>
      </c>
      <c r="C11">
        <f t="shared" si="0"/>
        <v>0.76827177235104194</v>
      </c>
      <c r="D11">
        <f t="shared" si="1"/>
        <v>2.6257926016080235E-2</v>
      </c>
      <c r="E11">
        <f t="shared" si="2"/>
        <v>6.894786786659432E-4</v>
      </c>
    </row>
    <row r="12" spans="1:8" x14ac:dyDescent="0.25">
      <c r="A12">
        <v>1.0542431088875002</v>
      </c>
      <c r="B12">
        <v>0.66850084966061307</v>
      </c>
      <c r="C12">
        <f t="shared" si="0"/>
        <v>0.73085100628434141</v>
      </c>
      <c r="D12">
        <f t="shared" si="1"/>
        <v>-6.2350156623728337E-2</v>
      </c>
      <c r="E12">
        <f t="shared" si="2"/>
        <v>3.8875420310034545E-3</v>
      </c>
    </row>
    <row r="13" spans="1:8" x14ac:dyDescent="0.25">
      <c r="A13">
        <v>1.1459160453125001</v>
      </c>
      <c r="B13">
        <v>0.52123887970463789</v>
      </c>
      <c r="C13">
        <f t="shared" si="0"/>
        <v>0.67883306948382194</v>
      </c>
      <c r="D13">
        <f t="shared" si="1"/>
        <v>-0.15759418977918405</v>
      </c>
      <c r="E13">
        <f t="shared" si="2"/>
        <v>2.4835928652157477E-2</v>
      </c>
    </row>
    <row r="14" spans="1:8" x14ac:dyDescent="0.25">
      <c r="A14">
        <v>1.2375889817374999</v>
      </c>
      <c r="B14">
        <v>0.48219733418142585</v>
      </c>
      <c r="C14">
        <f t="shared" si="0"/>
        <v>0.61633805456937196</v>
      </c>
      <c r="D14">
        <f t="shared" si="1"/>
        <v>-0.13414072038794611</v>
      </c>
      <c r="E14">
        <f t="shared" si="2"/>
        <v>1.799373286619714E-2</v>
      </c>
    </row>
    <row r="15" spans="1:8" x14ac:dyDescent="0.25">
      <c r="A15">
        <v>1.3292619181625001</v>
      </c>
      <c r="B15">
        <v>0.42740218256990015</v>
      </c>
      <c r="C15">
        <f t="shared" si="0"/>
        <v>0.54749644575555911</v>
      </c>
      <c r="D15">
        <f t="shared" si="1"/>
        <v>-0.12009426318565897</v>
      </c>
      <c r="E15">
        <f t="shared" si="2"/>
        <v>1.4422632050106323E-2</v>
      </c>
    </row>
    <row r="16" spans="1:8" x14ac:dyDescent="0.25">
      <c r="A16">
        <v>1.4209348545875</v>
      </c>
      <c r="B16">
        <v>0.37603172793409484</v>
      </c>
      <c r="C16">
        <f t="shared" si="0"/>
        <v>0.47615586229722745</v>
      </c>
      <c r="D16">
        <f t="shared" si="1"/>
        <v>-0.10012413436313261</v>
      </c>
      <c r="E16">
        <f t="shared" si="2"/>
        <v>1.0024842281966633E-2</v>
      </c>
    </row>
    <row r="17" spans="1:5" x14ac:dyDescent="0.25">
      <c r="A17">
        <v>1.5126077910125</v>
      </c>
      <c r="B17">
        <v>0.33972993999145912</v>
      </c>
      <c r="C17">
        <f t="shared" si="0"/>
        <v>0.40565628042324764</v>
      </c>
      <c r="D17">
        <f t="shared" si="1"/>
        <v>-6.5926340431788522E-2</v>
      </c>
      <c r="E17">
        <f t="shared" si="2"/>
        <v>4.3462823627280741E-3</v>
      </c>
    </row>
    <row r="18" spans="1:5" x14ac:dyDescent="0.25">
      <c r="A18">
        <v>1.6042807274375002</v>
      </c>
      <c r="B18">
        <v>0.30616790962939966</v>
      </c>
      <c r="C18">
        <f t="shared" si="0"/>
        <v>0.33868513059115918</v>
      </c>
      <c r="D18">
        <f t="shared" si="1"/>
        <v>-3.2517220961759519E-2</v>
      </c>
      <c r="E18">
        <f t="shared" si="2"/>
        <v>1.0573696590758927E-3</v>
      </c>
    </row>
    <row r="19" spans="1:5" x14ac:dyDescent="0.25">
      <c r="A19">
        <v>1.6959536638625001</v>
      </c>
      <c r="B19">
        <v>0.25205769741301803</v>
      </c>
      <c r="C19">
        <f t="shared" si="0"/>
        <v>0.27721291650127622</v>
      </c>
      <c r="D19">
        <f t="shared" si="1"/>
        <v>-2.5155219088258185E-2</v>
      </c>
      <c r="E19">
        <f t="shared" si="2"/>
        <v>6.3278504737826892E-4</v>
      </c>
    </row>
    <row r="20" spans="1:5" x14ac:dyDescent="0.25">
      <c r="A20">
        <v>1.7876266002875001</v>
      </c>
      <c r="B20">
        <v>0.22603000039754337</v>
      </c>
      <c r="C20">
        <f t="shared" si="0"/>
        <v>0.22250089863537448</v>
      </c>
      <c r="D20">
        <f t="shared" si="1"/>
        <v>3.5291017621688903E-3</v>
      </c>
      <c r="E20">
        <f t="shared" si="2"/>
        <v>1.2454559247743566E-5</v>
      </c>
    </row>
    <row r="21" spans="1:5" x14ac:dyDescent="0.25">
      <c r="A21">
        <v>1.8792995367125001</v>
      </c>
      <c r="B21">
        <v>0.18082400031803469</v>
      </c>
      <c r="C21">
        <f t="shared" si="0"/>
        <v>0.17516594714996025</v>
      </c>
      <c r="D21">
        <f t="shared" si="1"/>
        <v>5.6580531680744395E-3</v>
      </c>
      <c r="E21">
        <f t="shared" si="2"/>
        <v>3.2013565652757198E-5</v>
      </c>
    </row>
    <row r="22" spans="1:5" x14ac:dyDescent="0.25">
      <c r="A22">
        <v>1.9709724731375002</v>
      </c>
      <c r="B22">
        <v>0.17876918213260248</v>
      </c>
      <c r="C22">
        <f t="shared" si="0"/>
        <v>0.1352843210772105</v>
      </c>
      <c r="D22">
        <f t="shared" si="1"/>
        <v>4.3484861055391982E-2</v>
      </c>
      <c r="E22">
        <f t="shared" si="2"/>
        <v>1.8909331410067462E-3</v>
      </c>
    </row>
    <row r="23" spans="1:5" x14ac:dyDescent="0.25">
      <c r="A23">
        <v>2.0626454095625002</v>
      </c>
      <c r="B23">
        <v>0.15616618209284813</v>
      </c>
      <c r="C23">
        <f t="shared" si="0"/>
        <v>0.10251573901658124</v>
      </c>
      <c r="D23">
        <f t="shared" si="1"/>
        <v>5.3650443076266888E-2</v>
      </c>
      <c r="E23">
        <f t="shared" si="2"/>
        <v>2.8783700422797538E-3</v>
      </c>
    </row>
    <row r="24" spans="1:5" x14ac:dyDescent="0.25">
      <c r="A24">
        <v>2.1543183459874999</v>
      </c>
      <c r="B24">
        <v>0.12328909112593274</v>
      </c>
      <c r="C24">
        <f t="shared" si="0"/>
        <v>7.6231109238476494E-2</v>
      </c>
      <c r="D24">
        <f t="shared" si="1"/>
        <v>4.7057981887456246E-2</v>
      </c>
      <c r="E24">
        <f t="shared" si="2"/>
        <v>2.21445365932016E-3</v>
      </c>
    </row>
    <row r="25" spans="1:5" x14ac:dyDescent="0.25">
      <c r="A25">
        <v>2.2459912824125001</v>
      </c>
      <c r="B25">
        <v>0.10479572745704283</v>
      </c>
      <c r="C25">
        <f t="shared" si="0"/>
        <v>5.5630877210563798E-2</v>
      </c>
      <c r="D25">
        <f t="shared" si="1"/>
        <v>4.9164850246479028E-2</v>
      </c>
      <c r="E25">
        <f t="shared" si="2"/>
        <v>2.4171824997587087E-3</v>
      </c>
    </row>
    <row r="26" spans="1:5" x14ac:dyDescent="0.25">
      <c r="A26">
        <v>2.3376642188375003</v>
      </c>
      <c r="B26">
        <v>7.0548757699839287E-2</v>
      </c>
      <c r="C26">
        <f t="shared" si="0"/>
        <v>3.9845261201389891E-2</v>
      </c>
      <c r="D26">
        <f t="shared" si="1"/>
        <v>3.0703496498449397E-2</v>
      </c>
      <c r="E26">
        <f t="shared" si="2"/>
        <v>9.4270469723029438E-4</v>
      </c>
    </row>
    <row r="27" spans="1:5" x14ac:dyDescent="0.25">
      <c r="A27">
        <v>2.4293371552625</v>
      </c>
      <c r="B27">
        <v>4.246624249893239E-2</v>
      </c>
      <c r="C27">
        <f t="shared" si="0"/>
        <v>2.8011915554375516E-2</v>
      </c>
      <c r="D27">
        <f t="shared" si="1"/>
        <v>1.4454326944556874E-2</v>
      </c>
      <c r="E27">
        <f t="shared" si="2"/>
        <v>2.0892756742014285E-4</v>
      </c>
    </row>
    <row r="28" spans="1:5" x14ac:dyDescent="0.25">
      <c r="A28">
        <v>2.5210100916874998</v>
      </c>
      <c r="B28">
        <v>0</v>
      </c>
      <c r="C28">
        <f t="shared" si="0"/>
        <v>1.9330220347531069E-2</v>
      </c>
      <c r="D28">
        <f t="shared" si="1"/>
        <v>-1.9330220347531069E-2</v>
      </c>
      <c r="E28">
        <f t="shared" si="2"/>
        <v>3.7365741868410415E-4</v>
      </c>
    </row>
    <row r="29" spans="1:5" x14ac:dyDescent="0.25">
      <c r="A29">
        <v>2.6126830281125</v>
      </c>
      <c r="B29">
        <v>0</v>
      </c>
      <c r="C29">
        <f t="shared" si="0"/>
        <v>1.3094120267343334E-2</v>
      </c>
      <c r="D29">
        <f t="shared" si="1"/>
        <v>-1.3094120267343334E-2</v>
      </c>
      <c r="E29">
        <f t="shared" si="2"/>
        <v>1.7145598557565146E-4</v>
      </c>
    </row>
    <row r="30" spans="1:5" x14ac:dyDescent="0.25">
      <c r="A30">
        <v>2.7043559645375002</v>
      </c>
      <c r="B30">
        <v>0</v>
      </c>
      <c r="C30">
        <f t="shared" si="0"/>
        <v>8.7071279789607964E-3</v>
      </c>
      <c r="D30">
        <f t="shared" si="1"/>
        <v>-8.7071279789607964E-3</v>
      </c>
      <c r="E30">
        <f t="shared" si="2"/>
        <v>7.5814077642001921E-5</v>
      </c>
    </row>
    <row r="31" spans="1:5" x14ac:dyDescent="0.25">
      <c r="A31">
        <v>2.7960289009624999</v>
      </c>
      <c r="B31">
        <v>0</v>
      </c>
      <c r="C31">
        <f t="shared" si="0"/>
        <v>5.6838509651493336E-3</v>
      </c>
      <c r="D31">
        <f t="shared" si="1"/>
        <v>-5.6838509651493336E-3</v>
      </c>
      <c r="E31">
        <f t="shared" si="2"/>
        <v>3.2306161794029013E-5</v>
      </c>
    </row>
    <row r="32" spans="1:5" x14ac:dyDescent="0.25">
      <c r="A32">
        <v>2.8877018373875001</v>
      </c>
      <c r="B32">
        <v>0</v>
      </c>
      <c r="C32">
        <f t="shared" si="0"/>
        <v>3.6423920008146738E-3</v>
      </c>
      <c r="D32">
        <f t="shared" si="1"/>
        <v>-3.6423920008146738E-3</v>
      </c>
      <c r="E32">
        <f t="shared" si="2"/>
        <v>1.3267019487598723E-5</v>
      </c>
    </row>
    <row r="33" spans="1:5" x14ac:dyDescent="0.25">
      <c r="A33">
        <v>2.9793747738124998</v>
      </c>
      <c r="B33">
        <v>0</v>
      </c>
      <c r="C33">
        <f t="shared" si="0"/>
        <v>2.291455789962597E-3</v>
      </c>
      <c r="D33">
        <f t="shared" si="1"/>
        <v>-2.291455789962597E-3</v>
      </c>
      <c r="E33">
        <f t="shared" si="2"/>
        <v>5.2507696373531099E-6</v>
      </c>
    </row>
    <row r="34" spans="1:5" x14ac:dyDescent="0.25">
      <c r="A34">
        <v>3.0710477102375</v>
      </c>
      <c r="B34">
        <v>0</v>
      </c>
      <c r="C34">
        <f t="shared" si="0"/>
        <v>1.4152052890270012E-3</v>
      </c>
      <c r="D34">
        <f t="shared" si="1"/>
        <v>-1.4152052890270012E-3</v>
      </c>
      <c r="E34">
        <f t="shared" si="2"/>
        <v>2.0028060100899982E-6</v>
      </c>
    </row>
    <row r="35" spans="1:5" x14ac:dyDescent="0.25">
      <c r="A35">
        <v>3.1627206466625002</v>
      </c>
      <c r="B35">
        <v>0</v>
      </c>
      <c r="C35">
        <f t="shared" si="0"/>
        <v>8.5804693950470386E-4</v>
      </c>
      <c r="D35">
        <f t="shared" si="1"/>
        <v>-8.5804693950470386E-4</v>
      </c>
      <c r="E35">
        <f t="shared" si="2"/>
        <v>7.3624455039338896E-7</v>
      </c>
    </row>
    <row r="36" spans="1:5" x14ac:dyDescent="0.25">
      <c r="A36">
        <v>3.2543935830875004</v>
      </c>
      <c r="B36">
        <v>0</v>
      </c>
      <c r="C36">
        <f t="shared" si="0"/>
        <v>5.1072268887577242E-4</v>
      </c>
      <c r="D36">
        <f t="shared" si="1"/>
        <v>-5.1072268887577242E-4</v>
      </c>
      <c r="E36">
        <f t="shared" si="2"/>
        <v>2.6083766493249904E-7</v>
      </c>
    </row>
    <row r="37" spans="1:5" x14ac:dyDescent="0.25">
      <c r="A37">
        <v>3.3460665195125001</v>
      </c>
      <c r="B37">
        <v>0</v>
      </c>
      <c r="C37">
        <f t="shared" si="0"/>
        <v>2.984277560660684E-4</v>
      </c>
      <c r="D37">
        <f t="shared" si="1"/>
        <v>-2.984277560660684E-4</v>
      </c>
      <c r="E37">
        <f t="shared" si="2"/>
        <v>8.9059125590628828E-8</v>
      </c>
    </row>
    <row r="38" spans="1:5" x14ac:dyDescent="0.25">
      <c r="A38">
        <v>3.4377394559374999</v>
      </c>
      <c r="B38">
        <v>0</v>
      </c>
      <c r="C38">
        <f t="shared" si="0"/>
        <v>1.711864834063052E-4</v>
      </c>
      <c r="D38">
        <f t="shared" si="1"/>
        <v>-1.711864834063052E-4</v>
      </c>
      <c r="E38">
        <f t="shared" si="2"/>
        <v>2.9304812101017205E-8</v>
      </c>
    </row>
    <row r="39" spans="1:5" x14ac:dyDescent="0.25">
      <c r="A39">
        <v>3.5294123923625</v>
      </c>
      <c r="B39">
        <v>0</v>
      </c>
      <c r="C39">
        <f t="shared" si="0"/>
        <v>9.6398684798884734E-5</v>
      </c>
      <c r="D39">
        <f t="shared" si="1"/>
        <v>-9.6398684798884734E-5</v>
      </c>
      <c r="E39">
        <f t="shared" si="2"/>
        <v>9.2927064309547313E-9</v>
      </c>
    </row>
    <row r="40" spans="1:5" x14ac:dyDescent="0.25">
      <c r="A40">
        <v>3.6210853287875002</v>
      </c>
      <c r="B40">
        <v>6.8493939514407075E-4</v>
      </c>
      <c r="C40">
        <f t="shared" si="0"/>
        <v>5.3289101621384828E-5</v>
      </c>
      <c r="D40">
        <f t="shared" si="1"/>
        <v>6.3165029352268596E-4</v>
      </c>
      <c r="E40">
        <f t="shared" si="2"/>
        <v>3.9898209330729531E-7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08AA-6794-44E1-9F9D-47613DE53F0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4.5599524437499997E-2</v>
      </c>
      <c r="B1">
        <v>1.3810487730236511E-3</v>
      </c>
      <c r="C1">
        <f>$H$3*(1+$H$1)*(A1^($H$1))*EXP(-$H$3*(A1^(1+$H$1)))</f>
        <v>3.6523773811553126E-2</v>
      </c>
      <c r="D1">
        <f>B1-C1</f>
        <v>-3.5142725038529478E-2</v>
      </c>
      <c r="E1">
        <f>D1^2</f>
        <v>1.2350111231336867E-3</v>
      </c>
      <c r="G1" t="s">
        <v>0</v>
      </c>
      <c r="H1">
        <v>1.2453343061580997</v>
      </c>
    </row>
    <row r="2" spans="1:8" x14ac:dyDescent="0.25">
      <c r="A2">
        <v>0.1365995733125</v>
      </c>
      <c r="B2">
        <v>2.0025207208842943E-2</v>
      </c>
      <c r="C2">
        <f t="shared" ref="C2:C40" si="0">$H$3*(1+$H$1)*(A2^($H$1))*EXP(-$H$3*(A2^(1+$H$1)))</f>
        <v>0.14206910590669364</v>
      </c>
      <c r="D2">
        <f t="shared" ref="D2:D40" si="1">B2-C2</f>
        <v>-0.12204389869785069</v>
      </c>
      <c r="E2">
        <f t="shared" ref="E2:E40" si="2">D2^2</f>
        <v>1.4894713209371241E-2</v>
      </c>
    </row>
    <row r="3" spans="1:8" x14ac:dyDescent="0.25">
      <c r="A3">
        <v>0.22759962218749999</v>
      </c>
      <c r="B3">
        <v>0.15743956012469623</v>
      </c>
      <c r="C3">
        <f t="shared" si="0"/>
        <v>0.26332361906454999</v>
      </c>
      <c r="D3">
        <f t="shared" si="1"/>
        <v>-0.10588405893985375</v>
      </c>
      <c r="E3">
        <f t="shared" si="2"/>
        <v>1.1211433937578424E-2</v>
      </c>
      <c r="G3" t="s">
        <v>1</v>
      </c>
      <c r="H3">
        <f>(_xlfn.GAMMA((2+$H$1)/(1+$H$1)))^(1+$H$1)</f>
        <v>0.76148216414013792</v>
      </c>
    </row>
    <row r="4" spans="1:8" x14ac:dyDescent="0.25">
      <c r="A4">
        <v>0.31859967106249998</v>
      </c>
      <c r="B4">
        <v>0.35492953466707833</v>
      </c>
      <c r="C4">
        <f t="shared" si="0"/>
        <v>0.38811470691359667</v>
      </c>
      <c r="D4">
        <f t="shared" si="1"/>
        <v>-3.3185172246518346E-2</v>
      </c>
      <c r="E4">
        <f t="shared" si="2"/>
        <v>1.1012556570310914E-3</v>
      </c>
    </row>
    <row r="5" spans="1:8" x14ac:dyDescent="0.25">
      <c r="A5">
        <v>0.4095997199375</v>
      </c>
      <c r="B5">
        <v>0.62009089908761938</v>
      </c>
      <c r="C5">
        <f t="shared" si="0"/>
        <v>0.50772312912305795</v>
      </c>
      <c r="D5">
        <f t="shared" si="1"/>
        <v>0.11236776996456144</v>
      </c>
      <c r="E5">
        <f t="shared" si="2"/>
        <v>1.2626515726808596E-2</v>
      </c>
      <c r="G5" t="s">
        <v>2</v>
      </c>
      <c r="H5">
        <f>SUM(E1:E40)</f>
        <v>0.29118179687719808</v>
      </c>
    </row>
    <row r="6" spans="1:8" x14ac:dyDescent="0.25">
      <c r="A6">
        <v>0.50059976881250001</v>
      </c>
      <c r="B6">
        <v>0.68845281335229014</v>
      </c>
      <c r="C6">
        <f t="shared" si="0"/>
        <v>0.61485152117170672</v>
      </c>
      <c r="D6">
        <f t="shared" si="1"/>
        <v>7.3601292180583422E-2</v>
      </c>
      <c r="E6">
        <f t="shared" si="2"/>
        <v>5.4171502106516107E-3</v>
      </c>
    </row>
    <row r="7" spans="1:8" x14ac:dyDescent="0.25">
      <c r="A7">
        <v>0.59159981768750003</v>
      </c>
      <c r="B7">
        <v>0.72090745951834589</v>
      </c>
      <c r="C7">
        <f t="shared" si="0"/>
        <v>0.70352724084982288</v>
      </c>
      <c r="D7">
        <f t="shared" si="1"/>
        <v>1.7380218668523018E-2</v>
      </c>
      <c r="E7">
        <f t="shared" si="2"/>
        <v>3.0207200096567602E-4</v>
      </c>
    </row>
    <row r="8" spans="1:8" x14ac:dyDescent="0.25">
      <c r="A8">
        <v>0.68259986656249994</v>
      </c>
      <c r="B8">
        <v>0.81205667853790686</v>
      </c>
      <c r="C8">
        <f t="shared" si="0"/>
        <v>0.76932744284475141</v>
      </c>
      <c r="D8">
        <f t="shared" si="1"/>
        <v>4.2729235693155454E-2</v>
      </c>
      <c r="E8">
        <f t="shared" si="2"/>
        <v>1.8257875829212301E-3</v>
      </c>
    </row>
    <row r="9" spans="1:8" x14ac:dyDescent="0.25">
      <c r="A9">
        <v>0.77359991543749995</v>
      </c>
      <c r="B9">
        <v>0.99090249464446967</v>
      </c>
      <c r="C9">
        <f t="shared" si="0"/>
        <v>0.80960280825408615</v>
      </c>
      <c r="D9">
        <f t="shared" si="1"/>
        <v>0.18129968639038352</v>
      </c>
      <c r="E9">
        <f t="shared" si="2"/>
        <v>3.2869576285251417E-2</v>
      </c>
    </row>
    <row r="10" spans="1:8" x14ac:dyDescent="0.25">
      <c r="A10">
        <v>0.86459996431249997</v>
      </c>
      <c r="B10">
        <v>1.144198908450095</v>
      </c>
      <c r="C10">
        <f t="shared" si="0"/>
        <v>0.82358428123166538</v>
      </c>
      <c r="D10">
        <f t="shared" si="1"/>
        <v>0.32061462721842959</v>
      </c>
      <c r="E10">
        <f t="shared" si="2"/>
        <v>0.10279373918641257</v>
      </c>
    </row>
    <row r="11" spans="1:8" x14ac:dyDescent="0.25">
      <c r="A11">
        <v>0.95560001318749999</v>
      </c>
      <c r="B11">
        <v>0.88732383666769588</v>
      </c>
      <c r="C11">
        <f t="shared" si="0"/>
        <v>0.81232809659537897</v>
      </c>
      <c r="D11">
        <f t="shared" si="1"/>
        <v>7.4995740072316908E-2</v>
      </c>
      <c r="E11">
        <f t="shared" si="2"/>
        <v>5.6243610289945199E-3</v>
      </c>
    </row>
    <row r="12" spans="1:8" x14ac:dyDescent="0.25">
      <c r="A12">
        <v>1.0466000620624998</v>
      </c>
      <c r="B12">
        <v>0.73402742286207057</v>
      </c>
      <c r="C12">
        <f t="shared" si="0"/>
        <v>0.77849573000107009</v>
      </c>
      <c r="D12">
        <f t="shared" si="1"/>
        <v>-4.4468307138999519E-2</v>
      </c>
      <c r="E12">
        <f t="shared" si="2"/>
        <v>1.9774303398083955E-3</v>
      </c>
    </row>
    <row r="13" spans="1:8" x14ac:dyDescent="0.25">
      <c r="A13">
        <v>1.1376001109375</v>
      </c>
      <c r="B13">
        <v>0.58004048466993352</v>
      </c>
      <c r="C13">
        <f t="shared" si="0"/>
        <v>0.72599549537055752</v>
      </c>
      <c r="D13">
        <f t="shared" si="1"/>
        <v>-0.145955010700624</v>
      </c>
      <c r="E13">
        <f t="shared" si="2"/>
        <v>2.1302865148619267E-2</v>
      </c>
    </row>
    <row r="14" spans="1:8" x14ac:dyDescent="0.25">
      <c r="A14">
        <v>1.2286001598124998</v>
      </c>
      <c r="B14">
        <v>0.5061543753131682</v>
      </c>
      <c r="C14">
        <f t="shared" si="0"/>
        <v>0.65953340360612889</v>
      </c>
      <c r="D14">
        <f t="shared" si="1"/>
        <v>-0.15337902829296068</v>
      </c>
      <c r="E14">
        <f t="shared" si="2"/>
        <v>2.3525126320092835E-2</v>
      </c>
    </row>
    <row r="15" spans="1:8" x14ac:dyDescent="0.25">
      <c r="A15">
        <v>1.3196002086875001</v>
      </c>
      <c r="B15">
        <v>0.44400718052710386</v>
      </c>
      <c r="C15">
        <f t="shared" si="0"/>
        <v>0.58413165618222185</v>
      </c>
      <c r="D15">
        <f t="shared" si="1"/>
        <v>-0.14012447565511799</v>
      </c>
      <c r="E15">
        <f t="shared" si="2"/>
        <v>1.9634868677621754E-2</v>
      </c>
    </row>
    <row r="16" spans="1:8" x14ac:dyDescent="0.25">
      <c r="A16">
        <v>1.4106002575624998</v>
      </c>
      <c r="B16">
        <v>0.38945575399266963</v>
      </c>
      <c r="C16">
        <f t="shared" si="0"/>
        <v>0.50467337843237192</v>
      </c>
      <c r="D16">
        <f t="shared" si="1"/>
        <v>-0.11521762443970229</v>
      </c>
      <c r="E16">
        <f t="shared" si="2"/>
        <v>1.3275100981528284E-2</v>
      </c>
    </row>
    <row r="17" spans="1:5" x14ac:dyDescent="0.25">
      <c r="A17">
        <v>1.5016003064375001</v>
      </c>
      <c r="B17">
        <v>0.3514769127345192</v>
      </c>
      <c r="C17">
        <f t="shared" si="0"/>
        <v>0.42552302435102862</v>
      </c>
      <c r="D17">
        <f t="shared" si="1"/>
        <v>-7.4046111616509425E-2</v>
      </c>
      <c r="E17">
        <f t="shared" si="2"/>
        <v>5.4828266455245718E-3</v>
      </c>
    </row>
    <row r="18" spans="1:5" x14ac:dyDescent="0.25">
      <c r="A18">
        <v>1.5926003553124999</v>
      </c>
      <c r="B18">
        <v>0.30244968129217958</v>
      </c>
      <c r="C18">
        <f t="shared" si="0"/>
        <v>0.35025593299365437</v>
      </c>
      <c r="D18">
        <f t="shared" si="1"/>
        <v>-4.7806251701474789E-2</v>
      </c>
      <c r="E18">
        <f t="shared" si="2"/>
        <v>2.2854377017447612E-3</v>
      </c>
    </row>
    <row r="19" spans="1:5" x14ac:dyDescent="0.25">
      <c r="A19">
        <v>1.6836004041875001</v>
      </c>
      <c r="B19">
        <v>0.27137608389914747</v>
      </c>
      <c r="C19">
        <f t="shared" si="0"/>
        <v>0.28151135612770328</v>
      </c>
      <c r="D19">
        <f t="shared" si="1"/>
        <v>-1.0135272228555814E-2</v>
      </c>
      <c r="E19">
        <f t="shared" si="2"/>
        <v>1.0272374314693474E-4</v>
      </c>
    </row>
    <row r="20" spans="1:5" x14ac:dyDescent="0.25">
      <c r="A20">
        <v>1.7746004530624999</v>
      </c>
      <c r="B20">
        <v>0.20991941349959498</v>
      </c>
      <c r="C20">
        <f t="shared" si="0"/>
        <v>0.2209646310700534</v>
      </c>
      <c r="D20">
        <f t="shared" si="1"/>
        <v>-1.1045217570458427E-2</v>
      </c>
      <c r="E20">
        <f t="shared" si="2"/>
        <v>1.2199683117876354E-4</v>
      </c>
    </row>
    <row r="21" spans="1:5" x14ac:dyDescent="0.25">
      <c r="A21">
        <v>1.8656005019375002</v>
      </c>
      <c r="B21">
        <v>0.21682465736471324</v>
      </c>
      <c r="C21">
        <f t="shared" si="0"/>
        <v>0.16939915011823503</v>
      </c>
      <c r="D21">
        <f t="shared" si="1"/>
        <v>4.7425507246478205E-2</v>
      </c>
      <c r="E21">
        <f t="shared" si="2"/>
        <v>2.2491787375857569E-3</v>
      </c>
    </row>
    <row r="22" spans="1:5" x14ac:dyDescent="0.25">
      <c r="A22">
        <v>1.9566005508125</v>
      </c>
      <c r="B22">
        <v>0.17608371856051552</v>
      </c>
      <c r="C22">
        <f t="shared" si="0"/>
        <v>0.12684932689663087</v>
      </c>
      <c r="D22">
        <f t="shared" si="1"/>
        <v>4.9234391663884658E-2</v>
      </c>
      <c r="E22">
        <f t="shared" si="2"/>
        <v>2.4240253225127949E-3</v>
      </c>
    </row>
    <row r="23" spans="1:5" x14ac:dyDescent="0.25">
      <c r="A23">
        <v>2.0476005996874997</v>
      </c>
      <c r="B23">
        <v>0.12705648711817591</v>
      </c>
      <c r="C23">
        <f t="shared" si="0"/>
        <v>9.2782455473780584E-2</v>
      </c>
      <c r="D23">
        <f t="shared" si="1"/>
        <v>3.4274031644395325E-2</v>
      </c>
      <c r="E23">
        <f t="shared" si="2"/>
        <v>1.1747092451610121E-3</v>
      </c>
    </row>
    <row r="24" spans="1:5" x14ac:dyDescent="0.25">
      <c r="A24">
        <v>2.1386006485625</v>
      </c>
      <c r="B24">
        <v>0.14155749923492425</v>
      </c>
      <c r="C24">
        <f t="shared" si="0"/>
        <v>6.6289526714641889E-2</v>
      </c>
      <c r="D24">
        <f t="shared" si="1"/>
        <v>7.5267972520282361E-2</v>
      </c>
      <c r="E24">
        <f t="shared" si="2"/>
        <v>5.6652676873139808E-3</v>
      </c>
    </row>
    <row r="25" spans="1:5" x14ac:dyDescent="0.25">
      <c r="A25">
        <v>2.2296006974375002</v>
      </c>
      <c r="B25">
        <v>6.7671389878158905E-2</v>
      </c>
      <c r="C25">
        <f t="shared" si="0"/>
        <v>4.6261162703118419E-2</v>
      </c>
      <c r="D25">
        <f t="shared" si="1"/>
        <v>2.1410227175040486E-2</v>
      </c>
      <c r="E25">
        <f t="shared" si="2"/>
        <v>4.5839782768684211E-4</v>
      </c>
    </row>
    <row r="26" spans="1:5" x14ac:dyDescent="0.25">
      <c r="A26">
        <v>2.3206007463125</v>
      </c>
      <c r="B26">
        <v>6.4909292332111609E-2</v>
      </c>
      <c r="C26">
        <f t="shared" si="0"/>
        <v>3.1532931050881896E-2</v>
      </c>
      <c r="D26">
        <f t="shared" si="1"/>
        <v>3.3376361281229713E-2</v>
      </c>
      <c r="E26">
        <f t="shared" si="2"/>
        <v>1.1139814923751699E-3</v>
      </c>
    </row>
    <row r="27" spans="1:5" x14ac:dyDescent="0.25">
      <c r="A27">
        <v>2.4116007951874998</v>
      </c>
      <c r="B27">
        <v>7.5957682516300815E-3</v>
      </c>
      <c r="C27">
        <f t="shared" si="0"/>
        <v>2.0992576120548136E-2</v>
      </c>
      <c r="D27">
        <f t="shared" si="1"/>
        <v>-1.3396807868918056E-2</v>
      </c>
      <c r="E27">
        <f t="shared" si="2"/>
        <v>1.7947446107670473E-4</v>
      </c>
    </row>
    <row r="28" spans="1:5" x14ac:dyDescent="0.25">
      <c r="A28">
        <v>2.5026008440625001</v>
      </c>
      <c r="B28">
        <v>0</v>
      </c>
      <c r="C28">
        <f t="shared" si="0"/>
        <v>1.3648757807615312E-2</v>
      </c>
      <c r="D28">
        <f t="shared" si="1"/>
        <v>-1.3648757807615312E-2</v>
      </c>
      <c r="E28">
        <f t="shared" si="2"/>
        <v>1.8628858969093996E-4</v>
      </c>
    </row>
    <row r="29" spans="1:5" x14ac:dyDescent="0.25">
      <c r="A29">
        <v>2.5936008929375003</v>
      </c>
      <c r="B29">
        <v>0</v>
      </c>
      <c r="C29">
        <f t="shared" si="0"/>
        <v>8.6659226543967134E-3</v>
      </c>
      <c r="D29">
        <f t="shared" si="1"/>
        <v>-8.6659226543967134E-3</v>
      </c>
      <c r="E29">
        <f t="shared" si="2"/>
        <v>7.5098215451986186E-5</v>
      </c>
    </row>
    <row r="30" spans="1:5" x14ac:dyDescent="0.25">
      <c r="A30">
        <v>2.6846009418124996</v>
      </c>
      <c r="B30">
        <v>0</v>
      </c>
      <c r="C30">
        <f t="shared" si="0"/>
        <v>5.372738792357978E-3</v>
      </c>
      <c r="D30">
        <f t="shared" si="1"/>
        <v>-5.372738792357978E-3</v>
      </c>
      <c r="E30">
        <f t="shared" si="2"/>
        <v>2.8866322130908263E-5</v>
      </c>
    </row>
    <row r="31" spans="1:5" x14ac:dyDescent="0.25">
      <c r="A31">
        <v>2.7756009906874999</v>
      </c>
      <c r="B31">
        <v>0</v>
      </c>
      <c r="C31">
        <f t="shared" si="0"/>
        <v>3.2523561622479929E-3</v>
      </c>
      <c r="D31">
        <f t="shared" si="1"/>
        <v>-3.2523561622479929E-3</v>
      </c>
      <c r="E31">
        <f t="shared" si="2"/>
        <v>1.0577820606112493E-5</v>
      </c>
    </row>
    <row r="32" spans="1:5" x14ac:dyDescent="0.25">
      <c r="A32">
        <v>2.8666010395625001</v>
      </c>
      <c r="B32">
        <v>0</v>
      </c>
      <c r="C32">
        <f t="shared" si="0"/>
        <v>1.9221262815403645E-3</v>
      </c>
      <c r="D32">
        <f t="shared" si="1"/>
        <v>-1.9221262815403645E-3</v>
      </c>
      <c r="E32">
        <f t="shared" si="2"/>
        <v>3.6945694421881888E-6</v>
      </c>
    </row>
    <row r="33" spans="1:5" x14ac:dyDescent="0.25">
      <c r="A33">
        <v>2.9576010884374999</v>
      </c>
      <c r="B33">
        <v>0</v>
      </c>
      <c r="C33">
        <f t="shared" si="0"/>
        <v>1.1089331626032448E-3</v>
      </c>
      <c r="D33">
        <f t="shared" si="1"/>
        <v>-1.1089331626032448E-3</v>
      </c>
      <c r="E33">
        <f t="shared" si="2"/>
        <v>1.2297327591212345E-6</v>
      </c>
    </row>
    <row r="34" spans="1:5" x14ac:dyDescent="0.25">
      <c r="A34">
        <v>3.0486011373124997</v>
      </c>
      <c r="B34">
        <v>0</v>
      </c>
      <c r="C34">
        <f t="shared" si="0"/>
        <v>6.2448957962621637E-4</v>
      </c>
      <c r="D34">
        <f t="shared" si="1"/>
        <v>-6.2448957962621637E-4</v>
      </c>
      <c r="E34">
        <f t="shared" si="2"/>
        <v>3.8998723506172841E-7</v>
      </c>
    </row>
    <row r="35" spans="1:5" x14ac:dyDescent="0.25">
      <c r="A35">
        <v>3.1396011861874999</v>
      </c>
      <c r="B35">
        <v>0</v>
      </c>
      <c r="C35">
        <f t="shared" si="0"/>
        <v>3.4323926313870561E-4</v>
      </c>
      <c r="D35">
        <f t="shared" si="1"/>
        <v>-3.4323926313870561E-4</v>
      </c>
      <c r="E35">
        <f t="shared" si="2"/>
        <v>1.1781319176000158E-7</v>
      </c>
    </row>
    <row r="36" spans="1:5" x14ac:dyDescent="0.25">
      <c r="A36">
        <v>3.2306012350625002</v>
      </c>
      <c r="B36">
        <v>0</v>
      </c>
      <c r="C36">
        <f t="shared" si="0"/>
        <v>1.8410912478838656E-4</v>
      </c>
      <c r="D36">
        <f t="shared" si="1"/>
        <v>-1.8410912478838656E-4</v>
      </c>
      <c r="E36">
        <f t="shared" si="2"/>
        <v>3.3896169830345696E-8</v>
      </c>
    </row>
    <row r="37" spans="1:5" x14ac:dyDescent="0.25">
      <c r="A37">
        <v>3.3216012839375</v>
      </c>
      <c r="B37">
        <v>0</v>
      </c>
      <c r="C37">
        <f t="shared" si="0"/>
        <v>9.6363858761887324E-5</v>
      </c>
      <c r="D37">
        <f t="shared" si="1"/>
        <v>-9.6363858761887324E-5</v>
      </c>
      <c r="E37">
        <f t="shared" si="2"/>
        <v>9.2859932754809678E-9</v>
      </c>
    </row>
    <row r="38" spans="1:5" x14ac:dyDescent="0.25">
      <c r="A38">
        <v>3.4126013328124998</v>
      </c>
      <c r="B38">
        <v>0</v>
      </c>
      <c r="C38">
        <f t="shared" si="0"/>
        <v>4.9211539244976722E-5</v>
      </c>
      <c r="D38">
        <f t="shared" si="1"/>
        <v>-4.9211539244976722E-5</v>
      </c>
      <c r="E38">
        <f t="shared" si="2"/>
        <v>2.4217755948598841E-9</v>
      </c>
    </row>
    <row r="39" spans="1:5" x14ac:dyDescent="0.25">
      <c r="A39">
        <v>3.5036013816875</v>
      </c>
      <c r="B39">
        <v>0</v>
      </c>
      <c r="C39">
        <f t="shared" si="0"/>
        <v>2.4518087569730667E-5</v>
      </c>
      <c r="D39">
        <f t="shared" si="1"/>
        <v>-2.4518087569730667E-5</v>
      </c>
      <c r="E39">
        <f t="shared" si="2"/>
        <v>6.0113661807698146E-10</v>
      </c>
    </row>
    <row r="40" spans="1:5" x14ac:dyDescent="0.25">
      <c r="A40">
        <v>3.5946014305625003</v>
      </c>
      <c r="B40">
        <v>6.9052438651182556E-4</v>
      </c>
      <c r="C40">
        <f t="shared" si="0"/>
        <v>1.1915871389169406E-5</v>
      </c>
      <c r="D40">
        <f t="shared" si="1"/>
        <v>6.7860851512265615E-4</v>
      </c>
      <c r="E40">
        <f t="shared" si="2"/>
        <v>4.6050951679697624E-7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01D4-8BB2-4371-B9B7-5B30CC8A0CC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4.4924918325000007E-2</v>
      </c>
      <c r="B1">
        <v>9.0863314882783722E-3</v>
      </c>
      <c r="C1">
        <f>$H$3*(1+$H$1)*(A1^($H$1))*EXP(-$H$3*(A1^(1+$H$1)))</f>
        <v>2.4660983568946679E-2</v>
      </c>
      <c r="D1">
        <f>B1-C1</f>
        <v>-1.5574652080668307E-2</v>
      </c>
      <c r="E1">
        <f>D1^2</f>
        <v>2.425697874338656E-4</v>
      </c>
      <c r="G1" t="s">
        <v>0</v>
      </c>
      <c r="H1">
        <v>1.3800800879636721</v>
      </c>
    </row>
    <row r="2" spans="1:8" x14ac:dyDescent="0.25">
      <c r="A2">
        <v>0.13476607497500001</v>
      </c>
      <c r="B2">
        <v>0</v>
      </c>
      <c r="C2">
        <f t="shared" ref="C2:C40" si="0">$H$3*(1+$H$1)*(A2^($H$1))*EXP(-$H$3*(A2^(1+$H$1)))</f>
        <v>0.11165453902212738</v>
      </c>
      <c r="D2">
        <f t="shared" ref="D2:D40" si="1">B2-C2</f>
        <v>-0.11165453902212738</v>
      </c>
      <c r="E2">
        <f t="shared" ref="E2:E40" si="2">D2^2</f>
        <v>1.2466736084243766E-2</v>
      </c>
    </row>
    <row r="3" spans="1:8" x14ac:dyDescent="0.25">
      <c r="A3">
        <v>0.22460723162500001</v>
      </c>
      <c r="B3">
        <v>0.1104338750113833</v>
      </c>
      <c r="C3">
        <f t="shared" si="0"/>
        <v>0.22257730323225217</v>
      </c>
      <c r="D3">
        <f t="shared" si="1"/>
        <v>-0.11214342822086887</v>
      </c>
      <c r="E3">
        <f t="shared" si="2"/>
        <v>1.2576148493129168E-2</v>
      </c>
      <c r="G3" t="s">
        <v>1</v>
      </c>
      <c r="H3">
        <f>(_xlfn.GAMMA((2+$H$1)/(1+$H$1)))^(1+$H$1)</f>
        <v>0.75040639339702886</v>
      </c>
    </row>
    <row r="4" spans="1:8" x14ac:dyDescent="0.25">
      <c r="A4">
        <v>0.31444838827499999</v>
      </c>
      <c r="B4">
        <v>0.25022359021566593</v>
      </c>
      <c r="C4">
        <f t="shared" si="0"/>
        <v>0.34491089341534031</v>
      </c>
      <c r="D4">
        <f t="shared" si="1"/>
        <v>-9.4687303199674389E-2</v>
      </c>
      <c r="E4">
        <f t="shared" si="2"/>
        <v>8.9656853872270674E-3</v>
      </c>
    </row>
    <row r="5" spans="1:8" x14ac:dyDescent="0.25">
      <c r="A5">
        <v>0.40428954492500002</v>
      </c>
      <c r="B5">
        <v>0.58012731809777296</v>
      </c>
      <c r="C5">
        <f t="shared" si="0"/>
        <v>0.4691773064883098</v>
      </c>
      <c r="D5">
        <f t="shared" si="1"/>
        <v>0.11095001160946316</v>
      </c>
      <c r="E5">
        <f t="shared" si="2"/>
        <v>1.230990507614001E-2</v>
      </c>
      <c r="G5" t="s">
        <v>2</v>
      </c>
      <c r="H5">
        <f>SUM(E1:E40)</f>
        <v>0.2837323305940932</v>
      </c>
    </row>
    <row r="6" spans="1:8" x14ac:dyDescent="0.25">
      <c r="A6">
        <v>0.49413070157500005</v>
      </c>
      <c r="B6">
        <v>0.67378642728464233</v>
      </c>
      <c r="C6">
        <f t="shared" si="0"/>
        <v>0.58680768369939584</v>
      </c>
      <c r="D6">
        <f t="shared" si="1"/>
        <v>8.6978743585246487E-2</v>
      </c>
      <c r="E6">
        <f t="shared" si="2"/>
        <v>7.5653018356680573E-3</v>
      </c>
    </row>
    <row r="7" spans="1:8" x14ac:dyDescent="0.25">
      <c r="A7">
        <v>0.58397185822499997</v>
      </c>
      <c r="B7">
        <v>0.73808969627861243</v>
      </c>
      <c r="C7">
        <f t="shared" si="0"/>
        <v>0.69008304074379856</v>
      </c>
      <c r="D7">
        <f t="shared" si="1"/>
        <v>4.8006655534813869E-2</v>
      </c>
      <c r="E7">
        <f t="shared" si="2"/>
        <v>2.3046389756382749E-3</v>
      </c>
    </row>
    <row r="8" spans="1:8" x14ac:dyDescent="0.25">
      <c r="A8">
        <v>0.67381301487500012</v>
      </c>
      <c r="B8">
        <v>0.85830885135429547</v>
      </c>
      <c r="C8">
        <f t="shared" si="0"/>
        <v>0.77252243448264468</v>
      </c>
      <c r="D8">
        <f t="shared" si="1"/>
        <v>8.5786416871650784E-2</v>
      </c>
      <c r="E8">
        <f t="shared" si="2"/>
        <v>7.3593093196766502E-3</v>
      </c>
    </row>
    <row r="9" spans="1:8" x14ac:dyDescent="0.25">
      <c r="A9">
        <v>0.76365417152500004</v>
      </c>
      <c r="B9">
        <v>0.90583735452375158</v>
      </c>
      <c r="C9">
        <f t="shared" si="0"/>
        <v>0.829346656370473</v>
      </c>
      <c r="D9">
        <f t="shared" si="1"/>
        <v>7.649069815327858E-2</v>
      </c>
      <c r="E9">
        <f t="shared" si="2"/>
        <v>5.8508269039759756E-3</v>
      </c>
    </row>
    <row r="10" spans="1:8" x14ac:dyDescent="0.25">
      <c r="A10">
        <v>0.85349532817499996</v>
      </c>
      <c r="B10">
        <v>1.1350924874587751</v>
      </c>
      <c r="C10">
        <f t="shared" si="0"/>
        <v>0.85784944810337416</v>
      </c>
      <c r="D10">
        <f t="shared" si="1"/>
        <v>0.27724303935540096</v>
      </c>
      <c r="E10">
        <f t="shared" si="2"/>
        <v>7.6863702871020401E-2</v>
      </c>
    </row>
    <row r="11" spans="1:8" x14ac:dyDescent="0.25">
      <c r="A11">
        <v>0.9433364848250001</v>
      </c>
      <c r="B11">
        <v>1.0106796409269636</v>
      </c>
      <c r="C11">
        <f t="shared" si="0"/>
        <v>0.8575793579880423</v>
      </c>
      <c r="D11">
        <f t="shared" si="1"/>
        <v>0.15310028293892131</v>
      </c>
      <c r="E11">
        <f t="shared" si="2"/>
        <v>2.3439696635977759E-2</v>
      </c>
    </row>
    <row r="12" spans="1:8" x14ac:dyDescent="0.25">
      <c r="A12">
        <v>1.033177641475</v>
      </c>
      <c r="B12">
        <v>0.8443298798338672</v>
      </c>
      <c r="C12">
        <f t="shared" si="0"/>
        <v>0.83028485391702433</v>
      </c>
      <c r="D12">
        <f t="shared" si="1"/>
        <v>1.4045025916842868E-2</v>
      </c>
      <c r="E12">
        <f t="shared" si="2"/>
        <v>1.9726275300478786E-4</v>
      </c>
    </row>
    <row r="13" spans="1:8" x14ac:dyDescent="0.25">
      <c r="A13">
        <v>1.1230187981249999</v>
      </c>
      <c r="B13">
        <v>0.66609799294840677</v>
      </c>
      <c r="C13">
        <f t="shared" si="0"/>
        <v>0.7796216171407071</v>
      </c>
      <c r="D13">
        <f t="shared" si="1"/>
        <v>-0.11352362419230033</v>
      </c>
      <c r="E13">
        <f t="shared" si="2"/>
        <v>1.2887613249754638E-2</v>
      </c>
    </row>
    <row r="14" spans="1:8" x14ac:dyDescent="0.25">
      <c r="A14">
        <v>1.2128599547750001</v>
      </c>
      <c r="B14">
        <v>0.51792089483186721</v>
      </c>
      <c r="C14">
        <f t="shared" si="0"/>
        <v>0.7106630723793117</v>
      </c>
      <c r="D14">
        <f t="shared" si="1"/>
        <v>-0.19274217754744449</v>
      </c>
      <c r="E14">
        <f t="shared" si="2"/>
        <v>3.7149547005730615E-2</v>
      </c>
    </row>
    <row r="15" spans="1:8" x14ac:dyDescent="0.25">
      <c r="A15">
        <v>1.302701111425</v>
      </c>
      <c r="B15">
        <v>0.50254402615939608</v>
      </c>
      <c r="C15">
        <f t="shared" si="0"/>
        <v>0.62928746232700006</v>
      </c>
      <c r="D15">
        <f t="shared" si="1"/>
        <v>-0.12674343616760397</v>
      </c>
      <c r="E15">
        <f t="shared" si="2"/>
        <v>1.6063898611571502E-2</v>
      </c>
    </row>
    <row r="16" spans="1:8" x14ac:dyDescent="0.25">
      <c r="A16">
        <v>1.3925422680750001</v>
      </c>
      <c r="B16">
        <v>0.40678807124446253</v>
      </c>
      <c r="C16">
        <f t="shared" si="0"/>
        <v>0.54153182110503251</v>
      </c>
      <c r="D16">
        <f t="shared" si="1"/>
        <v>-0.13474374986056997</v>
      </c>
      <c r="E16">
        <f t="shared" si="2"/>
        <v>1.8155878126487852E-2</v>
      </c>
    </row>
    <row r="17" spans="1:5" x14ac:dyDescent="0.25">
      <c r="A17">
        <v>1.4823834247250001</v>
      </c>
      <c r="B17">
        <v>0.34737744228264239</v>
      </c>
      <c r="C17">
        <f t="shared" si="0"/>
        <v>0.45300256113968917</v>
      </c>
      <c r="D17">
        <f t="shared" si="1"/>
        <v>-0.10562511885704678</v>
      </c>
      <c r="E17">
        <f t="shared" si="2"/>
        <v>1.115666573356526E-2</v>
      </c>
    </row>
    <row r="18" spans="1:5" x14ac:dyDescent="0.25">
      <c r="A18">
        <v>1.572224581375</v>
      </c>
      <c r="B18">
        <v>0.35995851665102785</v>
      </c>
      <c r="C18">
        <f t="shared" si="0"/>
        <v>0.36841539376334353</v>
      </c>
      <c r="D18">
        <f t="shared" si="1"/>
        <v>-8.4568771123156861E-3</v>
      </c>
      <c r="E18">
        <f t="shared" si="2"/>
        <v>7.1518770492808893E-5</v>
      </c>
    </row>
    <row r="19" spans="1:5" x14ac:dyDescent="0.25">
      <c r="A19">
        <v>1.6620657380250001</v>
      </c>
      <c r="B19">
        <v>0.24463200160749463</v>
      </c>
      <c r="C19">
        <f t="shared" si="0"/>
        <v>0.291308773164068</v>
      </c>
      <c r="D19">
        <f t="shared" si="1"/>
        <v>-4.6676771556573377E-2</v>
      </c>
      <c r="E19">
        <f t="shared" si="2"/>
        <v>2.1787210029445372E-3</v>
      </c>
    </row>
    <row r="20" spans="1:5" x14ac:dyDescent="0.25">
      <c r="A20">
        <v>1.751906894675</v>
      </c>
      <c r="B20">
        <v>0.21877090429470233</v>
      </c>
      <c r="C20">
        <f t="shared" si="0"/>
        <v>0.223941943939234</v>
      </c>
      <c r="D20">
        <f t="shared" si="1"/>
        <v>-5.1710396445316664E-3</v>
      </c>
      <c r="E20">
        <f t="shared" si="2"/>
        <v>2.6739651005318185E-5</v>
      </c>
    </row>
    <row r="21" spans="1:5" x14ac:dyDescent="0.25">
      <c r="A21">
        <v>1.8417480513250002</v>
      </c>
      <c r="B21">
        <v>0.24463200160749463</v>
      </c>
      <c r="C21">
        <f t="shared" si="0"/>
        <v>0.16735821448177313</v>
      </c>
      <c r="D21">
        <f t="shared" si="1"/>
        <v>7.7273787125721499E-2</v>
      </c>
      <c r="E21">
        <f t="shared" si="2"/>
        <v>5.9712381767513222E-3</v>
      </c>
    </row>
    <row r="22" spans="1:5" x14ac:dyDescent="0.25">
      <c r="A22">
        <v>1.9315892079750001</v>
      </c>
      <c r="B22">
        <v>0.15097289242062525</v>
      </c>
      <c r="C22">
        <f t="shared" si="0"/>
        <v>0.12157198494838688</v>
      </c>
      <c r="D22">
        <f t="shared" si="1"/>
        <v>2.9400907472238377E-2</v>
      </c>
      <c r="E22">
        <f t="shared" si="2"/>
        <v>8.6441336019112244E-4</v>
      </c>
    </row>
    <row r="23" spans="1:5" x14ac:dyDescent="0.25">
      <c r="A23">
        <v>2.021430364625</v>
      </c>
      <c r="B23">
        <v>0.15376868672471092</v>
      </c>
      <c r="C23">
        <f t="shared" si="0"/>
        <v>8.5827336333175422E-2</v>
      </c>
      <c r="D23">
        <f t="shared" si="1"/>
        <v>6.7941350391535496E-2</v>
      </c>
      <c r="E23">
        <f t="shared" si="2"/>
        <v>4.6160270930254007E-3</v>
      </c>
    </row>
    <row r="24" spans="1:5" x14ac:dyDescent="0.25">
      <c r="A24">
        <v>2.111271521275</v>
      </c>
      <c r="B24">
        <v>0.10414333782719057</v>
      </c>
      <c r="C24">
        <f t="shared" si="0"/>
        <v>5.8876623486047663E-2</v>
      </c>
      <c r="D24">
        <f t="shared" si="1"/>
        <v>4.5266714341142905E-2</v>
      </c>
      <c r="E24">
        <f t="shared" si="2"/>
        <v>2.0490754272426328E-3</v>
      </c>
    </row>
    <row r="25" spans="1:5" x14ac:dyDescent="0.25">
      <c r="A25">
        <v>2.2011126779249999</v>
      </c>
      <c r="B25">
        <v>8.2475931970526759E-2</v>
      </c>
      <c r="C25">
        <f t="shared" si="0"/>
        <v>3.9237010533802699E-2</v>
      </c>
      <c r="D25">
        <f t="shared" si="1"/>
        <v>4.3238921436724059E-2</v>
      </c>
      <c r="E25">
        <f t="shared" si="2"/>
        <v>1.8696043270111954E-3</v>
      </c>
    </row>
    <row r="26" spans="1:5" x14ac:dyDescent="0.25">
      <c r="A26">
        <v>2.2909538345750002</v>
      </c>
      <c r="B26">
        <v>1.3978971520428264E-2</v>
      </c>
      <c r="C26">
        <f t="shared" si="0"/>
        <v>2.5397346281133385E-2</v>
      </c>
      <c r="D26">
        <f t="shared" si="1"/>
        <v>-1.1418374760705121E-2</v>
      </c>
      <c r="E26">
        <f t="shared" si="2"/>
        <v>1.3037928217590771E-4</v>
      </c>
    </row>
    <row r="27" spans="1:5" x14ac:dyDescent="0.25">
      <c r="A27">
        <v>2.3807949912250006</v>
      </c>
      <c r="B27">
        <v>0</v>
      </c>
      <c r="C27">
        <f t="shared" si="0"/>
        <v>1.5963142476771327E-2</v>
      </c>
      <c r="D27">
        <f t="shared" si="1"/>
        <v>-1.5963142476771327E-2</v>
      </c>
      <c r="E27">
        <f t="shared" si="2"/>
        <v>2.5482191773370101E-4</v>
      </c>
    </row>
    <row r="28" spans="1:5" x14ac:dyDescent="0.25">
      <c r="A28">
        <v>2.4706361478750001</v>
      </c>
      <c r="B28">
        <v>0</v>
      </c>
      <c r="C28">
        <f t="shared" si="0"/>
        <v>9.7404722169870568E-3</v>
      </c>
      <c r="D28">
        <f t="shared" si="1"/>
        <v>-9.7404722169870568E-3</v>
      </c>
      <c r="E28">
        <f t="shared" si="2"/>
        <v>9.4876799009896743E-5</v>
      </c>
    </row>
    <row r="29" spans="1:5" x14ac:dyDescent="0.25">
      <c r="A29">
        <v>2.560477304525</v>
      </c>
      <c r="B29">
        <v>0</v>
      </c>
      <c r="C29">
        <f t="shared" si="0"/>
        <v>5.7685128880725417E-3</v>
      </c>
      <c r="D29">
        <f t="shared" si="1"/>
        <v>-5.7685128880725417E-3</v>
      </c>
      <c r="E29">
        <f t="shared" si="2"/>
        <v>3.3275740939859017E-5</v>
      </c>
    </row>
    <row r="30" spans="1:5" x14ac:dyDescent="0.25">
      <c r="A30">
        <v>2.6503184611749999</v>
      </c>
      <c r="B30">
        <v>0</v>
      </c>
      <c r="C30">
        <f t="shared" si="0"/>
        <v>3.3148058822611098E-3</v>
      </c>
      <c r="D30">
        <f t="shared" si="1"/>
        <v>-3.3148058822611098E-3</v>
      </c>
      <c r="E30">
        <f t="shared" si="2"/>
        <v>1.0987938037072854E-5</v>
      </c>
    </row>
    <row r="31" spans="1:5" x14ac:dyDescent="0.25">
      <c r="A31">
        <v>2.7401596178250003</v>
      </c>
      <c r="B31">
        <v>0</v>
      </c>
      <c r="C31">
        <f t="shared" si="0"/>
        <v>1.8477745045708492E-3</v>
      </c>
      <c r="D31">
        <f t="shared" si="1"/>
        <v>-1.8477745045708492E-3</v>
      </c>
      <c r="E31">
        <f t="shared" si="2"/>
        <v>3.4142706197420474E-6</v>
      </c>
    </row>
    <row r="32" spans="1:5" x14ac:dyDescent="0.25">
      <c r="A32">
        <v>2.8300007744750002</v>
      </c>
      <c r="B32">
        <v>0</v>
      </c>
      <c r="C32">
        <f t="shared" si="0"/>
        <v>9.988984938121238E-4</v>
      </c>
      <c r="D32">
        <f t="shared" si="1"/>
        <v>-9.988984938121238E-4</v>
      </c>
      <c r="E32">
        <f t="shared" si="2"/>
        <v>9.9779820094012953E-7</v>
      </c>
    </row>
    <row r="33" spans="1:5" x14ac:dyDescent="0.25">
      <c r="A33">
        <v>2.9198419311250001</v>
      </c>
      <c r="B33">
        <v>0</v>
      </c>
      <c r="C33">
        <f t="shared" si="0"/>
        <v>5.2355123515148479E-4</v>
      </c>
      <c r="D33">
        <f t="shared" si="1"/>
        <v>-5.2355123515148479E-4</v>
      </c>
      <c r="E33">
        <f t="shared" si="2"/>
        <v>2.7410589582864534E-7</v>
      </c>
    </row>
    <row r="34" spans="1:5" x14ac:dyDescent="0.25">
      <c r="A34">
        <v>3.009683087775</v>
      </c>
      <c r="B34">
        <v>0</v>
      </c>
      <c r="C34">
        <f t="shared" si="0"/>
        <v>2.6597803265480523E-4</v>
      </c>
      <c r="D34">
        <f t="shared" si="1"/>
        <v>-2.6597803265480523E-4</v>
      </c>
      <c r="E34">
        <f t="shared" si="2"/>
        <v>7.0744313854920636E-8</v>
      </c>
    </row>
    <row r="35" spans="1:5" x14ac:dyDescent="0.25">
      <c r="A35">
        <v>3.099524244425</v>
      </c>
      <c r="B35">
        <v>0</v>
      </c>
      <c r="C35">
        <f t="shared" si="0"/>
        <v>1.3093750879671756E-4</v>
      </c>
      <c r="D35">
        <f t="shared" si="1"/>
        <v>-1.3093750879671756E-4</v>
      </c>
      <c r="E35">
        <f t="shared" si="2"/>
        <v>1.714463120989049E-8</v>
      </c>
    </row>
    <row r="36" spans="1:5" x14ac:dyDescent="0.25">
      <c r="A36">
        <v>3.1893654010750003</v>
      </c>
      <c r="B36">
        <v>0</v>
      </c>
      <c r="C36">
        <f t="shared" si="0"/>
        <v>6.244489939509372E-5</v>
      </c>
      <c r="D36">
        <f t="shared" si="1"/>
        <v>-6.244489939509372E-5</v>
      </c>
      <c r="E36">
        <f t="shared" si="2"/>
        <v>3.8993654604633762E-9</v>
      </c>
    </row>
    <row r="37" spans="1:5" x14ac:dyDescent="0.25">
      <c r="A37">
        <v>3.2792065577249998</v>
      </c>
      <c r="B37">
        <v>0</v>
      </c>
      <c r="C37">
        <f t="shared" si="0"/>
        <v>2.8842135466269932E-5</v>
      </c>
      <c r="D37">
        <f t="shared" si="1"/>
        <v>-2.8842135466269932E-5</v>
      </c>
      <c r="E37">
        <f t="shared" si="2"/>
        <v>8.3186877825466585E-10</v>
      </c>
    </row>
    <row r="38" spans="1:5" x14ac:dyDescent="0.25">
      <c r="A38">
        <v>3.3690477143750002</v>
      </c>
      <c r="B38">
        <v>0</v>
      </c>
      <c r="C38">
        <f t="shared" si="0"/>
        <v>1.2898481798622521E-5</v>
      </c>
      <c r="D38">
        <f t="shared" si="1"/>
        <v>-1.2898481798622521E-5</v>
      </c>
      <c r="E38">
        <f t="shared" si="2"/>
        <v>1.6637083270939646E-10</v>
      </c>
    </row>
    <row r="39" spans="1:5" x14ac:dyDescent="0.25">
      <c r="A39">
        <v>3.4588888710250005</v>
      </c>
      <c r="B39">
        <v>0</v>
      </c>
      <c r="C39">
        <f t="shared" si="0"/>
        <v>5.5835972390599835E-6</v>
      </c>
      <c r="D39">
        <f t="shared" si="1"/>
        <v>-5.5835972390599835E-6</v>
      </c>
      <c r="E39">
        <f t="shared" si="2"/>
        <v>3.1176558128038272E-11</v>
      </c>
    </row>
    <row r="40" spans="1:5" x14ac:dyDescent="0.25">
      <c r="A40">
        <v>3.548730027675</v>
      </c>
      <c r="B40">
        <v>6.989485760214132E-4</v>
      </c>
      <c r="C40">
        <f t="shared" si="0"/>
        <v>2.3390414542957337E-6</v>
      </c>
      <c r="D40">
        <f t="shared" si="1"/>
        <v>6.9660953456711751E-4</v>
      </c>
      <c r="E40">
        <f t="shared" si="2"/>
        <v>4.8526484364981613E-7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8481-4CDA-446E-9054-BA62F4BADE5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0.26006287501250003</v>
      </c>
      <c r="B1">
        <v>0.12067846582364471</v>
      </c>
      <c r="C1">
        <f>$H$3*(1+$H$1)*(A1^($H$1))*EXP(-$H$3*(A1^(1+$H$1)))</f>
        <v>0.23741408960461297</v>
      </c>
      <c r="D1">
        <f>B1-C1</f>
        <v>-0.11673562378096826</v>
      </c>
      <c r="E1">
        <f>D1^2</f>
        <v>1.3627205859531762E-2</v>
      </c>
      <c r="G1" t="s">
        <v>0</v>
      </c>
      <c r="H1">
        <v>1.5093311432069774</v>
      </c>
    </row>
    <row r="2" spans="1:8" x14ac:dyDescent="0.25">
      <c r="A2">
        <v>0.34546905503750003</v>
      </c>
      <c r="B2">
        <v>0.2553379734195409</v>
      </c>
      <c r="C2">
        <f t="shared" ref="C2:C40" si="0">$H$3*(1+$H$1)*(A2^($H$1))*EXP(-$H$3*(A2^(1+$H$1)))</f>
        <v>0.35502913762772442</v>
      </c>
      <c r="D2">
        <f t="shared" ref="D2:D40" si="1">B2-C2</f>
        <v>-9.9691164208183525E-2</v>
      </c>
      <c r="E2">
        <f t="shared" ref="E2:E40" si="2">D2^2</f>
        <v>9.9383282211830126E-3</v>
      </c>
    </row>
    <row r="3" spans="1:8" x14ac:dyDescent="0.25">
      <c r="A3">
        <v>0.43087523506249997</v>
      </c>
      <c r="B3">
        <v>0.5621850481052717</v>
      </c>
      <c r="C3">
        <f t="shared" si="0"/>
        <v>0.4769983317599224</v>
      </c>
      <c r="D3">
        <f t="shared" si="1"/>
        <v>8.51867163453493E-2</v>
      </c>
      <c r="E3">
        <f t="shared" si="2"/>
        <v>7.2567766417030019E-3</v>
      </c>
      <c r="G3" t="s">
        <v>1</v>
      </c>
      <c r="H3">
        <f>(_xlfn.GAMMA((2+$H$1)/(1+$H$1)))^(1+$H$1)</f>
        <v>0.74088012023300609</v>
      </c>
    </row>
    <row r="4" spans="1:8" x14ac:dyDescent="0.25">
      <c r="A4">
        <v>0.51628141508749992</v>
      </c>
      <c r="B4">
        <v>0.70935390886581395</v>
      </c>
      <c r="C4">
        <f t="shared" si="0"/>
        <v>0.59526690187846309</v>
      </c>
      <c r="D4">
        <f t="shared" si="1"/>
        <v>0.11408700698735086</v>
      </c>
      <c r="E4">
        <f t="shared" si="2"/>
        <v>1.3015845163331844E-2</v>
      </c>
    </row>
    <row r="5" spans="1:8" x14ac:dyDescent="0.25">
      <c r="A5">
        <v>0.60168759511250003</v>
      </c>
      <c r="B5">
        <v>0.79029678228411226</v>
      </c>
      <c r="C5">
        <f t="shared" si="0"/>
        <v>0.70206042425245119</v>
      </c>
      <c r="D5">
        <f t="shared" si="1"/>
        <v>8.8236358031661077E-2</v>
      </c>
      <c r="E5">
        <f t="shared" si="2"/>
        <v>7.7856548786914802E-3</v>
      </c>
      <c r="G5" t="s">
        <v>2</v>
      </c>
      <c r="H5">
        <f>SUM(E1:E40)</f>
        <v>0.29248216334360944</v>
      </c>
    </row>
    <row r="6" spans="1:8" x14ac:dyDescent="0.25">
      <c r="A6">
        <v>0.68709377513750003</v>
      </c>
      <c r="B6">
        <v>0.88006978734804309</v>
      </c>
      <c r="C6">
        <f t="shared" si="0"/>
        <v>0.79037968972441353</v>
      </c>
      <c r="D6">
        <f t="shared" si="1"/>
        <v>8.9690097623629561E-2</v>
      </c>
      <c r="E6">
        <f t="shared" si="2"/>
        <v>8.0443136117362007E-3</v>
      </c>
    </row>
    <row r="7" spans="1:8" x14ac:dyDescent="0.25">
      <c r="A7">
        <v>0.77249995516250003</v>
      </c>
      <c r="B7">
        <v>0.94408824177887896</v>
      </c>
      <c r="C7">
        <f t="shared" si="0"/>
        <v>0.85457486166405439</v>
      </c>
      <c r="D7">
        <f t="shared" si="1"/>
        <v>8.951338011482457E-2</v>
      </c>
      <c r="E7">
        <f t="shared" si="2"/>
        <v>8.0126452195810709E-3</v>
      </c>
    </row>
    <row r="8" spans="1:8" x14ac:dyDescent="0.25">
      <c r="A8">
        <v>0.85790613518750003</v>
      </c>
      <c r="B8">
        <v>1.0809552822861834</v>
      </c>
      <c r="C8">
        <f t="shared" si="0"/>
        <v>0.89086308837448869</v>
      </c>
      <c r="D8">
        <f t="shared" si="1"/>
        <v>0.19009219391169474</v>
      </c>
      <c r="E8">
        <f t="shared" si="2"/>
        <v>3.6135042186161356E-2</v>
      </c>
    </row>
    <row r="9" spans="1:8" x14ac:dyDescent="0.25">
      <c r="A9">
        <v>0.94331231521250003</v>
      </c>
      <c r="B9">
        <v>1.1596906227930734</v>
      </c>
      <c r="C9">
        <f t="shared" si="0"/>
        <v>0.89768353996002903</v>
      </c>
      <c r="D9">
        <f t="shared" si="1"/>
        <v>0.26200708283304441</v>
      </c>
      <c r="E9">
        <f t="shared" si="2"/>
        <v>6.8647711454681792E-2</v>
      </c>
    </row>
    <row r="10" spans="1:8" x14ac:dyDescent="0.25">
      <c r="A10">
        <v>1.0287184952374999</v>
      </c>
      <c r="B10">
        <v>0.90214511646212436</v>
      </c>
      <c r="C10">
        <f t="shared" si="0"/>
        <v>0.87581617597845085</v>
      </c>
      <c r="D10">
        <f t="shared" si="1"/>
        <v>2.6328940483673513E-2</v>
      </c>
      <c r="E10">
        <f t="shared" si="2"/>
        <v>6.9321310699282208E-4</v>
      </c>
    </row>
    <row r="11" spans="1:8" x14ac:dyDescent="0.25">
      <c r="A11">
        <v>1.1141246752625</v>
      </c>
      <c r="B11">
        <v>0.76822145317003088</v>
      </c>
      <c r="C11">
        <f t="shared" si="0"/>
        <v>0.82823218542227683</v>
      </c>
      <c r="D11">
        <f t="shared" si="1"/>
        <v>-6.0010732252245957E-2</v>
      </c>
      <c r="E11">
        <f t="shared" si="2"/>
        <v>3.601287985450753E-3</v>
      </c>
    </row>
    <row r="12" spans="1:8" x14ac:dyDescent="0.25">
      <c r="A12">
        <v>1.1995308552875001</v>
      </c>
      <c r="B12">
        <v>0.55482660506724457</v>
      </c>
      <c r="C12">
        <f t="shared" si="0"/>
        <v>0.75969118462045937</v>
      </c>
      <c r="D12">
        <f t="shared" si="1"/>
        <v>-0.2048645795532148</v>
      </c>
      <c r="E12">
        <f t="shared" si="2"/>
        <v>4.1969495955515475E-2</v>
      </c>
    </row>
    <row r="13" spans="1:8" x14ac:dyDescent="0.25">
      <c r="A13">
        <v>1.2849370353125003</v>
      </c>
      <c r="B13">
        <v>0.51877023418091173</v>
      </c>
      <c r="C13">
        <f t="shared" si="0"/>
        <v>0.67614467812220203</v>
      </c>
      <c r="D13">
        <f t="shared" si="1"/>
        <v>-0.1573744439412903</v>
      </c>
      <c r="E13">
        <f t="shared" si="2"/>
        <v>2.4766715605830322E-2</v>
      </c>
    </row>
    <row r="14" spans="1:8" x14ac:dyDescent="0.25">
      <c r="A14">
        <v>1.3703432153375001</v>
      </c>
      <c r="B14">
        <v>0.45548762405387849</v>
      </c>
      <c r="C14">
        <f t="shared" si="0"/>
        <v>0.58403792879678684</v>
      </c>
      <c r="D14">
        <f t="shared" si="1"/>
        <v>-0.12855030474290835</v>
      </c>
      <c r="E14">
        <f t="shared" si="2"/>
        <v>1.6525180849494604E-2</v>
      </c>
    </row>
    <row r="15" spans="1:8" x14ac:dyDescent="0.25">
      <c r="A15">
        <v>1.4557493953625</v>
      </c>
      <c r="B15">
        <v>0.37160137342036936</v>
      </c>
      <c r="C15">
        <f t="shared" si="0"/>
        <v>0.48961636012641052</v>
      </c>
      <c r="D15">
        <f t="shared" si="1"/>
        <v>-0.11801498670604116</v>
      </c>
      <c r="E15">
        <f t="shared" si="2"/>
        <v>1.3927537087227071E-2</v>
      </c>
    </row>
    <row r="16" spans="1:8" x14ac:dyDescent="0.25">
      <c r="A16">
        <v>1.5411555753875001</v>
      </c>
      <c r="B16">
        <v>0.37748812785079106</v>
      </c>
      <c r="C16">
        <f t="shared" si="0"/>
        <v>0.39833535656844943</v>
      </c>
      <c r="D16">
        <f t="shared" si="1"/>
        <v>-2.0847228717658373E-2</v>
      </c>
      <c r="E16">
        <f t="shared" si="2"/>
        <v>4.3460694520635994E-4</v>
      </c>
    </row>
    <row r="17" spans="1:5" x14ac:dyDescent="0.25">
      <c r="A17">
        <v>1.6265617554125</v>
      </c>
      <c r="B17">
        <v>0.25901719493855446</v>
      </c>
      <c r="C17">
        <f t="shared" si="0"/>
        <v>0.31444639318930351</v>
      </c>
      <c r="D17">
        <f t="shared" si="1"/>
        <v>-5.5429198250749045E-2</v>
      </c>
      <c r="E17">
        <f t="shared" si="2"/>
        <v>3.0723960187208411E-3</v>
      </c>
    </row>
    <row r="18" spans="1:5" x14ac:dyDescent="0.25">
      <c r="A18">
        <v>1.7119679354374999</v>
      </c>
      <c r="B18">
        <v>0.23988524303968398</v>
      </c>
      <c r="C18">
        <f t="shared" si="0"/>
        <v>0.24079474611735244</v>
      </c>
      <c r="D18">
        <f t="shared" si="1"/>
        <v>-9.0950307766846095E-4</v>
      </c>
      <c r="E18">
        <f t="shared" si="2"/>
        <v>8.2719584828840251E-7</v>
      </c>
    </row>
    <row r="19" spans="1:5" x14ac:dyDescent="0.25">
      <c r="A19">
        <v>1.7973741154625</v>
      </c>
      <c r="B19">
        <v>0.24650784177390839</v>
      </c>
      <c r="C19">
        <f t="shared" si="0"/>
        <v>0.17882388052378997</v>
      </c>
      <c r="D19">
        <f t="shared" si="1"/>
        <v>6.7683961250118413E-2</v>
      </c>
      <c r="E19">
        <f t="shared" si="2"/>
        <v>4.5811186105075312E-3</v>
      </c>
    </row>
    <row r="20" spans="1:5" x14ac:dyDescent="0.25">
      <c r="A20">
        <v>1.8827802954875001</v>
      </c>
      <c r="B20">
        <v>0.16924418987462367</v>
      </c>
      <c r="C20">
        <f t="shared" si="0"/>
        <v>0.12874795794707447</v>
      </c>
      <c r="D20">
        <f t="shared" si="1"/>
        <v>4.0496231927549198E-2</v>
      </c>
      <c r="E20">
        <f t="shared" si="2"/>
        <v>1.6399448003298551E-3</v>
      </c>
    </row>
    <row r="21" spans="1:5" x14ac:dyDescent="0.25">
      <c r="A21">
        <v>1.9681864755125003</v>
      </c>
      <c r="B21">
        <v>0.16482912405180739</v>
      </c>
      <c r="C21">
        <f t="shared" si="0"/>
        <v>8.9833079277669897E-2</v>
      </c>
      <c r="D21">
        <f t="shared" si="1"/>
        <v>7.4996044774137488E-2</v>
      </c>
      <c r="E21">
        <f t="shared" si="2"/>
        <v>5.6244067317644348E-3</v>
      </c>
    </row>
    <row r="22" spans="1:5" x14ac:dyDescent="0.25">
      <c r="A22">
        <v>2.0535926555374999</v>
      </c>
      <c r="B22">
        <v>9.7867292405760642E-2</v>
      </c>
      <c r="C22">
        <f t="shared" si="0"/>
        <v>6.0722221591866903E-2</v>
      </c>
      <c r="D22">
        <f t="shared" si="1"/>
        <v>3.7145070813893739E-2</v>
      </c>
      <c r="E22">
        <f t="shared" si="2"/>
        <v>1.3797562857691804E-3</v>
      </c>
    </row>
    <row r="23" spans="1:5" x14ac:dyDescent="0.25">
      <c r="A23">
        <v>2.1389988355625</v>
      </c>
      <c r="B23">
        <v>7.284858607646845E-2</v>
      </c>
      <c r="C23">
        <f t="shared" si="0"/>
        <v>3.9746661163806603E-2</v>
      </c>
      <c r="D23">
        <f t="shared" si="1"/>
        <v>3.3101924912661847E-2</v>
      </c>
      <c r="E23">
        <f t="shared" si="2"/>
        <v>1.0957374329235031E-3</v>
      </c>
    </row>
    <row r="24" spans="1:5" x14ac:dyDescent="0.25">
      <c r="A24">
        <v>2.2244050155875001</v>
      </c>
      <c r="B24">
        <v>6.6225987342244047E-3</v>
      </c>
      <c r="C24">
        <f t="shared" si="0"/>
        <v>2.5183448968166267E-2</v>
      </c>
      <c r="D24">
        <f t="shared" si="1"/>
        <v>-1.8560850233941863E-2</v>
      </c>
      <c r="E24">
        <f t="shared" si="2"/>
        <v>3.4450516140681971E-4</v>
      </c>
    </row>
    <row r="25" spans="1:5" x14ac:dyDescent="0.25">
      <c r="A25">
        <v>2.3098111956125003</v>
      </c>
      <c r="B25">
        <v>0</v>
      </c>
      <c r="C25">
        <f t="shared" si="0"/>
        <v>1.5438546573652026E-2</v>
      </c>
      <c r="D25">
        <f t="shared" si="1"/>
        <v>-1.5438546573652026E-2</v>
      </c>
      <c r="E25">
        <f t="shared" si="2"/>
        <v>2.3834872030682272E-4</v>
      </c>
    </row>
    <row r="26" spans="1:5" x14ac:dyDescent="0.25">
      <c r="A26">
        <v>2.3952173756375004</v>
      </c>
      <c r="B26">
        <v>0</v>
      </c>
      <c r="C26">
        <f t="shared" si="0"/>
        <v>9.1534685590457937E-3</v>
      </c>
      <c r="D26">
        <f t="shared" si="1"/>
        <v>-9.1534685590457937E-3</v>
      </c>
      <c r="E26">
        <f t="shared" si="2"/>
        <v>8.3785986661439886E-5</v>
      </c>
    </row>
    <row r="27" spans="1:5" x14ac:dyDescent="0.25">
      <c r="A27">
        <v>2.4806235556625005</v>
      </c>
      <c r="B27">
        <v>0</v>
      </c>
      <c r="C27">
        <f t="shared" si="0"/>
        <v>5.2464042820613748E-3</v>
      </c>
      <c r="D27">
        <f t="shared" si="1"/>
        <v>-5.2464042820613748E-3</v>
      </c>
      <c r="E27">
        <f t="shared" si="2"/>
        <v>2.752475789083193E-5</v>
      </c>
    </row>
    <row r="28" spans="1:5" x14ac:dyDescent="0.25">
      <c r="A28">
        <v>2.5660297356875001</v>
      </c>
      <c r="B28">
        <v>0</v>
      </c>
      <c r="C28">
        <f t="shared" si="0"/>
        <v>2.9056367322446686E-3</v>
      </c>
      <c r="D28">
        <f t="shared" si="1"/>
        <v>-2.9056367322446686E-3</v>
      </c>
      <c r="E28">
        <f t="shared" si="2"/>
        <v>8.4427248197694761E-6</v>
      </c>
    </row>
    <row r="29" spans="1:5" x14ac:dyDescent="0.25">
      <c r="A29">
        <v>2.6514359157124998</v>
      </c>
      <c r="B29">
        <v>0</v>
      </c>
      <c r="C29">
        <f t="shared" si="0"/>
        <v>1.5542817495519349E-3</v>
      </c>
      <c r="D29">
        <f t="shared" si="1"/>
        <v>-1.5542817495519349E-3</v>
      </c>
      <c r="E29">
        <f t="shared" si="2"/>
        <v>2.4157917569902234E-6</v>
      </c>
    </row>
    <row r="30" spans="1:5" x14ac:dyDescent="0.25">
      <c r="A30">
        <v>2.7368420957374999</v>
      </c>
      <c r="B30">
        <v>0</v>
      </c>
      <c r="C30">
        <f t="shared" si="0"/>
        <v>8.0265985780487797E-4</v>
      </c>
      <c r="D30">
        <f t="shared" si="1"/>
        <v>-8.0265985780487797E-4</v>
      </c>
      <c r="E30">
        <f t="shared" si="2"/>
        <v>6.4426284733134693E-7</v>
      </c>
    </row>
    <row r="31" spans="1:5" x14ac:dyDescent="0.25">
      <c r="A31">
        <v>2.8222482757625</v>
      </c>
      <c r="B31">
        <v>0</v>
      </c>
      <c r="C31">
        <f t="shared" si="0"/>
        <v>3.9999148475046984E-4</v>
      </c>
      <c r="D31">
        <f t="shared" si="1"/>
        <v>-3.9999148475046984E-4</v>
      </c>
      <c r="E31">
        <f t="shared" si="2"/>
        <v>1.5999318787288536E-7</v>
      </c>
    </row>
    <row r="32" spans="1:5" x14ac:dyDescent="0.25">
      <c r="A32">
        <v>2.9076544557875001</v>
      </c>
      <c r="B32">
        <v>0</v>
      </c>
      <c r="C32">
        <f t="shared" si="0"/>
        <v>1.9226103092908936E-4</v>
      </c>
      <c r="D32">
        <f t="shared" si="1"/>
        <v>-1.9226103092908936E-4</v>
      </c>
      <c r="E32">
        <f t="shared" si="2"/>
        <v>3.6964304013916259E-8</v>
      </c>
    </row>
    <row r="33" spans="1:5" x14ac:dyDescent="0.25">
      <c r="A33">
        <v>2.9930606358125003</v>
      </c>
      <c r="B33">
        <v>0</v>
      </c>
      <c r="C33">
        <f t="shared" si="0"/>
        <v>8.9095786010032763E-5</v>
      </c>
      <c r="D33">
        <f t="shared" si="1"/>
        <v>-8.9095786010032763E-5</v>
      </c>
      <c r="E33">
        <f t="shared" si="2"/>
        <v>7.9380590847455491E-9</v>
      </c>
    </row>
    <row r="34" spans="1:5" x14ac:dyDescent="0.25">
      <c r="A34">
        <v>3.0784668158375004</v>
      </c>
      <c r="B34">
        <v>0</v>
      </c>
      <c r="C34">
        <f t="shared" si="0"/>
        <v>3.9788068815585994E-5</v>
      </c>
      <c r="D34">
        <f t="shared" si="1"/>
        <v>-3.9788068815585994E-5</v>
      </c>
      <c r="E34">
        <f t="shared" si="2"/>
        <v>1.5830904200738066E-9</v>
      </c>
    </row>
    <row r="35" spans="1:5" x14ac:dyDescent="0.25">
      <c r="A35">
        <v>3.1638729958625</v>
      </c>
      <c r="B35">
        <v>0</v>
      </c>
      <c r="C35">
        <f t="shared" si="0"/>
        <v>1.7115253253152032E-5</v>
      </c>
      <c r="D35">
        <f t="shared" si="1"/>
        <v>-1.7115253253152032E-5</v>
      </c>
      <c r="E35">
        <f t="shared" si="2"/>
        <v>2.9293189391953121E-10</v>
      </c>
    </row>
    <row r="36" spans="1:5" x14ac:dyDescent="0.25">
      <c r="A36">
        <v>3.2492791758875006</v>
      </c>
      <c r="B36">
        <v>0</v>
      </c>
      <c r="C36">
        <f t="shared" si="0"/>
        <v>7.0884983279754274E-6</v>
      </c>
      <c r="D36">
        <f t="shared" si="1"/>
        <v>-7.0884983279754274E-6</v>
      </c>
      <c r="E36">
        <f t="shared" si="2"/>
        <v>5.0246808545710431E-11</v>
      </c>
    </row>
    <row r="37" spans="1:5" x14ac:dyDescent="0.25">
      <c r="A37">
        <v>3.3346853559125007</v>
      </c>
      <c r="B37">
        <v>0</v>
      </c>
      <c r="C37">
        <f t="shared" si="0"/>
        <v>2.8253488792424842E-6</v>
      </c>
      <c r="D37">
        <f t="shared" si="1"/>
        <v>-2.8253488792424842E-6</v>
      </c>
      <c r="E37">
        <f t="shared" si="2"/>
        <v>7.982596289436762E-12</v>
      </c>
    </row>
    <row r="38" spans="1:5" x14ac:dyDescent="0.25">
      <c r="A38">
        <v>3.4200915359374999</v>
      </c>
      <c r="B38">
        <v>0</v>
      </c>
      <c r="C38">
        <f t="shared" si="0"/>
        <v>1.0832888162145473E-6</v>
      </c>
      <c r="D38">
        <f t="shared" si="1"/>
        <v>-1.0832888162145473E-6</v>
      </c>
      <c r="E38">
        <f t="shared" si="2"/>
        <v>1.1735146593355151E-12</v>
      </c>
    </row>
    <row r="39" spans="1:5" x14ac:dyDescent="0.25">
      <c r="A39">
        <v>3.5054977159625</v>
      </c>
      <c r="B39">
        <v>0</v>
      </c>
      <c r="C39">
        <f t="shared" si="0"/>
        <v>3.9937343347801661E-7</v>
      </c>
      <c r="D39">
        <f t="shared" si="1"/>
        <v>-3.9937343347801661E-7</v>
      </c>
      <c r="E39">
        <f t="shared" si="2"/>
        <v>1.5949913936801975E-13</v>
      </c>
    </row>
    <row r="40" spans="1:5" x14ac:dyDescent="0.25">
      <c r="A40">
        <v>3.5909038959875001</v>
      </c>
      <c r="B40">
        <v>7.3584430380271154E-4</v>
      </c>
      <c r="C40">
        <f t="shared" si="0"/>
        <v>1.4150972309037442E-7</v>
      </c>
      <c r="D40">
        <f t="shared" si="1"/>
        <v>7.3570279407962115E-4</v>
      </c>
      <c r="E40">
        <f t="shared" si="2"/>
        <v>5.4125860121656141E-7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D187-6701-4F38-80C7-DB50AFF3462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4.3996861887500002E-2</v>
      </c>
      <c r="B1">
        <v>9.2780147123617766E-3</v>
      </c>
      <c r="C1">
        <f>$H$3*(1+$H$1)*(A1^($H$1))*EXP(-$H$3*(A1^(1+$H$1)))</f>
        <v>8.8389574052229712E-3</v>
      </c>
      <c r="D1">
        <f>B1-C1</f>
        <v>4.3905730713880535E-4</v>
      </c>
      <c r="E1">
        <f>D1^2</f>
        <v>1.9277131895197926E-7</v>
      </c>
      <c r="G1" t="s">
        <v>0</v>
      </c>
      <c r="H1">
        <v>1.733368987790419</v>
      </c>
    </row>
    <row r="2" spans="1:8" x14ac:dyDescent="0.25">
      <c r="A2">
        <v>0.13198190566250001</v>
      </c>
      <c r="B2">
        <v>0</v>
      </c>
      <c r="C2">
        <f t="shared" ref="C2:C40" si="0">$H$3*(1+$H$1)*(A2^($H$1))*EXP(-$H$3*(A2^(1+$H$1)))</f>
        <v>5.9182851462677544E-2</v>
      </c>
      <c r="D2">
        <f t="shared" ref="D2:D40" si="1">B2-C2</f>
        <v>-5.9182851462677544E-2</v>
      </c>
      <c r="E2">
        <f t="shared" ref="E2:E40" si="2">D2^2</f>
        <v>3.5026099072533535E-3</v>
      </c>
    </row>
    <row r="3" spans="1:8" x14ac:dyDescent="0.25">
      <c r="A3">
        <v>0.2199669494375</v>
      </c>
      <c r="B3">
        <v>4.9958540758871109E-3</v>
      </c>
      <c r="C3">
        <f t="shared" si="0"/>
        <v>0.14221587385341605</v>
      </c>
      <c r="D3">
        <f t="shared" si="1"/>
        <v>-0.13722001977752893</v>
      </c>
      <c r="E3">
        <f t="shared" si="2"/>
        <v>1.8829333827745431E-2</v>
      </c>
      <c r="G3" t="s">
        <v>1</v>
      </c>
      <c r="H3">
        <f>(_xlfn.GAMMA((2+$H$1)/(1+$H$1)))^(1+$H$1)</f>
        <v>0.72646605886698667</v>
      </c>
    </row>
    <row r="4" spans="1:8" x14ac:dyDescent="0.25">
      <c r="A4">
        <v>0.3079519932125</v>
      </c>
      <c r="B4">
        <v>0.14345238132190133</v>
      </c>
      <c r="C4">
        <f t="shared" si="0"/>
        <v>0.2504104440692248</v>
      </c>
      <c r="D4">
        <f t="shared" si="1"/>
        <v>-0.10695806274732347</v>
      </c>
      <c r="E4">
        <f t="shared" si="2"/>
        <v>1.1440027186660385E-2</v>
      </c>
    </row>
    <row r="5" spans="1:8" x14ac:dyDescent="0.25">
      <c r="A5">
        <v>0.39593703698750005</v>
      </c>
      <c r="B5">
        <v>0.29190061671968975</v>
      </c>
      <c r="C5">
        <f t="shared" si="0"/>
        <v>0.37616698746608523</v>
      </c>
      <c r="D5">
        <f t="shared" si="1"/>
        <v>-8.426637074639548E-2</v>
      </c>
      <c r="E5">
        <f t="shared" si="2"/>
        <v>7.1008212387689762E-3</v>
      </c>
      <c r="G5" t="s">
        <v>2</v>
      </c>
      <c r="H5">
        <f>SUM(E1:E40)</f>
        <v>0.3058833793392437</v>
      </c>
    </row>
    <row r="6" spans="1:8" x14ac:dyDescent="0.25">
      <c r="A6">
        <v>0.48392208076249998</v>
      </c>
      <c r="B6">
        <v>0.66373489865357327</v>
      </c>
      <c r="C6">
        <f t="shared" si="0"/>
        <v>0.51065150516612912</v>
      </c>
      <c r="D6">
        <f t="shared" si="1"/>
        <v>0.15308339348744415</v>
      </c>
      <c r="E6">
        <f t="shared" si="2"/>
        <v>2.343452536163166E-2</v>
      </c>
    </row>
    <row r="7" spans="1:8" x14ac:dyDescent="0.25">
      <c r="A7">
        <v>0.57190712453750003</v>
      </c>
      <c r="B7">
        <v>0.77649846208073947</v>
      </c>
      <c r="C7">
        <f t="shared" si="0"/>
        <v>0.64382925480672015</v>
      </c>
      <c r="D7">
        <f t="shared" si="1"/>
        <v>0.13266920727401932</v>
      </c>
      <c r="E7">
        <f t="shared" si="2"/>
        <v>1.76011185587167E-2</v>
      </c>
    </row>
    <row r="8" spans="1:8" x14ac:dyDescent="0.25">
      <c r="A8">
        <v>0.65989216831250008</v>
      </c>
      <c r="B8">
        <v>0.84858149946139638</v>
      </c>
      <c r="C8">
        <f t="shared" si="0"/>
        <v>0.76508006510919724</v>
      </c>
      <c r="D8">
        <f t="shared" si="1"/>
        <v>8.3501434352199144E-2</v>
      </c>
      <c r="E8">
        <f t="shared" si="2"/>
        <v>6.972489538874623E-3</v>
      </c>
    </row>
    <row r="9" spans="1:8" x14ac:dyDescent="0.25">
      <c r="A9">
        <v>0.74787721208749991</v>
      </c>
      <c r="B9">
        <v>0.98132847919211097</v>
      </c>
      <c r="C9">
        <f t="shared" si="0"/>
        <v>0.86419367209110831</v>
      </c>
      <c r="D9">
        <f t="shared" si="1"/>
        <v>0.11713480710100266</v>
      </c>
      <c r="E9">
        <f t="shared" si="2"/>
        <v>1.3720563034589102E-2</v>
      </c>
    </row>
    <row r="10" spans="1:8" x14ac:dyDescent="0.25">
      <c r="A10">
        <v>0.83586225586249996</v>
      </c>
      <c r="B10">
        <v>1.02486377899627</v>
      </c>
      <c r="C10">
        <f t="shared" si="0"/>
        <v>0.93255410236168523</v>
      </c>
      <c r="D10">
        <f t="shared" si="1"/>
        <v>9.2309676634584781E-2</v>
      </c>
      <c r="E10">
        <f t="shared" si="2"/>
        <v>8.521076400381607E-3</v>
      </c>
    </row>
    <row r="11" spans="1:8" x14ac:dyDescent="0.25">
      <c r="A11">
        <v>0.92384729963750001</v>
      </c>
      <c r="B11">
        <v>1.2218431682741047</v>
      </c>
      <c r="C11">
        <f t="shared" si="0"/>
        <v>0.96428405038781306</v>
      </c>
      <c r="D11">
        <f t="shared" si="1"/>
        <v>0.2575591178862916</v>
      </c>
      <c r="E11">
        <f t="shared" si="2"/>
        <v>6.6336699206364647E-2</v>
      </c>
    </row>
    <row r="12" spans="1:8" x14ac:dyDescent="0.25">
      <c r="A12">
        <v>1.0118323434125001</v>
      </c>
      <c r="B12">
        <v>1.0320007133903946</v>
      </c>
      <c r="C12">
        <f t="shared" si="0"/>
        <v>0.9571048227906972</v>
      </c>
      <c r="D12">
        <f t="shared" si="1"/>
        <v>7.4895890599697368E-2</v>
      </c>
      <c r="E12">
        <f t="shared" si="2"/>
        <v>5.6093944287218369E-3</v>
      </c>
    </row>
    <row r="13" spans="1:8" x14ac:dyDescent="0.25">
      <c r="A13">
        <v>1.0998173871875001</v>
      </c>
      <c r="B13">
        <v>0.87284707640141945</v>
      </c>
      <c r="C13">
        <f t="shared" si="0"/>
        <v>0.91270300641194757</v>
      </c>
      <c r="D13">
        <f t="shared" si="1"/>
        <v>-3.9855930010528118E-2</v>
      </c>
      <c r="E13">
        <f t="shared" si="2"/>
        <v>1.5884951570041158E-3</v>
      </c>
    </row>
    <row r="14" spans="1:8" x14ac:dyDescent="0.25">
      <c r="A14">
        <v>1.1878024309624999</v>
      </c>
      <c r="B14">
        <v>0.65231580362297414</v>
      </c>
      <c r="C14">
        <f t="shared" si="0"/>
        <v>0.83648701537662051</v>
      </c>
      <c r="D14">
        <f t="shared" si="1"/>
        <v>-0.18417121175364637</v>
      </c>
      <c r="E14">
        <f t="shared" si="2"/>
        <v>3.3919035238806447E-2</v>
      </c>
    </row>
    <row r="15" spans="1:8" x14ac:dyDescent="0.25">
      <c r="A15">
        <v>1.2757874747375</v>
      </c>
      <c r="B15">
        <v>0.55668088274170657</v>
      </c>
      <c r="C15">
        <f t="shared" si="0"/>
        <v>0.73674892145436854</v>
      </c>
      <c r="D15">
        <f t="shared" si="1"/>
        <v>-0.18006803871266197</v>
      </c>
      <c r="E15">
        <f t="shared" si="2"/>
        <v>3.242449856582473E-2</v>
      </c>
    </row>
    <row r="16" spans="1:8" x14ac:dyDescent="0.25">
      <c r="A16">
        <v>1.3637725185125</v>
      </c>
      <c r="B16">
        <v>0.46532812249691374</v>
      </c>
      <c r="C16">
        <f t="shared" si="0"/>
        <v>0.62338570687822958</v>
      </c>
      <c r="D16">
        <f t="shared" si="1"/>
        <v>-0.15805758438131584</v>
      </c>
      <c r="E16">
        <f t="shared" si="2"/>
        <v>2.4982199980456778E-2</v>
      </c>
    </row>
    <row r="17" spans="1:5" x14ac:dyDescent="0.25">
      <c r="A17">
        <v>1.4517575622875001</v>
      </c>
      <c r="B17">
        <v>0.4018094063892062</v>
      </c>
      <c r="C17">
        <f t="shared" si="0"/>
        <v>0.50643850684846814</v>
      </c>
      <c r="D17">
        <f t="shared" si="1"/>
        <v>-0.10462910045926194</v>
      </c>
      <c r="E17">
        <f t="shared" si="2"/>
        <v>1.0947248662914326E-2</v>
      </c>
    </row>
    <row r="18" spans="1:5" x14ac:dyDescent="0.25">
      <c r="A18">
        <v>1.5397426060625001</v>
      </c>
      <c r="B18">
        <v>0.34114546403914842</v>
      </c>
      <c r="C18">
        <f t="shared" si="0"/>
        <v>0.39474547782906211</v>
      </c>
      <c r="D18">
        <f t="shared" si="1"/>
        <v>-5.3600013789913692E-2</v>
      </c>
      <c r="E18">
        <f t="shared" si="2"/>
        <v>2.872961478278938E-3</v>
      </c>
    </row>
    <row r="19" spans="1:5" x14ac:dyDescent="0.25">
      <c r="A19">
        <v>1.6277276498375</v>
      </c>
      <c r="B19">
        <v>0.27191720041614131</v>
      </c>
      <c r="C19">
        <f t="shared" si="0"/>
        <v>0.29496157264438344</v>
      </c>
      <c r="D19">
        <f t="shared" si="1"/>
        <v>-2.3044372228242127E-2</v>
      </c>
      <c r="E19">
        <f t="shared" si="2"/>
        <v>5.3104309139377702E-4</v>
      </c>
    </row>
    <row r="20" spans="1:5" x14ac:dyDescent="0.25">
      <c r="A20">
        <v>1.7157126936124998</v>
      </c>
      <c r="B20">
        <v>0.27263089385555372</v>
      </c>
      <c r="C20">
        <f t="shared" si="0"/>
        <v>0.21109127638765393</v>
      </c>
      <c r="D20">
        <f t="shared" si="1"/>
        <v>6.1539617467899793E-2</v>
      </c>
      <c r="E20">
        <f t="shared" si="2"/>
        <v>3.7871245180954374E-3</v>
      </c>
    </row>
    <row r="21" spans="1:5" x14ac:dyDescent="0.25">
      <c r="A21">
        <v>1.8036977373875001</v>
      </c>
      <c r="B21">
        <v>0.19697938927783465</v>
      </c>
      <c r="C21">
        <f t="shared" si="0"/>
        <v>0.14454429729127341</v>
      </c>
      <c r="D21">
        <f t="shared" si="1"/>
        <v>5.2435091986561239E-2</v>
      </c>
      <c r="E21">
        <f t="shared" si="2"/>
        <v>2.7494388716391388E-3</v>
      </c>
    </row>
    <row r="22" spans="1:5" x14ac:dyDescent="0.25">
      <c r="A22">
        <v>1.8916827811625001</v>
      </c>
      <c r="B22">
        <v>0.16343579762544977</v>
      </c>
      <c r="C22">
        <f t="shared" si="0"/>
        <v>9.460281687421318E-2</v>
      </c>
      <c r="D22">
        <f t="shared" si="1"/>
        <v>6.8832980751236589E-2</v>
      </c>
      <c r="E22">
        <f t="shared" si="2"/>
        <v>4.7379792391001067E-3</v>
      </c>
    </row>
    <row r="23" spans="1:5" x14ac:dyDescent="0.25">
      <c r="A23">
        <v>1.9796678249374999</v>
      </c>
      <c r="B23">
        <v>0.11704572406364087</v>
      </c>
      <c r="C23">
        <f t="shared" si="0"/>
        <v>5.9116502495920167E-2</v>
      </c>
      <c r="D23">
        <f t="shared" si="1"/>
        <v>5.7929221567720707E-2</v>
      </c>
      <c r="E23">
        <f t="shared" si="2"/>
        <v>3.355794711442078E-3</v>
      </c>
    </row>
    <row r="24" spans="1:5" x14ac:dyDescent="0.25">
      <c r="A24">
        <v>2.0676528687125</v>
      </c>
      <c r="B24">
        <v>5.4240701395345772E-2</v>
      </c>
      <c r="C24">
        <f t="shared" si="0"/>
        <v>3.523145760047796E-2</v>
      </c>
      <c r="D24">
        <f t="shared" si="1"/>
        <v>1.9009243794867813E-2</v>
      </c>
      <c r="E24">
        <f t="shared" si="2"/>
        <v>3.6135134965272045E-4</v>
      </c>
    </row>
    <row r="25" spans="1:5" x14ac:dyDescent="0.25">
      <c r="A25">
        <v>2.1556379124875003</v>
      </c>
      <c r="B25">
        <v>0</v>
      </c>
      <c r="C25">
        <f t="shared" si="0"/>
        <v>2.0002072864929464E-2</v>
      </c>
      <c r="D25">
        <f t="shared" si="1"/>
        <v>-2.0002072864929464E-2</v>
      </c>
      <c r="E25">
        <f t="shared" si="2"/>
        <v>4.000829188939476E-4</v>
      </c>
    </row>
    <row r="26" spans="1:5" x14ac:dyDescent="0.25">
      <c r="A26">
        <v>2.2436229562625001</v>
      </c>
      <c r="B26">
        <v>0</v>
      </c>
      <c r="C26">
        <f t="shared" si="0"/>
        <v>1.080536145112152E-2</v>
      </c>
      <c r="D26">
        <f t="shared" si="1"/>
        <v>-1.080536145112152E-2</v>
      </c>
      <c r="E26">
        <f t="shared" si="2"/>
        <v>1.1675583608938295E-4</v>
      </c>
    </row>
    <row r="27" spans="1:5" x14ac:dyDescent="0.25">
      <c r="A27">
        <v>2.3316080000374999</v>
      </c>
      <c r="B27">
        <v>0</v>
      </c>
      <c r="C27">
        <f t="shared" si="0"/>
        <v>5.5477246768811756E-3</v>
      </c>
      <c r="D27">
        <f t="shared" si="1"/>
        <v>-5.5477246768811756E-3</v>
      </c>
      <c r="E27">
        <f t="shared" si="2"/>
        <v>3.0777249090476347E-5</v>
      </c>
    </row>
    <row r="28" spans="1:5" x14ac:dyDescent="0.25">
      <c r="A28">
        <v>2.4195930438125002</v>
      </c>
      <c r="B28">
        <v>0</v>
      </c>
      <c r="C28">
        <f t="shared" si="0"/>
        <v>2.7038884750733541E-3</v>
      </c>
      <c r="D28">
        <f t="shared" si="1"/>
        <v>-2.7038884750733541E-3</v>
      </c>
      <c r="E28">
        <f t="shared" si="2"/>
        <v>7.3110128856345082E-6</v>
      </c>
    </row>
    <row r="29" spans="1:5" x14ac:dyDescent="0.25">
      <c r="A29">
        <v>2.5075780875875</v>
      </c>
      <c r="B29">
        <v>0</v>
      </c>
      <c r="C29">
        <f t="shared" si="0"/>
        <v>1.2495242471682027E-3</v>
      </c>
      <c r="D29">
        <f t="shared" si="1"/>
        <v>-1.2495242471682027E-3</v>
      </c>
      <c r="E29">
        <f t="shared" si="2"/>
        <v>1.5613108442612636E-6</v>
      </c>
    </row>
    <row r="30" spans="1:5" x14ac:dyDescent="0.25">
      <c r="A30">
        <v>2.5955631313624998</v>
      </c>
      <c r="B30">
        <v>0</v>
      </c>
      <c r="C30">
        <f t="shared" si="0"/>
        <v>5.4684493659889154E-4</v>
      </c>
      <c r="D30">
        <f t="shared" si="1"/>
        <v>-5.4684493659889154E-4</v>
      </c>
      <c r="E30">
        <f t="shared" si="2"/>
        <v>2.990393846838457E-7</v>
      </c>
    </row>
    <row r="31" spans="1:5" x14ac:dyDescent="0.25">
      <c r="A31">
        <v>2.6835481751375001</v>
      </c>
      <c r="B31">
        <v>0</v>
      </c>
      <c r="C31">
        <f t="shared" si="0"/>
        <v>2.263744703634035E-4</v>
      </c>
      <c r="D31">
        <f t="shared" si="1"/>
        <v>-2.263744703634035E-4</v>
      </c>
      <c r="E31">
        <f t="shared" si="2"/>
        <v>5.124540083231145E-8</v>
      </c>
    </row>
    <row r="32" spans="1:5" x14ac:dyDescent="0.25">
      <c r="A32">
        <v>2.7715332189125004</v>
      </c>
      <c r="B32">
        <v>0</v>
      </c>
      <c r="C32">
        <f t="shared" si="0"/>
        <v>8.8534766177149316E-5</v>
      </c>
      <c r="D32">
        <f t="shared" si="1"/>
        <v>-8.8534766177149316E-5</v>
      </c>
      <c r="E32">
        <f t="shared" si="2"/>
        <v>7.8384048220425026E-9</v>
      </c>
    </row>
    <row r="33" spans="1:5" x14ac:dyDescent="0.25">
      <c r="A33">
        <v>2.8595182626874998</v>
      </c>
      <c r="B33">
        <v>0</v>
      </c>
      <c r="C33">
        <f t="shared" si="0"/>
        <v>3.2674019904919109E-5</v>
      </c>
      <c r="D33">
        <f t="shared" si="1"/>
        <v>-3.2674019904919109E-5</v>
      </c>
      <c r="E33">
        <f t="shared" si="2"/>
        <v>1.06759157674705E-9</v>
      </c>
    </row>
    <row r="34" spans="1:5" x14ac:dyDescent="0.25">
      <c r="A34">
        <v>2.9475033064625</v>
      </c>
      <c r="B34">
        <v>0</v>
      </c>
      <c r="C34">
        <f t="shared" si="0"/>
        <v>1.1365093640916958E-5</v>
      </c>
      <c r="D34">
        <f t="shared" si="1"/>
        <v>-1.1365093640916958E-5</v>
      </c>
      <c r="E34">
        <f t="shared" si="2"/>
        <v>1.2916535346681106E-10</v>
      </c>
    </row>
    <row r="35" spans="1:5" x14ac:dyDescent="0.25">
      <c r="A35">
        <v>3.0354883502375003</v>
      </c>
      <c r="B35">
        <v>0</v>
      </c>
      <c r="C35">
        <f t="shared" si="0"/>
        <v>3.7213897675158485E-6</v>
      </c>
      <c r="D35">
        <f t="shared" si="1"/>
        <v>-3.7213897675158485E-6</v>
      </c>
      <c r="E35">
        <f t="shared" si="2"/>
        <v>1.3848741801771661E-11</v>
      </c>
    </row>
    <row r="36" spans="1:5" x14ac:dyDescent="0.25">
      <c r="A36">
        <v>3.1234733940124997</v>
      </c>
      <c r="B36">
        <v>0</v>
      </c>
      <c r="C36">
        <f t="shared" si="0"/>
        <v>1.1457234935114327E-6</v>
      </c>
      <c r="D36">
        <f t="shared" si="1"/>
        <v>-1.1457234935114327E-6</v>
      </c>
      <c r="E36">
        <f t="shared" si="2"/>
        <v>1.3126823235840418E-12</v>
      </c>
    </row>
    <row r="37" spans="1:5" x14ac:dyDescent="0.25">
      <c r="A37">
        <v>3.2114584377875</v>
      </c>
      <c r="B37">
        <v>0</v>
      </c>
      <c r="C37">
        <f t="shared" si="0"/>
        <v>3.3126756858446369E-7</v>
      </c>
      <c r="D37">
        <f t="shared" si="1"/>
        <v>-3.3126756858446369E-7</v>
      </c>
      <c r="E37">
        <f t="shared" si="2"/>
        <v>1.0973820199586235E-13</v>
      </c>
    </row>
    <row r="38" spans="1:5" x14ac:dyDescent="0.25">
      <c r="A38">
        <v>3.2994434815625002</v>
      </c>
      <c r="B38">
        <v>0</v>
      </c>
      <c r="C38">
        <f t="shared" si="0"/>
        <v>8.9843296137940302E-8</v>
      </c>
      <c r="D38">
        <f t="shared" si="1"/>
        <v>-8.9843296137940302E-8</v>
      </c>
      <c r="E38">
        <f t="shared" si="2"/>
        <v>8.0718178609296393E-15</v>
      </c>
    </row>
    <row r="39" spans="1:5" x14ac:dyDescent="0.25">
      <c r="A39">
        <v>3.3874285253375001</v>
      </c>
      <c r="B39">
        <v>0</v>
      </c>
      <c r="C39">
        <f t="shared" si="0"/>
        <v>2.2828887508299564E-8</v>
      </c>
      <c r="D39">
        <f t="shared" si="1"/>
        <v>-2.2828887508299564E-8</v>
      </c>
      <c r="E39">
        <f t="shared" si="2"/>
        <v>5.2115810486659585E-16</v>
      </c>
    </row>
    <row r="40" spans="1:5" x14ac:dyDescent="0.25">
      <c r="A40">
        <v>3.4754135691124999</v>
      </c>
      <c r="B40">
        <v>7.1369343941244442E-4</v>
      </c>
      <c r="C40">
        <f t="shared" si="0"/>
        <v>5.4282815735912691E-9</v>
      </c>
      <c r="D40">
        <f t="shared" si="1"/>
        <v>7.1368801113087083E-4</v>
      </c>
      <c r="E40">
        <f t="shared" si="2"/>
        <v>5.0935057723193797E-7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1101-813B-4BBE-92A9-7F9B1EE3136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4.3691839612499998E-2</v>
      </c>
      <c r="B1">
        <v>7.1967763317509741E-3</v>
      </c>
      <c r="C1">
        <f>$H$3*(1+$H$1)*(A1^($H$1))*EXP(-$H$3*(A1^(1+$H$1)))</f>
        <v>4.4320290143133236E-3</v>
      </c>
      <c r="D1">
        <f>B1-C1</f>
        <v>2.7647473174376505E-3</v>
      </c>
      <c r="E1">
        <f>D1^2</f>
        <v>7.6438277292786845E-6</v>
      </c>
      <c r="G1" t="s">
        <v>0</v>
      </c>
      <c r="H1">
        <v>1.9709228712140148</v>
      </c>
    </row>
    <row r="2" spans="1:8" x14ac:dyDescent="0.25">
      <c r="A2">
        <v>0.13096171883749999</v>
      </c>
      <c r="B2">
        <v>0</v>
      </c>
      <c r="C2">
        <f t="shared" ref="C2:C40" si="0">$H$3*(1+$H$1)*(A2^($H$1))*EXP(-$H$3*(A2^(1+$H$1)))</f>
        <v>3.8505097168707099E-2</v>
      </c>
      <c r="D2">
        <f t="shared" ref="D2:D40" si="1">B2-C2</f>
        <v>-3.8505097168707099E-2</v>
      </c>
      <c r="E2">
        <f t="shared" ref="E2:E40" si="2">D2^2</f>
        <v>1.4826425079715753E-3</v>
      </c>
    </row>
    <row r="3" spans="1:8" x14ac:dyDescent="0.25">
      <c r="A3">
        <v>0.21823159806249998</v>
      </c>
      <c r="B3">
        <v>0</v>
      </c>
      <c r="C3">
        <f t="shared" si="0"/>
        <v>0.10471001809759578</v>
      </c>
      <c r="D3">
        <f t="shared" si="1"/>
        <v>-0.10471001809759578</v>
      </c>
      <c r="E3">
        <f t="shared" si="2"/>
        <v>1.0964187889998835E-2</v>
      </c>
      <c r="G3" t="s">
        <v>1</v>
      </c>
      <c r="H3">
        <f>(_xlfn.GAMMA((2+$H$1)/(1+$H$1)))^(1+$H$1)</f>
        <v>0.71351911216133435</v>
      </c>
    </row>
    <row r="4" spans="1:8" x14ac:dyDescent="0.25">
      <c r="A4">
        <v>0.30550147728749999</v>
      </c>
      <c r="B4">
        <v>5.9013565920357988E-2</v>
      </c>
      <c r="C4">
        <f t="shared" si="0"/>
        <v>0.20051761006107802</v>
      </c>
      <c r="D4">
        <f t="shared" si="1"/>
        <v>-0.14150404414072004</v>
      </c>
      <c r="E4">
        <f t="shared" si="2"/>
        <v>2.0023394508178846E-2</v>
      </c>
    </row>
    <row r="5" spans="1:8" x14ac:dyDescent="0.25">
      <c r="A5">
        <v>0.3927713565125</v>
      </c>
      <c r="B5">
        <v>0.23389523078190666</v>
      </c>
      <c r="C5">
        <f t="shared" si="0"/>
        <v>0.32142849346977631</v>
      </c>
      <c r="D5">
        <f t="shared" si="1"/>
        <v>-8.7533262687869651E-2</v>
      </c>
      <c r="E5">
        <f t="shared" si="2"/>
        <v>7.6620720767835932E-3</v>
      </c>
      <c r="G5" t="s">
        <v>2</v>
      </c>
      <c r="H5">
        <f>SUM(E1:E40)</f>
        <v>0.31707654656878226</v>
      </c>
    </row>
    <row r="6" spans="1:8" x14ac:dyDescent="0.25">
      <c r="A6">
        <v>0.48004123573750002</v>
      </c>
      <c r="B6">
        <v>0.4735478826292141</v>
      </c>
      <c r="C6">
        <f t="shared" si="0"/>
        <v>0.46036621407741496</v>
      </c>
      <c r="D6">
        <f t="shared" si="1"/>
        <v>1.3181668551799142E-2</v>
      </c>
      <c r="E6">
        <f t="shared" si="2"/>
        <v>1.7375638580949048E-4</v>
      </c>
    </row>
    <row r="7" spans="1:8" x14ac:dyDescent="0.25">
      <c r="A7">
        <v>0.56731111496249997</v>
      </c>
      <c r="B7">
        <v>0.78876668595990673</v>
      </c>
      <c r="C7">
        <f t="shared" si="0"/>
        <v>0.60754528891792892</v>
      </c>
      <c r="D7">
        <f t="shared" si="1"/>
        <v>0.18122139704197782</v>
      </c>
      <c r="E7">
        <f t="shared" si="2"/>
        <v>3.2841194745846167E-2</v>
      </c>
    </row>
    <row r="8" spans="1:8" x14ac:dyDescent="0.25">
      <c r="A8">
        <v>0.65458099418750004</v>
      </c>
      <c r="B8">
        <v>0.89527897566982118</v>
      </c>
      <c r="C8">
        <f t="shared" si="0"/>
        <v>0.75090574118383591</v>
      </c>
      <c r="D8">
        <f t="shared" si="1"/>
        <v>0.14437323448598527</v>
      </c>
      <c r="E8">
        <f t="shared" si="2"/>
        <v>2.0843630835945287E-2</v>
      </c>
    </row>
    <row r="9" spans="1:8" x14ac:dyDescent="0.25">
      <c r="A9">
        <v>0.7418508734125</v>
      </c>
      <c r="B9">
        <v>1.0205028838422883</v>
      </c>
      <c r="C9">
        <f t="shared" si="0"/>
        <v>0.87716931529708353</v>
      </c>
      <c r="D9">
        <f t="shared" si="1"/>
        <v>0.14333356854520474</v>
      </c>
      <c r="E9">
        <f t="shared" si="2"/>
        <v>2.0544511871902905E-2</v>
      </c>
    </row>
    <row r="10" spans="1:8" x14ac:dyDescent="0.25">
      <c r="A10">
        <v>0.82912075263749996</v>
      </c>
      <c r="B10">
        <v>1.0377751470384906</v>
      </c>
      <c r="C10">
        <f t="shared" si="0"/>
        <v>0.97344752656935774</v>
      </c>
      <c r="D10">
        <f t="shared" si="1"/>
        <v>6.4327620469132873E-2</v>
      </c>
      <c r="E10">
        <f t="shared" si="2"/>
        <v>4.1380427552208023E-3</v>
      </c>
    </row>
    <row r="11" spans="1:8" x14ac:dyDescent="0.25">
      <c r="A11">
        <v>0.91639063186249992</v>
      </c>
      <c r="B11">
        <v>1.2184142329654399</v>
      </c>
      <c r="C11">
        <f t="shared" si="0"/>
        <v>1.0291666606112333</v>
      </c>
      <c r="D11">
        <f t="shared" si="1"/>
        <v>0.18924757235420664</v>
      </c>
      <c r="E11">
        <f t="shared" si="2"/>
        <v>3.5814643641960679E-2</v>
      </c>
    </row>
    <row r="12" spans="1:8" x14ac:dyDescent="0.25">
      <c r="A12">
        <v>1.0036605110874999</v>
      </c>
      <c r="B12">
        <v>1.2162552000659146</v>
      </c>
      <c r="C12">
        <f t="shared" si="0"/>
        <v>1.0379226533990868</v>
      </c>
      <c r="D12">
        <f t="shared" si="1"/>
        <v>0.17833254666682774</v>
      </c>
      <c r="E12">
        <f t="shared" si="2"/>
        <v>3.1802497200676294E-2</v>
      </c>
    </row>
    <row r="13" spans="1:8" x14ac:dyDescent="0.25">
      <c r="A13">
        <v>1.0909303903124998</v>
      </c>
      <c r="B13">
        <v>0.94205802182620257</v>
      </c>
      <c r="C13">
        <f t="shared" si="0"/>
        <v>0.99880374419642015</v>
      </c>
      <c r="D13">
        <f t="shared" si="1"/>
        <v>-5.6745722370217577E-2</v>
      </c>
      <c r="E13">
        <f t="shared" si="2"/>
        <v>3.2200770073178117E-3</v>
      </c>
    </row>
    <row r="14" spans="1:8" x14ac:dyDescent="0.25">
      <c r="A14">
        <v>1.1782002695374998</v>
      </c>
      <c r="B14">
        <v>0.74198763980352545</v>
      </c>
      <c r="C14">
        <f t="shared" si="0"/>
        <v>0.91677509776312804</v>
      </c>
      <c r="D14">
        <f t="shared" si="1"/>
        <v>-0.1747874579596026</v>
      </c>
      <c r="E14">
        <f t="shared" si="2"/>
        <v>3.0550655459979845E-2</v>
      </c>
    </row>
    <row r="15" spans="1:8" x14ac:dyDescent="0.25">
      <c r="A15">
        <v>1.2654701487624997</v>
      </c>
      <c r="B15">
        <v>0.59949146843485612</v>
      </c>
      <c r="C15">
        <f t="shared" si="0"/>
        <v>0.80192239790231556</v>
      </c>
      <c r="D15">
        <f t="shared" si="1"/>
        <v>-0.20243092946745944</v>
      </c>
      <c r="E15">
        <f t="shared" si="2"/>
        <v>4.0978281205059537E-2</v>
      </c>
    </row>
    <row r="16" spans="1:8" x14ac:dyDescent="0.25">
      <c r="A16">
        <v>1.3527400279874999</v>
      </c>
      <c r="B16">
        <v>0.49513821162446703</v>
      </c>
      <c r="C16">
        <f t="shared" si="0"/>
        <v>0.66765672509698093</v>
      </c>
      <c r="D16">
        <f t="shared" si="1"/>
        <v>-0.1725185134725139</v>
      </c>
      <c r="E16">
        <f t="shared" si="2"/>
        <v>2.9762637490765961E-2</v>
      </c>
    </row>
    <row r="17" spans="1:5" x14ac:dyDescent="0.25">
      <c r="A17">
        <v>1.4400099072124999</v>
      </c>
      <c r="B17">
        <v>0.44763948783491059</v>
      </c>
      <c r="C17">
        <f t="shared" si="0"/>
        <v>0.52829223499109867</v>
      </c>
      <c r="D17">
        <f t="shared" si="1"/>
        <v>-8.0652747156188087E-2</v>
      </c>
      <c r="E17">
        <f t="shared" si="2"/>
        <v>6.504865623840006E-3</v>
      </c>
    </row>
    <row r="18" spans="1:5" x14ac:dyDescent="0.25">
      <c r="A18">
        <v>1.5272797864375001</v>
      </c>
      <c r="B18">
        <v>0.33824848759229581</v>
      </c>
      <c r="C18">
        <f t="shared" si="0"/>
        <v>0.39660307407714873</v>
      </c>
      <c r="D18">
        <f t="shared" si="1"/>
        <v>-5.8354586484852922E-2</v>
      </c>
      <c r="E18">
        <f t="shared" si="2"/>
        <v>3.4052577638181794E-3</v>
      </c>
    </row>
    <row r="19" spans="1:5" x14ac:dyDescent="0.25">
      <c r="A19">
        <v>1.6145496656625</v>
      </c>
      <c r="B19">
        <v>0.29218911906908956</v>
      </c>
      <c r="C19">
        <f t="shared" si="0"/>
        <v>0.28196254092352135</v>
      </c>
      <c r="D19">
        <f t="shared" si="1"/>
        <v>1.022657814556821E-2</v>
      </c>
      <c r="E19">
        <f t="shared" si="2"/>
        <v>1.0458290056741334E-4</v>
      </c>
    </row>
    <row r="20" spans="1:5" x14ac:dyDescent="0.25">
      <c r="A20">
        <v>1.7018195448875</v>
      </c>
      <c r="B20">
        <v>0.23533458604825686</v>
      </c>
      <c r="C20">
        <f t="shared" si="0"/>
        <v>0.18946083998044558</v>
      </c>
      <c r="D20">
        <f t="shared" si="1"/>
        <v>4.5873746067811277E-2</v>
      </c>
      <c r="E20">
        <f t="shared" si="2"/>
        <v>2.1044005782940305E-3</v>
      </c>
    </row>
    <row r="21" spans="1:5" x14ac:dyDescent="0.25">
      <c r="A21">
        <v>1.7890894241124999</v>
      </c>
      <c r="B21">
        <v>0.20798683598760315</v>
      </c>
      <c r="C21">
        <f t="shared" si="0"/>
        <v>0.12007067841821673</v>
      </c>
      <c r="D21">
        <f t="shared" si="1"/>
        <v>8.7916157569386422E-2</v>
      </c>
      <c r="E21">
        <f t="shared" si="2"/>
        <v>7.7292507617651813E-3</v>
      </c>
    </row>
    <row r="22" spans="1:5" x14ac:dyDescent="0.25">
      <c r="A22">
        <v>1.8763593033374999</v>
      </c>
      <c r="B22">
        <v>0.14465520426819459</v>
      </c>
      <c r="C22">
        <f t="shared" si="0"/>
        <v>7.1615426987586689E-2</v>
      </c>
      <c r="D22">
        <f t="shared" si="1"/>
        <v>7.3039777280607898E-2</v>
      </c>
      <c r="E22">
        <f t="shared" si="2"/>
        <v>5.3348090652008059E-3</v>
      </c>
    </row>
    <row r="23" spans="1:5" x14ac:dyDescent="0.25">
      <c r="A23">
        <v>1.9636291825624999</v>
      </c>
      <c r="B23">
        <v>6.2611954086233476E-2</v>
      </c>
      <c r="C23">
        <f t="shared" si="0"/>
        <v>4.0110982482595973E-2</v>
      </c>
      <c r="D23">
        <f t="shared" si="1"/>
        <v>2.2500971603637503E-2</v>
      </c>
      <c r="E23">
        <f t="shared" si="2"/>
        <v>5.0629372310770121E-4</v>
      </c>
    </row>
    <row r="24" spans="1:5" x14ac:dyDescent="0.25">
      <c r="A24">
        <v>2.0508990617874998</v>
      </c>
      <c r="B24">
        <v>0</v>
      </c>
      <c r="C24">
        <f t="shared" si="0"/>
        <v>2.104841673838577E-2</v>
      </c>
      <c r="D24">
        <f t="shared" si="1"/>
        <v>-2.104841673838577E-2</v>
      </c>
      <c r="E24">
        <f t="shared" si="2"/>
        <v>4.4303584719275821E-4</v>
      </c>
    </row>
    <row r="25" spans="1:5" x14ac:dyDescent="0.25">
      <c r="A25">
        <v>2.1381689410124998</v>
      </c>
      <c r="B25">
        <v>0</v>
      </c>
      <c r="C25">
        <f t="shared" si="0"/>
        <v>1.0324490522750132E-2</v>
      </c>
      <c r="D25">
        <f t="shared" si="1"/>
        <v>-1.0324490522750132E-2</v>
      </c>
      <c r="E25">
        <f t="shared" si="2"/>
        <v>1.0659510455435728E-4</v>
      </c>
    </row>
    <row r="26" spans="1:5" x14ac:dyDescent="0.25">
      <c r="A26">
        <v>2.2254388202374997</v>
      </c>
      <c r="B26">
        <v>0</v>
      </c>
      <c r="C26">
        <f t="shared" si="0"/>
        <v>4.7226853362438799E-3</v>
      </c>
      <c r="D26">
        <f t="shared" si="1"/>
        <v>-4.7226853362438799E-3</v>
      </c>
      <c r="E26">
        <f t="shared" si="2"/>
        <v>2.230375678517297E-5</v>
      </c>
    </row>
    <row r="27" spans="1:5" x14ac:dyDescent="0.25">
      <c r="A27">
        <v>2.3127086994625001</v>
      </c>
      <c r="B27">
        <v>0</v>
      </c>
      <c r="C27">
        <f t="shared" si="0"/>
        <v>2.0097670638724867E-3</v>
      </c>
      <c r="D27">
        <f t="shared" si="1"/>
        <v>-2.0097670638724867E-3</v>
      </c>
      <c r="E27">
        <f t="shared" si="2"/>
        <v>4.0391636510266364E-6</v>
      </c>
    </row>
    <row r="28" spans="1:5" x14ac:dyDescent="0.25">
      <c r="A28">
        <v>2.3999785786875001</v>
      </c>
      <c r="B28">
        <v>0</v>
      </c>
      <c r="C28">
        <f t="shared" si="0"/>
        <v>7.937669652038602E-4</v>
      </c>
      <c r="D28">
        <f t="shared" si="1"/>
        <v>-7.937669652038602E-4</v>
      </c>
      <c r="E28">
        <f t="shared" si="2"/>
        <v>6.3006599504894623E-7</v>
      </c>
    </row>
    <row r="29" spans="1:5" x14ac:dyDescent="0.25">
      <c r="A29">
        <v>2.4872484579125</v>
      </c>
      <c r="B29">
        <v>0</v>
      </c>
      <c r="C29">
        <f t="shared" si="0"/>
        <v>2.9025247858761877E-4</v>
      </c>
      <c r="D29">
        <f t="shared" si="1"/>
        <v>-2.9025247858761877E-4</v>
      </c>
      <c r="E29">
        <f t="shared" si="2"/>
        <v>8.4246501326256091E-8</v>
      </c>
    </row>
    <row r="30" spans="1:5" x14ac:dyDescent="0.25">
      <c r="A30">
        <v>2.5745183371375</v>
      </c>
      <c r="B30">
        <v>0</v>
      </c>
      <c r="C30">
        <f t="shared" si="0"/>
        <v>9.8023837796977159E-5</v>
      </c>
      <c r="D30">
        <f t="shared" si="1"/>
        <v>-9.8023837796977159E-5</v>
      </c>
      <c r="E30">
        <f t="shared" si="2"/>
        <v>9.6086727764480886E-9</v>
      </c>
    </row>
    <row r="31" spans="1:5" x14ac:dyDescent="0.25">
      <c r="A31">
        <v>2.6617882163625</v>
      </c>
      <c r="B31">
        <v>0</v>
      </c>
      <c r="C31">
        <f t="shared" si="0"/>
        <v>3.0499371567605233E-5</v>
      </c>
      <c r="D31">
        <f t="shared" si="1"/>
        <v>-3.0499371567605233E-5</v>
      </c>
      <c r="E31">
        <f t="shared" si="2"/>
        <v>9.3021166601884654E-10</v>
      </c>
    </row>
    <row r="32" spans="1:5" x14ac:dyDescent="0.25">
      <c r="A32">
        <v>2.7490580955875004</v>
      </c>
      <c r="B32">
        <v>0</v>
      </c>
      <c r="C32">
        <f t="shared" si="0"/>
        <v>8.7212431819734173E-6</v>
      </c>
      <c r="D32">
        <f t="shared" si="1"/>
        <v>-8.7212431819734173E-6</v>
      </c>
      <c r="E32">
        <f t="shared" si="2"/>
        <v>7.606008263911782E-11</v>
      </c>
    </row>
    <row r="33" spans="1:5" x14ac:dyDescent="0.25">
      <c r="A33">
        <v>2.8363279748124999</v>
      </c>
      <c r="B33">
        <v>0</v>
      </c>
      <c r="C33">
        <f t="shared" si="0"/>
        <v>2.2862001061932179E-6</v>
      </c>
      <c r="D33">
        <f t="shared" si="1"/>
        <v>-2.2862001061932179E-6</v>
      </c>
      <c r="E33">
        <f t="shared" si="2"/>
        <v>5.2267109255578806E-12</v>
      </c>
    </row>
    <row r="34" spans="1:5" x14ac:dyDescent="0.25">
      <c r="A34">
        <v>2.9235978540374998</v>
      </c>
      <c r="B34">
        <v>0</v>
      </c>
      <c r="C34">
        <f t="shared" si="0"/>
        <v>5.4804252896562814E-7</v>
      </c>
      <c r="D34">
        <f t="shared" si="1"/>
        <v>-5.4804252896562814E-7</v>
      </c>
      <c r="E34">
        <f t="shared" si="2"/>
        <v>3.0035061355504133E-13</v>
      </c>
    </row>
    <row r="35" spans="1:5" x14ac:dyDescent="0.25">
      <c r="A35">
        <v>3.0108677332624998</v>
      </c>
      <c r="B35">
        <v>0</v>
      </c>
      <c r="C35">
        <f t="shared" si="0"/>
        <v>1.1983693629000444E-7</v>
      </c>
      <c r="D35">
        <f t="shared" si="1"/>
        <v>-1.1983693629000444E-7</v>
      </c>
      <c r="E35">
        <f t="shared" si="2"/>
        <v>1.4360891299374583E-14</v>
      </c>
    </row>
    <row r="36" spans="1:5" x14ac:dyDescent="0.25">
      <c r="A36">
        <v>3.0981376124875002</v>
      </c>
      <c r="B36">
        <v>0</v>
      </c>
      <c r="C36">
        <f t="shared" si="0"/>
        <v>2.3842548853325593E-8</v>
      </c>
      <c r="D36">
        <f t="shared" si="1"/>
        <v>-2.3842548853325593E-8</v>
      </c>
      <c r="E36">
        <f t="shared" si="2"/>
        <v>5.6846713582321754E-16</v>
      </c>
    </row>
    <row r="37" spans="1:5" x14ac:dyDescent="0.25">
      <c r="A37">
        <v>3.1854074917124997</v>
      </c>
      <c r="B37">
        <v>0</v>
      </c>
      <c r="C37">
        <f t="shared" si="0"/>
        <v>4.3053321982101139E-9</v>
      </c>
      <c r="D37">
        <f t="shared" si="1"/>
        <v>-4.3053321982101139E-9</v>
      </c>
      <c r="E37">
        <f t="shared" si="2"/>
        <v>1.8535885336944731E-17</v>
      </c>
    </row>
    <row r="38" spans="1:5" x14ac:dyDescent="0.25">
      <c r="A38">
        <v>3.2726773709375001</v>
      </c>
      <c r="B38">
        <v>0</v>
      </c>
      <c r="C38">
        <f t="shared" si="0"/>
        <v>7.0381220844651262E-10</v>
      </c>
      <c r="D38">
        <f t="shared" si="1"/>
        <v>-7.0381220844651262E-10</v>
      </c>
      <c r="E38">
        <f t="shared" si="2"/>
        <v>4.9535162475835733E-19</v>
      </c>
    </row>
    <row r="39" spans="1:5" x14ac:dyDescent="0.25">
      <c r="A39">
        <v>3.3599472501624996</v>
      </c>
      <c r="B39">
        <v>0</v>
      </c>
      <c r="C39">
        <f t="shared" si="0"/>
        <v>1.0389752680109292E-10</v>
      </c>
      <c r="D39">
        <f t="shared" si="1"/>
        <v>-1.0389752680109292E-10</v>
      </c>
      <c r="E39">
        <f t="shared" si="2"/>
        <v>1.0794696075383821E-20</v>
      </c>
    </row>
    <row r="40" spans="1:5" x14ac:dyDescent="0.25">
      <c r="A40">
        <v>3.4472171293875</v>
      </c>
      <c r="B40">
        <v>7.1967763317509748E-4</v>
      </c>
      <c r="C40">
        <f t="shared" si="0"/>
        <v>1.3815045663056539E-11</v>
      </c>
      <c r="D40">
        <f t="shared" si="1"/>
        <v>7.196776193600518E-4</v>
      </c>
      <c r="E40">
        <f t="shared" si="2"/>
        <v>5.1793587580775165E-7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1758-B44B-42AF-A263-5ED83C25023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4.3234426574999998E-2</v>
      </c>
      <c r="B1">
        <v>1.4567719922438634E-3</v>
      </c>
      <c r="C1">
        <f>$H$3*(1+$H$1)*(A1^($H$1))*EXP(-$H$3*(A1^(1+$H$1)))</f>
        <v>1.8819708273459374E-3</v>
      </c>
      <c r="D1">
        <f>B1-C1</f>
        <v>-4.2519883510207398E-4</v>
      </c>
      <c r="E1">
        <f>D1^2</f>
        <v>1.807940493721607E-7</v>
      </c>
      <c r="G1" t="s">
        <v>0</v>
      </c>
      <c r="H1">
        <v>2.2606643785683436</v>
      </c>
    </row>
    <row r="2" spans="1:8" x14ac:dyDescent="0.25">
      <c r="A2">
        <v>0.129504279725</v>
      </c>
      <c r="B2">
        <v>0</v>
      </c>
      <c r="C2">
        <f t="shared" ref="C2:C40" si="0">$H$3*(1+$H$1)*(A2^($H$1))*EXP(-$H$3*(A2^(1+$H$1)))</f>
        <v>2.2456370240747685E-2</v>
      </c>
      <c r="D2">
        <f t="shared" ref="D2:D40" si="1">B2-C2</f>
        <v>-2.2456370240747685E-2</v>
      </c>
      <c r="E2">
        <f t="shared" ref="E2:E40" si="2">D2^2</f>
        <v>5.0428856438953823E-4</v>
      </c>
    </row>
    <row r="3" spans="1:8" x14ac:dyDescent="0.25">
      <c r="A3">
        <v>0.215774132875</v>
      </c>
      <c r="B3">
        <v>0</v>
      </c>
      <c r="C3">
        <f t="shared" si="0"/>
        <v>7.0941861111247048E-2</v>
      </c>
      <c r="D3">
        <f t="shared" si="1"/>
        <v>-7.0941861111247048E-2</v>
      </c>
      <c r="E3">
        <f t="shared" si="2"/>
        <v>5.0327476579274666E-3</v>
      </c>
      <c r="G3" t="s">
        <v>1</v>
      </c>
      <c r="H3">
        <f>(_xlfn.GAMMA((2+$H$1)/(1+$H$1)))^(1+$H$1)</f>
        <v>0.70024307379409212</v>
      </c>
    </row>
    <row r="4" spans="1:8" x14ac:dyDescent="0.25">
      <c r="A4">
        <v>0.30204398602499999</v>
      </c>
      <c r="B4">
        <v>0</v>
      </c>
      <c r="C4">
        <f t="shared" si="0"/>
        <v>0.15032614187315071</v>
      </c>
      <c r="D4">
        <f t="shared" si="1"/>
        <v>-0.15032614187315071</v>
      </c>
      <c r="E4">
        <f t="shared" si="2"/>
        <v>2.2597948930466637E-2</v>
      </c>
    </row>
    <row r="5" spans="1:8" x14ac:dyDescent="0.25">
      <c r="A5">
        <v>0.38831383917500001</v>
      </c>
      <c r="B5">
        <v>0.14349204123602055</v>
      </c>
      <c r="C5">
        <f t="shared" si="0"/>
        <v>0.26056725938415165</v>
      </c>
      <c r="D5">
        <f t="shared" si="1"/>
        <v>-0.1170752181481311</v>
      </c>
      <c r="E5">
        <f t="shared" si="2"/>
        <v>1.3706606704432486E-2</v>
      </c>
      <c r="G5" t="s">
        <v>2</v>
      </c>
      <c r="H5">
        <f>SUM(E1:E40)</f>
        <v>0.37261445094530993</v>
      </c>
    </row>
    <row r="6" spans="1:8" x14ac:dyDescent="0.25">
      <c r="A6">
        <v>0.47458369232500003</v>
      </c>
      <c r="B6">
        <v>0.32995885624323507</v>
      </c>
      <c r="C6">
        <f t="shared" si="0"/>
        <v>0.39814378136056094</v>
      </c>
      <c r="D6">
        <f t="shared" si="1"/>
        <v>-6.8184925117325879E-2</v>
      </c>
      <c r="E6">
        <f t="shared" si="2"/>
        <v>4.6491840132553376E-3</v>
      </c>
    </row>
    <row r="7" spans="1:8" x14ac:dyDescent="0.25">
      <c r="A7">
        <v>0.5608535454750001</v>
      </c>
      <c r="B7">
        <v>0.72183052215683441</v>
      </c>
      <c r="C7">
        <f t="shared" si="0"/>
        <v>0.5554485414012923</v>
      </c>
      <c r="D7">
        <f t="shared" si="1"/>
        <v>0.16638198075554211</v>
      </c>
      <c r="E7">
        <f t="shared" si="2"/>
        <v>2.7682963520137587E-2</v>
      </c>
    </row>
    <row r="8" spans="1:8" x14ac:dyDescent="0.25">
      <c r="A8">
        <v>0.64712339862500001</v>
      </c>
      <c r="B8">
        <v>0.90465540718343918</v>
      </c>
      <c r="C8">
        <f t="shared" si="0"/>
        <v>0.72058630519034184</v>
      </c>
      <c r="D8">
        <f t="shared" si="1"/>
        <v>0.18406910199309734</v>
      </c>
      <c r="E8">
        <f t="shared" si="2"/>
        <v>3.3881434308545268E-2</v>
      </c>
    </row>
    <row r="9" spans="1:8" x14ac:dyDescent="0.25">
      <c r="A9">
        <v>0.73339325177499992</v>
      </c>
      <c r="B9">
        <v>1.014641692597851</v>
      </c>
      <c r="C9">
        <f t="shared" si="0"/>
        <v>0.87796918039526928</v>
      </c>
      <c r="D9">
        <f t="shared" si="1"/>
        <v>0.1366725122025817</v>
      </c>
      <c r="E9">
        <f t="shared" si="2"/>
        <v>1.8679375591764844E-2</v>
      </c>
    </row>
    <row r="10" spans="1:8" x14ac:dyDescent="0.25">
      <c r="A10">
        <v>0.81966310492500005</v>
      </c>
      <c r="B10">
        <v>1.1566769618416277</v>
      </c>
      <c r="C10">
        <f t="shared" si="0"/>
        <v>1.0099561912886148</v>
      </c>
      <c r="D10">
        <f t="shared" si="1"/>
        <v>0.14672077055301291</v>
      </c>
      <c r="E10">
        <f t="shared" si="2"/>
        <v>2.1526984511669862E-2</v>
      </c>
    </row>
    <row r="11" spans="1:8" x14ac:dyDescent="0.25">
      <c r="A11">
        <v>0.90593295807500007</v>
      </c>
      <c r="B11">
        <v>1.2426265093840156</v>
      </c>
      <c r="C11">
        <f t="shared" si="0"/>
        <v>1.0995145083749394</v>
      </c>
      <c r="D11">
        <f t="shared" si="1"/>
        <v>0.14311200100907628</v>
      </c>
      <c r="E11">
        <f t="shared" si="2"/>
        <v>2.048104483282185E-2</v>
      </c>
    </row>
    <row r="12" spans="1:8" x14ac:dyDescent="0.25">
      <c r="A12">
        <v>0.99220281122500009</v>
      </c>
      <c r="B12">
        <v>1.354069566790671</v>
      </c>
      <c r="C12">
        <f t="shared" si="0"/>
        <v>1.1335007306137479</v>
      </c>
      <c r="D12">
        <f t="shared" si="1"/>
        <v>0.22056883617692313</v>
      </c>
      <c r="E12">
        <f t="shared" si="2"/>
        <v>4.8650611492442354E-2</v>
      </c>
    </row>
    <row r="13" spans="1:8" x14ac:dyDescent="0.25">
      <c r="A13">
        <v>1.078472664375</v>
      </c>
      <c r="B13">
        <v>1.0612583963496545</v>
      </c>
      <c r="C13">
        <f t="shared" si="0"/>
        <v>1.1057802464828153</v>
      </c>
      <c r="D13">
        <f t="shared" si="1"/>
        <v>-4.452185013316079E-2</v>
      </c>
      <c r="E13">
        <f t="shared" si="2"/>
        <v>1.9821951392796295E-3</v>
      </c>
    </row>
    <row r="14" spans="1:8" x14ac:dyDescent="0.25">
      <c r="A14">
        <v>1.1647425175250001</v>
      </c>
      <c r="B14">
        <v>0.85731031743551367</v>
      </c>
      <c r="C14">
        <f t="shared" si="0"/>
        <v>1.0191998145993124</v>
      </c>
      <c r="D14">
        <f t="shared" si="1"/>
        <v>-0.16188949716379875</v>
      </c>
      <c r="E14">
        <f t="shared" si="2"/>
        <v>2.6208209291947601E-2</v>
      </c>
    </row>
    <row r="15" spans="1:8" x14ac:dyDescent="0.25">
      <c r="A15">
        <v>1.251012370675</v>
      </c>
      <c r="B15">
        <v>0.63151065863771483</v>
      </c>
      <c r="C15">
        <f t="shared" si="0"/>
        <v>0.88557540284491498</v>
      </c>
      <c r="D15">
        <f t="shared" si="1"/>
        <v>-0.25406474420720015</v>
      </c>
      <c r="E15">
        <f t="shared" si="2"/>
        <v>6.4548894249070038E-2</v>
      </c>
    </row>
    <row r="16" spans="1:8" x14ac:dyDescent="0.25">
      <c r="A16">
        <v>1.3372822238249999</v>
      </c>
      <c r="B16">
        <v>0.57615332293244803</v>
      </c>
      <c r="C16">
        <f t="shared" si="0"/>
        <v>0.72340679678176811</v>
      </c>
      <c r="D16">
        <f t="shared" si="1"/>
        <v>-0.14725347384932008</v>
      </c>
      <c r="E16">
        <f t="shared" si="2"/>
        <v>2.1683585560692394E-2</v>
      </c>
    </row>
    <row r="17" spans="1:5" x14ac:dyDescent="0.25">
      <c r="A17">
        <v>1.4235520769750001</v>
      </c>
      <c r="B17">
        <v>0.40789615782828176</v>
      </c>
      <c r="C17">
        <f t="shared" si="0"/>
        <v>0.55382889468791019</v>
      </c>
      <c r="D17">
        <f t="shared" si="1"/>
        <v>-0.14593273685962843</v>
      </c>
      <c r="E17">
        <f t="shared" si="2"/>
        <v>2.1296363687341554E-2</v>
      </c>
    </row>
    <row r="18" spans="1:5" x14ac:dyDescent="0.25">
      <c r="A18">
        <v>1.509821930125</v>
      </c>
      <c r="B18">
        <v>0.38094587597177032</v>
      </c>
      <c r="C18">
        <f t="shared" si="0"/>
        <v>0.39601658402498902</v>
      </c>
      <c r="D18">
        <f t="shared" si="1"/>
        <v>-1.5070708053218695E-2</v>
      </c>
      <c r="E18">
        <f t="shared" si="2"/>
        <v>2.2712624122535083E-4</v>
      </c>
    </row>
    <row r="19" spans="1:5" x14ac:dyDescent="0.25">
      <c r="A19">
        <v>1.5960917832749999</v>
      </c>
      <c r="B19">
        <v>0.28115699450306564</v>
      </c>
      <c r="C19">
        <f t="shared" si="0"/>
        <v>0.2635073517714</v>
      </c>
      <c r="D19">
        <f t="shared" si="1"/>
        <v>1.7649642731665638E-2</v>
      </c>
      <c r="E19">
        <f t="shared" si="2"/>
        <v>3.1150988855543769E-4</v>
      </c>
    </row>
    <row r="20" spans="1:5" x14ac:dyDescent="0.25">
      <c r="A20">
        <v>1.682361636425</v>
      </c>
      <c r="B20">
        <v>0.26076218661165157</v>
      </c>
      <c r="C20">
        <f t="shared" si="0"/>
        <v>0.16252380049397019</v>
      </c>
      <c r="D20">
        <f t="shared" si="1"/>
        <v>9.8238386117681376E-2</v>
      </c>
      <c r="E20">
        <f t="shared" si="2"/>
        <v>9.6507805070066531E-3</v>
      </c>
    </row>
    <row r="21" spans="1:5" x14ac:dyDescent="0.25">
      <c r="A21">
        <v>1.7686314895750002</v>
      </c>
      <c r="B21">
        <v>0.17699779705762941</v>
      </c>
      <c r="C21">
        <f t="shared" si="0"/>
        <v>9.2535776632986344E-2</v>
      </c>
      <c r="D21">
        <f t="shared" si="1"/>
        <v>8.4462020424643069E-2</v>
      </c>
      <c r="E21">
        <f t="shared" si="2"/>
        <v>7.1338328942128233E-3</v>
      </c>
    </row>
    <row r="22" spans="1:5" x14ac:dyDescent="0.25">
      <c r="A22">
        <v>1.8549013427250003</v>
      </c>
      <c r="B22">
        <v>8.7406319534631807E-2</v>
      </c>
      <c r="C22">
        <f t="shared" si="0"/>
        <v>4.8431237939286761E-2</v>
      </c>
      <c r="D22">
        <f t="shared" si="1"/>
        <v>3.8975081595345046E-2</v>
      </c>
      <c r="E22">
        <f t="shared" si="2"/>
        <v>1.5190569853638042E-3</v>
      </c>
    </row>
    <row r="23" spans="1:5" x14ac:dyDescent="0.25">
      <c r="A23">
        <v>1.941171195875</v>
      </c>
      <c r="B23">
        <v>0</v>
      </c>
      <c r="C23">
        <f t="shared" si="0"/>
        <v>2.3198450687834354E-2</v>
      </c>
      <c r="D23">
        <f t="shared" si="1"/>
        <v>-2.3198450687834354E-2</v>
      </c>
      <c r="E23">
        <f t="shared" si="2"/>
        <v>5.3816811431588228E-4</v>
      </c>
    </row>
    <row r="24" spans="1:5" x14ac:dyDescent="0.25">
      <c r="A24">
        <v>2.0274410490250001</v>
      </c>
      <c r="B24">
        <v>0</v>
      </c>
      <c r="C24">
        <f t="shared" si="0"/>
        <v>1.0123964569256065E-2</v>
      </c>
      <c r="D24">
        <f t="shared" si="1"/>
        <v>-1.0123964569256065E-2</v>
      </c>
      <c r="E24">
        <f t="shared" si="2"/>
        <v>1.0249465859955214E-4</v>
      </c>
    </row>
    <row r="25" spans="1:5" x14ac:dyDescent="0.25">
      <c r="A25">
        <v>2.1137109021749998</v>
      </c>
      <c r="B25">
        <v>0</v>
      </c>
      <c r="C25">
        <f t="shared" si="0"/>
        <v>4.0067574556758813E-3</v>
      </c>
      <c r="D25">
        <f t="shared" si="1"/>
        <v>-4.0067574556758813E-3</v>
      </c>
      <c r="E25">
        <f t="shared" si="2"/>
        <v>1.6054105308614262E-5</v>
      </c>
    </row>
    <row r="26" spans="1:5" x14ac:dyDescent="0.25">
      <c r="A26">
        <v>2.1999807553249999</v>
      </c>
      <c r="B26">
        <v>0</v>
      </c>
      <c r="C26">
        <f t="shared" si="0"/>
        <v>1.4313150449382606E-3</v>
      </c>
      <c r="D26">
        <f t="shared" si="1"/>
        <v>-1.4313150449382606E-3</v>
      </c>
      <c r="E26">
        <f t="shared" si="2"/>
        <v>2.0486627578666149E-6</v>
      </c>
    </row>
    <row r="27" spans="1:5" x14ac:dyDescent="0.25">
      <c r="A27">
        <v>2.2862506084750001</v>
      </c>
      <c r="B27">
        <v>0</v>
      </c>
      <c r="C27">
        <f t="shared" si="0"/>
        <v>4.5928916379115012E-4</v>
      </c>
      <c r="D27">
        <f t="shared" si="1"/>
        <v>-4.5928916379115012E-4</v>
      </c>
      <c r="E27">
        <f t="shared" si="2"/>
        <v>2.1094653597597391E-7</v>
      </c>
    </row>
    <row r="28" spans="1:5" x14ac:dyDescent="0.25">
      <c r="A28">
        <v>2.3725204616250002</v>
      </c>
      <c r="B28">
        <v>0</v>
      </c>
      <c r="C28">
        <f t="shared" si="0"/>
        <v>1.3174016083282247E-4</v>
      </c>
      <c r="D28">
        <f t="shared" si="1"/>
        <v>-1.3174016083282247E-4</v>
      </c>
      <c r="E28">
        <f t="shared" si="2"/>
        <v>1.7355469976257931E-8</v>
      </c>
    </row>
    <row r="29" spans="1:5" x14ac:dyDescent="0.25">
      <c r="A29">
        <v>2.4587903147750003</v>
      </c>
      <c r="B29">
        <v>0</v>
      </c>
      <c r="C29">
        <f t="shared" si="0"/>
        <v>3.361006153760395E-5</v>
      </c>
      <c r="D29">
        <f t="shared" si="1"/>
        <v>-3.361006153760395E-5</v>
      </c>
      <c r="E29">
        <f t="shared" si="2"/>
        <v>1.1296362365615244E-9</v>
      </c>
    </row>
    <row r="30" spans="1:5" x14ac:dyDescent="0.25">
      <c r="A30">
        <v>2.545060167925</v>
      </c>
      <c r="B30">
        <v>0</v>
      </c>
      <c r="C30">
        <f t="shared" si="0"/>
        <v>7.5883221954099097E-6</v>
      </c>
      <c r="D30">
        <f t="shared" si="1"/>
        <v>-7.5883221954099097E-6</v>
      </c>
      <c r="E30">
        <f t="shared" si="2"/>
        <v>5.758263374135067E-11</v>
      </c>
    </row>
    <row r="31" spans="1:5" x14ac:dyDescent="0.25">
      <c r="A31">
        <v>2.6313300210750001</v>
      </c>
      <c r="B31">
        <v>0</v>
      </c>
      <c r="C31">
        <f t="shared" si="0"/>
        <v>1.5084253140897795E-6</v>
      </c>
      <c r="D31">
        <f t="shared" si="1"/>
        <v>-1.5084253140897795E-6</v>
      </c>
      <c r="E31">
        <f t="shared" si="2"/>
        <v>2.2753469281868501E-12</v>
      </c>
    </row>
    <row r="32" spans="1:5" x14ac:dyDescent="0.25">
      <c r="A32">
        <v>2.7175998742249998</v>
      </c>
      <c r="B32">
        <v>0</v>
      </c>
      <c r="C32">
        <f t="shared" si="0"/>
        <v>2.6263430349102564E-7</v>
      </c>
      <c r="D32">
        <f t="shared" si="1"/>
        <v>-2.6263430349102564E-7</v>
      </c>
      <c r="E32">
        <f t="shared" si="2"/>
        <v>6.8976777370216165E-14</v>
      </c>
    </row>
    <row r="33" spans="1:5" x14ac:dyDescent="0.25">
      <c r="A33">
        <v>2.803869727375</v>
      </c>
      <c r="B33">
        <v>0</v>
      </c>
      <c r="C33">
        <f t="shared" si="0"/>
        <v>3.9842802652931276E-8</v>
      </c>
      <c r="D33">
        <f t="shared" si="1"/>
        <v>-3.9842802652931276E-8</v>
      </c>
      <c r="E33">
        <f t="shared" si="2"/>
        <v>1.5874489232404274E-15</v>
      </c>
    </row>
    <row r="34" spans="1:5" x14ac:dyDescent="0.25">
      <c r="A34">
        <v>2.8901395805250001</v>
      </c>
      <c r="B34">
        <v>0</v>
      </c>
      <c r="C34">
        <f t="shared" si="0"/>
        <v>5.2385949003787392E-9</v>
      </c>
      <c r="D34">
        <f t="shared" si="1"/>
        <v>-5.2385949003787392E-9</v>
      </c>
      <c r="E34">
        <f t="shared" si="2"/>
        <v>2.7442876530274134E-17</v>
      </c>
    </row>
    <row r="35" spans="1:5" x14ac:dyDescent="0.25">
      <c r="A35">
        <v>2.9764094336750002</v>
      </c>
      <c r="B35">
        <v>0</v>
      </c>
      <c r="C35">
        <f t="shared" si="0"/>
        <v>5.937691512563595E-10</v>
      </c>
      <c r="D35">
        <f t="shared" si="1"/>
        <v>-5.937691512563595E-10</v>
      </c>
      <c r="E35">
        <f t="shared" si="2"/>
        <v>3.5256180498369754E-19</v>
      </c>
    </row>
    <row r="36" spans="1:5" x14ac:dyDescent="0.25">
      <c r="A36">
        <v>3.0626792868250003</v>
      </c>
      <c r="B36">
        <v>0</v>
      </c>
      <c r="C36">
        <f t="shared" si="0"/>
        <v>5.7704062098253318E-11</v>
      </c>
      <c r="D36">
        <f t="shared" si="1"/>
        <v>-5.7704062098253318E-11</v>
      </c>
      <c r="E36">
        <f t="shared" si="2"/>
        <v>3.329758782639075E-21</v>
      </c>
    </row>
    <row r="37" spans="1:5" x14ac:dyDescent="0.25">
      <c r="A37">
        <v>3.1489491399750005</v>
      </c>
      <c r="B37">
        <v>0</v>
      </c>
      <c r="C37">
        <f t="shared" si="0"/>
        <v>4.7819690066740255E-12</v>
      </c>
      <c r="D37">
        <f t="shared" si="1"/>
        <v>-4.7819690066740255E-12</v>
      </c>
      <c r="E37">
        <f t="shared" si="2"/>
        <v>2.2867227580790965E-23</v>
      </c>
    </row>
    <row r="38" spans="1:5" x14ac:dyDescent="0.25">
      <c r="A38">
        <v>3.2352189931250002</v>
      </c>
      <c r="B38">
        <v>0</v>
      </c>
      <c r="C38">
        <f t="shared" si="0"/>
        <v>3.3606466931169537E-13</v>
      </c>
      <c r="D38">
        <f t="shared" si="1"/>
        <v>-3.3606466931169537E-13</v>
      </c>
      <c r="E38">
        <f t="shared" si="2"/>
        <v>1.1293946195957917E-25</v>
      </c>
    </row>
    <row r="39" spans="1:5" x14ac:dyDescent="0.25">
      <c r="A39">
        <v>3.3214888462749999</v>
      </c>
      <c r="B39">
        <v>0</v>
      </c>
      <c r="C39">
        <f t="shared" si="0"/>
        <v>1.9917645545279644E-14</v>
      </c>
      <c r="D39">
        <f t="shared" si="1"/>
        <v>-1.9917645545279644E-14</v>
      </c>
      <c r="E39">
        <f t="shared" si="2"/>
        <v>3.9671260406739804E-28</v>
      </c>
    </row>
    <row r="40" spans="1:5" x14ac:dyDescent="0.25">
      <c r="A40">
        <v>3.407758699425</v>
      </c>
      <c r="B40">
        <v>7.283859961219317E-4</v>
      </c>
      <c r="C40">
        <f t="shared" si="0"/>
        <v>9.8995483180519593E-16</v>
      </c>
      <c r="D40">
        <f t="shared" si="1"/>
        <v>7.2838599612094171E-4</v>
      </c>
      <c r="E40">
        <f t="shared" si="2"/>
        <v>5.3054615934509656E-7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C478-BE94-4DBE-8C85-099D99DC1AF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0.44259555719999999</v>
      </c>
      <c r="B1">
        <v>0.1612428104318355</v>
      </c>
      <c r="C1">
        <f>$H$3*(1+$H$1)*(A1^($H$1))*EXP(-$H$3*(A1^(1+$H$1)))</f>
        <v>0.28457841630070008</v>
      </c>
      <c r="D1">
        <f>B1-C1</f>
        <v>-0.12333560586886458</v>
      </c>
      <c r="E1">
        <f>D1^2</f>
        <v>1.5211671675039902E-2</v>
      </c>
      <c r="G1" t="s">
        <v>0</v>
      </c>
      <c r="H1">
        <v>2.6125861294091406</v>
      </c>
    </row>
    <row r="2" spans="1:8" x14ac:dyDescent="0.25">
      <c r="A2">
        <v>0.51937785359999999</v>
      </c>
      <c r="B2">
        <v>0.33967394075741991</v>
      </c>
      <c r="C2">
        <f t="shared" ref="C2:C40" si="0">$H$3*(1+$H$1)*(A2^($H$1))*EXP(-$H$3*(A2^(1+$H$1)))</f>
        <v>0.42017773348174536</v>
      </c>
      <c r="D2">
        <f t="shared" ref="D2:D40" si="1">B2-C2</f>
        <v>-8.0503792724325451E-2</v>
      </c>
      <c r="E2">
        <f t="shared" ref="E2:E40" si="2">D2^2</f>
        <v>6.4808606430011555E-3</v>
      </c>
    </row>
    <row r="3" spans="1:8" x14ac:dyDescent="0.25">
      <c r="A3">
        <v>0.59616015</v>
      </c>
      <c r="B3">
        <v>0.69326223571454137</v>
      </c>
      <c r="C3">
        <f t="shared" si="0"/>
        <v>0.57784231299842459</v>
      </c>
      <c r="D3">
        <f t="shared" si="1"/>
        <v>0.11541992271611679</v>
      </c>
      <c r="E3">
        <f t="shared" si="2"/>
        <v>1.3321758559794372E-2</v>
      </c>
      <c r="G3" t="s">
        <v>1</v>
      </c>
      <c r="H3">
        <f>(_xlfn.GAMMA((2+$H$1)/(1+$H$1)))^(1+$H$1)</f>
        <v>0.68694172808094212</v>
      </c>
    </row>
    <row r="4" spans="1:8" x14ac:dyDescent="0.25">
      <c r="A4">
        <v>0.67294244640000001</v>
      </c>
      <c r="B4">
        <v>0.99283009671988043</v>
      </c>
      <c r="C4">
        <f t="shared" si="0"/>
        <v>0.7481482805159384</v>
      </c>
      <c r="D4">
        <f t="shared" si="1"/>
        <v>0.24468181620394203</v>
      </c>
      <c r="E4">
        <f t="shared" si="2"/>
        <v>5.986919118085967E-2</v>
      </c>
    </row>
    <row r="5" spans="1:8" x14ac:dyDescent="0.25">
      <c r="A5">
        <v>0.74972474280000001</v>
      </c>
      <c r="B5">
        <v>1.0845011361532082</v>
      </c>
      <c r="C5">
        <f t="shared" si="0"/>
        <v>0.91732661966288176</v>
      </c>
      <c r="D5">
        <f t="shared" si="1"/>
        <v>0.16717451649032644</v>
      </c>
      <c r="E5">
        <f t="shared" si="2"/>
        <v>2.7947318963774427E-2</v>
      </c>
      <c r="G5" t="s">
        <v>2</v>
      </c>
      <c r="H5">
        <f>SUM(E1:E40)</f>
        <v>0.42539143670334906</v>
      </c>
    </row>
    <row r="6" spans="1:8" x14ac:dyDescent="0.25">
      <c r="A6">
        <v>0.8265070391999999</v>
      </c>
      <c r="B6">
        <v>1.3316855460537884</v>
      </c>
      <c r="C6">
        <f t="shared" si="0"/>
        <v>1.0682067997035767</v>
      </c>
      <c r="D6">
        <f t="shared" si="1"/>
        <v>0.26347874635021173</v>
      </c>
      <c r="E6">
        <f t="shared" si="2"/>
        <v>6.9421049778279217E-2</v>
      </c>
    </row>
    <row r="7" spans="1:8" x14ac:dyDescent="0.25">
      <c r="A7">
        <v>0.90328933559999991</v>
      </c>
      <c r="B7">
        <v>1.2801205863725416</v>
      </c>
      <c r="C7">
        <f t="shared" si="0"/>
        <v>1.1823186916885688</v>
      </c>
      <c r="D7">
        <f t="shared" si="1"/>
        <v>9.7801894683972712E-2</v>
      </c>
      <c r="E7">
        <f t="shared" si="2"/>
        <v>9.5652106037748905E-3</v>
      </c>
    </row>
    <row r="8" spans="1:8" x14ac:dyDescent="0.25">
      <c r="A8">
        <v>0.98007163199999991</v>
      </c>
      <c r="B8">
        <v>1.4650996480862208</v>
      </c>
      <c r="C8">
        <f t="shared" si="0"/>
        <v>1.2430490612247247</v>
      </c>
      <c r="D8">
        <f t="shared" si="1"/>
        <v>0.22205058686149615</v>
      </c>
      <c r="E8">
        <f t="shared" si="2"/>
        <v>4.9306463125534848E-2</v>
      </c>
    </row>
    <row r="9" spans="1:8" x14ac:dyDescent="0.25">
      <c r="A9">
        <v>1.0568539283999998</v>
      </c>
      <c r="B9">
        <v>1.2907609748781956</v>
      </c>
      <c r="C9">
        <f t="shared" si="0"/>
        <v>1.2393052595547802</v>
      </c>
      <c r="D9">
        <f t="shared" si="1"/>
        <v>5.1455715323415419E-2</v>
      </c>
      <c r="E9">
        <f t="shared" si="2"/>
        <v>2.6476906394443684E-3</v>
      </c>
    </row>
    <row r="10" spans="1:8" x14ac:dyDescent="0.25">
      <c r="A10">
        <v>1.1336362248</v>
      </c>
      <c r="B10">
        <v>1.0386656164365444</v>
      </c>
      <c r="C10">
        <f t="shared" si="0"/>
        <v>1.1687110144402912</v>
      </c>
      <c r="D10">
        <f t="shared" si="1"/>
        <v>-0.13004539800374681</v>
      </c>
      <c r="E10">
        <f t="shared" si="2"/>
        <v>1.6911805541952915E-2</v>
      </c>
    </row>
    <row r="11" spans="1:8" x14ac:dyDescent="0.25">
      <c r="A11">
        <v>1.2104185211999998</v>
      </c>
      <c r="B11">
        <v>0.79966612077108257</v>
      </c>
      <c r="C11">
        <f t="shared" si="0"/>
        <v>1.0391771328294312</v>
      </c>
      <c r="D11">
        <f t="shared" si="1"/>
        <v>-0.23951101205834868</v>
      </c>
      <c r="E11">
        <f t="shared" si="2"/>
        <v>5.736552489721445E-2</v>
      </c>
    </row>
    <row r="12" spans="1:8" x14ac:dyDescent="0.25">
      <c r="A12">
        <v>1.2872008176</v>
      </c>
      <c r="B12">
        <v>0.66379654446811465</v>
      </c>
      <c r="C12">
        <f t="shared" si="0"/>
        <v>0.86796613663212752</v>
      </c>
      <c r="D12">
        <f t="shared" si="1"/>
        <v>-0.20416959216401287</v>
      </c>
      <c r="E12">
        <f t="shared" si="2"/>
        <v>4.1685222364419343E-2</v>
      </c>
    </row>
    <row r="13" spans="1:8" x14ac:dyDescent="0.25">
      <c r="A13">
        <v>1.3639831139999998</v>
      </c>
      <c r="B13">
        <v>0.49518731122467241</v>
      </c>
      <c r="C13">
        <f t="shared" si="0"/>
        <v>0.67814466162746634</v>
      </c>
      <c r="D13">
        <f t="shared" si="1"/>
        <v>-0.18295735040279393</v>
      </c>
      <c r="E13">
        <f t="shared" si="2"/>
        <v>3.3473392066410722E-2</v>
      </c>
    </row>
    <row r="14" spans="1:8" x14ac:dyDescent="0.25">
      <c r="A14">
        <v>1.4407654103999998</v>
      </c>
      <c r="B14">
        <v>0.43380045446128329</v>
      </c>
      <c r="C14">
        <f t="shared" si="0"/>
        <v>0.4933429938630321</v>
      </c>
      <c r="D14">
        <f t="shared" si="1"/>
        <v>-5.9542539401748806E-2</v>
      </c>
      <c r="E14">
        <f t="shared" si="2"/>
        <v>3.5453139984088092E-3</v>
      </c>
    </row>
    <row r="15" spans="1:8" x14ac:dyDescent="0.25">
      <c r="A15">
        <v>1.5175477067999998</v>
      </c>
      <c r="B15">
        <v>0.34785885499253849</v>
      </c>
      <c r="C15">
        <f t="shared" si="0"/>
        <v>0.33252820034343467</v>
      </c>
      <c r="D15">
        <f t="shared" si="1"/>
        <v>1.5330654649103825E-2</v>
      </c>
      <c r="E15">
        <f t="shared" si="2"/>
        <v>2.3502897197008872E-4</v>
      </c>
    </row>
    <row r="16" spans="1:8" x14ac:dyDescent="0.25">
      <c r="A16">
        <v>1.5943300032000001</v>
      </c>
      <c r="B16">
        <v>0.29793087815831532</v>
      </c>
      <c r="C16">
        <f t="shared" si="0"/>
        <v>0.20657005349283006</v>
      </c>
      <c r="D16">
        <f t="shared" si="1"/>
        <v>9.1360824665485257E-2</v>
      </c>
      <c r="E16">
        <f t="shared" si="2"/>
        <v>8.34680028355754E-3</v>
      </c>
    </row>
    <row r="17" spans="1:5" x14ac:dyDescent="0.25">
      <c r="A17">
        <v>1.6711122995999999</v>
      </c>
      <c r="B17">
        <v>0.20216738160742825</v>
      </c>
      <c r="C17">
        <f t="shared" si="0"/>
        <v>0.11761014857917701</v>
      </c>
      <c r="D17">
        <f t="shared" si="1"/>
        <v>8.4557233028251244E-2</v>
      </c>
      <c r="E17">
        <f t="shared" si="2"/>
        <v>7.1499256573939827E-3</v>
      </c>
    </row>
    <row r="18" spans="1:5" x14ac:dyDescent="0.25">
      <c r="A18">
        <v>1.7478945960000001</v>
      </c>
      <c r="B18">
        <v>0.10476690220951747</v>
      </c>
      <c r="C18">
        <f t="shared" si="0"/>
        <v>6.1012998188194639E-2</v>
      </c>
      <c r="D18">
        <f t="shared" si="1"/>
        <v>4.3753904021322829E-2</v>
      </c>
      <c r="E18">
        <f t="shared" si="2"/>
        <v>1.91440411710713E-3</v>
      </c>
    </row>
    <row r="19" spans="1:5" x14ac:dyDescent="0.25">
      <c r="A19">
        <v>1.8246768923999999</v>
      </c>
      <c r="B19">
        <v>0</v>
      </c>
      <c r="C19">
        <f t="shared" si="0"/>
        <v>2.8664992530985055E-2</v>
      </c>
      <c r="D19">
        <f t="shared" si="1"/>
        <v>-2.8664992530985055E-2</v>
      </c>
      <c r="E19">
        <f t="shared" si="2"/>
        <v>8.2168179680142898E-4</v>
      </c>
    </row>
    <row r="20" spans="1:5" x14ac:dyDescent="0.25">
      <c r="A20">
        <v>1.9014591888000001</v>
      </c>
      <c r="B20">
        <v>0</v>
      </c>
      <c r="C20">
        <f t="shared" si="0"/>
        <v>1.2119412418347927E-2</v>
      </c>
      <c r="D20">
        <f t="shared" si="1"/>
        <v>-1.2119412418347927E-2</v>
      </c>
      <c r="E20">
        <f t="shared" si="2"/>
        <v>1.4688015736600594E-4</v>
      </c>
    </row>
    <row r="21" spans="1:5" x14ac:dyDescent="0.25">
      <c r="A21">
        <v>1.9782414851999999</v>
      </c>
      <c r="B21">
        <v>0</v>
      </c>
      <c r="C21">
        <f t="shared" si="0"/>
        <v>4.5810165466327497E-3</v>
      </c>
      <c r="D21">
        <f t="shared" si="1"/>
        <v>-4.5810165466327497E-3</v>
      </c>
      <c r="E21">
        <f t="shared" si="2"/>
        <v>2.0985712600523043E-5</v>
      </c>
    </row>
    <row r="22" spans="1:5" x14ac:dyDescent="0.25">
      <c r="A22">
        <v>2.0550237816000001</v>
      </c>
      <c r="B22">
        <v>0</v>
      </c>
      <c r="C22">
        <f t="shared" si="0"/>
        <v>1.5376214797346601E-3</v>
      </c>
      <c r="D22">
        <f t="shared" si="1"/>
        <v>-1.5376214797346601E-3</v>
      </c>
      <c r="E22">
        <f t="shared" si="2"/>
        <v>2.3642798149414058E-6</v>
      </c>
    </row>
    <row r="23" spans="1:5" x14ac:dyDescent="0.25">
      <c r="A23">
        <v>2.1318060780000003</v>
      </c>
      <c r="B23">
        <v>0</v>
      </c>
      <c r="C23">
        <f t="shared" si="0"/>
        <v>4.5510462529533359E-4</v>
      </c>
      <c r="D23">
        <f t="shared" si="1"/>
        <v>-4.5510462529533359E-4</v>
      </c>
      <c r="E23">
        <f t="shared" si="2"/>
        <v>2.07120219965206E-7</v>
      </c>
    </row>
    <row r="24" spans="1:5" x14ac:dyDescent="0.25">
      <c r="A24">
        <v>2.2085883743999997</v>
      </c>
      <c r="B24">
        <v>0</v>
      </c>
      <c r="C24">
        <f t="shared" si="0"/>
        <v>1.1793094417163827E-4</v>
      </c>
      <c r="D24">
        <f t="shared" si="1"/>
        <v>-1.1793094417163827E-4</v>
      </c>
      <c r="E24">
        <f t="shared" si="2"/>
        <v>1.3907707593214062E-8</v>
      </c>
    </row>
    <row r="25" spans="1:5" x14ac:dyDescent="0.25">
      <c r="A25">
        <v>2.2853706707999999</v>
      </c>
      <c r="B25">
        <v>0</v>
      </c>
      <c r="C25">
        <f t="shared" si="0"/>
        <v>2.6558031081414249E-5</v>
      </c>
      <c r="D25">
        <f t="shared" si="1"/>
        <v>-2.6558031081414249E-5</v>
      </c>
      <c r="E25">
        <f t="shared" si="2"/>
        <v>7.0532901492136536E-10</v>
      </c>
    </row>
    <row r="26" spans="1:5" x14ac:dyDescent="0.25">
      <c r="A26">
        <v>2.3621529671999997</v>
      </c>
      <c r="B26">
        <v>0</v>
      </c>
      <c r="C26">
        <f t="shared" si="0"/>
        <v>5.158593302017828E-6</v>
      </c>
      <c r="D26">
        <f t="shared" si="1"/>
        <v>-5.158593302017828E-6</v>
      </c>
      <c r="E26">
        <f t="shared" si="2"/>
        <v>2.66110848556232E-11</v>
      </c>
    </row>
    <row r="27" spans="1:5" x14ac:dyDescent="0.25">
      <c r="A27">
        <v>2.4389352635999999</v>
      </c>
      <c r="B27">
        <v>0</v>
      </c>
      <c r="C27">
        <f t="shared" si="0"/>
        <v>8.5757253114089995E-7</v>
      </c>
      <c r="D27">
        <f t="shared" si="1"/>
        <v>-8.5757253114089995E-7</v>
      </c>
      <c r="E27">
        <f t="shared" si="2"/>
        <v>7.3543064616740979E-13</v>
      </c>
    </row>
    <row r="28" spans="1:5" x14ac:dyDescent="0.25">
      <c r="A28">
        <v>2.5157175599999997</v>
      </c>
      <c r="B28">
        <v>0</v>
      </c>
      <c r="C28">
        <f t="shared" si="0"/>
        <v>1.210527061144853E-7</v>
      </c>
      <c r="D28">
        <f t="shared" si="1"/>
        <v>-1.210527061144853E-7</v>
      </c>
      <c r="E28">
        <f t="shared" si="2"/>
        <v>1.4653757657639947E-14</v>
      </c>
    </row>
    <row r="29" spans="1:5" x14ac:dyDescent="0.25">
      <c r="A29">
        <v>2.5924998563999999</v>
      </c>
      <c r="B29">
        <v>0</v>
      </c>
      <c r="C29">
        <f t="shared" si="0"/>
        <v>1.4392192766207395E-8</v>
      </c>
      <c r="D29">
        <f t="shared" si="1"/>
        <v>-1.4392192766207395E-8</v>
      </c>
      <c r="E29">
        <f t="shared" si="2"/>
        <v>2.0713521261967247E-16</v>
      </c>
    </row>
    <row r="30" spans="1:5" x14ac:dyDescent="0.25">
      <c r="A30">
        <v>2.6692821528000001</v>
      </c>
      <c r="B30">
        <v>0</v>
      </c>
      <c r="C30">
        <f t="shared" si="0"/>
        <v>1.4293528592371835E-9</v>
      </c>
      <c r="D30">
        <f t="shared" si="1"/>
        <v>-1.4293528592371835E-9</v>
      </c>
      <c r="E30">
        <f t="shared" si="2"/>
        <v>2.0430495962095118E-18</v>
      </c>
    </row>
    <row r="31" spans="1:5" x14ac:dyDescent="0.25">
      <c r="A31">
        <v>2.7460644491999999</v>
      </c>
      <c r="B31">
        <v>0</v>
      </c>
      <c r="C31">
        <f t="shared" si="0"/>
        <v>1.1758476713622717E-10</v>
      </c>
      <c r="D31">
        <f t="shared" si="1"/>
        <v>-1.1758476713622717E-10</v>
      </c>
      <c r="E31">
        <f t="shared" si="2"/>
        <v>1.382617746248077E-20</v>
      </c>
    </row>
    <row r="32" spans="1:5" x14ac:dyDescent="0.25">
      <c r="A32">
        <v>2.8228467455999997</v>
      </c>
      <c r="B32">
        <v>0</v>
      </c>
      <c r="C32">
        <f t="shared" si="0"/>
        <v>7.9438333154857048E-12</v>
      </c>
      <c r="D32">
        <f t="shared" si="1"/>
        <v>-7.9438333154857048E-12</v>
      </c>
      <c r="E32">
        <f t="shared" si="2"/>
        <v>6.3104487744220604E-23</v>
      </c>
    </row>
    <row r="33" spans="1:5" x14ac:dyDescent="0.25">
      <c r="A33">
        <v>2.8996290419999999</v>
      </c>
      <c r="B33">
        <v>0</v>
      </c>
      <c r="C33">
        <f t="shared" si="0"/>
        <v>4.3689333362249796E-13</v>
      </c>
      <c r="D33">
        <f t="shared" si="1"/>
        <v>-4.3689333362249796E-13</v>
      </c>
      <c r="E33">
        <f t="shared" si="2"/>
        <v>1.9087578496377931E-25</v>
      </c>
    </row>
    <row r="34" spans="1:5" x14ac:dyDescent="0.25">
      <c r="A34">
        <v>2.9764113383999997</v>
      </c>
      <c r="B34">
        <v>0</v>
      </c>
      <c r="C34">
        <f t="shared" si="0"/>
        <v>1.9387299561263746E-14</v>
      </c>
      <c r="D34">
        <f t="shared" si="1"/>
        <v>-1.9387299561263746E-14</v>
      </c>
      <c r="E34">
        <f t="shared" si="2"/>
        <v>3.7586738427817743E-28</v>
      </c>
    </row>
    <row r="35" spans="1:5" x14ac:dyDescent="0.25">
      <c r="A35">
        <v>3.0531936347999995</v>
      </c>
      <c r="B35">
        <v>0</v>
      </c>
      <c r="C35">
        <f t="shared" si="0"/>
        <v>6.8788975206637802E-16</v>
      </c>
      <c r="D35">
        <f t="shared" si="1"/>
        <v>-6.8788975206637802E-16</v>
      </c>
      <c r="E35">
        <f t="shared" si="2"/>
        <v>4.7319231099794298E-31</v>
      </c>
    </row>
    <row r="36" spans="1:5" x14ac:dyDescent="0.25">
      <c r="A36">
        <v>3.1299759311999997</v>
      </c>
      <c r="B36">
        <v>0</v>
      </c>
      <c r="C36">
        <f t="shared" si="0"/>
        <v>1.9336443457847194E-17</v>
      </c>
      <c r="D36">
        <f t="shared" si="1"/>
        <v>-1.9336443457847194E-17</v>
      </c>
      <c r="E36">
        <f t="shared" si="2"/>
        <v>3.7389804559852153E-34</v>
      </c>
    </row>
    <row r="37" spans="1:5" x14ac:dyDescent="0.25">
      <c r="A37">
        <v>3.2067582276</v>
      </c>
      <c r="B37">
        <v>0</v>
      </c>
      <c r="C37">
        <f t="shared" si="0"/>
        <v>4.2660088146739511E-19</v>
      </c>
      <c r="D37">
        <f t="shared" si="1"/>
        <v>-4.2660088146739511E-19</v>
      </c>
      <c r="E37">
        <f t="shared" si="2"/>
        <v>1.8198831206875849E-37</v>
      </c>
    </row>
    <row r="38" spans="1:5" x14ac:dyDescent="0.25">
      <c r="A38">
        <v>3.2835405240000002</v>
      </c>
      <c r="B38">
        <v>0</v>
      </c>
      <c r="C38">
        <f t="shared" si="0"/>
        <v>7.3167941308919484E-21</v>
      </c>
      <c r="D38">
        <f t="shared" si="1"/>
        <v>-7.3167941308919484E-21</v>
      </c>
      <c r="E38">
        <f t="shared" si="2"/>
        <v>5.3535476353854863E-41</v>
      </c>
    </row>
    <row r="39" spans="1:5" x14ac:dyDescent="0.25">
      <c r="A39">
        <v>3.3603228203999995</v>
      </c>
      <c r="B39">
        <v>0</v>
      </c>
      <c r="C39">
        <f t="shared" si="0"/>
        <v>9.662212871129219E-23</v>
      </c>
      <c r="D39">
        <f t="shared" si="1"/>
        <v>-9.662212871129219E-23</v>
      </c>
      <c r="E39">
        <f t="shared" si="2"/>
        <v>9.3358357567015143E-45</v>
      </c>
    </row>
    <row r="40" spans="1:5" x14ac:dyDescent="0.25">
      <c r="A40">
        <v>3.4371051167999997</v>
      </c>
      <c r="B40">
        <v>8.1849142351185522E-4</v>
      </c>
      <c r="C40">
        <f t="shared" si="0"/>
        <v>9.7281162361203775E-25</v>
      </c>
      <c r="D40">
        <f t="shared" si="1"/>
        <v>8.1849142351185522E-4</v>
      </c>
      <c r="E40">
        <f t="shared" si="2"/>
        <v>6.6992821036246317E-7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A52D-358A-4C43-87DA-34A51B14981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4.2301480950000005E-2</v>
      </c>
      <c r="B1">
        <v>5.9475585380628221E-3</v>
      </c>
      <c r="C1">
        <f>$H$3*(1+$H$1)*(A1^($H$1))*EXP(-$H$3*(A1^(1+$H$1)))</f>
        <v>9.7707777043935819E-5</v>
      </c>
      <c r="D1">
        <f>B1-C1</f>
        <v>5.8498507610188861E-3</v>
      </c>
      <c r="E1">
        <f>D1^2</f>
        <v>3.4220753926193239E-5</v>
      </c>
      <c r="G1" t="s">
        <v>0</v>
      </c>
      <c r="H1">
        <v>3.2493349691918771</v>
      </c>
    </row>
    <row r="2" spans="1:8" x14ac:dyDescent="0.25">
      <c r="A2">
        <v>0.12679204285000001</v>
      </c>
      <c r="B2">
        <v>0</v>
      </c>
      <c r="C2">
        <f t="shared" ref="C2:C40" si="0">$H$3*(1+$H$1)*(A2^($H$1))*EXP(-$H$3*(A2^(1+$H$1)))</f>
        <v>3.4590836910329647E-3</v>
      </c>
      <c r="D2">
        <f t="shared" ref="D2:D40" si="1">B2-C2</f>
        <v>-3.4590836910329647E-3</v>
      </c>
      <c r="E2">
        <f t="shared" ref="E2:E40" si="2">D2^2</f>
        <v>1.196525998157024E-5</v>
      </c>
    </row>
    <row r="3" spans="1:8" x14ac:dyDescent="0.25">
      <c r="A3">
        <v>0.21128260474999999</v>
      </c>
      <c r="B3">
        <v>0</v>
      </c>
      <c r="C3">
        <f t="shared" si="0"/>
        <v>1.8164522472238945E-2</v>
      </c>
      <c r="D3">
        <f t="shared" si="1"/>
        <v>-1.8164522472238945E-2</v>
      </c>
      <c r="E3">
        <f t="shared" si="2"/>
        <v>3.299498766444736E-4</v>
      </c>
      <c r="G3" t="s">
        <v>1</v>
      </c>
      <c r="H3">
        <f>(_xlfn.GAMMA((2+$H$1)/(1+$H$1)))^(1+$H$1)</f>
        <v>0.66840465053383047</v>
      </c>
    </row>
    <row r="4" spans="1:8" x14ac:dyDescent="0.25">
      <c r="A4">
        <v>0.29577316664999997</v>
      </c>
      <c r="B4">
        <v>0</v>
      </c>
      <c r="C4">
        <f t="shared" si="0"/>
        <v>5.4036674967202214E-2</v>
      </c>
      <c r="D4">
        <f t="shared" si="1"/>
        <v>-5.4036674967202214E-2</v>
      </c>
      <c r="E4">
        <f t="shared" si="2"/>
        <v>2.9199622415110585E-3</v>
      </c>
    </row>
    <row r="5" spans="1:8" x14ac:dyDescent="0.25">
      <c r="A5">
        <v>0.38026372855000001</v>
      </c>
      <c r="B5">
        <v>0</v>
      </c>
      <c r="C5">
        <f t="shared" si="0"/>
        <v>0.12137974410252701</v>
      </c>
      <c r="D5">
        <f t="shared" si="1"/>
        <v>-0.12137974410252701</v>
      </c>
      <c r="E5">
        <f t="shared" si="2"/>
        <v>1.4733042278394941E-2</v>
      </c>
      <c r="G5" t="s">
        <v>2</v>
      </c>
      <c r="H5">
        <f>SUM(E1:E40)</f>
        <v>0.47500824447204987</v>
      </c>
    </row>
    <row r="6" spans="1:8" x14ac:dyDescent="0.25">
      <c r="A6">
        <v>0.46475429045</v>
      </c>
      <c r="B6">
        <v>4.3119799400955457E-2</v>
      </c>
      <c r="C6">
        <f t="shared" si="0"/>
        <v>0.22954615117764418</v>
      </c>
      <c r="D6">
        <f t="shared" si="1"/>
        <v>-0.18642635177668873</v>
      </c>
      <c r="E6">
        <f t="shared" si="2"/>
        <v>3.4754784636765693E-2</v>
      </c>
    </row>
    <row r="7" spans="1:8" x14ac:dyDescent="0.25">
      <c r="A7">
        <v>0.54924485234999998</v>
      </c>
      <c r="B7">
        <v>0.31373371288281382</v>
      </c>
      <c r="C7">
        <f t="shared" si="0"/>
        <v>0.38461116097293235</v>
      </c>
      <c r="D7">
        <f t="shared" si="1"/>
        <v>-7.0877448090118533E-2</v>
      </c>
      <c r="E7">
        <f t="shared" si="2"/>
        <v>5.0236126477674475E-3</v>
      </c>
    </row>
    <row r="8" spans="1:8" x14ac:dyDescent="0.25">
      <c r="A8">
        <v>0.63373541425000002</v>
      </c>
      <c r="B8">
        <v>0.63936254284175331</v>
      </c>
      <c r="C8">
        <f t="shared" si="0"/>
        <v>0.58600842280686427</v>
      </c>
      <c r="D8">
        <f t="shared" si="1"/>
        <v>5.3354120034889041E-2</v>
      </c>
      <c r="E8">
        <f t="shared" si="2"/>
        <v>2.8466621246973482E-3</v>
      </c>
    </row>
    <row r="9" spans="1:8" x14ac:dyDescent="0.25">
      <c r="A9">
        <v>0.71822597615000006</v>
      </c>
      <c r="B9">
        <v>1.1538263563841875</v>
      </c>
      <c r="C9">
        <f t="shared" si="0"/>
        <v>0.82258068915658455</v>
      </c>
      <c r="D9">
        <f t="shared" si="1"/>
        <v>0.33124566722760296</v>
      </c>
      <c r="E9">
        <f t="shared" si="2"/>
        <v>0.10972369205705988</v>
      </c>
    </row>
    <row r="10" spans="1:8" x14ac:dyDescent="0.25">
      <c r="A10">
        <v>0.80271653805000009</v>
      </c>
      <c r="B10">
        <v>1.3121801024601101</v>
      </c>
      <c r="C10">
        <f t="shared" si="0"/>
        <v>1.0694326767703803</v>
      </c>
      <c r="D10">
        <f t="shared" si="1"/>
        <v>0.24274742568972973</v>
      </c>
      <c r="E10">
        <f t="shared" si="2"/>
        <v>5.8926312678990858E-2</v>
      </c>
    </row>
    <row r="11" spans="1:8" x14ac:dyDescent="0.25">
      <c r="A11">
        <v>0.88720709995000002</v>
      </c>
      <c r="B11">
        <v>1.4660731796324855</v>
      </c>
      <c r="C11">
        <f t="shared" si="0"/>
        <v>1.2879775032783427</v>
      </c>
      <c r="D11">
        <f t="shared" si="1"/>
        <v>0.17809567635414281</v>
      </c>
      <c r="E11">
        <f t="shared" si="2"/>
        <v>3.1718069936039581E-2</v>
      </c>
    </row>
    <row r="12" spans="1:8" x14ac:dyDescent="0.25">
      <c r="A12">
        <v>0.97169766184999995</v>
      </c>
      <c r="B12">
        <v>1.5649513403277799</v>
      </c>
      <c r="C12">
        <f t="shared" si="0"/>
        <v>1.4318594488956589</v>
      </c>
      <c r="D12">
        <f t="shared" si="1"/>
        <v>0.13309189143212108</v>
      </c>
      <c r="E12">
        <f t="shared" si="2"/>
        <v>1.7713451564979506E-2</v>
      </c>
    </row>
    <row r="13" spans="1:8" x14ac:dyDescent="0.25">
      <c r="A13">
        <v>1.05618822375</v>
      </c>
      <c r="B13">
        <v>1.5292659890994029</v>
      </c>
      <c r="C13">
        <f t="shared" si="0"/>
        <v>1.4598631549473662</v>
      </c>
      <c r="D13">
        <f t="shared" si="1"/>
        <v>6.9402834152036741E-2</v>
      </c>
      <c r="E13">
        <f t="shared" si="2"/>
        <v>4.8167533883351175E-3</v>
      </c>
    </row>
    <row r="14" spans="1:8" x14ac:dyDescent="0.25">
      <c r="A14">
        <v>1.14067878565</v>
      </c>
      <c r="B14">
        <v>1.1419312393080618</v>
      </c>
      <c r="C14">
        <f t="shared" si="0"/>
        <v>1.3528812020914269</v>
      </c>
      <c r="D14">
        <f t="shared" si="1"/>
        <v>-0.21094996278336509</v>
      </c>
      <c r="E14">
        <f t="shared" si="2"/>
        <v>4.4499886798303113E-2</v>
      </c>
    </row>
    <row r="15" spans="1:8" x14ac:dyDescent="0.25">
      <c r="A15">
        <v>1.2251693475500001</v>
      </c>
      <c r="B15">
        <v>0.84529675722217856</v>
      </c>
      <c r="C15">
        <f t="shared" si="0"/>
        <v>1.1269976494575993</v>
      </c>
      <c r="D15">
        <f t="shared" si="1"/>
        <v>-0.28170089223542072</v>
      </c>
      <c r="E15">
        <f t="shared" si="2"/>
        <v>7.9355392686232124E-2</v>
      </c>
    </row>
    <row r="16" spans="1:8" x14ac:dyDescent="0.25">
      <c r="A16">
        <v>1.3096599094500001</v>
      </c>
      <c r="B16">
        <v>0.62151986722756491</v>
      </c>
      <c r="C16">
        <f t="shared" si="0"/>
        <v>0.83297049951772317</v>
      </c>
      <c r="D16">
        <f t="shared" si="1"/>
        <v>-0.21145063229015826</v>
      </c>
      <c r="E16">
        <f t="shared" si="2"/>
        <v>4.4711369895907717E-2</v>
      </c>
    </row>
    <row r="17" spans="1:5" x14ac:dyDescent="0.25">
      <c r="A17">
        <v>1.3941504713500001</v>
      </c>
      <c r="B17">
        <v>0.48323913121760426</v>
      </c>
      <c r="C17">
        <f t="shared" si="0"/>
        <v>0.53815654136444524</v>
      </c>
      <c r="D17">
        <f t="shared" si="1"/>
        <v>-5.4917410146840984E-2</v>
      </c>
      <c r="E17">
        <f t="shared" si="2"/>
        <v>3.0159219372363532E-3</v>
      </c>
    </row>
    <row r="18" spans="1:5" x14ac:dyDescent="0.25">
      <c r="A18">
        <v>1.4786410332500002</v>
      </c>
      <c r="B18">
        <v>0.36577485009086352</v>
      </c>
      <c r="C18">
        <f t="shared" si="0"/>
        <v>0.29890045339719856</v>
      </c>
      <c r="D18">
        <f t="shared" si="1"/>
        <v>6.6874396693664961E-2</v>
      </c>
      <c r="E18">
        <f t="shared" si="2"/>
        <v>4.4721849331416669E-3</v>
      </c>
    </row>
    <row r="19" spans="1:5" x14ac:dyDescent="0.25">
      <c r="A19">
        <v>1.5631315951500002</v>
      </c>
      <c r="B19">
        <v>0.25723190677121704</v>
      </c>
      <c r="C19">
        <f t="shared" si="0"/>
        <v>0.14012347408812673</v>
      </c>
      <c r="D19">
        <f t="shared" si="1"/>
        <v>0.11710843268309032</v>
      </c>
      <c r="E19">
        <f t="shared" si="2"/>
        <v>1.3714385005489898E-2</v>
      </c>
    </row>
    <row r="20" spans="1:5" x14ac:dyDescent="0.25">
      <c r="A20">
        <v>1.64762215705</v>
      </c>
      <c r="B20">
        <v>9.1443712522715881E-2</v>
      </c>
      <c r="C20">
        <f t="shared" si="0"/>
        <v>5.4345681202341685E-2</v>
      </c>
      <c r="D20">
        <f t="shared" si="1"/>
        <v>3.7098031320374196E-2</v>
      </c>
      <c r="E20">
        <f t="shared" si="2"/>
        <v>1.3762639278474648E-3</v>
      </c>
    </row>
    <row r="21" spans="1:5" x14ac:dyDescent="0.25">
      <c r="A21">
        <v>1.7321127189500003</v>
      </c>
      <c r="B21">
        <v>0</v>
      </c>
      <c r="C21">
        <f t="shared" si="0"/>
        <v>1.7063884397739759E-2</v>
      </c>
      <c r="D21">
        <f t="shared" si="1"/>
        <v>-1.7063884397739759E-2</v>
      </c>
      <c r="E21">
        <f t="shared" si="2"/>
        <v>2.911761507394264E-4</v>
      </c>
    </row>
    <row r="22" spans="1:5" x14ac:dyDescent="0.25">
      <c r="A22">
        <v>1.8166032808500003</v>
      </c>
      <c r="B22">
        <v>0</v>
      </c>
      <c r="C22">
        <f t="shared" si="0"/>
        <v>4.2376909770097861E-3</v>
      </c>
      <c r="D22">
        <f t="shared" si="1"/>
        <v>-4.2376909770097861E-3</v>
      </c>
      <c r="E22">
        <f t="shared" si="2"/>
        <v>1.7958024816630155E-5</v>
      </c>
    </row>
    <row r="23" spans="1:5" x14ac:dyDescent="0.25">
      <c r="A23">
        <v>1.9010938427499999</v>
      </c>
      <c r="B23">
        <v>0</v>
      </c>
      <c r="C23">
        <f t="shared" si="0"/>
        <v>8.1188116321423746E-4</v>
      </c>
      <c r="D23">
        <f t="shared" si="1"/>
        <v>-8.1188116321423746E-4</v>
      </c>
      <c r="E23">
        <f t="shared" si="2"/>
        <v>6.5915102318210327E-7</v>
      </c>
    </row>
    <row r="24" spans="1:5" x14ac:dyDescent="0.25">
      <c r="A24">
        <v>1.98558440465</v>
      </c>
      <c r="B24">
        <v>0</v>
      </c>
      <c r="C24">
        <f t="shared" si="0"/>
        <v>1.1685162252453688E-4</v>
      </c>
      <c r="D24">
        <f t="shared" si="1"/>
        <v>-1.1685162252453688E-4</v>
      </c>
      <c r="E24">
        <f t="shared" si="2"/>
        <v>1.3654301686616854E-8</v>
      </c>
    </row>
    <row r="25" spans="1:5" x14ac:dyDescent="0.25">
      <c r="A25">
        <v>2.07007496655</v>
      </c>
      <c r="B25">
        <v>0</v>
      </c>
      <c r="C25">
        <f t="shared" si="0"/>
        <v>1.2283341180288947E-5</v>
      </c>
      <c r="D25">
        <f t="shared" si="1"/>
        <v>-1.2283341180288947E-5</v>
      </c>
      <c r="E25">
        <f t="shared" si="2"/>
        <v>1.5088047055138226E-10</v>
      </c>
    </row>
    <row r="26" spans="1:5" x14ac:dyDescent="0.25">
      <c r="A26">
        <v>2.15456552845</v>
      </c>
      <c r="B26">
        <v>0</v>
      </c>
      <c r="C26">
        <f t="shared" si="0"/>
        <v>9.1535427689975387E-7</v>
      </c>
      <c r="D26">
        <f t="shared" si="1"/>
        <v>-9.1535427689975387E-7</v>
      </c>
      <c r="E26">
        <f t="shared" si="2"/>
        <v>8.3787345223867125E-13</v>
      </c>
    </row>
    <row r="27" spans="1:5" x14ac:dyDescent="0.25">
      <c r="A27">
        <v>2.2390560903500001</v>
      </c>
      <c r="B27">
        <v>0</v>
      </c>
      <c r="C27">
        <f t="shared" si="0"/>
        <v>4.6858948401795815E-8</v>
      </c>
      <c r="D27">
        <f t="shared" si="1"/>
        <v>-4.6858948401795815E-8</v>
      </c>
      <c r="E27">
        <f t="shared" si="2"/>
        <v>2.1957610453221627E-15</v>
      </c>
    </row>
    <row r="28" spans="1:5" x14ac:dyDescent="0.25">
      <c r="A28">
        <v>2.3235466522500001</v>
      </c>
      <c r="B28">
        <v>0</v>
      </c>
      <c r="C28">
        <f t="shared" si="0"/>
        <v>1.5942301569038091E-9</v>
      </c>
      <c r="D28">
        <f t="shared" si="1"/>
        <v>-1.5942301569038091E-9</v>
      </c>
      <c r="E28">
        <f t="shared" si="2"/>
        <v>2.5415697931815435E-18</v>
      </c>
    </row>
    <row r="29" spans="1:5" x14ac:dyDescent="0.25">
      <c r="A29">
        <v>2.4080372141500002</v>
      </c>
      <c r="B29">
        <v>0</v>
      </c>
      <c r="C29">
        <f t="shared" si="0"/>
        <v>3.4815306255887347E-11</v>
      </c>
      <c r="D29">
        <f t="shared" si="1"/>
        <v>-3.4815306255887347E-11</v>
      </c>
      <c r="E29">
        <f t="shared" si="2"/>
        <v>1.2121055496912286E-21</v>
      </c>
    </row>
    <row r="30" spans="1:5" x14ac:dyDescent="0.25">
      <c r="A30">
        <v>2.4925277760500002</v>
      </c>
      <c r="B30">
        <v>0</v>
      </c>
      <c r="C30">
        <f t="shared" si="0"/>
        <v>4.7057904637638089E-13</v>
      </c>
      <c r="D30">
        <f t="shared" si="1"/>
        <v>-4.7057904637638089E-13</v>
      </c>
      <c r="E30">
        <f t="shared" si="2"/>
        <v>2.2144463888850406E-25</v>
      </c>
    </row>
    <row r="31" spans="1:5" x14ac:dyDescent="0.25">
      <c r="A31">
        <v>2.5770183379500002</v>
      </c>
      <c r="B31">
        <v>0</v>
      </c>
      <c r="C31">
        <f t="shared" si="0"/>
        <v>3.7895976298102887E-15</v>
      </c>
      <c r="D31">
        <f t="shared" si="1"/>
        <v>-3.7895976298102887E-15</v>
      </c>
      <c r="E31">
        <f t="shared" si="2"/>
        <v>1.436105019586376E-29</v>
      </c>
    </row>
    <row r="32" spans="1:5" x14ac:dyDescent="0.25">
      <c r="A32">
        <v>2.6615088998500003</v>
      </c>
      <c r="B32">
        <v>0</v>
      </c>
      <c r="C32">
        <f t="shared" si="0"/>
        <v>1.7473293590474242E-17</v>
      </c>
      <c r="D32">
        <f t="shared" si="1"/>
        <v>-1.7473293590474242E-17</v>
      </c>
      <c r="E32">
        <f t="shared" si="2"/>
        <v>3.0531598889890821E-34</v>
      </c>
    </row>
    <row r="33" spans="1:5" x14ac:dyDescent="0.25">
      <c r="A33">
        <v>2.7459994617500003</v>
      </c>
      <c r="B33">
        <v>0</v>
      </c>
      <c r="C33">
        <f t="shared" si="0"/>
        <v>4.4255171638286397E-20</v>
      </c>
      <c r="D33">
        <f t="shared" si="1"/>
        <v>-4.4255171638286397E-20</v>
      </c>
      <c r="E33">
        <f t="shared" si="2"/>
        <v>1.9585202167341888E-39</v>
      </c>
    </row>
    <row r="34" spans="1:5" x14ac:dyDescent="0.25">
      <c r="A34">
        <v>2.8304900236500004</v>
      </c>
      <c r="B34">
        <v>0</v>
      </c>
      <c r="C34">
        <f t="shared" si="0"/>
        <v>5.8966590906709901E-23</v>
      </c>
      <c r="D34">
        <f t="shared" si="1"/>
        <v>-5.8966590906709901E-23</v>
      </c>
      <c r="E34">
        <f t="shared" si="2"/>
        <v>3.4770588431592827E-45</v>
      </c>
    </row>
    <row r="35" spans="1:5" x14ac:dyDescent="0.25">
      <c r="A35">
        <v>2.9149805855499999</v>
      </c>
      <c r="B35">
        <v>0</v>
      </c>
      <c r="C35">
        <f t="shared" si="0"/>
        <v>3.9518451178572823E-26</v>
      </c>
      <c r="D35">
        <f t="shared" si="1"/>
        <v>-3.9518451178572823E-26</v>
      </c>
      <c r="E35">
        <f t="shared" si="2"/>
        <v>1.5617079835532439E-51</v>
      </c>
    </row>
    <row r="36" spans="1:5" x14ac:dyDescent="0.25">
      <c r="A36">
        <v>2.9994711474500004</v>
      </c>
      <c r="B36">
        <v>0</v>
      </c>
      <c r="C36">
        <f t="shared" si="0"/>
        <v>1.2714350126209507E-29</v>
      </c>
      <c r="D36">
        <f t="shared" si="1"/>
        <v>-1.2714350126209507E-29</v>
      </c>
      <c r="E36">
        <f t="shared" si="2"/>
        <v>1.616546991318437E-58</v>
      </c>
    </row>
    <row r="37" spans="1:5" x14ac:dyDescent="0.25">
      <c r="A37">
        <v>3.0839617093500005</v>
      </c>
      <c r="B37">
        <v>0</v>
      </c>
      <c r="C37">
        <f t="shared" si="0"/>
        <v>1.8710344451183689E-33</v>
      </c>
      <c r="D37">
        <f t="shared" si="1"/>
        <v>-1.8710344451183689E-33</v>
      </c>
      <c r="E37">
        <f t="shared" si="2"/>
        <v>3.5007698948194025E-66</v>
      </c>
    </row>
    <row r="38" spans="1:5" x14ac:dyDescent="0.25">
      <c r="A38">
        <v>3.1684522712500001</v>
      </c>
      <c r="B38">
        <v>0</v>
      </c>
      <c r="C38">
        <f t="shared" si="0"/>
        <v>1.1978311839116059E-37</v>
      </c>
      <c r="D38">
        <f t="shared" si="1"/>
        <v>-1.1978311839116059E-37</v>
      </c>
      <c r="E38">
        <f t="shared" si="2"/>
        <v>1.4347995451510794E-74</v>
      </c>
    </row>
    <row r="39" spans="1:5" x14ac:dyDescent="0.25">
      <c r="A39">
        <v>3.2529428331499997</v>
      </c>
      <c r="B39">
        <v>0</v>
      </c>
      <c r="C39">
        <f t="shared" si="0"/>
        <v>3.1674055667400804E-42</v>
      </c>
      <c r="D39">
        <f t="shared" si="1"/>
        <v>-3.1674055667400804E-42</v>
      </c>
      <c r="E39">
        <f t="shared" si="2"/>
        <v>1.003245802421605E-83</v>
      </c>
    </row>
    <row r="40" spans="1:5" x14ac:dyDescent="0.25">
      <c r="A40">
        <v>3.3374333950500001</v>
      </c>
      <c r="B40">
        <v>7.4344481725785276E-4</v>
      </c>
      <c r="C40">
        <f t="shared" si="0"/>
        <v>3.2787211789886181E-47</v>
      </c>
      <c r="D40">
        <f t="shared" si="1"/>
        <v>7.4344481725785276E-4</v>
      </c>
      <c r="E40">
        <f t="shared" si="2"/>
        <v>5.5271019630756206E-7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078A-3D31-4F8A-A037-CE7B6529CA7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4.1646055450000004E-2</v>
      </c>
      <c r="B1">
        <v>6.0412876815380987E-3</v>
      </c>
      <c r="C1">
        <f>$H$3*(1+$H$1)*(A1^($H$1))*EXP(-$H$3*(A1^(1+$H$1)))</f>
        <v>5.7361934397394503E-6</v>
      </c>
      <c r="D1">
        <f>B1-C1</f>
        <v>6.0355514880983596E-3</v>
      </c>
      <c r="E1">
        <f>D1^2</f>
        <v>3.6427881765486326E-5</v>
      </c>
      <c r="G1" t="s">
        <v>0</v>
      </c>
      <c r="H1">
        <v>4.1785099906206717</v>
      </c>
    </row>
    <row r="2" spans="1:8" x14ac:dyDescent="0.25">
      <c r="A2">
        <v>0.12482576635000001</v>
      </c>
      <c r="B2">
        <v>0</v>
      </c>
      <c r="C2">
        <f t="shared" ref="C2:C40" si="0">$H$3*(1+$H$1)*(A2^($H$1))*EXP(-$H$3*(A2^(1+$H$1)))</f>
        <v>5.6317130509509568E-4</v>
      </c>
      <c r="D2">
        <f t="shared" ref="D2:D40" si="1">B2-C2</f>
        <v>-5.6317130509509568E-4</v>
      </c>
      <c r="E2">
        <f t="shared" ref="E2:E40" si="2">D2^2</f>
        <v>3.1716191888251334E-7</v>
      </c>
    </row>
    <row r="3" spans="1:8" x14ac:dyDescent="0.25">
      <c r="A3">
        <v>0.20800547725000001</v>
      </c>
      <c r="B3">
        <v>0</v>
      </c>
      <c r="C3">
        <f t="shared" si="0"/>
        <v>4.7559119965507853E-3</v>
      </c>
      <c r="D3">
        <f t="shared" si="1"/>
        <v>-4.7559119965507853E-3</v>
      </c>
      <c r="E3">
        <f t="shared" si="2"/>
        <v>2.2618698918935675E-5</v>
      </c>
      <c r="G3" t="s">
        <v>1</v>
      </c>
      <c r="H3">
        <f>(_xlfn.GAMMA((2+$H$1)/(1+$H$1)))^(1+$H$1)</f>
        <v>0.64944645854008187</v>
      </c>
    </row>
    <row r="4" spans="1:8" x14ac:dyDescent="0.25">
      <c r="A4">
        <v>0.29118518815000005</v>
      </c>
      <c r="B4">
        <v>0</v>
      </c>
      <c r="C4">
        <f t="shared" si="0"/>
        <v>1.937761987318436E-2</v>
      </c>
      <c r="D4">
        <f t="shared" si="1"/>
        <v>-1.937761987318436E-2</v>
      </c>
      <c r="E4">
        <f t="shared" si="2"/>
        <v>3.7549215194962948E-4</v>
      </c>
    </row>
    <row r="5" spans="1:8" x14ac:dyDescent="0.25">
      <c r="A5">
        <v>0.37436489905000003</v>
      </c>
      <c r="B5">
        <v>0</v>
      </c>
      <c r="C5">
        <f t="shared" si="0"/>
        <v>5.520993591521299E-2</v>
      </c>
      <c r="D5">
        <f t="shared" si="1"/>
        <v>-5.520993591521299E-2</v>
      </c>
      <c r="E5">
        <f t="shared" si="2"/>
        <v>3.0481370237619254E-3</v>
      </c>
      <c r="G5" t="s">
        <v>2</v>
      </c>
      <c r="H5">
        <f>SUM(E1:E40)</f>
        <v>0.65688156648312501</v>
      </c>
    </row>
    <row r="6" spans="1:8" x14ac:dyDescent="0.25">
      <c r="A6">
        <v>0.45754460995000001</v>
      </c>
      <c r="B6">
        <v>0</v>
      </c>
      <c r="C6">
        <f t="shared" si="0"/>
        <v>0.1267496882234404</v>
      </c>
      <c r="D6">
        <f t="shared" si="1"/>
        <v>-0.1267496882234404</v>
      </c>
      <c r="E6">
        <f t="shared" si="2"/>
        <v>1.6065483464739346E-2</v>
      </c>
    </row>
    <row r="7" spans="1:8" x14ac:dyDescent="0.25">
      <c r="A7">
        <v>0.54072432085</v>
      </c>
      <c r="B7">
        <v>3.1716760328075022E-2</v>
      </c>
      <c r="C7">
        <f t="shared" si="0"/>
        <v>0.25078565164886002</v>
      </c>
      <c r="D7">
        <f t="shared" si="1"/>
        <v>-0.219068891320785</v>
      </c>
      <c r="E7">
        <f t="shared" si="2"/>
        <v>4.7991179144517906E-2</v>
      </c>
    </row>
    <row r="8" spans="1:8" x14ac:dyDescent="0.25">
      <c r="A8">
        <v>0.62390403174999998</v>
      </c>
      <c r="B8">
        <v>0.36549790473305499</v>
      </c>
      <c r="C8">
        <f t="shared" si="0"/>
        <v>0.44272681851217349</v>
      </c>
      <c r="D8">
        <f t="shared" si="1"/>
        <v>-7.7228913779118502E-2</v>
      </c>
      <c r="E8">
        <f t="shared" si="2"/>
        <v>5.9643051235025194E-3</v>
      </c>
    </row>
    <row r="9" spans="1:8" x14ac:dyDescent="0.25">
      <c r="A9">
        <v>0.70708374265000007</v>
      </c>
      <c r="B9">
        <v>0.84502511445514161</v>
      </c>
      <c r="C9">
        <f t="shared" si="0"/>
        <v>0.70941388702687791</v>
      </c>
      <c r="D9">
        <f t="shared" si="1"/>
        <v>0.1356112274282637</v>
      </c>
      <c r="E9">
        <f t="shared" si="2"/>
        <v>1.8390405004600263E-2</v>
      </c>
    </row>
    <row r="10" spans="1:8" x14ac:dyDescent="0.25">
      <c r="A10">
        <v>0.79026345354999994</v>
      </c>
      <c r="B10">
        <v>1.444622916847798</v>
      </c>
      <c r="C10">
        <f t="shared" si="0"/>
        <v>1.0380797718146351</v>
      </c>
      <c r="D10">
        <f t="shared" si="1"/>
        <v>0.40654314503316291</v>
      </c>
      <c r="E10">
        <f t="shared" si="2"/>
        <v>0.16527732877345533</v>
      </c>
    </row>
    <row r="11" spans="1:8" x14ac:dyDescent="0.25">
      <c r="A11">
        <v>0.87344316445000003</v>
      </c>
      <c r="B11">
        <v>1.7195015063577814</v>
      </c>
      <c r="C11">
        <f t="shared" si="0"/>
        <v>1.3843132819712674</v>
      </c>
      <c r="D11">
        <f t="shared" si="1"/>
        <v>0.33518822438651408</v>
      </c>
      <c r="E11">
        <f t="shared" si="2"/>
        <v>0.11235114576738411</v>
      </c>
    </row>
    <row r="12" spans="1:8" x14ac:dyDescent="0.25">
      <c r="A12">
        <v>0.95662287535000012</v>
      </c>
      <c r="B12">
        <v>1.8252240407846982</v>
      </c>
      <c r="C12">
        <f t="shared" si="0"/>
        <v>1.6676118996739582</v>
      </c>
      <c r="D12">
        <f t="shared" si="1"/>
        <v>0.15761214111074007</v>
      </c>
      <c r="E12">
        <f t="shared" si="2"/>
        <v>2.4841587025511837E-2</v>
      </c>
    </row>
    <row r="13" spans="1:8" x14ac:dyDescent="0.25">
      <c r="A13">
        <v>1.03980258625</v>
      </c>
      <c r="B13">
        <v>1.8629820887943114</v>
      </c>
      <c r="C13">
        <f t="shared" si="0"/>
        <v>1.7879198285101419</v>
      </c>
      <c r="D13">
        <f t="shared" si="1"/>
        <v>7.5062260284169513E-2</v>
      </c>
      <c r="E13">
        <f t="shared" si="2"/>
        <v>5.6343429189684114E-3</v>
      </c>
    </row>
    <row r="14" spans="1:8" x14ac:dyDescent="0.25">
      <c r="A14">
        <v>1.1229822971500001</v>
      </c>
      <c r="B14">
        <v>1.4106406736391461</v>
      </c>
      <c r="C14">
        <f t="shared" si="0"/>
        <v>1.6709754129857446</v>
      </c>
      <c r="D14">
        <f t="shared" si="1"/>
        <v>-0.26033473934659845</v>
      </c>
      <c r="E14">
        <f t="shared" si="2"/>
        <v>6.7774176510661352E-2</v>
      </c>
    </row>
    <row r="15" spans="1:8" x14ac:dyDescent="0.25">
      <c r="A15">
        <v>1.20616200805</v>
      </c>
      <c r="B15">
        <v>0.95678893656359643</v>
      </c>
      <c r="C15">
        <f t="shared" si="0"/>
        <v>1.3254495476732564</v>
      </c>
      <c r="D15">
        <f t="shared" si="1"/>
        <v>-0.36866061110965997</v>
      </c>
      <c r="E15">
        <f t="shared" si="2"/>
        <v>0.13591064618374796</v>
      </c>
    </row>
    <row r="16" spans="1:8" x14ac:dyDescent="0.25">
      <c r="A16">
        <v>1.28934171895</v>
      </c>
      <c r="B16">
        <v>0.69021711761572779</v>
      </c>
      <c r="C16">
        <f t="shared" si="0"/>
        <v>0.86352706986548511</v>
      </c>
      <c r="D16">
        <f t="shared" si="1"/>
        <v>-0.17330995224975732</v>
      </c>
      <c r="E16">
        <f t="shared" si="2"/>
        <v>3.003633954881316E-2</v>
      </c>
    </row>
    <row r="17" spans="1:5" x14ac:dyDescent="0.25">
      <c r="A17">
        <v>1.3725214298499999</v>
      </c>
      <c r="B17">
        <v>0.49236494604535508</v>
      </c>
      <c r="C17">
        <f t="shared" si="0"/>
        <v>0.44430685102628281</v>
      </c>
      <c r="D17">
        <f t="shared" si="1"/>
        <v>4.8058095019072267E-2</v>
      </c>
      <c r="E17">
        <f t="shared" si="2"/>
        <v>2.3095804968621785E-3</v>
      </c>
    </row>
    <row r="18" spans="1:5" x14ac:dyDescent="0.25">
      <c r="A18">
        <v>1.45570114075</v>
      </c>
      <c r="B18">
        <v>0.31641244232055793</v>
      </c>
      <c r="C18">
        <f t="shared" si="0"/>
        <v>0.17243996765261499</v>
      </c>
      <c r="D18">
        <f t="shared" si="1"/>
        <v>0.14397247466794294</v>
      </c>
      <c r="E18">
        <f t="shared" si="2"/>
        <v>2.072807346201147E-2</v>
      </c>
    </row>
    <row r="19" spans="1:5" x14ac:dyDescent="0.25">
      <c r="A19">
        <v>1.5388808516500001</v>
      </c>
      <c r="B19">
        <v>5.4371589133842893E-2</v>
      </c>
      <c r="C19">
        <f t="shared" si="0"/>
        <v>4.7874810658467618E-2</v>
      </c>
      <c r="D19">
        <f t="shared" si="1"/>
        <v>6.4967784753752755E-3</v>
      </c>
      <c r="E19">
        <f t="shared" si="2"/>
        <v>4.2208130558099487E-5</v>
      </c>
    </row>
    <row r="20" spans="1:5" x14ac:dyDescent="0.25">
      <c r="A20">
        <v>1.6220605625500002</v>
      </c>
      <c r="B20">
        <v>0</v>
      </c>
      <c r="C20">
        <f t="shared" si="0"/>
        <v>8.949317884661287E-3</v>
      </c>
      <c r="D20">
        <f t="shared" si="1"/>
        <v>-8.949317884661287E-3</v>
      </c>
      <c r="E20">
        <f t="shared" si="2"/>
        <v>8.0090290600718376E-5</v>
      </c>
    </row>
    <row r="21" spans="1:5" x14ac:dyDescent="0.25">
      <c r="A21">
        <v>1.7052402734500001</v>
      </c>
      <c r="B21">
        <v>0</v>
      </c>
      <c r="C21">
        <f t="shared" si="0"/>
        <v>1.0517913562554345E-3</v>
      </c>
      <c r="D21">
        <f t="shared" si="1"/>
        <v>-1.0517913562554345E-3</v>
      </c>
      <c r="E21">
        <f t="shared" si="2"/>
        <v>1.1062650570936464E-6</v>
      </c>
    </row>
    <row r="22" spans="1:5" x14ac:dyDescent="0.25">
      <c r="A22">
        <v>1.7884199843500002</v>
      </c>
      <c r="B22">
        <v>0</v>
      </c>
      <c r="C22">
        <f t="shared" si="0"/>
        <v>7.196401626971106E-5</v>
      </c>
      <c r="D22">
        <f t="shared" si="1"/>
        <v>-7.196401626971106E-5</v>
      </c>
      <c r="E22">
        <f t="shared" si="2"/>
        <v>5.1788196376672383E-9</v>
      </c>
    </row>
    <row r="23" spans="1:5" x14ac:dyDescent="0.25">
      <c r="A23">
        <v>1.87159969525</v>
      </c>
      <c r="B23">
        <v>0</v>
      </c>
      <c r="C23">
        <f t="shared" si="0"/>
        <v>2.6307500350399774E-6</v>
      </c>
      <c r="D23">
        <f t="shared" si="1"/>
        <v>-2.6307500350399774E-6</v>
      </c>
      <c r="E23">
        <f t="shared" si="2"/>
        <v>6.9208457468628423E-12</v>
      </c>
    </row>
    <row r="24" spans="1:5" x14ac:dyDescent="0.25">
      <c r="A24">
        <v>1.9547794061499999</v>
      </c>
      <c r="B24">
        <v>0</v>
      </c>
      <c r="C24">
        <f t="shared" si="0"/>
        <v>4.6718524103785243E-8</v>
      </c>
      <c r="D24">
        <f t="shared" si="1"/>
        <v>-4.6718524103785243E-8</v>
      </c>
      <c r="E24">
        <f t="shared" si="2"/>
        <v>2.1826204944359627E-15</v>
      </c>
    </row>
    <row r="25" spans="1:5" x14ac:dyDescent="0.25">
      <c r="A25">
        <v>2.0379591170499998</v>
      </c>
      <c r="B25">
        <v>0</v>
      </c>
      <c r="C25">
        <f t="shared" si="0"/>
        <v>3.6285513181549942E-10</v>
      </c>
      <c r="D25">
        <f t="shared" si="1"/>
        <v>-3.6285513181549942E-10</v>
      </c>
      <c r="E25">
        <f t="shared" si="2"/>
        <v>1.3166384668484346E-19</v>
      </c>
    </row>
    <row r="26" spans="1:5" x14ac:dyDescent="0.25">
      <c r="A26">
        <v>2.1211388279500003</v>
      </c>
      <c r="B26">
        <v>0</v>
      </c>
      <c r="C26">
        <f t="shared" si="0"/>
        <v>1.0982668570782064E-12</v>
      </c>
      <c r="D26">
        <f t="shared" si="1"/>
        <v>-1.0982668570782064E-12</v>
      </c>
      <c r="E26">
        <f t="shared" si="2"/>
        <v>1.2061900893564415E-24</v>
      </c>
    </row>
    <row r="27" spans="1:5" x14ac:dyDescent="0.25">
      <c r="A27">
        <v>2.20431853885</v>
      </c>
      <c r="B27">
        <v>0</v>
      </c>
      <c r="C27">
        <f t="shared" si="0"/>
        <v>1.1418169420258753E-15</v>
      </c>
      <c r="D27">
        <f t="shared" si="1"/>
        <v>-1.1418169420258753E-15</v>
      </c>
      <c r="E27">
        <f t="shared" si="2"/>
        <v>1.3037459290973211E-30</v>
      </c>
    </row>
    <row r="28" spans="1:5" x14ac:dyDescent="0.25">
      <c r="A28">
        <v>2.28749824975</v>
      </c>
      <c r="B28">
        <v>0</v>
      </c>
      <c r="C28">
        <f t="shared" si="0"/>
        <v>3.5534389129176198E-19</v>
      </c>
      <c r="D28">
        <f t="shared" si="1"/>
        <v>-3.5534389129176198E-19</v>
      </c>
      <c r="E28">
        <f t="shared" si="2"/>
        <v>1.2626928107837155E-37</v>
      </c>
    </row>
    <row r="29" spans="1:5" x14ac:dyDescent="0.25">
      <c r="A29">
        <v>2.3706779606500001</v>
      </c>
      <c r="B29">
        <v>0</v>
      </c>
      <c r="C29">
        <f t="shared" si="0"/>
        <v>2.8507366851792824E-23</v>
      </c>
      <c r="D29">
        <f t="shared" si="1"/>
        <v>-2.8507366851792824E-23</v>
      </c>
      <c r="E29">
        <f t="shared" si="2"/>
        <v>8.1266996482269629E-46</v>
      </c>
    </row>
    <row r="30" spans="1:5" x14ac:dyDescent="0.25">
      <c r="A30">
        <v>2.4538576715500002</v>
      </c>
      <c r="B30">
        <v>0</v>
      </c>
      <c r="C30">
        <f t="shared" si="0"/>
        <v>5.0145230309497426E-28</v>
      </c>
      <c r="D30">
        <f t="shared" si="1"/>
        <v>-5.0145230309497426E-28</v>
      </c>
      <c r="E30">
        <f t="shared" si="2"/>
        <v>2.5145441227925392E-55</v>
      </c>
    </row>
    <row r="31" spans="1:5" x14ac:dyDescent="0.25">
      <c r="A31">
        <v>2.5370373824500003</v>
      </c>
      <c r="B31">
        <v>0</v>
      </c>
      <c r="C31">
        <f t="shared" si="0"/>
        <v>1.6239140727505624E-33</v>
      </c>
      <c r="D31">
        <f t="shared" si="1"/>
        <v>-1.6239140727505624E-33</v>
      </c>
      <c r="E31">
        <f t="shared" si="2"/>
        <v>2.6370969156773192E-66</v>
      </c>
    </row>
    <row r="32" spans="1:5" x14ac:dyDescent="0.25">
      <c r="A32">
        <v>2.62021709335</v>
      </c>
      <c r="B32">
        <v>0</v>
      </c>
      <c r="C32">
        <f t="shared" si="0"/>
        <v>8.0206997196251582E-40</v>
      </c>
      <c r="D32">
        <f t="shared" si="1"/>
        <v>-8.0206997196251582E-40</v>
      </c>
      <c r="E32">
        <f t="shared" si="2"/>
        <v>6.4331623992395095E-79</v>
      </c>
    </row>
    <row r="33" spans="1:5" x14ac:dyDescent="0.25">
      <c r="A33">
        <v>2.7033968042500001</v>
      </c>
      <c r="B33">
        <v>0</v>
      </c>
      <c r="C33">
        <f t="shared" si="0"/>
        <v>4.9358141480450463E-47</v>
      </c>
      <c r="D33">
        <f t="shared" si="1"/>
        <v>-4.9358141480450463E-47</v>
      </c>
      <c r="E33">
        <f t="shared" si="2"/>
        <v>2.4362261304041645E-93</v>
      </c>
    </row>
    <row r="34" spans="1:5" x14ac:dyDescent="0.25">
      <c r="A34">
        <v>2.7865765151500002</v>
      </c>
      <c r="B34">
        <v>0</v>
      </c>
      <c r="C34">
        <f t="shared" si="0"/>
        <v>3.0470354825839805E-55</v>
      </c>
      <c r="D34">
        <f t="shared" si="1"/>
        <v>-3.0470354825839805E-55</v>
      </c>
      <c r="E34">
        <f t="shared" si="2"/>
        <v>9.2844252321257914E-110</v>
      </c>
    </row>
    <row r="35" spans="1:5" x14ac:dyDescent="0.25">
      <c r="A35">
        <v>2.8697562260499998</v>
      </c>
      <c r="B35">
        <v>0</v>
      </c>
      <c r="C35">
        <f t="shared" si="0"/>
        <v>1.4965859946174576E-64</v>
      </c>
      <c r="D35">
        <f t="shared" si="1"/>
        <v>-1.4965859946174576E-64</v>
      </c>
      <c r="E35">
        <f t="shared" si="2"/>
        <v>2.2397696392851248E-128</v>
      </c>
    </row>
    <row r="36" spans="1:5" x14ac:dyDescent="0.25">
      <c r="A36">
        <v>2.9529359369500003</v>
      </c>
      <c r="B36">
        <v>0</v>
      </c>
      <c r="C36">
        <f t="shared" si="0"/>
        <v>4.5665335097347717E-75</v>
      </c>
      <c r="D36">
        <f t="shared" si="1"/>
        <v>-4.5665335097347717E-75</v>
      </c>
      <c r="E36">
        <f t="shared" si="2"/>
        <v>2.0853228295530572E-149</v>
      </c>
    </row>
    <row r="37" spans="1:5" x14ac:dyDescent="0.25">
      <c r="A37">
        <v>3.03611564785</v>
      </c>
      <c r="B37">
        <v>0</v>
      </c>
      <c r="C37">
        <f t="shared" si="0"/>
        <v>6.650772184624256E-87</v>
      </c>
      <c r="D37">
        <f t="shared" si="1"/>
        <v>-6.650772184624256E-87</v>
      </c>
      <c r="E37">
        <f t="shared" si="2"/>
        <v>4.4232770651771702E-173</v>
      </c>
    </row>
    <row r="38" spans="1:5" x14ac:dyDescent="0.25">
      <c r="A38">
        <v>3.1192953587500001</v>
      </c>
      <c r="B38">
        <v>0</v>
      </c>
      <c r="C38">
        <f t="shared" si="0"/>
        <v>3.4933549986808891E-100</v>
      </c>
      <c r="D38">
        <f t="shared" si="1"/>
        <v>-3.4933549986808891E-100</v>
      </c>
      <c r="E38">
        <f t="shared" si="2"/>
        <v>1.2203529146808756E-199</v>
      </c>
    </row>
    <row r="39" spans="1:5" x14ac:dyDescent="0.25">
      <c r="A39">
        <v>3.2024750696500002</v>
      </c>
      <c r="B39">
        <v>0</v>
      </c>
      <c r="C39">
        <f t="shared" si="0"/>
        <v>4.9145983492720134E-115</v>
      </c>
      <c r="D39">
        <f t="shared" si="1"/>
        <v>-4.9145983492720134E-115</v>
      </c>
      <c r="E39">
        <f t="shared" si="2"/>
        <v>2.4153276934667197E-229</v>
      </c>
    </row>
    <row r="40" spans="1:5" x14ac:dyDescent="0.25">
      <c r="A40">
        <v>3.2856547805499998</v>
      </c>
      <c r="B40">
        <v>7.5516096019226234E-4</v>
      </c>
      <c r="C40">
        <f t="shared" si="0"/>
        <v>1.3510155164124072E-131</v>
      </c>
      <c r="D40">
        <f t="shared" si="1"/>
        <v>7.5516096019226234E-4</v>
      </c>
      <c r="E40">
        <f t="shared" si="2"/>
        <v>5.7026807579849964E-7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6CEE-7C50-433E-8492-2CB58396EB6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4.1094785425000002E-2</v>
      </c>
      <c r="B1">
        <v>1.5328043766621856E-3</v>
      </c>
      <c r="C1">
        <f>$H$3*(1+$H$1)*(A1^($H$1))*EXP(-$H$3*(A1^(1+$H$1)))</f>
        <v>4.5967181885459109E-7</v>
      </c>
      <c r="D1">
        <f>B1-C1</f>
        <v>1.532344704843331E-3</v>
      </c>
      <c r="E1">
        <f>D1^2</f>
        <v>2.3480802944613953E-6</v>
      </c>
      <c r="G1" t="s">
        <v>0</v>
      </c>
      <c r="H1">
        <v>4.9917846860041042</v>
      </c>
    </row>
    <row r="2" spans="1:8" x14ac:dyDescent="0.25">
      <c r="A2">
        <v>0.12308535627500002</v>
      </c>
      <c r="B2">
        <v>0</v>
      </c>
      <c r="C2">
        <f t="shared" ref="C2:C40" si="0">$H$3*(1+$H$1)*(A2^($H$1))*EXP(-$H$3*(A2^(1+$H$1)))</f>
        <v>1.0980732539701606E-4</v>
      </c>
      <c r="D2">
        <f t="shared" ref="D2:D40" si="1">B2-C2</f>
        <v>-1.0980732539701606E-4</v>
      </c>
      <c r="E2">
        <f t="shared" ref="E2:E40" si="2">D2^2</f>
        <v>1.2057648710846168E-8</v>
      </c>
    </row>
    <row r="3" spans="1:8" x14ac:dyDescent="0.25">
      <c r="A3">
        <v>0.205075927125</v>
      </c>
      <c r="B3">
        <v>0</v>
      </c>
      <c r="C3">
        <f t="shared" si="0"/>
        <v>1.4038849033899074E-3</v>
      </c>
      <c r="D3">
        <f t="shared" si="1"/>
        <v>-1.4038849033899074E-3</v>
      </c>
      <c r="E3">
        <f t="shared" si="2"/>
        <v>1.9708928219660895E-6</v>
      </c>
      <c r="G3" t="s">
        <v>1</v>
      </c>
      <c r="H3">
        <f>(_xlfn.GAMMA((2+$H$1)/(1+$H$1)))^(1+$H$1)</f>
        <v>0.63763172776533938</v>
      </c>
    </row>
    <row r="4" spans="1:8" x14ac:dyDescent="0.25">
      <c r="A4">
        <v>0.287066497975</v>
      </c>
      <c r="B4">
        <v>0</v>
      </c>
      <c r="C4">
        <f t="shared" si="0"/>
        <v>7.5220280713451737E-3</v>
      </c>
      <c r="D4">
        <f t="shared" si="1"/>
        <v>-7.5220280713451737E-3</v>
      </c>
      <c r="E4">
        <f t="shared" si="2"/>
        <v>5.6580906306104794E-5</v>
      </c>
    </row>
    <row r="5" spans="1:8" x14ac:dyDescent="0.25">
      <c r="A5">
        <v>0.369057068825</v>
      </c>
      <c r="B5">
        <v>0</v>
      </c>
      <c r="C5">
        <f t="shared" si="0"/>
        <v>2.6329630325303784E-2</v>
      </c>
      <c r="D5">
        <f t="shared" si="1"/>
        <v>-2.6329630325303784E-2</v>
      </c>
      <c r="E5">
        <f t="shared" si="2"/>
        <v>6.9324943306715663E-4</v>
      </c>
      <c r="G5" t="s">
        <v>2</v>
      </c>
      <c r="H5">
        <f>SUM(E1:E40)</f>
        <v>0.7520647378145372</v>
      </c>
    </row>
    <row r="6" spans="1:8" x14ac:dyDescent="0.25">
      <c r="A6">
        <v>0.451047639675</v>
      </c>
      <c r="B6">
        <v>0</v>
      </c>
      <c r="C6">
        <f t="shared" si="0"/>
        <v>7.1405517901329651E-2</v>
      </c>
      <c r="D6">
        <f t="shared" si="1"/>
        <v>-7.1405517901329651E-2</v>
      </c>
      <c r="E6">
        <f t="shared" si="2"/>
        <v>5.098747986757109E-3</v>
      </c>
    </row>
    <row r="7" spans="1:8" x14ac:dyDescent="0.25">
      <c r="A7">
        <v>0.533038210525</v>
      </c>
      <c r="B7">
        <v>0</v>
      </c>
      <c r="C7">
        <f t="shared" si="0"/>
        <v>0.16284625264774033</v>
      </c>
      <c r="D7">
        <f t="shared" si="1"/>
        <v>-0.16284625264774033</v>
      </c>
      <c r="E7">
        <f t="shared" si="2"/>
        <v>2.6518902001411673E-2</v>
      </c>
    </row>
    <row r="8" spans="1:8" x14ac:dyDescent="0.25">
      <c r="A8">
        <v>0.61502878137500006</v>
      </c>
      <c r="B8">
        <v>0.1180259370029883</v>
      </c>
      <c r="C8">
        <f t="shared" si="0"/>
        <v>0.32605451438201588</v>
      </c>
      <c r="D8">
        <f t="shared" si="1"/>
        <v>-0.20802857737902758</v>
      </c>
      <c r="E8">
        <f t="shared" si="2"/>
        <v>4.3275889006342064E-2</v>
      </c>
    </row>
    <row r="9" spans="1:8" x14ac:dyDescent="0.25">
      <c r="A9">
        <v>0.697019352225</v>
      </c>
      <c r="B9">
        <v>0.5663712171766776</v>
      </c>
      <c r="C9">
        <f t="shared" si="0"/>
        <v>0.58585207639859338</v>
      </c>
      <c r="D9">
        <f t="shared" si="1"/>
        <v>-1.9480859221915781E-2</v>
      </c>
      <c r="E9">
        <f t="shared" si="2"/>
        <v>3.7950387602410113E-4</v>
      </c>
    </row>
    <row r="10" spans="1:8" x14ac:dyDescent="0.25">
      <c r="A10">
        <v>0.77900992307500005</v>
      </c>
      <c r="B10">
        <v>1.3465686448977301</v>
      </c>
      <c r="C10">
        <f t="shared" si="0"/>
        <v>0.9521736454110149</v>
      </c>
      <c r="D10">
        <f t="shared" si="1"/>
        <v>0.39439499948671519</v>
      </c>
      <c r="E10">
        <f t="shared" si="2"/>
        <v>0.15554741562012608</v>
      </c>
    </row>
    <row r="11" spans="1:8" x14ac:dyDescent="0.25">
      <c r="A11">
        <v>0.861000493925</v>
      </c>
      <c r="B11">
        <v>1.7895491097531018</v>
      </c>
      <c r="C11">
        <f t="shared" si="0"/>
        <v>1.3954724630738211</v>
      </c>
      <c r="D11">
        <f t="shared" si="1"/>
        <v>0.39407664667928066</v>
      </c>
      <c r="E11">
        <f t="shared" si="2"/>
        <v>0.15529640345798662</v>
      </c>
    </row>
    <row r="12" spans="1:8" x14ac:dyDescent="0.25">
      <c r="A12">
        <v>0.94299106477500005</v>
      </c>
      <c r="B12">
        <v>2.0700523106822817</v>
      </c>
      <c r="C12">
        <f t="shared" si="0"/>
        <v>1.8199706564780835</v>
      </c>
      <c r="D12">
        <f t="shared" si="1"/>
        <v>0.25008165420419814</v>
      </c>
      <c r="E12">
        <f t="shared" si="2"/>
        <v>6.2540833769508142E-2</v>
      </c>
    </row>
    <row r="13" spans="1:8" x14ac:dyDescent="0.25">
      <c r="A13">
        <v>1.0249816356250001</v>
      </c>
      <c r="B13">
        <v>2.1612541710936819</v>
      </c>
      <c r="C13">
        <f t="shared" si="0"/>
        <v>2.0633641299441607</v>
      </c>
      <c r="D13">
        <f t="shared" si="1"/>
        <v>9.7890041149521156E-2</v>
      </c>
      <c r="E13">
        <f t="shared" si="2"/>
        <v>9.5824601562549457E-3</v>
      </c>
    </row>
    <row r="14" spans="1:8" x14ac:dyDescent="0.25">
      <c r="A14">
        <v>1.1069722064750001</v>
      </c>
      <c r="B14">
        <v>1.6753551836917691</v>
      </c>
      <c r="C14">
        <f t="shared" si="0"/>
        <v>1.9648832262479448</v>
      </c>
      <c r="D14">
        <f t="shared" si="1"/>
        <v>-0.2895280425561757</v>
      </c>
      <c r="E14">
        <f t="shared" si="2"/>
        <v>8.382648742641069E-2</v>
      </c>
    </row>
    <row r="15" spans="1:8" x14ac:dyDescent="0.25">
      <c r="A15">
        <v>1.188962777325</v>
      </c>
      <c r="B15">
        <v>1.0913567161834763</v>
      </c>
      <c r="C15">
        <f t="shared" si="0"/>
        <v>1.5003018030514295</v>
      </c>
      <c r="D15">
        <f t="shared" si="1"/>
        <v>-0.40894508686795317</v>
      </c>
      <c r="E15">
        <f t="shared" si="2"/>
        <v>0.16723608407343776</v>
      </c>
    </row>
    <row r="16" spans="1:8" x14ac:dyDescent="0.25">
      <c r="A16">
        <v>1.2709533481749999</v>
      </c>
      <c r="B16">
        <v>0.72884848110286926</v>
      </c>
      <c r="C16">
        <f t="shared" si="0"/>
        <v>0.86507043954897589</v>
      </c>
      <c r="D16">
        <f t="shared" si="1"/>
        <v>-0.13622195844610663</v>
      </c>
      <c r="E16">
        <f t="shared" si="2"/>
        <v>1.85564219628928E-2</v>
      </c>
    </row>
    <row r="17" spans="1:5" x14ac:dyDescent="0.25">
      <c r="A17">
        <v>1.3529439190250001</v>
      </c>
      <c r="B17">
        <v>0.4828333786485885</v>
      </c>
      <c r="C17">
        <f t="shared" si="0"/>
        <v>0.34937056126993726</v>
      </c>
      <c r="D17">
        <f t="shared" si="1"/>
        <v>0.13346281737865123</v>
      </c>
      <c r="E17">
        <f t="shared" si="2"/>
        <v>1.781232362264721E-2</v>
      </c>
    </row>
    <row r="18" spans="1:5" x14ac:dyDescent="0.25">
      <c r="A18">
        <v>1.4349344898750001</v>
      </c>
      <c r="B18">
        <v>0.16401006830285386</v>
      </c>
      <c r="C18">
        <f t="shared" si="0"/>
        <v>9.0109250105528296E-2</v>
      </c>
      <c r="D18">
        <f t="shared" si="1"/>
        <v>7.3900818197325566E-2</v>
      </c>
      <c r="E18">
        <f t="shared" si="2"/>
        <v>5.4613309302341652E-3</v>
      </c>
    </row>
    <row r="19" spans="1:5" x14ac:dyDescent="0.25">
      <c r="A19">
        <v>1.516925060725</v>
      </c>
      <c r="B19">
        <v>0</v>
      </c>
      <c r="C19">
        <f t="shared" si="0"/>
        <v>1.3275086478428868E-2</v>
      </c>
      <c r="D19">
        <f t="shared" si="1"/>
        <v>-1.3275086478428868E-2</v>
      </c>
      <c r="E19">
        <f t="shared" si="2"/>
        <v>1.7622792100976497E-4</v>
      </c>
    </row>
    <row r="20" spans="1:5" x14ac:dyDescent="0.25">
      <c r="A20">
        <v>1.5989156315750002</v>
      </c>
      <c r="B20">
        <v>0</v>
      </c>
      <c r="C20">
        <f t="shared" si="0"/>
        <v>9.7791255522271118E-4</v>
      </c>
      <c r="D20">
        <f t="shared" si="1"/>
        <v>-9.7791255522271118E-4</v>
      </c>
      <c r="E20">
        <f t="shared" si="2"/>
        <v>9.5631296566221224E-7</v>
      </c>
    </row>
    <row r="21" spans="1:5" x14ac:dyDescent="0.25">
      <c r="A21">
        <v>1.6809062024250001</v>
      </c>
      <c r="B21">
        <v>0</v>
      </c>
      <c r="C21">
        <f t="shared" si="0"/>
        <v>3.0788907986675936E-5</v>
      </c>
      <c r="D21">
        <f t="shared" si="1"/>
        <v>-3.0788907986675936E-5</v>
      </c>
      <c r="E21">
        <f t="shared" si="2"/>
        <v>9.4795685501199728E-10</v>
      </c>
    </row>
    <row r="22" spans="1:5" x14ac:dyDescent="0.25">
      <c r="A22">
        <v>1.7628967732750003</v>
      </c>
      <c r="B22">
        <v>0</v>
      </c>
      <c r="C22">
        <f t="shared" si="0"/>
        <v>3.4488352931107295E-7</v>
      </c>
      <c r="D22">
        <f t="shared" si="1"/>
        <v>-3.4488352931107295E-7</v>
      </c>
      <c r="E22">
        <f t="shared" si="2"/>
        <v>1.1894464879006171E-13</v>
      </c>
    </row>
    <row r="23" spans="1:5" x14ac:dyDescent="0.25">
      <c r="A23">
        <v>1.844887344125</v>
      </c>
      <c r="B23">
        <v>0</v>
      </c>
      <c r="C23">
        <f t="shared" si="0"/>
        <v>1.1112875357232006E-9</v>
      </c>
      <c r="D23">
        <f t="shared" si="1"/>
        <v>-1.1112875357232006E-9</v>
      </c>
      <c r="E23">
        <f t="shared" si="2"/>
        <v>1.2349599870537437E-18</v>
      </c>
    </row>
    <row r="24" spans="1:5" x14ac:dyDescent="0.25">
      <c r="A24">
        <v>1.9268779149749999</v>
      </c>
      <c r="B24">
        <v>0</v>
      </c>
      <c r="C24">
        <f t="shared" si="0"/>
        <v>8.0658345207197036E-13</v>
      </c>
      <c r="D24">
        <f t="shared" si="1"/>
        <v>-8.0658345207197036E-13</v>
      </c>
      <c r="E24">
        <f t="shared" si="2"/>
        <v>6.5057686515633651E-25</v>
      </c>
    </row>
    <row r="25" spans="1:5" x14ac:dyDescent="0.25">
      <c r="A25">
        <v>2.0088684858249999</v>
      </c>
      <c r="B25">
        <v>0</v>
      </c>
      <c r="C25">
        <f t="shared" si="0"/>
        <v>9.9709143813057279E-17</v>
      </c>
      <c r="D25">
        <f t="shared" si="1"/>
        <v>-9.9709143813057279E-17</v>
      </c>
      <c r="E25">
        <f t="shared" si="2"/>
        <v>9.9419133599329385E-33</v>
      </c>
    </row>
    <row r="26" spans="1:5" x14ac:dyDescent="0.25">
      <c r="A26">
        <v>2.0908590566750003</v>
      </c>
      <c r="B26">
        <v>0</v>
      </c>
      <c r="C26">
        <f t="shared" si="0"/>
        <v>1.5279774376499739E-21</v>
      </c>
      <c r="D26">
        <f t="shared" si="1"/>
        <v>-1.5279774376499739E-21</v>
      </c>
      <c r="E26">
        <f t="shared" si="2"/>
        <v>2.3347150499673797E-42</v>
      </c>
    </row>
    <row r="27" spans="1:5" x14ac:dyDescent="0.25">
      <c r="A27">
        <v>2.1728496275250002</v>
      </c>
      <c r="B27">
        <v>0</v>
      </c>
      <c r="C27">
        <f t="shared" si="0"/>
        <v>2.0269646300476115E-27</v>
      </c>
      <c r="D27">
        <f t="shared" si="1"/>
        <v>-2.0269646300476115E-27</v>
      </c>
      <c r="E27">
        <f t="shared" si="2"/>
        <v>4.1085856114640503E-54</v>
      </c>
    </row>
    <row r="28" spans="1:5" x14ac:dyDescent="0.25">
      <c r="A28">
        <v>2.2548401983750006</v>
      </c>
      <c r="B28">
        <v>0</v>
      </c>
      <c r="C28">
        <f t="shared" si="0"/>
        <v>1.55420744552341E-34</v>
      </c>
      <c r="D28">
        <f t="shared" si="1"/>
        <v>-1.55420744552341E-34</v>
      </c>
      <c r="E28">
        <f t="shared" si="2"/>
        <v>2.4155607837204032E-68</v>
      </c>
    </row>
    <row r="29" spans="1:5" x14ac:dyDescent="0.25">
      <c r="A29">
        <v>2.3368307692250001</v>
      </c>
      <c r="B29">
        <v>0</v>
      </c>
      <c r="C29">
        <f t="shared" si="0"/>
        <v>4.3821255420298643E-43</v>
      </c>
      <c r="D29">
        <f t="shared" si="1"/>
        <v>-4.3821255420298643E-43</v>
      </c>
      <c r="E29">
        <f t="shared" si="2"/>
        <v>1.9203024266110531E-85</v>
      </c>
    </row>
    <row r="30" spans="1:5" x14ac:dyDescent="0.25">
      <c r="A30">
        <v>2.4188213400749996</v>
      </c>
      <c r="B30">
        <v>0</v>
      </c>
      <c r="C30">
        <f t="shared" si="0"/>
        <v>2.7437483095174837E-53</v>
      </c>
      <c r="D30">
        <f t="shared" si="1"/>
        <v>-2.7437483095174837E-53</v>
      </c>
      <c r="E30">
        <f t="shared" si="2"/>
        <v>7.5281547859800494E-106</v>
      </c>
    </row>
    <row r="31" spans="1:5" x14ac:dyDescent="0.25">
      <c r="A31">
        <v>2.500811910925</v>
      </c>
      <c r="B31">
        <v>0</v>
      </c>
      <c r="C31">
        <f t="shared" si="0"/>
        <v>2.178650774480174E-65</v>
      </c>
      <c r="D31">
        <f t="shared" si="1"/>
        <v>-2.178650774480174E-65</v>
      </c>
      <c r="E31">
        <f t="shared" si="2"/>
        <v>4.7465191971430616E-130</v>
      </c>
    </row>
    <row r="32" spans="1:5" x14ac:dyDescent="0.25">
      <c r="A32">
        <v>2.5828024817750004</v>
      </c>
      <c r="B32">
        <v>0</v>
      </c>
      <c r="C32">
        <f t="shared" si="0"/>
        <v>1.1801136809849119E-79</v>
      </c>
      <c r="D32">
        <f t="shared" si="1"/>
        <v>-1.1801136809849119E-79</v>
      </c>
      <c r="E32">
        <f t="shared" si="2"/>
        <v>1.3926683000477584E-158</v>
      </c>
    </row>
    <row r="33" spans="1:5" x14ac:dyDescent="0.25">
      <c r="A33">
        <v>2.6647930526249999</v>
      </c>
      <c r="B33">
        <v>0</v>
      </c>
      <c r="C33">
        <f t="shared" si="0"/>
        <v>2.2003427472500627E-96</v>
      </c>
      <c r="D33">
        <f t="shared" si="1"/>
        <v>-2.2003427472500627E-96</v>
      </c>
      <c r="E33">
        <f t="shared" si="2"/>
        <v>4.841508205375953E-192</v>
      </c>
    </row>
    <row r="34" spans="1:5" x14ac:dyDescent="0.25">
      <c r="A34">
        <v>2.7467836234750003</v>
      </c>
      <c r="B34">
        <v>0</v>
      </c>
      <c r="C34">
        <f t="shared" si="0"/>
        <v>6.6560008711758198E-116</v>
      </c>
      <c r="D34">
        <f t="shared" si="1"/>
        <v>-6.6560008711758198E-116</v>
      </c>
      <c r="E34">
        <f t="shared" si="2"/>
        <v>4.4302347597093273E-231</v>
      </c>
    </row>
    <row r="35" spans="1:5" x14ac:dyDescent="0.25">
      <c r="A35">
        <v>2.8287741943250002</v>
      </c>
      <c r="B35">
        <v>0</v>
      </c>
      <c r="C35">
        <f t="shared" si="0"/>
        <v>1.4318891680391912E-138</v>
      </c>
      <c r="D35">
        <f t="shared" si="1"/>
        <v>-1.4318891680391912E-138</v>
      </c>
      <c r="E35">
        <f t="shared" si="2"/>
        <v>2.0503065895479671E-276</v>
      </c>
    </row>
    <row r="36" spans="1:5" x14ac:dyDescent="0.25">
      <c r="A36">
        <v>2.9107647651750002</v>
      </c>
      <c r="B36">
        <v>0</v>
      </c>
      <c r="C36">
        <f t="shared" si="0"/>
        <v>8.8905220231300717E-165</v>
      </c>
      <c r="D36">
        <f t="shared" si="1"/>
        <v>-8.8905220231300717E-165</v>
      </c>
      <c r="E36">
        <f t="shared" si="2"/>
        <v>0</v>
      </c>
    </row>
    <row r="37" spans="1:5" x14ac:dyDescent="0.25">
      <c r="A37">
        <v>2.9927553360250001</v>
      </c>
      <c r="B37">
        <v>0</v>
      </c>
      <c r="C37">
        <f t="shared" si="0"/>
        <v>5.9584221622127134E-195</v>
      </c>
      <c r="D37">
        <f t="shared" si="1"/>
        <v>-5.9584221622127134E-195</v>
      </c>
      <c r="E37">
        <f t="shared" si="2"/>
        <v>0</v>
      </c>
    </row>
    <row r="38" spans="1:5" x14ac:dyDescent="0.25">
      <c r="A38">
        <v>3.074745906875</v>
      </c>
      <c r="B38">
        <v>0</v>
      </c>
      <c r="C38">
        <f t="shared" si="0"/>
        <v>1.4785137654664811E-229</v>
      </c>
      <c r="D38">
        <f t="shared" si="1"/>
        <v>-1.4785137654664811E-229</v>
      </c>
      <c r="E38">
        <f t="shared" si="2"/>
        <v>0</v>
      </c>
    </row>
    <row r="39" spans="1:5" x14ac:dyDescent="0.25">
      <c r="A39">
        <v>3.156736477725</v>
      </c>
      <c r="B39">
        <v>0</v>
      </c>
      <c r="C39">
        <f t="shared" si="0"/>
        <v>4.2522449647723901E-269</v>
      </c>
      <c r="D39">
        <f t="shared" si="1"/>
        <v>-4.2522449647723901E-269</v>
      </c>
      <c r="E39">
        <f t="shared" si="2"/>
        <v>0</v>
      </c>
    </row>
    <row r="40" spans="1:5" x14ac:dyDescent="0.25">
      <c r="A40">
        <v>3.2387270485749999</v>
      </c>
      <c r="B40">
        <v>7.6640218833109281E-4</v>
      </c>
      <c r="C40">
        <f t="shared" si="0"/>
        <v>0</v>
      </c>
      <c r="D40">
        <f t="shared" si="1"/>
        <v>7.6640218833109281E-4</v>
      </c>
      <c r="E40">
        <f t="shared" si="2"/>
        <v>5.8737231427868784E-7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77C8-B6B6-4473-A568-534F7E2AC5D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4.056294835000001E-2</v>
      </c>
      <c r="B1">
        <v>1.3157448410586931E-2</v>
      </c>
      <c r="C1">
        <f>$H$3*(1+$H$1)*(A1^($H$1))*EXP(-$H$3*(A1^(1+$H$1)))</f>
        <v>6.3669398178674452E-9</v>
      </c>
      <c r="D1">
        <f>B1-C1</f>
        <v>1.3157442043647114E-2</v>
      </c>
      <c r="E1">
        <f>D1^2</f>
        <v>1.7311828113193275E-4</v>
      </c>
      <c r="G1" t="s">
        <v>0</v>
      </c>
      <c r="H1">
        <v>6.3641499384628846</v>
      </c>
    </row>
    <row r="2" spans="1:8" x14ac:dyDescent="0.25">
      <c r="A2">
        <v>0.12167562505000003</v>
      </c>
      <c r="B2">
        <v>0</v>
      </c>
      <c r="C2">
        <f t="shared" ref="C2:C40" si="0">$H$3*(1+$H$1)*(A2^($H$1))*EXP(-$H$3*(A2^(1+$H$1)))</f>
        <v>6.9199286609591096E-6</v>
      </c>
      <c r="D2">
        <f t="shared" ref="D2:D40" si="1">B2-C2</f>
        <v>-6.9199286609591096E-6</v>
      </c>
      <c r="E2">
        <f t="shared" ref="E2:E40" si="2">D2^2</f>
        <v>4.7885412672763334E-11</v>
      </c>
    </row>
    <row r="3" spans="1:8" x14ac:dyDescent="0.25">
      <c r="A3">
        <v>0.20278830175000001</v>
      </c>
      <c r="B3">
        <v>0</v>
      </c>
      <c r="C3">
        <f t="shared" si="0"/>
        <v>1.7861510232900817E-4</v>
      </c>
      <c r="D3">
        <f t="shared" si="1"/>
        <v>-1.7861510232900817E-4</v>
      </c>
      <c r="E3">
        <f t="shared" si="2"/>
        <v>3.190335478000206E-8</v>
      </c>
      <c r="G3" t="s">
        <v>1</v>
      </c>
      <c r="H3">
        <f>(_xlfn.GAMMA((2+$H$1)/(1+$H$1)))^(1+$H$1)</f>
        <v>0.62356335778042693</v>
      </c>
    </row>
    <row r="4" spans="1:8" x14ac:dyDescent="0.25">
      <c r="A4">
        <v>0.28390097845000001</v>
      </c>
      <c r="B4">
        <v>0</v>
      </c>
      <c r="C4">
        <f t="shared" si="0"/>
        <v>1.5200219192052194E-3</v>
      </c>
      <c r="D4">
        <f t="shared" si="1"/>
        <v>-1.5200219192052194E-3</v>
      </c>
      <c r="E4">
        <f t="shared" si="2"/>
        <v>2.3104666348643184E-6</v>
      </c>
    </row>
    <row r="5" spans="1:8" x14ac:dyDescent="0.25">
      <c r="A5">
        <v>0.36501365515000006</v>
      </c>
      <c r="B5">
        <v>0</v>
      </c>
      <c r="C5">
        <f t="shared" si="0"/>
        <v>7.5216097400672725E-3</v>
      </c>
      <c r="D5">
        <f t="shared" si="1"/>
        <v>-7.5216097400672725E-3</v>
      </c>
      <c r="E5">
        <f t="shared" si="2"/>
        <v>5.6574613081874863E-5</v>
      </c>
      <c r="G5" t="s">
        <v>2</v>
      </c>
      <c r="H5">
        <f>SUM(E1:E40)</f>
        <v>0.97681721149138134</v>
      </c>
    </row>
    <row r="6" spans="1:8" x14ac:dyDescent="0.25">
      <c r="A6">
        <v>0.44612633185</v>
      </c>
      <c r="B6">
        <v>0</v>
      </c>
      <c r="C6">
        <f t="shared" si="0"/>
        <v>2.6939561194073133E-2</v>
      </c>
      <c r="D6">
        <f t="shared" si="1"/>
        <v>-2.6939561194073133E-2</v>
      </c>
      <c r="E6">
        <f t="shared" si="2"/>
        <v>7.2573995732921111E-4</v>
      </c>
    </row>
    <row r="7" spans="1:8" x14ac:dyDescent="0.25">
      <c r="A7">
        <v>0.52723900855000005</v>
      </c>
      <c r="B7">
        <v>0</v>
      </c>
      <c r="C7">
        <f t="shared" si="0"/>
        <v>7.7694119159975483E-2</v>
      </c>
      <c r="D7">
        <f t="shared" si="1"/>
        <v>-7.7694119159975483E-2</v>
      </c>
      <c r="E7">
        <f t="shared" si="2"/>
        <v>6.0363761520444694E-3</v>
      </c>
    </row>
    <row r="8" spans="1:8" x14ac:dyDescent="0.25">
      <c r="A8">
        <v>0.60835168525000005</v>
      </c>
      <c r="B8">
        <v>0</v>
      </c>
      <c r="C8">
        <f t="shared" si="0"/>
        <v>0.19114494529067008</v>
      </c>
      <c r="D8">
        <f t="shared" si="1"/>
        <v>-0.19114494529067008</v>
      </c>
      <c r="E8">
        <f t="shared" si="2"/>
        <v>3.6536390110173261E-2</v>
      </c>
    </row>
    <row r="9" spans="1:8" x14ac:dyDescent="0.25">
      <c r="A9">
        <v>0.68946436195000005</v>
      </c>
      <c r="B9">
        <v>0.19581379105167609</v>
      </c>
      <c r="C9">
        <f t="shared" si="0"/>
        <v>0.41376329403728868</v>
      </c>
      <c r="D9">
        <f t="shared" si="1"/>
        <v>-0.21794950298561258</v>
      </c>
      <c r="E9">
        <f t="shared" si="2"/>
        <v>4.7501985851675546E-2</v>
      </c>
    </row>
    <row r="10" spans="1:8" x14ac:dyDescent="0.25">
      <c r="A10">
        <v>0.77057703864999993</v>
      </c>
      <c r="B10">
        <v>0.91095981054475395</v>
      </c>
      <c r="C10">
        <f t="shared" si="0"/>
        <v>0.79790235848819846</v>
      </c>
      <c r="D10">
        <f t="shared" si="1"/>
        <v>0.11305745205655549</v>
      </c>
      <c r="E10">
        <f t="shared" si="2"/>
        <v>1.2781987465520343E-2</v>
      </c>
    </row>
    <row r="11" spans="1:8" x14ac:dyDescent="0.25">
      <c r="A11">
        <v>0.85168971535000004</v>
      </c>
      <c r="B11">
        <v>1.9442064945526099</v>
      </c>
      <c r="C11">
        <f t="shared" si="0"/>
        <v>1.3654360826902856</v>
      </c>
      <c r="D11">
        <f t="shared" si="1"/>
        <v>0.57877041186232425</v>
      </c>
      <c r="E11">
        <f t="shared" si="2"/>
        <v>0.33497518964728445</v>
      </c>
    </row>
    <row r="12" spans="1:8" x14ac:dyDescent="0.25">
      <c r="A12">
        <v>0.93280239205000015</v>
      </c>
      <c r="B12">
        <v>2.4325800208514541</v>
      </c>
      <c r="C12">
        <f t="shared" si="0"/>
        <v>2.0299602485870754</v>
      </c>
      <c r="D12">
        <f t="shared" si="1"/>
        <v>0.40261977226437873</v>
      </c>
      <c r="E12">
        <f t="shared" si="2"/>
        <v>0.1621026810182202</v>
      </c>
    </row>
    <row r="13" spans="1:8" x14ac:dyDescent="0.25">
      <c r="A13">
        <v>1.01391506875</v>
      </c>
      <c r="B13">
        <v>2.6067227204033401</v>
      </c>
      <c r="C13">
        <f t="shared" si="0"/>
        <v>2.5140712745867</v>
      </c>
      <c r="D13">
        <f t="shared" si="1"/>
        <v>9.2651445816640088E-2</v>
      </c>
      <c r="E13">
        <f t="shared" si="2"/>
        <v>8.5842904119137944E-3</v>
      </c>
    </row>
    <row r="14" spans="1:8" x14ac:dyDescent="0.25">
      <c r="A14">
        <v>1.0950277454499999</v>
      </c>
      <c r="B14">
        <v>2.0246991201232594</v>
      </c>
      <c r="C14">
        <f t="shared" si="0"/>
        <v>2.42364214452058</v>
      </c>
      <c r="D14">
        <f t="shared" si="1"/>
        <v>-0.39894302439732066</v>
      </c>
      <c r="E14">
        <f t="shared" si="2"/>
        <v>0.15915553671528118</v>
      </c>
    </row>
    <row r="15" spans="1:8" x14ac:dyDescent="0.25">
      <c r="A15">
        <v>1.17614042215</v>
      </c>
      <c r="B15">
        <v>1.2159030266489452</v>
      </c>
      <c r="C15">
        <f t="shared" si="0"/>
        <v>1.644392847531684</v>
      </c>
      <c r="D15">
        <f t="shared" si="1"/>
        <v>-0.42848982088273879</v>
      </c>
      <c r="E15">
        <f t="shared" si="2"/>
        <v>0.18360352660012158</v>
      </c>
    </row>
    <row r="16" spans="1:8" x14ac:dyDescent="0.25">
      <c r="A16">
        <v>1.2572530988500001</v>
      </c>
      <c r="B16">
        <v>0.68573525245764821</v>
      </c>
      <c r="C16">
        <f t="shared" si="0"/>
        <v>0.68099479667538543</v>
      </c>
      <c r="D16">
        <f t="shared" si="1"/>
        <v>4.7404557822627869E-3</v>
      </c>
      <c r="E16">
        <f t="shared" si="2"/>
        <v>2.247192102358869E-5</v>
      </c>
    </row>
    <row r="17" spans="1:5" x14ac:dyDescent="0.25">
      <c r="A17">
        <v>1.3383657755500002</v>
      </c>
      <c r="B17">
        <v>0.29797750812211576</v>
      </c>
      <c r="C17">
        <f t="shared" si="0"/>
        <v>0.14168331061846251</v>
      </c>
      <c r="D17">
        <f t="shared" si="1"/>
        <v>0.15629419750365325</v>
      </c>
      <c r="E17">
        <f t="shared" si="2"/>
        <v>2.4427876173310971E-2</v>
      </c>
    </row>
    <row r="18" spans="1:5" x14ac:dyDescent="0.25">
      <c r="A18">
        <v>1.4194784522499999</v>
      </c>
      <c r="B18">
        <v>0</v>
      </c>
      <c r="C18">
        <f t="shared" si="0"/>
        <v>1.1421934233861409E-2</v>
      </c>
      <c r="D18">
        <f t="shared" si="1"/>
        <v>-1.1421934233861409E-2</v>
      </c>
      <c r="E18">
        <f t="shared" si="2"/>
        <v>1.3046058164265523E-4</v>
      </c>
    </row>
    <row r="19" spans="1:5" x14ac:dyDescent="0.25">
      <c r="A19">
        <v>1.50059112895</v>
      </c>
      <c r="B19">
        <v>0</v>
      </c>
      <c r="C19">
        <f t="shared" si="0"/>
        <v>2.5406094150402905E-4</v>
      </c>
      <c r="D19">
        <f t="shared" si="1"/>
        <v>-2.5406094150402905E-4</v>
      </c>
      <c r="E19">
        <f t="shared" si="2"/>
        <v>6.4546961997913675E-8</v>
      </c>
    </row>
    <row r="20" spans="1:5" x14ac:dyDescent="0.25">
      <c r="A20">
        <v>1.5817038056500001</v>
      </c>
      <c r="B20">
        <v>0</v>
      </c>
      <c r="C20">
        <f t="shared" si="0"/>
        <v>1.0076169842021909E-6</v>
      </c>
      <c r="D20">
        <f t="shared" si="1"/>
        <v>-1.0076169842021909E-6</v>
      </c>
      <c r="E20">
        <f t="shared" si="2"/>
        <v>1.0152919868527182E-12</v>
      </c>
    </row>
    <row r="21" spans="1:5" x14ac:dyDescent="0.25">
      <c r="A21">
        <v>1.66281648235</v>
      </c>
      <c r="B21">
        <v>0</v>
      </c>
      <c r="C21">
        <f t="shared" si="0"/>
        <v>4.097099472692057E-10</v>
      </c>
      <c r="D21">
        <f t="shared" si="1"/>
        <v>-4.097099472692057E-10</v>
      </c>
      <c r="E21">
        <f t="shared" si="2"/>
        <v>1.6786224089133532E-19</v>
      </c>
    </row>
    <row r="22" spans="1:5" x14ac:dyDescent="0.25">
      <c r="A22">
        <v>1.7439291590500003</v>
      </c>
      <c r="B22">
        <v>0</v>
      </c>
      <c r="C22">
        <f t="shared" si="0"/>
        <v>8.5443451438337798E-15</v>
      </c>
      <c r="D22">
        <f t="shared" si="1"/>
        <v>-8.5443451438337798E-15</v>
      </c>
      <c r="E22">
        <f t="shared" si="2"/>
        <v>7.3005833936955897E-29</v>
      </c>
    </row>
    <row r="23" spans="1:5" x14ac:dyDescent="0.25">
      <c r="A23">
        <v>1.82504183575</v>
      </c>
      <c r="B23">
        <v>0</v>
      </c>
      <c r="C23">
        <f t="shared" si="0"/>
        <v>3.8781163061331453E-21</v>
      </c>
      <c r="D23">
        <f t="shared" si="1"/>
        <v>-3.8781163061331453E-21</v>
      </c>
      <c r="E23">
        <f t="shared" si="2"/>
        <v>1.5039786083895791E-41</v>
      </c>
    </row>
    <row r="24" spans="1:5" x14ac:dyDescent="0.25">
      <c r="A24">
        <v>1.9061545124499999</v>
      </c>
      <c r="B24">
        <v>0</v>
      </c>
      <c r="C24">
        <f t="shared" si="0"/>
        <v>1.3402236384815167E-29</v>
      </c>
      <c r="D24">
        <f t="shared" si="1"/>
        <v>-1.3402236384815167E-29</v>
      </c>
      <c r="E24">
        <f t="shared" si="2"/>
        <v>1.796199401144635E-58</v>
      </c>
    </row>
    <row r="25" spans="1:5" x14ac:dyDescent="0.25">
      <c r="A25">
        <v>1.9872671891499998</v>
      </c>
      <c r="B25">
        <v>0</v>
      </c>
      <c r="C25">
        <f t="shared" si="0"/>
        <v>9.8531085669559558E-41</v>
      </c>
      <c r="D25">
        <f t="shared" si="1"/>
        <v>-9.8531085669559558E-41</v>
      </c>
      <c r="E25">
        <f t="shared" si="2"/>
        <v>9.7083748432220853E-81</v>
      </c>
    </row>
    <row r="26" spans="1:5" x14ac:dyDescent="0.25">
      <c r="A26">
        <v>2.0683798658499999</v>
      </c>
      <c r="B26">
        <v>0</v>
      </c>
      <c r="C26">
        <f t="shared" si="0"/>
        <v>3.3193027593701188E-55</v>
      </c>
      <c r="D26">
        <f t="shared" si="1"/>
        <v>-3.3193027593701188E-55</v>
      </c>
      <c r="E26">
        <f t="shared" si="2"/>
        <v>1.1017770808362085E-109</v>
      </c>
    </row>
    <row r="27" spans="1:5" x14ac:dyDescent="0.25">
      <c r="A27">
        <v>2.1494925425500004</v>
      </c>
      <c r="B27">
        <v>0</v>
      </c>
      <c r="C27">
        <f t="shared" si="0"/>
        <v>8.1825093728347249E-74</v>
      </c>
      <c r="D27">
        <f t="shared" si="1"/>
        <v>-8.1825093728347249E-74</v>
      </c>
      <c r="E27">
        <f t="shared" si="2"/>
        <v>6.6953459636528117E-147</v>
      </c>
    </row>
    <row r="28" spans="1:5" x14ac:dyDescent="0.25">
      <c r="A28">
        <v>2.2306052192500001</v>
      </c>
      <c r="B28">
        <v>0</v>
      </c>
      <c r="C28">
        <f t="shared" si="0"/>
        <v>1.6739758037599217E-97</v>
      </c>
      <c r="D28">
        <f t="shared" si="1"/>
        <v>-1.6739758037599217E-97</v>
      </c>
      <c r="E28">
        <f t="shared" si="2"/>
        <v>2.8021949915736759E-194</v>
      </c>
    </row>
    <row r="29" spans="1:5" x14ac:dyDescent="0.25">
      <c r="A29">
        <v>2.3117178959500002</v>
      </c>
      <c r="B29">
        <v>0</v>
      </c>
      <c r="C29">
        <f t="shared" si="0"/>
        <v>2.1835502433031271E-127</v>
      </c>
      <c r="D29">
        <f t="shared" si="1"/>
        <v>-2.1835502433031271E-127</v>
      </c>
      <c r="E29">
        <f t="shared" si="2"/>
        <v>4.7678916650291457E-254</v>
      </c>
    </row>
    <row r="30" spans="1:5" x14ac:dyDescent="0.25">
      <c r="A30">
        <v>2.3928305726499999</v>
      </c>
      <c r="B30">
        <v>0</v>
      </c>
      <c r="C30">
        <f t="shared" si="0"/>
        <v>8.9767322766724836E-165</v>
      </c>
      <c r="D30">
        <f t="shared" si="1"/>
        <v>-8.9767322766724836E-165</v>
      </c>
      <c r="E30">
        <f t="shared" si="2"/>
        <v>0</v>
      </c>
    </row>
    <row r="31" spans="1:5" x14ac:dyDescent="0.25">
      <c r="A31">
        <v>2.47394324935</v>
      </c>
      <c r="B31">
        <v>0</v>
      </c>
      <c r="C31">
        <f t="shared" si="0"/>
        <v>3.4965837742341763E-211</v>
      </c>
      <c r="D31">
        <f t="shared" si="1"/>
        <v>-3.4965837742341763E-211</v>
      </c>
      <c r="E31">
        <f t="shared" si="2"/>
        <v>0</v>
      </c>
    </row>
    <row r="32" spans="1:5" x14ac:dyDescent="0.25">
      <c r="A32">
        <v>2.5550559260500005</v>
      </c>
      <c r="B32">
        <v>0</v>
      </c>
      <c r="C32">
        <f t="shared" si="0"/>
        <v>2.219606588089234E-268</v>
      </c>
      <c r="D32">
        <f t="shared" si="1"/>
        <v>-2.219606588089234E-268</v>
      </c>
      <c r="E32">
        <f t="shared" si="2"/>
        <v>0</v>
      </c>
    </row>
    <row r="33" spans="1:5" x14ac:dyDescent="0.25">
      <c r="A33">
        <v>2.6361686027500002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2.7172812794499999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2.79839395615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2.8795066328500001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2.9606193095500002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3.0417319862500003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3.12284466295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3.2039573396500001</v>
      </c>
      <c r="B40">
        <v>7.7396755356393706E-4</v>
      </c>
      <c r="C40">
        <f t="shared" si="0"/>
        <v>0</v>
      </c>
      <c r="D40">
        <f t="shared" si="1"/>
        <v>7.7396755356393706E-4</v>
      </c>
      <c r="E40">
        <f t="shared" si="2"/>
        <v>5.9902577396974579E-7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5845-D7A6-432B-A960-3BE1316CA7D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4.016218030000001E-2</v>
      </c>
      <c r="B1">
        <v>1.1726853105830331E-2</v>
      </c>
      <c r="C1">
        <f>$H$3*(1+$H$1)*(A1^($H$1))*EXP(-$H$3*(A1^(1+$H$1)))</f>
        <v>6.3806481594820615E-13</v>
      </c>
      <c r="D1">
        <f>B1-C1</f>
        <v>1.1726853105192267E-2</v>
      </c>
      <c r="E1">
        <f>D1^2</f>
        <v>1.375190837507575E-4</v>
      </c>
      <c r="G1" t="s">
        <v>0</v>
      </c>
      <c r="H1">
        <v>9.304369860373221</v>
      </c>
    </row>
    <row r="2" spans="1:8" x14ac:dyDescent="0.25">
      <c r="A2">
        <v>0.12047332090000003</v>
      </c>
      <c r="B2">
        <v>0</v>
      </c>
      <c r="C2">
        <f t="shared" ref="C2:C40" si="0">$H$3*(1+$H$1)*(A2^($H$1))*EXP(-$H$3*(A2^(1+$H$1)))</f>
        <v>1.7528067111821112E-8</v>
      </c>
      <c r="D2">
        <f t="shared" ref="D2:D40" si="1">B2-C2</f>
        <v>-1.7528067111821112E-8</v>
      </c>
      <c r="E2">
        <f t="shared" ref="E2:E40" si="2">D2^2</f>
        <v>3.0723313667650489E-16</v>
      </c>
    </row>
    <row r="3" spans="1:8" x14ac:dyDescent="0.25">
      <c r="A3">
        <v>0.20078446150000001</v>
      </c>
      <c r="B3">
        <v>0</v>
      </c>
      <c r="C3">
        <f t="shared" si="0"/>
        <v>2.0314593925558675E-6</v>
      </c>
      <c r="D3">
        <f t="shared" si="1"/>
        <v>-2.0314593925558675E-6</v>
      </c>
      <c r="E3">
        <f t="shared" si="2"/>
        <v>4.1268272636034546E-12</v>
      </c>
      <c r="G3" t="s">
        <v>1</v>
      </c>
      <c r="H3">
        <f>(_xlfn.GAMMA((2+$H$1)/(1+$H$1)))^(1+$H$1)</f>
        <v>0.60595973152068727</v>
      </c>
    </row>
    <row r="4" spans="1:8" x14ac:dyDescent="0.25">
      <c r="A4">
        <v>0.28109560210000001</v>
      </c>
      <c r="B4">
        <v>0</v>
      </c>
      <c r="C4">
        <f t="shared" si="0"/>
        <v>4.6494212333193677E-5</v>
      </c>
      <c r="D4">
        <f t="shared" si="1"/>
        <v>-4.6494212333193677E-5</v>
      </c>
      <c r="E4">
        <f t="shared" si="2"/>
        <v>2.1617117804840988E-9</v>
      </c>
    </row>
    <row r="5" spans="1:8" x14ac:dyDescent="0.25">
      <c r="A5">
        <v>0.36140674270000006</v>
      </c>
      <c r="B5">
        <v>0</v>
      </c>
      <c r="C5">
        <f t="shared" si="0"/>
        <v>4.8182740971870096E-4</v>
      </c>
      <c r="D5">
        <f t="shared" si="1"/>
        <v>-4.8182740971870096E-4</v>
      </c>
      <c r="E5">
        <f t="shared" si="2"/>
        <v>2.3215765275623294E-7</v>
      </c>
      <c r="G5" t="s">
        <v>2</v>
      </c>
      <c r="H5">
        <f>SUM(E1:E40)</f>
        <v>1.5044095959327302</v>
      </c>
    </row>
    <row r="6" spans="1:8" x14ac:dyDescent="0.25">
      <c r="A6">
        <v>0.4417178833</v>
      </c>
      <c r="B6">
        <v>0</v>
      </c>
      <c r="C6">
        <f t="shared" si="0"/>
        <v>3.1167706095324718E-3</v>
      </c>
      <c r="D6">
        <f t="shared" si="1"/>
        <v>-3.1167706095324718E-3</v>
      </c>
      <c r="E6">
        <f t="shared" si="2"/>
        <v>9.7142590324454164E-6</v>
      </c>
    </row>
    <row r="7" spans="1:8" x14ac:dyDescent="0.25">
      <c r="A7">
        <v>0.52202902390000006</v>
      </c>
      <c r="B7">
        <v>0</v>
      </c>
      <c r="C7">
        <f t="shared" si="0"/>
        <v>1.4738975074450969E-2</v>
      </c>
      <c r="D7">
        <f t="shared" si="1"/>
        <v>-1.4738975074450969E-2</v>
      </c>
      <c r="E7">
        <f t="shared" si="2"/>
        <v>2.1723738624528696E-4</v>
      </c>
    </row>
    <row r="8" spans="1:8" x14ac:dyDescent="0.25">
      <c r="A8">
        <v>0.60234016450000005</v>
      </c>
      <c r="B8">
        <v>0</v>
      </c>
      <c r="C8">
        <f t="shared" si="0"/>
        <v>5.566910349295618E-2</v>
      </c>
      <c r="D8">
        <f t="shared" si="1"/>
        <v>-5.566910349295618E-2</v>
      </c>
      <c r="E8">
        <f t="shared" si="2"/>
        <v>3.099049083709466E-3</v>
      </c>
    </row>
    <row r="9" spans="1:8" x14ac:dyDescent="0.25">
      <c r="A9">
        <v>0.68265130510000005</v>
      </c>
      <c r="B9">
        <v>0</v>
      </c>
      <c r="C9">
        <f t="shared" si="0"/>
        <v>0.17686476688003336</v>
      </c>
      <c r="D9">
        <f t="shared" si="1"/>
        <v>-0.17686476688003336</v>
      </c>
      <c r="E9">
        <f t="shared" si="2"/>
        <v>3.1281145763528542E-2</v>
      </c>
    </row>
    <row r="10" spans="1:8" x14ac:dyDescent="0.25">
      <c r="A10">
        <v>0.76296244569999994</v>
      </c>
      <c r="B10">
        <v>0.17981174762273175</v>
      </c>
      <c r="C10">
        <f t="shared" si="0"/>
        <v>0.48532406606467982</v>
      </c>
      <c r="D10">
        <f t="shared" si="1"/>
        <v>-0.30551231844194804</v>
      </c>
      <c r="E10">
        <f t="shared" si="2"/>
        <v>9.3337776719774265E-2</v>
      </c>
    </row>
    <row r="11" spans="1:8" x14ac:dyDescent="0.25">
      <c r="A11">
        <v>0.84327358630000004</v>
      </c>
      <c r="B11">
        <v>1.4252035474619129</v>
      </c>
      <c r="C11">
        <f t="shared" si="0"/>
        <v>1.1513697430578391</v>
      </c>
      <c r="D11">
        <f t="shared" si="1"/>
        <v>0.27383380440407379</v>
      </c>
      <c r="E11">
        <f t="shared" si="2"/>
        <v>7.4984952434408544E-2</v>
      </c>
    </row>
    <row r="12" spans="1:8" x14ac:dyDescent="0.25">
      <c r="A12">
        <v>0.92358472690000015</v>
      </c>
      <c r="B12">
        <v>3.1310697792566988</v>
      </c>
      <c r="C12">
        <f t="shared" si="0"/>
        <v>2.2816032178371133</v>
      </c>
      <c r="D12">
        <f t="shared" si="1"/>
        <v>0.84946656141958554</v>
      </c>
      <c r="E12">
        <f t="shared" si="2"/>
        <v>0.72159343897001449</v>
      </c>
    </row>
    <row r="13" spans="1:8" x14ac:dyDescent="0.25">
      <c r="A13">
        <v>1.0038958675</v>
      </c>
      <c r="B13">
        <v>3.5954531622475798</v>
      </c>
      <c r="C13">
        <f t="shared" si="0"/>
        <v>3.4455141805814264</v>
      </c>
      <c r="D13">
        <f t="shared" si="1"/>
        <v>0.14993898166615338</v>
      </c>
      <c r="E13">
        <f t="shared" si="2"/>
        <v>2.2481698223083081E-2</v>
      </c>
    </row>
    <row r="14" spans="1:8" x14ac:dyDescent="0.25">
      <c r="A14">
        <v>1.0842070080999999</v>
      </c>
      <c r="B14">
        <v>2.5845984245250051</v>
      </c>
      <c r="C14">
        <f t="shared" si="0"/>
        <v>3.2867703399278549</v>
      </c>
      <c r="D14">
        <f t="shared" si="1"/>
        <v>-0.70217191540284984</v>
      </c>
      <c r="E14">
        <f t="shared" si="2"/>
        <v>0.4930453987805069</v>
      </c>
    </row>
    <row r="15" spans="1:8" x14ac:dyDescent="0.25">
      <c r="A15">
        <v>1.1645181487</v>
      </c>
      <c r="B15">
        <v>1.2102112405216903</v>
      </c>
      <c r="C15">
        <f t="shared" si="0"/>
        <v>1.4018181782213701</v>
      </c>
      <c r="D15">
        <f t="shared" si="1"/>
        <v>-0.19160693769967985</v>
      </c>
      <c r="E15">
        <f t="shared" si="2"/>
        <v>3.6713218574648994E-2</v>
      </c>
    </row>
    <row r="16" spans="1:8" x14ac:dyDescent="0.25">
      <c r="A16">
        <v>1.2448292893000001</v>
      </c>
      <c r="B16">
        <v>0.31271608282214219</v>
      </c>
      <c r="C16">
        <f t="shared" si="0"/>
        <v>0.1468678340296575</v>
      </c>
      <c r="D16">
        <f t="shared" si="1"/>
        <v>0.16584824879248469</v>
      </c>
      <c r="E16">
        <f t="shared" si="2"/>
        <v>2.7505641627533901E-2</v>
      </c>
    </row>
    <row r="17" spans="1:5" x14ac:dyDescent="0.25">
      <c r="A17">
        <v>1.3251404299000002</v>
      </c>
      <c r="B17">
        <v>0</v>
      </c>
      <c r="C17">
        <f t="shared" si="0"/>
        <v>1.3998239220824914E-3</v>
      </c>
      <c r="D17">
        <f t="shared" si="1"/>
        <v>-1.3998239220824914E-3</v>
      </c>
      <c r="E17">
        <f t="shared" si="2"/>
        <v>1.9595070128344093E-6</v>
      </c>
    </row>
    <row r="18" spans="1:5" x14ac:dyDescent="0.25">
      <c r="A18">
        <v>1.4054515704999999</v>
      </c>
      <c r="B18">
        <v>0</v>
      </c>
      <c r="C18">
        <f t="shared" si="0"/>
        <v>2.4726443140247351E-7</v>
      </c>
      <c r="D18">
        <f t="shared" si="1"/>
        <v>-2.4726443140247351E-7</v>
      </c>
      <c r="E18">
        <f t="shared" si="2"/>
        <v>6.1139699036788524E-14</v>
      </c>
    </row>
    <row r="19" spans="1:5" x14ac:dyDescent="0.25">
      <c r="A19">
        <v>1.4857627111</v>
      </c>
      <c r="B19">
        <v>0</v>
      </c>
      <c r="C19">
        <f t="shared" si="0"/>
        <v>6.8168157878560561E-14</v>
      </c>
      <c r="D19">
        <f t="shared" si="1"/>
        <v>-6.8168157878560561E-14</v>
      </c>
      <c r="E19">
        <f t="shared" si="2"/>
        <v>4.6468977485563586E-27</v>
      </c>
    </row>
    <row r="20" spans="1:5" x14ac:dyDescent="0.25">
      <c r="A20">
        <v>1.5660738517000001</v>
      </c>
      <c r="B20">
        <v>0</v>
      </c>
      <c r="C20">
        <f t="shared" si="0"/>
        <v>6.8905111590448151E-25</v>
      </c>
      <c r="D20">
        <f t="shared" si="1"/>
        <v>-6.8905111590448151E-25</v>
      </c>
      <c r="E20">
        <f t="shared" si="2"/>
        <v>4.7479144032921121E-49</v>
      </c>
    </row>
    <row r="21" spans="1:5" x14ac:dyDescent="0.25">
      <c r="A21">
        <v>1.6463849923</v>
      </c>
      <c r="B21">
        <v>0</v>
      </c>
      <c r="C21">
        <f t="shared" si="0"/>
        <v>9.8321067591513304E-43</v>
      </c>
      <c r="D21">
        <f t="shared" si="1"/>
        <v>-9.8321067591513304E-43</v>
      </c>
      <c r="E21">
        <f t="shared" si="2"/>
        <v>9.6670323323349273E-85</v>
      </c>
    </row>
    <row r="22" spans="1:5" x14ac:dyDescent="0.25">
      <c r="A22">
        <v>1.7266961329000003</v>
      </c>
      <c r="B22">
        <v>0</v>
      </c>
      <c r="C22">
        <f t="shared" si="0"/>
        <v>6.1594283540051238E-71</v>
      </c>
      <c r="D22">
        <f t="shared" si="1"/>
        <v>-6.1594283540051238E-71</v>
      </c>
      <c r="E22">
        <f t="shared" si="2"/>
        <v>3.7938557648122269E-141</v>
      </c>
    </row>
    <row r="23" spans="1:5" x14ac:dyDescent="0.25">
      <c r="A23">
        <v>1.8070072735</v>
      </c>
      <c r="B23">
        <v>0</v>
      </c>
      <c r="C23">
        <f t="shared" si="0"/>
        <v>1.6832984279299652E-114</v>
      </c>
      <c r="D23">
        <f t="shared" si="1"/>
        <v>-1.6832984279299652E-114</v>
      </c>
      <c r="E23">
        <f t="shared" si="2"/>
        <v>2.8334935974714922E-228</v>
      </c>
    </row>
    <row r="24" spans="1:5" x14ac:dyDescent="0.25">
      <c r="A24">
        <v>1.8873184140999999</v>
      </c>
      <c r="B24">
        <v>0</v>
      </c>
      <c r="C24">
        <f t="shared" si="0"/>
        <v>1.9182932849035669E-180</v>
      </c>
      <c r="D24">
        <f t="shared" si="1"/>
        <v>-1.9182932849035669E-180</v>
      </c>
      <c r="E24">
        <f t="shared" si="2"/>
        <v>0</v>
      </c>
    </row>
    <row r="25" spans="1:5" x14ac:dyDescent="0.25">
      <c r="A25">
        <v>1.9676295546999998</v>
      </c>
      <c r="B25">
        <v>0</v>
      </c>
      <c r="C25">
        <f t="shared" si="0"/>
        <v>1.8065202032446905E-278</v>
      </c>
      <c r="D25">
        <f t="shared" si="1"/>
        <v>-1.8065202032446905E-278</v>
      </c>
      <c r="E25">
        <f t="shared" si="2"/>
        <v>0</v>
      </c>
    </row>
    <row r="26" spans="1:5" x14ac:dyDescent="0.25">
      <c r="A26">
        <v>2.0479406953000003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2.1282518359000004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2.2085629765000006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2.2888741170999998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2.3691852576999999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2.4494963983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2.5298075389000001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2.6101186795000002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2.6904298200999999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2.7707409607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2.8510521013000001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2.9313632419000002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3.0116743824999999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3.0919855231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3.1722966637000001</v>
      </c>
      <c r="B40">
        <v>7.8179020705535548E-4</v>
      </c>
      <c r="C40">
        <f t="shared" si="0"/>
        <v>0</v>
      </c>
      <c r="D40">
        <f t="shared" si="1"/>
        <v>7.8179020705535548E-4</v>
      </c>
      <c r="E40">
        <f t="shared" si="2"/>
        <v>6.1119592784765564E-7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EA58-BE26-4DD2-A6CC-94DAC7FF763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3.9776951800000002E-2</v>
      </c>
      <c r="B1">
        <v>6.3255671159536111E-3</v>
      </c>
      <c r="C1">
        <f>$H$3*(1+$H$1)*(A1^($H$1))*EXP(-$H$3*(A1^(1+$H$1)))</f>
        <v>1.0321129848366786E-23</v>
      </c>
      <c r="D1">
        <f>B1-C1</f>
        <v>6.3255671159536111E-3</v>
      </c>
      <c r="E1">
        <f>D1^2</f>
        <v>4.0012799338433682E-5</v>
      </c>
      <c r="G1" t="s">
        <v>0</v>
      </c>
      <c r="H1">
        <v>17.148053445882304</v>
      </c>
    </row>
    <row r="2" spans="1:8" x14ac:dyDescent="0.25">
      <c r="A2">
        <v>0.11921845539999999</v>
      </c>
      <c r="B2">
        <v>0</v>
      </c>
      <c r="C2">
        <f t="shared" ref="C2:C40" si="0">$H$3*(1+$H$1)*(A2^($H$1))*EXP(-$H$3*(A2^(1+$H$1)))</f>
        <v>1.5431564348594617E-15</v>
      </c>
      <c r="D2">
        <f t="shared" ref="D2:D40" si="1">B2-C2</f>
        <v>-1.5431564348594617E-15</v>
      </c>
      <c r="E2">
        <f t="shared" ref="E2:E40" si="2">D2^2</f>
        <v>2.3813317824481641E-30</v>
      </c>
    </row>
    <row r="3" spans="1:8" x14ac:dyDescent="0.25">
      <c r="A3">
        <v>0.198659959</v>
      </c>
      <c r="B3">
        <v>0</v>
      </c>
      <c r="C3">
        <f t="shared" si="0"/>
        <v>9.8012115411308896E-12</v>
      </c>
      <c r="D3">
        <f t="shared" si="1"/>
        <v>-9.8012115411308896E-12</v>
      </c>
      <c r="E3">
        <f t="shared" si="2"/>
        <v>9.6063747673997353E-23</v>
      </c>
      <c r="G3" t="s">
        <v>1</v>
      </c>
      <c r="H3">
        <f>(_xlfn.GAMMA((2+$H$1)/(1+$H$1)))^(1+$H$1)</f>
        <v>0.5868013308515484</v>
      </c>
    </row>
    <row r="4" spans="1:8" x14ac:dyDescent="0.25">
      <c r="A4">
        <v>0.27810146260000002</v>
      </c>
      <c r="B4">
        <v>0</v>
      </c>
      <c r="C4">
        <f t="shared" si="0"/>
        <v>3.1368168254215624E-9</v>
      </c>
      <c r="D4">
        <f t="shared" si="1"/>
        <v>-3.1368168254215624E-9</v>
      </c>
      <c r="E4">
        <f t="shared" si="2"/>
        <v>9.8396197962478091E-18</v>
      </c>
    </row>
    <row r="5" spans="1:8" x14ac:dyDescent="0.25">
      <c r="A5">
        <v>0.35754296620000003</v>
      </c>
      <c r="B5">
        <v>0</v>
      </c>
      <c r="C5">
        <f t="shared" si="0"/>
        <v>2.3322220829547999E-7</v>
      </c>
      <c r="D5">
        <f t="shared" si="1"/>
        <v>-2.3322220829547999E-7</v>
      </c>
      <c r="E5">
        <f t="shared" si="2"/>
        <v>5.4392598442220254E-14</v>
      </c>
      <c r="G5" t="s">
        <v>2</v>
      </c>
      <c r="H5">
        <f>SUM(E1:E40)</f>
        <v>2.3141363059106204</v>
      </c>
    </row>
    <row r="6" spans="1:8" x14ac:dyDescent="0.25">
      <c r="A6">
        <v>0.43698446979999994</v>
      </c>
      <c r="B6">
        <v>0</v>
      </c>
      <c r="C6">
        <f t="shared" si="0"/>
        <v>7.2780135762712087E-6</v>
      </c>
      <c r="D6">
        <f t="shared" si="1"/>
        <v>-7.2780135762712087E-6</v>
      </c>
      <c r="E6">
        <f t="shared" si="2"/>
        <v>5.2969481616388028E-11</v>
      </c>
    </row>
    <row r="7" spans="1:8" x14ac:dyDescent="0.25">
      <c r="A7">
        <v>0.51642597339999996</v>
      </c>
      <c r="B7">
        <v>0</v>
      </c>
      <c r="C7">
        <f t="shared" si="0"/>
        <v>1.2763410120765673E-4</v>
      </c>
      <c r="D7">
        <f t="shared" si="1"/>
        <v>-1.2763410120765673E-4</v>
      </c>
      <c r="E7">
        <f t="shared" si="2"/>
        <v>1.6290463791086362E-8</v>
      </c>
    </row>
    <row r="8" spans="1:8" x14ac:dyDescent="0.25">
      <c r="A8">
        <v>0.59586747699999998</v>
      </c>
      <c r="B8">
        <v>0</v>
      </c>
      <c r="C8">
        <f t="shared" si="0"/>
        <v>1.4844128294845614E-3</v>
      </c>
      <c r="D8">
        <f t="shared" si="1"/>
        <v>-1.4844128294845614E-3</v>
      </c>
      <c r="E8">
        <f t="shared" si="2"/>
        <v>2.2034814483383615E-6</v>
      </c>
    </row>
    <row r="9" spans="1:8" x14ac:dyDescent="0.25">
      <c r="A9">
        <v>0.67530898059999989</v>
      </c>
      <c r="B9">
        <v>0</v>
      </c>
      <c r="C9">
        <f t="shared" si="0"/>
        <v>1.2688672166950812E-2</v>
      </c>
      <c r="D9">
        <f t="shared" si="1"/>
        <v>-1.2688672166950812E-2</v>
      </c>
      <c r="E9">
        <f t="shared" si="2"/>
        <v>1.6100240136035222E-4</v>
      </c>
    </row>
    <row r="10" spans="1:8" x14ac:dyDescent="0.25">
      <c r="A10">
        <v>0.7547504841999999</v>
      </c>
      <c r="B10">
        <v>0</v>
      </c>
      <c r="C10">
        <f t="shared" si="0"/>
        <v>8.5181115983047326E-2</v>
      </c>
      <c r="D10">
        <f t="shared" si="1"/>
        <v>-8.5181115983047326E-2</v>
      </c>
      <c r="E10">
        <f t="shared" si="2"/>
        <v>7.255822520117361E-3</v>
      </c>
    </row>
    <row r="11" spans="1:8" x14ac:dyDescent="0.25">
      <c r="A11">
        <v>0.83419198779999992</v>
      </c>
      <c r="B11">
        <v>0.19688327648405615</v>
      </c>
      <c r="C11">
        <f t="shared" si="0"/>
        <v>0.46525759453228249</v>
      </c>
      <c r="D11">
        <f t="shared" si="1"/>
        <v>-0.26837431804822631</v>
      </c>
      <c r="E11">
        <f t="shared" si="2"/>
        <v>7.2024774587850532E-2</v>
      </c>
    </row>
    <row r="12" spans="1:8" x14ac:dyDescent="0.25">
      <c r="A12">
        <v>0.91363349139999994</v>
      </c>
      <c r="B12">
        <v>2.939807317139441</v>
      </c>
      <c r="C12">
        <f t="shared" si="0"/>
        <v>2.0191333548313364</v>
      </c>
      <c r="D12">
        <f t="shared" si="1"/>
        <v>0.92067396230810461</v>
      </c>
      <c r="E12">
        <f t="shared" si="2"/>
        <v>0.84764054487210527</v>
      </c>
    </row>
    <row r="13" spans="1:8" x14ac:dyDescent="0.25">
      <c r="A13">
        <v>0.99307499499999996</v>
      </c>
      <c r="B13">
        <v>5.5419874894648578</v>
      </c>
      <c r="C13">
        <f t="shared" si="0"/>
        <v>5.6353336285803728</v>
      </c>
      <c r="D13">
        <f t="shared" si="1"/>
        <v>-9.3346139115515037E-2</v>
      </c>
      <c r="E13">
        <f t="shared" si="2"/>
        <v>8.713501687773087E-3</v>
      </c>
    </row>
    <row r="14" spans="1:8" x14ac:dyDescent="0.25">
      <c r="A14">
        <v>1.0725164986</v>
      </c>
      <c r="B14">
        <v>3.32171343176514</v>
      </c>
      <c r="C14">
        <f t="shared" si="0"/>
        <v>4.3728880047904255</v>
      </c>
      <c r="D14">
        <f t="shared" si="1"/>
        <v>-1.0511745730252855</v>
      </c>
      <c r="E14">
        <f t="shared" si="2"/>
        <v>1.1049679829748913</v>
      </c>
    </row>
    <row r="15" spans="1:8" x14ac:dyDescent="0.25">
      <c r="A15">
        <v>1.1519580021999998</v>
      </c>
      <c r="B15">
        <v>0.58037078288874389</v>
      </c>
      <c r="C15">
        <f t="shared" si="0"/>
        <v>5.7561239132838074E-2</v>
      </c>
      <c r="D15">
        <f t="shared" si="1"/>
        <v>0.52280954375590583</v>
      </c>
      <c r="E15">
        <f t="shared" si="2"/>
        <v>0.27332981904225839</v>
      </c>
    </row>
    <row r="16" spans="1:8" x14ac:dyDescent="0.25">
      <c r="A16">
        <v>1.2313995057999998</v>
      </c>
      <c r="B16">
        <v>0</v>
      </c>
      <c r="C16">
        <f t="shared" si="0"/>
        <v>2.7455250773786259E-9</v>
      </c>
      <c r="D16">
        <f t="shared" si="1"/>
        <v>-2.7455250773786259E-9</v>
      </c>
      <c r="E16">
        <f t="shared" si="2"/>
        <v>7.5379079505149092E-18</v>
      </c>
    </row>
    <row r="17" spans="1:5" x14ac:dyDescent="0.25">
      <c r="A17">
        <v>1.3108410093999998</v>
      </c>
      <c r="B17">
        <v>0</v>
      </c>
      <c r="C17">
        <f t="shared" si="0"/>
        <v>2.5290115983580744E-32</v>
      </c>
      <c r="D17">
        <f t="shared" si="1"/>
        <v>-2.5290115983580744E-32</v>
      </c>
      <c r="E17">
        <f t="shared" si="2"/>
        <v>6.3958996646296624E-64</v>
      </c>
    </row>
    <row r="18" spans="1:5" x14ac:dyDescent="0.25">
      <c r="A18">
        <v>1.3902825129999998</v>
      </c>
      <c r="B18">
        <v>0</v>
      </c>
      <c r="C18">
        <f t="shared" si="0"/>
        <v>5.1817767268728391E-98</v>
      </c>
      <c r="D18">
        <f t="shared" si="1"/>
        <v>-5.1817767268728391E-98</v>
      </c>
      <c r="E18">
        <f t="shared" si="2"/>
        <v>2.6850810047160994E-195</v>
      </c>
    </row>
    <row r="19" spans="1:5" x14ac:dyDescent="0.25">
      <c r="A19">
        <v>1.4697240165999998</v>
      </c>
      <c r="B19">
        <v>0</v>
      </c>
      <c r="C19">
        <f t="shared" si="0"/>
        <v>4.5666703683580004E-273</v>
      </c>
      <c r="D19">
        <f t="shared" si="1"/>
        <v>-4.5666703683580004E-273</v>
      </c>
      <c r="E19">
        <f t="shared" si="2"/>
        <v>0</v>
      </c>
    </row>
    <row r="20" spans="1:5" x14ac:dyDescent="0.25">
      <c r="A20">
        <v>1.5491655201999999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1.6286070237999999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1.7080485273999999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1.7874900309999999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1.8669315345999997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1.9463730382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2.0258145418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2.1052560454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2.184697549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2.2641390526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2.3435805562000001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2.4230220598000001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2.5024635634000001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2.5819050670000001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2.6613465705999997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2.7407880741999997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2.8202295777999997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2.8996710814000002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2.9791125849999998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3.0585540885999993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3.1379955921999998</v>
      </c>
      <c r="B40">
        <v>7.9069588949420139E-4</v>
      </c>
      <c r="C40">
        <f t="shared" si="0"/>
        <v>0</v>
      </c>
      <c r="D40">
        <f t="shared" si="1"/>
        <v>7.9069588949420139E-4</v>
      </c>
      <c r="E40">
        <f t="shared" si="2"/>
        <v>6.2519998966302629E-7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CC44-2D24-4242-A7AF-0E62D376734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3.9429278750000005E-2</v>
      </c>
      <c r="B1">
        <v>1.1944865459899725E-2</v>
      </c>
      <c r="C1">
        <f>$H$3*(1+$H$1)*(A1^($H$1))*EXP(-$H$3*(A1^(1+$H$1)))</f>
        <v>2.4243370134318993E-35</v>
      </c>
      <c r="D1">
        <f>B1-C1</f>
        <v>1.1944865459899725E-2</v>
      </c>
      <c r="E1">
        <f>D1^2</f>
        <v>1.4267981085510547E-4</v>
      </c>
      <c r="G1" t="s">
        <v>0</v>
      </c>
      <c r="H1">
        <v>25.496102277053698</v>
      </c>
    </row>
    <row r="2" spans="1:8" x14ac:dyDescent="0.25">
      <c r="A2">
        <v>0.11827461625000002</v>
      </c>
      <c r="B2">
        <v>0</v>
      </c>
      <c r="C2">
        <f t="shared" ref="C2:C40" si="0">$H$3*(1+$H$1)*(A2^($H$1))*EXP(-$H$3*(A2^(1+$H$1)))</f>
        <v>3.532545136529272E-23</v>
      </c>
      <c r="D2">
        <f t="shared" ref="D2:D40" si="1">B2-C2</f>
        <v>-3.532545136529272E-23</v>
      </c>
      <c r="E2">
        <f t="shared" ref="E2:E40" si="2">D2^2</f>
        <v>1.2478875141616613E-45</v>
      </c>
    </row>
    <row r="3" spans="1:8" x14ac:dyDescent="0.25">
      <c r="A3">
        <v>0.19711995374999999</v>
      </c>
      <c r="B3">
        <v>0</v>
      </c>
      <c r="C3">
        <f t="shared" si="0"/>
        <v>1.5999948953515021E-17</v>
      </c>
      <c r="D3">
        <f t="shared" si="1"/>
        <v>-1.5999948953515021E-17</v>
      </c>
      <c r="E3">
        <f t="shared" si="2"/>
        <v>2.5599836651508641E-34</v>
      </c>
      <c r="G3" t="s">
        <v>1</v>
      </c>
      <c r="H3">
        <f>(_xlfn.GAMMA((2+$H$1)/(1+$H$1)))^(1+$H$1)</f>
        <v>0.57883882309738166</v>
      </c>
    </row>
    <row r="4" spans="1:8" x14ac:dyDescent="0.25">
      <c r="A4">
        <v>0.27596529125000002</v>
      </c>
      <c r="B4">
        <v>0</v>
      </c>
      <c r="C4">
        <f t="shared" si="0"/>
        <v>8.5056567599397177E-14</v>
      </c>
      <c r="D4">
        <f t="shared" si="1"/>
        <v>-8.5056567599397177E-14</v>
      </c>
      <c r="E4">
        <f t="shared" si="2"/>
        <v>7.2346196917908217E-27</v>
      </c>
    </row>
    <row r="5" spans="1:8" x14ac:dyDescent="0.25">
      <c r="A5">
        <v>0.35481062875000002</v>
      </c>
      <c r="B5">
        <v>0</v>
      </c>
      <c r="C5">
        <f t="shared" si="0"/>
        <v>5.1571227750457368E-11</v>
      </c>
      <c r="D5">
        <f t="shared" si="1"/>
        <v>-5.1571227750457368E-11</v>
      </c>
      <c r="E5">
        <f t="shared" si="2"/>
        <v>2.6595915316895443E-21</v>
      </c>
      <c r="G5" t="s">
        <v>2</v>
      </c>
      <c r="H5">
        <f>SUM(E1:E40)</f>
        <v>0.16986274013371405</v>
      </c>
    </row>
    <row r="6" spans="1:8" x14ac:dyDescent="0.25">
      <c r="A6">
        <v>0.43365596624999997</v>
      </c>
      <c r="B6">
        <v>0</v>
      </c>
      <c r="C6">
        <f t="shared" si="0"/>
        <v>8.5972540075037217E-9</v>
      </c>
      <c r="D6">
        <f t="shared" si="1"/>
        <v>-8.5972540075037217E-9</v>
      </c>
      <c r="E6">
        <f t="shared" si="2"/>
        <v>7.3912776469538802E-17</v>
      </c>
    </row>
    <row r="7" spans="1:8" x14ac:dyDescent="0.25">
      <c r="A7">
        <v>0.51250130374999991</v>
      </c>
      <c r="B7">
        <v>0</v>
      </c>
      <c r="C7">
        <f t="shared" si="0"/>
        <v>6.0826526573493529E-7</v>
      </c>
      <c r="D7">
        <f t="shared" si="1"/>
        <v>-6.0826526573493529E-7</v>
      </c>
      <c r="E7">
        <f t="shared" si="2"/>
        <v>3.6998663349959143E-13</v>
      </c>
    </row>
    <row r="8" spans="1:8" x14ac:dyDescent="0.25">
      <c r="A8">
        <v>0.59134664124999992</v>
      </c>
      <c r="B8">
        <v>0</v>
      </c>
      <c r="C8">
        <f t="shared" si="0"/>
        <v>2.3367009820601396E-5</v>
      </c>
      <c r="D8">
        <f t="shared" si="1"/>
        <v>-2.3367009820601396E-5</v>
      </c>
      <c r="E8">
        <f t="shared" si="2"/>
        <v>5.4601714795608206E-10</v>
      </c>
    </row>
    <row r="9" spans="1:8" x14ac:dyDescent="0.25">
      <c r="A9">
        <v>0.67019197874999992</v>
      </c>
      <c r="B9">
        <v>0</v>
      </c>
      <c r="C9">
        <f t="shared" si="0"/>
        <v>5.6818672507492711E-4</v>
      </c>
      <c r="D9">
        <f t="shared" si="1"/>
        <v>-5.6818672507492711E-4</v>
      </c>
      <c r="E9">
        <f t="shared" si="2"/>
        <v>3.2283615455137083E-7</v>
      </c>
    </row>
    <row r="10" spans="1:8" x14ac:dyDescent="0.25">
      <c r="A10">
        <v>0.74903731624999992</v>
      </c>
      <c r="B10">
        <v>0</v>
      </c>
      <c r="C10">
        <f t="shared" si="0"/>
        <v>9.6816188712280579E-3</v>
      </c>
      <c r="D10">
        <f t="shared" si="1"/>
        <v>-9.6816188712280579E-3</v>
      </c>
      <c r="E10">
        <f t="shared" si="2"/>
        <v>9.373374396771925E-5</v>
      </c>
    </row>
    <row r="11" spans="1:8" x14ac:dyDescent="0.25">
      <c r="A11">
        <v>0.82788265374999992</v>
      </c>
      <c r="B11">
        <v>0</v>
      </c>
      <c r="C11">
        <f t="shared" si="0"/>
        <v>0.12375918406845746</v>
      </c>
      <c r="D11">
        <f t="shared" si="1"/>
        <v>-0.12375918406845746</v>
      </c>
      <c r="E11">
        <f t="shared" si="2"/>
        <v>1.5316335641290334E-2</v>
      </c>
    </row>
    <row r="12" spans="1:8" x14ac:dyDescent="0.25">
      <c r="A12">
        <v>0.90672799124999992</v>
      </c>
      <c r="B12">
        <v>1.521775859591225</v>
      </c>
      <c r="C12">
        <f t="shared" si="0"/>
        <v>1.2100170560042043</v>
      </c>
      <c r="D12">
        <f t="shared" si="1"/>
        <v>0.31175880358702068</v>
      </c>
      <c r="E12">
        <f t="shared" si="2"/>
        <v>9.719355161401054E-2</v>
      </c>
    </row>
    <row r="13" spans="1:8" x14ac:dyDescent="0.25">
      <c r="A13">
        <v>0.98557332874999992</v>
      </c>
      <c r="B13">
        <v>7.3596297720262172</v>
      </c>
      <c r="C13">
        <f t="shared" si="0"/>
        <v>7.1413791471352832</v>
      </c>
      <c r="D13">
        <f t="shared" si="1"/>
        <v>0.21825062489093394</v>
      </c>
      <c r="E13">
        <f t="shared" si="2"/>
        <v>4.7633335265283155E-2</v>
      </c>
    </row>
    <row r="14" spans="1:8" x14ac:dyDescent="0.25">
      <c r="A14">
        <v>1.0644186662499999</v>
      </c>
      <c r="B14">
        <v>3.731575969672674</v>
      </c>
      <c r="C14">
        <f t="shared" si="0"/>
        <v>3.6528682620079809</v>
      </c>
      <c r="D14">
        <f t="shared" si="1"/>
        <v>7.8707707664693149E-2</v>
      </c>
      <c r="E14">
        <f t="shared" si="2"/>
        <v>6.1949032458307966E-3</v>
      </c>
    </row>
    <row r="15" spans="1:8" x14ac:dyDescent="0.25">
      <c r="A15">
        <v>1.1432640037499999</v>
      </c>
      <c r="B15">
        <v>5.7335354207518681E-2</v>
      </c>
      <c r="C15">
        <f t="shared" si="0"/>
        <v>8.6809800555575109E-7</v>
      </c>
      <c r="D15">
        <f t="shared" si="1"/>
        <v>5.7334486109513125E-2</v>
      </c>
      <c r="E15">
        <f t="shared" si="2"/>
        <v>3.2872432974419535E-3</v>
      </c>
    </row>
    <row r="16" spans="1:8" x14ac:dyDescent="0.25">
      <c r="A16">
        <v>1.2221093412499999</v>
      </c>
      <c r="B16">
        <v>0</v>
      </c>
      <c r="C16">
        <f t="shared" si="0"/>
        <v>2.0272918461808837E-48</v>
      </c>
      <c r="D16">
        <f t="shared" si="1"/>
        <v>-2.0272918461808837E-48</v>
      </c>
      <c r="E16">
        <f t="shared" si="2"/>
        <v>4.1099122295914955E-96</v>
      </c>
    </row>
    <row r="17" spans="1:5" x14ac:dyDescent="0.25">
      <c r="A17">
        <v>1.3009546787500001</v>
      </c>
      <c r="B17">
        <v>0</v>
      </c>
      <c r="C17">
        <f t="shared" si="0"/>
        <v>1.898211064235123E-264</v>
      </c>
      <c r="D17">
        <f t="shared" si="1"/>
        <v>-1.898211064235123E-264</v>
      </c>
      <c r="E17">
        <f t="shared" si="2"/>
        <v>0</v>
      </c>
    </row>
    <row r="18" spans="1:5" x14ac:dyDescent="0.25">
      <c r="A18">
        <v>1.3798000162499999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1.4586453537499997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1.5374906912499999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1.6163360287499999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1.6951813662499999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1.7740267037499999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1.8528720412499999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1.9317173787499997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2.0105627162499999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2.0894080537499997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2.1682533912499999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2.2470987287499997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2.3259440662499999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2.4047894037499997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2.4836347412500004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2.5624800787500002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2.6413254162499999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2.7201707537499997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2.7990160912499999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2.8778614287500002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2.95670676625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3.0355521037499997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3.1143974412499995</v>
      </c>
      <c r="B40">
        <v>7.9632436399331504E-4</v>
      </c>
      <c r="C40">
        <f t="shared" si="0"/>
        <v>0</v>
      </c>
      <c r="D40">
        <f t="shared" si="1"/>
        <v>7.9632436399331504E-4</v>
      </c>
      <c r="E40">
        <f t="shared" si="2"/>
        <v>6.3413249268935767E-7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78C8-52FB-47FA-AFA0-9F2752C5CD4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3.9105528387500005E-2</v>
      </c>
      <c r="B1">
        <v>1.2043772403675761E-2</v>
      </c>
      <c r="C1">
        <f>$H$3*(1+$H$1)*(A1^($H$1))*EXP(-$H$3*(A1^(1+$H$1)))</f>
        <v>5.8065333950122144E-50</v>
      </c>
      <c r="D1">
        <f>B1-C1</f>
        <v>1.2043772403675761E-2</v>
      </c>
      <c r="E1">
        <f>D1^2</f>
        <v>1.4505245371154181E-4</v>
      </c>
      <c r="G1" t="s">
        <v>0</v>
      </c>
      <c r="H1">
        <v>35.916710654884184</v>
      </c>
    </row>
    <row r="2" spans="1:8" x14ac:dyDescent="0.25">
      <c r="A2">
        <v>0.11730336516250001</v>
      </c>
      <c r="B2">
        <v>0</v>
      </c>
      <c r="C2">
        <f t="shared" ref="C2:C40" si="0">$H$3*(1+$H$1)*(A2^($H$1))*EXP(-$H$3*(A2^(1+$H$1)))</f>
        <v>7.9210936721267819E-33</v>
      </c>
      <c r="D2">
        <f t="shared" ref="D2:D40" si="1">B2-C2</f>
        <v>-7.9210936721267819E-33</v>
      </c>
      <c r="E2">
        <f t="shared" ref="E2:E40" si="2">D2^2</f>
        <v>6.2743724962606949E-65</v>
      </c>
    </row>
    <row r="3" spans="1:8" x14ac:dyDescent="0.25">
      <c r="A3">
        <v>0.19550120193750001</v>
      </c>
      <c r="B3">
        <v>0</v>
      </c>
      <c r="C3">
        <f t="shared" si="0"/>
        <v>7.3537846557054711E-25</v>
      </c>
      <c r="D3">
        <f t="shared" si="1"/>
        <v>-7.3537846557054711E-25</v>
      </c>
      <c r="E3">
        <f t="shared" si="2"/>
        <v>5.4078148762489235E-49</v>
      </c>
      <c r="G3" t="s">
        <v>1</v>
      </c>
      <c r="H3">
        <f>(_xlfn.GAMMA((2+$H$1)/(1+$H$1)))^(1+$H$1)</f>
        <v>0.57394287244998643</v>
      </c>
    </row>
    <row r="4" spans="1:8" x14ac:dyDescent="0.25">
      <c r="A4">
        <v>0.27369903871250001</v>
      </c>
      <c r="B4">
        <v>0</v>
      </c>
      <c r="C4">
        <f t="shared" si="0"/>
        <v>1.3025625876450716E-19</v>
      </c>
      <c r="D4">
        <f t="shared" si="1"/>
        <v>-1.3025625876450716E-19</v>
      </c>
      <c r="E4">
        <f t="shared" si="2"/>
        <v>1.6966692947326248E-38</v>
      </c>
    </row>
    <row r="5" spans="1:8" x14ac:dyDescent="0.25">
      <c r="A5">
        <v>0.35189687548750004</v>
      </c>
      <c r="B5">
        <v>0</v>
      </c>
      <c r="C5">
        <f t="shared" si="0"/>
        <v>1.0834907653490304E-15</v>
      </c>
      <c r="D5">
        <f t="shared" si="1"/>
        <v>-1.0834907653490304E-15</v>
      </c>
      <c r="E5">
        <f t="shared" si="2"/>
        <v>1.1739522385966276E-30</v>
      </c>
      <c r="G5" t="s">
        <v>2</v>
      </c>
      <c r="H5">
        <f>SUM(E1:E40)</f>
        <v>7.8773662816384036</v>
      </c>
    </row>
    <row r="6" spans="1:8" x14ac:dyDescent="0.25">
      <c r="A6">
        <v>0.43009471226250001</v>
      </c>
      <c r="B6">
        <v>0</v>
      </c>
      <c r="C6">
        <f t="shared" si="0"/>
        <v>1.4619064634961397E-12</v>
      </c>
      <c r="D6">
        <f t="shared" si="1"/>
        <v>-1.4619064634961397E-12</v>
      </c>
      <c r="E6">
        <f t="shared" si="2"/>
        <v>2.13717050801179E-24</v>
      </c>
    </row>
    <row r="7" spans="1:8" x14ac:dyDescent="0.25">
      <c r="A7">
        <v>0.50829254903749999</v>
      </c>
      <c r="B7">
        <v>0</v>
      </c>
      <c r="C7">
        <f t="shared" si="0"/>
        <v>5.8974467040873919E-10</v>
      </c>
      <c r="D7">
        <f t="shared" si="1"/>
        <v>-5.8974467040873919E-10</v>
      </c>
      <c r="E7">
        <f t="shared" si="2"/>
        <v>3.4779877627551242E-19</v>
      </c>
    </row>
    <row r="8" spans="1:8" x14ac:dyDescent="0.25">
      <c r="A8">
        <v>0.58649038581250001</v>
      </c>
      <c r="B8">
        <v>0</v>
      </c>
      <c r="C8">
        <f t="shared" si="0"/>
        <v>1.0064341445262209E-7</v>
      </c>
      <c r="D8">
        <f t="shared" si="1"/>
        <v>-1.0064341445262209E-7</v>
      </c>
      <c r="E8">
        <f t="shared" si="2"/>
        <v>1.0129096872682261E-14</v>
      </c>
    </row>
    <row r="9" spans="1:8" x14ac:dyDescent="0.25">
      <c r="A9">
        <v>0.66468822258750004</v>
      </c>
      <c r="B9">
        <v>0</v>
      </c>
      <c r="C9">
        <f t="shared" si="0"/>
        <v>9.018058319231618E-6</v>
      </c>
      <c r="D9">
        <f t="shared" si="1"/>
        <v>-9.018058319231618E-6</v>
      </c>
      <c r="E9">
        <f t="shared" si="2"/>
        <v>8.1325375849062594E-11</v>
      </c>
    </row>
    <row r="10" spans="1:8" x14ac:dyDescent="0.25">
      <c r="A10">
        <v>0.74288605936249996</v>
      </c>
      <c r="B10">
        <v>0</v>
      </c>
      <c r="C10">
        <f t="shared" si="0"/>
        <v>4.8982133823558026E-4</v>
      </c>
      <c r="D10">
        <f t="shared" si="1"/>
        <v>-4.8982133823558026E-4</v>
      </c>
      <c r="E10">
        <f t="shared" si="2"/>
        <v>2.3992494339089472E-7</v>
      </c>
    </row>
    <row r="11" spans="1:8" x14ac:dyDescent="0.25">
      <c r="A11">
        <v>0.82108389613749999</v>
      </c>
      <c r="B11">
        <v>0</v>
      </c>
      <c r="C11">
        <f t="shared" si="0"/>
        <v>1.7823839990138736E-2</v>
      </c>
      <c r="D11">
        <f t="shared" si="1"/>
        <v>-1.7823839990138736E-2</v>
      </c>
      <c r="E11">
        <f t="shared" si="2"/>
        <v>3.1768927199406883E-4</v>
      </c>
    </row>
    <row r="12" spans="1:8" x14ac:dyDescent="0.25">
      <c r="A12">
        <v>0.89928173291250002</v>
      </c>
      <c r="B12">
        <v>0</v>
      </c>
      <c r="C12">
        <f t="shared" si="0"/>
        <v>0.46262498007487257</v>
      </c>
      <c r="D12">
        <f t="shared" si="1"/>
        <v>-0.46262498007487257</v>
      </c>
      <c r="E12">
        <f t="shared" si="2"/>
        <v>0.21402187218927624</v>
      </c>
    </row>
    <row r="13" spans="1:8" x14ac:dyDescent="0.25">
      <c r="A13">
        <v>0.97747956968750005</v>
      </c>
      <c r="B13">
        <v>9.9899077497689213</v>
      </c>
      <c r="C13">
        <f t="shared" si="0"/>
        <v>7.2992676577075741</v>
      </c>
      <c r="D13">
        <f t="shared" si="1"/>
        <v>2.6906400920613471</v>
      </c>
      <c r="E13">
        <f t="shared" si="2"/>
        <v>7.2395441050078944</v>
      </c>
    </row>
    <row r="14" spans="1:8" x14ac:dyDescent="0.25">
      <c r="A14">
        <v>1.0556774064624999</v>
      </c>
      <c r="B14">
        <v>2.7837172615695911</v>
      </c>
      <c r="C14">
        <f t="shared" si="0"/>
        <v>2.133075963063733</v>
      </c>
      <c r="D14">
        <f t="shared" si="1"/>
        <v>0.65064129850585806</v>
      </c>
      <c r="E14">
        <f t="shared" si="2"/>
        <v>0.4233340993213891</v>
      </c>
    </row>
    <row r="15" spans="1:8" x14ac:dyDescent="0.25">
      <c r="A15">
        <v>1.1338752432375001</v>
      </c>
      <c r="B15">
        <v>1.6058363204901015E-3</v>
      </c>
      <c r="C15">
        <f t="shared" si="0"/>
        <v>3.3212255804824368E-23</v>
      </c>
      <c r="D15">
        <f t="shared" si="1"/>
        <v>1.6058363204901015E-3</v>
      </c>
      <c r="E15">
        <f t="shared" si="2"/>
        <v>2.5787102882051878E-6</v>
      </c>
    </row>
    <row r="16" spans="1:8" x14ac:dyDescent="0.25">
      <c r="A16">
        <v>1.2120730800125001</v>
      </c>
      <c r="B16">
        <v>0</v>
      </c>
      <c r="C16">
        <f t="shared" si="0"/>
        <v>1.4091122302175546E-298</v>
      </c>
      <c r="D16">
        <f t="shared" si="1"/>
        <v>-1.4091122302175546E-298</v>
      </c>
      <c r="E16">
        <f t="shared" si="2"/>
        <v>0</v>
      </c>
    </row>
    <row r="17" spans="1:5" x14ac:dyDescent="0.25">
      <c r="A17">
        <v>1.2902709167875002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1.3684687535625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1.4466665903375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1.5248644271125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1.6030622638875001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1.6812601006625001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1.7594579374374999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1.8376557742124999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1.9158536109875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1.9940514477625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2.0722492845375005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2.1504471213125003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2.2286449580875001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2.3068427948624999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2.3850406316375001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2.4632384684125004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2.5414363051875002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2.6196341419625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2.6978319787374998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2.7760298155125005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2.8542276522875003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2.9324254890625001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3.0106233258374999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3.0888211626124997</v>
      </c>
      <c r="B40">
        <v>8.0291816024505075E-4</v>
      </c>
      <c r="C40">
        <f t="shared" si="0"/>
        <v>0</v>
      </c>
      <c r="D40">
        <f t="shared" si="1"/>
        <v>8.0291816024505075E-4</v>
      </c>
      <c r="E40">
        <f t="shared" si="2"/>
        <v>6.4467757205129696E-7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C32C-919A-46AF-9E03-34D36824F65A}">
  <dimension ref="A1:H40"/>
  <sheetViews>
    <sheetView workbookViewId="0">
      <selection activeCell="J19" sqref="J19"/>
    </sheetView>
  </sheetViews>
  <sheetFormatPr defaultColWidth="11" defaultRowHeight="15.75" x14ac:dyDescent="0.25"/>
  <sheetData>
    <row r="1" spans="1:8" x14ac:dyDescent="0.25">
      <c r="A1">
        <v>4.0207635262500006E-2</v>
      </c>
      <c r="B1">
        <v>1.0486063072372161E-2</v>
      </c>
      <c r="C1">
        <f>$H$3*(1+$H$1)*(A1^($H$1))*EXP(-$H$3*(A1^(1+$H$1)))</f>
        <v>2.6806819332632938E-64</v>
      </c>
      <c r="D1">
        <f>B1-C1</f>
        <v>1.0486063072372161E-2</v>
      </c>
      <c r="E1">
        <f>D1^2</f>
        <v>1.0995751875776708E-4</v>
      </c>
      <c r="G1" t="s">
        <v>0</v>
      </c>
      <c r="H1">
        <v>46.576120616595418</v>
      </c>
    </row>
    <row r="2" spans="1:8" x14ac:dyDescent="0.25">
      <c r="A2">
        <v>0.11805634978750001</v>
      </c>
      <c r="B2">
        <v>0</v>
      </c>
      <c r="C2">
        <f t="shared" ref="C2:C40" si="0">$H$3*(1+$H$1)*(A2^($H$1))*EXP(-$H$3*(A2^(1+$H$1)))</f>
        <v>1.6430892500459805E-42</v>
      </c>
      <c r="D2">
        <f t="shared" ref="D2:D40" si="1">B2-C2</f>
        <v>-1.6430892500459805E-42</v>
      </c>
      <c r="E2">
        <f t="shared" ref="E2:E40" si="2">D2^2</f>
        <v>2.6997422836166626E-84</v>
      </c>
    </row>
    <row r="3" spans="1:8" x14ac:dyDescent="0.25">
      <c r="A3">
        <v>0.19590506431249999</v>
      </c>
      <c r="B3">
        <v>0</v>
      </c>
      <c r="C3">
        <f t="shared" si="0"/>
        <v>2.8865087052976942E-32</v>
      </c>
      <c r="D3">
        <f t="shared" si="1"/>
        <v>-2.8865087052976942E-32</v>
      </c>
      <c r="E3">
        <f t="shared" si="2"/>
        <v>8.3319325057593702E-64</v>
      </c>
      <c r="G3" t="s">
        <v>1</v>
      </c>
      <c r="H3">
        <f>(_xlfn.GAMMA((2+$H$1)/(1+$H$1)))^(1+$H$1)</f>
        <v>0.57115033416901906</v>
      </c>
    </row>
    <row r="4" spans="1:8" x14ac:dyDescent="0.25">
      <c r="A4">
        <v>0.27375377883750002</v>
      </c>
      <c r="B4">
        <v>0</v>
      </c>
      <c r="C4">
        <f t="shared" si="0"/>
        <v>1.6926091231741432E-25</v>
      </c>
      <c r="D4">
        <f t="shared" si="1"/>
        <v>-1.6926091231741432E-25</v>
      </c>
      <c r="E4">
        <f t="shared" si="2"/>
        <v>2.8649256438523417E-50</v>
      </c>
    </row>
    <row r="5" spans="1:8" x14ac:dyDescent="0.25">
      <c r="A5">
        <v>0.35160249336250005</v>
      </c>
      <c r="B5">
        <v>0</v>
      </c>
      <c r="C5">
        <f t="shared" si="0"/>
        <v>1.95434014576356E-20</v>
      </c>
      <c r="D5">
        <f t="shared" si="1"/>
        <v>-1.95434014576356E-20</v>
      </c>
      <c r="E5">
        <f t="shared" si="2"/>
        <v>3.819445405343133E-40</v>
      </c>
      <c r="G5" t="s">
        <v>2</v>
      </c>
      <c r="H5">
        <f>SUM(E1:E40)</f>
        <v>33.493165011364979</v>
      </c>
    </row>
    <row r="6" spans="1:8" x14ac:dyDescent="0.25">
      <c r="A6">
        <v>0.42945120788750002</v>
      </c>
      <c r="B6">
        <v>0</v>
      </c>
      <c r="C6">
        <f t="shared" si="0"/>
        <v>2.1711491825331152E-16</v>
      </c>
      <c r="D6">
        <f t="shared" si="1"/>
        <v>-2.1711491825331152E-16</v>
      </c>
      <c r="E6">
        <f t="shared" si="2"/>
        <v>4.7138887728142145E-32</v>
      </c>
    </row>
    <row r="7" spans="1:8" x14ac:dyDescent="0.25">
      <c r="A7">
        <v>0.50729992241249999</v>
      </c>
      <c r="B7">
        <v>0</v>
      </c>
      <c r="C7">
        <f t="shared" si="0"/>
        <v>5.0876478753600011E-13</v>
      </c>
      <c r="D7">
        <f t="shared" si="1"/>
        <v>-5.0876478753600011E-13</v>
      </c>
      <c r="E7">
        <f t="shared" si="2"/>
        <v>2.5884160903655133E-25</v>
      </c>
    </row>
    <row r="8" spans="1:8" x14ac:dyDescent="0.25">
      <c r="A8">
        <v>0.58514863693750008</v>
      </c>
      <c r="B8">
        <v>0</v>
      </c>
      <c r="C8">
        <f t="shared" si="0"/>
        <v>3.9291790046394883E-10</v>
      </c>
      <c r="D8">
        <f t="shared" si="1"/>
        <v>-3.9291790046394883E-10</v>
      </c>
      <c r="E8">
        <f t="shared" si="2"/>
        <v>1.5438447650499761E-19</v>
      </c>
    </row>
    <row r="9" spans="1:8" x14ac:dyDescent="0.25">
      <c r="A9">
        <v>0.66299735146250005</v>
      </c>
      <c r="B9">
        <v>0</v>
      </c>
      <c r="C9">
        <f t="shared" si="0"/>
        <v>1.3208430822716377E-7</v>
      </c>
      <c r="D9">
        <f t="shared" si="1"/>
        <v>-1.3208430822716377E-7</v>
      </c>
      <c r="E9">
        <f t="shared" si="2"/>
        <v>1.7446264479848401E-14</v>
      </c>
    </row>
    <row r="10" spans="1:8" x14ac:dyDescent="0.25">
      <c r="A10">
        <v>0.74084606598750002</v>
      </c>
      <c r="B10">
        <v>0</v>
      </c>
      <c r="C10">
        <f t="shared" si="0"/>
        <v>2.3258084482062832E-5</v>
      </c>
      <c r="D10">
        <f t="shared" si="1"/>
        <v>-2.3258084482062832E-5</v>
      </c>
      <c r="E10">
        <f t="shared" si="2"/>
        <v>5.4093849377477192E-10</v>
      </c>
    </row>
    <row r="11" spans="1:8" x14ac:dyDescent="0.25">
      <c r="A11">
        <v>0.8186947805125</v>
      </c>
      <c r="B11">
        <v>0</v>
      </c>
      <c r="C11">
        <f t="shared" si="0"/>
        <v>2.441642147614745E-3</v>
      </c>
      <c r="D11">
        <f t="shared" si="1"/>
        <v>-2.441642147614745E-3</v>
      </c>
      <c r="E11">
        <f t="shared" si="2"/>
        <v>5.9616163770087442E-6</v>
      </c>
    </row>
    <row r="12" spans="1:8" x14ac:dyDescent="0.25">
      <c r="A12">
        <v>0.89654349503749997</v>
      </c>
      <c r="B12">
        <v>0</v>
      </c>
      <c r="C12">
        <f t="shared" si="0"/>
        <v>0.16738762129529608</v>
      </c>
      <c r="D12">
        <f t="shared" si="1"/>
        <v>-0.16738762129529608</v>
      </c>
      <c r="E12">
        <f t="shared" si="2"/>
        <v>2.8018615762897457E-2</v>
      </c>
    </row>
    <row r="13" spans="1:8" x14ac:dyDescent="0.25">
      <c r="A13">
        <v>0.97439220956250006</v>
      </c>
      <c r="B13">
        <v>12.65183840693518</v>
      </c>
      <c r="C13">
        <f t="shared" si="0"/>
        <v>6.8739195377976134</v>
      </c>
      <c r="D13">
        <f t="shared" si="1"/>
        <v>5.7779188691375669</v>
      </c>
      <c r="E13">
        <f t="shared" si="2"/>
        <v>33.384346458335941</v>
      </c>
    </row>
    <row r="14" spans="1:8" x14ac:dyDescent="0.25">
      <c r="A14">
        <v>1.0522409240875001</v>
      </c>
      <c r="B14">
        <v>0.18068293293933568</v>
      </c>
      <c r="C14">
        <f t="shared" si="0"/>
        <v>0.46472652890485844</v>
      </c>
      <c r="D14">
        <f t="shared" si="1"/>
        <v>-0.28404359596552275</v>
      </c>
      <c r="E14">
        <f t="shared" si="2"/>
        <v>8.0680764409025135E-2</v>
      </c>
    </row>
    <row r="15" spans="1:8" x14ac:dyDescent="0.25">
      <c r="A15">
        <v>1.1300896386125001</v>
      </c>
      <c r="B15">
        <v>1.6132404726726401E-3</v>
      </c>
      <c r="C15">
        <f t="shared" si="0"/>
        <v>2.8528440224355298E-80</v>
      </c>
      <c r="D15">
        <f t="shared" si="1"/>
        <v>1.6132404726726401E-3</v>
      </c>
      <c r="E15">
        <f t="shared" si="2"/>
        <v>2.6025448226690432E-6</v>
      </c>
    </row>
    <row r="16" spans="1:8" x14ac:dyDescent="0.25">
      <c r="A16">
        <v>1.2079383531375001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1.2857870676625001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1.3636357821875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1.4414844967125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1.5193332112375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1.5971819257625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1.6750306402875004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1.7528793548125001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1.8307280693374999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1.9085767838624998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1.9864254983875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2.0642742129125002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2.1421229274375002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2.2199716419625002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2.2978203564875002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2.3756690710125001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2.4535177855375006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2.5313665000625001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2.6092152145875001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2.6870639291125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2.7649126436375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2.8427613581625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2.9206100726874999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2.9984587872124999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3.0763075017375003</v>
      </c>
      <c r="B40">
        <v>8.0662023633632006E-4</v>
      </c>
      <c r="C40">
        <f t="shared" si="0"/>
        <v>0</v>
      </c>
      <c r="D40">
        <f t="shared" si="1"/>
        <v>8.0662023633632006E-4</v>
      </c>
      <c r="E40">
        <f t="shared" si="2"/>
        <v>6.506362056672608E-7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2024-10-06T00:57:20Z</dcterms:modified>
</cp:coreProperties>
</file>