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pdf/"/>
    </mc:Choice>
  </mc:AlternateContent>
  <xr:revisionPtr revIDLastSave="5097" documentId="115_{01AF50DA-67B6-409F-A9BF-63D3AAA60376}" xr6:coauthVersionLast="47" xr6:coauthVersionMax="47" xr10:uidLastSave="{EA9578B0-1256-4A94-B432-950CC026C143}"/>
  <bookViews>
    <workbookView xWindow="-120" yWindow="-120" windowWidth="29040" windowHeight="15720" tabRatio="1000" activeTab="31" xr2:uid="{52D9C27D-0EF6-DD41-9728-0267E68F7539}"/>
  </bookViews>
  <sheets>
    <sheet name="Brody" sheetId="1" r:id="rId1"/>
    <sheet name="0.0001" sheetId="2" r:id="rId2"/>
    <sheet name="0.001" sheetId="3" r:id="rId3"/>
    <sheet name="0.005" sheetId="4" r:id="rId4"/>
    <sheet name="0.01" sheetId="5" r:id="rId5"/>
    <sheet name="0.025" sheetId="6" r:id="rId6"/>
    <sheet name="0.05" sheetId="7" r:id="rId7"/>
    <sheet name="0.075" sheetId="8" r:id="rId8"/>
    <sheet name="0.1" sheetId="9" r:id="rId9"/>
    <sheet name="0.15" sheetId="10" r:id="rId10"/>
    <sheet name="0.2" sheetId="11" r:id="rId11"/>
    <sheet name="0.25" sheetId="12" r:id="rId12"/>
    <sheet name="0.3" sheetId="13" r:id="rId13"/>
    <sheet name="0.35" sheetId="14" r:id="rId14"/>
    <sheet name="0.4" sheetId="15" r:id="rId15"/>
    <sheet name="0.45" sheetId="16" r:id="rId16"/>
    <sheet name="0.5" sheetId="17" r:id="rId17"/>
    <sheet name="0.55" sheetId="18" r:id="rId18"/>
    <sheet name="0.6" sheetId="19" r:id="rId19"/>
    <sheet name="0.65" sheetId="20" r:id="rId20"/>
    <sheet name="0.7" sheetId="21" r:id="rId21"/>
    <sheet name="0.75" sheetId="22" r:id="rId22"/>
    <sheet name="0.8" sheetId="23" r:id="rId23"/>
    <sheet name="0.85" sheetId="24" r:id="rId24"/>
    <sheet name="0.9" sheetId="25" r:id="rId25"/>
    <sheet name="0.925" sheetId="26" r:id="rId26"/>
    <sheet name="0.95" sheetId="27" r:id="rId27"/>
    <sheet name="0.975" sheetId="28" r:id="rId28"/>
    <sheet name="0.99" sheetId="29" r:id="rId29"/>
    <sheet name="0.995" sheetId="30" r:id="rId30"/>
    <sheet name="0.999" sheetId="31" r:id="rId31"/>
    <sheet name="0.9999" sheetId="32" r:id="rId32"/>
  </sheets>
  <definedNames>
    <definedName name="solver_adj" localSheetId="1" hidden="1">'0.0001'!$H$1</definedName>
    <definedName name="solver_adj" localSheetId="2" hidden="1">'0.001'!$H$1</definedName>
    <definedName name="solver_adj" localSheetId="3" hidden="1">'0.005'!$H$1</definedName>
    <definedName name="solver_adj" localSheetId="4" hidden="1">'0.01'!$H$1</definedName>
    <definedName name="solver_adj" localSheetId="5" hidden="1">'0.025'!$H$1</definedName>
    <definedName name="solver_adj" localSheetId="6" hidden="1">'0.05'!$H$1</definedName>
    <definedName name="solver_adj" localSheetId="7" hidden="1">'0.075'!$H$1</definedName>
    <definedName name="solver_adj" localSheetId="8" hidden="1">'0.1'!$H$1</definedName>
    <definedName name="solver_adj" localSheetId="9" hidden="1">'0.15'!$H$1</definedName>
    <definedName name="solver_adj" localSheetId="10" hidden="1">'0.2'!$H$1</definedName>
    <definedName name="solver_adj" localSheetId="11" hidden="1">'0.25'!$H$1</definedName>
    <definedName name="solver_adj" localSheetId="12" hidden="1">'0.3'!$H$1</definedName>
    <definedName name="solver_adj" localSheetId="13" hidden="1">'0.35'!$H$1</definedName>
    <definedName name="solver_adj" localSheetId="14" hidden="1">'0.4'!$H$1</definedName>
    <definedName name="solver_adj" localSheetId="15" hidden="1">'0.45'!$H$1</definedName>
    <definedName name="solver_adj" localSheetId="16" hidden="1">'0.5'!$H$1</definedName>
    <definedName name="solver_adj" localSheetId="17" hidden="1">'0.55'!$H$1</definedName>
    <definedName name="solver_adj" localSheetId="18" hidden="1">'0.6'!$H$1</definedName>
    <definedName name="solver_adj" localSheetId="19" hidden="1">'0.65'!$H$1</definedName>
    <definedName name="solver_adj" localSheetId="20" hidden="1">'0.7'!$H$1</definedName>
    <definedName name="solver_adj" localSheetId="21" hidden="1">'0.75'!$H$1</definedName>
    <definedName name="solver_adj" localSheetId="22" hidden="1">'0.8'!$H$1</definedName>
    <definedName name="solver_adj" localSheetId="23" hidden="1">'0.85'!$H$1</definedName>
    <definedName name="solver_adj" localSheetId="24" hidden="1">'0.9'!$H$1</definedName>
    <definedName name="solver_adj" localSheetId="25" hidden="1">'0.925'!$H$1</definedName>
    <definedName name="solver_adj" localSheetId="26" hidden="1">'0.95'!$H$1</definedName>
    <definedName name="solver_adj" localSheetId="27" hidden="1">'0.975'!$H$1</definedName>
    <definedName name="solver_adj" localSheetId="28" hidden="1">'0.99'!$H$1</definedName>
    <definedName name="solver_adj" localSheetId="29" hidden="1">'0.995'!$H$1</definedName>
    <definedName name="solver_adj" localSheetId="30" hidden="1">'0.999'!$H$1</definedName>
    <definedName name="solver_adj" localSheetId="31" hidden="1">'0.9999'!$H$1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18" hidden="1">0.0001</definedName>
    <definedName name="solver_cvg" localSheetId="19" hidden="1">0.0001</definedName>
    <definedName name="solver_cvg" localSheetId="20" hidden="1">0.0001</definedName>
    <definedName name="solver_cvg" localSheetId="21" hidden="1">0.0001</definedName>
    <definedName name="solver_cvg" localSheetId="22" hidden="1">0.0001</definedName>
    <definedName name="solver_cvg" localSheetId="23" hidden="1">0.0001</definedName>
    <definedName name="solver_cvg" localSheetId="24" hidden="1">0.0001</definedName>
    <definedName name="solver_cvg" localSheetId="25" hidden="1">0.0001</definedName>
    <definedName name="solver_cvg" localSheetId="26" hidden="1">0.0001</definedName>
    <definedName name="solver_cvg" localSheetId="27" hidden="1">0.0001</definedName>
    <definedName name="solver_cvg" localSheetId="28" hidden="1">0.0001</definedName>
    <definedName name="solver_cvg" localSheetId="29" hidden="1">0.0001</definedName>
    <definedName name="solver_cvg" localSheetId="30" hidden="1">0.0001</definedName>
    <definedName name="solver_cvg" localSheetId="31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drv" localSheetId="18" hidden="1">1</definedName>
    <definedName name="solver_drv" localSheetId="19" hidden="1">1</definedName>
    <definedName name="solver_drv" localSheetId="20" hidden="1">1</definedName>
    <definedName name="solver_drv" localSheetId="21" hidden="1">1</definedName>
    <definedName name="solver_drv" localSheetId="22" hidden="1">1</definedName>
    <definedName name="solver_drv" localSheetId="23" hidden="1">1</definedName>
    <definedName name="solver_drv" localSheetId="24" hidden="1">1</definedName>
    <definedName name="solver_drv" localSheetId="25" hidden="1">1</definedName>
    <definedName name="solver_drv" localSheetId="26" hidden="1">1</definedName>
    <definedName name="solver_drv" localSheetId="27" hidden="1">1</definedName>
    <definedName name="solver_drv" localSheetId="28" hidden="1">1</definedName>
    <definedName name="solver_drv" localSheetId="29" hidden="1">1</definedName>
    <definedName name="solver_drv" localSheetId="30" hidden="1">1</definedName>
    <definedName name="solver_drv" localSheetId="31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14" hidden="1">1</definedName>
    <definedName name="solver_eng" localSheetId="15" hidden="1">1</definedName>
    <definedName name="solver_eng" localSheetId="16" hidden="1">1</definedName>
    <definedName name="solver_eng" localSheetId="17" hidden="1">1</definedName>
    <definedName name="solver_eng" localSheetId="18" hidden="1">1</definedName>
    <definedName name="solver_eng" localSheetId="19" hidden="1">1</definedName>
    <definedName name="solver_eng" localSheetId="20" hidden="1">1</definedName>
    <definedName name="solver_eng" localSheetId="21" hidden="1">1</definedName>
    <definedName name="solver_eng" localSheetId="22" hidden="1">1</definedName>
    <definedName name="solver_eng" localSheetId="23" hidden="1">1</definedName>
    <definedName name="solver_eng" localSheetId="24" hidden="1">1</definedName>
    <definedName name="solver_eng" localSheetId="25" hidden="1">1</definedName>
    <definedName name="solver_eng" localSheetId="26" hidden="1">1</definedName>
    <definedName name="solver_eng" localSheetId="27" hidden="1">1</definedName>
    <definedName name="solver_eng" localSheetId="28" hidden="1">1</definedName>
    <definedName name="solver_eng" localSheetId="29" hidden="1">1</definedName>
    <definedName name="solver_eng" localSheetId="30" hidden="1">1</definedName>
    <definedName name="solver_eng" localSheetId="31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est" localSheetId="18" hidden="1">1</definedName>
    <definedName name="solver_est" localSheetId="19" hidden="1">1</definedName>
    <definedName name="solver_est" localSheetId="20" hidden="1">1</definedName>
    <definedName name="solver_est" localSheetId="21" hidden="1">1</definedName>
    <definedName name="solver_est" localSheetId="22" hidden="1">1</definedName>
    <definedName name="solver_est" localSheetId="23" hidden="1">1</definedName>
    <definedName name="solver_est" localSheetId="24" hidden="1">1</definedName>
    <definedName name="solver_est" localSheetId="25" hidden="1">1</definedName>
    <definedName name="solver_est" localSheetId="26" hidden="1">1</definedName>
    <definedName name="solver_est" localSheetId="27" hidden="1">1</definedName>
    <definedName name="solver_est" localSheetId="28" hidden="1">1</definedName>
    <definedName name="solver_est" localSheetId="29" hidden="1">1</definedName>
    <definedName name="solver_est" localSheetId="30" hidden="1">1</definedName>
    <definedName name="solver_est" localSheetId="31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18" hidden="1">2147483647</definedName>
    <definedName name="solver_itr" localSheetId="19" hidden="1">2147483647</definedName>
    <definedName name="solver_itr" localSheetId="20" hidden="1">2147483647</definedName>
    <definedName name="solver_itr" localSheetId="21" hidden="1">2147483647</definedName>
    <definedName name="solver_itr" localSheetId="22" hidden="1">2147483647</definedName>
    <definedName name="solver_itr" localSheetId="23" hidden="1">2147483647</definedName>
    <definedName name="solver_itr" localSheetId="24" hidden="1">2147483647</definedName>
    <definedName name="solver_itr" localSheetId="25" hidden="1">2147483647</definedName>
    <definedName name="solver_itr" localSheetId="26" hidden="1">2147483647</definedName>
    <definedName name="solver_itr" localSheetId="27" hidden="1">2147483647</definedName>
    <definedName name="solver_itr" localSheetId="28" hidden="1">2147483647</definedName>
    <definedName name="solver_itr" localSheetId="29" hidden="1">2147483647</definedName>
    <definedName name="solver_itr" localSheetId="30" hidden="1">2147483647</definedName>
    <definedName name="solver_itr" localSheetId="31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18" hidden="1">2147483647</definedName>
    <definedName name="solver_mip" localSheetId="19" hidden="1">2147483647</definedName>
    <definedName name="solver_mip" localSheetId="20" hidden="1">2147483647</definedName>
    <definedName name="solver_mip" localSheetId="21" hidden="1">2147483647</definedName>
    <definedName name="solver_mip" localSheetId="22" hidden="1">2147483647</definedName>
    <definedName name="solver_mip" localSheetId="23" hidden="1">2147483647</definedName>
    <definedName name="solver_mip" localSheetId="24" hidden="1">2147483647</definedName>
    <definedName name="solver_mip" localSheetId="25" hidden="1">2147483647</definedName>
    <definedName name="solver_mip" localSheetId="26" hidden="1">2147483647</definedName>
    <definedName name="solver_mip" localSheetId="27" hidden="1">2147483647</definedName>
    <definedName name="solver_mip" localSheetId="28" hidden="1">2147483647</definedName>
    <definedName name="solver_mip" localSheetId="29" hidden="1">2147483647</definedName>
    <definedName name="solver_mip" localSheetId="30" hidden="1">2147483647</definedName>
    <definedName name="solver_mip" localSheetId="31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18" hidden="1">30</definedName>
    <definedName name="solver_mni" localSheetId="19" hidden="1">30</definedName>
    <definedName name="solver_mni" localSheetId="20" hidden="1">30</definedName>
    <definedName name="solver_mni" localSheetId="21" hidden="1">30</definedName>
    <definedName name="solver_mni" localSheetId="22" hidden="1">30</definedName>
    <definedName name="solver_mni" localSheetId="23" hidden="1">30</definedName>
    <definedName name="solver_mni" localSheetId="24" hidden="1">30</definedName>
    <definedName name="solver_mni" localSheetId="25" hidden="1">30</definedName>
    <definedName name="solver_mni" localSheetId="26" hidden="1">30</definedName>
    <definedName name="solver_mni" localSheetId="27" hidden="1">30</definedName>
    <definedName name="solver_mni" localSheetId="28" hidden="1">30</definedName>
    <definedName name="solver_mni" localSheetId="29" hidden="1">30</definedName>
    <definedName name="solver_mni" localSheetId="30" hidden="1">30</definedName>
    <definedName name="solver_mni" localSheetId="31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18" hidden="1">0.075</definedName>
    <definedName name="solver_mrt" localSheetId="19" hidden="1">0.075</definedName>
    <definedName name="solver_mrt" localSheetId="20" hidden="1">0.075</definedName>
    <definedName name="solver_mrt" localSheetId="21" hidden="1">0.075</definedName>
    <definedName name="solver_mrt" localSheetId="22" hidden="1">0.075</definedName>
    <definedName name="solver_mrt" localSheetId="23" hidden="1">0.075</definedName>
    <definedName name="solver_mrt" localSheetId="24" hidden="1">0.075</definedName>
    <definedName name="solver_mrt" localSheetId="25" hidden="1">0.075</definedName>
    <definedName name="solver_mrt" localSheetId="26" hidden="1">0.075</definedName>
    <definedName name="solver_mrt" localSheetId="27" hidden="1">0.075</definedName>
    <definedName name="solver_mrt" localSheetId="28" hidden="1">0.075</definedName>
    <definedName name="solver_mrt" localSheetId="29" hidden="1">0.075</definedName>
    <definedName name="solver_mrt" localSheetId="30" hidden="1">0.075</definedName>
    <definedName name="solver_mrt" localSheetId="31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18" hidden="1">2</definedName>
    <definedName name="solver_msl" localSheetId="19" hidden="1">2</definedName>
    <definedName name="solver_msl" localSheetId="20" hidden="1">2</definedName>
    <definedName name="solver_msl" localSheetId="21" hidden="1">2</definedName>
    <definedName name="solver_msl" localSheetId="22" hidden="1">2</definedName>
    <definedName name="solver_msl" localSheetId="23" hidden="1">2</definedName>
    <definedName name="solver_msl" localSheetId="24" hidden="1">2</definedName>
    <definedName name="solver_msl" localSheetId="25" hidden="1">2</definedName>
    <definedName name="solver_msl" localSheetId="26" hidden="1">2</definedName>
    <definedName name="solver_msl" localSheetId="27" hidden="1">2</definedName>
    <definedName name="solver_msl" localSheetId="28" hidden="1">2</definedName>
    <definedName name="solver_msl" localSheetId="29" hidden="1">2</definedName>
    <definedName name="solver_msl" localSheetId="30" hidden="1">2</definedName>
    <definedName name="solver_msl" localSheetId="31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eg" localSheetId="18" hidden="1">1</definedName>
    <definedName name="solver_neg" localSheetId="19" hidden="1">1</definedName>
    <definedName name="solver_neg" localSheetId="20" hidden="1">1</definedName>
    <definedName name="solver_neg" localSheetId="21" hidden="1">1</definedName>
    <definedName name="solver_neg" localSheetId="22" hidden="1">1</definedName>
    <definedName name="solver_neg" localSheetId="23" hidden="1">1</definedName>
    <definedName name="solver_neg" localSheetId="24" hidden="1">1</definedName>
    <definedName name="solver_neg" localSheetId="25" hidden="1">1</definedName>
    <definedName name="solver_neg" localSheetId="26" hidden="1">1</definedName>
    <definedName name="solver_neg" localSheetId="27" hidden="1">1</definedName>
    <definedName name="solver_neg" localSheetId="28" hidden="1">1</definedName>
    <definedName name="solver_neg" localSheetId="29" hidden="1">1</definedName>
    <definedName name="solver_neg" localSheetId="30" hidden="1">1</definedName>
    <definedName name="solver_neg" localSheetId="31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18" hidden="1">2147483647</definedName>
    <definedName name="solver_nod" localSheetId="19" hidden="1">2147483647</definedName>
    <definedName name="solver_nod" localSheetId="20" hidden="1">2147483647</definedName>
    <definedName name="solver_nod" localSheetId="21" hidden="1">2147483647</definedName>
    <definedName name="solver_nod" localSheetId="22" hidden="1">2147483647</definedName>
    <definedName name="solver_nod" localSheetId="23" hidden="1">2147483647</definedName>
    <definedName name="solver_nod" localSheetId="24" hidden="1">2147483647</definedName>
    <definedName name="solver_nod" localSheetId="25" hidden="1">2147483647</definedName>
    <definedName name="solver_nod" localSheetId="26" hidden="1">2147483647</definedName>
    <definedName name="solver_nod" localSheetId="27" hidden="1">2147483647</definedName>
    <definedName name="solver_nod" localSheetId="28" hidden="1">2147483647</definedName>
    <definedName name="solver_nod" localSheetId="29" hidden="1">2147483647</definedName>
    <definedName name="solver_nod" localSheetId="30" hidden="1">2147483647</definedName>
    <definedName name="solver_nod" localSheetId="31" hidden="1">2147483647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um" localSheetId="12" hidden="1">0</definedName>
    <definedName name="solver_num" localSheetId="13" hidden="1">0</definedName>
    <definedName name="solver_num" localSheetId="14" hidden="1">0</definedName>
    <definedName name="solver_num" localSheetId="15" hidden="1">0</definedName>
    <definedName name="solver_num" localSheetId="16" hidden="1">0</definedName>
    <definedName name="solver_num" localSheetId="17" hidden="1">0</definedName>
    <definedName name="solver_num" localSheetId="18" hidden="1">0</definedName>
    <definedName name="solver_num" localSheetId="19" hidden="1">0</definedName>
    <definedName name="solver_num" localSheetId="20" hidden="1">0</definedName>
    <definedName name="solver_num" localSheetId="21" hidden="1">0</definedName>
    <definedName name="solver_num" localSheetId="22" hidden="1">0</definedName>
    <definedName name="solver_num" localSheetId="23" hidden="1">0</definedName>
    <definedName name="solver_num" localSheetId="24" hidden="1">0</definedName>
    <definedName name="solver_num" localSheetId="25" hidden="1">0</definedName>
    <definedName name="solver_num" localSheetId="26" hidden="1">0</definedName>
    <definedName name="solver_num" localSheetId="27" hidden="1">0</definedName>
    <definedName name="solver_num" localSheetId="28" hidden="1">0</definedName>
    <definedName name="solver_num" localSheetId="29" hidden="1">0</definedName>
    <definedName name="solver_num" localSheetId="30" hidden="1">0</definedName>
    <definedName name="solver_num" localSheetId="31" hidden="1">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nwt" localSheetId="18" hidden="1">1</definedName>
    <definedName name="solver_nwt" localSheetId="19" hidden="1">1</definedName>
    <definedName name="solver_nwt" localSheetId="20" hidden="1">1</definedName>
    <definedName name="solver_nwt" localSheetId="21" hidden="1">1</definedName>
    <definedName name="solver_nwt" localSheetId="22" hidden="1">1</definedName>
    <definedName name="solver_nwt" localSheetId="23" hidden="1">1</definedName>
    <definedName name="solver_nwt" localSheetId="24" hidden="1">1</definedName>
    <definedName name="solver_nwt" localSheetId="25" hidden="1">1</definedName>
    <definedName name="solver_nwt" localSheetId="26" hidden="1">1</definedName>
    <definedName name="solver_nwt" localSheetId="27" hidden="1">1</definedName>
    <definedName name="solver_nwt" localSheetId="28" hidden="1">1</definedName>
    <definedName name="solver_nwt" localSheetId="29" hidden="1">1</definedName>
    <definedName name="solver_nwt" localSheetId="30" hidden="1">1</definedName>
    <definedName name="solver_nwt" localSheetId="31" hidden="1">1</definedName>
    <definedName name="solver_opt" localSheetId="1" hidden="1">'0.0001'!$H$5</definedName>
    <definedName name="solver_opt" localSheetId="2" hidden="1">'0.001'!$H$5</definedName>
    <definedName name="solver_opt" localSheetId="3" hidden="1">'0.005'!$H$5</definedName>
    <definedName name="solver_opt" localSheetId="4" hidden="1">'0.01'!$H$5</definedName>
    <definedName name="solver_opt" localSheetId="5" hidden="1">'0.025'!$H$5</definedName>
    <definedName name="solver_opt" localSheetId="6" hidden="1">'0.05'!$H$5</definedName>
    <definedName name="solver_opt" localSheetId="7" hidden="1">'0.075'!$H$5</definedName>
    <definedName name="solver_opt" localSheetId="8" hidden="1">'0.1'!$H$5</definedName>
    <definedName name="solver_opt" localSheetId="9" hidden="1">'0.15'!$H$5</definedName>
    <definedName name="solver_opt" localSheetId="10" hidden="1">'0.2'!$H$5</definedName>
    <definedName name="solver_opt" localSheetId="11" hidden="1">'0.25'!$H$5</definedName>
    <definedName name="solver_opt" localSheetId="12" hidden="1">'0.3'!$H$5</definedName>
    <definedName name="solver_opt" localSheetId="13" hidden="1">'0.35'!$H$5</definedName>
    <definedName name="solver_opt" localSheetId="14" hidden="1">'0.4'!$H$5</definedName>
    <definedName name="solver_opt" localSheetId="15" hidden="1">'0.45'!$H$5</definedName>
    <definedName name="solver_opt" localSheetId="16" hidden="1">'0.5'!$H$5</definedName>
    <definedName name="solver_opt" localSheetId="17" hidden="1">'0.55'!$H$5</definedName>
    <definedName name="solver_opt" localSheetId="18" hidden="1">'0.6'!$H$5</definedName>
    <definedName name="solver_opt" localSheetId="19" hidden="1">'0.65'!$H$5</definedName>
    <definedName name="solver_opt" localSheetId="20" hidden="1">'0.7'!$H$5</definedName>
    <definedName name="solver_opt" localSheetId="21" hidden="1">'0.75'!$H$5</definedName>
    <definedName name="solver_opt" localSheetId="22" hidden="1">'0.8'!$H$5</definedName>
    <definedName name="solver_opt" localSheetId="23" hidden="1">'0.85'!$H$5</definedName>
    <definedName name="solver_opt" localSheetId="24" hidden="1">'0.9'!$H$5</definedName>
    <definedName name="solver_opt" localSheetId="25" hidden="1">'0.925'!$H$5</definedName>
    <definedName name="solver_opt" localSheetId="26" hidden="1">'0.95'!$H$5</definedName>
    <definedName name="solver_opt" localSheetId="27" hidden="1">'0.975'!$H$5</definedName>
    <definedName name="solver_opt" localSheetId="28" hidden="1">'0.99'!$H$5</definedName>
    <definedName name="solver_opt" localSheetId="29" hidden="1">'0.995'!$H$5</definedName>
    <definedName name="solver_opt" localSheetId="30" hidden="1">'0.999'!$H$5</definedName>
    <definedName name="solver_opt" localSheetId="31" hidden="1">'0.9999'!$H$5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18" hidden="1">0.000001</definedName>
    <definedName name="solver_pre" localSheetId="19" hidden="1">0.000001</definedName>
    <definedName name="solver_pre" localSheetId="20" hidden="1">0.000001</definedName>
    <definedName name="solver_pre" localSheetId="21" hidden="1">0.000001</definedName>
    <definedName name="solver_pre" localSheetId="22" hidden="1">0.000001</definedName>
    <definedName name="solver_pre" localSheetId="23" hidden="1">0.000001</definedName>
    <definedName name="solver_pre" localSheetId="24" hidden="1">0.000001</definedName>
    <definedName name="solver_pre" localSheetId="25" hidden="1">0.000001</definedName>
    <definedName name="solver_pre" localSheetId="26" hidden="1">0.000001</definedName>
    <definedName name="solver_pre" localSheetId="27" hidden="1">0.000001</definedName>
    <definedName name="solver_pre" localSheetId="28" hidden="1">0.000001</definedName>
    <definedName name="solver_pre" localSheetId="29" hidden="1">0.000001</definedName>
    <definedName name="solver_pre" localSheetId="30" hidden="1">0.000001</definedName>
    <definedName name="solver_pre" localSheetId="31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bv" localSheetId="18" hidden="1">1</definedName>
    <definedName name="solver_rbv" localSheetId="19" hidden="1">1</definedName>
    <definedName name="solver_rbv" localSheetId="20" hidden="1">1</definedName>
    <definedName name="solver_rbv" localSheetId="21" hidden="1">1</definedName>
    <definedName name="solver_rbv" localSheetId="22" hidden="1">1</definedName>
    <definedName name="solver_rbv" localSheetId="23" hidden="1">1</definedName>
    <definedName name="solver_rbv" localSheetId="24" hidden="1">1</definedName>
    <definedName name="solver_rbv" localSheetId="25" hidden="1">1</definedName>
    <definedName name="solver_rbv" localSheetId="26" hidden="1">1</definedName>
    <definedName name="solver_rbv" localSheetId="27" hidden="1">1</definedName>
    <definedName name="solver_rbv" localSheetId="28" hidden="1">1</definedName>
    <definedName name="solver_rbv" localSheetId="29" hidden="1">1</definedName>
    <definedName name="solver_rbv" localSheetId="30" hidden="1">1</definedName>
    <definedName name="solver_rbv" localSheetId="31" hidden="1">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18" hidden="1">2</definedName>
    <definedName name="solver_rlx" localSheetId="19" hidden="1">2</definedName>
    <definedName name="solver_rlx" localSheetId="20" hidden="1">2</definedName>
    <definedName name="solver_rlx" localSheetId="21" hidden="1">2</definedName>
    <definedName name="solver_rlx" localSheetId="22" hidden="1">2</definedName>
    <definedName name="solver_rlx" localSheetId="23" hidden="1">2</definedName>
    <definedName name="solver_rlx" localSheetId="24" hidden="1">2</definedName>
    <definedName name="solver_rlx" localSheetId="25" hidden="1">2</definedName>
    <definedName name="solver_rlx" localSheetId="26" hidden="1">2</definedName>
    <definedName name="solver_rlx" localSheetId="27" hidden="1">2</definedName>
    <definedName name="solver_rlx" localSheetId="28" hidden="1">2</definedName>
    <definedName name="solver_rlx" localSheetId="29" hidden="1">2</definedName>
    <definedName name="solver_rlx" localSheetId="30" hidden="1">2</definedName>
    <definedName name="solver_rlx" localSheetId="31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18" hidden="1">0</definedName>
    <definedName name="solver_rsd" localSheetId="19" hidden="1">0</definedName>
    <definedName name="solver_rsd" localSheetId="20" hidden="1">0</definedName>
    <definedName name="solver_rsd" localSheetId="21" hidden="1">0</definedName>
    <definedName name="solver_rsd" localSheetId="22" hidden="1">0</definedName>
    <definedName name="solver_rsd" localSheetId="23" hidden="1">0</definedName>
    <definedName name="solver_rsd" localSheetId="24" hidden="1">0</definedName>
    <definedName name="solver_rsd" localSheetId="25" hidden="1">0</definedName>
    <definedName name="solver_rsd" localSheetId="26" hidden="1">0</definedName>
    <definedName name="solver_rsd" localSheetId="27" hidden="1">0</definedName>
    <definedName name="solver_rsd" localSheetId="28" hidden="1">0</definedName>
    <definedName name="solver_rsd" localSheetId="29" hidden="1">0</definedName>
    <definedName name="solver_rsd" localSheetId="30" hidden="1">0</definedName>
    <definedName name="solver_rsd" localSheetId="31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cl" localSheetId="18" hidden="1">1</definedName>
    <definedName name="solver_scl" localSheetId="19" hidden="1">1</definedName>
    <definedName name="solver_scl" localSheetId="20" hidden="1">1</definedName>
    <definedName name="solver_scl" localSheetId="21" hidden="1">1</definedName>
    <definedName name="solver_scl" localSheetId="22" hidden="1">1</definedName>
    <definedName name="solver_scl" localSheetId="23" hidden="1">1</definedName>
    <definedName name="solver_scl" localSheetId="24" hidden="1">1</definedName>
    <definedName name="solver_scl" localSheetId="25" hidden="1">1</definedName>
    <definedName name="solver_scl" localSheetId="26" hidden="1">1</definedName>
    <definedName name="solver_scl" localSheetId="27" hidden="1">1</definedName>
    <definedName name="solver_scl" localSheetId="28" hidden="1">1</definedName>
    <definedName name="solver_scl" localSheetId="29" hidden="1">1</definedName>
    <definedName name="solver_scl" localSheetId="30" hidden="1">1</definedName>
    <definedName name="solver_scl" localSheetId="31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18" hidden="1">2</definedName>
    <definedName name="solver_sho" localSheetId="19" hidden="1">2</definedName>
    <definedName name="solver_sho" localSheetId="20" hidden="1">2</definedName>
    <definedName name="solver_sho" localSheetId="21" hidden="1">2</definedName>
    <definedName name="solver_sho" localSheetId="22" hidden="1">2</definedName>
    <definedName name="solver_sho" localSheetId="23" hidden="1">2</definedName>
    <definedName name="solver_sho" localSheetId="24" hidden="1">2</definedName>
    <definedName name="solver_sho" localSheetId="25" hidden="1">2</definedName>
    <definedName name="solver_sho" localSheetId="26" hidden="1">2</definedName>
    <definedName name="solver_sho" localSheetId="27" hidden="1">2</definedName>
    <definedName name="solver_sho" localSheetId="28" hidden="1">2</definedName>
    <definedName name="solver_sho" localSheetId="29" hidden="1">2</definedName>
    <definedName name="solver_sho" localSheetId="30" hidden="1">2</definedName>
    <definedName name="solver_sho" localSheetId="31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18" hidden="1">100</definedName>
    <definedName name="solver_ssz" localSheetId="19" hidden="1">100</definedName>
    <definedName name="solver_ssz" localSheetId="20" hidden="1">100</definedName>
    <definedName name="solver_ssz" localSheetId="21" hidden="1">100</definedName>
    <definedName name="solver_ssz" localSheetId="22" hidden="1">100</definedName>
    <definedName name="solver_ssz" localSheetId="23" hidden="1">100</definedName>
    <definedName name="solver_ssz" localSheetId="24" hidden="1">100</definedName>
    <definedName name="solver_ssz" localSheetId="25" hidden="1">100</definedName>
    <definedName name="solver_ssz" localSheetId="26" hidden="1">100</definedName>
    <definedName name="solver_ssz" localSheetId="27" hidden="1">100</definedName>
    <definedName name="solver_ssz" localSheetId="28" hidden="1">100</definedName>
    <definedName name="solver_ssz" localSheetId="29" hidden="1">100</definedName>
    <definedName name="solver_ssz" localSheetId="30" hidden="1">100</definedName>
    <definedName name="solver_ssz" localSheetId="31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18" hidden="1">2147483647</definedName>
    <definedName name="solver_tim" localSheetId="19" hidden="1">2147483647</definedName>
    <definedName name="solver_tim" localSheetId="20" hidden="1">2147483647</definedName>
    <definedName name="solver_tim" localSheetId="21" hidden="1">2147483647</definedName>
    <definedName name="solver_tim" localSheetId="22" hidden="1">2147483647</definedName>
    <definedName name="solver_tim" localSheetId="23" hidden="1">2147483647</definedName>
    <definedName name="solver_tim" localSheetId="24" hidden="1">2147483647</definedName>
    <definedName name="solver_tim" localSheetId="25" hidden="1">2147483647</definedName>
    <definedName name="solver_tim" localSheetId="26" hidden="1">2147483647</definedName>
    <definedName name="solver_tim" localSheetId="27" hidden="1">2147483647</definedName>
    <definedName name="solver_tim" localSheetId="28" hidden="1">2147483647</definedName>
    <definedName name="solver_tim" localSheetId="29" hidden="1">2147483647</definedName>
    <definedName name="solver_tim" localSheetId="30" hidden="1">2147483647</definedName>
    <definedName name="solver_tim" localSheetId="31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ol" localSheetId="18" hidden="1">0.01</definedName>
    <definedName name="solver_tol" localSheetId="19" hidden="1">0.01</definedName>
    <definedName name="solver_tol" localSheetId="20" hidden="1">0.01</definedName>
    <definedName name="solver_tol" localSheetId="21" hidden="1">0.01</definedName>
    <definedName name="solver_tol" localSheetId="22" hidden="1">0.01</definedName>
    <definedName name="solver_tol" localSheetId="23" hidden="1">0.01</definedName>
    <definedName name="solver_tol" localSheetId="24" hidden="1">0.01</definedName>
    <definedName name="solver_tol" localSheetId="25" hidden="1">0.01</definedName>
    <definedName name="solver_tol" localSheetId="26" hidden="1">0.01</definedName>
    <definedName name="solver_tol" localSheetId="27" hidden="1">0.01</definedName>
    <definedName name="solver_tol" localSheetId="28" hidden="1">0.01</definedName>
    <definedName name="solver_tol" localSheetId="29" hidden="1">0.01</definedName>
    <definedName name="solver_tol" localSheetId="30" hidden="1">0.01</definedName>
    <definedName name="solver_tol" localSheetId="31" hidden="1">0.01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6" hidden="1">2</definedName>
    <definedName name="solver_typ" localSheetId="17" hidden="1">2</definedName>
    <definedName name="solver_typ" localSheetId="18" hidden="1">2</definedName>
    <definedName name="solver_typ" localSheetId="19" hidden="1">2</definedName>
    <definedName name="solver_typ" localSheetId="20" hidden="1">2</definedName>
    <definedName name="solver_typ" localSheetId="21" hidden="1">2</definedName>
    <definedName name="solver_typ" localSheetId="22" hidden="1">2</definedName>
    <definedName name="solver_typ" localSheetId="23" hidden="1">2</definedName>
    <definedName name="solver_typ" localSheetId="24" hidden="1">2</definedName>
    <definedName name="solver_typ" localSheetId="25" hidden="1">2</definedName>
    <definedName name="solver_typ" localSheetId="26" hidden="1">2</definedName>
    <definedName name="solver_typ" localSheetId="27" hidden="1">2</definedName>
    <definedName name="solver_typ" localSheetId="28" hidden="1">2</definedName>
    <definedName name="solver_typ" localSheetId="29" hidden="1">2</definedName>
    <definedName name="solver_typ" localSheetId="30" hidden="1">2</definedName>
    <definedName name="solver_typ" localSheetId="31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al" localSheetId="18" hidden="1">0</definedName>
    <definedName name="solver_val" localSheetId="19" hidden="1">0</definedName>
    <definedName name="solver_val" localSheetId="20" hidden="1">0</definedName>
    <definedName name="solver_val" localSheetId="21" hidden="1">0</definedName>
    <definedName name="solver_val" localSheetId="22" hidden="1">0</definedName>
    <definedName name="solver_val" localSheetId="23" hidden="1">0</definedName>
    <definedName name="solver_val" localSheetId="24" hidden="1">0</definedName>
    <definedName name="solver_val" localSheetId="25" hidden="1">0</definedName>
    <definedName name="solver_val" localSheetId="26" hidden="1">0</definedName>
    <definedName name="solver_val" localSheetId="27" hidden="1">0</definedName>
    <definedName name="solver_val" localSheetId="28" hidden="1">0</definedName>
    <definedName name="solver_val" localSheetId="29" hidden="1">0</definedName>
    <definedName name="solver_val" localSheetId="30" hidden="1">0</definedName>
    <definedName name="solver_val" localSheetId="31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  <definedName name="solver_ver" localSheetId="18" hidden="1">3</definedName>
    <definedName name="solver_ver" localSheetId="19" hidden="1">3</definedName>
    <definedName name="solver_ver" localSheetId="20" hidden="1">3</definedName>
    <definedName name="solver_ver" localSheetId="21" hidden="1">3</definedName>
    <definedName name="solver_ver" localSheetId="22" hidden="1">3</definedName>
    <definedName name="solver_ver" localSheetId="23" hidden="1">3</definedName>
    <definedName name="solver_ver" localSheetId="24" hidden="1">3</definedName>
    <definedName name="solver_ver" localSheetId="25" hidden="1">3</definedName>
    <definedName name="solver_ver" localSheetId="26" hidden="1">3</definedName>
    <definedName name="solver_ver" localSheetId="27" hidden="1">3</definedName>
    <definedName name="solver_ver" localSheetId="28" hidden="1">3</definedName>
    <definedName name="solver_ver" localSheetId="29" hidden="1">3</definedName>
    <definedName name="solver_ver" localSheetId="30" hidden="1">3</definedName>
    <definedName name="solver_ver" localSheetId="3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2" l="1"/>
  <c r="C5" i="32" s="1"/>
  <c r="D5" i="32" s="1"/>
  <c r="E5" i="32" s="1"/>
  <c r="H3" i="31"/>
  <c r="C5" i="31" s="1"/>
  <c r="D5" i="31" s="1"/>
  <c r="E5" i="31" s="1"/>
  <c r="H3" i="30"/>
  <c r="C5" i="30" s="1"/>
  <c r="D5" i="30" s="1"/>
  <c r="E5" i="30" s="1"/>
  <c r="H3" i="29"/>
  <c r="C5" i="29" s="1"/>
  <c r="D5" i="29" s="1"/>
  <c r="E5" i="29" s="1"/>
  <c r="H3" i="28"/>
  <c r="C5" i="28" s="1"/>
  <c r="D5" i="28" s="1"/>
  <c r="E5" i="28" s="1"/>
  <c r="H3" i="27"/>
  <c r="C5" i="27" s="1"/>
  <c r="D5" i="27" s="1"/>
  <c r="E5" i="27" s="1"/>
  <c r="H3" i="26"/>
  <c r="C5" i="26" s="1"/>
  <c r="D5" i="26" s="1"/>
  <c r="E5" i="26" s="1"/>
  <c r="H3" i="25"/>
  <c r="C5" i="25" s="1"/>
  <c r="D5" i="25" s="1"/>
  <c r="E5" i="25" s="1"/>
  <c r="H3" i="24"/>
  <c r="C5" i="24" s="1"/>
  <c r="D5" i="24" s="1"/>
  <c r="E5" i="24" s="1"/>
  <c r="H3" i="23"/>
  <c r="C5" i="23" s="1"/>
  <c r="D5" i="23" s="1"/>
  <c r="E5" i="23" s="1"/>
  <c r="H3" i="22"/>
  <c r="C5" i="22" s="1"/>
  <c r="D5" i="22" s="1"/>
  <c r="E5" i="22" s="1"/>
  <c r="H3" i="21"/>
  <c r="C5" i="21" s="1"/>
  <c r="D5" i="21" s="1"/>
  <c r="E5" i="21" s="1"/>
  <c r="H3" i="20"/>
  <c r="C5" i="20" s="1"/>
  <c r="D5" i="20" s="1"/>
  <c r="E5" i="20" s="1"/>
  <c r="H3" i="19"/>
  <c r="C5" i="19" s="1"/>
  <c r="D5" i="19" s="1"/>
  <c r="E5" i="19" s="1"/>
  <c r="H3" i="18"/>
  <c r="C5" i="18" s="1"/>
  <c r="D5" i="18" s="1"/>
  <c r="E5" i="18" s="1"/>
  <c r="H3" i="17"/>
  <c r="C5" i="17" s="1"/>
  <c r="D5" i="17" s="1"/>
  <c r="E5" i="17" s="1"/>
  <c r="H3" i="16"/>
  <c r="C5" i="16" s="1"/>
  <c r="D5" i="16" s="1"/>
  <c r="E5" i="16" s="1"/>
  <c r="H3" i="15"/>
  <c r="C5" i="15" s="1"/>
  <c r="D5" i="15" s="1"/>
  <c r="E5" i="15" s="1"/>
  <c r="H3" i="14"/>
  <c r="C5" i="14" s="1"/>
  <c r="D5" i="14" s="1"/>
  <c r="E5" i="14" s="1"/>
  <c r="H3" i="13"/>
  <c r="C5" i="13" s="1"/>
  <c r="D5" i="13" s="1"/>
  <c r="E5" i="13" s="1"/>
  <c r="H3" i="12"/>
  <c r="C5" i="12" s="1"/>
  <c r="D5" i="12" s="1"/>
  <c r="E5" i="12" s="1"/>
  <c r="H3" i="11"/>
  <c r="C1" i="11" s="1"/>
  <c r="D1" i="11" s="1"/>
  <c r="E1" i="11" s="1"/>
  <c r="H3" i="10"/>
  <c r="C5" i="10" s="1"/>
  <c r="D5" i="10" s="1"/>
  <c r="E5" i="10" s="1"/>
  <c r="H3" i="9"/>
  <c r="C5" i="9" s="1"/>
  <c r="D5" i="9" s="1"/>
  <c r="E5" i="9" s="1"/>
  <c r="H3" i="8"/>
  <c r="C5" i="8" s="1"/>
  <c r="D5" i="8" s="1"/>
  <c r="E5" i="8" s="1"/>
  <c r="H3" i="7"/>
  <c r="C5" i="7" s="1"/>
  <c r="D5" i="7" s="1"/>
  <c r="E5" i="7" s="1"/>
  <c r="H3" i="6"/>
  <c r="C5" i="6" s="1"/>
  <c r="D5" i="6" s="1"/>
  <c r="E5" i="6" s="1"/>
  <c r="H3" i="5"/>
  <c r="C5" i="5" s="1"/>
  <c r="D5" i="5" s="1"/>
  <c r="E5" i="5" s="1"/>
  <c r="H3" i="4"/>
  <c r="C5" i="4" s="1"/>
  <c r="D5" i="4" s="1"/>
  <c r="E5" i="4" s="1"/>
  <c r="H3" i="3"/>
  <c r="C5" i="3" s="1"/>
  <c r="D5" i="3" s="1"/>
  <c r="E5" i="3" s="1"/>
  <c r="H3" i="2"/>
  <c r="C5" i="2" s="1"/>
  <c r="D5" i="2" s="1"/>
  <c r="E5" i="2" s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  <c r="C34" i="32" l="1"/>
  <c r="D34" i="32" s="1"/>
  <c r="E34" i="32" s="1"/>
  <c r="C6" i="32"/>
  <c r="D6" i="32" s="1"/>
  <c r="E6" i="32" s="1"/>
  <c r="C10" i="32"/>
  <c r="D10" i="32" s="1"/>
  <c r="E10" i="32" s="1"/>
  <c r="C2" i="32"/>
  <c r="D2" i="32" s="1"/>
  <c r="E2" i="32" s="1"/>
  <c r="C14" i="32"/>
  <c r="D14" i="32" s="1"/>
  <c r="E14" i="32" s="1"/>
  <c r="C22" i="32"/>
  <c r="D22" i="32" s="1"/>
  <c r="E22" i="32" s="1"/>
  <c r="C26" i="32"/>
  <c r="D26" i="32" s="1"/>
  <c r="E26" i="32" s="1"/>
  <c r="C18" i="32"/>
  <c r="D18" i="32" s="1"/>
  <c r="E18" i="32" s="1"/>
  <c r="C30" i="32"/>
  <c r="D30" i="32" s="1"/>
  <c r="E30" i="32" s="1"/>
  <c r="C38" i="32"/>
  <c r="D38" i="32" s="1"/>
  <c r="E38" i="32" s="1"/>
  <c r="C38" i="31"/>
  <c r="D38" i="31" s="1"/>
  <c r="E38" i="31" s="1"/>
  <c r="C2" i="31"/>
  <c r="D2" i="31" s="1"/>
  <c r="E2" i="31" s="1"/>
  <c r="C6" i="31"/>
  <c r="D6" i="31" s="1"/>
  <c r="E6" i="31" s="1"/>
  <c r="C10" i="31"/>
  <c r="D10" i="31" s="1"/>
  <c r="E10" i="31" s="1"/>
  <c r="C14" i="31"/>
  <c r="D14" i="31" s="1"/>
  <c r="E14" i="31" s="1"/>
  <c r="C18" i="31"/>
  <c r="D18" i="31" s="1"/>
  <c r="E18" i="31" s="1"/>
  <c r="C22" i="31"/>
  <c r="D22" i="31" s="1"/>
  <c r="E22" i="31" s="1"/>
  <c r="C26" i="31"/>
  <c r="D26" i="31" s="1"/>
  <c r="E26" i="31" s="1"/>
  <c r="C30" i="31"/>
  <c r="D30" i="31" s="1"/>
  <c r="E30" i="31" s="1"/>
  <c r="C34" i="31"/>
  <c r="D34" i="31" s="1"/>
  <c r="E34" i="31" s="1"/>
  <c r="C3" i="30"/>
  <c r="D3" i="30" s="1"/>
  <c r="E3" i="30" s="1"/>
  <c r="C2" i="30"/>
  <c r="D2" i="30" s="1"/>
  <c r="E2" i="30" s="1"/>
  <c r="C2" i="29"/>
  <c r="D2" i="29" s="1"/>
  <c r="E2" i="29" s="1"/>
  <c r="C13" i="28"/>
  <c r="D13" i="28" s="1"/>
  <c r="E13" i="28" s="1"/>
  <c r="C29" i="28"/>
  <c r="D29" i="28" s="1"/>
  <c r="E29" i="28" s="1"/>
  <c r="C14" i="28"/>
  <c r="D14" i="28" s="1"/>
  <c r="E14" i="28" s="1"/>
  <c r="C30" i="28"/>
  <c r="D30" i="28" s="1"/>
  <c r="E30" i="28" s="1"/>
  <c r="C17" i="28"/>
  <c r="D17" i="28" s="1"/>
  <c r="E17" i="28" s="1"/>
  <c r="C33" i="28"/>
  <c r="D33" i="28" s="1"/>
  <c r="E33" i="28" s="1"/>
  <c r="C2" i="28"/>
  <c r="D2" i="28" s="1"/>
  <c r="E2" i="28" s="1"/>
  <c r="C3" i="28"/>
  <c r="D3" i="28" s="1"/>
  <c r="E3" i="28" s="1"/>
  <c r="C18" i="28"/>
  <c r="D18" i="28" s="1"/>
  <c r="E18" i="28" s="1"/>
  <c r="C34" i="28"/>
  <c r="D34" i="28" s="1"/>
  <c r="E34" i="28" s="1"/>
  <c r="C21" i="28"/>
  <c r="D21" i="28" s="1"/>
  <c r="E21" i="28" s="1"/>
  <c r="C37" i="28"/>
  <c r="D37" i="28" s="1"/>
  <c r="E37" i="28" s="1"/>
  <c r="C6" i="28"/>
  <c r="D6" i="28" s="1"/>
  <c r="E6" i="28" s="1"/>
  <c r="C7" i="28"/>
  <c r="D7" i="28" s="1"/>
  <c r="E7" i="28" s="1"/>
  <c r="C22" i="28"/>
  <c r="D22" i="28" s="1"/>
  <c r="E22" i="28" s="1"/>
  <c r="C38" i="28"/>
  <c r="D38" i="28" s="1"/>
  <c r="E38" i="28" s="1"/>
  <c r="C9" i="28"/>
  <c r="D9" i="28" s="1"/>
  <c r="E9" i="28" s="1"/>
  <c r="C25" i="28"/>
  <c r="D25" i="28" s="1"/>
  <c r="E25" i="28" s="1"/>
  <c r="C10" i="28"/>
  <c r="D10" i="28" s="1"/>
  <c r="E10" i="28" s="1"/>
  <c r="C26" i="28"/>
  <c r="D26" i="28" s="1"/>
  <c r="E26" i="28" s="1"/>
  <c r="C30" i="27"/>
  <c r="D30" i="27" s="1"/>
  <c r="E30" i="27" s="1"/>
  <c r="C26" i="27"/>
  <c r="D26" i="27" s="1"/>
  <c r="E26" i="27" s="1"/>
  <c r="C34" i="27"/>
  <c r="D34" i="27" s="1"/>
  <c r="E34" i="27" s="1"/>
  <c r="C38" i="27"/>
  <c r="D38" i="27" s="1"/>
  <c r="E38" i="27" s="1"/>
  <c r="C1" i="27"/>
  <c r="D1" i="27" s="1"/>
  <c r="E1" i="27" s="1"/>
  <c r="C2" i="27"/>
  <c r="D2" i="27" s="1"/>
  <c r="E2" i="27" s="1"/>
  <c r="C10" i="27"/>
  <c r="D10" i="27" s="1"/>
  <c r="E10" i="27" s="1"/>
  <c r="C18" i="27"/>
  <c r="D18" i="27" s="1"/>
  <c r="E18" i="27" s="1"/>
  <c r="C6" i="27"/>
  <c r="D6" i="27" s="1"/>
  <c r="E6" i="27" s="1"/>
  <c r="C14" i="27"/>
  <c r="D14" i="27" s="1"/>
  <c r="E14" i="27" s="1"/>
  <c r="C22" i="27"/>
  <c r="D22" i="27" s="1"/>
  <c r="E22" i="27" s="1"/>
  <c r="C10" i="26"/>
  <c r="D10" i="26" s="1"/>
  <c r="E10" i="26" s="1"/>
  <c r="C25" i="26"/>
  <c r="D25" i="26" s="1"/>
  <c r="E25" i="26" s="1"/>
  <c r="C26" i="26"/>
  <c r="D26" i="26" s="1"/>
  <c r="E26" i="26" s="1"/>
  <c r="C34" i="26"/>
  <c r="D34" i="26" s="1"/>
  <c r="E34" i="26" s="1"/>
  <c r="C2" i="26"/>
  <c r="D2" i="26" s="1"/>
  <c r="E2" i="26" s="1"/>
  <c r="C3" i="26"/>
  <c r="D3" i="26" s="1"/>
  <c r="E3" i="26" s="1"/>
  <c r="C9" i="26"/>
  <c r="D9" i="26" s="1"/>
  <c r="E9" i="26" s="1"/>
  <c r="C33" i="26"/>
  <c r="D33" i="26" s="1"/>
  <c r="E33" i="26" s="1"/>
  <c r="C13" i="26"/>
  <c r="D13" i="26" s="1"/>
  <c r="E13" i="26" s="1"/>
  <c r="C37" i="26"/>
  <c r="D37" i="26" s="1"/>
  <c r="E37" i="26" s="1"/>
  <c r="C14" i="26"/>
  <c r="D14" i="26" s="1"/>
  <c r="E14" i="26" s="1"/>
  <c r="C38" i="26"/>
  <c r="D38" i="26" s="1"/>
  <c r="E38" i="26" s="1"/>
  <c r="C17" i="26"/>
  <c r="D17" i="26" s="1"/>
  <c r="E17" i="26" s="1"/>
  <c r="C18" i="26"/>
  <c r="D18" i="26" s="1"/>
  <c r="E18" i="26" s="1"/>
  <c r="C21" i="26"/>
  <c r="D21" i="26" s="1"/>
  <c r="E21" i="26" s="1"/>
  <c r="C22" i="26"/>
  <c r="D22" i="26" s="1"/>
  <c r="E22" i="26" s="1"/>
  <c r="C29" i="26"/>
  <c r="D29" i="26" s="1"/>
  <c r="E29" i="26" s="1"/>
  <c r="C6" i="26"/>
  <c r="D6" i="26" s="1"/>
  <c r="E6" i="26" s="1"/>
  <c r="C30" i="26"/>
  <c r="D30" i="26" s="1"/>
  <c r="E30" i="26" s="1"/>
  <c r="C2" i="25"/>
  <c r="D2" i="25" s="1"/>
  <c r="E2" i="25" s="1"/>
  <c r="C22" i="25"/>
  <c r="D22" i="25" s="1"/>
  <c r="E22" i="25" s="1"/>
  <c r="C10" i="25"/>
  <c r="D10" i="25" s="1"/>
  <c r="E10" i="25" s="1"/>
  <c r="C14" i="25"/>
  <c r="D14" i="25" s="1"/>
  <c r="E14" i="25" s="1"/>
  <c r="C34" i="25"/>
  <c r="D34" i="25" s="1"/>
  <c r="E34" i="25" s="1"/>
  <c r="C18" i="25"/>
  <c r="D18" i="25" s="1"/>
  <c r="E18" i="25" s="1"/>
  <c r="C26" i="25"/>
  <c r="D26" i="25" s="1"/>
  <c r="E26" i="25" s="1"/>
  <c r="C30" i="25"/>
  <c r="D30" i="25" s="1"/>
  <c r="E30" i="25" s="1"/>
  <c r="C38" i="25"/>
  <c r="D38" i="25" s="1"/>
  <c r="E38" i="25" s="1"/>
  <c r="C6" i="25"/>
  <c r="D6" i="25" s="1"/>
  <c r="E6" i="25" s="1"/>
  <c r="C2" i="24"/>
  <c r="D2" i="24" s="1"/>
  <c r="E2" i="24" s="1"/>
  <c r="C2" i="23"/>
  <c r="D2" i="23" s="1"/>
  <c r="E2" i="23" s="1"/>
  <c r="C2" i="22"/>
  <c r="D2" i="22" s="1"/>
  <c r="E2" i="22" s="1"/>
  <c r="C34" i="21"/>
  <c r="D34" i="21" s="1"/>
  <c r="E34" i="21" s="1"/>
  <c r="C30" i="21"/>
  <c r="D30" i="21" s="1"/>
  <c r="E30" i="21" s="1"/>
  <c r="C38" i="21"/>
  <c r="D38" i="21" s="1"/>
  <c r="E38" i="21" s="1"/>
  <c r="C2" i="21"/>
  <c r="D2" i="21" s="1"/>
  <c r="E2" i="21" s="1"/>
  <c r="C6" i="21"/>
  <c r="D6" i="21" s="1"/>
  <c r="E6" i="21" s="1"/>
  <c r="C10" i="21"/>
  <c r="D10" i="21" s="1"/>
  <c r="E10" i="21" s="1"/>
  <c r="C14" i="21"/>
  <c r="D14" i="21" s="1"/>
  <c r="E14" i="21" s="1"/>
  <c r="C18" i="21"/>
  <c r="D18" i="21" s="1"/>
  <c r="E18" i="21" s="1"/>
  <c r="C22" i="21"/>
  <c r="D22" i="21" s="1"/>
  <c r="E22" i="21" s="1"/>
  <c r="C26" i="21"/>
  <c r="D26" i="21" s="1"/>
  <c r="E26" i="21" s="1"/>
  <c r="C2" i="20"/>
  <c r="D2" i="20" s="1"/>
  <c r="E2" i="20" s="1"/>
  <c r="C21" i="19"/>
  <c r="D21" i="19" s="1"/>
  <c r="E21" i="19" s="1"/>
  <c r="C37" i="19"/>
  <c r="D37" i="19" s="1"/>
  <c r="E37" i="19" s="1"/>
  <c r="C9" i="19"/>
  <c r="D9" i="19" s="1"/>
  <c r="E9" i="19" s="1"/>
  <c r="C13" i="19"/>
  <c r="D13" i="19" s="1"/>
  <c r="E13" i="19" s="1"/>
  <c r="C33" i="19"/>
  <c r="D33" i="19" s="1"/>
  <c r="E33" i="19" s="1"/>
  <c r="C2" i="19"/>
  <c r="D2" i="19" s="1"/>
  <c r="E2" i="19" s="1"/>
  <c r="C17" i="19"/>
  <c r="D17" i="19" s="1"/>
  <c r="E17" i="19" s="1"/>
  <c r="C25" i="19"/>
  <c r="D25" i="19" s="1"/>
  <c r="E25" i="19" s="1"/>
  <c r="C29" i="19"/>
  <c r="D29" i="19" s="1"/>
  <c r="E29" i="19" s="1"/>
  <c r="C21" i="18"/>
  <c r="D21" i="18" s="1"/>
  <c r="E21" i="18" s="1"/>
  <c r="C33" i="18"/>
  <c r="D33" i="18" s="1"/>
  <c r="E33" i="18" s="1"/>
  <c r="C35" i="18"/>
  <c r="D35" i="18" s="1"/>
  <c r="E35" i="18" s="1"/>
  <c r="C7" i="18"/>
  <c r="D7" i="18" s="1"/>
  <c r="E7" i="18" s="1"/>
  <c r="C23" i="18"/>
  <c r="D23" i="18" s="1"/>
  <c r="E23" i="18" s="1"/>
  <c r="C15" i="18"/>
  <c r="D15" i="18" s="1"/>
  <c r="E15" i="18" s="1"/>
  <c r="C17" i="18"/>
  <c r="D17" i="18" s="1"/>
  <c r="E17" i="18" s="1"/>
  <c r="C31" i="18"/>
  <c r="D31" i="18" s="1"/>
  <c r="E31" i="18" s="1"/>
  <c r="C9" i="18"/>
  <c r="D9" i="18" s="1"/>
  <c r="E9" i="18" s="1"/>
  <c r="C37" i="18"/>
  <c r="D37" i="18" s="1"/>
  <c r="E37" i="18" s="1"/>
  <c r="C11" i="18"/>
  <c r="D11" i="18" s="1"/>
  <c r="E11" i="18" s="1"/>
  <c r="C13" i="18"/>
  <c r="D13" i="18" s="1"/>
  <c r="E13" i="18" s="1"/>
  <c r="C19" i="18"/>
  <c r="D19" i="18" s="1"/>
  <c r="E19" i="18" s="1"/>
  <c r="C25" i="18"/>
  <c r="D25" i="18" s="1"/>
  <c r="E25" i="18" s="1"/>
  <c r="C2" i="18"/>
  <c r="D2" i="18" s="1"/>
  <c r="E2" i="18" s="1"/>
  <c r="C27" i="18"/>
  <c r="D27" i="18" s="1"/>
  <c r="E27" i="18" s="1"/>
  <c r="C29" i="18"/>
  <c r="D29" i="18" s="1"/>
  <c r="E29" i="18" s="1"/>
  <c r="C2" i="17"/>
  <c r="D2" i="17" s="1"/>
  <c r="E2" i="17" s="1"/>
  <c r="C2" i="16"/>
  <c r="D2" i="16" s="1"/>
  <c r="E2" i="16" s="1"/>
  <c r="C2" i="15"/>
  <c r="D2" i="15" s="1"/>
  <c r="E2" i="15" s="1"/>
  <c r="C6" i="15"/>
  <c r="D6" i="15" s="1"/>
  <c r="E6" i="15" s="1"/>
  <c r="C10" i="15"/>
  <c r="D10" i="15" s="1"/>
  <c r="E10" i="15" s="1"/>
  <c r="C2" i="14"/>
  <c r="D2" i="14" s="1"/>
  <c r="E2" i="14" s="1"/>
  <c r="C2" i="13"/>
  <c r="D2" i="13" s="1"/>
  <c r="E2" i="13" s="1"/>
  <c r="C1" i="13"/>
  <c r="D1" i="13" s="1"/>
  <c r="E1" i="13" s="1"/>
  <c r="C4" i="13"/>
  <c r="D4" i="13" s="1"/>
  <c r="E4" i="13" s="1"/>
  <c r="C6" i="13"/>
  <c r="D6" i="13" s="1"/>
  <c r="E6" i="13" s="1"/>
  <c r="C10" i="13"/>
  <c r="D10" i="13" s="1"/>
  <c r="E10" i="13" s="1"/>
  <c r="C14" i="13"/>
  <c r="D14" i="13" s="1"/>
  <c r="E14" i="13" s="1"/>
  <c r="C18" i="13"/>
  <c r="D18" i="13" s="1"/>
  <c r="E18" i="13" s="1"/>
  <c r="C22" i="13"/>
  <c r="D22" i="13" s="1"/>
  <c r="E22" i="13" s="1"/>
  <c r="C26" i="13"/>
  <c r="D26" i="13" s="1"/>
  <c r="E26" i="13" s="1"/>
  <c r="C30" i="13"/>
  <c r="D30" i="13" s="1"/>
  <c r="E30" i="13" s="1"/>
  <c r="C34" i="13"/>
  <c r="D34" i="13" s="1"/>
  <c r="E34" i="13" s="1"/>
  <c r="C34" i="12"/>
  <c r="D34" i="12" s="1"/>
  <c r="E34" i="12" s="1"/>
  <c r="C10" i="12"/>
  <c r="D10" i="12" s="1"/>
  <c r="E10" i="12" s="1"/>
  <c r="C14" i="12"/>
  <c r="D14" i="12" s="1"/>
  <c r="E14" i="12" s="1"/>
  <c r="C18" i="12"/>
  <c r="D18" i="12" s="1"/>
  <c r="E18" i="12" s="1"/>
  <c r="C6" i="12"/>
  <c r="D6" i="12" s="1"/>
  <c r="E6" i="12" s="1"/>
  <c r="C22" i="12"/>
  <c r="D22" i="12" s="1"/>
  <c r="E22" i="12" s="1"/>
  <c r="C26" i="12"/>
  <c r="D26" i="12" s="1"/>
  <c r="E26" i="12" s="1"/>
  <c r="C30" i="12"/>
  <c r="D30" i="12" s="1"/>
  <c r="E30" i="12" s="1"/>
  <c r="C2" i="12"/>
  <c r="D2" i="12" s="1"/>
  <c r="E2" i="12" s="1"/>
  <c r="C38" i="12"/>
  <c r="D38" i="12" s="1"/>
  <c r="E38" i="12" s="1"/>
  <c r="C2" i="11"/>
  <c r="D2" i="11" s="1"/>
  <c r="E2" i="11" s="1"/>
  <c r="C38" i="11"/>
  <c r="D38" i="11" s="1"/>
  <c r="E38" i="11" s="1"/>
  <c r="C5" i="11"/>
  <c r="D5" i="11" s="1"/>
  <c r="E5" i="11" s="1"/>
  <c r="C6" i="11"/>
  <c r="D6" i="11" s="1"/>
  <c r="E6" i="11" s="1"/>
  <c r="C10" i="11"/>
  <c r="D10" i="11" s="1"/>
  <c r="E10" i="11" s="1"/>
  <c r="C14" i="11"/>
  <c r="D14" i="11" s="1"/>
  <c r="E14" i="11" s="1"/>
  <c r="C18" i="11"/>
  <c r="D18" i="11" s="1"/>
  <c r="E18" i="11" s="1"/>
  <c r="C22" i="11"/>
  <c r="D22" i="11" s="1"/>
  <c r="E22" i="11" s="1"/>
  <c r="C26" i="11"/>
  <c r="D26" i="11" s="1"/>
  <c r="E26" i="11" s="1"/>
  <c r="C30" i="11"/>
  <c r="D30" i="11" s="1"/>
  <c r="E30" i="11" s="1"/>
  <c r="C34" i="11"/>
  <c r="D34" i="11" s="1"/>
  <c r="E34" i="11" s="1"/>
  <c r="C37" i="10"/>
  <c r="D37" i="10" s="1"/>
  <c r="E37" i="10" s="1"/>
  <c r="C2" i="10"/>
  <c r="D2" i="10" s="1"/>
  <c r="E2" i="10" s="1"/>
  <c r="C9" i="10"/>
  <c r="D9" i="10" s="1"/>
  <c r="E9" i="10" s="1"/>
  <c r="C13" i="10"/>
  <c r="D13" i="10" s="1"/>
  <c r="E13" i="10" s="1"/>
  <c r="C17" i="10"/>
  <c r="D17" i="10" s="1"/>
  <c r="E17" i="10" s="1"/>
  <c r="C21" i="10"/>
  <c r="D21" i="10" s="1"/>
  <c r="E21" i="10" s="1"/>
  <c r="C25" i="10"/>
  <c r="D25" i="10" s="1"/>
  <c r="E25" i="10" s="1"/>
  <c r="C29" i="10"/>
  <c r="D29" i="10" s="1"/>
  <c r="E29" i="10" s="1"/>
  <c r="C33" i="10"/>
  <c r="D33" i="10" s="1"/>
  <c r="E33" i="10" s="1"/>
  <c r="C10" i="9"/>
  <c r="D10" i="9" s="1"/>
  <c r="E10" i="9" s="1"/>
  <c r="C14" i="9"/>
  <c r="D14" i="9" s="1"/>
  <c r="E14" i="9" s="1"/>
  <c r="C6" i="9"/>
  <c r="D6" i="9" s="1"/>
  <c r="E6" i="9" s="1"/>
  <c r="C2" i="9"/>
  <c r="D2" i="9" s="1"/>
  <c r="E2" i="9" s="1"/>
  <c r="C2" i="8"/>
  <c r="D2" i="8" s="1"/>
  <c r="E2" i="8" s="1"/>
  <c r="C2" i="7"/>
  <c r="D2" i="7" s="1"/>
  <c r="E2" i="7" s="1"/>
  <c r="C3" i="7"/>
  <c r="D3" i="7" s="1"/>
  <c r="E3" i="7" s="1"/>
  <c r="C29" i="7"/>
  <c r="D29" i="7" s="1"/>
  <c r="E29" i="7" s="1"/>
  <c r="C25" i="7"/>
  <c r="D25" i="7" s="1"/>
  <c r="E25" i="7" s="1"/>
  <c r="C9" i="7"/>
  <c r="D9" i="7" s="1"/>
  <c r="E9" i="7" s="1"/>
  <c r="C33" i="7"/>
  <c r="D33" i="7" s="1"/>
  <c r="E33" i="7" s="1"/>
  <c r="C13" i="7"/>
  <c r="D13" i="7" s="1"/>
  <c r="E13" i="7" s="1"/>
  <c r="C37" i="7"/>
  <c r="D37" i="7" s="1"/>
  <c r="E37" i="7" s="1"/>
  <c r="C17" i="7"/>
  <c r="D17" i="7" s="1"/>
  <c r="E17" i="7" s="1"/>
  <c r="C21" i="7"/>
  <c r="D21" i="7" s="1"/>
  <c r="E21" i="7" s="1"/>
  <c r="C2" i="6"/>
  <c r="D2" i="6" s="1"/>
  <c r="E2" i="6" s="1"/>
  <c r="C2" i="5"/>
  <c r="D2" i="5" s="1"/>
  <c r="E2" i="5" s="1"/>
  <c r="C7" i="4"/>
  <c r="D7" i="4" s="1"/>
  <c r="E7" i="4" s="1"/>
  <c r="C11" i="4"/>
  <c r="D11" i="4" s="1"/>
  <c r="E11" i="4" s="1"/>
  <c r="C15" i="4"/>
  <c r="D15" i="4" s="1"/>
  <c r="E15" i="4" s="1"/>
  <c r="C19" i="4"/>
  <c r="D19" i="4" s="1"/>
  <c r="E19" i="4" s="1"/>
  <c r="C23" i="4"/>
  <c r="D23" i="4" s="1"/>
  <c r="E23" i="4" s="1"/>
  <c r="C31" i="4"/>
  <c r="D31" i="4" s="1"/>
  <c r="E31" i="4" s="1"/>
  <c r="C39" i="4"/>
  <c r="D39" i="4" s="1"/>
  <c r="E39" i="4" s="1"/>
  <c r="C27" i="4"/>
  <c r="D27" i="4" s="1"/>
  <c r="E27" i="4" s="1"/>
  <c r="C35" i="4"/>
  <c r="D35" i="4" s="1"/>
  <c r="E35" i="4" s="1"/>
  <c r="C2" i="4"/>
  <c r="D2" i="4" s="1"/>
  <c r="E2" i="4" s="1"/>
  <c r="C2" i="3"/>
  <c r="D2" i="3" s="1"/>
  <c r="E2" i="3" s="1"/>
  <c r="C2" i="2"/>
  <c r="D2" i="2" s="1"/>
  <c r="E2" i="2" s="1"/>
  <c r="C9" i="32"/>
  <c r="D9" i="32" s="1"/>
  <c r="E9" i="32" s="1"/>
  <c r="C13" i="32"/>
  <c r="D13" i="32" s="1"/>
  <c r="E13" i="32" s="1"/>
  <c r="C17" i="32"/>
  <c r="D17" i="32" s="1"/>
  <c r="E17" i="32" s="1"/>
  <c r="C21" i="32"/>
  <c r="D21" i="32" s="1"/>
  <c r="E21" i="32" s="1"/>
  <c r="C25" i="32"/>
  <c r="D25" i="32" s="1"/>
  <c r="E25" i="32" s="1"/>
  <c r="C29" i="32"/>
  <c r="D29" i="32" s="1"/>
  <c r="E29" i="32" s="1"/>
  <c r="C33" i="32"/>
  <c r="D33" i="32" s="1"/>
  <c r="E33" i="32" s="1"/>
  <c r="C37" i="32"/>
  <c r="D37" i="32" s="1"/>
  <c r="E37" i="32" s="1"/>
  <c r="C3" i="32"/>
  <c r="D3" i="32" s="1"/>
  <c r="E3" i="32" s="1"/>
  <c r="C7" i="32"/>
  <c r="D7" i="32" s="1"/>
  <c r="E7" i="32" s="1"/>
  <c r="C11" i="32"/>
  <c r="D11" i="32" s="1"/>
  <c r="E11" i="32" s="1"/>
  <c r="C15" i="32"/>
  <c r="D15" i="32" s="1"/>
  <c r="E15" i="32" s="1"/>
  <c r="C19" i="32"/>
  <c r="D19" i="32" s="1"/>
  <c r="E19" i="32" s="1"/>
  <c r="C23" i="32"/>
  <c r="D23" i="32" s="1"/>
  <c r="E23" i="32" s="1"/>
  <c r="C27" i="32"/>
  <c r="D27" i="32" s="1"/>
  <c r="E27" i="32" s="1"/>
  <c r="C31" i="32"/>
  <c r="D31" i="32" s="1"/>
  <c r="E31" i="32" s="1"/>
  <c r="C35" i="32"/>
  <c r="D35" i="32" s="1"/>
  <c r="E35" i="32" s="1"/>
  <c r="C39" i="32"/>
  <c r="D39" i="32" s="1"/>
  <c r="E39" i="32" s="1"/>
  <c r="C4" i="32"/>
  <c r="D4" i="32" s="1"/>
  <c r="E4" i="32" s="1"/>
  <c r="C8" i="32"/>
  <c r="D8" i="32" s="1"/>
  <c r="E8" i="32" s="1"/>
  <c r="C12" i="32"/>
  <c r="D12" i="32" s="1"/>
  <c r="E12" i="32" s="1"/>
  <c r="C16" i="32"/>
  <c r="D16" i="32" s="1"/>
  <c r="E16" i="32" s="1"/>
  <c r="C20" i="32"/>
  <c r="D20" i="32" s="1"/>
  <c r="E20" i="32" s="1"/>
  <c r="C24" i="32"/>
  <c r="D24" i="32" s="1"/>
  <c r="E24" i="32" s="1"/>
  <c r="C28" i="32"/>
  <c r="D28" i="32" s="1"/>
  <c r="E28" i="32" s="1"/>
  <c r="C32" i="32"/>
  <c r="D32" i="32" s="1"/>
  <c r="E32" i="32" s="1"/>
  <c r="C36" i="32"/>
  <c r="D36" i="32" s="1"/>
  <c r="E36" i="32" s="1"/>
  <c r="C40" i="32"/>
  <c r="D40" i="32" s="1"/>
  <c r="E40" i="32" s="1"/>
  <c r="C1" i="32"/>
  <c r="D1" i="32" s="1"/>
  <c r="E1" i="32" s="1"/>
  <c r="C9" i="31"/>
  <c r="D9" i="31" s="1"/>
  <c r="E9" i="31" s="1"/>
  <c r="C13" i="31"/>
  <c r="D13" i="31" s="1"/>
  <c r="E13" i="31" s="1"/>
  <c r="C17" i="31"/>
  <c r="D17" i="31" s="1"/>
  <c r="E17" i="31" s="1"/>
  <c r="C21" i="31"/>
  <c r="D21" i="31" s="1"/>
  <c r="E21" i="31" s="1"/>
  <c r="C25" i="31"/>
  <c r="D25" i="31" s="1"/>
  <c r="E25" i="31" s="1"/>
  <c r="C29" i="31"/>
  <c r="D29" i="31" s="1"/>
  <c r="E29" i="31" s="1"/>
  <c r="C33" i="31"/>
  <c r="D33" i="31" s="1"/>
  <c r="E33" i="31" s="1"/>
  <c r="C37" i="31"/>
  <c r="D37" i="31" s="1"/>
  <c r="E37" i="31" s="1"/>
  <c r="C3" i="31"/>
  <c r="D3" i="31" s="1"/>
  <c r="E3" i="31" s="1"/>
  <c r="C7" i="31"/>
  <c r="D7" i="31" s="1"/>
  <c r="E7" i="31" s="1"/>
  <c r="C11" i="31"/>
  <c r="D11" i="31" s="1"/>
  <c r="E11" i="31" s="1"/>
  <c r="C15" i="31"/>
  <c r="D15" i="31" s="1"/>
  <c r="E15" i="31" s="1"/>
  <c r="C19" i="31"/>
  <c r="D19" i="31" s="1"/>
  <c r="E19" i="31" s="1"/>
  <c r="C23" i="31"/>
  <c r="D23" i="31" s="1"/>
  <c r="E23" i="31" s="1"/>
  <c r="C27" i="31"/>
  <c r="D27" i="31" s="1"/>
  <c r="E27" i="31" s="1"/>
  <c r="C31" i="31"/>
  <c r="D31" i="31" s="1"/>
  <c r="E31" i="31" s="1"/>
  <c r="C35" i="31"/>
  <c r="D35" i="31" s="1"/>
  <c r="E35" i="31" s="1"/>
  <c r="C39" i="31"/>
  <c r="D39" i="31" s="1"/>
  <c r="E39" i="31" s="1"/>
  <c r="C4" i="31"/>
  <c r="D4" i="31" s="1"/>
  <c r="E4" i="31" s="1"/>
  <c r="C8" i="31"/>
  <c r="D8" i="31" s="1"/>
  <c r="E8" i="31" s="1"/>
  <c r="C12" i="31"/>
  <c r="D12" i="31" s="1"/>
  <c r="E12" i="31" s="1"/>
  <c r="C16" i="31"/>
  <c r="D16" i="31" s="1"/>
  <c r="E16" i="31" s="1"/>
  <c r="C20" i="31"/>
  <c r="D20" i="31" s="1"/>
  <c r="E20" i="31" s="1"/>
  <c r="C24" i="31"/>
  <c r="D24" i="31" s="1"/>
  <c r="E24" i="31" s="1"/>
  <c r="C28" i="31"/>
  <c r="D28" i="31" s="1"/>
  <c r="E28" i="31" s="1"/>
  <c r="C32" i="31"/>
  <c r="D32" i="31" s="1"/>
  <c r="E32" i="31" s="1"/>
  <c r="C36" i="31"/>
  <c r="D36" i="31" s="1"/>
  <c r="E36" i="31" s="1"/>
  <c r="C40" i="31"/>
  <c r="D40" i="31" s="1"/>
  <c r="E40" i="31" s="1"/>
  <c r="C1" i="31"/>
  <c r="D1" i="31" s="1"/>
  <c r="E1" i="31" s="1"/>
  <c r="C9" i="30"/>
  <c r="D9" i="30" s="1"/>
  <c r="E9" i="30" s="1"/>
  <c r="C13" i="30"/>
  <c r="D13" i="30" s="1"/>
  <c r="E13" i="30" s="1"/>
  <c r="C17" i="30"/>
  <c r="D17" i="30" s="1"/>
  <c r="E17" i="30" s="1"/>
  <c r="C21" i="30"/>
  <c r="D21" i="30" s="1"/>
  <c r="E21" i="30" s="1"/>
  <c r="C25" i="30"/>
  <c r="D25" i="30" s="1"/>
  <c r="E25" i="30" s="1"/>
  <c r="C29" i="30"/>
  <c r="D29" i="30" s="1"/>
  <c r="E29" i="30" s="1"/>
  <c r="C33" i="30"/>
  <c r="D33" i="30" s="1"/>
  <c r="E33" i="30" s="1"/>
  <c r="C37" i="30"/>
  <c r="D37" i="30" s="1"/>
  <c r="E37" i="30" s="1"/>
  <c r="C6" i="30"/>
  <c r="D6" i="30" s="1"/>
  <c r="E6" i="30" s="1"/>
  <c r="C10" i="30"/>
  <c r="D10" i="30" s="1"/>
  <c r="E10" i="30" s="1"/>
  <c r="C14" i="30"/>
  <c r="D14" i="30" s="1"/>
  <c r="E14" i="30" s="1"/>
  <c r="C18" i="30"/>
  <c r="D18" i="30" s="1"/>
  <c r="E18" i="30" s="1"/>
  <c r="C22" i="30"/>
  <c r="D22" i="30" s="1"/>
  <c r="E22" i="30" s="1"/>
  <c r="C26" i="30"/>
  <c r="D26" i="30" s="1"/>
  <c r="E26" i="30" s="1"/>
  <c r="C30" i="30"/>
  <c r="D30" i="30" s="1"/>
  <c r="E30" i="30" s="1"/>
  <c r="C34" i="30"/>
  <c r="D34" i="30" s="1"/>
  <c r="E34" i="30" s="1"/>
  <c r="C38" i="30"/>
  <c r="D38" i="30" s="1"/>
  <c r="E38" i="30" s="1"/>
  <c r="C7" i="30"/>
  <c r="D7" i="30" s="1"/>
  <c r="E7" i="30" s="1"/>
  <c r="C11" i="30"/>
  <c r="D11" i="30" s="1"/>
  <c r="E11" i="30" s="1"/>
  <c r="C15" i="30"/>
  <c r="D15" i="30" s="1"/>
  <c r="E15" i="30" s="1"/>
  <c r="C19" i="30"/>
  <c r="D19" i="30" s="1"/>
  <c r="E19" i="30" s="1"/>
  <c r="C23" i="30"/>
  <c r="D23" i="30" s="1"/>
  <c r="E23" i="30" s="1"/>
  <c r="C27" i="30"/>
  <c r="D27" i="30" s="1"/>
  <c r="E27" i="30" s="1"/>
  <c r="C31" i="30"/>
  <c r="D31" i="30" s="1"/>
  <c r="E31" i="30" s="1"/>
  <c r="C35" i="30"/>
  <c r="D35" i="30" s="1"/>
  <c r="E35" i="30" s="1"/>
  <c r="C39" i="30"/>
  <c r="D39" i="30" s="1"/>
  <c r="E39" i="30" s="1"/>
  <c r="C4" i="30"/>
  <c r="D4" i="30" s="1"/>
  <c r="E4" i="30" s="1"/>
  <c r="C8" i="30"/>
  <c r="D8" i="30" s="1"/>
  <c r="E8" i="30" s="1"/>
  <c r="C12" i="30"/>
  <c r="D12" i="30" s="1"/>
  <c r="E12" i="30" s="1"/>
  <c r="C16" i="30"/>
  <c r="D16" i="30" s="1"/>
  <c r="E16" i="30" s="1"/>
  <c r="C20" i="30"/>
  <c r="D20" i="30" s="1"/>
  <c r="E20" i="30" s="1"/>
  <c r="C24" i="30"/>
  <c r="D24" i="30" s="1"/>
  <c r="E24" i="30" s="1"/>
  <c r="C28" i="30"/>
  <c r="D28" i="30" s="1"/>
  <c r="E28" i="30" s="1"/>
  <c r="C32" i="30"/>
  <c r="D32" i="30" s="1"/>
  <c r="E32" i="30" s="1"/>
  <c r="C36" i="30"/>
  <c r="D36" i="30" s="1"/>
  <c r="E36" i="30" s="1"/>
  <c r="C40" i="30"/>
  <c r="D40" i="30" s="1"/>
  <c r="E40" i="30" s="1"/>
  <c r="C1" i="30"/>
  <c r="D1" i="30" s="1"/>
  <c r="E1" i="30" s="1"/>
  <c r="C9" i="29"/>
  <c r="D9" i="29" s="1"/>
  <c r="E9" i="29" s="1"/>
  <c r="C13" i="29"/>
  <c r="D13" i="29" s="1"/>
  <c r="E13" i="29" s="1"/>
  <c r="C17" i="29"/>
  <c r="D17" i="29" s="1"/>
  <c r="E17" i="29" s="1"/>
  <c r="C21" i="29"/>
  <c r="D21" i="29" s="1"/>
  <c r="E21" i="29" s="1"/>
  <c r="C25" i="29"/>
  <c r="D25" i="29" s="1"/>
  <c r="E25" i="29" s="1"/>
  <c r="C29" i="29"/>
  <c r="D29" i="29" s="1"/>
  <c r="E29" i="29" s="1"/>
  <c r="C33" i="29"/>
  <c r="D33" i="29" s="1"/>
  <c r="E33" i="29" s="1"/>
  <c r="C37" i="29"/>
  <c r="D37" i="29" s="1"/>
  <c r="E37" i="29" s="1"/>
  <c r="C6" i="29"/>
  <c r="D6" i="29" s="1"/>
  <c r="E6" i="29" s="1"/>
  <c r="C10" i="29"/>
  <c r="D10" i="29" s="1"/>
  <c r="E10" i="29" s="1"/>
  <c r="C14" i="29"/>
  <c r="D14" i="29" s="1"/>
  <c r="E14" i="29" s="1"/>
  <c r="C18" i="29"/>
  <c r="D18" i="29" s="1"/>
  <c r="E18" i="29" s="1"/>
  <c r="C22" i="29"/>
  <c r="D22" i="29" s="1"/>
  <c r="E22" i="29" s="1"/>
  <c r="C26" i="29"/>
  <c r="D26" i="29" s="1"/>
  <c r="E26" i="29" s="1"/>
  <c r="C30" i="29"/>
  <c r="D30" i="29" s="1"/>
  <c r="E30" i="29" s="1"/>
  <c r="C34" i="29"/>
  <c r="D34" i="29" s="1"/>
  <c r="E34" i="29" s="1"/>
  <c r="C38" i="29"/>
  <c r="D38" i="29" s="1"/>
  <c r="E38" i="29" s="1"/>
  <c r="C3" i="29"/>
  <c r="D3" i="29" s="1"/>
  <c r="E3" i="29" s="1"/>
  <c r="C7" i="29"/>
  <c r="D7" i="29" s="1"/>
  <c r="E7" i="29" s="1"/>
  <c r="C11" i="29"/>
  <c r="D11" i="29" s="1"/>
  <c r="E11" i="29" s="1"/>
  <c r="C15" i="29"/>
  <c r="D15" i="29" s="1"/>
  <c r="E15" i="29" s="1"/>
  <c r="C19" i="29"/>
  <c r="D19" i="29" s="1"/>
  <c r="E19" i="29" s="1"/>
  <c r="C23" i="29"/>
  <c r="D23" i="29" s="1"/>
  <c r="E23" i="29" s="1"/>
  <c r="C27" i="29"/>
  <c r="D27" i="29" s="1"/>
  <c r="E27" i="29" s="1"/>
  <c r="C31" i="29"/>
  <c r="D31" i="29" s="1"/>
  <c r="E31" i="29" s="1"/>
  <c r="C35" i="29"/>
  <c r="D35" i="29" s="1"/>
  <c r="E35" i="29" s="1"/>
  <c r="C39" i="29"/>
  <c r="D39" i="29" s="1"/>
  <c r="E39" i="29" s="1"/>
  <c r="C4" i="29"/>
  <c r="D4" i="29" s="1"/>
  <c r="E4" i="29" s="1"/>
  <c r="C8" i="29"/>
  <c r="D8" i="29" s="1"/>
  <c r="E8" i="29" s="1"/>
  <c r="C12" i="29"/>
  <c r="D12" i="29" s="1"/>
  <c r="E12" i="29" s="1"/>
  <c r="C16" i="29"/>
  <c r="D16" i="29" s="1"/>
  <c r="E16" i="29" s="1"/>
  <c r="C20" i="29"/>
  <c r="D20" i="29" s="1"/>
  <c r="E20" i="29" s="1"/>
  <c r="C24" i="29"/>
  <c r="D24" i="29" s="1"/>
  <c r="E24" i="29" s="1"/>
  <c r="C28" i="29"/>
  <c r="D28" i="29" s="1"/>
  <c r="E28" i="29" s="1"/>
  <c r="C32" i="29"/>
  <c r="D32" i="29" s="1"/>
  <c r="E32" i="29" s="1"/>
  <c r="C36" i="29"/>
  <c r="D36" i="29" s="1"/>
  <c r="E36" i="29" s="1"/>
  <c r="C40" i="29"/>
  <c r="D40" i="29" s="1"/>
  <c r="E40" i="29" s="1"/>
  <c r="C1" i="29"/>
  <c r="D1" i="29" s="1"/>
  <c r="E1" i="29" s="1"/>
  <c r="C11" i="28"/>
  <c r="D11" i="28" s="1"/>
  <c r="E11" i="28" s="1"/>
  <c r="C15" i="28"/>
  <c r="D15" i="28" s="1"/>
  <c r="E15" i="28" s="1"/>
  <c r="C19" i="28"/>
  <c r="D19" i="28" s="1"/>
  <c r="E19" i="28" s="1"/>
  <c r="C23" i="28"/>
  <c r="D23" i="28" s="1"/>
  <c r="E23" i="28" s="1"/>
  <c r="C27" i="28"/>
  <c r="D27" i="28" s="1"/>
  <c r="E27" i="28" s="1"/>
  <c r="C31" i="28"/>
  <c r="D31" i="28" s="1"/>
  <c r="E31" i="28" s="1"/>
  <c r="C35" i="28"/>
  <c r="D35" i="28" s="1"/>
  <c r="E35" i="28" s="1"/>
  <c r="C39" i="28"/>
  <c r="D39" i="28" s="1"/>
  <c r="E39" i="28" s="1"/>
  <c r="C4" i="28"/>
  <c r="D4" i="28" s="1"/>
  <c r="E4" i="28" s="1"/>
  <c r="C8" i="28"/>
  <c r="D8" i="28" s="1"/>
  <c r="E8" i="28" s="1"/>
  <c r="C12" i="28"/>
  <c r="D12" i="28" s="1"/>
  <c r="E12" i="28" s="1"/>
  <c r="C16" i="28"/>
  <c r="D16" i="28" s="1"/>
  <c r="E16" i="28" s="1"/>
  <c r="C20" i="28"/>
  <c r="D20" i="28" s="1"/>
  <c r="E20" i="28" s="1"/>
  <c r="C24" i="28"/>
  <c r="D24" i="28" s="1"/>
  <c r="E24" i="28" s="1"/>
  <c r="C28" i="28"/>
  <c r="D28" i="28" s="1"/>
  <c r="E28" i="28" s="1"/>
  <c r="C32" i="28"/>
  <c r="D32" i="28" s="1"/>
  <c r="E32" i="28" s="1"/>
  <c r="C36" i="28"/>
  <c r="D36" i="28" s="1"/>
  <c r="E36" i="28" s="1"/>
  <c r="C40" i="28"/>
  <c r="D40" i="28" s="1"/>
  <c r="E40" i="28" s="1"/>
  <c r="C1" i="28"/>
  <c r="D1" i="28" s="1"/>
  <c r="E1" i="28" s="1"/>
  <c r="C9" i="27"/>
  <c r="D9" i="27" s="1"/>
  <c r="E9" i="27" s="1"/>
  <c r="C13" i="27"/>
  <c r="D13" i="27" s="1"/>
  <c r="E13" i="27" s="1"/>
  <c r="C17" i="27"/>
  <c r="D17" i="27" s="1"/>
  <c r="E17" i="27" s="1"/>
  <c r="C21" i="27"/>
  <c r="D21" i="27" s="1"/>
  <c r="E21" i="27" s="1"/>
  <c r="C25" i="27"/>
  <c r="D25" i="27" s="1"/>
  <c r="E25" i="27" s="1"/>
  <c r="C29" i="27"/>
  <c r="D29" i="27" s="1"/>
  <c r="E29" i="27" s="1"/>
  <c r="C33" i="27"/>
  <c r="D33" i="27" s="1"/>
  <c r="E33" i="27" s="1"/>
  <c r="C37" i="27"/>
  <c r="D37" i="27" s="1"/>
  <c r="E37" i="27" s="1"/>
  <c r="C3" i="27"/>
  <c r="D3" i="27" s="1"/>
  <c r="E3" i="27" s="1"/>
  <c r="C7" i="27"/>
  <c r="D7" i="27" s="1"/>
  <c r="E7" i="27" s="1"/>
  <c r="C11" i="27"/>
  <c r="D11" i="27" s="1"/>
  <c r="E11" i="27" s="1"/>
  <c r="C15" i="27"/>
  <c r="D15" i="27" s="1"/>
  <c r="E15" i="27" s="1"/>
  <c r="C19" i="27"/>
  <c r="D19" i="27" s="1"/>
  <c r="E19" i="27" s="1"/>
  <c r="C23" i="27"/>
  <c r="D23" i="27" s="1"/>
  <c r="E23" i="27" s="1"/>
  <c r="C27" i="27"/>
  <c r="D27" i="27" s="1"/>
  <c r="E27" i="27" s="1"/>
  <c r="C31" i="27"/>
  <c r="D31" i="27" s="1"/>
  <c r="E31" i="27" s="1"/>
  <c r="C35" i="27"/>
  <c r="D35" i="27" s="1"/>
  <c r="E35" i="27" s="1"/>
  <c r="C39" i="27"/>
  <c r="D39" i="27" s="1"/>
  <c r="E39" i="27" s="1"/>
  <c r="C4" i="27"/>
  <c r="D4" i="27" s="1"/>
  <c r="E4" i="27" s="1"/>
  <c r="C8" i="27"/>
  <c r="D8" i="27" s="1"/>
  <c r="E8" i="27" s="1"/>
  <c r="C12" i="27"/>
  <c r="D12" i="27" s="1"/>
  <c r="E12" i="27" s="1"/>
  <c r="C16" i="27"/>
  <c r="D16" i="27" s="1"/>
  <c r="E16" i="27" s="1"/>
  <c r="C20" i="27"/>
  <c r="D20" i="27" s="1"/>
  <c r="E20" i="27" s="1"/>
  <c r="C24" i="27"/>
  <c r="D24" i="27" s="1"/>
  <c r="E24" i="27" s="1"/>
  <c r="C28" i="27"/>
  <c r="D28" i="27" s="1"/>
  <c r="E28" i="27" s="1"/>
  <c r="C32" i="27"/>
  <c r="D32" i="27" s="1"/>
  <c r="E32" i="27" s="1"/>
  <c r="C36" i="27"/>
  <c r="D36" i="27" s="1"/>
  <c r="E36" i="27" s="1"/>
  <c r="C40" i="27"/>
  <c r="D40" i="27" s="1"/>
  <c r="E40" i="27" s="1"/>
  <c r="C7" i="26"/>
  <c r="D7" i="26" s="1"/>
  <c r="E7" i="26" s="1"/>
  <c r="C11" i="26"/>
  <c r="D11" i="26" s="1"/>
  <c r="E11" i="26" s="1"/>
  <c r="C15" i="26"/>
  <c r="D15" i="26" s="1"/>
  <c r="E15" i="26" s="1"/>
  <c r="C19" i="26"/>
  <c r="D19" i="26" s="1"/>
  <c r="E19" i="26" s="1"/>
  <c r="C23" i="26"/>
  <c r="D23" i="26" s="1"/>
  <c r="E23" i="26" s="1"/>
  <c r="C27" i="26"/>
  <c r="D27" i="26" s="1"/>
  <c r="E27" i="26" s="1"/>
  <c r="C31" i="26"/>
  <c r="D31" i="26" s="1"/>
  <c r="E31" i="26" s="1"/>
  <c r="C35" i="26"/>
  <c r="D35" i="26" s="1"/>
  <c r="E35" i="26" s="1"/>
  <c r="C39" i="26"/>
  <c r="D39" i="26" s="1"/>
  <c r="E39" i="26" s="1"/>
  <c r="C4" i="26"/>
  <c r="D4" i="26" s="1"/>
  <c r="E4" i="26" s="1"/>
  <c r="C8" i="26"/>
  <c r="D8" i="26" s="1"/>
  <c r="E8" i="26" s="1"/>
  <c r="C12" i="26"/>
  <c r="D12" i="26" s="1"/>
  <c r="E12" i="26" s="1"/>
  <c r="C16" i="26"/>
  <c r="D16" i="26" s="1"/>
  <c r="E16" i="26" s="1"/>
  <c r="C20" i="26"/>
  <c r="D20" i="26" s="1"/>
  <c r="E20" i="26" s="1"/>
  <c r="C24" i="26"/>
  <c r="D24" i="26" s="1"/>
  <c r="E24" i="26" s="1"/>
  <c r="C28" i="26"/>
  <c r="D28" i="26" s="1"/>
  <c r="E28" i="26" s="1"/>
  <c r="C32" i="26"/>
  <c r="D32" i="26" s="1"/>
  <c r="E32" i="26" s="1"/>
  <c r="C36" i="26"/>
  <c r="D36" i="26" s="1"/>
  <c r="E36" i="26" s="1"/>
  <c r="C40" i="26"/>
  <c r="D40" i="26" s="1"/>
  <c r="E40" i="26" s="1"/>
  <c r="C1" i="26"/>
  <c r="D1" i="26" s="1"/>
  <c r="E1" i="26" s="1"/>
  <c r="C9" i="25"/>
  <c r="D9" i="25" s="1"/>
  <c r="E9" i="25" s="1"/>
  <c r="C13" i="25"/>
  <c r="D13" i="25" s="1"/>
  <c r="E13" i="25" s="1"/>
  <c r="C17" i="25"/>
  <c r="D17" i="25" s="1"/>
  <c r="E17" i="25" s="1"/>
  <c r="C21" i="25"/>
  <c r="D21" i="25" s="1"/>
  <c r="E21" i="25" s="1"/>
  <c r="C25" i="25"/>
  <c r="D25" i="25" s="1"/>
  <c r="E25" i="25" s="1"/>
  <c r="C29" i="25"/>
  <c r="D29" i="25" s="1"/>
  <c r="E29" i="25" s="1"/>
  <c r="C33" i="25"/>
  <c r="D33" i="25" s="1"/>
  <c r="E33" i="25" s="1"/>
  <c r="C37" i="25"/>
  <c r="D37" i="25" s="1"/>
  <c r="E37" i="25" s="1"/>
  <c r="C3" i="25"/>
  <c r="D3" i="25" s="1"/>
  <c r="E3" i="25" s="1"/>
  <c r="C7" i="25"/>
  <c r="D7" i="25" s="1"/>
  <c r="E7" i="25" s="1"/>
  <c r="C11" i="25"/>
  <c r="D11" i="25" s="1"/>
  <c r="E11" i="25" s="1"/>
  <c r="C15" i="25"/>
  <c r="D15" i="25" s="1"/>
  <c r="E15" i="25" s="1"/>
  <c r="C19" i="25"/>
  <c r="D19" i="25" s="1"/>
  <c r="E19" i="25" s="1"/>
  <c r="C23" i="25"/>
  <c r="D23" i="25" s="1"/>
  <c r="E23" i="25" s="1"/>
  <c r="C27" i="25"/>
  <c r="D27" i="25" s="1"/>
  <c r="E27" i="25" s="1"/>
  <c r="C31" i="25"/>
  <c r="D31" i="25" s="1"/>
  <c r="E31" i="25" s="1"/>
  <c r="C35" i="25"/>
  <c r="D35" i="25" s="1"/>
  <c r="E35" i="25" s="1"/>
  <c r="C39" i="25"/>
  <c r="D39" i="25" s="1"/>
  <c r="E39" i="25" s="1"/>
  <c r="C4" i="25"/>
  <c r="D4" i="25" s="1"/>
  <c r="E4" i="25" s="1"/>
  <c r="C8" i="25"/>
  <c r="D8" i="25" s="1"/>
  <c r="E8" i="25" s="1"/>
  <c r="C12" i="25"/>
  <c r="D12" i="25" s="1"/>
  <c r="E12" i="25" s="1"/>
  <c r="C16" i="25"/>
  <c r="D16" i="25" s="1"/>
  <c r="E16" i="25" s="1"/>
  <c r="C20" i="25"/>
  <c r="D20" i="25" s="1"/>
  <c r="E20" i="25" s="1"/>
  <c r="C24" i="25"/>
  <c r="D24" i="25" s="1"/>
  <c r="E24" i="25" s="1"/>
  <c r="C28" i="25"/>
  <c r="D28" i="25" s="1"/>
  <c r="E28" i="25" s="1"/>
  <c r="C32" i="25"/>
  <c r="D32" i="25" s="1"/>
  <c r="E32" i="25" s="1"/>
  <c r="C36" i="25"/>
  <c r="D36" i="25" s="1"/>
  <c r="E36" i="25" s="1"/>
  <c r="C40" i="25"/>
  <c r="D40" i="25" s="1"/>
  <c r="E40" i="25" s="1"/>
  <c r="C1" i="25"/>
  <c r="D1" i="25" s="1"/>
  <c r="E1" i="25" s="1"/>
  <c r="C9" i="24"/>
  <c r="D9" i="24" s="1"/>
  <c r="E9" i="24" s="1"/>
  <c r="C13" i="24"/>
  <c r="D13" i="24" s="1"/>
  <c r="E13" i="24" s="1"/>
  <c r="C17" i="24"/>
  <c r="D17" i="24" s="1"/>
  <c r="E17" i="24" s="1"/>
  <c r="C21" i="24"/>
  <c r="D21" i="24" s="1"/>
  <c r="E21" i="24" s="1"/>
  <c r="C25" i="24"/>
  <c r="D25" i="24" s="1"/>
  <c r="E25" i="24" s="1"/>
  <c r="C29" i="24"/>
  <c r="D29" i="24" s="1"/>
  <c r="E29" i="24" s="1"/>
  <c r="C33" i="24"/>
  <c r="D33" i="24" s="1"/>
  <c r="E33" i="24" s="1"/>
  <c r="C37" i="24"/>
  <c r="D37" i="24" s="1"/>
  <c r="E37" i="24" s="1"/>
  <c r="C6" i="24"/>
  <c r="D6" i="24" s="1"/>
  <c r="E6" i="24" s="1"/>
  <c r="C10" i="24"/>
  <c r="D10" i="24" s="1"/>
  <c r="E10" i="24" s="1"/>
  <c r="C14" i="24"/>
  <c r="D14" i="24" s="1"/>
  <c r="E14" i="24" s="1"/>
  <c r="C18" i="24"/>
  <c r="D18" i="24" s="1"/>
  <c r="E18" i="24" s="1"/>
  <c r="C22" i="24"/>
  <c r="D22" i="24" s="1"/>
  <c r="E22" i="24" s="1"/>
  <c r="C26" i="24"/>
  <c r="D26" i="24" s="1"/>
  <c r="E26" i="24" s="1"/>
  <c r="C30" i="24"/>
  <c r="D30" i="24" s="1"/>
  <c r="E30" i="24" s="1"/>
  <c r="C34" i="24"/>
  <c r="D34" i="24" s="1"/>
  <c r="E34" i="24" s="1"/>
  <c r="C38" i="24"/>
  <c r="D38" i="24" s="1"/>
  <c r="E38" i="24" s="1"/>
  <c r="C3" i="24"/>
  <c r="D3" i="24" s="1"/>
  <c r="E3" i="24" s="1"/>
  <c r="C7" i="24"/>
  <c r="D7" i="24" s="1"/>
  <c r="E7" i="24" s="1"/>
  <c r="C11" i="24"/>
  <c r="D11" i="24" s="1"/>
  <c r="E11" i="24" s="1"/>
  <c r="C15" i="24"/>
  <c r="D15" i="24" s="1"/>
  <c r="E15" i="24" s="1"/>
  <c r="C19" i="24"/>
  <c r="D19" i="24" s="1"/>
  <c r="E19" i="24" s="1"/>
  <c r="C23" i="24"/>
  <c r="D23" i="24" s="1"/>
  <c r="E23" i="24" s="1"/>
  <c r="C27" i="24"/>
  <c r="D27" i="24" s="1"/>
  <c r="E27" i="24" s="1"/>
  <c r="C31" i="24"/>
  <c r="D31" i="24" s="1"/>
  <c r="E31" i="24" s="1"/>
  <c r="C35" i="24"/>
  <c r="D35" i="24" s="1"/>
  <c r="E35" i="24" s="1"/>
  <c r="C39" i="24"/>
  <c r="D39" i="24" s="1"/>
  <c r="E39" i="24" s="1"/>
  <c r="C4" i="24"/>
  <c r="D4" i="24" s="1"/>
  <c r="E4" i="24" s="1"/>
  <c r="C8" i="24"/>
  <c r="D8" i="24" s="1"/>
  <c r="E8" i="24" s="1"/>
  <c r="C12" i="24"/>
  <c r="D12" i="24" s="1"/>
  <c r="E12" i="24" s="1"/>
  <c r="C16" i="24"/>
  <c r="D16" i="24" s="1"/>
  <c r="E16" i="24" s="1"/>
  <c r="C20" i="24"/>
  <c r="D20" i="24" s="1"/>
  <c r="E20" i="24" s="1"/>
  <c r="C24" i="24"/>
  <c r="D24" i="24" s="1"/>
  <c r="E24" i="24" s="1"/>
  <c r="C28" i="24"/>
  <c r="D28" i="24" s="1"/>
  <c r="E28" i="24" s="1"/>
  <c r="C32" i="24"/>
  <c r="D32" i="24" s="1"/>
  <c r="E32" i="24" s="1"/>
  <c r="C36" i="24"/>
  <c r="D36" i="24" s="1"/>
  <c r="E36" i="24" s="1"/>
  <c r="C40" i="24"/>
  <c r="D40" i="24" s="1"/>
  <c r="E40" i="24" s="1"/>
  <c r="C1" i="24"/>
  <c r="D1" i="24" s="1"/>
  <c r="E1" i="24" s="1"/>
  <c r="C9" i="23"/>
  <c r="D9" i="23" s="1"/>
  <c r="E9" i="23" s="1"/>
  <c r="C13" i="23"/>
  <c r="D13" i="23" s="1"/>
  <c r="E13" i="23" s="1"/>
  <c r="C17" i="23"/>
  <c r="D17" i="23" s="1"/>
  <c r="E17" i="23" s="1"/>
  <c r="C21" i="23"/>
  <c r="D21" i="23" s="1"/>
  <c r="E21" i="23" s="1"/>
  <c r="C25" i="23"/>
  <c r="D25" i="23" s="1"/>
  <c r="E25" i="23" s="1"/>
  <c r="C29" i="23"/>
  <c r="D29" i="23" s="1"/>
  <c r="E29" i="23" s="1"/>
  <c r="C33" i="23"/>
  <c r="D33" i="23" s="1"/>
  <c r="E33" i="23" s="1"/>
  <c r="C37" i="23"/>
  <c r="D37" i="23" s="1"/>
  <c r="E37" i="23" s="1"/>
  <c r="C6" i="23"/>
  <c r="D6" i="23" s="1"/>
  <c r="E6" i="23" s="1"/>
  <c r="C10" i="23"/>
  <c r="D10" i="23" s="1"/>
  <c r="E10" i="23" s="1"/>
  <c r="C14" i="23"/>
  <c r="D14" i="23" s="1"/>
  <c r="E14" i="23" s="1"/>
  <c r="C18" i="23"/>
  <c r="D18" i="23" s="1"/>
  <c r="E18" i="23" s="1"/>
  <c r="C22" i="23"/>
  <c r="D22" i="23" s="1"/>
  <c r="E22" i="23" s="1"/>
  <c r="C26" i="23"/>
  <c r="D26" i="23" s="1"/>
  <c r="E26" i="23" s="1"/>
  <c r="C30" i="23"/>
  <c r="D30" i="23" s="1"/>
  <c r="E30" i="23" s="1"/>
  <c r="C34" i="23"/>
  <c r="D34" i="23" s="1"/>
  <c r="E34" i="23" s="1"/>
  <c r="C38" i="23"/>
  <c r="D38" i="23" s="1"/>
  <c r="E38" i="23" s="1"/>
  <c r="C3" i="23"/>
  <c r="D3" i="23" s="1"/>
  <c r="E3" i="23" s="1"/>
  <c r="C7" i="23"/>
  <c r="D7" i="23" s="1"/>
  <c r="E7" i="23" s="1"/>
  <c r="C11" i="23"/>
  <c r="D11" i="23" s="1"/>
  <c r="E11" i="23" s="1"/>
  <c r="C15" i="23"/>
  <c r="D15" i="23" s="1"/>
  <c r="E15" i="23" s="1"/>
  <c r="C19" i="23"/>
  <c r="D19" i="23" s="1"/>
  <c r="E19" i="23" s="1"/>
  <c r="C23" i="23"/>
  <c r="D23" i="23" s="1"/>
  <c r="E23" i="23" s="1"/>
  <c r="C27" i="23"/>
  <c r="D27" i="23" s="1"/>
  <c r="E27" i="23" s="1"/>
  <c r="C31" i="23"/>
  <c r="D31" i="23" s="1"/>
  <c r="E31" i="23" s="1"/>
  <c r="C35" i="23"/>
  <c r="D35" i="23" s="1"/>
  <c r="E35" i="23" s="1"/>
  <c r="C39" i="23"/>
  <c r="D39" i="23" s="1"/>
  <c r="E39" i="23" s="1"/>
  <c r="C4" i="23"/>
  <c r="D4" i="23" s="1"/>
  <c r="E4" i="23" s="1"/>
  <c r="C8" i="23"/>
  <c r="D8" i="23" s="1"/>
  <c r="E8" i="23" s="1"/>
  <c r="C12" i="23"/>
  <c r="D12" i="23" s="1"/>
  <c r="E12" i="23" s="1"/>
  <c r="C16" i="23"/>
  <c r="D16" i="23" s="1"/>
  <c r="E16" i="23" s="1"/>
  <c r="C20" i="23"/>
  <c r="D20" i="23" s="1"/>
  <c r="E20" i="23" s="1"/>
  <c r="C24" i="23"/>
  <c r="D24" i="23" s="1"/>
  <c r="E24" i="23" s="1"/>
  <c r="C28" i="23"/>
  <c r="D28" i="23" s="1"/>
  <c r="E28" i="23" s="1"/>
  <c r="C32" i="23"/>
  <c r="D32" i="23" s="1"/>
  <c r="E32" i="23" s="1"/>
  <c r="C36" i="23"/>
  <c r="D36" i="23" s="1"/>
  <c r="E36" i="23" s="1"/>
  <c r="C40" i="23"/>
  <c r="D40" i="23" s="1"/>
  <c r="E40" i="23" s="1"/>
  <c r="C1" i="23"/>
  <c r="D1" i="23" s="1"/>
  <c r="E1" i="23" s="1"/>
  <c r="C9" i="22"/>
  <c r="D9" i="22" s="1"/>
  <c r="E9" i="22" s="1"/>
  <c r="C13" i="22"/>
  <c r="D13" i="22" s="1"/>
  <c r="E13" i="22" s="1"/>
  <c r="C17" i="22"/>
  <c r="D17" i="22" s="1"/>
  <c r="E17" i="22" s="1"/>
  <c r="C21" i="22"/>
  <c r="D21" i="22" s="1"/>
  <c r="E21" i="22" s="1"/>
  <c r="C25" i="22"/>
  <c r="D25" i="22" s="1"/>
  <c r="E25" i="22" s="1"/>
  <c r="C29" i="22"/>
  <c r="D29" i="22" s="1"/>
  <c r="E29" i="22" s="1"/>
  <c r="C33" i="22"/>
  <c r="D33" i="22" s="1"/>
  <c r="E33" i="22" s="1"/>
  <c r="C37" i="22"/>
  <c r="D37" i="22" s="1"/>
  <c r="E37" i="22" s="1"/>
  <c r="C6" i="22"/>
  <c r="D6" i="22" s="1"/>
  <c r="E6" i="22" s="1"/>
  <c r="C10" i="22"/>
  <c r="D10" i="22" s="1"/>
  <c r="E10" i="22" s="1"/>
  <c r="C14" i="22"/>
  <c r="D14" i="22" s="1"/>
  <c r="E14" i="22" s="1"/>
  <c r="C18" i="22"/>
  <c r="D18" i="22" s="1"/>
  <c r="E18" i="22" s="1"/>
  <c r="C22" i="22"/>
  <c r="D22" i="22" s="1"/>
  <c r="E22" i="22" s="1"/>
  <c r="C26" i="22"/>
  <c r="D26" i="22" s="1"/>
  <c r="E26" i="22" s="1"/>
  <c r="C30" i="22"/>
  <c r="D30" i="22" s="1"/>
  <c r="E30" i="22" s="1"/>
  <c r="C34" i="22"/>
  <c r="D34" i="22" s="1"/>
  <c r="E34" i="22" s="1"/>
  <c r="C38" i="22"/>
  <c r="D38" i="22" s="1"/>
  <c r="E38" i="22" s="1"/>
  <c r="C3" i="22"/>
  <c r="D3" i="22" s="1"/>
  <c r="E3" i="22" s="1"/>
  <c r="C7" i="22"/>
  <c r="D7" i="22" s="1"/>
  <c r="E7" i="22" s="1"/>
  <c r="C11" i="22"/>
  <c r="D11" i="22" s="1"/>
  <c r="E11" i="22" s="1"/>
  <c r="C15" i="22"/>
  <c r="D15" i="22" s="1"/>
  <c r="E15" i="22" s="1"/>
  <c r="C19" i="22"/>
  <c r="D19" i="22" s="1"/>
  <c r="E19" i="22" s="1"/>
  <c r="C23" i="22"/>
  <c r="D23" i="22" s="1"/>
  <c r="E23" i="22" s="1"/>
  <c r="C27" i="22"/>
  <c r="D27" i="22" s="1"/>
  <c r="E27" i="22" s="1"/>
  <c r="C31" i="22"/>
  <c r="D31" i="22" s="1"/>
  <c r="E31" i="22" s="1"/>
  <c r="C35" i="22"/>
  <c r="D35" i="22" s="1"/>
  <c r="E35" i="22" s="1"/>
  <c r="C39" i="22"/>
  <c r="D39" i="22" s="1"/>
  <c r="E39" i="22" s="1"/>
  <c r="C4" i="22"/>
  <c r="D4" i="22" s="1"/>
  <c r="E4" i="22" s="1"/>
  <c r="C8" i="22"/>
  <c r="D8" i="22" s="1"/>
  <c r="E8" i="22" s="1"/>
  <c r="C12" i="22"/>
  <c r="D12" i="22" s="1"/>
  <c r="E12" i="22" s="1"/>
  <c r="C16" i="22"/>
  <c r="D16" i="22" s="1"/>
  <c r="E16" i="22" s="1"/>
  <c r="C20" i="22"/>
  <c r="D20" i="22" s="1"/>
  <c r="E20" i="22" s="1"/>
  <c r="C24" i="22"/>
  <c r="D24" i="22" s="1"/>
  <c r="E24" i="22" s="1"/>
  <c r="C28" i="22"/>
  <c r="D28" i="22" s="1"/>
  <c r="E28" i="22" s="1"/>
  <c r="C32" i="22"/>
  <c r="D32" i="22" s="1"/>
  <c r="E32" i="22" s="1"/>
  <c r="C36" i="22"/>
  <c r="D36" i="22" s="1"/>
  <c r="E36" i="22" s="1"/>
  <c r="C40" i="22"/>
  <c r="D40" i="22" s="1"/>
  <c r="E40" i="22" s="1"/>
  <c r="C1" i="22"/>
  <c r="D1" i="22" s="1"/>
  <c r="E1" i="22" s="1"/>
  <c r="C9" i="21"/>
  <c r="D9" i="21" s="1"/>
  <c r="E9" i="21" s="1"/>
  <c r="C13" i="21"/>
  <c r="D13" i="21" s="1"/>
  <c r="E13" i="21" s="1"/>
  <c r="C17" i="21"/>
  <c r="D17" i="21" s="1"/>
  <c r="E17" i="21" s="1"/>
  <c r="C21" i="21"/>
  <c r="D21" i="21" s="1"/>
  <c r="E21" i="21" s="1"/>
  <c r="C25" i="21"/>
  <c r="D25" i="21" s="1"/>
  <c r="E25" i="21" s="1"/>
  <c r="C29" i="21"/>
  <c r="D29" i="21" s="1"/>
  <c r="E29" i="21" s="1"/>
  <c r="C33" i="21"/>
  <c r="D33" i="21" s="1"/>
  <c r="E33" i="21" s="1"/>
  <c r="C37" i="21"/>
  <c r="D37" i="21" s="1"/>
  <c r="E37" i="21" s="1"/>
  <c r="C3" i="21"/>
  <c r="D3" i="21" s="1"/>
  <c r="E3" i="21" s="1"/>
  <c r="C7" i="21"/>
  <c r="D7" i="21" s="1"/>
  <c r="E7" i="21" s="1"/>
  <c r="C11" i="21"/>
  <c r="D11" i="21" s="1"/>
  <c r="E11" i="21" s="1"/>
  <c r="C15" i="21"/>
  <c r="D15" i="21" s="1"/>
  <c r="E15" i="21" s="1"/>
  <c r="C19" i="21"/>
  <c r="D19" i="21" s="1"/>
  <c r="E19" i="21" s="1"/>
  <c r="C23" i="21"/>
  <c r="D23" i="21" s="1"/>
  <c r="E23" i="21" s="1"/>
  <c r="C27" i="21"/>
  <c r="D27" i="21" s="1"/>
  <c r="E27" i="21" s="1"/>
  <c r="C31" i="21"/>
  <c r="D31" i="21" s="1"/>
  <c r="E31" i="21" s="1"/>
  <c r="C35" i="21"/>
  <c r="D35" i="21" s="1"/>
  <c r="E35" i="21" s="1"/>
  <c r="C39" i="21"/>
  <c r="D39" i="21" s="1"/>
  <c r="E39" i="21" s="1"/>
  <c r="C4" i="21"/>
  <c r="D4" i="21" s="1"/>
  <c r="E4" i="21" s="1"/>
  <c r="C8" i="21"/>
  <c r="D8" i="21" s="1"/>
  <c r="E8" i="21" s="1"/>
  <c r="C12" i="21"/>
  <c r="D12" i="21" s="1"/>
  <c r="E12" i="21" s="1"/>
  <c r="C16" i="21"/>
  <c r="D16" i="21" s="1"/>
  <c r="E16" i="21" s="1"/>
  <c r="C20" i="21"/>
  <c r="D20" i="21" s="1"/>
  <c r="E20" i="21" s="1"/>
  <c r="C24" i="21"/>
  <c r="D24" i="21" s="1"/>
  <c r="E24" i="21" s="1"/>
  <c r="C28" i="21"/>
  <c r="D28" i="21" s="1"/>
  <c r="E28" i="21" s="1"/>
  <c r="C32" i="21"/>
  <c r="D32" i="21" s="1"/>
  <c r="E32" i="21" s="1"/>
  <c r="C36" i="21"/>
  <c r="D36" i="21" s="1"/>
  <c r="E36" i="21" s="1"/>
  <c r="C40" i="21"/>
  <c r="D40" i="21" s="1"/>
  <c r="E40" i="21" s="1"/>
  <c r="C1" i="21"/>
  <c r="D1" i="21" s="1"/>
  <c r="E1" i="21" s="1"/>
  <c r="C9" i="20"/>
  <c r="D9" i="20" s="1"/>
  <c r="E9" i="20" s="1"/>
  <c r="C13" i="20"/>
  <c r="D13" i="20" s="1"/>
  <c r="E13" i="20" s="1"/>
  <c r="C17" i="20"/>
  <c r="D17" i="20" s="1"/>
  <c r="E17" i="20" s="1"/>
  <c r="C21" i="20"/>
  <c r="D21" i="20" s="1"/>
  <c r="E21" i="20" s="1"/>
  <c r="C25" i="20"/>
  <c r="D25" i="20" s="1"/>
  <c r="E25" i="20" s="1"/>
  <c r="C29" i="20"/>
  <c r="D29" i="20" s="1"/>
  <c r="E29" i="20" s="1"/>
  <c r="C33" i="20"/>
  <c r="D33" i="20" s="1"/>
  <c r="E33" i="20" s="1"/>
  <c r="C37" i="20"/>
  <c r="D37" i="20" s="1"/>
  <c r="E37" i="20" s="1"/>
  <c r="C6" i="20"/>
  <c r="D6" i="20" s="1"/>
  <c r="E6" i="20" s="1"/>
  <c r="C10" i="20"/>
  <c r="D10" i="20" s="1"/>
  <c r="E10" i="20" s="1"/>
  <c r="C14" i="20"/>
  <c r="D14" i="20" s="1"/>
  <c r="E14" i="20" s="1"/>
  <c r="C18" i="20"/>
  <c r="D18" i="20" s="1"/>
  <c r="E18" i="20" s="1"/>
  <c r="C22" i="20"/>
  <c r="D22" i="20" s="1"/>
  <c r="E22" i="20" s="1"/>
  <c r="C26" i="20"/>
  <c r="D26" i="20" s="1"/>
  <c r="E26" i="20" s="1"/>
  <c r="C30" i="20"/>
  <c r="D30" i="20" s="1"/>
  <c r="E30" i="20" s="1"/>
  <c r="C34" i="20"/>
  <c r="D34" i="20" s="1"/>
  <c r="E34" i="20" s="1"/>
  <c r="C38" i="20"/>
  <c r="D38" i="20" s="1"/>
  <c r="E38" i="20" s="1"/>
  <c r="C3" i="20"/>
  <c r="D3" i="20" s="1"/>
  <c r="E3" i="20" s="1"/>
  <c r="C7" i="20"/>
  <c r="D7" i="20" s="1"/>
  <c r="E7" i="20" s="1"/>
  <c r="C11" i="20"/>
  <c r="D11" i="20" s="1"/>
  <c r="E11" i="20" s="1"/>
  <c r="C15" i="20"/>
  <c r="D15" i="20" s="1"/>
  <c r="E15" i="20" s="1"/>
  <c r="C19" i="20"/>
  <c r="D19" i="20" s="1"/>
  <c r="E19" i="20" s="1"/>
  <c r="C23" i="20"/>
  <c r="D23" i="20" s="1"/>
  <c r="E23" i="20" s="1"/>
  <c r="C27" i="20"/>
  <c r="D27" i="20" s="1"/>
  <c r="E27" i="20" s="1"/>
  <c r="C31" i="20"/>
  <c r="D31" i="20" s="1"/>
  <c r="E31" i="20" s="1"/>
  <c r="C35" i="20"/>
  <c r="D35" i="20" s="1"/>
  <c r="E35" i="20" s="1"/>
  <c r="C39" i="20"/>
  <c r="D39" i="20" s="1"/>
  <c r="E39" i="20" s="1"/>
  <c r="C4" i="20"/>
  <c r="D4" i="20" s="1"/>
  <c r="E4" i="20" s="1"/>
  <c r="C8" i="20"/>
  <c r="D8" i="20" s="1"/>
  <c r="E8" i="20" s="1"/>
  <c r="C12" i="20"/>
  <c r="D12" i="20" s="1"/>
  <c r="E12" i="20" s="1"/>
  <c r="C16" i="20"/>
  <c r="D16" i="20" s="1"/>
  <c r="E16" i="20" s="1"/>
  <c r="C20" i="20"/>
  <c r="D20" i="20" s="1"/>
  <c r="E20" i="20" s="1"/>
  <c r="C24" i="20"/>
  <c r="D24" i="20" s="1"/>
  <c r="E24" i="20" s="1"/>
  <c r="C28" i="20"/>
  <c r="D28" i="20" s="1"/>
  <c r="E28" i="20" s="1"/>
  <c r="C32" i="20"/>
  <c r="D32" i="20" s="1"/>
  <c r="E32" i="20" s="1"/>
  <c r="C36" i="20"/>
  <c r="D36" i="20" s="1"/>
  <c r="E36" i="20" s="1"/>
  <c r="C40" i="20"/>
  <c r="D40" i="20" s="1"/>
  <c r="E40" i="20" s="1"/>
  <c r="C1" i="20"/>
  <c r="D1" i="20" s="1"/>
  <c r="E1" i="20" s="1"/>
  <c r="C6" i="19"/>
  <c r="D6" i="19" s="1"/>
  <c r="E6" i="19" s="1"/>
  <c r="C10" i="19"/>
  <c r="D10" i="19" s="1"/>
  <c r="E10" i="19" s="1"/>
  <c r="C14" i="19"/>
  <c r="D14" i="19" s="1"/>
  <c r="E14" i="19" s="1"/>
  <c r="C18" i="19"/>
  <c r="D18" i="19" s="1"/>
  <c r="E18" i="19" s="1"/>
  <c r="C22" i="19"/>
  <c r="D22" i="19" s="1"/>
  <c r="E22" i="19" s="1"/>
  <c r="C26" i="19"/>
  <c r="D26" i="19" s="1"/>
  <c r="E26" i="19" s="1"/>
  <c r="C30" i="19"/>
  <c r="D30" i="19" s="1"/>
  <c r="E30" i="19" s="1"/>
  <c r="C34" i="19"/>
  <c r="D34" i="19" s="1"/>
  <c r="E34" i="19" s="1"/>
  <c r="C38" i="19"/>
  <c r="D38" i="19" s="1"/>
  <c r="E38" i="19" s="1"/>
  <c r="C3" i="19"/>
  <c r="D3" i="19" s="1"/>
  <c r="E3" i="19" s="1"/>
  <c r="C7" i="19"/>
  <c r="D7" i="19" s="1"/>
  <c r="E7" i="19" s="1"/>
  <c r="C11" i="19"/>
  <c r="D11" i="19" s="1"/>
  <c r="E11" i="19" s="1"/>
  <c r="C15" i="19"/>
  <c r="D15" i="19" s="1"/>
  <c r="E15" i="19" s="1"/>
  <c r="C19" i="19"/>
  <c r="D19" i="19" s="1"/>
  <c r="E19" i="19" s="1"/>
  <c r="C23" i="19"/>
  <c r="D23" i="19" s="1"/>
  <c r="E23" i="19" s="1"/>
  <c r="C27" i="19"/>
  <c r="D27" i="19" s="1"/>
  <c r="E27" i="19" s="1"/>
  <c r="C31" i="19"/>
  <c r="D31" i="19" s="1"/>
  <c r="E31" i="19" s="1"/>
  <c r="C35" i="19"/>
  <c r="D35" i="19" s="1"/>
  <c r="E35" i="19" s="1"/>
  <c r="C39" i="19"/>
  <c r="D39" i="19" s="1"/>
  <c r="E39" i="19" s="1"/>
  <c r="C4" i="19"/>
  <c r="D4" i="19" s="1"/>
  <c r="E4" i="19" s="1"/>
  <c r="C8" i="19"/>
  <c r="D8" i="19" s="1"/>
  <c r="E8" i="19" s="1"/>
  <c r="C12" i="19"/>
  <c r="D12" i="19" s="1"/>
  <c r="E12" i="19" s="1"/>
  <c r="C16" i="19"/>
  <c r="D16" i="19" s="1"/>
  <c r="E16" i="19" s="1"/>
  <c r="C20" i="19"/>
  <c r="D20" i="19" s="1"/>
  <c r="E20" i="19" s="1"/>
  <c r="C24" i="19"/>
  <c r="D24" i="19" s="1"/>
  <c r="E24" i="19" s="1"/>
  <c r="C28" i="19"/>
  <c r="D28" i="19" s="1"/>
  <c r="E28" i="19" s="1"/>
  <c r="C32" i="19"/>
  <c r="D32" i="19" s="1"/>
  <c r="E32" i="19" s="1"/>
  <c r="C36" i="19"/>
  <c r="D36" i="19" s="1"/>
  <c r="E36" i="19" s="1"/>
  <c r="C40" i="19"/>
  <c r="D40" i="19" s="1"/>
  <c r="E40" i="19" s="1"/>
  <c r="C1" i="19"/>
  <c r="D1" i="19" s="1"/>
  <c r="E1" i="19" s="1"/>
  <c r="C6" i="18"/>
  <c r="D6" i="18" s="1"/>
  <c r="E6" i="18" s="1"/>
  <c r="C10" i="18"/>
  <c r="D10" i="18" s="1"/>
  <c r="E10" i="18" s="1"/>
  <c r="C14" i="18"/>
  <c r="D14" i="18" s="1"/>
  <c r="E14" i="18" s="1"/>
  <c r="C18" i="18"/>
  <c r="D18" i="18" s="1"/>
  <c r="E18" i="18" s="1"/>
  <c r="C22" i="18"/>
  <c r="D22" i="18" s="1"/>
  <c r="E22" i="18" s="1"/>
  <c r="C26" i="18"/>
  <c r="D26" i="18" s="1"/>
  <c r="E26" i="18" s="1"/>
  <c r="C30" i="18"/>
  <c r="D30" i="18" s="1"/>
  <c r="E30" i="18" s="1"/>
  <c r="C34" i="18"/>
  <c r="D34" i="18" s="1"/>
  <c r="E34" i="18" s="1"/>
  <c r="C38" i="18"/>
  <c r="D38" i="18" s="1"/>
  <c r="E38" i="18" s="1"/>
  <c r="C3" i="18"/>
  <c r="D3" i="18" s="1"/>
  <c r="E3" i="18" s="1"/>
  <c r="C39" i="18"/>
  <c r="D39" i="18" s="1"/>
  <c r="E39" i="18" s="1"/>
  <c r="C4" i="18"/>
  <c r="D4" i="18" s="1"/>
  <c r="E4" i="18" s="1"/>
  <c r="C8" i="18"/>
  <c r="D8" i="18" s="1"/>
  <c r="E8" i="18" s="1"/>
  <c r="C12" i="18"/>
  <c r="D12" i="18" s="1"/>
  <c r="E12" i="18" s="1"/>
  <c r="C16" i="18"/>
  <c r="D16" i="18" s="1"/>
  <c r="E16" i="18" s="1"/>
  <c r="C20" i="18"/>
  <c r="D20" i="18" s="1"/>
  <c r="E20" i="18" s="1"/>
  <c r="C24" i="18"/>
  <c r="D24" i="18" s="1"/>
  <c r="E24" i="18" s="1"/>
  <c r="C28" i="18"/>
  <c r="D28" i="18" s="1"/>
  <c r="E28" i="18" s="1"/>
  <c r="C32" i="18"/>
  <c r="D32" i="18" s="1"/>
  <c r="E32" i="18" s="1"/>
  <c r="C36" i="18"/>
  <c r="D36" i="18" s="1"/>
  <c r="E36" i="18" s="1"/>
  <c r="C40" i="18"/>
  <c r="D40" i="18" s="1"/>
  <c r="E40" i="18" s="1"/>
  <c r="C1" i="18"/>
  <c r="D1" i="18" s="1"/>
  <c r="E1" i="18" s="1"/>
  <c r="C9" i="17"/>
  <c r="D9" i="17" s="1"/>
  <c r="E9" i="17" s="1"/>
  <c r="C13" i="17"/>
  <c r="D13" i="17" s="1"/>
  <c r="E13" i="17" s="1"/>
  <c r="C17" i="17"/>
  <c r="D17" i="17" s="1"/>
  <c r="E17" i="17" s="1"/>
  <c r="C21" i="17"/>
  <c r="D21" i="17" s="1"/>
  <c r="E21" i="17" s="1"/>
  <c r="C25" i="17"/>
  <c r="D25" i="17" s="1"/>
  <c r="E25" i="17" s="1"/>
  <c r="C29" i="17"/>
  <c r="D29" i="17" s="1"/>
  <c r="E29" i="17" s="1"/>
  <c r="C33" i="17"/>
  <c r="D33" i="17" s="1"/>
  <c r="E33" i="17" s="1"/>
  <c r="C37" i="17"/>
  <c r="D37" i="17" s="1"/>
  <c r="E37" i="17" s="1"/>
  <c r="C6" i="17"/>
  <c r="D6" i="17" s="1"/>
  <c r="E6" i="17" s="1"/>
  <c r="C10" i="17"/>
  <c r="D10" i="17" s="1"/>
  <c r="E10" i="17" s="1"/>
  <c r="C14" i="17"/>
  <c r="D14" i="17" s="1"/>
  <c r="E14" i="17" s="1"/>
  <c r="C18" i="17"/>
  <c r="D18" i="17" s="1"/>
  <c r="E18" i="17" s="1"/>
  <c r="C22" i="17"/>
  <c r="D22" i="17" s="1"/>
  <c r="E22" i="17" s="1"/>
  <c r="C26" i="17"/>
  <c r="D26" i="17" s="1"/>
  <c r="E26" i="17" s="1"/>
  <c r="C30" i="17"/>
  <c r="D30" i="17" s="1"/>
  <c r="E30" i="17" s="1"/>
  <c r="C34" i="17"/>
  <c r="D34" i="17" s="1"/>
  <c r="E34" i="17" s="1"/>
  <c r="C38" i="17"/>
  <c r="D38" i="17" s="1"/>
  <c r="E38" i="17" s="1"/>
  <c r="C3" i="17"/>
  <c r="D3" i="17" s="1"/>
  <c r="E3" i="17" s="1"/>
  <c r="C7" i="17"/>
  <c r="D7" i="17" s="1"/>
  <c r="E7" i="17" s="1"/>
  <c r="C11" i="17"/>
  <c r="D11" i="17" s="1"/>
  <c r="E11" i="17" s="1"/>
  <c r="C15" i="17"/>
  <c r="D15" i="17" s="1"/>
  <c r="E15" i="17" s="1"/>
  <c r="C19" i="17"/>
  <c r="D19" i="17" s="1"/>
  <c r="E19" i="17" s="1"/>
  <c r="C23" i="17"/>
  <c r="D23" i="17" s="1"/>
  <c r="E23" i="17" s="1"/>
  <c r="C27" i="17"/>
  <c r="D27" i="17" s="1"/>
  <c r="E27" i="17" s="1"/>
  <c r="C31" i="17"/>
  <c r="D31" i="17" s="1"/>
  <c r="E31" i="17" s="1"/>
  <c r="C35" i="17"/>
  <c r="D35" i="17" s="1"/>
  <c r="E35" i="17" s="1"/>
  <c r="C39" i="17"/>
  <c r="D39" i="17" s="1"/>
  <c r="E39" i="17" s="1"/>
  <c r="C4" i="17"/>
  <c r="D4" i="17" s="1"/>
  <c r="E4" i="17" s="1"/>
  <c r="C8" i="17"/>
  <c r="D8" i="17" s="1"/>
  <c r="E8" i="17" s="1"/>
  <c r="C12" i="17"/>
  <c r="D12" i="17" s="1"/>
  <c r="E12" i="17" s="1"/>
  <c r="C16" i="17"/>
  <c r="D16" i="17" s="1"/>
  <c r="E16" i="17" s="1"/>
  <c r="C20" i="17"/>
  <c r="D20" i="17" s="1"/>
  <c r="E20" i="17" s="1"/>
  <c r="C24" i="17"/>
  <c r="D24" i="17" s="1"/>
  <c r="E24" i="17" s="1"/>
  <c r="C28" i="17"/>
  <c r="D28" i="17" s="1"/>
  <c r="E28" i="17" s="1"/>
  <c r="C32" i="17"/>
  <c r="D32" i="17" s="1"/>
  <c r="E32" i="17" s="1"/>
  <c r="C36" i="17"/>
  <c r="D36" i="17" s="1"/>
  <c r="E36" i="17" s="1"/>
  <c r="C40" i="17"/>
  <c r="D40" i="17" s="1"/>
  <c r="E40" i="17" s="1"/>
  <c r="C1" i="17"/>
  <c r="D1" i="17" s="1"/>
  <c r="E1" i="17" s="1"/>
  <c r="C9" i="16"/>
  <c r="D9" i="16" s="1"/>
  <c r="E9" i="16" s="1"/>
  <c r="C13" i="16"/>
  <c r="D13" i="16" s="1"/>
  <c r="E13" i="16" s="1"/>
  <c r="C17" i="16"/>
  <c r="D17" i="16" s="1"/>
  <c r="E17" i="16" s="1"/>
  <c r="C21" i="16"/>
  <c r="D21" i="16" s="1"/>
  <c r="E21" i="16" s="1"/>
  <c r="C25" i="16"/>
  <c r="D25" i="16" s="1"/>
  <c r="E25" i="16" s="1"/>
  <c r="C29" i="16"/>
  <c r="D29" i="16" s="1"/>
  <c r="E29" i="16" s="1"/>
  <c r="C33" i="16"/>
  <c r="D33" i="16" s="1"/>
  <c r="E33" i="16" s="1"/>
  <c r="C37" i="16"/>
  <c r="D37" i="16" s="1"/>
  <c r="E37" i="16" s="1"/>
  <c r="C6" i="16"/>
  <c r="D6" i="16" s="1"/>
  <c r="E6" i="16" s="1"/>
  <c r="C10" i="16"/>
  <c r="D10" i="16" s="1"/>
  <c r="E10" i="16" s="1"/>
  <c r="C14" i="16"/>
  <c r="D14" i="16" s="1"/>
  <c r="E14" i="16" s="1"/>
  <c r="C18" i="16"/>
  <c r="D18" i="16" s="1"/>
  <c r="E18" i="16" s="1"/>
  <c r="C22" i="16"/>
  <c r="D22" i="16" s="1"/>
  <c r="E22" i="16" s="1"/>
  <c r="C26" i="16"/>
  <c r="D26" i="16" s="1"/>
  <c r="E26" i="16" s="1"/>
  <c r="C30" i="16"/>
  <c r="D30" i="16" s="1"/>
  <c r="E30" i="16" s="1"/>
  <c r="C34" i="16"/>
  <c r="D34" i="16" s="1"/>
  <c r="E34" i="16" s="1"/>
  <c r="C38" i="16"/>
  <c r="D38" i="16" s="1"/>
  <c r="E38" i="16" s="1"/>
  <c r="C3" i="16"/>
  <c r="D3" i="16" s="1"/>
  <c r="E3" i="16" s="1"/>
  <c r="C7" i="16"/>
  <c r="D7" i="16" s="1"/>
  <c r="E7" i="16" s="1"/>
  <c r="C11" i="16"/>
  <c r="D11" i="16" s="1"/>
  <c r="E11" i="16" s="1"/>
  <c r="C15" i="16"/>
  <c r="D15" i="16" s="1"/>
  <c r="E15" i="16" s="1"/>
  <c r="C19" i="16"/>
  <c r="D19" i="16" s="1"/>
  <c r="E19" i="16" s="1"/>
  <c r="C23" i="16"/>
  <c r="D23" i="16" s="1"/>
  <c r="E23" i="16" s="1"/>
  <c r="C27" i="16"/>
  <c r="D27" i="16" s="1"/>
  <c r="E27" i="16" s="1"/>
  <c r="C31" i="16"/>
  <c r="D31" i="16" s="1"/>
  <c r="E31" i="16" s="1"/>
  <c r="C35" i="16"/>
  <c r="D35" i="16" s="1"/>
  <c r="E35" i="16" s="1"/>
  <c r="C39" i="16"/>
  <c r="D39" i="16" s="1"/>
  <c r="E39" i="16" s="1"/>
  <c r="C4" i="16"/>
  <c r="D4" i="16" s="1"/>
  <c r="E4" i="16" s="1"/>
  <c r="C8" i="16"/>
  <c r="D8" i="16" s="1"/>
  <c r="E8" i="16" s="1"/>
  <c r="C12" i="16"/>
  <c r="D12" i="16" s="1"/>
  <c r="E12" i="16" s="1"/>
  <c r="C16" i="16"/>
  <c r="D16" i="16" s="1"/>
  <c r="E16" i="16" s="1"/>
  <c r="C20" i="16"/>
  <c r="D20" i="16" s="1"/>
  <c r="E20" i="16" s="1"/>
  <c r="C24" i="16"/>
  <c r="D24" i="16" s="1"/>
  <c r="E24" i="16" s="1"/>
  <c r="C28" i="16"/>
  <c r="D28" i="16" s="1"/>
  <c r="E28" i="16" s="1"/>
  <c r="C32" i="16"/>
  <c r="D32" i="16" s="1"/>
  <c r="E32" i="16" s="1"/>
  <c r="C36" i="16"/>
  <c r="D36" i="16" s="1"/>
  <c r="E36" i="16" s="1"/>
  <c r="C40" i="16"/>
  <c r="D40" i="16" s="1"/>
  <c r="E40" i="16" s="1"/>
  <c r="C1" i="16"/>
  <c r="D1" i="16" s="1"/>
  <c r="E1" i="16" s="1"/>
  <c r="C9" i="15"/>
  <c r="D9" i="15" s="1"/>
  <c r="E9" i="15" s="1"/>
  <c r="C13" i="15"/>
  <c r="D13" i="15" s="1"/>
  <c r="E13" i="15" s="1"/>
  <c r="C17" i="15"/>
  <c r="D17" i="15" s="1"/>
  <c r="E17" i="15" s="1"/>
  <c r="C21" i="15"/>
  <c r="D21" i="15" s="1"/>
  <c r="E21" i="15" s="1"/>
  <c r="C25" i="15"/>
  <c r="D25" i="15" s="1"/>
  <c r="E25" i="15" s="1"/>
  <c r="C29" i="15"/>
  <c r="D29" i="15" s="1"/>
  <c r="E29" i="15" s="1"/>
  <c r="C33" i="15"/>
  <c r="D33" i="15" s="1"/>
  <c r="E33" i="15" s="1"/>
  <c r="C37" i="15"/>
  <c r="D37" i="15" s="1"/>
  <c r="E37" i="15" s="1"/>
  <c r="C14" i="15"/>
  <c r="D14" i="15" s="1"/>
  <c r="E14" i="15" s="1"/>
  <c r="C18" i="15"/>
  <c r="D18" i="15" s="1"/>
  <c r="E18" i="15" s="1"/>
  <c r="C22" i="15"/>
  <c r="D22" i="15" s="1"/>
  <c r="E22" i="15" s="1"/>
  <c r="C26" i="15"/>
  <c r="D26" i="15" s="1"/>
  <c r="E26" i="15" s="1"/>
  <c r="C30" i="15"/>
  <c r="D30" i="15" s="1"/>
  <c r="E30" i="15" s="1"/>
  <c r="C34" i="15"/>
  <c r="D34" i="15" s="1"/>
  <c r="E34" i="15" s="1"/>
  <c r="C38" i="15"/>
  <c r="D38" i="15" s="1"/>
  <c r="E38" i="15" s="1"/>
  <c r="C3" i="15"/>
  <c r="D3" i="15" s="1"/>
  <c r="E3" i="15" s="1"/>
  <c r="C7" i="15"/>
  <c r="D7" i="15" s="1"/>
  <c r="E7" i="15" s="1"/>
  <c r="C11" i="15"/>
  <c r="D11" i="15" s="1"/>
  <c r="E11" i="15" s="1"/>
  <c r="C15" i="15"/>
  <c r="D15" i="15" s="1"/>
  <c r="E15" i="15" s="1"/>
  <c r="C19" i="15"/>
  <c r="D19" i="15" s="1"/>
  <c r="E19" i="15" s="1"/>
  <c r="C23" i="15"/>
  <c r="D23" i="15" s="1"/>
  <c r="E23" i="15" s="1"/>
  <c r="C27" i="15"/>
  <c r="D27" i="15" s="1"/>
  <c r="E27" i="15" s="1"/>
  <c r="C31" i="15"/>
  <c r="D31" i="15" s="1"/>
  <c r="E31" i="15" s="1"/>
  <c r="C35" i="15"/>
  <c r="D35" i="15" s="1"/>
  <c r="E35" i="15" s="1"/>
  <c r="C39" i="15"/>
  <c r="D39" i="15" s="1"/>
  <c r="E39" i="15" s="1"/>
  <c r="C4" i="15"/>
  <c r="D4" i="15" s="1"/>
  <c r="E4" i="15" s="1"/>
  <c r="C8" i="15"/>
  <c r="D8" i="15" s="1"/>
  <c r="E8" i="15" s="1"/>
  <c r="C12" i="15"/>
  <c r="D12" i="15" s="1"/>
  <c r="E12" i="15" s="1"/>
  <c r="C16" i="15"/>
  <c r="D16" i="15" s="1"/>
  <c r="E16" i="15" s="1"/>
  <c r="C20" i="15"/>
  <c r="D20" i="15" s="1"/>
  <c r="E20" i="15" s="1"/>
  <c r="C24" i="15"/>
  <c r="D24" i="15" s="1"/>
  <c r="E24" i="15" s="1"/>
  <c r="C28" i="15"/>
  <c r="D28" i="15" s="1"/>
  <c r="E28" i="15" s="1"/>
  <c r="C32" i="15"/>
  <c r="D32" i="15" s="1"/>
  <c r="E32" i="15" s="1"/>
  <c r="C36" i="15"/>
  <c r="D36" i="15" s="1"/>
  <c r="E36" i="15" s="1"/>
  <c r="C40" i="15"/>
  <c r="D40" i="15" s="1"/>
  <c r="E40" i="15" s="1"/>
  <c r="C1" i="15"/>
  <c r="D1" i="15" s="1"/>
  <c r="E1" i="15" s="1"/>
  <c r="C9" i="14"/>
  <c r="D9" i="14" s="1"/>
  <c r="E9" i="14" s="1"/>
  <c r="C13" i="14"/>
  <c r="D13" i="14" s="1"/>
  <c r="E13" i="14" s="1"/>
  <c r="C17" i="14"/>
  <c r="D17" i="14" s="1"/>
  <c r="E17" i="14" s="1"/>
  <c r="C21" i="14"/>
  <c r="D21" i="14" s="1"/>
  <c r="E21" i="14" s="1"/>
  <c r="C25" i="14"/>
  <c r="D25" i="14" s="1"/>
  <c r="E25" i="14" s="1"/>
  <c r="C29" i="14"/>
  <c r="D29" i="14" s="1"/>
  <c r="E29" i="14" s="1"/>
  <c r="C33" i="14"/>
  <c r="D33" i="14" s="1"/>
  <c r="E33" i="14" s="1"/>
  <c r="C37" i="14"/>
  <c r="D37" i="14" s="1"/>
  <c r="E37" i="14" s="1"/>
  <c r="C6" i="14"/>
  <c r="D6" i="14" s="1"/>
  <c r="E6" i="14" s="1"/>
  <c r="C10" i="14"/>
  <c r="D10" i="14" s="1"/>
  <c r="E10" i="14" s="1"/>
  <c r="C14" i="14"/>
  <c r="D14" i="14" s="1"/>
  <c r="E14" i="14" s="1"/>
  <c r="C18" i="14"/>
  <c r="D18" i="14" s="1"/>
  <c r="E18" i="14" s="1"/>
  <c r="C22" i="14"/>
  <c r="D22" i="14" s="1"/>
  <c r="E22" i="14" s="1"/>
  <c r="C26" i="14"/>
  <c r="D26" i="14" s="1"/>
  <c r="E26" i="14" s="1"/>
  <c r="C30" i="14"/>
  <c r="D30" i="14" s="1"/>
  <c r="E30" i="14" s="1"/>
  <c r="C34" i="14"/>
  <c r="D34" i="14" s="1"/>
  <c r="E34" i="14" s="1"/>
  <c r="C38" i="14"/>
  <c r="D38" i="14" s="1"/>
  <c r="E38" i="14" s="1"/>
  <c r="C3" i="14"/>
  <c r="D3" i="14" s="1"/>
  <c r="E3" i="14" s="1"/>
  <c r="C7" i="14"/>
  <c r="D7" i="14" s="1"/>
  <c r="E7" i="14" s="1"/>
  <c r="C11" i="14"/>
  <c r="D11" i="14" s="1"/>
  <c r="E11" i="14" s="1"/>
  <c r="C15" i="14"/>
  <c r="D15" i="14" s="1"/>
  <c r="E15" i="14" s="1"/>
  <c r="C19" i="14"/>
  <c r="D19" i="14" s="1"/>
  <c r="E19" i="14" s="1"/>
  <c r="C23" i="14"/>
  <c r="D23" i="14" s="1"/>
  <c r="E23" i="14" s="1"/>
  <c r="C27" i="14"/>
  <c r="D27" i="14" s="1"/>
  <c r="E27" i="14" s="1"/>
  <c r="C31" i="14"/>
  <c r="D31" i="14" s="1"/>
  <c r="E31" i="14" s="1"/>
  <c r="C35" i="14"/>
  <c r="D35" i="14" s="1"/>
  <c r="E35" i="14" s="1"/>
  <c r="C39" i="14"/>
  <c r="D39" i="14" s="1"/>
  <c r="E39" i="14" s="1"/>
  <c r="C4" i="14"/>
  <c r="D4" i="14" s="1"/>
  <c r="E4" i="14" s="1"/>
  <c r="C8" i="14"/>
  <c r="D8" i="14" s="1"/>
  <c r="E8" i="14" s="1"/>
  <c r="C12" i="14"/>
  <c r="D12" i="14" s="1"/>
  <c r="E12" i="14" s="1"/>
  <c r="C16" i="14"/>
  <c r="D16" i="14" s="1"/>
  <c r="E16" i="14" s="1"/>
  <c r="C20" i="14"/>
  <c r="D20" i="14" s="1"/>
  <c r="E20" i="14" s="1"/>
  <c r="C24" i="14"/>
  <c r="D24" i="14" s="1"/>
  <c r="E24" i="14" s="1"/>
  <c r="C28" i="14"/>
  <c r="D28" i="14" s="1"/>
  <c r="E28" i="14" s="1"/>
  <c r="C32" i="14"/>
  <c r="D32" i="14" s="1"/>
  <c r="E32" i="14" s="1"/>
  <c r="C36" i="14"/>
  <c r="D36" i="14" s="1"/>
  <c r="E36" i="14" s="1"/>
  <c r="C40" i="14"/>
  <c r="D40" i="14" s="1"/>
  <c r="E40" i="14" s="1"/>
  <c r="C1" i="14"/>
  <c r="D1" i="14" s="1"/>
  <c r="E1" i="14" s="1"/>
  <c r="C9" i="13"/>
  <c r="D9" i="13" s="1"/>
  <c r="E9" i="13" s="1"/>
  <c r="C13" i="13"/>
  <c r="D13" i="13" s="1"/>
  <c r="E13" i="13" s="1"/>
  <c r="C17" i="13"/>
  <c r="D17" i="13" s="1"/>
  <c r="E17" i="13" s="1"/>
  <c r="C21" i="13"/>
  <c r="D21" i="13" s="1"/>
  <c r="E21" i="13" s="1"/>
  <c r="C25" i="13"/>
  <c r="D25" i="13" s="1"/>
  <c r="E25" i="13" s="1"/>
  <c r="C29" i="13"/>
  <c r="D29" i="13" s="1"/>
  <c r="E29" i="13" s="1"/>
  <c r="C33" i="13"/>
  <c r="D33" i="13" s="1"/>
  <c r="E33" i="13" s="1"/>
  <c r="C37" i="13"/>
  <c r="D37" i="13" s="1"/>
  <c r="E37" i="13" s="1"/>
  <c r="C38" i="13"/>
  <c r="D38" i="13" s="1"/>
  <c r="E38" i="13" s="1"/>
  <c r="C3" i="13"/>
  <c r="D3" i="13" s="1"/>
  <c r="E3" i="13" s="1"/>
  <c r="C7" i="13"/>
  <c r="D7" i="13" s="1"/>
  <c r="E7" i="13" s="1"/>
  <c r="C11" i="13"/>
  <c r="D11" i="13" s="1"/>
  <c r="E11" i="13" s="1"/>
  <c r="C15" i="13"/>
  <c r="D15" i="13" s="1"/>
  <c r="E15" i="13" s="1"/>
  <c r="C19" i="13"/>
  <c r="D19" i="13" s="1"/>
  <c r="E19" i="13" s="1"/>
  <c r="C23" i="13"/>
  <c r="D23" i="13" s="1"/>
  <c r="E23" i="13" s="1"/>
  <c r="C27" i="13"/>
  <c r="D27" i="13" s="1"/>
  <c r="E27" i="13" s="1"/>
  <c r="C31" i="13"/>
  <c r="D31" i="13" s="1"/>
  <c r="E31" i="13" s="1"/>
  <c r="C35" i="13"/>
  <c r="D35" i="13" s="1"/>
  <c r="E35" i="13" s="1"/>
  <c r="C39" i="13"/>
  <c r="D39" i="13" s="1"/>
  <c r="E39" i="13" s="1"/>
  <c r="C8" i="13"/>
  <c r="D8" i="13" s="1"/>
  <c r="E8" i="13" s="1"/>
  <c r="C12" i="13"/>
  <c r="D12" i="13" s="1"/>
  <c r="E12" i="13" s="1"/>
  <c r="C16" i="13"/>
  <c r="D16" i="13" s="1"/>
  <c r="E16" i="13" s="1"/>
  <c r="C20" i="13"/>
  <c r="D20" i="13" s="1"/>
  <c r="E20" i="13" s="1"/>
  <c r="C24" i="13"/>
  <c r="D24" i="13" s="1"/>
  <c r="E24" i="13" s="1"/>
  <c r="C28" i="13"/>
  <c r="D28" i="13" s="1"/>
  <c r="E28" i="13" s="1"/>
  <c r="C32" i="13"/>
  <c r="D32" i="13" s="1"/>
  <c r="E32" i="13" s="1"/>
  <c r="C36" i="13"/>
  <c r="D36" i="13" s="1"/>
  <c r="E36" i="13" s="1"/>
  <c r="C40" i="13"/>
  <c r="D40" i="13" s="1"/>
  <c r="E40" i="13" s="1"/>
  <c r="C9" i="12"/>
  <c r="D9" i="12" s="1"/>
  <c r="E9" i="12" s="1"/>
  <c r="C13" i="12"/>
  <c r="D13" i="12" s="1"/>
  <c r="E13" i="12" s="1"/>
  <c r="C17" i="12"/>
  <c r="D17" i="12" s="1"/>
  <c r="E17" i="12" s="1"/>
  <c r="C21" i="12"/>
  <c r="D21" i="12" s="1"/>
  <c r="E21" i="12" s="1"/>
  <c r="C25" i="12"/>
  <c r="D25" i="12" s="1"/>
  <c r="E25" i="12" s="1"/>
  <c r="C29" i="12"/>
  <c r="D29" i="12" s="1"/>
  <c r="E29" i="12" s="1"/>
  <c r="C33" i="12"/>
  <c r="D33" i="12" s="1"/>
  <c r="E33" i="12" s="1"/>
  <c r="C37" i="12"/>
  <c r="D37" i="12" s="1"/>
  <c r="E37" i="12" s="1"/>
  <c r="C3" i="12"/>
  <c r="D3" i="12" s="1"/>
  <c r="E3" i="12" s="1"/>
  <c r="C7" i="12"/>
  <c r="D7" i="12" s="1"/>
  <c r="E7" i="12" s="1"/>
  <c r="C11" i="12"/>
  <c r="D11" i="12" s="1"/>
  <c r="E11" i="12" s="1"/>
  <c r="C15" i="12"/>
  <c r="D15" i="12" s="1"/>
  <c r="E15" i="12" s="1"/>
  <c r="C19" i="12"/>
  <c r="D19" i="12" s="1"/>
  <c r="E19" i="12" s="1"/>
  <c r="C23" i="12"/>
  <c r="D23" i="12" s="1"/>
  <c r="E23" i="12" s="1"/>
  <c r="C27" i="12"/>
  <c r="D27" i="12" s="1"/>
  <c r="E27" i="12" s="1"/>
  <c r="C31" i="12"/>
  <c r="D31" i="12" s="1"/>
  <c r="E31" i="12" s="1"/>
  <c r="C35" i="12"/>
  <c r="D35" i="12" s="1"/>
  <c r="E35" i="12" s="1"/>
  <c r="C39" i="12"/>
  <c r="D39" i="12" s="1"/>
  <c r="E39" i="12" s="1"/>
  <c r="C4" i="12"/>
  <c r="D4" i="12" s="1"/>
  <c r="E4" i="12" s="1"/>
  <c r="C8" i="12"/>
  <c r="D8" i="12" s="1"/>
  <c r="E8" i="12" s="1"/>
  <c r="C12" i="12"/>
  <c r="D12" i="12" s="1"/>
  <c r="E12" i="12" s="1"/>
  <c r="C16" i="12"/>
  <c r="D16" i="12" s="1"/>
  <c r="E16" i="12" s="1"/>
  <c r="C20" i="12"/>
  <c r="D20" i="12" s="1"/>
  <c r="E20" i="12" s="1"/>
  <c r="C24" i="12"/>
  <c r="D24" i="12" s="1"/>
  <c r="E24" i="12" s="1"/>
  <c r="C28" i="12"/>
  <c r="D28" i="12" s="1"/>
  <c r="E28" i="12" s="1"/>
  <c r="C32" i="12"/>
  <c r="D32" i="12" s="1"/>
  <c r="E32" i="12" s="1"/>
  <c r="C36" i="12"/>
  <c r="D36" i="12" s="1"/>
  <c r="E36" i="12" s="1"/>
  <c r="C40" i="12"/>
  <c r="D40" i="12" s="1"/>
  <c r="E40" i="12" s="1"/>
  <c r="C1" i="12"/>
  <c r="D1" i="12" s="1"/>
  <c r="E1" i="12" s="1"/>
  <c r="C9" i="11"/>
  <c r="D9" i="11" s="1"/>
  <c r="E9" i="11" s="1"/>
  <c r="C13" i="11"/>
  <c r="D13" i="11" s="1"/>
  <c r="E13" i="11" s="1"/>
  <c r="C17" i="11"/>
  <c r="D17" i="11" s="1"/>
  <c r="E17" i="11" s="1"/>
  <c r="C21" i="11"/>
  <c r="D21" i="11" s="1"/>
  <c r="E21" i="11" s="1"/>
  <c r="C25" i="11"/>
  <c r="D25" i="11" s="1"/>
  <c r="E25" i="11" s="1"/>
  <c r="C29" i="11"/>
  <c r="D29" i="11" s="1"/>
  <c r="E29" i="11" s="1"/>
  <c r="C33" i="11"/>
  <c r="D33" i="11" s="1"/>
  <c r="E33" i="11" s="1"/>
  <c r="C37" i="11"/>
  <c r="D37" i="11" s="1"/>
  <c r="E37" i="11" s="1"/>
  <c r="C3" i="11"/>
  <c r="D3" i="11" s="1"/>
  <c r="E3" i="11" s="1"/>
  <c r="C7" i="11"/>
  <c r="D7" i="11" s="1"/>
  <c r="E7" i="11" s="1"/>
  <c r="C11" i="11"/>
  <c r="D11" i="11" s="1"/>
  <c r="E11" i="11" s="1"/>
  <c r="C15" i="11"/>
  <c r="D15" i="11" s="1"/>
  <c r="E15" i="11" s="1"/>
  <c r="C19" i="11"/>
  <c r="D19" i="11" s="1"/>
  <c r="E19" i="11" s="1"/>
  <c r="C23" i="11"/>
  <c r="D23" i="11" s="1"/>
  <c r="E23" i="11" s="1"/>
  <c r="C27" i="11"/>
  <c r="D27" i="11" s="1"/>
  <c r="E27" i="11" s="1"/>
  <c r="C31" i="11"/>
  <c r="D31" i="11" s="1"/>
  <c r="E31" i="11" s="1"/>
  <c r="C35" i="11"/>
  <c r="D35" i="11" s="1"/>
  <c r="E35" i="11" s="1"/>
  <c r="C39" i="11"/>
  <c r="D39" i="11" s="1"/>
  <c r="E39" i="11" s="1"/>
  <c r="C4" i="11"/>
  <c r="D4" i="11" s="1"/>
  <c r="E4" i="11" s="1"/>
  <c r="C8" i="11"/>
  <c r="D8" i="11" s="1"/>
  <c r="E8" i="11" s="1"/>
  <c r="C12" i="11"/>
  <c r="D12" i="11" s="1"/>
  <c r="E12" i="11" s="1"/>
  <c r="C16" i="11"/>
  <c r="D16" i="11" s="1"/>
  <c r="E16" i="11" s="1"/>
  <c r="C20" i="11"/>
  <c r="D20" i="11" s="1"/>
  <c r="E20" i="11" s="1"/>
  <c r="C24" i="11"/>
  <c r="D24" i="11" s="1"/>
  <c r="E24" i="11" s="1"/>
  <c r="C28" i="11"/>
  <c r="D28" i="11" s="1"/>
  <c r="E28" i="11" s="1"/>
  <c r="C32" i="11"/>
  <c r="D32" i="11" s="1"/>
  <c r="E32" i="11" s="1"/>
  <c r="C36" i="11"/>
  <c r="D36" i="11" s="1"/>
  <c r="E36" i="11" s="1"/>
  <c r="C40" i="11"/>
  <c r="D40" i="11" s="1"/>
  <c r="E40" i="11" s="1"/>
  <c r="C6" i="10"/>
  <c r="D6" i="10" s="1"/>
  <c r="E6" i="10" s="1"/>
  <c r="C10" i="10"/>
  <c r="D10" i="10" s="1"/>
  <c r="E10" i="10" s="1"/>
  <c r="C14" i="10"/>
  <c r="D14" i="10" s="1"/>
  <c r="E14" i="10" s="1"/>
  <c r="C18" i="10"/>
  <c r="D18" i="10" s="1"/>
  <c r="E18" i="10" s="1"/>
  <c r="C22" i="10"/>
  <c r="D22" i="10" s="1"/>
  <c r="E22" i="10" s="1"/>
  <c r="C26" i="10"/>
  <c r="D26" i="10" s="1"/>
  <c r="E26" i="10" s="1"/>
  <c r="C30" i="10"/>
  <c r="D30" i="10" s="1"/>
  <c r="E30" i="10" s="1"/>
  <c r="C34" i="10"/>
  <c r="D34" i="10" s="1"/>
  <c r="E34" i="10" s="1"/>
  <c r="C38" i="10"/>
  <c r="D38" i="10" s="1"/>
  <c r="E38" i="10" s="1"/>
  <c r="C3" i="10"/>
  <c r="D3" i="10" s="1"/>
  <c r="E3" i="10" s="1"/>
  <c r="C7" i="10"/>
  <c r="D7" i="10" s="1"/>
  <c r="E7" i="10" s="1"/>
  <c r="C11" i="10"/>
  <c r="D11" i="10" s="1"/>
  <c r="E11" i="10" s="1"/>
  <c r="C15" i="10"/>
  <c r="D15" i="10" s="1"/>
  <c r="E15" i="10" s="1"/>
  <c r="C19" i="10"/>
  <c r="D19" i="10" s="1"/>
  <c r="E19" i="10" s="1"/>
  <c r="C23" i="10"/>
  <c r="D23" i="10" s="1"/>
  <c r="E23" i="10" s="1"/>
  <c r="C27" i="10"/>
  <c r="D27" i="10" s="1"/>
  <c r="E27" i="10" s="1"/>
  <c r="C31" i="10"/>
  <c r="D31" i="10" s="1"/>
  <c r="E31" i="10" s="1"/>
  <c r="C35" i="10"/>
  <c r="D35" i="10" s="1"/>
  <c r="E35" i="10" s="1"/>
  <c r="C39" i="10"/>
  <c r="D39" i="10" s="1"/>
  <c r="E39" i="10" s="1"/>
  <c r="C4" i="10"/>
  <c r="D4" i="10" s="1"/>
  <c r="E4" i="10" s="1"/>
  <c r="C8" i="10"/>
  <c r="D8" i="10" s="1"/>
  <c r="E8" i="10" s="1"/>
  <c r="C12" i="10"/>
  <c r="D12" i="10" s="1"/>
  <c r="E12" i="10" s="1"/>
  <c r="C16" i="10"/>
  <c r="D16" i="10" s="1"/>
  <c r="E16" i="10" s="1"/>
  <c r="C20" i="10"/>
  <c r="D20" i="10" s="1"/>
  <c r="E20" i="10" s="1"/>
  <c r="C24" i="10"/>
  <c r="D24" i="10" s="1"/>
  <c r="E24" i="10" s="1"/>
  <c r="C28" i="10"/>
  <c r="D28" i="10" s="1"/>
  <c r="E28" i="10" s="1"/>
  <c r="C32" i="10"/>
  <c r="D32" i="10" s="1"/>
  <c r="E32" i="10" s="1"/>
  <c r="C36" i="10"/>
  <c r="D36" i="10" s="1"/>
  <c r="E36" i="10" s="1"/>
  <c r="C40" i="10"/>
  <c r="D40" i="10" s="1"/>
  <c r="E40" i="10" s="1"/>
  <c r="C1" i="10"/>
  <c r="D1" i="10" s="1"/>
  <c r="E1" i="10" s="1"/>
  <c r="C9" i="9"/>
  <c r="D9" i="9" s="1"/>
  <c r="E9" i="9" s="1"/>
  <c r="C13" i="9"/>
  <c r="D13" i="9" s="1"/>
  <c r="E13" i="9" s="1"/>
  <c r="C17" i="9"/>
  <c r="D17" i="9" s="1"/>
  <c r="E17" i="9" s="1"/>
  <c r="C21" i="9"/>
  <c r="D21" i="9" s="1"/>
  <c r="E21" i="9" s="1"/>
  <c r="C25" i="9"/>
  <c r="D25" i="9" s="1"/>
  <c r="E25" i="9" s="1"/>
  <c r="C29" i="9"/>
  <c r="D29" i="9" s="1"/>
  <c r="E29" i="9" s="1"/>
  <c r="C33" i="9"/>
  <c r="D33" i="9" s="1"/>
  <c r="E33" i="9" s="1"/>
  <c r="C37" i="9"/>
  <c r="D37" i="9" s="1"/>
  <c r="E37" i="9" s="1"/>
  <c r="C18" i="9"/>
  <c r="D18" i="9" s="1"/>
  <c r="E18" i="9" s="1"/>
  <c r="C22" i="9"/>
  <c r="D22" i="9" s="1"/>
  <c r="E22" i="9" s="1"/>
  <c r="C26" i="9"/>
  <c r="D26" i="9" s="1"/>
  <c r="E26" i="9" s="1"/>
  <c r="C30" i="9"/>
  <c r="D30" i="9" s="1"/>
  <c r="E30" i="9" s="1"/>
  <c r="C34" i="9"/>
  <c r="D34" i="9" s="1"/>
  <c r="E34" i="9" s="1"/>
  <c r="C38" i="9"/>
  <c r="D38" i="9" s="1"/>
  <c r="E38" i="9" s="1"/>
  <c r="C3" i="9"/>
  <c r="D3" i="9" s="1"/>
  <c r="E3" i="9" s="1"/>
  <c r="C7" i="9"/>
  <c r="D7" i="9" s="1"/>
  <c r="E7" i="9" s="1"/>
  <c r="C11" i="9"/>
  <c r="D11" i="9" s="1"/>
  <c r="E11" i="9" s="1"/>
  <c r="C15" i="9"/>
  <c r="D15" i="9" s="1"/>
  <c r="E15" i="9" s="1"/>
  <c r="C19" i="9"/>
  <c r="D19" i="9" s="1"/>
  <c r="E19" i="9" s="1"/>
  <c r="C23" i="9"/>
  <c r="D23" i="9" s="1"/>
  <c r="E23" i="9" s="1"/>
  <c r="C27" i="9"/>
  <c r="D27" i="9" s="1"/>
  <c r="E27" i="9" s="1"/>
  <c r="C31" i="9"/>
  <c r="D31" i="9" s="1"/>
  <c r="E31" i="9" s="1"/>
  <c r="C35" i="9"/>
  <c r="D35" i="9" s="1"/>
  <c r="E35" i="9" s="1"/>
  <c r="C39" i="9"/>
  <c r="D39" i="9" s="1"/>
  <c r="E39" i="9" s="1"/>
  <c r="C4" i="9"/>
  <c r="D4" i="9" s="1"/>
  <c r="E4" i="9" s="1"/>
  <c r="C8" i="9"/>
  <c r="D8" i="9" s="1"/>
  <c r="E8" i="9" s="1"/>
  <c r="C12" i="9"/>
  <c r="D12" i="9" s="1"/>
  <c r="E12" i="9" s="1"/>
  <c r="C16" i="9"/>
  <c r="D16" i="9" s="1"/>
  <c r="E16" i="9" s="1"/>
  <c r="C20" i="9"/>
  <c r="D20" i="9" s="1"/>
  <c r="E20" i="9" s="1"/>
  <c r="C24" i="9"/>
  <c r="D24" i="9" s="1"/>
  <c r="E24" i="9" s="1"/>
  <c r="C28" i="9"/>
  <c r="D28" i="9" s="1"/>
  <c r="E28" i="9" s="1"/>
  <c r="C32" i="9"/>
  <c r="D32" i="9" s="1"/>
  <c r="E32" i="9" s="1"/>
  <c r="C36" i="9"/>
  <c r="D36" i="9" s="1"/>
  <c r="E36" i="9" s="1"/>
  <c r="C40" i="9"/>
  <c r="D40" i="9" s="1"/>
  <c r="E40" i="9" s="1"/>
  <c r="C1" i="9"/>
  <c r="D1" i="9" s="1"/>
  <c r="E1" i="9" s="1"/>
  <c r="C9" i="8"/>
  <c r="D9" i="8" s="1"/>
  <c r="E9" i="8" s="1"/>
  <c r="C13" i="8"/>
  <c r="D13" i="8" s="1"/>
  <c r="E13" i="8" s="1"/>
  <c r="C17" i="8"/>
  <c r="D17" i="8" s="1"/>
  <c r="E17" i="8" s="1"/>
  <c r="C21" i="8"/>
  <c r="D21" i="8" s="1"/>
  <c r="E21" i="8" s="1"/>
  <c r="C25" i="8"/>
  <c r="D25" i="8" s="1"/>
  <c r="E25" i="8" s="1"/>
  <c r="C29" i="8"/>
  <c r="D29" i="8" s="1"/>
  <c r="E29" i="8" s="1"/>
  <c r="C33" i="8"/>
  <c r="D33" i="8" s="1"/>
  <c r="E33" i="8" s="1"/>
  <c r="C37" i="8"/>
  <c r="D37" i="8" s="1"/>
  <c r="E37" i="8" s="1"/>
  <c r="C6" i="8"/>
  <c r="D6" i="8" s="1"/>
  <c r="E6" i="8" s="1"/>
  <c r="C10" i="8"/>
  <c r="D10" i="8" s="1"/>
  <c r="E10" i="8" s="1"/>
  <c r="C14" i="8"/>
  <c r="D14" i="8" s="1"/>
  <c r="E14" i="8" s="1"/>
  <c r="C18" i="8"/>
  <c r="D18" i="8" s="1"/>
  <c r="E18" i="8" s="1"/>
  <c r="C22" i="8"/>
  <c r="D22" i="8" s="1"/>
  <c r="E22" i="8" s="1"/>
  <c r="C26" i="8"/>
  <c r="D26" i="8" s="1"/>
  <c r="E26" i="8" s="1"/>
  <c r="C30" i="8"/>
  <c r="D30" i="8" s="1"/>
  <c r="E30" i="8" s="1"/>
  <c r="C34" i="8"/>
  <c r="D34" i="8" s="1"/>
  <c r="E34" i="8" s="1"/>
  <c r="C38" i="8"/>
  <c r="D38" i="8" s="1"/>
  <c r="E38" i="8" s="1"/>
  <c r="C3" i="8"/>
  <c r="D3" i="8" s="1"/>
  <c r="E3" i="8" s="1"/>
  <c r="C7" i="8"/>
  <c r="D7" i="8" s="1"/>
  <c r="E7" i="8" s="1"/>
  <c r="C11" i="8"/>
  <c r="D11" i="8" s="1"/>
  <c r="E11" i="8" s="1"/>
  <c r="C15" i="8"/>
  <c r="D15" i="8" s="1"/>
  <c r="E15" i="8" s="1"/>
  <c r="C19" i="8"/>
  <c r="D19" i="8" s="1"/>
  <c r="E19" i="8" s="1"/>
  <c r="C23" i="8"/>
  <c r="D23" i="8" s="1"/>
  <c r="E23" i="8" s="1"/>
  <c r="C27" i="8"/>
  <c r="D27" i="8" s="1"/>
  <c r="E27" i="8" s="1"/>
  <c r="C31" i="8"/>
  <c r="D31" i="8" s="1"/>
  <c r="E31" i="8" s="1"/>
  <c r="C35" i="8"/>
  <c r="D35" i="8" s="1"/>
  <c r="E35" i="8" s="1"/>
  <c r="C39" i="8"/>
  <c r="D39" i="8" s="1"/>
  <c r="E39" i="8" s="1"/>
  <c r="C4" i="8"/>
  <c r="D4" i="8" s="1"/>
  <c r="E4" i="8" s="1"/>
  <c r="C8" i="8"/>
  <c r="D8" i="8" s="1"/>
  <c r="E8" i="8" s="1"/>
  <c r="C12" i="8"/>
  <c r="D12" i="8" s="1"/>
  <c r="E12" i="8" s="1"/>
  <c r="C16" i="8"/>
  <c r="D16" i="8" s="1"/>
  <c r="E16" i="8" s="1"/>
  <c r="C20" i="8"/>
  <c r="D20" i="8" s="1"/>
  <c r="E20" i="8" s="1"/>
  <c r="C24" i="8"/>
  <c r="D24" i="8" s="1"/>
  <c r="E24" i="8" s="1"/>
  <c r="C28" i="8"/>
  <c r="D28" i="8" s="1"/>
  <c r="E28" i="8" s="1"/>
  <c r="C32" i="8"/>
  <c r="D32" i="8" s="1"/>
  <c r="E32" i="8" s="1"/>
  <c r="C36" i="8"/>
  <c r="D36" i="8" s="1"/>
  <c r="E36" i="8" s="1"/>
  <c r="C40" i="8"/>
  <c r="D40" i="8" s="1"/>
  <c r="E40" i="8" s="1"/>
  <c r="C1" i="8"/>
  <c r="D1" i="8" s="1"/>
  <c r="E1" i="8" s="1"/>
  <c r="C6" i="7"/>
  <c r="D6" i="7" s="1"/>
  <c r="E6" i="7" s="1"/>
  <c r="C10" i="7"/>
  <c r="D10" i="7" s="1"/>
  <c r="E10" i="7" s="1"/>
  <c r="C14" i="7"/>
  <c r="D14" i="7" s="1"/>
  <c r="E14" i="7" s="1"/>
  <c r="C18" i="7"/>
  <c r="D18" i="7" s="1"/>
  <c r="E18" i="7" s="1"/>
  <c r="C22" i="7"/>
  <c r="D22" i="7" s="1"/>
  <c r="E22" i="7" s="1"/>
  <c r="C26" i="7"/>
  <c r="D26" i="7" s="1"/>
  <c r="E26" i="7" s="1"/>
  <c r="C30" i="7"/>
  <c r="D30" i="7" s="1"/>
  <c r="E30" i="7" s="1"/>
  <c r="C34" i="7"/>
  <c r="D34" i="7" s="1"/>
  <c r="E34" i="7" s="1"/>
  <c r="C38" i="7"/>
  <c r="D38" i="7" s="1"/>
  <c r="E38" i="7" s="1"/>
  <c r="C7" i="7"/>
  <c r="D7" i="7" s="1"/>
  <c r="E7" i="7" s="1"/>
  <c r="C11" i="7"/>
  <c r="D11" i="7" s="1"/>
  <c r="E11" i="7" s="1"/>
  <c r="C15" i="7"/>
  <c r="D15" i="7" s="1"/>
  <c r="E15" i="7" s="1"/>
  <c r="C19" i="7"/>
  <c r="D19" i="7" s="1"/>
  <c r="E19" i="7" s="1"/>
  <c r="C23" i="7"/>
  <c r="D23" i="7" s="1"/>
  <c r="E23" i="7" s="1"/>
  <c r="C27" i="7"/>
  <c r="D27" i="7" s="1"/>
  <c r="E27" i="7" s="1"/>
  <c r="C31" i="7"/>
  <c r="D31" i="7" s="1"/>
  <c r="E31" i="7" s="1"/>
  <c r="C35" i="7"/>
  <c r="D35" i="7" s="1"/>
  <c r="E35" i="7" s="1"/>
  <c r="C39" i="7"/>
  <c r="D39" i="7" s="1"/>
  <c r="E39" i="7" s="1"/>
  <c r="C4" i="7"/>
  <c r="D4" i="7" s="1"/>
  <c r="E4" i="7" s="1"/>
  <c r="C8" i="7"/>
  <c r="D8" i="7" s="1"/>
  <c r="E8" i="7" s="1"/>
  <c r="C12" i="7"/>
  <c r="D12" i="7" s="1"/>
  <c r="E12" i="7" s="1"/>
  <c r="C16" i="7"/>
  <c r="D16" i="7" s="1"/>
  <c r="E16" i="7" s="1"/>
  <c r="C20" i="7"/>
  <c r="D20" i="7" s="1"/>
  <c r="E20" i="7" s="1"/>
  <c r="C24" i="7"/>
  <c r="D24" i="7" s="1"/>
  <c r="E24" i="7" s="1"/>
  <c r="C28" i="7"/>
  <c r="D28" i="7" s="1"/>
  <c r="E28" i="7" s="1"/>
  <c r="C32" i="7"/>
  <c r="D32" i="7" s="1"/>
  <c r="E32" i="7" s="1"/>
  <c r="C36" i="7"/>
  <c r="D36" i="7" s="1"/>
  <c r="E36" i="7" s="1"/>
  <c r="C40" i="7"/>
  <c r="D40" i="7" s="1"/>
  <c r="E40" i="7" s="1"/>
  <c r="C1" i="7"/>
  <c r="D1" i="7" s="1"/>
  <c r="E1" i="7" s="1"/>
  <c r="C9" i="6"/>
  <c r="D9" i="6" s="1"/>
  <c r="E9" i="6" s="1"/>
  <c r="C13" i="6"/>
  <c r="D13" i="6" s="1"/>
  <c r="E13" i="6" s="1"/>
  <c r="C17" i="6"/>
  <c r="D17" i="6" s="1"/>
  <c r="E17" i="6" s="1"/>
  <c r="C21" i="6"/>
  <c r="D21" i="6" s="1"/>
  <c r="E21" i="6" s="1"/>
  <c r="C25" i="6"/>
  <c r="D25" i="6" s="1"/>
  <c r="E25" i="6" s="1"/>
  <c r="C29" i="6"/>
  <c r="D29" i="6" s="1"/>
  <c r="E29" i="6" s="1"/>
  <c r="C33" i="6"/>
  <c r="D33" i="6" s="1"/>
  <c r="E33" i="6" s="1"/>
  <c r="C37" i="6"/>
  <c r="D37" i="6" s="1"/>
  <c r="E37" i="6" s="1"/>
  <c r="C6" i="6"/>
  <c r="D6" i="6" s="1"/>
  <c r="E6" i="6" s="1"/>
  <c r="C10" i="6"/>
  <c r="D10" i="6" s="1"/>
  <c r="E10" i="6" s="1"/>
  <c r="C14" i="6"/>
  <c r="D14" i="6" s="1"/>
  <c r="E14" i="6" s="1"/>
  <c r="C18" i="6"/>
  <c r="D18" i="6" s="1"/>
  <c r="E18" i="6" s="1"/>
  <c r="C22" i="6"/>
  <c r="D22" i="6" s="1"/>
  <c r="E22" i="6" s="1"/>
  <c r="C26" i="6"/>
  <c r="D26" i="6" s="1"/>
  <c r="E26" i="6" s="1"/>
  <c r="C30" i="6"/>
  <c r="D30" i="6" s="1"/>
  <c r="E30" i="6" s="1"/>
  <c r="C34" i="6"/>
  <c r="D34" i="6" s="1"/>
  <c r="E34" i="6" s="1"/>
  <c r="C38" i="6"/>
  <c r="D38" i="6" s="1"/>
  <c r="E38" i="6" s="1"/>
  <c r="C3" i="6"/>
  <c r="D3" i="6" s="1"/>
  <c r="E3" i="6" s="1"/>
  <c r="C7" i="6"/>
  <c r="D7" i="6" s="1"/>
  <c r="E7" i="6" s="1"/>
  <c r="C11" i="6"/>
  <c r="D11" i="6" s="1"/>
  <c r="E11" i="6" s="1"/>
  <c r="C15" i="6"/>
  <c r="D15" i="6" s="1"/>
  <c r="E15" i="6" s="1"/>
  <c r="C19" i="6"/>
  <c r="D19" i="6" s="1"/>
  <c r="E19" i="6" s="1"/>
  <c r="C23" i="6"/>
  <c r="D23" i="6" s="1"/>
  <c r="E23" i="6" s="1"/>
  <c r="C27" i="6"/>
  <c r="D27" i="6" s="1"/>
  <c r="E27" i="6" s="1"/>
  <c r="C31" i="6"/>
  <c r="D31" i="6" s="1"/>
  <c r="E31" i="6" s="1"/>
  <c r="C35" i="6"/>
  <c r="D35" i="6" s="1"/>
  <c r="E35" i="6" s="1"/>
  <c r="C39" i="6"/>
  <c r="D39" i="6" s="1"/>
  <c r="E39" i="6" s="1"/>
  <c r="C4" i="6"/>
  <c r="D4" i="6" s="1"/>
  <c r="E4" i="6" s="1"/>
  <c r="C8" i="6"/>
  <c r="D8" i="6" s="1"/>
  <c r="E8" i="6" s="1"/>
  <c r="C12" i="6"/>
  <c r="D12" i="6" s="1"/>
  <c r="E12" i="6" s="1"/>
  <c r="C16" i="6"/>
  <c r="D16" i="6" s="1"/>
  <c r="E16" i="6" s="1"/>
  <c r="C20" i="6"/>
  <c r="D20" i="6" s="1"/>
  <c r="E20" i="6" s="1"/>
  <c r="C24" i="6"/>
  <c r="D24" i="6" s="1"/>
  <c r="E24" i="6" s="1"/>
  <c r="C28" i="6"/>
  <c r="D28" i="6" s="1"/>
  <c r="E28" i="6" s="1"/>
  <c r="C32" i="6"/>
  <c r="D32" i="6" s="1"/>
  <c r="E32" i="6" s="1"/>
  <c r="C36" i="6"/>
  <c r="D36" i="6" s="1"/>
  <c r="E36" i="6" s="1"/>
  <c r="C40" i="6"/>
  <c r="D40" i="6" s="1"/>
  <c r="E40" i="6" s="1"/>
  <c r="C1" i="6"/>
  <c r="D1" i="6" s="1"/>
  <c r="E1" i="6" s="1"/>
  <c r="C9" i="5"/>
  <c r="D9" i="5" s="1"/>
  <c r="E9" i="5" s="1"/>
  <c r="C13" i="5"/>
  <c r="D13" i="5" s="1"/>
  <c r="E13" i="5" s="1"/>
  <c r="C17" i="5"/>
  <c r="D17" i="5" s="1"/>
  <c r="E17" i="5" s="1"/>
  <c r="C21" i="5"/>
  <c r="D21" i="5" s="1"/>
  <c r="E21" i="5" s="1"/>
  <c r="C25" i="5"/>
  <c r="D25" i="5" s="1"/>
  <c r="E25" i="5" s="1"/>
  <c r="C29" i="5"/>
  <c r="D29" i="5" s="1"/>
  <c r="E29" i="5" s="1"/>
  <c r="C33" i="5"/>
  <c r="D33" i="5" s="1"/>
  <c r="E33" i="5" s="1"/>
  <c r="C37" i="5"/>
  <c r="D37" i="5" s="1"/>
  <c r="E37" i="5" s="1"/>
  <c r="C6" i="5"/>
  <c r="D6" i="5" s="1"/>
  <c r="E6" i="5" s="1"/>
  <c r="C10" i="5"/>
  <c r="D10" i="5" s="1"/>
  <c r="E10" i="5" s="1"/>
  <c r="C14" i="5"/>
  <c r="D14" i="5" s="1"/>
  <c r="E14" i="5" s="1"/>
  <c r="C18" i="5"/>
  <c r="D18" i="5" s="1"/>
  <c r="E18" i="5" s="1"/>
  <c r="C22" i="5"/>
  <c r="D22" i="5" s="1"/>
  <c r="E22" i="5" s="1"/>
  <c r="C26" i="5"/>
  <c r="D26" i="5" s="1"/>
  <c r="E26" i="5" s="1"/>
  <c r="C30" i="5"/>
  <c r="D30" i="5" s="1"/>
  <c r="E30" i="5" s="1"/>
  <c r="C34" i="5"/>
  <c r="D34" i="5" s="1"/>
  <c r="E34" i="5" s="1"/>
  <c r="C38" i="5"/>
  <c r="D38" i="5" s="1"/>
  <c r="E38" i="5" s="1"/>
  <c r="C3" i="5"/>
  <c r="D3" i="5" s="1"/>
  <c r="E3" i="5" s="1"/>
  <c r="C7" i="5"/>
  <c r="D7" i="5" s="1"/>
  <c r="E7" i="5" s="1"/>
  <c r="C11" i="5"/>
  <c r="D11" i="5" s="1"/>
  <c r="E11" i="5" s="1"/>
  <c r="C15" i="5"/>
  <c r="D15" i="5" s="1"/>
  <c r="E15" i="5" s="1"/>
  <c r="C19" i="5"/>
  <c r="D19" i="5" s="1"/>
  <c r="E19" i="5" s="1"/>
  <c r="C23" i="5"/>
  <c r="D23" i="5" s="1"/>
  <c r="E23" i="5" s="1"/>
  <c r="C27" i="5"/>
  <c r="D27" i="5" s="1"/>
  <c r="E27" i="5" s="1"/>
  <c r="C31" i="5"/>
  <c r="D31" i="5" s="1"/>
  <c r="E31" i="5" s="1"/>
  <c r="C35" i="5"/>
  <c r="D35" i="5" s="1"/>
  <c r="E35" i="5" s="1"/>
  <c r="C39" i="5"/>
  <c r="D39" i="5" s="1"/>
  <c r="E39" i="5" s="1"/>
  <c r="C4" i="5"/>
  <c r="D4" i="5" s="1"/>
  <c r="E4" i="5" s="1"/>
  <c r="C8" i="5"/>
  <c r="D8" i="5" s="1"/>
  <c r="E8" i="5" s="1"/>
  <c r="C12" i="5"/>
  <c r="D12" i="5" s="1"/>
  <c r="E12" i="5" s="1"/>
  <c r="C16" i="5"/>
  <c r="D16" i="5" s="1"/>
  <c r="E16" i="5" s="1"/>
  <c r="C20" i="5"/>
  <c r="D20" i="5" s="1"/>
  <c r="E20" i="5" s="1"/>
  <c r="C24" i="5"/>
  <c r="D24" i="5" s="1"/>
  <c r="E24" i="5" s="1"/>
  <c r="C28" i="5"/>
  <c r="D28" i="5" s="1"/>
  <c r="E28" i="5" s="1"/>
  <c r="C32" i="5"/>
  <c r="D32" i="5" s="1"/>
  <c r="E32" i="5" s="1"/>
  <c r="C36" i="5"/>
  <c r="D36" i="5" s="1"/>
  <c r="E36" i="5" s="1"/>
  <c r="C40" i="5"/>
  <c r="D40" i="5" s="1"/>
  <c r="E40" i="5" s="1"/>
  <c r="C1" i="5"/>
  <c r="D1" i="5" s="1"/>
  <c r="E1" i="5" s="1"/>
  <c r="C9" i="4"/>
  <c r="D9" i="4" s="1"/>
  <c r="E9" i="4" s="1"/>
  <c r="C13" i="4"/>
  <c r="D13" i="4" s="1"/>
  <c r="E13" i="4" s="1"/>
  <c r="C17" i="4"/>
  <c r="D17" i="4" s="1"/>
  <c r="E17" i="4" s="1"/>
  <c r="C21" i="4"/>
  <c r="D21" i="4" s="1"/>
  <c r="E21" i="4" s="1"/>
  <c r="C25" i="4"/>
  <c r="D25" i="4" s="1"/>
  <c r="E25" i="4" s="1"/>
  <c r="C29" i="4"/>
  <c r="D29" i="4" s="1"/>
  <c r="E29" i="4" s="1"/>
  <c r="C33" i="4"/>
  <c r="D33" i="4" s="1"/>
  <c r="E33" i="4" s="1"/>
  <c r="C37" i="4"/>
  <c r="D37" i="4" s="1"/>
  <c r="E37" i="4" s="1"/>
  <c r="C6" i="4"/>
  <c r="D6" i="4" s="1"/>
  <c r="E6" i="4" s="1"/>
  <c r="C10" i="4"/>
  <c r="D10" i="4" s="1"/>
  <c r="E10" i="4" s="1"/>
  <c r="C14" i="4"/>
  <c r="D14" i="4" s="1"/>
  <c r="E14" i="4" s="1"/>
  <c r="C18" i="4"/>
  <c r="D18" i="4" s="1"/>
  <c r="E18" i="4" s="1"/>
  <c r="C22" i="4"/>
  <c r="D22" i="4" s="1"/>
  <c r="E22" i="4" s="1"/>
  <c r="C26" i="4"/>
  <c r="D26" i="4" s="1"/>
  <c r="E26" i="4" s="1"/>
  <c r="C30" i="4"/>
  <c r="D30" i="4" s="1"/>
  <c r="E30" i="4" s="1"/>
  <c r="C34" i="4"/>
  <c r="D34" i="4" s="1"/>
  <c r="E34" i="4" s="1"/>
  <c r="C38" i="4"/>
  <c r="D38" i="4" s="1"/>
  <c r="E38" i="4" s="1"/>
  <c r="C3" i="4"/>
  <c r="D3" i="4" s="1"/>
  <c r="E3" i="4" s="1"/>
  <c r="C4" i="4"/>
  <c r="D4" i="4" s="1"/>
  <c r="E4" i="4" s="1"/>
  <c r="C8" i="4"/>
  <c r="D8" i="4" s="1"/>
  <c r="E8" i="4" s="1"/>
  <c r="C12" i="4"/>
  <c r="D12" i="4" s="1"/>
  <c r="E12" i="4" s="1"/>
  <c r="C16" i="4"/>
  <c r="D16" i="4" s="1"/>
  <c r="E16" i="4" s="1"/>
  <c r="C20" i="4"/>
  <c r="D20" i="4" s="1"/>
  <c r="E20" i="4" s="1"/>
  <c r="C24" i="4"/>
  <c r="D24" i="4" s="1"/>
  <c r="E24" i="4" s="1"/>
  <c r="C28" i="4"/>
  <c r="D28" i="4" s="1"/>
  <c r="E28" i="4" s="1"/>
  <c r="C32" i="4"/>
  <c r="D32" i="4" s="1"/>
  <c r="E32" i="4" s="1"/>
  <c r="C36" i="4"/>
  <c r="D36" i="4" s="1"/>
  <c r="E36" i="4" s="1"/>
  <c r="C40" i="4"/>
  <c r="D40" i="4" s="1"/>
  <c r="E40" i="4" s="1"/>
  <c r="C1" i="4"/>
  <c r="D1" i="4" s="1"/>
  <c r="E1" i="4" s="1"/>
  <c r="C9" i="3"/>
  <c r="D9" i="3" s="1"/>
  <c r="E9" i="3" s="1"/>
  <c r="C13" i="3"/>
  <c r="D13" i="3" s="1"/>
  <c r="E13" i="3" s="1"/>
  <c r="C17" i="3"/>
  <c r="D17" i="3" s="1"/>
  <c r="E17" i="3" s="1"/>
  <c r="C21" i="3"/>
  <c r="D21" i="3" s="1"/>
  <c r="E21" i="3" s="1"/>
  <c r="C25" i="3"/>
  <c r="D25" i="3" s="1"/>
  <c r="E25" i="3" s="1"/>
  <c r="C29" i="3"/>
  <c r="D29" i="3" s="1"/>
  <c r="E29" i="3" s="1"/>
  <c r="C33" i="3"/>
  <c r="D33" i="3" s="1"/>
  <c r="E33" i="3" s="1"/>
  <c r="C37" i="3"/>
  <c r="D37" i="3" s="1"/>
  <c r="E37" i="3" s="1"/>
  <c r="C6" i="3"/>
  <c r="D6" i="3" s="1"/>
  <c r="E6" i="3" s="1"/>
  <c r="C10" i="3"/>
  <c r="D10" i="3" s="1"/>
  <c r="E10" i="3" s="1"/>
  <c r="C14" i="3"/>
  <c r="D14" i="3" s="1"/>
  <c r="E14" i="3" s="1"/>
  <c r="C18" i="3"/>
  <c r="D18" i="3" s="1"/>
  <c r="E18" i="3" s="1"/>
  <c r="C22" i="3"/>
  <c r="D22" i="3" s="1"/>
  <c r="E22" i="3" s="1"/>
  <c r="C26" i="3"/>
  <c r="D26" i="3" s="1"/>
  <c r="E26" i="3" s="1"/>
  <c r="C30" i="3"/>
  <c r="D30" i="3" s="1"/>
  <c r="E30" i="3" s="1"/>
  <c r="C34" i="3"/>
  <c r="D34" i="3" s="1"/>
  <c r="E34" i="3" s="1"/>
  <c r="C38" i="3"/>
  <c r="D38" i="3" s="1"/>
  <c r="E38" i="3" s="1"/>
  <c r="C3" i="3"/>
  <c r="D3" i="3" s="1"/>
  <c r="E3" i="3" s="1"/>
  <c r="C7" i="3"/>
  <c r="D7" i="3" s="1"/>
  <c r="E7" i="3" s="1"/>
  <c r="C11" i="3"/>
  <c r="D11" i="3" s="1"/>
  <c r="E11" i="3" s="1"/>
  <c r="C15" i="3"/>
  <c r="D15" i="3" s="1"/>
  <c r="E15" i="3" s="1"/>
  <c r="C19" i="3"/>
  <c r="D19" i="3" s="1"/>
  <c r="E19" i="3" s="1"/>
  <c r="C23" i="3"/>
  <c r="D23" i="3" s="1"/>
  <c r="E23" i="3" s="1"/>
  <c r="C27" i="3"/>
  <c r="D27" i="3" s="1"/>
  <c r="E27" i="3" s="1"/>
  <c r="C31" i="3"/>
  <c r="D31" i="3" s="1"/>
  <c r="E31" i="3" s="1"/>
  <c r="C35" i="3"/>
  <c r="D35" i="3" s="1"/>
  <c r="E35" i="3" s="1"/>
  <c r="C39" i="3"/>
  <c r="D39" i="3" s="1"/>
  <c r="E39" i="3" s="1"/>
  <c r="C4" i="3"/>
  <c r="D4" i="3" s="1"/>
  <c r="E4" i="3" s="1"/>
  <c r="C8" i="3"/>
  <c r="D8" i="3" s="1"/>
  <c r="E8" i="3" s="1"/>
  <c r="C12" i="3"/>
  <c r="D12" i="3" s="1"/>
  <c r="E12" i="3" s="1"/>
  <c r="C16" i="3"/>
  <c r="D16" i="3" s="1"/>
  <c r="E16" i="3" s="1"/>
  <c r="C20" i="3"/>
  <c r="D20" i="3" s="1"/>
  <c r="E20" i="3" s="1"/>
  <c r="C24" i="3"/>
  <c r="D24" i="3" s="1"/>
  <c r="E24" i="3" s="1"/>
  <c r="C28" i="3"/>
  <c r="D28" i="3" s="1"/>
  <c r="E28" i="3" s="1"/>
  <c r="C32" i="3"/>
  <c r="D32" i="3" s="1"/>
  <c r="E32" i="3" s="1"/>
  <c r="C36" i="3"/>
  <c r="D36" i="3" s="1"/>
  <c r="E36" i="3" s="1"/>
  <c r="C40" i="3"/>
  <c r="D40" i="3" s="1"/>
  <c r="E40" i="3" s="1"/>
  <c r="C1" i="3"/>
  <c r="D1" i="3" s="1"/>
  <c r="E1" i="3" s="1"/>
  <c r="C9" i="2"/>
  <c r="D9" i="2" s="1"/>
  <c r="E9" i="2" s="1"/>
  <c r="C13" i="2"/>
  <c r="D13" i="2" s="1"/>
  <c r="E13" i="2" s="1"/>
  <c r="C17" i="2"/>
  <c r="D17" i="2" s="1"/>
  <c r="E17" i="2" s="1"/>
  <c r="C21" i="2"/>
  <c r="D21" i="2" s="1"/>
  <c r="E21" i="2" s="1"/>
  <c r="C25" i="2"/>
  <c r="D25" i="2" s="1"/>
  <c r="E25" i="2" s="1"/>
  <c r="C29" i="2"/>
  <c r="D29" i="2" s="1"/>
  <c r="E29" i="2" s="1"/>
  <c r="C33" i="2"/>
  <c r="D33" i="2" s="1"/>
  <c r="E33" i="2" s="1"/>
  <c r="C37" i="2"/>
  <c r="D37" i="2" s="1"/>
  <c r="E37" i="2" s="1"/>
  <c r="C6" i="2"/>
  <c r="D6" i="2" s="1"/>
  <c r="E6" i="2" s="1"/>
  <c r="C10" i="2"/>
  <c r="D10" i="2" s="1"/>
  <c r="E10" i="2" s="1"/>
  <c r="C14" i="2"/>
  <c r="D14" i="2" s="1"/>
  <c r="E14" i="2" s="1"/>
  <c r="C18" i="2"/>
  <c r="D18" i="2" s="1"/>
  <c r="E18" i="2" s="1"/>
  <c r="C22" i="2"/>
  <c r="D22" i="2" s="1"/>
  <c r="E22" i="2" s="1"/>
  <c r="C26" i="2"/>
  <c r="D26" i="2" s="1"/>
  <c r="E26" i="2" s="1"/>
  <c r="C30" i="2"/>
  <c r="D30" i="2" s="1"/>
  <c r="E30" i="2" s="1"/>
  <c r="C34" i="2"/>
  <c r="D34" i="2" s="1"/>
  <c r="E34" i="2" s="1"/>
  <c r="C38" i="2"/>
  <c r="D38" i="2" s="1"/>
  <c r="E38" i="2" s="1"/>
  <c r="C3" i="2"/>
  <c r="D3" i="2" s="1"/>
  <c r="E3" i="2" s="1"/>
  <c r="C7" i="2"/>
  <c r="D7" i="2" s="1"/>
  <c r="E7" i="2" s="1"/>
  <c r="C11" i="2"/>
  <c r="D11" i="2" s="1"/>
  <c r="E11" i="2" s="1"/>
  <c r="C15" i="2"/>
  <c r="D15" i="2" s="1"/>
  <c r="E15" i="2" s="1"/>
  <c r="C19" i="2"/>
  <c r="D19" i="2" s="1"/>
  <c r="E19" i="2" s="1"/>
  <c r="C23" i="2"/>
  <c r="D23" i="2" s="1"/>
  <c r="E23" i="2" s="1"/>
  <c r="C27" i="2"/>
  <c r="D27" i="2" s="1"/>
  <c r="E27" i="2" s="1"/>
  <c r="C31" i="2"/>
  <c r="D31" i="2" s="1"/>
  <c r="E31" i="2" s="1"/>
  <c r="C35" i="2"/>
  <c r="D35" i="2" s="1"/>
  <c r="E35" i="2" s="1"/>
  <c r="C39" i="2"/>
  <c r="D39" i="2" s="1"/>
  <c r="E39" i="2" s="1"/>
  <c r="C4" i="2"/>
  <c r="D4" i="2" s="1"/>
  <c r="E4" i="2" s="1"/>
  <c r="C8" i="2"/>
  <c r="D8" i="2" s="1"/>
  <c r="E8" i="2" s="1"/>
  <c r="C12" i="2"/>
  <c r="D12" i="2" s="1"/>
  <c r="E12" i="2" s="1"/>
  <c r="C16" i="2"/>
  <c r="D16" i="2" s="1"/>
  <c r="E16" i="2" s="1"/>
  <c r="C20" i="2"/>
  <c r="D20" i="2" s="1"/>
  <c r="E20" i="2" s="1"/>
  <c r="C24" i="2"/>
  <c r="D24" i="2" s="1"/>
  <c r="E24" i="2" s="1"/>
  <c r="C28" i="2"/>
  <c r="D28" i="2" s="1"/>
  <c r="E28" i="2" s="1"/>
  <c r="C32" i="2"/>
  <c r="D32" i="2" s="1"/>
  <c r="E32" i="2" s="1"/>
  <c r="C36" i="2"/>
  <c r="D36" i="2" s="1"/>
  <c r="E36" i="2" s="1"/>
  <c r="C40" i="2"/>
  <c r="D40" i="2" s="1"/>
  <c r="E40" i="2" s="1"/>
  <c r="C1" i="2"/>
  <c r="D1" i="2" s="1"/>
  <c r="E1" i="2" s="1"/>
  <c r="H5" i="27" l="1"/>
  <c r="H5" i="15"/>
  <c r="H5" i="13"/>
  <c r="H5" i="11"/>
  <c r="H5" i="9"/>
  <c r="H5" i="32"/>
  <c r="H5" i="31"/>
  <c r="H5" i="30"/>
  <c r="H5" i="29"/>
  <c r="H5" i="28"/>
  <c r="H5" i="26"/>
  <c r="H5" i="25"/>
  <c r="H5" i="24"/>
  <c r="H5" i="23"/>
  <c r="H5" i="22"/>
  <c r="H5" i="21"/>
  <c r="H5" i="20"/>
  <c r="H5" i="19"/>
  <c r="H5" i="18"/>
  <c r="H5" i="17"/>
  <c r="H5" i="16"/>
  <c r="H5" i="14"/>
  <c r="H5" i="12"/>
  <c r="H5" i="10"/>
  <c r="H5" i="8"/>
  <c r="H5" i="7"/>
  <c r="H5" i="6"/>
  <c r="H5" i="5"/>
  <c r="H5" i="4"/>
  <c r="H5" i="3"/>
  <c r="H5" i="2"/>
</calcChain>
</file>

<file path=xl/sharedStrings.xml><?xml version="1.0" encoding="utf-8"?>
<sst xmlns="http://schemas.openxmlformats.org/spreadsheetml/2006/main" count="93" uniqueCount="3">
  <si>
    <t>b</t>
  </si>
  <si>
    <t>a_b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</si>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</sst>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6023-A812-4837-A914-5D617481B56F}">
  <dimension ref="A1:B31"/>
  <sheetViews>
    <sheetView workbookViewId="0">
      <selection activeCell="B32" sqref="B32"/>
    </sheetView>
  </sheetViews>
  <sheetFormatPr defaultColWidth="11" defaultRowHeight="15.75" x14ac:dyDescent="0.25"/>
  <sheetData>
    <row r="1" spans="1:2" x14ac:dyDescent="0.25">
      <c r="A1">
        <v>1E-4</v>
      </c>
      <c r="B1">
        <f>'0.0001'!$H$1</f>
        <v>6.5988439864319973E-2</v>
      </c>
    </row>
    <row r="2" spans="1:2" x14ac:dyDescent="0.25">
      <c r="A2">
        <v>1E-3</v>
      </c>
      <c r="B2">
        <f>'0.001'!$H$1</f>
        <v>7.3433158233622384E-2</v>
      </c>
    </row>
    <row r="3" spans="1:2" x14ac:dyDescent="0.25">
      <c r="A3">
        <v>5.0000000000000001E-3</v>
      </c>
      <c r="B3">
        <f>'0.005'!$H$1</f>
        <v>0.12573115414320993</v>
      </c>
    </row>
    <row r="4" spans="1:2" x14ac:dyDescent="0.25">
      <c r="A4">
        <v>0.01</v>
      </c>
      <c r="B4">
        <f>'0.01'!$H$1</f>
        <v>0.14401497109701203</v>
      </c>
    </row>
    <row r="5" spans="1:2" x14ac:dyDescent="0.25">
      <c r="A5">
        <v>2.5000000000000001E-2</v>
      </c>
      <c r="B5">
        <f>'0.025'!$H$1</f>
        <v>0.18835901671439267</v>
      </c>
    </row>
    <row r="6" spans="1:2" x14ac:dyDescent="0.25">
      <c r="A6">
        <v>0.05</v>
      </c>
      <c r="B6">
        <f>'0.05'!$H$1</f>
        <v>0.22856115016823139</v>
      </c>
    </row>
    <row r="7" spans="1:2" x14ac:dyDescent="0.25">
      <c r="A7">
        <v>7.4999999999999997E-2</v>
      </c>
      <c r="B7">
        <f>'0.075'!$H$1</f>
        <v>0.26242931287959675</v>
      </c>
    </row>
    <row r="8" spans="1:2" x14ac:dyDescent="0.25">
      <c r="A8">
        <v>0.1</v>
      </c>
      <c r="B8">
        <f>'0.1'!$H$1</f>
        <v>0.28954884056729141</v>
      </c>
    </row>
    <row r="9" spans="1:2" x14ac:dyDescent="0.25">
      <c r="A9">
        <v>0.15</v>
      </c>
      <c r="B9">
        <f>'0.15'!$H$1</f>
        <v>0.34040236214008407</v>
      </c>
    </row>
    <row r="10" spans="1:2" x14ac:dyDescent="0.25">
      <c r="A10">
        <v>0.2</v>
      </c>
      <c r="B10">
        <f>'0.2'!$H$1</f>
        <v>0.38459133906648102</v>
      </c>
    </row>
    <row r="11" spans="1:2" x14ac:dyDescent="0.25">
      <c r="A11">
        <v>0.25</v>
      </c>
      <c r="B11">
        <f>'0.25'!$H$1</f>
        <v>0.42998367343743304</v>
      </c>
    </row>
    <row r="12" spans="1:2" x14ac:dyDescent="0.25">
      <c r="A12">
        <v>0.3</v>
      </c>
      <c r="B12">
        <f>'0.3'!$H$1</f>
        <v>0.48239371460191738</v>
      </c>
    </row>
    <row r="13" spans="1:2" x14ac:dyDescent="0.25">
      <c r="A13">
        <v>0.35</v>
      </c>
      <c r="B13">
        <f>'0.35'!$H$1</f>
        <v>0.53253452919291855</v>
      </c>
    </row>
    <row r="14" spans="1:2" x14ac:dyDescent="0.25">
      <c r="A14">
        <v>0.4</v>
      </c>
      <c r="B14">
        <f>'0.4'!$H$1</f>
        <v>0.58155365949375881</v>
      </c>
    </row>
    <row r="15" spans="1:2" x14ac:dyDescent="0.25">
      <c r="A15">
        <v>0.45</v>
      </c>
      <c r="B15">
        <f>'0.45'!$H$1</f>
        <v>0.65034428603034511</v>
      </c>
    </row>
    <row r="16" spans="1:2" x14ac:dyDescent="0.25">
      <c r="A16">
        <v>0.5</v>
      </c>
      <c r="B16">
        <f>'0.5'!$H$1</f>
        <v>0.72056121379443083</v>
      </c>
    </row>
    <row r="17" spans="1:2" x14ac:dyDescent="0.25">
      <c r="A17">
        <v>0.55000000000000004</v>
      </c>
      <c r="B17">
        <f>'0.55'!$H$1</f>
        <v>0.80162266611940813</v>
      </c>
    </row>
    <row r="18" spans="1:2" x14ac:dyDescent="0.25">
      <c r="A18">
        <v>0.6</v>
      </c>
      <c r="B18">
        <f>'0.6'!$H$1</f>
        <v>0.89872160924708211</v>
      </c>
    </row>
    <row r="19" spans="1:2" x14ac:dyDescent="0.25">
      <c r="A19">
        <v>0.65</v>
      </c>
      <c r="B19">
        <f>'0.65'!$H$1</f>
        <v>1.0137899018761602</v>
      </c>
    </row>
    <row r="20" spans="1:2" x14ac:dyDescent="0.25">
      <c r="A20">
        <v>0.7</v>
      </c>
      <c r="B20">
        <f>'0.7'!$H$1</f>
        <v>1.1568866193135934</v>
      </c>
    </row>
    <row r="21" spans="1:2" x14ac:dyDescent="0.25">
      <c r="A21">
        <v>0.75</v>
      </c>
      <c r="B21">
        <f>'0.75'!$H$1</f>
        <v>1.3407434279596939</v>
      </c>
    </row>
    <row r="22" spans="1:2" x14ac:dyDescent="0.25">
      <c r="A22">
        <v>0.8</v>
      </c>
      <c r="B22">
        <f>'0.8'!$H$1</f>
        <v>1.5829839241701205</v>
      </c>
    </row>
    <row r="23" spans="1:2" x14ac:dyDescent="0.25">
      <c r="A23">
        <v>0.85</v>
      </c>
      <c r="B23">
        <f>'0.85'!$H$1</f>
        <v>1.9547955630966329</v>
      </c>
    </row>
    <row r="24" spans="1:2" x14ac:dyDescent="0.25">
      <c r="A24">
        <v>0.9</v>
      </c>
      <c r="B24">
        <f>'0.9'!$H$1</f>
        <v>2.5762811368655707</v>
      </c>
    </row>
    <row r="25" spans="1:2" x14ac:dyDescent="0.25">
      <c r="A25">
        <v>0.92500000000000004</v>
      </c>
      <c r="B25">
        <f>'0.925'!$H$1</f>
        <v>3.1110832304779903</v>
      </c>
    </row>
    <row r="26" spans="1:2" x14ac:dyDescent="0.25">
      <c r="A26">
        <v>0.95</v>
      </c>
      <c r="B26">
        <f>'0.95'!$H$1</f>
        <v>4.0057190971593641</v>
      </c>
    </row>
    <row r="27" spans="1:2" x14ac:dyDescent="0.25">
      <c r="A27">
        <v>0.97499999999999998</v>
      </c>
      <c r="B27">
        <f>'0.975'!$H$1</f>
        <v>6.0164674281757939</v>
      </c>
    </row>
    <row r="28" spans="1:2" x14ac:dyDescent="0.25">
      <c r="A28">
        <v>0.99</v>
      </c>
      <c r="B28">
        <f>'0.99'!$H$1</f>
        <v>10.085808342875122</v>
      </c>
    </row>
    <row r="29" spans="1:2" x14ac:dyDescent="0.25">
      <c r="A29">
        <v>0.995</v>
      </c>
      <c r="B29">
        <f>'0.995'!$H$1</f>
        <v>14.631731784592695</v>
      </c>
    </row>
    <row r="30" spans="1:2" x14ac:dyDescent="0.25">
      <c r="A30">
        <v>0.999</v>
      </c>
      <c r="B30">
        <f>'0.999'!$H$1</f>
        <v>32.721787570368633</v>
      </c>
    </row>
    <row r="31" spans="1:2" x14ac:dyDescent="0.25">
      <c r="A31">
        <v>0.99990000000000001</v>
      </c>
      <c r="B31">
        <f>'0.9999'!$H$1</f>
        <v>70.487445356991429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4F1D-EE7B-4875-9990-17832F132EB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9.2068039650000016E-2</v>
      </c>
      <c r="B1">
        <v>0.81565357955347362</v>
      </c>
      <c r="C1">
        <f>$H$3*(1+$H$1)*(A1^($H$1))*EXP(-$H$3*(A1^(1+$H$1)))</f>
        <v>0.82147247059462858</v>
      </c>
      <c r="D1">
        <f>B1-C1</f>
        <v>-5.818891041154961E-3</v>
      </c>
      <c r="E1">
        <f>D1^2</f>
        <v>3.3859492948833468E-5</v>
      </c>
      <c r="G1" t="s">
        <v>0</v>
      </c>
      <c r="H1">
        <v>6.5988439864319973E-2</v>
      </c>
    </row>
    <row r="2" spans="1:8" x14ac:dyDescent="0.25">
      <c r="A2">
        <v>0.27546812695000006</v>
      </c>
      <c r="B2">
        <v>0.73741671958789012</v>
      </c>
      <c r="C2">
        <f t="shared" ref="C2:C40" si="0">$H$3*(1+$H$1)*(A2^($H$1))*EXP(-$H$3*(A2^(1+$H$1)))</f>
        <v>0.74519567221000027</v>
      </c>
      <c r="D2">
        <f t="shared" ref="D2:D40" si="1">B2-C2</f>
        <v>-7.7789526221101468E-3</v>
      </c>
      <c r="E2">
        <f t="shared" ref="E2:E40" si="2">D2^2</f>
        <v>6.0512103897034326E-5</v>
      </c>
    </row>
    <row r="3" spans="1:8" x14ac:dyDescent="0.25">
      <c r="A3">
        <v>0.45886821425000007</v>
      </c>
      <c r="B3">
        <v>0.61594370016764211</v>
      </c>
      <c r="C3">
        <f t="shared" si="0"/>
        <v>0.64499268311580304</v>
      </c>
      <c r="D3">
        <f t="shared" si="1"/>
        <v>-2.904898294816094E-2</v>
      </c>
      <c r="E3">
        <f t="shared" si="2"/>
        <v>8.4384341032254508E-4</v>
      </c>
      <c r="G3" t="s">
        <v>1</v>
      </c>
      <c r="H3">
        <f>(_xlfn.GAMMA((2+$H$1)/(1+$H$1)))^(1+$H$1)</f>
        <v>0.97378545983475928</v>
      </c>
    </row>
    <row r="4" spans="1:8" x14ac:dyDescent="0.25">
      <c r="A4">
        <v>0.64226830155000014</v>
      </c>
      <c r="B4">
        <v>0.54079513730596318</v>
      </c>
      <c r="C4">
        <f t="shared" si="0"/>
        <v>0.54919528819716734</v>
      </c>
      <c r="D4">
        <f t="shared" si="1"/>
        <v>-8.4001508912041611E-3</v>
      </c>
      <c r="E4">
        <f t="shared" si="2"/>
        <v>7.0562534994998057E-5</v>
      </c>
    </row>
    <row r="5" spans="1:8" x14ac:dyDescent="0.25">
      <c r="A5">
        <v>0.82566838885000005</v>
      </c>
      <c r="B5">
        <v>0.4646171420763161</v>
      </c>
      <c r="C5">
        <f t="shared" si="0"/>
        <v>0.46337114521965439</v>
      </c>
      <c r="D5">
        <f t="shared" si="1"/>
        <v>1.245996856661713E-3</v>
      </c>
      <c r="E5">
        <f t="shared" si="2"/>
        <v>1.5525081668108694E-6</v>
      </c>
      <c r="G5" t="s">
        <v>2</v>
      </c>
      <c r="H5">
        <f>SUM(E1:E40)</f>
        <v>2.7759668903791536E-3</v>
      </c>
    </row>
    <row r="6" spans="1:8" x14ac:dyDescent="0.25">
      <c r="A6">
        <v>1.0090684761499999</v>
      </c>
      <c r="B6">
        <v>0.36682106711933671</v>
      </c>
      <c r="C6">
        <f t="shared" si="0"/>
        <v>0.38857549099094352</v>
      </c>
      <c r="D6">
        <f t="shared" si="1"/>
        <v>-2.1754423871606809E-2</v>
      </c>
      <c r="E6">
        <f t="shared" si="2"/>
        <v>4.7325495798553621E-4</v>
      </c>
    </row>
    <row r="7" spans="1:8" x14ac:dyDescent="0.25">
      <c r="A7">
        <v>1.1924685634500001</v>
      </c>
      <c r="B7">
        <v>0.31226115161702189</v>
      </c>
      <c r="C7">
        <f t="shared" si="0"/>
        <v>0.32438586910957945</v>
      </c>
      <c r="D7">
        <f t="shared" si="1"/>
        <v>-1.2124717492557557E-2</v>
      </c>
      <c r="E7">
        <f t="shared" si="2"/>
        <v>1.4700877427433121E-4</v>
      </c>
    </row>
    <row r="8" spans="1:8" x14ac:dyDescent="0.25">
      <c r="A8">
        <v>1.3758686507500002</v>
      </c>
      <c r="B8">
        <v>0.28240761294594396</v>
      </c>
      <c r="C8">
        <f t="shared" si="0"/>
        <v>0.26984256117570687</v>
      </c>
      <c r="D8">
        <f t="shared" si="1"/>
        <v>1.256505177023709E-2</v>
      </c>
      <c r="E8">
        <f t="shared" si="2"/>
        <v>1.5788052598873824E-4</v>
      </c>
    </row>
    <row r="9" spans="1:8" x14ac:dyDescent="0.25">
      <c r="A9">
        <v>1.5592687380500001</v>
      </c>
      <c r="B9">
        <v>0.23333800340612626</v>
      </c>
      <c r="C9">
        <f t="shared" si="0"/>
        <v>0.22382080233418161</v>
      </c>
      <c r="D9">
        <f t="shared" si="1"/>
        <v>9.5172010719446476E-3</v>
      </c>
      <c r="E9">
        <f t="shared" si="2"/>
        <v>9.0577116243824351E-5</v>
      </c>
    </row>
    <row r="10" spans="1:8" x14ac:dyDescent="0.25">
      <c r="A10">
        <v>1.74266882535</v>
      </c>
      <c r="B10">
        <v>0.19593529403661483</v>
      </c>
      <c r="C10">
        <f t="shared" si="0"/>
        <v>0.18519489699561509</v>
      </c>
      <c r="D10">
        <f t="shared" si="1"/>
        <v>1.0740397040999744E-2</v>
      </c>
      <c r="E10">
        <f t="shared" si="2"/>
        <v>1.1535612859831606E-4</v>
      </c>
    </row>
    <row r="11" spans="1:8" x14ac:dyDescent="0.25">
      <c r="A11">
        <v>1.9260689126500001</v>
      </c>
      <c r="B11">
        <v>0.16814062010147332</v>
      </c>
      <c r="C11">
        <f t="shared" si="0"/>
        <v>0.15291207574642646</v>
      </c>
      <c r="D11">
        <f t="shared" si="1"/>
        <v>1.5228544355046864E-2</v>
      </c>
      <c r="E11">
        <f t="shared" si="2"/>
        <v>2.3190856317362968E-4</v>
      </c>
    </row>
    <row r="12" spans="1:8" x14ac:dyDescent="0.25">
      <c r="A12">
        <v>2.1094689999500003</v>
      </c>
      <c r="B12">
        <v>0.13897336967570753</v>
      </c>
      <c r="C12">
        <f t="shared" si="0"/>
        <v>0.12602314316437568</v>
      </c>
      <c r="D12">
        <f t="shared" si="1"/>
        <v>1.2950226511331847E-2</v>
      </c>
      <c r="E12">
        <f t="shared" si="2"/>
        <v>1.6770836669480224E-4</v>
      </c>
    </row>
    <row r="13" spans="1:8" x14ac:dyDescent="0.25">
      <c r="A13">
        <v>2.2928690872500002</v>
      </c>
      <c r="B13">
        <v>0.11186498398587817</v>
      </c>
      <c r="C13">
        <f t="shared" si="0"/>
        <v>0.10369134840277597</v>
      </c>
      <c r="D13">
        <f t="shared" si="1"/>
        <v>8.1736355831022039E-3</v>
      </c>
      <c r="E13">
        <f t="shared" si="2"/>
        <v>6.6808318645354502E-5</v>
      </c>
    </row>
    <row r="14" spans="1:8" x14ac:dyDescent="0.25">
      <c r="A14">
        <v>2.4762691745500001</v>
      </c>
      <c r="B14">
        <v>8.8531183645265549E-2</v>
      </c>
      <c r="C14">
        <f t="shared" si="0"/>
        <v>8.5190149838094142E-2</v>
      </c>
      <c r="D14">
        <f t="shared" si="1"/>
        <v>3.3410338071714063E-3</v>
      </c>
      <c r="E14">
        <f t="shared" si="2"/>
        <v>1.1162506900662262E-5</v>
      </c>
    </row>
    <row r="15" spans="1:8" x14ac:dyDescent="0.25">
      <c r="A15">
        <v>2.65966926185</v>
      </c>
      <c r="B15">
        <v>7.9952580578863841E-2</v>
      </c>
      <c r="C15">
        <f t="shared" si="0"/>
        <v>6.989550633270307E-2</v>
      </c>
      <c r="D15">
        <f t="shared" si="1"/>
        <v>1.0057074246160772E-2</v>
      </c>
      <c r="E15">
        <f t="shared" si="2"/>
        <v>1.0114474239279025E-4</v>
      </c>
    </row>
    <row r="16" spans="1:8" x14ac:dyDescent="0.25">
      <c r="A16">
        <v>2.8430693491500003</v>
      </c>
      <c r="B16">
        <v>5.9363933219499766E-2</v>
      </c>
      <c r="C16">
        <f t="shared" si="0"/>
        <v>5.7275770925176495E-2</v>
      </c>
      <c r="D16">
        <f t="shared" si="1"/>
        <v>2.0881622943232717E-3</v>
      </c>
      <c r="E16">
        <f t="shared" si="2"/>
        <v>4.3604217674334298E-6</v>
      </c>
    </row>
    <row r="17" spans="1:5" x14ac:dyDescent="0.25">
      <c r="A17">
        <v>3.0264694364500002</v>
      </c>
      <c r="B17">
        <v>5.3873627257002676E-2</v>
      </c>
      <c r="C17">
        <f t="shared" si="0"/>
        <v>4.6880886911689838E-2</v>
      </c>
      <c r="D17">
        <f t="shared" si="1"/>
        <v>6.9927403453128381E-3</v>
      </c>
      <c r="E17">
        <f t="shared" si="2"/>
        <v>4.8898417536965911E-5</v>
      </c>
    </row>
    <row r="18" spans="1:5" x14ac:dyDescent="0.25">
      <c r="A18">
        <v>3.2098695237500001</v>
      </c>
      <c r="B18">
        <v>4.7353888926537385E-2</v>
      </c>
      <c r="C18">
        <f t="shared" si="0"/>
        <v>3.833181458940782E-2</v>
      </c>
      <c r="D18">
        <f t="shared" si="1"/>
        <v>9.0220743371295653E-3</v>
      </c>
      <c r="E18">
        <f t="shared" si="2"/>
        <v>8.1397825344691889E-5</v>
      </c>
    </row>
    <row r="19" spans="1:5" x14ac:dyDescent="0.25">
      <c r="A19">
        <v>3.39326961105</v>
      </c>
      <c r="B19">
        <v>3.2255547529670393E-2</v>
      </c>
      <c r="C19">
        <f t="shared" si="0"/>
        <v>3.1310672420583656E-2</v>
      </c>
      <c r="D19">
        <f t="shared" si="1"/>
        <v>9.4487510908673744E-4</v>
      </c>
      <c r="E19">
        <f t="shared" si="2"/>
        <v>8.9278897177167398E-7</v>
      </c>
    </row>
    <row r="20" spans="1:5" x14ac:dyDescent="0.25">
      <c r="A20">
        <v>3.5766696983499999</v>
      </c>
      <c r="B20">
        <v>2.5392665076549033E-2</v>
      </c>
      <c r="C20">
        <f t="shared" si="0"/>
        <v>2.5551816987523523E-2</v>
      </c>
      <c r="D20">
        <f t="shared" si="1"/>
        <v>-1.5915191097449002E-4</v>
      </c>
      <c r="E20">
        <f t="shared" si="2"/>
        <v>2.5329330766831997E-8</v>
      </c>
    </row>
    <row r="21" spans="1:5" x14ac:dyDescent="0.25">
      <c r="A21">
        <v>3.7600697856500003</v>
      </c>
      <c r="B21">
        <v>1.9559214991395877E-2</v>
      </c>
      <c r="C21">
        <f t="shared" si="0"/>
        <v>2.0833934943595277E-2</v>
      </c>
      <c r="D21">
        <f t="shared" si="1"/>
        <v>-1.2747199521993997E-3</v>
      </c>
      <c r="E21">
        <f t="shared" si="2"/>
        <v>1.6249109565352399E-6</v>
      </c>
    </row>
    <row r="22" spans="1:5" x14ac:dyDescent="0.25">
      <c r="A22">
        <v>3.9434698729500006</v>
      </c>
      <c r="B22">
        <v>1.5784629642179127E-2</v>
      </c>
      <c r="C22">
        <f t="shared" si="0"/>
        <v>1.6973133724399677E-2</v>
      </c>
      <c r="D22">
        <f t="shared" si="1"/>
        <v>-1.1885040822205498E-3</v>
      </c>
      <c r="E22">
        <f t="shared" si="2"/>
        <v>1.4125419534549114E-6</v>
      </c>
    </row>
    <row r="23" spans="1:5" x14ac:dyDescent="0.25">
      <c r="A23">
        <v>4.1268699602499996</v>
      </c>
      <c r="B23">
        <v>8.5786030664017007E-3</v>
      </c>
      <c r="C23">
        <f t="shared" si="0"/>
        <v>1.3816970577515023E-2</v>
      </c>
      <c r="D23">
        <f t="shared" si="1"/>
        <v>-5.2383675111133225E-3</v>
      </c>
      <c r="E23">
        <f t="shared" si="2"/>
        <v>2.7440494181487586E-5</v>
      </c>
    </row>
    <row r="24" spans="1:5" x14ac:dyDescent="0.25">
      <c r="A24">
        <v>4.3102700475499995</v>
      </c>
      <c r="B24">
        <v>1.1323756047650244E-2</v>
      </c>
      <c r="C24">
        <f t="shared" si="0"/>
        <v>1.1239336148340617E-2</v>
      </c>
      <c r="D24">
        <f t="shared" si="1"/>
        <v>8.4419899309627275E-5</v>
      </c>
      <c r="E24">
        <f t="shared" si="2"/>
        <v>7.1267193994476077E-9</v>
      </c>
    </row>
    <row r="25" spans="1:5" x14ac:dyDescent="0.25">
      <c r="A25">
        <v>4.4936701348499994</v>
      </c>
      <c r="B25">
        <v>7.5491706984334959E-3</v>
      </c>
      <c r="C25">
        <f t="shared" si="0"/>
        <v>9.1360999884816472E-3</v>
      </c>
      <c r="D25">
        <f t="shared" si="1"/>
        <v>-1.5869292900481512E-3</v>
      </c>
      <c r="E25">
        <f t="shared" si="2"/>
        <v>2.5183445716127293E-6</v>
      </c>
    </row>
    <row r="26" spans="1:5" x14ac:dyDescent="0.25">
      <c r="A26">
        <v>4.6770702221500002</v>
      </c>
      <c r="B26">
        <v>5.4903059624970881E-3</v>
      </c>
      <c r="C26">
        <f t="shared" si="0"/>
        <v>7.42142505263408E-3</v>
      </c>
      <c r="D26">
        <f t="shared" si="1"/>
        <v>-1.9311190901369919E-3</v>
      </c>
      <c r="E26">
        <f t="shared" si="2"/>
        <v>3.7292209402915233E-6</v>
      </c>
    </row>
    <row r="27" spans="1:5" x14ac:dyDescent="0.25">
      <c r="A27">
        <v>4.8604703094499992</v>
      </c>
      <c r="B27">
        <v>3.0882971039046122E-3</v>
      </c>
      <c r="C27">
        <f t="shared" si="0"/>
        <v>6.0246628301571471E-3</v>
      </c>
      <c r="D27">
        <f t="shared" si="1"/>
        <v>-2.9363657262525349E-3</v>
      </c>
      <c r="E27">
        <f t="shared" si="2"/>
        <v>8.622243678310577E-6</v>
      </c>
    </row>
    <row r="28" spans="1:5" x14ac:dyDescent="0.25">
      <c r="A28">
        <v>5.04387039675</v>
      </c>
      <c r="B28">
        <v>3.4314412265606803E-3</v>
      </c>
      <c r="C28">
        <f t="shared" si="0"/>
        <v>4.8877479019821838E-3</v>
      </c>
      <c r="D28">
        <f t="shared" si="1"/>
        <v>-1.4563066754215035E-3</v>
      </c>
      <c r="E28">
        <f t="shared" si="2"/>
        <v>2.1208291328772325E-6</v>
      </c>
    </row>
    <row r="29" spans="1:5" x14ac:dyDescent="0.25">
      <c r="A29">
        <v>5.2272704840500008</v>
      </c>
      <c r="B29">
        <v>2.0588647359364083E-3</v>
      </c>
      <c r="C29">
        <f t="shared" si="0"/>
        <v>3.9630189791470989E-3</v>
      </c>
      <c r="D29">
        <f t="shared" si="1"/>
        <v>-1.9041542432106907E-3</v>
      </c>
      <c r="E29">
        <f t="shared" si="2"/>
        <v>3.6258033819372779E-6</v>
      </c>
    </row>
    <row r="30" spans="1:5" x14ac:dyDescent="0.25">
      <c r="A30">
        <v>5.4106705713499998</v>
      </c>
      <c r="B30">
        <v>1.0294323679682041E-3</v>
      </c>
      <c r="C30">
        <f t="shared" si="0"/>
        <v>3.2114019834067606E-3</v>
      </c>
      <c r="D30">
        <f t="shared" si="1"/>
        <v>-2.1819696154385566E-3</v>
      </c>
      <c r="E30">
        <f t="shared" si="2"/>
        <v>4.7609914026970825E-6</v>
      </c>
    </row>
    <row r="31" spans="1:5" x14ac:dyDescent="0.25">
      <c r="A31">
        <v>5.5940706586500006</v>
      </c>
      <c r="B31">
        <v>3.4314412265606801E-4</v>
      </c>
      <c r="C31">
        <f t="shared" si="0"/>
        <v>2.6008989513306591E-3</v>
      </c>
      <c r="D31">
        <f t="shared" si="1"/>
        <v>-2.257754828674591E-3</v>
      </c>
      <c r="E31">
        <f t="shared" si="2"/>
        <v>5.0974568664034315E-6</v>
      </c>
    </row>
    <row r="32" spans="1:5" x14ac:dyDescent="0.25">
      <c r="A32">
        <v>5.7774707459500014</v>
      </c>
      <c r="B32">
        <v>6.8628824531213601E-4</v>
      </c>
      <c r="C32">
        <f t="shared" si="0"/>
        <v>2.1053341914812995E-3</v>
      </c>
      <c r="D32">
        <f t="shared" si="1"/>
        <v>-1.4190459461691635E-3</v>
      </c>
      <c r="E32">
        <f t="shared" si="2"/>
        <v>2.0136913973391367E-6</v>
      </c>
    </row>
    <row r="33" spans="1:5" x14ac:dyDescent="0.25">
      <c r="A33">
        <v>5.9608708332500004</v>
      </c>
      <c r="B33">
        <v>1.7157206132803401E-3</v>
      </c>
      <c r="C33">
        <f t="shared" si="0"/>
        <v>1.7033160582269854E-3</v>
      </c>
      <c r="D33">
        <f t="shared" si="1"/>
        <v>1.2404555053354771E-5</v>
      </c>
      <c r="E33">
        <f t="shared" si="2"/>
        <v>1.5387298607170939E-10</v>
      </c>
    </row>
    <row r="34" spans="1:5" x14ac:dyDescent="0.25">
      <c r="A34">
        <v>6.1442709205499995</v>
      </c>
      <c r="B34">
        <v>0</v>
      </c>
      <c r="C34">
        <f t="shared" si="0"/>
        <v>1.377378877078122E-3</v>
      </c>
      <c r="D34">
        <f t="shared" si="1"/>
        <v>-1.377378877078122E-3</v>
      </c>
      <c r="E34">
        <f t="shared" si="2"/>
        <v>1.8971725710209884E-6</v>
      </c>
    </row>
    <row r="35" spans="1:5" x14ac:dyDescent="0.25">
      <c r="A35">
        <v>6.3276710078500003</v>
      </c>
      <c r="B35">
        <v>0</v>
      </c>
      <c r="C35">
        <f t="shared" si="0"/>
        <v>1.1132749735471305E-3</v>
      </c>
      <c r="D35">
        <f t="shared" si="1"/>
        <v>-1.1132749735471305E-3</v>
      </c>
      <c r="E35">
        <f t="shared" si="2"/>
        <v>1.2393811667263642E-6</v>
      </c>
    </row>
    <row r="36" spans="1:5" x14ac:dyDescent="0.25">
      <c r="A36">
        <v>6.511071095150001</v>
      </c>
      <c r="B36">
        <v>6.8628824531213601E-4</v>
      </c>
      <c r="C36">
        <f t="shared" si="0"/>
        <v>8.9939146186257025E-4</v>
      </c>
      <c r="D36">
        <f t="shared" si="1"/>
        <v>-2.1310321655043424E-4</v>
      </c>
      <c r="E36">
        <f t="shared" si="2"/>
        <v>4.541298090414127E-8</v>
      </c>
    </row>
    <row r="37" spans="1:5" x14ac:dyDescent="0.25">
      <c r="A37">
        <v>6.6944711824500001</v>
      </c>
      <c r="B37">
        <v>0</v>
      </c>
      <c r="C37">
        <f t="shared" si="0"/>
        <v>7.2627050042449503E-4</v>
      </c>
      <c r="D37">
        <f t="shared" si="1"/>
        <v>-7.2627050042449503E-4</v>
      </c>
      <c r="E37">
        <f t="shared" si="2"/>
        <v>5.2746883978684646E-7</v>
      </c>
    </row>
    <row r="38" spans="1:5" x14ac:dyDescent="0.25">
      <c r="A38">
        <v>6.87787126975</v>
      </c>
      <c r="B38">
        <v>0</v>
      </c>
      <c r="C38">
        <f t="shared" si="0"/>
        <v>5.8621518429486145E-4</v>
      </c>
      <c r="D38">
        <f t="shared" si="1"/>
        <v>-5.8621518429486145E-4</v>
      </c>
      <c r="E38">
        <f t="shared" si="2"/>
        <v>3.4364824229785835E-7</v>
      </c>
    </row>
    <row r="39" spans="1:5" x14ac:dyDescent="0.25">
      <c r="A39">
        <v>7.0612713570499999</v>
      </c>
      <c r="B39">
        <v>0</v>
      </c>
      <c r="C39">
        <f t="shared" si="0"/>
        <v>4.7296618927147166E-4</v>
      </c>
      <c r="D39">
        <f t="shared" si="1"/>
        <v>-4.7296618927147166E-4</v>
      </c>
      <c r="E39">
        <f t="shared" si="2"/>
        <v>2.2369701619397756E-7</v>
      </c>
    </row>
    <row r="40" spans="1:5" x14ac:dyDescent="0.25">
      <c r="A40">
        <v>7.2446714443500007</v>
      </c>
      <c r="B40">
        <v>3.4314412265606801E-4</v>
      </c>
      <c r="C40">
        <f t="shared" si="0"/>
        <v>3.8143677279133627E-4</v>
      </c>
      <c r="D40">
        <f t="shared" si="1"/>
        <v>-3.8292650135268258E-5</v>
      </c>
      <c r="E40">
        <f t="shared" si="2"/>
        <v>1.4663270543820602E-9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1161-CEF8-44D7-8B1F-BB87EEDC7F1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9.1707535350000008E-2</v>
      </c>
      <c r="B1">
        <v>0.80430208159217942</v>
      </c>
      <c r="C1">
        <f>$H$3*(1+$H$1)*(A1^($H$1))*EXP(-$H$3*(A1^(1+$H$1)))</f>
        <v>0.81163507043003236</v>
      </c>
      <c r="D1">
        <f>B1-C1</f>
        <v>-7.3329888378529384E-3</v>
      </c>
      <c r="E1">
        <f>D1^2</f>
        <v>5.3772725296075789E-5</v>
      </c>
      <c r="G1" t="s">
        <v>0</v>
      </c>
      <c r="H1">
        <v>7.3433158233622384E-2</v>
      </c>
    </row>
    <row r="2" spans="1:8" x14ac:dyDescent="0.25">
      <c r="A2">
        <v>0.27448571405000005</v>
      </c>
      <c r="B2">
        <v>0.73443758755571709</v>
      </c>
      <c r="C2">
        <f t="shared" ref="C2:C40" si="0">$H$3*(1+$H$1)*(A2^($H$1))*EXP(-$H$3*(A2^(1+$H$1)))</f>
        <v>0.74388289738247204</v>
      </c>
      <c r="D2">
        <f t="shared" ref="D2:D40" si="1">B2-C2</f>
        <v>-9.4453098267549551E-3</v>
      </c>
      <c r="E2">
        <f t="shared" ref="E2:E40" si="2">D2^2</f>
        <v>8.9213877723393723E-5</v>
      </c>
    </row>
    <row r="3" spans="1:8" x14ac:dyDescent="0.25">
      <c r="A3">
        <v>0.45726389275000001</v>
      </c>
      <c r="B3">
        <v>0.63222204701961215</v>
      </c>
      <c r="C3">
        <f t="shared" si="0"/>
        <v>0.64712085938058028</v>
      </c>
      <c r="D3">
        <f t="shared" si="1"/>
        <v>-1.4898812360968128E-2</v>
      </c>
      <c r="E3">
        <f t="shared" si="2"/>
        <v>2.2197460976733667E-4</v>
      </c>
      <c r="G3" t="s">
        <v>1</v>
      </c>
      <c r="H3">
        <f>(_xlfn.GAMMA((2+$H$1)/(1+$H$1)))^(1+$H$1)</f>
        <v>0.97102523493131432</v>
      </c>
    </row>
    <row r="4" spans="1:8" x14ac:dyDescent="0.25">
      <c r="A4">
        <v>0.64004207145000014</v>
      </c>
      <c r="B4">
        <v>0.54996779049392497</v>
      </c>
      <c r="C4">
        <f t="shared" si="0"/>
        <v>0.55279371959132972</v>
      </c>
      <c r="D4">
        <f t="shared" si="1"/>
        <v>-2.8259290974047557E-3</v>
      </c>
      <c r="E4">
        <f t="shared" si="2"/>
        <v>7.9858752635588577E-6</v>
      </c>
    </row>
    <row r="5" spans="1:8" x14ac:dyDescent="0.25">
      <c r="A5">
        <v>0.82282025015000015</v>
      </c>
      <c r="B5">
        <v>0.45222633085670677</v>
      </c>
      <c r="C5">
        <f t="shared" si="0"/>
        <v>0.46744186740292371</v>
      </c>
      <c r="D5">
        <f t="shared" si="1"/>
        <v>-1.5215536546216935E-2</v>
      </c>
      <c r="E5">
        <f t="shared" si="2"/>
        <v>2.3151255238926317E-4</v>
      </c>
      <c r="G5" t="s">
        <v>2</v>
      </c>
      <c r="H5">
        <f>SUM(E1:E40)</f>
        <v>2.1473364094578506E-3</v>
      </c>
    </row>
    <row r="6" spans="1:8" x14ac:dyDescent="0.25">
      <c r="A6">
        <v>1.0055984288499999</v>
      </c>
      <c r="B6">
        <v>0.37238119481503557</v>
      </c>
      <c r="C6">
        <f t="shared" si="0"/>
        <v>0.39258875731612514</v>
      </c>
      <c r="D6">
        <f t="shared" si="1"/>
        <v>-2.0207562501089571E-2</v>
      </c>
      <c r="E6">
        <f t="shared" si="2"/>
        <v>4.083455822354414E-4</v>
      </c>
    </row>
    <row r="7" spans="1:8" x14ac:dyDescent="0.25">
      <c r="A7">
        <v>1.18837660755</v>
      </c>
      <c r="B7">
        <v>0.31731558375181407</v>
      </c>
      <c r="C7">
        <f t="shared" si="0"/>
        <v>0.32806991806693103</v>
      </c>
      <c r="D7">
        <f t="shared" si="1"/>
        <v>-1.0754334315116965E-2</v>
      </c>
      <c r="E7">
        <f t="shared" si="2"/>
        <v>1.1565570656130227E-4</v>
      </c>
    </row>
    <row r="8" spans="1:8" x14ac:dyDescent="0.25">
      <c r="A8">
        <v>1.37115478625</v>
      </c>
      <c r="B8">
        <v>0.28324373690644572</v>
      </c>
      <c r="C8">
        <f t="shared" si="0"/>
        <v>0.27307484418843297</v>
      </c>
      <c r="D8">
        <f t="shared" si="1"/>
        <v>1.0168892718012745E-2</v>
      </c>
      <c r="E8">
        <f t="shared" si="2"/>
        <v>1.0340637911045264E-4</v>
      </c>
    </row>
    <row r="9" spans="1:8" x14ac:dyDescent="0.25">
      <c r="A9">
        <v>1.5539329649500002</v>
      </c>
      <c r="B9">
        <v>0.23093140639638529</v>
      </c>
      <c r="C9">
        <f t="shared" si="0"/>
        <v>0.22656564757426503</v>
      </c>
      <c r="D9">
        <f t="shared" si="1"/>
        <v>4.3657588221202581E-3</v>
      </c>
      <c r="E9">
        <f t="shared" si="2"/>
        <v>1.9059850092920863E-5</v>
      </c>
    </row>
    <row r="10" spans="1:8" x14ac:dyDescent="0.25">
      <c r="A10">
        <v>1.73671114365</v>
      </c>
      <c r="B10">
        <v>0.19858035989674264</v>
      </c>
      <c r="C10">
        <f t="shared" si="0"/>
        <v>0.18746596260629916</v>
      </c>
      <c r="D10">
        <f t="shared" si="1"/>
        <v>1.1114397290443473E-2</v>
      </c>
      <c r="E10">
        <f t="shared" si="2"/>
        <v>1.2352982712981721E-4</v>
      </c>
    </row>
    <row r="11" spans="1:8" x14ac:dyDescent="0.25">
      <c r="A11">
        <v>1.91948932235</v>
      </c>
      <c r="B11">
        <v>0.17311251478000267</v>
      </c>
      <c r="C11">
        <f t="shared" si="0"/>
        <v>0.15474925995337341</v>
      </c>
      <c r="D11">
        <f t="shared" si="1"/>
        <v>1.8363254826629261E-2</v>
      </c>
      <c r="E11">
        <f t="shared" si="2"/>
        <v>3.3720912782772284E-4</v>
      </c>
    </row>
    <row r="12" spans="1:8" x14ac:dyDescent="0.25">
      <c r="A12">
        <v>2.10226750105</v>
      </c>
      <c r="B12">
        <v>0.13663154745061842</v>
      </c>
      <c r="C12">
        <f t="shared" si="0"/>
        <v>0.12747836720354616</v>
      </c>
      <c r="D12">
        <f t="shared" si="1"/>
        <v>9.1531802470722623E-3</v>
      </c>
      <c r="E12">
        <f t="shared" si="2"/>
        <v>8.3780708635393841E-5</v>
      </c>
    </row>
    <row r="13" spans="1:8" x14ac:dyDescent="0.25">
      <c r="A13">
        <v>2.2850456797499996</v>
      </c>
      <c r="B13">
        <v>0.11288450267960413</v>
      </c>
      <c r="C13">
        <f t="shared" si="0"/>
        <v>0.1048199402827225</v>
      </c>
      <c r="D13">
        <f t="shared" si="1"/>
        <v>8.064562396881636E-3</v>
      </c>
      <c r="E13">
        <f t="shared" si="2"/>
        <v>6.5037166653197272E-5</v>
      </c>
    </row>
    <row r="14" spans="1:8" x14ac:dyDescent="0.25">
      <c r="A14">
        <v>2.4678238584500001</v>
      </c>
      <c r="B14">
        <v>8.9481617977734976E-2</v>
      </c>
      <c r="C14">
        <f t="shared" si="0"/>
        <v>8.6045808710627225E-2</v>
      </c>
      <c r="D14">
        <f t="shared" si="1"/>
        <v>3.4358092671077506E-3</v>
      </c>
      <c r="E14">
        <f t="shared" si="2"/>
        <v>1.1804785319943499E-5</v>
      </c>
    </row>
    <row r="15" spans="1:8" x14ac:dyDescent="0.25">
      <c r="A15">
        <v>2.6506020371500001</v>
      </c>
      <c r="B15">
        <v>7.9156815903380945E-2</v>
      </c>
      <c r="C15">
        <f t="shared" si="0"/>
        <v>7.052755820168724E-2</v>
      </c>
      <c r="D15">
        <f t="shared" si="1"/>
        <v>8.6292577016937044E-3</v>
      </c>
      <c r="E15">
        <f t="shared" si="2"/>
        <v>7.4464088482240114E-5</v>
      </c>
    </row>
    <row r="16" spans="1:8" x14ac:dyDescent="0.25">
      <c r="A16">
        <v>2.8333802158500001</v>
      </c>
      <c r="B16">
        <v>5.9539691962108274E-2</v>
      </c>
      <c r="C16">
        <f t="shared" si="0"/>
        <v>5.7727876632760404E-2</v>
      </c>
      <c r="D16">
        <f t="shared" si="1"/>
        <v>1.8118153293478698E-3</v>
      </c>
      <c r="E16">
        <f t="shared" si="2"/>
        <v>3.2826747876599298E-6</v>
      </c>
    </row>
    <row r="17" spans="1:5" x14ac:dyDescent="0.25">
      <c r="A17">
        <v>3.0161583945500006</v>
      </c>
      <c r="B17">
        <v>5.5409771132366663E-2</v>
      </c>
      <c r="C17">
        <f t="shared" si="0"/>
        <v>4.7190651038436393E-2</v>
      </c>
      <c r="D17">
        <f t="shared" si="1"/>
        <v>8.2191200939302697E-3</v>
      </c>
      <c r="E17">
        <f t="shared" si="2"/>
        <v>6.7553935118448328E-5</v>
      </c>
    </row>
    <row r="18" spans="1:5" x14ac:dyDescent="0.25">
      <c r="A18">
        <v>3.1989365732500001</v>
      </c>
      <c r="B18">
        <v>4.6117449265448029E-2</v>
      </c>
      <c r="C18">
        <f t="shared" si="0"/>
        <v>3.8530932339290856E-2</v>
      </c>
      <c r="D18">
        <f t="shared" si="1"/>
        <v>7.5865169261571733E-3</v>
      </c>
      <c r="E18">
        <f t="shared" si="2"/>
        <v>5.7555239070869282E-5</v>
      </c>
    </row>
    <row r="19" spans="1:5" x14ac:dyDescent="0.25">
      <c r="A19">
        <v>3.3817147519500002</v>
      </c>
      <c r="B19">
        <v>3.5448487121948861E-2</v>
      </c>
      <c r="C19">
        <f t="shared" si="0"/>
        <v>3.1425376908621086E-2</v>
      </c>
      <c r="D19">
        <f t="shared" si="1"/>
        <v>4.0231102133277755E-3</v>
      </c>
      <c r="E19">
        <f t="shared" si="2"/>
        <v>1.618541578858226E-5</v>
      </c>
    </row>
    <row r="20" spans="1:5" x14ac:dyDescent="0.25">
      <c r="A20">
        <v>3.5644929306500002</v>
      </c>
      <c r="B20">
        <v>2.4091204840159419E-2</v>
      </c>
      <c r="C20">
        <f t="shared" si="0"/>
        <v>2.5603473430119636E-2</v>
      </c>
      <c r="D20">
        <f t="shared" si="1"/>
        <v>-1.5122685899602167E-3</v>
      </c>
      <c r="E20">
        <f t="shared" si="2"/>
        <v>2.2869562881802623E-6</v>
      </c>
    </row>
    <row r="21" spans="1:5" x14ac:dyDescent="0.25">
      <c r="A21">
        <v>3.7472711093500002</v>
      </c>
      <c r="B21">
        <v>2.1682084356143477E-2</v>
      </c>
      <c r="C21">
        <f t="shared" si="0"/>
        <v>2.0839684796015674E-2</v>
      </c>
      <c r="D21">
        <f t="shared" si="1"/>
        <v>8.423995601278024E-4</v>
      </c>
      <c r="E21">
        <f t="shared" si="2"/>
        <v>7.0963701890351499E-7</v>
      </c>
    </row>
    <row r="22" spans="1:5" x14ac:dyDescent="0.25">
      <c r="A22">
        <v>3.9300492880500002</v>
      </c>
      <c r="B22">
        <v>1.3422242696660248E-2</v>
      </c>
      <c r="C22">
        <f t="shared" si="0"/>
        <v>1.6946529730869526E-2</v>
      </c>
      <c r="D22">
        <f t="shared" si="1"/>
        <v>-3.5242870342092787E-3</v>
      </c>
      <c r="E22">
        <f t="shared" si="2"/>
        <v>1.2420599099495634E-5</v>
      </c>
    </row>
    <row r="23" spans="1:5" x14ac:dyDescent="0.25">
      <c r="A23">
        <v>4.1128274667499998</v>
      </c>
      <c r="B23">
        <v>1.0668962143499171E-2</v>
      </c>
      <c r="C23">
        <f t="shared" si="0"/>
        <v>1.3768568927124587E-2</v>
      </c>
      <c r="D23">
        <f t="shared" si="1"/>
        <v>-3.0996067836254158E-3</v>
      </c>
      <c r="E23">
        <f t="shared" si="2"/>
        <v>9.6075622130966949E-6</v>
      </c>
    </row>
    <row r="24" spans="1:5" x14ac:dyDescent="0.25">
      <c r="A24">
        <v>4.2956056454499993</v>
      </c>
      <c r="B24">
        <v>1.1013122212644305E-2</v>
      </c>
      <c r="C24">
        <f t="shared" si="0"/>
        <v>1.1177228477881702E-2</v>
      </c>
      <c r="D24">
        <f t="shared" si="1"/>
        <v>-1.6410626523739695E-4</v>
      </c>
      <c r="E24">
        <f t="shared" si="2"/>
        <v>2.6930866290166877E-8</v>
      </c>
    </row>
    <row r="25" spans="1:5" x14ac:dyDescent="0.25">
      <c r="A25">
        <v>4.4783838241499998</v>
      </c>
      <c r="B25">
        <v>6.8832013829026907E-3</v>
      </c>
      <c r="C25">
        <f t="shared" si="0"/>
        <v>9.0663785909314669E-3</v>
      </c>
      <c r="D25">
        <f t="shared" si="1"/>
        <v>-2.1831772080287762E-3</v>
      </c>
      <c r="E25">
        <f t="shared" si="2"/>
        <v>4.766262721656322E-6</v>
      </c>
    </row>
    <row r="26" spans="1:5" x14ac:dyDescent="0.25">
      <c r="A26">
        <v>4.6611620028500003</v>
      </c>
      <c r="B26">
        <v>5.8507211754672871E-3</v>
      </c>
      <c r="C26">
        <f t="shared" si="0"/>
        <v>7.3485812350157333E-3</v>
      </c>
      <c r="D26">
        <f t="shared" si="1"/>
        <v>-1.4978600595484462E-3</v>
      </c>
      <c r="E26">
        <f t="shared" si="2"/>
        <v>2.2435847579904747E-6</v>
      </c>
    </row>
    <row r="27" spans="1:5" x14ac:dyDescent="0.25">
      <c r="A27">
        <v>4.8439401815499998</v>
      </c>
      <c r="B27">
        <v>3.7857607605964799E-3</v>
      </c>
      <c r="C27">
        <f t="shared" si="0"/>
        <v>5.9519222319341257E-3</v>
      </c>
      <c r="D27">
        <f t="shared" si="1"/>
        <v>-2.1661614713376458E-3</v>
      </c>
      <c r="E27">
        <f t="shared" si="2"/>
        <v>4.6922555199076746E-6</v>
      </c>
    </row>
    <row r="28" spans="1:5" x14ac:dyDescent="0.25">
      <c r="A28">
        <v>5.0267183602499994</v>
      </c>
      <c r="B28">
        <v>3.0974406223062108E-3</v>
      </c>
      <c r="C28">
        <f t="shared" si="0"/>
        <v>4.8173486466949076E-3</v>
      </c>
      <c r="D28">
        <f t="shared" si="1"/>
        <v>-1.7199080243886968E-3</v>
      </c>
      <c r="E28">
        <f t="shared" si="2"/>
        <v>2.95808361235663E-6</v>
      </c>
    </row>
    <row r="29" spans="1:5" x14ac:dyDescent="0.25">
      <c r="A29">
        <v>5.209496538949999</v>
      </c>
      <c r="B29">
        <v>2.4091204840159417E-3</v>
      </c>
      <c r="C29">
        <f t="shared" si="0"/>
        <v>3.8964394181756328E-3</v>
      </c>
      <c r="D29">
        <f t="shared" si="1"/>
        <v>-1.4873189341596911E-3</v>
      </c>
      <c r="E29">
        <f t="shared" si="2"/>
        <v>2.2121176119099196E-6</v>
      </c>
    </row>
    <row r="30" spans="1:5" x14ac:dyDescent="0.25">
      <c r="A30">
        <v>5.3922747176500003</v>
      </c>
      <c r="B30">
        <v>1.3766402765805381E-3</v>
      </c>
      <c r="C30">
        <f t="shared" si="0"/>
        <v>3.1495449351117907E-3</v>
      </c>
      <c r="D30">
        <f t="shared" si="1"/>
        <v>-1.7729046585312526E-3</v>
      </c>
      <c r="E30">
        <f t="shared" si="2"/>
        <v>3.1431909282418173E-6</v>
      </c>
    </row>
    <row r="31" spans="1:5" x14ac:dyDescent="0.25">
      <c r="A31">
        <v>5.5750528963500008</v>
      </c>
      <c r="B31">
        <v>3.4416006914513454E-4</v>
      </c>
      <c r="C31">
        <f t="shared" si="0"/>
        <v>2.5442390368026592E-3</v>
      </c>
      <c r="D31">
        <f t="shared" si="1"/>
        <v>-2.2000789676575247E-3</v>
      </c>
      <c r="E31">
        <f t="shared" si="2"/>
        <v>4.8403474639289994E-6</v>
      </c>
    </row>
    <row r="32" spans="1:5" x14ac:dyDescent="0.25">
      <c r="A32">
        <v>5.7578310750500012</v>
      </c>
      <c r="B32">
        <v>6.8832013829026907E-4</v>
      </c>
      <c r="C32">
        <f t="shared" si="0"/>
        <v>2.0540343183152059E-3</v>
      </c>
      <c r="D32">
        <f t="shared" si="1"/>
        <v>-1.3657141800249369E-3</v>
      </c>
      <c r="E32">
        <f t="shared" si="2"/>
        <v>1.8651752215211857E-6</v>
      </c>
    </row>
    <row r="33" spans="1:5" x14ac:dyDescent="0.25">
      <c r="A33">
        <v>5.9406092537500008</v>
      </c>
      <c r="B33">
        <v>1.7208003457256727E-3</v>
      </c>
      <c r="C33">
        <f t="shared" si="0"/>
        <v>1.6573184371145909E-3</v>
      </c>
      <c r="D33">
        <f t="shared" si="1"/>
        <v>6.348190861108177E-5</v>
      </c>
      <c r="E33">
        <f t="shared" si="2"/>
        <v>4.0299527209057378E-9</v>
      </c>
    </row>
    <row r="34" spans="1:5" x14ac:dyDescent="0.25">
      <c r="A34">
        <v>6.1233874324500004</v>
      </c>
      <c r="B34">
        <v>0</v>
      </c>
      <c r="C34">
        <f t="shared" si="0"/>
        <v>1.3364752566035283E-3</v>
      </c>
      <c r="D34">
        <f t="shared" si="1"/>
        <v>-1.3364752566035283E-3</v>
      </c>
      <c r="E34">
        <f t="shared" si="2"/>
        <v>1.7861661115134669E-6</v>
      </c>
    </row>
    <row r="35" spans="1:5" x14ac:dyDescent="0.25">
      <c r="A35">
        <v>6.30616561115</v>
      </c>
      <c r="B35">
        <v>0</v>
      </c>
      <c r="C35">
        <f t="shared" si="0"/>
        <v>1.0771600981112396E-3</v>
      </c>
      <c r="D35">
        <f t="shared" si="1"/>
        <v>-1.0771600981112396E-3</v>
      </c>
      <c r="E35">
        <f t="shared" si="2"/>
        <v>1.1602738769630153E-6</v>
      </c>
    </row>
    <row r="36" spans="1:5" x14ac:dyDescent="0.25">
      <c r="A36">
        <v>6.4889437898500004</v>
      </c>
      <c r="B36">
        <v>3.4416006914513454E-4</v>
      </c>
      <c r="C36">
        <f t="shared" si="0"/>
        <v>8.6770312593593068E-4</v>
      </c>
      <c r="D36">
        <f t="shared" si="1"/>
        <v>-5.2354305679079614E-4</v>
      </c>
      <c r="E36">
        <f t="shared" si="2"/>
        <v>2.7409733231385081E-7</v>
      </c>
    </row>
    <row r="37" spans="1:5" x14ac:dyDescent="0.25">
      <c r="A37">
        <v>6.6717219685500009</v>
      </c>
      <c r="B37">
        <v>0</v>
      </c>
      <c r="C37">
        <f t="shared" si="0"/>
        <v>6.9861900446672781E-4</v>
      </c>
      <c r="D37">
        <f t="shared" si="1"/>
        <v>-6.9861900446672781E-4</v>
      </c>
      <c r="E37">
        <f t="shared" si="2"/>
        <v>4.8806851340208184E-7</v>
      </c>
    </row>
    <row r="38" spans="1:5" x14ac:dyDescent="0.25">
      <c r="A38">
        <v>6.8545001472500005</v>
      </c>
      <c r="B38">
        <v>0</v>
      </c>
      <c r="C38">
        <f t="shared" si="0"/>
        <v>5.6220449927268305E-4</v>
      </c>
      <c r="D38">
        <f t="shared" si="1"/>
        <v>-5.6220449927268305E-4</v>
      </c>
      <c r="E38">
        <f t="shared" si="2"/>
        <v>3.160738990024483E-7</v>
      </c>
    </row>
    <row r="39" spans="1:5" x14ac:dyDescent="0.25">
      <c r="A39">
        <v>7.03727832595</v>
      </c>
      <c r="B39">
        <v>0</v>
      </c>
      <c r="C39">
        <f t="shared" si="0"/>
        <v>4.522087073461684E-4</v>
      </c>
      <c r="D39">
        <f t="shared" si="1"/>
        <v>-4.522087073461684E-4</v>
      </c>
      <c r="E39">
        <f t="shared" si="2"/>
        <v>2.0449271499969258E-7</v>
      </c>
    </row>
    <row r="40" spans="1:5" x14ac:dyDescent="0.25">
      <c r="A40">
        <v>7.2200565046499996</v>
      </c>
      <c r="B40">
        <v>3.4416006914513454E-4</v>
      </c>
      <c r="C40">
        <f t="shared" si="0"/>
        <v>3.6356315745237673E-4</v>
      </c>
      <c r="D40">
        <f t="shared" si="1"/>
        <v>-1.9403088307242192E-5</v>
      </c>
      <c r="E40">
        <f t="shared" si="2"/>
        <v>3.7647983585863867E-10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685F-9A53-45CA-A02C-C3A33A70323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9.1042137837500009E-2</v>
      </c>
      <c r="B1">
        <v>0.69004940468985698</v>
      </c>
      <c r="C1">
        <f>$H$3*(1+$H$1)*(A1^($H$1))*EXP(-$H$3*(A1^(1+$H$1)))</f>
        <v>0.74411441301867109</v>
      </c>
      <c r="D1">
        <f>B1-C1</f>
        <v>-5.4065008328814113E-2</v>
      </c>
      <c r="E1">
        <f>D1^2</f>
        <v>2.9230251255947396E-3</v>
      </c>
      <c r="G1" t="s">
        <v>0</v>
      </c>
      <c r="H1">
        <v>0.12573115414320993</v>
      </c>
    </row>
    <row r="2" spans="1:8" x14ac:dyDescent="0.25">
      <c r="A2">
        <v>0.2724051475125</v>
      </c>
      <c r="B2">
        <v>0.82951640352611766</v>
      </c>
      <c r="C2">
        <f t="shared" ref="C2:C40" si="0">$H$3*(1+$H$1)*(A2^($H$1))*EXP(-$H$3*(A2^(1+$H$1)))</f>
        <v>0.73055150132416957</v>
      </c>
      <c r="D2">
        <f t="shared" ref="D2:D40" si="1">B2-C2</f>
        <v>9.8964902201948091E-2</v>
      </c>
      <c r="E2">
        <f t="shared" ref="E2:E40" si="2">D2^2</f>
        <v>9.7940518678411494E-3</v>
      </c>
    </row>
    <row r="3" spans="1:8" x14ac:dyDescent="0.25">
      <c r="A3">
        <v>0.45376815718749997</v>
      </c>
      <c r="B3">
        <v>0.65119292740214252</v>
      </c>
      <c r="C3">
        <f t="shared" si="0"/>
        <v>0.65650111748917184</v>
      </c>
      <c r="D3">
        <f t="shared" si="1"/>
        <v>-5.3081900870293186E-3</v>
      </c>
      <c r="E3">
        <f t="shared" si="2"/>
        <v>2.8176882000036326E-5</v>
      </c>
      <c r="G3" t="s">
        <v>1</v>
      </c>
      <c r="H3">
        <f>(_xlfn.GAMMA((2+$H$1)/(1+$H$1)))^(1+$H$1)</f>
        <v>0.9526388035488248</v>
      </c>
    </row>
    <row r="4" spans="1:8" x14ac:dyDescent="0.25">
      <c r="A4">
        <v>0.63513116686249993</v>
      </c>
      <c r="B4">
        <v>0.55578639834748655</v>
      </c>
      <c r="C4">
        <f t="shared" si="0"/>
        <v>0.57198361948817289</v>
      </c>
      <c r="D4">
        <f t="shared" si="1"/>
        <v>-1.6197221140686335E-2</v>
      </c>
      <c r="E4">
        <f t="shared" si="2"/>
        <v>2.6234997268029632E-4</v>
      </c>
    </row>
    <row r="5" spans="1:8" x14ac:dyDescent="0.25">
      <c r="A5">
        <v>0.8164941765375</v>
      </c>
      <c r="B5">
        <v>0.47044092144768529</v>
      </c>
      <c r="C5">
        <f t="shared" si="0"/>
        <v>0.4897674376903553</v>
      </c>
      <c r="D5">
        <f t="shared" si="1"/>
        <v>-1.9326516242670011E-2</v>
      </c>
      <c r="E5">
        <f t="shared" si="2"/>
        <v>3.7351423007818776E-4</v>
      </c>
      <c r="G5" t="s">
        <v>2</v>
      </c>
      <c r="H5">
        <f>SUM(E1:E40)</f>
        <v>1.6302948903253293E-2</v>
      </c>
    </row>
    <row r="6" spans="1:8" x14ac:dyDescent="0.25">
      <c r="A6">
        <v>0.99785718621249997</v>
      </c>
      <c r="B6">
        <v>0.37989145205399366</v>
      </c>
      <c r="C6">
        <f t="shared" si="0"/>
        <v>0.41449367970114998</v>
      </c>
      <c r="D6">
        <f t="shared" si="1"/>
        <v>-3.4602227647156314E-2</v>
      </c>
      <c r="E6">
        <f t="shared" si="2"/>
        <v>1.1973141581456289E-3</v>
      </c>
    </row>
    <row r="7" spans="1:8" x14ac:dyDescent="0.25">
      <c r="A7">
        <v>1.1792201958874999</v>
      </c>
      <c r="B7">
        <v>0.31605581079560569</v>
      </c>
      <c r="C7">
        <f t="shared" si="0"/>
        <v>0.34775476218608475</v>
      </c>
      <c r="D7">
        <f t="shared" si="1"/>
        <v>-3.1698951390479069E-2</v>
      </c>
      <c r="E7">
        <f t="shared" si="2"/>
        <v>1.0048235192559548E-3</v>
      </c>
    </row>
    <row r="8" spans="1:8" x14ac:dyDescent="0.25">
      <c r="A8">
        <v>1.3605832055625</v>
      </c>
      <c r="B8">
        <v>0.27546466934326114</v>
      </c>
      <c r="C8">
        <f t="shared" si="0"/>
        <v>0.28976643240355765</v>
      </c>
      <c r="D8">
        <f t="shared" si="1"/>
        <v>-1.4301763060296513E-2</v>
      </c>
      <c r="E8">
        <f t="shared" si="2"/>
        <v>2.0454042663286187E-4</v>
      </c>
    </row>
    <row r="9" spans="1:8" x14ac:dyDescent="0.25">
      <c r="A9">
        <v>1.5419462152375001</v>
      </c>
      <c r="B9">
        <v>0.24215911738236306</v>
      </c>
      <c r="C9">
        <f t="shared" si="0"/>
        <v>0.24008717522266612</v>
      </c>
      <c r="D9">
        <f t="shared" si="1"/>
        <v>2.0719421596969434E-3</v>
      </c>
      <c r="E9">
        <f t="shared" si="2"/>
        <v>4.2929443131296343E-6</v>
      </c>
    </row>
    <row r="10" spans="1:8" x14ac:dyDescent="0.25">
      <c r="A10">
        <v>1.7233092249125002</v>
      </c>
      <c r="B10">
        <v>0.19601705060320221</v>
      </c>
      <c r="C10">
        <f t="shared" si="0"/>
        <v>0.19797374350005156</v>
      </c>
      <c r="D10">
        <f t="shared" si="1"/>
        <v>-1.9566928968493547E-3</v>
      </c>
      <c r="E10">
        <f t="shared" si="2"/>
        <v>3.8286470925807192E-6</v>
      </c>
    </row>
    <row r="11" spans="1:8" x14ac:dyDescent="0.25">
      <c r="A11">
        <v>1.9046722345875002</v>
      </c>
      <c r="B11">
        <v>0.17138481946545467</v>
      </c>
      <c r="C11">
        <f t="shared" si="0"/>
        <v>0.16256962272436001</v>
      </c>
      <c r="D11">
        <f t="shared" si="1"/>
        <v>8.8151967410946552E-3</v>
      </c>
      <c r="E11">
        <f t="shared" si="2"/>
        <v>7.7707693584205836E-5</v>
      </c>
    </row>
    <row r="12" spans="1:8" x14ac:dyDescent="0.25">
      <c r="A12">
        <v>2.0860352442624999</v>
      </c>
      <c r="B12">
        <v>0.14120166300089079</v>
      </c>
      <c r="C12">
        <f t="shared" si="0"/>
        <v>0.13300742540089297</v>
      </c>
      <c r="D12">
        <f t="shared" si="1"/>
        <v>8.1942375999978223E-3</v>
      </c>
      <c r="E12">
        <f t="shared" si="2"/>
        <v>6.7145529845218069E-5</v>
      </c>
    </row>
    <row r="13" spans="1:8" x14ac:dyDescent="0.25">
      <c r="A13">
        <v>2.2673982539374999</v>
      </c>
      <c r="B13">
        <v>0.11101850653632692</v>
      </c>
      <c r="C13">
        <f t="shared" si="0"/>
        <v>0.1084636553428191</v>
      </c>
      <c r="D13">
        <f t="shared" si="1"/>
        <v>2.5548511935078178E-3</v>
      </c>
      <c r="E13">
        <f t="shared" si="2"/>
        <v>6.5272646209683206E-6</v>
      </c>
    </row>
    <row r="14" spans="1:8" x14ac:dyDescent="0.25">
      <c r="A14">
        <v>2.4487612636125</v>
      </c>
      <c r="B14">
        <v>9.1937200725395726E-2</v>
      </c>
      <c r="C14">
        <f t="shared" si="0"/>
        <v>8.8186010336101392E-2</v>
      </c>
      <c r="D14">
        <f t="shared" si="1"/>
        <v>3.7511903892943343E-3</v>
      </c>
      <c r="E14">
        <f t="shared" si="2"/>
        <v>1.407142933673418E-5</v>
      </c>
    </row>
    <row r="15" spans="1:8" x14ac:dyDescent="0.25">
      <c r="A15">
        <v>2.6301242732874996</v>
      </c>
      <c r="B15">
        <v>8.0141484405910984E-2</v>
      </c>
      <c r="C15">
        <f t="shared" si="0"/>
        <v>7.1504572971732544E-2</v>
      </c>
      <c r="D15">
        <f t="shared" si="1"/>
        <v>8.6369114341784403E-3</v>
      </c>
      <c r="E15">
        <f t="shared" si="2"/>
        <v>7.4596239121842283E-5</v>
      </c>
    </row>
    <row r="16" spans="1:8" x14ac:dyDescent="0.25">
      <c r="A16">
        <v>2.8114872829625002</v>
      </c>
      <c r="B16">
        <v>6.418257409131399E-2</v>
      </c>
      <c r="C16">
        <f t="shared" si="0"/>
        <v>5.7833586220601127E-2</v>
      </c>
      <c r="D16">
        <f t="shared" si="1"/>
        <v>6.3489878707128633E-3</v>
      </c>
      <c r="E16">
        <f t="shared" si="2"/>
        <v>4.0309646982459059E-5</v>
      </c>
    </row>
    <row r="17" spans="1:5" x14ac:dyDescent="0.25">
      <c r="A17">
        <v>2.9928502926374998</v>
      </c>
      <c r="B17">
        <v>5.3774589103533346E-2</v>
      </c>
      <c r="C17">
        <f t="shared" si="0"/>
        <v>4.6667883487786527E-2</v>
      </c>
      <c r="D17">
        <f t="shared" si="1"/>
        <v>7.1067056157468195E-3</v>
      </c>
      <c r="E17">
        <f t="shared" si="2"/>
        <v>5.0505264708887383E-5</v>
      </c>
    </row>
    <row r="18" spans="1:5" x14ac:dyDescent="0.25">
      <c r="A18">
        <v>3.1742133023125003</v>
      </c>
      <c r="B18">
        <v>4.4754335447456786E-2</v>
      </c>
      <c r="C18">
        <f t="shared" si="0"/>
        <v>3.7576483849660058E-2</v>
      </c>
      <c r="D18">
        <f t="shared" si="1"/>
        <v>7.1778515977967278E-3</v>
      </c>
      <c r="E18">
        <f t="shared" si="2"/>
        <v>5.1521553559993041E-5</v>
      </c>
    </row>
    <row r="19" spans="1:5" x14ac:dyDescent="0.25">
      <c r="A19">
        <v>3.3555763119874999</v>
      </c>
      <c r="B19">
        <v>3.9897275786492485E-2</v>
      </c>
      <c r="C19">
        <f t="shared" si="0"/>
        <v>3.0194904196653771E-2</v>
      </c>
      <c r="D19">
        <f t="shared" si="1"/>
        <v>9.7023715898387139E-3</v>
      </c>
      <c r="E19">
        <f t="shared" si="2"/>
        <v>9.4136014467309411E-5</v>
      </c>
    </row>
    <row r="20" spans="1:5" x14ac:dyDescent="0.25">
      <c r="A20">
        <v>3.5369393216625</v>
      </c>
      <c r="B20">
        <v>2.3244499806043446E-2</v>
      </c>
      <c r="C20">
        <f t="shared" si="0"/>
        <v>2.4217135837251942E-2</v>
      </c>
      <c r="D20">
        <f t="shared" si="1"/>
        <v>-9.7263603120849654E-4</v>
      </c>
      <c r="E20">
        <f t="shared" si="2"/>
        <v>9.4602084920501549E-7</v>
      </c>
    </row>
    <row r="21" spans="1:5" x14ac:dyDescent="0.25">
      <c r="A21">
        <v>3.7183023313375001</v>
      </c>
      <c r="B21">
        <v>2.1856768474339362E-2</v>
      </c>
      <c r="C21">
        <f t="shared" si="0"/>
        <v>1.9387847168157973E-2</v>
      </c>
      <c r="D21">
        <f t="shared" si="1"/>
        <v>2.4689213061813882E-3</v>
      </c>
      <c r="E21">
        <f t="shared" si="2"/>
        <v>6.0955724161164116E-6</v>
      </c>
    </row>
    <row r="22" spans="1:5" x14ac:dyDescent="0.25">
      <c r="A22">
        <v>3.8996653410125002</v>
      </c>
      <c r="B22">
        <v>1.28365148182628E-2</v>
      </c>
      <c r="C22">
        <f t="shared" si="0"/>
        <v>1.5495126265189394E-2</v>
      </c>
      <c r="D22">
        <f t="shared" si="1"/>
        <v>-2.6586114469265947E-3</v>
      </c>
      <c r="E22">
        <f t="shared" si="2"/>
        <v>7.0682148257291211E-6</v>
      </c>
    </row>
    <row r="23" spans="1:5" x14ac:dyDescent="0.25">
      <c r="A23">
        <v>4.0810283506875003</v>
      </c>
      <c r="B23">
        <v>1.3530380484114842E-2</v>
      </c>
      <c r="C23">
        <f t="shared" si="0"/>
        <v>1.2363918854834283E-2</v>
      </c>
      <c r="D23">
        <f t="shared" si="1"/>
        <v>1.1664616292805588E-3</v>
      </c>
      <c r="E23">
        <f t="shared" si="2"/>
        <v>1.3606327325838559E-6</v>
      </c>
    </row>
    <row r="24" spans="1:5" x14ac:dyDescent="0.25">
      <c r="A24">
        <v>4.2623913603624999</v>
      </c>
      <c r="B24">
        <v>8.6733208231505408E-3</v>
      </c>
      <c r="C24">
        <f t="shared" si="0"/>
        <v>9.8502172759343132E-3</v>
      </c>
      <c r="D24">
        <f t="shared" si="1"/>
        <v>-1.1768964527837725E-3</v>
      </c>
      <c r="E24">
        <f t="shared" si="2"/>
        <v>1.3850852605750263E-6</v>
      </c>
    </row>
    <row r="25" spans="1:5" x14ac:dyDescent="0.25">
      <c r="A25">
        <v>4.4437543700374995</v>
      </c>
      <c r="B25">
        <v>9.0202536560765618E-3</v>
      </c>
      <c r="C25">
        <f t="shared" si="0"/>
        <v>7.8359947994457516E-3</v>
      </c>
      <c r="D25">
        <f t="shared" si="1"/>
        <v>1.1842588566308102E-3</v>
      </c>
      <c r="E25">
        <f t="shared" si="2"/>
        <v>1.4024690395085138E-6</v>
      </c>
    </row>
    <row r="26" spans="1:5" x14ac:dyDescent="0.25">
      <c r="A26">
        <v>4.6251173797125009</v>
      </c>
      <c r="B26">
        <v>4.8570596609643028E-3</v>
      </c>
      <c r="C26">
        <f t="shared" si="0"/>
        <v>6.2248439001771376E-3</v>
      </c>
      <c r="D26">
        <f t="shared" si="1"/>
        <v>-1.3677842392128348E-3</v>
      </c>
      <c r="E26">
        <f t="shared" si="2"/>
        <v>1.8708337250390334E-6</v>
      </c>
    </row>
    <row r="27" spans="1:5" x14ac:dyDescent="0.25">
      <c r="A27">
        <v>4.8064803893875006</v>
      </c>
      <c r="B27">
        <v>5.5509253268163456E-3</v>
      </c>
      <c r="C27">
        <f t="shared" si="0"/>
        <v>4.9382579930254931E-3</v>
      </c>
      <c r="D27">
        <f t="shared" si="1"/>
        <v>6.126673337908525E-4</v>
      </c>
      <c r="E27">
        <f t="shared" si="2"/>
        <v>3.7536126189439185E-7</v>
      </c>
    </row>
    <row r="28" spans="1:5" x14ac:dyDescent="0.25">
      <c r="A28">
        <v>4.9878433990625002</v>
      </c>
      <c r="B28">
        <v>1.7346641646301081E-3</v>
      </c>
      <c r="C28">
        <f t="shared" si="0"/>
        <v>3.9124878539968941E-3</v>
      </c>
      <c r="D28">
        <f t="shared" si="1"/>
        <v>-2.177823689366786E-3</v>
      </c>
      <c r="E28">
        <f t="shared" si="2"/>
        <v>4.7429160219671595E-6</v>
      </c>
    </row>
    <row r="29" spans="1:5" x14ac:dyDescent="0.25">
      <c r="A29">
        <v>5.1692064087374998</v>
      </c>
      <c r="B29">
        <v>2.7754626634081728E-3</v>
      </c>
      <c r="C29">
        <f t="shared" si="0"/>
        <v>3.0959024606647396E-3</v>
      </c>
      <c r="D29">
        <f t="shared" si="1"/>
        <v>-3.2043979725656681E-4</v>
      </c>
      <c r="E29">
        <f t="shared" si="2"/>
        <v>1.0268166366582964E-7</v>
      </c>
    </row>
    <row r="30" spans="1:5" x14ac:dyDescent="0.25">
      <c r="A30">
        <v>5.3505694184125003</v>
      </c>
      <c r="B30">
        <v>1.0407984987780648E-3</v>
      </c>
      <c r="C30">
        <f t="shared" si="0"/>
        <v>2.4467866266121765E-3</v>
      </c>
      <c r="D30">
        <f t="shared" si="1"/>
        <v>-1.4059881278341117E-3</v>
      </c>
      <c r="E30">
        <f t="shared" si="2"/>
        <v>1.9768026156104703E-6</v>
      </c>
    </row>
    <row r="31" spans="1:5" x14ac:dyDescent="0.25">
      <c r="A31">
        <v>5.5319324280875</v>
      </c>
      <c r="B31">
        <v>6.9386566585204321E-4</v>
      </c>
      <c r="C31">
        <f t="shared" si="0"/>
        <v>1.9315127777637629E-3</v>
      </c>
      <c r="D31">
        <f t="shared" si="1"/>
        <v>-1.2376471119117196E-3</v>
      </c>
      <c r="E31">
        <f t="shared" si="2"/>
        <v>1.5317703736234206E-6</v>
      </c>
    </row>
    <row r="32" spans="1:5" x14ac:dyDescent="0.25">
      <c r="A32">
        <v>5.7132954377625005</v>
      </c>
      <c r="B32">
        <v>1.0407984987780648E-3</v>
      </c>
      <c r="C32">
        <f t="shared" si="0"/>
        <v>1.5230303431393764E-3</v>
      </c>
      <c r="D32">
        <f t="shared" si="1"/>
        <v>-4.8223184436131162E-4</v>
      </c>
      <c r="E32">
        <f t="shared" si="2"/>
        <v>2.3254755171611226E-7</v>
      </c>
    </row>
    <row r="33" spans="1:5" x14ac:dyDescent="0.25">
      <c r="A33">
        <v>5.8946584474375001</v>
      </c>
      <c r="B33">
        <v>1.0407984987780648E-3</v>
      </c>
      <c r="C33">
        <f t="shared" si="0"/>
        <v>1.1996227448652207E-3</v>
      </c>
      <c r="D33">
        <f t="shared" si="1"/>
        <v>-1.5882424608715598E-4</v>
      </c>
      <c r="E33">
        <f t="shared" si="2"/>
        <v>2.5225141145153483E-8</v>
      </c>
    </row>
    <row r="34" spans="1:5" x14ac:dyDescent="0.25">
      <c r="A34">
        <v>6.0760214571124997</v>
      </c>
      <c r="B34">
        <v>3.469328329260216E-4</v>
      </c>
      <c r="C34">
        <f t="shared" si="0"/>
        <v>9.4388839504437735E-4</v>
      </c>
      <c r="D34">
        <f t="shared" si="1"/>
        <v>-5.9695556211835569E-4</v>
      </c>
      <c r="E34">
        <f t="shared" si="2"/>
        <v>3.5635594314404203E-7</v>
      </c>
    </row>
    <row r="35" spans="1:5" x14ac:dyDescent="0.25">
      <c r="A35">
        <v>6.2573844667875003</v>
      </c>
      <c r="B35">
        <v>0</v>
      </c>
      <c r="C35">
        <f t="shared" si="0"/>
        <v>7.4190815763284373E-4</v>
      </c>
      <c r="D35">
        <f t="shared" si="1"/>
        <v>-7.4190815763284373E-4</v>
      </c>
      <c r="E35">
        <f t="shared" si="2"/>
        <v>5.5042771436216048E-7</v>
      </c>
    </row>
    <row r="36" spans="1:5" x14ac:dyDescent="0.25">
      <c r="A36">
        <v>6.4387474764624999</v>
      </c>
      <c r="B36">
        <v>3.469328329260216E-4</v>
      </c>
      <c r="C36">
        <f t="shared" si="0"/>
        <v>5.8256725962931119E-4</v>
      </c>
      <c r="D36">
        <f t="shared" si="1"/>
        <v>-2.3563442670328959E-4</v>
      </c>
      <c r="E36">
        <f t="shared" si="2"/>
        <v>5.5523583047787955E-8</v>
      </c>
    </row>
    <row r="37" spans="1:5" x14ac:dyDescent="0.25">
      <c r="A37">
        <v>6.6201104861375004</v>
      </c>
      <c r="B37">
        <v>0</v>
      </c>
      <c r="C37">
        <f t="shared" si="0"/>
        <v>4.570045715170519E-4</v>
      </c>
      <c r="D37">
        <f t="shared" si="1"/>
        <v>-4.570045715170519E-4</v>
      </c>
      <c r="E37">
        <f t="shared" si="2"/>
        <v>2.088531783874842E-7</v>
      </c>
    </row>
    <row r="38" spans="1:5" x14ac:dyDescent="0.25">
      <c r="A38">
        <v>6.8014734958125</v>
      </c>
      <c r="B38">
        <v>0</v>
      </c>
      <c r="C38">
        <f t="shared" si="0"/>
        <v>3.5816651097499462E-4</v>
      </c>
      <c r="D38">
        <f t="shared" si="1"/>
        <v>-3.5816651097499462E-4</v>
      </c>
      <c r="E38">
        <f t="shared" si="2"/>
        <v>1.2828324958400094E-7</v>
      </c>
    </row>
    <row r="39" spans="1:5" x14ac:dyDescent="0.25">
      <c r="A39">
        <v>6.9828365054874997</v>
      </c>
      <c r="B39">
        <v>0</v>
      </c>
      <c r="C39">
        <f t="shared" si="0"/>
        <v>2.8044657926593942E-4</v>
      </c>
      <c r="D39">
        <f t="shared" si="1"/>
        <v>-2.8044657926593942E-4</v>
      </c>
      <c r="E39">
        <f t="shared" si="2"/>
        <v>7.8650283821966847E-8</v>
      </c>
    </row>
    <row r="40" spans="1:5" x14ac:dyDescent="0.25">
      <c r="A40">
        <v>7.1641995151625002</v>
      </c>
      <c r="B40">
        <v>3.469328329260216E-4</v>
      </c>
      <c r="C40">
        <f t="shared" si="0"/>
        <v>2.1939475868604658E-4</v>
      </c>
      <c r="D40">
        <f t="shared" si="1"/>
        <v>1.2753807423997502E-4</v>
      </c>
      <c r="E40">
        <f t="shared" si="2"/>
        <v>1.6265960380841381E-8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C9BD7-98D7-4B1D-841C-0568317F551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9.0759166487500001E-2</v>
      </c>
      <c r="B1">
        <v>0.68058267754664437</v>
      </c>
      <c r="C1">
        <f>$H$3*(1+$H$1)*(A1^($H$1))*EXP(-$H$3*(A1^(1+$H$1)))</f>
        <v>0.72128713025538072</v>
      </c>
      <c r="D1">
        <f>B1-C1</f>
        <v>-4.0704452708736349E-2</v>
      </c>
      <c r="E1">
        <f>D1^2</f>
        <v>1.656852470317754E-3</v>
      </c>
      <c r="G1" t="s">
        <v>0</v>
      </c>
      <c r="H1">
        <v>0.14401497109701203</v>
      </c>
    </row>
    <row r="2" spans="1:8" x14ac:dyDescent="0.25">
      <c r="A2">
        <v>0.27087704946250002</v>
      </c>
      <c r="B2">
        <v>0.76932395069697679</v>
      </c>
      <c r="C2">
        <f t="shared" ref="C2:C40" si="0">$H$3*(1+$H$1)*(A2^($H$1))*EXP(-$H$3*(A2^(1+$H$1)))</f>
        <v>0.72551054264539805</v>
      </c>
      <c r="D2">
        <f t="shared" ref="D2:D40" si="1">B2-C2</f>
        <v>4.3813408051578739E-2</v>
      </c>
      <c r="E2">
        <f t="shared" ref="E2:E40" si="2">D2^2</f>
        <v>1.9196147250941447E-3</v>
      </c>
    </row>
    <row r="3" spans="1:8" x14ac:dyDescent="0.25">
      <c r="A3">
        <v>0.4509949324375</v>
      </c>
      <c r="B3">
        <v>0.70468955883551421</v>
      </c>
      <c r="C3">
        <f t="shared" si="0"/>
        <v>0.65989656636588723</v>
      </c>
      <c r="D3">
        <f t="shared" si="1"/>
        <v>4.479299246962698E-2</v>
      </c>
      <c r="E3">
        <f t="shared" si="2"/>
        <v>2.0064121743840592E-3</v>
      </c>
      <c r="G3" t="s">
        <v>1</v>
      </c>
      <c r="H3">
        <f>(_xlfn.GAMMA((2+$H$1)/(1+$H$1)))^(1+$H$1)</f>
        <v>0.94659756801977224</v>
      </c>
    </row>
    <row r="4" spans="1:8" x14ac:dyDescent="0.25">
      <c r="A4">
        <v>0.63111281541250008</v>
      </c>
      <c r="B4">
        <v>0.58555265275573709</v>
      </c>
      <c r="C4">
        <f t="shared" si="0"/>
        <v>0.57942614388038927</v>
      </c>
      <c r="D4">
        <f t="shared" si="1"/>
        <v>6.1265088753478247E-3</v>
      </c>
      <c r="E4">
        <f t="shared" si="2"/>
        <v>3.7534110999715668E-5</v>
      </c>
    </row>
    <row r="5" spans="1:8" x14ac:dyDescent="0.25">
      <c r="A5">
        <v>0.81123069838749995</v>
      </c>
      <c r="B5">
        <v>0.46956012249624746</v>
      </c>
      <c r="C5">
        <f t="shared" si="0"/>
        <v>0.49878316301526132</v>
      </c>
      <c r="D5">
        <f t="shared" si="1"/>
        <v>-2.9223040519013865E-2</v>
      </c>
      <c r="E5">
        <f t="shared" si="2"/>
        <v>8.5398609717592621E-4</v>
      </c>
      <c r="G5" t="s">
        <v>2</v>
      </c>
      <c r="H5">
        <f>SUM(E1:E40)</f>
        <v>1.057615517259199E-2</v>
      </c>
    </row>
    <row r="6" spans="1:8" x14ac:dyDescent="0.25">
      <c r="A6">
        <v>0.99134858136250004</v>
      </c>
      <c r="B6">
        <v>0.38955322662449099</v>
      </c>
      <c r="C6">
        <f t="shared" si="0"/>
        <v>0.42366034621577409</v>
      </c>
      <c r="D6">
        <f t="shared" si="1"/>
        <v>-3.4107119591283097E-2</v>
      </c>
      <c r="E6">
        <f t="shared" si="2"/>
        <v>1.1632956068140872E-3</v>
      </c>
    </row>
    <row r="7" spans="1:8" x14ac:dyDescent="0.25">
      <c r="A7">
        <v>1.1714664643374999</v>
      </c>
      <c r="B7">
        <v>0.31793133294016751</v>
      </c>
      <c r="C7">
        <f t="shared" si="0"/>
        <v>0.35628763812722963</v>
      </c>
      <c r="D7">
        <f t="shared" si="1"/>
        <v>-3.8356305187062123E-2</v>
      </c>
      <c r="E7">
        <f t="shared" si="2"/>
        <v>1.4712061476030488E-3</v>
      </c>
    </row>
    <row r="8" spans="1:8" x14ac:dyDescent="0.25">
      <c r="A8">
        <v>1.3515843473125</v>
      </c>
      <c r="B8">
        <v>0.2686694450889987</v>
      </c>
      <c r="C8">
        <f t="shared" si="0"/>
        <v>0.29727768429902574</v>
      </c>
      <c r="D8">
        <f t="shared" si="1"/>
        <v>-2.8608239210027031E-2</v>
      </c>
      <c r="E8">
        <f t="shared" si="2"/>
        <v>8.1843135069812809E-4</v>
      </c>
    </row>
    <row r="9" spans="1:8" x14ac:dyDescent="0.25">
      <c r="A9">
        <v>1.5317022302875001</v>
      </c>
      <c r="B9">
        <v>0.25189944071413273</v>
      </c>
      <c r="C9">
        <f t="shared" si="0"/>
        <v>0.24643434983069651</v>
      </c>
      <c r="D9">
        <f t="shared" si="1"/>
        <v>5.4650908834362188E-3</v>
      </c>
      <c r="E9">
        <f t="shared" si="2"/>
        <v>2.9867218364217672E-5</v>
      </c>
    </row>
    <row r="10" spans="1:8" x14ac:dyDescent="0.25">
      <c r="A10">
        <v>1.7118201132625002</v>
      </c>
      <c r="B10">
        <v>0.19285505031095876</v>
      </c>
      <c r="C10">
        <f t="shared" si="0"/>
        <v>0.20316131154610964</v>
      </c>
      <c r="D10">
        <f t="shared" si="1"/>
        <v>-1.0306261235150882E-2</v>
      </c>
      <c r="E10">
        <f t="shared" si="2"/>
        <v>1.0621902064717378E-4</v>
      </c>
    </row>
    <row r="11" spans="1:8" x14ac:dyDescent="0.25">
      <c r="A11">
        <v>1.8919379962375</v>
      </c>
      <c r="B11">
        <v>0.17503692066266366</v>
      </c>
      <c r="C11">
        <f t="shared" si="0"/>
        <v>0.16668459017791076</v>
      </c>
      <c r="D11">
        <f t="shared" si="1"/>
        <v>8.3523304847528956E-3</v>
      </c>
      <c r="E11">
        <f t="shared" si="2"/>
        <v>6.9761424526532538E-5</v>
      </c>
    </row>
    <row r="12" spans="1:8" x14ac:dyDescent="0.25">
      <c r="A12">
        <v>2.0720558792124999</v>
      </c>
      <c r="B12">
        <v>0.143942537550933</v>
      </c>
      <c r="C12">
        <f t="shared" si="0"/>
        <v>0.13617762693282442</v>
      </c>
      <c r="D12">
        <f t="shared" si="1"/>
        <v>7.7649106181085781E-3</v>
      </c>
      <c r="E12">
        <f t="shared" si="2"/>
        <v>6.0293836907215343E-5</v>
      </c>
    </row>
    <row r="13" spans="1:8" x14ac:dyDescent="0.25">
      <c r="A13">
        <v>2.2521737621874998</v>
      </c>
      <c r="B13">
        <v>0.11214940425691625</v>
      </c>
      <c r="C13">
        <f t="shared" si="0"/>
        <v>0.11083136861128577</v>
      </c>
      <c r="D13">
        <f t="shared" si="1"/>
        <v>1.3180356456304748E-3</v>
      </c>
      <c r="E13">
        <f t="shared" si="2"/>
        <v>1.7372179631525425E-6</v>
      </c>
    </row>
    <row r="14" spans="1:8" x14ac:dyDescent="0.25">
      <c r="A14">
        <v>2.4322916451625001</v>
      </c>
      <c r="B14">
        <v>9.5379399882050256E-2</v>
      </c>
      <c r="C14">
        <f t="shared" si="0"/>
        <v>8.9891927798243593E-2</v>
      </c>
      <c r="D14">
        <f t="shared" si="1"/>
        <v>5.4874720838066632E-3</v>
      </c>
      <c r="E14">
        <f t="shared" si="2"/>
        <v>3.0112349870557441E-5</v>
      </c>
    </row>
    <row r="15" spans="1:8" x14ac:dyDescent="0.25">
      <c r="A15">
        <v>2.6124095281374999</v>
      </c>
      <c r="B15">
        <v>8.3151271692043824E-2</v>
      </c>
      <c r="C15">
        <f t="shared" si="0"/>
        <v>7.2678713834165076E-2</v>
      </c>
      <c r="D15">
        <f t="shared" si="1"/>
        <v>1.0472557857878748E-2</v>
      </c>
      <c r="E15">
        <f t="shared" si="2"/>
        <v>1.0967446808661791E-4</v>
      </c>
    </row>
    <row r="16" spans="1:8" x14ac:dyDescent="0.25">
      <c r="A16">
        <v>2.7925274111125002</v>
      </c>
      <c r="B16">
        <v>6.393564167917655E-2</v>
      </c>
      <c r="C16">
        <f t="shared" si="0"/>
        <v>5.8590777116955386E-2</v>
      </c>
      <c r="D16">
        <f t="shared" si="1"/>
        <v>5.3448645622211632E-3</v>
      </c>
      <c r="E16">
        <f t="shared" si="2"/>
        <v>2.8567577188487627E-5</v>
      </c>
    </row>
    <row r="17" spans="1:5" x14ac:dyDescent="0.25">
      <c r="A17">
        <v>2.9726452940875001</v>
      </c>
      <c r="B17">
        <v>4.8912512760025777E-2</v>
      </c>
      <c r="C17">
        <f t="shared" si="0"/>
        <v>4.7106164003100685E-2</v>
      </c>
      <c r="D17">
        <f t="shared" si="1"/>
        <v>1.8063487569250913E-3</v>
      </c>
      <c r="E17">
        <f t="shared" si="2"/>
        <v>3.2628958316448228E-6</v>
      </c>
    </row>
    <row r="18" spans="1:5" x14ac:dyDescent="0.25">
      <c r="A18">
        <v>3.1527631770625</v>
      </c>
      <c r="B18">
        <v>4.8912512760025777E-2</v>
      </c>
      <c r="C18">
        <f t="shared" si="0"/>
        <v>3.7777306108991202E-2</v>
      </c>
      <c r="D18">
        <f t="shared" si="1"/>
        <v>1.1135206651034575E-2</v>
      </c>
      <c r="E18">
        <f t="shared" si="2"/>
        <v>1.2399282716124465E-4</v>
      </c>
    </row>
    <row r="19" spans="1:5" x14ac:dyDescent="0.25">
      <c r="A19">
        <v>3.3328810600374998</v>
      </c>
      <c r="B19">
        <v>3.8081884934591498E-2</v>
      </c>
      <c r="C19">
        <f t="shared" si="0"/>
        <v>3.0224359298871659E-2</v>
      </c>
      <c r="D19">
        <f t="shared" si="1"/>
        <v>7.8575256357198385E-3</v>
      </c>
      <c r="E19">
        <f t="shared" si="2"/>
        <v>6.1740709115994455E-5</v>
      </c>
    </row>
    <row r="20" spans="1:5" x14ac:dyDescent="0.25">
      <c r="A20">
        <v>3.5129989430124997</v>
      </c>
      <c r="B20">
        <v>2.5504381653442012E-2</v>
      </c>
      <c r="C20">
        <f t="shared" si="0"/>
        <v>2.4127697075589413E-2</v>
      </c>
      <c r="D20">
        <f t="shared" si="1"/>
        <v>1.3766845778525987E-3</v>
      </c>
      <c r="E20">
        <f t="shared" si="2"/>
        <v>1.8952604268971878E-6</v>
      </c>
    </row>
    <row r="21" spans="1:5" x14ac:dyDescent="0.25">
      <c r="A21">
        <v>3.6931168259875</v>
      </c>
      <c r="B21">
        <v>2.1661255650868558E-2</v>
      </c>
      <c r="C21">
        <f t="shared" si="0"/>
        <v>1.9220300666191698E-2</v>
      </c>
      <c r="D21">
        <f t="shared" si="1"/>
        <v>2.4409549846768595E-3</v>
      </c>
      <c r="E21">
        <f t="shared" si="2"/>
        <v>5.9582612372188073E-6</v>
      </c>
    </row>
    <row r="22" spans="1:5" x14ac:dyDescent="0.25">
      <c r="A22">
        <v>3.8732347089625003</v>
      </c>
      <c r="B22">
        <v>1.3276253463435568E-2</v>
      </c>
      <c r="C22">
        <f t="shared" si="0"/>
        <v>1.5280485216744136E-2</v>
      </c>
      <c r="D22">
        <f t="shared" si="1"/>
        <v>-2.0042317533085687E-3</v>
      </c>
      <c r="E22">
        <f t="shared" si="2"/>
        <v>4.0169449209703397E-6</v>
      </c>
    </row>
    <row r="23" spans="1:5" x14ac:dyDescent="0.25">
      <c r="A23">
        <v>4.0533525919375002</v>
      </c>
      <c r="B23">
        <v>1.2228128190006444E-2</v>
      </c>
      <c r="C23">
        <f t="shared" si="0"/>
        <v>1.2125203456599983E-2</v>
      </c>
      <c r="D23">
        <f t="shared" si="1"/>
        <v>1.0292473340646133E-4</v>
      </c>
      <c r="E23">
        <f t="shared" si="2"/>
        <v>1.0593500746791136E-8</v>
      </c>
    </row>
    <row r="24" spans="1:5" x14ac:dyDescent="0.25">
      <c r="A24">
        <v>4.2334704749125001</v>
      </c>
      <c r="B24">
        <v>9.7825025520051553E-3</v>
      </c>
      <c r="C24">
        <f t="shared" si="0"/>
        <v>9.6040399769455539E-3</v>
      </c>
      <c r="D24">
        <f t="shared" si="1"/>
        <v>1.7846257505960139E-4</v>
      </c>
      <c r="E24">
        <f t="shared" si="2"/>
        <v>3.1848890696903862E-8</v>
      </c>
    </row>
    <row r="25" spans="1:5" x14ac:dyDescent="0.25">
      <c r="A25">
        <v>4.4135883578874999</v>
      </c>
      <c r="B25">
        <v>9.0837523697190718E-3</v>
      </c>
      <c r="C25">
        <f t="shared" si="0"/>
        <v>7.5939279256119581E-3</v>
      </c>
      <c r="D25">
        <f t="shared" si="1"/>
        <v>1.4898244441071138E-3</v>
      </c>
      <c r="E25">
        <f t="shared" si="2"/>
        <v>2.2195768742590706E-6</v>
      </c>
    </row>
    <row r="26" spans="1:5" x14ac:dyDescent="0.25">
      <c r="A26">
        <v>4.5937062408625007</v>
      </c>
      <c r="B26">
        <v>4.8912512760025777E-3</v>
      </c>
      <c r="C26">
        <f t="shared" si="0"/>
        <v>5.9945700778993869E-3</v>
      </c>
      <c r="D26">
        <f t="shared" si="1"/>
        <v>-1.1033188018968092E-3</v>
      </c>
      <c r="E26">
        <f t="shared" si="2"/>
        <v>1.2173123786190106E-6</v>
      </c>
    </row>
    <row r="27" spans="1:5" x14ac:dyDescent="0.25">
      <c r="A27">
        <v>4.7738241238374997</v>
      </c>
      <c r="B27">
        <v>5.2406263671456186E-3</v>
      </c>
      <c r="C27">
        <f t="shared" si="0"/>
        <v>4.7245174751659761E-3</v>
      </c>
      <c r="D27">
        <f t="shared" si="1"/>
        <v>5.1610889197964242E-4</v>
      </c>
      <c r="E27">
        <f t="shared" si="2"/>
        <v>2.6636838838045422E-7</v>
      </c>
    </row>
    <row r="28" spans="1:5" x14ac:dyDescent="0.25">
      <c r="A28">
        <v>4.9539420068125004</v>
      </c>
      <c r="B28">
        <v>2.0962505468582475E-3</v>
      </c>
      <c r="C28">
        <f t="shared" si="0"/>
        <v>3.7178440011698104E-3</v>
      </c>
      <c r="D28">
        <f t="shared" si="1"/>
        <v>-1.6215934543115629E-3</v>
      </c>
      <c r="E28">
        <f t="shared" si="2"/>
        <v>2.629565331066107E-6</v>
      </c>
    </row>
    <row r="29" spans="1:5" x14ac:dyDescent="0.25">
      <c r="A29">
        <v>5.1340598897874994</v>
      </c>
      <c r="B29">
        <v>3.4937509114304124E-3</v>
      </c>
      <c r="C29">
        <f t="shared" si="0"/>
        <v>2.9213495022514975E-3</v>
      </c>
      <c r="D29">
        <f t="shared" si="1"/>
        <v>5.7240140917891487E-4</v>
      </c>
      <c r="E29">
        <f t="shared" si="2"/>
        <v>3.276433732300075E-7</v>
      </c>
    </row>
    <row r="30" spans="1:5" x14ac:dyDescent="0.25">
      <c r="A30">
        <v>5.3141777727625001</v>
      </c>
      <c r="B30">
        <v>6.9875018228608254E-4</v>
      </c>
      <c r="C30">
        <f t="shared" si="0"/>
        <v>2.2922240034719153E-3</v>
      </c>
      <c r="D30">
        <f t="shared" si="1"/>
        <v>-1.5934738211858326E-3</v>
      </c>
      <c r="E30">
        <f t="shared" si="2"/>
        <v>2.5391588188045789E-6</v>
      </c>
    </row>
    <row r="31" spans="1:5" x14ac:dyDescent="0.25">
      <c r="A31">
        <v>5.4942956557374991</v>
      </c>
      <c r="B31">
        <v>1.0481252734291238E-3</v>
      </c>
      <c r="C31">
        <f t="shared" si="0"/>
        <v>1.7961089492045611E-3</v>
      </c>
      <c r="D31">
        <f t="shared" si="1"/>
        <v>-7.4798367577543737E-4</v>
      </c>
      <c r="E31">
        <f t="shared" si="2"/>
        <v>5.5947957922653466E-7</v>
      </c>
    </row>
    <row r="32" spans="1:5" x14ac:dyDescent="0.25">
      <c r="A32">
        <v>5.6744135387124999</v>
      </c>
      <c r="B32">
        <v>6.9875018228608254E-4</v>
      </c>
      <c r="C32">
        <f t="shared" si="0"/>
        <v>1.405496668023229E-3</v>
      </c>
      <c r="D32">
        <f t="shared" si="1"/>
        <v>-7.0674648573714643E-4</v>
      </c>
      <c r="E32">
        <f t="shared" si="2"/>
        <v>4.994905951018065E-7</v>
      </c>
    </row>
    <row r="33" spans="1:5" x14ac:dyDescent="0.25">
      <c r="A33">
        <v>5.8545314216875006</v>
      </c>
      <c r="B33">
        <v>3.4937509114304127E-4</v>
      </c>
      <c r="C33">
        <f t="shared" si="0"/>
        <v>1.0984154113190723E-3</v>
      </c>
      <c r="D33">
        <f t="shared" si="1"/>
        <v>-7.4904032017603095E-4</v>
      </c>
      <c r="E33">
        <f t="shared" si="2"/>
        <v>5.6106140124941094E-7</v>
      </c>
    </row>
    <row r="34" spans="1:5" x14ac:dyDescent="0.25">
      <c r="A34">
        <v>6.0346493046624996</v>
      </c>
      <c r="B34">
        <v>1.0481252734291238E-3</v>
      </c>
      <c r="C34">
        <f t="shared" si="0"/>
        <v>8.5735368674227453E-4</v>
      </c>
      <c r="D34">
        <f t="shared" si="1"/>
        <v>1.9077158668684923E-4</v>
      </c>
      <c r="E34">
        <f t="shared" si="2"/>
        <v>3.6393798287018031E-8</v>
      </c>
    </row>
    <row r="35" spans="1:5" x14ac:dyDescent="0.25">
      <c r="A35">
        <v>6.2147671876375004</v>
      </c>
      <c r="B35">
        <v>0</v>
      </c>
      <c r="C35">
        <f t="shared" si="0"/>
        <v>6.6838379409254567E-4</v>
      </c>
      <c r="D35">
        <f t="shared" si="1"/>
        <v>-6.6838379409254567E-4</v>
      </c>
      <c r="E35">
        <f t="shared" si="2"/>
        <v>4.4673689620554647E-7</v>
      </c>
    </row>
    <row r="36" spans="1:5" x14ac:dyDescent="0.25">
      <c r="A36">
        <v>6.3948850706125011</v>
      </c>
      <c r="B36">
        <v>3.4937509114304127E-4</v>
      </c>
      <c r="C36">
        <f t="shared" si="0"/>
        <v>5.2045023564658156E-4</v>
      </c>
      <c r="D36">
        <f t="shared" si="1"/>
        <v>-1.7107514450354029E-4</v>
      </c>
      <c r="E36">
        <f t="shared" si="2"/>
        <v>2.9266705066907191E-8</v>
      </c>
    </row>
    <row r="37" spans="1:5" x14ac:dyDescent="0.25">
      <c r="A37">
        <v>6.5750029535875001</v>
      </c>
      <c r="B37">
        <v>0</v>
      </c>
      <c r="C37">
        <f t="shared" si="0"/>
        <v>4.0479389260247021E-4</v>
      </c>
      <c r="D37">
        <f t="shared" si="1"/>
        <v>-4.0479389260247021E-4</v>
      </c>
      <c r="E37">
        <f t="shared" si="2"/>
        <v>1.6385809548826019E-7</v>
      </c>
    </row>
    <row r="38" spans="1:5" x14ac:dyDescent="0.25">
      <c r="A38">
        <v>6.7551208365625</v>
      </c>
      <c r="B38">
        <v>0</v>
      </c>
      <c r="C38">
        <f t="shared" si="0"/>
        <v>3.1448748721867704E-4</v>
      </c>
      <c r="D38">
        <f t="shared" si="1"/>
        <v>-3.1448748721867704E-4</v>
      </c>
      <c r="E38">
        <f t="shared" si="2"/>
        <v>9.890237961711756E-8</v>
      </c>
    </row>
    <row r="39" spans="1:5" x14ac:dyDescent="0.25">
      <c r="A39">
        <v>6.9352387195374998</v>
      </c>
      <c r="B39">
        <v>0</v>
      </c>
      <c r="C39">
        <f t="shared" si="0"/>
        <v>2.4406188723890795E-4</v>
      </c>
      <c r="D39">
        <f t="shared" si="1"/>
        <v>-2.4406188723890795E-4</v>
      </c>
      <c r="E39">
        <f t="shared" si="2"/>
        <v>5.9566204802617416E-8</v>
      </c>
    </row>
    <row r="40" spans="1:5" x14ac:dyDescent="0.25">
      <c r="A40">
        <v>7.1153566025125006</v>
      </c>
      <c r="B40">
        <v>3.4937509114304127E-4</v>
      </c>
      <c r="C40">
        <f t="shared" si="0"/>
        <v>1.8920628534188462E-4</v>
      </c>
      <c r="D40">
        <f t="shared" si="1"/>
        <v>1.6016880580115665E-4</v>
      </c>
      <c r="E40">
        <f t="shared" si="2"/>
        <v>2.5654046351768631E-8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E082-BB34-47C7-932F-76C63C8216C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8.8535893137500016E-2</v>
      </c>
      <c r="B1">
        <v>0.66967430768198255</v>
      </c>
      <c r="C1">
        <f>$H$3*(1+$H$1)*(A1^($H$1))*EXP(-$H$3*(A1^(1+$H$1)))</f>
        <v>0.66627567381117847</v>
      </c>
      <c r="D1">
        <f>B1-C1</f>
        <v>3.3986338708040797E-3</v>
      </c>
      <c r="E1">
        <f>D1^2</f>
        <v>1.1550712187776722E-5</v>
      </c>
      <c r="G1" t="s">
        <v>0</v>
      </c>
      <c r="H1">
        <v>0.18835901671439267</v>
      </c>
    </row>
    <row r="2" spans="1:8" x14ac:dyDescent="0.25">
      <c r="A2">
        <v>0.26560081941250002</v>
      </c>
      <c r="B2">
        <v>0.64089785202031646</v>
      </c>
      <c r="C2">
        <f t="shared" ref="C2:C40" si="0">$H$3*(1+$H$1)*(A2^($H$1))*EXP(-$H$3*(A2^(1+$H$1)))</f>
        <v>0.71191164975379073</v>
      </c>
      <c r="D2">
        <f t="shared" ref="D2:D40" si="1">B2-C2</f>
        <v>-7.1013797733474271E-2</v>
      </c>
      <c r="E2">
        <f t="shared" ref="E2:E40" si="2">D2^2</f>
        <v>5.0429594685307954E-3</v>
      </c>
    </row>
    <row r="3" spans="1:8" x14ac:dyDescent="0.25">
      <c r="A3">
        <v>0.44266574568749995</v>
      </c>
      <c r="B3">
        <v>0.74250360904792767</v>
      </c>
      <c r="C3">
        <f t="shared" si="0"/>
        <v>0.6671619362714849</v>
      </c>
      <c r="D3">
        <f t="shared" si="1"/>
        <v>7.534167277644277E-2</v>
      </c>
      <c r="E3">
        <f t="shared" si="2"/>
        <v>5.6763676567525775E-3</v>
      </c>
      <c r="G3" t="s">
        <v>1</v>
      </c>
      <c r="H3">
        <f>(_xlfn.GAMMA((2+$H$1)/(1+$H$1)))^(1+$H$1)</f>
        <v>0.93269903258112807</v>
      </c>
    </row>
    <row r="4" spans="1:8" x14ac:dyDescent="0.25">
      <c r="A4">
        <v>0.61973067196249998</v>
      </c>
      <c r="B4">
        <v>0.64800314971455508</v>
      </c>
      <c r="C4">
        <f t="shared" si="0"/>
        <v>0.59724346464329359</v>
      </c>
      <c r="D4">
        <f t="shared" si="1"/>
        <v>5.0759685071261496E-2</v>
      </c>
      <c r="E4">
        <f t="shared" si="2"/>
        <v>2.576545628533647E-3</v>
      </c>
    </row>
    <row r="5" spans="1:8" x14ac:dyDescent="0.25">
      <c r="A5">
        <v>0.79679559823750001</v>
      </c>
      <c r="B5">
        <v>0.5296999431054833</v>
      </c>
      <c r="C5">
        <f t="shared" si="0"/>
        <v>0.52103947214798041</v>
      </c>
      <c r="D5">
        <f t="shared" si="1"/>
        <v>8.660470957502886E-3</v>
      </c>
      <c r="E5">
        <f t="shared" si="2"/>
        <v>7.5003757205750955E-5</v>
      </c>
      <c r="G5" t="s">
        <v>2</v>
      </c>
      <c r="H5">
        <f>SUM(E1:E40)</f>
        <v>1.881961622179364E-2</v>
      </c>
    </row>
    <row r="6" spans="1:8" x14ac:dyDescent="0.25">
      <c r="A6">
        <v>0.97386052451250005</v>
      </c>
      <c r="B6">
        <v>0.41885729907536207</v>
      </c>
      <c r="C6">
        <f t="shared" si="0"/>
        <v>0.44669162730802037</v>
      </c>
      <c r="D6">
        <f t="shared" si="1"/>
        <v>-2.7834328232658301E-2</v>
      </c>
      <c r="E6">
        <f t="shared" si="2"/>
        <v>7.7474982816335899E-4</v>
      </c>
    </row>
    <row r="7" spans="1:8" x14ac:dyDescent="0.25">
      <c r="A7">
        <v>1.1509254507875</v>
      </c>
      <c r="B7">
        <v>0.33110687255151605</v>
      </c>
      <c r="C7">
        <f t="shared" si="0"/>
        <v>0.37798862428588209</v>
      </c>
      <c r="D7">
        <f t="shared" si="1"/>
        <v>-4.6881751734366039E-2</v>
      </c>
      <c r="E7">
        <f t="shared" si="2"/>
        <v>2.1978986456827332E-3</v>
      </c>
    </row>
    <row r="8" spans="1:8" x14ac:dyDescent="0.25">
      <c r="A8">
        <v>1.3279903770625001</v>
      </c>
      <c r="B8">
        <v>0.27923819938357469</v>
      </c>
      <c r="C8">
        <f t="shared" si="0"/>
        <v>0.31655314120026068</v>
      </c>
      <c r="D8">
        <f t="shared" si="1"/>
        <v>-3.7314941816685987E-2</v>
      </c>
      <c r="E8">
        <f t="shared" si="2"/>
        <v>1.3924048827826604E-3</v>
      </c>
    </row>
    <row r="9" spans="1:8" x14ac:dyDescent="0.25">
      <c r="A9">
        <v>1.5050553033375</v>
      </c>
      <c r="B9">
        <v>0.24015906206526272</v>
      </c>
      <c r="C9">
        <f t="shared" si="0"/>
        <v>0.26283558430089393</v>
      </c>
      <c r="D9">
        <f t="shared" si="1"/>
        <v>-2.2676522235631213E-2</v>
      </c>
      <c r="E9">
        <f t="shared" si="2"/>
        <v>5.1422466070307686E-4</v>
      </c>
    </row>
    <row r="10" spans="1:8" x14ac:dyDescent="0.25">
      <c r="A10">
        <v>1.6821202296125</v>
      </c>
      <c r="B10">
        <v>0.2138694605965801</v>
      </c>
      <c r="C10">
        <f t="shared" si="0"/>
        <v>0.21663975583963266</v>
      </c>
      <c r="D10">
        <f t="shared" si="1"/>
        <v>-2.7702952430525563E-3</v>
      </c>
      <c r="E10">
        <f t="shared" si="2"/>
        <v>7.6745357336796218E-6</v>
      </c>
    </row>
    <row r="11" spans="1:8" x14ac:dyDescent="0.25">
      <c r="A11">
        <v>1.8591851558874999</v>
      </c>
      <c r="B11">
        <v>0.17585611793240391</v>
      </c>
      <c r="C11">
        <f t="shared" si="0"/>
        <v>0.17742479111401055</v>
      </c>
      <c r="D11">
        <f t="shared" si="1"/>
        <v>-1.568673181606639E-3</v>
      </c>
      <c r="E11">
        <f t="shared" si="2"/>
        <v>2.4607355506918955E-6</v>
      </c>
    </row>
    <row r="12" spans="1:8" x14ac:dyDescent="0.25">
      <c r="A12">
        <v>2.0362500821624998</v>
      </c>
      <c r="B12">
        <v>0.13180327222812496</v>
      </c>
      <c r="C12">
        <f t="shared" si="0"/>
        <v>0.14448565780316136</v>
      </c>
      <c r="D12">
        <f t="shared" si="1"/>
        <v>-1.2682385575036398E-2</v>
      </c>
      <c r="E12">
        <f t="shared" si="2"/>
        <v>1.608429038738913E-4</v>
      </c>
    </row>
    <row r="13" spans="1:8" x14ac:dyDescent="0.25">
      <c r="A13">
        <v>2.2133150084375002</v>
      </c>
      <c r="B13">
        <v>0.12363217987975063</v>
      </c>
      <c r="C13">
        <f t="shared" si="0"/>
        <v>0.11706219867987626</v>
      </c>
      <c r="D13">
        <f t="shared" si="1"/>
        <v>6.5699811998743696E-3</v>
      </c>
      <c r="E13">
        <f t="shared" si="2"/>
        <v>4.3164652966702662E-5</v>
      </c>
    </row>
    <row r="14" spans="1:8" x14ac:dyDescent="0.25">
      <c r="A14">
        <v>2.3903799347125001</v>
      </c>
      <c r="B14">
        <v>9.2724134909812975E-2</v>
      </c>
      <c r="C14">
        <f t="shared" si="0"/>
        <v>9.4404032625000703E-2</v>
      </c>
      <c r="D14">
        <f t="shared" si="1"/>
        <v>-1.6798977151877281E-3</v>
      </c>
      <c r="E14">
        <f t="shared" si="2"/>
        <v>2.8220563334929494E-6</v>
      </c>
    </row>
    <row r="15" spans="1:8" x14ac:dyDescent="0.25">
      <c r="A15">
        <v>2.5674448609875</v>
      </c>
      <c r="B15">
        <v>8.4908307446150577E-2</v>
      </c>
      <c r="C15">
        <f t="shared" si="0"/>
        <v>7.5807476146006178E-2</v>
      </c>
      <c r="D15">
        <f t="shared" si="1"/>
        <v>9.1008313001443991E-3</v>
      </c>
      <c r="E15">
        <f t="shared" si="2"/>
        <v>8.2825130353687988E-5</v>
      </c>
    </row>
    <row r="16" spans="1:8" x14ac:dyDescent="0.25">
      <c r="A16">
        <v>2.7445097872625004</v>
      </c>
      <c r="B16">
        <v>6.4658209017570731E-2</v>
      </c>
      <c r="C16">
        <f t="shared" si="0"/>
        <v>6.0634579712891788E-2</v>
      </c>
      <c r="D16">
        <f t="shared" si="1"/>
        <v>4.0236293046789426E-3</v>
      </c>
      <c r="E16">
        <f t="shared" si="2"/>
        <v>1.618959278147115E-5</v>
      </c>
    </row>
    <row r="17" spans="1:5" x14ac:dyDescent="0.25">
      <c r="A17">
        <v>2.9215747135375003</v>
      </c>
      <c r="B17">
        <v>5.5776586899772558E-2</v>
      </c>
      <c r="C17">
        <f t="shared" si="0"/>
        <v>4.8320804663430972E-2</v>
      </c>
      <c r="D17">
        <f t="shared" si="1"/>
        <v>7.4557822363415863E-3</v>
      </c>
      <c r="E17">
        <f t="shared" si="2"/>
        <v>5.5588688755746749E-5</v>
      </c>
    </row>
    <row r="18" spans="1:5" x14ac:dyDescent="0.25">
      <c r="A18">
        <v>3.0986396398125002</v>
      </c>
      <c r="B18">
        <v>4.8671289205534013E-2</v>
      </c>
      <c r="C18">
        <f t="shared" si="0"/>
        <v>3.8375642482965495E-2</v>
      </c>
      <c r="D18">
        <f t="shared" si="1"/>
        <v>1.0295646722568517E-2</v>
      </c>
      <c r="E18">
        <f t="shared" si="2"/>
        <v>1.0600034143593585E-4</v>
      </c>
    </row>
    <row r="19" spans="1:5" x14ac:dyDescent="0.25">
      <c r="A19">
        <v>3.2757045660874997</v>
      </c>
      <c r="B19">
        <v>3.6237018240616564E-2</v>
      </c>
      <c r="C19">
        <f t="shared" si="0"/>
        <v>3.0379034167592033E-2</v>
      </c>
      <c r="D19">
        <f t="shared" si="1"/>
        <v>5.857984073024531E-3</v>
      </c>
      <c r="E19">
        <f t="shared" si="2"/>
        <v>3.431597739980907E-5</v>
      </c>
    </row>
    <row r="20" spans="1:5" x14ac:dyDescent="0.25">
      <c r="A20">
        <v>3.4527694923624996</v>
      </c>
      <c r="B20">
        <v>2.9486985431089949E-2</v>
      </c>
      <c r="C20">
        <f t="shared" si="0"/>
        <v>2.3975483757581094E-2</v>
      </c>
      <c r="D20">
        <f t="shared" si="1"/>
        <v>5.5115016735088548E-3</v>
      </c>
      <c r="E20">
        <f t="shared" si="2"/>
        <v>3.0376650697090907E-5</v>
      </c>
    </row>
    <row r="21" spans="1:5" x14ac:dyDescent="0.25">
      <c r="A21">
        <v>3.6298344186375</v>
      </c>
      <c r="B21">
        <v>2.0250098428579846E-2</v>
      </c>
      <c r="C21">
        <f t="shared" si="0"/>
        <v>1.8867106603075477E-2</v>
      </c>
      <c r="D21">
        <f t="shared" si="1"/>
        <v>1.3829918255043698E-3</v>
      </c>
      <c r="E21">
        <f t="shared" si="2"/>
        <v>1.9126663894119094E-6</v>
      </c>
    </row>
    <row r="22" spans="1:5" x14ac:dyDescent="0.25">
      <c r="A22">
        <v>3.8068993449124999</v>
      </c>
      <c r="B22">
        <v>1.4565860273189011E-2</v>
      </c>
      <c r="C22">
        <f t="shared" si="0"/>
        <v>1.4806406427606457E-2</v>
      </c>
      <c r="D22">
        <f t="shared" si="1"/>
        <v>-2.4054615441744531E-4</v>
      </c>
      <c r="E22">
        <f t="shared" si="2"/>
        <v>5.7862452405021447E-8</v>
      </c>
    </row>
    <row r="23" spans="1:5" x14ac:dyDescent="0.25">
      <c r="A23">
        <v>3.9839642711874994</v>
      </c>
      <c r="B23">
        <v>1.3500065619053229E-2</v>
      </c>
      <c r="C23">
        <f t="shared" si="0"/>
        <v>1.158927021106532E-2</v>
      </c>
      <c r="D23">
        <f t="shared" si="1"/>
        <v>1.9107954079879089E-3</v>
      </c>
      <c r="E23">
        <f t="shared" si="2"/>
        <v>3.6511390911876793E-6</v>
      </c>
    </row>
    <row r="24" spans="1:5" x14ac:dyDescent="0.25">
      <c r="A24">
        <v>4.1610291974624989</v>
      </c>
      <c r="B24">
        <v>1.0302681656645886E-2</v>
      </c>
      <c r="C24">
        <f t="shared" si="0"/>
        <v>9.0484629135543625E-3</v>
      </c>
      <c r="D24">
        <f t="shared" si="1"/>
        <v>1.2542187430915237E-3</v>
      </c>
      <c r="E24">
        <f t="shared" si="2"/>
        <v>1.5730646555220817E-6</v>
      </c>
    </row>
    <row r="25" spans="1:5" x14ac:dyDescent="0.25">
      <c r="A25">
        <v>4.3380941237375001</v>
      </c>
      <c r="B25">
        <v>8.1710923483743238E-3</v>
      </c>
      <c r="C25">
        <f t="shared" si="0"/>
        <v>7.0477655081389321E-3</v>
      </c>
      <c r="D25">
        <f t="shared" si="1"/>
        <v>1.1233268402353917E-3</v>
      </c>
      <c r="E25">
        <f t="shared" si="2"/>
        <v>1.2618631899932293E-6</v>
      </c>
    </row>
    <row r="26" spans="1:5" x14ac:dyDescent="0.25">
      <c r="A26">
        <v>4.5151590500124996</v>
      </c>
      <c r="B26">
        <v>6.3947679248146875E-3</v>
      </c>
      <c r="C26">
        <f t="shared" si="0"/>
        <v>5.4768090830193666E-3</v>
      </c>
      <c r="D26">
        <f t="shared" si="1"/>
        <v>9.1795884179532092E-4</v>
      </c>
      <c r="E26">
        <f t="shared" si="2"/>
        <v>8.4264843523020707E-7</v>
      </c>
    </row>
    <row r="27" spans="1:5" x14ac:dyDescent="0.25">
      <c r="A27">
        <v>4.6922239762875009</v>
      </c>
      <c r="B27">
        <v>6.0395030401027604E-3</v>
      </c>
      <c r="C27">
        <f t="shared" si="0"/>
        <v>4.2466003819650261E-3</v>
      </c>
      <c r="D27">
        <f t="shared" si="1"/>
        <v>1.7929026581377343E-3</v>
      </c>
      <c r="E27">
        <f t="shared" si="2"/>
        <v>3.2144999415573532E-6</v>
      </c>
    </row>
    <row r="28" spans="1:5" x14ac:dyDescent="0.25">
      <c r="A28">
        <v>4.8692889025625004</v>
      </c>
      <c r="B28">
        <v>3.5526488471192708E-3</v>
      </c>
      <c r="C28">
        <f t="shared" si="0"/>
        <v>3.2856997545129473E-3</v>
      </c>
      <c r="D28">
        <f t="shared" si="1"/>
        <v>2.6694909260632348E-4</v>
      </c>
      <c r="E28">
        <f t="shared" si="2"/>
        <v>7.1261818043339468E-8</v>
      </c>
    </row>
    <row r="29" spans="1:5" x14ac:dyDescent="0.25">
      <c r="A29">
        <v>5.0463538288374998</v>
      </c>
      <c r="B29">
        <v>2.1315893082715625E-3</v>
      </c>
      <c r="C29">
        <f t="shared" si="0"/>
        <v>2.5369937370105463E-3</v>
      </c>
      <c r="D29">
        <f t="shared" si="1"/>
        <v>-4.0540442873898382E-4</v>
      </c>
      <c r="E29">
        <f t="shared" si="2"/>
        <v>1.6435275084118181E-7</v>
      </c>
    </row>
    <row r="30" spans="1:5" x14ac:dyDescent="0.25">
      <c r="A30">
        <v>5.2234187551124993</v>
      </c>
      <c r="B30">
        <v>7.1052976942385417E-4</v>
      </c>
      <c r="C30">
        <f t="shared" si="0"/>
        <v>1.954996162920579E-3</v>
      </c>
      <c r="D30">
        <f t="shared" si="1"/>
        <v>-1.2444663934967248E-3</v>
      </c>
      <c r="E30">
        <f t="shared" si="2"/>
        <v>1.5486966045427453E-6</v>
      </c>
    </row>
    <row r="31" spans="1:5" x14ac:dyDescent="0.25">
      <c r="A31">
        <v>5.4004836813875006</v>
      </c>
      <c r="B31">
        <v>1.4210595388477083E-3</v>
      </c>
      <c r="C31">
        <f t="shared" si="0"/>
        <v>1.5036101206583094E-3</v>
      </c>
      <c r="D31">
        <f t="shared" si="1"/>
        <v>-8.2550581810601027E-5</v>
      </c>
      <c r="E31">
        <f t="shared" si="2"/>
        <v>6.8145985572687334E-9</v>
      </c>
    </row>
    <row r="32" spans="1:5" x14ac:dyDescent="0.25">
      <c r="A32">
        <v>5.5775486076625</v>
      </c>
      <c r="B32">
        <v>1.0657946541357812E-3</v>
      </c>
      <c r="C32">
        <f t="shared" si="0"/>
        <v>1.1542856628550626E-3</v>
      </c>
      <c r="D32">
        <f t="shared" si="1"/>
        <v>-8.8491008719281377E-5</v>
      </c>
      <c r="E32">
        <f t="shared" si="2"/>
        <v>7.8306586241559332E-9</v>
      </c>
    </row>
    <row r="33" spans="1:5" x14ac:dyDescent="0.25">
      <c r="A33">
        <v>5.7546135339374995</v>
      </c>
      <c r="B33">
        <v>0</v>
      </c>
      <c r="C33">
        <f t="shared" si="0"/>
        <v>8.8451314587315521E-4</v>
      </c>
      <c r="D33">
        <f t="shared" si="1"/>
        <v>-8.8451314587315521E-4</v>
      </c>
      <c r="E33">
        <f t="shared" si="2"/>
        <v>7.8236350522242554E-7</v>
      </c>
    </row>
    <row r="34" spans="1:5" x14ac:dyDescent="0.25">
      <c r="A34">
        <v>5.931678460212499</v>
      </c>
      <c r="B34">
        <v>1.0657946541357812E-3</v>
      </c>
      <c r="C34">
        <f t="shared" si="0"/>
        <v>6.7659824149201707E-4</v>
      </c>
      <c r="D34">
        <f t="shared" si="1"/>
        <v>3.8919641264376418E-4</v>
      </c>
      <c r="E34">
        <f t="shared" si="2"/>
        <v>1.5147384761477516E-7</v>
      </c>
    </row>
    <row r="35" spans="1:5" x14ac:dyDescent="0.25">
      <c r="A35">
        <v>6.1087433864875003</v>
      </c>
      <c r="B35">
        <v>3.5526488471192708E-4</v>
      </c>
      <c r="C35">
        <f t="shared" si="0"/>
        <v>5.1667122343835832E-4</v>
      </c>
      <c r="D35">
        <f t="shared" si="1"/>
        <v>-1.6140633872643124E-4</v>
      </c>
      <c r="E35">
        <f t="shared" si="2"/>
        <v>2.6052006181071457E-8</v>
      </c>
    </row>
    <row r="36" spans="1:5" x14ac:dyDescent="0.25">
      <c r="A36">
        <v>6.2858083127624997</v>
      </c>
      <c r="B36">
        <v>0</v>
      </c>
      <c r="C36">
        <f t="shared" si="0"/>
        <v>3.9388958943616901E-4</v>
      </c>
      <c r="D36">
        <f t="shared" si="1"/>
        <v>-3.9388958943616901E-4</v>
      </c>
      <c r="E36">
        <f t="shared" si="2"/>
        <v>1.5514900866619378E-7</v>
      </c>
    </row>
    <row r="37" spans="1:5" x14ac:dyDescent="0.25">
      <c r="A37">
        <v>6.462873239037501</v>
      </c>
      <c r="B37">
        <v>0</v>
      </c>
      <c r="C37">
        <f t="shared" si="0"/>
        <v>2.9979913644058925E-4</v>
      </c>
      <c r="D37">
        <f t="shared" si="1"/>
        <v>-2.9979913644058925E-4</v>
      </c>
      <c r="E37">
        <f t="shared" si="2"/>
        <v>8.9879522210523046E-8</v>
      </c>
    </row>
    <row r="38" spans="1:5" x14ac:dyDescent="0.25">
      <c r="A38">
        <v>6.6399381653125005</v>
      </c>
      <c r="B38">
        <v>0</v>
      </c>
      <c r="C38">
        <f t="shared" si="0"/>
        <v>2.2782410274553371E-4</v>
      </c>
      <c r="D38">
        <f t="shared" si="1"/>
        <v>-2.2782410274553371E-4</v>
      </c>
      <c r="E38">
        <f t="shared" si="2"/>
        <v>5.1903821791807503E-8</v>
      </c>
    </row>
    <row r="39" spans="1:5" x14ac:dyDescent="0.25">
      <c r="A39">
        <v>6.8170030915875</v>
      </c>
      <c r="B39">
        <v>0</v>
      </c>
      <c r="C39">
        <f t="shared" si="0"/>
        <v>1.7286185813919632E-4</v>
      </c>
      <c r="D39">
        <f t="shared" si="1"/>
        <v>-1.7286185813919632E-4</v>
      </c>
      <c r="E39">
        <f t="shared" si="2"/>
        <v>2.9881221999335634E-8</v>
      </c>
    </row>
    <row r="40" spans="1:5" x14ac:dyDescent="0.25">
      <c r="A40">
        <v>6.9940680178624994</v>
      </c>
      <c r="B40">
        <v>3.5526488471192708E-4</v>
      </c>
      <c r="C40">
        <f t="shared" si="0"/>
        <v>1.3096185427716891E-4</v>
      </c>
      <c r="D40">
        <f t="shared" si="1"/>
        <v>2.2430303043475817E-4</v>
      </c>
      <c r="E40">
        <f t="shared" si="2"/>
        <v>5.0311849462216048E-8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F24C-6969-4946-9B5E-960EA7FC7E1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8.6720060225000006E-2</v>
      </c>
      <c r="B1">
        <v>0.63102410963365874</v>
      </c>
      <c r="C1">
        <f>$H$3*(1+$H$1)*(A1^($H$1))*EXP(-$H$3*(A1^(1+$H$1)))</f>
        <v>0.61814561777729382</v>
      </c>
      <c r="D1">
        <f>B1-C1</f>
        <v>1.2878491856364915E-2</v>
      </c>
      <c r="E1">
        <f>D1^2</f>
        <v>1.6585555249445746E-4</v>
      </c>
      <c r="G1" t="s">
        <v>0</v>
      </c>
      <c r="H1">
        <v>0.22856115016823139</v>
      </c>
    </row>
    <row r="2" spans="1:8" x14ac:dyDescent="0.25">
      <c r="A2">
        <v>0.25946878867500001</v>
      </c>
      <c r="B2">
        <v>0.66923491212012598</v>
      </c>
      <c r="C2">
        <f t="shared" ref="C2:C40" si="0">$H$3*(1+$H$1)*(A2^($H$1))*EXP(-$H$3*(A2^(1+$H$1)))</f>
        <v>0.69738494082353075</v>
      </c>
      <c r="D2">
        <f t="shared" ref="D2:D40" si="1">B2-C2</f>
        <v>-2.8150028703404772E-2</v>
      </c>
      <c r="E2">
        <f t="shared" ref="E2:E40" si="2">D2^2</f>
        <v>7.9242411600251262E-4</v>
      </c>
    </row>
    <row r="3" spans="1:8" x14ac:dyDescent="0.25">
      <c r="A3">
        <v>0.43221751712499995</v>
      </c>
      <c r="B3">
        <v>0.6099171901649435</v>
      </c>
      <c r="C3">
        <f t="shared" si="0"/>
        <v>0.67244321051668166</v>
      </c>
      <c r="D3">
        <f t="shared" si="1"/>
        <v>-6.2526020351738154E-2</v>
      </c>
      <c r="E3">
        <f t="shared" si="2"/>
        <v>3.9095032210259735E-3</v>
      </c>
      <c r="G3" t="s">
        <v>1</v>
      </c>
      <c r="H3">
        <f>(_xlfn.GAMMA((2+$H$1)/(1+$H$1)))^(1+$H$1)</f>
        <v>0.92094493215481499</v>
      </c>
    </row>
    <row r="4" spans="1:8" x14ac:dyDescent="0.25">
      <c r="A4">
        <v>0.60496624557500001</v>
      </c>
      <c r="B4">
        <v>0.69143356880274032</v>
      </c>
      <c r="C4">
        <f t="shared" si="0"/>
        <v>0.61381443986008499</v>
      </c>
      <c r="D4">
        <f t="shared" si="1"/>
        <v>7.7619128942655324E-2</v>
      </c>
      <c r="E4">
        <f t="shared" si="2"/>
        <v>6.0247291778165535E-3</v>
      </c>
    </row>
    <row r="5" spans="1:8" x14ac:dyDescent="0.25">
      <c r="A5">
        <v>0.77771497402500001</v>
      </c>
      <c r="B5">
        <v>0.60081938004911806</v>
      </c>
      <c r="C5">
        <f t="shared" si="0"/>
        <v>0.54323728518317216</v>
      </c>
      <c r="D5">
        <f t="shared" si="1"/>
        <v>5.7582094865945899E-2</v>
      </c>
      <c r="E5">
        <f t="shared" si="2"/>
        <v>3.3156976491507928E-3</v>
      </c>
      <c r="G5" t="s">
        <v>2</v>
      </c>
      <c r="H5">
        <f>SUM(E1:E40)</f>
        <v>1.9005509385551376E-2</v>
      </c>
    </row>
    <row r="6" spans="1:8" x14ac:dyDescent="0.25">
      <c r="A6">
        <v>0.95046370247500001</v>
      </c>
      <c r="B6">
        <v>0.47563351285535871</v>
      </c>
      <c r="C6">
        <f t="shared" si="0"/>
        <v>0.47079025193915014</v>
      </c>
      <c r="D6">
        <f t="shared" si="1"/>
        <v>4.8432609162085694E-3</v>
      </c>
      <c r="E6">
        <f t="shared" si="2"/>
        <v>2.3457176302473471E-5</v>
      </c>
    </row>
    <row r="7" spans="1:8" x14ac:dyDescent="0.25">
      <c r="A7">
        <v>1.1232124309249998</v>
      </c>
      <c r="B7">
        <v>0.36645979146545238</v>
      </c>
      <c r="C7">
        <f t="shared" si="0"/>
        <v>0.40163555330335976</v>
      </c>
      <c r="D7">
        <f t="shared" si="1"/>
        <v>-3.5175761837907382E-2</v>
      </c>
      <c r="E7">
        <f t="shared" si="2"/>
        <v>1.2373342208771814E-3</v>
      </c>
    </row>
    <row r="8" spans="1:8" x14ac:dyDescent="0.25">
      <c r="A8">
        <v>1.295961159375</v>
      </c>
      <c r="B8">
        <v>0.30168338344077456</v>
      </c>
      <c r="C8">
        <f t="shared" si="0"/>
        <v>0.3383670920130421</v>
      </c>
      <c r="D8">
        <f t="shared" si="1"/>
        <v>-3.6683708572267548E-2</v>
      </c>
      <c r="E8">
        <f t="shared" si="2"/>
        <v>1.3456944746150555E-3</v>
      </c>
    </row>
    <row r="9" spans="1:8" x14ac:dyDescent="0.25">
      <c r="A9">
        <v>1.4687098878250002</v>
      </c>
      <c r="B9">
        <v>0.24818825995972046</v>
      </c>
      <c r="C9">
        <f t="shared" si="0"/>
        <v>0.28210766131591886</v>
      </c>
      <c r="D9">
        <f t="shared" si="1"/>
        <v>-3.3919401356198392E-2</v>
      </c>
      <c r="E9">
        <f t="shared" si="2"/>
        <v>1.1505257883628734E-3</v>
      </c>
    </row>
    <row r="10" spans="1:8" x14ac:dyDescent="0.25">
      <c r="A10">
        <v>1.641458616275</v>
      </c>
      <c r="B10">
        <v>0.22235047923077597</v>
      </c>
      <c r="C10">
        <f t="shared" si="0"/>
        <v>0.2331113116162499</v>
      </c>
      <c r="D10">
        <f t="shared" si="1"/>
        <v>-1.0760832385473929E-2</v>
      </c>
      <c r="E10">
        <f t="shared" si="2"/>
        <v>1.1579551362826453E-4</v>
      </c>
    </row>
    <row r="11" spans="1:8" x14ac:dyDescent="0.25">
      <c r="A11">
        <v>1.8142073447250002</v>
      </c>
      <c r="B11">
        <v>0.17249447979605206</v>
      </c>
      <c r="C11">
        <f t="shared" si="0"/>
        <v>0.19112463944258978</v>
      </c>
      <c r="D11">
        <f t="shared" si="1"/>
        <v>-1.8630159646537719E-2</v>
      </c>
      <c r="E11">
        <f t="shared" si="2"/>
        <v>3.4708284845548243E-4</v>
      </c>
    </row>
    <row r="12" spans="1:8" x14ac:dyDescent="0.25">
      <c r="A12">
        <v>1.986956073175</v>
      </c>
      <c r="B12">
        <v>0.14520104944857545</v>
      </c>
      <c r="C12">
        <f t="shared" si="0"/>
        <v>0.15561336130175871</v>
      </c>
      <c r="D12">
        <f t="shared" si="1"/>
        <v>-1.0412311853183254E-2</v>
      </c>
      <c r="E12">
        <f t="shared" si="2"/>
        <v>1.0841623812794049E-4</v>
      </c>
    </row>
    <row r="13" spans="1:8" x14ac:dyDescent="0.25">
      <c r="A13">
        <v>2.1597048016249998</v>
      </c>
      <c r="B13">
        <v>0.13464758971421784</v>
      </c>
      <c r="C13">
        <f t="shared" si="0"/>
        <v>0.12590669868179138</v>
      </c>
      <c r="D13">
        <f t="shared" si="1"/>
        <v>8.740891032426451E-3</v>
      </c>
      <c r="E13">
        <f t="shared" si="2"/>
        <v>7.6403176040753149E-5</v>
      </c>
    </row>
    <row r="14" spans="1:8" x14ac:dyDescent="0.25">
      <c r="A14">
        <v>2.332453530075</v>
      </c>
      <c r="B14">
        <v>9.7164612037016665E-2</v>
      </c>
      <c r="C14">
        <f t="shared" si="0"/>
        <v>0.10128889873011682</v>
      </c>
      <c r="D14">
        <f t="shared" si="1"/>
        <v>-4.1242866931001515E-3</v>
      </c>
      <c r="E14">
        <f t="shared" si="2"/>
        <v>1.7009740726882984E-5</v>
      </c>
    </row>
    <row r="15" spans="1:8" x14ac:dyDescent="0.25">
      <c r="A15">
        <v>2.5052022585250002</v>
      </c>
      <c r="B15">
        <v>7.9332904209998625E-2</v>
      </c>
      <c r="C15">
        <f t="shared" si="0"/>
        <v>8.1055774694019006E-2</v>
      </c>
      <c r="D15">
        <f t="shared" si="1"/>
        <v>-1.7228704840203807E-3</v>
      </c>
      <c r="E15">
        <f t="shared" si="2"/>
        <v>2.968282704708621E-6</v>
      </c>
    </row>
    <row r="16" spans="1:8" x14ac:dyDescent="0.25">
      <c r="A16">
        <v>2.6779509869750004</v>
      </c>
      <c r="B16">
        <v>7.5329867759035385E-2</v>
      </c>
      <c r="C16">
        <f t="shared" si="0"/>
        <v>6.4547846790586713E-2</v>
      </c>
      <c r="D16">
        <f t="shared" si="1"/>
        <v>1.0782020968448672E-2</v>
      </c>
      <c r="E16">
        <f t="shared" si="2"/>
        <v>1.1625197616406684E-4</v>
      </c>
    </row>
    <row r="17" spans="1:5" x14ac:dyDescent="0.25">
      <c r="A17">
        <v>2.8506997154249998</v>
      </c>
      <c r="B17">
        <v>5.8953809550549435E-2</v>
      </c>
      <c r="C17">
        <f t="shared" si="0"/>
        <v>5.1167869834791546E-2</v>
      </c>
      <c r="D17">
        <f t="shared" si="1"/>
        <v>7.7859397157578891E-3</v>
      </c>
      <c r="E17">
        <f t="shared" si="2"/>
        <v>6.062085725741604E-5</v>
      </c>
    </row>
    <row r="18" spans="1:5" x14ac:dyDescent="0.25">
      <c r="A18">
        <v>3.023448443875</v>
      </c>
      <c r="B18">
        <v>4.2213838937430463E-2</v>
      </c>
      <c r="C18">
        <f t="shared" si="0"/>
        <v>4.0388093157537955E-2</v>
      </c>
      <c r="D18">
        <f t="shared" si="1"/>
        <v>1.8257457798925084E-3</v>
      </c>
      <c r="E18">
        <f t="shared" si="2"/>
        <v>3.3333476527953038E-6</v>
      </c>
    </row>
    <row r="19" spans="1:5" x14ac:dyDescent="0.25">
      <c r="A19">
        <v>3.1961971723250002</v>
      </c>
      <c r="B19">
        <v>4.4397313365228584E-2</v>
      </c>
      <c r="C19">
        <f t="shared" si="0"/>
        <v>3.1750953754594989E-2</v>
      </c>
      <c r="D19">
        <f t="shared" si="1"/>
        <v>1.2646359610633595E-2</v>
      </c>
      <c r="E19">
        <f t="shared" si="2"/>
        <v>1.599304114014647E-4</v>
      </c>
    </row>
    <row r="20" spans="1:5" x14ac:dyDescent="0.25">
      <c r="A20">
        <v>3.368945900775</v>
      </c>
      <c r="B20">
        <v>2.7657342752109612E-2</v>
      </c>
      <c r="C20">
        <f t="shared" si="0"/>
        <v>2.4865762062869633E-2</v>
      </c>
      <c r="D20">
        <f t="shared" si="1"/>
        <v>2.7915806892399794E-3</v>
      </c>
      <c r="E20">
        <f t="shared" si="2"/>
        <v>7.7929227445375592E-6</v>
      </c>
    </row>
    <row r="21" spans="1:5" x14ac:dyDescent="0.25">
      <c r="A21">
        <v>3.5416946292250002</v>
      </c>
      <c r="B21">
        <v>2.0379094659449187E-2</v>
      </c>
      <c r="C21">
        <f t="shared" si="0"/>
        <v>1.9403133971002063E-2</v>
      </c>
      <c r="D21">
        <f t="shared" si="1"/>
        <v>9.7596068844712364E-4</v>
      </c>
      <c r="E21">
        <f t="shared" si="2"/>
        <v>9.5249926539418348E-7</v>
      </c>
    </row>
    <row r="22" spans="1:5" x14ac:dyDescent="0.25">
      <c r="A22">
        <v>3.714443357675</v>
      </c>
      <c r="B22">
        <v>1.7103883017751998E-2</v>
      </c>
      <c r="C22">
        <f t="shared" si="0"/>
        <v>1.508834987457029E-2</v>
      </c>
      <c r="D22">
        <f t="shared" si="1"/>
        <v>2.0155331431817077E-3</v>
      </c>
      <c r="E22">
        <f t="shared" si="2"/>
        <v>4.0623738512639342E-6</v>
      </c>
    </row>
    <row r="23" spans="1:5" x14ac:dyDescent="0.25">
      <c r="A23">
        <v>3.8871920861249998</v>
      </c>
      <c r="B23">
        <v>1.3828671376054806E-2</v>
      </c>
      <c r="C23">
        <f t="shared" si="0"/>
        <v>1.1694414603112747E-2</v>
      </c>
      <c r="D23">
        <f t="shared" si="1"/>
        <v>2.1342567729420586E-3</v>
      </c>
      <c r="E23">
        <f t="shared" si="2"/>
        <v>4.5550519728490502E-6</v>
      </c>
    </row>
    <row r="24" spans="1:5" x14ac:dyDescent="0.25">
      <c r="A24">
        <v>4.0599408145749996</v>
      </c>
      <c r="B24">
        <v>1.1645196948256678E-2</v>
      </c>
      <c r="C24">
        <f t="shared" si="0"/>
        <v>9.0353047745164623E-3</v>
      </c>
      <c r="D24">
        <f t="shared" si="1"/>
        <v>2.6098921737402157E-3</v>
      </c>
      <c r="E24">
        <f t="shared" si="2"/>
        <v>6.8115371585504285E-6</v>
      </c>
    </row>
    <row r="25" spans="1:5" x14ac:dyDescent="0.25">
      <c r="A25">
        <v>4.2326895430249998</v>
      </c>
      <c r="B25">
        <v>7.6421604972934454E-3</v>
      </c>
      <c r="C25">
        <f t="shared" si="0"/>
        <v>6.959689815799675E-3</v>
      </c>
      <c r="D25">
        <f t="shared" si="1"/>
        <v>6.824706814937704E-4</v>
      </c>
      <c r="E25">
        <f t="shared" si="2"/>
        <v>4.657662310985714E-7</v>
      </c>
    </row>
    <row r="26" spans="1:5" x14ac:dyDescent="0.25">
      <c r="A26">
        <v>4.405438271475</v>
      </c>
      <c r="B26">
        <v>5.822598474128339E-3</v>
      </c>
      <c r="C26">
        <f t="shared" si="0"/>
        <v>5.3452757226266209E-3</v>
      </c>
      <c r="D26">
        <f t="shared" si="1"/>
        <v>4.7732275150171814E-4</v>
      </c>
      <c r="E26">
        <f t="shared" si="2"/>
        <v>2.2783700910117098E-7</v>
      </c>
    </row>
    <row r="27" spans="1:5" x14ac:dyDescent="0.25">
      <c r="A27">
        <v>4.5781869999250002</v>
      </c>
      <c r="B27">
        <v>6.5504232833943814E-3</v>
      </c>
      <c r="C27">
        <f t="shared" si="0"/>
        <v>4.0938290894375721E-3</v>
      </c>
      <c r="D27">
        <f t="shared" si="1"/>
        <v>2.4565941939568093E-3</v>
      </c>
      <c r="E27">
        <f t="shared" si="2"/>
        <v>6.0348550337823055E-6</v>
      </c>
    </row>
    <row r="28" spans="1:5" x14ac:dyDescent="0.25">
      <c r="A28">
        <v>4.7509357283750004</v>
      </c>
      <c r="B28">
        <v>2.9112992370641695E-3</v>
      </c>
      <c r="C28">
        <f t="shared" si="0"/>
        <v>3.1268800585856557E-3</v>
      </c>
      <c r="D28">
        <f t="shared" si="1"/>
        <v>-2.1558082152148619E-4</v>
      </c>
      <c r="E28">
        <f t="shared" si="2"/>
        <v>4.6475090607878885E-8</v>
      </c>
    </row>
    <row r="29" spans="1:5" x14ac:dyDescent="0.25">
      <c r="A29">
        <v>4.9236844568250007</v>
      </c>
      <c r="B29">
        <v>2.9112992370641695E-3</v>
      </c>
      <c r="C29">
        <f t="shared" si="0"/>
        <v>2.382067013293123E-3</v>
      </c>
      <c r="D29">
        <f t="shared" si="1"/>
        <v>5.2923222377104654E-4</v>
      </c>
      <c r="E29">
        <f t="shared" si="2"/>
        <v>2.8008674667764707E-7</v>
      </c>
    </row>
    <row r="30" spans="1:5" x14ac:dyDescent="0.25">
      <c r="A30">
        <v>5.096433185275</v>
      </c>
      <c r="B30">
        <v>1.8195620231651059E-3</v>
      </c>
      <c r="C30">
        <f t="shared" si="0"/>
        <v>1.8100660052123537E-3</v>
      </c>
      <c r="D30">
        <f t="shared" si="1"/>
        <v>9.4960179527522458E-6</v>
      </c>
      <c r="E30">
        <f t="shared" si="2"/>
        <v>9.0174356958992959E-11</v>
      </c>
    </row>
    <row r="31" spans="1:5" x14ac:dyDescent="0.25">
      <c r="A31">
        <v>5.2691819137250002</v>
      </c>
      <c r="B31">
        <v>1.0917372138990636E-3</v>
      </c>
      <c r="C31">
        <f t="shared" si="0"/>
        <v>1.3720388948194678E-3</v>
      </c>
      <c r="D31">
        <f t="shared" si="1"/>
        <v>-2.8030168092040421E-4</v>
      </c>
      <c r="E31">
        <f t="shared" si="2"/>
        <v>7.8569032326804095E-8</v>
      </c>
    </row>
    <row r="32" spans="1:5" x14ac:dyDescent="0.25">
      <c r="A32">
        <v>5.4419306421750004</v>
      </c>
      <c r="B32">
        <v>1.0917372138990636E-3</v>
      </c>
      <c r="C32">
        <f t="shared" si="0"/>
        <v>1.037532255434276E-3</v>
      </c>
      <c r="D32">
        <f t="shared" si="1"/>
        <v>5.4204958464787543E-5</v>
      </c>
      <c r="E32">
        <f t="shared" si="2"/>
        <v>2.9381775221693428E-9</v>
      </c>
    </row>
    <row r="33" spans="1:5" x14ac:dyDescent="0.25">
      <c r="A33">
        <v>5.6146793706249998</v>
      </c>
      <c r="B33">
        <v>0</v>
      </c>
      <c r="C33">
        <f t="shared" si="0"/>
        <v>7.8276158611705103E-4</v>
      </c>
      <c r="D33">
        <f t="shared" si="1"/>
        <v>-7.8276158611705103E-4</v>
      </c>
      <c r="E33">
        <f t="shared" si="2"/>
        <v>6.1271570070048149E-7</v>
      </c>
    </row>
    <row r="34" spans="1:5" x14ac:dyDescent="0.25">
      <c r="A34">
        <v>5.7874280990749991</v>
      </c>
      <c r="B34">
        <v>1.0917372138990636E-3</v>
      </c>
      <c r="C34">
        <f t="shared" si="0"/>
        <v>5.8922043044868852E-4</v>
      </c>
      <c r="D34">
        <f t="shared" si="1"/>
        <v>5.0251678345037505E-4</v>
      </c>
      <c r="E34">
        <f t="shared" si="2"/>
        <v>2.5252311764931112E-7</v>
      </c>
    </row>
    <row r="35" spans="1:5" x14ac:dyDescent="0.25">
      <c r="A35">
        <v>5.9601768275250002</v>
      </c>
      <c r="B35">
        <v>3.6391240463302119E-4</v>
      </c>
      <c r="C35">
        <f t="shared" si="0"/>
        <v>4.4256033137463676E-4</v>
      </c>
      <c r="D35">
        <f t="shared" si="1"/>
        <v>-7.8647926741615571E-5</v>
      </c>
      <c r="E35">
        <f t="shared" si="2"/>
        <v>6.1854963807545295E-9</v>
      </c>
    </row>
    <row r="36" spans="1:5" x14ac:dyDescent="0.25">
      <c r="A36">
        <v>6.1329255559750004</v>
      </c>
      <c r="B36">
        <v>0</v>
      </c>
      <c r="C36">
        <f t="shared" si="0"/>
        <v>3.3169431981589246E-4</v>
      </c>
      <c r="D36">
        <f t="shared" si="1"/>
        <v>-3.3169431981589246E-4</v>
      </c>
      <c r="E36">
        <f t="shared" si="2"/>
        <v>1.1002112179812755E-7</v>
      </c>
    </row>
    <row r="37" spans="1:5" x14ac:dyDescent="0.25">
      <c r="A37">
        <v>6.3056742844250007</v>
      </c>
      <c r="B37">
        <v>0</v>
      </c>
      <c r="C37">
        <f t="shared" si="0"/>
        <v>2.4808329741922409E-4</v>
      </c>
      <c r="D37">
        <f t="shared" si="1"/>
        <v>-2.4808329741922409E-4</v>
      </c>
      <c r="E37">
        <f t="shared" si="2"/>
        <v>6.1545322458395202E-8</v>
      </c>
    </row>
    <row r="38" spans="1:5" x14ac:dyDescent="0.25">
      <c r="A38">
        <v>6.478423012875</v>
      </c>
      <c r="B38">
        <v>0</v>
      </c>
      <c r="C38">
        <f t="shared" si="0"/>
        <v>1.8517090961006616E-4</v>
      </c>
      <c r="D38">
        <f t="shared" si="1"/>
        <v>-1.8517090961006616E-4</v>
      </c>
      <c r="E38">
        <f t="shared" si="2"/>
        <v>3.4288265765819293E-8</v>
      </c>
    </row>
    <row r="39" spans="1:5" x14ac:dyDescent="0.25">
      <c r="A39">
        <v>6.6511717413249993</v>
      </c>
      <c r="B39">
        <v>0</v>
      </c>
      <c r="C39">
        <f t="shared" si="0"/>
        <v>1.3793814191514545E-4</v>
      </c>
      <c r="D39">
        <f t="shared" si="1"/>
        <v>-1.3793814191514545E-4</v>
      </c>
      <c r="E39">
        <f t="shared" si="2"/>
        <v>1.9026930995002807E-8</v>
      </c>
    </row>
    <row r="40" spans="1:5" x14ac:dyDescent="0.25">
      <c r="A40">
        <v>6.8239204697750004</v>
      </c>
      <c r="B40">
        <v>3.6391240463302119E-4</v>
      </c>
      <c r="C40">
        <f t="shared" si="0"/>
        <v>1.0255383886462637E-4</v>
      </c>
      <c r="D40">
        <f t="shared" si="1"/>
        <v>2.6135856576839481E-4</v>
      </c>
      <c r="E40">
        <f t="shared" si="2"/>
        <v>6.8308299900512349E-8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1FD7-D6CC-456F-B1E6-36A7C54D99C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8.4432575537500013E-2</v>
      </c>
      <c r="B1">
        <v>0.58187883093332682</v>
      </c>
      <c r="C1">
        <f>$H$3*(1+$H$1)*(A1^($H$1))*EXP(-$H$3*(A1^(1+$H$1)))</f>
        <v>0.57786578996627191</v>
      </c>
      <c r="D1">
        <f>B1-C1</f>
        <v>4.0130409670549039E-3</v>
      </c>
      <c r="E1">
        <f>D1^2</f>
        <v>1.6104497803260958E-5</v>
      </c>
      <c r="G1" t="s">
        <v>0</v>
      </c>
      <c r="H1">
        <v>0.26242931287959675</v>
      </c>
    </row>
    <row r="2" spans="1:8" x14ac:dyDescent="0.25">
      <c r="A2">
        <v>0.25314652661250003</v>
      </c>
      <c r="B2">
        <v>0.68991011196448226</v>
      </c>
      <c r="C2">
        <f t="shared" ref="C2:C40" si="0">$H$3*(1+$H$1)*(A2^($H$1))*EXP(-$H$3*(A2^(1+$H$1)))</f>
        <v>0.68321434905634082</v>
      </c>
      <c r="D2">
        <f t="shared" ref="D2:D40" si="1">B2-C2</f>
        <v>6.6957629081414449E-3</v>
      </c>
      <c r="E2">
        <f t="shared" ref="E2:E40" si="2">D2^2</f>
        <v>4.4833240922042782E-5</v>
      </c>
    </row>
    <row r="3" spans="1:8" x14ac:dyDescent="0.25">
      <c r="A3">
        <v>0.42186047768750001</v>
      </c>
      <c r="B3">
        <v>0.62769899495688586</v>
      </c>
      <c r="C3">
        <f t="shared" si="0"/>
        <v>0.67527818936419082</v>
      </c>
      <c r="D3">
        <f t="shared" si="1"/>
        <v>-4.7579194407304959E-2</v>
      </c>
      <c r="E3">
        <f t="shared" si="2"/>
        <v>2.2637797404481195E-3</v>
      </c>
      <c r="G3" t="s">
        <v>1</v>
      </c>
      <c r="H3">
        <f>(_xlfn.GAMMA((2+$H$1)/(1+$H$1)))^(1+$H$1)</f>
        <v>0.9116097834920428</v>
      </c>
    </row>
    <row r="4" spans="1:8" x14ac:dyDescent="0.25">
      <c r="A4">
        <v>0.5905744287625001</v>
      </c>
      <c r="B4">
        <v>0.59454456733008298</v>
      </c>
      <c r="C4">
        <f t="shared" si="0"/>
        <v>0.62713480586609716</v>
      </c>
      <c r="D4">
        <f t="shared" si="1"/>
        <v>-3.2590238536014171E-2</v>
      </c>
      <c r="E4">
        <f t="shared" si="2"/>
        <v>1.062123647834303E-3</v>
      </c>
    </row>
    <row r="5" spans="1:8" x14ac:dyDescent="0.25">
      <c r="A5">
        <v>0.75928837983750008</v>
      </c>
      <c r="B5">
        <v>0.64334490462346694</v>
      </c>
      <c r="C5">
        <f t="shared" si="0"/>
        <v>0.56231670748138274</v>
      </c>
      <c r="D5">
        <f t="shared" si="1"/>
        <v>8.1028197142084202E-2</v>
      </c>
      <c r="E5">
        <f t="shared" si="2"/>
        <v>6.5655687320964624E-3</v>
      </c>
      <c r="G5" t="s">
        <v>2</v>
      </c>
      <c r="H5">
        <f>SUM(E1:E40)</f>
        <v>1.5080042567945689E-2</v>
      </c>
    </row>
    <row r="6" spans="1:8" x14ac:dyDescent="0.25">
      <c r="A6">
        <v>0.92800233091250006</v>
      </c>
      <c r="B6">
        <v>0.53233345032248658</v>
      </c>
      <c r="C6">
        <f t="shared" si="0"/>
        <v>0.49230186502915996</v>
      </c>
      <c r="D6">
        <f t="shared" si="1"/>
        <v>4.0031585293326621E-2</v>
      </c>
      <c r="E6">
        <f t="shared" si="2"/>
        <v>1.6025278210968841E-3</v>
      </c>
    </row>
    <row r="7" spans="1:8" x14ac:dyDescent="0.25">
      <c r="A7">
        <v>1.0967162819874998</v>
      </c>
      <c r="B7">
        <v>0.41200895455330311</v>
      </c>
      <c r="C7">
        <f t="shared" si="0"/>
        <v>0.42334278461062314</v>
      </c>
      <c r="D7">
        <f t="shared" si="1"/>
        <v>-1.1333830057320027E-2</v>
      </c>
      <c r="E7">
        <f t="shared" si="2"/>
        <v>1.2845570376821089E-4</v>
      </c>
    </row>
    <row r="8" spans="1:8" x14ac:dyDescent="0.25">
      <c r="A8">
        <v>1.2654302330624998</v>
      </c>
      <c r="B8">
        <v>0.33787714446640682</v>
      </c>
      <c r="C8">
        <f t="shared" si="0"/>
        <v>0.35886129680805356</v>
      </c>
      <c r="D8">
        <f t="shared" si="1"/>
        <v>-2.0984152341646745E-2</v>
      </c>
      <c r="E8">
        <f t="shared" si="2"/>
        <v>4.4033464949743854E-4</v>
      </c>
    </row>
    <row r="9" spans="1:8" x14ac:dyDescent="0.25">
      <c r="A9">
        <v>1.4341441841375</v>
      </c>
      <c r="B9">
        <v>0.26635298599060736</v>
      </c>
      <c r="C9">
        <f t="shared" si="0"/>
        <v>0.30058863532954833</v>
      </c>
      <c r="D9">
        <f t="shared" si="1"/>
        <v>-3.4235649338940966E-2</v>
      </c>
      <c r="E9">
        <f t="shared" si="2"/>
        <v>1.1720796856589291E-3</v>
      </c>
    </row>
    <row r="10" spans="1:8" x14ac:dyDescent="0.25">
      <c r="A10">
        <v>1.6028581352125</v>
      </c>
      <c r="B10">
        <v>0.22314047357814518</v>
      </c>
      <c r="C10">
        <f t="shared" si="0"/>
        <v>0.24920932032670762</v>
      </c>
      <c r="D10">
        <f t="shared" si="1"/>
        <v>-2.6068846748562441E-2</v>
      </c>
      <c r="E10">
        <f t="shared" si="2"/>
        <v>6.7958477080003459E-4</v>
      </c>
    </row>
    <row r="11" spans="1:8" x14ac:dyDescent="0.25">
      <c r="A11">
        <v>1.7715720862875</v>
      </c>
      <c r="B11">
        <v>0.19110361092752667</v>
      </c>
      <c r="C11">
        <f t="shared" si="0"/>
        <v>0.20476080630447485</v>
      </c>
      <c r="D11">
        <f t="shared" si="1"/>
        <v>-1.3657195376948178E-2</v>
      </c>
      <c r="E11">
        <f t="shared" si="2"/>
        <v>1.8651898556413469E-4</v>
      </c>
    </row>
    <row r="12" spans="1:8" x14ac:dyDescent="0.25">
      <c r="A12">
        <v>1.9402860373624999</v>
      </c>
      <c r="B12">
        <v>0.14267579529287078</v>
      </c>
      <c r="C12">
        <f t="shared" si="0"/>
        <v>0.166893697217328</v>
      </c>
      <c r="D12">
        <f t="shared" si="1"/>
        <v>-2.4217901924457219E-2</v>
      </c>
      <c r="E12">
        <f t="shared" si="2"/>
        <v>5.8650677362262872E-4</v>
      </c>
    </row>
    <row r="13" spans="1:8" x14ac:dyDescent="0.25">
      <c r="A13">
        <v>2.1089999884374997</v>
      </c>
      <c r="B13">
        <v>0.13336275382466772</v>
      </c>
      <c r="C13">
        <f t="shared" si="0"/>
        <v>0.13504434811134419</v>
      </c>
      <c r="D13">
        <f t="shared" si="1"/>
        <v>-1.6815942866764688E-3</v>
      </c>
      <c r="E13">
        <f t="shared" si="2"/>
        <v>2.8277593449829421E-6</v>
      </c>
    </row>
    <row r="14" spans="1:8" x14ac:dyDescent="0.25">
      <c r="A14">
        <v>2.2777139395124997</v>
      </c>
      <c r="B14">
        <v>0.11287406259462102</v>
      </c>
      <c r="C14">
        <f t="shared" si="0"/>
        <v>0.10854916836416593</v>
      </c>
      <c r="D14">
        <f t="shared" si="1"/>
        <v>4.3248942304550814E-3</v>
      </c>
      <c r="E14">
        <f t="shared" si="2"/>
        <v>1.8704710104623651E-5</v>
      </c>
    </row>
    <row r="15" spans="1:8" x14ac:dyDescent="0.25">
      <c r="A15">
        <v>2.4464278905874997</v>
      </c>
      <c r="B15">
        <v>8.1209721602730628E-2</v>
      </c>
      <c r="C15">
        <f t="shared" si="0"/>
        <v>8.6718941296088592E-2</v>
      </c>
      <c r="D15">
        <f t="shared" si="1"/>
        <v>-5.509219693357964E-3</v>
      </c>
      <c r="E15">
        <f t="shared" si="2"/>
        <v>3.0351501629683221E-5</v>
      </c>
    </row>
    <row r="16" spans="1:8" x14ac:dyDescent="0.25">
      <c r="A16">
        <v>2.6151418416625001</v>
      </c>
      <c r="B16">
        <v>7.450433174562443E-2</v>
      </c>
      <c r="C16">
        <f t="shared" si="0"/>
        <v>6.8885398067972919E-2</v>
      </c>
      <c r="D16">
        <f t="shared" si="1"/>
        <v>5.6189336776515109E-3</v>
      </c>
      <c r="E16">
        <f t="shared" si="2"/>
        <v>3.1572415673846331E-5</v>
      </c>
    </row>
    <row r="17" spans="1:5" x14ac:dyDescent="0.25">
      <c r="A17">
        <v>2.7838557927375001</v>
      </c>
      <c r="B17">
        <v>6.4446246959965134E-2</v>
      </c>
      <c r="C17">
        <f t="shared" si="0"/>
        <v>5.4428566933819394E-2</v>
      </c>
      <c r="D17">
        <f t="shared" si="1"/>
        <v>1.0017680026145739E-2</v>
      </c>
      <c r="E17">
        <f t="shared" si="2"/>
        <v>1.0035391310623931E-4</v>
      </c>
    </row>
    <row r="18" spans="1:5" x14ac:dyDescent="0.25">
      <c r="A18">
        <v>2.9525697438125</v>
      </c>
      <c r="B18">
        <v>4.6565207341015269E-2</v>
      </c>
      <c r="C18">
        <f t="shared" si="0"/>
        <v>4.2790961978011174E-2</v>
      </c>
      <c r="D18">
        <f t="shared" si="1"/>
        <v>3.7742453630040945E-3</v>
      </c>
      <c r="E18">
        <f t="shared" si="2"/>
        <v>1.4244928060157909E-5</v>
      </c>
    </row>
    <row r="19" spans="1:5" x14ac:dyDescent="0.25">
      <c r="A19">
        <v>3.1212836948874996</v>
      </c>
      <c r="B19">
        <v>4.2467469095005927E-2</v>
      </c>
      <c r="C19">
        <f t="shared" si="0"/>
        <v>3.3482962255840722E-2</v>
      </c>
      <c r="D19">
        <f t="shared" si="1"/>
        <v>8.9845068391652058E-3</v>
      </c>
      <c r="E19">
        <f t="shared" si="2"/>
        <v>8.0721363143006363E-5</v>
      </c>
    </row>
    <row r="20" spans="1:5" x14ac:dyDescent="0.25">
      <c r="A20">
        <v>3.2899976459625</v>
      </c>
      <c r="B20">
        <v>2.9056689380793529E-2</v>
      </c>
      <c r="C20">
        <f t="shared" si="0"/>
        <v>2.6082497863221206E-2</v>
      </c>
      <c r="D20">
        <f t="shared" si="1"/>
        <v>2.9741915175723228E-3</v>
      </c>
      <c r="E20">
        <f t="shared" si="2"/>
        <v>8.8458151831991576E-6</v>
      </c>
    </row>
    <row r="21" spans="1:5" x14ac:dyDescent="0.25">
      <c r="A21">
        <v>3.4587115970374995</v>
      </c>
      <c r="B21">
        <v>2.0488691230046718E-2</v>
      </c>
      <c r="C21">
        <f t="shared" si="0"/>
        <v>2.0231254763852773E-2</v>
      </c>
      <c r="D21">
        <f t="shared" si="1"/>
        <v>2.5743646619394434E-4</v>
      </c>
      <c r="E21">
        <f t="shared" si="2"/>
        <v>6.627353412642584E-8</v>
      </c>
    </row>
    <row r="22" spans="1:5" x14ac:dyDescent="0.25">
      <c r="A22">
        <v>3.6274255481125</v>
      </c>
      <c r="B22">
        <v>2.0116169571318596E-2</v>
      </c>
      <c r="C22">
        <f t="shared" si="0"/>
        <v>1.5628943258436712E-2</v>
      </c>
      <c r="D22">
        <f t="shared" si="1"/>
        <v>4.487226312881884E-3</v>
      </c>
      <c r="E22">
        <f t="shared" si="2"/>
        <v>2.0135199983019547E-5</v>
      </c>
    </row>
    <row r="23" spans="1:5" x14ac:dyDescent="0.25">
      <c r="A23">
        <v>3.7961394991874999</v>
      </c>
      <c r="B23">
        <v>1.2293214738028031E-2</v>
      </c>
      <c r="C23">
        <f t="shared" si="0"/>
        <v>1.2026684342427327E-2</v>
      </c>
      <c r="D23">
        <f t="shared" si="1"/>
        <v>2.6653039560070417E-4</v>
      </c>
      <c r="E23">
        <f t="shared" si="2"/>
        <v>7.1038451779067869E-8</v>
      </c>
    </row>
    <row r="24" spans="1:5" x14ac:dyDescent="0.25">
      <c r="A24">
        <v>3.9648534502624999</v>
      </c>
      <c r="B24">
        <v>1.3038258055484276E-2</v>
      </c>
      <c r="C24">
        <f t="shared" si="0"/>
        <v>9.2202101339190004E-3</v>
      </c>
      <c r="D24">
        <f t="shared" si="1"/>
        <v>3.8180479215652752E-3</v>
      </c>
      <c r="E24">
        <f t="shared" si="2"/>
        <v>1.4577489931368918E-5</v>
      </c>
    </row>
    <row r="25" spans="1:5" x14ac:dyDescent="0.25">
      <c r="A25">
        <v>4.1335674013374994</v>
      </c>
      <c r="B25">
        <v>8.1954764920186881E-3</v>
      </c>
      <c r="C25">
        <f t="shared" si="0"/>
        <v>7.0433165794127226E-3</v>
      </c>
      <c r="D25">
        <f t="shared" si="1"/>
        <v>1.1521599126059654E-3</v>
      </c>
      <c r="E25">
        <f t="shared" si="2"/>
        <v>1.3274724642161859E-6</v>
      </c>
    </row>
    <row r="26" spans="1:5" x14ac:dyDescent="0.25">
      <c r="A26">
        <v>4.3022813524124999</v>
      </c>
      <c r="B26">
        <v>6.3328681983780772E-3</v>
      </c>
      <c r="C26">
        <f t="shared" si="0"/>
        <v>5.3618240258097721E-3</v>
      </c>
      <c r="D26">
        <f t="shared" si="1"/>
        <v>9.7104417256830503E-4</v>
      </c>
      <c r="E26">
        <f t="shared" si="2"/>
        <v>9.4292678507886414E-7</v>
      </c>
    </row>
    <row r="27" spans="1:5" x14ac:dyDescent="0.25">
      <c r="A27">
        <v>4.4709953034875003</v>
      </c>
      <c r="B27">
        <v>4.8427815634655884E-3</v>
      </c>
      <c r="C27">
        <f t="shared" si="0"/>
        <v>4.0681749245149047E-3</v>
      </c>
      <c r="D27">
        <f t="shared" si="1"/>
        <v>7.7460663895068376E-4</v>
      </c>
      <c r="E27">
        <f t="shared" si="2"/>
        <v>6.00015445106475E-7</v>
      </c>
    </row>
    <row r="28" spans="1:5" x14ac:dyDescent="0.25">
      <c r="A28">
        <v>4.6397092545624989</v>
      </c>
      <c r="B28">
        <v>4.8427815634655884E-3</v>
      </c>
      <c r="C28">
        <f t="shared" si="0"/>
        <v>3.0767131917535783E-3</v>
      </c>
      <c r="D28">
        <f t="shared" si="1"/>
        <v>1.7660683717120101E-3</v>
      </c>
      <c r="E28">
        <f t="shared" si="2"/>
        <v>3.1189974935615107E-6</v>
      </c>
    </row>
    <row r="29" spans="1:5" x14ac:dyDescent="0.25">
      <c r="A29">
        <v>4.8084232056374994</v>
      </c>
      <c r="B29">
        <v>2.9801732698249775E-3</v>
      </c>
      <c r="C29">
        <f t="shared" si="0"/>
        <v>2.3196352682213982E-3</v>
      </c>
      <c r="D29">
        <f t="shared" si="1"/>
        <v>6.6053800160357926E-4</v>
      </c>
      <c r="E29">
        <f t="shared" si="2"/>
        <v>4.3631045156245006E-7</v>
      </c>
    </row>
    <row r="30" spans="1:5" x14ac:dyDescent="0.25">
      <c r="A30">
        <v>4.9771371567124998</v>
      </c>
      <c r="B30">
        <v>2.6076516110968553E-3</v>
      </c>
      <c r="C30">
        <f t="shared" si="0"/>
        <v>1.7435700634351695E-3</v>
      </c>
      <c r="D30">
        <f t="shared" si="1"/>
        <v>8.640815476616858E-4</v>
      </c>
      <c r="E30">
        <f t="shared" si="2"/>
        <v>7.4663692100941421E-7</v>
      </c>
    </row>
    <row r="31" spans="1:5" x14ac:dyDescent="0.25">
      <c r="A31">
        <v>5.1458511077875002</v>
      </c>
      <c r="B31">
        <v>1.8626082936406109E-3</v>
      </c>
      <c r="C31">
        <f t="shared" si="0"/>
        <v>1.3067272172539522E-3</v>
      </c>
      <c r="D31">
        <f t="shared" si="1"/>
        <v>5.5588107638665876E-4</v>
      </c>
      <c r="E31">
        <f t="shared" si="2"/>
        <v>3.0900377108479032E-7</v>
      </c>
    </row>
    <row r="32" spans="1:5" x14ac:dyDescent="0.25">
      <c r="A32">
        <v>5.3145650588624997</v>
      </c>
      <c r="B32">
        <v>0</v>
      </c>
      <c r="C32">
        <f t="shared" si="0"/>
        <v>9.7654560978475133E-4</v>
      </c>
      <c r="D32">
        <f t="shared" si="1"/>
        <v>-9.7654560978475133E-4</v>
      </c>
      <c r="E32">
        <f t="shared" si="2"/>
        <v>9.5364132798987177E-7</v>
      </c>
    </row>
    <row r="33" spans="1:5" x14ac:dyDescent="0.25">
      <c r="A33">
        <v>5.4832790099375002</v>
      </c>
      <c r="B33">
        <v>3.7252165872812219E-4</v>
      </c>
      <c r="C33">
        <f t="shared" si="0"/>
        <v>7.277732447496289E-4</v>
      </c>
      <c r="D33">
        <f t="shared" si="1"/>
        <v>-3.5525158602150672E-4</v>
      </c>
      <c r="E33">
        <f t="shared" si="2"/>
        <v>1.26203689370796E-7</v>
      </c>
    </row>
    <row r="34" spans="1:5" x14ac:dyDescent="0.25">
      <c r="A34">
        <v>5.6519929610124997</v>
      </c>
      <c r="B34">
        <v>1.1175649761843666E-3</v>
      </c>
      <c r="C34">
        <f t="shared" si="0"/>
        <v>5.4091296206138244E-4</v>
      </c>
      <c r="D34">
        <f t="shared" si="1"/>
        <v>5.7665201412298412E-4</v>
      </c>
      <c r="E34">
        <f t="shared" si="2"/>
        <v>3.3252754539209427E-7</v>
      </c>
    </row>
    <row r="35" spans="1:5" x14ac:dyDescent="0.25">
      <c r="A35">
        <v>5.8207069120875001</v>
      </c>
      <c r="B35">
        <v>3.7252165872812219E-4</v>
      </c>
      <c r="C35">
        <f t="shared" si="0"/>
        <v>4.0097410290209094E-4</v>
      </c>
      <c r="D35">
        <f t="shared" si="1"/>
        <v>-2.8452444173968756E-5</v>
      </c>
      <c r="E35">
        <f t="shared" si="2"/>
        <v>8.0954157947280862E-10</v>
      </c>
    </row>
    <row r="36" spans="1:5" x14ac:dyDescent="0.25">
      <c r="A36">
        <v>5.9894208631625006</v>
      </c>
      <c r="B36">
        <v>0</v>
      </c>
      <c r="C36">
        <f t="shared" si="0"/>
        <v>2.9647702278756119E-4</v>
      </c>
      <c r="D36">
        <f t="shared" si="1"/>
        <v>-2.9647702278756119E-4</v>
      </c>
      <c r="E36">
        <f t="shared" si="2"/>
        <v>8.789862504097608E-8</v>
      </c>
    </row>
    <row r="37" spans="1:5" x14ac:dyDescent="0.25">
      <c r="A37">
        <v>6.1581348142375001</v>
      </c>
      <c r="B37">
        <v>0</v>
      </c>
      <c r="C37">
        <f t="shared" si="0"/>
        <v>2.1866441069934601E-4</v>
      </c>
      <c r="D37">
        <f t="shared" si="1"/>
        <v>-2.1866441069934601E-4</v>
      </c>
      <c r="E37">
        <f t="shared" si="2"/>
        <v>4.7814124506492265E-8</v>
      </c>
    </row>
    <row r="38" spans="1:5" x14ac:dyDescent="0.25">
      <c r="A38">
        <v>6.3268487653124996</v>
      </c>
      <c r="B38">
        <v>0</v>
      </c>
      <c r="C38">
        <f t="shared" si="0"/>
        <v>1.608802132312632E-4</v>
      </c>
      <c r="D38">
        <f t="shared" si="1"/>
        <v>-1.608802132312632E-4</v>
      </c>
      <c r="E38">
        <f t="shared" si="2"/>
        <v>2.5882443009336717E-8</v>
      </c>
    </row>
    <row r="39" spans="1:5" x14ac:dyDescent="0.25">
      <c r="A39">
        <v>6.4955627163875</v>
      </c>
      <c r="B39">
        <v>0</v>
      </c>
      <c r="C39">
        <f t="shared" si="0"/>
        <v>1.1808328332451206E-4</v>
      </c>
      <c r="D39">
        <f t="shared" si="1"/>
        <v>-1.1808328332451206E-4</v>
      </c>
      <c r="E39">
        <f t="shared" si="2"/>
        <v>1.3943661800696988E-8</v>
      </c>
    </row>
    <row r="40" spans="1:5" x14ac:dyDescent="0.25">
      <c r="A40">
        <v>6.6642766674624996</v>
      </c>
      <c r="B40">
        <v>3.7252165872812219E-4</v>
      </c>
      <c r="C40">
        <f t="shared" si="0"/>
        <v>8.6468522243321396E-5</v>
      </c>
      <c r="D40">
        <f t="shared" si="1"/>
        <v>2.8605313648480076E-4</v>
      </c>
      <c r="E40">
        <f t="shared" si="2"/>
        <v>8.1826396892792051E-8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972B-1088-4393-B9FD-924612EF53A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8.3011330850000009E-2</v>
      </c>
      <c r="B1">
        <v>0.54512384593608321</v>
      </c>
      <c r="C1">
        <f>$H$3*(1+$H$1)*(A1^($H$1))*EXP(-$H$3*(A1^(1+$H$1)))</f>
        <v>0.54703127933389495</v>
      </c>
      <c r="D1">
        <f>B1-C1</f>
        <v>-1.9074333978117419E-3</v>
      </c>
      <c r="E1">
        <f>D1^2</f>
        <v>3.638302167087647E-6</v>
      </c>
      <c r="G1" t="s">
        <v>0</v>
      </c>
      <c r="H1">
        <v>0.28954884056729141</v>
      </c>
    </row>
    <row r="2" spans="1:8" x14ac:dyDescent="0.25">
      <c r="A2">
        <v>0.24803877455000004</v>
      </c>
      <c r="B2">
        <v>0.69711854511742299</v>
      </c>
      <c r="C2">
        <f t="shared" ref="C2:C40" si="0">$H$3*(1+$H$1)*(A2^($H$1))*EXP(-$H$3*(A2^(1+$H$1)))</f>
        <v>0.67057855057002103</v>
      </c>
      <c r="D2">
        <f t="shared" ref="D2:D40" si="1">B2-C2</f>
        <v>2.6539994547401968E-2</v>
      </c>
      <c r="E2">
        <f t="shared" ref="E2:E40" si="2">D2^2</f>
        <v>7.043713105761262E-4</v>
      </c>
    </row>
    <row r="3" spans="1:8" x14ac:dyDescent="0.25">
      <c r="A3">
        <v>0.41306621825000001</v>
      </c>
      <c r="B3">
        <v>0.63312077704106939</v>
      </c>
      <c r="C3">
        <f t="shared" si="0"/>
        <v>0.67615508612159403</v>
      </c>
      <c r="D3">
        <f t="shared" si="1"/>
        <v>-4.3034309080524635E-2</v>
      </c>
      <c r="E3">
        <f t="shared" si="2"/>
        <v>1.851951758038125E-3</v>
      </c>
      <c r="G3" t="s">
        <v>1</v>
      </c>
      <c r="H3">
        <f>(_xlfn.GAMMA((2+$H$1)/(1+$H$1)))^(1+$H$1)</f>
        <v>0.90447983362650386</v>
      </c>
    </row>
    <row r="4" spans="1:8" x14ac:dyDescent="0.25">
      <c r="A4">
        <v>0.57809366195</v>
      </c>
      <c r="B4">
        <v>0.5790274254527229</v>
      </c>
      <c r="C4">
        <f t="shared" si="0"/>
        <v>0.6370326532267675</v>
      </c>
      <c r="D4">
        <f t="shared" si="1"/>
        <v>-5.8005227774044599E-2</v>
      </c>
      <c r="E4">
        <f t="shared" si="2"/>
        <v>3.3646064491187951E-3</v>
      </c>
    </row>
    <row r="5" spans="1:8" x14ac:dyDescent="0.25">
      <c r="A5">
        <v>0.74312110565</v>
      </c>
      <c r="B5">
        <v>0.62054978688321427</v>
      </c>
      <c r="C5">
        <f t="shared" si="0"/>
        <v>0.57761957231954431</v>
      </c>
      <c r="D5">
        <f t="shared" si="1"/>
        <v>4.2930214563669966E-2</v>
      </c>
      <c r="E5">
        <f t="shared" si="2"/>
        <v>1.8430033224827408E-3</v>
      </c>
      <c r="G5" t="s">
        <v>2</v>
      </c>
      <c r="H5">
        <f>SUM(E1:E40)</f>
        <v>1.4351998168667482E-2</v>
      </c>
    </row>
    <row r="6" spans="1:8" x14ac:dyDescent="0.25">
      <c r="A6">
        <v>0.90814854934999989</v>
      </c>
      <c r="B6">
        <v>0.56836113077333061</v>
      </c>
      <c r="C6">
        <f t="shared" si="0"/>
        <v>0.51027577251577994</v>
      </c>
      <c r="D6">
        <f t="shared" si="1"/>
        <v>5.8085358257550679E-2</v>
      </c>
      <c r="E6">
        <f t="shared" si="2"/>
        <v>3.3739088439080109E-3</v>
      </c>
    </row>
    <row r="7" spans="1:8" x14ac:dyDescent="0.25">
      <c r="A7">
        <v>1.07317599305</v>
      </c>
      <c r="B7">
        <v>0.46474569674494864</v>
      </c>
      <c r="C7">
        <f t="shared" si="0"/>
        <v>0.44203183099751625</v>
      </c>
      <c r="D7">
        <f t="shared" si="1"/>
        <v>2.2713865747432394E-2</v>
      </c>
      <c r="E7">
        <f t="shared" si="2"/>
        <v>5.1591969719238248E-4</v>
      </c>
    </row>
    <row r="8" spans="1:8" x14ac:dyDescent="0.25">
      <c r="A8">
        <v>1.2382034367500001</v>
      </c>
      <c r="B8">
        <v>0.35351148080271505</v>
      </c>
      <c r="C8">
        <f t="shared" si="0"/>
        <v>0.37695084987800204</v>
      </c>
      <c r="D8">
        <f t="shared" si="1"/>
        <v>-2.3439369075286987E-2</v>
      </c>
      <c r="E8">
        <f t="shared" si="2"/>
        <v>5.494040226475199E-4</v>
      </c>
    </row>
    <row r="9" spans="1:8" x14ac:dyDescent="0.25">
      <c r="A9">
        <v>1.4032308804500002</v>
      </c>
      <c r="B9">
        <v>0.28875183453497627</v>
      </c>
      <c r="C9">
        <f t="shared" si="0"/>
        <v>0.31726634132504028</v>
      </c>
      <c r="D9">
        <f t="shared" si="1"/>
        <v>-2.8514506790064009E-2</v>
      </c>
      <c r="E9">
        <f t="shared" si="2"/>
        <v>8.1307709748060653E-4</v>
      </c>
    </row>
    <row r="10" spans="1:8" x14ac:dyDescent="0.25">
      <c r="A10">
        <v>1.5682583241499999</v>
      </c>
      <c r="B10">
        <v>0.24189632576478884</v>
      </c>
      <c r="C10">
        <f t="shared" si="0"/>
        <v>0.26403864252558318</v>
      </c>
      <c r="D10">
        <f t="shared" si="1"/>
        <v>-2.2142316760794339E-2</v>
      </c>
      <c r="E10">
        <f t="shared" si="2"/>
        <v>4.9028219153535396E-4</v>
      </c>
    </row>
    <row r="11" spans="1:8" x14ac:dyDescent="0.25">
      <c r="A11">
        <v>1.73328576785</v>
      </c>
      <c r="B11">
        <v>0.20532617257830107</v>
      </c>
      <c r="C11">
        <f t="shared" si="0"/>
        <v>0.21757350172673259</v>
      </c>
      <c r="D11">
        <f t="shared" si="1"/>
        <v>-1.2247329148431518E-2</v>
      </c>
      <c r="E11">
        <f t="shared" si="2"/>
        <v>1.4999707127002029E-4</v>
      </c>
    </row>
    <row r="12" spans="1:8" x14ac:dyDescent="0.25">
      <c r="A12">
        <v>1.8983132115500001</v>
      </c>
      <c r="B12">
        <v>0.15923254199949879</v>
      </c>
      <c r="C12">
        <f t="shared" si="0"/>
        <v>0.17770289196375841</v>
      </c>
      <c r="D12">
        <f t="shared" si="1"/>
        <v>-1.8470349964259614E-2</v>
      </c>
      <c r="E12">
        <f t="shared" si="2"/>
        <v>3.4115382780222511E-4</v>
      </c>
    </row>
    <row r="13" spans="1:8" x14ac:dyDescent="0.25">
      <c r="A13">
        <v>2.0633406552499998</v>
      </c>
      <c r="B13">
        <v>0.13218586620532555</v>
      </c>
      <c r="C13">
        <f t="shared" si="0"/>
        <v>0.14397721818710127</v>
      </c>
      <c r="D13">
        <f t="shared" si="1"/>
        <v>-1.1791351981775722E-2</v>
      </c>
      <c r="E13">
        <f t="shared" si="2"/>
        <v>1.3903598155812623E-4</v>
      </c>
    </row>
    <row r="14" spans="1:8" x14ac:dyDescent="0.25">
      <c r="A14">
        <v>2.2283680989499999</v>
      </c>
      <c r="B14">
        <v>0.11123421594223361</v>
      </c>
      <c r="C14">
        <f t="shared" si="0"/>
        <v>0.11579688685606161</v>
      </c>
      <c r="D14">
        <f t="shared" si="1"/>
        <v>-4.5626709138280042E-3</v>
      </c>
      <c r="E14">
        <f t="shared" si="2"/>
        <v>2.0817965867892076E-5</v>
      </c>
    </row>
    <row r="15" spans="1:8" x14ac:dyDescent="0.25">
      <c r="A15">
        <v>2.3933955426499995</v>
      </c>
      <c r="B15">
        <v>9.1806322061911985E-2</v>
      </c>
      <c r="C15">
        <f t="shared" si="0"/>
        <v>9.250102360124679E-2</v>
      </c>
      <c r="D15">
        <f t="shared" si="1"/>
        <v>-6.9470153933480494E-4</v>
      </c>
      <c r="E15">
        <f t="shared" si="2"/>
        <v>4.8261022875414751E-7</v>
      </c>
    </row>
    <row r="16" spans="1:8" x14ac:dyDescent="0.25">
      <c r="A16">
        <v>2.5584229863500001</v>
      </c>
      <c r="B16">
        <v>7.3521245468668103E-2</v>
      </c>
      <c r="C16">
        <f t="shared" si="0"/>
        <v>7.3425539328200728E-2</v>
      </c>
      <c r="D16">
        <f t="shared" si="1"/>
        <v>9.5706140467374801E-5</v>
      </c>
      <c r="E16">
        <f t="shared" si="2"/>
        <v>9.1596653231608766E-9</v>
      </c>
    </row>
    <row r="17" spans="1:5" x14ac:dyDescent="0.25">
      <c r="A17">
        <v>2.7234504300500002</v>
      </c>
      <c r="B17">
        <v>6.2474011693583263E-2</v>
      </c>
      <c r="C17">
        <f t="shared" si="0"/>
        <v>5.7939302654037246E-2</v>
      </c>
      <c r="D17">
        <f t="shared" si="1"/>
        <v>4.5347090395460171E-3</v>
      </c>
      <c r="E17">
        <f t="shared" si="2"/>
        <v>2.056358607334036E-5</v>
      </c>
    </row>
    <row r="18" spans="1:5" x14ac:dyDescent="0.25">
      <c r="A18">
        <v>2.8884778737499999</v>
      </c>
      <c r="B18">
        <v>5.2569595205576157E-2</v>
      </c>
      <c r="C18">
        <f t="shared" si="0"/>
        <v>4.5464851326596598E-2</v>
      </c>
      <c r="D18">
        <f t="shared" si="1"/>
        <v>7.1047438789795594E-3</v>
      </c>
      <c r="E18">
        <f t="shared" si="2"/>
        <v>5.0477385585897519E-5</v>
      </c>
    </row>
    <row r="19" spans="1:5" x14ac:dyDescent="0.25">
      <c r="A19">
        <v>3.05350531745</v>
      </c>
      <c r="B19">
        <v>3.9236726856335828E-2</v>
      </c>
      <c r="C19">
        <f t="shared" si="0"/>
        <v>3.5488403429265493E-2</v>
      </c>
      <c r="D19">
        <f t="shared" si="1"/>
        <v>3.7483234270703353E-3</v>
      </c>
      <c r="E19">
        <f t="shared" si="2"/>
        <v>1.4049928513924304E-5</v>
      </c>
    </row>
    <row r="20" spans="1:5" x14ac:dyDescent="0.25">
      <c r="A20">
        <v>3.2185327611499996</v>
      </c>
      <c r="B20">
        <v>3.4665457708024858E-2</v>
      </c>
      <c r="C20">
        <f t="shared" si="0"/>
        <v>2.7562682261906061E-2</v>
      </c>
      <c r="D20">
        <f t="shared" si="1"/>
        <v>7.1027754461187968E-3</v>
      </c>
      <c r="E20">
        <f t="shared" si="2"/>
        <v>5.0449419037988076E-5</v>
      </c>
    </row>
    <row r="21" spans="1:5" x14ac:dyDescent="0.25">
      <c r="A21">
        <v>3.3835602048500002</v>
      </c>
      <c r="B21">
        <v>2.0570711167399367E-2</v>
      </c>
      <c r="C21">
        <f t="shared" si="0"/>
        <v>2.1305122510908055E-2</v>
      </c>
      <c r="D21">
        <f t="shared" si="1"/>
        <v>-7.3441134350868756E-4</v>
      </c>
      <c r="E21">
        <f t="shared" si="2"/>
        <v>5.3936002147423543E-7</v>
      </c>
    </row>
    <row r="22" spans="1:5" x14ac:dyDescent="0.25">
      <c r="A22">
        <v>3.5485876485500003</v>
      </c>
      <c r="B22">
        <v>2.0189772071706785E-2</v>
      </c>
      <c r="C22">
        <f t="shared" si="0"/>
        <v>1.6393304081210133E-2</v>
      </c>
      <c r="D22">
        <f t="shared" si="1"/>
        <v>3.7964679904966513E-3</v>
      </c>
      <c r="E22">
        <f t="shared" si="2"/>
        <v>1.4413169202865681E-5</v>
      </c>
    </row>
    <row r="23" spans="1:5" x14ac:dyDescent="0.25">
      <c r="A23">
        <v>3.71361509225</v>
      </c>
      <c r="B23">
        <v>1.4856624732010654E-2</v>
      </c>
      <c r="C23">
        <f t="shared" si="0"/>
        <v>1.2558912556713809E-2</v>
      </c>
      <c r="D23">
        <f t="shared" si="1"/>
        <v>2.2977121752968451E-3</v>
      </c>
      <c r="E23">
        <f t="shared" si="2"/>
        <v>5.2794812405073598E-6</v>
      </c>
    </row>
    <row r="24" spans="1:5" x14ac:dyDescent="0.25">
      <c r="A24">
        <v>3.8786425359499992</v>
      </c>
      <c r="B24">
        <v>1.2570990157855169E-2</v>
      </c>
      <c r="C24">
        <f t="shared" si="0"/>
        <v>9.5811139152973731E-3</v>
      </c>
      <c r="D24">
        <f t="shared" si="1"/>
        <v>2.9898762425577957E-3</v>
      </c>
      <c r="E24">
        <f t="shared" si="2"/>
        <v>8.939359945811523E-6</v>
      </c>
    </row>
    <row r="25" spans="1:5" x14ac:dyDescent="0.25">
      <c r="A25">
        <v>4.0436699796499997</v>
      </c>
      <c r="B25">
        <v>9.5234773923145218E-3</v>
      </c>
      <c r="C25">
        <f t="shared" si="0"/>
        <v>7.2799264241480768E-3</v>
      </c>
      <c r="D25">
        <f t="shared" si="1"/>
        <v>2.243550968166445E-3</v>
      </c>
      <c r="E25">
        <f t="shared" si="2"/>
        <v>5.0335209467605929E-6</v>
      </c>
    </row>
    <row r="26" spans="1:5" x14ac:dyDescent="0.25">
      <c r="A26">
        <v>4.2086974233499994</v>
      </c>
      <c r="B26">
        <v>7.6187819138516175E-3</v>
      </c>
      <c r="C26">
        <f t="shared" si="0"/>
        <v>5.5099510037545131E-3</v>
      </c>
      <c r="D26">
        <f t="shared" si="1"/>
        <v>2.1088309100971044E-3</v>
      </c>
      <c r="E26">
        <f t="shared" si="2"/>
        <v>4.4471678073809812E-6</v>
      </c>
    </row>
    <row r="27" spans="1:5" x14ac:dyDescent="0.25">
      <c r="A27">
        <v>4.3737248670500009</v>
      </c>
      <c r="B27">
        <v>3.8093909569258087E-3</v>
      </c>
      <c r="C27">
        <f t="shared" si="0"/>
        <v>4.1546637112212462E-3</v>
      </c>
      <c r="D27">
        <f t="shared" si="1"/>
        <v>-3.4527275429543751E-4</v>
      </c>
      <c r="E27">
        <f t="shared" si="2"/>
        <v>1.1921327485875756E-7</v>
      </c>
    </row>
    <row r="28" spans="1:5" x14ac:dyDescent="0.25">
      <c r="A28">
        <v>4.5387523107500005</v>
      </c>
      <c r="B28">
        <v>6.4759646267738748E-3</v>
      </c>
      <c r="C28">
        <f t="shared" si="0"/>
        <v>3.1213649774868789E-3</v>
      </c>
      <c r="D28">
        <f t="shared" si="1"/>
        <v>3.3545996492869959E-3</v>
      </c>
      <c r="E28">
        <f t="shared" si="2"/>
        <v>1.1253338806996436E-5</v>
      </c>
    </row>
    <row r="29" spans="1:5" x14ac:dyDescent="0.25">
      <c r="A29">
        <v>4.7037797544500002</v>
      </c>
      <c r="B29">
        <v>1.9046954784629044E-3</v>
      </c>
      <c r="C29">
        <f t="shared" si="0"/>
        <v>2.3368075437424796E-3</v>
      </c>
      <c r="D29">
        <f t="shared" si="1"/>
        <v>-4.3211206527957527E-4</v>
      </c>
      <c r="E29">
        <f t="shared" si="2"/>
        <v>1.8672083696017991E-7</v>
      </c>
    </row>
    <row r="30" spans="1:5" x14ac:dyDescent="0.25">
      <c r="A30">
        <v>4.8688071981499998</v>
      </c>
      <c r="B30">
        <v>3.4284518612332279E-3</v>
      </c>
      <c r="C30">
        <f t="shared" si="0"/>
        <v>1.7434789742315014E-3</v>
      </c>
      <c r="D30">
        <f t="shared" si="1"/>
        <v>1.6849728870017265E-3</v>
      </c>
      <c r="E30">
        <f t="shared" si="2"/>
        <v>2.8391336299309328E-6</v>
      </c>
    </row>
    <row r="31" spans="1:5" x14ac:dyDescent="0.25">
      <c r="A31">
        <v>5.0338346418499995</v>
      </c>
      <c r="B31">
        <v>1.9046954784629044E-3</v>
      </c>
      <c r="C31">
        <f t="shared" si="0"/>
        <v>1.2964876277856468E-3</v>
      </c>
      <c r="D31">
        <f t="shared" si="1"/>
        <v>6.0820785067725752E-4</v>
      </c>
      <c r="E31">
        <f t="shared" si="2"/>
        <v>3.699167896254492E-7</v>
      </c>
    </row>
    <row r="32" spans="1:5" x14ac:dyDescent="0.25">
      <c r="A32">
        <v>5.1988620855500001</v>
      </c>
      <c r="B32">
        <v>0</v>
      </c>
      <c r="C32">
        <f t="shared" si="0"/>
        <v>9.6098727574182657E-4</v>
      </c>
      <c r="D32">
        <f t="shared" si="1"/>
        <v>-9.6098727574182657E-4</v>
      </c>
      <c r="E32">
        <f t="shared" si="2"/>
        <v>9.2349654413769737E-7</v>
      </c>
    </row>
    <row r="33" spans="1:5" x14ac:dyDescent="0.25">
      <c r="A33">
        <v>5.3638895292500006</v>
      </c>
      <c r="B33">
        <v>1.1428172870777426E-3</v>
      </c>
      <c r="C33">
        <f t="shared" si="0"/>
        <v>7.1007082288267881E-4</v>
      </c>
      <c r="D33">
        <f t="shared" si="1"/>
        <v>4.3274646419506381E-4</v>
      </c>
      <c r="E33">
        <f t="shared" si="2"/>
        <v>1.8726950227332965E-7</v>
      </c>
    </row>
    <row r="34" spans="1:5" x14ac:dyDescent="0.25">
      <c r="A34">
        <v>5.5289169729500003</v>
      </c>
      <c r="B34">
        <v>3.8093909569258087E-4</v>
      </c>
      <c r="C34">
        <f t="shared" si="0"/>
        <v>5.2306462792201208E-4</v>
      </c>
      <c r="D34">
        <f t="shared" si="1"/>
        <v>-1.4212553222943121E-4</v>
      </c>
      <c r="E34">
        <f t="shared" si="2"/>
        <v>2.0199666911499088E-8</v>
      </c>
    </row>
    <row r="35" spans="1:5" x14ac:dyDescent="0.25">
      <c r="A35">
        <v>5.69394441665</v>
      </c>
      <c r="B35">
        <v>3.8093909569258087E-4</v>
      </c>
      <c r="C35">
        <f t="shared" si="0"/>
        <v>3.8415943229868125E-4</v>
      </c>
      <c r="D35">
        <f t="shared" si="1"/>
        <v>-3.2203366061003737E-6</v>
      </c>
      <c r="E35">
        <f t="shared" si="2"/>
        <v>1.0370567856590074E-11</v>
      </c>
    </row>
    <row r="36" spans="1:5" x14ac:dyDescent="0.25">
      <c r="A36">
        <v>5.8589718603499996</v>
      </c>
      <c r="B36">
        <v>0</v>
      </c>
      <c r="C36">
        <f t="shared" si="0"/>
        <v>2.8132027887332032E-4</v>
      </c>
      <c r="D36">
        <f t="shared" si="1"/>
        <v>-2.8132027887332032E-4</v>
      </c>
      <c r="E36">
        <f t="shared" si="2"/>
        <v>7.9141099305362718E-8</v>
      </c>
    </row>
    <row r="37" spans="1:5" x14ac:dyDescent="0.25">
      <c r="A37">
        <v>6.0239993040499993</v>
      </c>
      <c r="B37">
        <v>0</v>
      </c>
      <c r="C37">
        <f t="shared" si="0"/>
        <v>2.054249411810698E-4</v>
      </c>
      <c r="D37">
        <f t="shared" si="1"/>
        <v>-2.054249411810698E-4</v>
      </c>
      <c r="E37">
        <f t="shared" si="2"/>
        <v>4.2199406459245988E-8</v>
      </c>
    </row>
    <row r="38" spans="1:5" x14ac:dyDescent="0.25">
      <c r="A38">
        <v>6.1890267477499998</v>
      </c>
      <c r="B38">
        <v>0</v>
      </c>
      <c r="C38">
        <f t="shared" si="0"/>
        <v>1.4958757681755229E-4</v>
      </c>
      <c r="D38">
        <f t="shared" si="1"/>
        <v>-1.4958757681755229E-4</v>
      </c>
      <c r="E38">
        <f t="shared" si="2"/>
        <v>2.2376443138147107E-8</v>
      </c>
    </row>
    <row r="39" spans="1:5" x14ac:dyDescent="0.25">
      <c r="A39">
        <v>6.3540541914500004</v>
      </c>
      <c r="B39">
        <v>0</v>
      </c>
      <c r="C39">
        <f t="shared" si="0"/>
        <v>1.0863112874751551E-4</v>
      </c>
      <c r="D39">
        <f t="shared" si="1"/>
        <v>-1.0863112874751551E-4</v>
      </c>
      <c r="E39">
        <f t="shared" si="2"/>
        <v>1.1800722132959289E-8</v>
      </c>
    </row>
    <row r="40" spans="1:5" x14ac:dyDescent="0.25">
      <c r="A40">
        <v>6.5190816351500001</v>
      </c>
      <c r="B40">
        <v>3.8093909569258087E-4</v>
      </c>
      <c r="C40">
        <f t="shared" si="0"/>
        <v>7.8678183316159163E-5</v>
      </c>
      <c r="D40">
        <f t="shared" si="1"/>
        <v>3.022609123764217E-4</v>
      </c>
      <c r="E40">
        <f t="shared" si="2"/>
        <v>9.1361659150626878E-8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3B9E-24BD-4CE7-B925-3B83DAD9084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7.9756234262500003E-2</v>
      </c>
      <c r="B1">
        <v>0.48797557082022563</v>
      </c>
      <c r="C1">
        <f>$H$3*(1+$H$1)*(A1^($H$1))*EXP(-$H$3*(A1^(1+$H$1)))</f>
        <v>0.49049277493846855</v>
      </c>
      <c r="D1">
        <f>B1-C1</f>
        <v>-2.5172041182429106E-3</v>
      </c>
      <c r="E1">
        <f>D1^2</f>
        <v>6.3363165728990689E-6</v>
      </c>
      <c r="G1" t="s">
        <v>0</v>
      </c>
      <c r="H1">
        <v>0.34040236214008407</v>
      </c>
    </row>
    <row r="2" spans="1:8" x14ac:dyDescent="0.25">
      <c r="A2">
        <v>0.23793835878750003</v>
      </c>
      <c r="B2">
        <v>0.64930951361583777</v>
      </c>
      <c r="C2">
        <f t="shared" ref="C2:C40" si="0">$H$3*(1+$H$1)*(A2^($H$1))*EXP(-$H$3*(A2^(1+$H$1)))</f>
        <v>0.64380027285549646</v>
      </c>
      <c r="D2">
        <f t="shared" ref="D2:D40" si="1">B2-C2</f>
        <v>5.5092407603413163E-3</v>
      </c>
      <c r="E2">
        <f t="shared" ref="E2:E40" si="2">D2^2</f>
        <v>3.0351733755406164E-5</v>
      </c>
    </row>
    <row r="3" spans="1:8" x14ac:dyDescent="0.25">
      <c r="A3">
        <v>0.39612048331249999</v>
      </c>
      <c r="B3">
        <v>0.68706006673303754</v>
      </c>
      <c r="C3">
        <f t="shared" si="0"/>
        <v>0.67404512145919737</v>
      </c>
      <c r="D3">
        <f t="shared" si="1"/>
        <v>1.3014945273840173E-2</v>
      </c>
      <c r="E3">
        <f t="shared" si="2"/>
        <v>1.6938880048105465E-4</v>
      </c>
      <c r="G3" t="s">
        <v>1</v>
      </c>
      <c r="H3">
        <f>(_xlfn.GAMMA((2+$H$1)/(1+$H$1)))^(1+$H$1)</f>
        <v>0.89186947563873453</v>
      </c>
    </row>
    <row r="4" spans="1:8" x14ac:dyDescent="0.25">
      <c r="A4">
        <v>0.55430260783749996</v>
      </c>
      <c r="B4">
        <v>0.596061365008419</v>
      </c>
      <c r="C4">
        <f t="shared" si="0"/>
        <v>0.65264263218162666</v>
      </c>
      <c r="D4">
        <f t="shared" si="1"/>
        <v>-5.6581267173207661E-2</v>
      </c>
      <c r="E4">
        <f t="shared" si="2"/>
        <v>3.2014397949259067E-3</v>
      </c>
    </row>
    <row r="5" spans="1:8" x14ac:dyDescent="0.25">
      <c r="A5">
        <v>0.71248473236249998</v>
      </c>
      <c r="B5">
        <v>0.58612700892494529</v>
      </c>
      <c r="C5">
        <f t="shared" si="0"/>
        <v>0.60468367388856903</v>
      </c>
      <c r="D5">
        <f t="shared" si="1"/>
        <v>-1.8556664963623737E-2</v>
      </c>
      <c r="E5">
        <f t="shared" si="2"/>
        <v>3.4434981457218074E-4</v>
      </c>
      <c r="G5" t="s">
        <v>2</v>
      </c>
      <c r="H5">
        <f>SUM(E1:E40)</f>
        <v>7.5692168290357898E-3</v>
      </c>
    </row>
    <row r="6" spans="1:8" x14ac:dyDescent="0.25">
      <c r="A6">
        <v>0.8706668568874999</v>
      </c>
      <c r="B6">
        <v>0.57102678767806536</v>
      </c>
      <c r="C6">
        <f t="shared" si="0"/>
        <v>0.54369212726244842</v>
      </c>
      <c r="D6">
        <f t="shared" si="1"/>
        <v>2.733466041561694E-2</v>
      </c>
      <c r="E6">
        <f t="shared" si="2"/>
        <v>7.4718366003709573E-4</v>
      </c>
    </row>
    <row r="7" spans="1:8" x14ac:dyDescent="0.25">
      <c r="A7">
        <v>1.0288489814124997</v>
      </c>
      <c r="B7">
        <v>0.51579176785395187</v>
      </c>
      <c r="C7">
        <f t="shared" si="0"/>
        <v>0.4779208999097227</v>
      </c>
      <c r="D7">
        <f t="shared" si="1"/>
        <v>3.787086794422917E-2</v>
      </c>
      <c r="E7">
        <f t="shared" si="2"/>
        <v>1.4342026388492444E-3</v>
      </c>
    </row>
    <row r="8" spans="1:8" x14ac:dyDescent="0.25">
      <c r="A8">
        <v>1.1870311059374998</v>
      </c>
      <c r="B8">
        <v>0.42240882066929958</v>
      </c>
      <c r="C8">
        <f t="shared" si="0"/>
        <v>0.41254674585203949</v>
      </c>
      <c r="D8">
        <f t="shared" si="1"/>
        <v>9.8620748172600914E-3</v>
      </c>
      <c r="E8">
        <f t="shared" si="2"/>
        <v>9.726051970123566E-5</v>
      </c>
    </row>
    <row r="9" spans="1:8" x14ac:dyDescent="0.25">
      <c r="A9">
        <v>1.3452132304625</v>
      </c>
      <c r="B9">
        <v>0.33419173864805357</v>
      </c>
      <c r="C9">
        <f t="shared" si="0"/>
        <v>0.35074042003063938</v>
      </c>
      <c r="D9">
        <f t="shared" si="1"/>
        <v>-1.6548681382585806E-2</v>
      </c>
      <c r="E9">
        <f t="shared" si="2"/>
        <v>2.7385885550234207E-4</v>
      </c>
    </row>
    <row r="10" spans="1:8" x14ac:dyDescent="0.25">
      <c r="A10">
        <v>1.5033953549874999</v>
      </c>
      <c r="B10">
        <v>0.28889107490741373</v>
      </c>
      <c r="C10">
        <f t="shared" si="0"/>
        <v>0.29430592949781548</v>
      </c>
      <c r="D10">
        <f t="shared" si="1"/>
        <v>-5.414854590401752E-3</v>
      </c>
      <c r="E10">
        <f t="shared" si="2"/>
        <v>2.9320650235194925E-5</v>
      </c>
    </row>
    <row r="11" spans="1:8" x14ac:dyDescent="0.25">
      <c r="A11">
        <v>1.6615774795125</v>
      </c>
      <c r="B11">
        <v>0.23445080356997813</v>
      </c>
      <c r="C11">
        <f t="shared" si="0"/>
        <v>0.24410895454533416</v>
      </c>
      <c r="D11">
        <f t="shared" si="1"/>
        <v>-9.6581509753560224E-3</v>
      </c>
      <c r="E11">
        <f t="shared" si="2"/>
        <v>9.3279880262770484E-5</v>
      </c>
    </row>
    <row r="12" spans="1:8" x14ac:dyDescent="0.25">
      <c r="A12">
        <v>1.8197596040374999</v>
      </c>
      <c r="B12">
        <v>0.17683153828583095</v>
      </c>
      <c r="C12">
        <f t="shared" si="0"/>
        <v>0.20038089200716708</v>
      </c>
      <c r="D12">
        <f t="shared" si="1"/>
        <v>-2.3549353721336125E-2</v>
      </c>
      <c r="E12">
        <f t="shared" si="2"/>
        <v>5.5457206069260754E-4</v>
      </c>
    </row>
    <row r="13" spans="1:8" x14ac:dyDescent="0.25">
      <c r="A13">
        <v>1.9779417285624996</v>
      </c>
      <c r="B13">
        <v>0.14742584427874897</v>
      </c>
      <c r="C13">
        <f t="shared" si="0"/>
        <v>0.16293943631914803</v>
      </c>
      <c r="D13">
        <f t="shared" si="1"/>
        <v>-1.5513592040399066E-2</v>
      </c>
      <c r="E13">
        <f t="shared" si="2"/>
        <v>2.4067153799593326E-4</v>
      </c>
    </row>
    <row r="14" spans="1:8" x14ac:dyDescent="0.25">
      <c r="A14">
        <v>2.1361238530874997</v>
      </c>
      <c r="B14">
        <v>0.13232562303186901</v>
      </c>
      <c r="C14">
        <f t="shared" si="0"/>
        <v>0.13134874836211854</v>
      </c>
      <c r="D14">
        <f t="shared" si="1"/>
        <v>9.76874669750466E-4</v>
      </c>
      <c r="E14">
        <f t="shared" si="2"/>
        <v>9.5428412040008194E-7</v>
      </c>
    </row>
    <row r="15" spans="1:8" x14ac:dyDescent="0.25">
      <c r="A15">
        <v>2.2943059776124999</v>
      </c>
      <c r="B15">
        <v>9.4575069914669144E-2</v>
      </c>
      <c r="C15">
        <f t="shared" si="0"/>
        <v>0.10503426140743388</v>
      </c>
      <c r="D15">
        <f t="shared" si="1"/>
        <v>-1.0459191492764738E-2</v>
      </c>
      <c r="E15">
        <f t="shared" si="2"/>
        <v>1.0939468668232228E-4</v>
      </c>
    </row>
    <row r="16" spans="1:8" x14ac:dyDescent="0.25">
      <c r="A16">
        <v>2.4524881021375</v>
      </c>
      <c r="B16">
        <v>7.4706357747721844E-2</v>
      </c>
      <c r="C16">
        <f t="shared" si="0"/>
        <v>8.3363020396834603E-2</v>
      </c>
      <c r="D16">
        <f t="shared" si="1"/>
        <v>-8.6566626491127591E-3</v>
      </c>
      <c r="E16">
        <f t="shared" si="2"/>
        <v>7.4937808220543935E-5</v>
      </c>
    </row>
    <row r="17" spans="1:5" x14ac:dyDescent="0.25">
      <c r="A17">
        <v>2.6106702266625001</v>
      </c>
      <c r="B17">
        <v>7.2719486531027111E-2</v>
      </c>
      <c r="C17">
        <f t="shared" si="0"/>
        <v>6.5697920306215143E-2</v>
      </c>
      <c r="D17">
        <f t="shared" si="1"/>
        <v>7.0215662248119676E-3</v>
      </c>
      <c r="E17">
        <f t="shared" si="2"/>
        <v>4.9302392249420184E-5</v>
      </c>
    </row>
    <row r="18" spans="1:5" x14ac:dyDescent="0.25">
      <c r="A18">
        <v>2.7688523511874998</v>
      </c>
      <c r="B18">
        <v>5.0863903147385085E-2</v>
      </c>
      <c r="C18">
        <f t="shared" si="0"/>
        <v>5.1432431655031564E-2</v>
      </c>
      <c r="D18">
        <f t="shared" si="1"/>
        <v>-5.6852850764647911E-4</v>
      </c>
      <c r="E18">
        <f t="shared" si="2"/>
        <v>3.2322466400673268E-7</v>
      </c>
    </row>
    <row r="19" spans="1:5" x14ac:dyDescent="0.25">
      <c r="A19">
        <v>2.9270344757124995</v>
      </c>
      <c r="B19">
        <v>4.4903289497300894E-2</v>
      </c>
      <c r="C19">
        <f t="shared" si="0"/>
        <v>4.0011025459311678E-2</v>
      </c>
      <c r="D19">
        <f t="shared" si="1"/>
        <v>4.8922640379892163E-3</v>
      </c>
      <c r="E19">
        <f t="shared" si="2"/>
        <v>2.3934247417402553E-5</v>
      </c>
    </row>
    <row r="20" spans="1:5" x14ac:dyDescent="0.25">
      <c r="A20">
        <v>3.0852166002374997</v>
      </c>
      <c r="B20">
        <v>3.4571559170488299E-2</v>
      </c>
      <c r="C20">
        <f t="shared" si="0"/>
        <v>3.0939391220195407E-2</v>
      </c>
      <c r="D20">
        <f t="shared" si="1"/>
        <v>3.6321679502928916E-3</v>
      </c>
      <c r="E20">
        <f t="shared" si="2"/>
        <v>1.3192644019134866E-5</v>
      </c>
    </row>
    <row r="21" spans="1:5" x14ac:dyDescent="0.25">
      <c r="A21">
        <v>3.2433987247624998</v>
      </c>
      <c r="B21">
        <v>2.5431951573692543E-2</v>
      </c>
      <c r="C21">
        <f t="shared" si="0"/>
        <v>2.3787616951325526E-2</v>
      </c>
      <c r="D21">
        <f t="shared" si="1"/>
        <v>1.6443346223670163E-3</v>
      </c>
      <c r="E21">
        <f t="shared" si="2"/>
        <v>2.7038363503148783E-6</v>
      </c>
    </row>
    <row r="22" spans="1:5" x14ac:dyDescent="0.25">
      <c r="A22">
        <v>3.4015808492874999</v>
      </c>
      <c r="B22">
        <v>2.2252957626980974E-2</v>
      </c>
      <c r="C22">
        <f t="shared" si="0"/>
        <v>1.8188738170700575E-2</v>
      </c>
      <c r="D22">
        <f t="shared" si="1"/>
        <v>4.0642194562803997E-3</v>
      </c>
      <c r="E22">
        <f t="shared" si="2"/>
        <v>1.6517879788808149E-5</v>
      </c>
    </row>
    <row r="23" spans="1:5" x14ac:dyDescent="0.25">
      <c r="A23">
        <v>3.5597629738125001</v>
      </c>
      <c r="B23">
        <v>1.5894969733557838E-2</v>
      </c>
      <c r="C23">
        <f t="shared" si="0"/>
        <v>1.3834442491770049E-2</v>
      </c>
      <c r="D23">
        <f t="shared" si="1"/>
        <v>2.0605272417877889E-3</v>
      </c>
      <c r="E23">
        <f t="shared" si="2"/>
        <v>4.2457725141495929E-6</v>
      </c>
    </row>
    <row r="24" spans="1:5" x14ac:dyDescent="0.25">
      <c r="A24">
        <v>3.7179450983374993</v>
      </c>
      <c r="B24">
        <v>1.5497595490218893E-2</v>
      </c>
      <c r="C24">
        <f t="shared" si="0"/>
        <v>1.0469220356559431E-2</v>
      </c>
      <c r="D24">
        <f t="shared" si="1"/>
        <v>5.0283751336594618E-3</v>
      </c>
      <c r="E24">
        <f t="shared" si="2"/>
        <v>2.5284556484804811E-5</v>
      </c>
    </row>
    <row r="25" spans="1:5" x14ac:dyDescent="0.25">
      <c r="A25">
        <v>3.8761272228624994</v>
      </c>
      <c r="B25">
        <v>1.0331730326812595E-2</v>
      </c>
      <c r="C25">
        <f t="shared" si="0"/>
        <v>7.8838636870409429E-3</v>
      </c>
      <c r="D25">
        <f t="shared" si="1"/>
        <v>2.4478666397716523E-3</v>
      </c>
      <c r="E25">
        <f t="shared" si="2"/>
        <v>5.9920510861069604E-6</v>
      </c>
    </row>
    <row r="26" spans="1:5" x14ac:dyDescent="0.25">
      <c r="A26">
        <v>4.0343093473874996</v>
      </c>
      <c r="B26">
        <v>6.3579878934231357E-3</v>
      </c>
      <c r="C26">
        <f t="shared" si="0"/>
        <v>5.9089163148708752E-3</v>
      </c>
      <c r="D26">
        <f t="shared" si="1"/>
        <v>4.4907157855226046E-4</v>
      </c>
      <c r="E26">
        <f t="shared" si="2"/>
        <v>2.0166528266341904E-7</v>
      </c>
    </row>
    <row r="27" spans="1:5" x14ac:dyDescent="0.25">
      <c r="A27">
        <v>4.1924914719124997</v>
      </c>
      <c r="B27">
        <v>6.7553621367620817E-3</v>
      </c>
      <c r="C27">
        <f t="shared" si="0"/>
        <v>4.4084572866567228E-3</v>
      </c>
      <c r="D27">
        <f t="shared" si="1"/>
        <v>2.3469048501053589E-3</v>
      </c>
      <c r="E27">
        <f t="shared" si="2"/>
        <v>5.5079623754480567E-6</v>
      </c>
    </row>
    <row r="28" spans="1:5" x14ac:dyDescent="0.25">
      <c r="A28">
        <v>4.350673596437499</v>
      </c>
      <c r="B28">
        <v>5.9606136500841896E-3</v>
      </c>
      <c r="C28">
        <f t="shared" si="0"/>
        <v>3.2744360922463368E-3</v>
      </c>
      <c r="D28">
        <f t="shared" si="1"/>
        <v>2.6861775578378528E-3</v>
      </c>
      <c r="E28">
        <f t="shared" si="2"/>
        <v>7.2155498722317315E-6</v>
      </c>
    </row>
    <row r="29" spans="1:5" x14ac:dyDescent="0.25">
      <c r="A29">
        <v>4.5088557209624991</v>
      </c>
      <c r="B29">
        <v>2.3842454600336758E-3</v>
      </c>
      <c r="C29">
        <f t="shared" si="0"/>
        <v>2.4216647036582632E-3</v>
      </c>
      <c r="D29">
        <f t="shared" si="1"/>
        <v>-3.7419243624587425E-5</v>
      </c>
      <c r="E29">
        <f t="shared" si="2"/>
        <v>1.4001997934362266E-9</v>
      </c>
    </row>
    <row r="30" spans="1:5" x14ac:dyDescent="0.25">
      <c r="A30">
        <v>4.6670378454874992</v>
      </c>
      <c r="B30">
        <v>4.3711166767284055E-3</v>
      </c>
      <c r="C30">
        <f t="shared" si="0"/>
        <v>1.7834940188412023E-3</v>
      </c>
      <c r="D30">
        <f t="shared" si="1"/>
        <v>2.5876226578872034E-3</v>
      </c>
      <c r="E30">
        <f t="shared" si="2"/>
        <v>6.6957910196112351E-6</v>
      </c>
    </row>
    <row r="31" spans="1:5" x14ac:dyDescent="0.25">
      <c r="A31">
        <v>4.8252199700125002</v>
      </c>
      <c r="B31">
        <v>1.1921227300168379E-3</v>
      </c>
      <c r="C31">
        <f t="shared" si="0"/>
        <v>1.3081526790449129E-3</v>
      </c>
      <c r="D31">
        <f t="shared" si="1"/>
        <v>-1.1602994902807501E-4</v>
      </c>
      <c r="E31">
        <f t="shared" si="2"/>
        <v>1.3462949071457684E-8</v>
      </c>
    </row>
    <row r="32" spans="1:5" x14ac:dyDescent="0.25">
      <c r="A32">
        <v>4.9834020945375004</v>
      </c>
      <c r="B32">
        <v>1.1921227300168379E-3</v>
      </c>
      <c r="C32">
        <f t="shared" si="0"/>
        <v>9.5569680382123193E-4</v>
      </c>
      <c r="D32">
        <f t="shared" si="1"/>
        <v>2.3642592619560596E-4</v>
      </c>
      <c r="E32">
        <f t="shared" si="2"/>
        <v>5.5897218577450111E-8</v>
      </c>
    </row>
    <row r="33" spans="1:5" x14ac:dyDescent="0.25">
      <c r="A33">
        <v>5.1415842190624996</v>
      </c>
      <c r="B33">
        <v>3.9737424333894598E-4</v>
      </c>
      <c r="C33">
        <f t="shared" si="0"/>
        <v>6.9550405748849053E-4</v>
      </c>
      <c r="D33">
        <f t="shared" si="1"/>
        <v>-2.9812981414954455E-4</v>
      </c>
      <c r="E33">
        <f t="shared" si="2"/>
        <v>8.8881386084841981E-8</v>
      </c>
    </row>
    <row r="34" spans="1:5" x14ac:dyDescent="0.25">
      <c r="A34">
        <v>5.2997663435874998</v>
      </c>
      <c r="B34">
        <v>3.9737424333894598E-4</v>
      </c>
      <c r="C34">
        <f t="shared" si="0"/>
        <v>5.0424007181027874E-4</v>
      </c>
      <c r="D34">
        <f t="shared" si="1"/>
        <v>-1.0686582847133276E-4</v>
      </c>
      <c r="E34">
        <f t="shared" si="2"/>
        <v>1.1420305294864316E-8</v>
      </c>
    </row>
    <row r="35" spans="1:5" x14ac:dyDescent="0.25">
      <c r="A35">
        <v>5.4579484681124999</v>
      </c>
      <c r="B35">
        <v>7.9474848667789196E-4</v>
      </c>
      <c r="C35">
        <f t="shared" si="0"/>
        <v>3.642261808473513E-4</v>
      </c>
      <c r="D35">
        <f t="shared" si="1"/>
        <v>4.3052230583054066E-4</v>
      </c>
      <c r="E35">
        <f t="shared" si="2"/>
        <v>1.8534945581764557E-7</v>
      </c>
    </row>
    <row r="36" spans="1:5" x14ac:dyDescent="0.25">
      <c r="A36">
        <v>5.6161305926374991</v>
      </c>
      <c r="B36">
        <v>0</v>
      </c>
      <c r="C36">
        <f t="shared" si="0"/>
        <v>2.6214217522668883E-4</v>
      </c>
      <c r="D36">
        <f t="shared" si="1"/>
        <v>-2.6214217522668883E-4</v>
      </c>
      <c r="E36">
        <f t="shared" si="2"/>
        <v>6.8718520032580024E-8</v>
      </c>
    </row>
    <row r="37" spans="1:5" x14ac:dyDescent="0.25">
      <c r="A37">
        <v>5.7743127171625002</v>
      </c>
      <c r="B37">
        <v>0</v>
      </c>
      <c r="C37">
        <f t="shared" si="0"/>
        <v>1.8800458224484045E-4</v>
      </c>
      <c r="D37">
        <f t="shared" si="1"/>
        <v>-1.8800458224484045E-4</v>
      </c>
      <c r="E37">
        <f t="shared" si="2"/>
        <v>3.5345722945056975E-8</v>
      </c>
    </row>
    <row r="38" spans="1:5" x14ac:dyDescent="0.25">
      <c r="A38">
        <v>5.9324948416875003</v>
      </c>
      <c r="B38">
        <v>0</v>
      </c>
      <c r="C38">
        <f t="shared" si="0"/>
        <v>1.3436861392763735E-4</v>
      </c>
      <c r="D38">
        <f t="shared" si="1"/>
        <v>-1.3436861392763735E-4</v>
      </c>
      <c r="E38">
        <f t="shared" si="2"/>
        <v>1.8054924408834459E-8</v>
      </c>
    </row>
    <row r="39" spans="1:5" x14ac:dyDescent="0.25">
      <c r="A39">
        <v>6.0906769662124995</v>
      </c>
      <c r="B39">
        <v>0</v>
      </c>
      <c r="C39">
        <f t="shared" si="0"/>
        <v>9.5709606924680084E-5</v>
      </c>
      <c r="D39">
        <f t="shared" si="1"/>
        <v>-9.5709606924680084E-5</v>
      </c>
      <c r="E39">
        <f t="shared" si="2"/>
        <v>9.1603288576767692E-9</v>
      </c>
    </row>
    <row r="40" spans="1:5" x14ac:dyDescent="0.25">
      <c r="A40">
        <v>6.2488590907374997</v>
      </c>
      <c r="B40">
        <v>3.9737424333894598E-4</v>
      </c>
      <c r="C40">
        <f t="shared" si="0"/>
        <v>6.7947022748721735E-5</v>
      </c>
      <c r="D40">
        <f t="shared" si="1"/>
        <v>3.2942722059022423E-4</v>
      </c>
      <c r="E40">
        <f t="shared" si="2"/>
        <v>1.0852229366580026E-7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E4896-0B23-43E8-BE03-7DF73D25CF7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7.7890869400000007E-2</v>
      </c>
      <c r="B1">
        <v>0.42184401805786992</v>
      </c>
      <c r="C1">
        <f>$H$3*(1+$H$1)*(A1^($H$1))*EXP(-$H$3*(A1^(1+$H$1)))</f>
        <v>0.44577588737239648</v>
      </c>
      <c r="D1">
        <f>B1-C1</f>
        <v>-2.3931869314526566E-2</v>
      </c>
      <c r="E1">
        <f>D1^2</f>
        <v>5.7273436888757823E-4</v>
      </c>
      <c r="G1" t="s">
        <v>0</v>
      </c>
      <c r="H1">
        <v>0.38459133906648102</v>
      </c>
    </row>
    <row r="2" spans="1:8" x14ac:dyDescent="0.25">
      <c r="A2">
        <v>0.22972849620000002</v>
      </c>
      <c r="B2">
        <v>0.65201602398542213</v>
      </c>
      <c r="C2">
        <f t="shared" ref="C2:C40" si="0">$H$3*(1+$H$1)*(A2^($H$1))*EXP(-$H$3*(A2^(1+$H$1)))</f>
        <v>0.61799482923425408</v>
      </c>
      <c r="D2">
        <f t="shared" ref="D2:D40" si="1">B2-C2</f>
        <v>3.4021194751168049E-2</v>
      </c>
      <c r="E2">
        <f t="shared" ref="E2:E40" si="2">D2^2</f>
        <v>1.1574416922969044E-3</v>
      </c>
    </row>
    <row r="3" spans="1:8" x14ac:dyDescent="0.25">
      <c r="A3">
        <v>0.38156612300000003</v>
      </c>
      <c r="B3">
        <v>0.67726870808898454</v>
      </c>
      <c r="C3">
        <f t="shared" si="0"/>
        <v>0.66808278678987221</v>
      </c>
      <c r="D3">
        <f t="shared" si="1"/>
        <v>9.1859212991123318E-3</v>
      </c>
      <c r="E3">
        <f t="shared" si="2"/>
        <v>8.4381150113485584E-5</v>
      </c>
      <c r="G3" t="s">
        <v>1</v>
      </c>
      <c r="H3">
        <f>(_xlfn.GAMMA((2+$H$1)/(1+$H$1)))^(1+$H$1)</f>
        <v>0.88164643749766214</v>
      </c>
    </row>
    <row r="4" spans="1:8" x14ac:dyDescent="0.25">
      <c r="A4">
        <v>0.53340374980000005</v>
      </c>
      <c r="B4">
        <v>0.64622032599444057</v>
      </c>
      <c r="C4">
        <f t="shared" si="0"/>
        <v>0.66261228800718885</v>
      </c>
      <c r="D4">
        <f t="shared" si="1"/>
        <v>-1.6391962012748285E-2</v>
      </c>
      <c r="E4">
        <f t="shared" si="2"/>
        <v>2.6869641862738278E-4</v>
      </c>
    </row>
    <row r="5" spans="1:8" x14ac:dyDescent="0.25">
      <c r="A5">
        <v>0.68524137660000006</v>
      </c>
      <c r="B5">
        <v>0.59157517350804334</v>
      </c>
      <c r="C5">
        <f t="shared" si="0"/>
        <v>0.62604649560207215</v>
      </c>
      <c r="D5">
        <f t="shared" si="1"/>
        <v>-3.4471322094028811E-2</v>
      </c>
      <c r="E5">
        <f t="shared" si="2"/>
        <v>1.1882720469102788E-3</v>
      </c>
      <c r="G5" t="s">
        <v>2</v>
      </c>
      <c r="H5">
        <f>SUM(E1:E40)</f>
        <v>6.0912586284566908E-3</v>
      </c>
    </row>
    <row r="6" spans="1:8" x14ac:dyDescent="0.25">
      <c r="A6">
        <v>0.83707900339999997</v>
      </c>
      <c r="B6">
        <v>0.55887087770179045</v>
      </c>
      <c r="C6">
        <f t="shared" si="0"/>
        <v>0.57225354406088524</v>
      </c>
      <c r="D6">
        <f t="shared" si="1"/>
        <v>-1.3382666359094797E-2</v>
      </c>
      <c r="E6">
        <f t="shared" si="2"/>
        <v>1.7909575887884759E-4</v>
      </c>
    </row>
    <row r="7" spans="1:8" x14ac:dyDescent="0.25">
      <c r="A7">
        <v>0.98891663019999998</v>
      </c>
      <c r="B7">
        <v>0.52699453875139202</v>
      </c>
      <c r="C7">
        <f t="shared" si="0"/>
        <v>0.51018026894608159</v>
      </c>
      <c r="D7">
        <f t="shared" si="1"/>
        <v>1.6814269805310422E-2</v>
      </c>
      <c r="E7">
        <f t="shared" si="2"/>
        <v>2.8271966908577378E-4</v>
      </c>
    </row>
    <row r="8" spans="1:8" x14ac:dyDescent="0.25">
      <c r="A8">
        <v>1.1407542570000002</v>
      </c>
      <c r="B8">
        <v>0.47027949412535841</v>
      </c>
      <c r="C8">
        <f t="shared" si="0"/>
        <v>0.44579154055345216</v>
      </c>
      <c r="D8">
        <f t="shared" si="1"/>
        <v>2.4487953571906251E-2</v>
      </c>
      <c r="E8">
        <f t="shared" si="2"/>
        <v>5.9965987013983616E-4</v>
      </c>
    </row>
    <row r="9" spans="1:8" x14ac:dyDescent="0.25">
      <c r="A9">
        <v>1.2925918838000001</v>
      </c>
      <c r="B9">
        <v>0.38044617526514474</v>
      </c>
      <c r="C9">
        <f t="shared" si="0"/>
        <v>0.38301275818513814</v>
      </c>
      <c r="D9">
        <f t="shared" si="1"/>
        <v>-2.5665829199933987E-3</v>
      </c>
      <c r="E9">
        <f t="shared" si="2"/>
        <v>6.5873478852018407E-6</v>
      </c>
    </row>
    <row r="10" spans="1:8" x14ac:dyDescent="0.25">
      <c r="A10">
        <v>1.4444295106</v>
      </c>
      <c r="B10">
        <v>0.34111822461205576</v>
      </c>
      <c r="C10">
        <f t="shared" si="0"/>
        <v>0.32430630530817611</v>
      </c>
      <c r="D10">
        <f t="shared" si="1"/>
        <v>1.6811919303879652E-2</v>
      </c>
      <c r="E10">
        <f t="shared" si="2"/>
        <v>2.8264063068016127E-4</v>
      </c>
    </row>
    <row r="11" spans="1:8" x14ac:dyDescent="0.25">
      <c r="A11">
        <v>1.5962671373999999</v>
      </c>
      <c r="B11">
        <v>0.26577415072929589</v>
      </c>
      <c r="C11">
        <f t="shared" si="0"/>
        <v>0.27107500820962077</v>
      </c>
      <c r="D11">
        <f t="shared" si="1"/>
        <v>-5.3008574803248831E-3</v>
      </c>
      <c r="E11">
        <f t="shared" si="2"/>
        <v>2.8099090026716269E-5</v>
      </c>
    </row>
    <row r="12" spans="1:8" x14ac:dyDescent="0.25">
      <c r="A12">
        <v>1.7481047642</v>
      </c>
      <c r="B12">
        <v>0.19829566697715378</v>
      </c>
      <c r="C12">
        <f t="shared" si="0"/>
        <v>0.22396376076502764</v>
      </c>
      <c r="D12">
        <f t="shared" si="1"/>
        <v>-2.5668093787873852E-2</v>
      </c>
      <c r="E12">
        <f t="shared" si="2"/>
        <v>6.5885103870308827E-4</v>
      </c>
    </row>
    <row r="13" spans="1:8" x14ac:dyDescent="0.25">
      <c r="A13">
        <v>1.8999423910000002</v>
      </c>
      <c r="B13">
        <v>0.16476341431504635</v>
      </c>
      <c r="C13">
        <f t="shared" si="0"/>
        <v>0.18309045433281959</v>
      </c>
      <c r="D13">
        <f t="shared" si="1"/>
        <v>-1.8327040017773244E-2</v>
      </c>
      <c r="E13">
        <f t="shared" si="2"/>
        <v>3.3588039581306189E-4</v>
      </c>
    </row>
    <row r="14" spans="1:8" x14ac:dyDescent="0.25">
      <c r="A14">
        <v>2.0517800178000001</v>
      </c>
      <c r="B14">
        <v>0.14820427719795626</v>
      </c>
      <c r="C14">
        <f t="shared" si="0"/>
        <v>0.14822280042550573</v>
      </c>
      <c r="D14">
        <f t="shared" si="1"/>
        <v>-1.8523227549471777E-5</v>
      </c>
      <c r="E14">
        <f t="shared" si="2"/>
        <v>3.431099588495102E-10</v>
      </c>
    </row>
    <row r="15" spans="1:8" x14ac:dyDescent="0.25">
      <c r="A15">
        <v>2.2036176446000004</v>
      </c>
      <c r="B15">
        <v>0.11467202453584885</v>
      </c>
      <c r="C15">
        <f t="shared" si="0"/>
        <v>0.11891189257855234</v>
      </c>
      <c r="D15">
        <f t="shared" si="1"/>
        <v>-4.2398680427034874E-3</v>
      </c>
      <c r="E15">
        <f t="shared" si="2"/>
        <v>1.79764810195383E-5</v>
      </c>
    </row>
    <row r="16" spans="1:8" x14ac:dyDescent="0.25">
      <c r="A16">
        <v>2.3554552714000003</v>
      </c>
      <c r="B16">
        <v>8.0311815017886909E-2</v>
      </c>
      <c r="C16">
        <f t="shared" si="0"/>
        <v>9.4590808080187799E-2</v>
      </c>
      <c r="D16">
        <f t="shared" si="1"/>
        <v>-1.427899306230089E-2</v>
      </c>
      <c r="E16">
        <f t="shared" si="2"/>
        <v>2.0388964287323697E-4</v>
      </c>
    </row>
    <row r="17" spans="1:5" x14ac:dyDescent="0.25">
      <c r="A17">
        <v>2.5072928982000002</v>
      </c>
      <c r="B17">
        <v>6.8720419035923852E-2</v>
      </c>
      <c r="C17">
        <f t="shared" si="0"/>
        <v>7.4645159519673959E-2</v>
      </c>
      <c r="D17">
        <f t="shared" si="1"/>
        <v>-5.9247404837501072E-3</v>
      </c>
      <c r="E17">
        <f t="shared" si="2"/>
        <v>3.5102549799787454E-5</v>
      </c>
    </row>
    <row r="18" spans="1:5" x14ac:dyDescent="0.25">
      <c r="A18">
        <v>2.6591305250000001</v>
      </c>
      <c r="B18">
        <v>6.7892462180069349E-2</v>
      </c>
      <c r="C18">
        <f t="shared" si="0"/>
        <v>5.8461513563927127E-2</v>
      </c>
      <c r="D18">
        <f t="shared" si="1"/>
        <v>9.4309486161422221E-3</v>
      </c>
      <c r="E18">
        <f t="shared" si="2"/>
        <v>8.8942791800314893E-5</v>
      </c>
    </row>
    <row r="19" spans="1:5" x14ac:dyDescent="0.25">
      <c r="A19">
        <v>2.8109681518</v>
      </c>
      <c r="B19">
        <v>4.3467734932361474E-2</v>
      </c>
      <c r="C19">
        <f t="shared" si="0"/>
        <v>4.5458733618879595E-2</v>
      </c>
      <c r="D19">
        <f t="shared" si="1"/>
        <v>-1.9909986865181209E-3</v>
      </c>
      <c r="E19">
        <f t="shared" si="2"/>
        <v>3.9640757697168825E-6</v>
      </c>
    </row>
    <row r="20" spans="1:5" x14ac:dyDescent="0.25">
      <c r="A20">
        <v>2.9628057785999999</v>
      </c>
      <c r="B20">
        <v>3.5188166373816429E-2</v>
      </c>
      <c r="C20">
        <f t="shared" si="0"/>
        <v>3.5106497938326278E-2</v>
      </c>
      <c r="D20">
        <f t="shared" si="1"/>
        <v>8.1668435490150904E-5</v>
      </c>
      <c r="E20">
        <f t="shared" si="2"/>
        <v>6.6697333554089395E-9</v>
      </c>
    </row>
    <row r="21" spans="1:5" x14ac:dyDescent="0.25">
      <c r="A21">
        <v>3.1146434053999998</v>
      </c>
      <c r="B21">
        <v>2.6908597815271388E-2</v>
      </c>
      <c r="C21">
        <f t="shared" si="0"/>
        <v>2.6934488849683382E-2</v>
      </c>
      <c r="D21">
        <f t="shared" si="1"/>
        <v>-2.5891034411994196E-5</v>
      </c>
      <c r="E21">
        <f t="shared" si="2"/>
        <v>6.7034566292306765E-10</v>
      </c>
    </row>
    <row r="22" spans="1:5" x14ac:dyDescent="0.25">
      <c r="A22">
        <v>3.2664810322000006</v>
      </c>
      <c r="B22">
        <v>2.5252684103562382E-2</v>
      </c>
      <c r="C22">
        <f t="shared" si="0"/>
        <v>2.0535055889084625E-2</v>
      </c>
      <c r="D22">
        <f t="shared" si="1"/>
        <v>4.7176282144777565E-3</v>
      </c>
      <c r="E22">
        <f t="shared" si="2"/>
        <v>2.2256015970036584E-5</v>
      </c>
    </row>
    <row r="23" spans="1:5" x14ac:dyDescent="0.25">
      <c r="A23">
        <v>3.4183186590000001</v>
      </c>
      <c r="B23">
        <v>1.9043007684653598E-2</v>
      </c>
      <c r="C23">
        <f t="shared" si="0"/>
        <v>1.5561540350026095E-2</v>
      </c>
      <c r="D23">
        <f t="shared" si="1"/>
        <v>3.481467334627503E-3</v>
      </c>
      <c r="E23">
        <f t="shared" si="2"/>
        <v>1.2120614802078331E-5</v>
      </c>
    </row>
    <row r="24" spans="1:5" x14ac:dyDescent="0.25">
      <c r="A24">
        <v>3.5701562857999996</v>
      </c>
      <c r="B24">
        <v>1.7387093972944589E-2</v>
      </c>
      <c r="C24">
        <f t="shared" si="0"/>
        <v>1.1723919798299431E-2</v>
      </c>
      <c r="D24">
        <f t="shared" si="1"/>
        <v>5.6631741746451577E-3</v>
      </c>
      <c r="E24">
        <f t="shared" si="2"/>
        <v>3.2071541732367866E-5</v>
      </c>
    </row>
    <row r="25" spans="1:5" x14ac:dyDescent="0.25">
      <c r="A25">
        <v>3.7219939125999999</v>
      </c>
      <c r="B25">
        <v>1.0349460698181304E-2</v>
      </c>
      <c r="C25">
        <f t="shared" si="0"/>
        <v>8.7829903781470372E-3</v>
      </c>
      <c r="D25">
        <f t="shared" si="1"/>
        <v>1.5664703200342668E-3</v>
      </c>
      <c r="E25">
        <f t="shared" si="2"/>
        <v>2.4538292635482582E-6</v>
      </c>
    </row>
    <row r="26" spans="1:5" x14ac:dyDescent="0.25">
      <c r="A26">
        <v>3.8738315394000002</v>
      </c>
      <c r="B26">
        <v>5.7956979909815302E-3</v>
      </c>
      <c r="C26">
        <f t="shared" si="0"/>
        <v>6.5439484023138272E-3</v>
      </c>
      <c r="D26">
        <f t="shared" si="1"/>
        <v>-7.48250411332297E-4</v>
      </c>
      <c r="E26">
        <f t="shared" si="2"/>
        <v>5.5987867805895167E-7</v>
      </c>
    </row>
    <row r="27" spans="1:5" x14ac:dyDescent="0.25">
      <c r="A27">
        <v>4.0256691662000001</v>
      </c>
      <c r="B27">
        <v>7.0376332747632865E-3</v>
      </c>
      <c r="C27">
        <f t="shared" si="0"/>
        <v>4.8499530200491808E-3</v>
      </c>
      <c r="D27">
        <f t="shared" si="1"/>
        <v>2.1876802547141057E-3</v>
      </c>
      <c r="E27">
        <f t="shared" si="2"/>
        <v>4.7859448968659747E-6</v>
      </c>
    </row>
    <row r="28" spans="1:5" x14ac:dyDescent="0.25">
      <c r="A28">
        <v>4.1775067930000009</v>
      </c>
      <c r="B28">
        <v>7.0376332747632865E-3</v>
      </c>
      <c r="C28">
        <f t="shared" si="0"/>
        <v>3.5760387241774165E-3</v>
      </c>
      <c r="D28">
        <f t="shared" si="1"/>
        <v>3.46159455058587E-3</v>
      </c>
      <c r="E28">
        <f t="shared" si="2"/>
        <v>1.1982636832645791E-5</v>
      </c>
    </row>
    <row r="29" spans="1:5" x14ac:dyDescent="0.25">
      <c r="A29">
        <v>4.3293444198</v>
      </c>
      <c r="B29">
        <v>5.3817195630542778E-3</v>
      </c>
      <c r="C29">
        <f t="shared" si="0"/>
        <v>2.6235893211490396E-3</v>
      </c>
      <c r="D29">
        <f t="shared" si="1"/>
        <v>2.7581302419052382E-3</v>
      </c>
      <c r="E29">
        <f t="shared" si="2"/>
        <v>7.6072824313122472E-6</v>
      </c>
    </row>
    <row r="30" spans="1:5" x14ac:dyDescent="0.25">
      <c r="A30">
        <v>4.4811820465999999</v>
      </c>
      <c r="B30">
        <v>2.4838705675635127E-3</v>
      </c>
      <c r="C30">
        <f t="shared" si="0"/>
        <v>1.9154731886735987E-3</v>
      </c>
      <c r="D30">
        <f t="shared" si="1"/>
        <v>5.6839737888991402E-4</v>
      </c>
      <c r="E30">
        <f t="shared" si="2"/>
        <v>3.2307558032892445E-7</v>
      </c>
    </row>
    <row r="31" spans="1:5" x14ac:dyDescent="0.25">
      <c r="A31">
        <v>4.6330196733999998</v>
      </c>
      <c r="B31">
        <v>2.0698921396362607E-3</v>
      </c>
      <c r="C31">
        <f t="shared" si="0"/>
        <v>1.3918634911161886E-3</v>
      </c>
      <c r="D31">
        <f t="shared" si="1"/>
        <v>6.7802864852007207E-4</v>
      </c>
      <c r="E31">
        <f t="shared" si="2"/>
        <v>4.5972284821395544E-7</v>
      </c>
    </row>
    <row r="32" spans="1:5" x14ac:dyDescent="0.25">
      <c r="A32">
        <v>4.7848573002000006</v>
      </c>
      <c r="B32">
        <v>4.1397842792725213E-4</v>
      </c>
      <c r="C32">
        <f t="shared" si="0"/>
        <v>1.0067180428534254E-3</v>
      </c>
      <c r="D32">
        <f t="shared" si="1"/>
        <v>-5.9273961492617325E-4</v>
      </c>
      <c r="E32">
        <f t="shared" si="2"/>
        <v>3.5134025110282814E-7</v>
      </c>
    </row>
    <row r="33" spans="1:5" x14ac:dyDescent="0.25">
      <c r="A33">
        <v>4.9366949269999996</v>
      </c>
      <c r="B33">
        <v>1.6559137117090085E-3</v>
      </c>
      <c r="C33">
        <f t="shared" si="0"/>
        <v>7.2486459390081848E-4</v>
      </c>
      <c r="D33">
        <f t="shared" si="1"/>
        <v>9.3104911780819005E-4</v>
      </c>
      <c r="E33">
        <f t="shared" si="2"/>
        <v>8.6685245977140893E-7</v>
      </c>
    </row>
    <row r="34" spans="1:5" x14ac:dyDescent="0.25">
      <c r="A34">
        <v>5.0885325537999995</v>
      </c>
      <c r="B34">
        <v>0</v>
      </c>
      <c r="C34">
        <f t="shared" si="0"/>
        <v>5.1962269664736769E-4</v>
      </c>
      <c r="D34">
        <f t="shared" si="1"/>
        <v>-5.1962269664736769E-4</v>
      </c>
      <c r="E34">
        <f t="shared" si="2"/>
        <v>2.7000774687108233E-7</v>
      </c>
    </row>
    <row r="35" spans="1:5" x14ac:dyDescent="0.25">
      <c r="A35">
        <v>5.2403701805999994</v>
      </c>
      <c r="B35">
        <v>4.1397842792725213E-4</v>
      </c>
      <c r="C35">
        <f t="shared" si="0"/>
        <v>3.7088847300898234E-4</v>
      </c>
      <c r="D35">
        <f t="shared" si="1"/>
        <v>4.308995491826979E-5</v>
      </c>
      <c r="E35">
        <f t="shared" si="2"/>
        <v>1.856744214858523E-9</v>
      </c>
    </row>
    <row r="36" spans="1:5" x14ac:dyDescent="0.25">
      <c r="A36">
        <v>5.3922078074000002</v>
      </c>
      <c r="B36">
        <v>4.1397842792725213E-4</v>
      </c>
      <c r="C36">
        <f t="shared" si="0"/>
        <v>2.6361009501564103E-4</v>
      </c>
      <c r="D36">
        <f t="shared" si="1"/>
        <v>1.503683329116111E-4</v>
      </c>
      <c r="E36">
        <f t="shared" si="2"/>
        <v>2.2610635542617107E-8</v>
      </c>
    </row>
    <row r="37" spans="1:5" x14ac:dyDescent="0.25">
      <c r="A37">
        <v>5.544045434200001</v>
      </c>
      <c r="B37">
        <v>0</v>
      </c>
      <c r="C37">
        <f t="shared" si="0"/>
        <v>1.8658708153001415E-4</v>
      </c>
      <c r="D37">
        <f t="shared" si="1"/>
        <v>-1.8658708153001415E-4</v>
      </c>
      <c r="E37">
        <f t="shared" si="2"/>
        <v>3.4814738993888152E-8</v>
      </c>
    </row>
    <row r="38" spans="1:5" x14ac:dyDescent="0.25">
      <c r="A38">
        <v>5.695883061</v>
      </c>
      <c r="B38">
        <v>0</v>
      </c>
      <c r="C38">
        <f t="shared" si="0"/>
        <v>1.3153379348501356E-4</v>
      </c>
      <c r="D38">
        <f t="shared" si="1"/>
        <v>-1.3153379348501356E-4</v>
      </c>
      <c r="E38">
        <f t="shared" si="2"/>
        <v>1.7301138828558197E-8</v>
      </c>
    </row>
    <row r="39" spans="1:5" x14ac:dyDescent="0.25">
      <c r="A39">
        <v>5.8477206877999999</v>
      </c>
      <c r="B39">
        <v>0</v>
      </c>
      <c r="C39">
        <f t="shared" si="0"/>
        <v>9.2355545443530165E-5</v>
      </c>
      <c r="D39">
        <f t="shared" si="1"/>
        <v>-9.2355545443530165E-5</v>
      </c>
      <c r="E39">
        <f t="shared" si="2"/>
        <v>8.5295467741719657E-9</v>
      </c>
    </row>
    <row r="40" spans="1:5" x14ac:dyDescent="0.25">
      <c r="A40">
        <v>5.9995583145999998</v>
      </c>
      <c r="B40">
        <v>4.1397842792725213E-4</v>
      </c>
      <c r="C40">
        <f t="shared" si="0"/>
        <v>6.4593741307566747E-5</v>
      </c>
      <c r="D40">
        <f t="shared" si="1"/>
        <v>3.4938468661968537E-4</v>
      </c>
      <c r="E40">
        <f t="shared" si="2"/>
        <v>1.2206965924433575E-7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8E1D-CDE0-42F6-A2B3-49922A97662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7.6135681987499995E-2</v>
      </c>
      <c r="B1">
        <v>0.3765969181654597</v>
      </c>
      <c r="C1">
        <f>$H$3*(1+$H$1)*(A1^($H$1))*EXP(-$H$3*(A1^(1+$H$1)))</f>
        <v>0.403011646926693</v>
      </c>
      <c r="D1">
        <f>B1-C1</f>
        <v>-2.6414728761233297E-2</v>
      </c>
      <c r="E1">
        <f>D1^2</f>
        <v>6.9773789552952557E-4</v>
      </c>
      <c r="G1" t="s">
        <v>0</v>
      </c>
      <c r="H1">
        <v>0.42998367343743304</v>
      </c>
    </row>
    <row r="2" spans="1:8" x14ac:dyDescent="0.25">
      <c r="A2">
        <v>0.2220143499625</v>
      </c>
      <c r="B2">
        <v>0.61444760332259218</v>
      </c>
      <c r="C2">
        <f t="shared" ref="C2:C40" si="0">$H$3*(1+$H$1)*(A2^($H$1))*EXP(-$H$3*(A2^(1+$H$1)))</f>
        <v>0.58977783238471759</v>
      </c>
      <c r="D2">
        <f t="shared" ref="D2:D40" si="1">B2-C2</f>
        <v>2.4669770937874591E-2</v>
      </c>
      <c r="E2">
        <f t="shared" ref="E2:E40" si="2">D2^2</f>
        <v>6.0859759812720174E-4</v>
      </c>
    </row>
    <row r="3" spans="1:8" x14ac:dyDescent="0.25">
      <c r="A3">
        <v>0.36789301793750001</v>
      </c>
      <c r="B3">
        <v>0.67261760784471691</v>
      </c>
      <c r="C3">
        <f t="shared" si="0"/>
        <v>0.658260118913086</v>
      </c>
      <c r="D3">
        <f t="shared" si="1"/>
        <v>1.4357488931630913E-2</v>
      </c>
      <c r="E3">
        <f t="shared" si="2"/>
        <v>2.0613748842190417E-4</v>
      </c>
      <c r="G3" t="s">
        <v>1</v>
      </c>
      <c r="H3">
        <f>(_xlfn.GAMMA((2+$H$1)/(1+$H$1)))^(1+$H$1)</f>
        <v>0.87178771008810907</v>
      </c>
    </row>
    <row r="4" spans="1:8" x14ac:dyDescent="0.25">
      <c r="A4">
        <v>0.51377168591250011</v>
      </c>
      <c r="B4">
        <v>0.67477205245664751</v>
      </c>
      <c r="C4">
        <f t="shared" si="0"/>
        <v>0.66879687081525363</v>
      </c>
      <c r="D4">
        <f t="shared" si="1"/>
        <v>5.9751816413938785E-3</v>
      </c>
      <c r="E4">
        <f t="shared" si="2"/>
        <v>3.5702795647650444E-5</v>
      </c>
    </row>
    <row r="5" spans="1:8" x14ac:dyDescent="0.25">
      <c r="A5">
        <v>0.65965035388750004</v>
      </c>
      <c r="B5">
        <v>0.60539893595248384</v>
      </c>
      <c r="C5">
        <f t="shared" si="0"/>
        <v>0.64447820841570869</v>
      </c>
      <c r="D5">
        <f t="shared" si="1"/>
        <v>-3.9079272463224846E-2</v>
      </c>
      <c r="E5">
        <f t="shared" si="2"/>
        <v>1.5271895362549636E-3</v>
      </c>
      <c r="G5" t="s">
        <v>2</v>
      </c>
      <c r="H5">
        <f>SUM(E1:E40)</f>
        <v>5.7201453285902377E-3</v>
      </c>
    </row>
    <row r="6" spans="1:8" x14ac:dyDescent="0.25">
      <c r="A6">
        <v>0.80552902186249997</v>
      </c>
      <c r="B6">
        <v>0.59591937965998942</v>
      </c>
      <c r="C6">
        <f t="shared" si="0"/>
        <v>0.59903971360882058</v>
      </c>
      <c r="D6">
        <f t="shared" si="1"/>
        <v>-3.1203339488311554E-3</v>
      </c>
      <c r="E6">
        <f t="shared" si="2"/>
        <v>9.7364839522282314E-6</v>
      </c>
    </row>
    <row r="7" spans="1:8" x14ac:dyDescent="0.25">
      <c r="A7">
        <v>0.95140768983750013</v>
      </c>
      <c r="B7">
        <v>0.53214781914684528</v>
      </c>
      <c r="C7">
        <f t="shared" si="0"/>
        <v>0.54182391522680973</v>
      </c>
      <c r="D7">
        <f t="shared" si="1"/>
        <v>-9.6760960799644469E-3</v>
      </c>
      <c r="E7">
        <f t="shared" si="2"/>
        <v>9.3626835348703337E-5</v>
      </c>
    </row>
    <row r="8" spans="1:8" x14ac:dyDescent="0.25">
      <c r="A8">
        <v>1.0972863578125001</v>
      </c>
      <c r="B8">
        <v>0.46837625863370103</v>
      </c>
      <c r="C8">
        <f t="shared" si="0"/>
        <v>0.47941578005344476</v>
      </c>
      <c r="D8">
        <f t="shared" si="1"/>
        <v>-1.1039521419743736E-2</v>
      </c>
      <c r="E8">
        <f t="shared" si="2"/>
        <v>1.2187103317698076E-4</v>
      </c>
    </row>
    <row r="9" spans="1:8" x14ac:dyDescent="0.25">
      <c r="A9">
        <v>1.2431650257875</v>
      </c>
      <c r="B9">
        <v>0.44295381221292057</v>
      </c>
      <c r="C9">
        <f t="shared" si="0"/>
        <v>0.41641994816628319</v>
      </c>
      <c r="D9">
        <f t="shared" si="1"/>
        <v>2.6533864046637379E-2</v>
      </c>
      <c r="E9">
        <f t="shared" si="2"/>
        <v>7.0404594124543569E-4</v>
      </c>
    </row>
    <row r="10" spans="1:8" x14ac:dyDescent="0.25">
      <c r="A10">
        <v>1.3890436937624999</v>
      </c>
      <c r="B10">
        <v>0.38176758523409304</v>
      </c>
      <c r="C10">
        <f t="shared" si="0"/>
        <v>0.35594342534952333</v>
      </c>
      <c r="D10">
        <f t="shared" si="1"/>
        <v>2.5824159884569708E-2</v>
      </c>
      <c r="E10">
        <f t="shared" si="2"/>
        <v>6.6688723374381934E-4</v>
      </c>
    </row>
    <row r="11" spans="1:8" x14ac:dyDescent="0.25">
      <c r="A11">
        <v>1.5349223617375003</v>
      </c>
      <c r="B11">
        <v>0.29989868998073221</v>
      </c>
      <c r="C11">
        <f t="shared" si="0"/>
        <v>0.29994950470798387</v>
      </c>
      <c r="D11">
        <f t="shared" si="1"/>
        <v>-5.0814727251657921E-5</v>
      </c>
      <c r="E11">
        <f t="shared" si="2"/>
        <v>2.5821365056603862E-9</v>
      </c>
    </row>
    <row r="12" spans="1:8" x14ac:dyDescent="0.25">
      <c r="A12">
        <v>1.6808010297125002</v>
      </c>
      <c r="B12">
        <v>0.2305255734765686</v>
      </c>
      <c r="C12">
        <f t="shared" si="0"/>
        <v>0.24953863020203593</v>
      </c>
      <c r="D12">
        <f t="shared" si="1"/>
        <v>-1.9013056725467326E-2</v>
      </c>
      <c r="E12">
        <f t="shared" si="2"/>
        <v>3.6149632604583827E-4</v>
      </c>
    </row>
    <row r="13" spans="1:8" x14ac:dyDescent="0.25">
      <c r="A13">
        <v>1.8266796976875002</v>
      </c>
      <c r="B13">
        <v>0.18614401447079931</v>
      </c>
      <c r="C13">
        <f t="shared" si="0"/>
        <v>0.20517695153010432</v>
      </c>
      <c r="D13">
        <f t="shared" si="1"/>
        <v>-1.9032937059305005E-2</v>
      </c>
      <c r="E13">
        <f t="shared" si="2"/>
        <v>3.6225269310346587E-4</v>
      </c>
    </row>
    <row r="14" spans="1:8" x14ac:dyDescent="0.25">
      <c r="A14">
        <v>1.9725583656625001</v>
      </c>
      <c r="B14">
        <v>0.16459956835149384</v>
      </c>
      <c r="C14">
        <f t="shared" si="0"/>
        <v>0.16688175212147149</v>
      </c>
      <c r="D14">
        <f t="shared" si="1"/>
        <v>-2.2821837699776581E-3</v>
      </c>
      <c r="E14">
        <f t="shared" si="2"/>
        <v>5.2083627599494368E-6</v>
      </c>
    </row>
    <row r="15" spans="1:8" x14ac:dyDescent="0.25">
      <c r="A15">
        <v>2.1184370336375</v>
      </c>
      <c r="B15">
        <v>0.12668134318151619</v>
      </c>
      <c r="C15">
        <f t="shared" si="0"/>
        <v>0.13436932881462799</v>
      </c>
      <c r="D15">
        <f t="shared" si="1"/>
        <v>-7.6879856331117935E-3</v>
      </c>
      <c r="E15">
        <f t="shared" si="2"/>
        <v>5.9105123094933346E-5</v>
      </c>
    </row>
    <row r="16" spans="1:8" x14ac:dyDescent="0.25">
      <c r="A16">
        <v>2.2643157016125004</v>
      </c>
      <c r="B16">
        <v>0.10212067460550796</v>
      </c>
      <c r="C16">
        <f t="shared" si="0"/>
        <v>0.10717000541444588</v>
      </c>
      <c r="D16">
        <f t="shared" si="1"/>
        <v>-5.0493308089379213E-3</v>
      </c>
      <c r="E16">
        <f t="shared" si="2"/>
        <v>2.5495741618089682E-5</v>
      </c>
    </row>
    <row r="17" spans="1:5" x14ac:dyDescent="0.25">
      <c r="A17">
        <v>2.4101943695874999</v>
      </c>
      <c r="B17">
        <v>7.540556141756917E-2</v>
      </c>
      <c r="C17">
        <f t="shared" si="0"/>
        <v>8.4714850948435505E-2</v>
      </c>
      <c r="D17">
        <f t="shared" si="1"/>
        <v>-9.3092895308663354E-3</v>
      </c>
      <c r="E17">
        <f t="shared" si="2"/>
        <v>8.6662871569497554E-5</v>
      </c>
    </row>
    <row r="18" spans="1:5" x14ac:dyDescent="0.25">
      <c r="A18">
        <v>2.5560730375625003</v>
      </c>
      <c r="B18">
        <v>7.0665783271321961E-2</v>
      </c>
      <c r="C18">
        <f t="shared" si="0"/>
        <v>6.6398647503688957E-2</v>
      </c>
      <c r="D18">
        <f t="shared" si="1"/>
        <v>4.2671357676330041E-3</v>
      </c>
      <c r="E18">
        <f t="shared" si="2"/>
        <v>1.8208447659412908E-5</v>
      </c>
    </row>
    <row r="19" spans="1:5" x14ac:dyDescent="0.25">
      <c r="A19">
        <v>2.7019517055374997</v>
      </c>
      <c r="B19">
        <v>5.2137559608719249E-2</v>
      </c>
      <c r="C19">
        <f t="shared" si="0"/>
        <v>5.1623491530460627E-2</v>
      </c>
      <c r="D19">
        <f t="shared" si="1"/>
        <v>5.1406807825862127E-4</v>
      </c>
      <c r="E19">
        <f t="shared" si="2"/>
        <v>2.6426598908451195E-7</v>
      </c>
    </row>
    <row r="20" spans="1:5" x14ac:dyDescent="0.25">
      <c r="A20">
        <v>2.8478303735125001</v>
      </c>
      <c r="B20">
        <v>3.533289163566098E-2</v>
      </c>
      <c r="C20">
        <f t="shared" si="0"/>
        <v>3.9827086114427215E-2</v>
      </c>
      <c r="D20">
        <f t="shared" si="1"/>
        <v>-4.494194478766235E-3</v>
      </c>
      <c r="E20">
        <f t="shared" si="2"/>
        <v>2.0197784012972911E-5</v>
      </c>
    </row>
    <row r="21" spans="1:5" x14ac:dyDescent="0.25">
      <c r="A21">
        <v>2.9937090414875005</v>
      </c>
      <c r="B21">
        <v>3.0593113489413775E-2</v>
      </c>
      <c r="C21">
        <f t="shared" si="0"/>
        <v>3.0499329157261657E-2</v>
      </c>
      <c r="D21">
        <f t="shared" si="1"/>
        <v>9.3784332152117844E-5</v>
      </c>
      <c r="E21">
        <f t="shared" si="2"/>
        <v>8.7955009572187642E-9</v>
      </c>
    </row>
    <row r="22" spans="1:5" x14ac:dyDescent="0.25">
      <c r="A22">
        <v>3.1395877094625004</v>
      </c>
      <c r="B22">
        <v>2.9300446722255447E-2</v>
      </c>
      <c r="C22">
        <f t="shared" si="0"/>
        <v>2.3190280377327836E-2</v>
      </c>
      <c r="D22">
        <f t="shared" si="1"/>
        <v>6.110166344927611E-3</v>
      </c>
      <c r="E22">
        <f t="shared" si="2"/>
        <v>3.7334132762686043E-5</v>
      </c>
    </row>
    <row r="23" spans="1:5" x14ac:dyDescent="0.25">
      <c r="A23">
        <v>3.2854663774375004</v>
      </c>
      <c r="B23">
        <v>2.2406223964077696E-2</v>
      </c>
      <c r="C23">
        <f t="shared" si="0"/>
        <v>1.7512050900160517E-2</v>
      </c>
      <c r="D23">
        <f t="shared" si="1"/>
        <v>4.8941730639171788E-3</v>
      </c>
      <c r="E23">
        <f t="shared" si="2"/>
        <v>2.3952929979572467E-5</v>
      </c>
    </row>
    <row r="24" spans="1:5" x14ac:dyDescent="0.25">
      <c r="A24">
        <v>3.4313450454124999</v>
      </c>
      <c r="B24">
        <v>1.5512001205899942E-2</v>
      </c>
      <c r="C24">
        <f t="shared" si="0"/>
        <v>1.3136643039367769E-2</v>
      </c>
      <c r="D24">
        <f t="shared" si="1"/>
        <v>2.3753581665321728E-3</v>
      </c>
      <c r="E24">
        <f t="shared" si="2"/>
        <v>5.6423264193110851E-6</v>
      </c>
    </row>
    <row r="25" spans="1:5" x14ac:dyDescent="0.25">
      <c r="A25">
        <v>3.5772237133875002</v>
      </c>
      <c r="B25">
        <v>1.2064889826811066E-2</v>
      </c>
      <c r="C25">
        <f t="shared" si="0"/>
        <v>9.7913011363836688E-3</v>
      </c>
      <c r="D25">
        <f t="shared" si="1"/>
        <v>2.2735886904273975E-3</v>
      </c>
      <c r="E25">
        <f t="shared" si="2"/>
        <v>5.1692055332393682E-6</v>
      </c>
    </row>
    <row r="26" spans="1:5" x14ac:dyDescent="0.25">
      <c r="A26">
        <v>3.7231023813625002</v>
      </c>
      <c r="B26">
        <v>6.8942227581777525E-3</v>
      </c>
      <c r="C26">
        <f t="shared" si="0"/>
        <v>7.2525314257647199E-3</v>
      </c>
      <c r="D26">
        <f t="shared" si="1"/>
        <v>-3.5830866758696737E-4</v>
      </c>
      <c r="E26">
        <f t="shared" si="2"/>
        <v>1.2838510126794788E-7</v>
      </c>
    </row>
    <row r="27" spans="1:5" x14ac:dyDescent="0.25">
      <c r="A27">
        <v>3.8689810493375005</v>
      </c>
      <c r="B27">
        <v>6.8942227581777525E-3</v>
      </c>
      <c r="C27">
        <f t="shared" si="0"/>
        <v>5.3396147705761111E-3</v>
      </c>
      <c r="D27">
        <f t="shared" si="1"/>
        <v>1.5546079876016415E-3</v>
      </c>
      <c r="E27">
        <f t="shared" si="2"/>
        <v>2.4168059951148256E-6</v>
      </c>
    </row>
    <row r="28" spans="1:5" x14ac:dyDescent="0.25">
      <c r="A28">
        <v>4.0148597173125005</v>
      </c>
      <c r="B28">
        <v>9.479556292494409E-3</v>
      </c>
      <c r="C28">
        <f t="shared" si="0"/>
        <v>3.9081690368701566E-3</v>
      </c>
      <c r="D28">
        <f t="shared" si="1"/>
        <v>5.5713872556242524E-3</v>
      </c>
      <c r="E28">
        <f t="shared" si="2"/>
        <v>3.104035595213234E-5</v>
      </c>
    </row>
    <row r="29" spans="1:5" x14ac:dyDescent="0.25">
      <c r="A29">
        <v>4.1607383852875</v>
      </c>
      <c r="B29">
        <v>4.3088892238610952E-3</v>
      </c>
      <c r="C29">
        <f t="shared" si="0"/>
        <v>2.8441118853143573E-3</v>
      </c>
      <c r="D29">
        <f t="shared" si="1"/>
        <v>1.464777338546738E-3</v>
      </c>
      <c r="E29">
        <f t="shared" si="2"/>
        <v>2.1455726515200649E-6</v>
      </c>
    </row>
    <row r="30" spans="1:5" x14ac:dyDescent="0.25">
      <c r="A30">
        <v>4.3066170532624994</v>
      </c>
      <c r="B30">
        <v>2.5853335343166573E-3</v>
      </c>
      <c r="C30">
        <f t="shared" si="0"/>
        <v>2.0582216283840421E-3</v>
      </c>
      <c r="D30">
        <f t="shared" si="1"/>
        <v>5.271119059326152E-4</v>
      </c>
      <c r="E30">
        <f t="shared" si="2"/>
        <v>2.7784696137591418E-7</v>
      </c>
    </row>
    <row r="31" spans="1:5" x14ac:dyDescent="0.25">
      <c r="A31">
        <v>4.4524957212375007</v>
      </c>
      <c r="B31">
        <v>2.5853335343166573E-3</v>
      </c>
      <c r="C31">
        <f t="shared" si="0"/>
        <v>1.4813845032292002E-3</v>
      </c>
      <c r="D31">
        <f t="shared" si="1"/>
        <v>1.1039490310874572E-3</v>
      </c>
      <c r="E31">
        <f t="shared" si="2"/>
        <v>1.2187034632389355E-6</v>
      </c>
    </row>
    <row r="32" spans="1:5" x14ac:dyDescent="0.25">
      <c r="A32">
        <v>4.5983743892125002</v>
      </c>
      <c r="B32">
        <v>8.6177784477221907E-4</v>
      </c>
      <c r="C32">
        <f t="shared" si="0"/>
        <v>1.0605423969029446E-3</v>
      </c>
      <c r="D32">
        <f t="shared" si="1"/>
        <v>-1.9876455213072551E-4</v>
      </c>
      <c r="E32">
        <f t="shared" si="2"/>
        <v>3.9507347183727897E-8</v>
      </c>
    </row>
    <row r="33" spans="1:5" x14ac:dyDescent="0.25">
      <c r="A33">
        <v>4.7442530571874997</v>
      </c>
      <c r="B33">
        <v>8.6177784477221907E-4</v>
      </c>
      <c r="C33">
        <f t="shared" si="0"/>
        <v>7.5530767677765723E-4</v>
      </c>
      <c r="D33">
        <f t="shared" si="1"/>
        <v>1.0647016799456184E-4</v>
      </c>
      <c r="E33">
        <f t="shared" si="2"/>
        <v>1.1335896672790221E-8</v>
      </c>
    </row>
    <row r="34" spans="1:5" x14ac:dyDescent="0.25">
      <c r="A34">
        <v>4.8901317251624992</v>
      </c>
      <c r="B34">
        <v>8.6177784477221907E-4</v>
      </c>
      <c r="C34">
        <f t="shared" si="0"/>
        <v>5.3518437545146567E-4</v>
      </c>
      <c r="D34">
        <f t="shared" si="1"/>
        <v>3.265934693207534E-4</v>
      </c>
      <c r="E34">
        <f t="shared" si="2"/>
        <v>1.0666329420296589E-7</v>
      </c>
    </row>
    <row r="35" spans="1:5" x14ac:dyDescent="0.25">
      <c r="A35">
        <v>5.0360103931375004</v>
      </c>
      <c r="B35">
        <v>4.3088892238610953E-4</v>
      </c>
      <c r="C35">
        <f t="shared" si="0"/>
        <v>3.7732181931196285E-4</v>
      </c>
      <c r="D35">
        <f t="shared" si="1"/>
        <v>5.3567103074146681E-5</v>
      </c>
      <c r="E35">
        <f t="shared" si="2"/>
        <v>2.8694345317562548E-9</v>
      </c>
    </row>
    <row r="36" spans="1:5" x14ac:dyDescent="0.25">
      <c r="A36">
        <v>5.1818890611125008</v>
      </c>
      <c r="B36">
        <v>4.3088892238610953E-4</v>
      </c>
      <c r="C36">
        <f t="shared" si="0"/>
        <v>2.6472331690735292E-4</v>
      </c>
      <c r="D36">
        <f t="shared" si="1"/>
        <v>1.6616560547875662E-4</v>
      </c>
      <c r="E36">
        <f t="shared" si="2"/>
        <v>2.7611008444121792E-8</v>
      </c>
    </row>
    <row r="37" spans="1:5" x14ac:dyDescent="0.25">
      <c r="A37">
        <v>5.3277677290875012</v>
      </c>
      <c r="B37">
        <v>0</v>
      </c>
      <c r="C37">
        <f t="shared" si="0"/>
        <v>1.8483524846215352E-4</v>
      </c>
      <c r="D37">
        <f t="shared" si="1"/>
        <v>-1.8483524846215352E-4</v>
      </c>
      <c r="E37">
        <f t="shared" si="2"/>
        <v>3.4164069074066023E-8</v>
      </c>
    </row>
    <row r="38" spans="1:5" x14ac:dyDescent="0.25">
      <c r="A38">
        <v>5.4736463970625007</v>
      </c>
      <c r="B38">
        <v>0</v>
      </c>
      <c r="C38">
        <f t="shared" si="0"/>
        <v>1.2844824603836915E-4</v>
      </c>
      <c r="D38">
        <f t="shared" si="1"/>
        <v>-1.2844824603836915E-4</v>
      </c>
      <c r="E38">
        <f t="shared" si="2"/>
        <v>1.6498951910333415E-8</v>
      </c>
    </row>
    <row r="39" spans="1:5" x14ac:dyDescent="0.25">
      <c r="A39">
        <v>5.6195250650375002</v>
      </c>
      <c r="B39">
        <v>0</v>
      </c>
      <c r="C39">
        <f t="shared" si="0"/>
        <v>8.8850298097337401E-5</v>
      </c>
      <c r="D39">
        <f t="shared" si="1"/>
        <v>-8.8850298097337401E-5</v>
      </c>
      <c r="E39">
        <f t="shared" si="2"/>
        <v>7.8943754719857187E-9</v>
      </c>
    </row>
    <row r="40" spans="1:5" x14ac:dyDescent="0.25">
      <c r="A40">
        <v>5.7654037330124996</v>
      </c>
      <c r="B40">
        <v>4.3088892238610953E-4</v>
      </c>
      <c r="C40">
        <f t="shared" si="0"/>
        <v>6.1180315280610112E-5</v>
      </c>
      <c r="D40">
        <f t="shared" si="1"/>
        <v>3.697086071054994E-4</v>
      </c>
      <c r="E40">
        <f t="shared" si="2"/>
        <v>1.3668445416788851E-7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0F1F-08AD-43DE-9952-01987419691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7.137557257499999E-2</v>
      </c>
      <c r="B1">
        <v>0.3236004210686943</v>
      </c>
      <c r="C1">
        <f>$H$3*(1+$H$1)*(A1^($H$1))*EXP(-$H$3*(A1^(1+$H$1)))</f>
        <v>0.35117649372647569</v>
      </c>
      <c r="D1">
        <f>B1-C1</f>
        <v>-2.7576072657781392E-2</v>
      </c>
      <c r="E1">
        <f>D1^2</f>
        <v>7.6043978322723851E-4</v>
      </c>
      <c r="G1" t="s">
        <v>0</v>
      </c>
      <c r="H1">
        <v>0.48239371460191738</v>
      </c>
    </row>
    <row r="2" spans="1:8" x14ac:dyDescent="0.25">
      <c r="A2">
        <v>0.21161106372499999</v>
      </c>
      <c r="B2">
        <v>0.57145503720579671</v>
      </c>
      <c r="C2">
        <f t="shared" ref="C2:C40" si="0">$H$3*(1+$H$1)*(A2^($H$1))*EXP(-$H$3*(A2^(1+$H$1)))</f>
        <v>0.55368933578543233</v>
      </c>
      <c r="D2">
        <f t="shared" ref="D2:D40" si="1">B2-C2</f>
        <v>1.7765701420364377E-2</v>
      </c>
      <c r="E2">
        <f t="shared" ref="E2:E40" si="2">D2^2</f>
        <v>3.1562014695753687E-4</v>
      </c>
    </row>
    <row r="3" spans="1:8" x14ac:dyDescent="0.25">
      <c r="A3">
        <v>0.35184655487499999</v>
      </c>
      <c r="B3">
        <v>0.63420304129113902</v>
      </c>
      <c r="C3">
        <f t="shared" si="0"/>
        <v>0.64224250147638096</v>
      </c>
      <c r="D3">
        <f t="shared" si="1"/>
        <v>-8.0394601852419312E-3</v>
      </c>
      <c r="E3">
        <f t="shared" si="2"/>
        <v>6.4632920070090225E-5</v>
      </c>
      <c r="G3" t="s">
        <v>1</v>
      </c>
      <c r="H3">
        <f>(_xlfn.GAMMA((2+$H$1)/(1+$H$1)))^(1+$H$1)</f>
        <v>0.86113874333509099</v>
      </c>
    </row>
    <row r="4" spans="1:8" x14ac:dyDescent="0.25">
      <c r="A4">
        <v>0.492082046025</v>
      </c>
      <c r="B4">
        <v>0.73370344776932483</v>
      </c>
      <c r="C4">
        <f t="shared" si="0"/>
        <v>0.67105699603864044</v>
      </c>
      <c r="D4">
        <f t="shared" si="1"/>
        <v>6.2646451730684394E-2</v>
      </c>
      <c r="E4">
        <f t="shared" si="2"/>
        <v>3.9245779144449697E-3</v>
      </c>
    </row>
    <row r="5" spans="1:8" x14ac:dyDescent="0.25">
      <c r="A5">
        <v>0.63231753717500006</v>
      </c>
      <c r="B5">
        <v>0.61851604026980345</v>
      </c>
      <c r="C5">
        <f t="shared" si="0"/>
        <v>0.66136480426666411</v>
      </c>
      <c r="D5">
        <f t="shared" si="1"/>
        <v>-4.2848763996860662E-2</v>
      </c>
      <c r="E5">
        <f t="shared" si="2"/>
        <v>1.8360165760586624E-3</v>
      </c>
      <c r="G5" t="s">
        <v>2</v>
      </c>
      <c r="H5">
        <f>SUM(E1:E40)</f>
        <v>9.6322571307934368E-3</v>
      </c>
    </row>
    <row r="6" spans="1:8" x14ac:dyDescent="0.25">
      <c r="A6">
        <v>0.77255302832499995</v>
      </c>
      <c r="B6">
        <v>0.61358583994881233</v>
      </c>
      <c r="C6">
        <f t="shared" si="0"/>
        <v>0.62642143552626317</v>
      </c>
      <c r="D6">
        <f t="shared" si="1"/>
        <v>-1.2835595577450842E-2</v>
      </c>
      <c r="E6">
        <f t="shared" si="2"/>
        <v>1.6475251382787562E-4</v>
      </c>
    </row>
    <row r="7" spans="1:8" x14ac:dyDescent="0.25">
      <c r="A7">
        <v>0.91278851947499995</v>
      </c>
      <c r="B7">
        <v>0.56697303691398648</v>
      </c>
      <c r="C7">
        <f t="shared" si="0"/>
        <v>0.57576946399366913</v>
      </c>
      <c r="D7">
        <f t="shared" si="1"/>
        <v>-8.7964270796826449E-3</v>
      </c>
      <c r="E7">
        <f t="shared" si="2"/>
        <v>7.7377129368174147E-5</v>
      </c>
    </row>
    <row r="8" spans="1:8" x14ac:dyDescent="0.25">
      <c r="A8">
        <v>1.053024010625</v>
      </c>
      <c r="B8">
        <v>0.50063943259519605</v>
      </c>
      <c r="C8">
        <f t="shared" si="0"/>
        <v>0.51654008022389741</v>
      </c>
      <c r="D8">
        <f t="shared" si="1"/>
        <v>-1.5900647628701359E-2</v>
      </c>
      <c r="E8">
        <f t="shared" si="2"/>
        <v>2.5283059501212616E-4</v>
      </c>
    </row>
    <row r="9" spans="1:8" x14ac:dyDescent="0.25">
      <c r="A9">
        <v>1.1932595017750001</v>
      </c>
      <c r="B9">
        <v>0.44820002918101703</v>
      </c>
      <c r="C9">
        <f t="shared" si="0"/>
        <v>0.45402931430491078</v>
      </c>
      <c r="D9">
        <f t="shared" si="1"/>
        <v>-5.829285123893746E-3</v>
      </c>
      <c r="E9">
        <f t="shared" si="2"/>
        <v>3.3980565055648928E-5</v>
      </c>
    </row>
    <row r="10" spans="1:8" x14ac:dyDescent="0.25">
      <c r="A10">
        <v>1.333494992925</v>
      </c>
      <c r="B10">
        <v>0.42399722760524211</v>
      </c>
      <c r="C10">
        <f t="shared" si="0"/>
        <v>0.39205402205391032</v>
      </c>
      <c r="D10">
        <f t="shared" si="1"/>
        <v>3.1943205551331788E-2</v>
      </c>
      <c r="E10">
        <f t="shared" si="2"/>
        <v>1.020368380894634E-3</v>
      </c>
    </row>
    <row r="11" spans="1:8" x14ac:dyDescent="0.25">
      <c r="A11">
        <v>1.4737304840749998</v>
      </c>
      <c r="B11">
        <v>0.34690682258610717</v>
      </c>
      <c r="C11">
        <f t="shared" si="0"/>
        <v>0.3332293681152127</v>
      </c>
      <c r="D11">
        <f t="shared" si="1"/>
        <v>1.3677454470894468E-2</v>
      </c>
      <c r="E11">
        <f t="shared" si="2"/>
        <v>1.8707276080339106E-4</v>
      </c>
    </row>
    <row r="12" spans="1:8" x14ac:dyDescent="0.25">
      <c r="A12">
        <v>1.6139659752250002</v>
      </c>
      <c r="B12">
        <v>0.26981641756697222</v>
      </c>
      <c r="C12">
        <f t="shared" si="0"/>
        <v>0.27920905888168995</v>
      </c>
      <c r="D12">
        <f t="shared" si="1"/>
        <v>-9.3926413147177312E-3</v>
      </c>
      <c r="E12">
        <f t="shared" si="2"/>
        <v>8.8221710866942426E-5</v>
      </c>
    </row>
    <row r="13" spans="1:8" x14ac:dyDescent="0.25">
      <c r="A13">
        <v>1.7542014663750001</v>
      </c>
      <c r="B13">
        <v>0.20796481353999188</v>
      </c>
      <c r="C13">
        <f t="shared" si="0"/>
        <v>0.23089837508523212</v>
      </c>
      <c r="D13">
        <f t="shared" si="1"/>
        <v>-2.2933561545240233E-2</v>
      </c>
      <c r="E13">
        <f t="shared" si="2"/>
        <v>5.2594824514932156E-4</v>
      </c>
    </row>
    <row r="14" spans="1:8" x14ac:dyDescent="0.25">
      <c r="A14">
        <v>1.894436957525</v>
      </c>
      <c r="B14">
        <v>0.18958861234357019</v>
      </c>
      <c r="C14">
        <f t="shared" si="0"/>
        <v>0.18864075641660699</v>
      </c>
      <c r="D14">
        <f t="shared" si="1"/>
        <v>9.4785592696319809E-4</v>
      </c>
      <c r="E14">
        <f t="shared" si="2"/>
        <v>8.9843085827926355E-7</v>
      </c>
    </row>
    <row r="15" spans="1:8" x14ac:dyDescent="0.25">
      <c r="A15">
        <v>2.0346724486749999</v>
      </c>
      <c r="B15">
        <v>0.14969880974645969</v>
      </c>
      <c r="C15">
        <f t="shared" si="0"/>
        <v>0.15237693153683193</v>
      </c>
      <c r="D15">
        <f t="shared" si="1"/>
        <v>-2.6781217903722454E-3</v>
      </c>
      <c r="E15">
        <f t="shared" si="2"/>
        <v>7.1723363240666411E-6</v>
      </c>
    </row>
    <row r="16" spans="1:8" x14ac:dyDescent="0.25">
      <c r="A16">
        <v>2.1749079398250002</v>
      </c>
      <c r="B16">
        <v>0.11160180726607323</v>
      </c>
      <c r="C16">
        <f t="shared" si="0"/>
        <v>0.12177632938948535</v>
      </c>
      <c r="D16">
        <f t="shared" si="1"/>
        <v>-1.0174522123412119E-2</v>
      </c>
      <c r="E16">
        <f t="shared" si="2"/>
        <v>1.0352090043980266E-4</v>
      </c>
    </row>
    <row r="17" spans="1:5" x14ac:dyDescent="0.25">
      <c r="A17">
        <v>2.3151434309750001</v>
      </c>
      <c r="B17">
        <v>8.739900569029832E-2</v>
      </c>
      <c r="C17">
        <f t="shared" si="0"/>
        <v>9.6341833964214862E-2</v>
      </c>
      <c r="D17">
        <f t="shared" si="1"/>
        <v>-8.9428282739165421E-3</v>
      </c>
      <c r="E17">
        <f t="shared" si="2"/>
        <v>7.9974177536761121E-5</v>
      </c>
    </row>
    <row r="18" spans="1:5" x14ac:dyDescent="0.25">
      <c r="A18">
        <v>2.455378922125</v>
      </c>
      <c r="B18">
        <v>7.5745804931591873E-2</v>
      </c>
      <c r="C18">
        <f t="shared" si="0"/>
        <v>7.5490123381549992E-2</v>
      </c>
      <c r="D18">
        <f t="shared" si="1"/>
        <v>2.5568155004188076E-4</v>
      </c>
      <c r="E18">
        <f t="shared" si="2"/>
        <v>6.537305503181878E-8</v>
      </c>
    </row>
    <row r="19" spans="1:5" x14ac:dyDescent="0.25">
      <c r="A19">
        <v>2.5956144132749999</v>
      </c>
      <c r="B19">
        <v>5.4680403560084079E-2</v>
      </c>
      <c r="C19">
        <f t="shared" si="0"/>
        <v>5.8610628295376381E-2</v>
      </c>
      <c r="D19">
        <f t="shared" si="1"/>
        <v>-3.9302247352923023E-3</v>
      </c>
      <c r="E19">
        <f t="shared" si="2"/>
        <v>1.5446666469903446E-5</v>
      </c>
    </row>
    <row r="20" spans="1:5" x14ac:dyDescent="0.25">
      <c r="A20">
        <v>2.7358499044249998</v>
      </c>
      <c r="B20">
        <v>4.2579002772196617E-2</v>
      </c>
      <c r="C20">
        <f t="shared" si="0"/>
        <v>4.5106530795788663E-2</v>
      </c>
      <c r="D20">
        <f t="shared" si="1"/>
        <v>-2.5275280235920461E-3</v>
      </c>
      <c r="E20">
        <f t="shared" si="2"/>
        <v>6.3883979100431148E-6</v>
      </c>
    </row>
    <row r="21" spans="1:5" x14ac:dyDescent="0.25">
      <c r="A21">
        <v>2.8760853955750001</v>
      </c>
      <c r="B21">
        <v>2.9581201925947122E-2</v>
      </c>
      <c r="C21">
        <f t="shared" si="0"/>
        <v>3.4421268123706987E-2</v>
      </c>
      <c r="D21">
        <f t="shared" si="1"/>
        <v>-4.8400661977598645E-3</v>
      </c>
      <c r="E21">
        <f t="shared" si="2"/>
        <v>2.3426240798697631E-5</v>
      </c>
    </row>
    <row r="22" spans="1:5" x14ac:dyDescent="0.25">
      <c r="A22">
        <v>3.0163208867250004</v>
      </c>
      <c r="B22">
        <v>3.4063202217757292E-2</v>
      </c>
      <c r="C22">
        <f t="shared" si="0"/>
        <v>2.6053798719254551E-2</v>
      </c>
      <c r="D22">
        <f t="shared" si="1"/>
        <v>8.0094034985027408E-3</v>
      </c>
      <c r="E22">
        <f t="shared" si="2"/>
        <v>6.415054440182794E-5</v>
      </c>
    </row>
    <row r="23" spans="1:5" x14ac:dyDescent="0.25">
      <c r="A23">
        <v>3.1565563778749999</v>
      </c>
      <c r="B23">
        <v>2.4651001604955935E-2</v>
      </c>
      <c r="C23">
        <f t="shared" si="0"/>
        <v>1.9565523757023369E-2</v>
      </c>
      <c r="D23">
        <f t="shared" si="1"/>
        <v>5.0854778479325659E-3</v>
      </c>
      <c r="E23">
        <f t="shared" si="2"/>
        <v>2.5862084941812841E-5</v>
      </c>
    </row>
    <row r="24" spans="1:5" x14ac:dyDescent="0.25">
      <c r="A24">
        <v>3.2967918690250002</v>
      </c>
      <c r="B24">
        <v>1.8824401225602715E-2</v>
      </c>
      <c r="C24">
        <f t="shared" si="0"/>
        <v>1.4581313756294271E-2</v>
      </c>
      <c r="D24">
        <f t="shared" si="1"/>
        <v>4.2430874693084441E-3</v>
      </c>
      <c r="E24">
        <f t="shared" si="2"/>
        <v>1.8003791272202336E-5</v>
      </c>
    </row>
    <row r="25" spans="1:5" x14ac:dyDescent="0.25">
      <c r="A25">
        <v>3.4370273601749997</v>
      </c>
      <c r="B25">
        <v>1.0308600671163392E-2</v>
      </c>
      <c r="C25">
        <f t="shared" si="0"/>
        <v>1.0786626957104445E-2</v>
      </c>
      <c r="D25">
        <f t="shared" si="1"/>
        <v>-4.7802628594105327E-4</v>
      </c>
      <c r="E25">
        <f t="shared" si="2"/>
        <v>2.2850913005059761E-7</v>
      </c>
    </row>
    <row r="26" spans="1:5" x14ac:dyDescent="0.25">
      <c r="A26">
        <v>3.577262851325</v>
      </c>
      <c r="B26">
        <v>9.8604006419823736E-3</v>
      </c>
      <c r="C26">
        <f t="shared" si="0"/>
        <v>7.9222653340817878E-3</v>
      </c>
      <c r="D26">
        <f t="shared" si="1"/>
        <v>1.9381353079005858E-3</v>
      </c>
      <c r="E26">
        <f t="shared" si="2"/>
        <v>3.7563684717308986E-6</v>
      </c>
    </row>
    <row r="27" spans="1:5" x14ac:dyDescent="0.25">
      <c r="A27">
        <v>3.7174983424750003</v>
      </c>
      <c r="B27">
        <v>8.964000583620341E-3</v>
      </c>
      <c r="C27">
        <f t="shared" si="0"/>
        <v>5.777920721380842E-3</v>
      </c>
      <c r="D27">
        <f t="shared" si="1"/>
        <v>3.1860798622394991E-3</v>
      </c>
      <c r="E27">
        <f t="shared" si="2"/>
        <v>1.0151104888568066E-5</v>
      </c>
    </row>
    <row r="28" spans="1:5" x14ac:dyDescent="0.25">
      <c r="A28">
        <v>3.8577338336249998</v>
      </c>
      <c r="B28">
        <v>7.1712004668962725E-3</v>
      </c>
      <c r="C28">
        <f t="shared" si="0"/>
        <v>4.1853301357004571E-3</v>
      </c>
      <c r="D28">
        <f t="shared" si="1"/>
        <v>2.9858703311958154E-3</v>
      </c>
      <c r="E28">
        <f t="shared" si="2"/>
        <v>8.915421634715408E-6</v>
      </c>
    </row>
    <row r="29" spans="1:5" x14ac:dyDescent="0.25">
      <c r="A29">
        <v>3.9979693247749997</v>
      </c>
      <c r="B29">
        <v>5.8266003793532211E-3</v>
      </c>
      <c r="C29">
        <f t="shared" si="0"/>
        <v>3.011589280890218E-3</v>
      </c>
      <c r="D29">
        <f t="shared" si="1"/>
        <v>2.815011098463003E-3</v>
      </c>
      <c r="E29">
        <f t="shared" si="2"/>
        <v>7.9242874844698835E-6</v>
      </c>
    </row>
    <row r="30" spans="1:5" x14ac:dyDescent="0.25">
      <c r="A30">
        <v>4.1382048159250004</v>
      </c>
      <c r="B30">
        <v>3.5856002334481362E-3</v>
      </c>
      <c r="C30">
        <f t="shared" si="0"/>
        <v>2.152963435203512E-3</v>
      </c>
      <c r="D30">
        <f t="shared" si="1"/>
        <v>1.4326367982446242E-3</v>
      </c>
      <c r="E30">
        <f t="shared" si="2"/>
        <v>2.0524481956846081E-6</v>
      </c>
    </row>
    <row r="31" spans="1:5" x14ac:dyDescent="0.25">
      <c r="A31">
        <v>4.2784403070749999</v>
      </c>
      <c r="B31">
        <v>2.689200175086102E-3</v>
      </c>
      <c r="C31">
        <f t="shared" si="0"/>
        <v>1.5293788053477946E-3</v>
      </c>
      <c r="D31">
        <f t="shared" si="1"/>
        <v>1.1598213697383074E-3</v>
      </c>
      <c r="E31">
        <f t="shared" si="2"/>
        <v>1.3451856097016434E-6</v>
      </c>
    </row>
    <row r="32" spans="1:5" x14ac:dyDescent="0.25">
      <c r="A32">
        <v>4.4186757982250002</v>
      </c>
      <c r="B32">
        <v>1.7928001167240681E-3</v>
      </c>
      <c r="C32">
        <f t="shared" si="0"/>
        <v>1.0796665650412681E-3</v>
      </c>
      <c r="D32">
        <f t="shared" si="1"/>
        <v>7.1313355168280005E-4</v>
      </c>
      <c r="E32">
        <f t="shared" si="2"/>
        <v>5.0855946253572484E-7</v>
      </c>
    </row>
    <row r="33" spans="1:5" x14ac:dyDescent="0.25">
      <c r="A33">
        <v>4.5589112893750006</v>
      </c>
      <c r="B33">
        <v>4.4820002918101703E-4</v>
      </c>
      <c r="C33">
        <f t="shared" si="0"/>
        <v>7.5755737130075399E-4</v>
      </c>
      <c r="D33">
        <f t="shared" si="1"/>
        <v>-3.0935734211973696E-4</v>
      </c>
      <c r="E33">
        <f t="shared" si="2"/>
        <v>9.5701965123387975E-8</v>
      </c>
    </row>
    <row r="34" spans="1:5" x14ac:dyDescent="0.25">
      <c r="A34">
        <v>4.699146780525</v>
      </c>
      <c r="B34">
        <v>4.4820002918101703E-4</v>
      </c>
      <c r="C34">
        <f t="shared" si="0"/>
        <v>5.2837784987288855E-4</v>
      </c>
      <c r="D34">
        <f t="shared" si="1"/>
        <v>-8.0177820691871519E-5</v>
      </c>
      <c r="E34">
        <f t="shared" si="2"/>
        <v>6.4284829308979006E-9</v>
      </c>
    </row>
    <row r="35" spans="1:5" x14ac:dyDescent="0.25">
      <c r="A35">
        <v>4.8393822716750003</v>
      </c>
      <c r="B35">
        <v>8.9640005836203406E-4</v>
      </c>
      <c r="C35">
        <f t="shared" si="0"/>
        <v>3.6637503332662022E-4</v>
      </c>
      <c r="D35">
        <f t="shared" si="1"/>
        <v>5.3002502503541379E-4</v>
      </c>
      <c r="E35">
        <f t="shared" si="2"/>
        <v>2.8092652716379099E-7</v>
      </c>
    </row>
    <row r="36" spans="1:5" x14ac:dyDescent="0.25">
      <c r="A36">
        <v>4.9796177628249998</v>
      </c>
      <c r="B36">
        <v>4.4820002918101703E-4</v>
      </c>
      <c r="C36">
        <f t="shared" si="0"/>
        <v>2.5258390398955955E-4</v>
      </c>
      <c r="D36">
        <f t="shared" si="1"/>
        <v>1.9561612519145748E-4</v>
      </c>
      <c r="E36">
        <f t="shared" si="2"/>
        <v>3.8265668434919966E-8</v>
      </c>
    </row>
    <row r="37" spans="1:5" x14ac:dyDescent="0.25">
      <c r="A37">
        <v>5.1198532539750001</v>
      </c>
      <c r="B37">
        <v>0</v>
      </c>
      <c r="C37">
        <f t="shared" si="0"/>
        <v>1.7315216273334786E-4</v>
      </c>
      <c r="D37">
        <f t="shared" si="1"/>
        <v>-1.7315216273334786E-4</v>
      </c>
      <c r="E37">
        <f t="shared" si="2"/>
        <v>2.9981671459235781E-8</v>
      </c>
    </row>
    <row r="38" spans="1:5" x14ac:dyDescent="0.25">
      <c r="A38">
        <v>5.2600887451249996</v>
      </c>
      <c r="B38">
        <v>0</v>
      </c>
      <c r="C38">
        <f t="shared" si="0"/>
        <v>1.1804138902100609E-4</v>
      </c>
      <c r="D38">
        <f t="shared" si="1"/>
        <v>-1.1804138902100609E-4</v>
      </c>
      <c r="E38">
        <f t="shared" si="2"/>
        <v>1.3933769522008497E-8</v>
      </c>
    </row>
    <row r="39" spans="1:5" x14ac:dyDescent="0.25">
      <c r="A39">
        <v>5.400324236274999</v>
      </c>
      <c r="B39">
        <v>0</v>
      </c>
      <c r="C39">
        <f t="shared" si="0"/>
        <v>8.0032152213640925E-5</v>
      </c>
      <c r="D39">
        <f t="shared" si="1"/>
        <v>-8.0032152213640925E-5</v>
      </c>
      <c r="E39">
        <f t="shared" si="2"/>
        <v>6.4051453879473897E-9</v>
      </c>
    </row>
    <row r="40" spans="1:5" x14ac:dyDescent="0.25">
      <c r="A40">
        <v>5.5405597274250002</v>
      </c>
      <c r="B40">
        <v>4.4820002918101703E-4</v>
      </c>
      <c r="C40">
        <f t="shared" si="0"/>
        <v>5.3970475596842297E-5</v>
      </c>
      <c r="D40">
        <f t="shared" si="1"/>
        <v>3.9422955358417471E-4</v>
      </c>
      <c r="E40">
        <f t="shared" si="2"/>
        <v>1.5541694091917767E-7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DF78-CD1E-41A9-A6C1-264ED8A2C37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7.1326614774999991E-2</v>
      </c>
      <c r="B1">
        <v>0.29493305674808862</v>
      </c>
      <c r="C1">
        <f>$H$3*(1+$H$1)*(A1^($H$1))*EXP(-$H$3*(A1^(1+$H$1)))</f>
        <v>0.31514192611953901</v>
      </c>
      <c r="D1">
        <f>B1-C1</f>
        <v>-2.0208869371450389E-2</v>
      </c>
      <c r="E1">
        <f>D1^2</f>
        <v>4.0839840127234562E-4</v>
      </c>
      <c r="G1" t="s">
        <v>0</v>
      </c>
      <c r="H1">
        <v>0.53253452919291855</v>
      </c>
    </row>
    <row r="2" spans="1:8" x14ac:dyDescent="0.25">
      <c r="A2">
        <v>0.206021388325</v>
      </c>
      <c r="B2">
        <v>0.52593284011882258</v>
      </c>
      <c r="C2">
        <f t="shared" ref="C2:C40" si="0">$H$3*(1+$H$1)*(A2^($H$1))*EXP(-$H$3*(A2^(1+$H$1)))</f>
        <v>0.52171856419073337</v>
      </c>
      <c r="D2">
        <f t="shared" ref="D2:D40" si="1">B2-C2</f>
        <v>4.2142759280892061E-3</v>
      </c>
      <c r="E2">
        <f t="shared" ref="E2:E40" si="2">D2^2</f>
        <v>1.7760121598072139E-5</v>
      </c>
    </row>
    <row r="3" spans="1:8" x14ac:dyDescent="0.25">
      <c r="A3">
        <v>0.34071616187499998</v>
      </c>
      <c r="B3">
        <v>0.61926608592517973</v>
      </c>
      <c r="C3">
        <f t="shared" si="0"/>
        <v>0.62461702176220246</v>
      </c>
      <c r="D3">
        <f t="shared" si="1"/>
        <v>-5.35093583702273E-3</v>
      </c>
      <c r="E3">
        <f t="shared" si="2"/>
        <v>2.8632514331934146E-5</v>
      </c>
      <c r="G3" t="s">
        <v>1</v>
      </c>
      <c r="H3">
        <f>(_xlfn.GAMMA((2+$H$1)/(1+$H$1)))^(1+$H$1)</f>
        <v>0.85161726469046328</v>
      </c>
    </row>
    <row r="4" spans="1:8" x14ac:dyDescent="0.25">
      <c r="A4">
        <v>0.47541093542500001</v>
      </c>
      <c r="B4">
        <v>0.71353266418960049</v>
      </c>
      <c r="C4">
        <f t="shared" si="0"/>
        <v>0.66887411764730043</v>
      </c>
      <c r="D4">
        <f t="shared" si="1"/>
        <v>4.4658546542300059E-2</v>
      </c>
      <c r="E4">
        <f t="shared" si="2"/>
        <v>1.9943857792707807E-3</v>
      </c>
    </row>
    <row r="5" spans="1:8" x14ac:dyDescent="0.25">
      <c r="A5">
        <v>0.61010570897499994</v>
      </c>
      <c r="B5">
        <v>0.67339936849286686</v>
      </c>
      <c r="C5">
        <f t="shared" si="0"/>
        <v>0.67287341833209335</v>
      </c>
      <c r="D5">
        <f t="shared" si="1"/>
        <v>5.2595016077350287E-4</v>
      </c>
      <c r="E5">
        <f t="shared" si="2"/>
        <v>2.7662357161767351E-7</v>
      </c>
      <c r="G5" t="s">
        <v>2</v>
      </c>
      <c r="H5">
        <f>SUM(E1:E40)</f>
        <v>4.8586071693105786E-3</v>
      </c>
    </row>
    <row r="6" spans="1:8" x14ac:dyDescent="0.25">
      <c r="A6">
        <v>0.74480048252500008</v>
      </c>
      <c r="B6">
        <v>0.64306606360580088</v>
      </c>
      <c r="C6">
        <f t="shared" si="0"/>
        <v>0.64870464568857356</v>
      </c>
      <c r="D6">
        <f t="shared" si="1"/>
        <v>-5.6385820827726807E-3</v>
      </c>
      <c r="E6">
        <f t="shared" si="2"/>
        <v>3.1793607904165102E-5</v>
      </c>
    </row>
    <row r="7" spans="1:8" x14ac:dyDescent="0.25">
      <c r="A7">
        <v>0.87949525607500001</v>
      </c>
      <c r="B7">
        <v>0.58286612006070049</v>
      </c>
      <c r="C7">
        <f t="shared" si="0"/>
        <v>0.60558246038726238</v>
      </c>
      <c r="D7">
        <f t="shared" si="1"/>
        <v>-2.271634032656189E-2</v>
      </c>
      <c r="E7">
        <f t="shared" si="2"/>
        <v>5.1603211783218198E-4</v>
      </c>
    </row>
    <row r="8" spans="1:8" x14ac:dyDescent="0.25">
      <c r="A8">
        <v>1.0141900296249999</v>
      </c>
      <c r="B8">
        <v>0.53339949978333112</v>
      </c>
      <c r="C8">
        <f t="shared" si="0"/>
        <v>0.55079172029447654</v>
      </c>
      <c r="D8">
        <f t="shared" si="1"/>
        <v>-1.7392220511145418E-2</v>
      </c>
      <c r="E8">
        <f t="shared" si="2"/>
        <v>3.0248933430830735E-4</v>
      </c>
    </row>
    <row r="9" spans="1:8" x14ac:dyDescent="0.25">
      <c r="A9">
        <v>1.1488848031750001</v>
      </c>
      <c r="B9">
        <v>0.47833288475758046</v>
      </c>
      <c r="C9">
        <f t="shared" si="0"/>
        <v>0.49004938766766837</v>
      </c>
      <c r="D9">
        <f t="shared" si="1"/>
        <v>-1.1716502910087911E-2</v>
      </c>
      <c r="E9">
        <f t="shared" si="2"/>
        <v>1.3727644044209849E-4</v>
      </c>
    </row>
    <row r="10" spans="1:8" x14ac:dyDescent="0.25">
      <c r="A10">
        <v>1.283579576725</v>
      </c>
      <c r="B10">
        <v>0.44519958249632363</v>
      </c>
      <c r="C10">
        <f t="shared" si="0"/>
        <v>0.4277154948639515</v>
      </c>
      <c r="D10">
        <f t="shared" si="1"/>
        <v>1.7484087632372136E-2</v>
      </c>
      <c r="E10">
        <f t="shared" si="2"/>
        <v>3.0569332033646829E-4</v>
      </c>
    </row>
    <row r="11" spans="1:8" x14ac:dyDescent="0.25">
      <c r="A11">
        <v>1.4182743502749999</v>
      </c>
      <c r="B11">
        <v>0.37939964420284183</v>
      </c>
      <c r="C11">
        <f t="shared" si="0"/>
        <v>0.36697211443854727</v>
      </c>
      <c r="D11">
        <f t="shared" si="1"/>
        <v>1.2427529764294565E-2</v>
      </c>
      <c r="E11">
        <f t="shared" si="2"/>
        <v>1.5444349604242733E-4</v>
      </c>
    </row>
    <row r="12" spans="1:8" x14ac:dyDescent="0.25">
      <c r="A12">
        <v>1.5529691238250001</v>
      </c>
      <c r="B12">
        <v>0.32199969803193218</v>
      </c>
      <c r="C12">
        <f t="shared" si="0"/>
        <v>0.31000042541337947</v>
      </c>
      <c r="D12">
        <f t="shared" si="1"/>
        <v>1.1999272618552714E-2</v>
      </c>
      <c r="E12">
        <f t="shared" si="2"/>
        <v>1.4398254337434893E-4</v>
      </c>
    </row>
    <row r="13" spans="1:8" x14ac:dyDescent="0.25">
      <c r="A13">
        <v>1.6876638973750002</v>
      </c>
      <c r="B13">
        <v>0.24079977418040147</v>
      </c>
      <c r="C13">
        <f t="shared" si="0"/>
        <v>0.25815784319645535</v>
      </c>
      <c r="D13">
        <f t="shared" si="1"/>
        <v>-1.7358069016053884E-2</v>
      </c>
      <c r="E13">
        <f t="shared" si="2"/>
        <v>3.0130255996608986E-4</v>
      </c>
    </row>
    <row r="14" spans="1:8" x14ac:dyDescent="0.25">
      <c r="A14">
        <v>1.8223586709249999</v>
      </c>
      <c r="B14">
        <v>0.19506648373528646</v>
      </c>
      <c r="C14">
        <f t="shared" si="0"/>
        <v>0.21214901930918456</v>
      </c>
      <c r="D14">
        <f t="shared" si="1"/>
        <v>-1.7082535573898106E-2</v>
      </c>
      <c r="E14">
        <f t="shared" si="2"/>
        <v>2.9181302163349429E-4</v>
      </c>
    </row>
    <row r="15" spans="1:8" x14ac:dyDescent="0.25">
      <c r="A15">
        <v>1.9570534444749998</v>
      </c>
      <c r="B15">
        <v>0.1675331762224111</v>
      </c>
      <c r="C15">
        <f t="shared" si="0"/>
        <v>0.17218361900138626</v>
      </c>
      <c r="D15">
        <f t="shared" si="1"/>
        <v>-4.6504427789751668E-3</v>
      </c>
      <c r="E15">
        <f t="shared" si="2"/>
        <v>2.1626618040522273E-5</v>
      </c>
    </row>
    <row r="16" spans="1:8" x14ac:dyDescent="0.25">
      <c r="A16">
        <v>2.0917482180249998</v>
      </c>
      <c r="B16">
        <v>0.13626653887728146</v>
      </c>
      <c r="C16">
        <f t="shared" si="0"/>
        <v>0.13811547961398887</v>
      </c>
      <c r="D16">
        <f t="shared" si="1"/>
        <v>-1.8489407367074107E-3</v>
      </c>
      <c r="E16">
        <f t="shared" si="2"/>
        <v>3.4185818478561424E-6</v>
      </c>
    </row>
    <row r="17" spans="1:5" x14ac:dyDescent="0.25">
      <c r="A17">
        <v>2.2264429915749999</v>
      </c>
      <c r="B17">
        <v>0.11059989628053324</v>
      </c>
      <c r="C17">
        <f t="shared" si="0"/>
        <v>0.10956011952938575</v>
      </c>
      <c r="D17">
        <f t="shared" si="1"/>
        <v>1.0397767511474837E-3</v>
      </c>
      <c r="E17">
        <f t="shared" si="2"/>
        <v>1.0811356922268161E-6</v>
      </c>
    </row>
    <row r="18" spans="1:5" x14ac:dyDescent="0.25">
      <c r="A18">
        <v>2.3611377651250001</v>
      </c>
      <c r="B18">
        <v>7.6999927790244657E-2</v>
      </c>
      <c r="C18">
        <f t="shared" si="0"/>
        <v>8.5989784738254069E-2</v>
      </c>
      <c r="D18">
        <f t="shared" si="1"/>
        <v>-8.9898569480094115E-3</v>
      </c>
      <c r="E18">
        <f t="shared" si="2"/>
        <v>8.0817527945673096E-5</v>
      </c>
    </row>
    <row r="19" spans="1:5" x14ac:dyDescent="0.25">
      <c r="A19">
        <v>2.4958325386749998</v>
      </c>
      <c r="B19">
        <v>6.206660846122751E-2</v>
      </c>
      <c r="C19">
        <f t="shared" si="0"/>
        <v>6.6806962974822748E-2</v>
      </c>
      <c r="D19">
        <f t="shared" si="1"/>
        <v>-4.740354513595238E-3</v>
      </c>
      <c r="E19">
        <f t="shared" si="2"/>
        <v>2.2470960914562747E-5</v>
      </c>
    </row>
    <row r="20" spans="1:5" x14ac:dyDescent="0.25">
      <c r="A20">
        <v>2.6305273122250004</v>
      </c>
      <c r="B20">
        <v>4.8999954048337506E-2</v>
      </c>
      <c r="C20">
        <f t="shared" si="0"/>
        <v>5.1398483249181254E-2</v>
      </c>
      <c r="D20">
        <f t="shared" si="1"/>
        <v>-2.3985292008437478E-3</v>
      </c>
      <c r="E20">
        <f t="shared" si="2"/>
        <v>5.7529423273001473E-6</v>
      </c>
    </row>
    <row r="21" spans="1:5" x14ac:dyDescent="0.25">
      <c r="A21">
        <v>2.7652220857750001</v>
      </c>
      <c r="B21">
        <v>3.8733297009638221E-2</v>
      </c>
      <c r="C21">
        <f t="shared" si="0"/>
        <v>3.9172991263208029E-2</v>
      </c>
      <c r="D21">
        <f t="shared" si="1"/>
        <v>-4.396942535698084E-4</v>
      </c>
      <c r="E21">
        <f t="shared" si="2"/>
        <v>1.9333103662231097E-7</v>
      </c>
    </row>
    <row r="22" spans="1:5" x14ac:dyDescent="0.25">
      <c r="A22">
        <v>2.8999168593249998</v>
      </c>
      <c r="B22">
        <v>3.4066634719320366E-2</v>
      </c>
      <c r="C22">
        <f t="shared" si="0"/>
        <v>2.9584842690838133E-2</v>
      </c>
      <c r="D22">
        <f t="shared" si="1"/>
        <v>4.4817920284822323E-3</v>
      </c>
      <c r="E22">
        <f t="shared" si="2"/>
        <v>2.0086459786566883E-5</v>
      </c>
    </row>
    <row r="23" spans="1:5" x14ac:dyDescent="0.25">
      <c r="A23">
        <v>3.0346116328749999</v>
      </c>
      <c r="B23">
        <v>2.2866645222557505E-2</v>
      </c>
      <c r="C23">
        <f t="shared" si="0"/>
        <v>2.2147397152478022E-2</v>
      </c>
      <c r="D23">
        <f t="shared" si="1"/>
        <v>7.192480700794826E-4</v>
      </c>
      <c r="E23">
        <f t="shared" si="2"/>
        <v>5.1731778631306035E-7</v>
      </c>
    </row>
    <row r="24" spans="1:5" x14ac:dyDescent="0.25">
      <c r="A24">
        <v>3.1693064064250001</v>
      </c>
      <c r="B24">
        <v>1.9133315390303218E-2</v>
      </c>
      <c r="C24">
        <f t="shared" si="0"/>
        <v>1.6438431635870679E-2</v>
      </c>
      <c r="D24">
        <f t="shared" si="1"/>
        <v>2.6948837544325394E-3</v>
      </c>
      <c r="E24">
        <f t="shared" si="2"/>
        <v>7.2623984499044193E-6</v>
      </c>
    </row>
    <row r="25" spans="1:5" x14ac:dyDescent="0.25">
      <c r="A25">
        <v>3.3040011799749998</v>
      </c>
      <c r="B25">
        <v>1.213332195482643E-2</v>
      </c>
      <c r="C25">
        <f t="shared" si="0"/>
        <v>1.2100013104199985E-2</v>
      </c>
      <c r="D25">
        <f t="shared" si="1"/>
        <v>3.3308850626445272E-5</v>
      </c>
      <c r="E25">
        <f t="shared" si="2"/>
        <v>1.1094795300548435E-9</v>
      </c>
    </row>
    <row r="26" spans="1:5" x14ac:dyDescent="0.25">
      <c r="A26">
        <v>3.4386959535250003</v>
      </c>
      <c r="B26">
        <v>1.213332195482643E-2</v>
      </c>
      <c r="C26">
        <f t="shared" si="0"/>
        <v>8.8347460696709332E-3</v>
      </c>
      <c r="D26">
        <f t="shared" si="1"/>
        <v>3.2985758851554973E-3</v>
      </c>
      <c r="E26">
        <f t="shared" si="2"/>
        <v>1.0880602870129372E-5</v>
      </c>
    </row>
    <row r="27" spans="1:5" x14ac:dyDescent="0.25">
      <c r="A27">
        <v>3.5733907270750001</v>
      </c>
      <c r="B27">
        <v>1.1666655725794645E-2</v>
      </c>
      <c r="C27">
        <f t="shared" si="0"/>
        <v>6.399891832600705E-3</v>
      </c>
      <c r="D27">
        <f t="shared" si="1"/>
        <v>5.2667638931939396E-3</v>
      </c>
      <c r="E27">
        <f t="shared" si="2"/>
        <v>2.7738801906651384E-5</v>
      </c>
    </row>
    <row r="28" spans="1:5" x14ac:dyDescent="0.25">
      <c r="A28">
        <v>3.7080855006249998</v>
      </c>
      <c r="B28">
        <v>6.5333272064450011E-3</v>
      </c>
      <c r="C28">
        <f t="shared" si="0"/>
        <v>4.6004738159818072E-3</v>
      </c>
      <c r="D28">
        <f t="shared" si="1"/>
        <v>1.9328533904631939E-3</v>
      </c>
      <c r="E28">
        <f t="shared" si="2"/>
        <v>3.7359222290250639E-6</v>
      </c>
    </row>
    <row r="29" spans="1:5" x14ac:dyDescent="0.25">
      <c r="A29">
        <v>3.8427802741749995</v>
      </c>
      <c r="B29">
        <v>2.7999973741907147E-3</v>
      </c>
      <c r="C29">
        <f t="shared" si="0"/>
        <v>3.2821553354497662E-3</v>
      </c>
      <c r="D29">
        <f t="shared" si="1"/>
        <v>-4.8215796125905151E-4</v>
      </c>
      <c r="E29">
        <f t="shared" si="2"/>
        <v>2.3247629960548501E-7</v>
      </c>
    </row>
    <row r="30" spans="1:5" x14ac:dyDescent="0.25">
      <c r="A30">
        <v>3.9774750477249996</v>
      </c>
      <c r="B30">
        <v>6.0666609774132152E-3</v>
      </c>
      <c r="C30">
        <f t="shared" si="0"/>
        <v>2.3244086951526555E-3</v>
      </c>
      <c r="D30">
        <f t="shared" si="1"/>
        <v>3.7422522822605597E-3</v>
      </c>
      <c r="E30">
        <f t="shared" si="2"/>
        <v>1.4004452144084368E-5</v>
      </c>
    </row>
    <row r="31" spans="1:5" x14ac:dyDescent="0.25">
      <c r="A31">
        <v>4.1121698212749997</v>
      </c>
      <c r="B31">
        <v>3.2666636032225005E-3</v>
      </c>
      <c r="C31">
        <f t="shared" si="0"/>
        <v>1.6342866385907499E-3</v>
      </c>
      <c r="D31">
        <f t="shared" si="1"/>
        <v>1.6323769646317506E-3</v>
      </c>
      <c r="E31">
        <f t="shared" si="2"/>
        <v>2.6646545546603674E-6</v>
      </c>
    </row>
    <row r="32" spans="1:5" x14ac:dyDescent="0.25">
      <c r="A32">
        <v>4.2468645948250003</v>
      </c>
      <c r="B32">
        <v>1.8666649161271432E-3</v>
      </c>
      <c r="C32">
        <f t="shared" si="0"/>
        <v>1.1409532200537763E-3</v>
      </c>
      <c r="D32">
        <f t="shared" si="1"/>
        <v>7.2571169607336689E-4</v>
      </c>
      <c r="E32">
        <f t="shared" si="2"/>
        <v>5.2665746581768288E-7</v>
      </c>
    </row>
    <row r="33" spans="1:5" x14ac:dyDescent="0.25">
      <c r="A33">
        <v>4.3815593683749992</v>
      </c>
      <c r="B33">
        <v>9.333324580635716E-4</v>
      </c>
      <c r="C33">
        <f t="shared" si="0"/>
        <v>7.9102301577882287E-4</v>
      </c>
      <c r="D33">
        <f t="shared" si="1"/>
        <v>1.4230944228474872E-4</v>
      </c>
      <c r="E33">
        <f t="shared" si="2"/>
        <v>2.0251977363396227E-8</v>
      </c>
    </row>
    <row r="34" spans="1:5" x14ac:dyDescent="0.25">
      <c r="A34">
        <v>4.5162541419249997</v>
      </c>
      <c r="B34">
        <v>0</v>
      </c>
      <c r="C34">
        <f t="shared" si="0"/>
        <v>5.4468641656298458E-4</v>
      </c>
      <c r="D34">
        <f t="shared" si="1"/>
        <v>-5.4468641656298458E-4</v>
      </c>
      <c r="E34">
        <f t="shared" si="2"/>
        <v>2.9668329238822517E-7</v>
      </c>
    </row>
    <row r="35" spans="1:5" x14ac:dyDescent="0.25">
      <c r="A35">
        <v>4.6509489154750003</v>
      </c>
      <c r="B35">
        <v>9.333324580635716E-4</v>
      </c>
      <c r="C35">
        <f t="shared" si="0"/>
        <v>3.7255599648303004E-4</v>
      </c>
      <c r="D35">
        <f t="shared" si="1"/>
        <v>5.6077646158054161E-4</v>
      </c>
      <c r="E35">
        <f t="shared" si="2"/>
        <v>3.1447023986279269E-7</v>
      </c>
    </row>
    <row r="36" spans="1:5" x14ac:dyDescent="0.25">
      <c r="A36">
        <v>4.785643689025</v>
      </c>
      <c r="B36">
        <v>9.333324580635716E-4</v>
      </c>
      <c r="C36">
        <f t="shared" si="0"/>
        <v>2.5314703745086067E-4</v>
      </c>
      <c r="D36">
        <f t="shared" si="1"/>
        <v>6.8018542061271093E-4</v>
      </c>
      <c r="E36">
        <f t="shared" si="2"/>
        <v>4.6265220641409046E-7</v>
      </c>
    </row>
    <row r="37" spans="1:5" x14ac:dyDescent="0.25">
      <c r="A37">
        <v>4.9203384625749997</v>
      </c>
      <c r="B37">
        <v>0</v>
      </c>
      <c r="C37">
        <f t="shared" si="0"/>
        <v>1.7089784729033982E-4</v>
      </c>
      <c r="D37">
        <f t="shared" si="1"/>
        <v>-1.7089784729033982E-4</v>
      </c>
      <c r="E37">
        <f t="shared" si="2"/>
        <v>2.9206074208472309E-8</v>
      </c>
    </row>
    <row r="38" spans="1:5" x14ac:dyDescent="0.25">
      <c r="A38">
        <v>5.0550332361250003</v>
      </c>
      <c r="B38">
        <v>0</v>
      </c>
      <c r="C38">
        <f t="shared" si="0"/>
        <v>1.1463748615039808E-4</v>
      </c>
      <c r="D38">
        <f t="shared" si="1"/>
        <v>-1.1463748615039808E-4</v>
      </c>
      <c r="E38">
        <f t="shared" si="2"/>
        <v>1.3141753230882711E-8</v>
      </c>
    </row>
    <row r="39" spans="1:5" x14ac:dyDescent="0.25">
      <c r="A39">
        <v>5.189728009675</v>
      </c>
      <c r="B39">
        <v>0</v>
      </c>
      <c r="C39">
        <f t="shared" si="0"/>
        <v>7.6416084767443046E-5</v>
      </c>
      <c r="D39">
        <f t="shared" si="1"/>
        <v>-7.6416084767443046E-5</v>
      </c>
      <c r="E39">
        <f t="shared" si="2"/>
        <v>5.8394180111850414E-9</v>
      </c>
    </row>
    <row r="40" spans="1:5" x14ac:dyDescent="0.25">
      <c r="A40">
        <v>5.3244227832249997</v>
      </c>
      <c r="B40">
        <v>4.666662290317858E-4</v>
      </c>
      <c r="C40">
        <f t="shared" si="0"/>
        <v>5.0623337354432468E-5</v>
      </c>
      <c r="D40">
        <f t="shared" si="1"/>
        <v>4.160428916773533E-4</v>
      </c>
      <c r="E40">
        <f t="shared" si="2"/>
        <v>1.7309168771525395E-7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0145-952F-4FAD-A95E-EF0200E679C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7.3693276287499998E-2</v>
      </c>
      <c r="B1">
        <v>0.24760594722672996</v>
      </c>
      <c r="C1">
        <f>$H$3*(1+$H$1)*(A1^($H$1))*EXP(-$H$3*(A1^(1+$H$1)))</f>
        <v>0.28858772579352704</v>
      </c>
      <c r="D1">
        <f>B1-C1</f>
        <v>-4.0981778566797078E-2</v>
      </c>
      <c r="E1">
        <f>D1^2</f>
        <v>1.6795061744979884E-3</v>
      </c>
      <c r="G1" t="s">
        <v>0</v>
      </c>
      <c r="H1">
        <v>0.58155365949375881</v>
      </c>
    </row>
    <row r="2" spans="1:8" x14ac:dyDescent="0.25">
      <c r="A2">
        <v>0.20289230086249999</v>
      </c>
      <c r="B2">
        <v>0.52293986889731769</v>
      </c>
      <c r="C2">
        <f t="shared" ref="C2:C40" si="0">$H$3*(1+$H$1)*(A2^($H$1))*EXP(-$H$3*(A2^(1+$H$1)))</f>
        <v>0.49273546065406271</v>
      </c>
      <c r="D2">
        <f t="shared" ref="D2:D40" si="1">B2-C2</f>
        <v>3.0204408243254988E-2</v>
      </c>
      <c r="E2">
        <f t="shared" ref="E2:E40" si="2">D2^2</f>
        <v>9.1230627732520988E-4</v>
      </c>
    </row>
    <row r="3" spans="1:8" x14ac:dyDescent="0.25">
      <c r="A3">
        <v>0.33209132543749997</v>
      </c>
      <c r="B3">
        <v>0.62752784267678119</v>
      </c>
      <c r="C3">
        <f t="shared" si="0"/>
        <v>0.60590365391507983</v>
      </c>
      <c r="D3">
        <f t="shared" si="1"/>
        <v>2.1624188761701357E-2</v>
      </c>
      <c r="E3">
        <f t="shared" si="2"/>
        <v>4.676055396016913E-4</v>
      </c>
      <c r="G3" t="s">
        <v>1</v>
      </c>
      <c r="H3">
        <f>(_xlfn.GAMMA((2+$H$1)/(1+$H$1)))^(1+$H$1)</f>
        <v>0.84287942916960856</v>
      </c>
    </row>
    <row r="4" spans="1:8" x14ac:dyDescent="0.25">
      <c r="A4">
        <v>0.46129035001249996</v>
      </c>
      <c r="B4">
        <v>0.64406733620469636</v>
      </c>
      <c r="C4">
        <f t="shared" si="0"/>
        <v>0.66337538880675329</v>
      </c>
      <c r="D4">
        <f t="shared" si="1"/>
        <v>-1.9308052602056924E-2</v>
      </c>
      <c r="E4">
        <f t="shared" si="2"/>
        <v>3.7280089528379714E-4</v>
      </c>
    </row>
    <row r="5" spans="1:8" x14ac:dyDescent="0.25">
      <c r="A5">
        <v>0.59048937458749995</v>
      </c>
      <c r="B5">
        <v>0.70146910786040195</v>
      </c>
      <c r="C5">
        <f t="shared" si="0"/>
        <v>0.68027195592047884</v>
      </c>
      <c r="D5">
        <f t="shared" si="1"/>
        <v>2.1197151939923109E-2</v>
      </c>
      <c r="E5">
        <f t="shared" si="2"/>
        <v>4.4931925036418603E-4</v>
      </c>
      <c r="G5" t="s">
        <v>2</v>
      </c>
      <c r="H5">
        <f>SUM(E1:E40)</f>
        <v>7.1628512683169793E-3</v>
      </c>
    </row>
    <row r="6" spans="1:8" x14ac:dyDescent="0.25">
      <c r="A6">
        <v>0.71968839916250005</v>
      </c>
      <c r="B6">
        <v>0.67811923464452173</v>
      </c>
      <c r="C6">
        <f t="shared" si="0"/>
        <v>0.66710265994258422</v>
      </c>
      <c r="D6">
        <f t="shared" si="1"/>
        <v>1.1016574701937509E-2</v>
      </c>
      <c r="E6">
        <f t="shared" si="2"/>
        <v>1.2136491816336952E-4</v>
      </c>
    </row>
    <row r="7" spans="1:8" x14ac:dyDescent="0.25">
      <c r="A7">
        <v>0.84888742373749992</v>
      </c>
      <c r="B7">
        <v>0.62217683006480873</v>
      </c>
      <c r="C7">
        <f t="shared" si="0"/>
        <v>0.63236721483250713</v>
      </c>
      <c r="D7">
        <f t="shared" si="1"/>
        <v>-1.0190384767698402E-2</v>
      </c>
      <c r="E7">
        <f t="shared" si="2"/>
        <v>1.0384394171373961E-4</v>
      </c>
    </row>
    <row r="8" spans="1:8" x14ac:dyDescent="0.25">
      <c r="A8">
        <v>0.9780864483124998</v>
      </c>
      <c r="B8">
        <v>0.55407303318515799</v>
      </c>
      <c r="C8">
        <f t="shared" si="0"/>
        <v>0.5831776868488705</v>
      </c>
      <c r="D8">
        <f t="shared" si="1"/>
        <v>-2.910465366371251E-2</v>
      </c>
      <c r="E8">
        <f t="shared" si="2"/>
        <v>8.4708086488465397E-4</v>
      </c>
    </row>
    <row r="9" spans="1:8" x14ac:dyDescent="0.25">
      <c r="A9">
        <v>1.1072854728874999</v>
      </c>
      <c r="B9">
        <v>0.5278044258172927</v>
      </c>
      <c r="C9">
        <f t="shared" si="0"/>
        <v>0.52542321760370858</v>
      </c>
      <c r="D9">
        <f t="shared" si="1"/>
        <v>2.3812082135841184E-3</v>
      </c>
      <c r="E9">
        <f t="shared" si="2"/>
        <v>5.6701525564404679E-6</v>
      </c>
    </row>
    <row r="10" spans="1:8" x14ac:dyDescent="0.25">
      <c r="A10">
        <v>1.2364844974625</v>
      </c>
      <c r="B10">
        <v>0.4543496163256695</v>
      </c>
      <c r="C10">
        <f t="shared" si="0"/>
        <v>0.46383805626402619</v>
      </c>
      <c r="D10">
        <f t="shared" si="1"/>
        <v>-9.4884399383566853E-3</v>
      </c>
      <c r="E10">
        <f t="shared" si="2"/>
        <v>9.0030492463802217E-5</v>
      </c>
    </row>
    <row r="11" spans="1:8" x14ac:dyDescent="0.25">
      <c r="A11">
        <v>1.3656835220375001</v>
      </c>
      <c r="B11">
        <v>0.40473113574192404</v>
      </c>
      <c r="C11">
        <f t="shared" si="0"/>
        <v>0.40207368324206744</v>
      </c>
      <c r="D11">
        <f t="shared" si="1"/>
        <v>2.6574524998566051E-3</v>
      </c>
      <c r="E11">
        <f t="shared" si="2"/>
        <v>7.0620537889941196E-6</v>
      </c>
    </row>
    <row r="12" spans="1:8" x14ac:dyDescent="0.25">
      <c r="A12">
        <v>1.4948825466125002</v>
      </c>
      <c r="B12">
        <v>0.37505733853007622</v>
      </c>
      <c r="C12">
        <f t="shared" si="0"/>
        <v>0.34279871336494094</v>
      </c>
      <c r="D12">
        <f t="shared" si="1"/>
        <v>3.225862516513528E-2</v>
      </c>
      <c r="E12">
        <f t="shared" si="2"/>
        <v>1.040618897544699E-3</v>
      </c>
    </row>
    <row r="13" spans="1:8" x14ac:dyDescent="0.25">
      <c r="A13">
        <v>1.6240815711874999</v>
      </c>
      <c r="B13">
        <v>0.28117138997455782</v>
      </c>
      <c r="C13">
        <f t="shared" si="0"/>
        <v>0.2878242965682058</v>
      </c>
      <c r="D13">
        <f t="shared" si="1"/>
        <v>-6.6529065936479781E-3</v>
      </c>
      <c r="E13">
        <f t="shared" si="2"/>
        <v>4.4261166143804744E-5</v>
      </c>
    </row>
    <row r="14" spans="1:8" x14ac:dyDescent="0.25">
      <c r="A14">
        <v>1.7532805957624999</v>
      </c>
      <c r="B14">
        <v>0.2315529093908123</v>
      </c>
      <c r="C14">
        <f t="shared" si="0"/>
        <v>0.23824452833253634</v>
      </c>
      <c r="D14">
        <f t="shared" si="1"/>
        <v>-6.6916189417240424E-3</v>
      </c>
      <c r="E14">
        <f t="shared" si="2"/>
        <v>4.4777764061239992E-5</v>
      </c>
    </row>
    <row r="15" spans="1:8" x14ac:dyDescent="0.25">
      <c r="A15">
        <v>1.8824796203374998</v>
      </c>
      <c r="B15">
        <v>0.17366468204310923</v>
      </c>
      <c r="C15">
        <f t="shared" si="0"/>
        <v>0.1945802378198315</v>
      </c>
      <c r="D15">
        <f t="shared" si="1"/>
        <v>-2.0915555776722272E-2</v>
      </c>
      <c r="E15">
        <f t="shared" si="2"/>
        <v>4.3746047344918039E-4</v>
      </c>
    </row>
    <row r="16" spans="1:8" x14ac:dyDescent="0.25">
      <c r="A16">
        <v>2.0116786449125001</v>
      </c>
      <c r="B16">
        <v>0.1615032897431716</v>
      </c>
      <c r="C16">
        <f t="shared" si="0"/>
        <v>0.15691627737162367</v>
      </c>
      <c r="D16">
        <f t="shared" si="1"/>
        <v>4.5870123715479327E-3</v>
      </c>
      <c r="E16">
        <f t="shared" si="2"/>
        <v>2.1040682496733789E-5</v>
      </c>
    </row>
    <row r="17" spans="1:5" x14ac:dyDescent="0.25">
      <c r="A17">
        <v>2.1408776694874998</v>
      </c>
      <c r="B17">
        <v>0.11480354331141114</v>
      </c>
      <c r="C17">
        <f t="shared" si="0"/>
        <v>0.12502521180583781</v>
      </c>
      <c r="D17">
        <f t="shared" si="1"/>
        <v>-1.0221668494426669E-2</v>
      </c>
      <c r="E17">
        <f t="shared" si="2"/>
        <v>1.0448250680995478E-4</v>
      </c>
    </row>
    <row r="18" spans="1:5" x14ac:dyDescent="0.25">
      <c r="A18">
        <v>2.2700766940624999</v>
      </c>
      <c r="B18">
        <v>9.6804682707503462E-2</v>
      </c>
      <c r="C18">
        <f t="shared" si="0"/>
        <v>9.8473172617256743E-2</v>
      </c>
      <c r="D18">
        <f t="shared" si="1"/>
        <v>-1.6684899097532818E-3</v>
      </c>
      <c r="E18">
        <f t="shared" si="2"/>
        <v>2.7838585789485147E-6</v>
      </c>
    </row>
    <row r="19" spans="1:5" x14ac:dyDescent="0.25">
      <c r="A19">
        <v>2.3992757186375</v>
      </c>
      <c r="B19">
        <v>8.0265189179588303E-2</v>
      </c>
      <c r="C19">
        <f t="shared" si="0"/>
        <v>7.6706145063821909E-2</v>
      </c>
      <c r="D19">
        <f t="shared" si="1"/>
        <v>3.5590441157663938E-3</v>
      </c>
      <c r="E19">
        <f t="shared" si="2"/>
        <v>1.2666795017971391E-5</v>
      </c>
    </row>
    <row r="20" spans="1:5" x14ac:dyDescent="0.25">
      <c r="A20">
        <v>2.5284747432124997</v>
      </c>
      <c r="B20">
        <v>4.1835189511785414E-2</v>
      </c>
      <c r="C20">
        <f t="shared" si="0"/>
        <v>5.9116902686673758E-2</v>
      </c>
      <c r="D20">
        <f t="shared" si="1"/>
        <v>-1.7281713174888344E-2</v>
      </c>
      <c r="E20">
        <f t="shared" si="2"/>
        <v>2.9865761025910938E-4</v>
      </c>
    </row>
    <row r="21" spans="1:5" x14ac:dyDescent="0.25">
      <c r="A21">
        <v>2.6576737677874998</v>
      </c>
      <c r="B21">
        <v>5.1564303351735515E-2</v>
      </c>
      <c r="C21">
        <f t="shared" si="0"/>
        <v>4.5094156260075124E-2</v>
      </c>
      <c r="D21">
        <f t="shared" si="1"/>
        <v>6.4701470916603901E-3</v>
      </c>
      <c r="E21">
        <f t="shared" si="2"/>
        <v>4.1862803387721407E-5</v>
      </c>
    </row>
    <row r="22" spans="1:5" x14ac:dyDescent="0.25">
      <c r="A22">
        <v>2.7868727923624999</v>
      </c>
      <c r="B22">
        <v>3.2592531363832826E-2</v>
      </c>
      <c r="C22">
        <f t="shared" si="0"/>
        <v>3.4056293410747035E-2</v>
      </c>
      <c r="D22">
        <f t="shared" si="1"/>
        <v>-1.463762046914209E-3</v>
      </c>
      <c r="E22">
        <f t="shared" si="2"/>
        <v>2.1425993299864749E-6</v>
      </c>
    </row>
    <row r="23" spans="1:5" x14ac:dyDescent="0.25">
      <c r="A23">
        <v>2.9160718169374995</v>
      </c>
      <c r="B23">
        <v>2.4809240291872748E-2</v>
      </c>
      <c r="C23">
        <f t="shared" si="0"/>
        <v>2.5472447069316465E-2</v>
      </c>
      <c r="D23">
        <f t="shared" si="1"/>
        <v>-6.6320677744371656E-4</v>
      </c>
      <c r="E23">
        <f t="shared" si="2"/>
        <v>4.398432296472794E-7</v>
      </c>
    </row>
    <row r="24" spans="1:5" x14ac:dyDescent="0.25">
      <c r="A24">
        <v>3.0452708415124996</v>
      </c>
      <c r="B24">
        <v>2.1890506139887717E-2</v>
      </c>
      <c r="C24">
        <f t="shared" si="0"/>
        <v>1.8873656962556499E-2</v>
      </c>
      <c r="D24">
        <f t="shared" si="1"/>
        <v>3.0168491773312177E-3</v>
      </c>
      <c r="E24">
        <f t="shared" si="2"/>
        <v>9.1013789587640457E-6</v>
      </c>
    </row>
    <row r="25" spans="1:5" x14ac:dyDescent="0.25">
      <c r="A25">
        <v>3.1744698660874997</v>
      </c>
      <c r="B25">
        <v>1.6539493527915165E-2</v>
      </c>
      <c r="C25">
        <f t="shared" si="0"/>
        <v>1.3856686605493836E-2</v>
      </c>
      <c r="D25">
        <f t="shared" si="1"/>
        <v>2.6828069224213297E-3</v>
      </c>
      <c r="E25">
        <f t="shared" si="2"/>
        <v>7.1974529829918062E-6</v>
      </c>
    </row>
    <row r="26" spans="1:5" x14ac:dyDescent="0.25">
      <c r="A26">
        <v>3.3036688906624998</v>
      </c>
      <c r="B26">
        <v>1.3620759375930136E-2</v>
      </c>
      <c r="C26">
        <f t="shared" si="0"/>
        <v>1.0082722478220041E-2</v>
      </c>
      <c r="D26">
        <f t="shared" si="1"/>
        <v>3.5380368977100951E-3</v>
      </c>
      <c r="E26">
        <f t="shared" si="2"/>
        <v>1.2517705089558073E-5</v>
      </c>
    </row>
    <row r="27" spans="1:5" x14ac:dyDescent="0.25">
      <c r="A27">
        <v>3.4328679152374999</v>
      </c>
      <c r="B27">
        <v>1.0215569531947601E-2</v>
      </c>
      <c r="C27">
        <f t="shared" si="0"/>
        <v>7.2727866989613409E-3</v>
      </c>
      <c r="D27">
        <f t="shared" si="1"/>
        <v>2.9427828329862604E-3</v>
      </c>
      <c r="E27">
        <f t="shared" si="2"/>
        <v>8.6599708021186404E-6</v>
      </c>
    </row>
    <row r="28" spans="1:5" x14ac:dyDescent="0.25">
      <c r="A28">
        <v>3.5620669398124996</v>
      </c>
      <c r="B28">
        <v>6.8103796879650678E-3</v>
      </c>
      <c r="C28">
        <f t="shared" si="0"/>
        <v>5.2012937065985835E-3</v>
      </c>
      <c r="D28">
        <f t="shared" si="1"/>
        <v>1.6090859813664843E-3</v>
      </c>
      <c r="E28">
        <f t="shared" si="2"/>
        <v>2.5891576954301416E-6</v>
      </c>
    </row>
    <row r="29" spans="1:5" x14ac:dyDescent="0.25">
      <c r="A29">
        <v>3.6912659643874997</v>
      </c>
      <c r="B29">
        <v>5.351012611972553E-3</v>
      </c>
      <c r="C29">
        <f t="shared" si="0"/>
        <v>3.6888108725642551E-3</v>
      </c>
      <c r="D29">
        <f t="shared" si="1"/>
        <v>1.6622017394082979E-3</v>
      </c>
      <c r="E29">
        <f t="shared" si="2"/>
        <v>2.7629146224919713E-6</v>
      </c>
    </row>
    <row r="30" spans="1:5" x14ac:dyDescent="0.25">
      <c r="A30">
        <v>3.8204649889624998</v>
      </c>
      <c r="B30">
        <v>5.351012611972553E-3</v>
      </c>
      <c r="C30">
        <f t="shared" si="0"/>
        <v>2.5947627714066846E-3</v>
      </c>
      <c r="D30">
        <f t="shared" si="1"/>
        <v>2.7562498405658683E-3</v>
      </c>
      <c r="E30">
        <f t="shared" si="2"/>
        <v>7.5969131836193743E-6</v>
      </c>
    </row>
    <row r="31" spans="1:5" x14ac:dyDescent="0.25">
      <c r="A31">
        <v>3.9496640135374999</v>
      </c>
      <c r="B31">
        <v>3.4051898439825339E-3</v>
      </c>
      <c r="C31">
        <f t="shared" si="0"/>
        <v>1.810557433463265E-3</v>
      </c>
      <c r="D31">
        <f t="shared" si="1"/>
        <v>1.5946324105192689E-3</v>
      </c>
      <c r="E31">
        <f t="shared" si="2"/>
        <v>2.5428525246784941E-6</v>
      </c>
    </row>
    <row r="32" spans="1:5" x14ac:dyDescent="0.25">
      <c r="A32">
        <v>4.0788630381125</v>
      </c>
      <c r="B32">
        <v>2.4322784599875242E-3</v>
      </c>
      <c r="C32">
        <f t="shared" si="0"/>
        <v>1.2534103674756508E-3</v>
      </c>
      <c r="D32">
        <f t="shared" si="1"/>
        <v>1.1788680925118734E-3</v>
      </c>
      <c r="E32">
        <f t="shared" si="2"/>
        <v>1.3897299795425829E-6</v>
      </c>
    </row>
    <row r="33" spans="1:5" x14ac:dyDescent="0.25">
      <c r="A33">
        <v>4.2080620626874996</v>
      </c>
      <c r="B33">
        <v>9.7291138399500964E-4</v>
      </c>
      <c r="C33">
        <f t="shared" si="0"/>
        <v>8.6099332790821545E-4</v>
      </c>
      <c r="D33">
        <f t="shared" si="1"/>
        <v>1.1191805608679419E-4</v>
      </c>
      <c r="E33">
        <f t="shared" si="2"/>
        <v>1.2525651278246811E-8</v>
      </c>
    </row>
    <row r="34" spans="1:5" x14ac:dyDescent="0.25">
      <c r="A34">
        <v>4.3372610872624993</v>
      </c>
      <c r="B34">
        <v>4.8645569199750482E-4</v>
      </c>
      <c r="C34">
        <f t="shared" si="0"/>
        <v>5.8693177491484438E-4</v>
      </c>
      <c r="D34">
        <f t="shared" si="1"/>
        <v>-1.0047608291733956E-4</v>
      </c>
      <c r="E34">
        <f t="shared" si="2"/>
        <v>1.0095443238412095E-8</v>
      </c>
    </row>
    <row r="35" spans="1:5" x14ac:dyDescent="0.25">
      <c r="A35">
        <v>4.4664601118374989</v>
      </c>
      <c r="B35">
        <v>9.7291138399500964E-4</v>
      </c>
      <c r="C35">
        <f t="shared" si="0"/>
        <v>3.9710880702853208E-4</v>
      </c>
      <c r="D35">
        <f t="shared" si="1"/>
        <v>5.7580257696647757E-4</v>
      </c>
      <c r="E35">
        <f t="shared" si="2"/>
        <v>3.3154860764123634E-7</v>
      </c>
    </row>
    <row r="36" spans="1:5" x14ac:dyDescent="0.25">
      <c r="A36">
        <v>4.5956591364125003</v>
      </c>
      <c r="B36">
        <v>4.8645569199750482E-4</v>
      </c>
      <c r="C36">
        <f t="shared" si="0"/>
        <v>2.6669532706801325E-4</v>
      </c>
      <c r="D36">
        <f t="shared" si="1"/>
        <v>2.1976036492949157E-4</v>
      </c>
      <c r="E36">
        <f t="shared" si="2"/>
        <v>4.8294617993943311E-8</v>
      </c>
    </row>
    <row r="37" spans="1:5" x14ac:dyDescent="0.25">
      <c r="A37">
        <v>4.7248581609875</v>
      </c>
      <c r="B37">
        <v>4.8645569199750482E-4</v>
      </c>
      <c r="C37">
        <f t="shared" si="0"/>
        <v>1.778085557561106E-4</v>
      </c>
      <c r="D37">
        <f t="shared" si="1"/>
        <v>3.0864713624139425E-4</v>
      </c>
      <c r="E37">
        <f t="shared" si="2"/>
        <v>9.5263054710013782E-8</v>
      </c>
    </row>
    <row r="38" spans="1:5" x14ac:dyDescent="0.25">
      <c r="A38">
        <v>4.8540571855624997</v>
      </c>
      <c r="B38">
        <v>0</v>
      </c>
      <c r="C38">
        <f t="shared" si="0"/>
        <v>1.1769724331365959E-4</v>
      </c>
      <c r="D38">
        <f t="shared" si="1"/>
        <v>-1.1769724331365959E-4</v>
      </c>
      <c r="E38">
        <f t="shared" si="2"/>
        <v>1.3852641083634787E-8</v>
      </c>
    </row>
    <row r="39" spans="1:5" x14ac:dyDescent="0.25">
      <c r="A39">
        <v>4.9832562101374993</v>
      </c>
      <c r="B39">
        <v>0</v>
      </c>
      <c r="C39">
        <f t="shared" si="0"/>
        <v>7.7356923641757813E-5</v>
      </c>
      <c r="D39">
        <f t="shared" si="1"/>
        <v>-7.7356923641757813E-5</v>
      </c>
      <c r="E39">
        <f t="shared" si="2"/>
        <v>5.9840936353167493E-9</v>
      </c>
    </row>
    <row r="40" spans="1:5" x14ac:dyDescent="0.25">
      <c r="A40">
        <v>5.112455234712499</v>
      </c>
      <c r="B40">
        <v>4.8645569199750482E-4</v>
      </c>
      <c r="C40">
        <f t="shared" si="0"/>
        <v>5.0488473812070154E-5</v>
      </c>
      <c r="D40">
        <f t="shared" si="1"/>
        <v>4.3596721818543467E-4</v>
      </c>
      <c r="E40">
        <f t="shared" si="2"/>
        <v>1.900674153323464E-7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52C5-EEF8-483A-AACC-DC3E2950929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6.2827916475000009E-2</v>
      </c>
      <c r="B1">
        <v>0.18184609444341751</v>
      </c>
      <c r="C1">
        <f>$H$3*(1+$H$1)*(A1^($H$1))*EXP(-$H$3*(A1^(1+$H$1)))</f>
        <v>0.22493509232201994</v>
      </c>
      <c r="D1">
        <f>B1-C1</f>
        <v>-4.3088997878602431E-2</v>
      </c>
      <c r="E1">
        <f>D1^2</f>
        <v>1.8566617381822047E-3</v>
      </c>
      <c r="G1" t="s">
        <v>0</v>
      </c>
      <c r="H1">
        <v>0.65034428603034511</v>
      </c>
    </row>
    <row r="2" spans="1:8" x14ac:dyDescent="0.25">
      <c r="A2">
        <v>0.186897607425</v>
      </c>
      <c r="B2">
        <v>0.43967245118909865</v>
      </c>
      <c r="C2">
        <f t="shared" ref="C2:C40" si="0">$H$3*(1+$H$1)*(A2^($H$1))*EXP(-$H$3*(A2^(1+$H$1)))</f>
        <v>0.43756303776335298</v>
      </c>
      <c r="D2">
        <f t="shared" ref="D2:D40" si="1">B2-C2</f>
        <v>2.1094134257456654E-3</v>
      </c>
      <c r="E2">
        <f t="shared" ref="E2:E40" si="2">D2^2</f>
        <v>4.4496250007160636E-6</v>
      </c>
    </row>
    <row r="3" spans="1:8" x14ac:dyDescent="0.25">
      <c r="A3">
        <v>0.31096729837500003</v>
      </c>
      <c r="B3">
        <v>0.60632249317206344</v>
      </c>
      <c r="C3">
        <f t="shared" si="0"/>
        <v>0.56882577191864381</v>
      </c>
      <c r="D3">
        <f t="shared" si="1"/>
        <v>3.7496721253419629E-2</v>
      </c>
      <c r="E3">
        <f t="shared" si="2"/>
        <v>1.4060041047566512E-3</v>
      </c>
      <c r="G3" t="s">
        <v>1</v>
      </c>
      <c r="H3">
        <f>(_xlfn.GAMMA((2+$H$1)/(1+$H$1)))^(1+$H$1)</f>
        <v>0.83147351199426212</v>
      </c>
    </row>
    <row r="4" spans="1:8" x14ac:dyDescent="0.25">
      <c r="A4">
        <v>0.43503698932500001</v>
      </c>
      <c r="B4">
        <v>0.6534302557994669</v>
      </c>
      <c r="C4">
        <f t="shared" si="0"/>
        <v>0.64701316571124023</v>
      </c>
      <c r="D4">
        <f t="shared" si="1"/>
        <v>6.4170900882266624E-3</v>
      </c>
      <c r="E4">
        <f t="shared" si="2"/>
        <v>4.1179045200416875E-5</v>
      </c>
    </row>
    <row r="5" spans="1:8" x14ac:dyDescent="0.25">
      <c r="A5">
        <v>0.55910668027499999</v>
      </c>
      <c r="B5">
        <v>0.67521126432611578</v>
      </c>
      <c r="C5">
        <f t="shared" si="0"/>
        <v>0.68372107848151031</v>
      </c>
      <c r="D5">
        <f t="shared" si="1"/>
        <v>-8.509814155394535E-3</v>
      </c>
      <c r="E5">
        <f t="shared" si="2"/>
        <v>7.2416936959353209E-5</v>
      </c>
      <c r="G5" t="s">
        <v>2</v>
      </c>
      <c r="H5">
        <f>SUM(E1:E40)</f>
        <v>9.6083088931463792E-3</v>
      </c>
    </row>
    <row r="6" spans="1:8" x14ac:dyDescent="0.25">
      <c r="A6">
        <v>0.68317637122500008</v>
      </c>
      <c r="B6">
        <v>0.73852814957800206</v>
      </c>
      <c r="C6">
        <f t="shared" si="0"/>
        <v>0.68747559444135542</v>
      </c>
      <c r="D6">
        <f t="shared" si="1"/>
        <v>5.1052555136646638E-2</v>
      </c>
      <c r="E6">
        <f t="shared" si="2"/>
        <v>2.6063633859803449E-3</v>
      </c>
    </row>
    <row r="7" spans="1:8" x14ac:dyDescent="0.25">
      <c r="A7">
        <v>0.80724606217499995</v>
      </c>
      <c r="B7">
        <v>0.65140411547140653</v>
      </c>
      <c r="C7">
        <f t="shared" si="0"/>
        <v>0.66579149064584708</v>
      </c>
      <c r="D7">
        <f t="shared" si="1"/>
        <v>-1.4387375174440553E-2</v>
      </c>
      <c r="E7">
        <f t="shared" si="2"/>
        <v>2.0699656441010834E-4</v>
      </c>
    </row>
    <row r="8" spans="1:8" x14ac:dyDescent="0.25">
      <c r="A8">
        <v>0.93131575312500003</v>
      </c>
      <c r="B8">
        <v>0.60480288792601822</v>
      </c>
      <c r="C8">
        <f t="shared" si="0"/>
        <v>0.62550595539164555</v>
      </c>
      <c r="D8">
        <f t="shared" si="1"/>
        <v>-2.0703067465627334E-2</v>
      </c>
      <c r="E8">
        <f t="shared" si="2"/>
        <v>4.2861700248631699E-4</v>
      </c>
    </row>
    <row r="9" spans="1:8" x14ac:dyDescent="0.25">
      <c r="A9">
        <v>1.0553854440750001</v>
      </c>
      <c r="B9">
        <v>0.57441078300511272</v>
      </c>
      <c r="C9">
        <f t="shared" si="0"/>
        <v>0.57272540667912364</v>
      </c>
      <c r="D9">
        <f t="shared" si="1"/>
        <v>1.6853763259890853E-3</v>
      </c>
      <c r="E9">
        <f t="shared" si="2"/>
        <v>2.8404933602044676E-6</v>
      </c>
    </row>
    <row r="10" spans="1:8" x14ac:dyDescent="0.25">
      <c r="A10">
        <v>1.1794551350250002</v>
      </c>
      <c r="B10">
        <v>0.47766258234023046</v>
      </c>
      <c r="C10">
        <f t="shared" si="0"/>
        <v>0.5127115520097032</v>
      </c>
      <c r="D10">
        <f t="shared" si="1"/>
        <v>-3.504896966947274E-2</v>
      </c>
      <c r="E10">
        <f t="shared" si="2"/>
        <v>1.2284302748916201E-3</v>
      </c>
    </row>
    <row r="11" spans="1:8" x14ac:dyDescent="0.25">
      <c r="A11">
        <v>1.3035248259750003</v>
      </c>
      <c r="B11">
        <v>0.46044038955171734</v>
      </c>
      <c r="C11">
        <f t="shared" si="0"/>
        <v>0.44980380244503476</v>
      </c>
      <c r="D11">
        <f t="shared" si="1"/>
        <v>1.0636587106682582E-2</v>
      </c>
      <c r="E11">
        <f t="shared" si="2"/>
        <v>1.1313698527804614E-4</v>
      </c>
    </row>
    <row r="12" spans="1:8" x14ac:dyDescent="0.25">
      <c r="A12">
        <v>1.4275945169250002</v>
      </c>
      <c r="B12">
        <v>0.37990131151131795</v>
      </c>
      <c r="C12">
        <f t="shared" si="0"/>
        <v>0.38740297377873034</v>
      </c>
      <c r="D12">
        <f t="shared" si="1"/>
        <v>-7.5016622674123901E-3</v>
      </c>
      <c r="E12">
        <f t="shared" si="2"/>
        <v>5.6274936774318798E-5</v>
      </c>
    </row>
    <row r="13" spans="1:8" x14ac:dyDescent="0.25">
      <c r="A13">
        <v>1.551664207875</v>
      </c>
      <c r="B13">
        <v>0.35305495216451815</v>
      </c>
      <c r="C13">
        <f t="shared" si="0"/>
        <v>0.32801378482354276</v>
      </c>
      <c r="D13">
        <f t="shared" si="1"/>
        <v>2.504116734097539E-2</v>
      </c>
      <c r="E13">
        <f t="shared" si="2"/>
        <v>6.270600617987325E-4</v>
      </c>
    </row>
    <row r="14" spans="1:8" x14ac:dyDescent="0.25">
      <c r="A14">
        <v>1.6757338988250001</v>
      </c>
      <c r="B14">
        <v>0.26187863740180184</v>
      </c>
      <c r="C14">
        <f t="shared" si="0"/>
        <v>0.27333291496446549</v>
      </c>
      <c r="D14">
        <f t="shared" si="1"/>
        <v>-1.1454277562663651E-2</v>
      </c>
      <c r="E14">
        <f t="shared" si="2"/>
        <v>1.3120047448253995E-4</v>
      </c>
    </row>
    <row r="15" spans="1:8" x14ac:dyDescent="0.25">
      <c r="A15">
        <v>1.7998035897750002</v>
      </c>
      <c r="B15">
        <v>0.20818591870820224</v>
      </c>
      <c r="C15">
        <f t="shared" si="0"/>
        <v>0.22436623063728867</v>
      </c>
      <c r="D15">
        <f t="shared" si="1"/>
        <v>-1.6180311929086422E-2</v>
      </c>
      <c r="E15">
        <f t="shared" si="2"/>
        <v>2.6180249412253634E-4</v>
      </c>
    </row>
    <row r="16" spans="1:8" x14ac:dyDescent="0.25">
      <c r="A16">
        <v>1.9238732807250001</v>
      </c>
      <c r="B16">
        <v>0.17272846296714589</v>
      </c>
      <c r="C16">
        <f t="shared" si="0"/>
        <v>0.18155948921412104</v>
      </c>
      <c r="D16">
        <f t="shared" si="1"/>
        <v>-8.8310262469751544E-3</v>
      </c>
      <c r="E16">
        <f t="shared" si="2"/>
        <v>7.7987024574764082E-5</v>
      </c>
    </row>
    <row r="17" spans="1:5" x14ac:dyDescent="0.25">
      <c r="A17">
        <v>2.0479429716750004</v>
      </c>
      <c r="B17">
        <v>0.14993438427646683</v>
      </c>
      <c r="C17">
        <f t="shared" si="0"/>
        <v>0.14492945131368079</v>
      </c>
      <c r="D17">
        <f t="shared" si="1"/>
        <v>5.0049329627860351E-3</v>
      </c>
      <c r="E17">
        <f t="shared" si="2"/>
        <v>2.5049353961982199E-5</v>
      </c>
    </row>
    <row r="18" spans="1:5" x14ac:dyDescent="0.25">
      <c r="A18">
        <v>2.1720126626250007</v>
      </c>
      <c r="B18">
        <v>0.10029394623898794</v>
      </c>
      <c r="C18">
        <f t="shared" si="0"/>
        <v>0.11418572774566493</v>
      </c>
      <c r="D18">
        <f t="shared" si="1"/>
        <v>-1.3891781506676998E-2</v>
      </c>
      <c r="E18">
        <f t="shared" si="2"/>
        <v>1.9298159342925303E-4</v>
      </c>
    </row>
    <row r="19" spans="1:5" x14ac:dyDescent="0.25">
      <c r="A19">
        <v>2.2960823535750006</v>
      </c>
      <c r="B19">
        <v>9.2189384926746484E-2</v>
      </c>
      <c r="C19">
        <f t="shared" si="0"/>
        <v>8.8837132854851744E-2</v>
      </c>
      <c r="D19">
        <f t="shared" si="1"/>
        <v>3.3522520718947402E-3</v>
      </c>
      <c r="E19">
        <f t="shared" si="2"/>
        <v>1.1237593953522578E-5</v>
      </c>
    </row>
    <row r="20" spans="1:5" x14ac:dyDescent="0.25">
      <c r="A20">
        <v>2.4201520445250004</v>
      </c>
      <c r="B20">
        <v>6.7875700990022145E-2</v>
      </c>
      <c r="C20">
        <f t="shared" si="0"/>
        <v>6.8279377698584082E-2</v>
      </c>
      <c r="D20">
        <f t="shared" si="1"/>
        <v>-4.0367670856193694E-4</v>
      </c>
      <c r="E20">
        <f t="shared" si="2"/>
        <v>1.6295488503539896E-7</v>
      </c>
    </row>
    <row r="21" spans="1:5" x14ac:dyDescent="0.25">
      <c r="A21">
        <v>2.5442217354750003</v>
      </c>
      <c r="B21">
        <v>4.1535876725237432E-2</v>
      </c>
      <c r="C21">
        <f t="shared" si="0"/>
        <v>5.1863390377120892E-2</v>
      </c>
      <c r="D21">
        <f t="shared" si="1"/>
        <v>-1.032751365188346E-2</v>
      </c>
      <c r="E21">
        <f t="shared" si="2"/>
        <v>1.0665753822983924E-4</v>
      </c>
    </row>
    <row r="22" spans="1:5" x14ac:dyDescent="0.25">
      <c r="A22">
        <v>2.6682914264250006</v>
      </c>
      <c r="B22">
        <v>4.5081622299343066E-2</v>
      </c>
      <c r="C22">
        <f t="shared" si="0"/>
        <v>3.8945325697627452E-2</v>
      </c>
      <c r="D22">
        <f t="shared" si="1"/>
        <v>6.1362966017156143E-3</v>
      </c>
      <c r="E22">
        <f t="shared" si="2"/>
        <v>3.7654135984226594E-5</v>
      </c>
    </row>
    <row r="23" spans="1:5" x14ac:dyDescent="0.25">
      <c r="A23">
        <v>2.792361117375</v>
      </c>
      <c r="B23">
        <v>2.431368393672435E-2</v>
      </c>
      <c r="C23">
        <f t="shared" si="0"/>
        <v>2.8920454669243558E-2</v>
      </c>
      <c r="D23">
        <f t="shared" si="1"/>
        <v>-4.6067707325192081E-3</v>
      </c>
      <c r="E23">
        <f t="shared" si="2"/>
        <v>2.1222336581995562E-5</v>
      </c>
    </row>
    <row r="24" spans="1:5" x14ac:dyDescent="0.25">
      <c r="A24">
        <v>2.9164308083249999</v>
      </c>
      <c r="B24">
        <v>2.2287543608663987E-2</v>
      </c>
      <c r="C24">
        <f t="shared" si="0"/>
        <v>2.1243700746302351E-2</v>
      </c>
      <c r="D24">
        <f t="shared" si="1"/>
        <v>1.0438428623616366E-3</v>
      </c>
      <c r="E24">
        <f t="shared" si="2"/>
        <v>1.0896079213033347E-6</v>
      </c>
    </row>
    <row r="25" spans="1:5" x14ac:dyDescent="0.25">
      <c r="A25">
        <v>3.0405004992750002</v>
      </c>
      <c r="B25">
        <v>1.9754868198588533E-2</v>
      </c>
      <c r="C25">
        <f t="shared" si="0"/>
        <v>1.5439737723605443E-2</v>
      </c>
      <c r="D25">
        <f t="shared" si="1"/>
        <v>4.3151304749830897E-3</v>
      </c>
      <c r="E25">
        <f t="shared" si="2"/>
        <v>1.8620351016127787E-5</v>
      </c>
    </row>
    <row r="26" spans="1:5" x14ac:dyDescent="0.25">
      <c r="A26">
        <v>3.1645701902250005</v>
      </c>
      <c r="B26">
        <v>1.671565770649799E-2</v>
      </c>
      <c r="C26">
        <f t="shared" si="0"/>
        <v>1.1105411429374747E-2</v>
      </c>
      <c r="D26">
        <f t="shared" si="1"/>
        <v>5.6102462771232438E-3</v>
      </c>
      <c r="E26">
        <f t="shared" si="2"/>
        <v>3.1474863289975215E-5</v>
      </c>
    </row>
    <row r="27" spans="1:5" x14ac:dyDescent="0.25">
      <c r="A27">
        <v>3.2886398811750004</v>
      </c>
      <c r="B27">
        <v>1.0637236722316902E-2</v>
      </c>
      <c r="C27">
        <f t="shared" si="0"/>
        <v>7.9069095967151601E-3</v>
      </c>
      <c r="D27">
        <f t="shared" si="1"/>
        <v>2.730327125601742E-3</v>
      </c>
      <c r="E27">
        <f t="shared" si="2"/>
        <v>7.4546862127966704E-6</v>
      </c>
    </row>
    <row r="28" spans="1:5" x14ac:dyDescent="0.25">
      <c r="A28">
        <v>3.4127095721250003</v>
      </c>
      <c r="B28">
        <v>8.6110963942565392E-3</v>
      </c>
      <c r="C28">
        <f t="shared" si="0"/>
        <v>5.5736764343999471E-3</v>
      </c>
      <c r="D28">
        <f t="shared" si="1"/>
        <v>3.0374199598565922E-3</v>
      </c>
      <c r="E28">
        <f t="shared" si="2"/>
        <v>9.2259200125352226E-6</v>
      </c>
    </row>
    <row r="29" spans="1:5" x14ac:dyDescent="0.25">
      <c r="A29">
        <v>3.5367792630750001</v>
      </c>
      <c r="B29">
        <v>3.545745574105634E-3</v>
      </c>
      <c r="C29">
        <f t="shared" si="0"/>
        <v>3.8906213729500267E-3</v>
      </c>
      <c r="D29">
        <f t="shared" si="1"/>
        <v>-3.4487579884439267E-4</v>
      </c>
      <c r="E29">
        <f t="shared" si="2"/>
        <v>1.18939316628558E-7</v>
      </c>
    </row>
    <row r="30" spans="1:5" x14ac:dyDescent="0.25">
      <c r="A30">
        <v>3.660848954025</v>
      </c>
      <c r="B30">
        <v>6.5849560661961773E-3</v>
      </c>
      <c r="C30">
        <f t="shared" si="0"/>
        <v>2.6897529581372112E-3</v>
      </c>
      <c r="D30">
        <f t="shared" si="1"/>
        <v>3.8952031080589661E-3</v>
      </c>
      <c r="E30">
        <f t="shared" si="2"/>
        <v>1.517260725303223E-5</v>
      </c>
    </row>
    <row r="31" spans="1:5" x14ac:dyDescent="0.25">
      <c r="A31">
        <v>3.7849186449750007</v>
      </c>
      <c r="B31">
        <v>4.0522806561207247E-3</v>
      </c>
      <c r="C31">
        <f t="shared" si="0"/>
        <v>1.8420066654446156E-3</v>
      </c>
      <c r="D31">
        <f t="shared" si="1"/>
        <v>2.2102739906761093E-3</v>
      </c>
      <c r="E31">
        <f t="shared" si="2"/>
        <v>4.8853111138592933E-6</v>
      </c>
    </row>
    <row r="32" spans="1:5" x14ac:dyDescent="0.25">
      <c r="A32">
        <v>3.9089883359250006</v>
      </c>
      <c r="B32">
        <v>3.0392104920905437E-3</v>
      </c>
      <c r="C32">
        <f t="shared" si="0"/>
        <v>1.2497416528499238E-3</v>
      </c>
      <c r="D32">
        <f t="shared" si="1"/>
        <v>1.7894688392406199E-3</v>
      </c>
      <c r="E32">
        <f t="shared" si="2"/>
        <v>3.2021987266131717E-6</v>
      </c>
    </row>
    <row r="33" spans="1:5" x14ac:dyDescent="0.25">
      <c r="A33">
        <v>4.0330580268750005</v>
      </c>
      <c r="B33">
        <v>1.0130701640301812E-3</v>
      </c>
      <c r="C33">
        <f t="shared" si="0"/>
        <v>8.4015716548596089E-4</v>
      </c>
      <c r="D33">
        <f t="shared" si="1"/>
        <v>1.7291299854422029E-4</v>
      </c>
      <c r="E33">
        <f t="shared" si="2"/>
        <v>2.9898905065553529E-8</v>
      </c>
    </row>
    <row r="34" spans="1:5" x14ac:dyDescent="0.25">
      <c r="A34">
        <v>4.1571277178250003</v>
      </c>
      <c r="B34">
        <v>1.0130701640301812E-3</v>
      </c>
      <c r="C34">
        <f t="shared" si="0"/>
        <v>5.5971839666108479E-4</v>
      </c>
      <c r="D34">
        <f t="shared" si="1"/>
        <v>4.5335176736909638E-4</v>
      </c>
      <c r="E34">
        <f t="shared" si="2"/>
        <v>2.0552782497668329E-7</v>
      </c>
    </row>
    <row r="35" spans="1:5" x14ac:dyDescent="0.25">
      <c r="A35">
        <v>4.2811974087750002</v>
      </c>
      <c r="B35">
        <v>5.0653508201509059E-4</v>
      </c>
      <c r="C35">
        <f t="shared" si="0"/>
        <v>3.6957427361908036E-4</v>
      </c>
      <c r="D35">
        <f t="shared" si="1"/>
        <v>1.3696080839601022E-4</v>
      </c>
      <c r="E35">
        <f t="shared" si="2"/>
        <v>1.8758263036488624E-8</v>
      </c>
    </row>
    <row r="36" spans="1:5" x14ac:dyDescent="0.25">
      <c r="A36">
        <v>4.4052670997250001</v>
      </c>
      <c r="B36">
        <v>5.0653508201509059E-4</v>
      </c>
      <c r="C36">
        <f t="shared" si="0"/>
        <v>2.4188473615466974E-4</v>
      </c>
      <c r="D36">
        <f t="shared" si="1"/>
        <v>2.6465034586042088E-4</v>
      </c>
      <c r="E36">
        <f t="shared" si="2"/>
        <v>7.0039805564040396E-8</v>
      </c>
    </row>
    <row r="37" spans="1:5" x14ac:dyDescent="0.25">
      <c r="A37">
        <v>4.5293367906749999</v>
      </c>
      <c r="B37">
        <v>5.0653508201509059E-4</v>
      </c>
      <c r="C37">
        <f t="shared" si="0"/>
        <v>1.5694180026282954E-4</v>
      </c>
      <c r="D37">
        <f t="shared" si="1"/>
        <v>3.4959328175226105E-4</v>
      </c>
      <c r="E37">
        <f t="shared" si="2"/>
        <v>1.2221546264631578E-7</v>
      </c>
    </row>
    <row r="38" spans="1:5" x14ac:dyDescent="0.25">
      <c r="A38">
        <v>4.6534064816249998</v>
      </c>
      <c r="B38">
        <v>0</v>
      </c>
      <c r="C38">
        <f t="shared" si="0"/>
        <v>1.0095752263062973E-4</v>
      </c>
      <c r="D38">
        <f t="shared" si="1"/>
        <v>-1.0095752263062973E-4</v>
      </c>
      <c r="E38">
        <f t="shared" si="2"/>
        <v>1.0192421375714114E-8</v>
      </c>
    </row>
    <row r="39" spans="1:5" x14ac:dyDescent="0.25">
      <c r="A39">
        <v>4.7774761725749997</v>
      </c>
      <c r="B39">
        <v>0</v>
      </c>
      <c r="C39">
        <f t="shared" si="0"/>
        <v>6.4395108402331622E-5</v>
      </c>
      <c r="D39">
        <f t="shared" si="1"/>
        <v>-6.4395108402331622E-5</v>
      </c>
      <c r="E39">
        <f t="shared" si="2"/>
        <v>4.1467299861480407E-9</v>
      </c>
    </row>
    <row r="40" spans="1:5" x14ac:dyDescent="0.25">
      <c r="A40">
        <v>4.9015458635249995</v>
      </c>
      <c r="B40">
        <v>5.0653508201509059E-4</v>
      </c>
      <c r="C40">
        <f t="shared" si="0"/>
        <v>4.0730846174020004E-5</v>
      </c>
      <c r="D40">
        <f t="shared" si="1"/>
        <v>4.6580423584107058E-4</v>
      </c>
      <c r="E40">
        <f t="shared" si="2"/>
        <v>2.169735861274837E-7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E123A-5B96-40A2-8D5C-22A46B0A4B1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6.0120078037499997E-2</v>
      </c>
      <c r="B1">
        <v>0.12008878264782687</v>
      </c>
      <c r="C1">
        <f>$H$3*(1+$H$1)*(A1^($H$1))*EXP(-$H$3*(A1^(1+$H$1)))</f>
        <v>0.18503946174978445</v>
      </c>
      <c r="D1">
        <f>B1-C1</f>
        <v>-6.4950679101957579E-2</v>
      </c>
      <c r="E1">
        <f>D1^2</f>
        <v>4.2185907158054691E-3</v>
      </c>
      <c r="G1" t="s">
        <v>0</v>
      </c>
      <c r="H1">
        <v>0.72056121379443083</v>
      </c>
    </row>
    <row r="2" spans="1:8" x14ac:dyDescent="0.25">
      <c r="A2">
        <v>0.1789152101125</v>
      </c>
      <c r="B2">
        <v>0.39042079997399215</v>
      </c>
      <c r="C2">
        <f t="shared" ref="C2:C40" si="0">$H$3*(1+$H$1)*(A2^($H$1))*EXP(-$H$3*(A2^(1+$H$1)))</f>
        <v>0.39166322211313753</v>
      </c>
      <c r="D2">
        <f t="shared" ref="D2:D40" si="1">B2-C2</f>
        <v>-1.2424221391453827E-3</v>
      </c>
      <c r="E2">
        <f t="shared" ref="E2:E40" si="2">D2^2</f>
        <v>1.5436127718385886E-6</v>
      </c>
    </row>
    <row r="3" spans="1:8" x14ac:dyDescent="0.25">
      <c r="A3">
        <v>0.29771034218749998</v>
      </c>
      <c r="B3">
        <v>0.56976043573440316</v>
      </c>
      <c r="C3">
        <f t="shared" si="0"/>
        <v>0.5325930129731492</v>
      </c>
      <c r="D3">
        <f t="shared" si="1"/>
        <v>3.7167422761253954E-2</v>
      </c>
      <c r="E3">
        <f t="shared" si="2"/>
        <v>1.3814173147137785E-3</v>
      </c>
      <c r="G3" t="s">
        <v>1</v>
      </c>
      <c r="H3">
        <f>(_xlfn.GAMMA((2+$H$1)/(1+$H$1)))^(1+$H$1)</f>
        <v>0.82075159139582299</v>
      </c>
    </row>
    <row r="4" spans="1:8" x14ac:dyDescent="0.25">
      <c r="A4">
        <v>0.41650547426250001</v>
      </c>
      <c r="B4">
        <v>0.65599158803218194</v>
      </c>
      <c r="C4">
        <f t="shared" si="0"/>
        <v>0.62634400514455257</v>
      </c>
      <c r="D4">
        <f t="shared" si="1"/>
        <v>2.9647582887629365E-2</v>
      </c>
      <c r="E4">
        <f t="shared" si="2"/>
        <v>8.7897917107885356E-4</v>
      </c>
    </row>
    <row r="5" spans="1:8" x14ac:dyDescent="0.25">
      <c r="A5">
        <v>0.53530060633749998</v>
      </c>
      <c r="B5">
        <v>0.69037824385644952</v>
      </c>
      <c r="C5">
        <f t="shared" si="0"/>
        <v>0.68028735950182084</v>
      </c>
      <c r="D5">
        <f t="shared" si="1"/>
        <v>1.0090884354628682E-2</v>
      </c>
      <c r="E5">
        <f t="shared" si="2"/>
        <v>1.0182594705848991E-4</v>
      </c>
      <c r="G5" t="s">
        <v>2</v>
      </c>
      <c r="H5">
        <f>SUM(E1:E40)</f>
        <v>1.1463500342096783E-2</v>
      </c>
    </row>
    <row r="6" spans="1:8" x14ac:dyDescent="0.25">
      <c r="A6">
        <v>0.65409573841249991</v>
      </c>
      <c r="B6">
        <v>0.7194746449385222</v>
      </c>
      <c r="C6">
        <f t="shared" si="0"/>
        <v>0.70037417364677124</v>
      </c>
      <c r="D6">
        <f t="shared" si="1"/>
        <v>1.9100471291750964E-2</v>
      </c>
      <c r="E6">
        <f t="shared" si="2"/>
        <v>3.6482800356700274E-4</v>
      </c>
    </row>
    <row r="7" spans="1:8" x14ac:dyDescent="0.25">
      <c r="A7">
        <v>0.77289087048749994</v>
      </c>
      <c r="B7">
        <v>0.73322930726822921</v>
      </c>
      <c r="C7">
        <f t="shared" si="0"/>
        <v>0.69253674647371077</v>
      </c>
      <c r="D7">
        <f t="shared" si="1"/>
        <v>4.069256079451844E-2</v>
      </c>
      <c r="E7">
        <f t="shared" si="2"/>
        <v>1.6558845040155791E-3</v>
      </c>
    </row>
    <row r="8" spans="1:8" x14ac:dyDescent="0.25">
      <c r="A8">
        <v>0.89168600256249997</v>
      </c>
      <c r="B8">
        <v>0.64488205307357238</v>
      </c>
      <c r="C8">
        <f t="shared" si="0"/>
        <v>0.66277668013107072</v>
      </c>
      <c r="D8">
        <f t="shared" si="1"/>
        <v>-1.7894627057498336E-2</v>
      </c>
      <c r="E8">
        <f t="shared" si="2"/>
        <v>3.2021767752695156E-4</v>
      </c>
    </row>
    <row r="9" spans="1:8" x14ac:dyDescent="0.25">
      <c r="A9">
        <v>1.0104811346375</v>
      </c>
      <c r="B9">
        <v>0.58933437828052482</v>
      </c>
      <c r="C9">
        <f t="shared" si="0"/>
        <v>0.61694237128786622</v>
      </c>
      <c r="D9">
        <f t="shared" si="1"/>
        <v>-2.7607993007341403E-2</v>
      </c>
      <c r="E9">
        <f t="shared" si="2"/>
        <v>7.6220127789341174E-4</v>
      </c>
    </row>
    <row r="10" spans="1:8" x14ac:dyDescent="0.25">
      <c r="A10">
        <v>1.1292762667125</v>
      </c>
      <c r="B10">
        <v>0.54013500917811108</v>
      </c>
      <c r="C10">
        <f t="shared" si="0"/>
        <v>0.56046162337536432</v>
      </c>
      <c r="D10">
        <f t="shared" si="1"/>
        <v>-2.0326614197253234E-2</v>
      </c>
      <c r="E10">
        <f t="shared" si="2"/>
        <v>4.1317124472397675E-4</v>
      </c>
    </row>
    <row r="11" spans="1:8" x14ac:dyDescent="0.25">
      <c r="A11">
        <v>1.2480713987875001</v>
      </c>
      <c r="B11">
        <v>0.50257420050852653</v>
      </c>
      <c r="C11">
        <f t="shared" si="0"/>
        <v>0.49812091416667731</v>
      </c>
      <c r="D11">
        <f t="shared" si="1"/>
        <v>4.4532863418492163E-3</v>
      </c>
      <c r="E11">
        <f t="shared" si="2"/>
        <v>1.9831759242500776E-5</v>
      </c>
    </row>
    <row r="12" spans="1:8" x14ac:dyDescent="0.25">
      <c r="A12">
        <v>1.3668665308625001</v>
      </c>
      <c r="B12">
        <v>0.40734961514901624</v>
      </c>
      <c r="C12">
        <f t="shared" si="0"/>
        <v>0.43392242228448674</v>
      </c>
      <c r="D12">
        <f t="shared" si="1"/>
        <v>-2.65728071354705E-2</v>
      </c>
      <c r="E12">
        <f t="shared" si="2"/>
        <v>7.0611407905891196E-4</v>
      </c>
    </row>
    <row r="13" spans="1:8" x14ac:dyDescent="0.25">
      <c r="A13">
        <v>1.4856616629374999</v>
      </c>
      <c r="B13">
        <v>0.38460151975757767</v>
      </c>
      <c r="C13">
        <f t="shared" si="0"/>
        <v>0.37102273526930601</v>
      </c>
      <c r="D13">
        <f t="shared" si="1"/>
        <v>1.3578784488271656E-2</v>
      </c>
      <c r="E13">
        <f t="shared" si="2"/>
        <v>1.8438338817892692E-4</v>
      </c>
    </row>
    <row r="14" spans="1:8" x14ac:dyDescent="0.25">
      <c r="A14">
        <v>1.6044567950124999</v>
      </c>
      <c r="B14">
        <v>0.31371210621216444</v>
      </c>
      <c r="C14">
        <f t="shared" si="0"/>
        <v>0.31174341855526494</v>
      </c>
      <c r="D14">
        <f t="shared" si="1"/>
        <v>1.9686876568995038E-3</v>
      </c>
      <c r="E14">
        <f t="shared" si="2"/>
        <v>3.875731090428458E-6</v>
      </c>
    </row>
    <row r="15" spans="1:8" x14ac:dyDescent="0.25">
      <c r="A15">
        <v>1.7232519270875</v>
      </c>
      <c r="B15">
        <v>0.24440976908940973</v>
      </c>
      <c r="C15">
        <f t="shared" si="0"/>
        <v>0.25763706117884239</v>
      </c>
      <c r="D15">
        <f t="shared" si="1"/>
        <v>-1.3227292089432657E-2</v>
      </c>
      <c r="E15">
        <f t="shared" si="2"/>
        <v>1.7496125601916776E-4</v>
      </c>
    </row>
    <row r="16" spans="1:8" x14ac:dyDescent="0.25">
      <c r="A16">
        <v>1.8420470591625</v>
      </c>
      <c r="B16">
        <v>0.2005006547291911</v>
      </c>
      <c r="C16">
        <f t="shared" si="0"/>
        <v>0.20959036958349803</v>
      </c>
      <c r="D16">
        <f t="shared" si="1"/>
        <v>-9.0897148543069295E-3</v>
      </c>
      <c r="E16">
        <f t="shared" si="2"/>
        <v>8.2622916132608044E-5</v>
      </c>
    </row>
    <row r="17" spans="1:5" x14ac:dyDescent="0.25">
      <c r="A17">
        <v>1.9608421912375</v>
      </c>
      <c r="B17">
        <v>0.165584973430704</v>
      </c>
      <c r="C17">
        <f t="shared" si="0"/>
        <v>0.16794678107024016</v>
      </c>
      <c r="D17">
        <f t="shared" si="1"/>
        <v>-2.3618076395361676E-3</v>
      </c>
      <c r="E17">
        <f t="shared" si="2"/>
        <v>5.5781353261714035E-6</v>
      </c>
    </row>
    <row r="18" spans="1:5" x14ac:dyDescent="0.25">
      <c r="A18">
        <v>2.0796373233125003</v>
      </c>
      <c r="B18">
        <v>0.12379196096736338</v>
      </c>
      <c r="C18">
        <f t="shared" si="0"/>
        <v>0.1326337521442717</v>
      </c>
      <c r="D18">
        <f t="shared" si="1"/>
        <v>-8.8417911769083229E-3</v>
      </c>
      <c r="E18">
        <f t="shared" si="2"/>
        <v>7.8177271216053868E-5</v>
      </c>
    </row>
    <row r="19" spans="1:5" x14ac:dyDescent="0.25">
      <c r="A19">
        <v>2.1984324553874997</v>
      </c>
      <c r="B19">
        <v>9.8927763679046793E-2</v>
      </c>
      <c r="C19">
        <f t="shared" si="0"/>
        <v>0.10328343063113866</v>
      </c>
      <c r="D19">
        <f t="shared" si="1"/>
        <v>-4.3556669520918717E-3</v>
      </c>
      <c r="E19">
        <f t="shared" si="2"/>
        <v>1.8971834597545295E-5</v>
      </c>
    </row>
    <row r="20" spans="1:5" x14ac:dyDescent="0.25">
      <c r="A20">
        <v>2.3172275874624999</v>
      </c>
      <c r="B20">
        <v>8.1469923029803243E-2</v>
      </c>
      <c r="C20">
        <f t="shared" si="0"/>
        <v>7.9339148301995871E-2</v>
      </c>
      <c r="D20">
        <f t="shared" si="1"/>
        <v>2.1307747278073719E-3</v>
      </c>
      <c r="E20">
        <f t="shared" si="2"/>
        <v>4.5402009406625794E-6</v>
      </c>
    </row>
    <row r="21" spans="1:5" x14ac:dyDescent="0.25">
      <c r="A21">
        <v>2.4360227195375002</v>
      </c>
      <c r="B21">
        <v>5.8721827638364678E-2</v>
      </c>
      <c r="C21">
        <f t="shared" si="0"/>
        <v>6.0143588463033998E-2</v>
      </c>
      <c r="D21">
        <f t="shared" si="1"/>
        <v>-1.42176082466932E-3</v>
      </c>
      <c r="E21">
        <f t="shared" si="2"/>
        <v>2.0214038425643848E-6</v>
      </c>
    </row>
    <row r="22" spans="1:5" x14ac:dyDescent="0.25">
      <c r="A22">
        <v>2.5548178516125</v>
      </c>
      <c r="B22">
        <v>4.2322037937560127E-2</v>
      </c>
      <c r="C22">
        <f t="shared" si="0"/>
        <v>4.5007301345368948E-2</v>
      </c>
      <c r="D22">
        <f t="shared" si="1"/>
        <v>-2.6852634078088217E-3</v>
      </c>
      <c r="E22">
        <f t="shared" si="2"/>
        <v>7.210639569317046E-6</v>
      </c>
    </row>
    <row r="23" spans="1:5" x14ac:dyDescent="0.25">
      <c r="A23">
        <v>2.6736129836874998</v>
      </c>
      <c r="B23">
        <v>3.1741528453170097E-2</v>
      </c>
      <c r="C23">
        <f t="shared" si="0"/>
        <v>3.3258335025678272E-2</v>
      </c>
      <c r="D23">
        <f t="shared" si="1"/>
        <v>-1.5168065725081753E-3</v>
      </c>
      <c r="E23">
        <f t="shared" si="2"/>
        <v>2.3007021784039986E-6</v>
      </c>
    </row>
    <row r="24" spans="1:5" x14ac:dyDescent="0.25">
      <c r="A24">
        <v>2.7924081157625</v>
      </c>
      <c r="B24">
        <v>2.6980299185194581E-2</v>
      </c>
      <c r="C24">
        <f t="shared" si="0"/>
        <v>2.4275122390060147E-2</v>
      </c>
      <c r="D24">
        <f t="shared" si="1"/>
        <v>2.7051767951344341E-3</v>
      </c>
      <c r="E24">
        <f t="shared" si="2"/>
        <v>7.3179814929338084E-6</v>
      </c>
    </row>
    <row r="25" spans="1:5" x14ac:dyDescent="0.25">
      <c r="A25">
        <v>2.9112032478374998</v>
      </c>
      <c r="B25">
        <v>1.9573942546121558E-2</v>
      </c>
      <c r="C25">
        <f t="shared" si="0"/>
        <v>1.7505500290601661E-2</v>
      </c>
      <c r="D25">
        <f t="shared" si="1"/>
        <v>2.0684422555198971E-3</v>
      </c>
      <c r="E25">
        <f t="shared" si="2"/>
        <v>4.2784533644202389E-6</v>
      </c>
    </row>
    <row r="26" spans="1:5" x14ac:dyDescent="0.25">
      <c r="A26">
        <v>3.0299983799125001</v>
      </c>
      <c r="B26">
        <v>1.7457840649243554E-2</v>
      </c>
      <c r="C26">
        <f t="shared" si="0"/>
        <v>1.2474965632170619E-2</v>
      </c>
      <c r="D26">
        <f t="shared" si="1"/>
        <v>4.9828750170729345E-3</v>
      </c>
      <c r="E26">
        <f t="shared" si="2"/>
        <v>2.4829043435769598E-5</v>
      </c>
    </row>
    <row r="27" spans="1:5" x14ac:dyDescent="0.25">
      <c r="A27">
        <v>3.1487935119874999</v>
      </c>
      <c r="B27">
        <v>1.0580509484390032E-2</v>
      </c>
      <c r="C27">
        <f t="shared" si="0"/>
        <v>8.7871387327306504E-3</v>
      </c>
      <c r="D27">
        <f t="shared" si="1"/>
        <v>1.7933707516593813E-3</v>
      </c>
      <c r="E27">
        <f t="shared" si="2"/>
        <v>3.2161786529073344E-6</v>
      </c>
    </row>
    <row r="28" spans="1:5" x14ac:dyDescent="0.25">
      <c r="A28">
        <v>3.2675886440625002</v>
      </c>
      <c r="B28">
        <v>8.4644075875120253E-3</v>
      </c>
      <c r="C28">
        <f t="shared" si="0"/>
        <v>6.1190427454546944E-3</v>
      </c>
      <c r="D28">
        <f t="shared" si="1"/>
        <v>2.3453648420573309E-3</v>
      </c>
      <c r="E28">
        <f t="shared" si="2"/>
        <v>5.5007362423586088E-6</v>
      </c>
    </row>
    <row r="29" spans="1:5" x14ac:dyDescent="0.25">
      <c r="A29">
        <v>3.3863837761374995</v>
      </c>
      <c r="B29">
        <v>6.877331164853521E-3</v>
      </c>
      <c r="C29">
        <f t="shared" si="0"/>
        <v>4.213333380920386E-3</v>
      </c>
      <c r="D29">
        <f t="shared" si="1"/>
        <v>2.663997783933135E-3</v>
      </c>
      <c r="E29">
        <f t="shared" si="2"/>
        <v>7.0968841928006537E-6</v>
      </c>
    </row>
    <row r="30" spans="1:5" x14ac:dyDescent="0.25">
      <c r="A30">
        <v>3.5051789082124998</v>
      </c>
      <c r="B30">
        <v>4.7612292679755147E-3</v>
      </c>
      <c r="C30">
        <f t="shared" si="0"/>
        <v>2.8691122131563715E-3</v>
      </c>
      <c r="D30">
        <f t="shared" si="1"/>
        <v>1.8921170548191432E-3</v>
      </c>
      <c r="E30">
        <f t="shared" si="2"/>
        <v>3.5801069491374683E-6</v>
      </c>
    </row>
    <row r="31" spans="1:5" x14ac:dyDescent="0.25">
      <c r="A31">
        <v>3.6239740402875</v>
      </c>
      <c r="B31">
        <v>5.2902547421950158E-3</v>
      </c>
      <c r="C31">
        <f t="shared" si="0"/>
        <v>1.9324881844694419E-3</v>
      </c>
      <c r="D31">
        <f t="shared" si="1"/>
        <v>3.3577665577255739E-3</v>
      </c>
      <c r="E31">
        <f t="shared" si="2"/>
        <v>1.1274596256180251E-5</v>
      </c>
    </row>
    <row r="32" spans="1:5" x14ac:dyDescent="0.25">
      <c r="A32">
        <v>3.7427691723625003</v>
      </c>
      <c r="B32">
        <v>3.7031783195365111E-3</v>
      </c>
      <c r="C32">
        <f t="shared" si="0"/>
        <v>1.2876496091500697E-3</v>
      </c>
      <c r="D32">
        <f t="shared" si="1"/>
        <v>2.4155287103864416E-3</v>
      </c>
      <c r="E32">
        <f t="shared" si="2"/>
        <v>5.8347789507011854E-6</v>
      </c>
    </row>
    <row r="33" spans="1:5" x14ac:dyDescent="0.25">
      <c r="A33">
        <v>3.8615643044374997</v>
      </c>
      <c r="B33">
        <v>1.5870764226585047E-3</v>
      </c>
      <c r="C33">
        <f t="shared" si="0"/>
        <v>8.4888758191937065E-4</v>
      </c>
      <c r="D33">
        <f t="shared" si="1"/>
        <v>7.381888407391341E-4</v>
      </c>
      <c r="E33">
        <f t="shared" si="2"/>
        <v>5.4492276459178672E-7</v>
      </c>
    </row>
    <row r="34" spans="1:5" x14ac:dyDescent="0.25">
      <c r="A34">
        <v>3.9803594365124999</v>
      </c>
      <c r="B34">
        <v>1.0580509484390032E-3</v>
      </c>
      <c r="C34">
        <f t="shared" si="0"/>
        <v>5.5377189070569355E-4</v>
      </c>
      <c r="D34">
        <f t="shared" si="1"/>
        <v>5.0427905773330962E-4</v>
      </c>
      <c r="E34">
        <f t="shared" si="2"/>
        <v>2.542973680683946E-7</v>
      </c>
    </row>
    <row r="35" spans="1:5" x14ac:dyDescent="0.25">
      <c r="A35">
        <v>4.0991545685875002</v>
      </c>
      <c r="B35">
        <v>5.2902547421950158E-4</v>
      </c>
      <c r="C35">
        <f t="shared" si="0"/>
        <v>3.5751425687604308E-4</v>
      </c>
      <c r="D35">
        <f t="shared" si="1"/>
        <v>1.715112173434585E-4</v>
      </c>
      <c r="E35">
        <f t="shared" si="2"/>
        <v>2.9416097674635062E-8</v>
      </c>
    </row>
    <row r="36" spans="1:5" x14ac:dyDescent="0.25">
      <c r="A36">
        <v>4.2179497006624995</v>
      </c>
      <c r="B36">
        <v>5.2902547421950158E-4</v>
      </c>
      <c r="C36">
        <f t="shared" si="0"/>
        <v>2.2844843787797056E-4</v>
      </c>
      <c r="D36">
        <f t="shared" si="1"/>
        <v>3.0057703634153103E-4</v>
      </c>
      <c r="E36">
        <f t="shared" si="2"/>
        <v>9.0346554775858058E-8</v>
      </c>
    </row>
    <row r="37" spans="1:5" x14ac:dyDescent="0.25">
      <c r="A37">
        <v>4.3367448327374998</v>
      </c>
      <c r="B37">
        <v>5.2902547421950158E-4</v>
      </c>
      <c r="C37">
        <f t="shared" si="0"/>
        <v>1.4449853251043159E-4</v>
      </c>
      <c r="D37">
        <f t="shared" si="1"/>
        <v>3.8452694170906999E-4</v>
      </c>
      <c r="E37">
        <f t="shared" si="2"/>
        <v>1.478609689001305E-7</v>
      </c>
    </row>
    <row r="38" spans="1:5" x14ac:dyDescent="0.25">
      <c r="A38">
        <v>4.4555399648125</v>
      </c>
      <c r="B38">
        <v>0</v>
      </c>
      <c r="C38">
        <f t="shared" si="0"/>
        <v>9.0482538162170987E-5</v>
      </c>
      <c r="D38">
        <f t="shared" si="1"/>
        <v>-9.0482538162170987E-5</v>
      </c>
      <c r="E38">
        <f t="shared" si="2"/>
        <v>8.1870897122687292E-9</v>
      </c>
    </row>
    <row r="39" spans="1:5" x14ac:dyDescent="0.25">
      <c r="A39">
        <v>4.5743350968875003</v>
      </c>
      <c r="B39">
        <v>0</v>
      </c>
      <c r="C39">
        <f t="shared" si="0"/>
        <v>5.6096493346950314E-5</v>
      </c>
      <c r="D39">
        <f t="shared" si="1"/>
        <v>-5.6096493346950314E-5</v>
      </c>
      <c r="E39">
        <f t="shared" si="2"/>
        <v>3.146816565824441E-9</v>
      </c>
    </row>
    <row r="40" spans="1:5" x14ac:dyDescent="0.25">
      <c r="A40">
        <v>4.6931302289624997</v>
      </c>
      <c r="B40">
        <v>5.2902547421950158E-4</v>
      </c>
      <c r="C40">
        <f t="shared" si="0"/>
        <v>3.443640167894011E-5</v>
      </c>
      <c r="D40">
        <f t="shared" si="1"/>
        <v>4.9458907254056148E-4</v>
      </c>
      <c r="E40">
        <f t="shared" si="2"/>
        <v>2.4461835067653281E-7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C77D-B541-4560-BF04-C87840BAB76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5.7250273475000002E-2</v>
      </c>
      <c r="B1">
        <v>8.026654972391338E-2</v>
      </c>
      <c r="C1">
        <f>$H$3*(1+$H$1)*(A1^($H$1))*EXP(-$H$3*(A1^(1+$H$1)))</f>
        <v>0.14655366797404037</v>
      </c>
      <c r="D1">
        <f>B1-C1</f>
        <v>-6.6287118250126995E-2</v>
      </c>
      <c r="E1">
        <f>D1^2</f>
        <v>4.3939820459063189E-3</v>
      </c>
      <c r="G1" t="s">
        <v>0</v>
      </c>
      <c r="H1">
        <v>0.80162266611940813</v>
      </c>
    </row>
    <row r="2" spans="1:8" x14ac:dyDescent="0.25">
      <c r="A2">
        <v>0.17077975042500002</v>
      </c>
      <c r="B2">
        <v>0.31885194924809729</v>
      </c>
      <c r="C2">
        <f t="shared" ref="C2:C40" si="0">$H$3*(1+$H$1)*(A2^($H$1))*EXP(-$H$3*(A2^(1+$H$1)))</f>
        <v>0.34195471807079242</v>
      </c>
      <c r="D2">
        <f t="shared" ref="D2:D40" si="1">B2-C2</f>
        <v>-2.310276882269513E-2</v>
      </c>
      <c r="E2">
        <f t="shared" ref="E2:E40" si="2">D2^2</f>
        <v>5.3373792727489408E-4</v>
      </c>
    </row>
    <row r="3" spans="1:8" x14ac:dyDescent="0.25">
      <c r="A3">
        <v>0.28430922737500003</v>
      </c>
      <c r="B3">
        <v>0.49599192105259576</v>
      </c>
      <c r="C3">
        <f t="shared" si="0"/>
        <v>0.48921918253294555</v>
      </c>
      <c r="D3">
        <f t="shared" si="1"/>
        <v>6.7727385196502121E-3</v>
      </c>
      <c r="E3">
        <f t="shared" si="2"/>
        <v>4.5869987055553744E-5</v>
      </c>
      <c r="G3" t="s">
        <v>1</v>
      </c>
      <c r="H3">
        <f>(_xlfn.GAMMA((2+$H$1)/(1+$H$1)))^(1+$H$1)</f>
        <v>0.80939129550483901</v>
      </c>
    </row>
    <row r="4" spans="1:8" x14ac:dyDescent="0.25">
      <c r="A4">
        <v>0.39783870432500001</v>
      </c>
      <c r="B4">
        <v>0.66593558150253651</v>
      </c>
      <c r="C4">
        <f t="shared" si="0"/>
        <v>0.59722787001040534</v>
      </c>
      <c r="D4">
        <f t="shared" si="1"/>
        <v>6.8707711492131174E-2</v>
      </c>
      <c r="E4">
        <f t="shared" si="2"/>
        <v>4.7207496184859341E-3</v>
      </c>
    </row>
    <row r="5" spans="1:8" x14ac:dyDescent="0.25">
      <c r="A5">
        <v>0.51136818127499994</v>
      </c>
      <c r="B5">
        <v>0.70634563757043767</v>
      </c>
      <c r="C5">
        <f t="shared" si="0"/>
        <v>0.66886168512317024</v>
      </c>
      <c r="D5">
        <f t="shared" si="1"/>
        <v>3.7483952447267432E-2</v>
      </c>
      <c r="E5">
        <f t="shared" si="2"/>
        <v>1.4050466910690061E-3</v>
      </c>
      <c r="G5" t="s">
        <v>2</v>
      </c>
      <c r="H5">
        <f>SUM(E1:E40)</f>
        <v>1.5053522670136451E-2</v>
      </c>
    </row>
    <row r="6" spans="1:8" x14ac:dyDescent="0.25">
      <c r="A6">
        <v>0.62489765822499999</v>
      </c>
      <c r="B6">
        <v>0.73402375816489063</v>
      </c>
      <c r="C6">
        <f t="shared" si="0"/>
        <v>0.70705633532624934</v>
      </c>
      <c r="D6">
        <f t="shared" si="1"/>
        <v>2.6967422838641286E-2</v>
      </c>
      <c r="E6">
        <f t="shared" si="2"/>
        <v>7.2724189455807161E-4</v>
      </c>
    </row>
    <row r="7" spans="1:8" x14ac:dyDescent="0.25">
      <c r="A7">
        <v>0.73842713517499992</v>
      </c>
      <c r="B7">
        <v>0.74730925605022802</v>
      </c>
      <c r="C7">
        <f t="shared" si="0"/>
        <v>0.71564766396880297</v>
      </c>
      <c r="D7">
        <f t="shared" si="1"/>
        <v>3.166159208142505E-2</v>
      </c>
      <c r="E7">
        <f t="shared" si="2"/>
        <v>1.0024564131305574E-3</v>
      </c>
    </row>
    <row r="8" spans="1:8" x14ac:dyDescent="0.25">
      <c r="A8">
        <v>0.85195661212499996</v>
      </c>
      <c r="B8">
        <v>0.70025645103965806</v>
      </c>
      <c r="C8">
        <f t="shared" si="0"/>
        <v>0.69930122598464417</v>
      </c>
      <c r="D8">
        <f t="shared" si="1"/>
        <v>9.5522505501388633E-4</v>
      </c>
      <c r="E8">
        <f t="shared" si="2"/>
        <v>9.1245490572628221E-7</v>
      </c>
    </row>
    <row r="9" spans="1:8" x14ac:dyDescent="0.25">
      <c r="A9">
        <v>0.96548608907500011</v>
      </c>
      <c r="B9">
        <v>0.63936458573186172</v>
      </c>
      <c r="C9">
        <f t="shared" si="0"/>
        <v>0.66318502530788725</v>
      </c>
      <c r="D9">
        <f t="shared" si="1"/>
        <v>-2.3820439576025532E-2</v>
      </c>
      <c r="E9">
        <f t="shared" si="2"/>
        <v>5.6741334159508339E-4</v>
      </c>
    </row>
    <row r="10" spans="1:8" x14ac:dyDescent="0.25">
      <c r="A10">
        <v>1.079015566025</v>
      </c>
      <c r="B10">
        <v>0.59341890554506993</v>
      </c>
      <c r="C10">
        <f t="shared" si="0"/>
        <v>0.61258593332616651</v>
      </c>
      <c r="D10">
        <f t="shared" si="1"/>
        <v>-1.9167027781096579E-2</v>
      </c>
      <c r="E10">
        <f t="shared" si="2"/>
        <v>3.6737495396132807E-4</v>
      </c>
    </row>
    <row r="11" spans="1:8" x14ac:dyDescent="0.25">
      <c r="A11">
        <v>1.1925450429750002</v>
      </c>
      <c r="B11">
        <v>0.53363416506105166</v>
      </c>
      <c r="C11">
        <f t="shared" si="0"/>
        <v>0.55255701570083049</v>
      </c>
      <c r="D11">
        <f t="shared" si="1"/>
        <v>-1.8922850639778832E-2</v>
      </c>
      <c r="E11">
        <f t="shared" si="2"/>
        <v>3.5807427633537814E-4</v>
      </c>
    </row>
    <row r="12" spans="1:8" x14ac:dyDescent="0.25">
      <c r="A12">
        <v>1.3060745199250001</v>
      </c>
      <c r="B12">
        <v>0.47606367422458967</v>
      </c>
      <c r="C12">
        <f t="shared" si="0"/>
        <v>0.4876383543361712</v>
      </c>
      <c r="D12">
        <f t="shared" si="1"/>
        <v>-1.1574680111581526E-2</v>
      </c>
      <c r="E12">
        <f t="shared" si="2"/>
        <v>1.3397321968544091E-4</v>
      </c>
    </row>
    <row r="13" spans="1:8" x14ac:dyDescent="0.25">
      <c r="A13">
        <v>1.4196039968750001</v>
      </c>
      <c r="B13">
        <v>0.41627893374057146</v>
      </c>
      <c r="C13">
        <f t="shared" si="0"/>
        <v>0.42166887576631018</v>
      </c>
      <c r="D13">
        <f t="shared" si="1"/>
        <v>-5.3899420257387254E-3</v>
      </c>
      <c r="E13">
        <f t="shared" si="2"/>
        <v>2.9051475040824474E-5</v>
      </c>
    </row>
    <row r="14" spans="1:8" x14ac:dyDescent="0.25">
      <c r="A14">
        <v>1.533133473825</v>
      </c>
      <c r="B14">
        <v>0.35483350602088604</v>
      </c>
      <c r="C14">
        <f t="shared" si="0"/>
        <v>0.35769003056444693</v>
      </c>
      <c r="D14">
        <f t="shared" si="1"/>
        <v>-2.8565245435608899E-3</v>
      </c>
      <c r="E14">
        <f t="shared" si="2"/>
        <v>8.1597324679657507E-6</v>
      </c>
    </row>
    <row r="15" spans="1:8" x14ac:dyDescent="0.25">
      <c r="A15">
        <v>1.6466629507749999</v>
      </c>
      <c r="B15">
        <v>0.29172739106553341</v>
      </c>
      <c r="C15">
        <f t="shared" si="0"/>
        <v>0.29793103507028285</v>
      </c>
      <c r="D15">
        <f t="shared" si="1"/>
        <v>-6.2036440047494312E-3</v>
      </c>
      <c r="E15">
        <f t="shared" si="2"/>
        <v>3.8485198937663558E-5</v>
      </c>
    </row>
    <row r="16" spans="1:8" x14ac:dyDescent="0.25">
      <c r="A16">
        <v>1.7601924277250001</v>
      </c>
      <c r="B16">
        <v>0.2358175874647386</v>
      </c>
      <c r="C16">
        <f t="shared" si="0"/>
        <v>0.24385879864712848</v>
      </c>
      <c r="D16">
        <f t="shared" si="1"/>
        <v>-8.0412111823898735E-3</v>
      </c>
      <c r="E16">
        <f t="shared" si="2"/>
        <v>6.4661077279791951E-5</v>
      </c>
    </row>
    <row r="17" spans="1:5" x14ac:dyDescent="0.25">
      <c r="A17">
        <v>1.873721904675</v>
      </c>
      <c r="B17">
        <v>0.18322915833527811</v>
      </c>
      <c r="C17">
        <f t="shared" si="0"/>
        <v>0.19627290577039594</v>
      </c>
      <c r="D17">
        <f t="shared" si="1"/>
        <v>-1.3043747435117825E-2</v>
      </c>
      <c r="E17">
        <f t="shared" si="2"/>
        <v>1.7013934715114285E-4</v>
      </c>
    </row>
    <row r="18" spans="1:5" x14ac:dyDescent="0.25">
      <c r="A18">
        <v>1.9872513816250001</v>
      </c>
      <c r="B18">
        <v>0.13839060297226444</v>
      </c>
      <c r="C18">
        <f t="shared" si="0"/>
        <v>0.15542629865005556</v>
      </c>
      <c r="D18">
        <f t="shared" si="1"/>
        <v>-1.7035695677791118E-2</v>
      </c>
      <c r="E18">
        <f t="shared" si="2"/>
        <v>2.9021492722631099E-4</v>
      </c>
    </row>
    <row r="19" spans="1:5" x14ac:dyDescent="0.25">
      <c r="A19">
        <v>2.1007808585749999</v>
      </c>
      <c r="B19">
        <v>0.12676579232259422</v>
      </c>
      <c r="C19">
        <f t="shared" si="0"/>
        <v>0.12115471371554244</v>
      </c>
      <c r="D19">
        <f t="shared" si="1"/>
        <v>5.6110786070517754E-3</v>
      </c>
      <c r="E19">
        <f t="shared" si="2"/>
        <v>3.1484203134514091E-5</v>
      </c>
    </row>
    <row r="20" spans="1:5" x14ac:dyDescent="0.25">
      <c r="A20">
        <v>2.214310335525</v>
      </c>
      <c r="B20">
        <v>9.5766297256806993E-2</v>
      </c>
      <c r="C20">
        <f t="shared" si="0"/>
        <v>9.300156807244013E-2</v>
      </c>
      <c r="D20">
        <f t="shared" si="1"/>
        <v>2.7647291843668625E-3</v>
      </c>
      <c r="E20">
        <f t="shared" si="2"/>
        <v>7.6437274628898565E-6</v>
      </c>
    </row>
    <row r="21" spans="1:5" x14ac:dyDescent="0.25">
      <c r="A21">
        <v>2.3278398124750002</v>
      </c>
      <c r="B21">
        <v>6.2552552543463522E-2</v>
      </c>
      <c r="C21">
        <f t="shared" si="0"/>
        <v>7.0329079216402413E-2</v>
      </c>
      <c r="D21">
        <f t="shared" si="1"/>
        <v>-7.776526672938891E-3</v>
      </c>
      <c r="E21">
        <f t="shared" si="2"/>
        <v>6.0474367094930019E-5</v>
      </c>
    </row>
    <row r="22" spans="1:5" x14ac:dyDescent="0.25">
      <c r="A22">
        <v>2.4413692894250003</v>
      </c>
      <c r="B22">
        <v>5.0927741893793316E-2</v>
      </c>
      <c r="C22">
        <f t="shared" si="0"/>
        <v>5.2410317703230513E-2</v>
      </c>
      <c r="D22">
        <f t="shared" si="1"/>
        <v>-1.4825758094371977E-3</v>
      </c>
      <c r="E22">
        <f t="shared" si="2"/>
        <v>2.198031030728362E-6</v>
      </c>
    </row>
    <row r="23" spans="1:5" x14ac:dyDescent="0.25">
      <c r="A23">
        <v>2.5548987663750005</v>
      </c>
      <c r="B23">
        <v>3.9302931244123103E-2</v>
      </c>
      <c r="C23">
        <f t="shared" si="0"/>
        <v>3.8500227856394155E-2</v>
      </c>
      <c r="D23">
        <f t="shared" si="1"/>
        <v>8.02703387728948E-4</v>
      </c>
      <c r="E23">
        <f t="shared" si="2"/>
        <v>6.4433272867152978E-7</v>
      </c>
    </row>
    <row r="24" spans="1:5" x14ac:dyDescent="0.25">
      <c r="A24">
        <v>2.6684282433249997</v>
      </c>
      <c r="B24">
        <v>3.3213744713343464E-2</v>
      </c>
      <c r="C24">
        <f t="shared" si="0"/>
        <v>2.7886193454128873E-2</v>
      </c>
      <c r="D24">
        <f t="shared" si="1"/>
        <v>5.3275512592145906E-3</v>
      </c>
      <c r="E24">
        <f t="shared" si="2"/>
        <v>2.8382802419558971E-5</v>
      </c>
    </row>
    <row r="25" spans="1:5" x14ac:dyDescent="0.25">
      <c r="A25">
        <v>2.7819577202749999</v>
      </c>
      <c r="B25">
        <v>2.1588934063673251E-2</v>
      </c>
      <c r="C25">
        <f t="shared" si="0"/>
        <v>1.9920426317322215E-2</v>
      </c>
      <c r="D25">
        <f t="shared" si="1"/>
        <v>1.6685077463510362E-3</v>
      </c>
      <c r="E25">
        <f t="shared" si="2"/>
        <v>2.7839180996334136E-6</v>
      </c>
    </row>
    <row r="26" spans="1:5" x14ac:dyDescent="0.25">
      <c r="A26">
        <v>2.895487197225</v>
      </c>
      <c r="B26">
        <v>1.6606872356671732E-2</v>
      </c>
      <c r="C26">
        <f t="shared" si="0"/>
        <v>1.4037387790923034E-2</v>
      </c>
      <c r="D26">
        <f t="shared" si="1"/>
        <v>2.5694845657486982E-3</v>
      </c>
      <c r="E26">
        <f t="shared" si="2"/>
        <v>6.6022509336207761E-6</v>
      </c>
    </row>
    <row r="27" spans="1:5" x14ac:dyDescent="0.25">
      <c r="A27">
        <v>3.0090166741750002</v>
      </c>
      <c r="B27">
        <v>1.2178373061559271E-2</v>
      </c>
      <c r="C27">
        <f t="shared" si="0"/>
        <v>9.7597595625326418E-3</v>
      </c>
      <c r="D27">
        <f t="shared" si="1"/>
        <v>2.4186134990266291E-3</v>
      </c>
      <c r="E27">
        <f t="shared" si="2"/>
        <v>5.8496912576738342E-6</v>
      </c>
    </row>
    <row r="28" spans="1:5" x14ac:dyDescent="0.25">
      <c r="A28">
        <v>3.1225461511249999</v>
      </c>
      <c r="B28">
        <v>1.0517685825892097E-2</v>
      </c>
      <c r="C28">
        <f t="shared" si="0"/>
        <v>6.6963333368152645E-3</v>
      </c>
      <c r="D28">
        <f t="shared" si="1"/>
        <v>3.8213524890768321E-3</v>
      </c>
      <c r="E28">
        <f t="shared" si="2"/>
        <v>1.46027348457737E-5</v>
      </c>
    </row>
    <row r="29" spans="1:5" x14ac:dyDescent="0.25">
      <c r="A29">
        <v>3.2360756280749996</v>
      </c>
      <c r="B29">
        <v>7.7498737664468088E-3</v>
      </c>
      <c r="C29">
        <f t="shared" si="0"/>
        <v>4.534757538834519E-3</v>
      </c>
      <c r="D29">
        <f t="shared" si="1"/>
        <v>3.2151162276122898E-3</v>
      </c>
      <c r="E29">
        <f t="shared" si="2"/>
        <v>1.0336972357055881E-5</v>
      </c>
    </row>
    <row r="30" spans="1:5" x14ac:dyDescent="0.25">
      <c r="A30">
        <v>3.3496051050249998</v>
      </c>
      <c r="B30">
        <v>5.5356241188905773E-3</v>
      </c>
      <c r="C30">
        <f t="shared" si="0"/>
        <v>3.0315083445939784E-3</v>
      </c>
      <c r="D30">
        <f t="shared" si="1"/>
        <v>2.504115774296599E-3</v>
      </c>
      <c r="E30">
        <f t="shared" si="2"/>
        <v>6.270595811081055E-6</v>
      </c>
    </row>
    <row r="31" spans="1:5" x14ac:dyDescent="0.25">
      <c r="A31">
        <v>3.4631345819749999</v>
      </c>
      <c r="B31">
        <v>4.428499295112462E-3</v>
      </c>
      <c r="C31">
        <f t="shared" si="0"/>
        <v>2.0008525521636564E-3</v>
      </c>
      <c r="D31">
        <f t="shared" si="1"/>
        <v>2.4276467429488057E-3</v>
      </c>
      <c r="E31">
        <f t="shared" si="2"/>
        <v>5.8934687085499446E-6</v>
      </c>
    </row>
    <row r="32" spans="1:5" x14ac:dyDescent="0.25">
      <c r="A32">
        <v>3.5766640589250001</v>
      </c>
      <c r="B32">
        <v>4.428499295112462E-3</v>
      </c>
      <c r="C32">
        <f t="shared" si="0"/>
        <v>1.3040155816192469E-3</v>
      </c>
      <c r="D32">
        <f t="shared" si="1"/>
        <v>3.124483713493215E-3</v>
      </c>
      <c r="E32">
        <f t="shared" si="2"/>
        <v>9.7623984758843511E-6</v>
      </c>
    </row>
    <row r="33" spans="1:5" x14ac:dyDescent="0.25">
      <c r="A33">
        <v>3.6901935358750002</v>
      </c>
      <c r="B33">
        <v>2.214249647556231E-3</v>
      </c>
      <c r="C33">
        <f t="shared" si="0"/>
        <v>8.3930127138245457E-4</v>
      </c>
      <c r="D33">
        <f t="shared" si="1"/>
        <v>1.3749483761737766E-3</v>
      </c>
      <c r="E33">
        <f t="shared" si="2"/>
        <v>1.890483037142905E-6</v>
      </c>
    </row>
    <row r="34" spans="1:5" x14ac:dyDescent="0.25">
      <c r="A34">
        <v>3.8037230128249999</v>
      </c>
      <c r="B34">
        <v>5.5356241188905776E-4</v>
      </c>
      <c r="C34">
        <f t="shared" si="0"/>
        <v>5.3354747293249025E-4</v>
      </c>
      <c r="D34">
        <f t="shared" si="1"/>
        <v>2.0014938956567502E-5</v>
      </c>
      <c r="E34">
        <f t="shared" si="2"/>
        <v>4.0059778143512339E-10</v>
      </c>
    </row>
    <row r="35" spans="1:5" x14ac:dyDescent="0.25">
      <c r="A35">
        <v>3.9172524897749996</v>
      </c>
      <c r="B35">
        <v>5.5356241188905776E-4</v>
      </c>
      <c r="C35">
        <f t="shared" si="0"/>
        <v>3.350410383448503E-4</v>
      </c>
      <c r="D35">
        <f t="shared" si="1"/>
        <v>2.1852137354420745E-4</v>
      </c>
      <c r="E35">
        <f t="shared" si="2"/>
        <v>4.7751590695647048E-8</v>
      </c>
    </row>
    <row r="36" spans="1:5" x14ac:dyDescent="0.25">
      <c r="A36">
        <v>4.0307819667249998</v>
      </c>
      <c r="B36">
        <v>1.1071248237781155E-3</v>
      </c>
      <c r="C36">
        <f t="shared" si="0"/>
        <v>2.0784502633656651E-4</v>
      </c>
      <c r="D36">
        <f t="shared" si="1"/>
        <v>8.99279797441549E-4</v>
      </c>
      <c r="E36">
        <f t="shared" si="2"/>
        <v>8.0870415408651342E-7</v>
      </c>
    </row>
    <row r="37" spans="1:5" x14ac:dyDescent="0.25">
      <c r="A37">
        <v>4.1443114436750008</v>
      </c>
      <c r="B37">
        <v>0</v>
      </c>
      <c r="C37">
        <f t="shared" si="0"/>
        <v>1.273920782916992E-4</v>
      </c>
      <c r="D37">
        <f t="shared" si="1"/>
        <v>-1.273920782916992E-4</v>
      </c>
      <c r="E37">
        <f t="shared" si="2"/>
        <v>1.6228741611478421E-8</v>
      </c>
    </row>
    <row r="38" spans="1:5" x14ac:dyDescent="0.25">
      <c r="A38">
        <v>4.2578409206250001</v>
      </c>
      <c r="B38">
        <v>0</v>
      </c>
      <c r="C38">
        <f t="shared" si="0"/>
        <v>7.7152246150284315E-5</v>
      </c>
      <c r="D38">
        <f t="shared" si="1"/>
        <v>-7.7152246150284315E-5</v>
      </c>
      <c r="E38">
        <f t="shared" si="2"/>
        <v>5.9524690860340612E-9</v>
      </c>
    </row>
    <row r="39" spans="1:5" x14ac:dyDescent="0.25">
      <c r="A39">
        <v>4.3713703975749993</v>
      </c>
      <c r="B39">
        <v>0</v>
      </c>
      <c r="C39">
        <f t="shared" si="0"/>
        <v>4.6174078785359993E-5</v>
      </c>
      <c r="D39">
        <f t="shared" si="1"/>
        <v>-4.6174078785359993E-5</v>
      </c>
      <c r="E39">
        <f t="shared" si="2"/>
        <v>2.1320455516766315E-9</v>
      </c>
    </row>
    <row r="40" spans="1:5" x14ac:dyDescent="0.25">
      <c r="A40">
        <v>4.4848998745250004</v>
      </c>
      <c r="B40">
        <v>5.5356241188905776E-4</v>
      </c>
      <c r="C40">
        <f t="shared" si="0"/>
        <v>2.731050173740903E-5</v>
      </c>
      <c r="D40">
        <f t="shared" si="1"/>
        <v>5.2625191015164875E-4</v>
      </c>
      <c r="E40">
        <f t="shared" si="2"/>
        <v>2.7694107293825899E-7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90CBD-3805-47C5-B2DB-F4AB4C4DEFF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8.2181251837499997E-2</v>
      </c>
      <c r="B1">
        <v>9.1791550696878915E-2</v>
      </c>
      <c r="C1">
        <f>$H$3*(1+$H$1)*(A1^($H$1))*EXP(-$H$3*(A1^(1+$H$1)))</f>
        <v>0.1590779659989493</v>
      </c>
      <c r="D1">
        <f>B1-C1</f>
        <v>-6.7286415302070385E-2</v>
      </c>
      <c r="E1">
        <f>D1^2</f>
        <v>4.5274616842026919E-3</v>
      </c>
      <c r="G1" t="s">
        <v>0</v>
      </c>
      <c r="H1">
        <v>0.89872160924708211</v>
      </c>
    </row>
    <row r="2" spans="1:8" x14ac:dyDescent="0.25">
      <c r="A2">
        <v>0.18967902551250002</v>
      </c>
      <c r="B2">
        <v>0.30519228957815792</v>
      </c>
      <c r="C2">
        <f t="shared" ref="C2:C40" si="0">$H$3*(1+$H$1)*(A2^($H$1))*EXP(-$H$3*(A2^(1+$H$1)))</f>
        <v>0.32835315995463643</v>
      </c>
      <c r="D2">
        <f t="shared" ref="D2:D40" si="1">B2-C2</f>
        <v>-2.3160870376478515E-2</v>
      </c>
      <c r="E2">
        <f t="shared" ref="E2:E40" si="2">D2^2</f>
        <v>5.3642591659604005E-4</v>
      </c>
    </row>
    <row r="3" spans="1:8" x14ac:dyDescent="0.25">
      <c r="A3">
        <v>0.29717679918750001</v>
      </c>
      <c r="B3">
        <v>0.46772764686307727</v>
      </c>
      <c r="C3">
        <f t="shared" si="0"/>
        <v>0.46963259049462253</v>
      </c>
      <c r="D3">
        <f t="shared" si="1"/>
        <v>-1.9049436315452528E-3</v>
      </c>
      <c r="E3">
        <f t="shared" si="2"/>
        <v>3.6288102393648161E-6</v>
      </c>
      <c r="G3" t="s">
        <v>1</v>
      </c>
      <c r="H3">
        <f>(_xlfn.GAMMA((2+$H$1)/(1+$H$1)))^(1+$H$1)</f>
        <v>0.79703419970593481</v>
      </c>
    </row>
    <row r="4" spans="1:8" x14ac:dyDescent="0.25">
      <c r="A4">
        <v>0.40467457286250003</v>
      </c>
      <c r="B4">
        <v>0.64371017399531005</v>
      </c>
      <c r="C4">
        <f t="shared" si="0"/>
        <v>0.58171609353205633</v>
      </c>
      <c r="D4">
        <f t="shared" si="1"/>
        <v>6.199408046325372E-2</v>
      </c>
      <c r="E4">
        <f t="shared" si="2"/>
        <v>3.8432660124843765E-3</v>
      </c>
    </row>
    <row r="5" spans="1:8" x14ac:dyDescent="0.25">
      <c r="A5">
        <v>0.51217234653749999</v>
      </c>
      <c r="B5">
        <v>0.73199376734071586</v>
      </c>
      <c r="C5">
        <f t="shared" si="0"/>
        <v>0.66315678206054651</v>
      </c>
      <c r="D5">
        <f t="shared" si="1"/>
        <v>6.8836985280169349E-2</v>
      </c>
      <c r="E5">
        <f t="shared" si="2"/>
        <v>4.7385305424622517E-3</v>
      </c>
      <c r="G5" t="s">
        <v>2</v>
      </c>
      <c r="H5">
        <f>SUM(E1:E40)</f>
        <v>2.17100453211529E-2</v>
      </c>
    </row>
    <row r="6" spans="1:8" x14ac:dyDescent="0.25">
      <c r="A6">
        <v>0.61967012021250001</v>
      </c>
      <c r="B6">
        <v>0.75070287321523899</v>
      </c>
      <c r="C6">
        <f t="shared" si="0"/>
        <v>0.7138876642234897</v>
      </c>
      <c r="D6">
        <f t="shared" si="1"/>
        <v>3.6815208991749282E-2</v>
      </c>
      <c r="E6">
        <f t="shared" si="2"/>
        <v>1.3553596131061771E-3</v>
      </c>
    </row>
    <row r="7" spans="1:8" x14ac:dyDescent="0.25">
      <c r="A7">
        <v>0.72716789388750003</v>
      </c>
      <c r="B7">
        <v>0.73433240557503132</v>
      </c>
      <c r="C7">
        <f t="shared" si="0"/>
        <v>0.73544560046493246</v>
      </c>
      <c r="D7">
        <f t="shared" si="1"/>
        <v>-1.1131948899011368E-3</v>
      </c>
      <c r="E7">
        <f t="shared" si="2"/>
        <v>1.239202862902004E-6</v>
      </c>
    </row>
    <row r="8" spans="1:8" x14ac:dyDescent="0.25">
      <c r="A8">
        <v>0.83466566756250005</v>
      </c>
      <c r="B8">
        <v>0.76415004306255252</v>
      </c>
      <c r="C8">
        <f t="shared" si="0"/>
        <v>0.73079551606945803</v>
      </c>
      <c r="D8">
        <f t="shared" si="1"/>
        <v>3.3354526993094491E-2</v>
      </c>
      <c r="E8">
        <f t="shared" si="2"/>
        <v>1.112524470933069E-3</v>
      </c>
    </row>
    <row r="9" spans="1:8" x14ac:dyDescent="0.25">
      <c r="A9">
        <v>0.94216344123750007</v>
      </c>
      <c r="B9">
        <v>0.71620795925908709</v>
      </c>
      <c r="C9">
        <f t="shared" si="0"/>
        <v>0.70397929807061921</v>
      </c>
      <c r="D9">
        <f t="shared" si="1"/>
        <v>1.2228661188467882E-2</v>
      </c>
      <c r="E9">
        <f t="shared" si="2"/>
        <v>1.4954015446234071E-4</v>
      </c>
    </row>
    <row r="10" spans="1:8" x14ac:dyDescent="0.25">
      <c r="A10">
        <v>1.0496612149125</v>
      </c>
      <c r="B10">
        <v>0.6068766218048427</v>
      </c>
      <c r="C10">
        <f t="shared" si="0"/>
        <v>0.6596926201037302</v>
      </c>
      <c r="D10">
        <f t="shared" si="1"/>
        <v>-5.2815998298887501E-2</v>
      </c>
      <c r="E10">
        <f t="shared" si="2"/>
        <v>2.7895296763080875E-3</v>
      </c>
    </row>
    <row r="11" spans="1:8" x14ac:dyDescent="0.25">
      <c r="A11">
        <v>1.1571589885875002</v>
      </c>
      <c r="B11">
        <v>0.60044536666047543</v>
      </c>
      <c r="C11">
        <f t="shared" si="0"/>
        <v>0.60285819325309664</v>
      </c>
      <c r="D11">
        <f t="shared" si="1"/>
        <v>-2.4128265926212089E-3</v>
      </c>
      <c r="E11">
        <f t="shared" si="2"/>
        <v>5.8217321660600729E-6</v>
      </c>
    </row>
    <row r="12" spans="1:8" x14ac:dyDescent="0.25">
      <c r="A12">
        <v>1.2646567622625002</v>
      </c>
      <c r="B12">
        <v>0.51625439022512154</v>
      </c>
      <c r="C12">
        <f t="shared" si="0"/>
        <v>0.53824453992719978</v>
      </c>
      <c r="D12">
        <f t="shared" si="1"/>
        <v>-2.1990149702078243E-2</v>
      </c>
      <c r="E12">
        <f t="shared" si="2"/>
        <v>4.8356668391981184E-4</v>
      </c>
    </row>
    <row r="13" spans="1:8" x14ac:dyDescent="0.25">
      <c r="A13">
        <v>1.3721545359375003</v>
      </c>
      <c r="B13">
        <v>0.47415890200744459</v>
      </c>
      <c r="C13">
        <f t="shared" si="0"/>
        <v>0.47016254839309607</v>
      </c>
      <c r="D13">
        <f t="shared" si="1"/>
        <v>3.9963536143485245E-3</v>
      </c>
      <c r="E13">
        <f t="shared" si="2"/>
        <v>1.5970842210916514E-5</v>
      </c>
    </row>
    <row r="14" spans="1:8" x14ac:dyDescent="0.25">
      <c r="A14">
        <v>1.4796523096125003</v>
      </c>
      <c r="B14">
        <v>0.36833552190467334</v>
      </c>
      <c r="C14">
        <f t="shared" si="0"/>
        <v>0.40225614900587331</v>
      </c>
      <c r="D14">
        <f t="shared" si="1"/>
        <v>-3.3920627101199974E-2</v>
      </c>
      <c r="E14">
        <f t="shared" si="2"/>
        <v>1.1506089429386621E-3</v>
      </c>
    </row>
    <row r="15" spans="1:8" x14ac:dyDescent="0.25">
      <c r="A15">
        <v>1.5871500832875001</v>
      </c>
      <c r="B15">
        <v>0.32857867192131179</v>
      </c>
      <c r="C15">
        <f t="shared" si="0"/>
        <v>0.33738931802399785</v>
      </c>
      <c r="D15">
        <f t="shared" si="1"/>
        <v>-8.8106461026860594E-3</v>
      </c>
      <c r="E15">
        <f t="shared" si="2"/>
        <v>7.7627484746777041E-5</v>
      </c>
    </row>
    <row r="16" spans="1:8" x14ac:dyDescent="0.25">
      <c r="A16">
        <v>1.6946478569625001</v>
      </c>
      <c r="B16">
        <v>0.26485078003621748</v>
      </c>
      <c r="C16">
        <f t="shared" si="0"/>
        <v>0.27762039359763141</v>
      </c>
      <c r="D16">
        <f t="shared" si="1"/>
        <v>-1.2769613561413928E-2</v>
      </c>
      <c r="E16">
        <f t="shared" si="2"/>
        <v>1.6306303050784651E-4</v>
      </c>
    </row>
    <row r="17" spans="1:5" x14ac:dyDescent="0.25">
      <c r="A17">
        <v>1.8021456306375001</v>
      </c>
      <c r="B17">
        <v>0.21983199402564632</v>
      </c>
      <c r="C17">
        <f t="shared" si="0"/>
        <v>0.22424709754614017</v>
      </c>
      <c r="D17">
        <f t="shared" si="1"/>
        <v>-4.415103520493846E-3</v>
      </c>
      <c r="E17">
        <f t="shared" si="2"/>
        <v>1.9493139096677154E-5</v>
      </c>
    </row>
    <row r="18" spans="1:5" x14ac:dyDescent="0.25">
      <c r="A18">
        <v>1.9096434043125001</v>
      </c>
      <c r="B18">
        <v>0.15785808081628858</v>
      </c>
      <c r="C18">
        <f t="shared" si="0"/>
        <v>0.17790182424608161</v>
      </c>
      <c r="D18">
        <f t="shared" si="1"/>
        <v>-2.0043743429793037E-2</v>
      </c>
      <c r="E18">
        <f t="shared" si="2"/>
        <v>4.0175165067937154E-4</v>
      </c>
    </row>
    <row r="19" spans="1:5" x14ac:dyDescent="0.25">
      <c r="A19">
        <v>2.0171411779874999</v>
      </c>
      <c r="B19">
        <v>0.14207227273465972</v>
      </c>
      <c r="C19">
        <f t="shared" si="0"/>
        <v>0.13867628228212325</v>
      </c>
      <c r="D19">
        <f t="shared" si="1"/>
        <v>3.3959904525364681E-3</v>
      </c>
      <c r="E19">
        <f t="shared" si="2"/>
        <v>1.1532751153718846E-5</v>
      </c>
    </row>
    <row r="20" spans="1:5" x14ac:dyDescent="0.25">
      <c r="A20">
        <v>2.1246389516624999</v>
      </c>
      <c r="B20">
        <v>0.10991599701282316</v>
      </c>
      <c r="C20">
        <f t="shared" si="0"/>
        <v>0.10625668826844338</v>
      </c>
      <c r="D20">
        <f t="shared" si="1"/>
        <v>3.65930874437978E-3</v>
      </c>
      <c r="E20">
        <f t="shared" si="2"/>
        <v>1.3390540486694323E-5</v>
      </c>
    </row>
    <row r="21" spans="1:5" x14ac:dyDescent="0.25">
      <c r="A21">
        <v>2.2321367253375</v>
      </c>
      <c r="B21">
        <v>6.8989827912303903E-2</v>
      </c>
      <c r="C21">
        <f t="shared" si="0"/>
        <v>8.0054481254467638E-2</v>
      </c>
      <c r="D21">
        <f t="shared" si="1"/>
        <v>-1.1064653342163736E-2</v>
      </c>
      <c r="E21">
        <f t="shared" si="2"/>
        <v>1.2242655358225512E-4</v>
      </c>
    </row>
    <row r="22" spans="1:5" x14ac:dyDescent="0.25">
      <c r="A22">
        <v>2.3396344990125004</v>
      </c>
      <c r="B22">
        <v>6.372789188509427E-2</v>
      </c>
      <c r="C22">
        <f t="shared" si="0"/>
        <v>5.9322030099346633E-2</v>
      </c>
      <c r="D22">
        <f t="shared" si="1"/>
        <v>4.4058617857476376E-3</v>
      </c>
      <c r="E22">
        <f t="shared" si="2"/>
        <v>1.9411618075111363E-5</v>
      </c>
    </row>
    <row r="23" spans="1:5" x14ac:dyDescent="0.25">
      <c r="A23">
        <v>2.4471322726875</v>
      </c>
      <c r="B23">
        <v>3.9172190424782719E-2</v>
      </c>
      <c r="C23">
        <f t="shared" si="0"/>
        <v>4.3247272220440072E-2</v>
      </c>
      <c r="D23">
        <f t="shared" si="1"/>
        <v>-4.0750817956573537E-3</v>
      </c>
      <c r="E23">
        <f t="shared" si="2"/>
        <v>1.6606291641297961E-5</v>
      </c>
    </row>
    <row r="24" spans="1:5" x14ac:dyDescent="0.25">
      <c r="A24">
        <v>2.5546300463625</v>
      </c>
      <c r="B24">
        <v>3.7418211749046179E-2</v>
      </c>
      <c r="C24">
        <f t="shared" si="0"/>
        <v>3.1025099034598675E-2</v>
      </c>
      <c r="D24">
        <f t="shared" si="1"/>
        <v>6.393112714447504E-3</v>
      </c>
      <c r="E24">
        <f t="shared" si="2"/>
        <v>4.0871890179630335E-5</v>
      </c>
    </row>
    <row r="25" spans="1:5" x14ac:dyDescent="0.25">
      <c r="A25">
        <v>2.6621278200375</v>
      </c>
      <c r="B25">
        <v>2.5725020577469251E-2</v>
      </c>
      <c r="C25">
        <f t="shared" si="0"/>
        <v>2.1906280118060509E-2</v>
      </c>
      <c r="D25">
        <f t="shared" si="1"/>
        <v>3.8187404594087412E-3</v>
      </c>
      <c r="E25">
        <f t="shared" si="2"/>
        <v>1.4582778696325285E-5</v>
      </c>
    </row>
    <row r="26" spans="1:5" x14ac:dyDescent="0.25">
      <c r="A26">
        <v>2.7696255937125005</v>
      </c>
      <c r="B26">
        <v>2.0463084550259629E-2</v>
      </c>
      <c r="C26">
        <f t="shared" si="0"/>
        <v>1.5226698507927235E-2</v>
      </c>
      <c r="D26">
        <f t="shared" si="1"/>
        <v>5.2363860423323937E-3</v>
      </c>
      <c r="E26">
        <f t="shared" si="2"/>
        <v>2.741973878433351E-5</v>
      </c>
    </row>
    <row r="27" spans="1:5" x14ac:dyDescent="0.25">
      <c r="A27">
        <v>2.8771233673875005</v>
      </c>
      <c r="B27">
        <v>1.1693191171576932E-2</v>
      </c>
      <c r="C27">
        <f t="shared" si="0"/>
        <v>1.0420721123592425E-2</v>
      </c>
      <c r="D27">
        <f t="shared" si="1"/>
        <v>1.2724700479845065E-3</v>
      </c>
      <c r="E27">
        <f t="shared" si="2"/>
        <v>1.6191800230176923E-6</v>
      </c>
    </row>
    <row r="28" spans="1:5" x14ac:dyDescent="0.25">
      <c r="A28">
        <v>2.9846211410625001</v>
      </c>
      <c r="B28">
        <v>9.3545529372615448E-3</v>
      </c>
      <c r="C28">
        <f t="shared" si="0"/>
        <v>7.0228209345394033E-3</v>
      </c>
      <c r="D28">
        <f t="shared" si="1"/>
        <v>2.3317320027221415E-3</v>
      </c>
      <c r="E28">
        <f t="shared" si="2"/>
        <v>5.436974132518609E-6</v>
      </c>
    </row>
    <row r="29" spans="1:5" x14ac:dyDescent="0.25">
      <c r="A29">
        <v>3.0921189147375001</v>
      </c>
      <c r="B29">
        <v>9.3545529372615448E-3</v>
      </c>
      <c r="C29">
        <f t="shared" si="0"/>
        <v>4.6613161040020661E-3</v>
      </c>
      <c r="D29">
        <f t="shared" si="1"/>
        <v>4.6932368332594787E-3</v>
      </c>
      <c r="E29">
        <f t="shared" si="2"/>
        <v>2.2026471973063461E-5</v>
      </c>
    </row>
    <row r="30" spans="1:5" x14ac:dyDescent="0.25">
      <c r="A30">
        <v>3.1996166884125001</v>
      </c>
      <c r="B30">
        <v>7.0159147029461586E-3</v>
      </c>
      <c r="C30">
        <f t="shared" si="0"/>
        <v>3.0475100965830174E-3</v>
      </c>
      <c r="D30">
        <f t="shared" si="1"/>
        <v>3.9684046063631412E-3</v>
      </c>
      <c r="E30">
        <f t="shared" si="2"/>
        <v>1.5748235119804196E-5</v>
      </c>
    </row>
    <row r="31" spans="1:5" x14ac:dyDescent="0.25">
      <c r="A31">
        <v>3.3071144620875002</v>
      </c>
      <c r="B31">
        <v>5.8465955857884659E-3</v>
      </c>
      <c r="C31">
        <f t="shared" si="0"/>
        <v>1.9627890697127542E-3</v>
      </c>
      <c r="D31">
        <f t="shared" si="1"/>
        <v>3.8838065160757117E-3</v>
      </c>
      <c r="E31">
        <f t="shared" si="2"/>
        <v>1.5083953054312157E-5</v>
      </c>
    </row>
    <row r="32" spans="1:5" x14ac:dyDescent="0.25">
      <c r="A32">
        <v>3.4146122357625002</v>
      </c>
      <c r="B32">
        <v>2.923297792894233E-3</v>
      </c>
      <c r="C32">
        <f t="shared" si="0"/>
        <v>1.2454963837009985E-3</v>
      </c>
      <c r="D32">
        <f t="shared" si="1"/>
        <v>1.6778014091932344E-3</v>
      </c>
      <c r="E32">
        <f t="shared" si="2"/>
        <v>2.8150175686908032E-6</v>
      </c>
    </row>
    <row r="33" spans="1:5" x14ac:dyDescent="0.25">
      <c r="A33">
        <v>3.5221100094375002</v>
      </c>
      <c r="B33">
        <v>2.923297792894233E-3</v>
      </c>
      <c r="C33">
        <f t="shared" si="0"/>
        <v>7.7874777495848344E-4</v>
      </c>
      <c r="D33">
        <f t="shared" si="1"/>
        <v>2.1445500179357495E-3</v>
      </c>
      <c r="E33">
        <f t="shared" si="2"/>
        <v>4.5990947794282238E-6</v>
      </c>
    </row>
    <row r="34" spans="1:5" x14ac:dyDescent="0.25">
      <c r="A34">
        <v>3.6296077831125002</v>
      </c>
      <c r="B34">
        <v>1.1693191171576931E-3</v>
      </c>
      <c r="C34">
        <f t="shared" si="0"/>
        <v>4.79820550910502E-4</v>
      </c>
      <c r="D34">
        <f t="shared" si="1"/>
        <v>6.8949856624719104E-4</v>
      </c>
      <c r="E34">
        <f t="shared" si="2"/>
        <v>4.7540827285693209E-7</v>
      </c>
    </row>
    <row r="35" spans="1:5" x14ac:dyDescent="0.25">
      <c r="A35">
        <v>3.7371055567875002</v>
      </c>
      <c r="B35">
        <v>5.8465955857884655E-4</v>
      </c>
      <c r="C35">
        <f t="shared" si="0"/>
        <v>2.9135874433257677E-4</v>
      </c>
      <c r="D35">
        <f t="shared" si="1"/>
        <v>2.9330081424626977E-4</v>
      </c>
      <c r="E35">
        <f t="shared" si="2"/>
        <v>8.6025367637524852E-8</v>
      </c>
    </row>
    <row r="36" spans="1:5" x14ac:dyDescent="0.25">
      <c r="A36">
        <v>3.8446033304625002</v>
      </c>
      <c r="B36">
        <v>5.8465955857884655E-4</v>
      </c>
      <c r="C36">
        <f t="shared" si="0"/>
        <v>1.7437393470921193E-4</v>
      </c>
      <c r="D36">
        <f t="shared" si="1"/>
        <v>4.1028562386963459E-4</v>
      </c>
      <c r="E36">
        <f t="shared" si="2"/>
        <v>1.6833429315409526E-7</v>
      </c>
    </row>
    <row r="37" spans="1:5" x14ac:dyDescent="0.25">
      <c r="A37">
        <v>3.9521011041375003</v>
      </c>
      <c r="B37">
        <v>0</v>
      </c>
      <c r="C37">
        <f t="shared" si="0"/>
        <v>1.0286658706667547E-4</v>
      </c>
      <c r="D37">
        <f t="shared" si="1"/>
        <v>-1.0286658706667547E-4</v>
      </c>
      <c r="E37">
        <f t="shared" si="2"/>
        <v>1.0581534734745924E-8</v>
      </c>
    </row>
    <row r="38" spans="1:5" x14ac:dyDescent="0.25">
      <c r="A38">
        <v>4.0595988778125003</v>
      </c>
      <c r="B38">
        <v>0</v>
      </c>
      <c r="C38">
        <f t="shared" si="0"/>
        <v>5.9819027251495546E-5</v>
      </c>
      <c r="D38">
        <f t="shared" si="1"/>
        <v>-5.9819027251495546E-5</v>
      </c>
      <c r="E38">
        <f t="shared" si="2"/>
        <v>3.5783160213151669E-9</v>
      </c>
    </row>
    <row r="39" spans="1:5" x14ac:dyDescent="0.25">
      <c r="A39">
        <v>4.1670966514875003</v>
      </c>
      <c r="B39">
        <v>0</v>
      </c>
      <c r="C39">
        <f t="shared" si="0"/>
        <v>3.429318620342796E-5</v>
      </c>
      <c r="D39">
        <f t="shared" si="1"/>
        <v>-3.429318620342796E-5</v>
      </c>
      <c r="E39">
        <f t="shared" si="2"/>
        <v>1.1760226199829817E-9</v>
      </c>
    </row>
    <row r="40" spans="1:5" x14ac:dyDescent="0.25">
      <c r="A40">
        <v>4.2745944251625003</v>
      </c>
      <c r="B40">
        <v>5.8465955857884655E-4</v>
      </c>
      <c r="C40">
        <f t="shared" si="0"/>
        <v>1.9382482935052122E-5</v>
      </c>
      <c r="D40">
        <f t="shared" si="1"/>
        <v>5.6527707564379439E-4</v>
      </c>
      <c r="E40">
        <f t="shared" si="2"/>
        <v>3.1953817224840004E-7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FF3AE-0291-4B58-B44D-CDD4CA21D4D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5.1794096424999998E-2</v>
      </c>
      <c r="B1">
        <v>2.3233332976688732E-2</v>
      </c>
      <c r="C1">
        <f>$H$3*(1+$H$1)*(A1^($H$1))*EXP(-$H$3*(A1^(1+$H$1)))</f>
        <v>7.8333905455132788E-2</v>
      </c>
      <c r="D1">
        <f>B1-C1</f>
        <v>-5.5100572478444056E-2</v>
      </c>
      <c r="E1">
        <f>D1^2</f>
        <v>3.0360730874522666E-3</v>
      </c>
      <c r="G1" t="s">
        <v>0</v>
      </c>
      <c r="H1">
        <v>1.0137899018761602</v>
      </c>
    </row>
    <row r="2" spans="1:8" x14ac:dyDescent="0.25">
      <c r="A2">
        <v>0.15457679527500001</v>
      </c>
      <c r="B2">
        <v>0.18403245331535023</v>
      </c>
      <c r="C2">
        <f t="shared" ref="C2:C40" si="0">$H$3*(1+$H$1)*(A2^($H$1))*EXP(-$H$3*(A2^(1+$H$1)))</f>
        <v>0.23351301237632158</v>
      </c>
      <c r="D2">
        <f t="shared" ref="D2:D40" si="1">B2-C2</f>
        <v>-4.9480559060971346E-2</v>
      </c>
      <c r="E2">
        <f t="shared" ref="E2:E40" si="2">D2^2</f>
        <v>2.4483257249862736E-3</v>
      </c>
    </row>
    <row r="3" spans="1:8" x14ac:dyDescent="0.25">
      <c r="A3">
        <v>0.25735949412499998</v>
      </c>
      <c r="B3">
        <v>0.3729561346257928</v>
      </c>
      <c r="C3">
        <f t="shared" si="0"/>
        <v>0.3789282354789385</v>
      </c>
      <c r="D3">
        <f t="shared" si="1"/>
        <v>-5.9721008531457009E-3</v>
      </c>
      <c r="E3">
        <f t="shared" si="2"/>
        <v>3.5665988600143606E-5</v>
      </c>
      <c r="G3" t="s">
        <v>1</v>
      </c>
      <c r="H3">
        <f>(_xlfn.GAMMA((2+$H$1)/(1+$H$1)))^(1+$H$1)</f>
        <v>0.78390252105661018</v>
      </c>
    </row>
    <row r="4" spans="1:8" x14ac:dyDescent="0.25">
      <c r="A4">
        <v>0.360142192975</v>
      </c>
      <c r="B4">
        <v>0.50563069399267324</v>
      </c>
      <c r="C4">
        <f t="shared" si="0"/>
        <v>0.50710170361569773</v>
      </c>
      <c r="D4">
        <f t="shared" si="1"/>
        <v>-1.4710096230244885E-3</v>
      </c>
      <c r="E4">
        <f t="shared" si="2"/>
        <v>2.1638693110306477E-6</v>
      </c>
    </row>
    <row r="5" spans="1:8" x14ac:dyDescent="0.25">
      <c r="A5">
        <v>0.46292489182499996</v>
      </c>
      <c r="B5">
        <v>0.70555963829207358</v>
      </c>
      <c r="C5">
        <f t="shared" si="0"/>
        <v>0.6123332793453744</v>
      </c>
      <c r="D5">
        <f t="shared" si="1"/>
        <v>9.3226358946699173E-2</v>
      </c>
      <c r="E5">
        <f t="shared" si="2"/>
        <v>8.6911540024587966E-3</v>
      </c>
      <c r="G5" t="s">
        <v>2</v>
      </c>
      <c r="H5">
        <f>SUM(E1:E40)</f>
        <v>2.8150949075813655E-2</v>
      </c>
    </row>
    <row r="6" spans="1:8" x14ac:dyDescent="0.25">
      <c r="A6">
        <v>0.56570759067499998</v>
      </c>
      <c r="B6">
        <v>0.75936314623808965</v>
      </c>
      <c r="C6">
        <f t="shared" si="0"/>
        <v>0.69080941308453248</v>
      </c>
      <c r="D6">
        <f t="shared" si="1"/>
        <v>6.8553733153557173E-2</v>
      </c>
      <c r="E6">
        <f t="shared" si="2"/>
        <v>4.6996143292891241E-3</v>
      </c>
    </row>
    <row r="7" spans="1:8" x14ac:dyDescent="0.25">
      <c r="A7">
        <v>0.668490289525</v>
      </c>
      <c r="B7">
        <v>0.7630315672344089</v>
      </c>
      <c r="C7">
        <f t="shared" si="0"/>
        <v>0.74073757122378248</v>
      </c>
      <c r="D7">
        <f t="shared" si="1"/>
        <v>2.2293996010626427E-2</v>
      </c>
      <c r="E7">
        <f t="shared" si="2"/>
        <v>4.9702225812182704E-4</v>
      </c>
    </row>
    <row r="8" spans="1:8" x14ac:dyDescent="0.25">
      <c r="A8">
        <v>0.77127298837500002</v>
      </c>
      <c r="B8">
        <v>0.79543595270189582</v>
      </c>
      <c r="C8">
        <f t="shared" si="0"/>
        <v>0.76231668895576488</v>
      </c>
      <c r="D8">
        <f t="shared" si="1"/>
        <v>3.3119263746130945E-2</v>
      </c>
      <c r="E8">
        <f t="shared" si="2"/>
        <v>1.0968856310857836E-3</v>
      </c>
    </row>
    <row r="9" spans="1:8" x14ac:dyDescent="0.25">
      <c r="A9">
        <v>0.87405568722499993</v>
      </c>
      <c r="B9">
        <v>0.7550833217423838</v>
      </c>
      <c r="C9">
        <f t="shared" si="0"/>
        <v>0.75753194456057094</v>
      </c>
      <c r="D9">
        <f t="shared" si="1"/>
        <v>-2.4486228181871406E-3</v>
      </c>
      <c r="E9">
        <f t="shared" si="2"/>
        <v>5.9957537057467344E-6</v>
      </c>
    </row>
    <row r="10" spans="1:8" x14ac:dyDescent="0.25">
      <c r="A10">
        <v>0.97683838607499984</v>
      </c>
      <c r="B10">
        <v>0.76547718123195507</v>
      </c>
      <c r="C10">
        <f t="shared" si="0"/>
        <v>0.7298050612322653</v>
      </c>
      <c r="D10">
        <f t="shared" si="1"/>
        <v>3.5672119999689778E-2</v>
      </c>
      <c r="E10">
        <f t="shared" si="2"/>
        <v>1.2725001452722675E-3</v>
      </c>
    </row>
    <row r="11" spans="1:8" x14ac:dyDescent="0.25">
      <c r="A11">
        <v>1.0796210849249999</v>
      </c>
      <c r="B11">
        <v>0.66337279683440198</v>
      </c>
      <c r="C11">
        <f t="shared" si="0"/>
        <v>0.68355116812045857</v>
      </c>
      <c r="D11">
        <f t="shared" si="1"/>
        <v>-2.0178371286056596E-2</v>
      </c>
      <c r="E11">
        <f t="shared" si="2"/>
        <v>4.071666677579533E-4</v>
      </c>
    </row>
    <row r="12" spans="1:8" x14ac:dyDescent="0.25">
      <c r="A12">
        <v>1.1824037837749999</v>
      </c>
      <c r="B12">
        <v>0.59672981540126846</v>
      </c>
      <c r="C12">
        <f t="shared" si="0"/>
        <v>0.62370067045166999</v>
      </c>
      <c r="D12">
        <f t="shared" si="1"/>
        <v>-2.6970855050401532E-2</v>
      </c>
      <c r="E12">
        <f t="shared" si="2"/>
        <v>7.2742702214976987E-4</v>
      </c>
    </row>
    <row r="13" spans="1:8" x14ac:dyDescent="0.25">
      <c r="A13">
        <v>1.2851864826249999</v>
      </c>
      <c r="B13">
        <v>0.49645964150187499</v>
      </c>
      <c r="C13">
        <f t="shared" si="0"/>
        <v>0.55524205493250889</v>
      </c>
      <c r="D13">
        <f t="shared" si="1"/>
        <v>-5.8782413430633895E-2</v>
      </c>
      <c r="E13">
        <f t="shared" si="2"/>
        <v>3.455372128729968E-3</v>
      </c>
    </row>
    <row r="14" spans="1:8" x14ac:dyDescent="0.25">
      <c r="A14">
        <v>1.3879691814749999</v>
      </c>
      <c r="B14">
        <v>0.47934034351905175</v>
      </c>
      <c r="C14">
        <f t="shared" si="0"/>
        <v>0.48283131583811606</v>
      </c>
      <c r="D14">
        <f t="shared" si="1"/>
        <v>-3.4909723190643116E-3</v>
      </c>
      <c r="E14">
        <f t="shared" si="2"/>
        <v>1.2186887732473259E-5</v>
      </c>
    </row>
    <row r="15" spans="1:8" x14ac:dyDescent="0.25">
      <c r="A15">
        <v>1.4907518803249999</v>
      </c>
      <c r="B15">
        <v>0.39557806410309498</v>
      </c>
      <c r="C15">
        <f t="shared" si="0"/>
        <v>0.41049856407065527</v>
      </c>
      <c r="D15">
        <f t="shared" si="1"/>
        <v>-1.4920499967560286E-2</v>
      </c>
      <c r="E15">
        <f t="shared" si="2"/>
        <v>2.2262131928196647E-4</v>
      </c>
    </row>
    <row r="16" spans="1:8" x14ac:dyDescent="0.25">
      <c r="A16">
        <v>1.593534579175</v>
      </c>
      <c r="B16">
        <v>0.31609560918284407</v>
      </c>
      <c r="C16">
        <f t="shared" si="0"/>
        <v>0.34146549380385327</v>
      </c>
      <c r="D16">
        <f t="shared" si="1"/>
        <v>-2.5369884621009198E-2</v>
      </c>
      <c r="E16">
        <f t="shared" si="2"/>
        <v>6.4363104568331898E-4</v>
      </c>
    </row>
    <row r="17" spans="1:5" x14ac:dyDescent="0.25">
      <c r="A17">
        <v>1.696317278025</v>
      </c>
      <c r="B17">
        <v>0.25495525924418949</v>
      </c>
      <c r="C17">
        <f t="shared" si="0"/>
        <v>0.2780715970187283</v>
      </c>
      <c r="D17">
        <f t="shared" si="1"/>
        <v>-2.3116337774538809E-2</v>
      </c>
      <c r="E17">
        <f t="shared" si="2"/>
        <v>5.3436507210656982E-4</v>
      </c>
    </row>
    <row r="18" spans="1:5" x14ac:dyDescent="0.25">
      <c r="A18">
        <v>1.799099976875</v>
      </c>
      <c r="B18">
        <v>0.21276841778651787</v>
      </c>
      <c r="C18">
        <f t="shared" si="0"/>
        <v>0.22179450360147879</v>
      </c>
      <c r="D18">
        <f t="shared" si="1"/>
        <v>-9.0260858149609213E-3</v>
      </c>
      <c r="E18">
        <f t="shared" si="2"/>
        <v>8.1470225139038764E-5</v>
      </c>
    </row>
    <row r="19" spans="1:5" x14ac:dyDescent="0.25">
      <c r="A19">
        <v>1.901882675725</v>
      </c>
      <c r="B19">
        <v>0.1718043833276193</v>
      </c>
      <c r="C19">
        <f t="shared" si="0"/>
        <v>0.17334180126174997</v>
      </c>
      <c r="D19">
        <f t="shared" si="1"/>
        <v>-1.5374179341306748E-3</v>
      </c>
      <c r="E19">
        <f t="shared" si="2"/>
        <v>2.3636539041866323E-6</v>
      </c>
    </row>
    <row r="20" spans="1:5" x14ac:dyDescent="0.25">
      <c r="A20">
        <v>2.0046653745749996</v>
      </c>
      <c r="B20">
        <v>0.12839473487117456</v>
      </c>
      <c r="C20">
        <f t="shared" si="0"/>
        <v>0.13278839572420653</v>
      </c>
      <c r="D20">
        <f t="shared" si="1"/>
        <v>-4.3936608530319721E-3</v>
      </c>
      <c r="E20">
        <f t="shared" si="2"/>
        <v>1.9304255691465637E-5</v>
      </c>
    </row>
    <row r="21" spans="1:5" x14ac:dyDescent="0.25">
      <c r="A21">
        <v>2.1074480734250001</v>
      </c>
      <c r="B21">
        <v>0.10577280539387239</v>
      </c>
      <c r="C21">
        <f t="shared" si="0"/>
        <v>9.9734334035065292E-2</v>
      </c>
      <c r="D21">
        <f t="shared" si="1"/>
        <v>6.0384713588070987E-3</v>
      </c>
      <c r="E21">
        <f t="shared" si="2"/>
        <v>3.6463136351133651E-5</v>
      </c>
    </row>
    <row r="22" spans="1:5" x14ac:dyDescent="0.25">
      <c r="A22">
        <v>2.2102307722749996</v>
      </c>
      <c r="B22">
        <v>6.6642981433133464E-2</v>
      </c>
      <c r="C22">
        <f t="shared" si="0"/>
        <v>7.3461926637648015E-2</v>
      </c>
      <c r="D22">
        <f t="shared" si="1"/>
        <v>-6.818945204514551E-3</v>
      </c>
      <c r="E22">
        <f t="shared" si="2"/>
        <v>4.6498013702171994E-5</v>
      </c>
    </row>
    <row r="23" spans="1:5" x14ac:dyDescent="0.25">
      <c r="A23">
        <v>2.3130134711250001</v>
      </c>
      <c r="B23">
        <v>5.6860525442948742E-2</v>
      </c>
      <c r="C23">
        <f t="shared" si="0"/>
        <v>5.3076645816697597E-2</v>
      </c>
      <c r="D23">
        <f t="shared" si="1"/>
        <v>3.7838796262511451E-3</v>
      </c>
      <c r="E23">
        <f t="shared" si="2"/>
        <v>1.4317745025958505E-5</v>
      </c>
    </row>
    <row r="24" spans="1:5" x14ac:dyDescent="0.25">
      <c r="A24">
        <v>2.4157961699749997</v>
      </c>
      <c r="B24">
        <v>4.0964034458898554E-2</v>
      </c>
      <c r="C24">
        <f t="shared" si="0"/>
        <v>3.7622392819588783E-2</v>
      </c>
      <c r="D24">
        <f t="shared" si="1"/>
        <v>3.3416416393097712E-3</v>
      </c>
      <c r="E24">
        <f t="shared" si="2"/>
        <v>1.1166568845568895E-5</v>
      </c>
    </row>
    <row r="25" spans="1:5" x14ac:dyDescent="0.25">
      <c r="A25">
        <v>2.5185788688250001</v>
      </c>
      <c r="B25">
        <v>3.057017496932728E-2</v>
      </c>
      <c r="C25">
        <f t="shared" si="0"/>
        <v>2.6167319163835641E-2</v>
      </c>
      <c r="D25">
        <f t="shared" si="1"/>
        <v>4.4028558054916393E-3</v>
      </c>
      <c r="E25">
        <f t="shared" si="2"/>
        <v>1.9385139243951433E-5</v>
      </c>
    </row>
    <row r="26" spans="1:5" x14ac:dyDescent="0.25">
      <c r="A26">
        <v>2.6213615676749997</v>
      </c>
      <c r="B26">
        <v>2.3233332976688732E-2</v>
      </c>
      <c r="C26">
        <f t="shared" si="0"/>
        <v>1.7860823716211931E-2</v>
      </c>
      <c r="D26">
        <f t="shared" si="1"/>
        <v>5.3725092604768009E-3</v>
      </c>
      <c r="E26">
        <f t="shared" si="2"/>
        <v>2.8863855753908983E-5</v>
      </c>
    </row>
    <row r="27" spans="1:5" x14ac:dyDescent="0.25">
      <c r="A27">
        <v>2.7241442665250002</v>
      </c>
      <c r="B27">
        <v>1.528508748466364E-2</v>
      </c>
      <c r="C27">
        <f t="shared" si="0"/>
        <v>1.1965353459951155E-2</v>
      </c>
      <c r="D27">
        <f t="shared" si="1"/>
        <v>3.3197340247124851E-3</v>
      </c>
      <c r="E27">
        <f t="shared" si="2"/>
        <v>1.1020633994833755E-5</v>
      </c>
    </row>
    <row r="28" spans="1:5" x14ac:dyDescent="0.25">
      <c r="A28">
        <v>2.8269269653749998</v>
      </c>
      <c r="B28">
        <v>1.2228069987730912E-2</v>
      </c>
      <c r="C28">
        <f t="shared" si="0"/>
        <v>7.8682403390704422E-3</v>
      </c>
      <c r="D28">
        <f t="shared" si="1"/>
        <v>4.3598296486604699E-3</v>
      </c>
      <c r="E28">
        <f t="shared" si="2"/>
        <v>1.9008114565338876E-5</v>
      </c>
    </row>
    <row r="29" spans="1:5" x14ac:dyDescent="0.25">
      <c r="A29">
        <v>2.9297096642250002</v>
      </c>
      <c r="B29">
        <v>8.5596489914116381E-3</v>
      </c>
      <c r="C29">
        <f t="shared" si="0"/>
        <v>5.079240123124963E-3</v>
      </c>
      <c r="D29">
        <f t="shared" si="1"/>
        <v>3.4804088682866751E-3</v>
      </c>
      <c r="E29">
        <f t="shared" si="2"/>
        <v>1.2113245890448535E-5</v>
      </c>
    </row>
    <row r="30" spans="1:5" x14ac:dyDescent="0.25">
      <c r="A30">
        <v>3.0324923630749998</v>
      </c>
      <c r="B30">
        <v>7.3368419926385471E-3</v>
      </c>
      <c r="C30">
        <f t="shared" si="0"/>
        <v>3.219032922516742E-3</v>
      </c>
      <c r="D30">
        <f t="shared" si="1"/>
        <v>4.1178090701218051E-3</v>
      </c>
      <c r="E30">
        <f t="shared" si="2"/>
        <v>1.6956351537977406E-5</v>
      </c>
    </row>
    <row r="31" spans="1:5" x14ac:dyDescent="0.25">
      <c r="A31">
        <v>3.1352750619250003</v>
      </c>
      <c r="B31">
        <v>6.7254384932520011E-3</v>
      </c>
      <c r="C31">
        <f t="shared" si="0"/>
        <v>2.0030428872167458E-3</v>
      </c>
      <c r="D31">
        <f t="shared" si="1"/>
        <v>4.7223956060352557E-3</v>
      </c>
      <c r="E31">
        <f t="shared" si="2"/>
        <v>2.2301020259901089E-5</v>
      </c>
    </row>
    <row r="32" spans="1:5" x14ac:dyDescent="0.25">
      <c r="A32">
        <v>3.2380577607749998</v>
      </c>
      <c r="B32">
        <v>3.057017496932728E-3</v>
      </c>
      <c r="C32">
        <f t="shared" si="0"/>
        <v>1.2238338481476128E-3</v>
      </c>
      <c r="D32">
        <f t="shared" si="1"/>
        <v>1.8331836487851152E-3</v>
      </c>
      <c r="E32">
        <f t="shared" si="2"/>
        <v>3.3605622901731088E-6</v>
      </c>
    </row>
    <row r="33" spans="1:5" x14ac:dyDescent="0.25">
      <c r="A33">
        <v>3.3408404596249994</v>
      </c>
      <c r="B33">
        <v>4.891227995092365E-3</v>
      </c>
      <c r="C33">
        <f t="shared" si="0"/>
        <v>7.3425739565032705E-4</v>
      </c>
      <c r="D33">
        <f t="shared" si="1"/>
        <v>4.156970599442038E-3</v>
      </c>
      <c r="E33">
        <f t="shared" si="2"/>
        <v>1.7280404564625497E-5</v>
      </c>
    </row>
    <row r="34" spans="1:5" x14ac:dyDescent="0.25">
      <c r="A34">
        <v>3.4436231584749999</v>
      </c>
      <c r="B34">
        <v>0</v>
      </c>
      <c r="C34">
        <f t="shared" si="0"/>
        <v>4.3260500589782533E-4</v>
      </c>
      <c r="D34">
        <f t="shared" si="1"/>
        <v>-4.3260500589782533E-4</v>
      </c>
      <c r="E34">
        <f t="shared" si="2"/>
        <v>1.8714709112785749E-7</v>
      </c>
    </row>
    <row r="35" spans="1:5" x14ac:dyDescent="0.25">
      <c r="A35">
        <v>3.5464058573249995</v>
      </c>
      <c r="B35">
        <v>6.1140349938654563E-4</v>
      </c>
      <c r="C35">
        <f t="shared" si="0"/>
        <v>2.503072915558802E-4</v>
      </c>
      <c r="D35">
        <f t="shared" si="1"/>
        <v>3.6109620783066542E-4</v>
      </c>
      <c r="E35">
        <f t="shared" si="2"/>
        <v>1.3039047130968711E-7</v>
      </c>
    </row>
    <row r="36" spans="1:5" x14ac:dyDescent="0.25">
      <c r="A36">
        <v>3.6491885561749999</v>
      </c>
      <c r="B36">
        <v>6.1140349938654563E-4</v>
      </c>
      <c r="C36">
        <f t="shared" si="0"/>
        <v>1.4223733476295222E-4</v>
      </c>
      <c r="D36">
        <f t="shared" si="1"/>
        <v>4.6916616462359343E-4</v>
      </c>
      <c r="E36">
        <f t="shared" si="2"/>
        <v>2.2011689002761278E-7</v>
      </c>
    </row>
    <row r="37" spans="1:5" x14ac:dyDescent="0.25">
      <c r="A37">
        <v>3.7519712550249995</v>
      </c>
      <c r="B37">
        <v>0</v>
      </c>
      <c r="C37">
        <f t="shared" si="0"/>
        <v>7.9383358155013997E-5</v>
      </c>
      <c r="D37">
        <f t="shared" si="1"/>
        <v>-7.9383358155013997E-5</v>
      </c>
      <c r="E37">
        <f t="shared" si="2"/>
        <v>6.3017175519672275E-9</v>
      </c>
    </row>
    <row r="38" spans="1:5" x14ac:dyDescent="0.25">
      <c r="A38">
        <v>3.854753953875</v>
      </c>
      <c r="B38">
        <v>0</v>
      </c>
      <c r="C38">
        <f t="shared" si="0"/>
        <v>4.3514811771864576E-5</v>
      </c>
      <c r="D38">
        <f t="shared" si="1"/>
        <v>-4.3514811771864576E-5</v>
      </c>
      <c r="E38">
        <f t="shared" si="2"/>
        <v>1.893538843540804E-9</v>
      </c>
    </row>
    <row r="39" spans="1:5" x14ac:dyDescent="0.25">
      <c r="A39">
        <v>3.957536652725</v>
      </c>
      <c r="B39">
        <v>0</v>
      </c>
      <c r="C39">
        <f t="shared" si="0"/>
        <v>2.3428859239081822E-5</v>
      </c>
      <c r="D39">
        <f t="shared" si="1"/>
        <v>-2.3428859239081822E-5</v>
      </c>
      <c r="E39">
        <f t="shared" si="2"/>
        <v>5.4891144524470964E-10</v>
      </c>
    </row>
    <row r="40" spans="1:5" x14ac:dyDescent="0.25">
      <c r="A40">
        <v>4.060319351575</v>
      </c>
      <c r="B40">
        <v>6.1140349938654563E-4</v>
      </c>
      <c r="C40">
        <f t="shared" si="0"/>
        <v>1.2390388178024875E-5</v>
      </c>
      <c r="D40">
        <f t="shared" si="1"/>
        <v>5.9901311120852071E-4</v>
      </c>
      <c r="E40">
        <f t="shared" si="2"/>
        <v>3.5881670739971162E-7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9ED02-A81B-409A-962B-86314EAE59A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4.9421512137500005E-2</v>
      </c>
      <c r="B1">
        <v>6.4636862449067292E-3</v>
      </c>
      <c r="C1">
        <f>$H$3*(1+$H$1)*(A1^($H$1))*EXP(-$H$3*(A1^(1+$H$1)))</f>
        <v>5.1112804459431969E-2</v>
      </c>
      <c r="D1">
        <f>B1-C1</f>
        <v>-4.4649118214525239E-2</v>
      </c>
      <c r="E1">
        <f>D1^2</f>
        <v>1.9935437573346494E-3</v>
      </c>
      <c r="G1" t="s">
        <v>0</v>
      </c>
      <c r="H1">
        <v>1.1568866193135934</v>
      </c>
    </row>
    <row r="2" spans="1:8" x14ac:dyDescent="0.25">
      <c r="A2">
        <v>0.1466442104125</v>
      </c>
      <c r="B2">
        <v>0.10729719166545171</v>
      </c>
      <c r="C2">
        <f t="shared" ref="C2:C40" si="0">$H$3*(1+$H$1)*(A2^($H$1))*EXP(-$H$3*(A2^(1+$H$1)))</f>
        <v>0.17789979995775768</v>
      </c>
      <c r="D2">
        <f t="shared" ref="D2:D40" si="1">B2-C2</f>
        <v>-7.0602608292305968E-2</v>
      </c>
      <c r="E2">
        <f t="shared" ref="E2:E40" si="2">D2^2</f>
        <v>4.9847282976767911E-3</v>
      </c>
    </row>
    <row r="3" spans="1:8" x14ac:dyDescent="0.25">
      <c r="A3">
        <v>0.24386690868750002</v>
      </c>
      <c r="B3">
        <v>0.28957314377182147</v>
      </c>
      <c r="C3">
        <f t="shared" si="0"/>
        <v>0.31268565235282192</v>
      </c>
      <c r="D3">
        <f t="shared" si="1"/>
        <v>-2.3112508581000446E-2</v>
      </c>
      <c r="E3">
        <f t="shared" si="2"/>
        <v>5.3418805290681923E-4</v>
      </c>
      <c r="G3" t="s">
        <v>1</v>
      </c>
      <c r="H3">
        <f>(_xlfn.GAMMA((2+$H$1)/(1+$H$1)))^(1+$H$1)</f>
        <v>0.76948948807295603</v>
      </c>
    </row>
    <row r="4" spans="1:8" x14ac:dyDescent="0.25">
      <c r="A4">
        <v>0.34108960696250001</v>
      </c>
      <c r="B4">
        <v>0.4498725626455084</v>
      </c>
      <c r="C4">
        <f t="shared" si="0"/>
        <v>0.44337298560868493</v>
      </c>
      <c r="D4">
        <f t="shared" si="1"/>
        <v>6.4995770368234673E-3</v>
      </c>
      <c r="E4">
        <f t="shared" si="2"/>
        <v>4.2244501657602927E-5</v>
      </c>
    </row>
    <row r="5" spans="1:8" x14ac:dyDescent="0.25">
      <c r="A5">
        <v>0.43831230523750003</v>
      </c>
      <c r="B5">
        <v>0.61857477363757396</v>
      </c>
      <c r="C5">
        <f t="shared" si="0"/>
        <v>0.56131218024512386</v>
      </c>
      <c r="D5">
        <f t="shared" si="1"/>
        <v>5.7262593392450101E-2</v>
      </c>
      <c r="E5">
        <f t="shared" si="2"/>
        <v>3.2790046020290701E-3</v>
      </c>
      <c r="G5" t="s">
        <v>2</v>
      </c>
      <c r="H5">
        <f>SUM(E1:E40)</f>
        <v>3.6762377369592196E-2</v>
      </c>
    </row>
    <row r="6" spans="1:8" x14ac:dyDescent="0.25">
      <c r="A6">
        <v>0.53553500351250005</v>
      </c>
      <c r="B6">
        <v>0.73362838879691383</v>
      </c>
      <c r="C6">
        <f t="shared" si="0"/>
        <v>0.65973516911908392</v>
      </c>
      <c r="D6">
        <f t="shared" si="1"/>
        <v>7.3893219677829913E-2</v>
      </c>
      <c r="E6">
        <f t="shared" si="2"/>
        <v>5.46020791435603E-3</v>
      </c>
    </row>
    <row r="7" spans="1:8" x14ac:dyDescent="0.25">
      <c r="A7">
        <v>0.6327577017874999</v>
      </c>
      <c r="B7">
        <v>0.80602167473986919</v>
      </c>
      <c r="C7">
        <f t="shared" si="0"/>
        <v>0.73375810486882731</v>
      </c>
      <c r="D7">
        <f t="shared" si="1"/>
        <v>7.2263569871041877E-2</v>
      </c>
      <c r="E7">
        <f t="shared" si="2"/>
        <v>5.222023530506951E-3</v>
      </c>
    </row>
    <row r="8" spans="1:8" x14ac:dyDescent="0.25">
      <c r="A8">
        <v>0.72998040006249998</v>
      </c>
      <c r="B8">
        <v>0.79891161987047177</v>
      </c>
      <c r="C8">
        <f t="shared" si="0"/>
        <v>0.78054598315761747</v>
      </c>
      <c r="D8">
        <f t="shared" si="1"/>
        <v>1.8365636712854294E-2</v>
      </c>
      <c r="E8">
        <f t="shared" si="2"/>
        <v>3.3729661186854146E-4</v>
      </c>
    </row>
    <row r="9" spans="1:8" x14ac:dyDescent="0.25">
      <c r="A9">
        <v>0.82720309833750005</v>
      </c>
      <c r="B9">
        <v>0.85449932157666963</v>
      </c>
      <c r="C9">
        <f t="shared" si="0"/>
        <v>0.799375744780501</v>
      </c>
      <c r="D9">
        <f t="shared" si="1"/>
        <v>5.5123576796168638E-2</v>
      </c>
      <c r="E9">
        <f t="shared" si="2"/>
        <v>3.0386087188031016E-3</v>
      </c>
    </row>
    <row r="10" spans="1:8" x14ac:dyDescent="0.25">
      <c r="A10">
        <v>0.92442579661250002</v>
      </c>
      <c r="B10">
        <v>0.80602167473986919</v>
      </c>
      <c r="C10">
        <f t="shared" si="0"/>
        <v>0.79152540149893924</v>
      </c>
      <c r="D10">
        <f t="shared" si="1"/>
        <v>1.4496273240929947E-2</v>
      </c>
      <c r="E10">
        <f t="shared" si="2"/>
        <v>2.1014193787570161E-4</v>
      </c>
    </row>
    <row r="11" spans="1:8" x14ac:dyDescent="0.25">
      <c r="A11">
        <v>1.0216484948875</v>
      </c>
      <c r="B11">
        <v>0.78339877288269566</v>
      </c>
      <c r="C11">
        <f t="shared" si="0"/>
        <v>0.75998655260811276</v>
      </c>
      <c r="D11">
        <f t="shared" si="1"/>
        <v>2.3412220274582896E-2</v>
      </c>
      <c r="E11">
        <f t="shared" si="2"/>
        <v>5.4813205818559035E-4</v>
      </c>
    </row>
    <row r="12" spans="1:8" x14ac:dyDescent="0.25">
      <c r="A12">
        <v>1.1188711931625002</v>
      </c>
      <c r="B12">
        <v>0.67351610671928119</v>
      </c>
      <c r="C12">
        <f t="shared" si="0"/>
        <v>0.70903628597357937</v>
      </c>
      <c r="D12">
        <f t="shared" si="1"/>
        <v>-3.5520179254298179E-2</v>
      </c>
      <c r="E12">
        <f t="shared" si="2"/>
        <v>1.2616831342574747E-3</v>
      </c>
    </row>
    <row r="13" spans="1:8" x14ac:dyDescent="0.25">
      <c r="A13">
        <v>1.2160938914375001</v>
      </c>
      <c r="B13">
        <v>0.60112282077632584</v>
      </c>
      <c r="C13">
        <f t="shared" si="0"/>
        <v>0.64372666907721465</v>
      </c>
      <c r="D13">
        <f t="shared" si="1"/>
        <v>-4.2603848300888814E-2</v>
      </c>
      <c r="E13">
        <f t="shared" si="2"/>
        <v>1.8150878900451467E-3</v>
      </c>
    </row>
    <row r="14" spans="1:8" x14ac:dyDescent="0.25">
      <c r="A14">
        <v>1.3133165897125001</v>
      </c>
      <c r="B14">
        <v>0.5035211584782342</v>
      </c>
      <c r="C14">
        <f t="shared" si="0"/>
        <v>0.56935847264831763</v>
      </c>
      <c r="D14">
        <f t="shared" si="1"/>
        <v>-6.5837314170083427E-2</v>
      </c>
      <c r="E14">
        <f t="shared" si="2"/>
        <v>4.3345519371302682E-3</v>
      </c>
    </row>
    <row r="15" spans="1:8" x14ac:dyDescent="0.25">
      <c r="A15">
        <v>1.4105392879875001</v>
      </c>
      <c r="B15">
        <v>0.49447199773536482</v>
      </c>
      <c r="C15">
        <f t="shared" si="0"/>
        <v>0.49100188706562897</v>
      </c>
      <c r="D15">
        <f t="shared" si="1"/>
        <v>3.4701106697358486E-3</v>
      </c>
      <c r="E15">
        <f t="shared" si="2"/>
        <v>1.2041668060214579E-5</v>
      </c>
    </row>
    <row r="16" spans="1:8" x14ac:dyDescent="0.25">
      <c r="A16">
        <v>1.5077619862625</v>
      </c>
      <c r="B16">
        <v>0.36843011595968356</v>
      </c>
      <c r="C16">
        <f t="shared" si="0"/>
        <v>0.41311335810353178</v>
      </c>
      <c r="D16">
        <f t="shared" si="1"/>
        <v>-4.4683242143848223E-2</v>
      </c>
      <c r="E16">
        <f t="shared" si="2"/>
        <v>1.9965921284857738E-3</v>
      </c>
    </row>
    <row r="17" spans="1:5" x14ac:dyDescent="0.25">
      <c r="A17">
        <v>1.6049846845375</v>
      </c>
      <c r="B17">
        <v>0.31348878287797638</v>
      </c>
      <c r="C17">
        <f t="shared" si="0"/>
        <v>0.33927804074290796</v>
      </c>
      <c r="D17">
        <f t="shared" si="1"/>
        <v>-2.5789257864931581E-2</v>
      </c>
      <c r="E17">
        <f t="shared" si="2"/>
        <v>6.6508582122393536E-4</v>
      </c>
    </row>
    <row r="18" spans="1:5" x14ac:dyDescent="0.25">
      <c r="A18">
        <v>1.7022073828124999</v>
      </c>
      <c r="B18">
        <v>0.24820555180441842</v>
      </c>
      <c r="C18">
        <f t="shared" si="0"/>
        <v>0.27208601940957516</v>
      </c>
      <c r="D18">
        <f t="shared" si="1"/>
        <v>-2.3880467605156747E-2</v>
      </c>
      <c r="E18">
        <f t="shared" si="2"/>
        <v>5.7027673304094076E-4</v>
      </c>
    </row>
    <row r="19" spans="1:5" x14ac:dyDescent="0.25">
      <c r="A19">
        <v>1.7994300810874999</v>
      </c>
      <c r="B19">
        <v>0.20619159121252467</v>
      </c>
      <c r="C19">
        <f t="shared" si="0"/>
        <v>0.21313129930609828</v>
      </c>
      <c r="D19">
        <f t="shared" si="1"/>
        <v>-6.93970809357361E-3</v>
      </c>
      <c r="E19">
        <f t="shared" si="2"/>
        <v>4.815954842401107E-5</v>
      </c>
    </row>
    <row r="20" spans="1:5" x14ac:dyDescent="0.25">
      <c r="A20">
        <v>1.8966527793624999</v>
      </c>
      <c r="B20">
        <v>0.16288489337164958</v>
      </c>
      <c r="C20">
        <f t="shared" si="0"/>
        <v>0.16310850614027989</v>
      </c>
      <c r="D20">
        <f t="shared" si="1"/>
        <v>-2.2361276863031021E-4</v>
      </c>
      <c r="E20">
        <f t="shared" si="2"/>
        <v>5.0002670294512643E-8</v>
      </c>
    </row>
    <row r="21" spans="1:5" x14ac:dyDescent="0.25">
      <c r="A21">
        <v>1.9938754776375003</v>
      </c>
      <c r="B21">
        <v>0.12798098764915325</v>
      </c>
      <c r="C21">
        <f t="shared" si="0"/>
        <v>0.12197465715655059</v>
      </c>
      <c r="D21">
        <f t="shared" si="1"/>
        <v>6.0063304926026573E-3</v>
      </c>
      <c r="E21">
        <f t="shared" si="2"/>
        <v>3.6076005986368476E-5</v>
      </c>
    </row>
    <row r="22" spans="1:5" x14ac:dyDescent="0.25">
      <c r="A22">
        <v>2.0910981759125002</v>
      </c>
      <c r="B22">
        <v>8.4027921183787491E-2</v>
      </c>
      <c r="C22">
        <f t="shared" si="0"/>
        <v>8.9142232183514122E-2</v>
      </c>
      <c r="D22">
        <f t="shared" si="1"/>
        <v>-5.1143109997266317E-3</v>
      </c>
      <c r="E22">
        <f t="shared" si="2"/>
        <v>2.6156177001924821E-5</v>
      </c>
    </row>
    <row r="23" spans="1:5" x14ac:dyDescent="0.25">
      <c r="A23">
        <v>2.1883208741875002</v>
      </c>
      <c r="B23">
        <v>7.3039654567446044E-2</v>
      </c>
      <c r="C23">
        <f t="shared" si="0"/>
        <v>6.3673860547920721E-2</v>
      </c>
      <c r="D23">
        <f t="shared" si="1"/>
        <v>9.3657940195253225E-3</v>
      </c>
      <c r="E23">
        <f t="shared" si="2"/>
        <v>8.7718097616176294E-5</v>
      </c>
    </row>
    <row r="24" spans="1:5" x14ac:dyDescent="0.25">
      <c r="A24">
        <v>2.2855435724625002</v>
      </c>
      <c r="B24">
        <v>4.330669784087509E-2</v>
      </c>
      <c r="C24">
        <f t="shared" si="0"/>
        <v>4.4456355724707117E-2</v>
      </c>
      <c r="D24">
        <f t="shared" si="1"/>
        <v>-1.1496578838320268E-3</v>
      </c>
      <c r="E24">
        <f t="shared" si="2"/>
        <v>1.3217132498571339E-6</v>
      </c>
    </row>
    <row r="25" spans="1:5" x14ac:dyDescent="0.25">
      <c r="A25">
        <v>2.3827662707375001</v>
      </c>
      <c r="B25">
        <v>3.6196642971477684E-2</v>
      </c>
      <c r="C25">
        <f t="shared" si="0"/>
        <v>3.0340537171369499E-2</v>
      </c>
      <c r="D25">
        <f t="shared" si="1"/>
        <v>5.8561058001081849E-3</v>
      </c>
      <c r="E25">
        <f t="shared" si="2"/>
        <v>3.4293975142060726E-5</v>
      </c>
    </row>
    <row r="26" spans="1:5" x14ac:dyDescent="0.25">
      <c r="A26">
        <v>2.4799889690125001</v>
      </c>
      <c r="B26">
        <v>2.5854744979626917E-2</v>
      </c>
      <c r="C26">
        <f t="shared" si="0"/>
        <v>2.0241530761028428E-2</v>
      </c>
      <c r="D26">
        <f t="shared" si="1"/>
        <v>5.6132142185984883E-3</v>
      </c>
      <c r="E26">
        <f t="shared" si="2"/>
        <v>3.1508173863876235E-5</v>
      </c>
    </row>
    <row r="27" spans="1:5" x14ac:dyDescent="0.25">
      <c r="A27">
        <v>2.5772116672875001</v>
      </c>
      <c r="B27">
        <v>2.1330164608192207E-2</v>
      </c>
      <c r="C27">
        <f t="shared" si="0"/>
        <v>1.3200842854162106E-2</v>
      </c>
      <c r="D27">
        <f t="shared" si="1"/>
        <v>8.1293217540301006E-3</v>
      </c>
      <c r="E27">
        <f t="shared" si="2"/>
        <v>6.6085872180547038E-5</v>
      </c>
    </row>
    <row r="28" spans="1:5" x14ac:dyDescent="0.25">
      <c r="A28">
        <v>2.6744343655625</v>
      </c>
      <c r="B28">
        <v>1.3573741114304132E-2</v>
      </c>
      <c r="C28">
        <f t="shared" si="0"/>
        <v>8.4158972466113063E-3</v>
      </c>
      <c r="D28">
        <f t="shared" si="1"/>
        <v>5.1578438676928261E-3</v>
      </c>
      <c r="E28">
        <f t="shared" si="2"/>
        <v>2.660335336349649E-5</v>
      </c>
    </row>
    <row r="29" spans="1:5" x14ac:dyDescent="0.25">
      <c r="A29">
        <v>2.7716570638375</v>
      </c>
      <c r="B29">
        <v>9.049160742869421E-3</v>
      </c>
      <c r="C29">
        <f t="shared" si="0"/>
        <v>5.2449030569760805E-3</v>
      </c>
      <c r="D29">
        <f t="shared" si="1"/>
        <v>3.8042576858933405E-3</v>
      </c>
      <c r="E29">
        <f t="shared" si="2"/>
        <v>1.4472376540678554E-5</v>
      </c>
    </row>
    <row r="30" spans="1:5" x14ac:dyDescent="0.25">
      <c r="A30">
        <v>2.8688797621125</v>
      </c>
      <c r="B30">
        <v>1.098826661634144E-2</v>
      </c>
      <c r="C30">
        <f t="shared" si="0"/>
        <v>3.1952653434134731E-3</v>
      </c>
      <c r="D30">
        <f t="shared" si="1"/>
        <v>7.7930012729279666E-3</v>
      </c>
      <c r="E30">
        <f t="shared" si="2"/>
        <v>6.0730868839856909E-5</v>
      </c>
    </row>
    <row r="31" spans="1:5" x14ac:dyDescent="0.25">
      <c r="A31">
        <v>2.9661024603874999</v>
      </c>
      <c r="B31">
        <v>3.8782117469440378E-3</v>
      </c>
      <c r="C31">
        <f t="shared" si="0"/>
        <v>1.9028295354571959E-3</v>
      </c>
      <c r="D31">
        <f t="shared" si="1"/>
        <v>1.9753822114868418E-3</v>
      </c>
      <c r="E31">
        <f t="shared" si="2"/>
        <v>3.9021348814586456E-6</v>
      </c>
    </row>
    <row r="32" spans="1:5" x14ac:dyDescent="0.25">
      <c r="A32">
        <v>3.0633251586624999</v>
      </c>
      <c r="B32">
        <v>3.8782117469440378E-3</v>
      </c>
      <c r="C32">
        <f t="shared" si="0"/>
        <v>1.1076557891944157E-3</v>
      </c>
      <c r="D32">
        <f t="shared" si="1"/>
        <v>2.7705559577496219E-3</v>
      </c>
      <c r="E32">
        <f t="shared" si="2"/>
        <v>7.6759803150219252E-6</v>
      </c>
    </row>
    <row r="33" spans="1:5" x14ac:dyDescent="0.25">
      <c r="A33">
        <v>3.1605478569374998</v>
      </c>
      <c r="B33">
        <v>3.8782117469440378E-3</v>
      </c>
      <c r="C33">
        <f t="shared" si="0"/>
        <v>6.3024305919057741E-4</v>
      </c>
      <c r="D33">
        <f t="shared" si="1"/>
        <v>3.2479686877534605E-3</v>
      </c>
      <c r="E33">
        <f t="shared" si="2"/>
        <v>1.0549300596626936E-5</v>
      </c>
    </row>
    <row r="34" spans="1:5" x14ac:dyDescent="0.25">
      <c r="A34">
        <v>3.2577705552124998</v>
      </c>
      <c r="B34">
        <v>1.2927372489813459E-3</v>
      </c>
      <c r="C34">
        <f t="shared" si="0"/>
        <v>3.505049425392544E-4</v>
      </c>
      <c r="D34">
        <f t="shared" si="1"/>
        <v>9.4223230644209152E-4</v>
      </c>
      <c r="E34">
        <f t="shared" si="2"/>
        <v>8.8780171930318346E-7</v>
      </c>
    </row>
    <row r="35" spans="1:5" x14ac:dyDescent="0.25">
      <c r="A35">
        <v>3.3549932534874998</v>
      </c>
      <c r="B35">
        <v>0</v>
      </c>
      <c r="C35">
        <f t="shared" si="0"/>
        <v>1.9052239590868481E-4</v>
      </c>
      <c r="D35">
        <f t="shared" si="1"/>
        <v>-1.9052239590868481E-4</v>
      </c>
      <c r="E35">
        <f t="shared" si="2"/>
        <v>3.6298783342785638E-8</v>
      </c>
    </row>
    <row r="36" spans="1:5" x14ac:dyDescent="0.25">
      <c r="A36">
        <v>3.4522159517624997</v>
      </c>
      <c r="B36">
        <v>6.4636862449067296E-4</v>
      </c>
      <c r="C36">
        <f t="shared" si="0"/>
        <v>1.0121513142680536E-4</v>
      </c>
      <c r="D36">
        <f t="shared" si="1"/>
        <v>5.4515349306386756E-4</v>
      </c>
      <c r="E36">
        <f t="shared" si="2"/>
        <v>2.9719233099973627E-7</v>
      </c>
    </row>
    <row r="37" spans="1:5" x14ac:dyDescent="0.25">
      <c r="A37">
        <v>3.5494386500374997</v>
      </c>
      <c r="B37">
        <v>0</v>
      </c>
      <c r="C37">
        <f t="shared" si="0"/>
        <v>5.255003495343525E-5</v>
      </c>
      <c r="D37">
        <f t="shared" si="1"/>
        <v>-5.255003495343525E-5</v>
      </c>
      <c r="E37">
        <f t="shared" si="2"/>
        <v>2.7615061736072664E-9</v>
      </c>
    </row>
    <row r="38" spans="1:5" x14ac:dyDescent="0.25">
      <c r="A38">
        <v>3.6466613483125001</v>
      </c>
      <c r="B38">
        <v>0</v>
      </c>
      <c r="C38">
        <f t="shared" si="0"/>
        <v>2.6662966763139818E-5</v>
      </c>
      <c r="D38">
        <f t="shared" si="1"/>
        <v>-2.6662966763139818E-5</v>
      </c>
      <c r="E38">
        <f t="shared" si="2"/>
        <v>7.109137966122986E-10</v>
      </c>
    </row>
    <row r="39" spans="1:5" x14ac:dyDescent="0.25">
      <c r="A39">
        <v>3.7438840465874996</v>
      </c>
      <c r="B39">
        <v>0</v>
      </c>
      <c r="C39">
        <f t="shared" si="0"/>
        <v>1.321998074630315E-5</v>
      </c>
      <c r="D39">
        <f t="shared" si="1"/>
        <v>-1.321998074630315E-5</v>
      </c>
      <c r="E39">
        <f t="shared" si="2"/>
        <v>1.7476789093262597E-10</v>
      </c>
    </row>
    <row r="40" spans="1:5" x14ac:dyDescent="0.25">
      <c r="A40">
        <v>3.8411067448624996</v>
      </c>
      <c r="B40">
        <v>6.4636862449067296E-4</v>
      </c>
      <c r="C40">
        <f t="shared" si="0"/>
        <v>6.4049897346978009E-6</v>
      </c>
      <c r="D40">
        <f t="shared" si="1"/>
        <v>6.3996363475597512E-4</v>
      </c>
      <c r="E40">
        <f t="shared" si="2"/>
        <v>4.0955345381007911E-7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AA6E-5F5E-420E-93EC-57184948AEE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9.7851495412499989E-2</v>
      </c>
      <c r="B1">
        <v>1.5324509850395674E-2</v>
      </c>
      <c r="C1">
        <f>$H$3*(1+$H$1)*(A1^($H$1))*EXP(-$H$3*(A1^(1+$H$1)))</f>
        <v>7.7917290146104073E-2</v>
      </c>
      <c r="D1">
        <f>B1-C1</f>
        <v>-6.2592780295708403E-2</v>
      </c>
      <c r="E1">
        <f>D1^2</f>
        <v>3.9178561451468225E-3</v>
      </c>
      <c r="G1" t="s">
        <v>0</v>
      </c>
      <c r="H1">
        <v>1.3407434279596939</v>
      </c>
    </row>
    <row r="2" spans="1:8" x14ac:dyDescent="0.25">
      <c r="A2">
        <v>0.18807326023749998</v>
      </c>
      <c r="B2">
        <v>0.10169901991626221</v>
      </c>
      <c r="C2">
        <f t="shared" ref="C2:C40" si="0">$H$3*(1+$H$1)*(A2^($H$1))*EXP(-$H$3*(A2^(1+$H$1)))</f>
        <v>0.18490625002304176</v>
      </c>
      <c r="D2">
        <f t="shared" ref="D2:D40" si="1">B2-C2</f>
        <v>-8.3207230106779551E-2</v>
      </c>
      <c r="E2">
        <f t="shared" ref="E2:E40" si="2">D2^2</f>
        <v>6.9234431420425614E-3</v>
      </c>
    </row>
    <row r="3" spans="1:8" x14ac:dyDescent="0.25">
      <c r="A3">
        <v>0.27829502506249998</v>
      </c>
      <c r="B3">
        <v>0.2730549027888684</v>
      </c>
      <c r="C3">
        <f t="shared" si="0"/>
        <v>0.30568666968478564</v>
      </c>
      <c r="D3">
        <f t="shared" si="1"/>
        <v>-3.2631766895917236E-2</v>
      </c>
      <c r="E3">
        <f t="shared" si="2"/>
        <v>1.0648322107494801E-3</v>
      </c>
      <c r="G3" t="s">
        <v>1</v>
      </c>
      <c r="H3">
        <f>(_xlfn.GAMMA((2+$H$1)/(1+$H$1)))^(1+$H$1)</f>
        <v>0.75351046090433538</v>
      </c>
    </row>
    <row r="4" spans="1:8" x14ac:dyDescent="0.25">
      <c r="A4">
        <v>0.36851678988749997</v>
      </c>
      <c r="B4">
        <v>0.44998333469798207</v>
      </c>
      <c r="C4">
        <f t="shared" si="0"/>
        <v>0.43007708470987499</v>
      </c>
      <c r="D4">
        <f t="shared" si="1"/>
        <v>1.9906249988107083E-2</v>
      </c>
      <c r="E4">
        <f t="shared" si="2"/>
        <v>3.9625878858901324E-4</v>
      </c>
    </row>
    <row r="5" spans="1:8" x14ac:dyDescent="0.25">
      <c r="A5">
        <v>0.45873855471249997</v>
      </c>
      <c r="B5">
        <v>0.60531813909062915</v>
      </c>
      <c r="C5">
        <f t="shared" si="0"/>
        <v>0.54939253241438968</v>
      </c>
      <c r="D5">
        <f t="shared" si="1"/>
        <v>5.592560667623947E-2</v>
      </c>
      <c r="E5">
        <f t="shared" si="2"/>
        <v>3.1276734821054407E-3</v>
      </c>
      <c r="G5" t="s">
        <v>2</v>
      </c>
      <c r="H5">
        <f>SUM(E1:E40)</f>
        <v>5.2737557279842237E-2</v>
      </c>
    </row>
    <row r="6" spans="1:8" x14ac:dyDescent="0.25">
      <c r="A6">
        <v>0.54896031953749991</v>
      </c>
      <c r="B6">
        <v>0.73348676693030201</v>
      </c>
      <c r="C6">
        <f t="shared" si="0"/>
        <v>0.65590908517834734</v>
      </c>
      <c r="D6">
        <f t="shared" si="1"/>
        <v>7.7577681751954675E-2</v>
      </c>
      <c r="E6">
        <f t="shared" si="2"/>
        <v>6.0182967060075617E-3</v>
      </c>
    </row>
    <row r="7" spans="1:8" x14ac:dyDescent="0.25">
      <c r="A7">
        <v>0.63918208436250001</v>
      </c>
      <c r="B7">
        <v>0.83588235547612766</v>
      </c>
      <c r="C7">
        <f t="shared" si="0"/>
        <v>0.74310313818432172</v>
      </c>
      <c r="D7">
        <f t="shared" si="1"/>
        <v>9.2779217291805938E-2</v>
      </c>
      <c r="E7">
        <f t="shared" si="2"/>
        <v>8.6079831612801416E-3</v>
      </c>
    </row>
    <row r="8" spans="1:8" x14ac:dyDescent="0.25">
      <c r="A8">
        <v>0.72940384918750001</v>
      </c>
      <c r="B8">
        <v>0.87280049284298999</v>
      </c>
      <c r="C8">
        <f t="shared" si="0"/>
        <v>0.80604918882063215</v>
      </c>
      <c r="D8">
        <f t="shared" si="1"/>
        <v>6.6751304022357849E-2</v>
      </c>
      <c r="E8">
        <f t="shared" si="2"/>
        <v>4.4557365886852473E-3</v>
      </c>
    </row>
    <row r="9" spans="1:8" x14ac:dyDescent="0.25">
      <c r="A9">
        <v>0.8196256140125</v>
      </c>
      <c r="B9">
        <v>0.88533872817513193</v>
      </c>
      <c r="C9">
        <f t="shared" si="0"/>
        <v>0.84176510608460797</v>
      </c>
      <c r="D9">
        <f t="shared" si="1"/>
        <v>4.3573622090523956E-2</v>
      </c>
      <c r="E9">
        <f t="shared" si="2"/>
        <v>1.8986605420877973E-3</v>
      </c>
    </row>
    <row r="10" spans="1:8" x14ac:dyDescent="0.25">
      <c r="A10">
        <v>0.9098473788375</v>
      </c>
      <c r="B10">
        <v>0.90135980665509108</v>
      </c>
      <c r="C10">
        <f t="shared" si="0"/>
        <v>0.84939871862813676</v>
      </c>
      <c r="D10">
        <f t="shared" si="1"/>
        <v>5.1961088026954316E-2</v>
      </c>
      <c r="E10">
        <f t="shared" si="2"/>
        <v>2.6999546689448952E-3</v>
      </c>
    </row>
    <row r="11" spans="1:8" x14ac:dyDescent="0.25">
      <c r="A11">
        <v>1.0000691436625</v>
      </c>
      <c r="B11">
        <v>0.84006176725350834</v>
      </c>
      <c r="C11">
        <f t="shared" si="0"/>
        <v>0.83020425803522369</v>
      </c>
      <c r="D11">
        <f t="shared" si="1"/>
        <v>9.8575092182846547E-3</v>
      </c>
      <c r="E11">
        <f t="shared" si="2"/>
        <v>9.7170487988566947E-5</v>
      </c>
    </row>
    <row r="12" spans="1:8" x14ac:dyDescent="0.25">
      <c r="A12">
        <v>1.0902909084874999</v>
      </c>
      <c r="B12">
        <v>0.75786666896502242</v>
      </c>
      <c r="C12">
        <f t="shared" si="0"/>
        <v>0.78730160805182536</v>
      </c>
      <c r="D12">
        <f t="shared" si="1"/>
        <v>-2.9434939086802947E-2</v>
      </c>
      <c r="E12">
        <f t="shared" si="2"/>
        <v>8.6641563904379991E-4</v>
      </c>
    </row>
    <row r="13" spans="1:8" x14ac:dyDescent="0.25">
      <c r="A13">
        <v>1.1805126733125</v>
      </c>
      <c r="B13">
        <v>0.68333382560173439</v>
      </c>
      <c r="C13">
        <f t="shared" si="0"/>
        <v>0.72525012499144192</v>
      </c>
      <c r="D13">
        <f t="shared" si="1"/>
        <v>-4.1916299389707534E-2</v>
      </c>
      <c r="E13">
        <f t="shared" si="2"/>
        <v>1.7569761545275962E-3</v>
      </c>
    </row>
    <row r="14" spans="1:8" x14ac:dyDescent="0.25">
      <c r="A14">
        <v>1.2707344381375001</v>
      </c>
      <c r="B14">
        <v>0.58790392335154318</v>
      </c>
      <c r="C14">
        <f t="shared" si="0"/>
        <v>0.64949874458410428</v>
      </c>
      <c r="D14">
        <f t="shared" si="1"/>
        <v>-6.1594821232561103E-2</v>
      </c>
      <c r="E14">
        <f t="shared" si="2"/>
        <v>3.7939220026711601E-3</v>
      </c>
    </row>
    <row r="15" spans="1:8" x14ac:dyDescent="0.25">
      <c r="A15">
        <v>1.3609562029625</v>
      </c>
      <c r="B15">
        <v>0.51267451135869169</v>
      </c>
      <c r="C15">
        <f t="shared" si="0"/>
        <v>0.56579107080300151</v>
      </c>
      <c r="D15">
        <f t="shared" si="1"/>
        <v>-5.3116559444309819E-2</v>
      </c>
      <c r="E15">
        <f t="shared" si="2"/>
        <v>2.8213688872008986E-3</v>
      </c>
    </row>
    <row r="16" spans="1:8" x14ac:dyDescent="0.25">
      <c r="A16">
        <v>1.4511779677874999</v>
      </c>
      <c r="B16">
        <v>0.43814166799540361</v>
      </c>
      <c r="C16">
        <f t="shared" si="0"/>
        <v>0.47960597817743594</v>
      </c>
      <c r="D16">
        <f t="shared" si="1"/>
        <v>-4.1464310182032338E-2</v>
      </c>
      <c r="E16">
        <f t="shared" si="2"/>
        <v>1.7192890188717906E-3</v>
      </c>
    </row>
    <row r="17" spans="1:5" x14ac:dyDescent="0.25">
      <c r="A17">
        <v>1.5413997326125</v>
      </c>
      <c r="B17">
        <v>0.36639509915036933</v>
      </c>
      <c r="C17">
        <f t="shared" si="0"/>
        <v>0.39570176342277164</v>
      </c>
      <c r="D17">
        <f t="shared" si="1"/>
        <v>-2.9306664272402305E-2</v>
      </c>
      <c r="E17">
        <f t="shared" si="2"/>
        <v>8.5888057077530171E-4</v>
      </c>
    </row>
    <row r="18" spans="1:5" x14ac:dyDescent="0.25">
      <c r="A18">
        <v>1.6316214974375001</v>
      </c>
      <c r="B18">
        <v>0.29046911852795437</v>
      </c>
      <c r="C18">
        <f t="shared" si="0"/>
        <v>0.31780874496438982</v>
      </c>
      <c r="D18">
        <f t="shared" si="1"/>
        <v>-2.7339626436435449E-2</v>
      </c>
      <c r="E18">
        <f t="shared" si="2"/>
        <v>7.4745517368384005E-4</v>
      </c>
    </row>
    <row r="19" spans="1:5" x14ac:dyDescent="0.25">
      <c r="A19">
        <v>1.7218432622625</v>
      </c>
      <c r="B19">
        <v>0.23822647131069641</v>
      </c>
      <c r="C19">
        <f t="shared" si="0"/>
        <v>0.24848702400714226</v>
      </c>
      <c r="D19">
        <f t="shared" si="1"/>
        <v>-1.0260552696445852E-2</v>
      </c>
      <c r="E19">
        <f t="shared" si="2"/>
        <v>1.0527894163654224E-4</v>
      </c>
    </row>
    <row r="20" spans="1:5" x14ac:dyDescent="0.25">
      <c r="A20">
        <v>1.8120650270874998</v>
      </c>
      <c r="B20">
        <v>0.17065931424304273</v>
      </c>
      <c r="C20">
        <f t="shared" si="0"/>
        <v>0.18913894208352369</v>
      </c>
      <c r="D20">
        <f t="shared" si="1"/>
        <v>-1.8479627840480961E-2</v>
      </c>
      <c r="E20">
        <f t="shared" si="2"/>
        <v>3.4149664512267902E-4</v>
      </c>
    </row>
    <row r="21" spans="1:5" x14ac:dyDescent="0.25">
      <c r="A21">
        <v>1.9022867919124999</v>
      </c>
      <c r="B21">
        <v>0.14697598083788579</v>
      </c>
      <c r="C21">
        <f t="shared" si="0"/>
        <v>0.14014466149120028</v>
      </c>
      <c r="D21">
        <f t="shared" si="1"/>
        <v>6.831319346685516E-3</v>
      </c>
      <c r="E21">
        <f t="shared" si="2"/>
        <v>4.6666924016399823E-5</v>
      </c>
    </row>
    <row r="22" spans="1:5" x14ac:dyDescent="0.25">
      <c r="A22">
        <v>1.9925085567375</v>
      </c>
      <c r="B22">
        <v>0.10796813758233316</v>
      </c>
      <c r="C22">
        <f t="shared" si="0"/>
        <v>0.1010772879133533</v>
      </c>
      <c r="D22">
        <f t="shared" si="1"/>
        <v>6.8908496689798621E-3</v>
      </c>
      <c r="E22">
        <f t="shared" si="2"/>
        <v>4.7483809160479878E-5</v>
      </c>
    </row>
    <row r="23" spans="1:5" x14ac:dyDescent="0.25">
      <c r="A23">
        <v>2.0827303215624999</v>
      </c>
      <c r="B23">
        <v>7.6622549251978367E-2</v>
      </c>
      <c r="C23">
        <f t="shared" si="0"/>
        <v>7.0951655424495011E-2</v>
      </c>
      <c r="D23">
        <f t="shared" si="1"/>
        <v>5.6708938274833559E-3</v>
      </c>
      <c r="E23">
        <f t="shared" si="2"/>
        <v>3.2159036802588824E-5</v>
      </c>
    </row>
    <row r="24" spans="1:5" x14ac:dyDescent="0.25">
      <c r="A24">
        <v>2.1729520863874994</v>
      </c>
      <c r="B24">
        <v>5.5725490365075181E-2</v>
      </c>
      <c r="C24">
        <f t="shared" si="0"/>
        <v>4.8466763280828003E-2</v>
      </c>
      <c r="D24">
        <f t="shared" si="1"/>
        <v>7.2587270842471782E-3</v>
      </c>
      <c r="E24">
        <f t="shared" si="2"/>
        <v>5.2689118883583543E-5</v>
      </c>
    </row>
    <row r="25" spans="1:5" x14ac:dyDescent="0.25">
      <c r="A25">
        <v>2.2631738512124997</v>
      </c>
      <c r="B25">
        <v>3.9007843255552628E-2</v>
      </c>
      <c r="C25">
        <f t="shared" si="0"/>
        <v>3.221297146619348E-2</v>
      </c>
      <c r="D25">
        <f t="shared" si="1"/>
        <v>6.7948717893591484E-3</v>
      </c>
      <c r="E25">
        <f t="shared" si="2"/>
        <v>4.6170282633828796E-5</v>
      </c>
    </row>
    <row r="26" spans="1:5" x14ac:dyDescent="0.25">
      <c r="A26">
        <v>2.3533956160375</v>
      </c>
      <c r="B26">
        <v>2.4379902034720392E-2</v>
      </c>
      <c r="C26">
        <f t="shared" si="0"/>
        <v>2.0828086691420496E-2</v>
      </c>
      <c r="D26">
        <f t="shared" si="1"/>
        <v>3.5518153432998953E-3</v>
      </c>
      <c r="E26">
        <f t="shared" si="2"/>
        <v>1.2615392232900553E-5</v>
      </c>
    </row>
    <row r="27" spans="1:5" x14ac:dyDescent="0.25">
      <c r="A27">
        <v>2.4436173808625004</v>
      </c>
      <c r="B27">
        <v>2.2986764775593513E-2</v>
      </c>
      <c r="C27">
        <f t="shared" si="0"/>
        <v>1.3098494815656806E-2</v>
      </c>
      <c r="D27">
        <f t="shared" si="1"/>
        <v>9.8882699599367064E-3</v>
      </c>
      <c r="E27">
        <f t="shared" si="2"/>
        <v>9.777788280058667E-5</v>
      </c>
    </row>
    <row r="28" spans="1:5" x14ac:dyDescent="0.25">
      <c r="A28">
        <v>2.5338391456874998</v>
      </c>
      <c r="B28">
        <v>1.6717647109522553E-2</v>
      </c>
      <c r="C28">
        <f t="shared" si="0"/>
        <v>8.0105910169551726E-3</v>
      </c>
      <c r="D28">
        <f t="shared" si="1"/>
        <v>8.7070560925673803E-3</v>
      </c>
      <c r="E28">
        <f t="shared" si="2"/>
        <v>7.5812825799114744E-5</v>
      </c>
    </row>
    <row r="29" spans="1:5" x14ac:dyDescent="0.25">
      <c r="A29">
        <v>2.6240609105125001</v>
      </c>
      <c r="B29">
        <v>1.1841666702578475E-2</v>
      </c>
      <c r="C29">
        <f t="shared" si="0"/>
        <v>4.7631422647671541E-3</v>
      </c>
      <c r="D29">
        <f t="shared" si="1"/>
        <v>7.0785244378113212E-3</v>
      </c>
      <c r="E29">
        <f t="shared" si="2"/>
        <v>5.010550821669208E-5</v>
      </c>
    </row>
    <row r="30" spans="1:5" x14ac:dyDescent="0.25">
      <c r="A30">
        <v>2.7142826753374996</v>
      </c>
      <c r="B30">
        <v>7.662254925197837E-3</v>
      </c>
      <c r="C30">
        <f t="shared" si="0"/>
        <v>2.7530917324641402E-3</v>
      </c>
      <c r="D30">
        <f t="shared" si="1"/>
        <v>4.9091631927336964E-3</v>
      </c>
      <c r="E30">
        <f t="shared" si="2"/>
        <v>2.4099883252891302E-5</v>
      </c>
    </row>
    <row r="31" spans="1:5" x14ac:dyDescent="0.25">
      <c r="A31">
        <v>2.8045044401624999</v>
      </c>
      <c r="B31">
        <v>4.1794117773806382E-3</v>
      </c>
      <c r="C31">
        <f t="shared" si="0"/>
        <v>1.5465232008705185E-3</v>
      </c>
      <c r="D31">
        <f t="shared" si="1"/>
        <v>2.6328885765101199E-3</v>
      </c>
      <c r="E31">
        <f t="shared" si="2"/>
        <v>6.9321022563174855E-6</v>
      </c>
    </row>
    <row r="32" spans="1:5" x14ac:dyDescent="0.25">
      <c r="A32">
        <v>2.8947262049875002</v>
      </c>
      <c r="B32">
        <v>5.5725490365075179E-3</v>
      </c>
      <c r="C32">
        <f t="shared" si="0"/>
        <v>8.4413120668833097E-4</v>
      </c>
      <c r="D32">
        <f t="shared" si="1"/>
        <v>4.7284178298191868E-3</v>
      </c>
      <c r="E32">
        <f t="shared" si="2"/>
        <v>2.2357935173351988E-5</v>
      </c>
    </row>
    <row r="33" spans="1:5" x14ac:dyDescent="0.25">
      <c r="A33">
        <v>2.9849479698124997</v>
      </c>
      <c r="B33">
        <v>2.0897058886903191E-3</v>
      </c>
      <c r="C33">
        <f t="shared" si="0"/>
        <v>4.4759927134253668E-4</v>
      </c>
      <c r="D33">
        <f t="shared" si="1"/>
        <v>1.6421066173477824E-3</v>
      </c>
      <c r="E33">
        <f t="shared" si="2"/>
        <v>2.6965141427373763E-6</v>
      </c>
    </row>
    <row r="34" spans="1:5" x14ac:dyDescent="0.25">
      <c r="A34">
        <v>3.0751697346375</v>
      </c>
      <c r="B34">
        <v>6.9656862956343974E-4</v>
      </c>
      <c r="C34">
        <f t="shared" si="0"/>
        <v>2.3051656457198972E-4</v>
      </c>
      <c r="D34">
        <f t="shared" si="1"/>
        <v>4.6605206499145005E-4</v>
      </c>
      <c r="E34">
        <f t="shared" si="2"/>
        <v>2.1720452728279478E-7</v>
      </c>
    </row>
    <row r="35" spans="1:5" x14ac:dyDescent="0.25">
      <c r="A35">
        <v>3.1653914994624999</v>
      </c>
      <c r="B35">
        <v>6.9656862956343974E-4</v>
      </c>
      <c r="C35">
        <f t="shared" si="0"/>
        <v>1.1528034850452986E-4</v>
      </c>
      <c r="D35">
        <f t="shared" si="1"/>
        <v>5.8128828105890988E-4</v>
      </c>
      <c r="E35">
        <f t="shared" si="2"/>
        <v>3.3789606569642223E-7</v>
      </c>
    </row>
    <row r="36" spans="1:5" x14ac:dyDescent="0.25">
      <c r="A36">
        <v>3.2556132642875002</v>
      </c>
      <c r="B36">
        <v>0</v>
      </c>
      <c r="C36">
        <f t="shared" si="0"/>
        <v>5.5970037077954904E-5</v>
      </c>
      <c r="D36">
        <f t="shared" si="1"/>
        <v>-5.5970037077954904E-5</v>
      </c>
      <c r="E36">
        <f t="shared" si="2"/>
        <v>3.132645050507647E-9</v>
      </c>
    </row>
    <row r="37" spans="1:5" x14ac:dyDescent="0.25">
      <c r="A37">
        <v>3.3458350291125001</v>
      </c>
      <c r="B37">
        <v>0</v>
      </c>
      <c r="C37">
        <f t="shared" si="0"/>
        <v>2.6376054175146868E-5</v>
      </c>
      <c r="D37">
        <f t="shared" si="1"/>
        <v>-2.6376054175146868E-5</v>
      </c>
      <c r="E37">
        <f t="shared" si="2"/>
        <v>6.956962338502825E-10</v>
      </c>
    </row>
    <row r="38" spans="1:5" x14ac:dyDescent="0.25">
      <c r="A38">
        <v>3.4360567939374995</v>
      </c>
      <c r="B38">
        <v>0</v>
      </c>
      <c r="C38">
        <f t="shared" si="0"/>
        <v>1.206215244491425E-5</v>
      </c>
      <c r="D38">
        <f t="shared" si="1"/>
        <v>-1.206215244491425E-5</v>
      </c>
      <c r="E38">
        <f t="shared" si="2"/>
        <v>1.4549552160435083E-10</v>
      </c>
    </row>
    <row r="39" spans="1:5" x14ac:dyDescent="0.25">
      <c r="A39">
        <v>3.5262785587624998</v>
      </c>
      <c r="B39">
        <v>0</v>
      </c>
      <c r="C39">
        <f t="shared" si="0"/>
        <v>5.3518952244044692E-6</v>
      </c>
      <c r="D39">
        <f t="shared" si="1"/>
        <v>-5.3518952244044692E-6</v>
      </c>
      <c r="E39">
        <f t="shared" si="2"/>
        <v>2.8642782493003365E-11</v>
      </c>
    </row>
    <row r="40" spans="1:5" x14ac:dyDescent="0.25">
      <c r="A40">
        <v>3.6165003235874997</v>
      </c>
      <c r="B40">
        <v>6.9656862956343974E-4</v>
      </c>
      <c r="C40">
        <f t="shared" si="0"/>
        <v>2.3033797842214087E-6</v>
      </c>
      <c r="D40">
        <f t="shared" si="1"/>
        <v>6.9426524977921837E-4</v>
      </c>
      <c r="E40">
        <f t="shared" si="2"/>
        <v>4.8200423705100051E-7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60A73-10F1-48BE-B09D-30B4463C324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0.12256325937500001</v>
      </c>
      <c r="B1">
        <v>8.2722690173964979E-3</v>
      </c>
      <c r="C1">
        <f>$H$3*(1+$H$1)*(A1^($H$1))*EXP(-$H$3*(A1^(1+$H$1)))</f>
        <v>6.829676552819075E-2</v>
      </c>
      <c r="D1">
        <f>B1-C1</f>
        <v>-6.0024496510794251E-2</v>
      </c>
      <c r="E1">
        <f>D1^2</f>
        <v>3.6029401813743511E-3</v>
      </c>
      <c r="G1" t="s">
        <v>0</v>
      </c>
      <c r="H1">
        <v>1.5829839241701205</v>
      </c>
    </row>
    <row r="2" spans="1:8" x14ac:dyDescent="0.25">
      <c r="A2">
        <v>0.206131886125</v>
      </c>
      <c r="B2">
        <v>6.3922078770791119E-2</v>
      </c>
      <c r="C2">
        <f t="shared" ref="C2:C40" si="0">$H$3*(1+$H$1)*(A2^($H$1))*EXP(-$H$3*(A2^(1+$H$1)))</f>
        <v>0.15410545140854293</v>
      </c>
      <c r="D2">
        <f t="shared" ref="D2:D40" si="1">B2-C2</f>
        <v>-9.0183372637751807E-2</v>
      </c>
      <c r="E2">
        <f t="shared" ref="E2:E40" si="2">D2^2</f>
        <v>8.133040700319602E-3</v>
      </c>
    </row>
    <row r="3" spans="1:8" x14ac:dyDescent="0.25">
      <c r="A3">
        <v>0.28970051287499998</v>
      </c>
      <c r="B3">
        <v>0.18725408957561163</v>
      </c>
      <c r="C3">
        <f t="shared" si="0"/>
        <v>0.25952040559906503</v>
      </c>
      <c r="D3">
        <f t="shared" si="1"/>
        <v>-7.2266316023453403E-2</v>
      </c>
      <c r="E3">
        <f t="shared" si="2"/>
        <v>5.2224204316016383E-3</v>
      </c>
      <c r="G3" t="s">
        <v>1</v>
      </c>
      <c r="H3">
        <f>(_xlfn.GAMMA((2+$H$1)/(1+$H$1)))^(1+$H$1)</f>
        <v>0.73587054763886695</v>
      </c>
    </row>
    <row r="4" spans="1:8" x14ac:dyDescent="0.25">
      <c r="A4">
        <v>0.37326913962499997</v>
      </c>
      <c r="B4">
        <v>0.34969137209903373</v>
      </c>
      <c r="C4">
        <f t="shared" si="0"/>
        <v>0.37702714665470827</v>
      </c>
      <c r="D4">
        <f t="shared" si="1"/>
        <v>-2.7335774555674541E-2</v>
      </c>
      <c r="E4">
        <f t="shared" si="2"/>
        <v>7.4724457055866367E-4</v>
      </c>
    </row>
    <row r="5" spans="1:8" x14ac:dyDescent="0.25">
      <c r="A5">
        <v>0.45683776637500001</v>
      </c>
      <c r="B5">
        <v>0.55348999970943835</v>
      </c>
      <c r="C5">
        <f t="shared" si="0"/>
        <v>0.49898636030062288</v>
      </c>
      <c r="D5">
        <f t="shared" si="1"/>
        <v>5.4503639408815474E-2</v>
      </c>
      <c r="E5">
        <f t="shared" si="2"/>
        <v>2.9706467088061834E-3</v>
      </c>
      <c r="G5" t="s">
        <v>2</v>
      </c>
      <c r="H5">
        <f>SUM(E1:E40)</f>
        <v>9.1828741395614519E-2</v>
      </c>
    </row>
    <row r="6" spans="1:8" x14ac:dyDescent="0.25">
      <c r="A6">
        <v>0.54040639312499994</v>
      </c>
      <c r="B6">
        <v>0.72871169798701874</v>
      </c>
      <c r="C6">
        <f t="shared" si="0"/>
        <v>0.61749014212719644</v>
      </c>
      <c r="D6">
        <f t="shared" si="1"/>
        <v>0.1112215558598223</v>
      </c>
      <c r="E6">
        <f t="shared" si="2"/>
        <v>1.2370234487879571E-2</v>
      </c>
    </row>
    <row r="7" spans="1:8" x14ac:dyDescent="0.25">
      <c r="A7">
        <v>0.62397501987499993</v>
      </c>
      <c r="B7">
        <v>0.82497082837126889</v>
      </c>
      <c r="C7">
        <f t="shared" si="0"/>
        <v>0.72470285888891783</v>
      </c>
      <c r="D7">
        <f t="shared" si="1"/>
        <v>0.10026796948235106</v>
      </c>
      <c r="E7">
        <f t="shared" si="2"/>
        <v>1.0053665704113684E-2</v>
      </c>
    </row>
    <row r="8" spans="1:8" x14ac:dyDescent="0.25">
      <c r="A8">
        <v>0.70754364662500002</v>
      </c>
      <c r="B8">
        <v>0.94980688808834324</v>
      </c>
      <c r="C8">
        <f t="shared" si="0"/>
        <v>0.81342427769431935</v>
      </c>
      <c r="D8">
        <f t="shared" si="1"/>
        <v>0.13638261039402388</v>
      </c>
      <c r="E8">
        <f t="shared" si="2"/>
        <v>1.8600216417888112E-2</v>
      </c>
    </row>
    <row r="9" spans="1:8" x14ac:dyDescent="0.25">
      <c r="A9">
        <v>0.79111227337500001</v>
      </c>
      <c r="B9">
        <v>0.93702247233418501</v>
      </c>
      <c r="C9">
        <f t="shared" si="0"/>
        <v>0.87772690240477103</v>
      </c>
      <c r="D9">
        <f t="shared" si="1"/>
        <v>5.9295569929413983E-2</v>
      </c>
      <c r="E9">
        <f t="shared" si="2"/>
        <v>3.5159646132540238E-3</v>
      </c>
    </row>
    <row r="10" spans="1:8" x14ac:dyDescent="0.25">
      <c r="A10">
        <v>0.87468090012499999</v>
      </c>
      <c r="B10">
        <v>0.99041620871919878</v>
      </c>
      <c r="C10">
        <f t="shared" si="0"/>
        <v>0.91354184986401465</v>
      </c>
      <c r="D10">
        <f t="shared" si="1"/>
        <v>7.6874358855184122E-2</v>
      </c>
      <c r="E10">
        <f t="shared" si="2"/>
        <v>5.9096670493956251E-3</v>
      </c>
    </row>
    <row r="11" spans="1:8" x14ac:dyDescent="0.25">
      <c r="A11">
        <v>0.95824952687500009</v>
      </c>
      <c r="B11">
        <v>0.9234860321238999</v>
      </c>
      <c r="C11">
        <f t="shared" si="0"/>
        <v>0.91908187888503767</v>
      </c>
      <c r="D11">
        <f t="shared" si="1"/>
        <v>4.4041532388622295E-3</v>
      </c>
      <c r="E11">
        <f t="shared" si="2"/>
        <v>1.9396565751380665E-5</v>
      </c>
    </row>
    <row r="12" spans="1:8" x14ac:dyDescent="0.25">
      <c r="A12">
        <v>1.041818153625</v>
      </c>
      <c r="B12">
        <v>0.87986861366853653</v>
      </c>
      <c r="C12">
        <f t="shared" si="0"/>
        <v>0.89501640148786887</v>
      </c>
      <c r="D12">
        <f t="shared" si="1"/>
        <v>-1.5147787819332348E-2</v>
      </c>
      <c r="E12">
        <f t="shared" si="2"/>
        <v>2.2945547581951345E-4</v>
      </c>
    </row>
    <row r="13" spans="1:8" x14ac:dyDescent="0.25">
      <c r="A13">
        <v>1.125386780375</v>
      </c>
      <c r="B13">
        <v>0.79789794795069846</v>
      </c>
      <c r="C13">
        <f t="shared" si="0"/>
        <v>0.84435459121487788</v>
      </c>
      <c r="D13">
        <f t="shared" si="1"/>
        <v>-4.645664326417942E-2</v>
      </c>
      <c r="E13">
        <f t="shared" si="2"/>
        <v>2.1582197033752273E-3</v>
      </c>
    </row>
    <row r="14" spans="1:8" x14ac:dyDescent="0.25">
      <c r="A14">
        <v>1.2089554071249999</v>
      </c>
      <c r="B14">
        <v>0.72344752679413005</v>
      </c>
      <c r="C14">
        <f t="shared" si="0"/>
        <v>0.77204398315688061</v>
      </c>
      <c r="D14">
        <f t="shared" si="1"/>
        <v>-4.8596456362750562E-2</v>
      </c>
      <c r="E14">
        <f t="shared" si="2"/>
        <v>2.3616155710167197E-3</v>
      </c>
    </row>
    <row r="15" spans="1:8" x14ac:dyDescent="0.25">
      <c r="A15">
        <v>1.2925240338749999</v>
      </c>
      <c r="B15">
        <v>0.63245256760276858</v>
      </c>
      <c r="C15">
        <f t="shared" si="0"/>
        <v>0.68434343630992855</v>
      </c>
      <c r="D15">
        <f t="shared" si="1"/>
        <v>-5.1890868707159976E-2</v>
      </c>
      <c r="E15">
        <f t="shared" si="2"/>
        <v>2.6926622551837146E-3</v>
      </c>
    </row>
    <row r="16" spans="1:8" x14ac:dyDescent="0.25">
      <c r="A16">
        <v>1.3760926606249999</v>
      </c>
      <c r="B16">
        <v>0.52190497255210633</v>
      </c>
      <c r="C16">
        <f t="shared" si="0"/>
        <v>0.58806972995804085</v>
      </c>
      <c r="D16">
        <f t="shared" si="1"/>
        <v>-6.6164757405934527E-2</v>
      </c>
      <c r="E16">
        <f t="shared" si="2"/>
        <v>4.3777751225861682E-3</v>
      </c>
    </row>
    <row r="17" spans="1:5" x14ac:dyDescent="0.25">
      <c r="A17">
        <v>1.4596612873749999</v>
      </c>
      <c r="B17">
        <v>0.4143654753259518</v>
      </c>
      <c r="C17">
        <f t="shared" si="0"/>
        <v>0.4898370849292748</v>
      </c>
      <c r="D17">
        <f t="shared" si="1"/>
        <v>-7.5471609603322998E-2</v>
      </c>
      <c r="E17">
        <f t="shared" si="2"/>
        <v>5.6959638561163957E-3</v>
      </c>
    </row>
    <row r="18" spans="1:5" x14ac:dyDescent="0.25">
      <c r="A18">
        <v>1.5432299141249999</v>
      </c>
      <c r="B18">
        <v>0.38202842371249279</v>
      </c>
      <c r="C18">
        <f t="shared" si="0"/>
        <v>0.3954040859992205</v>
      </c>
      <c r="D18">
        <f t="shared" si="1"/>
        <v>-1.3375662286727708E-2</v>
      </c>
      <c r="E18">
        <f t="shared" si="2"/>
        <v>1.7890834160858989E-4</v>
      </c>
    </row>
    <row r="19" spans="1:5" x14ac:dyDescent="0.25">
      <c r="A19">
        <v>1.6267985408749999</v>
      </c>
      <c r="B19">
        <v>0.26997677974957657</v>
      </c>
      <c r="C19">
        <f t="shared" si="0"/>
        <v>0.30921468522415024</v>
      </c>
      <c r="D19">
        <f t="shared" si="1"/>
        <v>-3.9237905474573676E-2</v>
      </c>
      <c r="E19">
        <f t="shared" si="2"/>
        <v>1.5396132260315789E-3</v>
      </c>
    </row>
    <row r="20" spans="1:5" x14ac:dyDescent="0.25">
      <c r="A20">
        <v>1.7103671676249999</v>
      </c>
      <c r="B20">
        <v>0.22410328792583237</v>
      </c>
      <c r="C20">
        <f t="shared" si="0"/>
        <v>0.23417682978742138</v>
      </c>
      <c r="D20">
        <f t="shared" si="1"/>
        <v>-1.0073541861589014E-2</v>
      </c>
      <c r="E20">
        <f t="shared" si="2"/>
        <v>1.0147624563718625E-4</v>
      </c>
    </row>
    <row r="21" spans="1:5" x14ac:dyDescent="0.25">
      <c r="A21">
        <v>1.7939357943750001</v>
      </c>
      <c r="B21">
        <v>0.15717311133053344</v>
      </c>
      <c r="C21">
        <f t="shared" si="0"/>
        <v>0.17167489057395596</v>
      </c>
      <c r="D21">
        <f t="shared" si="1"/>
        <v>-1.4501779243422525E-2</v>
      </c>
      <c r="E21">
        <f t="shared" si="2"/>
        <v>2.1030160122496037E-4</v>
      </c>
    </row>
    <row r="22" spans="1:5" x14ac:dyDescent="0.25">
      <c r="A22">
        <v>1.8775044211250003</v>
      </c>
      <c r="B22">
        <v>0.12709213308545528</v>
      </c>
      <c r="C22">
        <f t="shared" si="0"/>
        <v>0.12177171707193229</v>
      </c>
      <c r="D22">
        <f t="shared" si="1"/>
        <v>5.3204160135229828E-3</v>
      </c>
      <c r="E22">
        <f t="shared" si="2"/>
        <v>2.8306826556951789E-5</v>
      </c>
    </row>
    <row r="23" spans="1:5" x14ac:dyDescent="0.25">
      <c r="A23">
        <v>1.961073047875</v>
      </c>
      <c r="B23">
        <v>0.10302735048939274</v>
      </c>
      <c r="C23">
        <f t="shared" si="0"/>
        <v>8.3531029406216553E-2</v>
      </c>
      <c r="D23">
        <f t="shared" si="1"/>
        <v>1.9496321083176185E-2</v>
      </c>
      <c r="E23">
        <f t="shared" si="2"/>
        <v>3.8010653577830021E-4</v>
      </c>
    </row>
    <row r="24" spans="1:5" x14ac:dyDescent="0.25">
      <c r="A24">
        <v>2.0446416746249998</v>
      </c>
      <c r="B24">
        <v>7.1442323332060659E-2</v>
      </c>
      <c r="C24">
        <f t="shared" si="0"/>
        <v>5.5384214935909351E-2</v>
      </c>
      <c r="D24">
        <f t="shared" si="1"/>
        <v>1.6058108396151308E-2</v>
      </c>
      <c r="E24">
        <f t="shared" si="2"/>
        <v>2.578628452625451E-4</v>
      </c>
    </row>
    <row r="25" spans="1:5" x14ac:dyDescent="0.25">
      <c r="A25">
        <v>2.1282103013749998</v>
      </c>
      <c r="B25">
        <v>3.9857296174728579E-2</v>
      </c>
      <c r="C25">
        <f t="shared" si="0"/>
        <v>3.5475476936186065E-2</v>
      </c>
      <c r="D25">
        <f t="shared" si="1"/>
        <v>4.3818192385425142E-3</v>
      </c>
      <c r="E25">
        <f t="shared" si="2"/>
        <v>1.9200339839261298E-5</v>
      </c>
    </row>
    <row r="26" spans="1:5" x14ac:dyDescent="0.25">
      <c r="A26">
        <v>2.2117789281250002</v>
      </c>
      <c r="B26">
        <v>3.534514943796685E-2</v>
      </c>
      <c r="C26">
        <f t="shared" si="0"/>
        <v>2.1939963714389256E-2</v>
      </c>
      <c r="D26">
        <f t="shared" si="1"/>
        <v>1.3405185723577594E-2</v>
      </c>
      <c r="E26">
        <f t="shared" si="2"/>
        <v>1.7969900428360853E-4</v>
      </c>
    </row>
    <row r="27" spans="1:5" x14ac:dyDescent="0.25">
      <c r="A27">
        <v>2.2953475548749998</v>
      </c>
      <c r="B27">
        <v>2.1808709227681675E-2</v>
      </c>
      <c r="C27">
        <f t="shared" si="0"/>
        <v>1.309380309776207E-2</v>
      </c>
      <c r="D27">
        <f t="shared" si="1"/>
        <v>8.7149061299196043E-3</v>
      </c>
      <c r="E27">
        <f t="shared" si="2"/>
        <v>7.5949588853310297E-5</v>
      </c>
    </row>
    <row r="28" spans="1:5" x14ac:dyDescent="0.25">
      <c r="A28">
        <v>2.3789161816249997</v>
      </c>
      <c r="B28">
        <v>1.7296562490919948E-2</v>
      </c>
      <c r="C28">
        <f t="shared" si="0"/>
        <v>7.536528559236126E-3</v>
      </c>
      <c r="D28">
        <f t="shared" si="1"/>
        <v>9.7600339316838217E-3</v>
      </c>
      <c r="E28">
        <f t="shared" si="2"/>
        <v>9.5258262347619555E-5</v>
      </c>
    </row>
    <row r="29" spans="1:5" x14ac:dyDescent="0.25">
      <c r="A29">
        <v>2.4624848083749997</v>
      </c>
      <c r="B29">
        <v>1.0528342385777361E-2</v>
      </c>
      <c r="C29">
        <f t="shared" si="0"/>
        <v>4.1812240195203019E-3</v>
      </c>
      <c r="D29">
        <f t="shared" si="1"/>
        <v>6.3471183662570591E-3</v>
      </c>
      <c r="E29">
        <f t="shared" si="2"/>
        <v>4.0285911555277677E-5</v>
      </c>
    </row>
    <row r="30" spans="1:5" x14ac:dyDescent="0.25">
      <c r="A30">
        <v>2.5460534351250002</v>
      </c>
      <c r="B30">
        <v>8.2722690173964979E-3</v>
      </c>
      <c r="C30">
        <f t="shared" si="0"/>
        <v>2.2346586996134124E-3</v>
      </c>
      <c r="D30">
        <f t="shared" si="1"/>
        <v>6.0376103177830851E-3</v>
      </c>
      <c r="E30">
        <f t="shared" si="2"/>
        <v>3.6452738349400767E-5</v>
      </c>
    </row>
    <row r="31" spans="1:5" x14ac:dyDescent="0.25">
      <c r="A31">
        <v>2.6296220618749997</v>
      </c>
      <c r="B31">
        <v>4.5121467367617261E-3</v>
      </c>
      <c r="C31">
        <f t="shared" si="0"/>
        <v>1.1498537693706474E-3</v>
      </c>
      <c r="D31">
        <f t="shared" si="1"/>
        <v>3.3622929673910789E-3</v>
      </c>
      <c r="E31">
        <f t="shared" si="2"/>
        <v>1.1305013998567507E-5</v>
      </c>
    </row>
    <row r="32" spans="1:5" x14ac:dyDescent="0.25">
      <c r="A32">
        <v>2.7131906886249997</v>
      </c>
      <c r="B32">
        <v>3.7601222806347714E-3</v>
      </c>
      <c r="C32">
        <f t="shared" si="0"/>
        <v>5.6930494204042534E-4</v>
      </c>
      <c r="D32">
        <f t="shared" si="1"/>
        <v>3.190817338594346E-3</v>
      </c>
      <c r="E32">
        <f t="shared" si="2"/>
        <v>1.0181315288274305E-5</v>
      </c>
    </row>
    <row r="33" spans="1:5" x14ac:dyDescent="0.25">
      <c r="A33">
        <v>2.7967593153750001</v>
      </c>
      <c r="B33">
        <v>7.5202445612695425E-4</v>
      </c>
      <c r="C33">
        <f t="shared" si="0"/>
        <v>2.7105987107736837E-4</v>
      </c>
      <c r="D33">
        <f t="shared" si="1"/>
        <v>4.8096458504958588E-4</v>
      </c>
      <c r="E33">
        <f t="shared" si="2"/>
        <v>2.3132693207192033E-7</v>
      </c>
    </row>
    <row r="34" spans="1:5" x14ac:dyDescent="0.25">
      <c r="A34">
        <v>2.8803279421250001</v>
      </c>
      <c r="B34">
        <v>1.5040489122539085E-3</v>
      </c>
      <c r="C34">
        <f t="shared" si="0"/>
        <v>1.2403677931519024E-4</v>
      </c>
      <c r="D34">
        <f t="shared" si="1"/>
        <v>1.3800121329387183E-3</v>
      </c>
      <c r="E34">
        <f t="shared" si="2"/>
        <v>1.9044334870580708E-6</v>
      </c>
    </row>
    <row r="35" spans="1:5" x14ac:dyDescent="0.25">
      <c r="A35">
        <v>2.9638965688749996</v>
      </c>
      <c r="B35">
        <v>0</v>
      </c>
      <c r="C35">
        <f t="shared" si="0"/>
        <v>5.4519024104770545E-5</v>
      </c>
      <c r="D35">
        <f t="shared" si="1"/>
        <v>-5.4519024104770545E-5</v>
      </c>
      <c r="E35">
        <f t="shared" si="2"/>
        <v>2.9723239893365516E-9</v>
      </c>
    </row>
    <row r="36" spans="1:5" x14ac:dyDescent="0.25">
      <c r="A36">
        <v>3.0474651956249996</v>
      </c>
      <c r="B36">
        <v>0</v>
      </c>
      <c r="C36">
        <f t="shared" si="0"/>
        <v>2.3004134281547455E-5</v>
      </c>
      <c r="D36">
        <f t="shared" si="1"/>
        <v>-2.3004134281547455E-5</v>
      </c>
      <c r="E36">
        <f t="shared" si="2"/>
        <v>5.291901940434668E-10</v>
      </c>
    </row>
    <row r="37" spans="1:5" x14ac:dyDescent="0.25">
      <c r="A37">
        <v>3.1310338223750001</v>
      </c>
      <c r="B37">
        <v>0</v>
      </c>
      <c r="C37">
        <f t="shared" si="0"/>
        <v>9.3126341828827287E-6</v>
      </c>
      <c r="D37">
        <f t="shared" si="1"/>
        <v>-9.3126341828827287E-6</v>
      </c>
      <c r="E37">
        <f t="shared" si="2"/>
        <v>8.6725155424195869E-11</v>
      </c>
    </row>
    <row r="38" spans="1:5" x14ac:dyDescent="0.25">
      <c r="A38">
        <v>3.214602449125</v>
      </c>
      <c r="B38">
        <v>0</v>
      </c>
      <c r="C38">
        <f t="shared" si="0"/>
        <v>3.6149099180357656E-6</v>
      </c>
      <c r="D38">
        <f t="shared" si="1"/>
        <v>-3.6149099180357656E-6</v>
      </c>
      <c r="E38">
        <f t="shared" si="2"/>
        <v>1.3067573715513346E-11</v>
      </c>
    </row>
    <row r="39" spans="1:5" x14ac:dyDescent="0.25">
      <c r="A39">
        <v>3.298171075875</v>
      </c>
      <c r="B39">
        <v>0</v>
      </c>
      <c r="C39">
        <f t="shared" si="0"/>
        <v>1.3447177486213501E-6</v>
      </c>
      <c r="D39">
        <f t="shared" si="1"/>
        <v>-1.3447177486213501E-6</v>
      </c>
      <c r="E39">
        <f t="shared" si="2"/>
        <v>1.8082658234572726E-12</v>
      </c>
    </row>
    <row r="40" spans="1:5" x14ac:dyDescent="0.25">
      <c r="A40">
        <v>3.381739702625</v>
      </c>
      <c r="B40">
        <v>7.5202445612695425E-4</v>
      </c>
      <c r="C40">
        <f t="shared" si="0"/>
        <v>4.7909873770354151E-7</v>
      </c>
      <c r="D40">
        <f t="shared" si="1"/>
        <v>7.5154535738925074E-4</v>
      </c>
      <c r="E40">
        <f t="shared" si="2"/>
        <v>5.6482042421333663E-7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1878-3922-4AE1-86B6-A667E7C78AC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0.16629323351250003</v>
      </c>
      <c r="B1">
        <v>2.4775028372554667E-3</v>
      </c>
      <c r="C1">
        <f>$H$3*(1+$H$1)*(A1^($H$1))*EXP(-$H$3*(A1^(1+$H$1)))</f>
        <v>6.3073984618166004E-2</v>
      </c>
      <c r="D1">
        <f>B1-C1</f>
        <v>-6.0596481780910538E-2</v>
      </c>
      <c r="E1">
        <f>D1^2</f>
        <v>3.6719336042242228E-3</v>
      </c>
      <c r="G1" t="s">
        <v>0</v>
      </c>
      <c r="H1">
        <v>1.9547955630966329</v>
      </c>
    </row>
    <row r="2" spans="1:8" x14ac:dyDescent="0.25">
      <c r="A2">
        <v>0.24238804253750001</v>
      </c>
      <c r="B2">
        <v>3.7162542558832001E-2</v>
      </c>
      <c r="C2">
        <f t="shared" ref="C2:C40" si="0">$H$3*(1+$H$1)*(A2^($H$1))*EXP(-$H$3*(A2^(1+$H$1)))</f>
        <v>0.13078661709429082</v>
      </c>
      <c r="D2">
        <f t="shared" ref="D2:D40" si="1">B2-C2</f>
        <v>-9.3624074535458818E-2</v>
      </c>
      <c r="E2">
        <f t="shared" ref="E2:E40" si="2">D2^2</f>
        <v>8.7654673326211484E-3</v>
      </c>
    </row>
    <row r="3" spans="1:8" x14ac:dyDescent="0.25">
      <c r="A3">
        <v>0.3184828515625</v>
      </c>
      <c r="B3">
        <v>0.12387514186277333</v>
      </c>
      <c r="C3">
        <f t="shared" si="0"/>
        <v>0.22004393974192446</v>
      </c>
      <c r="D3">
        <f t="shared" si="1"/>
        <v>-9.6168797879151127E-2</v>
      </c>
      <c r="E3">
        <f t="shared" si="2"/>
        <v>9.2484376855210219E-3</v>
      </c>
      <c r="G3" t="s">
        <v>1</v>
      </c>
      <c r="H3">
        <f>(_xlfn.GAMMA((2+$H$1)/(1+$H$1)))^(1+$H$1)</f>
        <v>0.71433328144581565</v>
      </c>
    </row>
    <row r="4" spans="1:8" x14ac:dyDescent="0.25">
      <c r="A4">
        <v>0.39457766058749999</v>
      </c>
      <c r="B4">
        <v>0.27004780926084587</v>
      </c>
      <c r="C4">
        <f t="shared" si="0"/>
        <v>0.32739605525157511</v>
      </c>
      <c r="D4">
        <f t="shared" si="1"/>
        <v>-5.7348245990729241E-2</v>
      </c>
      <c r="E4">
        <f t="shared" si="2"/>
        <v>3.2888213182131923E-3</v>
      </c>
    </row>
    <row r="5" spans="1:8" x14ac:dyDescent="0.25">
      <c r="A5">
        <v>0.47067246961249998</v>
      </c>
      <c r="B5">
        <v>0.47155137335762387</v>
      </c>
      <c r="C5">
        <f t="shared" si="0"/>
        <v>0.44791126610109117</v>
      </c>
      <c r="D5">
        <f t="shared" si="1"/>
        <v>2.3640107256532705E-2</v>
      </c>
      <c r="E5">
        <f t="shared" si="2"/>
        <v>5.5885467110037028E-4</v>
      </c>
      <c r="G5" t="s">
        <v>2</v>
      </c>
      <c r="H5">
        <f>SUM(E1:E40)</f>
        <v>0.14437020462513062</v>
      </c>
    </row>
    <row r="6" spans="1:8" x14ac:dyDescent="0.25">
      <c r="A6">
        <v>0.54676727863749996</v>
      </c>
      <c r="B6">
        <v>0.67800994312891272</v>
      </c>
      <c r="C6">
        <f t="shared" si="0"/>
        <v>0.5751391695253304</v>
      </c>
      <c r="D6">
        <f t="shared" si="1"/>
        <v>0.10287077360358232</v>
      </c>
      <c r="E6">
        <f t="shared" si="2"/>
        <v>1.058239606179949E-2</v>
      </c>
    </row>
    <row r="7" spans="1:8" x14ac:dyDescent="0.25">
      <c r="A7">
        <v>0.62286208766249995</v>
      </c>
      <c r="B7">
        <v>0.84069929610868843</v>
      </c>
      <c r="C7">
        <f t="shared" si="0"/>
        <v>0.70132525044377725</v>
      </c>
      <c r="D7">
        <f t="shared" si="1"/>
        <v>0.13937404566491118</v>
      </c>
      <c r="E7">
        <f t="shared" si="2"/>
        <v>1.9425124605004746E-2</v>
      </c>
    </row>
    <row r="8" spans="1:8" x14ac:dyDescent="0.25">
      <c r="A8">
        <v>0.69895689668749994</v>
      </c>
      <c r="B8">
        <v>0.9645744379714617</v>
      </c>
      <c r="C8">
        <f t="shared" si="0"/>
        <v>0.81789450161118249</v>
      </c>
      <c r="D8">
        <f t="shared" si="1"/>
        <v>0.14667993636027921</v>
      </c>
      <c r="E8">
        <f t="shared" si="2"/>
        <v>2.1515003730655558E-2</v>
      </c>
    </row>
    <row r="9" spans="1:8" x14ac:dyDescent="0.25">
      <c r="A9">
        <v>0.77505170571250004</v>
      </c>
      <c r="B9">
        <v>1.0719328942525319</v>
      </c>
      <c r="C9">
        <f t="shared" si="0"/>
        <v>0.91618338270096866</v>
      </c>
      <c r="D9">
        <f t="shared" si="1"/>
        <v>0.15574951155156325</v>
      </c>
      <c r="E9">
        <f t="shared" si="2"/>
        <v>2.4257910348550533E-2</v>
      </c>
    </row>
    <row r="10" spans="1:8" x14ac:dyDescent="0.25">
      <c r="A10">
        <v>0.85114651473750003</v>
      </c>
      <c r="B10">
        <v>1.0620228829035101</v>
      </c>
      <c r="C10">
        <f t="shared" si="0"/>
        <v>0.98834759212986101</v>
      </c>
      <c r="D10">
        <f t="shared" si="1"/>
        <v>7.3675290773649094E-2</v>
      </c>
      <c r="E10">
        <f t="shared" si="2"/>
        <v>5.4280484705817433E-3</v>
      </c>
    </row>
    <row r="11" spans="1:8" x14ac:dyDescent="0.25">
      <c r="A11">
        <v>0.92724132376250001</v>
      </c>
      <c r="B11">
        <v>1.0611970486244249</v>
      </c>
      <c r="C11">
        <f t="shared" si="0"/>
        <v>1.0283204309646055</v>
      </c>
      <c r="D11">
        <f t="shared" si="1"/>
        <v>3.2876617659819418E-2</v>
      </c>
      <c r="E11">
        <f t="shared" si="2"/>
        <v>1.0808719887499501E-3</v>
      </c>
    </row>
    <row r="12" spans="1:8" x14ac:dyDescent="0.25">
      <c r="A12">
        <v>1.0033361327875001</v>
      </c>
      <c r="B12">
        <v>1.0388995230891258</v>
      </c>
      <c r="C12">
        <f t="shared" si="0"/>
        <v>1.032658507561832</v>
      </c>
      <c r="D12">
        <f t="shared" si="1"/>
        <v>6.2410155272938361E-3</v>
      </c>
      <c r="E12">
        <f t="shared" si="2"/>
        <v>3.8950274811922762E-5</v>
      </c>
    </row>
    <row r="13" spans="1:8" x14ac:dyDescent="0.25">
      <c r="A13">
        <v>1.0794309418124999</v>
      </c>
      <c r="B13">
        <v>0.99017530062310155</v>
      </c>
      <c r="C13">
        <f t="shared" si="0"/>
        <v>1.0011035928790752</v>
      </c>
      <c r="D13">
        <f t="shared" si="1"/>
        <v>-1.0928292255973693E-2</v>
      </c>
      <c r="E13">
        <f t="shared" si="2"/>
        <v>1.1942757163197458E-4</v>
      </c>
    </row>
    <row r="14" spans="1:8" x14ac:dyDescent="0.25">
      <c r="A14">
        <v>1.1555257508374999</v>
      </c>
      <c r="B14">
        <v>0.85391264457405092</v>
      </c>
      <c r="C14">
        <f t="shared" si="0"/>
        <v>0.93672181997225146</v>
      </c>
      <c r="D14">
        <f t="shared" si="1"/>
        <v>-8.2809175398200541E-2</v>
      </c>
      <c r="E14">
        <f t="shared" si="2"/>
        <v>6.8573595301299421E-3</v>
      </c>
    </row>
    <row r="15" spans="1:8" x14ac:dyDescent="0.25">
      <c r="A15">
        <v>1.2316205598624999</v>
      </c>
      <c r="B15">
        <v>0.78949757080540872</v>
      </c>
      <c r="C15">
        <f t="shared" si="0"/>
        <v>0.84555401072083936</v>
      </c>
      <c r="D15">
        <f t="shared" si="1"/>
        <v>-5.6056439915430634E-2</v>
      </c>
      <c r="E15">
        <f t="shared" si="2"/>
        <v>3.1423244559922849E-3</v>
      </c>
    </row>
    <row r="16" spans="1:8" x14ac:dyDescent="0.25">
      <c r="A16">
        <v>1.3077153688875001</v>
      </c>
      <c r="B16">
        <v>0.64662824052367684</v>
      </c>
      <c r="C16">
        <f t="shared" si="0"/>
        <v>0.73581050269077475</v>
      </c>
      <c r="D16">
        <f t="shared" si="1"/>
        <v>-8.9182262167097903E-2</v>
      </c>
      <c r="E16">
        <f t="shared" si="2"/>
        <v>7.9534758852409827E-3</v>
      </c>
    </row>
    <row r="17" spans="1:5" x14ac:dyDescent="0.25">
      <c r="A17">
        <v>1.3838101779124998</v>
      </c>
      <c r="B17">
        <v>0.52935977289358471</v>
      </c>
      <c r="C17">
        <f t="shared" si="0"/>
        <v>0.6167458582656119</v>
      </c>
      <c r="D17">
        <f t="shared" si="1"/>
        <v>-8.7386085372027189E-2</v>
      </c>
      <c r="E17">
        <f t="shared" si="2"/>
        <v>7.6363279166472243E-3</v>
      </c>
    </row>
    <row r="18" spans="1:5" x14ac:dyDescent="0.25">
      <c r="A18">
        <v>1.4599049869375</v>
      </c>
      <c r="B18">
        <v>0.42365298517068484</v>
      </c>
      <c r="C18">
        <f t="shared" si="0"/>
        <v>0.497424012894429</v>
      </c>
      <c r="D18">
        <f t="shared" si="1"/>
        <v>-7.3771027723744165E-2</v>
      </c>
      <c r="E18">
        <f t="shared" si="2"/>
        <v>5.4421645314174302E-3</v>
      </c>
    </row>
    <row r="19" spans="1:5" x14ac:dyDescent="0.25">
      <c r="A19">
        <v>1.5359997959624998</v>
      </c>
      <c r="B19">
        <v>0.34189539154125442</v>
      </c>
      <c r="C19">
        <f t="shared" si="0"/>
        <v>0.38560877923661563</v>
      </c>
      <c r="D19">
        <f t="shared" si="1"/>
        <v>-4.3713387695361205E-2</v>
      </c>
      <c r="E19">
        <f t="shared" si="2"/>
        <v>1.9108602638049565E-3</v>
      </c>
    </row>
    <row r="20" spans="1:5" x14ac:dyDescent="0.25">
      <c r="A20">
        <v>1.6120946049875</v>
      </c>
      <c r="B20">
        <v>0.25848612935365373</v>
      </c>
      <c r="C20">
        <f t="shared" si="0"/>
        <v>0.2869788972845454</v>
      </c>
      <c r="D20">
        <f t="shared" si="1"/>
        <v>-2.8492767930891671E-2</v>
      </c>
      <c r="E20">
        <f t="shared" si="2"/>
        <v>8.1183782436364889E-4</v>
      </c>
    </row>
    <row r="21" spans="1:5" x14ac:dyDescent="0.25">
      <c r="A21">
        <v>1.6881894140125</v>
      </c>
      <c r="B21">
        <v>0.18746438135233032</v>
      </c>
      <c r="C21">
        <f t="shared" si="0"/>
        <v>0.20478108464921707</v>
      </c>
      <c r="D21">
        <f t="shared" si="1"/>
        <v>-1.7316703296886754E-2</v>
      </c>
      <c r="E21">
        <f t="shared" si="2"/>
        <v>2.9986821307240858E-4</v>
      </c>
    </row>
    <row r="22" spans="1:5" x14ac:dyDescent="0.25">
      <c r="A22">
        <v>1.7642842230375</v>
      </c>
      <c r="B22">
        <v>0.15112767307258348</v>
      </c>
      <c r="C22">
        <f t="shared" si="0"/>
        <v>0.13992540921973526</v>
      </c>
      <c r="D22">
        <f t="shared" si="1"/>
        <v>1.1202263852848227E-2</v>
      </c>
      <c r="E22">
        <f t="shared" si="2"/>
        <v>1.2549071542882999E-4</v>
      </c>
    </row>
    <row r="23" spans="1:5" x14ac:dyDescent="0.25">
      <c r="A23">
        <v>1.8403790320625</v>
      </c>
      <c r="B23">
        <v>0.11809430190917725</v>
      </c>
      <c r="C23">
        <f t="shared" si="0"/>
        <v>9.1428285766995313E-2</v>
      </c>
      <c r="D23">
        <f t="shared" si="1"/>
        <v>2.6666016142181934E-2</v>
      </c>
      <c r="E23">
        <f t="shared" si="2"/>
        <v>7.1107641689510746E-4</v>
      </c>
    </row>
    <row r="24" spans="1:5" x14ac:dyDescent="0.25">
      <c r="A24">
        <v>1.9164738410875</v>
      </c>
      <c r="B24">
        <v>8.17575936294304E-2</v>
      </c>
      <c r="C24">
        <f t="shared" si="0"/>
        <v>5.7047403678760558E-2</v>
      </c>
      <c r="D24">
        <f t="shared" si="1"/>
        <v>2.4710189950669842E-2</v>
      </c>
      <c r="E24">
        <f t="shared" si="2"/>
        <v>6.1059348739818484E-4</v>
      </c>
    </row>
    <row r="25" spans="1:5" x14ac:dyDescent="0.25">
      <c r="A25">
        <v>1.9925686501124997</v>
      </c>
      <c r="B25">
        <v>4.9550056745109337E-2</v>
      </c>
      <c r="C25">
        <f t="shared" si="0"/>
        <v>3.3942433442082635E-2</v>
      </c>
      <c r="D25">
        <f t="shared" si="1"/>
        <v>1.5607623303026702E-2</v>
      </c>
      <c r="E25">
        <f t="shared" si="2"/>
        <v>2.4359790516918214E-4</v>
      </c>
    </row>
    <row r="26" spans="1:5" x14ac:dyDescent="0.25">
      <c r="A26">
        <v>2.0686634591374999</v>
      </c>
      <c r="B26">
        <v>3.5510874000661691E-2</v>
      </c>
      <c r="C26">
        <f t="shared" si="0"/>
        <v>1.9229629099792873E-2</v>
      </c>
      <c r="D26">
        <f t="shared" si="1"/>
        <v>1.6281244900868817E-2</v>
      </c>
      <c r="E26">
        <f t="shared" si="2"/>
        <v>2.6507893552206685E-4</v>
      </c>
    </row>
    <row r="27" spans="1:5" x14ac:dyDescent="0.25">
      <c r="A27">
        <v>2.1447582681625001</v>
      </c>
      <c r="B27">
        <v>2.3949194093469513E-2</v>
      </c>
      <c r="C27">
        <f t="shared" si="0"/>
        <v>1.0358076473062815E-2</v>
      </c>
      <c r="D27">
        <f t="shared" si="1"/>
        <v>1.3591117620406698E-2</v>
      </c>
      <c r="E27">
        <f t="shared" si="2"/>
        <v>1.8471847817172943E-4</v>
      </c>
    </row>
    <row r="28" spans="1:5" x14ac:dyDescent="0.25">
      <c r="A28">
        <v>2.2208530771874999</v>
      </c>
      <c r="B28">
        <v>1.48650170235328E-2</v>
      </c>
      <c r="C28">
        <f t="shared" si="0"/>
        <v>5.2968645579665298E-3</v>
      </c>
      <c r="D28">
        <f t="shared" si="1"/>
        <v>9.5681524655662695E-3</v>
      </c>
      <c r="E28">
        <f t="shared" si="2"/>
        <v>9.1549541604321884E-5</v>
      </c>
    </row>
    <row r="29" spans="1:5" x14ac:dyDescent="0.25">
      <c r="A29">
        <v>2.2969478862124997</v>
      </c>
      <c r="B29">
        <v>1.1561679907192179E-2</v>
      </c>
      <c r="C29">
        <f t="shared" si="0"/>
        <v>2.5676422469730485E-3</v>
      </c>
      <c r="D29">
        <f t="shared" si="1"/>
        <v>8.994037660219131E-3</v>
      </c>
      <c r="E29">
        <f t="shared" si="2"/>
        <v>8.0892713433440021E-5</v>
      </c>
    </row>
    <row r="30" spans="1:5" x14ac:dyDescent="0.25">
      <c r="A30">
        <v>2.3730426952374999</v>
      </c>
      <c r="B30">
        <v>4.1291713954257781E-3</v>
      </c>
      <c r="C30">
        <f t="shared" si="0"/>
        <v>1.1780520132528961E-3</v>
      </c>
      <c r="D30">
        <f t="shared" si="1"/>
        <v>2.9511193821728822E-3</v>
      </c>
      <c r="E30">
        <f t="shared" si="2"/>
        <v>8.7091056078364534E-6</v>
      </c>
    </row>
    <row r="31" spans="1:5" x14ac:dyDescent="0.25">
      <c r="A31">
        <v>2.4491375042625001</v>
      </c>
      <c r="B31">
        <v>3.3033371163406224E-3</v>
      </c>
      <c r="C31">
        <f t="shared" si="0"/>
        <v>5.1078963440049664E-4</v>
      </c>
      <c r="D31">
        <f t="shared" si="1"/>
        <v>2.7925474819401257E-3</v>
      </c>
      <c r="E31">
        <f t="shared" si="2"/>
        <v>7.7983214388901372E-6</v>
      </c>
    </row>
    <row r="32" spans="1:5" x14ac:dyDescent="0.25">
      <c r="A32">
        <v>2.5252323132874999</v>
      </c>
      <c r="B32">
        <v>1.6516685581703112E-3</v>
      </c>
      <c r="C32">
        <f t="shared" si="0"/>
        <v>2.0897596387105347E-4</v>
      </c>
      <c r="D32">
        <f t="shared" si="1"/>
        <v>1.4426925942992578E-3</v>
      </c>
      <c r="E32">
        <f t="shared" si="2"/>
        <v>2.0813619216459227E-6</v>
      </c>
    </row>
    <row r="33" spans="1:5" x14ac:dyDescent="0.25">
      <c r="A33">
        <v>2.6013271223125001</v>
      </c>
      <c r="B33">
        <v>1.6516685581703112E-3</v>
      </c>
      <c r="C33">
        <f t="shared" si="0"/>
        <v>8.0547580771922077E-5</v>
      </c>
      <c r="D33">
        <f t="shared" si="1"/>
        <v>1.5711209773983891E-3</v>
      </c>
      <c r="E33">
        <f t="shared" si="2"/>
        <v>2.4684211256212693E-6</v>
      </c>
    </row>
    <row r="34" spans="1:5" x14ac:dyDescent="0.25">
      <c r="A34">
        <v>2.6774219313374998</v>
      </c>
      <c r="B34">
        <v>0</v>
      </c>
      <c r="C34">
        <f t="shared" si="0"/>
        <v>2.9203344393441219E-5</v>
      </c>
      <c r="D34">
        <f t="shared" si="1"/>
        <v>-2.9203344393441219E-5</v>
      </c>
      <c r="E34">
        <f t="shared" si="2"/>
        <v>8.5283532376193467E-10</v>
      </c>
    </row>
    <row r="35" spans="1:5" x14ac:dyDescent="0.25">
      <c r="A35">
        <v>2.7535167403625</v>
      </c>
      <c r="B35">
        <v>0</v>
      </c>
      <c r="C35">
        <f t="shared" si="0"/>
        <v>9.9438792406313918E-6</v>
      </c>
      <c r="D35">
        <f t="shared" si="1"/>
        <v>-9.9438792406313918E-6</v>
      </c>
      <c r="E35">
        <f t="shared" si="2"/>
        <v>9.8880734352259939E-11</v>
      </c>
    </row>
    <row r="36" spans="1:5" x14ac:dyDescent="0.25">
      <c r="A36">
        <v>2.8296115493874998</v>
      </c>
      <c r="B36">
        <v>0</v>
      </c>
      <c r="C36">
        <f t="shared" si="0"/>
        <v>3.1749660584044663E-6</v>
      </c>
      <c r="D36">
        <f t="shared" si="1"/>
        <v>-3.1749660584044663E-6</v>
      </c>
      <c r="E36">
        <f t="shared" si="2"/>
        <v>1.0080409472020392E-11</v>
      </c>
    </row>
    <row r="37" spans="1:5" x14ac:dyDescent="0.25">
      <c r="A37">
        <v>2.9057063584125</v>
      </c>
      <c r="B37">
        <v>0</v>
      </c>
      <c r="C37">
        <f t="shared" si="0"/>
        <v>9.4906745014905506E-7</v>
      </c>
      <c r="D37">
        <f t="shared" si="1"/>
        <v>-9.4906745014905506E-7</v>
      </c>
      <c r="E37">
        <f t="shared" si="2"/>
        <v>9.0072902493242916E-13</v>
      </c>
    </row>
    <row r="38" spans="1:5" x14ac:dyDescent="0.25">
      <c r="A38">
        <v>2.9818011674374998</v>
      </c>
      <c r="B38">
        <v>0</v>
      </c>
      <c r="C38">
        <f t="shared" si="0"/>
        <v>2.6518122596250317E-7</v>
      </c>
      <c r="D38">
        <f t="shared" si="1"/>
        <v>-2.6518122596250317E-7</v>
      </c>
      <c r="E38">
        <f t="shared" si="2"/>
        <v>7.0321082602976162E-14</v>
      </c>
    </row>
    <row r="39" spans="1:5" x14ac:dyDescent="0.25">
      <c r="A39">
        <v>3.0578959764625</v>
      </c>
      <c r="B39">
        <v>0</v>
      </c>
      <c r="C39">
        <f t="shared" si="0"/>
        <v>6.9149266674930826E-8</v>
      </c>
      <c r="D39">
        <f t="shared" si="1"/>
        <v>-6.9149266674930826E-8</v>
      </c>
      <c r="E39">
        <f t="shared" si="2"/>
        <v>4.7816210816806985E-15</v>
      </c>
    </row>
    <row r="40" spans="1:5" x14ac:dyDescent="0.25">
      <c r="A40">
        <v>3.1339907854874998</v>
      </c>
      <c r="B40">
        <v>8.258342790851556E-4</v>
      </c>
      <c r="C40">
        <f t="shared" si="0"/>
        <v>1.6801248753106168E-8</v>
      </c>
      <c r="D40">
        <f t="shared" si="1"/>
        <v>8.2581747783640246E-4</v>
      </c>
      <c r="E40">
        <f t="shared" si="2"/>
        <v>6.8197450670007702E-7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E65B-1499-4B93-B815-B69A60A1C57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0.24535503459999999</v>
      </c>
      <c r="B1">
        <v>1.8701213445335622E-3</v>
      </c>
      <c r="C1">
        <f>$H$3*(1+$H$1)*(A1^($H$1))*EXP(-$H$3*(A1^(1+$H$1)))</f>
        <v>6.563247761196403E-2</v>
      </c>
      <c r="D1">
        <f>B1-C1</f>
        <v>-6.3762356267430473E-2</v>
      </c>
      <c r="E1">
        <f>D1^2</f>
        <v>4.0656380767747297E-3</v>
      </c>
      <c r="G1" t="s">
        <v>0</v>
      </c>
      <c r="H1">
        <v>2.5762811368655707</v>
      </c>
    </row>
    <row r="2" spans="1:8" x14ac:dyDescent="0.25">
      <c r="A2">
        <v>0.31256104979999999</v>
      </c>
      <c r="B2">
        <v>2.7116759495736654E-2</v>
      </c>
      <c r="C2">
        <f t="shared" ref="C2:C40" si="0">$H$3*(1+$H$1)*(A2^($H$1))*EXP(-$H$3*(A2^(1+$H$1)))</f>
        <v>0.1216981342912562</v>
      </c>
      <c r="D2">
        <f t="shared" ref="D2:D40" si="1">B2-C2</f>
        <v>-9.4581374795519549E-2</v>
      </c>
      <c r="E2">
        <f t="shared" ref="E2:E40" si="2">D2^2</f>
        <v>8.9456364582105406E-3</v>
      </c>
    </row>
    <row r="3" spans="1:8" x14ac:dyDescent="0.25">
      <c r="A3">
        <v>0.37976706500000001</v>
      </c>
      <c r="B3">
        <v>7.386979310907571E-2</v>
      </c>
      <c r="C3">
        <f t="shared" si="0"/>
        <v>0.1988343570126519</v>
      </c>
      <c r="D3">
        <f t="shared" si="1"/>
        <v>-0.12496456390357619</v>
      </c>
      <c r="E3">
        <f t="shared" si="2"/>
        <v>1.5616142231610976E-2</v>
      </c>
      <c r="G3" t="s">
        <v>1</v>
      </c>
      <c r="H3">
        <f>(_xlfn.GAMMA((2+$H$1)/(1+$H$1)))^(1+$H$1)</f>
        <v>0.68819458225106844</v>
      </c>
    </row>
    <row r="4" spans="1:8" x14ac:dyDescent="0.25">
      <c r="A4">
        <v>0.44697308020000004</v>
      </c>
      <c r="B4">
        <v>0.20851852991549219</v>
      </c>
      <c r="C4">
        <f t="shared" si="0"/>
        <v>0.29743285726930913</v>
      </c>
      <c r="D4">
        <f t="shared" si="1"/>
        <v>-8.8914327353816935E-2</v>
      </c>
      <c r="E4">
        <f t="shared" si="2"/>
        <v>7.9057576087817188E-3</v>
      </c>
    </row>
    <row r="5" spans="1:8" x14ac:dyDescent="0.25">
      <c r="A5">
        <v>0.51417909539999995</v>
      </c>
      <c r="B5">
        <v>0.41797212050325117</v>
      </c>
      <c r="C5">
        <f t="shared" si="0"/>
        <v>0.41610227518531251</v>
      </c>
      <c r="D5">
        <f t="shared" si="1"/>
        <v>1.8698453179386565E-3</v>
      </c>
      <c r="E5">
        <f t="shared" si="2"/>
        <v>3.4963215130171155E-6</v>
      </c>
      <c r="G5" t="s">
        <v>2</v>
      </c>
      <c r="H5">
        <f>SUM(E1:E40)</f>
        <v>0.26759809692617142</v>
      </c>
    </row>
    <row r="6" spans="1:8" x14ac:dyDescent="0.25">
      <c r="A6">
        <v>0.58138511059999998</v>
      </c>
      <c r="B6">
        <v>0.61994522571287591</v>
      </c>
      <c r="C6">
        <f t="shared" si="0"/>
        <v>0.55127334994667443</v>
      </c>
      <c r="D6">
        <f t="shared" si="1"/>
        <v>6.8671875766201484E-2</v>
      </c>
      <c r="E6">
        <f t="shared" si="2"/>
        <v>4.7158265212486105E-3</v>
      </c>
    </row>
    <row r="7" spans="1:8" x14ac:dyDescent="0.25">
      <c r="A7">
        <v>0.64859112579999989</v>
      </c>
      <c r="B7">
        <v>0.85745063646863828</v>
      </c>
      <c r="C7">
        <f t="shared" si="0"/>
        <v>0.696926191781294</v>
      </c>
      <c r="D7">
        <f t="shared" si="1"/>
        <v>0.16052444468734428</v>
      </c>
      <c r="E7">
        <f t="shared" si="2"/>
        <v>2.5768097342180253E-2</v>
      </c>
    </row>
    <row r="8" spans="1:8" x14ac:dyDescent="0.25">
      <c r="A8">
        <v>0.71579714099999991</v>
      </c>
      <c r="B8">
        <v>1.0248264968043921</v>
      </c>
      <c r="C8">
        <f t="shared" si="0"/>
        <v>0.84457427431148047</v>
      </c>
      <c r="D8">
        <f t="shared" si="1"/>
        <v>0.18025222249291162</v>
      </c>
      <c r="E8">
        <f t="shared" si="2"/>
        <v>3.2490863713634112E-2</v>
      </c>
    </row>
    <row r="9" spans="1:8" x14ac:dyDescent="0.25">
      <c r="A9">
        <v>0.78300315619999994</v>
      </c>
      <c r="B9">
        <v>1.2258645413417502</v>
      </c>
      <c r="C9">
        <f t="shared" si="0"/>
        <v>0.98363653809831031</v>
      </c>
      <c r="D9">
        <f t="shared" si="1"/>
        <v>0.24222800324343985</v>
      </c>
      <c r="E9">
        <f t="shared" si="2"/>
        <v>5.8674405555303906E-2</v>
      </c>
    </row>
    <row r="10" spans="1:8" x14ac:dyDescent="0.25">
      <c r="A10">
        <v>0.85020917139999996</v>
      </c>
      <c r="B10">
        <v>1.2501761188206864</v>
      </c>
      <c r="C10">
        <f t="shared" si="0"/>
        <v>1.1022887455917172</v>
      </c>
      <c r="D10">
        <f t="shared" si="1"/>
        <v>0.14788737322896917</v>
      </c>
      <c r="E10">
        <f t="shared" si="2"/>
        <v>2.1870675160564425E-2</v>
      </c>
    </row>
    <row r="11" spans="1:8" x14ac:dyDescent="0.25">
      <c r="A11">
        <v>0.91741518659999999</v>
      </c>
      <c r="B11">
        <v>1.277292878316423</v>
      </c>
      <c r="C11">
        <f t="shared" si="0"/>
        <v>1.1887979320847806</v>
      </c>
      <c r="D11">
        <f t="shared" si="1"/>
        <v>8.8494946231642446E-2</v>
      </c>
      <c r="E11">
        <f t="shared" si="2"/>
        <v>7.8313555085412871E-3</v>
      </c>
    </row>
    <row r="12" spans="1:8" x14ac:dyDescent="0.25">
      <c r="A12">
        <v>0.98462120180000001</v>
      </c>
      <c r="B12">
        <v>1.2632669682324214</v>
      </c>
      <c r="C12">
        <f t="shared" si="0"/>
        <v>1.2332136602814023</v>
      </c>
      <c r="D12">
        <f t="shared" si="1"/>
        <v>3.0053307951019015E-2</v>
      </c>
      <c r="E12">
        <f t="shared" si="2"/>
        <v>9.0320131879878269E-4</v>
      </c>
    </row>
    <row r="13" spans="1:8" x14ac:dyDescent="0.25">
      <c r="A13">
        <v>1.051827217</v>
      </c>
      <c r="B13">
        <v>1.2230593593249497</v>
      </c>
      <c r="C13">
        <f t="shared" si="0"/>
        <v>1.2291421116505579</v>
      </c>
      <c r="D13">
        <f t="shared" si="1"/>
        <v>-6.0827523256081761E-3</v>
      </c>
      <c r="E13">
        <f t="shared" si="2"/>
        <v>3.6999875854691673E-5</v>
      </c>
    </row>
    <row r="14" spans="1:8" x14ac:dyDescent="0.25">
      <c r="A14">
        <v>1.1190332322000001</v>
      </c>
      <c r="B14">
        <v>1.0706444697454645</v>
      </c>
      <c r="C14">
        <f t="shared" si="0"/>
        <v>1.1752109477776571</v>
      </c>
      <c r="D14">
        <f t="shared" si="1"/>
        <v>-0.10456647803219266</v>
      </c>
      <c r="E14">
        <f t="shared" si="2"/>
        <v>1.0934148328057029E-2</v>
      </c>
    </row>
    <row r="15" spans="1:8" x14ac:dyDescent="0.25">
      <c r="A15">
        <v>1.1862392473999999</v>
      </c>
      <c r="B15">
        <v>0.96778779579611851</v>
      </c>
      <c r="C15">
        <f t="shared" si="0"/>
        <v>1.075802602788134</v>
      </c>
      <c r="D15">
        <f t="shared" si="1"/>
        <v>-0.10801480699201549</v>
      </c>
      <c r="E15">
        <f t="shared" si="2"/>
        <v>1.1667198529522358E-2</v>
      </c>
    </row>
    <row r="16" spans="1:8" x14ac:dyDescent="0.25">
      <c r="A16">
        <v>1.2534452625999999</v>
      </c>
      <c r="B16">
        <v>0.81537290621663316</v>
      </c>
      <c r="C16">
        <f t="shared" si="0"/>
        <v>0.94073735257276903</v>
      </c>
      <c r="D16">
        <f t="shared" si="1"/>
        <v>-0.12536444635613586</v>
      </c>
      <c r="E16">
        <f t="shared" si="2"/>
        <v>1.5716244410180467E-2</v>
      </c>
    </row>
    <row r="17" spans="1:5" x14ac:dyDescent="0.25">
      <c r="A17">
        <v>1.3206512777999999</v>
      </c>
      <c r="B17">
        <v>0.67511380537661592</v>
      </c>
      <c r="C17">
        <f t="shared" si="0"/>
        <v>0.78382991094806931</v>
      </c>
      <c r="D17">
        <f t="shared" si="1"/>
        <v>-0.10871610557145339</v>
      </c>
      <c r="E17">
        <f t="shared" si="2"/>
        <v>1.1819191610623399E-2</v>
      </c>
    </row>
    <row r="18" spans="1:5" x14ac:dyDescent="0.25">
      <c r="A18">
        <v>1.3878572929999999</v>
      </c>
      <c r="B18">
        <v>0.49277697428459366</v>
      </c>
      <c r="C18">
        <f t="shared" si="0"/>
        <v>0.62056764818913179</v>
      </c>
      <c r="D18">
        <f t="shared" si="1"/>
        <v>-0.12779067390453813</v>
      </c>
      <c r="E18">
        <f t="shared" si="2"/>
        <v>1.6330456336976003E-2</v>
      </c>
    </row>
    <row r="19" spans="1:5" x14ac:dyDescent="0.25">
      <c r="A19">
        <v>1.4550633081999997</v>
      </c>
      <c r="B19">
        <v>0.38056969361257992</v>
      </c>
      <c r="C19">
        <f t="shared" si="0"/>
        <v>0.46545287033477567</v>
      </c>
      <c r="D19">
        <f t="shared" si="1"/>
        <v>-8.4883176722195752E-2</v>
      </c>
      <c r="E19">
        <f t="shared" si="2"/>
        <v>7.2051536904515151E-3</v>
      </c>
    </row>
    <row r="20" spans="1:5" x14ac:dyDescent="0.25">
      <c r="A20">
        <v>1.5222693233999998</v>
      </c>
      <c r="B20">
        <v>0.30763496117577099</v>
      </c>
      <c r="C20">
        <f t="shared" si="0"/>
        <v>0.32968969966416384</v>
      </c>
      <c r="D20">
        <f t="shared" si="1"/>
        <v>-2.2054738488392844E-2</v>
      </c>
      <c r="E20">
        <f t="shared" si="2"/>
        <v>4.8641148979139669E-4</v>
      </c>
    </row>
    <row r="21" spans="1:5" x14ac:dyDescent="0.25">
      <c r="A21">
        <v>1.5894753386</v>
      </c>
      <c r="B21">
        <v>0.2234795006717607</v>
      </c>
      <c r="C21">
        <f t="shared" si="0"/>
        <v>0.21979996497805532</v>
      </c>
      <c r="D21">
        <f t="shared" si="1"/>
        <v>3.6795356937053825E-3</v>
      </c>
      <c r="E21">
        <f t="shared" si="2"/>
        <v>1.353898292125195E-5</v>
      </c>
    </row>
    <row r="22" spans="1:5" x14ac:dyDescent="0.25">
      <c r="A22">
        <v>1.6566813538</v>
      </c>
      <c r="B22">
        <v>0.17672646705842163</v>
      </c>
      <c r="C22">
        <f t="shared" si="0"/>
        <v>0.13744328845799053</v>
      </c>
      <c r="D22">
        <f t="shared" si="1"/>
        <v>3.9283178600431096E-2</v>
      </c>
      <c r="E22">
        <f t="shared" si="2"/>
        <v>1.5431681209533675E-3</v>
      </c>
    </row>
    <row r="23" spans="1:5" x14ac:dyDescent="0.25">
      <c r="A23">
        <v>1.7238873689999998</v>
      </c>
      <c r="B23">
        <v>0.10846703798294662</v>
      </c>
      <c r="C23">
        <f t="shared" si="0"/>
        <v>8.0317598657733288E-2</v>
      </c>
      <c r="D23">
        <f t="shared" si="1"/>
        <v>2.8149439325213327E-2</v>
      </c>
      <c r="E23">
        <f t="shared" si="2"/>
        <v>7.9239093432386656E-4</v>
      </c>
    </row>
    <row r="24" spans="1:5" x14ac:dyDescent="0.25">
      <c r="A24">
        <v>1.7910933841999999</v>
      </c>
      <c r="B24">
        <v>6.732436840320824E-2</v>
      </c>
      <c r="C24">
        <f t="shared" si="0"/>
        <v>4.3696559441813623E-2</v>
      </c>
      <c r="D24">
        <f t="shared" si="1"/>
        <v>2.3627808961394617E-2</v>
      </c>
      <c r="E24">
        <f t="shared" si="2"/>
        <v>5.5827335631615971E-4</v>
      </c>
    </row>
    <row r="25" spans="1:5" x14ac:dyDescent="0.25">
      <c r="A25">
        <v>1.8582993993999999</v>
      </c>
      <c r="B25">
        <v>5.2363397646939744E-2</v>
      </c>
      <c r="C25">
        <f t="shared" si="0"/>
        <v>2.2046269116580135E-2</v>
      </c>
      <c r="D25">
        <f t="shared" si="1"/>
        <v>3.0317128530359609E-2</v>
      </c>
      <c r="E25">
        <f t="shared" si="2"/>
        <v>9.1912828232634455E-4</v>
      </c>
    </row>
    <row r="26" spans="1:5" x14ac:dyDescent="0.25">
      <c r="A26">
        <v>1.9255054145999999</v>
      </c>
      <c r="B26">
        <v>3.2727123529337342E-2</v>
      </c>
      <c r="C26">
        <f t="shared" si="0"/>
        <v>1.027360928833636E-2</v>
      </c>
      <c r="D26">
        <f t="shared" si="1"/>
        <v>2.2453514241000984E-2</v>
      </c>
      <c r="E26">
        <f t="shared" si="2"/>
        <v>5.0416030177083404E-4</v>
      </c>
    </row>
    <row r="27" spans="1:5" x14ac:dyDescent="0.25">
      <c r="A27">
        <v>1.9927114297999999</v>
      </c>
      <c r="B27">
        <v>1.8701213445335624E-2</v>
      </c>
      <c r="C27">
        <f t="shared" si="0"/>
        <v>4.4036117858743838E-3</v>
      </c>
      <c r="D27">
        <f t="shared" si="1"/>
        <v>1.4297601659461239E-2</v>
      </c>
      <c r="E27">
        <f t="shared" si="2"/>
        <v>2.0442141321262879E-4</v>
      </c>
    </row>
    <row r="28" spans="1:5" x14ac:dyDescent="0.25">
      <c r="A28">
        <v>2.059917445</v>
      </c>
      <c r="B28">
        <v>8.41554605040103E-3</v>
      </c>
      <c r="C28">
        <f t="shared" si="0"/>
        <v>1.7287903822012845E-3</v>
      </c>
      <c r="D28">
        <f t="shared" si="1"/>
        <v>6.6867556681997455E-3</v>
      </c>
      <c r="E28">
        <f t="shared" si="2"/>
        <v>4.4712701366201426E-5</v>
      </c>
    </row>
    <row r="29" spans="1:5" x14ac:dyDescent="0.25">
      <c r="A29">
        <v>2.1271234601999995</v>
      </c>
      <c r="B29">
        <v>3.7402426890671245E-3</v>
      </c>
      <c r="C29">
        <f t="shared" si="0"/>
        <v>6.1890708012894561E-4</v>
      </c>
      <c r="D29">
        <f t="shared" si="1"/>
        <v>3.1213356089381788E-3</v>
      </c>
      <c r="E29">
        <f t="shared" si="2"/>
        <v>9.7427359836254717E-6</v>
      </c>
    </row>
    <row r="30" spans="1:5" x14ac:dyDescent="0.25">
      <c r="A30">
        <v>2.1943294753999996</v>
      </c>
      <c r="B30">
        <v>4.6753033613339059E-3</v>
      </c>
      <c r="C30">
        <f t="shared" si="0"/>
        <v>2.0114795734799346E-4</v>
      </c>
      <c r="D30">
        <f t="shared" si="1"/>
        <v>4.4741554039859129E-3</v>
      </c>
      <c r="E30">
        <f t="shared" si="2"/>
        <v>2.0018066579016348E-5</v>
      </c>
    </row>
    <row r="31" spans="1:5" x14ac:dyDescent="0.25">
      <c r="A31">
        <v>2.2615354906</v>
      </c>
      <c r="B31">
        <v>9.3506067226678112E-4</v>
      </c>
      <c r="C31">
        <f t="shared" si="0"/>
        <v>5.9078076828689541E-5</v>
      </c>
      <c r="D31">
        <f t="shared" si="1"/>
        <v>8.759825954380916E-4</v>
      </c>
      <c r="E31">
        <f t="shared" si="2"/>
        <v>7.6734550751045525E-7</v>
      </c>
    </row>
    <row r="32" spans="1:5" x14ac:dyDescent="0.25">
      <c r="A32">
        <v>2.3287415058000001</v>
      </c>
      <c r="B32">
        <v>0</v>
      </c>
      <c r="C32">
        <f t="shared" si="0"/>
        <v>1.5607329432887983E-5</v>
      </c>
      <c r="D32">
        <f t="shared" si="1"/>
        <v>-1.5607329432887983E-5</v>
      </c>
      <c r="E32">
        <f t="shared" si="2"/>
        <v>2.4358873202669152E-10</v>
      </c>
    </row>
    <row r="33" spans="1:5" x14ac:dyDescent="0.25">
      <c r="A33">
        <v>2.3959475210000001</v>
      </c>
      <c r="B33">
        <v>0</v>
      </c>
      <c r="C33">
        <f t="shared" si="0"/>
        <v>3.6910674670145494E-6</v>
      </c>
      <c r="D33">
        <f t="shared" si="1"/>
        <v>-3.6910674670145494E-6</v>
      </c>
      <c r="E33">
        <f t="shared" si="2"/>
        <v>1.3623979046053202E-11</v>
      </c>
    </row>
    <row r="34" spans="1:5" x14ac:dyDescent="0.25">
      <c r="A34">
        <v>2.4631535361999997</v>
      </c>
      <c r="B34">
        <v>0</v>
      </c>
      <c r="C34">
        <f t="shared" si="0"/>
        <v>7.7765287266365648E-7</v>
      </c>
      <c r="D34">
        <f t="shared" si="1"/>
        <v>-7.7765287266365648E-7</v>
      </c>
      <c r="E34">
        <f t="shared" si="2"/>
        <v>6.0474399036203713E-13</v>
      </c>
    </row>
    <row r="35" spans="1:5" x14ac:dyDescent="0.25">
      <c r="A35">
        <v>2.5303595513999997</v>
      </c>
      <c r="B35">
        <v>0</v>
      </c>
      <c r="C35">
        <f t="shared" si="0"/>
        <v>1.4523786387355614E-7</v>
      </c>
      <c r="D35">
        <f t="shared" si="1"/>
        <v>-1.4523786387355614E-7</v>
      </c>
      <c r="E35">
        <f t="shared" si="2"/>
        <v>2.1094037102553625E-14</v>
      </c>
    </row>
    <row r="36" spans="1:5" x14ac:dyDescent="0.25">
      <c r="A36">
        <v>2.5975655665999997</v>
      </c>
      <c r="B36">
        <v>0</v>
      </c>
      <c r="C36">
        <f t="shared" si="0"/>
        <v>2.3924645028473195E-8</v>
      </c>
      <c r="D36">
        <f t="shared" si="1"/>
        <v>-2.3924645028473195E-8</v>
      </c>
      <c r="E36">
        <f t="shared" si="2"/>
        <v>5.7238863973844712E-16</v>
      </c>
    </row>
    <row r="37" spans="1:5" x14ac:dyDescent="0.25">
      <c r="A37">
        <v>2.6647715818000002</v>
      </c>
      <c r="B37">
        <v>0</v>
      </c>
      <c r="C37">
        <f t="shared" si="0"/>
        <v>3.4582489113652997E-9</v>
      </c>
      <c r="D37">
        <f t="shared" si="1"/>
        <v>-3.4582489113652997E-9</v>
      </c>
      <c r="E37">
        <f t="shared" si="2"/>
        <v>1.1959485532959281E-17</v>
      </c>
    </row>
    <row r="38" spans="1:5" x14ac:dyDescent="0.25">
      <c r="A38">
        <v>2.7319775970000002</v>
      </c>
      <c r="B38">
        <v>0</v>
      </c>
      <c r="C38">
        <f t="shared" si="0"/>
        <v>4.3636362250094561E-10</v>
      </c>
      <c r="D38">
        <f t="shared" si="1"/>
        <v>-4.3636362250094561E-10</v>
      </c>
      <c r="E38">
        <f t="shared" si="2"/>
        <v>1.9041321104214777E-19</v>
      </c>
    </row>
    <row r="39" spans="1:5" x14ac:dyDescent="0.25">
      <c r="A39">
        <v>2.7991836121999998</v>
      </c>
      <c r="B39">
        <v>0</v>
      </c>
      <c r="C39">
        <f t="shared" si="0"/>
        <v>4.7810403404617032E-11</v>
      </c>
      <c r="D39">
        <f t="shared" si="1"/>
        <v>-4.7810403404617032E-11</v>
      </c>
      <c r="E39">
        <f t="shared" si="2"/>
        <v>2.285834673712216E-21</v>
      </c>
    </row>
    <row r="40" spans="1:5" x14ac:dyDescent="0.25">
      <c r="A40">
        <v>2.8663896273999998</v>
      </c>
      <c r="B40">
        <v>9.3506067226678112E-4</v>
      </c>
      <c r="C40">
        <f t="shared" si="0"/>
        <v>4.5242031316870386E-12</v>
      </c>
      <c r="D40">
        <f t="shared" si="1"/>
        <v>9.3506066774257796E-4</v>
      </c>
      <c r="E40">
        <f t="shared" si="2"/>
        <v>8.7433845235919573E-7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375C-B16B-4162-B6D2-E350EC484B7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0.30898732182499999</v>
      </c>
      <c r="B1">
        <v>1.0161844186497204E-3</v>
      </c>
      <c r="C1">
        <f>$H$3*(1+$H$1)*(A1^($H$1))*EXP(-$H$3*(A1^(1+$H$1)))</f>
        <v>7.1141025494432131E-2</v>
      </c>
      <c r="D1">
        <f>B1-C1</f>
        <v>-7.0124841075782415E-2</v>
      </c>
      <c r="E1">
        <f>D1^2</f>
        <v>4.9174933359037408E-3</v>
      </c>
      <c r="G1" t="s">
        <v>0</v>
      </c>
      <c r="H1">
        <v>3.1110832304779903</v>
      </c>
    </row>
    <row r="2" spans="1:8" x14ac:dyDescent="0.25">
      <c r="A2">
        <v>0.37082816547499997</v>
      </c>
      <c r="B2">
        <v>2.6420794884892729E-2</v>
      </c>
      <c r="C2">
        <f t="shared" ref="C2:C40" si="0">$H$3*(1+$H$1)*(A2^($H$1))*EXP(-$H$3*(A2^(1+$H$1)))</f>
        <v>0.12474114265035816</v>
      </c>
      <c r="D2">
        <f t="shared" ref="D2:D40" si="1">B2-C2</f>
        <v>-9.832034776546543E-2</v>
      </c>
      <c r="E2">
        <f t="shared" ref="E2:E40" si="2">D2^2</f>
        <v>9.6668907847220625E-3</v>
      </c>
    </row>
    <row r="3" spans="1:8" x14ac:dyDescent="0.25">
      <c r="A3">
        <v>0.43266900912500006</v>
      </c>
      <c r="B3">
        <v>7.2149093724130142E-2</v>
      </c>
      <c r="C3">
        <f t="shared" si="0"/>
        <v>0.19953732433269541</v>
      </c>
      <c r="D3">
        <f t="shared" si="1"/>
        <v>-0.12738823060856527</v>
      </c>
      <c r="E3">
        <f t="shared" si="2"/>
        <v>1.6227761297581005E-2</v>
      </c>
      <c r="G3" t="s">
        <v>1</v>
      </c>
      <c r="H3">
        <f>(_xlfn.GAMMA((2+$H$1)/(1+$H$1)))^(1+$H$1)</f>
        <v>0.67194785200428608</v>
      </c>
    </row>
    <row r="4" spans="1:8" x14ac:dyDescent="0.25">
      <c r="A4">
        <v>0.49450985277500009</v>
      </c>
      <c r="B4">
        <v>0.19104267070614744</v>
      </c>
      <c r="C4">
        <f t="shared" si="0"/>
        <v>0.29765057693224573</v>
      </c>
      <c r="D4">
        <f t="shared" si="1"/>
        <v>-0.10660790622609828</v>
      </c>
      <c r="E4">
        <f t="shared" si="2"/>
        <v>1.1365245669912564E-2</v>
      </c>
    </row>
    <row r="5" spans="1:8" x14ac:dyDescent="0.25">
      <c r="A5">
        <v>0.55635069642500001</v>
      </c>
      <c r="B5">
        <v>0.39427955443609153</v>
      </c>
      <c r="C5">
        <f t="shared" si="0"/>
        <v>0.41961860624608971</v>
      </c>
      <c r="D5">
        <f t="shared" si="1"/>
        <v>-2.5339051809998181E-2</v>
      </c>
      <c r="E5">
        <f t="shared" si="2"/>
        <v>6.4206754662977212E-4</v>
      </c>
      <c r="G5" t="s">
        <v>2</v>
      </c>
      <c r="H5">
        <f>SUM(E1:E40)</f>
        <v>0.38431684880624511</v>
      </c>
    </row>
    <row r="6" spans="1:8" x14ac:dyDescent="0.25">
      <c r="A6">
        <v>0.61819154007499999</v>
      </c>
      <c r="B6">
        <v>0.61987249537632949</v>
      </c>
      <c r="C6">
        <f t="shared" si="0"/>
        <v>0.56370992261306585</v>
      </c>
      <c r="D6">
        <f t="shared" si="1"/>
        <v>5.6162572763263641E-2</v>
      </c>
      <c r="E6">
        <f t="shared" si="2"/>
        <v>3.1542345793888829E-3</v>
      </c>
    </row>
    <row r="7" spans="1:8" x14ac:dyDescent="0.25">
      <c r="A7">
        <v>0.68003238372499997</v>
      </c>
      <c r="B7">
        <v>0.90948505469149976</v>
      </c>
      <c r="C7">
        <f t="shared" si="0"/>
        <v>0.72524804627265049</v>
      </c>
      <c r="D7">
        <f t="shared" si="1"/>
        <v>0.18423700841884927</v>
      </c>
      <c r="E7">
        <f t="shared" si="2"/>
        <v>3.3943275271127137E-2</v>
      </c>
    </row>
    <row r="8" spans="1:8" x14ac:dyDescent="0.25">
      <c r="A8">
        <v>0.74187322737499994</v>
      </c>
      <c r="B8">
        <v>1.1238999670265908</v>
      </c>
      <c r="C8">
        <f t="shared" si="0"/>
        <v>0.89611403430980341</v>
      </c>
      <c r="D8">
        <f t="shared" si="1"/>
        <v>0.22778593271678738</v>
      </c>
      <c r="E8">
        <f t="shared" si="2"/>
        <v>5.1886431143656785E-2</v>
      </c>
    </row>
    <row r="9" spans="1:8" x14ac:dyDescent="0.25">
      <c r="A9">
        <v>0.80371407102500003</v>
      </c>
      <c r="B9">
        <v>1.3393310637803315</v>
      </c>
      <c r="C9">
        <f t="shared" si="0"/>
        <v>1.0646550967956414</v>
      </c>
      <c r="D9">
        <f t="shared" si="1"/>
        <v>0.2746759669846901</v>
      </c>
      <c r="E9">
        <f t="shared" si="2"/>
        <v>7.5446886838974561E-2</v>
      </c>
    </row>
    <row r="10" spans="1:8" x14ac:dyDescent="0.25">
      <c r="A10">
        <v>0.86555491467500001</v>
      </c>
      <c r="B10">
        <v>1.4297714770401566</v>
      </c>
      <c r="C10">
        <f t="shared" si="0"/>
        <v>1.2162480089518071</v>
      </c>
      <c r="D10">
        <f t="shared" si="1"/>
        <v>0.21352346808834954</v>
      </c>
      <c r="E10">
        <f t="shared" si="2"/>
        <v>4.5592271424476423E-2</v>
      </c>
    </row>
    <row r="11" spans="1:8" x14ac:dyDescent="0.25">
      <c r="A11">
        <v>0.9273957583250001</v>
      </c>
      <c r="B11">
        <v>1.4033506821552639</v>
      </c>
      <c r="C11">
        <f t="shared" si="0"/>
        <v>1.3347092668017522</v>
      </c>
      <c r="D11">
        <f t="shared" si="1"/>
        <v>6.8641415353511759E-2</v>
      </c>
      <c r="E11">
        <f t="shared" si="2"/>
        <v>4.7116439017333197E-3</v>
      </c>
    </row>
    <row r="12" spans="1:8" x14ac:dyDescent="0.25">
      <c r="A12">
        <v>0.98923660197500007</v>
      </c>
      <c r="B12">
        <v>1.4612731940182979</v>
      </c>
      <c r="C12">
        <f t="shared" si="0"/>
        <v>1.4045766330682148</v>
      </c>
      <c r="D12">
        <f t="shared" si="1"/>
        <v>5.669656095008313E-2</v>
      </c>
      <c r="E12">
        <f t="shared" si="2"/>
        <v>3.2145000235664911E-3</v>
      </c>
    </row>
    <row r="13" spans="1:8" x14ac:dyDescent="0.25">
      <c r="A13">
        <v>1.0510774456250001</v>
      </c>
      <c r="B13">
        <v>1.4003021288993147</v>
      </c>
      <c r="C13">
        <f t="shared" si="0"/>
        <v>1.414007389197464</v>
      </c>
      <c r="D13">
        <f t="shared" si="1"/>
        <v>-1.3705260298149335E-2</v>
      </c>
      <c r="E13">
        <f t="shared" si="2"/>
        <v>1.8783415984002842E-4</v>
      </c>
    </row>
    <row r="14" spans="1:8" x14ac:dyDescent="0.25">
      <c r="A14">
        <v>1.112918289275</v>
      </c>
      <c r="B14">
        <v>1.2529553881951052</v>
      </c>
      <c r="C14">
        <f t="shared" si="0"/>
        <v>1.357704709993679</v>
      </c>
      <c r="D14">
        <f t="shared" si="1"/>
        <v>-0.10474932179857377</v>
      </c>
      <c r="E14">
        <f t="shared" si="2"/>
        <v>1.0972420417261161E-2</v>
      </c>
    </row>
    <row r="15" spans="1:8" x14ac:dyDescent="0.25">
      <c r="A15">
        <v>1.174759132925</v>
      </c>
      <c r="B15">
        <v>1.0781716681873534</v>
      </c>
      <c r="C15">
        <f t="shared" si="0"/>
        <v>1.2390227695090748</v>
      </c>
      <c r="D15">
        <f t="shared" si="1"/>
        <v>-0.16085110132172131</v>
      </c>
      <c r="E15">
        <f t="shared" si="2"/>
        <v>2.5873076796410654E-2</v>
      </c>
    </row>
    <row r="16" spans="1:8" x14ac:dyDescent="0.25">
      <c r="A16">
        <v>1.236599976575</v>
      </c>
      <c r="B16">
        <v>0.90542031701690084</v>
      </c>
      <c r="C16">
        <f t="shared" si="0"/>
        <v>1.0703820754538211</v>
      </c>
      <c r="D16">
        <f t="shared" si="1"/>
        <v>-0.16496175843692029</v>
      </c>
      <c r="E16">
        <f t="shared" si="2"/>
        <v>2.7212381746600844E-2</v>
      </c>
    </row>
    <row r="17" spans="1:5" x14ac:dyDescent="0.25">
      <c r="A17">
        <v>1.2984408202250002</v>
      </c>
      <c r="B17">
        <v>0.72860422817184956</v>
      </c>
      <c r="C17">
        <f t="shared" si="0"/>
        <v>0.87147720044126464</v>
      </c>
      <c r="D17">
        <f t="shared" si="1"/>
        <v>-0.14287297226941509</v>
      </c>
      <c r="E17">
        <f t="shared" si="2"/>
        <v>2.0412686205097053E-2</v>
      </c>
    </row>
    <row r="18" spans="1:5" x14ac:dyDescent="0.25">
      <c r="A18">
        <v>1.3602816638749999</v>
      </c>
      <c r="B18">
        <v>0.52231879118595625</v>
      </c>
      <c r="C18">
        <f t="shared" si="0"/>
        <v>0.66545816519640688</v>
      </c>
      <c r="D18">
        <f t="shared" si="1"/>
        <v>-0.14313937401045063</v>
      </c>
      <c r="E18">
        <f t="shared" si="2"/>
        <v>2.0488880392103666E-2</v>
      </c>
    </row>
    <row r="19" spans="1:5" x14ac:dyDescent="0.25">
      <c r="A19">
        <v>1.4221225075250001</v>
      </c>
      <c r="B19">
        <v>0.37192349722579765</v>
      </c>
      <c r="C19">
        <f t="shared" si="0"/>
        <v>0.47407717572158803</v>
      </c>
      <c r="D19">
        <f t="shared" si="1"/>
        <v>-0.10215367849579038</v>
      </c>
      <c r="E19">
        <f t="shared" si="2"/>
        <v>1.0435374030221305E-2</v>
      </c>
    </row>
    <row r="20" spans="1:5" x14ac:dyDescent="0.25">
      <c r="A20">
        <v>1.4839633511750001</v>
      </c>
      <c r="B20">
        <v>0.32619519838656025</v>
      </c>
      <c r="C20">
        <f t="shared" si="0"/>
        <v>0.31332105040225966</v>
      </c>
      <c r="D20">
        <f t="shared" si="1"/>
        <v>1.2874147984300588E-2</v>
      </c>
      <c r="E20">
        <f t="shared" si="2"/>
        <v>1.657436863216709E-4</v>
      </c>
    </row>
    <row r="21" spans="1:5" x14ac:dyDescent="0.25">
      <c r="A21">
        <v>1.5458041948250001</v>
      </c>
      <c r="B21">
        <v>0.22660912535888764</v>
      </c>
      <c r="C21">
        <f t="shared" si="0"/>
        <v>0.19095397548393123</v>
      </c>
      <c r="D21">
        <f t="shared" si="1"/>
        <v>3.565514987495641E-2</v>
      </c>
      <c r="E21">
        <f t="shared" si="2"/>
        <v>1.2712897126056042E-3</v>
      </c>
    </row>
    <row r="22" spans="1:5" x14ac:dyDescent="0.25">
      <c r="A22">
        <v>1.6076450384750003</v>
      </c>
      <c r="B22">
        <v>0.15954095372800611</v>
      </c>
      <c r="C22">
        <f t="shared" si="0"/>
        <v>0.10663369024753747</v>
      </c>
      <c r="D22">
        <f t="shared" si="1"/>
        <v>5.2907263480468647E-2</v>
      </c>
      <c r="E22">
        <f t="shared" si="2"/>
        <v>2.7991785289917313E-3</v>
      </c>
    </row>
    <row r="23" spans="1:5" x14ac:dyDescent="0.25">
      <c r="A23">
        <v>1.669485882125</v>
      </c>
      <c r="B23">
        <v>9.2472782097124562E-2</v>
      </c>
      <c r="C23">
        <f t="shared" si="0"/>
        <v>5.4195037296045877E-2</v>
      </c>
      <c r="D23">
        <f t="shared" si="1"/>
        <v>3.8277744801078685E-2</v>
      </c>
      <c r="E23">
        <f t="shared" si="2"/>
        <v>1.4651857470565062E-3</v>
      </c>
    </row>
    <row r="24" spans="1:5" x14ac:dyDescent="0.25">
      <c r="A24">
        <v>1.731326725775</v>
      </c>
      <c r="B24">
        <v>5.6906327444384341E-2</v>
      </c>
      <c r="C24">
        <f t="shared" si="0"/>
        <v>2.4891088042638485E-2</v>
      </c>
      <c r="D24">
        <f t="shared" si="1"/>
        <v>3.201523940174586E-2</v>
      </c>
      <c r="E24">
        <f t="shared" si="2"/>
        <v>1.0249755539511005E-3</v>
      </c>
    </row>
    <row r="25" spans="1:5" x14ac:dyDescent="0.25">
      <c r="A25">
        <v>1.793167569425</v>
      </c>
      <c r="B25">
        <v>4.0647376745988818E-2</v>
      </c>
      <c r="C25">
        <f t="shared" si="0"/>
        <v>1.0254549585985042E-2</v>
      </c>
      <c r="D25">
        <f t="shared" si="1"/>
        <v>3.0392827160003778E-2</v>
      </c>
      <c r="E25">
        <f t="shared" si="2"/>
        <v>9.2372394277786336E-4</v>
      </c>
    </row>
    <row r="26" spans="1:5" x14ac:dyDescent="0.25">
      <c r="A26">
        <v>1.8550084130750002</v>
      </c>
      <c r="B26">
        <v>1.9307503954344687E-2</v>
      </c>
      <c r="C26">
        <f t="shared" si="0"/>
        <v>3.7600824958975228E-3</v>
      </c>
      <c r="D26">
        <f t="shared" si="1"/>
        <v>1.5547421458447164E-2</v>
      </c>
      <c r="E26">
        <f t="shared" si="2"/>
        <v>2.4172231400658336E-4</v>
      </c>
    </row>
    <row r="27" spans="1:5" x14ac:dyDescent="0.25">
      <c r="A27">
        <v>1.9168492567250002</v>
      </c>
      <c r="B27">
        <v>7.1132909305480427E-3</v>
      </c>
      <c r="C27">
        <f t="shared" si="0"/>
        <v>1.2171884730025908E-3</v>
      </c>
      <c r="D27">
        <f t="shared" si="1"/>
        <v>5.8961024575454515E-3</v>
      </c>
      <c r="E27">
        <f t="shared" si="2"/>
        <v>3.4764024189873515E-5</v>
      </c>
    </row>
    <row r="28" spans="1:5" x14ac:dyDescent="0.25">
      <c r="A28">
        <v>1.9786901003750001</v>
      </c>
      <c r="B28">
        <v>6.097106511898322E-3</v>
      </c>
      <c r="C28">
        <f t="shared" si="0"/>
        <v>3.4492317611712166E-4</v>
      </c>
      <c r="D28">
        <f t="shared" si="1"/>
        <v>5.7521833357812007E-3</v>
      </c>
      <c r="E28">
        <f t="shared" si="2"/>
        <v>3.308761312843894E-5</v>
      </c>
    </row>
    <row r="29" spans="1:5" x14ac:dyDescent="0.25">
      <c r="A29">
        <v>2.0405309440249999</v>
      </c>
      <c r="B29">
        <v>2.0323688372994408E-3</v>
      </c>
      <c r="C29">
        <f t="shared" si="0"/>
        <v>8.4814279833341549E-5</v>
      </c>
      <c r="D29">
        <f t="shared" si="1"/>
        <v>1.9475545574660993E-3</v>
      </c>
      <c r="E29">
        <f t="shared" si="2"/>
        <v>3.7929687543069739E-6</v>
      </c>
    </row>
    <row r="30" spans="1:5" x14ac:dyDescent="0.25">
      <c r="A30">
        <v>2.1023717876750001</v>
      </c>
      <c r="B30">
        <v>1.0161844186497204E-3</v>
      </c>
      <c r="C30">
        <f t="shared" si="0"/>
        <v>1.7932041123019541E-5</v>
      </c>
      <c r="D30">
        <f t="shared" si="1"/>
        <v>9.9825237752670091E-4</v>
      </c>
      <c r="E30">
        <f t="shared" si="2"/>
        <v>9.9650780923771108E-7</v>
      </c>
    </row>
    <row r="31" spans="1:5" x14ac:dyDescent="0.25">
      <c r="A31">
        <v>2.1642126313250003</v>
      </c>
      <c r="B31">
        <v>0</v>
      </c>
      <c r="C31">
        <f t="shared" si="0"/>
        <v>3.2291725646268568E-6</v>
      </c>
      <c r="D31">
        <f t="shared" si="1"/>
        <v>-3.2291725646268568E-6</v>
      </c>
      <c r="E31">
        <f t="shared" si="2"/>
        <v>1.0427555452138792E-11</v>
      </c>
    </row>
    <row r="32" spans="1:5" x14ac:dyDescent="0.25">
      <c r="A32">
        <v>2.2260534749750001</v>
      </c>
      <c r="B32">
        <v>0</v>
      </c>
      <c r="C32">
        <f t="shared" si="0"/>
        <v>4.9045035996327777E-7</v>
      </c>
      <c r="D32">
        <f t="shared" si="1"/>
        <v>-4.9045035996327777E-7</v>
      </c>
      <c r="E32">
        <f t="shared" si="2"/>
        <v>2.4054155558810874E-13</v>
      </c>
    </row>
    <row r="33" spans="1:5" x14ac:dyDescent="0.25">
      <c r="A33">
        <v>2.2878943186250003</v>
      </c>
      <c r="B33">
        <v>0</v>
      </c>
      <c r="C33">
        <f t="shared" si="0"/>
        <v>6.219245643078823E-8</v>
      </c>
      <c r="D33">
        <f t="shared" si="1"/>
        <v>-6.219245643078823E-8</v>
      </c>
      <c r="E33">
        <f t="shared" si="2"/>
        <v>3.8679016368954924E-15</v>
      </c>
    </row>
    <row r="34" spans="1:5" x14ac:dyDescent="0.25">
      <c r="A34">
        <v>2.349735162275</v>
      </c>
      <c r="B34">
        <v>0</v>
      </c>
      <c r="C34">
        <f t="shared" si="0"/>
        <v>6.5158489188815804E-9</v>
      </c>
      <c r="D34">
        <f t="shared" si="1"/>
        <v>-6.5158489188815804E-9</v>
      </c>
      <c r="E34">
        <f t="shared" si="2"/>
        <v>4.2456287133690257E-17</v>
      </c>
    </row>
    <row r="35" spans="1:5" x14ac:dyDescent="0.25">
      <c r="A35">
        <v>2.4115760059250002</v>
      </c>
      <c r="B35">
        <v>0</v>
      </c>
      <c r="C35">
        <f t="shared" si="0"/>
        <v>5.5795867241563113E-10</v>
      </c>
      <c r="D35">
        <f t="shared" si="1"/>
        <v>-5.5795867241563113E-10</v>
      </c>
      <c r="E35">
        <f t="shared" si="2"/>
        <v>3.1131788012381357E-19</v>
      </c>
    </row>
    <row r="36" spans="1:5" x14ac:dyDescent="0.25">
      <c r="A36">
        <v>2.473416849575</v>
      </c>
      <c r="B36">
        <v>0</v>
      </c>
      <c r="C36">
        <f t="shared" si="0"/>
        <v>3.8618304009106388E-11</v>
      </c>
      <c r="D36">
        <f t="shared" si="1"/>
        <v>-3.8618304009106388E-11</v>
      </c>
      <c r="E36">
        <f t="shared" si="2"/>
        <v>1.4913734045397625E-21</v>
      </c>
    </row>
    <row r="37" spans="1:5" x14ac:dyDescent="0.25">
      <c r="A37">
        <v>2.5352576932250002</v>
      </c>
      <c r="B37">
        <v>0</v>
      </c>
      <c r="C37">
        <f t="shared" si="0"/>
        <v>2.1358079783911348E-12</v>
      </c>
      <c r="D37">
        <f t="shared" si="1"/>
        <v>-2.1358079783911348E-12</v>
      </c>
      <c r="E37">
        <f t="shared" si="2"/>
        <v>4.5616757205592263E-24</v>
      </c>
    </row>
    <row r="38" spans="1:5" x14ac:dyDescent="0.25">
      <c r="A38">
        <v>2.5970985368750004</v>
      </c>
      <c r="B38">
        <v>0</v>
      </c>
      <c r="C38">
        <f t="shared" si="0"/>
        <v>9.3278595155385935E-14</v>
      </c>
      <c r="D38">
        <f t="shared" si="1"/>
        <v>-9.3278595155385935E-14</v>
      </c>
      <c r="E38">
        <f t="shared" si="2"/>
        <v>8.7008963141623891E-27</v>
      </c>
    </row>
    <row r="39" spans="1:5" x14ac:dyDescent="0.25">
      <c r="A39">
        <v>2.6589393805250001</v>
      </c>
      <c r="B39">
        <v>0</v>
      </c>
      <c r="C39">
        <f t="shared" si="0"/>
        <v>3.1781959019395859E-15</v>
      </c>
      <c r="D39">
        <f t="shared" si="1"/>
        <v>-3.1781959019395859E-15</v>
      </c>
      <c r="E39">
        <f t="shared" si="2"/>
        <v>1.0100929191105578E-29</v>
      </c>
    </row>
    <row r="40" spans="1:5" x14ac:dyDescent="0.25">
      <c r="A40">
        <v>2.7207802241749999</v>
      </c>
      <c r="B40">
        <v>1.0161844186497204E-3</v>
      </c>
      <c r="C40">
        <f t="shared" si="0"/>
        <v>8.3433665864600883E-17</v>
      </c>
      <c r="D40">
        <f t="shared" si="1"/>
        <v>1.0161844186496369E-3</v>
      </c>
      <c r="E40">
        <f t="shared" si="2"/>
        <v>1.0326307727063006E-6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5AAA-902B-4FC5-A2DB-ABFFC5AE9BE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0.40169094053749999</v>
      </c>
      <c r="B1">
        <v>3.4045754073710548E-3</v>
      </c>
      <c r="C1">
        <f>$H$3*(1+$H$1)*(A1^($H$1))*EXP(-$H$3*(A1^(1+$H$1)))</f>
        <v>8.4016656612462604E-2</v>
      </c>
      <c r="D1">
        <f>B1-C1</f>
        <v>-8.0612081205091543E-2</v>
      </c>
      <c r="E1">
        <f>D1^2</f>
        <v>6.4983076362162733E-3</v>
      </c>
      <c r="G1" t="s">
        <v>0</v>
      </c>
      <c r="H1">
        <v>4.0057190971593641</v>
      </c>
    </row>
    <row r="2" spans="1:8" x14ac:dyDescent="0.25">
      <c r="A2">
        <v>0.45706498361250003</v>
      </c>
      <c r="B2">
        <v>2.6101744789844755E-2</v>
      </c>
      <c r="C2">
        <f t="shared" ref="C2:C40" si="0">$H$3*(1+$H$1)*(A2^($H$1))*EXP(-$H$3*(A2^(1+$H$1)))</f>
        <v>0.14007183716282867</v>
      </c>
      <c r="D2">
        <f t="shared" ref="D2:D40" si="1">B2-C2</f>
        <v>-0.11397009237298392</v>
      </c>
      <c r="E2">
        <f t="shared" ref="E2:E40" si="2">D2^2</f>
        <v>1.2989181955506487E-2</v>
      </c>
    </row>
    <row r="3" spans="1:8" x14ac:dyDescent="0.25">
      <c r="A3">
        <v>0.51243902668750008</v>
      </c>
      <c r="B3">
        <v>8.2844668246028999E-2</v>
      </c>
      <c r="C3">
        <f t="shared" si="0"/>
        <v>0.2192525163531078</v>
      </c>
      <c r="D3">
        <f t="shared" si="1"/>
        <v>-0.13640784810707879</v>
      </c>
      <c r="E3">
        <f t="shared" si="2"/>
        <v>1.8607101025203878E-2</v>
      </c>
      <c r="G3" t="s">
        <v>1</v>
      </c>
      <c r="H3">
        <f>(_xlfn.GAMMA((2+$H$1)/(1+$H$1)))^(1+$H$1)</f>
        <v>0.65244532418889012</v>
      </c>
    </row>
    <row r="4" spans="1:8" x14ac:dyDescent="0.25">
      <c r="A4">
        <v>0.56781306976250001</v>
      </c>
      <c r="B4">
        <v>0.19746537362752117</v>
      </c>
      <c r="C4">
        <f t="shared" si="0"/>
        <v>0.32565359365044294</v>
      </c>
      <c r="D4">
        <f t="shared" si="1"/>
        <v>-0.12818822002292177</v>
      </c>
      <c r="E4">
        <f t="shared" si="2"/>
        <v>1.6432219752645E-2</v>
      </c>
    </row>
    <row r="5" spans="1:8" x14ac:dyDescent="0.25">
      <c r="A5">
        <v>0.62318711283749995</v>
      </c>
      <c r="B5">
        <v>0.43238107673612397</v>
      </c>
      <c r="C5">
        <f t="shared" si="0"/>
        <v>0.46211360011689245</v>
      </c>
      <c r="D5">
        <f t="shared" si="1"/>
        <v>-2.9732523380768483E-2</v>
      </c>
      <c r="E5">
        <f t="shared" si="2"/>
        <v>8.8402294658794446E-4</v>
      </c>
      <c r="G5" t="s">
        <v>2</v>
      </c>
      <c r="H5">
        <f>SUM(E1:E40)</f>
        <v>0.63481486128748865</v>
      </c>
    </row>
    <row r="6" spans="1:8" x14ac:dyDescent="0.25">
      <c r="A6">
        <v>0.67856115591249999</v>
      </c>
      <c r="B6">
        <v>0.70361225085668466</v>
      </c>
      <c r="C6">
        <f t="shared" si="0"/>
        <v>0.62911499987451058</v>
      </c>
      <c r="D6">
        <f t="shared" si="1"/>
        <v>7.4497250982174079E-2</v>
      </c>
      <c r="E6">
        <f t="shared" si="2"/>
        <v>5.5498404039010371E-3</v>
      </c>
    </row>
    <row r="7" spans="1:8" x14ac:dyDescent="0.25">
      <c r="A7">
        <v>0.73393519898750004</v>
      </c>
      <c r="B7">
        <v>1.0236423391495639</v>
      </c>
      <c r="C7">
        <f t="shared" si="0"/>
        <v>0.82345178936856012</v>
      </c>
      <c r="D7">
        <f t="shared" si="1"/>
        <v>0.20019054978100381</v>
      </c>
      <c r="E7">
        <f t="shared" si="2"/>
        <v>4.0076256221620567E-2</v>
      </c>
    </row>
    <row r="8" spans="1:8" x14ac:dyDescent="0.25">
      <c r="A8">
        <v>0.78930924206250008</v>
      </c>
      <c r="B8">
        <v>1.3550210121336799</v>
      </c>
      <c r="C8">
        <f t="shared" si="0"/>
        <v>1.0368600847324991</v>
      </c>
      <c r="D8">
        <f t="shared" si="1"/>
        <v>0.31816092740118074</v>
      </c>
      <c r="E8">
        <f t="shared" si="2"/>
        <v>0.1012263757247794</v>
      </c>
    </row>
    <row r="9" spans="1:8" x14ac:dyDescent="0.25">
      <c r="A9">
        <v>0.84468328513750002</v>
      </c>
      <c r="B9">
        <v>1.5865321398349115</v>
      </c>
      <c r="C9">
        <f t="shared" si="0"/>
        <v>1.2549957658707651</v>
      </c>
      <c r="D9">
        <f t="shared" si="1"/>
        <v>0.33153637396414637</v>
      </c>
      <c r="E9">
        <f t="shared" si="2"/>
        <v>0.10991636726129431</v>
      </c>
    </row>
    <row r="10" spans="1:8" x14ac:dyDescent="0.25">
      <c r="A10">
        <v>0.90005732821249995</v>
      </c>
      <c r="B10">
        <v>1.7408728916357328</v>
      </c>
      <c r="C10">
        <f t="shared" si="0"/>
        <v>1.4573365835404479</v>
      </c>
      <c r="D10">
        <f t="shared" si="1"/>
        <v>0.28353630809528485</v>
      </c>
      <c r="E10">
        <f t="shared" si="2"/>
        <v>8.0392838008304296E-2</v>
      </c>
    </row>
    <row r="11" spans="1:8" x14ac:dyDescent="0.25">
      <c r="A11">
        <v>0.9554313712875</v>
      </c>
      <c r="B11">
        <v>1.7476820424504749</v>
      </c>
      <c r="C11">
        <f t="shared" si="0"/>
        <v>1.618680014192182</v>
      </c>
      <c r="D11">
        <f t="shared" si="1"/>
        <v>0.12900202825829288</v>
      </c>
      <c r="E11">
        <f t="shared" si="2"/>
        <v>1.6641523294753394E-2</v>
      </c>
    </row>
    <row r="12" spans="1:8" x14ac:dyDescent="0.25">
      <c r="A12">
        <v>1.0108054143624998</v>
      </c>
      <c r="B12">
        <v>1.7420077501048563</v>
      </c>
      <c r="C12">
        <f t="shared" si="0"/>
        <v>1.7127444306681896</v>
      </c>
      <c r="D12">
        <f t="shared" si="1"/>
        <v>2.9263319436666713E-2</v>
      </c>
      <c r="E12">
        <f t="shared" si="2"/>
        <v>8.5634186445239578E-4</v>
      </c>
    </row>
    <row r="13" spans="1:8" x14ac:dyDescent="0.25">
      <c r="A13">
        <v>1.0661794574374999</v>
      </c>
      <c r="B13">
        <v>1.6273870447233643</v>
      </c>
      <c r="C13">
        <f t="shared" si="0"/>
        <v>1.7178083818402834</v>
      </c>
      <c r="D13">
        <f t="shared" si="1"/>
        <v>-9.0421337116919132E-2</v>
      </c>
      <c r="E13">
        <f t="shared" si="2"/>
        <v>8.1760182060115379E-3</v>
      </c>
    </row>
    <row r="14" spans="1:8" x14ac:dyDescent="0.25">
      <c r="A14">
        <v>1.1215535005124999</v>
      </c>
      <c r="B14">
        <v>1.4401353973179563</v>
      </c>
      <c r="C14">
        <f t="shared" si="0"/>
        <v>1.6233311814273075</v>
      </c>
      <c r="D14">
        <f t="shared" si="1"/>
        <v>-0.18319578410935122</v>
      </c>
      <c r="E14">
        <f t="shared" si="2"/>
        <v>3.3560695315440023E-2</v>
      </c>
    </row>
    <row r="15" spans="1:8" x14ac:dyDescent="0.25">
      <c r="A15">
        <v>1.1769275435875</v>
      </c>
      <c r="B15">
        <v>1.1893316756416219</v>
      </c>
      <c r="C15">
        <f t="shared" si="0"/>
        <v>1.4353881150941599</v>
      </c>
      <c r="D15">
        <f t="shared" si="1"/>
        <v>-0.24605643945253797</v>
      </c>
      <c r="E15">
        <f t="shared" si="2"/>
        <v>6.0543771396060479E-2</v>
      </c>
    </row>
    <row r="16" spans="1:8" x14ac:dyDescent="0.25">
      <c r="A16">
        <v>1.2323015866625</v>
      </c>
      <c r="B16">
        <v>0.93058394468142169</v>
      </c>
      <c r="C16">
        <f t="shared" si="0"/>
        <v>1.1781943687366534</v>
      </c>
      <c r="D16">
        <f t="shared" si="1"/>
        <v>-0.2476104240552317</v>
      </c>
      <c r="E16">
        <f t="shared" si="2"/>
        <v>6.1310922100811668E-2</v>
      </c>
    </row>
    <row r="17" spans="1:5" x14ac:dyDescent="0.25">
      <c r="A17">
        <v>1.2876756297375</v>
      </c>
      <c r="B17">
        <v>0.72971399564652939</v>
      </c>
      <c r="C17">
        <f t="shared" si="0"/>
        <v>0.88976351010851917</v>
      </c>
      <c r="D17">
        <f t="shared" si="1"/>
        <v>-0.16004951446198978</v>
      </c>
      <c r="E17">
        <f t="shared" si="2"/>
        <v>2.5615847079518677E-2</v>
      </c>
    </row>
    <row r="18" spans="1:5" x14ac:dyDescent="0.25">
      <c r="A18">
        <v>1.3430496728125001</v>
      </c>
      <c r="B18">
        <v>0.46302225540246345</v>
      </c>
      <c r="C18">
        <f t="shared" si="0"/>
        <v>0.61210620498021939</v>
      </c>
      <c r="D18">
        <f t="shared" si="1"/>
        <v>-0.14908394957775595</v>
      </c>
      <c r="E18">
        <f t="shared" si="2"/>
        <v>2.2226024021702876E-2</v>
      </c>
    </row>
    <row r="19" spans="1:5" x14ac:dyDescent="0.25">
      <c r="A19">
        <v>1.3984237158874997</v>
      </c>
      <c r="B19">
        <v>0.40854904888452659</v>
      </c>
      <c r="C19">
        <f t="shared" si="0"/>
        <v>0.37940827357354001</v>
      </c>
      <c r="D19">
        <f t="shared" si="1"/>
        <v>2.9140775310986577E-2</v>
      </c>
      <c r="E19">
        <f t="shared" si="2"/>
        <v>8.4918478572540488E-4</v>
      </c>
    </row>
    <row r="20" spans="1:5" x14ac:dyDescent="0.25">
      <c r="A20">
        <v>1.4537977589624997</v>
      </c>
      <c r="B20">
        <v>0.25420829708370546</v>
      </c>
      <c r="C20">
        <f t="shared" si="0"/>
        <v>0.20935547721298112</v>
      </c>
      <c r="D20">
        <f t="shared" si="1"/>
        <v>4.4852819870724342E-2</v>
      </c>
      <c r="E20">
        <f t="shared" si="2"/>
        <v>2.0117754503556442E-3</v>
      </c>
    </row>
    <row r="21" spans="1:5" x14ac:dyDescent="0.25">
      <c r="A21">
        <v>1.5091718020375</v>
      </c>
      <c r="B21">
        <v>0.17817277965241854</v>
      </c>
      <c r="C21">
        <f t="shared" si="0"/>
        <v>0.10149672869799327</v>
      </c>
      <c r="D21">
        <f t="shared" si="1"/>
        <v>7.6676050954425271E-2</v>
      </c>
      <c r="E21">
        <f t="shared" si="2"/>
        <v>5.8792167899656203E-3</v>
      </c>
    </row>
    <row r="22" spans="1:5" x14ac:dyDescent="0.25">
      <c r="A22">
        <v>1.5645458451124998</v>
      </c>
      <c r="B22">
        <v>8.1709809776905312E-2</v>
      </c>
      <c r="C22">
        <f t="shared" si="0"/>
        <v>4.2619794380128757E-2</v>
      </c>
      <c r="D22">
        <f t="shared" si="1"/>
        <v>3.9090015396776555E-2</v>
      </c>
      <c r="E22">
        <f t="shared" si="2"/>
        <v>1.5280293037202282E-3</v>
      </c>
    </row>
    <row r="23" spans="1:5" x14ac:dyDescent="0.25">
      <c r="A23">
        <v>1.6199198881874999</v>
      </c>
      <c r="B23">
        <v>6.3552074270926365E-2</v>
      </c>
      <c r="C23">
        <f t="shared" si="0"/>
        <v>1.5263617369231033E-2</v>
      </c>
      <c r="D23">
        <f t="shared" si="1"/>
        <v>4.828845690169533E-2</v>
      </c>
      <c r="E23">
        <f t="shared" si="2"/>
        <v>2.3317750699468872E-3</v>
      </c>
    </row>
    <row r="24" spans="1:5" x14ac:dyDescent="0.25">
      <c r="A24">
        <v>1.6752939312624999</v>
      </c>
      <c r="B24">
        <v>2.7236603258968439E-2</v>
      </c>
      <c r="C24">
        <f t="shared" si="0"/>
        <v>4.5852607416921373E-3</v>
      </c>
      <c r="D24">
        <f t="shared" si="1"/>
        <v>2.2651342517276303E-2</v>
      </c>
      <c r="E24">
        <f t="shared" si="2"/>
        <v>5.1308331783496918E-4</v>
      </c>
    </row>
    <row r="25" spans="1:5" x14ac:dyDescent="0.25">
      <c r="A25">
        <v>1.7306679743375</v>
      </c>
      <c r="B25">
        <v>1.3618301629484219E-2</v>
      </c>
      <c r="C25">
        <f t="shared" si="0"/>
        <v>1.1349252049110143E-3</v>
      </c>
      <c r="D25">
        <f t="shared" si="1"/>
        <v>1.2483376424573206E-2</v>
      </c>
      <c r="E25">
        <f t="shared" si="2"/>
        <v>1.5583468695759011E-4</v>
      </c>
    </row>
    <row r="26" spans="1:5" x14ac:dyDescent="0.25">
      <c r="A26">
        <v>1.7860420174125</v>
      </c>
      <c r="B26">
        <v>5.6742923456184246E-3</v>
      </c>
      <c r="C26">
        <f t="shared" si="0"/>
        <v>2.2706471543695755E-4</v>
      </c>
      <c r="D26">
        <f t="shared" si="1"/>
        <v>5.4472276301814667E-3</v>
      </c>
      <c r="E26">
        <f t="shared" si="2"/>
        <v>2.9672288855012398E-5</v>
      </c>
    </row>
    <row r="27" spans="1:5" x14ac:dyDescent="0.25">
      <c r="A27">
        <v>1.8414160604875001</v>
      </c>
      <c r="B27">
        <v>3.4045754073710548E-3</v>
      </c>
      <c r="C27">
        <f t="shared" si="0"/>
        <v>3.5976901453118846E-5</v>
      </c>
      <c r="D27">
        <f t="shared" si="1"/>
        <v>3.368598505917936E-3</v>
      </c>
      <c r="E27">
        <f t="shared" si="2"/>
        <v>1.1347455894072551E-5</v>
      </c>
    </row>
    <row r="28" spans="1:5" x14ac:dyDescent="0.25">
      <c r="A28">
        <v>1.8967901035624999</v>
      </c>
      <c r="B28">
        <v>0</v>
      </c>
      <c r="C28">
        <f t="shared" si="0"/>
        <v>4.4168765638349354E-6</v>
      </c>
      <c r="D28">
        <f t="shared" si="1"/>
        <v>-4.4168765638349354E-6</v>
      </c>
      <c r="E28">
        <f t="shared" si="2"/>
        <v>1.9508798580154306E-11</v>
      </c>
    </row>
    <row r="29" spans="1:5" x14ac:dyDescent="0.25">
      <c r="A29">
        <v>1.9521641466374997</v>
      </c>
      <c r="B29">
        <v>0</v>
      </c>
      <c r="C29">
        <f t="shared" si="0"/>
        <v>4.1053124975219622E-7</v>
      </c>
      <c r="D29">
        <f t="shared" si="1"/>
        <v>-4.1053124975219622E-7</v>
      </c>
      <c r="E29">
        <f t="shared" si="2"/>
        <v>1.6853590702310011E-13</v>
      </c>
    </row>
    <row r="30" spans="1:5" x14ac:dyDescent="0.25">
      <c r="A30">
        <v>2.0075381897124998</v>
      </c>
      <c r="B30">
        <v>0</v>
      </c>
      <c r="C30">
        <f t="shared" si="0"/>
        <v>2.8184996499825463E-8</v>
      </c>
      <c r="D30">
        <f t="shared" si="1"/>
        <v>-2.8184996499825463E-8</v>
      </c>
      <c r="E30">
        <f t="shared" si="2"/>
        <v>7.943940276951736E-16</v>
      </c>
    </row>
    <row r="31" spans="1:5" x14ac:dyDescent="0.25">
      <c r="A31">
        <v>2.0629122327874998</v>
      </c>
      <c r="B31">
        <v>0</v>
      </c>
      <c r="C31">
        <f t="shared" si="0"/>
        <v>1.3924962434778924E-9</v>
      </c>
      <c r="D31">
        <f t="shared" si="1"/>
        <v>-1.3924962434778924E-9</v>
      </c>
      <c r="E31">
        <f t="shared" si="2"/>
        <v>1.9390457881000418E-18</v>
      </c>
    </row>
    <row r="32" spans="1:5" x14ac:dyDescent="0.25">
      <c r="A32">
        <v>2.1182862758625003</v>
      </c>
      <c r="B32">
        <v>0</v>
      </c>
      <c r="C32">
        <f t="shared" si="0"/>
        <v>4.8159578768455533E-11</v>
      </c>
      <c r="D32">
        <f t="shared" si="1"/>
        <v>-4.8159578768455533E-11</v>
      </c>
      <c r="E32">
        <f t="shared" si="2"/>
        <v>2.319345027155073E-21</v>
      </c>
    </row>
    <row r="33" spans="1:5" x14ac:dyDescent="0.25">
      <c r="A33">
        <v>2.1736603189375003</v>
      </c>
      <c r="B33">
        <v>0</v>
      </c>
      <c r="C33">
        <f t="shared" si="0"/>
        <v>1.1324517342292405E-12</v>
      </c>
      <c r="D33">
        <f t="shared" si="1"/>
        <v>-1.1324517342292405E-12</v>
      </c>
      <c r="E33">
        <f t="shared" si="2"/>
        <v>1.2824469303588143E-24</v>
      </c>
    </row>
    <row r="34" spans="1:5" x14ac:dyDescent="0.25">
      <c r="A34">
        <v>2.2290343620124999</v>
      </c>
      <c r="B34">
        <v>0</v>
      </c>
      <c r="C34">
        <f t="shared" si="0"/>
        <v>1.7557022385632214E-14</v>
      </c>
      <c r="D34">
        <f t="shared" si="1"/>
        <v>-1.7557022385632214E-14</v>
      </c>
      <c r="E34">
        <f t="shared" si="2"/>
        <v>3.0824903504959067E-28</v>
      </c>
    </row>
    <row r="35" spans="1:5" x14ac:dyDescent="0.25">
      <c r="A35">
        <v>2.2844084050875</v>
      </c>
      <c r="B35">
        <v>0</v>
      </c>
      <c r="C35">
        <f t="shared" si="0"/>
        <v>1.7374582969009976E-16</v>
      </c>
      <c r="D35">
        <f t="shared" si="1"/>
        <v>-1.7374582969009976E-16</v>
      </c>
      <c r="E35">
        <f t="shared" si="2"/>
        <v>3.0187613334701155E-32</v>
      </c>
    </row>
    <row r="36" spans="1:5" x14ac:dyDescent="0.25">
      <c r="A36">
        <v>2.3397824481624996</v>
      </c>
      <c r="B36">
        <v>0</v>
      </c>
      <c r="C36">
        <f t="shared" si="0"/>
        <v>1.0607752288509408E-18</v>
      </c>
      <c r="D36">
        <f t="shared" si="1"/>
        <v>-1.0607752288509408E-18</v>
      </c>
      <c r="E36">
        <f t="shared" si="2"/>
        <v>1.125244086143766E-36</v>
      </c>
    </row>
    <row r="37" spans="1:5" x14ac:dyDescent="0.25">
      <c r="A37">
        <v>2.3951564912374996</v>
      </c>
      <c r="B37">
        <v>0</v>
      </c>
      <c r="C37">
        <f t="shared" si="0"/>
        <v>3.8552106357377637E-21</v>
      </c>
      <c r="D37">
        <f t="shared" si="1"/>
        <v>-3.8552106357377637E-21</v>
      </c>
      <c r="E37">
        <f t="shared" si="2"/>
        <v>1.4862649045905571E-41</v>
      </c>
    </row>
    <row r="38" spans="1:5" x14ac:dyDescent="0.25">
      <c r="A38">
        <v>2.4505305343124997</v>
      </c>
      <c r="B38">
        <v>0</v>
      </c>
      <c r="C38">
        <f t="shared" si="0"/>
        <v>8.0333825808099074E-24</v>
      </c>
      <c r="D38">
        <f t="shared" si="1"/>
        <v>-8.0333825808099074E-24</v>
      </c>
      <c r="E38">
        <f t="shared" si="2"/>
        <v>6.4535235689660051E-47</v>
      </c>
    </row>
    <row r="39" spans="1:5" x14ac:dyDescent="0.25">
      <c r="A39">
        <v>2.5059045773874997</v>
      </c>
      <c r="B39">
        <v>0</v>
      </c>
      <c r="C39">
        <f t="shared" si="0"/>
        <v>9.2279667000672075E-27</v>
      </c>
      <c r="D39">
        <f t="shared" si="1"/>
        <v>-9.2279667000672075E-27</v>
      </c>
      <c r="E39">
        <f t="shared" si="2"/>
        <v>8.5155369417549271E-53</v>
      </c>
    </row>
    <row r="40" spans="1:5" x14ac:dyDescent="0.25">
      <c r="A40">
        <v>2.5612786204624998</v>
      </c>
      <c r="B40">
        <v>1.1348584691236849E-3</v>
      </c>
      <c r="C40">
        <f t="shared" si="0"/>
        <v>5.6079803318366129E-30</v>
      </c>
      <c r="D40">
        <f t="shared" si="1"/>
        <v>1.1348584691236849E-3</v>
      </c>
      <c r="E40">
        <f t="shared" si="2"/>
        <v>1.2879037449417537E-6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F24C-D8A9-4F60-8282-35467EAA3F5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3.0699730337500002E-2</v>
      </c>
      <c r="B1">
        <v>1.048397841209011E-3</v>
      </c>
      <c r="C1">
        <f>$H$3*(1+$H$1)*(A1^($H$1))*EXP(-$H$3*(A1^(1+$H$1)))</f>
        <v>3.4754520495807219E-9</v>
      </c>
      <c r="D1">
        <f>B1-C1</f>
        <v>1.0483943657569614E-3</v>
      </c>
      <c r="E1">
        <f>D1^2</f>
        <v>1.0991307461509414E-6</v>
      </c>
      <c r="G1" t="s">
        <v>0</v>
      </c>
      <c r="H1">
        <v>6.0164674281757939</v>
      </c>
    </row>
    <row r="2" spans="1:8" x14ac:dyDescent="0.25">
      <c r="A2">
        <v>9.0636665012499992E-2</v>
      </c>
      <c r="B2">
        <v>0</v>
      </c>
      <c r="C2">
        <f t="shared" ref="C2:C40" si="0">$H$3*(1+$H$1)*(A2^($H$1))*EXP(-$H$3*(A2^(1+$H$1)))</f>
        <v>2.3429871518565633E-6</v>
      </c>
      <c r="D2">
        <f t="shared" ref="D2:D40" si="1">B2-C2</f>
        <v>-2.3429871518565633E-6</v>
      </c>
      <c r="E2">
        <f t="shared" ref="E2:E40" si="2">D2^2</f>
        <v>5.4895887937649302E-12</v>
      </c>
    </row>
    <row r="3" spans="1:8" x14ac:dyDescent="0.25">
      <c r="A3">
        <v>0.1505735996875</v>
      </c>
      <c r="B3">
        <v>0</v>
      </c>
      <c r="C3">
        <f t="shared" si="0"/>
        <v>4.9667135436893102E-5</v>
      </c>
      <c r="D3">
        <f t="shared" si="1"/>
        <v>-4.9667135436893102E-5</v>
      </c>
      <c r="E3">
        <f t="shared" si="2"/>
        <v>2.4668243425066826E-9</v>
      </c>
      <c r="G3" t="s">
        <v>1</v>
      </c>
      <c r="H3">
        <f>(_xlfn.GAMMA((2+$H$1)/(1+$H$1)))^(1+$H$1)</f>
        <v>0.62661159399362309</v>
      </c>
    </row>
    <row r="4" spans="1:8" x14ac:dyDescent="0.25">
      <c r="A4">
        <v>0.2105105343625</v>
      </c>
      <c r="B4">
        <v>0</v>
      </c>
      <c r="C4">
        <f t="shared" si="0"/>
        <v>3.7291610807562965E-4</v>
      </c>
      <c r="D4">
        <f t="shared" si="1"/>
        <v>-3.7291610807562965E-4</v>
      </c>
      <c r="E4">
        <f t="shared" si="2"/>
        <v>1.3906642366227469E-7</v>
      </c>
    </row>
    <row r="5" spans="1:8" x14ac:dyDescent="0.25">
      <c r="A5">
        <v>0.2704474690375</v>
      </c>
      <c r="B5">
        <v>0</v>
      </c>
      <c r="C5">
        <f t="shared" si="0"/>
        <v>1.6835815213048864E-3</v>
      </c>
      <c r="D5">
        <f t="shared" si="1"/>
        <v>-1.6835815213048864E-3</v>
      </c>
      <c r="E5">
        <f t="shared" si="2"/>
        <v>2.8344467388792755E-6</v>
      </c>
      <c r="G5" t="s">
        <v>2</v>
      </c>
      <c r="H5">
        <f>SUM(E1:E40)</f>
        <v>1.0686576581457909</v>
      </c>
    </row>
    <row r="6" spans="1:8" x14ac:dyDescent="0.25">
      <c r="A6">
        <v>0.3303844037125</v>
      </c>
      <c r="B6">
        <v>0</v>
      </c>
      <c r="C6">
        <f t="shared" si="0"/>
        <v>5.6130490723641669E-3</v>
      </c>
      <c r="D6">
        <f t="shared" si="1"/>
        <v>-5.6130490723641669E-3</v>
      </c>
      <c r="E6">
        <f t="shared" si="2"/>
        <v>3.1506319888768231E-5</v>
      </c>
    </row>
    <row r="7" spans="1:8" x14ac:dyDescent="0.25">
      <c r="A7">
        <v>0.39032133838749994</v>
      </c>
      <c r="B7">
        <v>0</v>
      </c>
      <c r="C7">
        <f t="shared" si="0"/>
        <v>1.5295111388961034E-2</v>
      </c>
      <c r="D7">
        <f t="shared" si="1"/>
        <v>-1.5295111388961034E-2</v>
      </c>
      <c r="E7">
        <f t="shared" si="2"/>
        <v>2.3394043240072552E-4</v>
      </c>
    </row>
    <row r="8" spans="1:8" x14ac:dyDescent="0.25">
      <c r="A8">
        <v>0.45025827306249999</v>
      </c>
      <c r="B8">
        <v>0</v>
      </c>
      <c r="C8">
        <f t="shared" si="0"/>
        <v>3.607222297655592E-2</v>
      </c>
      <c r="D8">
        <f t="shared" si="1"/>
        <v>-3.607222297655592E-2</v>
      </c>
      <c r="E8">
        <f t="shared" si="2"/>
        <v>1.3012052704703689E-3</v>
      </c>
    </row>
    <row r="9" spans="1:8" x14ac:dyDescent="0.25">
      <c r="A9">
        <v>0.51019520773749993</v>
      </c>
      <c r="B9">
        <v>1.048397841209011E-3</v>
      </c>
      <c r="C9">
        <f t="shared" si="0"/>
        <v>7.6260673399727974E-2</v>
      </c>
      <c r="D9">
        <f t="shared" si="1"/>
        <v>-7.5212275558518962E-2</v>
      </c>
      <c r="E9">
        <f t="shared" si="2"/>
        <v>5.6568863946905891E-3</v>
      </c>
    </row>
    <row r="10" spans="1:8" x14ac:dyDescent="0.25">
      <c r="A10">
        <v>0.57013214241249999</v>
      </c>
      <c r="B10">
        <v>2.096795682418022E-2</v>
      </c>
      <c r="C10">
        <f t="shared" si="0"/>
        <v>0.14779921858869455</v>
      </c>
      <c r="D10">
        <f t="shared" si="1"/>
        <v>-0.12683126176451431</v>
      </c>
      <c r="E10">
        <f t="shared" si="2"/>
        <v>1.608616896077875E-2</v>
      </c>
    </row>
    <row r="11" spans="1:8" x14ac:dyDescent="0.25">
      <c r="A11">
        <v>0.63006907708749993</v>
      </c>
      <c r="B11">
        <v>7.8629838090675822E-2</v>
      </c>
      <c r="C11">
        <f t="shared" si="0"/>
        <v>0.26637663604856349</v>
      </c>
      <c r="D11">
        <f t="shared" si="1"/>
        <v>-0.18774679795788768</v>
      </c>
      <c r="E11">
        <f t="shared" si="2"/>
        <v>3.5248860143439899E-2</v>
      </c>
    </row>
    <row r="12" spans="1:8" x14ac:dyDescent="0.25">
      <c r="A12">
        <v>0.69000601176249998</v>
      </c>
      <c r="B12">
        <v>0.32080973940995738</v>
      </c>
      <c r="C12">
        <f t="shared" si="0"/>
        <v>0.45023439244025187</v>
      </c>
      <c r="D12">
        <f t="shared" si="1"/>
        <v>-0.12942465303029449</v>
      </c>
      <c r="E12">
        <f t="shared" si="2"/>
        <v>1.6750740812012117E-2</v>
      </c>
    </row>
    <row r="13" spans="1:8" x14ac:dyDescent="0.25">
      <c r="A13">
        <v>0.74994294643750004</v>
      </c>
      <c r="B13">
        <v>0.77266920897104108</v>
      </c>
      <c r="C13">
        <f t="shared" si="0"/>
        <v>0.71629810079573963</v>
      </c>
      <c r="D13">
        <f t="shared" si="1"/>
        <v>5.6371108175301443E-2</v>
      </c>
      <c r="E13">
        <f t="shared" si="2"/>
        <v>3.1777018369115373E-3</v>
      </c>
    </row>
    <row r="14" spans="1:8" x14ac:dyDescent="0.25">
      <c r="A14">
        <v>0.80987988111249998</v>
      </c>
      <c r="B14">
        <v>1.3681591827777593</v>
      </c>
      <c r="C14">
        <f t="shared" si="0"/>
        <v>1.0719071876372042</v>
      </c>
      <c r="D14">
        <f t="shared" si="1"/>
        <v>0.29625199514055511</v>
      </c>
      <c r="E14">
        <f t="shared" si="2"/>
        <v>8.7765244624759486E-2</v>
      </c>
    </row>
    <row r="15" spans="1:8" x14ac:dyDescent="0.25">
      <c r="A15">
        <v>0.86981681578749992</v>
      </c>
      <c r="B15">
        <v>1.9867139090910757</v>
      </c>
      <c r="C15">
        <f t="shared" si="0"/>
        <v>1.501097232126118</v>
      </c>
      <c r="D15">
        <f t="shared" si="1"/>
        <v>0.48561667696495769</v>
      </c>
      <c r="E15">
        <f t="shared" si="2"/>
        <v>0.23582355694648807</v>
      </c>
    </row>
    <row r="16" spans="1:8" x14ac:dyDescent="0.25">
      <c r="A16">
        <v>0.92975375046249997</v>
      </c>
      <c r="B16">
        <v>2.4270410023988602</v>
      </c>
      <c r="C16">
        <f t="shared" si="0"/>
        <v>1.9478683702330639</v>
      </c>
      <c r="D16">
        <f t="shared" si="1"/>
        <v>0.47917263216579631</v>
      </c>
      <c r="E16">
        <f t="shared" si="2"/>
        <v>0.22960641141669752</v>
      </c>
    </row>
    <row r="17" spans="1:5" x14ac:dyDescent="0.25">
      <c r="A17">
        <v>0.98969068513749991</v>
      </c>
      <c r="B17">
        <v>2.4899448728714009</v>
      </c>
      <c r="C17">
        <f t="shared" si="0"/>
        <v>2.3066967470581563</v>
      </c>
      <c r="D17">
        <f t="shared" si="1"/>
        <v>0.18324812581324457</v>
      </c>
      <c r="E17">
        <f t="shared" si="2"/>
        <v>3.3579875614066709E-2</v>
      </c>
    </row>
    <row r="18" spans="1:5" x14ac:dyDescent="0.25">
      <c r="A18">
        <v>1.0496276198124999</v>
      </c>
      <c r="B18">
        <v>2.2372809931400295</v>
      </c>
      <c r="C18">
        <f t="shared" si="0"/>
        <v>2.4400563029997411</v>
      </c>
      <c r="D18">
        <f t="shared" si="1"/>
        <v>-0.20277530985971159</v>
      </c>
      <c r="E18">
        <f t="shared" si="2"/>
        <v>4.1117826288702052E-2</v>
      </c>
    </row>
    <row r="19" spans="1:5" x14ac:dyDescent="0.25">
      <c r="A19">
        <v>1.1095645544874999</v>
      </c>
      <c r="B19">
        <v>1.8409866091630234</v>
      </c>
      <c r="C19">
        <f t="shared" si="0"/>
        <v>2.2406109049219736</v>
      </c>
      <c r="D19">
        <f t="shared" si="1"/>
        <v>-0.3996242957589502</v>
      </c>
      <c r="E19">
        <f t="shared" si="2"/>
        <v>0.1596995777608369</v>
      </c>
    </row>
    <row r="20" spans="1:5" x14ac:dyDescent="0.25">
      <c r="A20">
        <v>1.1695014891625</v>
      </c>
      <c r="B20">
        <v>1.3524332151596241</v>
      </c>
      <c r="C20">
        <f t="shared" si="0"/>
        <v>1.7212027275098059</v>
      </c>
      <c r="D20">
        <f t="shared" si="1"/>
        <v>-0.36876951235018174</v>
      </c>
      <c r="E20">
        <f t="shared" si="2"/>
        <v>0.13599095323899085</v>
      </c>
    </row>
    <row r="21" spans="1:5" x14ac:dyDescent="0.25">
      <c r="A21">
        <v>1.2294384238375</v>
      </c>
      <c r="B21">
        <v>0.8387182729672088</v>
      </c>
      <c r="C21">
        <f t="shared" si="0"/>
        <v>1.0556108943472193</v>
      </c>
      <c r="D21">
        <f t="shared" si="1"/>
        <v>-0.21689262138001053</v>
      </c>
      <c r="E21">
        <f t="shared" si="2"/>
        <v>4.7042409209092598E-2</v>
      </c>
    </row>
    <row r="22" spans="1:5" x14ac:dyDescent="0.25">
      <c r="A22">
        <v>1.2893753585124998</v>
      </c>
      <c r="B22">
        <v>0.51476334003362434</v>
      </c>
      <c r="C22">
        <f t="shared" si="0"/>
        <v>0.48772702240891863</v>
      </c>
      <c r="D22">
        <f t="shared" si="1"/>
        <v>2.7036317624705708E-2</v>
      </c>
      <c r="E22">
        <f t="shared" si="2"/>
        <v>7.3096247070397248E-4</v>
      </c>
    </row>
    <row r="23" spans="1:5" x14ac:dyDescent="0.25">
      <c r="A23">
        <v>1.3493122931874999</v>
      </c>
      <c r="B23">
        <v>0.26524465382587975</v>
      </c>
      <c r="C23">
        <f t="shared" si="0"/>
        <v>0.15811497035975425</v>
      </c>
      <c r="D23">
        <f t="shared" si="1"/>
        <v>0.1071296834661255</v>
      </c>
      <c r="E23">
        <f t="shared" si="2"/>
        <v>1.1476769079552245E-2</v>
      </c>
    </row>
    <row r="24" spans="1:5" x14ac:dyDescent="0.25">
      <c r="A24">
        <v>1.4092492278625</v>
      </c>
      <c r="B24">
        <v>0.10379138627969209</v>
      </c>
      <c r="C24">
        <f t="shared" si="0"/>
        <v>3.2998678198088514E-2</v>
      </c>
      <c r="D24">
        <f t="shared" si="1"/>
        <v>7.0792708081603567E-2</v>
      </c>
      <c r="E24">
        <f t="shared" si="2"/>
        <v>5.0116075175271387E-3</v>
      </c>
    </row>
    <row r="25" spans="1:5" x14ac:dyDescent="0.25">
      <c r="A25">
        <v>1.4691861625375</v>
      </c>
      <c r="B25">
        <v>5.1371494219241538E-2</v>
      </c>
      <c r="C25">
        <f t="shared" si="0"/>
        <v>3.9985337330819765E-3</v>
      </c>
      <c r="D25">
        <f t="shared" si="1"/>
        <v>4.7372960486159563E-2</v>
      </c>
      <c r="E25">
        <f t="shared" si="2"/>
        <v>2.2441973852232351E-3</v>
      </c>
    </row>
    <row r="26" spans="1:5" x14ac:dyDescent="0.25">
      <c r="A26">
        <v>1.5291230972125001</v>
      </c>
      <c r="B26">
        <v>8.3871827296720883E-3</v>
      </c>
      <c r="C26">
        <f t="shared" si="0"/>
        <v>2.4880789432259344E-4</v>
      </c>
      <c r="D26">
        <f t="shared" si="1"/>
        <v>8.1383748353494947E-3</v>
      </c>
      <c r="E26">
        <f t="shared" si="2"/>
        <v>6.6233144960649916E-5</v>
      </c>
    </row>
    <row r="27" spans="1:5" x14ac:dyDescent="0.25">
      <c r="A27">
        <v>1.5890600318875001</v>
      </c>
      <c r="B27">
        <v>3.1451935236270329E-3</v>
      </c>
      <c r="C27">
        <f t="shared" si="0"/>
        <v>6.8781577467063733E-6</v>
      </c>
      <c r="D27">
        <f t="shared" si="1"/>
        <v>3.1383153658803265E-3</v>
      </c>
      <c r="E27">
        <f t="shared" si="2"/>
        <v>9.8490233357205681E-6</v>
      </c>
    </row>
    <row r="28" spans="1:5" x14ac:dyDescent="0.25">
      <c r="A28">
        <v>1.6489969665625002</v>
      </c>
      <c r="B28">
        <v>0</v>
      </c>
      <c r="C28">
        <f t="shared" si="0"/>
        <v>7.1285422020850419E-8</v>
      </c>
      <c r="D28">
        <f t="shared" si="1"/>
        <v>-7.1285422020850419E-8</v>
      </c>
      <c r="E28">
        <f t="shared" si="2"/>
        <v>5.0816113926907461E-15</v>
      </c>
    </row>
    <row r="29" spans="1:5" x14ac:dyDescent="0.25">
      <c r="A29">
        <v>1.7089339012374998</v>
      </c>
      <c r="B29">
        <v>0</v>
      </c>
      <c r="C29">
        <f t="shared" si="0"/>
        <v>2.2729957719120615E-10</v>
      </c>
      <c r="D29">
        <f t="shared" si="1"/>
        <v>-2.2729957719120615E-10</v>
      </c>
      <c r="E29">
        <f t="shared" si="2"/>
        <v>5.1665097791301084E-20</v>
      </c>
    </row>
    <row r="30" spans="1:5" x14ac:dyDescent="0.25">
      <c r="A30">
        <v>1.7688708359124998</v>
      </c>
      <c r="B30">
        <v>0</v>
      </c>
      <c r="C30">
        <f t="shared" si="0"/>
        <v>1.7736331538165661E-13</v>
      </c>
      <c r="D30">
        <f t="shared" si="1"/>
        <v>-1.7736331538165661E-13</v>
      </c>
      <c r="E30">
        <f t="shared" si="2"/>
        <v>3.1457745643172988E-26</v>
      </c>
    </row>
    <row r="31" spans="1:5" x14ac:dyDescent="0.25">
      <c r="A31">
        <v>1.8288077705874999</v>
      </c>
      <c r="B31">
        <v>0</v>
      </c>
      <c r="C31">
        <f t="shared" si="0"/>
        <v>2.6020210351509E-17</v>
      </c>
      <c r="D31">
        <f t="shared" si="1"/>
        <v>-2.6020210351509E-17</v>
      </c>
      <c r="E31">
        <f t="shared" si="2"/>
        <v>6.7705134673677609E-34</v>
      </c>
    </row>
    <row r="32" spans="1:5" x14ac:dyDescent="0.25">
      <c r="A32">
        <v>1.8887447052624999</v>
      </c>
      <c r="B32">
        <v>0</v>
      </c>
      <c r="C32">
        <f t="shared" si="0"/>
        <v>5.305484283932781E-22</v>
      </c>
      <c r="D32">
        <f t="shared" si="1"/>
        <v>-5.305484283932781E-22</v>
      </c>
      <c r="E32">
        <f t="shared" si="2"/>
        <v>2.8148163487057733E-43</v>
      </c>
    </row>
    <row r="33" spans="1:5" x14ac:dyDescent="0.25">
      <c r="A33">
        <v>1.9486816399375</v>
      </c>
      <c r="B33">
        <v>0</v>
      </c>
      <c r="C33">
        <f t="shared" si="0"/>
        <v>1.065123288936445E-27</v>
      </c>
      <c r="D33">
        <f t="shared" si="1"/>
        <v>-1.065123288936445E-27</v>
      </c>
      <c r="E33">
        <f t="shared" si="2"/>
        <v>1.1344876206347897E-54</v>
      </c>
    </row>
    <row r="34" spans="1:5" x14ac:dyDescent="0.25">
      <c r="A34">
        <v>2.0086185746124996</v>
      </c>
      <c r="B34">
        <v>0</v>
      </c>
      <c r="C34">
        <f t="shared" si="0"/>
        <v>1.4231575094736628E-34</v>
      </c>
      <c r="D34">
        <f t="shared" si="1"/>
        <v>-1.4231575094736628E-34</v>
      </c>
      <c r="E34">
        <f t="shared" si="2"/>
        <v>2.0253772967712786E-68</v>
      </c>
    </row>
    <row r="35" spans="1:5" x14ac:dyDescent="0.25">
      <c r="A35">
        <v>2.0685555092874996</v>
      </c>
      <c r="B35">
        <v>0</v>
      </c>
      <c r="C35">
        <f t="shared" si="0"/>
        <v>8.1248893810923349E-43</v>
      </c>
      <c r="D35">
        <f t="shared" si="1"/>
        <v>-8.1248893810923349E-43</v>
      </c>
      <c r="E35">
        <f t="shared" si="2"/>
        <v>6.6013827454986985E-85</v>
      </c>
    </row>
    <row r="36" spans="1:5" x14ac:dyDescent="0.25">
      <c r="A36">
        <v>2.1284924439624997</v>
      </c>
      <c r="B36">
        <v>0</v>
      </c>
      <c r="C36">
        <f t="shared" si="0"/>
        <v>1.2025537165975521E-52</v>
      </c>
      <c r="D36">
        <f t="shared" si="1"/>
        <v>-1.2025537165975521E-52</v>
      </c>
      <c r="E36">
        <f t="shared" si="2"/>
        <v>1.4461354413025858E-104</v>
      </c>
    </row>
    <row r="37" spans="1:5" x14ac:dyDescent="0.25">
      <c r="A37">
        <v>2.1884293786375002</v>
      </c>
      <c r="B37">
        <v>0</v>
      </c>
      <c r="C37">
        <f t="shared" si="0"/>
        <v>2.6322841181947748E-64</v>
      </c>
      <c r="D37">
        <f t="shared" si="1"/>
        <v>-2.6322841181947748E-64</v>
      </c>
      <c r="E37">
        <f t="shared" si="2"/>
        <v>6.9289196789004429E-128</v>
      </c>
    </row>
    <row r="38" spans="1:5" x14ac:dyDescent="0.25">
      <c r="A38">
        <v>2.2483663133125003</v>
      </c>
      <c r="B38">
        <v>0</v>
      </c>
      <c r="C38">
        <f t="shared" si="0"/>
        <v>4.5448685618356577E-78</v>
      </c>
      <c r="D38">
        <f t="shared" si="1"/>
        <v>-4.5448685618356577E-78</v>
      </c>
      <c r="E38">
        <f t="shared" si="2"/>
        <v>2.0655830244362121E-155</v>
      </c>
    </row>
    <row r="39" spans="1:5" x14ac:dyDescent="0.25">
      <c r="A39">
        <v>2.3083032479874999</v>
      </c>
      <c r="B39">
        <v>0</v>
      </c>
      <c r="C39">
        <f t="shared" si="0"/>
        <v>3.0686083244236894E-94</v>
      </c>
      <c r="D39">
        <f t="shared" si="1"/>
        <v>-3.0686083244236894E-94</v>
      </c>
      <c r="E39">
        <f t="shared" si="2"/>
        <v>9.4163570487223631E-188</v>
      </c>
    </row>
    <row r="40" spans="1:5" x14ac:dyDescent="0.25">
      <c r="A40">
        <v>2.3682401826624999</v>
      </c>
      <c r="B40">
        <v>1.048397841209011E-3</v>
      </c>
      <c r="C40">
        <f t="shared" si="0"/>
        <v>3.7104259373366841E-113</v>
      </c>
      <c r="D40">
        <f t="shared" si="1"/>
        <v>1.048397841209011E-3</v>
      </c>
      <c r="E40">
        <f t="shared" si="2"/>
        <v>1.0991380334517148E-6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3204-D6A6-4A43-A3B1-E10F106139D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0.70559753672499992</v>
      </c>
      <c r="B1">
        <v>1.2869188699512042E-2</v>
      </c>
      <c r="C1">
        <f>$H$3*(1+$H$1)*(A1^($H$1))*EXP(-$H$3*(A1^(1+$H$1)))</f>
        <v>0.19591263775073378</v>
      </c>
      <c r="D1">
        <f>B1-C1</f>
        <v>-0.18304344905122175</v>
      </c>
      <c r="E1">
        <f>D1^2</f>
        <v>3.3504904240567214E-2</v>
      </c>
      <c r="G1" t="s">
        <v>0</v>
      </c>
      <c r="H1">
        <v>10.085808342875122</v>
      </c>
    </row>
    <row r="2" spans="1:8" x14ac:dyDescent="0.25">
      <c r="A2">
        <v>0.74466244017499994</v>
      </c>
      <c r="B2">
        <v>9.6518915246340306E-2</v>
      </c>
      <c r="C2">
        <f t="shared" ref="C2:C40" si="0">$H$3*(1+$H$1)*(A2^($H$1))*EXP(-$H$3*(A2^(1+$H$1)))</f>
        <v>0.33389661091391659</v>
      </c>
      <c r="D2">
        <f t="shared" ref="D2:D40" si="1">B2-C2</f>
        <v>-0.23737769566757627</v>
      </c>
      <c r="E2">
        <f t="shared" ref="E2:E40" si="2">D2^2</f>
        <v>5.6348170400448462E-2</v>
      </c>
    </row>
    <row r="3" spans="1:8" x14ac:dyDescent="0.25">
      <c r="A3">
        <v>0.78372734362499996</v>
      </c>
      <c r="B3">
        <v>0.32655566325011803</v>
      </c>
      <c r="C3">
        <f t="shared" si="0"/>
        <v>0.54950512496068948</v>
      </c>
      <c r="D3">
        <f t="shared" si="1"/>
        <v>-0.22294946171057145</v>
      </c>
      <c r="E3">
        <f t="shared" si="2"/>
        <v>4.9706462477033565E-2</v>
      </c>
      <c r="G3" t="s">
        <v>1</v>
      </c>
      <c r="H3">
        <f>(_xlfn.GAMMA((2+$H$1)/(1+$H$1)))^(1+$H$1)</f>
        <v>0.60284253640284491</v>
      </c>
    </row>
    <row r="4" spans="1:8" x14ac:dyDescent="0.25">
      <c r="A4">
        <v>0.82279224707499998</v>
      </c>
      <c r="B4">
        <v>0.89601726320352593</v>
      </c>
      <c r="C4">
        <f t="shared" si="0"/>
        <v>0.8719276178028923</v>
      </c>
      <c r="D4">
        <f t="shared" si="1"/>
        <v>2.408964540063363E-2</v>
      </c>
      <c r="E4">
        <f t="shared" si="2"/>
        <v>5.8031101552826901E-4</v>
      </c>
    </row>
    <row r="5" spans="1:8" x14ac:dyDescent="0.25">
      <c r="A5">
        <v>0.861857150525</v>
      </c>
      <c r="B5">
        <v>1.6311696676631513</v>
      </c>
      <c r="C5">
        <f t="shared" si="0"/>
        <v>1.32863749456296</v>
      </c>
      <c r="D5">
        <f t="shared" si="1"/>
        <v>0.30253217310019132</v>
      </c>
      <c r="E5">
        <f t="shared" si="2"/>
        <v>9.1525715760724116E-2</v>
      </c>
      <c r="G5" t="s">
        <v>2</v>
      </c>
      <c r="H5">
        <f>SUM(E1:E40)</f>
        <v>2.9868610793022881</v>
      </c>
    </row>
    <row r="6" spans="1:8" x14ac:dyDescent="0.25">
      <c r="A6">
        <v>0.90092205397500003</v>
      </c>
      <c r="B6">
        <v>2.5657944969652133</v>
      </c>
      <c r="C6">
        <f t="shared" si="0"/>
        <v>1.9302164934907569</v>
      </c>
      <c r="D6">
        <f t="shared" si="1"/>
        <v>0.63557800347445648</v>
      </c>
      <c r="E6">
        <f t="shared" si="2"/>
        <v>0.40395939850057622</v>
      </c>
    </row>
    <row r="7" spans="1:8" x14ac:dyDescent="0.25">
      <c r="A7">
        <v>0.93998695742499994</v>
      </c>
      <c r="B7">
        <v>3.5100712177919093</v>
      </c>
      <c r="C7">
        <f t="shared" si="0"/>
        <v>2.6427180340589085</v>
      </c>
      <c r="D7">
        <f t="shared" si="1"/>
        <v>0.86735318373300085</v>
      </c>
      <c r="E7">
        <f t="shared" si="2"/>
        <v>0.75230154533177274</v>
      </c>
    </row>
    <row r="8" spans="1:8" x14ac:dyDescent="0.25">
      <c r="A8">
        <v>0.97905186087499996</v>
      </c>
      <c r="B8">
        <v>3.9556668765125136</v>
      </c>
      <c r="C8">
        <f t="shared" si="0"/>
        <v>3.3511635672402971</v>
      </c>
      <c r="D8">
        <f t="shared" si="1"/>
        <v>0.60450330927221652</v>
      </c>
      <c r="E8">
        <f t="shared" si="2"/>
        <v>0.36542425092106107</v>
      </c>
    </row>
    <row r="9" spans="1:8" x14ac:dyDescent="0.25">
      <c r="A9">
        <v>1.0181167643250002</v>
      </c>
      <c r="B9">
        <v>3.6821966166478828</v>
      </c>
      <c r="C9">
        <f t="shared" si="0"/>
        <v>3.83836022702679</v>
      </c>
      <c r="D9">
        <f t="shared" si="1"/>
        <v>-0.15616361037890725</v>
      </c>
      <c r="E9">
        <f t="shared" si="2"/>
        <v>2.4387073206575148E-2</v>
      </c>
    </row>
    <row r="10" spans="1:8" x14ac:dyDescent="0.25">
      <c r="A10">
        <v>1.0571816677750001</v>
      </c>
      <c r="B10">
        <v>3.2912950099002045</v>
      </c>
      <c r="C10">
        <f t="shared" si="0"/>
        <v>3.83335734430496</v>
      </c>
      <c r="D10">
        <f t="shared" si="1"/>
        <v>-0.54206233440475549</v>
      </c>
      <c r="E10">
        <f t="shared" si="2"/>
        <v>0.29383157438033297</v>
      </c>
    </row>
    <row r="11" spans="1:8" x14ac:dyDescent="0.25">
      <c r="A11">
        <v>1.096246571225</v>
      </c>
      <c r="B11">
        <v>2.3631047749478986</v>
      </c>
      <c r="C11">
        <f t="shared" si="0"/>
        <v>3.1795747544313935</v>
      </c>
      <c r="D11">
        <f t="shared" si="1"/>
        <v>-0.81646997948349487</v>
      </c>
      <c r="E11">
        <f t="shared" si="2"/>
        <v>0.66662322739777857</v>
      </c>
    </row>
    <row r="12" spans="1:8" x14ac:dyDescent="0.25">
      <c r="A12">
        <v>1.1353114746749999</v>
      </c>
      <c r="B12">
        <v>1.6166918303762001</v>
      </c>
      <c r="C12">
        <f t="shared" si="0"/>
        <v>2.0503983499068101</v>
      </c>
      <c r="D12">
        <f t="shared" si="1"/>
        <v>-0.43370651953061001</v>
      </c>
      <c r="E12">
        <f t="shared" si="2"/>
        <v>0.18810134508335541</v>
      </c>
    </row>
    <row r="13" spans="1:8" x14ac:dyDescent="0.25">
      <c r="A13">
        <v>1.1743763781249998</v>
      </c>
      <c r="B13">
        <v>0.9169296948402329</v>
      </c>
      <c r="C13">
        <f t="shared" si="0"/>
        <v>0.94096867013852303</v>
      </c>
      <c r="D13">
        <f t="shared" si="1"/>
        <v>-2.4038975298290133E-2</v>
      </c>
      <c r="E13">
        <f t="shared" si="2"/>
        <v>5.778723333918032E-4</v>
      </c>
    </row>
    <row r="14" spans="1:8" x14ac:dyDescent="0.25">
      <c r="A14">
        <v>1.213441281575</v>
      </c>
      <c r="B14">
        <v>0.45524755024523844</v>
      </c>
      <c r="C14">
        <f t="shared" si="0"/>
        <v>0.27334855311409756</v>
      </c>
      <c r="D14">
        <f t="shared" si="1"/>
        <v>0.18189899713114088</v>
      </c>
      <c r="E14">
        <f t="shared" si="2"/>
        <v>3.3087245157314801E-2</v>
      </c>
    </row>
    <row r="15" spans="1:8" x14ac:dyDescent="0.25">
      <c r="A15">
        <v>1.2525061850250001</v>
      </c>
      <c r="B15">
        <v>0.19303783049268061</v>
      </c>
      <c r="C15">
        <f t="shared" si="0"/>
        <v>4.3112119506736657E-2</v>
      </c>
      <c r="D15">
        <f t="shared" si="1"/>
        <v>0.14992571098594396</v>
      </c>
      <c r="E15">
        <f t="shared" si="2"/>
        <v>2.2477718814640796E-2</v>
      </c>
    </row>
    <row r="16" spans="1:8" x14ac:dyDescent="0.25">
      <c r="A16">
        <v>1.291571088475</v>
      </c>
      <c r="B16">
        <v>6.7563240672438213E-2</v>
      </c>
      <c r="C16">
        <f t="shared" si="0"/>
        <v>3.024528149752658E-3</v>
      </c>
      <c r="D16">
        <f t="shared" si="1"/>
        <v>6.453871252268556E-2</v>
      </c>
      <c r="E16">
        <f t="shared" si="2"/>
        <v>4.1652454140858495E-3</v>
      </c>
    </row>
    <row r="17" spans="1:5" x14ac:dyDescent="0.25">
      <c r="A17">
        <v>1.3306359919249999</v>
      </c>
      <c r="B17">
        <v>1.6086485874390051E-2</v>
      </c>
      <c r="C17">
        <f t="shared" si="0"/>
        <v>7.3019146935544596E-5</v>
      </c>
      <c r="D17">
        <f t="shared" si="1"/>
        <v>1.6013466727454507E-2</v>
      </c>
      <c r="E17">
        <f t="shared" si="2"/>
        <v>2.5643111663129257E-4</v>
      </c>
    </row>
    <row r="18" spans="1:5" x14ac:dyDescent="0.25">
      <c r="A18">
        <v>1.3697008953749998</v>
      </c>
      <c r="B18">
        <v>0</v>
      </c>
      <c r="C18">
        <f t="shared" si="0"/>
        <v>4.3708216535527004E-7</v>
      </c>
      <c r="D18">
        <f t="shared" si="1"/>
        <v>-4.3708216535527004E-7</v>
      </c>
      <c r="E18">
        <f t="shared" si="2"/>
        <v>1.9104081927165161E-13</v>
      </c>
    </row>
    <row r="19" spans="1:5" x14ac:dyDescent="0.25">
      <c r="A19">
        <v>1.4087657988250002</v>
      </c>
      <c r="B19">
        <v>0</v>
      </c>
      <c r="C19">
        <f t="shared" si="0"/>
        <v>4.2805309604843258E-10</v>
      </c>
      <c r="D19">
        <f t="shared" si="1"/>
        <v>-4.2805309604843258E-10</v>
      </c>
      <c r="E19">
        <f t="shared" si="2"/>
        <v>1.8322945303664865E-19</v>
      </c>
    </row>
    <row r="20" spans="1:5" x14ac:dyDescent="0.25">
      <c r="A20">
        <v>1.4478307022750001</v>
      </c>
      <c r="B20">
        <v>0</v>
      </c>
      <c r="C20">
        <f t="shared" si="0"/>
        <v>4.0632540378087044E-14</v>
      </c>
      <c r="D20">
        <f t="shared" si="1"/>
        <v>-4.0632540378087044E-14</v>
      </c>
      <c r="E20">
        <f t="shared" si="2"/>
        <v>1.6510033375768739E-27</v>
      </c>
    </row>
    <row r="21" spans="1:5" x14ac:dyDescent="0.25">
      <c r="A21">
        <v>1.486895605725</v>
      </c>
      <c r="B21">
        <v>0</v>
      </c>
      <c r="C21">
        <f t="shared" si="0"/>
        <v>1.9417638280456734E-19</v>
      </c>
      <c r="D21">
        <f t="shared" si="1"/>
        <v>-1.9417638280456734E-19</v>
      </c>
      <c r="E21">
        <f t="shared" si="2"/>
        <v>3.7704467639065877E-38</v>
      </c>
    </row>
    <row r="22" spans="1:5" x14ac:dyDescent="0.25">
      <c r="A22">
        <v>1.5259605091749999</v>
      </c>
      <c r="B22">
        <v>0</v>
      </c>
      <c r="C22">
        <f t="shared" si="0"/>
        <v>2.0684597673377488E-26</v>
      </c>
      <c r="D22">
        <f t="shared" si="1"/>
        <v>-2.0684597673377488E-26</v>
      </c>
      <c r="E22">
        <f t="shared" si="2"/>
        <v>4.278525809094934E-52</v>
      </c>
    </row>
    <row r="23" spans="1:5" x14ac:dyDescent="0.25">
      <c r="A23">
        <v>1.5650254126250001</v>
      </c>
      <c r="B23">
        <v>0</v>
      </c>
      <c r="C23">
        <f t="shared" si="0"/>
        <v>1.7935772621359939E-35</v>
      </c>
      <c r="D23">
        <f t="shared" si="1"/>
        <v>-1.7935772621359939E-35</v>
      </c>
      <c r="E23">
        <f t="shared" si="2"/>
        <v>3.2169193952512477E-70</v>
      </c>
    </row>
    <row r="24" spans="1:5" x14ac:dyDescent="0.25">
      <c r="A24">
        <v>1.604090316075</v>
      </c>
      <c r="B24">
        <v>0</v>
      </c>
      <c r="C24">
        <f t="shared" si="0"/>
        <v>3.6674837131078305E-47</v>
      </c>
      <c r="D24">
        <f t="shared" si="1"/>
        <v>-3.6674837131078305E-47</v>
      </c>
      <c r="E24">
        <f t="shared" si="2"/>
        <v>1.34504367859112E-93</v>
      </c>
    </row>
    <row r="25" spans="1:5" x14ac:dyDescent="0.25">
      <c r="A25">
        <v>1.6431552195249999</v>
      </c>
      <c r="B25">
        <v>0</v>
      </c>
      <c r="C25">
        <f t="shared" si="0"/>
        <v>3.8842924345298801E-62</v>
      </c>
      <c r="D25">
        <f t="shared" si="1"/>
        <v>-3.8842924345298801E-62</v>
      </c>
      <c r="E25">
        <f t="shared" si="2"/>
        <v>1.5087727716946063E-123</v>
      </c>
    </row>
    <row r="26" spans="1:5" x14ac:dyDescent="0.25">
      <c r="A26">
        <v>1.682220122975</v>
      </c>
      <c r="B26">
        <v>0</v>
      </c>
      <c r="C26">
        <f t="shared" si="0"/>
        <v>3.3660643616603639E-81</v>
      </c>
      <c r="D26">
        <f t="shared" si="1"/>
        <v>-3.3660643616603639E-81</v>
      </c>
      <c r="E26">
        <f t="shared" si="2"/>
        <v>1.1330389286839994E-161</v>
      </c>
    </row>
    <row r="27" spans="1:5" x14ac:dyDescent="0.25">
      <c r="A27">
        <v>1.7212850264249999</v>
      </c>
      <c r="B27">
        <v>0</v>
      </c>
      <c r="C27">
        <f t="shared" si="0"/>
        <v>2.5506310183661224E-105</v>
      </c>
      <c r="D27">
        <f t="shared" si="1"/>
        <v>-2.5506310183661224E-105</v>
      </c>
      <c r="E27">
        <f t="shared" si="2"/>
        <v>6.5057185918514025E-210</v>
      </c>
    </row>
    <row r="28" spans="1:5" x14ac:dyDescent="0.25">
      <c r="A28">
        <v>1.7603499298749998</v>
      </c>
      <c r="B28">
        <v>0</v>
      </c>
      <c r="C28">
        <f t="shared" si="0"/>
        <v>1.138430354555125E-135</v>
      </c>
      <c r="D28">
        <f t="shared" si="1"/>
        <v>-1.138430354555125E-135</v>
      </c>
      <c r="E28">
        <f t="shared" si="2"/>
        <v>1.2960236721725077E-270</v>
      </c>
    </row>
    <row r="29" spans="1:5" x14ac:dyDescent="0.25">
      <c r="A29">
        <v>1.799414833325</v>
      </c>
      <c r="B29">
        <v>0</v>
      </c>
      <c r="C29">
        <f t="shared" si="0"/>
        <v>1.1714586877330203E-173</v>
      </c>
      <c r="D29">
        <f t="shared" si="1"/>
        <v>-1.1714586877330203E-173</v>
      </c>
      <c r="E29">
        <f t="shared" si="2"/>
        <v>0</v>
      </c>
    </row>
    <row r="30" spans="1:5" x14ac:dyDescent="0.25">
      <c r="A30">
        <v>1.8384797367750001</v>
      </c>
      <c r="B30">
        <v>0</v>
      </c>
      <c r="C30">
        <f t="shared" si="0"/>
        <v>5.7564254857846026E-221</v>
      </c>
      <c r="D30">
        <f t="shared" si="1"/>
        <v>-5.7564254857846026E-221</v>
      </c>
      <c r="E30">
        <f t="shared" si="2"/>
        <v>0</v>
      </c>
    </row>
    <row r="31" spans="1:5" x14ac:dyDescent="0.25">
      <c r="A31">
        <v>1.877544640225</v>
      </c>
      <c r="B31">
        <v>0</v>
      </c>
      <c r="C31">
        <f t="shared" si="0"/>
        <v>1.3304127740529313E-279</v>
      </c>
      <c r="D31">
        <f t="shared" si="1"/>
        <v>-1.3304127740529313E-279</v>
      </c>
      <c r="E31">
        <f t="shared" si="2"/>
        <v>0</v>
      </c>
    </row>
    <row r="32" spans="1:5" x14ac:dyDescent="0.25">
      <c r="A32">
        <v>1.9166095436749999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1.955674447125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1.9947393505750002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2.0338042540250001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2.072869157475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2.1119340609249999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2.1509989643749998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2.1900638678250002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2.2291287712750001</v>
      </c>
      <c r="B40">
        <v>1.6086485874390053E-3</v>
      </c>
      <c r="C40">
        <f t="shared" si="0"/>
        <v>0</v>
      </c>
      <c r="D40">
        <f t="shared" si="1"/>
        <v>1.6086485874390053E-3</v>
      </c>
      <c r="E40">
        <f t="shared" si="2"/>
        <v>2.5877502778695068E-6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3FDF-A7A0-4FB5-A645-8B1937F3F3C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0.79107089296249999</v>
      </c>
      <c r="B1">
        <v>3.2175250529953771E-2</v>
      </c>
      <c r="C1">
        <f>$H$3*(1+$H$1)*(A1^($H$1))*EXP(-$H$3*(A1^(1+$H$1)))</f>
        <v>0.29486870436025331</v>
      </c>
      <c r="D1">
        <f>B1-C1</f>
        <v>-0.26269345383029952</v>
      </c>
      <c r="E1">
        <f>D1^2</f>
        <v>6.9007850685291708E-2</v>
      </c>
      <c r="G1" t="s">
        <v>0</v>
      </c>
      <c r="H1">
        <v>14.631731784592695</v>
      </c>
    </row>
    <row r="2" spans="1:8" x14ac:dyDescent="0.25">
      <c r="A2">
        <v>0.82622460688749999</v>
      </c>
      <c r="B2">
        <v>0.20556410060803795</v>
      </c>
      <c r="C2">
        <f t="shared" ref="C2:C40" si="0">$H$3*(1+$H$1)*(A2^($H$1))*EXP(-$H$3*(A2^(1+$H$1)))</f>
        <v>0.54892414252890742</v>
      </c>
      <c r="D2">
        <f t="shared" ref="D2:D40" si="1">B2-C2</f>
        <v>-0.34336004192086944</v>
      </c>
      <c r="E2">
        <f t="shared" ref="E2:E40" si="2">D2^2</f>
        <v>0.11789611838790122</v>
      </c>
    </row>
    <row r="3" spans="1:8" x14ac:dyDescent="0.25">
      <c r="A3">
        <v>0.86137832081249999</v>
      </c>
      <c r="B3">
        <v>0.85443165296210566</v>
      </c>
      <c r="C3">
        <f t="shared" si="0"/>
        <v>0.98257558473570317</v>
      </c>
      <c r="D3">
        <f t="shared" si="1"/>
        <v>-0.12814393177359751</v>
      </c>
      <c r="E3">
        <f t="shared" si="2"/>
        <v>1.6420867250396414E-2</v>
      </c>
      <c r="G3" t="s">
        <v>1</v>
      </c>
      <c r="H3">
        <f>(_xlfn.GAMMA((2+$H$1)/(1+$H$1)))^(1+$H$1)</f>
        <v>0.59086205410820458</v>
      </c>
    </row>
    <row r="4" spans="1:8" x14ac:dyDescent="0.25">
      <c r="A4">
        <v>0.89653203473749998</v>
      </c>
      <c r="B4">
        <v>2.1003288540386489</v>
      </c>
      <c r="C4">
        <f t="shared" si="0"/>
        <v>1.6784661083731869</v>
      </c>
      <c r="D4">
        <f t="shared" si="1"/>
        <v>0.421862745665462</v>
      </c>
      <c r="E4">
        <f t="shared" si="2"/>
        <v>0.17796817618040228</v>
      </c>
    </row>
    <row r="5" spans="1:8" x14ac:dyDescent="0.25">
      <c r="A5">
        <v>0.93168574866249998</v>
      </c>
      <c r="B5">
        <v>3.7037288387813447</v>
      </c>
      <c r="C5">
        <f t="shared" si="0"/>
        <v>2.6974525627536572</v>
      </c>
      <c r="D5">
        <f t="shared" si="1"/>
        <v>1.0062762760276875</v>
      </c>
      <c r="E5">
        <f t="shared" si="2"/>
        <v>1.0125919436961508</v>
      </c>
      <c r="G5" t="s">
        <v>2</v>
      </c>
      <c r="H5">
        <f>SUM(E1:E40)</f>
        <v>5.1520824039229351</v>
      </c>
    </row>
    <row r="6" spans="1:8" x14ac:dyDescent="0.25">
      <c r="A6">
        <v>0.96683946258749998</v>
      </c>
      <c r="B6">
        <v>5.1194398620993109</v>
      </c>
      <c r="C6">
        <f t="shared" si="0"/>
        <v>3.978594965381574</v>
      </c>
      <c r="D6">
        <f t="shared" si="1"/>
        <v>1.1408448967177369</v>
      </c>
      <c r="E6">
        <f t="shared" si="2"/>
        <v>1.3015270783669037</v>
      </c>
    </row>
    <row r="7" spans="1:8" x14ac:dyDescent="0.25">
      <c r="A7">
        <v>1.0019931765124999</v>
      </c>
      <c r="B7">
        <v>5.4554924787454944</v>
      </c>
      <c r="C7">
        <f t="shared" si="0"/>
        <v>5.1692236967865739</v>
      </c>
      <c r="D7">
        <f t="shared" si="1"/>
        <v>0.28626878195892047</v>
      </c>
      <c r="E7">
        <f t="shared" si="2"/>
        <v>8.1949815524243949E-2</v>
      </c>
    </row>
    <row r="8" spans="1:8" x14ac:dyDescent="0.25">
      <c r="A8">
        <v>1.0371468904375001</v>
      </c>
      <c r="B8">
        <v>4.7708746480248116</v>
      </c>
      <c r="C8">
        <f t="shared" si="0"/>
        <v>5.5391898702239875</v>
      </c>
      <c r="D8">
        <f t="shared" si="1"/>
        <v>-0.76831522219917581</v>
      </c>
      <c r="E8">
        <f t="shared" si="2"/>
        <v>0.59030828066296892</v>
      </c>
    </row>
    <row r="9" spans="1:8" x14ac:dyDescent="0.25">
      <c r="A9">
        <v>1.0723006043625001</v>
      </c>
      <c r="B9">
        <v>3.1781997467920999</v>
      </c>
      <c r="C9">
        <f t="shared" si="0"/>
        <v>4.4151040019027628</v>
      </c>
      <c r="D9">
        <f t="shared" si="1"/>
        <v>-1.2369042551106628</v>
      </c>
      <c r="E9">
        <f t="shared" si="2"/>
        <v>1.5299321363108636</v>
      </c>
    </row>
    <row r="10" spans="1:8" x14ac:dyDescent="0.25">
      <c r="A10">
        <v>1.1074543182875001</v>
      </c>
      <c r="B10">
        <v>1.86973955857398</v>
      </c>
      <c r="C10">
        <f t="shared" si="0"/>
        <v>2.2328268794953456</v>
      </c>
      <c r="D10">
        <f t="shared" si="1"/>
        <v>-0.36308732092136564</v>
      </c>
      <c r="E10">
        <f t="shared" si="2"/>
        <v>0.13183240261385476</v>
      </c>
    </row>
    <row r="11" spans="1:8" x14ac:dyDescent="0.25">
      <c r="A11">
        <v>1.1426080322125001</v>
      </c>
      <c r="B11">
        <v>0.80974380500383647</v>
      </c>
      <c r="C11">
        <f t="shared" si="0"/>
        <v>0.56305750048823822</v>
      </c>
      <c r="D11">
        <f t="shared" si="1"/>
        <v>0.24668630451559825</v>
      </c>
      <c r="E11">
        <f t="shared" si="2"/>
        <v>6.0854132835562472E-2</v>
      </c>
    </row>
    <row r="12" spans="1:8" x14ac:dyDescent="0.25">
      <c r="A12">
        <v>1.1777617461375001</v>
      </c>
      <c r="B12">
        <v>0.29493979652457619</v>
      </c>
      <c r="C12">
        <f t="shared" si="0"/>
        <v>4.9398399188313381E-2</v>
      </c>
      <c r="D12">
        <f t="shared" si="1"/>
        <v>0.24554139733626282</v>
      </c>
      <c r="E12">
        <f t="shared" si="2"/>
        <v>6.0290577805844493E-2</v>
      </c>
    </row>
    <row r="13" spans="1:8" x14ac:dyDescent="0.25">
      <c r="A13">
        <v>1.2129154600625001</v>
      </c>
      <c r="B13">
        <v>3.753779228494606E-2</v>
      </c>
      <c r="C13">
        <f t="shared" si="0"/>
        <v>8.8672276580844742E-4</v>
      </c>
      <c r="D13">
        <f t="shared" si="1"/>
        <v>3.6651069519137616E-2</v>
      </c>
      <c r="E13">
        <f t="shared" si="2"/>
        <v>1.3433008968966585E-3</v>
      </c>
    </row>
    <row r="14" spans="1:8" x14ac:dyDescent="0.25">
      <c r="A14">
        <v>1.2480691739875001</v>
      </c>
      <c r="B14">
        <v>1.2512597428315354E-2</v>
      </c>
      <c r="C14">
        <f t="shared" si="0"/>
        <v>1.5023664902337923E-6</v>
      </c>
      <c r="D14">
        <f t="shared" si="1"/>
        <v>1.251109506182512E-2</v>
      </c>
      <c r="E14">
        <f t="shared" si="2"/>
        <v>1.5652749964602489E-4</v>
      </c>
    </row>
    <row r="15" spans="1:8" x14ac:dyDescent="0.25">
      <c r="A15">
        <v>1.2832228879124998</v>
      </c>
      <c r="B15">
        <v>0</v>
      </c>
      <c r="C15">
        <f t="shared" si="0"/>
        <v>7.8772742135741795E-11</v>
      </c>
      <c r="D15">
        <f t="shared" si="1"/>
        <v>-7.8772742135741795E-11</v>
      </c>
      <c r="E15">
        <f t="shared" si="2"/>
        <v>6.2051449035840712E-21</v>
      </c>
    </row>
    <row r="16" spans="1:8" x14ac:dyDescent="0.25">
      <c r="A16">
        <v>1.3183766018375001</v>
      </c>
      <c r="B16">
        <v>0</v>
      </c>
      <c r="C16">
        <f t="shared" si="0"/>
        <v>2.6045811789253736E-17</v>
      </c>
      <c r="D16">
        <f t="shared" si="1"/>
        <v>-2.6045811789253736E-17</v>
      </c>
      <c r="E16">
        <f t="shared" si="2"/>
        <v>6.7838431176122891E-34</v>
      </c>
    </row>
    <row r="17" spans="1:5" x14ac:dyDescent="0.25">
      <c r="A17">
        <v>1.3535303157625</v>
      </c>
      <c r="B17">
        <v>0</v>
      </c>
      <c r="C17">
        <f t="shared" si="0"/>
        <v>5.74046494284535E-27</v>
      </c>
      <c r="D17">
        <f t="shared" si="1"/>
        <v>-5.74046494284535E-27</v>
      </c>
      <c r="E17">
        <f t="shared" si="2"/>
        <v>3.2952937760036467E-53</v>
      </c>
    </row>
    <row r="18" spans="1:5" x14ac:dyDescent="0.25">
      <c r="A18">
        <v>1.3886840296875</v>
      </c>
      <c r="B18">
        <v>0</v>
      </c>
      <c r="C18">
        <f t="shared" si="0"/>
        <v>3.6312086448320947E-41</v>
      </c>
      <c r="D18">
        <f t="shared" si="1"/>
        <v>-3.6312086448320947E-41</v>
      </c>
      <c r="E18">
        <f t="shared" si="2"/>
        <v>1.3185676222303338E-81</v>
      </c>
    </row>
    <row r="19" spans="1:5" x14ac:dyDescent="0.25">
      <c r="A19">
        <v>1.4238377436125</v>
      </c>
      <c r="B19">
        <v>0</v>
      </c>
      <c r="C19">
        <f t="shared" si="0"/>
        <v>8.3905511279364131E-62</v>
      </c>
      <c r="D19">
        <f t="shared" si="1"/>
        <v>-8.3905511279364131E-62</v>
      </c>
      <c r="E19">
        <f t="shared" si="2"/>
        <v>7.0401348230515009E-123</v>
      </c>
    </row>
    <row r="20" spans="1:5" x14ac:dyDescent="0.25">
      <c r="A20">
        <v>1.4589914575375</v>
      </c>
      <c r="B20">
        <v>0</v>
      </c>
      <c r="C20">
        <f t="shared" si="0"/>
        <v>1.7465082129508832E-91</v>
      </c>
      <c r="D20">
        <f t="shared" si="1"/>
        <v>-1.7465082129508832E-91</v>
      </c>
      <c r="E20">
        <f t="shared" si="2"/>
        <v>3.0502909379048878E-182</v>
      </c>
    </row>
    <row r="21" spans="1:5" x14ac:dyDescent="0.25">
      <c r="A21">
        <v>1.4941451714625003</v>
      </c>
      <c r="B21">
        <v>0</v>
      </c>
      <c r="C21">
        <f t="shared" si="0"/>
        <v>9.0063472901661183E-134</v>
      </c>
      <c r="D21">
        <f t="shared" si="1"/>
        <v>-9.0063472901661183E-134</v>
      </c>
      <c r="E21">
        <f t="shared" si="2"/>
        <v>8.1114291511082575E-267</v>
      </c>
    </row>
    <row r="22" spans="1:5" x14ac:dyDescent="0.25">
      <c r="A22">
        <v>1.5292988853875</v>
      </c>
      <c r="B22">
        <v>0</v>
      </c>
      <c r="C22">
        <f t="shared" si="0"/>
        <v>1.7214701608614309E-193</v>
      </c>
      <c r="D22">
        <f t="shared" si="1"/>
        <v>-1.7214701608614309E-193</v>
      </c>
      <c r="E22">
        <f t="shared" si="2"/>
        <v>0</v>
      </c>
    </row>
    <row r="23" spans="1:5" x14ac:dyDescent="0.25">
      <c r="A23">
        <v>1.5644525993125</v>
      </c>
      <c r="B23">
        <v>0</v>
      </c>
      <c r="C23">
        <f t="shared" si="0"/>
        <v>3.9291586624597364E-277</v>
      </c>
      <c r="D23">
        <f t="shared" si="1"/>
        <v>-3.9291586624597364E-277</v>
      </c>
      <c r="E23">
        <f t="shared" si="2"/>
        <v>0</v>
      </c>
    </row>
    <row r="24" spans="1:5" x14ac:dyDescent="0.25">
      <c r="A24">
        <v>1.5996063132375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1.6347600271625002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1.6699137410875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1.7050674550125002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1.7402211689375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1.7753748828625002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1.8105285967875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1.8456823107125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1.8808360246375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1.9159897385625002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1.9511434524875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1.9862971664124998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2.0214508803375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2.0566045942625002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2.0917583081875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2.1269120221125002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2.1620657360375</v>
      </c>
      <c r="B40">
        <v>1.7875139183307649E-3</v>
      </c>
      <c r="C40">
        <f t="shared" si="0"/>
        <v>0</v>
      </c>
      <c r="D40">
        <f t="shared" si="1"/>
        <v>1.7875139183307649E-3</v>
      </c>
      <c r="E40">
        <f t="shared" si="2"/>
        <v>3.1952060082262041E-6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B5A3-DFC8-4A4A-A2B5-3A7E98BC53C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0.91131294779999994</v>
      </c>
      <c r="B1">
        <v>0.23078990081900189</v>
      </c>
      <c r="C1">
        <f>$H$3*(1+$H$1)*(A1^($H$1))*EXP(-$H$3*(A1^(1+$H$1)))</f>
        <v>0.90577485594034635</v>
      </c>
      <c r="D1">
        <f>B1-C1</f>
        <v>-0.67498495512134449</v>
      </c>
      <c r="E1">
        <f>D1^2</f>
        <v>0.45560468964016343</v>
      </c>
      <c r="G1" t="s">
        <v>0</v>
      </c>
      <c r="H1">
        <v>32.721787570368633</v>
      </c>
    </row>
    <row r="2" spans="1:8" x14ac:dyDescent="0.25">
      <c r="A2">
        <v>0.94126292739999995</v>
      </c>
      <c r="B2">
        <v>2.561767899090921</v>
      </c>
      <c r="C2">
        <f t="shared" ref="C2:C40" si="0">$H$3*(1+$H$1)*(A2^($H$1))*EXP(-$H$3*(A2^(1+$H$1)))</f>
        <v>2.48319278017558</v>
      </c>
      <c r="D2">
        <f t="shared" ref="D2:D40" si="1">B2-C2</f>
        <v>7.8575118915340969E-2</v>
      </c>
      <c r="E2">
        <f t="shared" ref="E2:E40" si="2">D2^2</f>
        <v>6.1740493125599745E-3</v>
      </c>
    </row>
    <row r="3" spans="1:8" x14ac:dyDescent="0.25">
      <c r="A3">
        <v>0.97121290700000007</v>
      </c>
      <c r="B3">
        <v>8.3734772197148768</v>
      </c>
      <c r="C3">
        <f t="shared" si="0"/>
        <v>6.0159228384326591</v>
      </c>
      <c r="D3">
        <f t="shared" si="1"/>
        <v>2.3575543812822177</v>
      </c>
      <c r="E3">
        <f t="shared" si="2"/>
        <v>5.5580626607029808</v>
      </c>
      <c r="G3" t="s">
        <v>1</v>
      </c>
      <c r="H3">
        <f>(_xlfn.GAMMA((2+$H$1)/(1+$H$1)))^(1+$H$1)</f>
        <v>0.57512300429892838</v>
      </c>
    </row>
    <row r="4" spans="1:8" x14ac:dyDescent="0.25">
      <c r="A4">
        <v>1.0011628866000002</v>
      </c>
      <c r="B4">
        <v>12.103881252952926</v>
      </c>
      <c r="C4">
        <f t="shared" si="0"/>
        <v>11.077231373749957</v>
      </c>
      <c r="D4">
        <f t="shared" si="1"/>
        <v>1.026649879202969</v>
      </c>
      <c r="E4">
        <f t="shared" si="2"/>
        <v>1.0540099744674709</v>
      </c>
    </row>
    <row r="5" spans="1:8" x14ac:dyDescent="0.25">
      <c r="A5">
        <v>1.0311128662</v>
      </c>
      <c r="B5">
        <v>7.5762030168855983</v>
      </c>
      <c r="C5">
        <f t="shared" si="0"/>
        <v>10.500460326018814</v>
      </c>
      <c r="D5">
        <f t="shared" si="1"/>
        <v>-2.9242573091332158</v>
      </c>
      <c r="E5">
        <f t="shared" si="2"/>
        <v>8.5512808100190352</v>
      </c>
      <c r="G5" t="s">
        <v>2</v>
      </c>
      <c r="H5">
        <f>SUM(E1:E40)</f>
        <v>15.812549389071808</v>
      </c>
    </row>
    <row r="6" spans="1:8" x14ac:dyDescent="0.25">
      <c r="A6">
        <v>1.0610628458</v>
      </c>
      <c r="B6">
        <v>2.3016047381676823</v>
      </c>
      <c r="C6">
        <f t="shared" si="0"/>
        <v>1.9352151179160506</v>
      </c>
      <c r="D6">
        <f t="shared" si="1"/>
        <v>0.36638962025163169</v>
      </c>
      <c r="E6">
        <f t="shared" si="2"/>
        <v>0.13424135382813487</v>
      </c>
    </row>
    <row r="7" spans="1:8" x14ac:dyDescent="0.25">
      <c r="A7">
        <v>1.0910128254</v>
      </c>
      <c r="B7">
        <v>0.23708417084133829</v>
      </c>
      <c r="C7">
        <f t="shared" si="0"/>
        <v>6.5043643875881702E-3</v>
      </c>
      <c r="D7">
        <f t="shared" si="1"/>
        <v>0.23057980645375012</v>
      </c>
      <c r="E7">
        <f t="shared" si="2"/>
        <v>5.3167047144248865E-2</v>
      </c>
    </row>
    <row r="8" spans="1:8" x14ac:dyDescent="0.25">
      <c r="A8">
        <v>1.120962805</v>
      </c>
      <c r="B8">
        <v>2.0980900074454717E-3</v>
      </c>
      <c r="C8">
        <f t="shared" si="0"/>
        <v>1.4638336015258258E-9</v>
      </c>
      <c r="D8">
        <f t="shared" si="1"/>
        <v>2.0980885436118701E-3</v>
      </c>
      <c r="E8">
        <f t="shared" si="2"/>
        <v>4.4019755368353783E-6</v>
      </c>
    </row>
    <row r="9" spans="1:8" x14ac:dyDescent="0.25">
      <c r="A9">
        <v>1.1509127846</v>
      </c>
      <c r="B9">
        <v>0</v>
      </c>
      <c r="C9">
        <f t="shared" si="0"/>
        <v>5.1155772456050422E-26</v>
      </c>
      <c r="D9">
        <f t="shared" si="1"/>
        <v>-5.1155772456050422E-26</v>
      </c>
      <c r="E9">
        <f t="shared" si="2"/>
        <v>2.616913055575207E-51</v>
      </c>
    </row>
    <row r="10" spans="1:8" x14ac:dyDescent="0.25">
      <c r="A10">
        <v>1.1808627642</v>
      </c>
      <c r="B10">
        <v>0</v>
      </c>
      <c r="C10">
        <f t="shared" si="0"/>
        <v>4.9253835971423625E-65</v>
      </c>
      <c r="D10">
        <f t="shared" si="1"/>
        <v>-4.9253835971423625E-65</v>
      </c>
      <c r="E10">
        <f t="shared" si="2"/>
        <v>2.4259403578999038E-129</v>
      </c>
    </row>
    <row r="11" spans="1:8" x14ac:dyDescent="0.25">
      <c r="A11">
        <v>1.2108127438</v>
      </c>
      <c r="B11">
        <v>0</v>
      </c>
      <c r="C11">
        <f t="shared" si="0"/>
        <v>7.2995454851545583E-155</v>
      </c>
      <c r="D11">
        <f t="shared" si="1"/>
        <v>-7.2995454851545583E-155</v>
      </c>
      <c r="E11">
        <f t="shared" si="2"/>
        <v>0</v>
      </c>
    </row>
    <row r="12" spans="1:8" x14ac:dyDescent="0.25">
      <c r="A12">
        <v>1.2407627234</v>
      </c>
      <c r="B12">
        <v>0</v>
      </c>
      <c r="C12">
        <f t="shared" si="0"/>
        <v>0</v>
      </c>
      <c r="D12">
        <f t="shared" si="1"/>
        <v>0</v>
      </c>
      <c r="E12">
        <f t="shared" si="2"/>
        <v>0</v>
      </c>
    </row>
    <row r="13" spans="1:8" x14ac:dyDescent="0.25">
      <c r="A13">
        <v>1.2707127030000001</v>
      </c>
      <c r="B13">
        <v>0</v>
      </c>
      <c r="C13">
        <f t="shared" si="0"/>
        <v>0</v>
      </c>
      <c r="D13">
        <f t="shared" si="1"/>
        <v>0</v>
      </c>
      <c r="E13">
        <f t="shared" si="2"/>
        <v>0</v>
      </c>
    </row>
    <row r="14" spans="1:8" x14ac:dyDescent="0.25">
      <c r="A14">
        <v>1.3006626826000001</v>
      </c>
      <c r="B14">
        <v>0</v>
      </c>
      <c r="C14">
        <f t="shared" si="0"/>
        <v>0</v>
      </c>
      <c r="D14">
        <f t="shared" si="1"/>
        <v>0</v>
      </c>
      <c r="E14">
        <f t="shared" si="2"/>
        <v>0</v>
      </c>
    </row>
    <row r="15" spans="1:8" x14ac:dyDescent="0.25">
      <c r="A15">
        <v>1.3306126622000001</v>
      </c>
      <c r="B15">
        <v>0</v>
      </c>
      <c r="C15">
        <f t="shared" si="0"/>
        <v>0</v>
      </c>
      <c r="D15">
        <f t="shared" si="1"/>
        <v>0</v>
      </c>
      <c r="E15">
        <f t="shared" si="2"/>
        <v>0</v>
      </c>
    </row>
    <row r="16" spans="1:8" x14ac:dyDescent="0.25">
      <c r="A16">
        <v>1.3605626418000001</v>
      </c>
      <c r="B16">
        <v>0</v>
      </c>
      <c r="C16">
        <f t="shared" si="0"/>
        <v>0</v>
      </c>
      <c r="D16">
        <f t="shared" si="1"/>
        <v>0</v>
      </c>
      <c r="E16">
        <f t="shared" si="2"/>
        <v>0</v>
      </c>
    </row>
    <row r="17" spans="1:5" x14ac:dyDescent="0.25">
      <c r="A17">
        <v>1.3905126214000001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1.4204626010000001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1.4504125806000001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1.4803625602000001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1.5103125398000001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1.5402625194000001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1.5702124990000002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1.6001624786000002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1.6301124582000002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1.6600624378000002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1.6900124174000002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1.7199623970000002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1.7499123766000002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1.7798623562000002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1.8098123358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1.8397623154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1.869712295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1.8996622746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1.9296122542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1.9595622338000001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1.9895122134000001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2.0194621929999998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2.0494121726000003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2.0793621521999999</v>
      </c>
      <c r="B40">
        <v>2.0980900074454717E-3</v>
      </c>
      <c r="C40">
        <f t="shared" si="0"/>
        <v>0</v>
      </c>
      <c r="D40">
        <f t="shared" si="1"/>
        <v>2.0980900074454717E-3</v>
      </c>
      <c r="E40">
        <f t="shared" si="2"/>
        <v>4.4019816793425398E-6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325E-B777-48D6-9F15-B12E6A05B931}">
  <dimension ref="A1:H40"/>
  <sheetViews>
    <sheetView tabSelected="1" workbookViewId="0">
      <selection activeCell="M9" sqref="M9"/>
    </sheetView>
  </sheetViews>
  <sheetFormatPr defaultColWidth="11" defaultRowHeight="15.75" x14ac:dyDescent="0.25"/>
  <sheetData>
    <row r="1" spans="1:8" x14ac:dyDescent="0.25">
      <c r="A1">
        <v>0.98039134248749993</v>
      </c>
      <c r="B1">
        <v>10.118377293255968</v>
      </c>
      <c r="C1">
        <f>$H$3*(1+$H$1)*(A1^($H$1))*EXP(-$H$3*(A1^(1+$H$1)))</f>
        <v>8.7580590242535425</v>
      </c>
      <c r="D1">
        <f>B1-C1</f>
        <v>1.3603182690024251</v>
      </c>
      <c r="E1">
        <f>D1^2</f>
        <v>1.8504657929817543</v>
      </c>
      <c r="G1" t="s">
        <v>0</v>
      </c>
      <c r="H1">
        <v>70.487445356991429</v>
      </c>
    </row>
    <row r="2" spans="1:8" x14ac:dyDescent="0.25">
      <c r="A2">
        <v>1.0074618654625001</v>
      </c>
      <c r="B2">
        <v>26.1698980509676</v>
      </c>
      <c r="C2">
        <f t="shared" ref="C2:C40" si="0">$H$3*(1+$H$1)*(A2^($H$1))*EXP(-$H$3*(A2^(1+$H$1)))</f>
        <v>26.088765770912552</v>
      </c>
      <c r="D2">
        <f t="shared" ref="D2:D40" si="1">B2-C2</f>
        <v>8.1132280055047801E-2</v>
      </c>
      <c r="E2">
        <f t="shared" ref="E2:E40" si="2">D2^2</f>
        <v>6.5824468669307074E-3</v>
      </c>
    </row>
    <row r="3" spans="1:8" x14ac:dyDescent="0.25">
      <c r="A3">
        <v>1.0345323884375</v>
      </c>
      <c r="B3">
        <v>0.64763185703565374</v>
      </c>
      <c r="C3">
        <f t="shared" si="0"/>
        <v>0.7156597083882773</v>
      </c>
      <c r="D3">
        <f t="shared" si="1"/>
        <v>-6.802785135262357E-2</v>
      </c>
      <c r="E3">
        <f t="shared" si="2"/>
        <v>4.627788559654648E-3</v>
      </c>
      <c r="G3" t="s">
        <v>1</v>
      </c>
      <c r="H3">
        <f>(_xlfn.GAMMA((2+$H$1)/(1+$H$1)))^(1+$H$1)</f>
        <v>0.5679122954537078</v>
      </c>
    </row>
    <row r="4" spans="1:8" x14ac:dyDescent="0.25">
      <c r="A4">
        <v>1.0616029114125001</v>
      </c>
      <c r="B4">
        <v>0</v>
      </c>
      <c r="C4">
        <f t="shared" si="0"/>
        <v>5.447620940830294E-15</v>
      </c>
      <c r="D4">
        <f t="shared" si="1"/>
        <v>-5.447620940830294E-15</v>
      </c>
      <c r="E4">
        <f t="shared" si="2"/>
        <v>2.9676573914972736E-29</v>
      </c>
    </row>
    <row r="5" spans="1:8" x14ac:dyDescent="0.25">
      <c r="A5">
        <v>1.0886734343875</v>
      </c>
      <c r="B5">
        <v>2.3212611363285082E-3</v>
      </c>
      <c r="C5">
        <f t="shared" si="0"/>
        <v>1.2913167679666211E-103</v>
      </c>
      <c r="D5">
        <f t="shared" si="1"/>
        <v>2.3212611363285082E-3</v>
      </c>
      <c r="E5">
        <f t="shared" si="2"/>
        <v>5.3882532630291169E-6</v>
      </c>
      <c r="G5" t="s">
        <v>2</v>
      </c>
      <c r="H5">
        <f>SUM(E1:E40)</f>
        <v>1.8616868049148658</v>
      </c>
    </row>
    <row r="6" spans="1:8" x14ac:dyDescent="0.25">
      <c r="A6">
        <v>1.1157439573624999</v>
      </c>
      <c r="B6">
        <v>0</v>
      </c>
      <c r="C6">
        <f t="shared" si="0"/>
        <v>0</v>
      </c>
      <c r="D6">
        <f t="shared" si="1"/>
        <v>0</v>
      </c>
      <c r="E6">
        <f t="shared" si="2"/>
        <v>0</v>
      </c>
    </row>
    <row r="7" spans="1:8" x14ac:dyDescent="0.25">
      <c r="A7">
        <v>1.1428144803375</v>
      </c>
      <c r="B7">
        <v>0</v>
      </c>
      <c r="C7">
        <f t="shared" si="0"/>
        <v>0</v>
      </c>
      <c r="D7">
        <f t="shared" si="1"/>
        <v>0</v>
      </c>
      <c r="E7">
        <f t="shared" si="2"/>
        <v>0</v>
      </c>
    </row>
    <row r="8" spans="1:8" x14ac:dyDescent="0.25">
      <c r="A8">
        <v>1.1698850033124999</v>
      </c>
      <c r="B8">
        <v>0</v>
      </c>
      <c r="C8">
        <f t="shared" si="0"/>
        <v>0</v>
      </c>
      <c r="D8">
        <f t="shared" si="1"/>
        <v>0</v>
      </c>
      <c r="E8">
        <f t="shared" si="2"/>
        <v>0</v>
      </c>
    </row>
    <row r="9" spans="1:8" x14ac:dyDescent="0.25">
      <c r="A9">
        <v>1.1969555262875</v>
      </c>
      <c r="B9">
        <v>0</v>
      </c>
      <c r="C9">
        <f t="shared" si="0"/>
        <v>0</v>
      </c>
      <c r="D9">
        <f t="shared" si="1"/>
        <v>0</v>
      </c>
      <c r="E9">
        <f t="shared" si="2"/>
        <v>0</v>
      </c>
    </row>
    <row r="10" spans="1:8" x14ac:dyDescent="0.25">
      <c r="A10">
        <v>1.2240260492624999</v>
      </c>
      <c r="B10">
        <v>0</v>
      </c>
      <c r="C10">
        <f t="shared" si="0"/>
        <v>0</v>
      </c>
      <c r="D10">
        <f t="shared" si="1"/>
        <v>0</v>
      </c>
      <c r="E10">
        <f t="shared" si="2"/>
        <v>0</v>
      </c>
    </row>
    <row r="11" spans="1:8" x14ac:dyDescent="0.25">
      <c r="A11">
        <v>1.2510965722375</v>
      </c>
      <c r="B11">
        <v>0</v>
      </c>
      <c r="C11">
        <f t="shared" si="0"/>
        <v>0</v>
      </c>
      <c r="D11">
        <f t="shared" si="1"/>
        <v>0</v>
      </c>
      <c r="E11">
        <f t="shared" si="2"/>
        <v>0</v>
      </c>
    </row>
    <row r="12" spans="1:8" x14ac:dyDescent="0.25">
      <c r="A12">
        <v>1.2781670952124999</v>
      </c>
      <c r="B12">
        <v>0</v>
      </c>
      <c r="C12">
        <f t="shared" si="0"/>
        <v>0</v>
      </c>
      <c r="D12">
        <f t="shared" si="1"/>
        <v>0</v>
      </c>
      <c r="E12">
        <f t="shared" si="2"/>
        <v>0</v>
      </c>
    </row>
    <row r="13" spans="1:8" x14ac:dyDescent="0.25">
      <c r="A13">
        <v>1.3052376181874998</v>
      </c>
      <c r="B13">
        <v>0</v>
      </c>
      <c r="C13">
        <f t="shared" si="0"/>
        <v>0</v>
      </c>
      <c r="D13">
        <f t="shared" si="1"/>
        <v>0</v>
      </c>
      <c r="E13">
        <f t="shared" si="2"/>
        <v>0</v>
      </c>
    </row>
    <row r="14" spans="1:8" x14ac:dyDescent="0.25">
      <c r="A14">
        <v>1.3323081411625</v>
      </c>
      <c r="B14">
        <v>0</v>
      </c>
      <c r="C14">
        <f t="shared" si="0"/>
        <v>0</v>
      </c>
      <c r="D14">
        <f t="shared" si="1"/>
        <v>0</v>
      </c>
      <c r="E14">
        <f t="shared" si="2"/>
        <v>0</v>
      </c>
    </row>
    <row r="15" spans="1:8" x14ac:dyDescent="0.25">
      <c r="A15">
        <v>1.3593786641374999</v>
      </c>
      <c r="B15">
        <v>0</v>
      </c>
      <c r="C15">
        <f t="shared" si="0"/>
        <v>0</v>
      </c>
      <c r="D15">
        <f t="shared" si="1"/>
        <v>0</v>
      </c>
      <c r="E15">
        <f t="shared" si="2"/>
        <v>0</v>
      </c>
    </row>
    <row r="16" spans="1:8" x14ac:dyDescent="0.25">
      <c r="A16">
        <v>1.3864491871125</v>
      </c>
      <c r="B16">
        <v>0</v>
      </c>
      <c r="C16">
        <f t="shared" si="0"/>
        <v>0</v>
      </c>
      <c r="D16">
        <f t="shared" si="1"/>
        <v>0</v>
      </c>
      <c r="E16">
        <f t="shared" si="2"/>
        <v>0</v>
      </c>
    </row>
    <row r="17" spans="1:5" x14ac:dyDescent="0.25">
      <c r="A17">
        <v>1.4135197100874999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1.4405902330624998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1.4676607560374999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1.4947312790125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1.5218018019874999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1.5488723249625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1.5759428479374999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1.6030133709124998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1.6300838938875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1.6571544168624999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1.6842249398375002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1.7112954628125001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1.7383659857875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1.7654365087624999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1.7925070317375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1.8195775547124999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1.8466480776874998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1.8737186006625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1.9007891236374999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1.9278596466125002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1.9549301695875001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1.9820006925625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2.0090712155374999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2.0361417385124998</v>
      </c>
      <c r="B40">
        <v>2.3212611363285082E-3</v>
      </c>
      <c r="C40">
        <f t="shared" si="0"/>
        <v>0</v>
      </c>
      <c r="D40">
        <f t="shared" si="1"/>
        <v>2.3212611363285082E-3</v>
      </c>
      <c r="E40">
        <f t="shared" si="2"/>
        <v>5.3882532630291169E-6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Brody</vt:lpstr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2024-10-06T01:04:10Z</dcterms:modified>
</cp:coreProperties>
</file>