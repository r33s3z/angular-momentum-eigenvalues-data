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2446" documentId="115_{6B5C5501-3F7B-4DE0-AC67-CB4D28EE8125}" xr6:coauthVersionLast="47" xr6:coauthVersionMax="47" xr10:uidLastSave="{C77734E5-9C8C-4F02-834C-20F89B83C2A7}"/>
  <bookViews>
    <workbookView xWindow="-120" yWindow="-120" windowWidth="29040" windowHeight="15720" tabRatio="1000" activeTab="31" xr2:uid="{52D9C27D-0EF6-DD41-9728-0267E68F7539}"/>
  </bookViews>
  <sheets>
    <sheet name="Brody" sheetId="1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2" l="1"/>
  <c r="C5" i="32" s="1"/>
  <c r="D5" i="32" s="1"/>
  <c r="E5" i="32" s="1"/>
  <c r="H3" i="31"/>
  <c r="C5" i="31" s="1"/>
  <c r="D5" i="31" s="1"/>
  <c r="E5" i="31" s="1"/>
  <c r="H3" i="30"/>
  <c r="C5" i="30" s="1"/>
  <c r="D5" i="30" s="1"/>
  <c r="E5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1" i="22" s="1"/>
  <c r="D1" i="22" s="1"/>
  <c r="E1" i="22" s="1"/>
  <c r="H3" i="21"/>
  <c r="C5" i="21" s="1"/>
  <c r="D5" i="21" s="1"/>
  <c r="E5" i="21" s="1"/>
  <c r="H3" i="20"/>
  <c r="C5" i="20" s="1"/>
  <c r="D5" i="20" s="1"/>
  <c r="E5" i="20" s="1"/>
  <c r="H3" i="19"/>
  <c r="C5" i="19" s="1"/>
  <c r="D5" i="19" s="1"/>
  <c r="E5" i="19" s="1"/>
  <c r="H3" i="18"/>
  <c r="C5" i="18" s="1"/>
  <c r="D5" i="18" s="1"/>
  <c r="E5" i="18" s="1"/>
  <c r="H3" i="17"/>
  <c r="C5" i="17" s="1"/>
  <c r="D5" i="17" s="1"/>
  <c r="E5" i="17" s="1"/>
  <c r="H3" i="16"/>
  <c r="C5" i="16" s="1"/>
  <c r="D5" i="16" s="1"/>
  <c r="E5" i="16" s="1"/>
  <c r="H3" i="15"/>
  <c r="C5" i="15" s="1"/>
  <c r="D5" i="15" s="1"/>
  <c r="E5" i="15" s="1"/>
  <c r="H3" i="14"/>
  <c r="C5" i="14" s="1"/>
  <c r="D5" i="14" s="1"/>
  <c r="E5" i="14" s="1"/>
  <c r="H3" i="13"/>
  <c r="C5" i="13" s="1"/>
  <c r="D5" i="13" s="1"/>
  <c r="E5" i="13" s="1"/>
  <c r="H3" i="12"/>
  <c r="C5" i="12" s="1"/>
  <c r="D5" i="12" s="1"/>
  <c r="E5" i="12" s="1"/>
  <c r="H3" i="11"/>
  <c r="C5" i="11" s="1"/>
  <c r="D5" i="11" s="1"/>
  <c r="E5" i="11" s="1"/>
  <c r="H3" i="10"/>
  <c r="C5" i="10" s="1"/>
  <c r="D5" i="10" s="1"/>
  <c r="E5" i="10" s="1"/>
  <c r="H3" i="9"/>
  <c r="C5" i="9" s="1"/>
  <c r="D5" i="9" s="1"/>
  <c r="E5" i="9" s="1"/>
  <c r="H3" i="8"/>
  <c r="C5" i="8" s="1"/>
  <c r="D5" i="8" s="1"/>
  <c r="E5" i="8" s="1"/>
  <c r="H3" i="7"/>
  <c r="C5" i="7" s="1"/>
  <c r="D5" i="7" s="1"/>
  <c r="E5" i="7" s="1"/>
  <c r="H3" i="6"/>
  <c r="C5" i="6" s="1"/>
  <c r="D5" i="6" s="1"/>
  <c r="E5" i="6" s="1"/>
  <c r="H3" i="5"/>
  <c r="C5" i="5" s="1"/>
  <c r="D5" i="5" s="1"/>
  <c r="E5" i="5" s="1"/>
  <c r="H3" i="4"/>
  <c r="C5" i="4" s="1"/>
  <c r="D5" i="4" s="1"/>
  <c r="E5" i="4" s="1"/>
  <c r="H3" i="3"/>
  <c r="C5" i="3" s="1"/>
  <c r="D5" i="3" s="1"/>
  <c r="E5" i="3" s="1"/>
  <c r="H3" i="2"/>
  <c r="C5" i="2" s="1"/>
  <c r="D5" i="2" s="1"/>
  <c r="E5" i="2" s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  <c r="C2" i="32" l="1"/>
  <c r="D2" i="32" s="1"/>
  <c r="E2" i="32" s="1"/>
  <c r="C9" i="31"/>
  <c r="D9" i="31" s="1"/>
  <c r="E9" i="31" s="1"/>
  <c r="C13" i="31"/>
  <c r="D13" i="31" s="1"/>
  <c r="E13" i="31" s="1"/>
  <c r="C2" i="31"/>
  <c r="D2" i="31" s="1"/>
  <c r="E2" i="31" s="1"/>
  <c r="C17" i="31"/>
  <c r="D17" i="31" s="1"/>
  <c r="E17" i="31" s="1"/>
  <c r="C21" i="31"/>
  <c r="D21" i="31" s="1"/>
  <c r="E21" i="31" s="1"/>
  <c r="C25" i="31"/>
  <c r="D25" i="31" s="1"/>
  <c r="E25" i="31" s="1"/>
  <c r="C29" i="31"/>
  <c r="D29" i="31" s="1"/>
  <c r="E29" i="31" s="1"/>
  <c r="C33" i="31"/>
  <c r="D33" i="31" s="1"/>
  <c r="E33" i="31" s="1"/>
  <c r="C37" i="31"/>
  <c r="D37" i="31" s="1"/>
  <c r="E37" i="31" s="1"/>
  <c r="C1" i="30"/>
  <c r="D1" i="30" s="1"/>
  <c r="E1" i="30" s="1"/>
  <c r="C2" i="30"/>
  <c r="D2" i="30" s="1"/>
  <c r="E2" i="30" s="1"/>
  <c r="C3" i="30"/>
  <c r="D3" i="30" s="1"/>
  <c r="E3" i="30" s="1"/>
  <c r="C2" i="29"/>
  <c r="D2" i="29" s="1"/>
  <c r="E2" i="29" s="1"/>
  <c r="C2" i="28"/>
  <c r="D2" i="28" s="1"/>
  <c r="E2" i="28" s="1"/>
  <c r="C2" i="27"/>
  <c r="D2" i="27" s="1"/>
  <c r="E2" i="27" s="1"/>
  <c r="C2" i="26"/>
  <c r="D2" i="26" s="1"/>
  <c r="E2" i="26" s="1"/>
  <c r="C2" i="25"/>
  <c r="D2" i="25" s="1"/>
  <c r="E2" i="25" s="1"/>
  <c r="C6" i="25"/>
  <c r="D6" i="25" s="1"/>
  <c r="E6" i="25" s="1"/>
  <c r="C10" i="25"/>
  <c r="D10" i="25" s="1"/>
  <c r="E10" i="25" s="1"/>
  <c r="C14" i="25"/>
  <c r="D14" i="25" s="1"/>
  <c r="E14" i="25" s="1"/>
  <c r="C18" i="25"/>
  <c r="D18" i="25" s="1"/>
  <c r="E18" i="25" s="1"/>
  <c r="C22" i="25"/>
  <c r="D22" i="25" s="1"/>
  <c r="E22" i="25" s="1"/>
  <c r="C26" i="25"/>
  <c r="D26" i="25" s="1"/>
  <c r="E26" i="25" s="1"/>
  <c r="C30" i="25"/>
  <c r="D30" i="25" s="1"/>
  <c r="E30" i="25" s="1"/>
  <c r="C34" i="25"/>
  <c r="D34" i="25" s="1"/>
  <c r="E34" i="25" s="1"/>
  <c r="C38" i="25"/>
  <c r="D38" i="25" s="1"/>
  <c r="E38" i="25" s="1"/>
  <c r="C2" i="24"/>
  <c r="D2" i="24" s="1"/>
  <c r="E2" i="24" s="1"/>
  <c r="C6" i="24"/>
  <c r="D6" i="24" s="1"/>
  <c r="E6" i="24" s="1"/>
  <c r="C10" i="24"/>
  <c r="D10" i="24" s="1"/>
  <c r="E10" i="24" s="1"/>
  <c r="C14" i="24"/>
  <c r="D14" i="24" s="1"/>
  <c r="E14" i="24" s="1"/>
  <c r="C18" i="24"/>
  <c r="D18" i="24" s="1"/>
  <c r="E18" i="24" s="1"/>
  <c r="C22" i="24"/>
  <c r="D22" i="24" s="1"/>
  <c r="E22" i="24" s="1"/>
  <c r="C26" i="24"/>
  <c r="D26" i="24" s="1"/>
  <c r="E26" i="24" s="1"/>
  <c r="C30" i="24"/>
  <c r="D30" i="24" s="1"/>
  <c r="E30" i="24" s="1"/>
  <c r="C34" i="24"/>
  <c r="D34" i="24" s="1"/>
  <c r="E34" i="24" s="1"/>
  <c r="C38" i="24"/>
  <c r="D38" i="24" s="1"/>
  <c r="E38" i="24" s="1"/>
  <c r="C38" i="23"/>
  <c r="D38" i="23" s="1"/>
  <c r="E38" i="23" s="1"/>
  <c r="C10" i="23"/>
  <c r="D10" i="23" s="1"/>
  <c r="E10" i="23" s="1"/>
  <c r="C22" i="23"/>
  <c r="D22" i="23" s="1"/>
  <c r="E22" i="23" s="1"/>
  <c r="C30" i="23"/>
  <c r="D30" i="23" s="1"/>
  <c r="E30" i="23" s="1"/>
  <c r="C2" i="23"/>
  <c r="D2" i="23" s="1"/>
  <c r="E2" i="23" s="1"/>
  <c r="C6" i="23"/>
  <c r="D6" i="23" s="1"/>
  <c r="E6" i="23" s="1"/>
  <c r="C14" i="23"/>
  <c r="D14" i="23" s="1"/>
  <c r="E14" i="23" s="1"/>
  <c r="C18" i="23"/>
  <c r="D18" i="23" s="1"/>
  <c r="E18" i="23" s="1"/>
  <c r="C26" i="23"/>
  <c r="D26" i="23" s="1"/>
  <c r="E26" i="23" s="1"/>
  <c r="C34" i="23"/>
  <c r="D34" i="23" s="1"/>
  <c r="E34" i="23" s="1"/>
  <c r="C5" i="22"/>
  <c r="D5" i="22" s="1"/>
  <c r="E5" i="22" s="1"/>
  <c r="C4" i="22"/>
  <c r="D4" i="22" s="1"/>
  <c r="E4" i="22" s="1"/>
  <c r="C2" i="22"/>
  <c r="D2" i="22" s="1"/>
  <c r="E2" i="22" s="1"/>
  <c r="C3" i="22"/>
  <c r="D3" i="22" s="1"/>
  <c r="E3" i="22" s="1"/>
  <c r="C2" i="21"/>
  <c r="D2" i="21" s="1"/>
  <c r="E2" i="21" s="1"/>
  <c r="C10" i="20"/>
  <c r="D10" i="20" s="1"/>
  <c r="E10" i="20" s="1"/>
  <c r="C14" i="20"/>
  <c r="D14" i="20" s="1"/>
  <c r="E14" i="20" s="1"/>
  <c r="C18" i="20"/>
  <c r="D18" i="20" s="1"/>
  <c r="E18" i="20" s="1"/>
  <c r="C26" i="20"/>
  <c r="D26" i="20" s="1"/>
  <c r="E26" i="20" s="1"/>
  <c r="C38" i="20"/>
  <c r="D38" i="20" s="1"/>
  <c r="E38" i="20" s="1"/>
  <c r="C34" i="20"/>
  <c r="D34" i="20" s="1"/>
  <c r="E34" i="20" s="1"/>
  <c r="C22" i="20"/>
  <c r="D22" i="20" s="1"/>
  <c r="E22" i="20" s="1"/>
  <c r="C30" i="20"/>
  <c r="D30" i="20" s="1"/>
  <c r="E30" i="20" s="1"/>
  <c r="C2" i="20"/>
  <c r="D2" i="20" s="1"/>
  <c r="E2" i="20" s="1"/>
  <c r="C6" i="20"/>
  <c r="D6" i="20" s="1"/>
  <c r="E6" i="20" s="1"/>
  <c r="C22" i="19"/>
  <c r="D22" i="19" s="1"/>
  <c r="E22" i="19" s="1"/>
  <c r="C2" i="19"/>
  <c r="D2" i="19" s="1"/>
  <c r="E2" i="19" s="1"/>
  <c r="C26" i="19"/>
  <c r="D26" i="19" s="1"/>
  <c r="E26" i="19" s="1"/>
  <c r="C28" i="19"/>
  <c r="D28" i="19" s="1"/>
  <c r="E28" i="19" s="1"/>
  <c r="C6" i="19"/>
  <c r="D6" i="19" s="1"/>
  <c r="E6" i="19" s="1"/>
  <c r="C30" i="19"/>
  <c r="D30" i="19" s="1"/>
  <c r="E30" i="19" s="1"/>
  <c r="C8" i="19"/>
  <c r="D8" i="19" s="1"/>
  <c r="E8" i="19" s="1"/>
  <c r="C32" i="19"/>
  <c r="D32" i="19" s="1"/>
  <c r="E32" i="19" s="1"/>
  <c r="C10" i="19"/>
  <c r="D10" i="19" s="1"/>
  <c r="E10" i="19" s="1"/>
  <c r="C34" i="19"/>
  <c r="D34" i="19" s="1"/>
  <c r="E34" i="19" s="1"/>
  <c r="C12" i="19"/>
  <c r="D12" i="19" s="1"/>
  <c r="E12" i="19" s="1"/>
  <c r="C36" i="19"/>
  <c r="D36" i="19" s="1"/>
  <c r="E36" i="19" s="1"/>
  <c r="C14" i="19"/>
  <c r="D14" i="19" s="1"/>
  <c r="E14" i="19" s="1"/>
  <c r="C38" i="19"/>
  <c r="D38" i="19" s="1"/>
  <c r="E38" i="19" s="1"/>
  <c r="C16" i="19"/>
  <c r="D16" i="19" s="1"/>
  <c r="E16" i="19" s="1"/>
  <c r="C40" i="19"/>
  <c r="D40" i="19" s="1"/>
  <c r="E40" i="19" s="1"/>
  <c r="C18" i="19"/>
  <c r="D18" i="19" s="1"/>
  <c r="E18" i="19" s="1"/>
  <c r="C20" i="19"/>
  <c r="D20" i="19" s="1"/>
  <c r="E20" i="19" s="1"/>
  <c r="C1" i="19"/>
  <c r="D1" i="19" s="1"/>
  <c r="E1" i="19" s="1"/>
  <c r="C24" i="19"/>
  <c r="D24" i="19" s="1"/>
  <c r="E24" i="19" s="1"/>
  <c r="C2" i="18"/>
  <c r="D2" i="18" s="1"/>
  <c r="E2" i="18" s="1"/>
  <c r="C2" i="17"/>
  <c r="D2" i="17" s="1"/>
  <c r="E2" i="17" s="1"/>
  <c r="C15" i="17"/>
  <c r="D15" i="17" s="1"/>
  <c r="E15" i="17" s="1"/>
  <c r="C21" i="17"/>
  <c r="D21" i="17" s="1"/>
  <c r="E21" i="17" s="1"/>
  <c r="C25" i="17"/>
  <c r="D25" i="17" s="1"/>
  <c r="E25" i="17" s="1"/>
  <c r="C31" i="17"/>
  <c r="D31" i="17" s="1"/>
  <c r="E31" i="17" s="1"/>
  <c r="C9" i="17"/>
  <c r="D9" i="17" s="1"/>
  <c r="E9" i="17" s="1"/>
  <c r="C37" i="17"/>
  <c r="D37" i="17" s="1"/>
  <c r="E37" i="17" s="1"/>
  <c r="C13" i="17"/>
  <c r="D13" i="17" s="1"/>
  <c r="E13" i="17" s="1"/>
  <c r="C29" i="17"/>
  <c r="D29" i="17" s="1"/>
  <c r="E29" i="17" s="1"/>
  <c r="C17" i="17"/>
  <c r="D17" i="17" s="1"/>
  <c r="E17" i="17" s="1"/>
  <c r="C33" i="17"/>
  <c r="D33" i="17" s="1"/>
  <c r="E33" i="17" s="1"/>
  <c r="C19" i="17"/>
  <c r="D19" i="17" s="1"/>
  <c r="E19" i="17" s="1"/>
  <c r="C35" i="17"/>
  <c r="D35" i="17" s="1"/>
  <c r="E35" i="17" s="1"/>
  <c r="C7" i="17"/>
  <c r="D7" i="17" s="1"/>
  <c r="E7" i="17" s="1"/>
  <c r="C23" i="17"/>
  <c r="D23" i="17" s="1"/>
  <c r="E23" i="17" s="1"/>
  <c r="C39" i="17"/>
  <c r="D39" i="17" s="1"/>
  <c r="E39" i="17" s="1"/>
  <c r="C11" i="17"/>
  <c r="D11" i="17" s="1"/>
  <c r="E11" i="17" s="1"/>
  <c r="C27" i="17"/>
  <c r="D27" i="17" s="1"/>
  <c r="E27" i="17" s="1"/>
  <c r="C35" i="16"/>
  <c r="D35" i="16" s="1"/>
  <c r="E35" i="16" s="1"/>
  <c r="C23" i="16"/>
  <c r="D23" i="16" s="1"/>
  <c r="E23" i="16" s="1"/>
  <c r="C34" i="16"/>
  <c r="D34" i="16" s="1"/>
  <c r="E34" i="16" s="1"/>
  <c r="C22" i="16"/>
  <c r="D22" i="16" s="1"/>
  <c r="E22" i="16" s="1"/>
  <c r="C27" i="16"/>
  <c r="D27" i="16" s="1"/>
  <c r="E27" i="16" s="1"/>
  <c r="C39" i="16"/>
  <c r="D39" i="16" s="1"/>
  <c r="E39" i="16" s="1"/>
  <c r="C2" i="16"/>
  <c r="D2" i="16" s="1"/>
  <c r="E2" i="16" s="1"/>
  <c r="C10" i="16"/>
  <c r="D10" i="16" s="1"/>
  <c r="E10" i="16" s="1"/>
  <c r="C11" i="16"/>
  <c r="D11" i="16" s="1"/>
  <c r="E11" i="16" s="1"/>
  <c r="C15" i="16"/>
  <c r="D15" i="16" s="1"/>
  <c r="E15" i="16" s="1"/>
  <c r="C13" i="16"/>
  <c r="D13" i="16" s="1"/>
  <c r="E13" i="16" s="1"/>
  <c r="C25" i="16"/>
  <c r="D25" i="16" s="1"/>
  <c r="E25" i="16" s="1"/>
  <c r="C37" i="16"/>
  <c r="D37" i="16" s="1"/>
  <c r="E37" i="16" s="1"/>
  <c r="C14" i="16"/>
  <c r="D14" i="16" s="1"/>
  <c r="E14" i="16" s="1"/>
  <c r="C26" i="16"/>
  <c r="D26" i="16" s="1"/>
  <c r="E26" i="16" s="1"/>
  <c r="C38" i="16"/>
  <c r="D38" i="16" s="1"/>
  <c r="E38" i="16" s="1"/>
  <c r="C3" i="16"/>
  <c r="D3" i="16" s="1"/>
  <c r="E3" i="16" s="1"/>
  <c r="C17" i="16"/>
  <c r="D17" i="16" s="1"/>
  <c r="E17" i="16" s="1"/>
  <c r="C29" i="16"/>
  <c r="D29" i="16" s="1"/>
  <c r="E29" i="16" s="1"/>
  <c r="C6" i="16"/>
  <c r="D6" i="16" s="1"/>
  <c r="E6" i="16" s="1"/>
  <c r="C18" i="16"/>
  <c r="D18" i="16" s="1"/>
  <c r="E18" i="16" s="1"/>
  <c r="C30" i="16"/>
  <c r="D30" i="16" s="1"/>
  <c r="E30" i="16" s="1"/>
  <c r="C7" i="16"/>
  <c r="D7" i="16" s="1"/>
  <c r="E7" i="16" s="1"/>
  <c r="C19" i="16"/>
  <c r="D19" i="16" s="1"/>
  <c r="E19" i="16" s="1"/>
  <c r="C31" i="16"/>
  <c r="D31" i="16" s="1"/>
  <c r="E31" i="16" s="1"/>
  <c r="C9" i="16"/>
  <c r="D9" i="16" s="1"/>
  <c r="E9" i="16" s="1"/>
  <c r="C21" i="16"/>
  <c r="D21" i="16" s="1"/>
  <c r="E21" i="16" s="1"/>
  <c r="C33" i="16"/>
  <c r="D33" i="16" s="1"/>
  <c r="E33" i="16" s="1"/>
  <c r="C9" i="15"/>
  <c r="D9" i="15" s="1"/>
  <c r="E9" i="15" s="1"/>
  <c r="C33" i="15"/>
  <c r="D33" i="15" s="1"/>
  <c r="E33" i="15" s="1"/>
  <c r="C8" i="15"/>
  <c r="D8" i="15" s="1"/>
  <c r="E8" i="15" s="1"/>
  <c r="C32" i="15"/>
  <c r="D32" i="15" s="1"/>
  <c r="E32" i="15" s="1"/>
  <c r="C12" i="15"/>
  <c r="D12" i="15" s="1"/>
  <c r="E12" i="15" s="1"/>
  <c r="C36" i="15"/>
  <c r="D36" i="15" s="1"/>
  <c r="E36" i="15" s="1"/>
  <c r="C13" i="15"/>
  <c r="D13" i="15" s="1"/>
  <c r="E13" i="15" s="1"/>
  <c r="C37" i="15"/>
  <c r="D37" i="15" s="1"/>
  <c r="E37" i="15" s="1"/>
  <c r="C16" i="15"/>
  <c r="D16" i="15" s="1"/>
  <c r="E16" i="15" s="1"/>
  <c r="C40" i="15"/>
  <c r="D40" i="15" s="1"/>
  <c r="E40" i="15" s="1"/>
  <c r="C17" i="15"/>
  <c r="D17" i="15" s="1"/>
  <c r="E17" i="15" s="1"/>
  <c r="C20" i="15"/>
  <c r="D20" i="15" s="1"/>
  <c r="E20" i="15" s="1"/>
  <c r="C21" i="15"/>
  <c r="D21" i="15" s="1"/>
  <c r="E21" i="15" s="1"/>
  <c r="C24" i="15"/>
  <c r="D24" i="15" s="1"/>
  <c r="E24" i="15" s="1"/>
  <c r="C25" i="15"/>
  <c r="D25" i="15" s="1"/>
  <c r="E25" i="15" s="1"/>
  <c r="C2" i="15"/>
  <c r="D2" i="15" s="1"/>
  <c r="E2" i="15" s="1"/>
  <c r="C28" i="15"/>
  <c r="D28" i="15" s="1"/>
  <c r="E28" i="15" s="1"/>
  <c r="C29" i="15"/>
  <c r="D29" i="15" s="1"/>
  <c r="E29" i="15" s="1"/>
  <c r="C2" i="14"/>
  <c r="D2" i="14" s="1"/>
  <c r="E2" i="14" s="1"/>
  <c r="C6" i="14"/>
  <c r="D6" i="14" s="1"/>
  <c r="E6" i="14" s="1"/>
  <c r="C14" i="14"/>
  <c r="D14" i="14" s="1"/>
  <c r="E14" i="14" s="1"/>
  <c r="C10" i="14"/>
  <c r="D10" i="14" s="1"/>
  <c r="E10" i="14" s="1"/>
  <c r="C18" i="14"/>
  <c r="D18" i="14" s="1"/>
  <c r="E18" i="14" s="1"/>
  <c r="C22" i="14"/>
  <c r="D22" i="14" s="1"/>
  <c r="E22" i="14" s="1"/>
  <c r="C30" i="14"/>
  <c r="D30" i="14" s="1"/>
  <c r="E30" i="14" s="1"/>
  <c r="C26" i="14"/>
  <c r="D26" i="14" s="1"/>
  <c r="E26" i="14" s="1"/>
  <c r="C21" i="13"/>
  <c r="D21" i="13" s="1"/>
  <c r="E21" i="13" s="1"/>
  <c r="C2" i="13"/>
  <c r="D2" i="13" s="1"/>
  <c r="E2" i="13" s="1"/>
  <c r="C37" i="13"/>
  <c r="D37" i="13" s="1"/>
  <c r="E37" i="13" s="1"/>
  <c r="C9" i="13"/>
  <c r="D9" i="13" s="1"/>
  <c r="E9" i="13" s="1"/>
  <c r="C13" i="13"/>
  <c r="D13" i="13" s="1"/>
  <c r="E13" i="13" s="1"/>
  <c r="C17" i="13"/>
  <c r="D17" i="13" s="1"/>
  <c r="E17" i="13" s="1"/>
  <c r="C25" i="13"/>
  <c r="D25" i="13" s="1"/>
  <c r="E25" i="13" s="1"/>
  <c r="C29" i="13"/>
  <c r="D29" i="13" s="1"/>
  <c r="E29" i="13" s="1"/>
  <c r="C33" i="13"/>
  <c r="D33" i="13" s="1"/>
  <c r="E33" i="13" s="1"/>
  <c r="C14" i="12"/>
  <c r="D14" i="12" s="1"/>
  <c r="E14" i="12" s="1"/>
  <c r="C34" i="12"/>
  <c r="D34" i="12" s="1"/>
  <c r="E34" i="12" s="1"/>
  <c r="C38" i="12"/>
  <c r="D38" i="12" s="1"/>
  <c r="E38" i="12" s="1"/>
  <c r="C10" i="12"/>
  <c r="D10" i="12" s="1"/>
  <c r="E10" i="12" s="1"/>
  <c r="C30" i="12"/>
  <c r="D30" i="12" s="1"/>
  <c r="E30" i="12" s="1"/>
  <c r="C2" i="12"/>
  <c r="D2" i="12" s="1"/>
  <c r="E2" i="12" s="1"/>
  <c r="C6" i="12"/>
  <c r="D6" i="12" s="1"/>
  <c r="E6" i="12" s="1"/>
  <c r="C18" i="12"/>
  <c r="D18" i="12" s="1"/>
  <c r="E18" i="12" s="1"/>
  <c r="C22" i="12"/>
  <c r="D22" i="12" s="1"/>
  <c r="E22" i="12" s="1"/>
  <c r="C26" i="12"/>
  <c r="D26" i="12" s="1"/>
  <c r="E26" i="12" s="1"/>
  <c r="C3" i="11"/>
  <c r="D3" i="11" s="1"/>
  <c r="E3" i="11" s="1"/>
  <c r="C27" i="11"/>
  <c r="D27" i="11" s="1"/>
  <c r="E27" i="11" s="1"/>
  <c r="C7" i="11"/>
  <c r="D7" i="11" s="1"/>
  <c r="E7" i="11" s="1"/>
  <c r="C33" i="11"/>
  <c r="D33" i="11" s="1"/>
  <c r="E33" i="11" s="1"/>
  <c r="C9" i="11"/>
  <c r="D9" i="11" s="1"/>
  <c r="E9" i="11" s="1"/>
  <c r="C37" i="11"/>
  <c r="D37" i="11" s="1"/>
  <c r="E37" i="11" s="1"/>
  <c r="C11" i="11"/>
  <c r="D11" i="11" s="1"/>
  <c r="E11" i="11" s="1"/>
  <c r="C13" i="11"/>
  <c r="D13" i="11" s="1"/>
  <c r="E13" i="11" s="1"/>
  <c r="C15" i="11"/>
  <c r="D15" i="11" s="1"/>
  <c r="E15" i="11" s="1"/>
  <c r="C17" i="11"/>
  <c r="D17" i="11" s="1"/>
  <c r="E17" i="11" s="1"/>
  <c r="C19" i="11"/>
  <c r="D19" i="11" s="1"/>
  <c r="E19" i="11" s="1"/>
  <c r="C21" i="11"/>
  <c r="D21" i="11" s="1"/>
  <c r="E21" i="11" s="1"/>
  <c r="C29" i="11"/>
  <c r="D29" i="11" s="1"/>
  <c r="E29" i="11" s="1"/>
  <c r="C1" i="11"/>
  <c r="D1" i="11" s="1"/>
  <c r="E1" i="11" s="1"/>
  <c r="C23" i="11"/>
  <c r="D23" i="11" s="1"/>
  <c r="E23" i="11" s="1"/>
  <c r="C2" i="11"/>
  <c r="D2" i="11" s="1"/>
  <c r="E2" i="11" s="1"/>
  <c r="C25" i="11"/>
  <c r="D25" i="11" s="1"/>
  <c r="E25" i="11" s="1"/>
  <c r="C11" i="10"/>
  <c r="D11" i="10" s="1"/>
  <c r="E11" i="10" s="1"/>
  <c r="C25" i="10"/>
  <c r="D25" i="10" s="1"/>
  <c r="E25" i="10" s="1"/>
  <c r="C15" i="10"/>
  <c r="D15" i="10" s="1"/>
  <c r="E15" i="10" s="1"/>
  <c r="C17" i="10"/>
  <c r="D17" i="10" s="1"/>
  <c r="E17" i="10" s="1"/>
  <c r="C19" i="10"/>
  <c r="D19" i="10" s="1"/>
  <c r="E19" i="10" s="1"/>
  <c r="C21" i="10"/>
  <c r="D21" i="10" s="1"/>
  <c r="E21" i="10" s="1"/>
  <c r="C23" i="10"/>
  <c r="D23" i="10" s="1"/>
  <c r="E23" i="10" s="1"/>
  <c r="C2" i="10"/>
  <c r="D2" i="10" s="1"/>
  <c r="E2" i="10" s="1"/>
  <c r="C27" i="10"/>
  <c r="D27" i="10" s="1"/>
  <c r="E27" i="10" s="1"/>
  <c r="C29" i="10"/>
  <c r="D29" i="10" s="1"/>
  <c r="E29" i="10" s="1"/>
  <c r="C7" i="10"/>
  <c r="D7" i="10" s="1"/>
  <c r="E7" i="10" s="1"/>
  <c r="C33" i="10"/>
  <c r="D33" i="10" s="1"/>
  <c r="E33" i="10" s="1"/>
  <c r="C9" i="10"/>
  <c r="D9" i="10" s="1"/>
  <c r="E9" i="10" s="1"/>
  <c r="C37" i="10"/>
  <c r="D37" i="10" s="1"/>
  <c r="E37" i="10" s="1"/>
  <c r="C13" i="10"/>
  <c r="D13" i="10" s="1"/>
  <c r="E13" i="10" s="1"/>
  <c r="C18" i="9"/>
  <c r="D18" i="9" s="1"/>
  <c r="E18" i="9" s="1"/>
  <c r="C22" i="9"/>
  <c r="D22" i="9" s="1"/>
  <c r="E22" i="9" s="1"/>
  <c r="C26" i="9"/>
  <c r="D26" i="9" s="1"/>
  <c r="E26" i="9" s="1"/>
  <c r="C30" i="9"/>
  <c r="D30" i="9" s="1"/>
  <c r="E30" i="9" s="1"/>
  <c r="C34" i="9"/>
  <c r="D34" i="9" s="1"/>
  <c r="E34" i="9" s="1"/>
  <c r="C38" i="9"/>
  <c r="D38" i="9" s="1"/>
  <c r="E38" i="9" s="1"/>
  <c r="C2" i="9"/>
  <c r="D2" i="9" s="1"/>
  <c r="E2" i="9" s="1"/>
  <c r="C6" i="9"/>
  <c r="D6" i="9" s="1"/>
  <c r="E6" i="9" s="1"/>
  <c r="C10" i="9"/>
  <c r="D10" i="9" s="1"/>
  <c r="E10" i="9" s="1"/>
  <c r="C14" i="9"/>
  <c r="D14" i="9" s="1"/>
  <c r="E14" i="9" s="1"/>
  <c r="C21" i="8"/>
  <c r="D21" i="8" s="1"/>
  <c r="E21" i="8" s="1"/>
  <c r="C17" i="8"/>
  <c r="D17" i="8" s="1"/>
  <c r="E17" i="8" s="1"/>
  <c r="C33" i="8"/>
  <c r="D33" i="8" s="1"/>
  <c r="E33" i="8" s="1"/>
  <c r="C37" i="8"/>
  <c r="D37" i="8" s="1"/>
  <c r="E37" i="8" s="1"/>
  <c r="C13" i="8"/>
  <c r="D13" i="8" s="1"/>
  <c r="E13" i="8" s="1"/>
  <c r="C25" i="8"/>
  <c r="D25" i="8" s="1"/>
  <c r="E25" i="8" s="1"/>
  <c r="C29" i="8"/>
  <c r="D29" i="8" s="1"/>
  <c r="E29" i="8" s="1"/>
  <c r="C9" i="8"/>
  <c r="D9" i="8" s="1"/>
  <c r="E9" i="8" s="1"/>
  <c r="C22" i="7"/>
  <c r="D22" i="7" s="1"/>
  <c r="E22" i="7" s="1"/>
  <c r="C21" i="7"/>
  <c r="D21" i="7" s="1"/>
  <c r="E21" i="7" s="1"/>
  <c r="C25" i="7"/>
  <c r="D25" i="7" s="1"/>
  <c r="E25" i="7" s="1"/>
  <c r="C2" i="7"/>
  <c r="D2" i="7" s="1"/>
  <c r="E2" i="7" s="1"/>
  <c r="C26" i="7"/>
  <c r="D26" i="7" s="1"/>
  <c r="E26" i="7" s="1"/>
  <c r="C29" i="7"/>
  <c r="D29" i="7" s="1"/>
  <c r="E29" i="7" s="1"/>
  <c r="C6" i="7"/>
  <c r="D6" i="7" s="1"/>
  <c r="E6" i="7" s="1"/>
  <c r="C30" i="7"/>
  <c r="D30" i="7" s="1"/>
  <c r="E30" i="7" s="1"/>
  <c r="C9" i="7"/>
  <c r="D9" i="7" s="1"/>
  <c r="E9" i="7" s="1"/>
  <c r="C33" i="7"/>
  <c r="D33" i="7" s="1"/>
  <c r="E33" i="7" s="1"/>
  <c r="C10" i="7"/>
  <c r="D10" i="7" s="1"/>
  <c r="E10" i="7" s="1"/>
  <c r="C34" i="7"/>
  <c r="D34" i="7" s="1"/>
  <c r="E34" i="7" s="1"/>
  <c r="C13" i="7"/>
  <c r="D13" i="7" s="1"/>
  <c r="E13" i="7" s="1"/>
  <c r="C37" i="7"/>
  <c r="D37" i="7" s="1"/>
  <c r="E37" i="7" s="1"/>
  <c r="C14" i="7"/>
  <c r="D14" i="7" s="1"/>
  <c r="E14" i="7" s="1"/>
  <c r="C38" i="7"/>
  <c r="D38" i="7" s="1"/>
  <c r="E38" i="7" s="1"/>
  <c r="C17" i="7"/>
  <c r="D17" i="7" s="1"/>
  <c r="E17" i="7" s="1"/>
  <c r="C18" i="7"/>
  <c r="D18" i="7" s="1"/>
  <c r="E18" i="7" s="1"/>
  <c r="C2" i="6"/>
  <c r="D2" i="6" s="1"/>
  <c r="E2" i="6" s="1"/>
  <c r="C2" i="5"/>
  <c r="D2" i="5" s="1"/>
  <c r="E2" i="5" s="1"/>
  <c r="C39" i="5"/>
  <c r="D39" i="5" s="1"/>
  <c r="E39" i="5" s="1"/>
  <c r="C3" i="5"/>
  <c r="D3" i="5" s="1"/>
  <c r="E3" i="5" s="1"/>
  <c r="C7" i="5"/>
  <c r="D7" i="5" s="1"/>
  <c r="E7" i="5" s="1"/>
  <c r="C11" i="5"/>
  <c r="D11" i="5" s="1"/>
  <c r="E11" i="5" s="1"/>
  <c r="C15" i="5"/>
  <c r="D15" i="5" s="1"/>
  <c r="E15" i="5" s="1"/>
  <c r="C19" i="5"/>
  <c r="D19" i="5" s="1"/>
  <c r="E19" i="5" s="1"/>
  <c r="C23" i="5"/>
  <c r="D23" i="5" s="1"/>
  <c r="E23" i="5" s="1"/>
  <c r="C27" i="5"/>
  <c r="D27" i="5" s="1"/>
  <c r="E27" i="5" s="1"/>
  <c r="C31" i="5"/>
  <c r="D31" i="5" s="1"/>
  <c r="E31" i="5" s="1"/>
  <c r="C35" i="5"/>
  <c r="D35" i="5" s="1"/>
  <c r="E35" i="5" s="1"/>
  <c r="C37" i="4"/>
  <c r="D37" i="4" s="1"/>
  <c r="E37" i="4" s="1"/>
  <c r="C25" i="4"/>
  <c r="D25" i="4" s="1"/>
  <c r="E25" i="4" s="1"/>
  <c r="C2" i="4"/>
  <c r="D2" i="4" s="1"/>
  <c r="E2" i="4" s="1"/>
  <c r="C9" i="4"/>
  <c r="D9" i="4" s="1"/>
  <c r="E9" i="4" s="1"/>
  <c r="C29" i="4"/>
  <c r="D29" i="4" s="1"/>
  <c r="E29" i="4" s="1"/>
  <c r="C13" i="4"/>
  <c r="D13" i="4" s="1"/>
  <c r="E13" i="4" s="1"/>
  <c r="C17" i="4"/>
  <c r="D17" i="4" s="1"/>
  <c r="E17" i="4" s="1"/>
  <c r="C21" i="4"/>
  <c r="D21" i="4" s="1"/>
  <c r="E21" i="4" s="1"/>
  <c r="C33" i="4"/>
  <c r="D33" i="4" s="1"/>
  <c r="E33" i="4" s="1"/>
  <c r="C10" i="3"/>
  <c r="D10" i="3" s="1"/>
  <c r="E10" i="3" s="1"/>
  <c r="C34" i="3"/>
  <c r="D34" i="3" s="1"/>
  <c r="E34" i="3" s="1"/>
  <c r="C33" i="3"/>
  <c r="D33" i="3" s="1"/>
  <c r="E33" i="3" s="1"/>
  <c r="C13" i="3"/>
  <c r="D13" i="3" s="1"/>
  <c r="E13" i="3" s="1"/>
  <c r="C37" i="3"/>
  <c r="D37" i="3" s="1"/>
  <c r="E37" i="3" s="1"/>
  <c r="C9" i="3"/>
  <c r="D9" i="3" s="1"/>
  <c r="E9" i="3" s="1"/>
  <c r="C14" i="3"/>
  <c r="D14" i="3" s="1"/>
  <c r="E14" i="3" s="1"/>
  <c r="C38" i="3"/>
  <c r="D38" i="3" s="1"/>
  <c r="E38" i="3" s="1"/>
  <c r="C17" i="3"/>
  <c r="D17" i="3" s="1"/>
  <c r="E17" i="3" s="1"/>
  <c r="C21" i="3"/>
  <c r="D21" i="3" s="1"/>
  <c r="E21" i="3" s="1"/>
  <c r="C18" i="3"/>
  <c r="D18" i="3" s="1"/>
  <c r="E18" i="3" s="1"/>
  <c r="C22" i="3"/>
  <c r="D22" i="3" s="1"/>
  <c r="E22" i="3" s="1"/>
  <c r="C25" i="3"/>
  <c r="D25" i="3" s="1"/>
  <c r="E25" i="3" s="1"/>
  <c r="C2" i="3"/>
  <c r="D2" i="3" s="1"/>
  <c r="E2" i="3" s="1"/>
  <c r="C26" i="3"/>
  <c r="D26" i="3" s="1"/>
  <c r="E26" i="3" s="1"/>
  <c r="C29" i="3"/>
  <c r="D29" i="3" s="1"/>
  <c r="E29" i="3" s="1"/>
  <c r="C6" i="3"/>
  <c r="D6" i="3" s="1"/>
  <c r="E6" i="3" s="1"/>
  <c r="C30" i="3"/>
  <c r="D30" i="3" s="1"/>
  <c r="E30" i="3" s="1"/>
  <c r="C2" i="2"/>
  <c r="D2" i="2" s="1"/>
  <c r="E2" i="2" s="1"/>
  <c r="C9" i="32"/>
  <c r="D9" i="32" s="1"/>
  <c r="E9" i="32" s="1"/>
  <c r="C13" i="32"/>
  <c r="D13" i="32" s="1"/>
  <c r="E13" i="32" s="1"/>
  <c r="C17" i="32"/>
  <c r="D17" i="32" s="1"/>
  <c r="E17" i="32" s="1"/>
  <c r="C21" i="32"/>
  <c r="D21" i="32" s="1"/>
  <c r="E21" i="32" s="1"/>
  <c r="C25" i="32"/>
  <c r="D25" i="32" s="1"/>
  <c r="E25" i="32" s="1"/>
  <c r="C29" i="32"/>
  <c r="D29" i="32" s="1"/>
  <c r="E29" i="32" s="1"/>
  <c r="C33" i="32"/>
  <c r="D33" i="32" s="1"/>
  <c r="E33" i="32" s="1"/>
  <c r="C37" i="32"/>
  <c r="D37" i="32" s="1"/>
  <c r="E37" i="32" s="1"/>
  <c r="C6" i="32"/>
  <c r="D6" i="32" s="1"/>
  <c r="E6" i="32" s="1"/>
  <c r="C10" i="32"/>
  <c r="D10" i="32" s="1"/>
  <c r="E10" i="32" s="1"/>
  <c r="C14" i="32"/>
  <c r="D14" i="32" s="1"/>
  <c r="E14" i="32" s="1"/>
  <c r="C18" i="32"/>
  <c r="D18" i="32" s="1"/>
  <c r="E18" i="32" s="1"/>
  <c r="C22" i="32"/>
  <c r="D22" i="32" s="1"/>
  <c r="E22" i="32" s="1"/>
  <c r="C26" i="32"/>
  <c r="D26" i="32" s="1"/>
  <c r="E26" i="32" s="1"/>
  <c r="C30" i="32"/>
  <c r="D30" i="32" s="1"/>
  <c r="E30" i="32" s="1"/>
  <c r="C34" i="32"/>
  <c r="D34" i="32" s="1"/>
  <c r="E34" i="32" s="1"/>
  <c r="C38" i="32"/>
  <c r="D38" i="32" s="1"/>
  <c r="E38" i="32" s="1"/>
  <c r="C3" i="32"/>
  <c r="D3" i="32" s="1"/>
  <c r="E3" i="32" s="1"/>
  <c r="C7" i="32"/>
  <c r="D7" i="32" s="1"/>
  <c r="E7" i="32" s="1"/>
  <c r="C11" i="32"/>
  <c r="D11" i="32" s="1"/>
  <c r="E11" i="32" s="1"/>
  <c r="C15" i="32"/>
  <c r="D15" i="32" s="1"/>
  <c r="E15" i="32" s="1"/>
  <c r="C19" i="32"/>
  <c r="D19" i="32" s="1"/>
  <c r="E19" i="32" s="1"/>
  <c r="C23" i="32"/>
  <c r="D23" i="32" s="1"/>
  <c r="E23" i="32" s="1"/>
  <c r="C27" i="32"/>
  <c r="D27" i="32" s="1"/>
  <c r="E27" i="32" s="1"/>
  <c r="C31" i="32"/>
  <c r="D31" i="32" s="1"/>
  <c r="E31" i="32" s="1"/>
  <c r="C35" i="32"/>
  <c r="D35" i="32" s="1"/>
  <c r="E35" i="32" s="1"/>
  <c r="C39" i="32"/>
  <c r="D39" i="32" s="1"/>
  <c r="E39" i="32" s="1"/>
  <c r="C4" i="32"/>
  <c r="D4" i="32" s="1"/>
  <c r="E4" i="32" s="1"/>
  <c r="C8" i="32"/>
  <c r="D8" i="32" s="1"/>
  <c r="E8" i="32" s="1"/>
  <c r="C12" i="32"/>
  <c r="D12" i="32" s="1"/>
  <c r="E12" i="32" s="1"/>
  <c r="C16" i="32"/>
  <c r="D16" i="32" s="1"/>
  <c r="E16" i="32" s="1"/>
  <c r="C20" i="32"/>
  <c r="D20" i="32" s="1"/>
  <c r="E20" i="32" s="1"/>
  <c r="C24" i="32"/>
  <c r="D24" i="32" s="1"/>
  <c r="E24" i="32" s="1"/>
  <c r="C28" i="32"/>
  <c r="D28" i="32" s="1"/>
  <c r="E28" i="32" s="1"/>
  <c r="C32" i="32"/>
  <c r="D32" i="32" s="1"/>
  <c r="E32" i="32" s="1"/>
  <c r="C36" i="32"/>
  <c r="D36" i="32" s="1"/>
  <c r="E36" i="32" s="1"/>
  <c r="C40" i="32"/>
  <c r="D40" i="32" s="1"/>
  <c r="E40" i="32" s="1"/>
  <c r="C1" i="32"/>
  <c r="D1" i="32" s="1"/>
  <c r="E1" i="32" s="1"/>
  <c r="C6" i="31"/>
  <c r="D6" i="31" s="1"/>
  <c r="E6" i="31" s="1"/>
  <c r="C10" i="31"/>
  <c r="D10" i="31" s="1"/>
  <c r="E10" i="31" s="1"/>
  <c r="C14" i="31"/>
  <c r="D14" i="31" s="1"/>
  <c r="E14" i="31" s="1"/>
  <c r="C18" i="31"/>
  <c r="D18" i="31" s="1"/>
  <c r="E18" i="31" s="1"/>
  <c r="C22" i="31"/>
  <c r="D22" i="31" s="1"/>
  <c r="E22" i="31" s="1"/>
  <c r="C26" i="31"/>
  <c r="D26" i="31" s="1"/>
  <c r="E26" i="31" s="1"/>
  <c r="C30" i="31"/>
  <c r="D30" i="31" s="1"/>
  <c r="E30" i="31" s="1"/>
  <c r="C34" i="31"/>
  <c r="D34" i="31" s="1"/>
  <c r="E34" i="31" s="1"/>
  <c r="C38" i="31"/>
  <c r="D38" i="31" s="1"/>
  <c r="E38" i="31" s="1"/>
  <c r="C3" i="31"/>
  <c r="D3" i="31" s="1"/>
  <c r="E3" i="31" s="1"/>
  <c r="C7" i="31"/>
  <c r="D7" i="31" s="1"/>
  <c r="E7" i="31" s="1"/>
  <c r="C11" i="31"/>
  <c r="D11" i="31" s="1"/>
  <c r="E11" i="31" s="1"/>
  <c r="C15" i="31"/>
  <c r="D15" i="31" s="1"/>
  <c r="E15" i="31" s="1"/>
  <c r="C19" i="31"/>
  <c r="D19" i="31" s="1"/>
  <c r="E19" i="31" s="1"/>
  <c r="C23" i="31"/>
  <c r="D23" i="31" s="1"/>
  <c r="E23" i="31" s="1"/>
  <c r="C27" i="31"/>
  <c r="D27" i="31" s="1"/>
  <c r="E27" i="31" s="1"/>
  <c r="C31" i="31"/>
  <c r="D31" i="31" s="1"/>
  <c r="E31" i="31" s="1"/>
  <c r="C35" i="31"/>
  <c r="D35" i="31" s="1"/>
  <c r="E35" i="31" s="1"/>
  <c r="C39" i="31"/>
  <c r="D39" i="31" s="1"/>
  <c r="E39" i="31" s="1"/>
  <c r="C4" i="31"/>
  <c r="D4" i="31" s="1"/>
  <c r="E4" i="31" s="1"/>
  <c r="C8" i="31"/>
  <c r="D8" i="31" s="1"/>
  <c r="E8" i="31" s="1"/>
  <c r="C12" i="31"/>
  <c r="D12" i="31" s="1"/>
  <c r="E12" i="31" s="1"/>
  <c r="C16" i="31"/>
  <c r="D16" i="31" s="1"/>
  <c r="E16" i="31" s="1"/>
  <c r="C20" i="31"/>
  <c r="D20" i="31" s="1"/>
  <c r="E20" i="31" s="1"/>
  <c r="C24" i="31"/>
  <c r="D24" i="31" s="1"/>
  <c r="E24" i="31" s="1"/>
  <c r="C28" i="31"/>
  <c r="D28" i="31" s="1"/>
  <c r="E28" i="31" s="1"/>
  <c r="C32" i="31"/>
  <c r="D32" i="31" s="1"/>
  <c r="E32" i="31" s="1"/>
  <c r="C36" i="31"/>
  <c r="D36" i="31" s="1"/>
  <c r="E36" i="31" s="1"/>
  <c r="C40" i="31"/>
  <c r="D40" i="31" s="1"/>
  <c r="E40" i="31" s="1"/>
  <c r="C1" i="31"/>
  <c r="D1" i="31" s="1"/>
  <c r="E1" i="31" s="1"/>
  <c r="C9" i="30"/>
  <c r="D9" i="30" s="1"/>
  <c r="E9" i="30" s="1"/>
  <c r="C13" i="30"/>
  <c r="D13" i="30" s="1"/>
  <c r="E13" i="30" s="1"/>
  <c r="C17" i="30"/>
  <c r="D17" i="30" s="1"/>
  <c r="E17" i="30" s="1"/>
  <c r="C21" i="30"/>
  <c r="D21" i="30" s="1"/>
  <c r="E21" i="30" s="1"/>
  <c r="C25" i="30"/>
  <c r="D25" i="30" s="1"/>
  <c r="E25" i="30" s="1"/>
  <c r="C29" i="30"/>
  <c r="D29" i="30" s="1"/>
  <c r="E29" i="30" s="1"/>
  <c r="C33" i="30"/>
  <c r="D33" i="30" s="1"/>
  <c r="E33" i="30" s="1"/>
  <c r="C37" i="30"/>
  <c r="D37" i="30" s="1"/>
  <c r="E37" i="30" s="1"/>
  <c r="C6" i="30"/>
  <c r="D6" i="30" s="1"/>
  <c r="E6" i="30" s="1"/>
  <c r="C10" i="30"/>
  <c r="D10" i="30" s="1"/>
  <c r="E10" i="30" s="1"/>
  <c r="C14" i="30"/>
  <c r="D14" i="30" s="1"/>
  <c r="E14" i="30" s="1"/>
  <c r="C18" i="30"/>
  <c r="D18" i="30" s="1"/>
  <c r="E18" i="30" s="1"/>
  <c r="C22" i="30"/>
  <c r="D22" i="30" s="1"/>
  <c r="E22" i="30" s="1"/>
  <c r="C26" i="30"/>
  <c r="D26" i="30" s="1"/>
  <c r="E26" i="30" s="1"/>
  <c r="C30" i="30"/>
  <c r="D30" i="30" s="1"/>
  <c r="E30" i="30" s="1"/>
  <c r="C34" i="30"/>
  <c r="D34" i="30" s="1"/>
  <c r="E34" i="30" s="1"/>
  <c r="C38" i="30"/>
  <c r="D38" i="30" s="1"/>
  <c r="E38" i="30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27" i="30"/>
  <c r="D27" i="30" s="1"/>
  <c r="E27" i="30" s="1"/>
  <c r="C31" i="30"/>
  <c r="D31" i="30" s="1"/>
  <c r="E31" i="30" s="1"/>
  <c r="C35" i="30"/>
  <c r="D35" i="30" s="1"/>
  <c r="E35" i="30" s="1"/>
  <c r="C39" i="30"/>
  <c r="D39" i="30" s="1"/>
  <c r="E39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40" i="30"/>
  <c r="D40" i="30" s="1"/>
  <c r="E40" i="30" s="1"/>
  <c r="C9" i="29"/>
  <c r="D9" i="29" s="1"/>
  <c r="E9" i="29" s="1"/>
  <c r="C13" i="29"/>
  <c r="D13" i="29" s="1"/>
  <c r="E13" i="29" s="1"/>
  <c r="C17" i="29"/>
  <c r="D17" i="29" s="1"/>
  <c r="E17" i="29" s="1"/>
  <c r="C21" i="29"/>
  <c r="D21" i="29" s="1"/>
  <c r="E21" i="29" s="1"/>
  <c r="C25" i="29"/>
  <c r="D25" i="29" s="1"/>
  <c r="E25" i="29" s="1"/>
  <c r="C29" i="29"/>
  <c r="D29" i="29" s="1"/>
  <c r="E29" i="29" s="1"/>
  <c r="C33" i="29"/>
  <c r="D33" i="29" s="1"/>
  <c r="E33" i="29" s="1"/>
  <c r="C37" i="29"/>
  <c r="D37" i="29" s="1"/>
  <c r="E37" i="29" s="1"/>
  <c r="C6" i="29"/>
  <c r="D6" i="29" s="1"/>
  <c r="E6" i="29" s="1"/>
  <c r="C10" i="29"/>
  <c r="D10" i="29" s="1"/>
  <c r="E10" i="29" s="1"/>
  <c r="C14" i="29"/>
  <c r="D14" i="29" s="1"/>
  <c r="E14" i="29" s="1"/>
  <c r="C18" i="29"/>
  <c r="D18" i="29" s="1"/>
  <c r="E18" i="29" s="1"/>
  <c r="C22" i="29"/>
  <c r="D22" i="29" s="1"/>
  <c r="E22" i="29" s="1"/>
  <c r="C26" i="29"/>
  <c r="D26" i="29" s="1"/>
  <c r="E26" i="29" s="1"/>
  <c r="C30" i="29"/>
  <c r="D30" i="29" s="1"/>
  <c r="E30" i="29" s="1"/>
  <c r="C34" i="29"/>
  <c r="D34" i="29" s="1"/>
  <c r="E34" i="29" s="1"/>
  <c r="C38" i="29"/>
  <c r="D38" i="29" s="1"/>
  <c r="E38" i="29" s="1"/>
  <c r="C3" i="29"/>
  <c r="D3" i="29" s="1"/>
  <c r="E3" i="29" s="1"/>
  <c r="C7" i="29"/>
  <c r="D7" i="29" s="1"/>
  <c r="E7" i="29" s="1"/>
  <c r="C11" i="29"/>
  <c r="D11" i="29" s="1"/>
  <c r="E11" i="29" s="1"/>
  <c r="C15" i="29"/>
  <c r="D15" i="29" s="1"/>
  <c r="E15" i="29" s="1"/>
  <c r="C19" i="29"/>
  <c r="D19" i="29" s="1"/>
  <c r="E19" i="29" s="1"/>
  <c r="C23" i="29"/>
  <c r="D23" i="29" s="1"/>
  <c r="E23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4" i="29"/>
  <c r="D4" i="29" s="1"/>
  <c r="E4" i="29" s="1"/>
  <c r="C8" i="29"/>
  <c r="D8" i="29" s="1"/>
  <c r="E8" i="29" s="1"/>
  <c r="C12" i="29"/>
  <c r="D12" i="29" s="1"/>
  <c r="E12" i="29" s="1"/>
  <c r="C16" i="29"/>
  <c r="D16" i="29" s="1"/>
  <c r="E16" i="29" s="1"/>
  <c r="C20" i="29"/>
  <c r="D20" i="29" s="1"/>
  <c r="E20" i="29" s="1"/>
  <c r="C24" i="29"/>
  <c r="D24" i="29" s="1"/>
  <c r="E24" i="29" s="1"/>
  <c r="C28" i="29"/>
  <c r="D28" i="29" s="1"/>
  <c r="E28" i="29" s="1"/>
  <c r="C32" i="29"/>
  <c r="D32" i="29" s="1"/>
  <c r="E32" i="29" s="1"/>
  <c r="C36" i="29"/>
  <c r="D36" i="29" s="1"/>
  <c r="E36" i="29" s="1"/>
  <c r="C40" i="29"/>
  <c r="D40" i="29" s="1"/>
  <c r="E40" i="29" s="1"/>
  <c r="C1" i="29"/>
  <c r="D1" i="29" s="1"/>
  <c r="E1" i="29" s="1"/>
  <c r="C9" i="28"/>
  <c r="D9" i="28" s="1"/>
  <c r="E9" i="28" s="1"/>
  <c r="C13" i="28"/>
  <c r="D13" i="28" s="1"/>
  <c r="E13" i="28" s="1"/>
  <c r="C17" i="28"/>
  <c r="D17" i="28" s="1"/>
  <c r="E17" i="28" s="1"/>
  <c r="C21" i="28"/>
  <c r="D21" i="28" s="1"/>
  <c r="E21" i="28" s="1"/>
  <c r="C25" i="28"/>
  <c r="D25" i="28" s="1"/>
  <c r="E25" i="28" s="1"/>
  <c r="C29" i="28"/>
  <c r="D29" i="28" s="1"/>
  <c r="E29" i="28" s="1"/>
  <c r="C33" i="28"/>
  <c r="D33" i="28" s="1"/>
  <c r="E33" i="28" s="1"/>
  <c r="C37" i="28"/>
  <c r="D37" i="28" s="1"/>
  <c r="E37" i="28" s="1"/>
  <c r="C6" i="28"/>
  <c r="D6" i="28" s="1"/>
  <c r="E6" i="28" s="1"/>
  <c r="C10" i="28"/>
  <c r="D10" i="28" s="1"/>
  <c r="E10" i="28" s="1"/>
  <c r="C14" i="28"/>
  <c r="D14" i="28" s="1"/>
  <c r="E14" i="28" s="1"/>
  <c r="C18" i="28"/>
  <c r="D18" i="28" s="1"/>
  <c r="E18" i="28" s="1"/>
  <c r="C22" i="28"/>
  <c r="D22" i="28" s="1"/>
  <c r="E22" i="28" s="1"/>
  <c r="C26" i="28"/>
  <c r="D26" i="28" s="1"/>
  <c r="E26" i="28" s="1"/>
  <c r="C30" i="28"/>
  <c r="D30" i="28" s="1"/>
  <c r="E30" i="28" s="1"/>
  <c r="C34" i="28"/>
  <c r="D34" i="28" s="1"/>
  <c r="E34" i="28" s="1"/>
  <c r="C38" i="28"/>
  <c r="D38" i="28" s="1"/>
  <c r="E38" i="28" s="1"/>
  <c r="C3" i="28"/>
  <c r="D3" i="28" s="1"/>
  <c r="E3" i="28" s="1"/>
  <c r="C7" i="28"/>
  <c r="D7" i="28" s="1"/>
  <c r="E7" i="28" s="1"/>
  <c r="C11" i="28"/>
  <c r="D11" i="28" s="1"/>
  <c r="E11" i="28" s="1"/>
  <c r="C15" i="28"/>
  <c r="D15" i="28" s="1"/>
  <c r="E15" i="28" s="1"/>
  <c r="C19" i="28"/>
  <c r="D19" i="28" s="1"/>
  <c r="E19" i="28" s="1"/>
  <c r="C23" i="28"/>
  <c r="D23" i="28" s="1"/>
  <c r="E23" i="28" s="1"/>
  <c r="C27" i="28"/>
  <c r="D27" i="28" s="1"/>
  <c r="E27" i="28" s="1"/>
  <c r="C31" i="28"/>
  <c r="D31" i="28" s="1"/>
  <c r="E31" i="28" s="1"/>
  <c r="C35" i="28"/>
  <c r="D35" i="28" s="1"/>
  <c r="E35" i="28" s="1"/>
  <c r="C39" i="28"/>
  <c r="D39" i="28" s="1"/>
  <c r="E39" i="28" s="1"/>
  <c r="C4" i="28"/>
  <c r="D4" i="28" s="1"/>
  <c r="E4" i="28" s="1"/>
  <c r="C8" i="28"/>
  <c r="D8" i="28" s="1"/>
  <c r="E8" i="28" s="1"/>
  <c r="C12" i="28"/>
  <c r="D12" i="28" s="1"/>
  <c r="E12" i="28" s="1"/>
  <c r="C16" i="28"/>
  <c r="D16" i="28" s="1"/>
  <c r="E16" i="28" s="1"/>
  <c r="C20" i="28"/>
  <c r="D20" i="28" s="1"/>
  <c r="E20" i="28" s="1"/>
  <c r="C24" i="28"/>
  <c r="D24" i="28" s="1"/>
  <c r="E24" i="28" s="1"/>
  <c r="C28" i="28"/>
  <c r="D28" i="28" s="1"/>
  <c r="E28" i="28" s="1"/>
  <c r="C32" i="28"/>
  <c r="D32" i="28" s="1"/>
  <c r="E32" i="28" s="1"/>
  <c r="C36" i="28"/>
  <c r="D36" i="28" s="1"/>
  <c r="E36" i="28" s="1"/>
  <c r="C40" i="28"/>
  <c r="D40" i="28" s="1"/>
  <c r="E40" i="28" s="1"/>
  <c r="C1" i="28"/>
  <c r="D1" i="28" s="1"/>
  <c r="E1" i="28" s="1"/>
  <c r="C9" i="27"/>
  <c r="D9" i="27" s="1"/>
  <c r="E9" i="27" s="1"/>
  <c r="C13" i="27"/>
  <c r="D13" i="27" s="1"/>
  <c r="E13" i="27" s="1"/>
  <c r="C17" i="27"/>
  <c r="D17" i="27" s="1"/>
  <c r="E17" i="27" s="1"/>
  <c r="C21" i="27"/>
  <c r="D21" i="27" s="1"/>
  <c r="E21" i="27" s="1"/>
  <c r="C25" i="27"/>
  <c r="D25" i="27" s="1"/>
  <c r="E25" i="27" s="1"/>
  <c r="C29" i="27"/>
  <c r="D29" i="27" s="1"/>
  <c r="E29" i="27" s="1"/>
  <c r="C33" i="27"/>
  <c r="D33" i="27" s="1"/>
  <c r="E33" i="27" s="1"/>
  <c r="C37" i="27"/>
  <c r="D37" i="27" s="1"/>
  <c r="E37" i="27" s="1"/>
  <c r="C6" i="27"/>
  <c r="D6" i="27" s="1"/>
  <c r="E6" i="27" s="1"/>
  <c r="C10" i="27"/>
  <c r="D10" i="27" s="1"/>
  <c r="E10" i="27" s="1"/>
  <c r="C14" i="27"/>
  <c r="D14" i="27" s="1"/>
  <c r="E14" i="27" s="1"/>
  <c r="C18" i="27"/>
  <c r="D18" i="27" s="1"/>
  <c r="E18" i="27" s="1"/>
  <c r="C22" i="27"/>
  <c r="D22" i="27" s="1"/>
  <c r="E22" i="27" s="1"/>
  <c r="C26" i="27"/>
  <c r="D26" i="27" s="1"/>
  <c r="E26" i="27" s="1"/>
  <c r="C30" i="27"/>
  <c r="D30" i="27" s="1"/>
  <c r="E30" i="27" s="1"/>
  <c r="C34" i="27"/>
  <c r="D34" i="27" s="1"/>
  <c r="E34" i="27" s="1"/>
  <c r="C38" i="27"/>
  <c r="D38" i="27" s="1"/>
  <c r="E38" i="27" s="1"/>
  <c r="C3" i="27"/>
  <c r="D3" i="27" s="1"/>
  <c r="E3" i="27" s="1"/>
  <c r="C7" i="27"/>
  <c r="D7" i="27" s="1"/>
  <c r="E7" i="27" s="1"/>
  <c r="C11" i="27"/>
  <c r="D11" i="27" s="1"/>
  <c r="E11" i="27" s="1"/>
  <c r="C15" i="27"/>
  <c r="D15" i="27" s="1"/>
  <c r="E15" i="27" s="1"/>
  <c r="C19" i="27"/>
  <c r="D19" i="27" s="1"/>
  <c r="E19" i="27" s="1"/>
  <c r="C23" i="27"/>
  <c r="D23" i="27" s="1"/>
  <c r="E23" i="27" s="1"/>
  <c r="C27" i="27"/>
  <c r="D27" i="27" s="1"/>
  <c r="E27" i="27" s="1"/>
  <c r="C31" i="27"/>
  <c r="D31" i="27" s="1"/>
  <c r="E31" i="27" s="1"/>
  <c r="C35" i="27"/>
  <c r="D35" i="27" s="1"/>
  <c r="E35" i="27" s="1"/>
  <c r="C39" i="27"/>
  <c r="D39" i="27" s="1"/>
  <c r="E39" i="27" s="1"/>
  <c r="C4" i="27"/>
  <c r="D4" i="27" s="1"/>
  <c r="E4" i="27" s="1"/>
  <c r="C8" i="27"/>
  <c r="D8" i="27" s="1"/>
  <c r="E8" i="27" s="1"/>
  <c r="C12" i="27"/>
  <c r="D12" i="27" s="1"/>
  <c r="E12" i="27" s="1"/>
  <c r="C16" i="27"/>
  <c r="D16" i="27" s="1"/>
  <c r="E16" i="27" s="1"/>
  <c r="C20" i="27"/>
  <c r="D20" i="27" s="1"/>
  <c r="E20" i="27" s="1"/>
  <c r="C24" i="27"/>
  <c r="D24" i="27" s="1"/>
  <c r="E24" i="27" s="1"/>
  <c r="C28" i="27"/>
  <c r="D28" i="27" s="1"/>
  <c r="E28" i="27" s="1"/>
  <c r="C32" i="27"/>
  <c r="D32" i="27" s="1"/>
  <c r="E32" i="27" s="1"/>
  <c r="C36" i="27"/>
  <c r="D36" i="27" s="1"/>
  <c r="E36" i="27" s="1"/>
  <c r="C40" i="27"/>
  <c r="D40" i="27" s="1"/>
  <c r="E40" i="27" s="1"/>
  <c r="C1" i="27"/>
  <c r="D1" i="27" s="1"/>
  <c r="E1" i="27" s="1"/>
  <c r="C9" i="26"/>
  <c r="D9" i="26" s="1"/>
  <c r="E9" i="26" s="1"/>
  <c r="C13" i="26"/>
  <c r="D13" i="26" s="1"/>
  <c r="E13" i="26" s="1"/>
  <c r="C17" i="26"/>
  <c r="D17" i="26" s="1"/>
  <c r="E17" i="26" s="1"/>
  <c r="C21" i="26"/>
  <c r="D21" i="26" s="1"/>
  <c r="E21" i="26" s="1"/>
  <c r="C25" i="26"/>
  <c r="D25" i="26" s="1"/>
  <c r="E25" i="26" s="1"/>
  <c r="C29" i="26"/>
  <c r="D29" i="26" s="1"/>
  <c r="E29" i="26" s="1"/>
  <c r="C33" i="26"/>
  <c r="D33" i="26" s="1"/>
  <c r="E33" i="26" s="1"/>
  <c r="C37" i="26"/>
  <c r="D37" i="26" s="1"/>
  <c r="E37" i="26" s="1"/>
  <c r="C6" i="26"/>
  <c r="D6" i="26" s="1"/>
  <c r="E6" i="26" s="1"/>
  <c r="C10" i="26"/>
  <c r="D10" i="26" s="1"/>
  <c r="E10" i="26" s="1"/>
  <c r="C14" i="26"/>
  <c r="D14" i="26" s="1"/>
  <c r="E14" i="26" s="1"/>
  <c r="C18" i="26"/>
  <c r="D18" i="26" s="1"/>
  <c r="E18" i="26" s="1"/>
  <c r="C22" i="26"/>
  <c r="D22" i="26" s="1"/>
  <c r="E22" i="26" s="1"/>
  <c r="C26" i="26"/>
  <c r="D26" i="26" s="1"/>
  <c r="E26" i="26" s="1"/>
  <c r="C30" i="26"/>
  <c r="D30" i="26" s="1"/>
  <c r="E30" i="26" s="1"/>
  <c r="C34" i="26"/>
  <c r="D34" i="26" s="1"/>
  <c r="E34" i="26" s="1"/>
  <c r="C38" i="26"/>
  <c r="D38" i="26" s="1"/>
  <c r="E38" i="26" s="1"/>
  <c r="C3" i="26"/>
  <c r="D3" i="26" s="1"/>
  <c r="E3" i="26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9" i="26"/>
  <c r="D39" i="26" s="1"/>
  <c r="E39" i="26" s="1"/>
  <c r="C4" i="26"/>
  <c r="D4" i="26" s="1"/>
  <c r="E4" i="26" s="1"/>
  <c r="C8" i="26"/>
  <c r="D8" i="26" s="1"/>
  <c r="E8" i="26" s="1"/>
  <c r="C12" i="26"/>
  <c r="D12" i="26" s="1"/>
  <c r="E12" i="26" s="1"/>
  <c r="C16" i="26"/>
  <c r="D16" i="26" s="1"/>
  <c r="E16" i="26" s="1"/>
  <c r="C20" i="26"/>
  <c r="D20" i="26" s="1"/>
  <c r="E20" i="26" s="1"/>
  <c r="C24" i="26"/>
  <c r="D24" i="26" s="1"/>
  <c r="E24" i="26" s="1"/>
  <c r="C28" i="26"/>
  <c r="D28" i="26" s="1"/>
  <c r="E28" i="26" s="1"/>
  <c r="C32" i="26"/>
  <c r="D32" i="26" s="1"/>
  <c r="E32" i="26" s="1"/>
  <c r="C36" i="26"/>
  <c r="D36" i="26" s="1"/>
  <c r="E36" i="26" s="1"/>
  <c r="C40" i="26"/>
  <c r="D40" i="26" s="1"/>
  <c r="E40" i="26" s="1"/>
  <c r="C1" i="26"/>
  <c r="D1" i="26" s="1"/>
  <c r="E1" i="26" s="1"/>
  <c r="C9" i="25"/>
  <c r="D9" i="25" s="1"/>
  <c r="E9" i="25" s="1"/>
  <c r="C13" i="25"/>
  <c r="D13" i="25" s="1"/>
  <c r="E13" i="25" s="1"/>
  <c r="C17" i="25"/>
  <c r="D17" i="25" s="1"/>
  <c r="E17" i="25" s="1"/>
  <c r="C21" i="25"/>
  <c r="D21" i="25" s="1"/>
  <c r="E21" i="25" s="1"/>
  <c r="C25" i="25"/>
  <c r="D25" i="25" s="1"/>
  <c r="E25" i="25" s="1"/>
  <c r="C29" i="25"/>
  <c r="D29" i="25" s="1"/>
  <c r="E29" i="25" s="1"/>
  <c r="C33" i="25"/>
  <c r="D33" i="25" s="1"/>
  <c r="E33" i="25" s="1"/>
  <c r="C37" i="25"/>
  <c r="D37" i="25" s="1"/>
  <c r="E37" i="25" s="1"/>
  <c r="C3" i="25"/>
  <c r="D3" i="25" s="1"/>
  <c r="E3" i="25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4" i="25"/>
  <c r="D4" i="25" s="1"/>
  <c r="E4" i="25" s="1"/>
  <c r="C8" i="25"/>
  <c r="D8" i="25" s="1"/>
  <c r="E8" i="25" s="1"/>
  <c r="C12" i="25"/>
  <c r="D12" i="25" s="1"/>
  <c r="E12" i="25" s="1"/>
  <c r="C16" i="25"/>
  <c r="D16" i="25" s="1"/>
  <c r="E16" i="25" s="1"/>
  <c r="C20" i="25"/>
  <c r="D20" i="25" s="1"/>
  <c r="E20" i="25" s="1"/>
  <c r="C24" i="25"/>
  <c r="D24" i="25" s="1"/>
  <c r="E24" i="25" s="1"/>
  <c r="C28" i="25"/>
  <c r="D28" i="25" s="1"/>
  <c r="E28" i="25" s="1"/>
  <c r="C32" i="25"/>
  <c r="D32" i="25" s="1"/>
  <c r="E32" i="25" s="1"/>
  <c r="C36" i="25"/>
  <c r="D36" i="25" s="1"/>
  <c r="E36" i="25" s="1"/>
  <c r="C40" i="25"/>
  <c r="D40" i="25" s="1"/>
  <c r="E40" i="25" s="1"/>
  <c r="C1" i="25"/>
  <c r="D1" i="25" s="1"/>
  <c r="E1" i="25" s="1"/>
  <c r="C9" i="24"/>
  <c r="D9" i="24" s="1"/>
  <c r="E9" i="24" s="1"/>
  <c r="C13" i="24"/>
  <c r="D13" i="24" s="1"/>
  <c r="E13" i="24" s="1"/>
  <c r="C17" i="24"/>
  <c r="D17" i="24" s="1"/>
  <c r="E17" i="24" s="1"/>
  <c r="C21" i="24"/>
  <c r="D21" i="24" s="1"/>
  <c r="E21" i="24" s="1"/>
  <c r="C25" i="24"/>
  <c r="D25" i="24" s="1"/>
  <c r="E25" i="24" s="1"/>
  <c r="C29" i="24"/>
  <c r="D29" i="24" s="1"/>
  <c r="E29" i="24" s="1"/>
  <c r="C33" i="24"/>
  <c r="D33" i="24" s="1"/>
  <c r="E33" i="24" s="1"/>
  <c r="C37" i="24"/>
  <c r="D37" i="24" s="1"/>
  <c r="E37" i="24" s="1"/>
  <c r="C3" i="24"/>
  <c r="D3" i="24" s="1"/>
  <c r="E3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4" i="24"/>
  <c r="D4" i="24" s="1"/>
  <c r="E4" i="24" s="1"/>
  <c r="C8" i="24"/>
  <c r="D8" i="24" s="1"/>
  <c r="E8" i="24" s="1"/>
  <c r="C12" i="24"/>
  <c r="D12" i="24" s="1"/>
  <c r="E12" i="24" s="1"/>
  <c r="C16" i="24"/>
  <c r="D16" i="24" s="1"/>
  <c r="E16" i="24" s="1"/>
  <c r="C20" i="24"/>
  <c r="D20" i="24" s="1"/>
  <c r="E20" i="24" s="1"/>
  <c r="C24" i="24"/>
  <c r="D24" i="24" s="1"/>
  <c r="E24" i="24" s="1"/>
  <c r="C28" i="24"/>
  <c r="D28" i="24" s="1"/>
  <c r="E28" i="24" s="1"/>
  <c r="C32" i="24"/>
  <c r="D32" i="24" s="1"/>
  <c r="E32" i="24" s="1"/>
  <c r="C36" i="24"/>
  <c r="D36" i="24" s="1"/>
  <c r="E36" i="24" s="1"/>
  <c r="C40" i="24"/>
  <c r="D40" i="24" s="1"/>
  <c r="E40" i="24" s="1"/>
  <c r="C1" i="24"/>
  <c r="D1" i="24" s="1"/>
  <c r="E1" i="24" s="1"/>
  <c r="C9" i="23"/>
  <c r="D9" i="23" s="1"/>
  <c r="E9" i="23" s="1"/>
  <c r="C13" i="23"/>
  <c r="D13" i="23" s="1"/>
  <c r="E13" i="23" s="1"/>
  <c r="C17" i="23"/>
  <c r="D17" i="23" s="1"/>
  <c r="E17" i="23" s="1"/>
  <c r="C21" i="23"/>
  <c r="D21" i="23" s="1"/>
  <c r="E21" i="23" s="1"/>
  <c r="C25" i="23"/>
  <c r="D25" i="23" s="1"/>
  <c r="E25" i="23" s="1"/>
  <c r="C29" i="23"/>
  <c r="D29" i="23" s="1"/>
  <c r="E29" i="23" s="1"/>
  <c r="C33" i="23"/>
  <c r="D33" i="23" s="1"/>
  <c r="E33" i="23" s="1"/>
  <c r="C37" i="23"/>
  <c r="D37" i="23" s="1"/>
  <c r="E37" i="23" s="1"/>
  <c r="C3" i="23"/>
  <c r="D3" i="23" s="1"/>
  <c r="E3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1" i="23"/>
  <c r="D1" i="23" s="1"/>
  <c r="E1" i="23" s="1"/>
  <c r="C9" i="22"/>
  <c r="D9" i="22" s="1"/>
  <c r="E9" i="22" s="1"/>
  <c r="C13" i="22"/>
  <c r="D13" i="22" s="1"/>
  <c r="E13" i="22" s="1"/>
  <c r="C17" i="22"/>
  <c r="D17" i="22" s="1"/>
  <c r="E17" i="22" s="1"/>
  <c r="C21" i="22"/>
  <c r="D21" i="22" s="1"/>
  <c r="E21" i="22" s="1"/>
  <c r="C25" i="22"/>
  <c r="D25" i="22" s="1"/>
  <c r="E25" i="22" s="1"/>
  <c r="C29" i="22"/>
  <c r="D29" i="22" s="1"/>
  <c r="E29" i="22" s="1"/>
  <c r="C33" i="22"/>
  <c r="D33" i="22" s="1"/>
  <c r="E33" i="22" s="1"/>
  <c r="C37" i="22"/>
  <c r="D37" i="22" s="1"/>
  <c r="E37" i="22" s="1"/>
  <c r="C6" i="22"/>
  <c r="D6" i="22" s="1"/>
  <c r="E6" i="22" s="1"/>
  <c r="C10" i="22"/>
  <c r="D10" i="22" s="1"/>
  <c r="E10" i="22" s="1"/>
  <c r="C14" i="22"/>
  <c r="D14" i="22" s="1"/>
  <c r="E14" i="22" s="1"/>
  <c r="C18" i="22"/>
  <c r="D18" i="22" s="1"/>
  <c r="E18" i="22" s="1"/>
  <c r="C22" i="22"/>
  <c r="D22" i="22" s="1"/>
  <c r="E22" i="22" s="1"/>
  <c r="C26" i="22"/>
  <c r="D26" i="22" s="1"/>
  <c r="E26" i="22" s="1"/>
  <c r="C30" i="22"/>
  <c r="D30" i="22" s="1"/>
  <c r="E30" i="22" s="1"/>
  <c r="C34" i="22"/>
  <c r="D34" i="22" s="1"/>
  <c r="E34" i="22" s="1"/>
  <c r="C38" i="22"/>
  <c r="D38" i="22" s="1"/>
  <c r="E38" i="22" s="1"/>
  <c r="C7" i="22"/>
  <c r="D7" i="22" s="1"/>
  <c r="E7" i="22" s="1"/>
  <c r="C11" i="22"/>
  <c r="D11" i="22" s="1"/>
  <c r="E11" i="22" s="1"/>
  <c r="C15" i="22"/>
  <c r="D15" i="22" s="1"/>
  <c r="E15" i="22" s="1"/>
  <c r="C19" i="22"/>
  <c r="D19" i="22" s="1"/>
  <c r="E19" i="22" s="1"/>
  <c r="C23" i="22"/>
  <c r="D23" i="22" s="1"/>
  <c r="E23" i="22" s="1"/>
  <c r="C27" i="22"/>
  <c r="D27" i="22" s="1"/>
  <c r="E27" i="22" s="1"/>
  <c r="C31" i="22"/>
  <c r="D31" i="22" s="1"/>
  <c r="E31" i="22" s="1"/>
  <c r="C35" i="22"/>
  <c r="D35" i="22" s="1"/>
  <c r="E35" i="22" s="1"/>
  <c r="C39" i="22"/>
  <c r="D39" i="22" s="1"/>
  <c r="E39" i="22" s="1"/>
  <c r="C8" i="22"/>
  <c r="D8" i="22" s="1"/>
  <c r="E8" i="22" s="1"/>
  <c r="C12" i="22"/>
  <c r="D12" i="22" s="1"/>
  <c r="E12" i="22" s="1"/>
  <c r="C16" i="22"/>
  <c r="D16" i="22" s="1"/>
  <c r="E16" i="22" s="1"/>
  <c r="C20" i="22"/>
  <c r="D20" i="22" s="1"/>
  <c r="E20" i="22" s="1"/>
  <c r="C24" i="22"/>
  <c r="D24" i="22" s="1"/>
  <c r="E24" i="22" s="1"/>
  <c r="C28" i="22"/>
  <c r="D28" i="22" s="1"/>
  <c r="E28" i="22" s="1"/>
  <c r="C32" i="22"/>
  <c r="D32" i="22" s="1"/>
  <c r="E32" i="22" s="1"/>
  <c r="C36" i="22"/>
  <c r="D36" i="22" s="1"/>
  <c r="E36" i="22" s="1"/>
  <c r="C40" i="22"/>
  <c r="D40" i="22" s="1"/>
  <c r="E40" i="22" s="1"/>
  <c r="C9" i="21"/>
  <c r="D9" i="21" s="1"/>
  <c r="E9" i="21" s="1"/>
  <c r="C13" i="21"/>
  <c r="D13" i="21" s="1"/>
  <c r="E13" i="21" s="1"/>
  <c r="C17" i="21"/>
  <c r="D17" i="21" s="1"/>
  <c r="E17" i="21" s="1"/>
  <c r="C21" i="21"/>
  <c r="D21" i="21" s="1"/>
  <c r="E21" i="21" s="1"/>
  <c r="C25" i="21"/>
  <c r="D25" i="21" s="1"/>
  <c r="E25" i="21" s="1"/>
  <c r="C29" i="21"/>
  <c r="D29" i="21" s="1"/>
  <c r="E29" i="21" s="1"/>
  <c r="C33" i="21"/>
  <c r="D33" i="21" s="1"/>
  <c r="E33" i="21" s="1"/>
  <c r="C37" i="21"/>
  <c r="D37" i="21" s="1"/>
  <c r="E37" i="21" s="1"/>
  <c r="C6" i="21"/>
  <c r="D6" i="21" s="1"/>
  <c r="E6" i="21" s="1"/>
  <c r="C10" i="21"/>
  <c r="D10" i="21" s="1"/>
  <c r="E10" i="21" s="1"/>
  <c r="C14" i="21"/>
  <c r="D14" i="21" s="1"/>
  <c r="E14" i="21" s="1"/>
  <c r="C18" i="21"/>
  <c r="D18" i="21" s="1"/>
  <c r="E18" i="21" s="1"/>
  <c r="C22" i="21"/>
  <c r="D22" i="21" s="1"/>
  <c r="E22" i="21" s="1"/>
  <c r="C26" i="21"/>
  <c r="D26" i="21" s="1"/>
  <c r="E26" i="21" s="1"/>
  <c r="C30" i="21"/>
  <c r="D30" i="21" s="1"/>
  <c r="E30" i="21" s="1"/>
  <c r="C34" i="21"/>
  <c r="D34" i="21" s="1"/>
  <c r="E34" i="21" s="1"/>
  <c r="C38" i="21"/>
  <c r="D38" i="21" s="1"/>
  <c r="E38" i="21" s="1"/>
  <c r="C3" i="21"/>
  <c r="D3" i="21" s="1"/>
  <c r="E3" i="21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3" i="21"/>
  <c r="D23" i="21" s="1"/>
  <c r="E23" i="21" s="1"/>
  <c r="C27" i="21"/>
  <c r="D27" i="21" s="1"/>
  <c r="E27" i="21" s="1"/>
  <c r="C31" i="21"/>
  <c r="D31" i="21" s="1"/>
  <c r="E31" i="21" s="1"/>
  <c r="C35" i="21"/>
  <c r="D35" i="21" s="1"/>
  <c r="E35" i="21" s="1"/>
  <c r="C39" i="21"/>
  <c r="D39" i="21" s="1"/>
  <c r="E39" i="21" s="1"/>
  <c r="C4" i="21"/>
  <c r="D4" i="21" s="1"/>
  <c r="E4" i="21" s="1"/>
  <c r="C8" i="21"/>
  <c r="D8" i="21" s="1"/>
  <c r="E8" i="21" s="1"/>
  <c r="C12" i="21"/>
  <c r="D12" i="21" s="1"/>
  <c r="E12" i="21" s="1"/>
  <c r="C16" i="21"/>
  <c r="D16" i="21" s="1"/>
  <c r="E16" i="21" s="1"/>
  <c r="C20" i="21"/>
  <c r="D20" i="21" s="1"/>
  <c r="E20" i="21" s="1"/>
  <c r="C24" i="21"/>
  <c r="D24" i="21" s="1"/>
  <c r="E24" i="21" s="1"/>
  <c r="C28" i="21"/>
  <c r="D28" i="21" s="1"/>
  <c r="E28" i="21" s="1"/>
  <c r="C32" i="21"/>
  <c r="D32" i="21" s="1"/>
  <c r="E32" i="21" s="1"/>
  <c r="C36" i="21"/>
  <c r="D36" i="21" s="1"/>
  <c r="E36" i="21" s="1"/>
  <c r="C40" i="21"/>
  <c r="D40" i="21" s="1"/>
  <c r="E40" i="21" s="1"/>
  <c r="C1" i="21"/>
  <c r="D1" i="21" s="1"/>
  <c r="E1" i="21" s="1"/>
  <c r="C9" i="20"/>
  <c r="D9" i="20" s="1"/>
  <c r="E9" i="20" s="1"/>
  <c r="C13" i="20"/>
  <c r="D13" i="20" s="1"/>
  <c r="E13" i="20" s="1"/>
  <c r="C17" i="20"/>
  <c r="D17" i="20" s="1"/>
  <c r="E17" i="20" s="1"/>
  <c r="C21" i="20"/>
  <c r="D21" i="20" s="1"/>
  <c r="E21" i="20" s="1"/>
  <c r="C25" i="20"/>
  <c r="D25" i="20" s="1"/>
  <c r="E25" i="20" s="1"/>
  <c r="C29" i="20"/>
  <c r="D29" i="20" s="1"/>
  <c r="E29" i="20" s="1"/>
  <c r="C33" i="20"/>
  <c r="D33" i="20" s="1"/>
  <c r="E33" i="20" s="1"/>
  <c r="C37" i="20"/>
  <c r="D37" i="20" s="1"/>
  <c r="E37" i="20" s="1"/>
  <c r="C3" i="20"/>
  <c r="D3" i="20" s="1"/>
  <c r="E3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4" i="20"/>
  <c r="D4" i="20" s="1"/>
  <c r="E4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1" i="20"/>
  <c r="D1" i="20" s="1"/>
  <c r="E1" i="20" s="1"/>
  <c r="C9" i="19"/>
  <c r="D9" i="19" s="1"/>
  <c r="E9" i="19" s="1"/>
  <c r="C13" i="19"/>
  <c r="D13" i="19" s="1"/>
  <c r="E13" i="19" s="1"/>
  <c r="C17" i="19"/>
  <c r="D17" i="19" s="1"/>
  <c r="E17" i="19" s="1"/>
  <c r="C21" i="19"/>
  <c r="D21" i="19" s="1"/>
  <c r="E21" i="19" s="1"/>
  <c r="C25" i="19"/>
  <c r="D25" i="19" s="1"/>
  <c r="E25" i="19" s="1"/>
  <c r="C29" i="19"/>
  <c r="D29" i="19" s="1"/>
  <c r="E29" i="19" s="1"/>
  <c r="C33" i="19"/>
  <c r="D33" i="19" s="1"/>
  <c r="E33" i="19" s="1"/>
  <c r="C37" i="19"/>
  <c r="D37" i="19" s="1"/>
  <c r="E37" i="19" s="1"/>
  <c r="C3" i="19"/>
  <c r="D3" i="19" s="1"/>
  <c r="E3" i="19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4" i="19"/>
  <c r="D4" i="19" s="1"/>
  <c r="E4" i="19" s="1"/>
  <c r="C9" i="18"/>
  <c r="D9" i="18" s="1"/>
  <c r="E9" i="18" s="1"/>
  <c r="C13" i="18"/>
  <c r="D13" i="18" s="1"/>
  <c r="E13" i="18" s="1"/>
  <c r="C17" i="18"/>
  <c r="D17" i="18" s="1"/>
  <c r="E17" i="18" s="1"/>
  <c r="C21" i="18"/>
  <c r="D21" i="18" s="1"/>
  <c r="E21" i="18" s="1"/>
  <c r="C25" i="18"/>
  <c r="D25" i="18" s="1"/>
  <c r="E25" i="18" s="1"/>
  <c r="C29" i="18"/>
  <c r="D29" i="18" s="1"/>
  <c r="E29" i="18" s="1"/>
  <c r="C33" i="18"/>
  <c r="D33" i="18" s="1"/>
  <c r="E33" i="18" s="1"/>
  <c r="C37" i="18"/>
  <c r="D37" i="18" s="1"/>
  <c r="E37" i="18" s="1"/>
  <c r="C6" i="18"/>
  <c r="D6" i="18" s="1"/>
  <c r="E6" i="18" s="1"/>
  <c r="C10" i="18"/>
  <c r="D10" i="18" s="1"/>
  <c r="E10" i="18" s="1"/>
  <c r="C14" i="18"/>
  <c r="D14" i="18" s="1"/>
  <c r="E14" i="18" s="1"/>
  <c r="C18" i="18"/>
  <c r="D18" i="18" s="1"/>
  <c r="E18" i="18" s="1"/>
  <c r="C22" i="18"/>
  <c r="D22" i="18" s="1"/>
  <c r="E22" i="18" s="1"/>
  <c r="C26" i="18"/>
  <c r="D26" i="18" s="1"/>
  <c r="E26" i="18" s="1"/>
  <c r="C30" i="18"/>
  <c r="D30" i="18" s="1"/>
  <c r="E30" i="18" s="1"/>
  <c r="C34" i="18"/>
  <c r="D34" i="18" s="1"/>
  <c r="E34" i="18" s="1"/>
  <c r="C38" i="18"/>
  <c r="D38" i="18" s="1"/>
  <c r="E38" i="18" s="1"/>
  <c r="C3" i="18"/>
  <c r="D3" i="18" s="1"/>
  <c r="E3" i="18" s="1"/>
  <c r="C7" i="18"/>
  <c r="D7" i="18" s="1"/>
  <c r="E7" i="18" s="1"/>
  <c r="C11" i="18"/>
  <c r="D11" i="18" s="1"/>
  <c r="E11" i="18" s="1"/>
  <c r="C15" i="18"/>
  <c r="D15" i="18" s="1"/>
  <c r="E15" i="18" s="1"/>
  <c r="C19" i="18"/>
  <c r="D19" i="18" s="1"/>
  <c r="E19" i="18" s="1"/>
  <c r="C23" i="18"/>
  <c r="D23" i="18" s="1"/>
  <c r="E23" i="18" s="1"/>
  <c r="C27" i="18"/>
  <c r="D27" i="18" s="1"/>
  <c r="E27" i="18" s="1"/>
  <c r="C31" i="18"/>
  <c r="D31" i="18" s="1"/>
  <c r="E31" i="18" s="1"/>
  <c r="C35" i="18"/>
  <c r="D35" i="18" s="1"/>
  <c r="E35" i="18" s="1"/>
  <c r="C39" i="18"/>
  <c r="D39" i="18" s="1"/>
  <c r="E39" i="18" s="1"/>
  <c r="C4" i="18"/>
  <c r="D4" i="18" s="1"/>
  <c r="E4" i="18" s="1"/>
  <c r="C8" i="18"/>
  <c r="D8" i="18" s="1"/>
  <c r="E8" i="18" s="1"/>
  <c r="C12" i="18"/>
  <c r="D12" i="18" s="1"/>
  <c r="E12" i="18" s="1"/>
  <c r="C16" i="18"/>
  <c r="D16" i="18" s="1"/>
  <c r="E16" i="18" s="1"/>
  <c r="C20" i="18"/>
  <c r="D20" i="18" s="1"/>
  <c r="E20" i="18" s="1"/>
  <c r="C24" i="18"/>
  <c r="D24" i="18" s="1"/>
  <c r="E24" i="18" s="1"/>
  <c r="C28" i="18"/>
  <c r="D28" i="18" s="1"/>
  <c r="E28" i="18" s="1"/>
  <c r="C32" i="18"/>
  <c r="D32" i="18" s="1"/>
  <c r="E32" i="18" s="1"/>
  <c r="C36" i="18"/>
  <c r="D36" i="18" s="1"/>
  <c r="E36" i="18" s="1"/>
  <c r="C40" i="18"/>
  <c r="D40" i="18" s="1"/>
  <c r="E40" i="18" s="1"/>
  <c r="C1" i="18"/>
  <c r="D1" i="18" s="1"/>
  <c r="E1" i="18" s="1"/>
  <c r="C6" i="17"/>
  <c r="D6" i="17" s="1"/>
  <c r="E6" i="17" s="1"/>
  <c r="C10" i="17"/>
  <c r="D10" i="17" s="1"/>
  <c r="E10" i="17" s="1"/>
  <c r="C14" i="17"/>
  <c r="D14" i="17" s="1"/>
  <c r="E14" i="17" s="1"/>
  <c r="C18" i="17"/>
  <c r="D18" i="17" s="1"/>
  <c r="E18" i="17" s="1"/>
  <c r="C22" i="17"/>
  <c r="D22" i="17" s="1"/>
  <c r="E22" i="17" s="1"/>
  <c r="C26" i="17"/>
  <c r="D26" i="17" s="1"/>
  <c r="E26" i="17" s="1"/>
  <c r="C30" i="17"/>
  <c r="D30" i="17" s="1"/>
  <c r="E30" i="17" s="1"/>
  <c r="C34" i="17"/>
  <c r="D34" i="17" s="1"/>
  <c r="E34" i="17" s="1"/>
  <c r="C38" i="17"/>
  <c r="D38" i="17" s="1"/>
  <c r="E38" i="17" s="1"/>
  <c r="C3" i="17"/>
  <c r="D3" i="17" s="1"/>
  <c r="E3" i="17" s="1"/>
  <c r="C4" i="17"/>
  <c r="D4" i="17" s="1"/>
  <c r="E4" i="17" s="1"/>
  <c r="C8" i="17"/>
  <c r="D8" i="17" s="1"/>
  <c r="E8" i="17" s="1"/>
  <c r="C12" i="17"/>
  <c r="D12" i="17" s="1"/>
  <c r="E12" i="17" s="1"/>
  <c r="C16" i="17"/>
  <c r="D16" i="17" s="1"/>
  <c r="E16" i="17" s="1"/>
  <c r="C20" i="17"/>
  <c r="D20" i="17" s="1"/>
  <c r="E20" i="17" s="1"/>
  <c r="C24" i="17"/>
  <c r="D24" i="17" s="1"/>
  <c r="E24" i="17" s="1"/>
  <c r="C28" i="17"/>
  <c r="D28" i="17" s="1"/>
  <c r="E28" i="17" s="1"/>
  <c r="C32" i="17"/>
  <c r="D32" i="17" s="1"/>
  <c r="E32" i="17" s="1"/>
  <c r="C36" i="17"/>
  <c r="D36" i="17" s="1"/>
  <c r="E36" i="17" s="1"/>
  <c r="C40" i="17"/>
  <c r="D40" i="17" s="1"/>
  <c r="E40" i="17" s="1"/>
  <c r="C1" i="17"/>
  <c r="D1" i="17" s="1"/>
  <c r="E1" i="17" s="1"/>
  <c r="C4" i="16"/>
  <c r="D4" i="16" s="1"/>
  <c r="E4" i="16" s="1"/>
  <c r="C8" i="16"/>
  <c r="D8" i="16" s="1"/>
  <c r="E8" i="16" s="1"/>
  <c r="C12" i="16"/>
  <c r="D12" i="16" s="1"/>
  <c r="E12" i="16" s="1"/>
  <c r="C16" i="16"/>
  <c r="D16" i="16" s="1"/>
  <c r="E16" i="16" s="1"/>
  <c r="C20" i="16"/>
  <c r="D20" i="16" s="1"/>
  <c r="E20" i="16" s="1"/>
  <c r="C24" i="16"/>
  <c r="D24" i="16" s="1"/>
  <c r="E24" i="16" s="1"/>
  <c r="C28" i="16"/>
  <c r="D28" i="16" s="1"/>
  <c r="E28" i="16" s="1"/>
  <c r="C32" i="16"/>
  <c r="D32" i="16" s="1"/>
  <c r="E32" i="16" s="1"/>
  <c r="C36" i="16"/>
  <c r="D36" i="16" s="1"/>
  <c r="E36" i="16" s="1"/>
  <c r="C40" i="16"/>
  <c r="D40" i="16" s="1"/>
  <c r="E40" i="16" s="1"/>
  <c r="C1" i="16"/>
  <c r="D1" i="16" s="1"/>
  <c r="E1" i="16" s="1"/>
  <c r="C6" i="15"/>
  <c r="D6" i="15" s="1"/>
  <c r="E6" i="15" s="1"/>
  <c r="C10" i="15"/>
  <c r="D10" i="15" s="1"/>
  <c r="E10" i="15" s="1"/>
  <c r="C14" i="15"/>
  <c r="D14" i="15" s="1"/>
  <c r="E14" i="15" s="1"/>
  <c r="C18" i="15"/>
  <c r="D18" i="15" s="1"/>
  <c r="E18" i="15" s="1"/>
  <c r="C22" i="15"/>
  <c r="D22" i="15" s="1"/>
  <c r="E22" i="15" s="1"/>
  <c r="C26" i="15"/>
  <c r="D26" i="15" s="1"/>
  <c r="E26" i="15" s="1"/>
  <c r="C30" i="15"/>
  <c r="D30" i="15" s="1"/>
  <c r="E30" i="15" s="1"/>
  <c r="C34" i="15"/>
  <c r="D34" i="15" s="1"/>
  <c r="E34" i="15" s="1"/>
  <c r="C38" i="15"/>
  <c r="D38" i="15" s="1"/>
  <c r="E38" i="15" s="1"/>
  <c r="C3" i="15"/>
  <c r="D3" i="15" s="1"/>
  <c r="E3" i="15" s="1"/>
  <c r="C7" i="15"/>
  <c r="D7" i="15" s="1"/>
  <c r="E7" i="15" s="1"/>
  <c r="C11" i="15"/>
  <c r="D11" i="15" s="1"/>
  <c r="E11" i="15" s="1"/>
  <c r="C15" i="15"/>
  <c r="D15" i="15" s="1"/>
  <c r="E15" i="15" s="1"/>
  <c r="C19" i="15"/>
  <c r="D19" i="15" s="1"/>
  <c r="E19" i="15" s="1"/>
  <c r="C23" i="15"/>
  <c r="D23" i="15" s="1"/>
  <c r="E23" i="15" s="1"/>
  <c r="C27" i="15"/>
  <c r="D27" i="15" s="1"/>
  <c r="E27" i="15" s="1"/>
  <c r="C31" i="15"/>
  <c r="D31" i="15" s="1"/>
  <c r="E31" i="15" s="1"/>
  <c r="C35" i="15"/>
  <c r="D35" i="15" s="1"/>
  <c r="E35" i="15" s="1"/>
  <c r="C39" i="15"/>
  <c r="D39" i="15" s="1"/>
  <c r="E39" i="15" s="1"/>
  <c r="C4" i="15"/>
  <c r="D4" i="15" s="1"/>
  <c r="E4" i="15" s="1"/>
  <c r="C1" i="15"/>
  <c r="D1" i="15" s="1"/>
  <c r="E1" i="15" s="1"/>
  <c r="C9" i="14"/>
  <c r="D9" i="14" s="1"/>
  <c r="E9" i="14" s="1"/>
  <c r="C13" i="14"/>
  <c r="D13" i="14" s="1"/>
  <c r="E13" i="14" s="1"/>
  <c r="C17" i="14"/>
  <c r="D17" i="14" s="1"/>
  <c r="E17" i="14" s="1"/>
  <c r="C21" i="14"/>
  <c r="D21" i="14" s="1"/>
  <c r="E21" i="14" s="1"/>
  <c r="C25" i="14"/>
  <c r="D25" i="14" s="1"/>
  <c r="E25" i="14" s="1"/>
  <c r="C29" i="14"/>
  <c r="D29" i="14" s="1"/>
  <c r="E29" i="14" s="1"/>
  <c r="C33" i="14"/>
  <c r="D33" i="14" s="1"/>
  <c r="E33" i="14" s="1"/>
  <c r="C37" i="14"/>
  <c r="D37" i="14" s="1"/>
  <c r="E37" i="14" s="1"/>
  <c r="C34" i="14"/>
  <c r="D34" i="14" s="1"/>
  <c r="E34" i="14" s="1"/>
  <c r="C38" i="14"/>
  <c r="D38" i="14" s="1"/>
  <c r="E38" i="14" s="1"/>
  <c r="C3" i="14"/>
  <c r="D3" i="14" s="1"/>
  <c r="E3" i="14" s="1"/>
  <c r="C7" i="14"/>
  <c r="D7" i="14" s="1"/>
  <c r="E7" i="14" s="1"/>
  <c r="C11" i="14"/>
  <c r="D11" i="14" s="1"/>
  <c r="E11" i="14" s="1"/>
  <c r="C15" i="14"/>
  <c r="D15" i="14" s="1"/>
  <c r="E15" i="14" s="1"/>
  <c r="C19" i="14"/>
  <c r="D19" i="14" s="1"/>
  <c r="E19" i="14" s="1"/>
  <c r="C23" i="14"/>
  <c r="D23" i="14" s="1"/>
  <c r="E23" i="14" s="1"/>
  <c r="C27" i="14"/>
  <c r="D27" i="14" s="1"/>
  <c r="E27" i="14" s="1"/>
  <c r="C31" i="14"/>
  <c r="D31" i="14" s="1"/>
  <c r="E31" i="14" s="1"/>
  <c r="C35" i="14"/>
  <c r="D35" i="14" s="1"/>
  <c r="E35" i="14" s="1"/>
  <c r="C39" i="14"/>
  <c r="D39" i="14" s="1"/>
  <c r="E39" i="14" s="1"/>
  <c r="C4" i="14"/>
  <c r="D4" i="14" s="1"/>
  <c r="E4" i="14" s="1"/>
  <c r="C8" i="14"/>
  <c r="D8" i="14" s="1"/>
  <c r="E8" i="14" s="1"/>
  <c r="C12" i="14"/>
  <c r="D12" i="14" s="1"/>
  <c r="E12" i="14" s="1"/>
  <c r="C16" i="14"/>
  <c r="D16" i="14" s="1"/>
  <c r="E16" i="14" s="1"/>
  <c r="C20" i="14"/>
  <c r="D20" i="14" s="1"/>
  <c r="E20" i="14" s="1"/>
  <c r="C24" i="14"/>
  <c r="D24" i="14" s="1"/>
  <c r="E24" i="14" s="1"/>
  <c r="C28" i="14"/>
  <c r="D28" i="14" s="1"/>
  <c r="E28" i="14" s="1"/>
  <c r="C32" i="14"/>
  <c r="D32" i="14" s="1"/>
  <c r="E32" i="14" s="1"/>
  <c r="C36" i="14"/>
  <c r="D36" i="14" s="1"/>
  <c r="E36" i="14" s="1"/>
  <c r="C40" i="14"/>
  <c r="D40" i="14" s="1"/>
  <c r="E40" i="14" s="1"/>
  <c r="C1" i="14"/>
  <c r="D1" i="14" s="1"/>
  <c r="E1" i="14" s="1"/>
  <c r="C6" i="13"/>
  <c r="D6" i="13" s="1"/>
  <c r="E6" i="13" s="1"/>
  <c r="C10" i="13"/>
  <c r="D10" i="13" s="1"/>
  <c r="E10" i="13" s="1"/>
  <c r="C14" i="13"/>
  <c r="D14" i="13" s="1"/>
  <c r="E14" i="13" s="1"/>
  <c r="C18" i="13"/>
  <c r="D18" i="13" s="1"/>
  <c r="E18" i="13" s="1"/>
  <c r="C22" i="13"/>
  <c r="D22" i="13" s="1"/>
  <c r="E22" i="13" s="1"/>
  <c r="C26" i="13"/>
  <c r="D26" i="13" s="1"/>
  <c r="E26" i="13" s="1"/>
  <c r="C30" i="13"/>
  <c r="D30" i="13" s="1"/>
  <c r="E30" i="13" s="1"/>
  <c r="C34" i="13"/>
  <c r="D34" i="13" s="1"/>
  <c r="E34" i="13" s="1"/>
  <c r="C38" i="13"/>
  <c r="D38" i="13" s="1"/>
  <c r="E38" i="13" s="1"/>
  <c r="C3" i="13"/>
  <c r="D3" i="13" s="1"/>
  <c r="E3" i="13" s="1"/>
  <c r="C7" i="13"/>
  <c r="D7" i="13" s="1"/>
  <c r="E7" i="13" s="1"/>
  <c r="C11" i="13"/>
  <c r="D11" i="13" s="1"/>
  <c r="E11" i="13" s="1"/>
  <c r="C15" i="13"/>
  <c r="D15" i="13" s="1"/>
  <c r="E15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4" i="13"/>
  <c r="D4" i="13" s="1"/>
  <c r="E4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1" i="13"/>
  <c r="D1" i="13" s="1"/>
  <c r="E1" i="13" s="1"/>
  <c r="C9" i="12"/>
  <c r="D9" i="12" s="1"/>
  <c r="E9" i="12" s="1"/>
  <c r="C13" i="12"/>
  <c r="D13" i="12" s="1"/>
  <c r="E13" i="12" s="1"/>
  <c r="C17" i="12"/>
  <c r="D17" i="12" s="1"/>
  <c r="E17" i="12" s="1"/>
  <c r="C21" i="12"/>
  <c r="D21" i="12" s="1"/>
  <c r="E21" i="12" s="1"/>
  <c r="C25" i="12"/>
  <c r="D25" i="12" s="1"/>
  <c r="E25" i="12" s="1"/>
  <c r="C29" i="12"/>
  <c r="D29" i="12" s="1"/>
  <c r="E29" i="12" s="1"/>
  <c r="C33" i="12"/>
  <c r="D33" i="12" s="1"/>
  <c r="E33" i="12" s="1"/>
  <c r="C37" i="12"/>
  <c r="D37" i="12" s="1"/>
  <c r="E37" i="12" s="1"/>
  <c r="C3" i="12"/>
  <c r="D3" i="12" s="1"/>
  <c r="E3" i="12" s="1"/>
  <c r="C7" i="12"/>
  <c r="D7" i="12" s="1"/>
  <c r="E7" i="12" s="1"/>
  <c r="C11" i="12"/>
  <c r="D11" i="12" s="1"/>
  <c r="E11" i="12" s="1"/>
  <c r="C15" i="12"/>
  <c r="D15" i="12" s="1"/>
  <c r="E15" i="12" s="1"/>
  <c r="C19" i="12"/>
  <c r="D19" i="12" s="1"/>
  <c r="E19" i="12" s="1"/>
  <c r="C23" i="12"/>
  <c r="D23" i="12" s="1"/>
  <c r="E23" i="12" s="1"/>
  <c r="C27" i="12"/>
  <c r="D27" i="12" s="1"/>
  <c r="E27" i="12" s="1"/>
  <c r="C31" i="12"/>
  <c r="D31" i="12" s="1"/>
  <c r="E31" i="12" s="1"/>
  <c r="C35" i="12"/>
  <c r="D35" i="12" s="1"/>
  <c r="E35" i="12" s="1"/>
  <c r="C39" i="12"/>
  <c r="D39" i="12" s="1"/>
  <c r="E39" i="12" s="1"/>
  <c r="C4" i="12"/>
  <c r="D4" i="12" s="1"/>
  <c r="E4" i="12" s="1"/>
  <c r="C8" i="12"/>
  <c r="D8" i="12" s="1"/>
  <c r="E8" i="12" s="1"/>
  <c r="C12" i="12"/>
  <c r="D12" i="12" s="1"/>
  <c r="E12" i="12" s="1"/>
  <c r="C16" i="12"/>
  <c r="D16" i="12" s="1"/>
  <c r="E16" i="12" s="1"/>
  <c r="C20" i="12"/>
  <c r="D20" i="12" s="1"/>
  <c r="E20" i="12" s="1"/>
  <c r="C24" i="12"/>
  <c r="D24" i="12" s="1"/>
  <c r="E24" i="12" s="1"/>
  <c r="C28" i="12"/>
  <c r="D28" i="12" s="1"/>
  <c r="E28" i="12" s="1"/>
  <c r="C32" i="12"/>
  <c r="D32" i="12" s="1"/>
  <c r="E32" i="12" s="1"/>
  <c r="C36" i="12"/>
  <c r="D36" i="12" s="1"/>
  <c r="E36" i="12" s="1"/>
  <c r="C40" i="12"/>
  <c r="D40" i="12" s="1"/>
  <c r="E40" i="12" s="1"/>
  <c r="C1" i="12"/>
  <c r="D1" i="12" s="1"/>
  <c r="E1" i="12" s="1"/>
  <c r="C6" i="11"/>
  <c r="D6" i="11" s="1"/>
  <c r="E6" i="11" s="1"/>
  <c r="C10" i="11"/>
  <c r="D10" i="11" s="1"/>
  <c r="E10" i="11" s="1"/>
  <c r="C14" i="11"/>
  <c r="D14" i="11" s="1"/>
  <c r="E14" i="11" s="1"/>
  <c r="C18" i="11"/>
  <c r="D18" i="11" s="1"/>
  <c r="E18" i="11" s="1"/>
  <c r="C22" i="11"/>
  <c r="D22" i="11" s="1"/>
  <c r="E22" i="11" s="1"/>
  <c r="C26" i="11"/>
  <c r="D26" i="11" s="1"/>
  <c r="E26" i="11" s="1"/>
  <c r="C30" i="11"/>
  <c r="D30" i="11" s="1"/>
  <c r="E30" i="11" s="1"/>
  <c r="C34" i="11"/>
  <c r="D34" i="11" s="1"/>
  <c r="E34" i="11" s="1"/>
  <c r="C38" i="11"/>
  <c r="D38" i="11" s="1"/>
  <c r="E38" i="11" s="1"/>
  <c r="C31" i="11"/>
  <c r="D31" i="11" s="1"/>
  <c r="E31" i="11" s="1"/>
  <c r="C35" i="11"/>
  <c r="D35" i="11" s="1"/>
  <c r="E35" i="11" s="1"/>
  <c r="C39" i="11"/>
  <c r="D39" i="11" s="1"/>
  <c r="E39" i="11" s="1"/>
  <c r="C4" i="11"/>
  <c r="D4" i="11" s="1"/>
  <c r="E4" i="11" s="1"/>
  <c r="C8" i="11"/>
  <c r="D8" i="11" s="1"/>
  <c r="E8" i="11" s="1"/>
  <c r="C12" i="11"/>
  <c r="D12" i="11" s="1"/>
  <c r="E12" i="11" s="1"/>
  <c r="C16" i="11"/>
  <c r="D16" i="11" s="1"/>
  <c r="E16" i="11" s="1"/>
  <c r="C20" i="11"/>
  <c r="D20" i="11" s="1"/>
  <c r="E20" i="11" s="1"/>
  <c r="C24" i="11"/>
  <c r="D24" i="11" s="1"/>
  <c r="E24" i="11" s="1"/>
  <c r="C28" i="11"/>
  <c r="D28" i="11" s="1"/>
  <c r="E28" i="11" s="1"/>
  <c r="C32" i="11"/>
  <c r="D32" i="11" s="1"/>
  <c r="E32" i="11" s="1"/>
  <c r="C36" i="11"/>
  <c r="D36" i="11" s="1"/>
  <c r="E36" i="11" s="1"/>
  <c r="C40" i="11"/>
  <c r="D40" i="11" s="1"/>
  <c r="E40" i="11" s="1"/>
  <c r="C6" i="10"/>
  <c r="D6" i="10" s="1"/>
  <c r="E6" i="10" s="1"/>
  <c r="C10" i="10"/>
  <c r="D10" i="10" s="1"/>
  <c r="E10" i="10" s="1"/>
  <c r="C14" i="10"/>
  <c r="D14" i="10" s="1"/>
  <c r="E14" i="10" s="1"/>
  <c r="C18" i="10"/>
  <c r="D18" i="10" s="1"/>
  <c r="E18" i="10" s="1"/>
  <c r="C22" i="10"/>
  <c r="D22" i="10" s="1"/>
  <c r="E22" i="10" s="1"/>
  <c r="C26" i="10"/>
  <c r="D26" i="10" s="1"/>
  <c r="E26" i="10" s="1"/>
  <c r="C30" i="10"/>
  <c r="D30" i="10" s="1"/>
  <c r="E30" i="10" s="1"/>
  <c r="C34" i="10"/>
  <c r="D34" i="10" s="1"/>
  <c r="E34" i="10" s="1"/>
  <c r="C38" i="10"/>
  <c r="D38" i="10" s="1"/>
  <c r="E38" i="10" s="1"/>
  <c r="C3" i="10"/>
  <c r="D3" i="10" s="1"/>
  <c r="E3" i="10" s="1"/>
  <c r="C31" i="10"/>
  <c r="D31" i="10" s="1"/>
  <c r="E31" i="10" s="1"/>
  <c r="C35" i="10"/>
  <c r="D35" i="10" s="1"/>
  <c r="E35" i="10" s="1"/>
  <c r="C39" i="10"/>
  <c r="D39" i="10" s="1"/>
  <c r="E39" i="10" s="1"/>
  <c r="C4" i="10"/>
  <c r="D4" i="10" s="1"/>
  <c r="E4" i="10" s="1"/>
  <c r="C8" i="10"/>
  <c r="D8" i="10" s="1"/>
  <c r="E8" i="10" s="1"/>
  <c r="C12" i="10"/>
  <c r="D12" i="10" s="1"/>
  <c r="E12" i="10" s="1"/>
  <c r="C16" i="10"/>
  <c r="D16" i="10" s="1"/>
  <c r="E16" i="10" s="1"/>
  <c r="C20" i="10"/>
  <c r="D20" i="10" s="1"/>
  <c r="E20" i="10" s="1"/>
  <c r="C24" i="10"/>
  <c r="D24" i="10" s="1"/>
  <c r="E24" i="10" s="1"/>
  <c r="C28" i="10"/>
  <c r="D28" i="10" s="1"/>
  <c r="E28" i="10" s="1"/>
  <c r="C32" i="10"/>
  <c r="D32" i="10" s="1"/>
  <c r="E32" i="10" s="1"/>
  <c r="C36" i="10"/>
  <c r="D36" i="10" s="1"/>
  <c r="E36" i="10" s="1"/>
  <c r="C40" i="10"/>
  <c r="D40" i="10" s="1"/>
  <c r="E40" i="10" s="1"/>
  <c r="C1" i="10"/>
  <c r="D1" i="10" s="1"/>
  <c r="E1" i="10" s="1"/>
  <c r="C9" i="9"/>
  <c r="D9" i="9" s="1"/>
  <c r="E9" i="9" s="1"/>
  <c r="C13" i="9"/>
  <c r="D13" i="9" s="1"/>
  <c r="E13" i="9" s="1"/>
  <c r="C17" i="9"/>
  <c r="D17" i="9" s="1"/>
  <c r="E17" i="9" s="1"/>
  <c r="C21" i="9"/>
  <c r="D21" i="9" s="1"/>
  <c r="E21" i="9" s="1"/>
  <c r="C25" i="9"/>
  <c r="D25" i="9" s="1"/>
  <c r="E25" i="9" s="1"/>
  <c r="C29" i="9"/>
  <c r="D29" i="9" s="1"/>
  <c r="E29" i="9" s="1"/>
  <c r="C33" i="9"/>
  <c r="D33" i="9" s="1"/>
  <c r="E33" i="9" s="1"/>
  <c r="C37" i="9"/>
  <c r="D37" i="9" s="1"/>
  <c r="E37" i="9" s="1"/>
  <c r="C3" i="9"/>
  <c r="D3" i="9" s="1"/>
  <c r="E3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4" i="9"/>
  <c r="D4" i="9" s="1"/>
  <c r="E4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1" i="9"/>
  <c r="D1" i="9" s="1"/>
  <c r="E1" i="9" s="1"/>
  <c r="C2" i="8"/>
  <c r="D2" i="8" s="1"/>
  <c r="E2" i="8" s="1"/>
  <c r="C6" i="8"/>
  <c r="D6" i="8" s="1"/>
  <c r="E6" i="8" s="1"/>
  <c r="C10" i="8"/>
  <c r="D10" i="8" s="1"/>
  <c r="E10" i="8" s="1"/>
  <c r="C14" i="8"/>
  <c r="D14" i="8" s="1"/>
  <c r="E14" i="8" s="1"/>
  <c r="C18" i="8"/>
  <c r="D18" i="8" s="1"/>
  <c r="E18" i="8" s="1"/>
  <c r="C22" i="8"/>
  <c r="D22" i="8" s="1"/>
  <c r="E22" i="8" s="1"/>
  <c r="C26" i="8"/>
  <c r="D26" i="8" s="1"/>
  <c r="E26" i="8" s="1"/>
  <c r="C30" i="8"/>
  <c r="D30" i="8" s="1"/>
  <c r="E30" i="8" s="1"/>
  <c r="C34" i="8"/>
  <c r="D34" i="8" s="1"/>
  <c r="E34" i="8" s="1"/>
  <c r="C38" i="8"/>
  <c r="D38" i="8" s="1"/>
  <c r="E38" i="8" s="1"/>
  <c r="C3" i="8"/>
  <c r="D3" i="8" s="1"/>
  <c r="E3" i="8" s="1"/>
  <c r="C7" i="8"/>
  <c r="D7" i="8" s="1"/>
  <c r="E7" i="8" s="1"/>
  <c r="C11" i="8"/>
  <c r="D11" i="8" s="1"/>
  <c r="E11" i="8" s="1"/>
  <c r="C15" i="8"/>
  <c r="D15" i="8" s="1"/>
  <c r="E15" i="8" s="1"/>
  <c r="C19" i="8"/>
  <c r="D19" i="8" s="1"/>
  <c r="E19" i="8" s="1"/>
  <c r="C23" i="8"/>
  <c r="D23" i="8" s="1"/>
  <c r="E23" i="8" s="1"/>
  <c r="C27" i="8"/>
  <c r="D27" i="8" s="1"/>
  <c r="E27" i="8" s="1"/>
  <c r="C31" i="8"/>
  <c r="D31" i="8" s="1"/>
  <c r="E31" i="8" s="1"/>
  <c r="C35" i="8"/>
  <c r="D35" i="8" s="1"/>
  <c r="E35" i="8" s="1"/>
  <c r="C39" i="8"/>
  <c r="D39" i="8" s="1"/>
  <c r="E39" i="8" s="1"/>
  <c r="C4" i="8"/>
  <c r="D4" i="8" s="1"/>
  <c r="E4" i="8" s="1"/>
  <c r="C8" i="8"/>
  <c r="D8" i="8" s="1"/>
  <c r="E8" i="8" s="1"/>
  <c r="C12" i="8"/>
  <c r="D12" i="8" s="1"/>
  <c r="E12" i="8" s="1"/>
  <c r="C16" i="8"/>
  <c r="D16" i="8" s="1"/>
  <c r="E16" i="8" s="1"/>
  <c r="C20" i="8"/>
  <c r="D20" i="8" s="1"/>
  <c r="E20" i="8" s="1"/>
  <c r="C24" i="8"/>
  <c r="D24" i="8" s="1"/>
  <c r="E24" i="8" s="1"/>
  <c r="C28" i="8"/>
  <c r="D28" i="8" s="1"/>
  <c r="E28" i="8" s="1"/>
  <c r="C32" i="8"/>
  <c r="D32" i="8" s="1"/>
  <c r="E32" i="8" s="1"/>
  <c r="C36" i="8"/>
  <c r="D36" i="8" s="1"/>
  <c r="E36" i="8" s="1"/>
  <c r="C40" i="8"/>
  <c r="D40" i="8" s="1"/>
  <c r="E40" i="8" s="1"/>
  <c r="C1" i="8"/>
  <c r="D1" i="8" s="1"/>
  <c r="E1" i="8" s="1"/>
  <c r="C3" i="7"/>
  <c r="D3" i="7" s="1"/>
  <c r="E3" i="7" s="1"/>
  <c r="C7" i="7"/>
  <c r="D7" i="7" s="1"/>
  <c r="E7" i="7" s="1"/>
  <c r="C11" i="7"/>
  <c r="D11" i="7" s="1"/>
  <c r="E11" i="7" s="1"/>
  <c r="C15" i="7"/>
  <c r="D15" i="7" s="1"/>
  <c r="E15" i="7" s="1"/>
  <c r="C19" i="7"/>
  <c r="D19" i="7" s="1"/>
  <c r="E19" i="7" s="1"/>
  <c r="C23" i="7"/>
  <c r="D23" i="7" s="1"/>
  <c r="E23" i="7" s="1"/>
  <c r="C27" i="7"/>
  <c r="D27" i="7" s="1"/>
  <c r="E27" i="7" s="1"/>
  <c r="C31" i="7"/>
  <c r="D31" i="7" s="1"/>
  <c r="E31" i="7" s="1"/>
  <c r="C35" i="7"/>
  <c r="D35" i="7" s="1"/>
  <c r="E35" i="7" s="1"/>
  <c r="C39" i="7"/>
  <c r="D39" i="7" s="1"/>
  <c r="E39" i="7" s="1"/>
  <c r="C4" i="7"/>
  <c r="D4" i="7" s="1"/>
  <c r="E4" i="7" s="1"/>
  <c r="C8" i="7"/>
  <c r="D8" i="7" s="1"/>
  <c r="E8" i="7" s="1"/>
  <c r="C12" i="7"/>
  <c r="D12" i="7" s="1"/>
  <c r="E12" i="7" s="1"/>
  <c r="C16" i="7"/>
  <c r="D16" i="7" s="1"/>
  <c r="E16" i="7" s="1"/>
  <c r="C20" i="7"/>
  <c r="D20" i="7" s="1"/>
  <c r="E20" i="7" s="1"/>
  <c r="C24" i="7"/>
  <c r="D24" i="7" s="1"/>
  <c r="E24" i="7" s="1"/>
  <c r="C28" i="7"/>
  <c r="D28" i="7" s="1"/>
  <c r="E28" i="7" s="1"/>
  <c r="C32" i="7"/>
  <c r="D32" i="7" s="1"/>
  <c r="E32" i="7" s="1"/>
  <c r="C36" i="7"/>
  <c r="D36" i="7" s="1"/>
  <c r="E36" i="7" s="1"/>
  <c r="C40" i="7"/>
  <c r="D40" i="7" s="1"/>
  <c r="E40" i="7" s="1"/>
  <c r="C1" i="7"/>
  <c r="D1" i="7" s="1"/>
  <c r="E1" i="7" s="1"/>
  <c r="C9" i="6"/>
  <c r="D9" i="6" s="1"/>
  <c r="E9" i="6" s="1"/>
  <c r="C13" i="6"/>
  <c r="D13" i="6" s="1"/>
  <c r="E13" i="6" s="1"/>
  <c r="C17" i="6"/>
  <c r="D17" i="6" s="1"/>
  <c r="E17" i="6" s="1"/>
  <c r="C21" i="6"/>
  <c r="D21" i="6" s="1"/>
  <c r="E21" i="6" s="1"/>
  <c r="C25" i="6"/>
  <c r="D25" i="6" s="1"/>
  <c r="E25" i="6" s="1"/>
  <c r="C29" i="6"/>
  <c r="D29" i="6" s="1"/>
  <c r="E29" i="6" s="1"/>
  <c r="C33" i="6"/>
  <c r="D33" i="6" s="1"/>
  <c r="E33" i="6" s="1"/>
  <c r="C37" i="6"/>
  <c r="D37" i="6" s="1"/>
  <c r="E37" i="6" s="1"/>
  <c r="C6" i="6"/>
  <c r="D6" i="6" s="1"/>
  <c r="E6" i="6" s="1"/>
  <c r="C10" i="6"/>
  <c r="D10" i="6" s="1"/>
  <c r="E10" i="6" s="1"/>
  <c r="C14" i="6"/>
  <c r="D14" i="6" s="1"/>
  <c r="E14" i="6" s="1"/>
  <c r="C18" i="6"/>
  <c r="D18" i="6" s="1"/>
  <c r="E18" i="6" s="1"/>
  <c r="C22" i="6"/>
  <c r="D22" i="6" s="1"/>
  <c r="E22" i="6" s="1"/>
  <c r="C26" i="6"/>
  <c r="D26" i="6" s="1"/>
  <c r="E26" i="6" s="1"/>
  <c r="C30" i="6"/>
  <c r="D30" i="6" s="1"/>
  <c r="E30" i="6" s="1"/>
  <c r="C34" i="6"/>
  <c r="D34" i="6" s="1"/>
  <c r="E34" i="6" s="1"/>
  <c r="C38" i="6"/>
  <c r="D38" i="6" s="1"/>
  <c r="E38" i="6" s="1"/>
  <c r="C3" i="6"/>
  <c r="D3" i="6" s="1"/>
  <c r="E3" i="6" s="1"/>
  <c r="C7" i="6"/>
  <c r="D7" i="6" s="1"/>
  <c r="E7" i="6" s="1"/>
  <c r="C11" i="6"/>
  <c r="D11" i="6" s="1"/>
  <c r="E11" i="6" s="1"/>
  <c r="C15" i="6"/>
  <c r="D15" i="6" s="1"/>
  <c r="E15" i="6" s="1"/>
  <c r="C19" i="6"/>
  <c r="D19" i="6" s="1"/>
  <c r="E19" i="6" s="1"/>
  <c r="C23" i="6"/>
  <c r="D23" i="6" s="1"/>
  <c r="E23" i="6" s="1"/>
  <c r="C27" i="6"/>
  <c r="D27" i="6" s="1"/>
  <c r="E27" i="6" s="1"/>
  <c r="C31" i="6"/>
  <c r="D31" i="6" s="1"/>
  <c r="E31" i="6" s="1"/>
  <c r="C35" i="6"/>
  <c r="D35" i="6" s="1"/>
  <c r="E35" i="6" s="1"/>
  <c r="C39" i="6"/>
  <c r="D39" i="6" s="1"/>
  <c r="E39" i="6" s="1"/>
  <c r="C4" i="6"/>
  <c r="D4" i="6" s="1"/>
  <c r="E4" i="6" s="1"/>
  <c r="C8" i="6"/>
  <c r="D8" i="6" s="1"/>
  <c r="E8" i="6" s="1"/>
  <c r="C12" i="6"/>
  <c r="D12" i="6" s="1"/>
  <c r="E12" i="6" s="1"/>
  <c r="C16" i="6"/>
  <c r="D16" i="6" s="1"/>
  <c r="E16" i="6" s="1"/>
  <c r="C20" i="6"/>
  <c r="D20" i="6" s="1"/>
  <c r="E20" i="6" s="1"/>
  <c r="C24" i="6"/>
  <c r="D24" i="6" s="1"/>
  <c r="E24" i="6" s="1"/>
  <c r="C28" i="6"/>
  <c r="D28" i="6" s="1"/>
  <c r="E28" i="6" s="1"/>
  <c r="C32" i="6"/>
  <c r="D32" i="6" s="1"/>
  <c r="E32" i="6" s="1"/>
  <c r="C36" i="6"/>
  <c r="D36" i="6" s="1"/>
  <c r="E36" i="6" s="1"/>
  <c r="C40" i="6"/>
  <c r="D40" i="6" s="1"/>
  <c r="E40" i="6" s="1"/>
  <c r="C1" i="6"/>
  <c r="D1" i="6" s="1"/>
  <c r="E1" i="6" s="1"/>
  <c r="C9" i="5"/>
  <c r="D9" i="5" s="1"/>
  <c r="E9" i="5" s="1"/>
  <c r="C13" i="5"/>
  <c r="D13" i="5" s="1"/>
  <c r="E13" i="5" s="1"/>
  <c r="C17" i="5"/>
  <c r="D17" i="5" s="1"/>
  <c r="E17" i="5" s="1"/>
  <c r="C21" i="5"/>
  <c r="D21" i="5" s="1"/>
  <c r="E21" i="5" s="1"/>
  <c r="C25" i="5"/>
  <c r="D25" i="5" s="1"/>
  <c r="E25" i="5" s="1"/>
  <c r="C29" i="5"/>
  <c r="D29" i="5" s="1"/>
  <c r="E29" i="5" s="1"/>
  <c r="C33" i="5"/>
  <c r="D33" i="5" s="1"/>
  <c r="E33" i="5" s="1"/>
  <c r="C37" i="5"/>
  <c r="D37" i="5" s="1"/>
  <c r="E37" i="5" s="1"/>
  <c r="C6" i="5"/>
  <c r="D6" i="5" s="1"/>
  <c r="E6" i="5" s="1"/>
  <c r="C10" i="5"/>
  <c r="D10" i="5" s="1"/>
  <c r="E10" i="5" s="1"/>
  <c r="C14" i="5"/>
  <c r="D14" i="5" s="1"/>
  <c r="E14" i="5" s="1"/>
  <c r="C18" i="5"/>
  <c r="D18" i="5" s="1"/>
  <c r="E18" i="5" s="1"/>
  <c r="C22" i="5"/>
  <c r="D22" i="5" s="1"/>
  <c r="E22" i="5" s="1"/>
  <c r="C26" i="5"/>
  <c r="D26" i="5" s="1"/>
  <c r="E26" i="5" s="1"/>
  <c r="C30" i="5"/>
  <c r="D30" i="5" s="1"/>
  <c r="E30" i="5" s="1"/>
  <c r="C34" i="5"/>
  <c r="D34" i="5" s="1"/>
  <c r="E34" i="5" s="1"/>
  <c r="C38" i="5"/>
  <c r="D38" i="5" s="1"/>
  <c r="E38" i="5" s="1"/>
  <c r="C4" i="5"/>
  <c r="D4" i="5" s="1"/>
  <c r="E4" i="5" s="1"/>
  <c r="C8" i="5"/>
  <c r="D8" i="5" s="1"/>
  <c r="E8" i="5" s="1"/>
  <c r="C12" i="5"/>
  <c r="D12" i="5" s="1"/>
  <c r="E12" i="5" s="1"/>
  <c r="C16" i="5"/>
  <c r="D16" i="5" s="1"/>
  <c r="E16" i="5" s="1"/>
  <c r="C20" i="5"/>
  <c r="D20" i="5" s="1"/>
  <c r="E20" i="5" s="1"/>
  <c r="C24" i="5"/>
  <c r="D24" i="5" s="1"/>
  <c r="E24" i="5" s="1"/>
  <c r="C28" i="5"/>
  <c r="D28" i="5" s="1"/>
  <c r="E28" i="5" s="1"/>
  <c r="C32" i="5"/>
  <c r="D32" i="5" s="1"/>
  <c r="E32" i="5" s="1"/>
  <c r="C36" i="5"/>
  <c r="D36" i="5" s="1"/>
  <c r="E36" i="5" s="1"/>
  <c r="C40" i="5"/>
  <c r="D40" i="5" s="1"/>
  <c r="E40" i="5" s="1"/>
  <c r="C1" i="5"/>
  <c r="D1" i="5" s="1"/>
  <c r="E1" i="5" s="1"/>
  <c r="C6" i="4"/>
  <c r="D6" i="4" s="1"/>
  <c r="E6" i="4" s="1"/>
  <c r="C10" i="4"/>
  <c r="D10" i="4" s="1"/>
  <c r="E10" i="4" s="1"/>
  <c r="C14" i="4"/>
  <c r="D14" i="4" s="1"/>
  <c r="E14" i="4" s="1"/>
  <c r="C18" i="4"/>
  <c r="D18" i="4" s="1"/>
  <c r="E18" i="4" s="1"/>
  <c r="C22" i="4"/>
  <c r="D22" i="4" s="1"/>
  <c r="E22" i="4" s="1"/>
  <c r="C26" i="4"/>
  <c r="D26" i="4" s="1"/>
  <c r="E26" i="4" s="1"/>
  <c r="C30" i="4"/>
  <c r="D30" i="4" s="1"/>
  <c r="E30" i="4" s="1"/>
  <c r="C34" i="4"/>
  <c r="D34" i="4" s="1"/>
  <c r="E34" i="4" s="1"/>
  <c r="C38" i="4"/>
  <c r="D38" i="4" s="1"/>
  <c r="E38" i="4" s="1"/>
  <c r="C3" i="4"/>
  <c r="D3" i="4" s="1"/>
  <c r="E3" i="4" s="1"/>
  <c r="C7" i="4"/>
  <c r="D7" i="4" s="1"/>
  <c r="E7" i="4" s="1"/>
  <c r="C11" i="4"/>
  <c r="D11" i="4" s="1"/>
  <c r="E11" i="4" s="1"/>
  <c r="C15" i="4"/>
  <c r="D15" i="4" s="1"/>
  <c r="E15" i="4" s="1"/>
  <c r="C19" i="4"/>
  <c r="D19" i="4" s="1"/>
  <c r="E19" i="4" s="1"/>
  <c r="C23" i="4"/>
  <c r="D23" i="4" s="1"/>
  <c r="E23" i="4" s="1"/>
  <c r="C27" i="4"/>
  <c r="D27" i="4" s="1"/>
  <c r="E27" i="4" s="1"/>
  <c r="C31" i="4"/>
  <c r="D31" i="4" s="1"/>
  <c r="E31" i="4" s="1"/>
  <c r="C35" i="4"/>
  <c r="D35" i="4" s="1"/>
  <c r="E35" i="4" s="1"/>
  <c r="C39" i="4"/>
  <c r="D39" i="4" s="1"/>
  <c r="E39" i="4" s="1"/>
  <c r="C4" i="4"/>
  <c r="D4" i="4" s="1"/>
  <c r="E4" i="4" s="1"/>
  <c r="C8" i="4"/>
  <c r="D8" i="4" s="1"/>
  <c r="E8" i="4" s="1"/>
  <c r="C12" i="4"/>
  <c r="D12" i="4" s="1"/>
  <c r="E12" i="4" s="1"/>
  <c r="C16" i="4"/>
  <c r="D16" i="4" s="1"/>
  <c r="E16" i="4" s="1"/>
  <c r="C20" i="4"/>
  <c r="D20" i="4" s="1"/>
  <c r="E20" i="4" s="1"/>
  <c r="C24" i="4"/>
  <c r="D24" i="4" s="1"/>
  <c r="E24" i="4" s="1"/>
  <c r="C28" i="4"/>
  <c r="D28" i="4" s="1"/>
  <c r="E28" i="4" s="1"/>
  <c r="C32" i="4"/>
  <c r="D32" i="4" s="1"/>
  <c r="E32" i="4" s="1"/>
  <c r="C36" i="4"/>
  <c r="D36" i="4" s="1"/>
  <c r="E36" i="4" s="1"/>
  <c r="C40" i="4"/>
  <c r="D40" i="4" s="1"/>
  <c r="E40" i="4" s="1"/>
  <c r="C1" i="4"/>
  <c r="D1" i="4" s="1"/>
  <c r="E1" i="4" s="1"/>
  <c r="C3" i="3"/>
  <c r="D3" i="3" s="1"/>
  <c r="E3" i="3" s="1"/>
  <c r="C7" i="3"/>
  <c r="D7" i="3" s="1"/>
  <c r="E7" i="3" s="1"/>
  <c r="C11" i="3"/>
  <c r="D11" i="3" s="1"/>
  <c r="E11" i="3" s="1"/>
  <c r="C15" i="3"/>
  <c r="D15" i="3" s="1"/>
  <c r="E15" i="3" s="1"/>
  <c r="C19" i="3"/>
  <c r="D19" i="3" s="1"/>
  <c r="E19" i="3" s="1"/>
  <c r="C23" i="3"/>
  <c r="D23" i="3" s="1"/>
  <c r="E23" i="3" s="1"/>
  <c r="C27" i="3"/>
  <c r="D27" i="3" s="1"/>
  <c r="E27" i="3" s="1"/>
  <c r="C31" i="3"/>
  <c r="D31" i="3" s="1"/>
  <c r="E31" i="3" s="1"/>
  <c r="C35" i="3"/>
  <c r="D35" i="3" s="1"/>
  <c r="E35" i="3" s="1"/>
  <c r="C39" i="3"/>
  <c r="D39" i="3" s="1"/>
  <c r="E39" i="3" s="1"/>
  <c r="C4" i="3"/>
  <c r="D4" i="3" s="1"/>
  <c r="E4" i="3" s="1"/>
  <c r="C8" i="3"/>
  <c r="D8" i="3" s="1"/>
  <c r="E8" i="3" s="1"/>
  <c r="C12" i="3"/>
  <c r="D12" i="3" s="1"/>
  <c r="E12" i="3" s="1"/>
  <c r="C16" i="3"/>
  <c r="D16" i="3" s="1"/>
  <c r="E16" i="3" s="1"/>
  <c r="C20" i="3"/>
  <c r="D20" i="3" s="1"/>
  <c r="E20" i="3" s="1"/>
  <c r="C24" i="3"/>
  <c r="D24" i="3" s="1"/>
  <c r="E24" i="3" s="1"/>
  <c r="C28" i="3"/>
  <c r="D28" i="3" s="1"/>
  <c r="E28" i="3" s="1"/>
  <c r="C32" i="3"/>
  <c r="D32" i="3" s="1"/>
  <c r="E32" i="3" s="1"/>
  <c r="C36" i="3"/>
  <c r="D36" i="3" s="1"/>
  <c r="E36" i="3" s="1"/>
  <c r="C40" i="3"/>
  <c r="D40" i="3" s="1"/>
  <c r="E40" i="3" s="1"/>
  <c r="C1" i="3"/>
  <c r="D1" i="3" s="1"/>
  <c r="E1" i="3" s="1"/>
  <c r="C9" i="2"/>
  <c r="D9" i="2" s="1"/>
  <c r="E9" i="2" s="1"/>
  <c r="C13" i="2"/>
  <c r="D13" i="2" s="1"/>
  <c r="E13" i="2" s="1"/>
  <c r="C17" i="2"/>
  <c r="D17" i="2" s="1"/>
  <c r="E17" i="2" s="1"/>
  <c r="C21" i="2"/>
  <c r="D21" i="2" s="1"/>
  <c r="E21" i="2" s="1"/>
  <c r="C25" i="2"/>
  <c r="D25" i="2" s="1"/>
  <c r="E25" i="2" s="1"/>
  <c r="C29" i="2"/>
  <c r="D29" i="2" s="1"/>
  <c r="E29" i="2" s="1"/>
  <c r="C33" i="2"/>
  <c r="D33" i="2" s="1"/>
  <c r="E33" i="2" s="1"/>
  <c r="C37" i="2"/>
  <c r="D37" i="2" s="1"/>
  <c r="E37" i="2" s="1"/>
  <c r="C6" i="2"/>
  <c r="D6" i="2" s="1"/>
  <c r="E6" i="2" s="1"/>
  <c r="C10" i="2"/>
  <c r="D10" i="2" s="1"/>
  <c r="E10" i="2" s="1"/>
  <c r="C14" i="2"/>
  <c r="D14" i="2" s="1"/>
  <c r="E14" i="2" s="1"/>
  <c r="C18" i="2"/>
  <c r="D18" i="2" s="1"/>
  <c r="E18" i="2" s="1"/>
  <c r="C22" i="2"/>
  <c r="D22" i="2" s="1"/>
  <c r="E22" i="2" s="1"/>
  <c r="C26" i="2"/>
  <c r="D26" i="2" s="1"/>
  <c r="E26" i="2" s="1"/>
  <c r="C30" i="2"/>
  <c r="D30" i="2" s="1"/>
  <c r="E30" i="2" s="1"/>
  <c r="C34" i="2"/>
  <c r="D34" i="2" s="1"/>
  <c r="E34" i="2" s="1"/>
  <c r="C38" i="2"/>
  <c r="D38" i="2" s="1"/>
  <c r="E38" i="2" s="1"/>
  <c r="C3" i="2"/>
  <c r="D3" i="2" s="1"/>
  <c r="E3" i="2" s="1"/>
  <c r="C7" i="2"/>
  <c r="D7" i="2" s="1"/>
  <c r="E7" i="2" s="1"/>
  <c r="C11" i="2"/>
  <c r="D11" i="2" s="1"/>
  <c r="E11" i="2" s="1"/>
  <c r="C15" i="2"/>
  <c r="D15" i="2" s="1"/>
  <c r="E15" i="2" s="1"/>
  <c r="C19" i="2"/>
  <c r="D19" i="2" s="1"/>
  <c r="E19" i="2" s="1"/>
  <c r="C23" i="2"/>
  <c r="D23" i="2" s="1"/>
  <c r="E23" i="2" s="1"/>
  <c r="C27" i="2"/>
  <c r="D27" i="2" s="1"/>
  <c r="E27" i="2" s="1"/>
  <c r="C31" i="2"/>
  <c r="D31" i="2" s="1"/>
  <c r="E31" i="2" s="1"/>
  <c r="C35" i="2"/>
  <c r="D35" i="2" s="1"/>
  <c r="E35" i="2" s="1"/>
  <c r="C39" i="2"/>
  <c r="D39" i="2" s="1"/>
  <c r="E39" i="2" s="1"/>
  <c r="C4" i="2"/>
  <c r="D4" i="2" s="1"/>
  <c r="E4" i="2" s="1"/>
  <c r="C8" i="2"/>
  <c r="D8" i="2" s="1"/>
  <c r="E8" i="2" s="1"/>
  <c r="C12" i="2"/>
  <c r="D12" i="2" s="1"/>
  <c r="E12" i="2" s="1"/>
  <c r="C16" i="2"/>
  <c r="D16" i="2" s="1"/>
  <c r="E16" i="2" s="1"/>
  <c r="C20" i="2"/>
  <c r="D20" i="2" s="1"/>
  <c r="E20" i="2" s="1"/>
  <c r="C24" i="2"/>
  <c r="D24" i="2" s="1"/>
  <c r="E24" i="2" s="1"/>
  <c r="C28" i="2"/>
  <c r="D28" i="2" s="1"/>
  <c r="E28" i="2" s="1"/>
  <c r="C32" i="2"/>
  <c r="D32" i="2" s="1"/>
  <c r="E32" i="2" s="1"/>
  <c r="C36" i="2"/>
  <c r="D36" i="2" s="1"/>
  <c r="E36" i="2" s="1"/>
  <c r="C40" i="2"/>
  <c r="D40" i="2" s="1"/>
  <c r="E40" i="2" s="1"/>
  <c r="C1" i="2"/>
  <c r="D1" i="2" s="1"/>
  <c r="E1" i="2" s="1"/>
  <c r="H5" i="30" l="1"/>
  <c r="H5" i="22"/>
  <c r="H5" i="19"/>
  <c r="H5" i="16"/>
  <c r="H5" i="11"/>
  <c r="H5" i="7"/>
  <c r="H5" i="32"/>
  <c r="H5" i="31"/>
  <c r="H5" i="29"/>
  <c r="H5" i="28"/>
  <c r="H5" i="27"/>
  <c r="H5" i="26"/>
  <c r="H5" i="25"/>
  <c r="H5" i="24"/>
  <c r="H5" i="23"/>
  <c r="H5" i="21"/>
  <c r="H5" i="20"/>
  <c r="H5" i="18"/>
  <c r="H5" i="17"/>
  <c r="H5" i="15"/>
  <c r="H5" i="14"/>
  <c r="H5" i="13"/>
  <c r="H5" i="12"/>
  <c r="H5" i="10"/>
  <c r="H5" i="9"/>
  <c r="H5" i="8"/>
  <c r="H5" i="6"/>
  <c r="H5" i="5"/>
  <c r="H5" i="4"/>
  <c r="H5" i="3"/>
  <c r="H5" i="2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<sst xmlns="http://schemas.openxmlformats.org/spreadsheetml/2006/main" count="93" uniqueCount="3">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</sst>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90BF-52A0-4824-A07C-5EC6FD764E9C}">
  <dimension ref="A1:B31"/>
  <sheetViews>
    <sheetView workbookViewId="0">
      <selection activeCell="B32" sqref="B32"/>
    </sheetView>
  </sheetViews>
  <sheetFormatPr defaultColWidth="11" defaultRowHeight="15.75" x14ac:dyDescent="0.25"/>
  <sheetData>
    <row r="1" spans="1:2" x14ac:dyDescent="0.25">
      <c r="A1">
        <v>1E-4</v>
      </c>
      <c r="B1">
        <f>'0.0001'!$H$1</f>
        <v>8.6942094722125982E-2</v>
      </c>
    </row>
    <row r="2" spans="1:2" x14ac:dyDescent="0.25">
      <c r="A2">
        <v>1E-3</v>
      </c>
      <c r="B2">
        <f>'0.001'!$H$1</f>
        <v>9.2934517633625272E-2</v>
      </c>
    </row>
    <row r="3" spans="1:2" x14ac:dyDescent="0.25">
      <c r="A3">
        <v>5.0000000000000001E-3</v>
      </c>
      <c r="B3">
        <f>'0.005'!$H$1</f>
        <v>0.14587614314723216</v>
      </c>
    </row>
    <row r="4" spans="1:2" x14ac:dyDescent="0.25">
      <c r="A4">
        <v>0.01</v>
      </c>
      <c r="B4">
        <f>'0.01'!$H$1</f>
        <v>0.17018484003221923</v>
      </c>
    </row>
    <row r="5" spans="1:2" x14ac:dyDescent="0.25">
      <c r="A5">
        <v>2.5000000000000001E-2</v>
      </c>
      <c r="B5">
        <f>'0.025'!$H$1</f>
        <v>0.22275789630759724</v>
      </c>
    </row>
    <row r="6" spans="1:2" x14ac:dyDescent="0.25">
      <c r="A6">
        <v>0.05</v>
      </c>
      <c r="B6">
        <f>'0.05'!$H$1</f>
        <v>0.28032705670545588</v>
      </c>
    </row>
    <row r="7" spans="1:2" x14ac:dyDescent="0.25">
      <c r="A7">
        <v>7.4999999999999997E-2</v>
      </c>
      <c r="B7">
        <f>'0.075'!$H$1</f>
        <v>0.3252291699388794</v>
      </c>
    </row>
    <row r="8" spans="1:2" x14ac:dyDescent="0.25">
      <c r="A8">
        <v>0.1</v>
      </c>
      <c r="B8">
        <f>'0.1'!$H$1</f>
        <v>0.36663020874694746</v>
      </c>
    </row>
    <row r="9" spans="1:2" x14ac:dyDescent="0.25">
      <c r="A9">
        <v>0.15</v>
      </c>
      <c r="B9">
        <f>'0.15'!$H$1</f>
        <v>0.42909654946805331</v>
      </c>
    </row>
    <row r="10" spans="1:2" x14ac:dyDescent="0.25">
      <c r="A10">
        <v>0.2</v>
      </c>
      <c r="B10">
        <f>'0.2'!$H$1</f>
        <v>0.4908221307790076</v>
      </c>
    </row>
    <row r="11" spans="1:2" x14ac:dyDescent="0.25">
      <c r="A11">
        <v>0.25</v>
      </c>
      <c r="B11">
        <f>'0.25'!$H$1</f>
        <v>0.54918032645375625</v>
      </c>
    </row>
    <row r="12" spans="1:2" x14ac:dyDescent="0.25">
      <c r="A12">
        <v>0.3</v>
      </c>
      <c r="B12">
        <f>'0.3'!$H$1</f>
        <v>0.60934397625831749</v>
      </c>
    </row>
    <row r="13" spans="1:2" x14ac:dyDescent="0.25">
      <c r="A13">
        <v>0.35</v>
      </c>
      <c r="B13">
        <f>'0.35'!$H$1</f>
        <v>0.67441036446471625</v>
      </c>
    </row>
    <row r="14" spans="1:2" x14ac:dyDescent="0.25">
      <c r="A14">
        <v>0.4</v>
      </c>
      <c r="B14">
        <f>'0.4'!$H$1</f>
        <v>0.74583808897168757</v>
      </c>
    </row>
    <row r="15" spans="1:2" x14ac:dyDescent="0.25">
      <c r="A15">
        <v>0.45</v>
      </c>
      <c r="B15">
        <f>'0.45'!$H$1</f>
        <v>0.8159756271769304</v>
      </c>
    </row>
    <row r="16" spans="1:2" x14ac:dyDescent="0.25">
      <c r="A16">
        <v>0.5</v>
      </c>
      <c r="B16">
        <f>'0.5'!$H$1</f>
        <v>0.90333338889173687</v>
      </c>
    </row>
    <row r="17" spans="1:2" x14ac:dyDescent="0.25">
      <c r="A17">
        <v>0.55000000000000004</v>
      </c>
      <c r="B17">
        <f>'0.55'!$H$1</f>
        <v>0.99937876548308513</v>
      </c>
    </row>
    <row r="18" spans="1:2" x14ac:dyDescent="0.25">
      <c r="A18">
        <v>0.6</v>
      </c>
      <c r="B18">
        <f>'0.6'!$H$1</f>
        <v>1.1148958930199939</v>
      </c>
    </row>
    <row r="19" spans="1:2" x14ac:dyDescent="0.25">
      <c r="A19">
        <v>0.65</v>
      </c>
      <c r="B19">
        <f>'0.65'!$H$1</f>
        <v>1.249175972435304</v>
      </c>
    </row>
    <row r="20" spans="1:2" x14ac:dyDescent="0.25">
      <c r="A20">
        <v>0.7</v>
      </c>
      <c r="B20">
        <f>'0.7'!$H$1</f>
        <v>1.4225007889874672</v>
      </c>
    </row>
    <row r="21" spans="1:2" x14ac:dyDescent="0.25">
      <c r="A21">
        <v>0.75</v>
      </c>
      <c r="B21">
        <f>'0.75'!$H$1</f>
        <v>1.64375906935293</v>
      </c>
    </row>
    <row r="22" spans="1:2" x14ac:dyDescent="0.25">
      <c r="A22">
        <v>0.8</v>
      </c>
      <c r="B22">
        <f>'0.8'!$H$1</f>
        <v>1.9462433978504294</v>
      </c>
    </row>
    <row r="23" spans="1:2" x14ac:dyDescent="0.25">
      <c r="A23">
        <v>0.85</v>
      </c>
      <c r="B23">
        <f>'0.85'!$H$1</f>
        <v>2.3832091203144263</v>
      </c>
    </row>
    <row r="24" spans="1:2" x14ac:dyDescent="0.25">
      <c r="A24">
        <v>0.9</v>
      </c>
      <c r="B24">
        <f>'0.9'!$H$1</f>
        <v>3.1311788937500098</v>
      </c>
    </row>
    <row r="25" spans="1:2" x14ac:dyDescent="0.25">
      <c r="A25">
        <v>0.92500000000000004</v>
      </c>
      <c r="B25">
        <f>'0.925'!$H$1</f>
        <v>3.7524247340669663</v>
      </c>
    </row>
    <row r="26" spans="1:2" x14ac:dyDescent="0.25">
      <c r="A26">
        <v>0.95</v>
      </c>
      <c r="B26">
        <f>'0.95'!$H$1</f>
        <v>4.8017231421139597</v>
      </c>
    </row>
    <row r="27" spans="1:2" x14ac:dyDescent="0.25">
      <c r="A27">
        <v>0.97499999999999998</v>
      </c>
      <c r="B27">
        <f>'0.975'!$H$1</f>
        <v>7.2259923953678165</v>
      </c>
    </row>
    <row r="28" spans="1:2" x14ac:dyDescent="0.25">
      <c r="A28">
        <v>0.99</v>
      </c>
      <c r="B28">
        <f>'0.99'!$H$1</f>
        <v>11.925178984668769</v>
      </c>
    </row>
    <row r="29" spans="1:2" x14ac:dyDescent="0.25">
      <c r="A29">
        <v>0.995</v>
      </c>
      <c r="B29">
        <f>'0.995'!$H$1</f>
        <v>17.188173028967359</v>
      </c>
    </row>
    <row r="30" spans="1:2" x14ac:dyDescent="0.25">
      <c r="A30">
        <v>0.999</v>
      </c>
      <c r="B30">
        <f>'0.999'!$H$1</f>
        <v>37.154826003485738</v>
      </c>
    </row>
    <row r="31" spans="1:2" x14ac:dyDescent="0.25">
      <c r="A31">
        <v>0.99990000000000001</v>
      </c>
      <c r="B31">
        <f>'0.9999'!$H$1</f>
        <v>113.17205344291069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9CA0-BA80-4FFC-98E9-E5968CF0300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7.1767960737499997E-2</v>
      </c>
      <c r="B1">
        <v>0.79464494049615475</v>
      </c>
      <c r="C1">
        <f>$H$3*(1+$H$1)*(A1^($H$1))*EXP(-$H$3*(A1^(1+$H$1)))</f>
        <v>0.79034600964365742</v>
      </c>
      <c r="D1">
        <f>B1-C1</f>
        <v>4.2989308524973291E-3</v>
      </c>
      <c r="E1">
        <f>D1^2</f>
        <v>1.8480806474553411E-5</v>
      </c>
      <c r="G1" t="s">
        <v>0</v>
      </c>
      <c r="H1">
        <v>8.6942094722125982E-2</v>
      </c>
    </row>
    <row r="2" spans="1:8" x14ac:dyDescent="0.25">
      <c r="A2">
        <v>0.21480303221249999</v>
      </c>
      <c r="B2">
        <v>0.73879551745076921</v>
      </c>
      <c r="C2">
        <f t="shared" ref="C2:C40" si="0">$H$3*(1+$H$1)*(A2^($H$1))*EXP(-$H$3*(A2^(1+$H$1)))</f>
        <v>0.76615007242285915</v>
      </c>
      <c r="D2">
        <f t="shared" ref="D2:D40" si="1">B2-C2</f>
        <v>-2.7354554972089939E-2</v>
      </c>
      <c r="E2">
        <f t="shared" ref="E2:E40" si="2">D2^2</f>
        <v>7.4827167772109041E-4</v>
      </c>
    </row>
    <row r="3" spans="1:8" x14ac:dyDescent="0.25">
      <c r="A3">
        <v>0.35783810368750002</v>
      </c>
      <c r="B3">
        <v>0.66491596570569222</v>
      </c>
      <c r="C3">
        <f t="shared" si="0"/>
        <v>0.70003919494105205</v>
      </c>
      <c r="D3">
        <f t="shared" si="1"/>
        <v>-3.5123229235359821E-2</v>
      </c>
      <c r="E3">
        <f t="shared" si="2"/>
        <v>1.2336412319196349E-3</v>
      </c>
      <c r="G3" t="s">
        <v>1</v>
      </c>
      <c r="H3">
        <f>(_xlfn.GAMMA((2+$H$1)/(1+$H$1)))^(1+$H$1)</f>
        <v>0.96611074054602941</v>
      </c>
    </row>
    <row r="4" spans="1:8" x14ac:dyDescent="0.25">
      <c r="A4">
        <v>0.50087317516250007</v>
      </c>
      <c r="B4">
        <v>0.6108255796066181</v>
      </c>
      <c r="C4">
        <f t="shared" si="0"/>
        <v>0.62695011971813597</v>
      </c>
      <c r="D4">
        <f t="shared" si="1"/>
        <v>-1.6124540111517871E-2</v>
      </c>
      <c r="E4">
        <f t="shared" si="2"/>
        <v>2.6000079380794877E-4</v>
      </c>
    </row>
    <row r="5" spans="1:8" x14ac:dyDescent="0.25">
      <c r="A5">
        <v>0.64390824663750001</v>
      </c>
      <c r="B5">
        <v>0.5312291577860293</v>
      </c>
      <c r="C5">
        <f t="shared" si="0"/>
        <v>0.55537683052327302</v>
      </c>
      <c r="D5">
        <f t="shared" si="1"/>
        <v>-2.4147672737243719E-2</v>
      </c>
      <c r="E5">
        <f t="shared" si="2"/>
        <v>5.8311009862502359E-4</v>
      </c>
      <c r="G5" t="s">
        <v>2</v>
      </c>
      <c r="H5">
        <f>SUM(E1:E40)</f>
        <v>7.5472610677308613E-3</v>
      </c>
    </row>
    <row r="6" spans="1:8" x14ac:dyDescent="0.25">
      <c r="A6">
        <v>0.78694331811250007</v>
      </c>
      <c r="B6">
        <v>0.45910864298726373</v>
      </c>
      <c r="C6">
        <f t="shared" si="0"/>
        <v>0.48843910662901036</v>
      </c>
      <c r="D6">
        <f t="shared" si="1"/>
        <v>-2.9330463641746629E-2</v>
      </c>
      <c r="E6">
        <f t="shared" si="2"/>
        <v>8.6027609743982096E-4</v>
      </c>
    </row>
    <row r="7" spans="1:8" x14ac:dyDescent="0.25">
      <c r="A7">
        <v>0.92997838958750012</v>
      </c>
      <c r="B7">
        <v>0.4067772938345009</v>
      </c>
      <c r="C7">
        <f t="shared" si="0"/>
        <v>0.42731693766903983</v>
      </c>
      <c r="D7">
        <f t="shared" si="1"/>
        <v>-2.0539643834538934E-2</v>
      </c>
      <c r="E7">
        <f t="shared" si="2"/>
        <v>4.2187696884971325E-4</v>
      </c>
    </row>
    <row r="8" spans="1:8" x14ac:dyDescent="0.25">
      <c r="A8">
        <v>1.0730134610625002</v>
      </c>
      <c r="B8">
        <v>0.390066442844543</v>
      </c>
      <c r="C8">
        <f t="shared" si="0"/>
        <v>0.37231971181795021</v>
      </c>
      <c r="D8">
        <f t="shared" si="1"/>
        <v>1.7746731026592799E-2</v>
      </c>
      <c r="E8">
        <f t="shared" si="2"/>
        <v>3.1494646213023152E-4</v>
      </c>
    </row>
    <row r="9" spans="1:8" x14ac:dyDescent="0.25">
      <c r="A9">
        <v>1.2160485325375001</v>
      </c>
      <c r="B9">
        <v>0.32937966819680126</v>
      </c>
      <c r="C9">
        <f t="shared" si="0"/>
        <v>0.32332726879782425</v>
      </c>
      <c r="D9">
        <f t="shared" si="1"/>
        <v>6.0523993989770042E-3</v>
      </c>
      <c r="E9">
        <f t="shared" si="2"/>
        <v>3.6631538484737203E-5</v>
      </c>
    </row>
    <row r="10" spans="1:8" x14ac:dyDescent="0.25">
      <c r="A10">
        <v>1.3590836040125001</v>
      </c>
      <c r="B10">
        <v>0.29551820698030767</v>
      </c>
      <c r="C10">
        <f t="shared" si="0"/>
        <v>0.28000300697745423</v>
      </c>
      <c r="D10">
        <f t="shared" si="1"/>
        <v>1.5515200002853446E-2</v>
      </c>
      <c r="E10">
        <f t="shared" si="2"/>
        <v>2.4072143112854359E-4</v>
      </c>
    </row>
    <row r="11" spans="1:8" x14ac:dyDescent="0.25">
      <c r="A11">
        <v>1.5021186754875</v>
      </c>
      <c r="B11">
        <v>0.24978324637621244</v>
      </c>
      <c r="C11">
        <f t="shared" si="0"/>
        <v>0.24190703216205497</v>
      </c>
      <c r="D11">
        <f t="shared" si="1"/>
        <v>7.876214214157462E-3</v>
      </c>
      <c r="E11">
        <f t="shared" si="2"/>
        <v>6.2034750347296052E-5</v>
      </c>
    </row>
    <row r="12" spans="1:8" x14ac:dyDescent="0.25">
      <c r="A12">
        <v>1.6451537469625002</v>
      </c>
      <c r="B12">
        <v>0.2141627482134075</v>
      </c>
      <c r="C12">
        <f t="shared" si="0"/>
        <v>0.20855957514278342</v>
      </c>
      <c r="D12">
        <f t="shared" si="1"/>
        <v>5.603173070624079E-3</v>
      </c>
      <c r="E12">
        <f t="shared" si="2"/>
        <v>3.1395548459366871E-5</v>
      </c>
    </row>
    <row r="13" spans="1:8" x14ac:dyDescent="0.25">
      <c r="A13">
        <v>1.7881888184375001</v>
      </c>
      <c r="B13">
        <v>0.18777719401873716</v>
      </c>
      <c r="C13">
        <f t="shared" si="0"/>
        <v>0.17947741208218648</v>
      </c>
      <c r="D13">
        <f t="shared" si="1"/>
        <v>8.2997819365506764E-3</v>
      </c>
      <c r="E13">
        <f t="shared" si="2"/>
        <v>6.8886380194292895E-5</v>
      </c>
    </row>
    <row r="14" spans="1:8" x14ac:dyDescent="0.25">
      <c r="A14">
        <v>1.9312238899125</v>
      </c>
      <c r="B14">
        <v>0.17634345386771336</v>
      </c>
      <c r="C14">
        <f t="shared" si="0"/>
        <v>0.15419471727338341</v>
      </c>
      <c r="D14">
        <f t="shared" si="1"/>
        <v>2.2148736594329949E-2</v>
      </c>
      <c r="E14">
        <f t="shared" si="2"/>
        <v>4.9056653272501059E-4</v>
      </c>
    </row>
    <row r="15" spans="1:8" x14ac:dyDescent="0.25">
      <c r="A15">
        <v>2.0742589613875002</v>
      </c>
      <c r="B15">
        <v>0.16051212135091117</v>
      </c>
      <c r="C15">
        <f t="shared" si="0"/>
        <v>0.13227456847996136</v>
      </c>
      <c r="D15">
        <f t="shared" si="1"/>
        <v>2.8237552870949811E-2</v>
      </c>
      <c r="E15">
        <f t="shared" si="2"/>
        <v>7.9735939213968594E-4</v>
      </c>
    </row>
    <row r="16" spans="1:8" x14ac:dyDescent="0.25">
      <c r="A16">
        <v>2.2172940328625002</v>
      </c>
      <c r="B16">
        <v>0.13676512257570786</v>
      </c>
      <c r="C16">
        <f t="shared" si="0"/>
        <v>0.11331470024971908</v>
      </c>
      <c r="D16">
        <f t="shared" si="1"/>
        <v>2.3450422325988776E-2</v>
      </c>
      <c r="E16">
        <f t="shared" si="2"/>
        <v>5.4992230726723281E-4</v>
      </c>
    </row>
    <row r="17" spans="1:5" x14ac:dyDescent="0.25">
      <c r="A17">
        <v>2.3603291043375001</v>
      </c>
      <c r="B17">
        <v>0.11081932761761538</v>
      </c>
      <c r="C17">
        <f t="shared" si="0"/>
        <v>9.6949680101686753E-2</v>
      </c>
      <c r="D17">
        <f t="shared" si="1"/>
        <v>1.3869647515928632E-2</v>
      </c>
      <c r="E17">
        <f t="shared" si="2"/>
        <v>1.9236712221610527E-4</v>
      </c>
    </row>
    <row r="18" spans="1:5" x14ac:dyDescent="0.25">
      <c r="A18">
        <v>2.5033641758125</v>
      </c>
      <c r="B18">
        <v>0.10246390212263644</v>
      </c>
      <c r="C18">
        <f t="shared" si="0"/>
        <v>8.2850868135753319E-2</v>
      </c>
      <c r="D18">
        <f t="shared" si="1"/>
        <v>1.9613033986883119E-2</v>
      </c>
      <c r="E18">
        <f t="shared" si="2"/>
        <v>3.8467110217063231E-4</v>
      </c>
    </row>
    <row r="19" spans="1:5" x14ac:dyDescent="0.25">
      <c r="A19">
        <v>2.6463992472875004</v>
      </c>
      <c r="B19">
        <v>7.7837384874277465E-2</v>
      </c>
      <c r="C19">
        <f t="shared" si="0"/>
        <v>7.0725031541551228E-2</v>
      </c>
      <c r="D19">
        <f t="shared" si="1"/>
        <v>7.1123533327262373E-3</v>
      </c>
      <c r="E19">
        <f t="shared" si="2"/>
        <v>5.0585569929542014E-5</v>
      </c>
    </row>
    <row r="20" spans="1:5" x14ac:dyDescent="0.25">
      <c r="A20">
        <v>2.7894343187624999</v>
      </c>
      <c r="B20">
        <v>5.9367496938008239E-2</v>
      </c>
      <c r="C20">
        <f t="shared" si="0"/>
        <v>6.0312180626846575E-2</v>
      </c>
      <c r="D20">
        <f t="shared" si="1"/>
        <v>-9.4468368883833531E-4</v>
      </c>
      <c r="E20">
        <f t="shared" si="2"/>
        <v>8.9242727195720478E-7</v>
      </c>
    </row>
    <row r="21" spans="1:5" x14ac:dyDescent="0.25">
      <c r="A21">
        <v>2.9324693902375003</v>
      </c>
      <c r="B21">
        <v>5.409038609907417E-2</v>
      </c>
      <c r="C21">
        <f t="shared" si="0"/>
        <v>5.1382997304268534E-2</v>
      </c>
      <c r="D21">
        <f t="shared" si="1"/>
        <v>2.707388794805636E-3</v>
      </c>
      <c r="E21">
        <f t="shared" si="2"/>
        <v>7.3299540862391147E-6</v>
      </c>
    </row>
    <row r="22" spans="1:5" x14ac:dyDescent="0.25">
      <c r="A22">
        <v>3.0755044617125007</v>
      </c>
      <c r="B22">
        <v>4.7054238313828753E-2</v>
      </c>
      <c r="C22">
        <f t="shared" si="0"/>
        <v>4.3736098514597269E-2</v>
      </c>
      <c r="D22">
        <f t="shared" si="1"/>
        <v>3.3181397992314843E-3</v>
      </c>
      <c r="E22">
        <f t="shared" si="2"/>
        <v>1.1010051727243955E-5</v>
      </c>
    </row>
    <row r="23" spans="1:5" x14ac:dyDescent="0.25">
      <c r="A23">
        <v>3.2185395331875002</v>
      </c>
      <c r="B23">
        <v>4.2216886711472522E-2</v>
      </c>
      <c r="C23">
        <f t="shared" si="0"/>
        <v>3.7195291334303542E-2</v>
      </c>
      <c r="D23">
        <f t="shared" si="1"/>
        <v>5.0215953771689803E-3</v>
      </c>
      <c r="E23">
        <f t="shared" si="2"/>
        <v>2.5216420132004873E-5</v>
      </c>
    </row>
    <row r="24" spans="1:5" x14ac:dyDescent="0.25">
      <c r="A24">
        <v>3.3615746046625001</v>
      </c>
      <c r="B24">
        <v>3.3421701979915751E-2</v>
      </c>
      <c r="C24">
        <f t="shared" si="0"/>
        <v>3.1606918671000468E-2</v>
      </c>
      <c r="D24">
        <f t="shared" si="1"/>
        <v>1.8147833089152826E-3</v>
      </c>
      <c r="E24">
        <f t="shared" si="2"/>
        <v>3.2934384583175019E-6</v>
      </c>
    </row>
    <row r="25" spans="1:5" x14ac:dyDescent="0.25">
      <c r="A25">
        <v>3.5046096761375001</v>
      </c>
      <c r="B25">
        <v>2.5066276484936811E-2</v>
      </c>
      <c r="C25">
        <f t="shared" si="0"/>
        <v>2.6837355198320662E-2</v>
      </c>
      <c r="D25">
        <f t="shared" si="1"/>
        <v>-1.7710787133838508E-3</v>
      </c>
      <c r="E25">
        <f t="shared" si="2"/>
        <v>3.1367198090013965E-6</v>
      </c>
    </row>
    <row r="26" spans="1:5" x14ac:dyDescent="0.25">
      <c r="A26">
        <v>3.6476447476125</v>
      </c>
      <c r="B26">
        <v>1.9349406409424907E-2</v>
      </c>
      <c r="C26">
        <f t="shared" si="0"/>
        <v>2.2770686535588849E-2</v>
      </c>
      <c r="D26">
        <f t="shared" si="1"/>
        <v>-3.4212801261639426E-3</v>
      </c>
      <c r="E26">
        <f t="shared" si="2"/>
        <v>1.1705157701684364E-5</v>
      </c>
    </row>
    <row r="27" spans="1:5" x14ac:dyDescent="0.25">
      <c r="A27">
        <v>3.7906798190875</v>
      </c>
      <c r="B27">
        <v>1.6271091753380037E-2</v>
      </c>
      <c r="C27">
        <f t="shared" si="0"/>
        <v>1.9306586688799334E-2</v>
      </c>
      <c r="D27">
        <f t="shared" si="1"/>
        <v>-3.0354949354192973E-3</v>
      </c>
      <c r="E27">
        <f t="shared" si="2"/>
        <v>9.2142295029562039E-6</v>
      </c>
    </row>
    <row r="28" spans="1:5" x14ac:dyDescent="0.25">
      <c r="A28">
        <v>3.9337148905625003</v>
      </c>
      <c r="B28">
        <v>1.7150610226535714E-2</v>
      </c>
      <c r="C28">
        <f t="shared" si="0"/>
        <v>1.635839677964292E-2</v>
      </c>
      <c r="D28">
        <f t="shared" si="1"/>
        <v>7.9221344689279355E-4</v>
      </c>
      <c r="E28">
        <f t="shared" si="2"/>
        <v>6.2760214543776101E-7</v>
      </c>
    </row>
    <row r="29" spans="1:5" x14ac:dyDescent="0.25">
      <c r="A29">
        <v>4.0767499620374998</v>
      </c>
      <c r="B29">
        <v>9.6747032047124534E-3</v>
      </c>
      <c r="C29">
        <f t="shared" si="0"/>
        <v>1.3851400278891854E-2</v>
      </c>
      <c r="D29">
        <f t="shared" si="1"/>
        <v>-4.1766970741794005E-3</v>
      </c>
      <c r="E29">
        <f t="shared" si="2"/>
        <v>1.7444798449458766E-5</v>
      </c>
    </row>
    <row r="30" spans="1:5" x14ac:dyDescent="0.25">
      <c r="A30">
        <v>4.2197850335125011</v>
      </c>
      <c r="B30">
        <v>8.3554254949789377E-3</v>
      </c>
      <c r="C30">
        <f t="shared" si="0"/>
        <v>1.1721285066458255E-2</v>
      </c>
      <c r="D30">
        <f t="shared" si="1"/>
        <v>-3.3658595714793176E-3</v>
      </c>
      <c r="E30">
        <f t="shared" si="2"/>
        <v>1.1329010654918934E-5</v>
      </c>
    </row>
    <row r="31" spans="1:5" x14ac:dyDescent="0.25">
      <c r="A31">
        <v>4.3628201049875006</v>
      </c>
      <c r="B31">
        <v>5.2771108389340652E-3</v>
      </c>
      <c r="C31">
        <f t="shared" si="0"/>
        <v>9.9127797770846519E-3</v>
      </c>
      <c r="D31">
        <f t="shared" si="1"/>
        <v>-4.6356689381505866E-3</v>
      </c>
      <c r="E31">
        <f t="shared" si="2"/>
        <v>2.1489426504134189E-5</v>
      </c>
    </row>
    <row r="32" spans="1:5" x14ac:dyDescent="0.25">
      <c r="A32">
        <v>4.5058551764625001</v>
      </c>
      <c r="B32">
        <v>5.2771108389340652E-3</v>
      </c>
      <c r="C32">
        <f t="shared" si="0"/>
        <v>8.3784504316684726E-3</v>
      </c>
      <c r="D32">
        <f t="shared" si="1"/>
        <v>-3.1013395927344074E-3</v>
      </c>
      <c r="E32">
        <f t="shared" si="2"/>
        <v>9.6183072694620191E-6</v>
      </c>
    </row>
    <row r="33" spans="1:5" x14ac:dyDescent="0.25">
      <c r="A33">
        <v>4.6488902479374996</v>
      </c>
      <c r="B33">
        <v>4.8373516023562267E-3</v>
      </c>
      <c r="C33">
        <f t="shared" si="0"/>
        <v>7.0776428546494973E-3</v>
      </c>
      <c r="D33">
        <f t="shared" si="1"/>
        <v>-2.2402912522932706E-3</v>
      </c>
      <c r="E33">
        <f t="shared" si="2"/>
        <v>5.0189048951017507E-6</v>
      </c>
    </row>
    <row r="34" spans="1:5" x14ac:dyDescent="0.25">
      <c r="A34">
        <v>4.7919253194125009</v>
      </c>
      <c r="B34">
        <v>1.3192777097335163E-3</v>
      </c>
      <c r="C34">
        <f t="shared" si="0"/>
        <v>5.9755565206476673E-3</v>
      </c>
      <c r="D34">
        <f t="shared" si="1"/>
        <v>-4.6562788109141507E-3</v>
      </c>
      <c r="E34">
        <f t="shared" si="2"/>
        <v>2.1680932364968098E-5</v>
      </c>
    </row>
    <row r="35" spans="1:5" x14ac:dyDescent="0.25">
      <c r="A35">
        <v>4.9349603908875004</v>
      </c>
      <c r="B35">
        <v>2.1987961828891941E-3</v>
      </c>
      <c r="C35">
        <f t="shared" si="0"/>
        <v>5.0424360328087808E-3</v>
      </c>
      <c r="D35">
        <f t="shared" si="1"/>
        <v>-2.8436398499195868E-3</v>
      </c>
      <c r="E35">
        <f t="shared" si="2"/>
        <v>8.0862875960506901E-6</v>
      </c>
    </row>
    <row r="36" spans="1:5" x14ac:dyDescent="0.25">
      <c r="A36">
        <v>5.0779954623624999</v>
      </c>
      <c r="B36">
        <v>1.3192777097335163E-3</v>
      </c>
      <c r="C36">
        <f t="shared" si="0"/>
        <v>4.2528672507697951E-3</v>
      </c>
      <c r="D36">
        <f t="shared" si="1"/>
        <v>-2.9335895410362786E-3</v>
      </c>
      <c r="E36">
        <f t="shared" si="2"/>
        <v>8.605947595277444E-6</v>
      </c>
    </row>
    <row r="37" spans="1:5" x14ac:dyDescent="0.25">
      <c r="A37">
        <v>5.2210305338375012</v>
      </c>
      <c r="B37">
        <v>8.7951847315567765E-4</v>
      </c>
      <c r="C37">
        <f t="shared" si="0"/>
        <v>3.5851660447318696E-3</v>
      </c>
      <c r="D37">
        <f t="shared" si="1"/>
        <v>-2.705647571576192E-3</v>
      </c>
      <c r="E37">
        <f t="shared" si="2"/>
        <v>7.3205287815761448E-6</v>
      </c>
    </row>
    <row r="38" spans="1:5" x14ac:dyDescent="0.25">
      <c r="A38">
        <v>5.3640656053125007</v>
      </c>
      <c r="B38">
        <v>0</v>
      </c>
      <c r="C38">
        <f t="shared" si="0"/>
        <v>3.0208486749797505E-3</v>
      </c>
      <c r="D38">
        <f t="shared" si="1"/>
        <v>-3.0208486749797505E-3</v>
      </c>
      <c r="E38">
        <f t="shared" si="2"/>
        <v>9.1255267171269147E-6</v>
      </c>
    </row>
    <row r="39" spans="1:5" x14ac:dyDescent="0.25">
      <c r="A39">
        <v>5.5071006767875001</v>
      </c>
      <c r="B39">
        <v>0</v>
      </c>
      <c r="C39">
        <f t="shared" si="0"/>
        <v>2.544173829255876E-3</v>
      </c>
      <c r="D39">
        <f t="shared" si="1"/>
        <v>-2.544173829255876E-3</v>
      </c>
      <c r="E39">
        <f t="shared" si="2"/>
        <v>6.4728204734705075E-6</v>
      </c>
    </row>
    <row r="40" spans="1:5" x14ac:dyDescent="0.25">
      <c r="A40">
        <v>5.6501357482624996</v>
      </c>
      <c r="B40">
        <v>4.3975923657783882E-4</v>
      </c>
      <c r="C40">
        <f t="shared" si="0"/>
        <v>2.1417473575744295E-3</v>
      </c>
      <c r="D40">
        <f t="shared" si="1"/>
        <v>-1.7019881209965908E-3</v>
      </c>
      <c r="E40">
        <f t="shared" si="2"/>
        <v>2.8967635640135059E-6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26D36-E3D0-481B-AB3D-3C39355D2CD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7.1782203599999997E-2</v>
      </c>
      <c r="B1">
        <v>0.77893383177435904</v>
      </c>
      <c r="C1">
        <f>$H$3*(1+$H$1)*(A1^($H$1))*EXP(-$H$3*(A1^(1+$H$1)))</f>
        <v>0.78129581523644753</v>
      </c>
      <c r="D1">
        <f>B1-C1</f>
        <v>-2.3619834620884905E-3</v>
      </c>
      <c r="E1">
        <f>D1^2</f>
        <v>5.5789658751795314E-6</v>
      </c>
      <c r="G1" t="s">
        <v>0</v>
      </c>
      <c r="H1">
        <v>9.2934517633625272E-2</v>
      </c>
    </row>
    <row r="2" spans="1:8" x14ac:dyDescent="0.25">
      <c r="A2">
        <v>0.21437349680000001</v>
      </c>
      <c r="B2">
        <v>0.7445301857503499</v>
      </c>
      <c r="C2">
        <f t="shared" ref="C2:C40" si="0">$H$3*(1+$H$1)*(A2^($H$1))*EXP(-$H$3*(A2^(1+$H$1)))</f>
        <v>0.76334522775292313</v>
      </c>
      <c r="D2">
        <f t="shared" ref="D2:D40" si="1">B2-C2</f>
        <v>-1.8815042002573223E-2</v>
      </c>
      <c r="E2">
        <f t="shared" ref="E2:E40" si="2">D2^2</f>
        <v>3.5400580555859461E-4</v>
      </c>
    </row>
    <row r="3" spans="1:8" x14ac:dyDescent="0.25">
      <c r="A3">
        <v>0.35696479000000003</v>
      </c>
      <c r="B3">
        <v>0.68145683470633334</v>
      </c>
      <c r="C3">
        <f t="shared" si="0"/>
        <v>0.70029603112566696</v>
      </c>
      <c r="D3">
        <f t="shared" si="1"/>
        <v>-1.8839196419333626E-2</v>
      </c>
      <c r="E3">
        <f t="shared" si="2"/>
        <v>3.5491532172623292E-4</v>
      </c>
      <c r="G3" t="s">
        <v>1</v>
      </c>
      <c r="H3">
        <f>(_xlfn.GAMMA((2+$H$1)/(1+$H$1)))^(1+$H$1)</f>
        <v>0.96396863795742915</v>
      </c>
    </row>
    <row r="4" spans="1:8" x14ac:dyDescent="0.25">
      <c r="A4">
        <v>0.4995560832</v>
      </c>
      <c r="B4">
        <v>0.61044418073369922</v>
      </c>
      <c r="C4">
        <f t="shared" si="0"/>
        <v>0.62888513750737962</v>
      </c>
      <c r="D4">
        <f t="shared" si="1"/>
        <v>-1.8440956773680406E-2</v>
      </c>
      <c r="E4">
        <f t="shared" si="2"/>
        <v>3.4006888672874925E-4</v>
      </c>
    </row>
    <row r="5" spans="1:8" x14ac:dyDescent="0.25">
      <c r="A5">
        <v>0.64214737639999997</v>
      </c>
      <c r="B5">
        <v>0.53105115144752446</v>
      </c>
      <c r="C5">
        <f t="shared" si="0"/>
        <v>0.55819851054238734</v>
      </c>
      <c r="D5">
        <f t="shared" si="1"/>
        <v>-2.7147359094862877E-2</v>
      </c>
      <c r="E5">
        <f t="shared" si="2"/>
        <v>7.3697910582543416E-4</v>
      </c>
      <c r="G5" t="s">
        <v>2</v>
      </c>
      <c r="H5">
        <f>SUM(E1:E40)</f>
        <v>6.4769451857295398E-3</v>
      </c>
    </row>
    <row r="6" spans="1:8" x14ac:dyDescent="0.25">
      <c r="A6">
        <v>0.78473866960000005</v>
      </c>
      <c r="B6">
        <v>0.4648902937090455</v>
      </c>
      <c r="C6">
        <f t="shared" si="0"/>
        <v>0.49165868327101414</v>
      </c>
      <c r="D6">
        <f t="shared" si="1"/>
        <v>-2.6768389561968642E-2</v>
      </c>
      <c r="E6">
        <f t="shared" si="2"/>
        <v>7.1654667974131172E-4</v>
      </c>
    </row>
    <row r="7" spans="1:8" x14ac:dyDescent="0.25">
      <c r="A7">
        <v>0.92732996280000002</v>
      </c>
      <c r="B7">
        <v>0.40578659412933765</v>
      </c>
      <c r="C7">
        <f t="shared" si="0"/>
        <v>0.43062701942333326</v>
      </c>
      <c r="D7">
        <f t="shared" si="1"/>
        <v>-2.4840425293995605E-2</v>
      </c>
      <c r="E7">
        <f t="shared" si="2"/>
        <v>6.1704672878657666E-4</v>
      </c>
    </row>
    <row r="8" spans="1:8" x14ac:dyDescent="0.25">
      <c r="A8">
        <v>1.069921256</v>
      </c>
      <c r="B8">
        <v>0.38637940919271713</v>
      </c>
      <c r="C8">
        <f t="shared" si="0"/>
        <v>0.37552952515360299</v>
      </c>
      <c r="D8">
        <f t="shared" si="1"/>
        <v>1.0849884039114133E-2</v>
      </c>
      <c r="E8">
        <f t="shared" si="2"/>
        <v>1.177199836622236E-4</v>
      </c>
    </row>
    <row r="9" spans="1:8" x14ac:dyDescent="0.25">
      <c r="A9">
        <v>1.2125125492</v>
      </c>
      <c r="B9">
        <v>0.32992214392254843</v>
      </c>
      <c r="C9">
        <f t="shared" si="0"/>
        <v>0.32632347535316808</v>
      </c>
      <c r="D9">
        <f t="shared" si="1"/>
        <v>3.5986685693803477E-3</v>
      </c>
      <c r="E9">
        <f t="shared" si="2"/>
        <v>1.2950415472245999E-5</v>
      </c>
    </row>
    <row r="10" spans="1:8" x14ac:dyDescent="0.25">
      <c r="A10">
        <v>1.3551038424000001</v>
      </c>
      <c r="B10">
        <v>0.29992922174777131</v>
      </c>
      <c r="C10">
        <f t="shared" si="0"/>
        <v>0.2827242654669519</v>
      </c>
      <c r="D10">
        <f t="shared" si="1"/>
        <v>1.7204956280819417E-2</v>
      </c>
      <c r="E10">
        <f t="shared" si="2"/>
        <v>2.9601052062490748E-4</v>
      </c>
    </row>
    <row r="11" spans="1:8" x14ac:dyDescent="0.25">
      <c r="A11">
        <v>1.4976951356000001</v>
      </c>
      <c r="B11">
        <v>0.24567731840221854</v>
      </c>
      <c r="C11">
        <f t="shared" si="0"/>
        <v>0.24432680951698868</v>
      </c>
      <c r="D11">
        <f t="shared" si="1"/>
        <v>1.3505088852298619E-3</v>
      </c>
      <c r="E11">
        <f t="shared" si="2"/>
        <v>1.8238742490848044E-6</v>
      </c>
    </row>
    <row r="12" spans="1:8" x14ac:dyDescent="0.25">
      <c r="A12">
        <v>1.6402864288000001</v>
      </c>
      <c r="B12">
        <v>0.22318262677113571</v>
      </c>
      <c r="C12">
        <f t="shared" si="0"/>
        <v>0.21067427439065489</v>
      </c>
      <c r="D12">
        <f t="shared" si="1"/>
        <v>1.2508352380480814E-2</v>
      </c>
      <c r="E12">
        <f t="shared" si="2"/>
        <v>1.5645887927428004E-4</v>
      </c>
    </row>
    <row r="13" spans="1:8" x14ac:dyDescent="0.25">
      <c r="A13">
        <v>1.7828777220000001</v>
      </c>
      <c r="B13">
        <v>0.18128075020343237</v>
      </c>
      <c r="C13">
        <f t="shared" si="0"/>
        <v>0.18129808864434632</v>
      </c>
      <c r="D13">
        <f t="shared" si="1"/>
        <v>-1.7338440913949871E-5</v>
      </c>
      <c r="E13">
        <f t="shared" si="2"/>
        <v>3.006215333265308E-10</v>
      </c>
    </row>
    <row r="14" spans="1:8" x14ac:dyDescent="0.25">
      <c r="A14">
        <v>1.9254690152</v>
      </c>
      <c r="B14">
        <v>0.18172182258835556</v>
      </c>
      <c r="C14">
        <f t="shared" si="0"/>
        <v>0.15574128966698467</v>
      </c>
      <c r="D14">
        <f t="shared" si="1"/>
        <v>2.5980532921370897E-2</v>
      </c>
      <c r="E14">
        <f t="shared" si="2"/>
        <v>6.74988090878437E-4</v>
      </c>
    </row>
    <row r="15" spans="1:8" x14ac:dyDescent="0.25">
      <c r="A15">
        <v>2.0680603083999998</v>
      </c>
      <c r="B15">
        <v>0.16275571003665826</v>
      </c>
      <c r="C15">
        <f t="shared" si="0"/>
        <v>0.13357179476893288</v>
      </c>
      <c r="D15">
        <f t="shared" si="1"/>
        <v>2.9183915267725374E-2</v>
      </c>
      <c r="E15">
        <f t="shared" si="2"/>
        <v>8.5170091035377418E-4</v>
      </c>
    </row>
    <row r="16" spans="1:8" x14ac:dyDescent="0.25">
      <c r="A16">
        <v>2.2106516016</v>
      </c>
      <c r="B16">
        <v>0.1336449326317275</v>
      </c>
      <c r="C16">
        <f t="shared" si="0"/>
        <v>0.11438941723848703</v>
      </c>
      <c r="D16">
        <f t="shared" si="1"/>
        <v>1.9255515393240469E-2</v>
      </c>
      <c r="E16">
        <f t="shared" si="2"/>
        <v>3.7077487305932062E-4</v>
      </c>
    </row>
    <row r="17" spans="1:5" x14ac:dyDescent="0.25">
      <c r="A17">
        <v>2.3532428948000002</v>
      </c>
      <c r="B17">
        <v>0.11467882008003021</v>
      </c>
      <c r="C17">
        <f t="shared" si="0"/>
        <v>9.7828949334463705E-2</v>
      </c>
      <c r="D17">
        <f t="shared" si="1"/>
        <v>1.68498707455665E-2</v>
      </c>
      <c r="E17">
        <f t="shared" si="2"/>
        <v>2.8391814414229779E-4</v>
      </c>
    </row>
    <row r="18" spans="1:5" x14ac:dyDescent="0.25">
      <c r="A18">
        <v>2.4958341879999999</v>
      </c>
      <c r="B18">
        <v>0.10144664853233441</v>
      </c>
      <c r="C18">
        <f t="shared" si="0"/>
        <v>8.3560772617151641E-2</v>
      </c>
      <c r="D18">
        <f t="shared" si="1"/>
        <v>1.7885875915182772E-2</v>
      </c>
      <c r="E18">
        <f t="shared" si="2"/>
        <v>3.1990455725331519E-4</v>
      </c>
    </row>
    <row r="19" spans="1:5" x14ac:dyDescent="0.25">
      <c r="A19">
        <v>2.6384254811999996</v>
      </c>
      <c r="B19">
        <v>7.9834101671097946E-2</v>
      </c>
      <c r="C19">
        <f t="shared" si="0"/>
        <v>7.1289936989906266E-2</v>
      </c>
      <c r="D19">
        <f t="shared" si="1"/>
        <v>8.5441646811916794E-3</v>
      </c>
      <c r="E19">
        <f t="shared" si="2"/>
        <v>7.3002750099323315E-5</v>
      </c>
    </row>
    <row r="20" spans="1:5" x14ac:dyDescent="0.25">
      <c r="A20">
        <v>2.7810167743999998</v>
      </c>
      <c r="B20">
        <v>5.9103699579707875E-2</v>
      </c>
      <c r="C20">
        <f t="shared" si="0"/>
        <v>6.075432510253112E-2</v>
      </c>
      <c r="D20">
        <f t="shared" si="1"/>
        <v>-1.6506255228232458E-3</v>
      </c>
      <c r="E20">
        <f t="shared" si="2"/>
        <v>2.7245646165955134E-6</v>
      </c>
    </row>
    <row r="21" spans="1:5" x14ac:dyDescent="0.25">
      <c r="A21">
        <v>2.9236080676</v>
      </c>
      <c r="B21">
        <v>5.3369758575706368E-2</v>
      </c>
      <c r="C21">
        <f t="shared" si="0"/>
        <v>5.1722309442662012E-2</v>
      </c>
      <c r="D21">
        <f t="shared" si="1"/>
        <v>1.6474491330443555E-3</v>
      </c>
      <c r="E21">
        <f t="shared" si="2"/>
        <v>2.7140886459685985E-6</v>
      </c>
    </row>
    <row r="22" spans="1:5" x14ac:dyDescent="0.25">
      <c r="A22">
        <v>3.0661993608000002</v>
      </c>
      <c r="B22">
        <v>4.7635817571704854E-2</v>
      </c>
      <c r="C22">
        <f t="shared" si="0"/>
        <v>4.3990171349190789E-2</v>
      </c>
      <c r="D22">
        <f t="shared" si="1"/>
        <v>3.6456462225140651E-3</v>
      </c>
      <c r="E22">
        <f t="shared" si="2"/>
        <v>1.3290736379731072E-5</v>
      </c>
    </row>
    <row r="23" spans="1:5" x14ac:dyDescent="0.25">
      <c r="A23">
        <v>3.208790654</v>
      </c>
      <c r="B23">
        <v>4.2342948952626538E-2</v>
      </c>
      <c r="C23">
        <f t="shared" si="0"/>
        <v>3.7379458507336497E-2</v>
      </c>
      <c r="D23">
        <f t="shared" si="1"/>
        <v>4.9634904452900419E-3</v>
      </c>
      <c r="E23">
        <f t="shared" si="2"/>
        <v>2.4636237400485537E-5</v>
      </c>
    </row>
    <row r="24" spans="1:5" x14ac:dyDescent="0.25">
      <c r="A24">
        <v>3.3513819472000002</v>
      </c>
      <c r="B24">
        <v>3.4844718408932253E-2</v>
      </c>
      <c r="C24">
        <f t="shared" si="0"/>
        <v>3.1734394555136318E-2</v>
      </c>
      <c r="D24">
        <f t="shared" si="1"/>
        <v>3.1103238537959349E-3</v>
      </c>
      <c r="E24">
        <f t="shared" si="2"/>
        <v>9.6741144754919969E-6</v>
      </c>
    </row>
    <row r="25" spans="1:5" x14ac:dyDescent="0.25">
      <c r="A25">
        <v>3.4939732403999999</v>
      </c>
      <c r="B25">
        <v>2.3376836400929236E-2</v>
      </c>
      <c r="C25">
        <f t="shared" si="0"/>
        <v>2.6919411411075341E-2</v>
      </c>
      <c r="D25">
        <f t="shared" si="1"/>
        <v>-3.5425750101461054E-3</v>
      </c>
      <c r="E25">
        <f t="shared" si="2"/>
        <v>1.2549837702511678E-5</v>
      </c>
    </row>
    <row r="26" spans="1:5" x14ac:dyDescent="0.25">
      <c r="A26">
        <v>3.6365645336000001</v>
      </c>
      <c r="B26">
        <v>2.0730402091390075E-2</v>
      </c>
      <c r="C26">
        <f t="shared" si="0"/>
        <v>2.2816845472448669E-2</v>
      </c>
      <c r="D26">
        <f t="shared" si="1"/>
        <v>-2.0864433810585947E-3</v>
      </c>
      <c r="E26">
        <f t="shared" si="2"/>
        <v>4.3532459823632207E-6</v>
      </c>
    </row>
    <row r="27" spans="1:5" x14ac:dyDescent="0.25">
      <c r="A27">
        <v>3.7791558268000003</v>
      </c>
      <c r="B27">
        <v>1.7201823012004531E-2</v>
      </c>
      <c r="C27">
        <f t="shared" si="0"/>
        <v>1.9324818732748248E-2</v>
      </c>
      <c r="D27">
        <f t="shared" si="1"/>
        <v>-2.1229957207437172E-3</v>
      </c>
      <c r="E27">
        <f t="shared" si="2"/>
        <v>4.5071108302961355E-6</v>
      </c>
    </row>
    <row r="28" spans="1:5" x14ac:dyDescent="0.25">
      <c r="A28">
        <v>3.92174712</v>
      </c>
      <c r="B28">
        <v>1.4996461087388566E-2</v>
      </c>
      <c r="C28">
        <f t="shared" si="0"/>
        <v>1.6355312286348175E-2</v>
      </c>
      <c r="D28">
        <f t="shared" si="1"/>
        <v>-1.3588511989596087E-3</v>
      </c>
      <c r="E28">
        <f t="shared" si="2"/>
        <v>1.8464765809139659E-6</v>
      </c>
    </row>
    <row r="29" spans="1:5" x14ac:dyDescent="0.25">
      <c r="A29">
        <v>4.0643384131999998</v>
      </c>
      <c r="B29">
        <v>1.2791099162772599E-2</v>
      </c>
      <c r="C29">
        <f t="shared" si="0"/>
        <v>1.3832430680254771E-2</v>
      </c>
      <c r="D29">
        <f t="shared" si="1"/>
        <v>-1.0413315174821712E-3</v>
      </c>
      <c r="E29">
        <f t="shared" si="2"/>
        <v>1.0843713293017214E-6</v>
      </c>
    </row>
    <row r="30" spans="1:5" x14ac:dyDescent="0.25">
      <c r="A30">
        <v>4.2069297064000004</v>
      </c>
      <c r="B30">
        <v>7.498230543694283E-3</v>
      </c>
      <c r="C30">
        <f t="shared" si="0"/>
        <v>1.1690849777031448E-2</v>
      </c>
      <c r="D30">
        <f t="shared" si="1"/>
        <v>-4.1926192333371646E-3</v>
      </c>
      <c r="E30">
        <f t="shared" si="2"/>
        <v>1.7578056035748714E-5</v>
      </c>
    </row>
    <row r="31" spans="1:5" x14ac:dyDescent="0.25">
      <c r="A31">
        <v>4.3495209996000002</v>
      </c>
      <c r="B31">
        <v>5.2928686190783173E-3</v>
      </c>
      <c r="C31">
        <f t="shared" si="0"/>
        <v>9.8744372529318645E-3</v>
      </c>
      <c r="D31">
        <f t="shared" si="1"/>
        <v>-4.5815686338535472E-3</v>
      </c>
      <c r="E31">
        <f t="shared" si="2"/>
        <v>2.099077114671066E-5</v>
      </c>
    </row>
    <row r="32" spans="1:5" x14ac:dyDescent="0.25">
      <c r="A32">
        <v>4.4921122927999999</v>
      </c>
      <c r="B32">
        <v>5.2928686190783173E-3</v>
      </c>
      <c r="C32">
        <f t="shared" si="0"/>
        <v>8.3350328907000164E-3</v>
      </c>
      <c r="D32">
        <f t="shared" si="1"/>
        <v>-3.0421642716216991E-3</v>
      </c>
      <c r="E32">
        <f t="shared" si="2"/>
        <v>9.2547634555315835E-6</v>
      </c>
    </row>
    <row r="33" spans="1:5" x14ac:dyDescent="0.25">
      <c r="A33">
        <v>4.6347035859999997</v>
      </c>
      <c r="B33">
        <v>4.8517962341551243E-3</v>
      </c>
      <c r="C33">
        <f t="shared" si="0"/>
        <v>7.0313749515318767E-3</v>
      </c>
      <c r="D33">
        <f t="shared" si="1"/>
        <v>-2.1795787173767523E-3</v>
      </c>
      <c r="E33">
        <f t="shared" si="2"/>
        <v>4.7505633852416885E-6</v>
      </c>
    </row>
    <row r="34" spans="1:5" x14ac:dyDescent="0.25">
      <c r="A34">
        <v>4.7772948791999994</v>
      </c>
      <c r="B34">
        <v>1.3232171547695793E-3</v>
      </c>
      <c r="C34">
        <f t="shared" si="0"/>
        <v>5.9281587770997459E-3</v>
      </c>
      <c r="D34">
        <f t="shared" si="1"/>
        <v>-4.6049416223301661E-3</v>
      </c>
      <c r="E34">
        <f t="shared" si="2"/>
        <v>2.1205487345068781E-5</v>
      </c>
    </row>
    <row r="35" spans="1:5" x14ac:dyDescent="0.25">
      <c r="A35">
        <v>4.9198861724</v>
      </c>
      <c r="B35">
        <v>2.2053619246159657E-3</v>
      </c>
      <c r="C35">
        <f t="shared" si="0"/>
        <v>4.9952141306170064E-3</v>
      </c>
      <c r="D35">
        <f t="shared" si="1"/>
        <v>-2.7898522060010407E-3</v>
      </c>
      <c r="E35">
        <f t="shared" si="2"/>
        <v>7.7832753313288725E-6</v>
      </c>
    </row>
    <row r="36" spans="1:5" x14ac:dyDescent="0.25">
      <c r="A36">
        <v>5.0624774656000007</v>
      </c>
      <c r="B36">
        <v>8.8214476984638615E-4</v>
      </c>
      <c r="C36">
        <f t="shared" si="0"/>
        <v>4.2067884570153357E-3</v>
      </c>
      <c r="D36">
        <f t="shared" si="1"/>
        <v>-3.3246436871689497E-3</v>
      </c>
      <c r="E36">
        <f t="shared" si="2"/>
        <v>1.105325564663235E-5</v>
      </c>
    </row>
    <row r="37" spans="1:5" x14ac:dyDescent="0.25">
      <c r="A37">
        <v>5.2050687587999995</v>
      </c>
      <c r="B37">
        <v>8.8214476984638615E-4</v>
      </c>
      <c r="C37">
        <f t="shared" si="0"/>
        <v>3.5409240992891702E-3</v>
      </c>
      <c r="D37">
        <f t="shared" si="1"/>
        <v>-2.6587793294427838E-3</v>
      </c>
      <c r="E37">
        <f t="shared" si="2"/>
        <v>7.0691075226722195E-6</v>
      </c>
    </row>
    <row r="38" spans="1:5" x14ac:dyDescent="0.25">
      <c r="A38">
        <v>5.3476600520000002</v>
      </c>
      <c r="B38">
        <v>4.4107238492319307E-4</v>
      </c>
      <c r="C38">
        <f t="shared" si="0"/>
        <v>2.9789184612943947E-3</v>
      </c>
      <c r="D38">
        <f t="shared" si="1"/>
        <v>-2.5378460763712017E-3</v>
      </c>
      <c r="E38">
        <f t="shared" si="2"/>
        <v>6.4406627073527032E-6</v>
      </c>
    </row>
    <row r="39" spans="1:5" x14ac:dyDescent="0.25">
      <c r="A39">
        <v>5.490251345199999</v>
      </c>
      <c r="B39">
        <v>0</v>
      </c>
      <c r="C39">
        <f t="shared" si="0"/>
        <v>2.5048570944432623E-3</v>
      </c>
      <c r="D39">
        <f t="shared" si="1"/>
        <v>-2.5048570944432623E-3</v>
      </c>
      <c r="E39">
        <f t="shared" si="2"/>
        <v>6.2743090635827423E-6</v>
      </c>
    </row>
    <row r="40" spans="1:5" x14ac:dyDescent="0.25">
      <c r="A40">
        <v>5.6328426383999997</v>
      </c>
      <c r="B40">
        <v>4.4107238492319307E-4</v>
      </c>
      <c r="C40">
        <f t="shared" si="0"/>
        <v>2.1052106643903654E-3</v>
      </c>
      <c r="D40">
        <f t="shared" si="1"/>
        <v>-1.6641382794671724E-3</v>
      </c>
      <c r="E40">
        <f t="shared" si="2"/>
        <v>2.7693562131879608E-6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4B48-78D6-4D9F-B882-8A3A885BF8A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7.1007349349999999E-2</v>
      </c>
      <c r="B1">
        <v>0.61942623531123442</v>
      </c>
      <c r="C1">
        <f>$H$3*(1+$H$1)*(A1^($H$1))*EXP(-$H$3*(A1^(1+$H$1)))</f>
        <v>0.70408375432591253</v>
      </c>
      <c r="D1">
        <f>B1-C1</f>
        <v>-8.4657519014678106E-2</v>
      </c>
      <c r="E1">
        <f>D1^2</f>
        <v>7.1668955257205855E-3</v>
      </c>
      <c r="G1" t="s">
        <v>0</v>
      </c>
      <c r="H1">
        <v>0.14587614314723216</v>
      </c>
    </row>
    <row r="2" spans="1:8" x14ac:dyDescent="0.25">
      <c r="A2">
        <v>0.21249293605000003</v>
      </c>
      <c r="B2">
        <v>0.85804308492538994</v>
      </c>
      <c r="C2">
        <f t="shared" ref="C2:C40" si="0">$H$3*(1+$H$1)*(A2^($H$1))*EXP(-$H$3*(A2^(1+$H$1)))</f>
        <v>0.73664099393205817</v>
      </c>
      <c r="D2">
        <f t="shared" ref="D2:D40" si="1">B2-C2</f>
        <v>0.12140209099333177</v>
      </c>
      <c r="E2">
        <f t="shared" ref="E2:E40" si="2">D2^2</f>
        <v>1.4738467697553206E-2</v>
      </c>
    </row>
    <row r="3" spans="1:8" x14ac:dyDescent="0.25">
      <c r="A3">
        <v>0.35397852275000002</v>
      </c>
      <c r="B3">
        <v>0.72340452732187199</v>
      </c>
      <c r="C3">
        <f t="shared" si="0"/>
        <v>0.69863090058952126</v>
      </c>
      <c r="D3">
        <f t="shared" si="1"/>
        <v>2.4773626732350729E-2</v>
      </c>
      <c r="E3">
        <f t="shared" si="2"/>
        <v>6.1373258147384268E-4</v>
      </c>
      <c r="G3" t="s">
        <v>1</v>
      </c>
      <c r="H3">
        <f>(_xlfn.GAMMA((2+$H$1)/(1+$H$1)))^(1+$H$1)</f>
        <v>0.9459931509353906</v>
      </c>
    </row>
    <row r="4" spans="1:8" x14ac:dyDescent="0.25">
      <c r="A4">
        <v>0.49546410945000008</v>
      </c>
      <c r="B4">
        <v>0.61587142190916133</v>
      </c>
      <c r="C4">
        <f t="shared" si="0"/>
        <v>0.64091333740563861</v>
      </c>
      <c r="D4">
        <f t="shared" si="1"/>
        <v>-2.5041915496477274E-2</v>
      </c>
      <c r="E4">
        <f t="shared" si="2"/>
        <v>6.2709753173270861E-4</v>
      </c>
    </row>
    <row r="5" spans="1:8" x14ac:dyDescent="0.25">
      <c r="A5">
        <v>0.63694969615000008</v>
      </c>
      <c r="B5">
        <v>0.5509960773213276</v>
      </c>
      <c r="C5">
        <f t="shared" si="0"/>
        <v>0.57733721884909572</v>
      </c>
      <c r="D5">
        <f t="shared" si="1"/>
        <v>-2.6341141527768119E-2</v>
      </c>
      <c r="E5">
        <f t="shared" si="2"/>
        <v>6.9385573698591018E-4</v>
      </c>
      <c r="G5" t="s">
        <v>2</v>
      </c>
      <c r="H5">
        <f>SUM(E1:E40)</f>
        <v>3.0628606263397095E-2</v>
      </c>
    </row>
    <row r="6" spans="1:8" x14ac:dyDescent="0.25">
      <c r="A6">
        <v>0.77843528285000008</v>
      </c>
      <c r="B6">
        <v>0.45901528054268659</v>
      </c>
      <c r="C6">
        <f t="shared" si="0"/>
        <v>0.5138304355883283</v>
      </c>
      <c r="D6">
        <f t="shared" si="1"/>
        <v>-5.4815155045641717E-2</v>
      </c>
      <c r="E6">
        <f t="shared" si="2"/>
        <v>3.0047012226777406E-3</v>
      </c>
    </row>
    <row r="7" spans="1:8" x14ac:dyDescent="0.25">
      <c r="A7">
        <v>0.91992086955000008</v>
      </c>
      <c r="B7">
        <v>0.42124538814566009</v>
      </c>
      <c r="C7">
        <f t="shared" si="0"/>
        <v>0.45328533762731316</v>
      </c>
      <c r="D7">
        <f t="shared" si="1"/>
        <v>-3.2039949481653063E-2</v>
      </c>
      <c r="E7">
        <f t="shared" si="2"/>
        <v>1.0265583627868803E-3</v>
      </c>
    </row>
    <row r="8" spans="1:8" x14ac:dyDescent="0.25">
      <c r="A8">
        <v>1.0614064562500001</v>
      </c>
      <c r="B8">
        <v>0.3790319789960423</v>
      </c>
      <c r="C8">
        <f t="shared" si="0"/>
        <v>0.39712380193412133</v>
      </c>
      <c r="D8">
        <f t="shared" si="1"/>
        <v>-1.8091822938079039E-2</v>
      </c>
      <c r="E8">
        <f t="shared" si="2"/>
        <v>3.2731405722280288E-4</v>
      </c>
    </row>
    <row r="9" spans="1:8" x14ac:dyDescent="0.25">
      <c r="A9">
        <v>1.2028920429500001</v>
      </c>
      <c r="B9">
        <v>0.34170643827427494</v>
      </c>
      <c r="C9">
        <f t="shared" si="0"/>
        <v>0.34596704468106659</v>
      </c>
      <c r="D9">
        <f t="shared" si="1"/>
        <v>-4.260606406791656E-3</v>
      </c>
      <c r="E9">
        <f t="shared" si="2"/>
        <v>1.8152766953594107E-5</v>
      </c>
    </row>
    <row r="10" spans="1:8" x14ac:dyDescent="0.25">
      <c r="A10">
        <v>1.3443776296500001</v>
      </c>
      <c r="B10">
        <v>0.2910503472947335</v>
      </c>
      <c r="C10">
        <f t="shared" si="0"/>
        <v>0.2999747661662896</v>
      </c>
      <c r="D10">
        <f t="shared" si="1"/>
        <v>-8.9244188715560946E-3</v>
      </c>
      <c r="E10">
        <f t="shared" si="2"/>
        <v>7.9645252194986561E-5</v>
      </c>
    </row>
    <row r="11" spans="1:8" x14ac:dyDescent="0.25">
      <c r="A11">
        <v>1.4858632163500003</v>
      </c>
      <c r="B11">
        <v>0.25150304819667046</v>
      </c>
      <c r="C11">
        <f t="shared" si="0"/>
        <v>0.25903583228755478</v>
      </c>
      <c r="D11">
        <f t="shared" si="1"/>
        <v>-7.5327840908843147E-3</v>
      </c>
      <c r="E11">
        <f t="shared" si="2"/>
        <v>5.6742836159879834E-5</v>
      </c>
    </row>
    <row r="12" spans="1:8" x14ac:dyDescent="0.25">
      <c r="A12">
        <v>1.6273488030500003</v>
      </c>
      <c r="B12">
        <v>0.23106287113475027</v>
      </c>
      <c r="C12">
        <f t="shared" si="0"/>
        <v>0.22288277751822808</v>
      </c>
      <c r="D12">
        <f t="shared" si="1"/>
        <v>8.1800936165221938E-3</v>
      </c>
      <c r="E12">
        <f t="shared" si="2"/>
        <v>6.6913931575067142E-5</v>
      </c>
    </row>
    <row r="13" spans="1:8" x14ac:dyDescent="0.25">
      <c r="A13">
        <v>1.7688343897500003</v>
      </c>
      <c r="B13">
        <v>0.18218418685624541</v>
      </c>
      <c r="C13">
        <f t="shared" si="0"/>
        <v>0.19116333866671339</v>
      </c>
      <c r="D13">
        <f t="shared" si="1"/>
        <v>-8.979151810467989E-3</v>
      </c>
      <c r="E13">
        <f t="shared" si="2"/>
        <v>8.0625167235430563E-5</v>
      </c>
    </row>
    <row r="14" spans="1:8" x14ac:dyDescent="0.25">
      <c r="A14">
        <v>1.9103199764500001</v>
      </c>
      <c r="B14">
        <v>0.18040678015520886</v>
      </c>
      <c r="C14">
        <f t="shared" si="0"/>
        <v>0.16348605821742809</v>
      </c>
      <c r="D14">
        <f t="shared" si="1"/>
        <v>1.6920721937780769E-2</v>
      </c>
      <c r="E14">
        <f t="shared" si="2"/>
        <v>2.8631083089569542E-4</v>
      </c>
    </row>
    <row r="15" spans="1:8" x14ac:dyDescent="0.25">
      <c r="A15">
        <v>2.0518055631499998</v>
      </c>
      <c r="B15">
        <v>0.16663187822217568</v>
      </c>
      <c r="C15">
        <f t="shared" si="0"/>
        <v>0.13944947765819227</v>
      </c>
      <c r="D15">
        <f t="shared" si="1"/>
        <v>2.7182400563983411E-2</v>
      </c>
      <c r="E15">
        <f t="shared" si="2"/>
        <v>7.3888290042084569E-4</v>
      </c>
    </row>
    <row r="16" spans="1:8" x14ac:dyDescent="0.25">
      <c r="A16">
        <v>2.1932911498500003</v>
      </c>
      <c r="B16">
        <v>0.13197244755196313</v>
      </c>
      <c r="C16">
        <f t="shared" si="0"/>
        <v>0.11866060436790331</v>
      </c>
      <c r="D16">
        <f t="shared" si="1"/>
        <v>1.3311843184059827E-2</v>
      </c>
      <c r="E16">
        <f t="shared" si="2"/>
        <v>1.7720516895700008E-4</v>
      </c>
    </row>
    <row r="17" spans="1:5" x14ac:dyDescent="0.25">
      <c r="A17">
        <v>2.3347767365500003</v>
      </c>
      <c r="B17">
        <v>0.11597578724263427</v>
      </c>
      <c r="C17">
        <f t="shared" si="0"/>
        <v>0.10074622262427714</v>
      </c>
      <c r="D17">
        <f t="shared" si="1"/>
        <v>1.522956461835713E-2</v>
      </c>
      <c r="E17">
        <f t="shared" si="2"/>
        <v>2.3193963846471536E-4</v>
      </c>
    </row>
    <row r="18" spans="1:5" x14ac:dyDescent="0.25">
      <c r="A18">
        <v>2.4762623232500003</v>
      </c>
      <c r="B18">
        <v>0.10486699536115589</v>
      </c>
      <c r="C18">
        <f t="shared" si="0"/>
        <v>8.5359380195192416E-2</v>
      </c>
      <c r="D18">
        <f t="shared" si="1"/>
        <v>1.9507615165963471E-2</v>
      </c>
      <c r="E18">
        <f t="shared" si="2"/>
        <v>3.8054704946332803E-4</v>
      </c>
    </row>
    <row r="19" spans="1:5" x14ac:dyDescent="0.25">
      <c r="A19">
        <v>2.6177479099500003</v>
      </c>
      <c r="B19">
        <v>7.6428488144571247E-2</v>
      </c>
      <c r="C19">
        <f t="shared" si="0"/>
        <v>7.2182616879199399E-2</v>
      </c>
      <c r="D19">
        <f t="shared" si="1"/>
        <v>4.2458712653718478E-3</v>
      </c>
      <c r="E19">
        <f t="shared" si="2"/>
        <v>1.8027422802110334E-5</v>
      </c>
    </row>
    <row r="20" spans="1:5" x14ac:dyDescent="0.25">
      <c r="A20">
        <v>2.7592334966500003</v>
      </c>
      <c r="B20">
        <v>6.7985806314647679E-2</v>
      </c>
      <c r="C20">
        <f t="shared" si="0"/>
        <v>6.0929008714275298E-2</v>
      </c>
      <c r="D20">
        <f t="shared" si="1"/>
        <v>7.0567976003723804E-3</v>
      </c>
      <c r="E20">
        <f t="shared" si="2"/>
        <v>4.9798392372621387E-5</v>
      </c>
    </row>
    <row r="21" spans="1:5" x14ac:dyDescent="0.25">
      <c r="A21">
        <v>2.9007190833500003</v>
      </c>
      <c r="B21">
        <v>4.7989980927986592E-2</v>
      </c>
      <c r="C21">
        <f t="shared" si="0"/>
        <v>5.1341773558622482E-2</v>
      </c>
      <c r="D21">
        <f t="shared" si="1"/>
        <v>-3.35179263063589E-3</v>
      </c>
      <c r="E21">
        <f t="shared" si="2"/>
        <v>1.123451383878506E-5</v>
      </c>
    </row>
    <row r="22" spans="1:5" x14ac:dyDescent="0.25">
      <c r="A22">
        <v>3.0422046700500003</v>
      </c>
      <c r="B22">
        <v>4.8434332603245728E-2</v>
      </c>
      <c r="C22">
        <f t="shared" si="0"/>
        <v>4.3192959562440174E-2</v>
      </c>
      <c r="D22">
        <f t="shared" si="1"/>
        <v>5.2413730408055539E-3</v>
      </c>
      <c r="E22">
        <f t="shared" si="2"/>
        <v>2.7471991352883259E-5</v>
      </c>
    </row>
    <row r="23" spans="1:5" x14ac:dyDescent="0.25">
      <c r="A23">
        <v>3.1836902567500003</v>
      </c>
      <c r="B23">
        <v>4.7101277577468327E-2</v>
      </c>
      <c r="C23">
        <f t="shared" si="0"/>
        <v>3.6281581764026592E-2</v>
      </c>
      <c r="D23">
        <f t="shared" si="1"/>
        <v>1.0819695813441735E-2</v>
      </c>
      <c r="E23">
        <f t="shared" si="2"/>
        <v>1.170658174954086E-4</v>
      </c>
    </row>
    <row r="24" spans="1:5" x14ac:dyDescent="0.25">
      <c r="A24">
        <v>3.3251758434500003</v>
      </c>
      <c r="B24">
        <v>3.3326375644435136E-2</v>
      </c>
      <c r="C24">
        <f t="shared" si="0"/>
        <v>3.0431461519013381E-2</v>
      </c>
      <c r="D24">
        <f t="shared" si="1"/>
        <v>2.8949141254217547E-3</v>
      </c>
      <c r="E24">
        <f t="shared" si="2"/>
        <v>8.3805277935664024E-6</v>
      </c>
    </row>
    <row r="25" spans="1:5" x14ac:dyDescent="0.25">
      <c r="A25">
        <v>3.4666614301500003</v>
      </c>
      <c r="B25">
        <v>2.4883693814511568E-2</v>
      </c>
      <c r="C25">
        <f t="shared" si="0"/>
        <v>2.5488944555537137E-2</v>
      </c>
      <c r="D25">
        <f t="shared" si="1"/>
        <v>-6.0525074102556892E-4</v>
      </c>
      <c r="E25">
        <f t="shared" si="2"/>
        <v>3.6632845951200028E-7</v>
      </c>
    </row>
    <row r="26" spans="1:5" x14ac:dyDescent="0.25">
      <c r="A26">
        <v>3.6081470168500003</v>
      </c>
      <c r="B26">
        <v>1.7774067010365404E-2</v>
      </c>
      <c r="C26">
        <f t="shared" si="0"/>
        <v>2.1320616796888438E-2</v>
      </c>
      <c r="D26">
        <f t="shared" si="1"/>
        <v>-3.5465497865230337E-3</v>
      </c>
      <c r="E26">
        <f t="shared" si="2"/>
        <v>1.2578015388286576E-5</v>
      </c>
    </row>
    <row r="27" spans="1:5" x14ac:dyDescent="0.25">
      <c r="A27">
        <v>3.7496326035500003</v>
      </c>
      <c r="B27">
        <v>2.0440177061920216E-2</v>
      </c>
      <c r="C27">
        <f t="shared" si="0"/>
        <v>1.781109636392576E-2</v>
      </c>
      <c r="D27">
        <f t="shared" si="1"/>
        <v>2.6290806979944563E-3</v>
      </c>
      <c r="E27">
        <f t="shared" si="2"/>
        <v>6.9120653165670177E-6</v>
      </c>
    </row>
    <row r="28" spans="1:5" x14ac:dyDescent="0.25">
      <c r="A28">
        <v>3.8911181902500003</v>
      </c>
      <c r="B28">
        <v>1.7329715335106272E-2</v>
      </c>
      <c r="C28">
        <f t="shared" si="0"/>
        <v>1.48609509545403E-2</v>
      </c>
      <c r="D28">
        <f t="shared" si="1"/>
        <v>2.4687643805659711E-3</v>
      </c>
      <c r="E28">
        <f t="shared" si="2"/>
        <v>6.094797566751283E-6</v>
      </c>
    </row>
    <row r="29" spans="1:5" x14ac:dyDescent="0.25">
      <c r="A29">
        <v>4.0326037769500003</v>
      </c>
      <c r="B29">
        <v>1.1108791881478378E-2</v>
      </c>
      <c r="C29">
        <f t="shared" si="0"/>
        <v>1.238476897347267E-2</v>
      </c>
      <c r="D29">
        <f t="shared" si="1"/>
        <v>-1.2759770919942917E-3</v>
      </c>
      <c r="E29">
        <f t="shared" si="2"/>
        <v>1.6281175392942092E-6</v>
      </c>
    </row>
    <row r="30" spans="1:5" x14ac:dyDescent="0.25">
      <c r="A30">
        <v>4.1740893636500003</v>
      </c>
      <c r="B30">
        <v>8.4426818299235679E-3</v>
      </c>
      <c r="C30">
        <f t="shared" si="0"/>
        <v>1.0309398104759216E-2</v>
      </c>
      <c r="D30">
        <f t="shared" si="1"/>
        <v>-1.8667162748356482E-3</v>
      </c>
      <c r="E30">
        <f t="shared" si="2"/>
        <v>3.4846296507362794E-6</v>
      </c>
    </row>
    <row r="31" spans="1:5" x14ac:dyDescent="0.25">
      <c r="A31">
        <v>4.3155749503500003</v>
      </c>
      <c r="B31">
        <v>6.2209234536278919E-3</v>
      </c>
      <c r="C31">
        <f t="shared" si="0"/>
        <v>8.572354842833186E-3</v>
      </c>
      <c r="D31">
        <f t="shared" si="1"/>
        <v>-2.351431389205294E-3</v>
      </c>
      <c r="E31">
        <f t="shared" si="2"/>
        <v>5.529229578139939E-6</v>
      </c>
    </row>
    <row r="32" spans="1:5" x14ac:dyDescent="0.25">
      <c r="A32">
        <v>4.4570605370500003</v>
      </c>
      <c r="B32">
        <v>3.554813402073081E-3</v>
      </c>
      <c r="C32">
        <f t="shared" si="0"/>
        <v>7.1204016219300051E-3</v>
      </c>
      <c r="D32">
        <f t="shared" si="1"/>
        <v>-3.5655882198569241E-3</v>
      </c>
      <c r="E32">
        <f t="shared" si="2"/>
        <v>1.2713419353582468E-5</v>
      </c>
    </row>
    <row r="33" spans="1:5" x14ac:dyDescent="0.25">
      <c r="A33">
        <v>4.5985461237500003</v>
      </c>
      <c r="B33">
        <v>5.7765717783687569E-3</v>
      </c>
      <c r="C33">
        <f t="shared" si="0"/>
        <v>5.9082837149075761E-3</v>
      </c>
      <c r="D33">
        <f t="shared" si="1"/>
        <v>-1.3171193653881922E-4</v>
      </c>
      <c r="E33">
        <f t="shared" si="2"/>
        <v>1.7348034226805941E-8</v>
      </c>
    </row>
    <row r="34" spans="1:5" x14ac:dyDescent="0.25">
      <c r="A34">
        <v>4.7400317104500003</v>
      </c>
      <c r="B34">
        <v>2.2217583762956755E-3</v>
      </c>
      <c r="C34">
        <f t="shared" si="0"/>
        <v>4.8976153487678012E-3</v>
      </c>
      <c r="D34">
        <f t="shared" si="1"/>
        <v>-2.6758569724721257E-3</v>
      </c>
      <c r="E34">
        <f t="shared" si="2"/>
        <v>7.1602105371276903E-6</v>
      </c>
    </row>
    <row r="35" spans="1:5" x14ac:dyDescent="0.25">
      <c r="A35">
        <v>4.8815172971500003</v>
      </c>
      <c r="B35">
        <v>1.3330550257774055E-3</v>
      </c>
      <c r="C35">
        <f t="shared" si="0"/>
        <v>4.0559030111855044E-3</v>
      </c>
      <c r="D35">
        <f t="shared" si="1"/>
        <v>-2.7228479854080989E-3</v>
      </c>
      <c r="E35">
        <f t="shared" si="2"/>
        <v>7.413901151640943E-6</v>
      </c>
    </row>
    <row r="36" spans="1:5" x14ac:dyDescent="0.25">
      <c r="A36">
        <v>5.0230028838500003</v>
      </c>
      <c r="B36">
        <v>8.8870335051827024E-4</v>
      </c>
      <c r="C36">
        <f t="shared" si="0"/>
        <v>3.3556933325109362E-3</v>
      </c>
      <c r="D36">
        <f t="shared" si="1"/>
        <v>-2.4669899819926662E-3</v>
      </c>
      <c r="E36">
        <f t="shared" si="2"/>
        <v>6.0860395712521756E-6</v>
      </c>
    </row>
    <row r="37" spans="1:5" x14ac:dyDescent="0.25">
      <c r="A37">
        <v>5.1644884705500012</v>
      </c>
      <c r="B37">
        <v>1.7774067010365405E-3</v>
      </c>
      <c r="C37">
        <f t="shared" si="0"/>
        <v>2.7738329478960511E-3</v>
      </c>
      <c r="D37">
        <f t="shared" si="1"/>
        <v>-9.9642624685951061E-4</v>
      </c>
      <c r="E37">
        <f t="shared" si="2"/>
        <v>9.9286526543053028E-7</v>
      </c>
    </row>
    <row r="38" spans="1:5" x14ac:dyDescent="0.25">
      <c r="A38">
        <v>5.3059740572500012</v>
      </c>
      <c r="B38">
        <v>0</v>
      </c>
      <c r="C38">
        <f t="shared" si="0"/>
        <v>2.2908281724772646E-3</v>
      </c>
      <c r="D38">
        <f t="shared" si="1"/>
        <v>-2.2908281724772646E-3</v>
      </c>
      <c r="E38">
        <f t="shared" si="2"/>
        <v>5.2478937158155245E-6</v>
      </c>
    </row>
    <row r="39" spans="1:5" x14ac:dyDescent="0.25">
      <c r="A39">
        <v>5.4474596439500003</v>
      </c>
      <c r="B39">
        <v>0</v>
      </c>
      <c r="C39">
        <f t="shared" si="0"/>
        <v>1.8902930106813043E-3</v>
      </c>
      <c r="D39">
        <f t="shared" si="1"/>
        <v>-1.8902930106813043E-3</v>
      </c>
      <c r="E39">
        <f t="shared" si="2"/>
        <v>3.5732076662305895E-6</v>
      </c>
    </row>
    <row r="40" spans="1:5" x14ac:dyDescent="0.25">
      <c r="A40">
        <v>5.5889452306500003</v>
      </c>
      <c r="B40">
        <v>4.4435167525913512E-4</v>
      </c>
      <c r="C40">
        <f t="shared" si="0"/>
        <v>1.5584748609545251E-3</v>
      </c>
      <c r="D40">
        <f t="shared" si="1"/>
        <v>-1.1141231856953899E-3</v>
      </c>
      <c r="E40">
        <f t="shared" si="2"/>
        <v>1.2412704729040443E-6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19E3-947E-4180-94B1-74FF61E6479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7.0751557012500008E-2</v>
      </c>
      <c r="B1">
        <v>0.57699250376554179</v>
      </c>
      <c r="C1">
        <f>$H$3*(1+$H$1)*(A1^($H$1))*EXP(-$H$3*(A1^(1+$H$1)))</f>
        <v>0.67058843214851294</v>
      </c>
      <c r="D1">
        <f>B1-C1</f>
        <v>-9.359592838297115E-2</v>
      </c>
      <c r="E1">
        <f>D1^2</f>
        <v>8.7601978098702637E-3</v>
      </c>
      <c r="G1" t="s">
        <v>0</v>
      </c>
      <c r="H1">
        <v>0.17018484003221923</v>
      </c>
    </row>
    <row r="2" spans="1:8" x14ac:dyDescent="0.25">
      <c r="A2">
        <v>0.21133704103750001</v>
      </c>
      <c r="B2">
        <v>0.8301535558053067</v>
      </c>
      <c r="C2">
        <f t="shared" ref="C2:C40" si="0">$H$3*(1+$H$1)*(A2^($H$1))*EXP(-$H$3*(A2^(1+$H$1)))</f>
        <v>0.72377349467254226</v>
      </c>
      <c r="D2">
        <f t="shared" ref="D2:D40" si="1">B2-C2</f>
        <v>0.10638006113276444</v>
      </c>
      <c r="E2">
        <f t="shared" ref="E2:E40" si="2">D2^2</f>
        <v>1.1316717406610699E-2</v>
      </c>
    </row>
    <row r="3" spans="1:8" x14ac:dyDescent="0.25">
      <c r="A3">
        <v>0.35192252506249999</v>
      </c>
      <c r="B3">
        <v>0.76529780925801705</v>
      </c>
      <c r="C3">
        <f t="shared" si="0"/>
        <v>0.6971757534835834</v>
      </c>
      <c r="D3">
        <f t="shared" si="1"/>
        <v>6.8122055774433643E-2</v>
      </c>
      <c r="E3">
        <f t="shared" si="2"/>
        <v>4.6406144829350482E-3</v>
      </c>
      <c r="G3" t="s">
        <v>1</v>
      </c>
      <c r="H3">
        <f>(_xlfn.GAMMA((2+$H$1)/(1+$H$1)))^(1+$H$1)</f>
        <v>0.9382710629702824</v>
      </c>
    </row>
    <row r="4" spans="1:8" x14ac:dyDescent="0.25">
      <c r="A4">
        <v>0.49250800908750003</v>
      </c>
      <c r="B4">
        <v>0.64095368829148947</v>
      </c>
      <c r="C4">
        <f t="shared" si="0"/>
        <v>0.64615217098631073</v>
      </c>
      <c r="D4">
        <f t="shared" si="1"/>
        <v>-5.1984826948212604E-3</v>
      </c>
      <c r="E4">
        <f t="shared" si="2"/>
        <v>2.7024222328356115E-5</v>
      </c>
    </row>
    <row r="5" spans="1:8" x14ac:dyDescent="0.25">
      <c r="A5">
        <v>0.63309349311250007</v>
      </c>
      <c r="B5">
        <v>0.55954854434937429</v>
      </c>
      <c r="C5">
        <f t="shared" si="0"/>
        <v>0.58631108764027129</v>
      </c>
      <c r="D5">
        <f t="shared" si="1"/>
        <v>-2.6762543290897001E-2</v>
      </c>
      <c r="E5">
        <f t="shared" si="2"/>
        <v>7.1623372339713607E-4</v>
      </c>
      <c r="G5" t="s">
        <v>2</v>
      </c>
      <c r="H5">
        <f>SUM(E1:E40)</f>
        <v>3.3730846038281803E-2</v>
      </c>
    </row>
    <row r="6" spans="1:8" x14ac:dyDescent="0.25">
      <c r="A6">
        <v>0.77367897713749989</v>
      </c>
      <c r="B6">
        <v>0.46383040806578824</v>
      </c>
      <c r="C6">
        <f t="shared" si="0"/>
        <v>0.52459629445240341</v>
      </c>
      <c r="D6">
        <f t="shared" si="1"/>
        <v>-6.0765886386615175E-2</v>
      </c>
      <c r="E6">
        <f t="shared" si="2"/>
        <v>3.6924929483510235E-3</v>
      </c>
    </row>
    <row r="7" spans="1:8" x14ac:dyDescent="0.25">
      <c r="A7">
        <v>0.91426446116249993</v>
      </c>
      <c r="B7">
        <v>0.4271533651907693</v>
      </c>
      <c r="C7">
        <f t="shared" si="0"/>
        <v>0.46456646522552758</v>
      </c>
      <c r="D7">
        <f t="shared" si="1"/>
        <v>-3.7413100034758284E-2</v>
      </c>
      <c r="E7">
        <f t="shared" si="2"/>
        <v>1.3997400542108303E-3</v>
      </c>
    </row>
    <row r="8" spans="1:8" x14ac:dyDescent="0.25">
      <c r="A8">
        <v>1.0548499451875</v>
      </c>
      <c r="B8">
        <v>0.38018885907031824</v>
      </c>
      <c r="C8">
        <f t="shared" si="0"/>
        <v>0.40810223420204345</v>
      </c>
      <c r="D8">
        <f t="shared" si="1"/>
        <v>-2.7913375131725204E-2</v>
      </c>
      <c r="E8">
        <f t="shared" si="2"/>
        <v>7.7915651124441511E-4</v>
      </c>
    </row>
    <row r="9" spans="1:8" x14ac:dyDescent="0.25">
      <c r="A9">
        <v>1.1954354292125</v>
      </c>
      <c r="B9">
        <v>0.35111559337670567</v>
      </c>
      <c r="C9">
        <f t="shared" si="0"/>
        <v>0.35614565233743734</v>
      </c>
      <c r="D9">
        <f t="shared" si="1"/>
        <v>-5.0300589607316648E-3</v>
      </c>
      <c r="E9">
        <f t="shared" si="2"/>
        <v>2.5301493148436916E-5</v>
      </c>
    </row>
    <row r="10" spans="1:8" x14ac:dyDescent="0.25">
      <c r="A10">
        <v>1.3360209132375001</v>
      </c>
      <c r="B10">
        <v>0.29386362401082244</v>
      </c>
      <c r="C10">
        <f t="shared" si="0"/>
        <v>0.30908043412843356</v>
      </c>
      <c r="D10">
        <f t="shared" si="1"/>
        <v>-1.5216810117611113E-2</v>
      </c>
      <c r="E10">
        <f t="shared" si="2"/>
        <v>2.3155131015543192E-4</v>
      </c>
    </row>
    <row r="11" spans="1:8" x14ac:dyDescent="0.25">
      <c r="A11">
        <v>1.4766063972625001</v>
      </c>
      <c r="B11">
        <v>0.25673930012513257</v>
      </c>
      <c r="C11">
        <f t="shared" si="0"/>
        <v>0.26694973951228318</v>
      </c>
      <c r="D11">
        <f t="shared" si="1"/>
        <v>-1.0210439387150605E-2</v>
      </c>
      <c r="E11">
        <f t="shared" si="2"/>
        <v>1.0425307247867643E-4</v>
      </c>
    </row>
    <row r="12" spans="1:8" x14ac:dyDescent="0.25">
      <c r="A12">
        <v>1.6171918812874999</v>
      </c>
      <c r="B12">
        <v>0.22856059645286192</v>
      </c>
      <c r="C12">
        <f t="shared" si="0"/>
        <v>0.22958972718071285</v>
      </c>
      <c r="D12">
        <f t="shared" si="1"/>
        <v>-1.0291307278509354E-3</v>
      </c>
      <c r="E12">
        <f t="shared" si="2"/>
        <v>1.059110055006996E-6</v>
      </c>
    </row>
    <row r="13" spans="1:8" x14ac:dyDescent="0.25">
      <c r="A13">
        <v>1.7577773653125</v>
      </c>
      <c r="B13">
        <v>0.18249065235375275</v>
      </c>
      <c r="C13">
        <f t="shared" si="0"/>
        <v>0.19671496179861844</v>
      </c>
      <c r="D13">
        <f t="shared" si="1"/>
        <v>-1.422430944486569E-2</v>
      </c>
      <c r="E13">
        <f t="shared" si="2"/>
        <v>2.0233097918329529E-4</v>
      </c>
    </row>
    <row r="14" spans="1:8" x14ac:dyDescent="0.25">
      <c r="A14">
        <v>1.8983628493375</v>
      </c>
      <c r="B14">
        <v>0.1833852143750947</v>
      </c>
      <c r="C14">
        <f t="shared" si="0"/>
        <v>0.16797430389609333</v>
      </c>
      <c r="D14">
        <f t="shared" si="1"/>
        <v>1.5410910479001366E-2</v>
      </c>
      <c r="E14">
        <f t="shared" si="2"/>
        <v>2.3749616179179412E-4</v>
      </c>
    </row>
    <row r="15" spans="1:8" x14ac:dyDescent="0.25">
      <c r="A15">
        <v>2.0389483333624998</v>
      </c>
      <c r="B15">
        <v>0.16281028788423041</v>
      </c>
      <c r="C15">
        <f t="shared" si="0"/>
        <v>0.14298778538534068</v>
      </c>
      <c r="D15">
        <f t="shared" si="1"/>
        <v>1.9822502498889727E-2</v>
      </c>
      <c r="E15">
        <f t="shared" si="2"/>
        <v>3.9293160531848946E-4</v>
      </c>
    </row>
    <row r="16" spans="1:8" x14ac:dyDescent="0.25">
      <c r="A16">
        <v>2.1795338173875001</v>
      </c>
      <c r="B16">
        <v>0.14089351836135322</v>
      </c>
      <c r="C16">
        <f t="shared" si="0"/>
        <v>0.12137081466792016</v>
      </c>
      <c r="D16">
        <f t="shared" si="1"/>
        <v>1.9522703693433063E-2</v>
      </c>
      <c r="E16">
        <f t="shared" si="2"/>
        <v>3.8113595950158496E-4</v>
      </c>
    </row>
    <row r="17" spans="1:5" x14ac:dyDescent="0.25">
      <c r="A17">
        <v>2.3201193014125003</v>
      </c>
      <c r="B17">
        <v>0.11137297165706969</v>
      </c>
      <c r="C17">
        <f t="shared" si="0"/>
        <v>0.10274975297877312</v>
      </c>
      <c r="D17">
        <f t="shared" si="1"/>
        <v>8.6232186782965736E-3</v>
      </c>
      <c r="E17">
        <f t="shared" si="2"/>
        <v>7.4359900373722909E-5</v>
      </c>
    </row>
    <row r="18" spans="1:5" x14ac:dyDescent="0.25">
      <c r="A18">
        <v>2.4607047854375002</v>
      </c>
      <c r="B18">
        <v>0.10287463245432141</v>
      </c>
      <c r="C18">
        <f t="shared" si="0"/>
        <v>8.6771542981567237E-2</v>
      </c>
      <c r="D18">
        <f t="shared" si="1"/>
        <v>1.610308947275417E-2</v>
      </c>
      <c r="E18">
        <f t="shared" si="2"/>
        <v>2.5930949056752616E-4</v>
      </c>
    </row>
    <row r="19" spans="1:5" x14ac:dyDescent="0.25">
      <c r="A19">
        <v>2.6012902694625</v>
      </c>
      <c r="B19">
        <v>8.229970596345712E-2</v>
      </c>
      <c r="C19">
        <f t="shared" si="0"/>
        <v>7.3109221750038478E-2</v>
      </c>
      <c r="D19">
        <f t="shared" si="1"/>
        <v>9.1904842134186426E-3</v>
      </c>
      <c r="E19">
        <f t="shared" si="2"/>
        <v>8.446500007709729E-5</v>
      </c>
    </row>
    <row r="20" spans="1:5" x14ac:dyDescent="0.25">
      <c r="A20">
        <v>2.7418757534874998</v>
      </c>
      <c r="B20">
        <v>6.9328556653999215E-2</v>
      </c>
      <c r="C20">
        <f t="shared" si="0"/>
        <v>6.1464596731751218E-2</v>
      </c>
      <c r="D20">
        <f t="shared" si="1"/>
        <v>7.8639599222479969E-3</v>
      </c>
      <c r="E20">
        <f t="shared" si="2"/>
        <v>6.1841865658722716E-5</v>
      </c>
    </row>
    <row r="21" spans="1:5" x14ac:dyDescent="0.25">
      <c r="A21">
        <v>2.8824612375125001</v>
      </c>
      <c r="B21">
        <v>4.9200911173805893E-2</v>
      </c>
      <c r="C21">
        <f t="shared" si="0"/>
        <v>5.1568989377002473E-2</v>
      </c>
      <c r="D21">
        <f t="shared" si="1"/>
        <v>-2.3680782031965802E-3</v>
      </c>
      <c r="E21">
        <f t="shared" si="2"/>
        <v>5.6077943764547439E-6</v>
      </c>
    </row>
    <row r="22" spans="1:5" x14ac:dyDescent="0.25">
      <c r="A22">
        <v>3.0230467215374999</v>
      </c>
      <c r="B22">
        <v>4.9648192184476851E-2</v>
      </c>
      <c r="C22">
        <f t="shared" si="0"/>
        <v>4.3182691516000689E-2</v>
      </c>
      <c r="D22">
        <f t="shared" si="1"/>
        <v>6.4655006684761623E-3</v>
      </c>
      <c r="E22">
        <f t="shared" si="2"/>
        <v>4.1802698894065705E-5</v>
      </c>
    </row>
    <row r="23" spans="1:5" x14ac:dyDescent="0.25">
      <c r="A23">
        <v>3.1636322055624997</v>
      </c>
      <c r="B23">
        <v>5.0542754205818781E-2</v>
      </c>
      <c r="C23">
        <f t="shared" si="0"/>
        <v>3.6093595578437089E-2</v>
      </c>
      <c r="D23">
        <f t="shared" si="1"/>
        <v>1.4449158627381692E-2</v>
      </c>
      <c r="E23">
        <f t="shared" si="2"/>
        <v>2.0877818503923877E-4</v>
      </c>
    </row>
    <row r="24" spans="1:5" x14ac:dyDescent="0.25">
      <c r="A24">
        <v>3.3042176895874995</v>
      </c>
      <c r="B24">
        <v>2.7731422661599683E-2</v>
      </c>
      <c r="C24">
        <f t="shared" si="0"/>
        <v>3.0115327402756333E-2</v>
      </c>
      <c r="D24">
        <f t="shared" si="1"/>
        <v>-2.3839047411566491E-3</v>
      </c>
      <c r="E24">
        <f t="shared" si="2"/>
        <v>5.6830018149091506E-6</v>
      </c>
    </row>
    <row r="25" spans="1:5" x14ac:dyDescent="0.25">
      <c r="A25">
        <v>3.4448031736124998</v>
      </c>
      <c r="B25">
        <v>2.8178703672270645E-2</v>
      </c>
      <c r="C25">
        <f t="shared" si="0"/>
        <v>2.508511423810298E-2</v>
      </c>
      <c r="D25">
        <f t="shared" si="1"/>
        <v>3.0935894341676644E-3</v>
      </c>
      <c r="E25">
        <f t="shared" si="2"/>
        <v>9.5702955871938103E-6</v>
      </c>
    </row>
    <row r="26" spans="1:5" x14ac:dyDescent="0.25">
      <c r="A26">
        <v>3.5853886576375</v>
      </c>
      <c r="B26">
        <v>1.6996678405496582E-2</v>
      </c>
      <c r="C26">
        <f t="shared" si="0"/>
        <v>2.0861550303050598E-2</v>
      </c>
      <c r="D26">
        <f t="shared" si="1"/>
        <v>-3.8648718975540161E-3</v>
      </c>
      <c r="E26">
        <f t="shared" si="2"/>
        <v>1.4937234784502781E-5</v>
      </c>
    </row>
    <row r="27" spans="1:5" x14ac:dyDescent="0.25">
      <c r="A27">
        <v>3.7259741416625003</v>
      </c>
      <c r="B27">
        <v>1.8785802448180431E-2</v>
      </c>
      <c r="C27">
        <f t="shared" si="0"/>
        <v>1.7322370855839962E-2</v>
      </c>
      <c r="D27">
        <f t="shared" si="1"/>
        <v>1.4634315923404695E-3</v>
      </c>
      <c r="E27">
        <f t="shared" si="2"/>
        <v>2.1416320254601621E-6</v>
      </c>
    </row>
    <row r="28" spans="1:5" x14ac:dyDescent="0.25">
      <c r="A28">
        <v>3.8665596256875001</v>
      </c>
      <c r="B28">
        <v>1.833852143750947E-2</v>
      </c>
      <c r="C28">
        <f t="shared" si="0"/>
        <v>1.4362308164352522E-2</v>
      </c>
      <c r="D28">
        <f t="shared" si="1"/>
        <v>3.9762132731569477E-3</v>
      </c>
      <c r="E28">
        <f t="shared" si="2"/>
        <v>1.5810271993629489E-5</v>
      </c>
    </row>
    <row r="29" spans="1:5" x14ac:dyDescent="0.25">
      <c r="A29">
        <v>4.0071451097124999</v>
      </c>
      <c r="B29">
        <v>1.2076587288115991E-2</v>
      </c>
      <c r="C29">
        <f t="shared" si="0"/>
        <v>1.1891075452875334E-2</v>
      </c>
      <c r="D29">
        <f t="shared" si="1"/>
        <v>1.855118352406572E-4</v>
      </c>
      <c r="E29">
        <f t="shared" si="2"/>
        <v>3.4414641014356741E-8</v>
      </c>
    </row>
    <row r="30" spans="1:5" x14ac:dyDescent="0.25">
      <c r="A30">
        <v>4.1477305937374993</v>
      </c>
      <c r="B30">
        <v>9.8401822347611786E-3</v>
      </c>
      <c r="C30">
        <f t="shared" si="0"/>
        <v>9.8315052230703703E-3</v>
      </c>
      <c r="D30">
        <f t="shared" si="1"/>
        <v>8.6770116908083811E-6</v>
      </c>
      <c r="E30">
        <f t="shared" si="2"/>
        <v>7.5290531882425326E-11</v>
      </c>
    </row>
    <row r="31" spans="1:5" x14ac:dyDescent="0.25">
      <c r="A31">
        <v>4.2883160777625005</v>
      </c>
      <c r="B31">
        <v>4.9200911173805893E-3</v>
      </c>
      <c r="C31">
        <f t="shared" si="0"/>
        <v>8.117854355099062E-3</v>
      </c>
      <c r="D31">
        <f t="shared" si="1"/>
        <v>-3.1977632377184727E-3</v>
      </c>
      <c r="E31">
        <f t="shared" si="2"/>
        <v>1.0225689724503729E-5</v>
      </c>
    </row>
    <row r="32" spans="1:5" x14ac:dyDescent="0.25">
      <c r="A32">
        <v>4.4289015617874998</v>
      </c>
      <c r="B32">
        <v>4.4728101067096262E-3</v>
      </c>
      <c r="C32">
        <f t="shared" si="0"/>
        <v>6.6942786387932827E-3</v>
      </c>
      <c r="D32">
        <f t="shared" si="1"/>
        <v>-2.2214685320836565E-3</v>
      </c>
      <c r="E32">
        <f t="shared" si="2"/>
        <v>4.9349224390379155E-6</v>
      </c>
    </row>
    <row r="33" spans="1:5" x14ac:dyDescent="0.25">
      <c r="A33">
        <v>4.5694870458125001</v>
      </c>
      <c r="B33">
        <v>5.3673721280515516E-3</v>
      </c>
      <c r="C33">
        <f t="shared" si="0"/>
        <v>5.5134727711801668E-3</v>
      </c>
      <c r="D33">
        <f t="shared" si="1"/>
        <v>-1.4610064312861517E-4</v>
      </c>
      <c r="E33">
        <f t="shared" si="2"/>
        <v>2.1345397922594968E-8</v>
      </c>
    </row>
    <row r="34" spans="1:5" x14ac:dyDescent="0.25">
      <c r="A34">
        <v>4.7100725298375004</v>
      </c>
      <c r="B34">
        <v>3.1309670746967385E-3</v>
      </c>
      <c r="C34">
        <f t="shared" si="0"/>
        <v>4.5354675602531811E-3</v>
      </c>
      <c r="D34">
        <f t="shared" si="1"/>
        <v>-1.4045004855564426E-3</v>
      </c>
      <c r="E34">
        <f t="shared" si="2"/>
        <v>1.9726216139282832E-6</v>
      </c>
    </row>
    <row r="35" spans="1:5" x14ac:dyDescent="0.25">
      <c r="A35">
        <v>4.8506580138624997</v>
      </c>
      <c r="B35">
        <v>8.945620213419253E-4</v>
      </c>
      <c r="C35">
        <f t="shared" si="0"/>
        <v>3.7265734714942668E-3</v>
      </c>
      <c r="D35">
        <f t="shared" si="1"/>
        <v>-2.8320114501523413E-3</v>
      </c>
      <c r="E35">
        <f t="shared" si="2"/>
        <v>8.0202888537939666E-6</v>
      </c>
    </row>
    <row r="36" spans="1:5" x14ac:dyDescent="0.25">
      <c r="A36">
        <v>4.9912434978875009</v>
      </c>
      <c r="B36">
        <v>8.945620213419253E-4</v>
      </c>
      <c r="C36">
        <f t="shared" si="0"/>
        <v>3.0584582715810736E-3</v>
      </c>
      <c r="D36">
        <f t="shared" si="1"/>
        <v>-2.1638962502391482E-3</v>
      </c>
      <c r="E36">
        <f t="shared" si="2"/>
        <v>4.6824469817990463E-6</v>
      </c>
    </row>
    <row r="37" spans="1:5" x14ac:dyDescent="0.25">
      <c r="A37">
        <v>5.1318289819125003</v>
      </c>
      <c r="B37">
        <v>1.7891240426838506E-3</v>
      </c>
      <c r="C37">
        <f t="shared" si="0"/>
        <v>2.5073460073494528E-3</v>
      </c>
      <c r="D37">
        <f t="shared" si="1"/>
        <v>-7.1822196466560218E-4</v>
      </c>
      <c r="E37">
        <f t="shared" si="2"/>
        <v>5.1584279052811753E-7</v>
      </c>
    </row>
    <row r="38" spans="1:5" x14ac:dyDescent="0.25">
      <c r="A38">
        <v>5.2724144659374996</v>
      </c>
      <c r="B38">
        <v>0</v>
      </c>
      <c r="C38">
        <f t="shared" si="0"/>
        <v>2.0533246405655637E-3</v>
      </c>
      <c r="D38">
        <f t="shared" si="1"/>
        <v>-2.0533246405655637E-3</v>
      </c>
      <c r="E38">
        <f t="shared" si="2"/>
        <v>4.2161420795537012E-6</v>
      </c>
    </row>
    <row r="39" spans="1:5" x14ac:dyDescent="0.25">
      <c r="A39">
        <v>5.412999949962499</v>
      </c>
      <c r="B39">
        <v>0</v>
      </c>
      <c r="C39">
        <f t="shared" si="0"/>
        <v>1.679750141452109E-3</v>
      </c>
      <c r="D39">
        <f t="shared" si="1"/>
        <v>-1.679750141452109E-3</v>
      </c>
      <c r="E39">
        <f t="shared" si="2"/>
        <v>2.8215605377083801E-6</v>
      </c>
    </row>
    <row r="40" spans="1:5" x14ac:dyDescent="0.25">
      <c r="A40">
        <v>5.5535854339875002</v>
      </c>
      <c r="B40">
        <v>4.4728101067096265E-4</v>
      </c>
      <c r="C40">
        <f t="shared" si="0"/>
        <v>1.3727355792321917E-3</v>
      </c>
      <c r="D40">
        <f t="shared" si="1"/>
        <v>-9.2545456856122895E-4</v>
      </c>
      <c r="E40">
        <f t="shared" si="2"/>
        <v>8.564661584708504E-7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CBE6-FCEE-4901-ADEE-AA2F9549EBF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6.9677006762500007E-2</v>
      </c>
      <c r="B1">
        <v>0.56174029038972784</v>
      </c>
      <c r="C1">
        <f>$H$3*(1+$H$1)*(A1^($H$1))*EXP(-$H$3*(A1^(1+$H$1)))</f>
        <v>0.6014748665838584</v>
      </c>
      <c r="D1">
        <f>B1-C1</f>
        <v>-3.9734576194130566E-2</v>
      </c>
      <c r="E1">
        <f>D1^2</f>
        <v>1.5788365453271674E-3</v>
      </c>
      <c r="G1" t="s">
        <v>0</v>
      </c>
      <c r="H1">
        <v>0.22275789630759724</v>
      </c>
    </row>
    <row r="2" spans="1:8" x14ac:dyDescent="0.25">
      <c r="A2">
        <v>0.20799138028750003</v>
      </c>
      <c r="B2">
        <v>0.6244588665012023</v>
      </c>
      <c r="C2">
        <f t="shared" ref="C2:C40" si="0">$H$3*(1+$H$1)*(A2^($H$1))*EXP(-$H$3*(A2^(1+$H$1)))</f>
        <v>0.69454656123044567</v>
      </c>
      <c r="D2">
        <f t="shared" ref="D2:D40" si="1">B2-C2</f>
        <v>-7.0087694729243366E-2</v>
      </c>
      <c r="E2">
        <f t="shared" ref="E2:E40" si="2">D2^2</f>
        <v>4.912284952459608E-3</v>
      </c>
    </row>
    <row r="3" spans="1:8" x14ac:dyDescent="0.25">
      <c r="A3">
        <v>0.34630575381250001</v>
      </c>
      <c r="B3">
        <v>0.83670216392191654</v>
      </c>
      <c r="C3">
        <f t="shared" si="0"/>
        <v>0.69214814971844674</v>
      </c>
      <c r="D3">
        <f t="shared" si="1"/>
        <v>0.14455401420346981</v>
      </c>
      <c r="E3">
        <f t="shared" si="2"/>
        <v>2.0895863022336949E-2</v>
      </c>
      <c r="G3" t="s">
        <v>1</v>
      </c>
      <c r="H3">
        <f>(_xlfn.GAMMA((2+$H$1)/(1+$H$1)))^(1+$H$1)</f>
        <v>0.92259509840468257</v>
      </c>
    </row>
    <row r="4" spans="1:8" x14ac:dyDescent="0.25">
      <c r="A4">
        <v>0.48462012733750004</v>
      </c>
      <c r="B4">
        <v>0.75307739577328392</v>
      </c>
      <c r="C4">
        <f t="shared" si="0"/>
        <v>0.65619269714712947</v>
      </c>
      <c r="D4">
        <f t="shared" si="1"/>
        <v>9.6884698626154453E-2</v>
      </c>
      <c r="E4">
        <f t="shared" si="2"/>
        <v>9.3866448278807739E-3</v>
      </c>
    </row>
    <row r="5" spans="1:8" x14ac:dyDescent="0.25">
      <c r="A5">
        <v>0.62293450086250002</v>
      </c>
      <c r="B5">
        <v>0.61309680561144242</v>
      </c>
      <c r="C5">
        <f t="shared" si="0"/>
        <v>0.60526020818790216</v>
      </c>
      <c r="D5">
        <f t="shared" si="1"/>
        <v>7.8365974235402591E-3</v>
      </c>
      <c r="E5">
        <f t="shared" si="2"/>
        <v>6.1412259178637822E-5</v>
      </c>
      <c r="G5" t="s">
        <v>2</v>
      </c>
      <c r="H5">
        <f>SUM(E1:E40)</f>
        <v>5.0752653660752357E-2</v>
      </c>
    </row>
    <row r="6" spans="1:8" x14ac:dyDescent="0.25">
      <c r="A6">
        <v>0.76124887438750011</v>
      </c>
      <c r="B6">
        <v>0.46584449648015452</v>
      </c>
      <c r="C6">
        <f t="shared" si="0"/>
        <v>0.54818624432786189</v>
      </c>
      <c r="D6">
        <f t="shared" si="1"/>
        <v>-8.2341747847707369E-2</v>
      </c>
      <c r="E6">
        <f t="shared" si="2"/>
        <v>6.7801634386154214E-3</v>
      </c>
    </row>
    <row r="7" spans="1:8" x14ac:dyDescent="0.25">
      <c r="A7">
        <v>0.89956324791249997</v>
      </c>
      <c r="B7">
        <v>0.45766381263952743</v>
      </c>
      <c r="C7">
        <f t="shared" si="0"/>
        <v>0.48986407574909147</v>
      </c>
      <c r="D7">
        <f t="shared" si="1"/>
        <v>-3.2200263109564031E-2</v>
      </c>
      <c r="E7">
        <f t="shared" si="2"/>
        <v>1.0368569443251503E-3</v>
      </c>
    </row>
    <row r="8" spans="1:8" x14ac:dyDescent="0.25">
      <c r="A8">
        <v>1.0378776214375001</v>
      </c>
      <c r="B8">
        <v>0.38540110538065464</v>
      </c>
      <c r="C8">
        <f t="shared" si="0"/>
        <v>0.43314703164043955</v>
      </c>
      <c r="D8">
        <f t="shared" si="1"/>
        <v>-4.774592625978491E-2</v>
      </c>
      <c r="E8">
        <f t="shared" si="2"/>
        <v>2.2796734744048182E-3</v>
      </c>
    </row>
    <row r="9" spans="1:8" x14ac:dyDescent="0.25">
      <c r="A9">
        <v>1.1761919949625002</v>
      </c>
      <c r="B9">
        <v>0.3663128430858581</v>
      </c>
      <c r="C9">
        <f t="shared" si="0"/>
        <v>0.37968980218783288</v>
      </c>
      <c r="D9">
        <f t="shared" si="1"/>
        <v>-1.3376959101974784E-2</v>
      </c>
      <c r="E9">
        <f t="shared" si="2"/>
        <v>1.78943034815906E-4</v>
      </c>
    </row>
    <row r="10" spans="1:8" x14ac:dyDescent="0.25">
      <c r="A10">
        <v>1.3145063684875</v>
      </c>
      <c r="B10">
        <v>0.29223220608462375</v>
      </c>
      <c r="C10">
        <f t="shared" si="0"/>
        <v>0.33039386561143635</v>
      </c>
      <c r="D10">
        <f t="shared" si="1"/>
        <v>-3.8161659526812608E-2</v>
      </c>
      <c r="E10">
        <f t="shared" si="2"/>
        <v>1.4563122578403675E-3</v>
      </c>
    </row>
    <row r="11" spans="1:8" x14ac:dyDescent="0.25">
      <c r="A11">
        <v>1.4528207420125001</v>
      </c>
      <c r="B11">
        <v>0.26541774238479049</v>
      </c>
      <c r="C11">
        <f t="shared" si="0"/>
        <v>0.28567201613418164</v>
      </c>
      <c r="D11">
        <f t="shared" si="1"/>
        <v>-2.025427374939115E-2</v>
      </c>
      <c r="E11">
        <f t="shared" si="2"/>
        <v>4.1023560511527544E-4</v>
      </c>
    </row>
    <row r="12" spans="1:8" x14ac:dyDescent="0.25">
      <c r="A12">
        <v>1.5911351155375</v>
      </c>
      <c r="B12">
        <v>0.22269639343929337</v>
      </c>
      <c r="C12">
        <f t="shared" si="0"/>
        <v>0.24561740324089934</v>
      </c>
      <c r="D12">
        <f t="shared" si="1"/>
        <v>-2.2921009801605968E-2</v>
      </c>
      <c r="E12">
        <f t="shared" si="2"/>
        <v>5.2537269032531685E-4</v>
      </c>
    </row>
    <row r="13" spans="1:8" x14ac:dyDescent="0.25">
      <c r="A13">
        <v>1.7294494890625001</v>
      </c>
      <c r="B13">
        <v>0.2040626135800872</v>
      </c>
      <c r="C13">
        <f t="shared" si="0"/>
        <v>0.21011655523778991</v>
      </c>
      <c r="D13">
        <f t="shared" si="1"/>
        <v>-6.053941657702705E-3</v>
      </c>
      <c r="E13">
        <f t="shared" si="2"/>
        <v>3.6650209594868178E-5</v>
      </c>
    </row>
    <row r="14" spans="1:8" x14ac:dyDescent="0.25">
      <c r="A14">
        <v>1.8677638625875002</v>
      </c>
      <c r="B14">
        <v>0.18451986884970023</v>
      </c>
      <c r="C14">
        <f t="shared" si="0"/>
        <v>0.17892692826666806</v>
      </c>
      <c r="D14">
        <f t="shared" si="1"/>
        <v>5.5929405830321688E-3</v>
      </c>
      <c r="E14">
        <f t="shared" si="2"/>
        <v>3.1280984365328214E-5</v>
      </c>
    </row>
    <row r="15" spans="1:8" x14ac:dyDescent="0.25">
      <c r="A15">
        <v>2.0060782361124998</v>
      </c>
      <c r="B15">
        <v>0.16997643091080761</v>
      </c>
      <c r="C15">
        <f t="shared" si="0"/>
        <v>0.15173074265626155</v>
      </c>
      <c r="D15">
        <f t="shared" si="1"/>
        <v>1.8245688254546061E-2</v>
      </c>
      <c r="E15">
        <f t="shared" si="2"/>
        <v>3.3290513988208008E-4</v>
      </c>
    </row>
    <row r="16" spans="1:8" x14ac:dyDescent="0.25">
      <c r="A16">
        <v>2.1443926096375003</v>
      </c>
      <c r="B16">
        <v>0.13679921311270879</v>
      </c>
      <c r="C16">
        <f t="shared" si="0"/>
        <v>0.12817237804735065</v>
      </c>
      <c r="D16">
        <f t="shared" si="1"/>
        <v>8.6268350653581349E-3</v>
      </c>
      <c r="E16">
        <f t="shared" si="2"/>
        <v>7.4422283244892696E-5</v>
      </c>
    </row>
    <row r="17" spans="1:5" x14ac:dyDescent="0.25">
      <c r="A17">
        <v>2.2827069831625</v>
      </c>
      <c r="B17">
        <v>0.11543853863996024</v>
      </c>
      <c r="C17">
        <f t="shared" si="0"/>
        <v>0.10788410023007594</v>
      </c>
      <c r="D17">
        <f t="shared" si="1"/>
        <v>7.5544384098843037E-3</v>
      </c>
      <c r="E17">
        <f t="shared" si="2"/>
        <v>5.7069539688735289E-5</v>
      </c>
    </row>
    <row r="18" spans="1:5" x14ac:dyDescent="0.25">
      <c r="A18">
        <v>2.4210213566874996</v>
      </c>
      <c r="B18">
        <v>0.10271303044342919</v>
      </c>
      <c r="C18">
        <f t="shared" si="0"/>
        <v>9.0503397402313057E-2</v>
      </c>
      <c r="D18">
        <f t="shared" si="1"/>
        <v>1.2209633041116136E-2</v>
      </c>
      <c r="E18">
        <f t="shared" si="2"/>
        <v>1.4907513899871486E-4</v>
      </c>
    </row>
    <row r="19" spans="1:5" x14ac:dyDescent="0.25">
      <c r="A19">
        <v>2.5593357302125002</v>
      </c>
      <c r="B19">
        <v>8.4079250584223011E-2</v>
      </c>
      <c r="C19">
        <f t="shared" si="0"/>
        <v>7.5684251401322872E-2</v>
      </c>
      <c r="D19">
        <f t="shared" si="1"/>
        <v>8.3949991829001397E-3</v>
      </c>
      <c r="E19">
        <f t="shared" si="2"/>
        <v>7.0476011280894019E-5</v>
      </c>
    </row>
    <row r="20" spans="1:5" x14ac:dyDescent="0.25">
      <c r="A20">
        <v>2.6976501037374998</v>
      </c>
      <c r="B20">
        <v>7.3171672130053544E-2</v>
      </c>
      <c r="C20">
        <f t="shared" si="0"/>
        <v>6.3104031196342322E-2</v>
      </c>
      <c r="D20">
        <f t="shared" si="1"/>
        <v>1.0067640933711222E-2</v>
      </c>
      <c r="E20">
        <f t="shared" si="2"/>
        <v>1.0135739397013778E-4</v>
      </c>
    </row>
    <row r="21" spans="1:5" x14ac:dyDescent="0.25">
      <c r="A21">
        <v>2.8359644772625003</v>
      </c>
      <c r="B21">
        <v>5.6355822013208934E-2</v>
      </c>
      <c r="C21">
        <f t="shared" si="0"/>
        <v>5.2467250276422718E-2</v>
      </c>
      <c r="D21">
        <f t="shared" si="1"/>
        <v>3.8885717367862158E-3</v>
      </c>
      <c r="E21">
        <f t="shared" si="2"/>
        <v>1.5120990152132566E-5</v>
      </c>
    </row>
    <row r="22" spans="1:5" x14ac:dyDescent="0.25">
      <c r="A22">
        <v>2.9742788507875</v>
      </c>
      <c r="B22">
        <v>4.5448243559039467E-2</v>
      </c>
      <c r="C22">
        <f t="shared" si="0"/>
        <v>4.3507108613470305E-2</v>
      </c>
      <c r="D22">
        <f t="shared" si="1"/>
        <v>1.9411349455691618E-3</v>
      </c>
      <c r="E22">
        <f t="shared" si="2"/>
        <v>3.7680048769097927E-6</v>
      </c>
    </row>
    <row r="23" spans="1:5" x14ac:dyDescent="0.25">
      <c r="A23">
        <v>3.1125932243125001</v>
      </c>
      <c r="B23">
        <v>5.3174444964076174E-2</v>
      </c>
      <c r="C23">
        <f t="shared" si="0"/>
        <v>3.5985503499053724E-2</v>
      </c>
      <c r="D23">
        <f t="shared" si="1"/>
        <v>1.718894146502245E-2</v>
      </c>
      <c r="E23">
        <f t="shared" si="2"/>
        <v>2.9545970868796815E-4</v>
      </c>
    </row>
    <row r="24" spans="1:5" x14ac:dyDescent="0.25">
      <c r="A24">
        <v>3.2509075978375002</v>
      </c>
      <c r="B24">
        <v>2.9541358313375652E-2</v>
      </c>
      <c r="C24">
        <f t="shared" si="0"/>
        <v>2.96920167911803E-2</v>
      </c>
      <c r="D24">
        <f t="shared" si="1"/>
        <v>-1.5065847780464797E-4</v>
      </c>
      <c r="E24">
        <f t="shared" si="2"/>
        <v>2.2697976934413605E-8</v>
      </c>
    </row>
    <row r="25" spans="1:5" x14ac:dyDescent="0.25">
      <c r="A25">
        <v>3.3892219713624998</v>
      </c>
      <c r="B25">
        <v>2.7268946135423678E-2</v>
      </c>
      <c r="C25">
        <f t="shared" si="0"/>
        <v>2.4442252682141449E-2</v>
      </c>
      <c r="D25">
        <f t="shared" si="1"/>
        <v>2.8266934532822294E-3</v>
      </c>
      <c r="E25">
        <f t="shared" si="2"/>
        <v>7.9901958788286157E-6</v>
      </c>
    </row>
    <row r="26" spans="1:5" x14ac:dyDescent="0.25">
      <c r="A26">
        <v>3.5275363448875003</v>
      </c>
      <c r="B26">
        <v>1.8633779859206182E-2</v>
      </c>
      <c r="C26">
        <f t="shared" si="0"/>
        <v>2.007579891432067E-2</v>
      </c>
      <c r="D26">
        <f t="shared" si="1"/>
        <v>-1.4420190551144886E-3</v>
      </c>
      <c r="E26">
        <f t="shared" si="2"/>
        <v>2.0794189553132825E-6</v>
      </c>
    </row>
    <row r="27" spans="1:5" x14ac:dyDescent="0.25">
      <c r="A27">
        <v>3.6658507184125</v>
      </c>
      <c r="B27">
        <v>1.8179297423615785E-2</v>
      </c>
      <c r="C27">
        <f t="shared" si="0"/>
        <v>1.6454007573309819E-2</v>
      </c>
      <c r="D27">
        <f t="shared" si="1"/>
        <v>1.7252898503059659E-3</v>
      </c>
      <c r="E27">
        <f t="shared" si="2"/>
        <v>2.9766250675687822E-6</v>
      </c>
    </row>
    <row r="28" spans="1:5" x14ac:dyDescent="0.25">
      <c r="A28">
        <v>3.8041650919375001</v>
      </c>
      <c r="B28">
        <v>1.954274473038697E-2</v>
      </c>
      <c r="C28">
        <f t="shared" si="0"/>
        <v>1.3457733440487382E-2</v>
      </c>
      <c r="D28">
        <f t="shared" si="1"/>
        <v>6.0850112898995883E-3</v>
      </c>
      <c r="E28">
        <f t="shared" si="2"/>
        <v>3.7027362398205449E-5</v>
      </c>
    </row>
    <row r="29" spans="1:5" x14ac:dyDescent="0.25">
      <c r="A29">
        <v>3.9424794654624997</v>
      </c>
      <c r="B29">
        <v>1.3634473067711839E-2</v>
      </c>
      <c r="C29">
        <f t="shared" si="0"/>
        <v>1.0985124096310224E-2</v>
      </c>
      <c r="D29">
        <f t="shared" si="1"/>
        <v>2.6493489714016147E-3</v>
      </c>
      <c r="E29">
        <f t="shared" si="2"/>
        <v>7.0190499722667938E-6</v>
      </c>
    </row>
    <row r="30" spans="1:5" x14ac:dyDescent="0.25">
      <c r="A30">
        <v>4.0807938389874998</v>
      </c>
      <c r="B30">
        <v>1.0907578454169472E-2</v>
      </c>
      <c r="C30">
        <f t="shared" si="0"/>
        <v>8.9495232569058239E-3</v>
      </c>
      <c r="D30">
        <f t="shared" si="1"/>
        <v>1.9580551972636483E-3</v>
      </c>
      <c r="E30">
        <f t="shared" si="2"/>
        <v>3.8339801555311847E-6</v>
      </c>
    </row>
    <row r="31" spans="1:5" x14ac:dyDescent="0.25">
      <c r="A31">
        <v>4.2191082125125003</v>
      </c>
      <c r="B31">
        <v>4.0903419203135519E-3</v>
      </c>
      <c r="C31">
        <f t="shared" si="0"/>
        <v>7.2775246714474493E-3</v>
      </c>
      <c r="D31">
        <f t="shared" si="1"/>
        <v>-3.1871827511338975E-3</v>
      </c>
      <c r="E31">
        <f t="shared" si="2"/>
        <v>1.015813388912544E-5</v>
      </c>
    </row>
    <row r="32" spans="1:5" x14ac:dyDescent="0.25">
      <c r="A32">
        <v>4.3574225860375</v>
      </c>
      <c r="B32">
        <v>4.9993067914943408E-3</v>
      </c>
      <c r="C32">
        <f t="shared" si="0"/>
        <v>5.9071963370118516E-3</v>
      </c>
      <c r="D32">
        <f t="shared" si="1"/>
        <v>-9.0788954551751077E-4</v>
      </c>
      <c r="E32">
        <f t="shared" si="2"/>
        <v>8.2426342685999222E-7</v>
      </c>
    </row>
    <row r="33" spans="1:5" x14ac:dyDescent="0.25">
      <c r="A33">
        <v>4.4957369595624996</v>
      </c>
      <c r="B33">
        <v>4.5448243559039463E-3</v>
      </c>
      <c r="C33">
        <f t="shared" si="0"/>
        <v>4.7864822606244984E-3</v>
      </c>
      <c r="D33">
        <f t="shared" si="1"/>
        <v>-2.416579047205521E-4</v>
      </c>
      <c r="E33">
        <f t="shared" si="2"/>
        <v>5.8398542913927439E-8</v>
      </c>
    </row>
    <row r="34" spans="1:5" x14ac:dyDescent="0.25">
      <c r="A34">
        <v>4.6340513330875002</v>
      </c>
      <c r="B34">
        <v>4.0903419203135519E-3</v>
      </c>
      <c r="C34">
        <f t="shared" si="0"/>
        <v>3.8717803079832587E-3</v>
      </c>
      <c r="D34">
        <f t="shared" si="1"/>
        <v>2.1856161233029317E-4</v>
      </c>
      <c r="E34">
        <f t="shared" si="2"/>
        <v>4.776917838441736E-8</v>
      </c>
    </row>
    <row r="35" spans="1:5" x14ac:dyDescent="0.25">
      <c r="A35">
        <v>4.7723657066124998</v>
      </c>
      <c r="B35">
        <v>1.363447306771184E-3</v>
      </c>
      <c r="C35">
        <f t="shared" si="0"/>
        <v>3.1266888800638875E-3</v>
      </c>
      <c r="D35">
        <f t="shared" si="1"/>
        <v>-1.7632415732927035E-3</v>
      </c>
      <c r="E35">
        <f t="shared" si="2"/>
        <v>3.1090208457877283E-6</v>
      </c>
    </row>
    <row r="36" spans="1:5" x14ac:dyDescent="0.25">
      <c r="A36">
        <v>4.9106800801374995</v>
      </c>
      <c r="B36">
        <v>1.363447306771184E-3</v>
      </c>
      <c r="C36">
        <f t="shared" si="0"/>
        <v>2.5209115149616339E-3</v>
      </c>
      <c r="D36">
        <f t="shared" si="1"/>
        <v>-1.1574642081904499E-3</v>
      </c>
      <c r="E36">
        <f t="shared" si="2"/>
        <v>1.3397233932419451E-6</v>
      </c>
    </row>
    <row r="37" spans="1:5" x14ac:dyDescent="0.25">
      <c r="A37">
        <v>5.0489944536625</v>
      </c>
      <c r="B37">
        <v>9.0896487118078935E-4</v>
      </c>
      <c r="C37">
        <f t="shared" si="0"/>
        <v>2.0293064499446937E-3</v>
      </c>
      <c r="D37">
        <f t="shared" si="1"/>
        <v>-1.1203415787639044E-3</v>
      </c>
      <c r="E37">
        <f t="shared" si="2"/>
        <v>1.2551652531071979E-6</v>
      </c>
    </row>
    <row r="38" spans="1:5" x14ac:dyDescent="0.25">
      <c r="A38">
        <v>5.1873088271875005</v>
      </c>
      <c r="B38">
        <v>0</v>
      </c>
      <c r="C38">
        <f t="shared" si="0"/>
        <v>1.6310672554136298E-3</v>
      </c>
      <c r="D38">
        <f t="shared" si="1"/>
        <v>-1.6310672554136298E-3</v>
      </c>
      <c r="E38">
        <f t="shared" si="2"/>
        <v>2.6603803916825511E-6</v>
      </c>
    </row>
    <row r="39" spans="1:5" x14ac:dyDescent="0.25">
      <c r="A39">
        <v>5.3256232007124993</v>
      </c>
      <c r="B39">
        <v>0</v>
      </c>
      <c r="C39">
        <f t="shared" si="0"/>
        <v>1.3090205294134167E-3</v>
      </c>
      <c r="D39">
        <f t="shared" si="1"/>
        <v>-1.3090205294134167E-3</v>
      </c>
      <c r="E39">
        <f t="shared" si="2"/>
        <v>1.7135347464257817E-6</v>
      </c>
    </row>
    <row r="40" spans="1:5" x14ac:dyDescent="0.25">
      <c r="A40">
        <v>5.4639375742374998</v>
      </c>
      <c r="B40">
        <v>4.5448243559039468E-4</v>
      </c>
      <c r="C40">
        <f t="shared" si="0"/>
        <v>1.0490270614442155E-3</v>
      </c>
      <c r="D40">
        <f t="shared" si="1"/>
        <v>-5.9454462585382083E-4</v>
      </c>
      <c r="E40">
        <f t="shared" si="2"/>
        <v>3.5348331213165979E-7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9018-C79B-4FF8-A8C4-CA6178078EB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6.8226751937499996E-2</v>
      </c>
      <c r="B1">
        <v>0.52321684852697281</v>
      </c>
      <c r="C1">
        <f>$H$3*(1+$H$1)*(A1^($H$1))*EXP(-$H$3*(A1^(1+$H$1)))</f>
        <v>0.53129188585863585</v>
      </c>
      <c r="D1">
        <f>B1-C1</f>
        <v>-8.0750373316630375E-3</v>
      </c>
      <c r="E1">
        <f>D1^2</f>
        <v>6.5206227907751711E-5</v>
      </c>
      <c r="G1" t="s">
        <v>0</v>
      </c>
      <c r="H1">
        <v>0.28032705670545588</v>
      </c>
    </row>
    <row r="2" spans="1:8" x14ac:dyDescent="0.25">
      <c r="A2">
        <v>0.2033889418125</v>
      </c>
      <c r="B2">
        <v>0.60832678922069372</v>
      </c>
      <c r="C2">
        <f t="shared" ref="C2:C40" si="0">$H$3*(1+$H$1)*(A2^($H$1))*EXP(-$H$3*(A2^(1+$H$1)))</f>
        <v>0.66025830104261751</v>
      </c>
      <c r="D2">
        <f t="shared" ref="D2:D40" si="1">B2-C2</f>
        <v>-5.1931511821923793E-2</v>
      </c>
      <c r="E2">
        <f t="shared" ref="E2:E40" si="2">D2^2</f>
        <v>2.6968819201106105E-3</v>
      </c>
    </row>
    <row r="3" spans="1:8" x14ac:dyDescent="0.25">
      <c r="A3">
        <v>0.33855113168750006</v>
      </c>
      <c r="B3">
        <v>0.65390479024793224</v>
      </c>
      <c r="C3">
        <f t="shared" si="0"/>
        <v>0.68325817549263024</v>
      </c>
      <c r="D3">
        <f t="shared" si="1"/>
        <v>-2.9353385244697994E-2</v>
      </c>
      <c r="E3">
        <f t="shared" si="2"/>
        <v>8.6162122532365386E-4</v>
      </c>
      <c r="G3" t="s">
        <v>1</v>
      </c>
      <c r="H3">
        <f>(_xlfn.GAMMA((2+$H$1)/(1+$H$1)))^(1+$H$1)</f>
        <v>0.9068712502784364</v>
      </c>
    </row>
    <row r="4" spans="1:8" x14ac:dyDescent="0.25">
      <c r="A4">
        <v>0.47371332156250001</v>
      </c>
      <c r="B4">
        <v>0.7906387933296477</v>
      </c>
      <c r="C4">
        <f t="shared" si="0"/>
        <v>0.66464412711206089</v>
      </c>
      <c r="D4">
        <f t="shared" si="1"/>
        <v>0.12599466621758681</v>
      </c>
      <c r="E4">
        <f t="shared" si="2"/>
        <v>1.5874655915281113E-2</v>
      </c>
    </row>
    <row r="5" spans="1:8" x14ac:dyDescent="0.25">
      <c r="A5">
        <v>0.60887551143749996</v>
      </c>
      <c r="B5">
        <v>0.75203701694943548</v>
      </c>
      <c r="C5">
        <f t="shared" si="0"/>
        <v>0.62487912306249638</v>
      </c>
      <c r="D5">
        <f t="shared" si="1"/>
        <v>0.1271578938869391</v>
      </c>
      <c r="E5">
        <f t="shared" si="2"/>
        <v>1.6169129977762063E-2</v>
      </c>
      <c r="G5" t="s">
        <v>2</v>
      </c>
      <c r="H5">
        <f>SUM(E1:E40)</f>
        <v>4.7392222630510669E-2</v>
      </c>
    </row>
    <row r="6" spans="1:8" x14ac:dyDescent="0.25">
      <c r="A6">
        <v>0.74403770131250013</v>
      </c>
      <c r="B6">
        <v>0.55484240026015863</v>
      </c>
      <c r="C6">
        <f t="shared" si="0"/>
        <v>0.57430289668451884</v>
      </c>
      <c r="D6">
        <f t="shared" si="1"/>
        <v>-1.9460496424360207E-2</v>
      </c>
      <c r="E6">
        <f t="shared" si="2"/>
        <v>3.787109210825364E-4</v>
      </c>
    </row>
    <row r="7" spans="1:8" x14ac:dyDescent="0.25">
      <c r="A7">
        <v>0.87919989118750008</v>
      </c>
      <c r="B7">
        <v>0.46136098999000619</v>
      </c>
      <c r="C7">
        <f t="shared" si="0"/>
        <v>0.51903284563419971</v>
      </c>
      <c r="D7">
        <f t="shared" si="1"/>
        <v>-5.7671855644193526E-2</v>
      </c>
      <c r="E7">
        <f t="shared" si="2"/>
        <v>3.3260429334446965E-3</v>
      </c>
    </row>
    <row r="8" spans="1:8" x14ac:dyDescent="0.25">
      <c r="A8">
        <v>1.0143620810625</v>
      </c>
      <c r="B8">
        <v>0.41903856046471333</v>
      </c>
      <c r="C8">
        <f t="shared" si="0"/>
        <v>0.4629102037252561</v>
      </c>
      <c r="D8">
        <f t="shared" si="1"/>
        <v>-4.387164326054277E-2</v>
      </c>
      <c r="E8">
        <f t="shared" si="2"/>
        <v>1.9247210823803279E-3</v>
      </c>
    </row>
    <row r="9" spans="1:8" x14ac:dyDescent="0.25">
      <c r="A9">
        <v>1.1495242709375</v>
      </c>
      <c r="B9">
        <v>0.37439072272374496</v>
      </c>
      <c r="C9">
        <f t="shared" si="0"/>
        <v>0.40837288167542052</v>
      </c>
      <c r="D9">
        <f t="shared" si="1"/>
        <v>-3.3982158951675556E-2</v>
      </c>
      <c r="E9">
        <f t="shared" si="2"/>
        <v>1.1547871270169432E-3</v>
      </c>
    </row>
    <row r="10" spans="1:8" x14ac:dyDescent="0.25">
      <c r="A10">
        <v>1.2846864608125002</v>
      </c>
      <c r="B10">
        <v>0.32183649704948014</v>
      </c>
      <c r="C10">
        <f t="shared" si="0"/>
        <v>0.35692978636821204</v>
      </c>
      <c r="D10">
        <f t="shared" si="1"/>
        <v>-3.5093289318731902E-2</v>
      </c>
      <c r="E10">
        <f t="shared" si="2"/>
        <v>1.2315389552082225E-3</v>
      </c>
    </row>
    <row r="11" spans="1:8" x14ac:dyDescent="0.25">
      <c r="A11">
        <v>1.4198486506875003</v>
      </c>
      <c r="B11">
        <v>0.27346800616343109</v>
      </c>
      <c r="C11">
        <f t="shared" si="0"/>
        <v>0.309452999967334</v>
      </c>
      <c r="D11">
        <f t="shared" si="1"/>
        <v>-3.5984993803902909E-2</v>
      </c>
      <c r="E11">
        <f t="shared" si="2"/>
        <v>1.2949197790669308E-3</v>
      </c>
    </row>
    <row r="12" spans="1:8" x14ac:dyDescent="0.25">
      <c r="A12">
        <v>1.5550108405625003</v>
      </c>
      <c r="B12">
        <v>0.22882016842246275</v>
      </c>
      <c r="C12">
        <f t="shared" si="0"/>
        <v>0.26637277369422224</v>
      </c>
      <c r="D12">
        <f t="shared" si="1"/>
        <v>-3.7552605271759493E-2</v>
      </c>
      <c r="E12">
        <f t="shared" si="2"/>
        <v>1.4101981626965787E-3</v>
      </c>
    </row>
    <row r="13" spans="1:8" x14ac:dyDescent="0.25">
      <c r="A13">
        <v>1.6901730304375002</v>
      </c>
      <c r="B13">
        <v>0.21486771912841016</v>
      </c>
      <c r="C13">
        <f t="shared" si="0"/>
        <v>0.22781416029042417</v>
      </c>
      <c r="D13">
        <f t="shared" si="1"/>
        <v>-1.2946441162014016E-2</v>
      </c>
      <c r="E13">
        <f t="shared" si="2"/>
        <v>1.6761033876149084E-4</v>
      </c>
    </row>
    <row r="14" spans="1:8" x14ac:dyDescent="0.25">
      <c r="A14">
        <v>1.8253352203125002</v>
      </c>
      <c r="B14">
        <v>0.19161363697165582</v>
      </c>
      <c r="C14">
        <f t="shared" si="0"/>
        <v>0.19369539135400715</v>
      </c>
      <c r="D14">
        <f t="shared" si="1"/>
        <v>-2.0817543823513363E-3</v>
      </c>
      <c r="E14">
        <f t="shared" si="2"/>
        <v>4.3337013084389932E-6</v>
      </c>
    </row>
    <row r="15" spans="1:8" x14ac:dyDescent="0.25">
      <c r="A15">
        <v>1.9604974101874999</v>
      </c>
      <c r="B15">
        <v>0.16556906495609094</v>
      </c>
      <c r="C15">
        <f t="shared" si="0"/>
        <v>0.16379958893514848</v>
      </c>
      <c r="D15">
        <f t="shared" si="1"/>
        <v>1.769476020942462E-3</v>
      </c>
      <c r="E15">
        <f t="shared" si="2"/>
        <v>3.1310453886903683E-6</v>
      </c>
    </row>
    <row r="16" spans="1:8" x14ac:dyDescent="0.25">
      <c r="A16">
        <v>2.0956596000625001</v>
      </c>
      <c r="B16">
        <v>0.14603563594441729</v>
      </c>
      <c r="C16">
        <f t="shared" si="0"/>
        <v>0.13782712342605682</v>
      </c>
      <c r="D16">
        <f t="shared" si="1"/>
        <v>8.2085125183604668E-3</v>
      </c>
      <c r="E16">
        <f t="shared" si="2"/>
        <v>6.7379677764080488E-5</v>
      </c>
    </row>
    <row r="17" spans="1:5" x14ac:dyDescent="0.25">
      <c r="A17">
        <v>2.2308217899375</v>
      </c>
      <c r="B17">
        <v>0.11952598228571734</v>
      </c>
      <c r="C17">
        <f t="shared" si="0"/>
        <v>0.11543357781794214</v>
      </c>
      <c r="D17">
        <f t="shared" si="1"/>
        <v>4.0924044677752014E-3</v>
      </c>
      <c r="E17">
        <f t="shared" si="2"/>
        <v>1.6747774327866428E-5</v>
      </c>
    </row>
    <row r="18" spans="1:5" x14ac:dyDescent="0.25">
      <c r="A18">
        <v>2.3659839798125004</v>
      </c>
      <c r="B18">
        <v>9.9992553274043688E-2</v>
      </c>
      <c r="C18">
        <f t="shared" si="0"/>
        <v>9.6256870497629918E-2</v>
      </c>
      <c r="D18">
        <f t="shared" si="1"/>
        <v>3.7356827764137707E-3</v>
      </c>
      <c r="E18">
        <f t="shared" si="2"/>
        <v>1.3955325805994498E-5</v>
      </c>
    </row>
    <row r="19" spans="1:5" x14ac:dyDescent="0.25">
      <c r="A19">
        <v>2.5011461696875004</v>
      </c>
      <c r="B19">
        <v>9.2086165340747206E-2</v>
      </c>
      <c r="C19">
        <f t="shared" si="0"/>
        <v>7.9936178062313151E-2</v>
      </c>
      <c r="D19">
        <f t="shared" si="1"/>
        <v>1.2149987278434055E-2</v>
      </c>
      <c r="E19">
        <f t="shared" si="2"/>
        <v>1.4762219086610935E-4</v>
      </c>
    </row>
    <row r="20" spans="1:5" x14ac:dyDescent="0.25">
      <c r="A20">
        <v>2.6363083595625003</v>
      </c>
      <c r="B20">
        <v>7.9994042619234942E-2</v>
      </c>
      <c r="C20">
        <f t="shared" si="0"/>
        <v>6.6124670076781814E-2</v>
      </c>
      <c r="D20">
        <f t="shared" si="1"/>
        <v>1.3869372542453129E-2</v>
      </c>
      <c r="E20">
        <f t="shared" si="2"/>
        <v>1.9235949472135277E-4</v>
      </c>
    </row>
    <row r="21" spans="1:5" x14ac:dyDescent="0.25">
      <c r="A21">
        <v>2.7714705494375003</v>
      </c>
      <c r="B21">
        <v>5.6739960462480601E-2</v>
      </c>
      <c r="C21">
        <f t="shared" si="0"/>
        <v>5.4497608996868965E-2</v>
      </c>
      <c r="D21">
        <f t="shared" si="1"/>
        <v>2.2423514656116361E-3</v>
      </c>
      <c r="E21">
        <f t="shared" si="2"/>
        <v>5.0281400953306525E-6</v>
      </c>
    </row>
    <row r="22" spans="1:5" x14ac:dyDescent="0.25">
      <c r="A22">
        <v>2.9066327393125002</v>
      </c>
      <c r="B22">
        <v>4.6973245956643775E-2</v>
      </c>
      <c r="C22">
        <f t="shared" si="0"/>
        <v>4.475702126289955E-2</v>
      </c>
      <c r="D22">
        <f t="shared" si="1"/>
        <v>2.2162246937442245E-3</v>
      </c>
      <c r="E22">
        <f t="shared" si="2"/>
        <v>4.9116518931616814E-6</v>
      </c>
    </row>
    <row r="23" spans="1:5" x14ac:dyDescent="0.25">
      <c r="A23">
        <v>3.0417949291875002</v>
      </c>
      <c r="B23">
        <v>4.9763735815454298E-2</v>
      </c>
      <c r="C23">
        <f t="shared" si="0"/>
        <v>3.6633876000216878E-2</v>
      </c>
      <c r="D23">
        <f t="shared" si="1"/>
        <v>1.312985981523742E-2</v>
      </c>
      <c r="E23">
        <f t="shared" si="2"/>
        <v>1.7239321876778643E-4</v>
      </c>
    </row>
    <row r="24" spans="1:5" x14ac:dyDescent="0.25">
      <c r="A24">
        <v>3.1769571190625001</v>
      </c>
      <c r="B24">
        <v>3.9531939666482385E-2</v>
      </c>
      <c r="C24">
        <f t="shared" si="0"/>
        <v>2.9888495333627908E-2</v>
      </c>
      <c r="D24">
        <f t="shared" si="1"/>
        <v>9.6434443328544776E-3</v>
      </c>
      <c r="E24">
        <f t="shared" si="2"/>
        <v>9.2996018600863148E-5</v>
      </c>
    </row>
    <row r="25" spans="1:5" x14ac:dyDescent="0.25">
      <c r="A25">
        <v>3.3121193089375005</v>
      </c>
      <c r="B25">
        <v>2.418424544302452E-2</v>
      </c>
      <c r="C25">
        <f t="shared" si="0"/>
        <v>2.4309751717246777E-2</v>
      </c>
      <c r="D25">
        <f t="shared" si="1"/>
        <v>-1.2550627422225694E-4</v>
      </c>
      <c r="E25">
        <f t="shared" si="2"/>
        <v>1.5751824869152357E-8</v>
      </c>
    </row>
    <row r="26" spans="1:5" x14ac:dyDescent="0.25">
      <c r="A26">
        <v>3.4472814988125005</v>
      </c>
      <c r="B26">
        <v>2.1858837227349083E-2</v>
      </c>
      <c r="C26">
        <f t="shared" si="0"/>
        <v>1.9713473661448471E-2</v>
      </c>
      <c r="D26">
        <f t="shared" si="1"/>
        <v>2.1453635659006119E-3</v>
      </c>
      <c r="E26">
        <f t="shared" si="2"/>
        <v>4.6025848298937889E-6</v>
      </c>
    </row>
    <row r="27" spans="1:5" x14ac:dyDescent="0.25">
      <c r="A27">
        <v>3.5824436886875004</v>
      </c>
      <c r="B27">
        <v>1.8138184082268388E-2</v>
      </c>
      <c r="C27">
        <f t="shared" si="0"/>
        <v>1.5940374990876149E-2</v>
      </c>
      <c r="D27">
        <f t="shared" si="1"/>
        <v>2.1978090913922395E-3</v>
      </c>
      <c r="E27">
        <f t="shared" si="2"/>
        <v>4.8303648022063817E-6</v>
      </c>
    </row>
    <row r="28" spans="1:5" x14ac:dyDescent="0.25">
      <c r="A28">
        <v>3.7176058785624999</v>
      </c>
      <c r="B28">
        <v>1.8603265725403478E-2</v>
      </c>
      <c r="C28">
        <f t="shared" si="0"/>
        <v>1.2853739017750878E-2</v>
      </c>
      <c r="D28">
        <f t="shared" si="1"/>
        <v>5.7495267076525993E-3</v>
      </c>
      <c r="E28">
        <f t="shared" si="2"/>
        <v>3.305705736201054E-5</v>
      </c>
    </row>
    <row r="29" spans="1:5" x14ac:dyDescent="0.25">
      <c r="A29">
        <v>3.8527680684374999</v>
      </c>
      <c r="B29">
        <v>1.8138184082268388E-2</v>
      </c>
      <c r="C29">
        <f t="shared" si="0"/>
        <v>1.0337023538707414E-2</v>
      </c>
      <c r="D29">
        <f t="shared" si="1"/>
        <v>7.8011605435609737E-3</v>
      </c>
      <c r="E29">
        <f t="shared" si="2"/>
        <v>6.0858105826412546E-5</v>
      </c>
    </row>
    <row r="30" spans="1:5" x14ac:dyDescent="0.25">
      <c r="A30">
        <v>3.9879302583124998</v>
      </c>
      <c r="B30">
        <v>9.3016328627017388E-3</v>
      </c>
      <c r="C30">
        <f t="shared" si="0"/>
        <v>8.2915019043595314E-3</v>
      </c>
      <c r="D30">
        <f t="shared" si="1"/>
        <v>1.0101309583422074E-3</v>
      </c>
      <c r="E30">
        <f t="shared" si="2"/>
        <v>1.0203645530013462E-6</v>
      </c>
    </row>
    <row r="31" spans="1:5" x14ac:dyDescent="0.25">
      <c r="A31">
        <v>4.1230924481875002</v>
      </c>
      <c r="B31">
        <v>5.5809797176210431E-3</v>
      </c>
      <c r="C31">
        <f t="shared" si="0"/>
        <v>6.6340167087619983E-3</v>
      </c>
      <c r="D31">
        <f t="shared" si="1"/>
        <v>-1.0530369911409551E-3</v>
      </c>
      <c r="E31">
        <f t="shared" si="2"/>
        <v>1.108886904711196E-6</v>
      </c>
    </row>
    <row r="32" spans="1:5" x14ac:dyDescent="0.25">
      <c r="A32">
        <v>4.2582546380624997</v>
      </c>
      <c r="B32">
        <v>4.6508164313508694E-3</v>
      </c>
      <c r="C32">
        <f t="shared" si="0"/>
        <v>5.2948935256078317E-3</v>
      </c>
      <c r="D32">
        <f t="shared" si="1"/>
        <v>-6.4407709425696232E-4</v>
      </c>
      <c r="E32">
        <f t="shared" si="2"/>
        <v>4.1483530334649194E-7</v>
      </c>
    </row>
    <row r="33" spans="1:5" x14ac:dyDescent="0.25">
      <c r="A33">
        <v>4.3934168279375001</v>
      </c>
      <c r="B33">
        <v>6.04606136075613E-3</v>
      </c>
      <c r="C33">
        <f t="shared" si="0"/>
        <v>4.2160406091437822E-3</v>
      </c>
      <c r="D33">
        <f t="shared" si="1"/>
        <v>1.8300207516123478E-3</v>
      </c>
      <c r="E33">
        <f t="shared" si="2"/>
        <v>3.3489759513318223E-6</v>
      </c>
    </row>
    <row r="34" spans="1:5" x14ac:dyDescent="0.25">
      <c r="A34">
        <v>4.5285790178125005</v>
      </c>
      <c r="B34">
        <v>2.3254082156754347E-3</v>
      </c>
      <c r="C34">
        <f t="shared" si="0"/>
        <v>3.3492449536030753E-3</v>
      </c>
      <c r="D34">
        <f t="shared" si="1"/>
        <v>-1.0238367379276406E-3</v>
      </c>
      <c r="E34">
        <f t="shared" si="2"/>
        <v>1.0482416659303122E-6</v>
      </c>
    </row>
    <row r="35" spans="1:5" x14ac:dyDescent="0.25">
      <c r="A35">
        <v>4.6637412076875009</v>
      </c>
      <c r="B35">
        <v>1.3952449294052608E-3</v>
      </c>
      <c r="C35">
        <f t="shared" si="0"/>
        <v>2.6546642312950453E-3</v>
      </c>
      <c r="D35">
        <f t="shared" si="1"/>
        <v>-1.2594193018897846E-3</v>
      </c>
      <c r="E35">
        <f t="shared" si="2"/>
        <v>1.5861369779725524E-6</v>
      </c>
    </row>
    <row r="36" spans="1:5" x14ac:dyDescent="0.25">
      <c r="A36">
        <v>4.7989033975625004</v>
      </c>
      <c r="B36">
        <v>2.3254082156754347E-3</v>
      </c>
      <c r="C36">
        <f t="shared" si="0"/>
        <v>2.0995068212762659E-3</v>
      </c>
      <c r="D36">
        <f t="shared" si="1"/>
        <v>2.2590139439916885E-4</v>
      </c>
      <c r="E36">
        <f t="shared" si="2"/>
        <v>5.1031439991488831E-8</v>
      </c>
    </row>
    <row r="37" spans="1:5" x14ac:dyDescent="0.25">
      <c r="A37">
        <v>4.9340655874374999</v>
      </c>
      <c r="B37">
        <v>9.3016328627017382E-4</v>
      </c>
      <c r="C37">
        <f t="shared" si="0"/>
        <v>1.6568875235589936E-3</v>
      </c>
      <c r="D37">
        <f t="shared" si="1"/>
        <v>-7.2672423728881977E-4</v>
      </c>
      <c r="E37">
        <f t="shared" si="2"/>
        <v>5.2812811706301682E-7</v>
      </c>
    </row>
    <row r="38" spans="1:5" x14ac:dyDescent="0.25">
      <c r="A38">
        <v>5.0692277773125003</v>
      </c>
      <c r="B38">
        <v>0</v>
      </c>
      <c r="C38">
        <f t="shared" si="0"/>
        <v>1.3048439311015539E-3</v>
      </c>
      <c r="D38">
        <f t="shared" si="1"/>
        <v>-1.3048439311015539E-3</v>
      </c>
      <c r="E38">
        <f t="shared" si="2"/>
        <v>1.7026176845325567E-6</v>
      </c>
    </row>
    <row r="39" spans="1:5" x14ac:dyDescent="0.25">
      <c r="A39">
        <v>5.2043899671875007</v>
      </c>
      <c r="B39">
        <v>0</v>
      </c>
      <c r="C39">
        <f t="shared" si="0"/>
        <v>1.0254972539753006E-3</v>
      </c>
      <c r="D39">
        <f t="shared" si="1"/>
        <v>-1.0254972539753006E-3</v>
      </c>
      <c r="E39">
        <f t="shared" si="2"/>
        <v>1.0516446179108823E-6</v>
      </c>
    </row>
    <row r="40" spans="1:5" x14ac:dyDescent="0.25">
      <c r="A40">
        <v>5.3395521570625002</v>
      </c>
      <c r="B40">
        <v>4.6508164313508691E-4</v>
      </c>
      <c r="C40">
        <f t="shared" si="0"/>
        <v>8.0434122944236027E-4</v>
      </c>
      <c r="D40">
        <f t="shared" si="1"/>
        <v>-3.3925958630727336E-4</v>
      </c>
      <c r="E40">
        <f t="shared" si="2"/>
        <v>1.1509706690138226E-7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5A43-E9F5-445F-9356-65F1C5519E8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6.8196455025000005E-2</v>
      </c>
      <c r="B1">
        <v>0.47637547894738053</v>
      </c>
      <c r="C1">
        <f>$H$3*(1+$H$1)*(A1^($H$1))*EXP(-$H$3*(A1^(1+$H$1)))</f>
        <v>0.48306241791560234</v>
      </c>
      <c r="D1">
        <f>B1-C1</f>
        <v>-6.6869389682218117E-3</v>
      </c>
      <c r="E1">
        <f>D1^2</f>
        <v>4.4715152764723385E-5</v>
      </c>
      <c r="G1" t="s">
        <v>0</v>
      </c>
      <c r="H1">
        <v>0.3252291699388794</v>
      </c>
    </row>
    <row r="2" spans="1:8" x14ac:dyDescent="0.25">
      <c r="A2">
        <v>0.20040153507500003</v>
      </c>
      <c r="B2">
        <v>0.63279018211473403</v>
      </c>
      <c r="C2">
        <f t="shared" ref="C2:C40" si="0">$H$3*(1+$H$1)*(A2^($H$1))*EXP(-$H$3*(A2^(1+$H$1)))</f>
        <v>0.63258908877218267</v>
      </c>
      <c r="D2">
        <f t="shared" ref="D2:D40" si="1">B2-C2</f>
        <v>2.0109334255136169E-4</v>
      </c>
      <c r="E2">
        <f t="shared" ref="E2:E40" si="2">D2^2</f>
        <v>4.0438532418479293E-8</v>
      </c>
    </row>
    <row r="3" spans="1:8" x14ac:dyDescent="0.25">
      <c r="A3">
        <v>0.332606615125</v>
      </c>
      <c r="B3">
        <v>0.60283843044438967</v>
      </c>
      <c r="C3">
        <f t="shared" si="0"/>
        <v>0.67369008723502422</v>
      </c>
      <c r="D3">
        <f t="shared" si="1"/>
        <v>-7.0851656790634543E-2</v>
      </c>
      <c r="E3">
        <f t="shared" si="2"/>
        <v>5.0199572699778702E-3</v>
      </c>
      <c r="G3" t="s">
        <v>1</v>
      </c>
      <c r="H3">
        <f>(_xlfn.GAMMA((2+$H$1)/(1+$H$1)))^(1+$H$1)</f>
        <v>0.89553316666986149</v>
      </c>
    </row>
    <row r="4" spans="1:8" x14ac:dyDescent="0.25">
      <c r="A4">
        <v>0.46481169517499998</v>
      </c>
      <c r="B4">
        <v>0.67985722045384644</v>
      </c>
      <c r="C4">
        <f t="shared" si="0"/>
        <v>0.66873598517374533</v>
      </c>
      <c r="D4">
        <f t="shared" si="1"/>
        <v>1.1121235280101116E-2</v>
      </c>
      <c r="E4">
        <f t="shared" si="2"/>
        <v>1.2368187415536574E-4</v>
      </c>
    </row>
    <row r="5" spans="1:8" x14ac:dyDescent="0.25">
      <c r="A5">
        <v>0.59701677522499996</v>
      </c>
      <c r="B5">
        <v>0.80346762417272766</v>
      </c>
      <c r="C5">
        <f t="shared" si="0"/>
        <v>0.63853155461280853</v>
      </c>
      <c r="D5">
        <f t="shared" si="1"/>
        <v>0.16493606955991913</v>
      </c>
      <c r="E5">
        <f t="shared" si="2"/>
        <v>2.7203907041874482E-2</v>
      </c>
      <c r="G5" t="s">
        <v>2</v>
      </c>
      <c r="H5">
        <f>SUM(E1:E40)</f>
        <v>4.9878983478249053E-2</v>
      </c>
    </row>
    <row r="6" spans="1:8" x14ac:dyDescent="0.25">
      <c r="A6">
        <v>0.72922185527499994</v>
      </c>
      <c r="B6">
        <v>0.66892245397102235</v>
      </c>
      <c r="C6">
        <f t="shared" si="0"/>
        <v>0.59407215196503549</v>
      </c>
      <c r="D6">
        <f t="shared" si="1"/>
        <v>7.4850302005986857E-2</v>
      </c>
      <c r="E6">
        <f t="shared" si="2"/>
        <v>5.60256771038744E-3</v>
      </c>
    </row>
    <row r="7" spans="1:8" x14ac:dyDescent="0.25">
      <c r="A7">
        <v>0.86142693532499992</v>
      </c>
      <c r="B7">
        <v>0.51108147691460482</v>
      </c>
      <c r="C7">
        <f t="shared" si="0"/>
        <v>0.54217385844181687</v>
      </c>
      <c r="D7">
        <f t="shared" si="1"/>
        <v>-3.1092381527212054E-2</v>
      </c>
      <c r="E7">
        <f t="shared" si="2"/>
        <v>9.6673618903371733E-4</v>
      </c>
    </row>
    <row r="8" spans="1:8" x14ac:dyDescent="0.25">
      <c r="A8">
        <v>0.9936320153749999</v>
      </c>
      <c r="B8">
        <v>0.44214490560984421</v>
      </c>
      <c r="C8">
        <f t="shared" si="0"/>
        <v>0.48733092975987252</v>
      </c>
      <c r="D8">
        <f t="shared" si="1"/>
        <v>-4.5186024150028314E-2</v>
      </c>
      <c r="E8">
        <f t="shared" si="2"/>
        <v>2.0417767784869419E-3</v>
      </c>
    </row>
    <row r="9" spans="1:8" x14ac:dyDescent="0.25">
      <c r="A9">
        <v>1.1258370954250001</v>
      </c>
      <c r="B9">
        <v>0.39507786727073174</v>
      </c>
      <c r="C9">
        <f t="shared" si="0"/>
        <v>0.43255277548048021</v>
      </c>
      <c r="D9">
        <f t="shared" si="1"/>
        <v>-3.747490820974847E-2</v>
      </c>
      <c r="E9">
        <f t="shared" si="2"/>
        <v>1.4043687453290732E-3</v>
      </c>
    </row>
    <row r="10" spans="1:8" x14ac:dyDescent="0.25">
      <c r="A10">
        <v>1.258042175475</v>
      </c>
      <c r="B10">
        <v>0.33612521318941918</v>
      </c>
      <c r="C10">
        <f t="shared" si="0"/>
        <v>0.37982612077685007</v>
      </c>
      <c r="D10">
        <f t="shared" si="1"/>
        <v>-4.3700907587430893E-2</v>
      </c>
      <c r="E10">
        <f t="shared" si="2"/>
        <v>1.909769323965175E-3</v>
      </c>
    </row>
    <row r="11" spans="1:8" x14ac:dyDescent="0.25">
      <c r="A11">
        <v>1.3902472555249998</v>
      </c>
      <c r="B11">
        <v>0.28858275022061874</v>
      </c>
      <c r="C11">
        <f t="shared" si="0"/>
        <v>0.33040758582284641</v>
      </c>
      <c r="D11">
        <f t="shared" si="1"/>
        <v>-4.1824835602227661E-2</v>
      </c>
      <c r="E11">
        <f t="shared" si="2"/>
        <v>1.7493168731533705E-3</v>
      </c>
    </row>
    <row r="12" spans="1:8" x14ac:dyDescent="0.25">
      <c r="A12">
        <v>1.5224523355749999</v>
      </c>
      <c r="B12">
        <v>0.23818773947369026</v>
      </c>
      <c r="C12">
        <f t="shared" si="0"/>
        <v>0.28502589085172247</v>
      </c>
      <c r="D12">
        <f t="shared" si="1"/>
        <v>-4.6838151378032211E-2</v>
      </c>
      <c r="E12">
        <f t="shared" si="2"/>
        <v>2.1938124245114606E-3</v>
      </c>
    </row>
    <row r="13" spans="1:8" x14ac:dyDescent="0.25">
      <c r="A13">
        <v>1.654657415625</v>
      </c>
      <c r="B13">
        <v>0.2210724528049221</v>
      </c>
      <c r="C13">
        <f t="shared" si="0"/>
        <v>0.24402909575543552</v>
      </c>
      <c r="D13">
        <f t="shared" si="1"/>
        <v>-2.2956642950513417E-2</v>
      </c>
      <c r="E13">
        <f t="shared" si="2"/>
        <v>5.2700745555735737E-4</v>
      </c>
    </row>
    <row r="14" spans="1:8" x14ac:dyDescent="0.25">
      <c r="A14">
        <v>1.7868624956749999</v>
      </c>
      <c r="B14">
        <v>0.19444867354239384</v>
      </c>
      <c r="C14">
        <f t="shared" si="0"/>
        <v>0.20749484748658259</v>
      </c>
      <c r="D14">
        <f t="shared" si="1"/>
        <v>-1.3046173944188749E-2</v>
      </c>
      <c r="E14">
        <f t="shared" si="2"/>
        <v>1.7020265458202942E-4</v>
      </c>
    </row>
    <row r="15" spans="1:8" x14ac:dyDescent="0.25">
      <c r="A15">
        <v>1.9190675757249998</v>
      </c>
      <c r="B15">
        <v>0.17115286668768162</v>
      </c>
      <c r="C15">
        <f t="shared" si="0"/>
        <v>0.17531389824359506</v>
      </c>
      <c r="D15">
        <f t="shared" si="1"/>
        <v>-4.1610315559134359E-3</v>
      </c>
      <c r="E15">
        <f t="shared" si="2"/>
        <v>1.7314183609307389E-5</v>
      </c>
    </row>
    <row r="16" spans="1:8" x14ac:dyDescent="0.25">
      <c r="A16">
        <v>2.0512726557750001</v>
      </c>
      <c r="B16">
        <v>0.14167653964702534</v>
      </c>
      <c r="C16">
        <f t="shared" si="0"/>
        <v>0.14725341941226261</v>
      </c>
      <c r="D16">
        <f t="shared" si="1"/>
        <v>-5.5768797652372692E-3</v>
      </c>
      <c r="E16">
        <f t="shared" si="2"/>
        <v>3.1101587915912899E-5</v>
      </c>
    </row>
    <row r="17" spans="1:5" x14ac:dyDescent="0.25">
      <c r="A17">
        <v>2.1834777358249999</v>
      </c>
      <c r="B17">
        <v>0.13121719779388924</v>
      </c>
      <c r="C17">
        <f t="shared" si="0"/>
        <v>0.12300465137433395</v>
      </c>
      <c r="D17">
        <f t="shared" si="1"/>
        <v>8.2125464195552944E-3</v>
      </c>
      <c r="E17">
        <f t="shared" si="2"/>
        <v>6.7445918693350481E-5</v>
      </c>
    </row>
    <row r="18" spans="1:5" x14ac:dyDescent="0.25">
      <c r="A18">
        <v>2.3156828158750002</v>
      </c>
      <c r="B18">
        <v>0.10744596630948902</v>
      </c>
      <c r="C18">
        <f t="shared" si="0"/>
        <v>0.10221826891129425</v>
      </c>
      <c r="D18">
        <f t="shared" si="1"/>
        <v>5.2276973981947722E-3</v>
      </c>
      <c r="E18">
        <f t="shared" si="2"/>
        <v>2.7328820087092391E-5</v>
      </c>
    </row>
    <row r="19" spans="1:5" x14ac:dyDescent="0.25">
      <c r="A19">
        <v>2.4478878959249997</v>
      </c>
      <c r="B19">
        <v>9.3658652048536892E-2</v>
      </c>
      <c r="C19">
        <f t="shared" si="0"/>
        <v>8.4530093060134801E-2</v>
      </c>
      <c r="D19">
        <f t="shared" si="1"/>
        <v>9.1285589884020912E-3</v>
      </c>
      <c r="E19">
        <f t="shared" si="2"/>
        <v>8.3330589204736613E-5</v>
      </c>
    </row>
    <row r="20" spans="1:5" x14ac:dyDescent="0.25">
      <c r="A20">
        <v>2.580092975975</v>
      </c>
      <c r="B20">
        <v>8.2248460936024781E-2</v>
      </c>
      <c r="C20">
        <f t="shared" si="0"/>
        <v>6.9579250779790838E-2</v>
      </c>
      <c r="D20">
        <f t="shared" si="1"/>
        <v>1.2669210156233943E-2</v>
      </c>
      <c r="E20">
        <f t="shared" si="2"/>
        <v>1.6050888598282128E-4</v>
      </c>
    </row>
    <row r="21" spans="1:5" x14ac:dyDescent="0.25">
      <c r="A21">
        <v>2.7122980560249998</v>
      </c>
      <c r="B21">
        <v>5.7526380192248545E-2</v>
      </c>
      <c r="C21">
        <f t="shared" si="0"/>
        <v>5.7020481095620336E-2</v>
      </c>
      <c r="D21">
        <f t="shared" si="1"/>
        <v>5.0589909662820953E-4</v>
      </c>
      <c r="E21">
        <f t="shared" si="2"/>
        <v>2.559338959692385E-7</v>
      </c>
    </row>
    <row r="22" spans="1:5" x14ac:dyDescent="0.25">
      <c r="A22">
        <v>2.8445031360750002</v>
      </c>
      <c r="B22">
        <v>6.132977722975258E-2</v>
      </c>
      <c r="C22">
        <f t="shared" si="0"/>
        <v>4.6531964491828726E-2</v>
      </c>
      <c r="D22">
        <f t="shared" si="1"/>
        <v>1.4797812737923854E-2</v>
      </c>
      <c r="E22">
        <f t="shared" si="2"/>
        <v>2.1897526182666148E-4</v>
      </c>
    </row>
    <row r="23" spans="1:5" x14ac:dyDescent="0.25">
      <c r="A23">
        <v>2.976708216125</v>
      </c>
      <c r="B23">
        <v>4.5165339820360431E-2</v>
      </c>
      <c r="C23">
        <f t="shared" si="0"/>
        <v>3.7819787460997137E-2</v>
      </c>
      <c r="D23">
        <f t="shared" si="1"/>
        <v>7.3455523593632943E-3</v>
      </c>
      <c r="E23">
        <f t="shared" si="2"/>
        <v>5.395713946414766E-5</v>
      </c>
    </row>
    <row r="24" spans="1:5" x14ac:dyDescent="0.25">
      <c r="A24">
        <v>3.1089132961749995</v>
      </c>
      <c r="B24">
        <v>4.1837367412544395E-2</v>
      </c>
      <c r="C24">
        <f t="shared" si="0"/>
        <v>3.0619933282021939E-2</v>
      </c>
      <c r="D24">
        <f t="shared" si="1"/>
        <v>1.1217434130522456E-2</v>
      </c>
      <c r="E24">
        <f t="shared" si="2"/>
        <v>1.2583082847261007E-4</v>
      </c>
    </row>
    <row r="25" spans="1:5" x14ac:dyDescent="0.25">
      <c r="A25">
        <v>3.2411183762249998</v>
      </c>
      <c r="B25">
        <v>2.8050053151592265E-2</v>
      </c>
      <c r="C25">
        <f t="shared" si="0"/>
        <v>2.4698505451477375E-2</v>
      </c>
      <c r="D25">
        <f t="shared" si="1"/>
        <v>3.3515477001148895E-3</v>
      </c>
      <c r="E25">
        <f t="shared" si="2"/>
        <v>1.1232871986145406E-5</v>
      </c>
    </row>
    <row r="26" spans="1:5" x14ac:dyDescent="0.25">
      <c r="A26">
        <v>3.3733234562750001</v>
      </c>
      <c r="B26">
        <v>2.2820382225024215E-2</v>
      </c>
      <c r="C26">
        <f t="shared" si="0"/>
        <v>1.9850736393396341E-2</v>
      </c>
      <c r="D26">
        <f t="shared" si="1"/>
        <v>2.9696458316278741E-3</v>
      </c>
      <c r="E26">
        <f t="shared" si="2"/>
        <v>8.8187963653048086E-6</v>
      </c>
    </row>
    <row r="27" spans="1:5" x14ac:dyDescent="0.25">
      <c r="A27">
        <v>3.5055285363249999</v>
      </c>
      <c r="B27">
        <v>1.7590711298456168E-2</v>
      </c>
      <c r="C27">
        <f t="shared" si="0"/>
        <v>1.5899206971538682E-2</v>
      </c>
      <c r="D27">
        <f t="shared" si="1"/>
        <v>1.6915043269174861E-3</v>
      </c>
      <c r="E27">
        <f t="shared" si="2"/>
        <v>2.8611868879805776E-6</v>
      </c>
    </row>
    <row r="28" spans="1:5" x14ac:dyDescent="0.25">
      <c r="A28">
        <v>3.6377336163749998</v>
      </c>
      <c r="B28">
        <v>1.6164437409392152E-2</v>
      </c>
      <c r="C28">
        <f t="shared" si="0"/>
        <v>1.2691598386509045E-2</v>
      </c>
      <c r="D28">
        <f t="shared" si="1"/>
        <v>3.472839022883107E-3</v>
      </c>
      <c r="E28">
        <f t="shared" si="2"/>
        <v>1.2060610878859694E-5</v>
      </c>
    </row>
    <row r="29" spans="1:5" x14ac:dyDescent="0.25">
      <c r="A29">
        <v>3.7699386964249997</v>
      </c>
      <c r="B29">
        <v>1.8541560557832175E-2</v>
      </c>
      <c r="C29">
        <f t="shared" si="0"/>
        <v>1.0098214075634947E-2</v>
      </c>
      <c r="D29">
        <f t="shared" si="1"/>
        <v>8.4433464821972275E-3</v>
      </c>
      <c r="E29">
        <f t="shared" si="2"/>
        <v>7.1290099818432291E-5</v>
      </c>
    </row>
    <row r="30" spans="1:5" x14ac:dyDescent="0.25">
      <c r="A30">
        <v>3.9021437764749995</v>
      </c>
      <c r="B30">
        <v>1.1885615742200113E-2</v>
      </c>
      <c r="C30">
        <f t="shared" si="0"/>
        <v>8.009442333765375E-3</v>
      </c>
      <c r="D30">
        <f t="shared" si="1"/>
        <v>3.8761734084347375E-3</v>
      </c>
      <c r="E30">
        <f t="shared" si="2"/>
        <v>1.502472029225657E-5</v>
      </c>
    </row>
    <row r="31" spans="1:5" x14ac:dyDescent="0.25">
      <c r="A31">
        <v>4.0343488565249999</v>
      </c>
      <c r="B31">
        <v>5.7050955562560537E-3</v>
      </c>
      <c r="C31">
        <f t="shared" si="0"/>
        <v>6.3332778758619142E-3</v>
      </c>
      <c r="D31">
        <f t="shared" si="1"/>
        <v>-6.2818231960586057E-4</v>
      </c>
      <c r="E31">
        <f t="shared" si="2"/>
        <v>3.9461302666539957E-7</v>
      </c>
    </row>
    <row r="32" spans="1:5" x14ac:dyDescent="0.25">
      <c r="A32">
        <v>4.1665539365749993</v>
      </c>
      <c r="B32">
        <v>6.6559448156320632E-3</v>
      </c>
      <c r="C32">
        <f t="shared" si="0"/>
        <v>4.9929800606198756E-3</v>
      </c>
      <c r="D32">
        <f t="shared" si="1"/>
        <v>1.6629647550121876E-3</v>
      </c>
      <c r="E32">
        <f t="shared" si="2"/>
        <v>2.7654517764127452E-6</v>
      </c>
    </row>
    <row r="33" spans="1:5" x14ac:dyDescent="0.25">
      <c r="A33">
        <v>4.2987590166249996</v>
      </c>
      <c r="B33">
        <v>5.2296709265680493E-3</v>
      </c>
      <c r="C33">
        <f t="shared" si="0"/>
        <v>3.9249148450360861E-3</v>
      </c>
      <c r="D33">
        <f t="shared" si="1"/>
        <v>1.3047560815319633E-3</v>
      </c>
      <c r="E33">
        <f t="shared" si="2"/>
        <v>1.7023884322946431E-6</v>
      </c>
    </row>
    <row r="34" spans="1:5" x14ac:dyDescent="0.25">
      <c r="A34">
        <v>4.4309640966749999</v>
      </c>
      <c r="B34">
        <v>2.3771231484400225E-3</v>
      </c>
      <c r="C34">
        <f t="shared" si="0"/>
        <v>3.0766048652822774E-3</v>
      </c>
      <c r="D34">
        <f t="shared" si="1"/>
        <v>-6.9948171684225489E-4</v>
      </c>
      <c r="E34">
        <f t="shared" si="2"/>
        <v>4.8927467219658845E-7</v>
      </c>
    </row>
    <row r="35" spans="1:5" x14ac:dyDescent="0.25">
      <c r="A35">
        <v>4.5631691767249993</v>
      </c>
      <c r="B35">
        <v>9.5084925937600898E-4</v>
      </c>
      <c r="C35">
        <f t="shared" si="0"/>
        <v>2.4049957218485536E-3</v>
      </c>
      <c r="D35">
        <f t="shared" si="1"/>
        <v>-1.4541464624725445E-3</v>
      </c>
      <c r="E35">
        <f t="shared" si="2"/>
        <v>2.1145419343214152E-6</v>
      </c>
    </row>
    <row r="36" spans="1:5" x14ac:dyDescent="0.25">
      <c r="A36">
        <v>4.6953742567750005</v>
      </c>
      <c r="B36">
        <v>3.3279724078160316E-3</v>
      </c>
      <c r="C36">
        <f t="shared" si="0"/>
        <v>1.8749352156849767E-3</v>
      </c>
      <c r="D36">
        <f t="shared" si="1"/>
        <v>1.4530371921310549E-3</v>
      </c>
      <c r="E36">
        <f t="shared" si="2"/>
        <v>2.1113170817161003E-6</v>
      </c>
    </row>
    <row r="37" spans="1:5" x14ac:dyDescent="0.25">
      <c r="A37">
        <v>4.827579336825</v>
      </c>
      <c r="B37">
        <v>0</v>
      </c>
      <c r="C37">
        <f t="shared" si="0"/>
        <v>1.457854793441611E-3</v>
      </c>
      <c r="D37">
        <f t="shared" si="1"/>
        <v>-1.457854793441611E-3</v>
      </c>
      <c r="E37">
        <f t="shared" si="2"/>
        <v>2.1253405987606821E-6</v>
      </c>
    </row>
    <row r="38" spans="1:5" x14ac:dyDescent="0.25">
      <c r="A38">
        <v>4.9597844168750003</v>
      </c>
      <c r="B38">
        <v>0</v>
      </c>
      <c r="C38">
        <f t="shared" si="0"/>
        <v>1.1306378750097128E-3</v>
      </c>
      <c r="D38">
        <f t="shared" si="1"/>
        <v>-1.1306378750097128E-3</v>
      </c>
      <c r="E38">
        <f t="shared" si="2"/>
        <v>1.2783420044064788E-6</v>
      </c>
    </row>
    <row r="39" spans="1:5" x14ac:dyDescent="0.25">
      <c r="A39">
        <v>5.0919894969249997</v>
      </c>
      <c r="B39">
        <v>0</v>
      </c>
      <c r="C39">
        <f t="shared" si="0"/>
        <v>8.7465729661656555E-4</v>
      </c>
      <c r="D39">
        <f t="shared" si="1"/>
        <v>-8.7465729661656555E-4</v>
      </c>
      <c r="E39">
        <f t="shared" si="2"/>
        <v>7.6502538652459869E-7</v>
      </c>
    </row>
    <row r="40" spans="1:5" x14ac:dyDescent="0.25">
      <c r="A40">
        <v>5.224194576975</v>
      </c>
      <c r="B40">
        <v>4.7542462968800449E-4</v>
      </c>
      <c r="C40">
        <f t="shared" si="0"/>
        <v>6.7496320426875078E-4</v>
      </c>
      <c r="D40">
        <f t="shared" si="1"/>
        <v>-1.9953857458074629E-4</v>
      </c>
      <c r="E40">
        <f t="shared" si="2"/>
        <v>3.981564274571605E-8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D1692-29FA-4D38-AC45-6C7D02E3BF6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6.4789431612500004E-2</v>
      </c>
      <c r="B1">
        <v>0.40956421740939142</v>
      </c>
      <c r="C1">
        <f>$H$3*(1+$H$1)*(A1^($H$1))*EXP(-$H$3*(A1^(1+$H$1)))</f>
        <v>0.43458321517976645</v>
      </c>
      <c r="D1">
        <f>B1-C1</f>
        <v>-2.5018997770375029E-2</v>
      </c>
      <c r="E1">
        <f>D1^2</f>
        <v>6.2595024943403062E-4</v>
      </c>
      <c r="G1" t="s">
        <v>0</v>
      </c>
      <c r="H1">
        <v>0.36663020874694746</v>
      </c>
    </row>
    <row r="2" spans="1:8" x14ac:dyDescent="0.25">
      <c r="A2">
        <v>0.19430529483750003</v>
      </c>
      <c r="B2">
        <v>0.65074125064691224</v>
      </c>
      <c r="C2">
        <f t="shared" ref="C2:C40" si="0">$H$3*(1+$H$1)*(A2^($H$1))*EXP(-$H$3*(A2^(1+$H$1)))</f>
        <v>0.60407915579587723</v>
      </c>
      <c r="D2">
        <f t="shared" ref="D2:D40" si="1">B2-C2</f>
        <v>4.6662094851035008E-2</v>
      </c>
      <c r="E2">
        <f t="shared" ref="E2:E40" si="2">D2^2</f>
        <v>2.1773510958869877E-3</v>
      </c>
    </row>
    <row r="3" spans="1:8" x14ac:dyDescent="0.25">
      <c r="A3">
        <v>0.3238211580625</v>
      </c>
      <c r="B3">
        <v>0.60269995026358314</v>
      </c>
      <c r="C3">
        <f t="shared" si="0"/>
        <v>0.66225756391785862</v>
      </c>
      <c r="D3">
        <f t="shared" si="1"/>
        <v>-5.9557613654275476E-2</v>
      </c>
      <c r="E3">
        <f t="shared" si="2"/>
        <v>3.5471093441919407E-3</v>
      </c>
      <c r="G3" t="s">
        <v>1</v>
      </c>
      <c r="H3">
        <f>(_xlfn.GAMMA((2+$H$1)/(1+$H$1)))^(1+$H$1)</f>
        <v>0.88572386731343578</v>
      </c>
    </row>
    <row r="4" spans="1:8" x14ac:dyDescent="0.25">
      <c r="A4">
        <v>0.45333702128750003</v>
      </c>
      <c r="B4">
        <v>0.63472748385246913</v>
      </c>
      <c r="C4">
        <f t="shared" si="0"/>
        <v>0.67066391089007416</v>
      </c>
      <c r="D4">
        <f t="shared" si="1"/>
        <v>-3.5936427037605023E-2</v>
      </c>
      <c r="E4">
        <f t="shared" si="2"/>
        <v>1.2914267882291094E-3</v>
      </c>
    </row>
    <row r="5" spans="1:8" x14ac:dyDescent="0.25">
      <c r="A5">
        <v>0.58285288451250006</v>
      </c>
      <c r="B5">
        <v>0.73857433518613003</v>
      </c>
      <c r="C5">
        <f t="shared" si="0"/>
        <v>0.65020604384647274</v>
      </c>
      <c r="D5">
        <f t="shared" si="1"/>
        <v>8.836829133965729E-2</v>
      </c>
      <c r="E5">
        <f t="shared" si="2"/>
        <v>7.8089549142905494E-3</v>
      </c>
      <c r="G5" t="s">
        <v>2</v>
      </c>
      <c r="H5">
        <f>SUM(E1:E40)</f>
        <v>4.0753751023206122E-2</v>
      </c>
    </row>
    <row r="6" spans="1:8" x14ac:dyDescent="0.25">
      <c r="A6">
        <v>0.71236874773750003</v>
      </c>
      <c r="B6">
        <v>0.72256056839168703</v>
      </c>
      <c r="C6">
        <f t="shared" si="0"/>
        <v>0.61229909871275945</v>
      </c>
      <c r="D6">
        <f t="shared" si="1"/>
        <v>0.11026146967892758</v>
      </c>
      <c r="E6">
        <f t="shared" si="2"/>
        <v>1.2157591695757067E-2</v>
      </c>
    </row>
    <row r="7" spans="1:8" x14ac:dyDescent="0.25">
      <c r="A7">
        <v>0.8418846109625</v>
      </c>
      <c r="B7">
        <v>0.59542096535701805</v>
      </c>
      <c r="C7">
        <f t="shared" si="0"/>
        <v>0.564293191255413</v>
      </c>
      <c r="D7">
        <f t="shared" si="1"/>
        <v>3.1127774101605055E-2</v>
      </c>
      <c r="E7">
        <f t="shared" si="2"/>
        <v>9.6893832052055435E-4</v>
      </c>
    </row>
    <row r="8" spans="1:8" x14ac:dyDescent="0.25">
      <c r="A8">
        <v>0.97140047418750008</v>
      </c>
      <c r="B8">
        <v>0.48041300383329089</v>
      </c>
      <c r="C8">
        <f t="shared" si="0"/>
        <v>0.51123377018156768</v>
      </c>
      <c r="D8">
        <f t="shared" si="1"/>
        <v>-3.0820766348276796E-2</v>
      </c>
      <c r="E8">
        <f t="shared" si="2"/>
        <v>9.4991963829507134E-4</v>
      </c>
    </row>
    <row r="9" spans="1:8" x14ac:dyDescent="0.25">
      <c r="A9">
        <v>1.1009163374124999</v>
      </c>
      <c r="B9">
        <v>0.4289748438268981</v>
      </c>
      <c r="C9">
        <f t="shared" si="0"/>
        <v>0.45664662072968532</v>
      </c>
      <c r="D9">
        <f t="shared" si="1"/>
        <v>-2.7671776902787215E-2</v>
      </c>
      <c r="E9">
        <f t="shared" si="2"/>
        <v>7.6572723695762801E-4</v>
      </c>
    </row>
    <row r="10" spans="1:8" x14ac:dyDescent="0.25">
      <c r="A10">
        <v>1.2304322006374999</v>
      </c>
      <c r="B10">
        <v>0.35618499476124799</v>
      </c>
      <c r="C10">
        <f t="shared" si="0"/>
        <v>0.40297325106545906</v>
      </c>
      <c r="D10">
        <f t="shared" si="1"/>
        <v>-4.6788256304211073E-2</v>
      </c>
      <c r="E10">
        <f t="shared" si="2"/>
        <v>2.1891409279885471E-3</v>
      </c>
    </row>
    <row r="11" spans="1:8" x14ac:dyDescent="0.25">
      <c r="A11">
        <v>1.3599480638625001</v>
      </c>
      <c r="B11">
        <v>0.30037944381091625</v>
      </c>
      <c r="C11">
        <f t="shared" si="0"/>
        <v>0.35185226220202886</v>
      </c>
      <c r="D11">
        <f t="shared" si="1"/>
        <v>-5.1472818391112618E-2</v>
      </c>
      <c r="E11">
        <f t="shared" si="2"/>
        <v>2.6494510331244612E-3</v>
      </c>
    </row>
    <row r="12" spans="1:8" x14ac:dyDescent="0.25">
      <c r="A12">
        <v>1.4894639270875001</v>
      </c>
      <c r="B12">
        <v>0.2484560181440858</v>
      </c>
      <c r="C12">
        <f t="shared" si="0"/>
        <v>0.30432013105042049</v>
      </c>
      <c r="D12">
        <f t="shared" si="1"/>
        <v>-5.5864112906334695E-2</v>
      </c>
      <c r="E12">
        <f t="shared" si="2"/>
        <v>3.1207991108117106E-3</v>
      </c>
    </row>
    <row r="13" spans="1:8" x14ac:dyDescent="0.25">
      <c r="A13">
        <v>1.6189797903125001</v>
      </c>
      <c r="B13">
        <v>0.23486857965183111</v>
      </c>
      <c r="C13">
        <f t="shared" si="0"/>
        <v>0.26096297831748755</v>
      </c>
      <c r="D13">
        <f t="shared" si="1"/>
        <v>-2.6094398665656438E-2</v>
      </c>
      <c r="E13">
        <f t="shared" si="2"/>
        <v>6.8091764172221244E-4</v>
      </c>
    </row>
    <row r="14" spans="1:8" x14ac:dyDescent="0.25">
      <c r="A14">
        <v>1.7484956535374998</v>
      </c>
      <c r="B14">
        <v>0.20478210870469571</v>
      </c>
      <c r="C14">
        <f t="shared" si="0"/>
        <v>0.22203465336507711</v>
      </c>
      <c r="D14">
        <f t="shared" si="1"/>
        <v>-1.7252544660381397E-2</v>
      </c>
      <c r="E14">
        <f t="shared" si="2"/>
        <v>2.9765029725845467E-4</v>
      </c>
    </row>
    <row r="15" spans="1:8" x14ac:dyDescent="0.25">
      <c r="A15">
        <v>1.8780115167624998</v>
      </c>
      <c r="B15">
        <v>0.17712196605974867</v>
      </c>
      <c r="C15">
        <f t="shared" si="0"/>
        <v>0.18754958387845516</v>
      </c>
      <c r="D15">
        <f t="shared" si="1"/>
        <v>-1.0427617818706492E-2</v>
      </c>
      <c r="E15">
        <f t="shared" si="2"/>
        <v>1.0873521337300513E-4</v>
      </c>
    </row>
    <row r="16" spans="1:8" x14ac:dyDescent="0.25">
      <c r="A16">
        <v>2.0075273799875002</v>
      </c>
      <c r="B16">
        <v>0.14509443247086259</v>
      </c>
      <c r="C16">
        <f t="shared" si="0"/>
        <v>0.15735570082756589</v>
      </c>
      <c r="D16">
        <f t="shared" si="1"/>
        <v>-1.2261268356703298E-2</v>
      </c>
      <c r="E16">
        <f t="shared" si="2"/>
        <v>1.5033870171509358E-4</v>
      </c>
    </row>
    <row r="17" spans="1:5" x14ac:dyDescent="0.25">
      <c r="A17">
        <v>2.1370432432125002</v>
      </c>
      <c r="B17">
        <v>0.13199225963904557</v>
      </c>
      <c r="C17">
        <f t="shared" si="0"/>
        <v>0.1311912071390563</v>
      </c>
      <c r="D17">
        <f t="shared" si="1"/>
        <v>8.0105249998926875E-4</v>
      </c>
      <c r="E17">
        <f t="shared" si="2"/>
        <v>6.4168510773905743E-7</v>
      </c>
    </row>
    <row r="18" spans="1:5" x14ac:dyDescent="0.25">
      <c r="A18">
        <v>2.2665591064374997</v>
      </c>
      <c r="B18">
        <v>0.11452269586328954</v>
      </c>
      <c r="C18">
        <f t="shared" si="0"/>
        <v>0.10872812179680232</v>
      </c>
      <c r="D18">
        <f t="shared" si="1"/>
        <v>5.7945740664872292E-3</v>
      </c>
      <c r="E18">
        <f t="shared" si="2"/>
        <v>3.3577088612006344E-5</v>
      </c>
    </row>
    <row r="19" spans="1:5" x14ac:dyDescent="0.25">
      <c r="A19">
        <v>2.3960749696625001</v>
      </c>
      <c r="B19">
        <v>9.7538397747971184E-2</v>
      </c>
      <c r="C19">
        <f t="shared" si="0"/>
        <v>8.9605013375343837E-2</v>
      </c>
      <c r="D19">
        <f t="shared" si="1"/>
        <v>7.9333843726273473E-3</v>
      </c>
      <c r="E19">
        <f t="shared" si="2"/>
        <v>6.2938587603847808E-5</v>
      </c>
    </row>
    <row r="20" spans="1:5" x14ac:dyDescent="0.25">
      <c r="A20">
        <v>2.5255908328875001</v>
      </c>
      <c r="B20">
        <v>8.637728755790483E-2</v>
      </c>
      <c r="C20">
        <f t="shared" si="0"/>
        <v>7.3450966647444285E-2</v>
      </c>
      <c r="D20">
        <f t="shared" si="1"/>
        <v>1.2926320910460545E-2</v>
      </c>
      <c r="E20">
        <f t="shared" si="2"/>
        <v>1.6708977228020955E-4</v>
      </c>
    </row>
    <row r="21" spans="1:5" x14ac:dyDescent="0.25">
      <c r="A21">
        <v>2.6551066961125001</v>
      </c>
      <c r="B21">
        <v>5.2408691327268095E-2</v>
      </c>
      <c r="C21">
        <f t="shared" si="0"/>
        <v>5.9902527012900053E-2</v>
      </c>
      <c r="D21">
        <f t="shared" si="1"/>
        <v>-7.4938356856319582E-3</v>
      </c>
      <c r="E21">
        <f t="shared" si="2"/>
        <v>5.6157573283251001E-5</v>
      </c>
    </row>
    <row r="22" spans="1:5" x14ac:dyDescent="0.25">
      <c r="A22">
        <v>2.7846225593375005</v>
      </c>
      <c r="B22">
        <v>7.3275114726087803E-2</v>
      </c>
      <c r="C22">
        <f t="shared" si="0"/>
        <v>4.8615107827116061E-2</v>
      </c>
      <c r="D22">
        <f t="shared" si="1"/>
        <v>2.4660006898971742E-2</v>
      </c>
      <c r="E22">
        <f t="shared" si="2"/>
        <v>6.0811594025733391E-4</v>
      </c>
    </row>
    <row r="23" spans="1:5" x14ac:dyDescent="0.25">
      <c r="A23">
        <v>2.9141384225625</v>
      </c>
      <c r="B23">
        <v>4.1247581137201741E-2</v>
      </c>
      <c r="C23">
        <f t="shared" si="0"/>
        <v>3.9270112785636281E-2</v>
      </c>
      <c r="D23">
        <f t="shared" si="1"/>
        <v>1.9774683515654604E-3</v>
      </c>
      <c r="E23">
        <f t="shared" si="2"/>
        <v>3.9103810814430187E-6</v>
      </c>
    </row>
    <row r="24" spans="1:5" x14ac:dyDescent="0.25">
      <c r="A24">
        <v>3.0436542857875</v>
      </c>
      <c r="B24">
        <v>4.0762315476764073E-2</v>
      </c>
      <c r="C24">
        <f t="shared" si="0"/>
        <v>3.1578815400901669E-2</v>
      </c>
      <c r="D24">
        <f t="shared" si="1"/>
        <v>9.1835000758624039E-3</v>
      </c>
      <c r="E24">
        <f t="shared" si="2"/>
        <v>8.4336673643364778E-5</v>
      </c>
    </row>
    <row r="25" spans="1:5" x14ac:dyDescent="0.25">
      <c r="A25">
        <v>3.1731701490124999</v>
      </c>
      <c r="B25">
        <v>3.3968596230636729E-2</v>
      </c>
      <c r="C25">
        <f t="shared" si="0"/>
        <v>2.5283849578212055E-2</v>
      </c>
      <c r="D25">
        <f t="shared" si="1"/>
        <v>8.6847466524246734E-3</v>
      </c>
      <c r="E25">
        <f t="shared" si="2"/>
        <v>7.5424824416801578E-5</v>
      </c>
    </row>
    <row r="26" spans="1:5" x14ac:dyDescent="0.25">
      <c r="A26">
        <v>3.3026860122375004</v>
      </c>
      <c r="B26">
        <v>2.5233814342758714E-2</v>
      </c>
      <c r="C26">
        <f t="shared" si="0"/>
        <v>2.0158999445196609E-2</v>
      </c>
      <c r="D26">
        <f t="shared" si="1"/>
        <v>5.0748148975621049E-3</v>
      </c>
      <c r="E26">
        <f t="shared" si="2"/>
        <v>2.5753746244518276E-5</v>
      </c>
    </row>
    <row r="27" spans="1:5" x14ac:dyDescent="0.25">
      <c r="A27">
        <v>3.4322018754625003</v>
      </c>
      <c r="B27">
        <v>1.8440095096631366E-2</v>
      </c>
      <c r="C27">
        <f t="shared" si="0"/>
        <v>1.600783277388243E-2</v>
      </c>
      <c r="D27">
        <f t="shared" si="1"/>
        <v>2.4322623227489362E-3</v>
      </c>
      <c r="E27">
        <f t="shared" si="2"/>
        <v>5.9159000066640507E-6</v>
      </c>
    </row>
    <row r="28" spans="1:5" x14ac:dyDescent="0.25">
      <c r="A28">
        <v>3.5617177386875003</v>
      </c>
      <c r="B28">
        <v>1.6499032454880696E-2</v>
      </c>
      <c r="C28">
        <f t="shared" si="0"/>
        <v>1.266159985887811E-2</v>
      </c>
      <c r="D28">
        <f t="shared" si="1"/>
        <v>3.8374325960025858E-3</v>
      </c>
      <c r="E28">
        <f t="shared" si="2"/>
        <v>1.4725888928863145E-5</v>
      </c>
    </row>
    <row r="29" spans="1:5" x14ac:dyDescent="0.25">
      <c r="A29">
        <v>3.6912336019124998</v>
      </c>
      <c r="B29">
        <v>1.6984298115318364E-2</v>
      </c>
      <c r="C29">
        <f t="shared" si="0"/>
        <v>9.9767173124175376E-3</v>
      </c>
      <c r="D29">
        <f t="shared" si="1"/>
        <v>7.0075808029008268E-3</v>
      </c>
      <c r="E29">
        <f t="shared" si="2"/>
        <v>4.9106188709184198E-5</v>
      </c>
    </row>
    <row r="30" spans="1:5" x14ac:dyDescent="0.25">
      <c r="A30">
        <v>3.8207494651375002</v>
      </c>
      <c r="B30">
        <v>1.5528501134005362E-2</v>
      </c>
      <c r="C30">
        <f t="shared" si="0"/>
        <v>7.8320721954868062E-3</v>
      </c>
      <c r="D30">
        <f t="shared" si="1"/>
        <v>7.6964289385185562E-3</v>
      </c>
      <c r="E30">
        <f t="shared" si="2"/>
        <v>5.9235018405665871E-5</v>
      </c>
    </row>
    <row r="31" spans="1:5" x14ac:dyDescent="0.25">
      <c r="A31">
        <v>3.9502653283625007</v>
      </c>
      <c r="B31">
        <v>5.3379222648143433E-3</v>
      </c>
      <c r="C31">
        <f t="shared" si="0"/>
        <v>6.1263142312801971E-3</v>
      </c>
      <c r="D31">
        <f t="shared" si="1"/>
        <v>-7.8839196646585379E-4</v>
      </c>
      <c r="E31">
        <f t="shared" si="2"/>
        <v>6.2156189278789591E-7</v>
      </c>
    </row>
    <row r="32" spans="1:5" x14ac:dyDescent="0.25">
      <c r="A32">
        <v>4.0797811915875002</v>
      </c>
      <c r="B32">
        <v>8.2495162274403479E-3</v>
      </c>
      <c r="C32">
        <f t="shared" si="0"/>
        <v>4.7752504253348255E-3</v>
      </c>
      <c r="D32">
        <f t="shared" si="1"/>
        <v>3.4742658021055224E-3</v>
      </c>
      <c r="E32">
        <f t="shared" si="2"/>
        <v>1.2070522863679929E-5</v>
      </c>
    </row>
    <row r="33" spans="1:5" x14ac:dyDescent="0.25">
      <c r="A33">
        <v>4.2092970548125006</v>
      </c>
      <c r="B33">
        <v>4.3673909439390082E-3</v>
      </c>
      <c r="C33">
        <f t="shared" si="0"/>
        <v>3.7094151329688553E-3</v>
      </c>
      <c r="D33">
        <f t="shared" si="1"/>
        <v>6.5797581097015289E-4</v>
      </c>
      <c r="E33">
        <f t="shared" si="2"/>
        <v>4.3293216782183035E-7</v>
      </c>
    </row>
    <row r="34" spans="1:5" x14ac:dyDescent="0.25">
      <c r="A34">
        <v>4.3388129180375001</v>
      </c>
      <c r="B34">
        <v>1.9410626417506703E-3</v>
      </c>
      <c r="C34">
        <f t="shared" si="0"/>
        <v>2.8718574570710236E-3</v>
      </c>
      <c r="D34">
        <f t="shared" si="1"/>
        <v>-9.3079481532035331E-4</v>
      </c>
      <c r="E34">
        <f t="shared" si="2"/>
        <v>8.6637898822725067E-7</v>
      </c>
    </row>
    <row r="35" spans="1:5" x14ac:dyDescent="0.25">
      <c r="A35">
        <v>4.4683287812624997</v>
      </c>
      <c r="B35">
        <v>2.4263283021883379E-3</v>
      </c>
      <c r="C35">
        <f t="shared" si="0"/>
        <v>2.2161649812883523E-3</v>
      </c>
      <c r="D35">
        <f t="shared" si="1"/>
        <v>2.1016332089998559E-4</v>
      </c>
      <c r="E35">
        <f t="shared" si="2"/>
        <v>4.4168621451710321E-8</v>
      </c>
    </row>
    <row r="36" spans="1:5" x14ac:dyDescent="0.25">
      <c r="A36">
        <v>4.5978446444875001</v>
      </c>
      <c r="B36">
        <v>2.4263283021883379E-3</v>
      </c>
      <c r="C36">
        <f t="shared" si="0"/>
        <v>1.7047266014047723E-3</v>
      </c>
      <c r="D36">
        <f t="shared" si="1"/>
        <v>7.2160170078356561E-4</v>
      </c>
      <c r="E36">
        <f t="shared" si="2"/>
        <v>5.2070901457373452E-7</v>
      </c>
    </row>
    <row r="37" spans="1:5" x14ac:dyDescent="0.25">
      <c r="A37">
        <v>4.7273605077125005</v>
      </c>
      <c r="B37">
        <v>4.8526566043766758E-4</v>
      </c>
      <c r="C37">
        <f t="shared" si="0"/>
        <v>1.3072261857785981E-3</v>
      </c>
      <c r="D37">
        <f t="shared" si="1"/>
        <v>-8.2196052534093053E-4</v>
      </c>
      <c r="E37">
        <f t="shared" si="2"/>
        <v>6.7561910521873852E-7</v>
      </c>
    </row>
    <row r="38" spans="1:5" x14ac:dyDescent="0.25">
      <c r="A38">
        <v>4.8568763709375</v>
      </c>
      <c r="B38">
        <v>0</v>
      </c>
      <c r="C38">
        <f t="shared" si="0"/>
        <v>9.9935176671670607E-4</v>
      </c>
      <c r="D38">
        <f t="shared" si="1"/>
        <v>-9.9935176671670607E-4</v>
      </c>
      <c r="E38">
        <f t="shared" si="2"/>
        <v>9.9870395363980179E-7</v>
      </c>
    </row>
    <row r="39" spans="1:5" x14ac:dyDescent="0.25">
      <c r="A39">
        <v>4.9863922341624995</v>
      </c>
      <c r="B39">
        <v>0</v>
      </c>
      <c r="C39">
        <f t="shared" si="0"/>
        <v>7.6170093779632055E-4</v>
      </c>
      <c r="D39">
        <f t="shared" si="1"/>
        <v>-7.6170093779632055E-4</v>
      </c>
      <c r="E39">
        <f t="shared" si="2"/>
        <v>5.8018831863979421E-7</v>
      </c>
    </row>
    <row r="40" spans="1:5" x14ac:dyDescent="0.25">
      <c r="A40">
        <v>5.1159080973875</v>
      </c>
      <c r="B40">
        <v>4.8526566043766758E-4</v>
      </c>
      <c r="C40">
        <f t="shared" si="0"/>
        <v>5.7886129479667564E-4</v>
      </c>
      <c r="D40">
        <f t="shared" si="1"/>
        <v>-9.3595634359008059E-5</v>
      </c>
      <c r="E40">
        <f t="shared" si="2"/>
        <v>8.7601427710651307E-9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3CE1-B961-4385-A97E-FE10B2D326E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6.4367037174999989E-2</v>
      </c>
      <c r="B1">
        <v>0.34695674192302361</v>
      </c>
      <c r="C1">
        <f>$H$3*(1+$H$1)*(A1^($H$1))*EXP(-$H$3*(A1^(1+$H$1)))</f>
        <v>0.37744617973307154</v>
      </c>
      <c r="D1">
        <f>B1-C1</f>
        <v>-3.0489437810047926E-2</v>
      </c>
      <c r="E1">
        <f>D1^2</f>
        <v>9.2960581797278002E-4</v>
      </c>
      <c r="G1" t="s">
        <v>0</v>
      </c>
      <c r="H1">
        <v>0.42909654946805331</v>
      </c>
    </row>
    <row r="2" spans="1:8" x14ac:dyDescent="0.25">
      <c r="A2">
        <v>0.188813893525</v>
      </c>
      <c r="B2">
        <v>0.62522917976812697</v>
      </c>
      <c r="C2">
        <f t="shared" ref="C2:C40" si="0">$H$3*(1+$H$1)*(A2^($H$1))*EXP(-$H$3*(A2^(1+$H$1)))</f>
        <v>0.56227145756133645</v>
      </c>
      <c r="D2">
        <f t="shared" ref="D2:D40" si="1">B2-C2</f>
        <v>6.2957722206790523E-2</v>
      </c>
      <c r="E2">
        <f t="shared" ref="E2:E40" si="2">D2^2</f>
        <v>3.9636747854674042E-3</v>
      </c>
    </row>
    <row r="3" spans="1:8" x14ac:dyDescent="0.25">
      <c r="A3">
        <v>0.31326074987499997</v>
      </c>
      <c r="B3">
        <v>0.63330968613023519</v>
      </c>
      <c r="C3">
        <f t="shared" si="0"/>
        <v>0.64145771018796793</v>
      </c>
      <c r="D3">
        <f t="shared" si="1"/>
        <v>-8.148024057732739E-3</v>
      </c>
      <c r="E3">
        <f t="shared" si="2"/>
        <v>6.6390296045391495E-5</v>
      </c>
      <c r="G3" t="s">
        <v>1</v>
      </c>
      <c r="H3">
        <f>(_xlfn.GAMMA((2+$H$1)/(1+$H$1)))^(1+$H$1)</f>
        <v>0.87197452385021956</v>
      </c>
    </row>
    <row r="4" spans="1:8" x14ac:dyDescent="0.25">
      <c r="A4">
        <v>0.43770760622499993</v>
      </c>
      <c r="B4">
        <v>0.61664364175838693</v>
      </c>
      <c r="C4">
        <f t="shared" si="0"/>
        <v>0.66883433996488928</v>
      </c>
      <c r="D4">
        <f t="shared" si="1"/>
        <v>-5.2190698206502351E-2</v>
      </c>
      <c r="E4">
        <f t="shared" si="2"/>
        <v>2.7238689792822078E-3</v>
      </c>
    </row>
    <row r="5" spans="1:8" x14ac:dyDescent="0.25">
      <c r="A5">
        <v>0.5621544625749999</v>
      </c>
      <c r="B5">
        <v>0.62825936965391749</v>
      </c>
      <c r="C5">
        <f t="shared" si="0"/>
        <v>0.66368448945036951</v>
      </c>
      <c r="D5">
        <f t="shared" si="1"/>
        <v>-3.542511979645202E-2</v>
      </c>
      <c r="E5">
        <f t="shared" si="2"/>
        <v>1.2549391125929769E-3</v>
      </c>
      <c r="G5" t="s">
        <v>2</v>
      </c>
      <c r="H5">
        <f>SUM(E1:E40)</f>
        <v>3.4481672134808225E-2</v>
      </c>
    </row>
    <row r="6" spans="1:8" x14ac:dyDescent="0.25">
      <c r="A6">
        <v>0.68660131892499998</v>
      </c>
      <c r="B6">
        <v>0.70653927503684133</v>
      </c>
      <c r="C6">
        <f t="shared" si="0"/>
        <v>0.63712627895578611</v>
      </c>
      <c r="D6">
        <f t="shared" si="1"/>
        <v>6.9412996081055223E-2</v>
      </c>
      <c r="E6">
        <f t="shared" si="2"/>
        <v>4.8181640249485881E-3</v>
      </c>
    </row>
    <row r="7" spans="1:8" x14ac:dyDescent="0.25">
      <c r="A7">
        <v>0.81104817527499984</v>
      </c>
      <c r="B7">
        <v>0.67068202805498589</v>
      </c>
      <c r="C7">
        <f t="shared" si="0"/>
        <v>0.59675471146388093</v>
      </c>
      <c r="D7">
        <f t="shared" si="1"/>
        <v>7.3927316591104963E-2</v>
      </c>
      <c r="E7">
        <f t="shared" si="2"/>
        <v>5.4652481383614636E-3</v>
      </c>
    </row>
    <row r="8" spans="1:8" x14ac:dyDescent="0.25">
      <c r="A8">
        <v>0.93549503162499992</v>
      </c>
      <c r="B8">
        <v>0.60704804045338334</v>
      </c>
      <c r="C8">
        <f t="shared" si="0"/>
        <v>0.54810765639369796</v>
      </c>
      <c r="D8">
        <f t="shared" si="1"/>
        <v>5.894038405968538E-2</v>
      </c>
      <c r="E8">
        <f t="shared" si="2"/>
        <v>3.4739688731032143E-3</v>
      </c>
    </row>
    <row r="9" spans="1:8" x14ac:dyDescent="0.25">
      <c r="A9">
        <v>1.059941887975</v>
      </c>
      <c r="B9">
        <v>0.50351655268887119</v>
      </c>
      <c r="C9">
        <f t="shared" si="0"/>
        <v>0.49529917023312703</v>
      </c>
      <c r="D9">
        <f t="shared" si="1"/>
        <v>8.2173824557441599E-3</v>
      </c>
      <c r="E9">
        <f t="shared" si="2"/>
        <v>6.7525374423971918E-5</v>
      </c>
    </row>
    <row r="10" spans="1:8" x14ac:dyDescent="0.25">
      <c r="A10">
        <v>1.1843887443250001</v>
      </c>
      <c r="B10">
        <v>0.41412595105804856</v>
      </c>
      <c r="C10">
        <f t="shared" si="0"/>
        <v>0.44136725624242062</v>
      </c>
      <c r="D10">
        <f t="shared" si="1"/>
        <v>-2.7241305184372067E-2</v>
      </c>
      <c r="E10">
        <f t="shared" si="2"/>
        <v>7.4208870814809638E-4</v>
      </c>
    </row>
    <row r="11" spans="1:8" x14ac:dyDescent="0.25">
      <c r="A11">
        <v>1.3088356006749999</v>
      </c>
      <c r="B11">
        <v>0.32271522283669879</v>
      </c>
      <c r="C11">
        <f t="shared" si="0"/>
        <v>0.38850431104398503</v>
      </c>
      <c r="D11">
        <f t="shared" si="1"/>
        <v>-6.5789088207286239E-2</v>
      </c>
      <c r="E11">
        <f t="shared" si="2"/>
        <v>4.3282041271460892E-3</v>
      </c>
    </row>
    <row r="12" spans="1:8" x14ac:dyDescent="0.25">
      <c r="A12">
        <v>1.4332824570249998</v>
      </c>
      <c r="B12">
        <v>0.29392841892168808</v>
      </c>
      <c r="C12">
        <f t="shared" si="0"/>
        <v>0.3382305772450292</v>
      </c>
      <c r="D12">
        <f t="shared" si="1"/>
        <v>-4.4302158323341112E-2</v>
      </c>
      <c r="E12">
        <f t="shared" si="2"/>
        <v>1.9626812321063823E-3</v>
      </c>
    </row>
    <row r="13" spans="1:8" x14ac:dyDescent="0.25">
      <c r="A13">
        <v>1.5577293133749999</v>
      </c>
      <c r="B13">
        <v>0.24645544404430206</v>
      </c>
      <c r="C13">
        <f t="shared" si="0"/>
        <v>0.2915343119937</v>
      </c>
      <c r="D13">
        <f t="shared" si="1"/>
        <v>-4.5078867949397944E-2</v>
      </c>
      <c r="E13">
        <f t="shared" si="2"/>
        <v>2.032104335599257E-3</v>
      </c>
    </row>
    <row r="14" spans="1:8" x14ac:dyDescent="0.25">
      <c r="A14">
        <v>1.6821761697249999</v>
      </c>
      <c r="B14">
        <v>0.21615354518639607</v>
      </c>
      <c r="C14">
        <f t="shared" si="0"/>
        <v>0.24898864877527921</v>
      </c>
      <c r="D14">
        <f t="shared" si="1"/>
        <v>-3.2835103588883141E-2</v>
      </c>
      <c r="E14">
        <f t="shared" si="2"/>
        <v>1.0781440276926865E-3</v>
      </c>
    </row>
    <row r="15" spans="1:8" x14ac:dyDescent="0.25">
      <c r="A15">
        <v>1.8066230260749998</v>
      </c>
      <c r="B15">
        <v>0.1883768045666489</v>
      </c>
      <c r="C15">
        <f t="shared" si="0"/>
        <v>0.21084974680070806</v>
      </c>
      <c r="D15">
        <f t="shared" si="1"/>
        <v>-2.2472942234059157E-2</v>
      </c>
      <c r="E15">
        <f t="shared" si="2"/>
        <v>5.0503313265535979E-4</v>
      </c>
    </row>
    <row r="16" spans="1:8" x14ac:dyDescent="0.25">
      <c r="A16">
        <v>1.9310698824249999</v>
      </c>
      <c r="B16">
        <v>0.15857993735637468</v>
      </c>
      <c r="C16">
        <f t="shared" si="0"/>
        <v>0.17713873572992828</v>
      </c>
      <c r="D16">
        <f t="shared" si="1"/>
        <v>-1.8558798373553592E-2</v>
      </c>
      <c r="E16">
        <f t="shared" si="2"/>
        <v>3.4442899707021548E-4</v>
      </c>
    </row>
    <row r="17" spans="1:5" x14ac:dyDescent="0.25">
      <c r="A17">
        <v>2.0555167387749997</v>
      </c>
      <c r="B17">
        <v>0.14847930440373935</v>
      </c>
      <c r="C17">
        <f t="shared" si="0"/>
        <v>0.14770921836802314</v>
      </c>
      <c r="D17">
        <f t="shared" si="1"/>
        <v>7.7008603571621093E-4</v>
      </c>
      <c r="E17">
        <f t="shared" si="2"/>
        <v>5.9303250240510932E-7</v>
      </c>
    </row>
    <row r="18" spans="1:5" x14ac:dyDescent="0.25">
      <c r="A18">
        <v>2.1799635951249998</v>
      </c>
      <c r="B18">
        <v>0.12171262707925573</v>
      </c>
      <c r="C18">
        <f t="shared" si="0"/>
        <v>0.12230187842930447</v>
      </c>
      <c r="D18">
        <f t="shared" si="1"/>
        <v>-5.8925135004873896E-4</v>
      </c>
      <c r="E18">
        <f t="shared" si="2"/>
        <v>3.4721715353426148E-7</v>
      </c>
    </row>
    <row r="19" spans="1:5" x14ac:dyDescent="0.25">
      <c r="A19">
        <v>2.3044104514749999</v>
      </c>
      <c r="B19">
        <v>0.10050129787872153</v>
      </c>
      <c r="C19">
        <f t="shared" si="0"/>
        <v>0.10058770531454526</v>
      </c>
      <c r="D19">
        <f t="shared" si="1"/>
        <v>-8.6407435823734891E-5</v>
      </c>
      <c r="E19">
        <f t="shared" si="2"/>
        <v>7.4662449656328632E-9</v>
      </c>
    </row>
    <row r="20" spans="1:5" x14ac:dyDescent="0.25">
      <c r="A20">
        <v>2.428857307825</v>
      </c>
      <c r="B20">
        <v>9.090569657371797E-2</v>
      </c>
      <c r="C20">
        <f t="shared" si="0"/>
        <v>8.2201344796908021E-2</v>
      </c>
      <c r="D20">
        <f t="shared" si="1"/>
        <v>8.7043517768099488E-3</v>
      </c>
      <c r="E20">
        <f t="shared" si="2"/>
        <v>7.5765739854454506E-5</v>
      </c>
    </row>
    <row r="21" spans="1:5" x14ac:dyDescent="0.25">
      <c r="A21">
        <v>2.5533041641749996</v>
      </c>
      <c r="B21">
        <v>6.5149082544497874E-2</v>
      </c>
      <c r="C21">
        <f t="shared" si="0"/>
        <v>6.6766056399899021E-2</v>
      </c>
      <c r="D21">
        <f t="shared" si="1"/>
        <v>-1.6169738554011465E-3</v>
      </c>
      <c r="E21">
        <f t="shared" si="2"/>
        <v>2.6146044490508477E-6</v>
      </c>
    </row>
    <row r="22" spans="1:5" x14ac:dyDescent="0.25">
      <c r="A22">
        <v>2.6777510205250001</v>
      </c>
      <c r="B22">
        <v>6.7674240782656714E-2</v>
      </c>
      <c r="C22">
        <f t="shared" si="0"/>
        <v>5.3911689753524672E-2</v>
      </c>
      <c r="D22">
        <f t="shared" si="1"/>
        <v>1.3762551029132042E-2</v>
      </c>
      <c r="E22">
        <f t="shared" si="2"/>
        <v>1.8940781082946344E-4</v>
      </c>
    </row>
    <row r="23" spans="1:5" x14ac:dyDescent="0.25">
      <c r="A23">
        <v>2.8021978768749998</v>
      </c>
      <c r="B23">
        <v>5.5553481239494315E-2</v>
      </c>
      <c r="C23">
        <f t="shared" si="0"/>
        <v>4.3286986515428963E-2</v>
      </c>
      <c r="D23">
        <f t="shared" si="1"/>
        <v>1.2266494724065352E-2</v>
      </c>
      <c r="E23">
        <f t="shared" si="2"/>
        <v>1.5046689281552312E-4</v>
      </c>
    </row>
    <row r="24" spans="1:5" x14ac:dyDescent="0.25">
      <c r="A24">
        <v>2.9266447332249994</v>
      </c>
      <c r="B24">
        <v>4.1917626753436618E-2</v>
      </c>
      <c r="C24">
        <f t="shared" si="0"/>
        <v>3.4567381825133608E-2</v>
      </c>
      <c r="D24">
        <f t="shared" si="1"/>
        <v>7.3502449283030097E-3</v>
      </c>
      <c r="E24">
        <f t="shared" si="2"/>
        <v>5.4026100506044114E-5</v>
      </c>
    </row>
    <row r="25" spans="1:5" x14ac:dyDescent="0.25">
      <c r="A25">
        <v>3.0510915895749999</v>
      </c>
      <c r="B25">
        <v>3.3332088743696593E-2</v>
      </c>
      <c r="C25">
        <f t="shared" si="0"/>
        <v>2.7459331516731536E-2</v>
      </c>
      <c r="D25">
        <f t="shared" si="1"/>
        <v>5.8727572269650571E-3</v>
      </c>
      <c r="E25">
        <f t="shared" si="2"/>
        <v>3.4489277446870309E-5</v>
      </c>
    </row>
    <row r="26" spans="1:5" x14ac:dyDescent="0.25">
      <c r="A26">
        <v>3.1755384459249996</v>
      </c>
      <c r="B26">
        <v>2.8786803915010692E-2</v>
      </c>
      <c r="C26">
        <f t="shared" si="0"/>
        <v>2.1702039136438811E-2</v>
      </c>
      <c r="D26">
        <f t="shared" si="1"/>
        <v>7.0847647785718809E-3</v>
      </c>
      <c r="E26">
        <f t="shared" si="2"/>
        <v>5.0193891967692671E-5</v>
      </c>
    </row>
    <row r="27" spans="1:5" x14ac:dyDescent="0.25">
      <c r="A27">
        <v>3.2999853022750001</v>
      </c>
      <c r="B27">
        <v>2.2726424143429493E-2</v>
      </c>
      <c r="C27">
        <f t="shared" si="0"/>
        <v>1.7067308715543187E-2</v>
      </c>
      <c r="D27">
        <f t="shared" si="1"/>
        <v>5.6591154278863055E-3</v>
      </c>
      <c r="E27">
        <f t="shared" si="2"/>
        <v>3.2025587426140804E-5</v>
      </c>
    </row>
    <row r="28" spans="1:5" x14ac:dyDescent="0.25">
      <c r="A28">
        <v>3.4244321586249997</v>
      </c>
      <c r="B28">
        <v>1.9191202610007129E-2</v>
      </c>
      <c r="C28">
        <f t="shared" si="0"/>
        <v>1.3358111344494866E-2</v>
      </c>
      <c r="D28">
        <f t="shared" si="1"/>
        <v>5.8330912655122635E-3</v>
      </c>
      <c r="E28">
        <f t="shared" si="2"/>
        <v>3.4024953711795462E-5</v>
      </c>
    </row>
    <row r="29" spans="1:5" x14ac:dyDescent="0.25">
      <c r="A29">
        <v>3.5488790149749994</v>
      </c>
      <c r="B29">
        <v>1.5655981076584762E-2</v>
      </c>
      <c r="C29">
        <f t="shared" si="0"/>
        <v>1.0406329748787758E-2</v>
      </c>
      <c r="D29">
        <f t="shared" si="1"/>
        <v>5.2496513277970041E-3</v>
      </c>
      <c r="E29">
        <f t="shared" si="2"/>
        <v>2.7558839063440848E-5</v>
      </c>
    </row>
    <row r="30" spans="1:5" x14ac:dyDescent="0.25">
      <c r="A30">
        <v>3.6733258713249999</v>
      </c>
      <c r="B30">
        <v>1.464591778132123E-2</v>
      </c>
      <c r="C30">
        <f t="shared" si="0"/>
        <v>8.0700372700822139E-3</v>
      </c>
      <c r="D30">
        <f t="shared" si="1"/>
        <v>6.5758805112390156E-3</v>
      </c>
      <c r="E30">
        <f t="shared" si="2"/>
        <v>4.3242204498093098E-5</v>
      </c>
    </row>
    <row r="31" spans="1:5" x14ac:dyDescent="0.25">
      <c r="A31">
        <v>3.7977727276749995</v>
      </c>
      <c r="B31">
        <v>9.0905696573717974E-3</v>
      </c>
      <c r="C31">
        <f t="shared" si="0"/>
        <v>6.2305764315172193E-3</v>
      </c>
      <c r="D31">
        <f t="shared" si="1"/>
        <v>2.859993225854578E-3</v>
      </c>
      <c r="E31">
        <f t="shared" si="2"/>
        <v>8.1795612519340755E-6</v>
      </c>
    </row>
    <row r="32" spans="1:5" x14ac:dyDescent="0.25">
      <c r="A32">
        <v>3.922219584025</v>
      </c>
      <c r="B32">
        <v>9.0905696573717974E-3</v>
      </c>
      <c r="C32">
        <f t="shared" si="0"/>
        <v>4.7896270803213818E-3</v>
      </c>
      <c r="D32">
        <f t="shared" si="1"/>
        <v>4.3009425770504156E-3</v>
      </c>
      <c r="E32">
        <f t="shared" si="2"/>
        <v>1.8498107051085069E-5</v>
      </c>
    </row>
    <row r="33" spans="1:5" x14ac:dyDescent="0.25">
      <c r="A33">
        <v>4.0466664403749997</v>
      </c>
      <c r="B33">
        <v>3.5352215334223656E-3</v>
      </c>
      <c r="C33">
        <f t="shared" si="0"/>
        <v>3.6663937165860388E-3</v>
      </c>
      <c r="D33">
        <f t="shared" si="1"/>
        <v>-1.3117218316367318E-4</v>
      </c>
      <c r="E33">
        <f t="shared" si="2"/>
        <v>1.7206141635924223E-8</v>
      </c>
    </row>
    <row r="34" spans="1:5" x14ac:dyDescent="0.25">
      <c r="A34">
        <v>4.1711132967249993</v>
      </c>
      <c r="B34">
        <v>3.0301898857905993E-3</v>
      </c>
      <c r="C34">
        <f t="shared" si="0"/>
        <v>2.7949943865971912E-3</v>
      </c>
      <c r="D34">
        <f t="shared" si="1"/>
        <v>2.3519549919340807E-4</v>
      </c>
      <c r="E34">
        <f t="shared" si="2"/>
        <v>5.5316922840836418E-8</v>
      </c>
    </row>
    <row r="35" spans="1:5" x14ac:dyDescent="0.25">
      <c r="A35">
        <v>4.2955601530749998</v>
      </c>
      <c r="B35">
        <v>3.5352215334223656E-3</v>
      </c>
      <c r="C35">
        <f t="shared" si="0"/>
        <v>2.122097610295328E-3</v>
      </c>
      <c r="D35">
        <f t="shared" si="1"/>
        <v>1.4131239231270376E-3</v>
      </c>
      <c r="E35">
        <f t="shared" si="2"/>
        <v>1.9969192221139496E-6</v>
      </c>
    </row>
    <row r="36" spans="1:5" x14ac:dyDescent="0.25">
      <c r="A36">
        <v>4.4200070094249995</v>
      </c>
      <c r="B36">
        <v>1.5150949428952996E-3</v>
      </c>
      <c r="C36">
        <f t="shared" si="0"/>
        <v>1.6048273741255882E-3</v>
      </c>
      <c r="D36">
        <f t="shared" si="1"/>
        <v>-8.9732431230288593E-5</v>
      </c>
      <c r="E36">
        <f t="shared" si="2"/>
        <v>8.0519092144984718E-9</v>
      </c>
    </row>
    <row r="37" spans="1:5" x14ac:dyDescent="0.25">
      <c r="A37">
        <v>4.5444538657750009</v>
      </c>
      <c r="B37">
        <v>0</v>
      </c>
      <c r="C37">
        <f t="shared" si="0"/>
        <v>1.2089374954389657E-3</v>
      </c>
      <c r="D37">
        <f t="shared" si="1"/>
        <v>-1.2089374954389657E-3</v>
      </c>
      <c r="E37">
        <f t="shared" si="2"/>
        <v>1.461529867878239E-6</v>
      </c>
    </row>
    <row r="38" spans="1:5" x14ac:dyDescent="0.25">
      <c r="A38">
        <v>4.6689007221250005</v>
      </c>
      <c r="B38">
        <v>5.0503164763176654E-4</v>
      </c>
      <c r="C38">
        <f t="shared" si="0"/>
        <v>9.0724405905361571E-4</v>
      </c>
      <c r="D38">
        <f t="shared" si="1"/>
        <v>-4.0221241142184916E-4</v>
      </c>
      <c r="E38">
        <f t="shared" si="2"/>
        <v>1.6177482390177885E-7</v>
      </c>
    </row>
    <row r="39" spans="1:5" x14ac:dyDescent="0.25">
      <c r="A39">
        <v>4.7933475784749993</v>
      </c>
      <c r="B39">
        <v>0</v>
      </c>
      <c r="C39">
        <f t="shared" si="0"/>
        <v>6.7829674726437549E-4</v>
      </c>
      <c r="D39">
        <f t="shared" si="1"/>
        <v>-6.7829674726437549E-4</v>
      </c>
      <c r="E39">
        <f t="shared" si="2"/>
        <v>4.6008647734943208E-7</v>
      </c>
    </row>
    <row r="40" spans="1:5" x14ac:dyDescent="0.25">
      <c r="A40">
        <v>4.9177944348249998</v>
      </c>
      <c r="B40">
        <v>5.0503164763176654E-4</v>
      </c>
      <c r="C40">
        <f t="shared" si="0"/>
        <v>5.0526555073869995E-4</v>
      </c>
      <c r="D40">
        <f t="shared" si="1"/>
        <v>-2.3390310693340282E-7</v>
      </c>
      <c r="E40">
        <f t="shared" si="2"/>
        <v>5.4710663433098876E-14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FB5F-639F-439A-9FCF-33BAC9F2BB8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6.4080394550000003E-2</v>
      </c>
      <c r="B1">
        <v>0.29283230409080552</v>
      </c>
      <c r="C1">
        <f>$H$3*(1+$H$1)*(A1^($H$1))*EXP(-$H$3*(A1^(1+$H$1)))</f>
        <v>0.32792429326268546</v>
      </c>
      <c r="D1">
        <f>B1-C1</f>
        <v>-3.5091989171879945E-2</v>
      </c>
      <c r="E1">
        <f>D1^2</f>
        <v>1.2314477040393393E-3</v>
      </c>
      <c r="G1" t="s">
        <v>0</v>
      </c>
      <c r="H1">
        <v>0.4908221307790076</v>
      </c>
    </row>
    <row r="2" spans="1:8" x14ac:dyDescent="0.25">
      <c r="A2">
        <v>0.18384203565000001</v>
      </c>
      <c r="B2">
        <v>0.56939614684323303</v>
      </c>
      <c r="C2">
        <f t="shared" ref="C2:C40" si="0">$H$3*(1+$H$1)*(A2^($H$1))*EXP(-$H$3*(A2^(1+$H$1)))</f>
        <v>0.5209040147420464</v>
      </c>
      <c r="D2">
        <f t="shared" ref="D2:D40" si="1">B2-C2</f>
        <v>4.8492132101186636E-2</v>
      </c>
      <c r="E2">
        <f t="shared" ref="E2:E40" si="2">D2^2</f>
        <v>2.3514868757189356E-3</v>
      </c>
    </row>
    <row r="3" spans="1:8" x14ac:dyDescent="0.25">
      <c r="A3">
        <v>0.30360367675</v>
      </c>
      <c r="B3">
        <v>0.6418170392527871</v>
      </c>
      <c r="C3">
        <f t="shared" si="0"/>
        <v>0.61722464034122637</v>
      </c>
      <c r="D3">
        <f t="shared" si="1"/>
        <v>2.4592398911560731E-2</v>
      </c>
      <c r="E3">
        <f t="shared" si="2"/>
        <v>6.0478608422533347E-4</v>
      </c>
      <c r="G3" t="s">
        <v>1</v>
      </c>
      <c r="H3">
        <f>(_xlfn.GAMMA((2+$H$1)/(1+$H$1)))^(1+$H$1)</f>
        <v>0.85949449237680386</v>
      </c>
    </row>
    <row r="4" spans="1:8" x14ac:dyDescent="0.25">
      <c r="A4">
        <v>0.42336531784999998</v>
      </c>
      <c r="B4">
        <v>0.63604435942304005</v>
      </c>
      <c r="C4">
        <f t="shared" si="0"/>
        <v>0.66193111115281189</v>
      </c>
      <c r="D4">
        <f t="shared" si="1"/>
        <v>-2.588675172977184E-2</v>
      </c>
      <c r="E4">
        <f t="shared" si="2"/>
        <v>6.7012391511884529E-4</v>
      </c>
    </row>
    <row r="5" spans="1:8" x14ac:dyDescent="0.25">
      <c r="A5">
        <v>0.54312695894999996</v>
      </c>
      <c r="B5">
        <v>0.64339140647908166</v>
      </c>
      <c r="C5">
        <f t="shared" si="0"/>
        <v>0.67189798476708829</v>
      </c>
      <c r="D5">
        <f t="shared" si="1"/>
        <v>-2.8506578288006623E-2</v>
      </c>
      <c r="E5">
        <f t="shared" si="2"/>
        <v>8.1262500569025066E-4</v>
      </c>
      <c r="G5" t="s">
        <v>2</v>
      </c>
      <c r="H5">
        <f>SUM(E1:E40)</f>
        <v>2.944878071710862E-2</v>
      </c>
    </row>
    <row r="6" spans="1:8" x14ac:dyDescent="0.25">
      <c r="A6">
        <v>0.66288860004999994</v>
      </c>
      <c r="B6">
        <v>0.63866830480019776</v>
      </c>
      <c r="C6">
        <f t="shared" si="0"/>
        <v>0.65736509200749427</v>
      </c>
      <c r="D6">
        <f t="shared" si="1"/>
        <v>-1.8696787207296506E-2</v>
      </c>
      <c r="E6">
        <f t="shared" si="2"/>
        <v>3.4956985187492627E-4</v>
      </c>
    </row>
    <row r="7" spans="1:8" x14ac:dyDescent="0.25">
      <c r="A7">
        <v>0.78265024114999981</v>
      </c>
      <c r="B7">
        <v>0.66280860227004912</v>
      </c>
      <c r="C7">
        <f t="shared" si="0"/>
        <v>0.62574326308775041</v>
      </c>
      <c r="D7">
        <f t="shared" si="1"/>
        <v>3.7065339182298707E-2</v>
      </c>
      <c r="E7">
        <f t="shared" si="2"/>
        <v>1.3738393686988477E-3</v>
      </c>
    </row>
    <row r="8" spans="1:8" x14ac:dyDescent="0.25">
      <c r="A8">
        <v>0.90241188224999991</v>
      </c>
      <c r="B8">
        <v>0.67697790730670104</v>
      </c>
      <c r="C8">
        <f t="shared" si="0"/>
        <v>0.58276066784263436</v>
      </c>
      <c r="D8">
        <f t="shared" si="1"/>
        <v>9.4217239464066682E-2</v>
      </c>
      <c r="E8">
        <f t="shared" si="2"/>
        <v>8.8768882122292839E-3</v>
      </c>
    </row>
    <row r="9" spans="1:8" x14ac:dyDescent="0.25">
      <c r="A9">
        <v>1.02217352335</v>
      </c>
      <c r="B9">
        <v>0.58041671742729561</v>
      </c>
      <c r="C9">
        <f t="shared" si="0"/>
        <v>0.53292241855782474</v>
      </c>
      <c r="D9">
        <f t="shared" si="1"/>
        <v>4.7494298869470875E-2</v>
      </c>
      <c r="E9">
        <f t="shared" si="2"/>
        <v>2.2557084251026223E-3</v>
      </c>
    </row>
    <row r="10" spans="1:8" x14ac:dyDescent="0.25">
      <c r="A10">
        <v>1.14193516445</v>
      </c>
      <c r="B10">
        <v>0.47650848049184846</v>
      </c>
      <c r="C10">
        <f t="shared" si="0"/>
        <v>0.47974879283269434</v>
      </c>
      <c r="D10">
        <f t="shared" si="1"/>
        <v>-3.2403123408458745E-3</v>
      </c>
      <c r="E10">
        <f t="shared" si="2"/>
        <v>1.0499624066238071E-5</v>
      </c>
    </row>
    <row r="11" spans="1:8" x14ac:dyDescent="0.25">
      <c r="A11">
        <v>1.2616968055499997</v>
      </c>
      <c r="B11">
        <v>0.38991828304564252</v>
      </c>
      <c r="C11">
        <f t="shared" si="0"/>
        <v>0.42593381672258313</v>
      </c>
      <c r="D11">
        <f t="shared" si="1"/>
        <v>-3.6015533676940603E-2</v>
      </c>
      <c r="E11">
        <f t="shared" si="2"/>
        <v>1.2971186660348428E-3</v>
      </c>
    </row>
    <row r="12" spans="1:8" x14ac:dyDescent="0.25">
      <c r="A12">
        <v>1.3814584466499999</v>
      </c>
      <c r="B12">
        <v>0.33219148474817189</v>
      </c>
      <c r="C12">
        <f t="shared" si="0"/>
        <v>0.37347265739507846</v>
      </c>
      <c r="D12">
        <f t="shared" si="1"/>
        <v>-4.1281172646906561E-2</v>
      </c>
      <c r="E12">
        <f t="shared" si="2"/>
        <v>1.7041352151037064E-3</v>
      </c>
    </row>
    <row r="13" spans="1:8" x14ac:dyDescent="0.25">
      <c r="A13">
        <v>1.5012200877499999</v>
      </c>
      <c r="B13">
        <v>0.26291932679120711</v>
      </c>
      <c r="C13">
        <f t="shared" si="0"/>
        <v>0.32377449252840262</v>
      </c>
      <c r="D13">
        <f t="shared" si="1"/>
        <v>-6.0855165737195516E-2</v>
      </c>
      <c r="E13">
        <f t="shared" si="2"/>
        <v>3.7033511969015351E-3</v>
      </c>
    </row>
    <row r="14" spans="1:8" x14ac:dyDescent="0.25">
      <c r="A14">
        <v>1.6209817288499999</v>
      </c>
      <c r="B14">
        <v>0.24087818562308197</v>
      </c>
      <c r="C14">
        <f t="shared" si="0"/>
        <v>0.27776578636954163</v>
      </c>
      <c r="D14">
        <f t="shared" si="1"/>
        <v>-3.6887600746459664E-2</v>
      </c>
      <c r="E14">
        <f t="shared" si="2"/>
        <v>1.3606950888302115E-3</v>
      </c>
    </row>
    <row r="15" spans="1:8" x14ac:dyDescent="0.25">
      <c r="A15">
        <v>1.7407433699499999</v>
      </c>
      <c r="B15">
        <v>0.20466773941830496</v>
      </c>
      <c r="C15">
        <f t="shared" si="0"/>
        <v>0.2359846150333719</v>
      </c>
      <c r="D15">
        <f t="shared" si="1"/>
        <v>-3.1316875615066936E-2</v>
      </c>
      <c r="E15">
        <f t="shared" si="2"/>
        <v>9.8074669828957417E-4</v>
      </c>
    </row>
    <row r="16" spans="1:8" x14ac:dyDescent="0.25">
      <c r="A16">
        <v>1.8605050110499999</v>
      </c>
      <c r="B16">
        <v>0.17055644951525412</v>
      </c>
      <c r="C16">
        <f t="shared" si="0"/>
        <v>0.19866538467972814</v>
      </c>
      <c r="D16">
        <f t="shared" si="1"/>
        <v>-2.8108935164474019E-2</v>
      </c>
      <c r="E16">
        <f t="shared" si="2"/>
        <v>7.9011223608060411E-4</v>
      </c>
    </row>
    <row r="17" spans="1:5" x14ac:dyDescent="0.25">
      <c r="A17">
        <v>1.9802666521500001</v>
      </c>
      <c r="B17">
        <v>0.1611102461574862</v>
      </c>
      <c r="C17">
        <f t="shared" si="0"/>
        <v>0.16581320237211128</v>
      </c>
      <c r="D17">
        <f t="shared" si="1"/>
        <v>-4.7029562146250758E-3</v>
      </c>
      <c r="E17">
        <f t="shared" si="2"/>
        <v>2.2117797156680623E-5</v>
      </c>
    </row>
    <row r="18" spans="1:5" x14ac:dyDescent="0.25">
      <c r="A18">
        <v>2.1000282932500003</v>
      </c>
      <c r="B18">
        <v>0.12699895625443539</v>
      </c>
      <c r="C18">
        <f t="shared" si="0"/>
        <v>0.13726752646347587</v>
      </c>
      <c r="D18">
        <f t="shared" si="1"/>
        <v>-1.0268570209040484E-2</v>
      </c>
      <c r="E18">
        <f t="shared" si="2"/>
        <v>1.0544353413799372E-4</v>
      </c>
    </row>
    <row r="19" spans="1:5" x14ac:dyDescent="0.25">
      <c r="A19">
        <v>2.2197899343499996</v>
      </c>
      <c r="B19">
        <v>0.11807754197209901</v>
      </c>
      <c r="C19">
        <f t="shared" si="0"/>
        <v>0.11275519790614649</v>
      </c>
      <c r="D19">
        <f t="shared" si="1"/>
        <v>5.322344065952514E-3</v>
      </c>
      <c r="E19">
        <f t="shared" si="2"/>
        <v>2.8327346356379939E-5</v>
      </c>
    </row>
    <row r="20" spans="1:5" x14ac:dyDescent="0.25">
      <c r="A20">
        <v>2.3395515754499998</v>
      </c>
      <c r="B20">
        <v>8.6590197446205941E-2</v>
      </c>
      <c r="C20">
        <f t="shared" si="0"/>
        <v>9.1933383909081248E-2</v>
      </c>
      <c r="D20">
        <f t="shared" si="1"/>
        <v>-5.3431864628753073E-3</v>
      </c>
      <c r="E20">
        <f t="shared" si="2"/>
        <v>2.8549641577053939E-5</v>
      </c>
    </row>
    <row r="21" spans="1:5" x14ac:dyDescent="0.25">
      <c r="A21">
        <v>2.45931321655</v>
      </c>
      <c r="B21">
        <v>8.0292728541027328E-2</v>
      </c>
      <c r="C21">
        <f t="shared" si="0"/>
        <v>7.4423291427894903E-2</v>
      </c>
      <c r="D21">
        <f t="shared" si="1"/>
        <v>5.8694371131324252E-3</v>
      </c>
      <c r="E21">
        <f t="shared" si="2"/>
        <v>3.4450292025016301E-5</v>
      </c>
    </row>
    <row r="22" spans="1:5" x14ac:dyDescent="0.25">
      <c r="A22">
        <v>2.5790748576500002</v>
      </c>
      <c r="B22">
        <v>6.9796947032396306E-2</v>
      </c>
      <c r="C22">
        <f t="shared" si="0"/>
        <v>5.98357168173443E-2</v>
      </c>
      <c r="D22">
        <f t="shared" si="1"/>
        <v>9.9612302150520055E-3</v>
      </c>
      <c r="E22">
        <f t="shared" si="2"/>
        <v>9.922610739726502E-5</v>
      </c>
    </row>
    <row r="23" spans="1:5" x14ac:dyDescent="0.25">
      <c r="A23">
        <v>2.6988364987499995</v>
      </c>
      <c r="B23">
        <v>6.402426720264924E-2</v>
      </c>
      <c r="C23">
        <f t="shared" si="0"/>
        <v>4.7789598973402028E-2</v>
      </c>
      <c r="D23">
        <f t="shared" si="1"/>
        <v>1.6234668229247212E-2</v>
      </c>
      <c r="E23">
        <f t="shared" si="2"/>
        <v>2.6356445251372884E-4</v>
      </c>
    </row>
    <row r="24" spans="1:5" x14ac:dyDescent="0.25">
      <c r="A24">
        <v>2.8185981398499997</v>
      </c>
      <c r="B24">
        <v>4.3557493260818744E-2</v>
      </c>
      <c r="C24">
        <f t="shared" si="0"/>
        <v>3.7924755776174573E-2</v>
      </c>
      <c r="D24">
        <f t="shared" si="1"/>
        <v>5.6327374846441708E-3</v>
      </c>
      <c r="E24">
        <f t="shared" si="2"/>
        <v>3.1727731570915537E-5</v>
      </c>
    </row>
    <row r="25" spans="1:5" x14ac:dyDescent="0.25">
      <c r="A25">
        <v>2.9383597809499999</v>
      </c>
      <c r="B25">
        <v>3.6210446204777029E-2</v>
      </c>
      <c r="C25">
        <f t="shared" si="0"/>
        <v>2.9909929911208579E-2</v>
      </c>
      <c r="D25">
        <f t="shared" si="1"/>
        <v>6.3005162935684499E-3</v>
      </c>
      <c r="E25">
        <f t="shared" si="2"/>
        <v>3.9696505565521516E-5</v>
      </c>
    </row>
    <row r="26" spans="1:5" x14ac:dyDescent="0.25">
      <c r="A26">
        <v>3.0581214220499997</v>
      </c>
      <c r="B26">
        <v>3.3586500827619277E-2</v>
      </c>
      <c r="C26">
        <f t="shared" si="0"/>
        <v>2.3447171624822405E-2</v>
      </c>
      <c r="D26">
        <f t="shared" si="1"/>
        <v>1.0139329202796872E-2</v>
      </c>
      <c r="E26">
        <f t="shared" si="2"/>
        <v>1.0280599668268945E-4</v>
      </c>
    </row>
    <row r="27" spans="1:5" x14ac:dyDescent="0.25">
      <c r="A27">
        <v>3.1778830631499999</v>
      </c>
      <c r="B27">
        <v>1.8367617640104292E-2</v>
      </c>
      <c r="C27">
        <f t="shared" si="0"/>
        <v>1.8273461275773138E-2</v>
      </c>
      <c r="D27">
        <f t="shared" si="1"/>
        <v>9.4156364331153541E-5</v>
      </c>
      <c r="E27">
        <f t="shared" si="2"/>
        <v>8.8654209440609223E-9</v>
      </c>
    </row>
    <row r="28" spans="1:5" x14ac:dyDescent="0.25">
      <c r="A28">
        <v>3.2976447042499997</v>
      </c>
      <c r="B28">
        <v>2.8338610073303763E-2</v>
      </c>
      <c r="C28">
        <f t="shared" si="0"/>
        <v>1.4160338683057097E-2</v>
      </c>
      <c r="D28">
        <f t="shared" si="1"/>
        <v>1.4178271390246666E-2</v>
      </c>
      <c r="E28">
        <f t="shared" si="2"/>
        <v>2.0102337961548712E-4</v>
      </c>
    </row>
    <row r="29" spans="1:5" x14ac:dyDescent="0.25">
      <c r="A29">
        <v>3.4174063453499994</v>
      </c>
      <c r="B29">
        <v>1.3119726885788779E-2</v>
      </c>
      <c r="C29">
        <f t="shared" si="0"/>
        <v>1.0912170518176121E-2</v>
      </c>
      <c r="D29">
        <f t="shared" si="1"/>
        <v>2.2075563676126585E-3</v>
      </c>
      <c r="E29">
        <f t="shared" si="2"/>
        <v>4.873305116187195E-6</v>
      </c>
    </row>
    <row r="30" spans="1:5" x14ac:dyDescent="0.25">
      <c r="A30">
        <v>3.5371679864499996</v>
      </c>
      <c r="B30">
        <v>1.6268461338378087E-2</v>
      </c>
      <c r="C30">
        <f t="shared" si="0"/>
        <v>8.3635592015890575E-3</v>
      </c>
      <c r="D30">
        <f t="shared" si="1"/>
        <v>7.9049021367890299E-3</v>
      </c>
      <c r="E30">
        <f t="shared" si="2"/>
        <v>6.2487477792211774E-5</v>
      </c>
    </row>
    <row r="31" spans="1:5" x14ac:dyDescent="0.25">
      <c r="A31">
        <v>3.6569296275499994</v>
      </c>
      <c r="B31">
        <v>1.0495781508631024E-2</v>
      </c>
      <c r="C31">
        <f t="shared" si="0"/>
        <v>6.376281860752309E-3</v>
      </c>
      <c r="D31">
        <f t="shared" si="1"/>
        <v>4.1194996478787146E-3</v>
      </c>
      <c r="E31">
        <f t="shared" si="2"/>
        <v>1.6970277348872853E-5</v>
      </c>
    </row>
    <row r="32" spans="1:5" x14ac:dyDescent="0.25">
      <c r="A32">
        <v>3.7766912686499996</v>
      </c>
      <c r="B32">
        <v>9.4462033577679214E-3</v>
      </c>
      <c r="C32">
        <f t="shared" si="0"/>
        <v>4.8360484638662136E-3</v>
      </c>
      <c r="D32">
        <f t="shared" si="1"/>
        <v>4.6101548939017079E-3</v>
      </c>
      <c r="E32">
        <f t="shared" si="2"/>
        <v>2.1253528145765868E-5</v>
      </c>
    </row>
    <row r="33" spans="1:5" x14ac:dyDescent="0.25">
      <c r="A33">
        <v>3.8964529097499998</v>
      </c>
      <c r="B33">
        <v>2.0991563017262048E-3</v>
      </c>
      <c r="C33">
        <f t="shared" si="0"/>
        <v>3.649285054101063E-3</v>
      </c>
      <c r="D33">
        <f t="shared" si="1"/>
        <v>-1.5501287523748582E-3</v>
      </c>
      <c r="E33">
        <f t="shared" si="2"/>
        <v>2.4028991489392344E-6</v>
      </c>
    </row>
    <row r="34" spans="1:5" x14ac:dyDescent="0.25">
      <c r="A34">
        <v>4.01621455085</v>
      </c>
      <c r="B34">
        <v>4.1983126034524096E-3</v>
      </c>
      <c r="C34">
        <f t="shared" si="0"/>
        <v>2.7400806100373425E-3</v>
      </c>
      <c r="D34">
        <f t="shared" si="1"/>
        <v>1.4582319934150672E-3</v>
      </c>
      <c r="E34">
        <f t="shared" si="2"/>
        <v>2.1264405466192806E-6</v>
      </c>
    </row>
    <row r="35" spans="1:5" x14ac:dyDescent="0.25">
      <c r="A35">
        <v>4.1359761919500002</v>
      </c>
      <c r="B35">
        <v>4.7231016788839607E-3</v>
      </c>
      <c r="C35">
        <f t="shared" si="0"/>
        <v>2.0473831676711971E-3</v>
      </c>
      <c r="D35">
        <f t="shared" si="1"/>
        <v>2.6757185112127636E-3</v>
      </c>
      <c r="E35">
        <f t="shared" si="2"/>
        <v>7.1594695512466484E-6</v>
      </c>
    </row>
    <row r="36" spans="1:5" x14ac:dyDescent="0.25">
      <c r="A36">
        <v>4.2557378330499995</v>
      </c>
      <c r="B36">
        <v>1.5743672262946535E-3</v>
      </c>
      <c r="C36">
        <f t="shared" si="0"/>
        <v>1.5224907111723066E-3</v>
      </c>
      <c r="D36">
        <f t="shared" si="1"/>
        <v>5.1876515122346867E-5</v>
      </c>
      <c r="E36">
        <f t="shared" si="2"/>
        <v>2.6911728212390831E-9</v>
      </c>
    </row>
    <row r="37" spans="1:5" x14ac:dyDescent="0.25">
      <c r="A37">
        <v>4.3754994741499997</v>
      </c>
      <c r="B37">
        <v>5.247890754315512E-4</v>
      </c>
      <c r="C37">
        <f t="shared" si="0"/>
        <v>1.1268530305213265E-3</v>
      </c>
      <c r="D37">
        <f t="shared" si="1"/>
        <v>-6.0206395508977529E-4</v>
      </c>
      <c r="E37">
        <f t="shared" si="2"/>
        <v>3.6248100601834297E-7</v>
      </c>
    </row>
    <row r="38" spans="1:5" x14ac:dyDescent="0.25">
      <c r="A38">
        <v>4.4952611152499991</v>
      </c>
      <c r="B38">
        <v>0</v>
      </c>
      <c r="C38">
        <f t="shared" si="0"/>
        <v>8.3018030600764438E-4</v>
      </c>
      <c r="D38">
        <f t="shared" si="1"/>
        <v>-8.3018030600764438E-4</v>
      </c>
      <c r="E38">
        <f t="shared" si="2"/>
        <v>6.8919934048294604E-7</v>
      </c>
    </row>
    <row r="39" spans="1:5" x14ac:dyDescent="0.25">
      <c r="A39">
        <v>4.6150227563499993</v>
      </c>
      <c r="B39">
        <v>0</v>
      </c>
      <c r="C39">
        <f t="shared" si="0"/>
        <v>6.0884078606858244E-4</v>
      </c>
      <c r="D39">
        <f t="shared" si="1"/>
        <v>-6.0884078606858244E-4</v>
      </c>
      <c r="E39">
        <f t="shared" si="2"/>
        <v>3.7068710278060938E-7</v>
      </c>
    </row>
    <row r="40" spans="1:5" x14ac:dyDescent="0.25">
      <c r="A40">
        <v>4.7347843974499995</v>
      </c>
      <c r="B40">
        <v>5.247890754315512E-4</v>
      </c>
      <c r="C40">
        <f t="shared" si="0"/>
        <v>4.4452194705443875E-4</v>
      </c>
      <c r="D40">
        <f t="shared" si="1"/>
        <v>8.0267128377112457E-5</v>
      </c>
      <c r="E40">
        <f t="shared" si="2"/>
        <v>6.4428118979078516E-9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9F24-F709-4797-B528-482706D0859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6.8515985675000002E-2</v>
      </c>
      <c r="B1">
        <v>0.27644518024439296</v>
      </c>
      <c r="C1">
        <f>$H$3*(1+$H$1)*(A1^($H$1))*EXP(-$H$3*(A1^(1+$H$1)))</f>
        <v>0.29760917463391673</v>
      </c>
      <c r="D1">
        <f>B1-C1</f>
        <v>-2.1163994389523766E-2</v>
      </c>
      <c r="E1">
        <f>D1^2</f>
        <v>4.4791465851979343E-4</v>
      </c>
      <c r="G1" t="s">
        <v>0</v>
      </c>
      <c r="H1">
        <v>0.54918032645375625</v>
      </c>
    </row>
    <row r="2" spans="1:8" x14ac:dyDescent="0.25">
      <c r="A2">
        <v>0.183782049025</v>
      </c>
      <c r="B2">
        <v>0.48636903506508583</v>
      </c>
      <c r="C2">
        <f t="shared" ref="C2:C40" si="0">$H$3*(1+$H$1)*(A2^($H$1))*EXP(-$H$3*(A2^(1+$H$1)))</f>
        <v>0.48758954463726811</v>
      </c>
      <c r="D2">
        <f t="shared" ref="D2:D40" si="1">B2-C2</f>
        <v>-1.2205095721822823E-3</v>
      </c>
      <c r="E2">
        <f t="shared" ref="E2:E40" si="2">D2^2</f>
        <v>1.4896436157885777E-6</v>
      </c>
    </row>
    <row r="3" spans="1:8" x14ac:dyDescent="0.25">
      <c r="A3">
        <v>0.29904811237499995</v>
      </c>
      <c r="B3">
        <v>0.63685990241706303</v>
      </c>
      <c r="C3">
        <f t="shared" si="0"/>
        <v>0.59441793719681979</v>
      </c>
      <c r="D3">
        <f t="shared" si="1"/>
        <v>4.2441965220243238E-2</v>
      </c>
      <c r="E3">
        <f t="shared" si="2"/>
        <v>1.8013204117563366E-3</v>
      </c>
      <c r="G3" t="s">
        <v>1</v>
      </c>
      <c r="H3">
        <f>(_xlfn.GAMMA((2+$H$1)/(1+$H$1)))^(1+$H$1)</f>
        <v>0.84858950632669583</v>
      </c>
    </row>
    <row r="4" spans="1:8" x14ac:dyDescent="0.25">
      <c r="A4">
        <v>0.41431417572499996</v>
      </c>
      <c r="B4">
        <v>0.69411186282270654</v>
      </c>
      <c r="C4">
        <f t="shared" si="0"/>
        <v>0.65242429018676529</v>
      </c>
      <c r="D4">
        <f t="shared" si="1"/>
        <v>4.168757263594125E-2</v>
      </c>
      <c r="E4">
        <f t="shared" si="2"/>
        <v>1.7378537122768778E-3</v>
      </c>
    </row>
    <row r="5" spans="1:8" x14ac:dyDescent="0.25">
      <c r="A5">
        <v>0.52958023907499996</v>
      </c>
      <c r="B5">
        <v>0.64013144301167124</v>
      </c>
      <c r="C5">
        <f t="shared" si="0"/>
        <v>0.67535179602842332</v>
      </c>
      <c r="D5">
        <f t="shared" si="1"/>
        <v>-3.5220353016752082E-2</v>
      </c>
      <c r="E5">
        <f t="shared" si="2"/>
        <v>1.2404732666246375E-3</v>
      </c>
      <c r="G5" t="s">
        <v>2</v>
      </c>
      <c r="H5">
        <f>SUM(E1:E40)</f>
        <v>2.6052623131897577E-2</v>
      </c>
    </row>
    <row r="6" spans="1:8" x14ac:dyDescent="0.25">
      <c r="A6">
        <v>0.64484630242499996</v>
      </c>
      <c r="B6">
        <v>0.65158183509279999</v>
      </c>
      <c r="C6">
        <f t="shared" si="0"/>
        <v>0.67203489041157627</v>
      </c>
      <c r="D6">
        <f t="shared" si="1"/>
        <v>-2.0453055318776281E-2</v>
      </c>
      <c r="E6">
        <f t="shared" si="2"/>
        <v>4.183274718729227E-4</v>
      </c>
    </row>
    <row r="7" spans="1:8" x14ac:dyDescent="0.25">
      <c r="A7">
        <v>0.76011236577499985</v>
      </c>
      <c r="B7">
        <v>0.62486425357016628</v>
      </c>
      <c r="C7">
        <f t="shared" si="0"/>
        <v>0.64926605887608912</v>
      </c>
      <c r="D7">
        <f t="shared" si="1"/>
        <v>-2.4401805305922841E-2</v>
      </c>
      <c r="E7">
        <f t="shared" si="2"/>
        <v>5.9544810218816412E-4</v>
      </c>
    </row>
    <row r="8" spans="1:8" x14ac:dyDescent="0.25">
      <c r="A8">
        <v>0.87537842912499997</v>
      </c>
      <c r="B8">
        <v>0.64013144301167124</v>
      </c>
      <c r="C8">
        <f t="shared" si="0"/>
        <v>0.61261101924949424</v>
      </c>
      <c r="D8">
        <f t="shared" si="1"/>
        <v>2.7520423762177004E-2</v>
      </c>
      <c r="E8">
        <f t="shared" si="2"/>
        <v>7.5737372404979667E-4</v>
      </c>
    </row>
    <row r="9" spans="1:8" x14ac:dyDescent="0.25">
      <c r="A9">
        <v>0.99064449247499997</v>
      </c>
      <c r="B9">
        <v>0.6581249162820163</v>
      </c>
      <c r="C9">
        <f t="shared" si="0"/>
        <v>0.56669274741039821</v>
      </c>
      <c r="D9">
        <f t="shared" si="1"/>
        <v>9.1432168871618091E-2</v>
      </c>
      <c r="E9">
        <f t="shared" si="2"/>
        <v>8.3598415045680885E-3</v>
      </c>
    </row>
    <row r="10" spans="1:8" x14ac:dyDescent="0.25">
      <c r="A10">
        <v>1.105910555825</v>
      </c>
      <c r="B10">
        <v>0.55561664431762603</v>
      </c>
      <c r="C10">
        <f t="shared" si="0"/>
        <v>0.51531506260068094</v>
      </c>
      <c r="D10">
        <f t="shared" si="1"/>
        <v>4.030158171694509E-2</v>
      </c>
      <c r="E10">
        <f t="shared" si="2"/>
        <v>1.6242174888876028E-3</v>
      </c>
    </row>
    <row r="11" spans="1:8" x14ac:dyDescent="0.25">
      <c r="A11">
        <v>1.221176619175</v>
      </c>
      <c r="B11">
        <v>0.45310837235323581</v>
      </c>
      <c r="C11">
        <f t="shared" si="0"/>
        <v>0.46154017653687435</v>
      </c>
      <c r="D11">
        <f t="shared" si="1"/>
        <v>-8.431804183638536E-3</v>
      </c>
      <c r="E11">
        <f t="shared" si="2"/>
        <v>7.1095321791224319E-5</v>
      </c>
    </row>
    <row r="12" spans="1:8" x14ac:dyDescent="0.25">
      <c r="A12">
        <v>1.336442682525</v>
      </c>
      <c r="B12">
        <v>0.37568191161417502</v>
      </c>
      <c r="C12">
        <f t="shared" si="0"/>
        <v>0.40775838420058519</v>
      </c>
      <c r="D12">
        <f t="shared" si="1"/>
        <v>-3.2076472586410165E-2</v>
      </c>
      <c r="E12">
        <f t="shared" si="2"/>
        <v>1.0289000935867229E-3</v>
      </c>
    </row>
    <row r="13" spans="1:8" x14ac:dyDescent="0.25">
      <c r="A13">
        <v>1.451708745875</v>
      </c>
      <c r="B13">
        <v>0.31025109972201104</v>
      </c>
      <c r="C13">
        <f t="shared" si="0"/>
        <v>0.35576129083304336</v>
      </c>
      <c r="D13">
        <f t="shared" si="1"/>
        <v>-4.5510191111032328E-2</v>
      </c>
      <c r="E13">
        <f t="shared" si="2"/>
        <v>2.0711774949626859E-3</v>
      </c>
    </row>
    <row r="14" spans="1:8" x14ac:dyDescent="0.25">
      <c r="A14">
        <v>1.566974809225</v>
      </c>
      <c r="B14">
        <v>0.26172324756865606</v>
      </c>
      <c r="C14">
        <f t="shared" si="0"/>
        <v>0.3068198194994905</v>
      </c>
      <c r="D14">
        <f t="shared" si="1"/>
        <v>-4.5096571930834439E-2</v>
      </c>
      <c r="E14">
        <f t="shared" si="2"/>
        <v>2.0337007999129248E-3</v>
      </c>
    </row>
    <row r="15" spans="1:8" x14ac:dyDescent="0.25">
      <c r="A15">
        <v>1.6822408725749998</v>
      </c>
      <c r="B15">
        <v>0.22028373337028551</v>
      </c>
      <c r="C15">
        <f t="shared" si="0"/>
        <v>0.26176454696703383</v>
      </c>
      <c r="D15">
        <f t="shared" si="1"/>
        <v>-4.1480813596748323E-2</v>
      </c>
      <c r="E15">
        <f t="shared" si="2"/>
        <v>1.7206578966481806E-3</v>
      </c>
    </row>
    <row r="16" spans="1:8" x14ac:dyDescent="0.25">
      <c r="A16">
        <v>1.797506935925</v>
      </c>
      <c r="B16">
        <v>0.19574717891072399</v>
      </c>
      <c r="C16">
        <f t="shared" si="0"/>
        <v>0.22106496024175382</v>
      </c>
      <c r="D16">
        <f t="shared" si="1"/>
        <v>-2.5317781331029826E-2</v>
      </c>
      <c r="E16">
        <f t="shared" si="2"/>
        <v>6.4099005152584243E-4</v>
      </c>
    </row>
    <row r="17" spans="1:5" x14ac:dyDescent="0.25">
      <c r="A17">
        <v>1.912772999275</v>
      </c>
      <c r="B17">
        <v>0.16194125943310592</v>
      </c>
      <c r="C17">
        <f t="shared" si="0"/>
        <v>0.18490446753133633</v>
      </c>
      <c r="D17">
        <f t="shared" si="1"/>
        <v>-2.2963208098230409E-2</v>
      </c>
      <c r="E17">
        <f t="shared" si="2"/>
        <v>5.2730892616263464E-4</v>
      </c>
    </row>
    <row r="18" spans="1:5" x14ac:dyDescent="0.25">
      <c r="A18">
        <v>2.028039062625</v>
      </c>
      <c r="B18">
        <v>0.15212663764928133</v>
      </c>
      <c r="C18">
        <f t="shared" si="0"/>
        <v>0.15324872258438332</v>
      </c>
      <c r="D18">
        <f t="shared" si="1"/>
        <v>-1.1220849351019913E-3</v>
      </c>
      <c r="E18">
        <f t="shared" si="2"/>
        <v>1.25907460158284E-6</v>
      </c>
    </row>
    <row r="19" spans="1:5" x14ac:dyDescent="0.25">
      <c r="A19">
        <v>2.143305125975</v>
      </c>
      <c r="B19">
        <v>0.11668494787435915</v>
      </c>
      <c r="C19">
        <f t="shared" si="0"/>
        <v>0.12590567781471468</v>
      </c>
      <c r="D19">
        <f t="shared" si="1"/>
        <v>-9.2207299403555265E-3</v>
      </c>
      <c r="E19">
        <f t="shared" si="2"/>
        <v>8.5021860632968833E-5</v>
      </c>
    </row>
    <row r="20" spans="1:5" x14ac:dyDescent="0.25">
      <c r="A20">
        <v>2.258571189325</v>
      </c>
      <c r="B20">
        <v>0.10087250166708618</v>
      </c>
      <c r="C20">
        <f t="shared" si="0"/>
        <v>0.10257659196855737</v>
      </c>
      <c r="D20">
        <f t="shared" si="1"/>
        <v>-1.7040903014711867E-3</v>
      </c>
      <c r="E20">
        <f t="shared" si="2"/>
        <v>2.9039237555681598E-6</v>
      </c>
    </row>
    <row r="21" spans="1:5" x14ac:dyDescent="0.25">
      <c r="A21">
        <v>2.373837252675</v>
      </c>
      <c r="B21">
        <v>7.5790690441756653E-2</v>
      </c>
      <c r="C21">
        <f t="shared" si="0"/>
        <v>8.2897898382864613E-2</v>
      </c>
      <c r="D21">
        <f t="shared" si="1"/>
        <v>-7.1072079411079597E-3</v>
      </c>
      <c r="E21">
        <f t="shared" si="2"/>
        <v>5.0512404718148047E-5</v>
      </c>
    </row>
    <row r="22" spans="1:5" x14ac:dyDescent="0.25">
      <c r="A22">
        <v>2.489103316025</v>
      </c>
      <c r="B22">
        <v>7.6335947207524679E-2</v>
      </c>
      <c r="C22">
        <f t="shared" si="0"/>
        <v>6.6474359167408195E-2</v>
      </c>
      <c r="D22">
        <f t="shared" si="1"/>
        <v>9.861588040116484E-3</v>
      </c>
      <c r="E22">
        <f t="shared" si="2"/>
        <v>9.7250918672968473E-5</v>
      </c>
    </row>
    <row r="23" spans="1:5" x14ac:dyDescent="0.25">
      <c r="A23">
        <v>2.604369379375</v>
      </c>
      <c r="B23">
        <v>6.7066582189468107E-2</v>
      </c>
      <c r="C23">
        <f t="shared" si="0"/>
        <v>5.2904288585113292E-2</v>
      </c>
      <c r="D23">
        <f t="shared" si="1"/>
        <v>1.4162293604354816E-2</v>
      </c>
      <c r="E23">
        <f t="shared" si="2"/>
        <v>2.0057056013594933E-4</v>
      </c>
    </row>
    <row r="24" spans="1:5" x14ac:dyDescent="0.25">
      <c r="A24">
        <v>2.7196354427249996</v>
      </c>
      <c r="B24">
        <v>4.8527852153354978E-2</v>
      </c>
      <c r="C24">
        <f t="shared" si="0"/>
        <v>4.1797842183777897E-2</v>
      </c>
      <c r="D24">
        <f t="shared" si="1"/>
        <v>6.7300099695770804E-3</v>
      </c>
      <c r="E24">
        <f t="shared" si="2"/>
        <v>4.5293034190606897E-5</v>
      </c>
    </row>
    <row r="25" spans="1:5" x14ac:dyDescent="0.25">
      <c r="A25">
        <v>2.8349015060749996</v>
      </c>
      <c r="B25">
        <v>4.4711054792978738E-2</v>
      </c>
      <c r="C25">
        <f t="shared" si="0"/>
        <v>3.2789461824386149E-2</v>
      </c>
      <c r="D25">
        <f t="shared" si="1"/>
        <v>1.192159296859259E-2</v>
      </c>
      <c r="E25">
        <f t="shared" si="2"/>
        <v>1.4212437890879628E-4</v>
      </c>
    </row>
    <row r="26" spans="1:5" x14ac:dyDescent="0.25">
      <c r="A26">
        <v>2.950167569425</v>
      </c>
      <c r="B26">
        <v>2.9989122117241838E-2</v>
      </c>
      <c r="C26">
        <f t="shared" si="0"/>
        <v>2.5545568258809687E-2</v>
      </c>
      <c r="D26">
        <f t="shared" si="1"/>
        <v>4.4435538584321511E-3</v>
      </c>
      <c r="E26">
        <f t="shared" si="2"/>
        <v>1.9745170892787258E-5</v>
      </c>
    </row>
    <row r="27" spans="1:5" x14ac:dyDescent="0.25">
      <c r="A27">
        <v>3.065433632775</v>
      </c>
      <c r="B27">
        <v>2.1810270630721336E-2</v>
      </c>
      <c r="C27">
        <f t="shared" si="0"/>
        <v>1.9768528971248426E-2</v>
      </c>
      <c r="D27">
        <f t="shared" si="1"/>
        <v>2.04174165947291E-3</v>
      </c>
      <c r="E27">
        <f t="shared" si="2"/>
        <v>4.1687090040271928E-6</v>
      </c>
    </row>
    <row r="28" spans="1:5" x14ac:dyDescent="0.25">
      <c r="A28">
        <v>3.180699696125</v>
      </c>
      <c r="B28">
        <v>2.7262838288401672E-2</v>
      </c>
      <c r="C28">
        <f t="shared" si="0"/>
        <v>1.51978231862507E-2</v>
      </c>
      <c r="D28">
        <f t="shared" si="1"/>
        <v>1.2065015102150972E-2</v>
      </c>
      <c r="E28">
        <f t="shared" si="2"/>
        <v>1.4556458941513103E-4</v>
      </c>
    </row>
    <row r="29" spans="1:5" x14ac:dyDescent="0.25">
      <c r="A29">
        <v>3.2959657594749996</v>
      </c>
      <c r="B29">
        <v>1.9629243567649203E-2</v>
      </c>
      <c r="C29">
        <f t="shared" si="0"/>
        <v>1.1609197735365576E-2</v>
      </c>
      <c r="D29">
        <f t="shared" si="1"/>
        <v>8.0200458322836274E-3</v>
      </c>
      <c r="E29">
        <f t="shared" si="2"/>
        <v>6.4321135151929981E-5</v>
      </c>
    </row>
    <row r="30" spans="1:5" x14ac:dyDescent="0.25">
      <c r="A30">
        <v>3.4112318228249996</v>
      </c>
      <c r="B30">
        <v>1.2540905612664769E-2</v>
      </c>
      <c r="C30">
        <f t="shared" si="0"/>
        <v>8.8124719515857673E-3</v>
      </c>
      <c r="D30">
        <f t="shared" si="1"/>
        <v>3.7284336610790021E-3</v>
      </c>
      <c r="E30">
        <f t="shared" si="2"/>
        <v>1.390121756506697E-5</v>
      </c>
    </row>
    <row r="31" spans="1:5" x14ac:dyDescent="0.25">
      <c r="A31">
        <v>3.526497886175</v>
      </c>
      <c r="B31">
        <v>1.4721932675736902E-2</v>
      </c>
      <c r="C31">
        <f t="shared" si="0"/>
        <v>6.6485178310784774E-3</v>
      </c>
      <c r="D31">
        <f t="shared" si="1"/>
        <v>8.073414844658424E-3</v>
      </c>
      <c r="E31">
        <f t="shared" si="2"/>
        <v>6.5180027253951004E-5</v>
      </c>
    </row>
    <row r="32" spans="1:5" x14ac:dyDescent="0.25">
      <c r="A32">
        <v>3.641763949525</v>
      </c>
      <c r="B32">
        <v>9.2693650180565683E-3</v>
      </c>
      <c r="C32">
        <f t="shared" si="0"/>
        <v>4.9858205872039324E-3</v>
      </c>
      <c r="D32">
        <f t="shared" si="1"/>
        <v>4.2835444308526359E-3</v>
      </c>
      <c r="E32">
        <f t="shared" si="2"/>
        <v>1.8348752891088633E-5</v>
      </c>
    </row>
    <row r="33" spans="1:5" x14ac:dyDescent="0.25">
      <c r="A33">
        <v>3.7570300128749996</v>
      </c>
      <c r="B33">
        <v>3.8167973603762339E-3</v>
      </c>
      <c r="C33">
        <f t="shared" si="0"/>
        <v>3.7169186028635603E-3</v>
      </c>
      <c r="D33">
        <f t="shared" si="1"/>
        <v>9.9878757512673541E-5</v>
      </c>
      <c r="E33">
        <f t="shared" si="2"/>
        <v>9.9757662022754409E-9</v>
      </c>
    </row>
    <row r="34" spans="1:5" x14ac:dyDescent="0.25">
      <c r="A34">
        <v>3.8722960762249992</v>
      </c>
      <c r="B34">
        <v>2.726283828840167E-3</v>
      </c>
      <c r="C34">
        <f t="shared" si="0"/>
        <v>2.7549324801330291E-3</v>
      </c>
      <c r="D34">
        <f t="shared" si="1"/>
        <v>-2.8648651292862131E-5</v>
      </c>
      <c r="E34">
        <f t="shared" si="2"/>
        <v>8.2074522090001106E-10</v>
      </c>
    </row>
    <row r="35" spans="1:5" x14ac:dyDescent="0.25">
      <c r="A35">
        <v>3.9875621395749996</v>
      </c>
      <c r="B35">
        <v>5.9978244234483681E-3</v>
      </c>
      <c r="C35">
        <f t="shared" si="0"/>
        <v>2.0303204845211024E-3</v>
      </c>
      <c r="D35">
        <f t="shared" si="1"/>
        <v>3.9675039389272656E-3</v>
      </c>
      <c r="E35">
        <f t="shared" si="2"/>
        <v>1.5741087505403369E-5</v>
      </c>
    </row>
    <row r="36" spans="1:5" x14ac:dyDescent="0.25">
      <c r="A36">
        <v>4.1028282029250001</v>
      </c>
      <c r="B36">
        <v>2.1810270630721338E-3</v>
      </c>
      <c r="C36">
        <f t="shared" si="0"/>
        <v>1.4879411183707056E-3</v>
      </c>
      <c r="D36">
        <f t="shared" si="1"/>
        <v>6.9308594470142816E-4</v>
      </c>
      <c r="E36">
        <f t="shared" si="2"/>
        <v>4.8036812674267117E-7</v>
      </c>
    </row>
    <row r="37" spans="1:5" x14ac:dyDescent="0.25">
      <c r="A37">
        <v>4.2180942662749992</v>
      </c>
      <c r="B37">
        <v>0</v>
      </c>
      <c r="C37">
        <f t="shared" si="0"/>
        <v>1.0844610701126961E-3</v>
      </c>
      <c r="D37">
        <f t="shared" si="1"/>
        <v>-1.0844610701126961E-3</v>
      </c>
      <c r="E37">
        <f t="shared" si="2"/>
        <v>1.176055812589974E-6</v>
      </c>
    </row>
    <row r="38" spans="1:5" x14ac:dyDescent="0.25">
      <c r="A38">
        <v>4.3333603296250001</v>
      </c>
      <c r="B38">
        <v>0</v>
      </c>
      <c r="C38">
        <f t="shared" si="0"/>
        <v>7.8611627213803889E-4</v>
      </c>
      <c r="D38">
        <f t="shared" si="1"/>
        <v>-7.8611627213803889E-4</v>
      </c>
      <c r="E38">
        <f t="shared" si="2"/>
        <v>6.1797879332020725E-7</v>
      </c>
    </row>
    <row r="39" spans="1:5" x14ac:dyDescent="0.25">
      <c r="A39">
        <v>4.4486263929749992</v>
      </c>
      <c r="B39">
        <v>0</v>
      </c>
      <c r="C39">
        <f t="shared" si="0"/>
        <v>5.6681308393710444E-4</v>
      </c>
      <c r="D39">
        <f t="shared" si="1"/>
        <v>-5.6681308393710444E-4</v>
      </c>
      <c r="E39">
        <f t="shared" si="2"/>
        <v>3.2127707212229101E-7</v>
      </c>
    </row>
    <row r="40" spans="1:5" x14ac:dyDescent="0.25">
      <c r="A40">
        <v>4.5638924563250001</v>
      </c>
      <c r="B40">
        <v>5.4525676576803344E-4</v>
      </c>
      <c r="C40">
        <f t="shared" si="0"/>
        <v>4.0654362584931886E-4</v>
      </c>
      <c r="D40">
        <f t="shared" si="1"/>
        <v>1.3871313991871458E-4</v>
      </c>
      <c r="E40">
        <f t="shared" si="2"/>
        <v>1.9241335186108889E-8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E62F-6A79-4440-9E76-4C55EF2BB0B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6.3468337474999997E-2</v>
      </c>
      <c r="B1">
        <v>0.20566780740336221</v>
      </c>
      <c r="C1">
        <f>$H$3*(1+$H$1)*(A1^($H$1))*EXP(-$H$3*(A1^(1+$H$1)))</f>
        <v>0.24889387022772486</v>
      </c>
      <c r="D1">
        <f>B1-C1</f>
        <v>-4.3226062824362643E-2</v>
      </c>
      <c r="E1">
        <f>D1^2</f>
        <v>1.8684925072957462E-3</v>
      </c>
      <c r="G1" t="s">
        <v>0</v>
      </c>
      <c r="H1">
        <v>0.60934397625831749</v>
      </c>
    </row>
    <row r="2" spans="1:8" x14ac:dyDescent="0.25">
      <c r="A2">
        <v>0.17470234642500002</v>
      </c>
      <c r="B2">
        <v>0.44862703043480656</v>
      </c>
      <c r="C2">
        <f t="shared" ref="C2:C40" si="0">$H$3*(1+$H$1)*(A2^($H$1))*EXP(-$H$3*(A2^(1+$H$1)))</f>
        <v>0.44290408186443597</v>
      </c>
      <c r="D2">
        <f t="shared" ref="D2:D40" si="1">B2-C2</f>
        <v>5.7229485703705896E-3</v>
      </c>
      <c r="E2">
        <f t="shared" ref="E2:E40" si="2">D2^2</f>
        <v>3.2752140339106778E-5</v>
      </c>
    </row>
    <row r="3" spans="1:8" x14ac:dyDescent="0.25">
      <c r="A3">
        <v>0.28593635537500001</v>
      </c>
      <c r="B3">
        <v>0.59553260715149392</v>
      </c>
      <c r="C3">
        <f t="shared" si="0"/>
        <v>0.5624962800766875</v>
      </c>
      <c r="D3">
        <f t="shared" si="1"/>
        <v>3.3036327074806415E-2</v>
      </c>
      <c r="E3">
        <f t="shared" si="2"/>
        <v>1.0913989065935875E-3</v>
      </c>
      <c r="G3" t="s">
        <v>1</v>
      </c>
      <c r="H3">
        <f>(_xlfn.GAMMA((2+$H$1)/(1+$H$1)))^(1+$H$1)</f>
        <v>0.8381568776074837</v>
      </c>
    </row>
    <row r="4" spans="1:8" x14ac:dyDescent="0.25">
      <c r="A4">
        <v>0.39717036432500002</v>
      </c>
      <c r="B4">
        <v>0.68254591028368561</v>
      </c>
      <c r="C4">
        <f t="shared" si="0"/>
        <v>0.63569884393119613</v>
      </c>
      <c r="D4">
        <f t="shared" si="1"/>
        <v>4.6847066352489475E-2</v>
      </c>
      <c r="E4">
        <f t="shared" si="2"/>
        <v>2.1946476258345514E-3</v>
      </c>
    </row>
    <row r="5" spans="1:8" x14ac:dyDescent="0.25">
      <c r="A5">
        <v>0.5084043732750001</v>
      </c>
      <c r="B5">
        <v>0.68424097463041655</v>
      </c>
      <c r="C5">
        <f t="shared" si="0"/>
        <v>0.67361002381456714</v>
      </c>
      <c r="D5">
        <f t="shared" si="1"/>
        <v>1.0630950815849416E-2</v>
      </c>
      <c r="E5">
        <f t="shared" si="2"/>
        <v>1.1301711524900936E-4</v>
      </c>
      <c r="G5" t="s">
        <v>2</v>
      </c>
      <c r="H5">
        <f>SUM(E1:E40)</f>
        <v>2.5431825363954812E-2</v>
      </c>
    </row>
    <row r="6" spans="1:8" x14ac:dyDescent="0.25">
      <c r="A6">
        <v>0.61963838222500001</v>
      </c>
      <c r="B6">
        <v>0.67633067434567185</v>
      </c>
      <c r="C6">
        <f t="shared" si="0"/>
        <v>0.68362712104227819</v>
      </c>
      <c r="D6">
        <f t="shared" si="1"/>
        <v>-7.2964466966063402E-3</v>
      </c>
      <c r="E6">
        <f t="shared" si="2"/>
        <v>5.3238134396417573E-5</v>
      </c>
    </row>
    <row r="7" spans="1:8" x14ac:dyDescent="0.25">
      <c r="A7">
        <v>0.73087239117500014</v>
      </c>
      <c r="B7">
        <v>0.64751458045124477</v>
      </c>
      <c r="C7">
        <f t="shared" si="0"/>
        <v>0.6717830601568</v>
      </c>
      <c r="D7">
        <f t="shared" si="1"/>
        <v>-2.4268479705555235E-2</v>
      </c>
      <c r="E7">
        <f t="shared" si="2"/>
        <v>5.889591072189463E-4</v>
      </c>
    </row>
    <row r="8" spans="1:8" x14ac:dyDescent="0.25">
      <c r="A8">
        <v>0.84210640012500004</v>
      </c>
      <c r="B8">
        <v>0.62321865814810029</v>
      </c>
      <c r="C8">
        <f t="shared" si="0"/>
        <v>0.64333858073750638</v>
      </c>
      <c r="D8">
        <f t="shared" si="1"/>
        <v>-2.0119922589406092E-2</v>
      </c>
      <c r="E8">
        <f t="shared" si="2"/>
        <v>4.0481128500369353E-4</v>
      </c>
    </row>
    <row r="9" spans="1:8" x14ac:dyDescent="0.25">
      <c r="A9">
        <v>0.95334040907500017</v>
      </c>
      <c r="B9">
        <v>0.61304827206771428</v>
      </c>
      <c r="C9">
        <f t="shared" si="0"/>
        <v>0.6029273291646613</v>
      </c>
      <c r="D9">
        <f t="shared" si="1"/>
        <v>1.0120942903052987E-2</v>
      </c>
      <c r="E9">
        <f t="shared" si="2"/>
        <v>1.0243348524685863E-4</v>
      </c>
    </row>
    <row r="10" spans="1:8" x14ac:dyDescent="0.25">
      <c r="A10">
        <v>1.0645744180250001</v>
      </c>
      <c r="B10">
        <v>0.65203475204252748</v>
      </c>
      <c r="C10">
        <f t="shared" si="0"/>
        <v>0.55457492122396157</v>
      </c>
      <c r="D10">
        <f t="shared" si="1"/>
        <v>9.7459830818565907E-2</v>
      </c>
      <c r="E10">
        <f t="shared" si="2"/>
        <v>9.498418623183489E-3</v>
      </c>
    </row>
    <row r="11" spans="1:8" x14ac:dyDescent="0.25">
      <c r="A11">
        <v>1.1758084269750002</v>
      </c>
      <c r="B11">
        <v>0.52999011907789495</v>
      </c>
      <c r="C11">
        <f t="shared" si="0"/>
        <v>0.5016932820303478</v>
      </c>
      <c r="D11">
        <f t="shared" si="1"/>
        <v>2.8296837047547152E-2</v>
      </c>
      <c r="E11">
        <f t="shared" si="2"/>
        <v>8.0071098689543706E-4</v>
      </c>
    </row>
    <row r="12" spans="1:8" x14ac:dyDescent="0.25">
      <c r="A12">
        <v>1.2870424359250001</v>
      </c>
      <c r="B12">
        <v>0.42715621537621384</v>
      </c>
      <c r="C12">
        <f t="shared" si="0"/>
        <v>0.44708462345378142</v>
      </c>
      <c r="D12">
        <f t="shared" si="1"/>
        <v>-1.9928408077567572E-2</v>
      </c>
      <c r="E12">
        <f t="shared" si="2"/>
        <v>3.9714144850606047E-4</v>
      </c>
    </row>
    <row r="13" spans="1:8" x14ac:dyDescent="0.25">
      <c r="A13">
        <v>1.398276444875</v>
      </c>
      <c r="B13">
        <v>0.34522810528421516</v>
      </c>
      <c r="C13">
        <f t="shared" si="0"/>
        <v>0.39296481897524826</v>
      </c>
      <c r="D13">
        <f t="shared" si="1"/>
        <v>-4.7736713691033106E-2</v>
      </c>
      <c r="E13">
        <f t="shared" si="2"/>
        <v>2.2787938340196674E-3</v>
      </c>
    </row>
    <row r="14" spans="1:8" x14ac:dyDescent="0.25">
      <c r="A14">
        <v>1.5095104538250002</v>
      </c>
      <c r="B14">
        <v>0.30850171110504332</v>
      </c>
      <c r="C14">
        <f t="shared" si="0"/>
        <v>0.34100594141844748</v>
      </c>
      <c r="D14">
        <f t="shared" si="1"/>
        <v>-3.2504230313404159E-2</v>
      </c>
      <c r="E14">
        <f t="shared" si="2"/>
        <v>1.0565249882668218E-3</v>
      </c>
    </row>
    <row r="15" spans="1:8" x14ac:dyDescent="0.25">
      <c r="A15">
        <v>1.6207444627750001</v>
      </c>
      <c r="B15">
        <v>0.25256458766292006</v>
      </c>
      <c r="C15">
        <f t="shared" si="0"/>
        <v>0.29239370163025291</v>
      </c>
      <c r="D15">
        <f t="shared" si="1"/>
        <v>-3.9829113967332852E-2</v>
      </c>
      <c r="E15">
        <f t="shared" si="2"/>
        <v>1.586358319422789E-3</v>
      </c>
    </row>
    <row r="16" spans="1:8" x14ac:dyDescent="0.25">
      <c r="A16">
        <v>1.7319784717250002</v>
      </c>
      <c r="B16">
        <v>0.21244806479028625</v>
      </c>
      <c r="C16">
        <f t="shared" si="0"/>
        <v>0.24789426201776663</v>
      </c>
      <c r="D16">
        <f t="shared" si="1"/>
        <v>-3.544619722748038E-2</v>
      </c>
      <c r="E16">
        <f t="shared" si="2"/>
        <v>1.2564328978894377E-3</v>
      </c>
    </row>
    <row r="17" spans="1:5" x14ac:dyDescent="0.25">
      <c r="A17">
        <v>1.8432124806750001</v>
      </c>
      <c r="B17">
        <v>0.17628669206002476</v>
      </c>
      <c r="C17">
        <f t="shared" si="0"/>
        <v>0.20792500509937115</v>
      </c>
      <c r="D17">
        <f t="shared" si="1"/>
        <v>-3.1638313039346388E-2</v>
      </c>
      <c r="E17">
        <f t="shared" si="2"/>
        <v>1.0009828519756756E-3</v>
      </c>
    </row>
    <row r="18" spans="1:5" x14ac:dyDescent="0.25">
      <c r="A18">
        <v>1.954446489625</v>
      </c>
      <c r="B18">
        <v>0.15933604859271469</v>
      </c>
      <c r="C18">
        <f t="shared" si="0"/>
        <v>0.17262461571426418</v>
      </c>
      <c r="D18">
        <f t="shared" si="1"/>
        <v>-1.3288567121549494E-2</v>
      </c>
      <c r="E18">
        <f t="shared" si="2"/>
        <v>1.7658601614392621E-4</v>
      </c>
    </row>
    <row r="19" spans="1:5" x14ac:dyDescent="0.25">
      <c r="A19">
        <v>2.0656804985750004</v>
      </c>
      <c r="B19">
        <v>0.13956029788085292</v>
      </c>
      <c r="C19">
        <f t="shared" si="0"/>
        <v>0.14191889614275865</v>
      </c>
      <c r="D19">
        <f t="shared" si="1"/>
        <v>-2.3585982619057366E-3</v>
      </c>
      <c r="E19">
        <f t="shared" si="2"/>
        <v>5.5629857610647619E-6</v>
      </c>
    </row>
    <row r="20" spans="1:5" x14ac:dyDescent="0.25">
      <c r="A20">
        <v>2.1769145075249998</v>
      </c>
      <c r="B20">
        <v>0.10509398949732245</v>
      </c>
      <c r="C20">
        <f t="shared" si="0"/>
        <v>0.11557984534670747</v>
      </c>
      <c r="D20">
        <f t="shared" si="1"/>
        <v>-1.0485855849385023E-2</v>
      </c>
      <c r="E20">
        <f t="shared" si="2"/>
        <v>1.099531728940821E-4</v>
      </c>
    </row>
    <row r="21" spans="1:5" x14ac:dyDescent="0.25">
      <c r="A21">
        <v>2.2881485164750002</v>
      </c>
      <c r="B21">
        <v>8.9273388927833042E-2</v>
      </c>
      <c r="C21">
        <f t="shared" si="0"/>
        <v>9.3276560923324023E-2</v>
      </c>
      <c r="D21">
        <f t="shared" si="1"/>
        <v>-4.0031719954909811E-3</v>
      </c>
      <c r="E21">
        <f t="shared" si="2"/>
        <v>1.6025386025483243E-5</v>
      </c>
    </row>
    <row r="22" spans="1:5" x14ac:dyDescent="0.25">
      <c r="A22">
        <v>2.3993825254250005</v>
      </c>
      <c r="B22">
        <v>8.023304574526767E-2</v>
      </c>
      <c r="C22">
        <f t="shared" si="0"/>
        <v>7.4617391474967598E-2</v>
      </c>
      <c r="D22">
        <f t="shared" si="1"/>
        <v>5.6156542703000717E-3</v>
      </c>
      <c r="E22">
        <f t="shared" si="2"/>
        <v>3.153557288353943E-5</v>
      </c>
    </row>
    <row r="23" spans="1:5" x14ac:dyDescent="0.25">
      <c r="A23">
        <v>2.510616534375</v>
      </c>
      <c r="B23">
        <v>6.7237552420329957E-2</v>
      </c>
      <c r="C23">
        <f t="shared" si="0"/>
        <v>5.9183446793110515E-2</v>
      </c>
      <c r="D23">
        <f t="shared" si="1"/>
        <v>8.054105627219442E-3</v>
      </c>
      <c r="E23">
        <f t="shared" si="2"/>
        <v>6.4868617454407878E-5</v>
      </c>
    </row>
    <row r="24" spans="1:5" x14ac:dyDescent="0.25">
      <c r="A24">
        <v>2.6218505433250003</v>
      </c>
      <c r="B24">
        <v>5.9327252135585255E-2</v>
      </c>
      <c r="C24">
        <f t="shared" si="0"/>
        <v>4.6554061256598903E-2</v>
      </c>
      <c r="D24">
        <f t="shared" si="1"/>
        <v>1.2773190878986353E-2</v>
      </c>
      <c r="E24">
        <f t="shared" si="2"/>
        <v>1.6315440523102014E-4</v>
      </c>
    </row>
    <row r="25" spans="1:5" x14ac:dyDescent="0.25">
      <c r="A25">
        <v>2.7330845522750002</v>
      </c>
      <c r="B25">
        <v>4.8591844606288875E-2</v>
      </c>
      <c r="C25">
        <f t="shared" si="0"/>
        <v>3.6325118372934131E-2</v>
      </c>
      <c r="D25">
        <f t="shared" si="1"/>
        <v>1.2266726233354744E-2</v>
      </c>
      <c r="E25">
        <f t="shared" si="2"/>
        <v>1.5047257248407346E-4</v>
      </c>
    </row>
    <row r="26" spans="1:5" x14ac:dyDescent="0.25">
      <c r="A26">
        <v>2.8443185612250002</v>
      </c>
      <c r="B26">
        <v>2.8816093894427124E-2</v>
      </c>
      <c r="C26">
        <f t="shared" si="0"/>
        <v>2.8121308178954762E-2</v>
      </c>
      <c r="D26">
        <f t="shared" si="1"/>
        <v>6.9478571547236176E-4</v>
      </c>
      <c r="E26">
        <f t="shared" si="2"/>
        <v>4.8272719042444165E-7</v>
      </c>
    </row>
    <row r="27" spans="1:5" x14ac:dyDescent="0.25">
      <c r="A27">
        <v>2.9555525701750005</v>
      </c>
      <c r="B27">
        <v>2.768605099660645E-2</v>
      </c>
      <c r="C27">
        <f t="shared" si="0"/>
        <v>2.160343547873958E-2</v>
      </c>
      <c r="D27">
        <f t="shared" si="1"/>
        <v>6.0826155178668705E-3</v>
      </c>
      <c r="E27">
        <f t="shared" si="2"/>
        <v>3.6998211538194859E-5</v>
      </c>
    </row>
    <row r="28" spans="1:5" x14ac:dyDescent="0.25">
      <c r="A28">
        <v>3.0667865791250004</v>
      </c>
      <c r="B28">
        <v>2.7121029547696116E-2</v>
      </c>
      <c r="C28">
        <f t="shared" si="0"/>
        <v>1.6471857006632069E-2</v>
      </c>
      <c r="D28">
        <f t="shared" si="1"/>
        <v>1.0649172541064046E-2</v>
      </c>
      <c r="E28">
        <f t="shared" si="2"/>
        <v>1.1340487580935248E-4</v>
      </c>
    </row>
    <row r="29" spans="1:5" x14ac:dyDescent="0.25">
      <c r="A29">
        <v>3.1780205880750003</v>
      </c>
      <c r="B29">
        <v>2.4295922303144438E-2</v>
      </c>
      <c r="C29">
        <f t="shared" si="0"/>
        <v>1.2467028244273841E-2</v>
      </c>
      <c r="D29">
        <f t="shared" si="1"/>
        <v>1.1828894058870597E-2</v>
      </c>
      <c r="E29">
        <f t="shared" si="2"/>
        <v>1.3992273465598411E-4</v>
      </c>
    </row>
    <row r="30" spans="1:5" x14ac:dyDescent="0.25">
      <c r="A30">
        <v>3.2892545970250002</v>
      </c>
      <c r="B30">
        <v>1.2430471876027386E-2</v>
      </c>
      <c r="C30">
        <f t="shared" si="0"/>
        <v>9.3680101428727305E-3</v>
      </c>
      <c r="D30">
        <f t="shared" si="1"/>
        <v>3.0624617331546557E-3</v>
      </c>
      <c r="E30">
        <f t="shared" si="2"/>
        <v>9.3786718670366174E-6</v>
      </c>
    </row>
    <row r="31" spans="1:5" x14ac:dyDescent="0.25">
      <c r="A31">
        <v>3.4004886059750001</v>
      </c>
      <c r="B31">
        <v>1.4690557671668729E-2</v>
      </c>
      <c r="C31">
        <f t="shared" si="0"/>
        <v>6.9896417310940807E-3</v>
      </c>
      <c r="D31">
        <f t="shared" si="1"/>
        <v>7.7009159405746486E-3</v>
      </c>
      <c r="E31">
        <f t="shared" si="2"/>
        <v>5.9304106323796725E-5</v>
      </c>
    </row>
    <row r="32" spans="1:5" x14ac:dyDescent="0.25">
      <c r="A32">
        <v>3.5117226149250005</v>
      </c>
      <c r="B32">
        <v>9.0403431825653718E-3</v>
      </c>
      <c r="C32">
        <f t="shared" si="0"/>
        <v>5.1789408188689656E-3</v>
      </c>
      <c r="D32">
        <f t="shared" si="1"/>
        <v>3.8614023636964062E-3</v>
      </c>
      <c r="E32">
        <f t="shared" si="2"/>
        <v>1.4910428214360194E-5</v>
      </c>
    </row>
    <row r="33" spans="1:5" x14ac:dyDescent="0.25">
      <c r="A33">
        <v>3.6229566238749999</v>
      </c>
      <c r="B33">
        <v>3.9551501423723502E-3</v>
      </c>
      <c r="C33">
        <f t="shared" si="0"/>
        <v>3.8111614463490176E-3</v>
      </c>
      <c r="D33">
        <f t="shared" si="1"/>
        <v>1.4398869602333256E-4</v>
      </c>
      <c r="E33">
        <f t="shared" si="2"/>
        <v>2.0732744582499666E-8</v>
      </c>
    </row>
    <row r="34" spans="1:5" x14ac:dyDescent="0.25">
      <c r="A34">
        <v>3.7341906328250003</v>
      </c>
      <c r="B34">
        <v>5.0851930401930217E-3</v>
      </c>
      <c r="C34">
        <f t="shared" si="0"/>
        <v>2.7858192004467527E-3</v>
      </c>
      <c r="D34">
        <f t="shared" si="1"/>
        <v>2.299373839746269E-3</v>
      </c>
      <c r="E34">
        <f t="shared" si="2"/>
        <v>5.2871200549095006E-6</v>
      </c>
    </row>
    <row r="35" spans="1:5" x14ac:dyDescent="0.25">
      <c r="A35">
        <v>3.8454246417750002</v>
      </c>
      <c r="B35">
        <v>4.5201715912826859E-3</v>
      </c>
      <c r="C35">
        <f t="shared" si="0"/>
        <v>2.022896777405323E-3</v>
      </c>
      <c r="D35">
        <f t="shared" si="1"/>
        <v>2.4972748138773629E-3</v>
      </c>
      <c r="E35">
        <f t="shared" si="2"/>
        <v>6.2363814960262173E-6</v>
      </c>
    </row>
    <row r="36" spans="1:5" x14ac:dyDescent="0.25">
      <c r="A36">
        <v>3.9566586507250006</v>
      </c>
      <c r="B36">
        <v>2.260085795641343E-3</v>
      </c>
      <c r="C36">
        <f t="shared" si="0"/>
        <v>1.4593626809125122E-3</v>
      </c>
      <c r="D36">
        <f t="shared" si="1"/>
        <v>8.0072311472883075E-4</v>
      </c>
      <c r="E36">
        <f t="shared" si="2"/>
        <v>6.4115750646104026E-7</v>
      </c>
    </row>
    <row r="37" spans="1:5" x14ac:dyDescent="0.25">
      <c r="A37">
        <v>4.0678926596750014</v>
      </c>
      <c r="B37">
        <v>0</v>
      </c>
      <c r="C37">
        <f t="shared" si="0"/>
        <v>1.0460746310618036E-3</v>
      </c>
      <c r="D37">
        <f t="shared" si="1"/>
        <v>-1.0460746310618036E-3</v>
      </c>
      <c r="E37">
        <f t="shared" si="2"/>
        <v>1.0942721337510885E-6</v>
      </c>
    </row>
    <row r="38" spans="1:5" x14ac:dyDescent="0.25">
      <c r="A38">
        <v>4.1791266686250008</v>
      </c>
      <c r="B38">
        <v>0</v>
      </c>
      <c r="C38">
        <f t="shared" si="0"/>
        <v>7.4509409498341032E-4</v>
      </c>
      <c r="D38">
        <f t="shared" si="1"/>
        <v>-7.4509409498341032E-4</v>
      </c>
      <c r="E38">
        <f t="shared" si="2"/>
        <v>5.551652103791473E-7</v>
      </c>
    </row>
    <row r="39" spans="1:5" x14ac:dyDescent="0.25">
      <c r="A39">
        <v>4.2903606775750003</v>
      </c>
      <c r="B39">
        <v>0</v>
      </c>
      <c r="C39">
        <f t="shared" si="0"/>
        <v>5.2740684374058045E-4</v>
      </c>
      <c r="D39">
        <f t="shared" si="1"/>
        <v>-5.2740684374058045E-4</v>
      </c>
      <c r="E39">
        <f t="shared" si="2"/>
        <v>2.7815797882440104E-7</v>
      </c>
    </row>
    <row r="40" spans="1:5" x14ac:dyDescent="0.25">
      <c r="A40">
        <v>4.4015946865249997</v>
      </c>
      <c r="B40">
        <v>5.6502144891033574E-4</v>
      </c>
      <c r="C40">
        <f t="shared" si="0"/>
        <v>3.7102398540160249E-4</v>
      </c>
      <c r="D40">
        <f t="shared" si="1"/>
        <v>1.9399746350873325E-4</v>
      </c>
      <c r="E40">
        <f t="shared" si="2"/>
        <v>3.763501584782229E-8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D7BA-8DF9-4E86-8563-79DD5A644E4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6.8819544350000011E-2</v>
      </c>
      <c r="B1">
        <v>0.17136592974285567</v>
      </c>
      <c r="C1">
        <f>$H$3*(1+$H$1)*(A1^($H$1))*EXP(-$H$3*(A1^(1+$H$1)))</f>
        <v>0.22584280470844878</v>
      </c>
      <c r="D1">
        <f>B1-C1</f>
        <v>-5.4476874965593114E-2</v>
      </c>
      <c r="E1">
        <f>D1^2</f>
        <v>2.9677299060168658E-3</v>
      </c>
      <c r="G1" t="s">
        <v>0</v>
      </c>
      <c r="H1">
        <v>0.67441036446471625</v>
      </c>
    </row>
    <row r="2" spans="1:8" x14ac:dyDescent="0.25">
      <c r="A2">
        <v>0.17590576705000002</v>
      </c>
      <c r="B2">
        <v>0.4160905622865913</v>
      </c>
      <c r="C2">
        <f t="shared" ref="C2:C40" si="0">$H$3*(1+$H$1)*(A2^($H$1))*EXP(-$H$3*(A2^(1+$H$1)))</f>
        <v>0.41035310012525872</v>
      </c>
      <c r="D2">
        <f t="shared" ref="D2:D40" si="1">B2-C2</f>
        <v>5.7374621613325849E-3</v>
      </c>
      <c r="E2">
        <f t="shared" ref="E2:E40" si="2">D2^2</f>
        <v>3.2918472052723176E-5</v>
      </c>
    </row>
    <row r="3" spans="1:8" x14ac:dyDescent="0.25">
      <c r="A3">
        <v>0.28299198975000001</v>
      </c>
      <c r="B3">
        <v>0.56398170713316542</v>
      </c>
      <c r="C3">
        <f t="shared" si="0"/>
        <v>0.53528399361703372</v>
      </c>
      <c r="D3">
        <f t="shared" si="1"/>
        <v>2.8697713516131707E-2</v>
      </c>
      <c r="E3">
        <f t="shared" si="2"/>
        <v>8.2355876105396839E-4</v>
      </c>
      <c r="G3" t="s">
        <v>1</v>
      </c>
      <c r="H3">
        <f>(_xlfn.GAMMA((2+$H$1)/(1+$H$1)))^(1+$H$1)</f>
        <v>0.82769965525858047</v>
      </c>
    </row>
    <row r="4" spans="1:8" x14ac:dyDescent="0.25">
      <c r="A4">
        <v>0.39007821244999996</v>
      </c>
      <c r="B4">
        <v>0.65435962898384958</v>
      </c>
      <c r="C4">
        <f t="shared" si="0"/>
        <v>0.61899624187438917</v>
      </c>
      <c r="D4">
        <f t="shared" si="1"/>
        <v>3.5363387109460409E-2</v>
      </c>
      <c r="E4">
        <f t="shared" si="2"/>
        <v>1.2505691478535506E-3</v>
      </c>
    </row>
    <row r="5" spans="1:8" x14ac:dyDescent="0.25">
      <c r="A5">
        <v>0.49716443514999997</v>
      </c>
      <c r="B5">
        <v>0.7171546785814028</v>
      </c>
      <c r="C5">
        <f t="shared" si="0"/>
        <v>0.66911401551186322</v>
      </c>
      <c r="D5">
        <f t="shared" si="1"/>
        <v>4.804066306953958E-2</v>
      </c>
      <c r="E5">
        <f t="shared" si="2"/>
        <v>2.3079053081610239E-3</v>
      </c>
      <c r="G5" t="s">
        <v>2</v>
      </c>
      <c r="H5">
        <f>SUM(E1:E40)</f>
        <v>2.3610746303486158E-2</v>
      </c>
    </row>
    <row r="6" spans="1:8" x14ac:dyDescent="0.25">
      <c r="A6">
        <v>0.60425065784999998</v>
      </c>
      <c r="B6">
        <v>0.70893850386770429</v>
      </c>
      <c r="C6">
        <f t="shared" si="0"/>
        <v>0.69110525662875366</v>
      </c>
      <c r="D6">
        <f t="shared" si="1"/>
        <v>1.7833247238950634E-2</v>
      </c>
      <c r="E6">
        <f t="shared" si="2"/>
        <v>3.1802470708554038E-4</v>
      </c>
    </row>
    <row r="7" spans="1:8" x14ac:dyDescent="0.25">
      <c r="A7">
        <v>0.71133688054999999</v>
      </c>
      <c r="B7">
        <v>0.66844449992161847</v>
      </c>
      <c r="C7">
        <f t="shared" si="0"/>
        <v>0.68984394741915755</v>
      </c>
      <c r="D7">
        <f t="shared" si="1"/>
        <v>-2.1399447497539081E-2</v>
      </c>
      <c r="E7">
        <f t="shared" si="2"/>
        <v>4.5793635319993164E-4</v>
      </c>
    </row>
    <row r="8" spans="1:8" x14ac:dyDescent="0.25">
      <c r="A8">
        <v>0.81842310325000001</v>
      </c>
      <c r="B8">
        <v>0.64731719351496508</v>
      </c>
      <c r="C8">
        <f t="shared" si="0"/>
        <v>0.6699435855309408</v>
      </c>
      <c r="D8">
        <f t="shared" si="1"/>
        <v>-2.2626392015975716E-2</v>
      </c>
      <c r="E8">
        <f t="shared" si="2"/>
        <v>5.1195361566060962E-4</v>
      </c>
    </row>
    <row r="9" spans="1:8" x14ac:dyDescent="0.25">
      <c r="A9">
        <v>0.92550932595000002</v>
      </c>
      <c r="B9">
        <v>0.61914745163942708</v>
      </c>
      <c r="C9">
        <f t="shared" si="0"/>
        <v>0.63576408418204955</v>
      </c>
      <c r="D9">
        <f t="shared" si="1"/>
        <v>-1.6616632542622467E-2</v>
      </c>
      <c r="E9">
        <f t="shared" si="2"/>
        <v>2.7611247705654001E-4</v>
      </c>
    </row>
    <row r="10" spans="1:8" x14ac:dyDescent="0.25">
      <c r="A10">
        <v>1.03259554865</v>
      </c>
      <c r="B10">
        <v>0.61797371239461307</v>
      </c>
      <c r="C10">
        <f t="shared" si="0"/>
        <v>0.59133023406398755</v>
      </c>
      <c r="D10">
        <f t="shared" si="1"/>
        <v>2.6643478330625525E-2</v>
      </c>
      <c r="E10">
        <f t="shared" si="2"/>
        <v>7.0987493755451188E-4</v>
      </c>
    </row>
    <row r="11" spans="1:8" x14ac:dyDescent="0.25">
      <c r="A11">
        <v>1.13968177135</v>
      </c>
      <c r="B11">
        <v>0.60330197183443701</v>
      </c>
      <c r="C11">
        <f t="shared" si="0"/>
        <v>0.54024251228543263</v>
      </c>
      <c r="D11">
        <f t="shared" si="1"/>
        <v>6.3059459549004382E-2</v>
      </c>
      <c r="E11">
        <f t="shared" si="2"/>
        <v>3.9764954386125196E-3</v>
      </c>
    </row>
    <row r="12" spans="1:8" x14ac:dyDescent="0.25">
      <c r="A12">
        <v>1.2467679940499998</v>
      </c>
      <c r="B12">
        <v>0.5164452677181951</v>
      </c>
      <c r="C12">
        <f t="shared" si="0"/>
        <v>0.48561014014569598</v>
      </c>
      <c r="D12">
        <f t="shared" si="1"/>
        <v>3.0835127572499121E-2</v>
      </c>
      <c r="E12">
        <f t="shared" si="2"/>
        <v>9.5080509241229558E-4</v>
      </c>
    </row>
    <row r="13" spans="1:8" x14ac:dyDescent="0.25">
      <c r="A13">
        <v>1.3538542167499998</v>
      </c>
      <c r="B13">
        <v>0.38850769003346042</v>
      </c>
      <c r="C13">
        <f t="shared" si="0"/>
        <v>0.43001586173740325</v>
      </c>
      <c r="D13">
        <f t="shared" si="1"/>
        <v>-4.1508171703942831E-2</v>
      </c>
      <c r="E13">
        <f t="shared" si="2"/>
        <v>1.7229283182040003E-3</v>
      </c>
    </row>
    <row r="14" spans="1:8" x14ac:dyDescent="0.25">
      <c r="A14">
        <v>1.4609404394499999</v>
      </c>
      <c r="B14">
        <v>0.34977429495459578</v>
      </c>
      <c r="C14">
        <f t="shared" si="0"/>
        <v>0.37551248767172762</v>
      </c>
      <c r="D14">
        <f t="shared" si="1"/>
        <v>-2.5738192717131847E-2</v>
      </c>
      <c r="E14">
        <f t="shared" si="2"/>
        <v>6.6245456434421885E-4</v>
      </c>
    </row>
    <row r="15" spans="1:8" x14ac:dyDescent="0.25">
      <c r="A15">
        <v>1.5680266621499999</v>
      </c>
      <c r="B15">
        <v>0.28169741875537918</v>
      </c>
      <c r="C15">
        <f t="shared" si="0"/>
        <v>0.32364669939487567</v>
      </c>
      <c r="D15">
        <f t="shared" si="1"/>
        <v>-4.1949280639496489E-2</v>
      </c>
      <c r="E15">
        <f t="shared" si="2"/>
        <v>1.759742146171235E-3</v>
      </c>
    </row>
    <row r="16" spans="1:8" x14ac:dyDescent="0.25">
      <c r="A16">
        <v>1.6751128848499999</v>
      </c>
      <c r="B16">
        <v>0.23709532745244413</v>
      </c>
      <c r="C16">
        <f t="shared" si="0"/>
        <v>0.27550362556070773</v>
      </c>
      <c r="D16">
        <f t="shared" si="1"/>
        <v>-3.84082981082636E-2</v>
      </c>
      <c r="E16">
        <f t="shared" si="2"/>
        <v>1.4751973635732452E-3</v>
      </c>
    </row>
    <row r="17" spans="1:5" x14ac:dyDescent="0.25">
      <c r="A17">
        <v>1.7821991075499999</v>
      </c>
      <c r="B17">
        <v>0.18545080068062461</v>
      </c>
      <c r="C17">
        <f t="shared" si="0"/>
        <v>0.23176522142229394</v>
      </c>
      <c r="D17">
        <f t="shared" si="1"/>
        <v>-4.6314420741669332E-2</v>
      </c>
      <c r="E17">
        <f t="shared" si="2"/>
        <v>2.1450255686363703E-3</v>
      </c>
    </row>
    <row r="18" spans="1:5" x14ac:dyDescent="0.25">
      <c r="A18">
        <v>1.8892853302499999</v>
      </c>
      <c r="B18">
        <v>0.17782149558933311</v>
      </c>
      <c r="C18">
        <f t="shared" si="0"/>
        <v>0.19277591237673705</v>
      </c>
      <c r="D18">
        <f t="shared" si="1"/>
        <v>-1.4954416787403946E-2</v>
      </c>
      <c r="E18">
        <f t="shared" si="2"/>
        <v>2.2363458145138894E-4</v>
      </c>
    </row>
    <row r="19" spans="1:5" x14ac:dyDescent="0.25">
      <c r="A19">
        <v>1.9963715529499999</v>
      </c>
      <c r="B19">
        <v>0.15728105880508669</v>
      </c>
      <c r="C19">
        <f t="shared" si="0"/>
        <v>0.1586099170020947</v>
      </c>
      <c r="D19">
        <f t="shared" si="1"/>
        <v>-1.3288581970080093E-3</v>
      </c>
      <c r="E19">
        <f t="shared" si="2"/>
        <v>1.7658641077553775E-6</v>
      </c>
    </row>
    <row r="20" spans="1:5" x14ac:dyDescent="0.25">
      <c r="A20">
        <v>2.1034577756499999</v>
      </c>
      <c r="B20">
        <v>0.11502644599177983</v>
      </c>
      <c r="C20">
        <f t="shared" si="0"/>
        <v>0.12913586975572511</v>
      </c>
      <c r="D20">
        <f t="shared" si="1"/>
        <v>-1.4109423763945278E-2</v>
      </c>
      <c r="E20">
        <f t="shared" si="2"/>
        <v>1.9907583895058373E-4</v>
      </c>
    </row>
    <row r="21" spans="1:5" x14ac:dyDescent="0.25">
      <c r="A21">
        <v>2.2105439983500004</v>
      </c>
      <c r="B21">
        <v>9.9767835809196792E-2</v>
      </c>
      <c r="C21">
        <f t="shared" si="0"/>
        <v>0.10407562334181285</v>
      </c>
      <c r="D21">
        <f t="shared" si="1"/>
        <v>-4.3077875326160558E-3</v>
      </c>
      <c r="E21">
        <f t="shared" si="2"/>
        <v>1.8557033426162326E-5</v>
      </c>
    </row>
    <row r="22" spans="1:5" x14ac:dyDescent="0.25">
      <c r="A22">
        <v>2.3176302210499999</v>
      </c>
      <c r="B22">
        <v>8.0401138269764472E-2</v>
      </c>
      <c r="C22">
        <f t="shared" si="0"/>
        <v>8.3055291457264785E-2</v>
      </c>
      <c r="D22">
        <f t="shared" si="1"/>
        <v>-2.6541531875003133E-3</v>
      </c>
      <c r="E22">
        <f t="shared" si="2"/>
        <v>7.0445291427180731E-6</v>
      </c>
    </row>
    <row r="23" spans="1:5" x14ac:dyDescent="0.25">
      <c r="A23">
        <v>2.42471644375</v>
      </c>
      <c r="B23">
        <v>7.3358702800879999E-2</v>
      </c>
      <c r="C23">
        <f t="shared" si="0"/>
        <v>6.5647610807677087E-2</v>
      </c>
      <c r="D23">
        <f t="shared" si="1"/>
        <v>7.7110919932029121E-3</v>
      </c>
      <c r="E23">
        <f t="shared" si="2"/>
        <v>5.9460939727638061E-5</v>
      </c>
    </row>
    <row r="24" spans="1:5" x14ac:dyDescent="0.25">
      <c r="A24">
        <v>2.53180266645</v>
      </c>
      <c r="B24">
        <v>5.9860701485518072E-2</v>
      </c>
      <c r="C24">
        <f t="shared" si="0"/>
        <v>5.1405514778530559E-2</v>
      </c>
      <c r="D24">
        <f t="shared" si="1"/>
        <v>8.4551867069875136E-3</v>
      </c>
      <c r="E24">
        <f t="shared" si="2"/>
        <v>7.1490182250018349E-5</v>
      </c>
    </row>
    <row r="25" spans="1:5" x14ac:dyDescent="0.25">
      <c r="A25">
        <v>2.63888888915</v>
      </c>
      <c r="B25">
        <v>5.3405135639040632E-2</v>
      </c>
      <c r="C25">
        <f t="shared" si="0"/>
        <v>3.9887409573003539E-2</v>
      </c>
      <c r="D25">
        <f t="shared" si="1"/>
        <v>1.3517726066037093E-2</v>
      </c>
      <c r="E25">
        <f t="shared" si="2"/>
        <v>1.8272891799641866E-4</v>
      </c>
    </row>
    <row r="26" spans="1:5" x14ac:dyDescent="0.25">
      <c r="A26">
        <v>2.74597511185</v>
      </c>
      <c r="B26">
        <v>3.286469885479424E-2</v>
      </c>
      <c r="C26">
        <f t="shared" si="0"/>
        <v>3.0675039302870629E-2</v>
      </c>
      <c r="D26">
        <f t="shared" si="1"/>
        <v>2.189659551923611E-3</v>
      </c>
      <c r="E26">
        <f t="shared" si="2"/>
        <v>4.7946089533303094E-6</v>
      </c>
    </row>
    <row r="27" spans="1:5" x14ac:dyDescent="0.25">
      <c r="A27">
        <v>2.85306133455</v>
      </c>
      <c r="B27">
        <v>3.4038438099608319E-2</v>
      </c>
      <c r="C27">
        <f t="shared" si="0"/>
        <v>2.3385046177703834E-2</v>
      </c>
      <c r="D27">
        <f t="shared" si="1"/>
        <v>1.0653391921904485E-2</v>
      </c>
      <c r="E27">
        <f t="shared" si="2"/>
        <v>1.1349475944169973E-4</v>
      </c>
    </row>
    <row r="28" spans="1:5" x14ac:dyDescent="0.25">
      <c r="A28">
        <v>2.96014755725</v>
      </c>
      <c r="B28">
        <v>2.5822263385909757E-2</v>
      </c>
      <c r="C28">
        <f t="shared" si="0"/>
        <v>1.7675409721684059E-2</v>
      </c>
      <c r="D28">
        <f t="shared" si="1"/>
        <v>8.1468536642256978E-3</v>
      </c>
      <c r="E28">
        <f t="shared" si="2"/>
        <v>6.6371224626307672E-5</v>
      </c>
    </row>
    <row r="29" spans="1:5" x14ac:dyDescent="0.25">
      <c r="A29">
        <v>3.0672337799499996</v>
      </c>
      <c r="B29">
        <v>2.8169741875537918E-2</v>
      </c>
      <c r="C29">
        <f t="shared" si="0"/>
        <v>1.3247920910030382E-2</v>
      </c>
      <c r="D29">
        <f t="shared" si="1"/>
        <v>1.4921820965507536E-2</v>
      </c>
      <c r="E29">
        <f t="shared" si="2"/>
        <v>2.2266074092666023E-4</v>
      </c>
    </row>
    <row r="30" spans="1:5" x14ac:dyDescent="0.25">
      <c r="A30">
        <v>3.17432000265</v>
      </c>
      <c r="B30">
        <v>1.0563653203326719E-2</v>
      </c>
      <c r="C30">
        <f t="shared" si="0"/>
        <v>9.8477472955485184E-3</v>
      </c>
      <c r="D30">
        <f t="shared" si="1"/>
        <v>7.1590590777820089E-4</v>
      </c>
      <c r="E30">
        <f t="shared" si="2"/>
        <v>5.1252126879172988E-7</v>
      </c>
    </row>
    <row r="31" spans="1:5" x14ac:dyDescent="0.25">
      <c r="A31">
        <v>3.2814062253499996</v>
      </c>
      <c r="B31">
        <v>1.3498001315361918E-2</v>
      </c>
      <c r="C31">
        <f t="shared" si="0"/>
        <v>7.2610031371936109E-3</v>
      </c>
      <c r="D31">
        <f t="shared" si="1"/>
        <v>6.236998178168307E-3</v>
      </c>
      <c r="E31">
        <f t="shared" si="2"/>
        <v>3.8900146274474782E-5</v>
      </c>
    </row>
    <row r="32" spans="1:5" x14ac:dyDescent="0.25">
      <c r="A32">
        <v>3.38849244805</v>
      </c>
      <c r="B32">
        <v>1.1150522825733759E-2</v>
      </c>
      <c r="C32">
        <f t="shared" si="0"/>
        <v>5.3110780599752759E-3</v>
      </c>
      <c r="D32">
        <f t="shared" si="1"/>
        <v>5.8394447657584827E-3</v>
      </c>
      <c r="E32">
        <f t="shared" si="2"/>
        <v>3.4099115172344142E-5</v>
      </c>
    </row>
    <row r="33" spans="1:5" x14ac:dyDescent="0.25">
      <c r="A33">
        <v>3.4955786707500001</v>
      </c>
      <c r="B33">
        <v>5.2818266016633596E-3</v>
      </c>
      <c r="C33">
        <f t="shared" si="0"/>
        <v>3.8543166570117163E-3</v>
      </c>
      <c r="D33">
        <f t="shared" si="1"/>
        <v>1.4275099446516433E-3</v>
      </c>
      <c r="E33">
        <f t="shared" si="2"/>
        <v>2.037784642079338E-6</v>
      </c>
    </row>
    <row r="34" spans="1:5" x14ac:dyDescent="0.25">
      <c r="A34">
        <v>3.6026648934500001</v>
      </c>
      <c r="B34">
        <v>5.2818266016633596E-3</v>
      </c>
      <c r="C34">
        <f t="shared" si="0"/>
        <v>2.7754918293582211E-3</v>
      </c>
      <c r="D34">
        <f t="shared" si="1"/>
        <v>2.5063347723051385E-3</v>
      </c>
      <c r="E34">
        <f t="shared" si="2"/>
        <v>6.2817139908658503E-6</v>
      </c>
    </row>
    <row r="35" spans="1:5" x14ac:dyDescent="0.25">
      <c r="A35">
        <v>3.7097511161499996</v>
      </c>
      <c r="B35">
        <v>4.10808735684928E-3</v>
      </c>
      <c r="C35">
        <f t="shared" si="0"/>
        <v>1.9833838221975718E-3</v>
      </c>
      <c r="D35">
        <f t="shared" si="1"/>
        <v>2.1247035346517082E-3</v>
      </c>
      <c r="E35">
        <f t="shared" si="2"/>
        <v>4.5143651101614625E-6</v>
      </c>
    </row>
    <row r="36" spans="1:5" x14ac:dyDescent="0.25">
      <c r="A36">
        <v>3.8168373388500001</v>
      </c>
      <c r="B36">
        <v>2.9343481120351995E-3</v>
      </c>
      <c r="C36">
        <f t="shared" si="0"/>
        <v>1.4066682444842194E-3</v>
      </c>
      <c r="D36">
        <f t="shared" si="1"/>
        <v>1.5276798675509802E-3</v>
      </c>
      <c r="E36">
        <f t="shared" si="2"/>
        <v>2.3338057777205803E-6</v>
      </c>
    </row>
    <row r="37" spans="1:5" x14ac:dyDescent="0.25">
      <c r="A37">
        <v>3.9239235615500001</v>
      </c>
      <c r="B37">
        <v>0</v>
      </c>
      <c r="C37">
        <f t="shared" si="0"/>
        <v>9.9023036133308166E-4</v>
      </c>
      <c r="D37">
        <f t="shared" si="1"/>
        <v>-9.9023036133308166E-4</v>
      </c>
      <c r="E37">
        <f t="shared" si="2"/>
        <v>9.8055616850584554E-7</v>
      </c>
    </row>
    <row r="38" spans="1:5" x14ac:dyDescent="0.25">
      <c r="A38">
        <v>4.0310097842499992</v>
      </c>
      <c r="B38">
        <v>0</v>
      </c>
      <c r="C38">
        <f t="shared" si="0"/>
        <v>6.9195818295574539E-4</v>
      </c>
      <c r="D38">
        <f t="shared" si="1"/>
        <v>-6.9195818295574539E-4</v>
      </c>
      <c r="E38">
        <f t="shared" si="2"/>
        <v>4.7880612695941682E-7</v>
      </c>
    </row>
    <row r="39" spans="1:5" x14ac:dyDescent="0.25">
      <c r="A39">
        <v>4.1380960069499997</v>
      </c>
      <c r="B39">
        <v>0</v>
      </c>
      <c r="C39">
        <f t="shared" si="0"/>
        <v>4.8002073776353072E-4</v>
      </c>
      <c r="D39">
        <f t="shared" si="1"/>
        <v>-4.8002073776353072E-4</v>
      </c>
      <c r="E39">
        <f t="shared" si="2"/>
        <v>2.3041990868304433E-7</v>
      </c>
    </row>
    <row r="40" spans="1:5" x14ac:dyDescent="0.25">
      <c r="A40">
        <v>4.2451822296500001</v>
      </c>
      <c r="B40">
        <v>5.8686962240703992E-4</v>
      </c>
      <c r="C40">
        <f t="shared" si="0"/>
        <v>3.306072651492975E-4</v>
      </c>
      <c r="D40">
        <f t="shared" si="1"/>
        <v>2.5626235725774243E-4</v>
      </c>
      <c r="E40">
        <f t="shared" si="2"/>
        <v>6.5670395747294813E-8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6F7A-2A66-4F7A-8AA8-2E5A78EEF08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6.14621395125E-2</v>
      </c>
      <c r="B1">
        <v>0.11246288397552545</v>
      </c>
      <c r="C1">
        <f>$H$3*(1+$H$1)*(A1^($H$1))*EXP(-$H$3*(A1^(1+$H$1)))</f>
        <v>0.17703212944264651</v>
      </c>
      <c r="D1">
        <f>B1-C1</f>
        <v>-6.4569245467121061E-2</v>
      </c>
      <c r="E1">
        <f>D1^2</f>
        <v>4.1691874601933335E-3</v>
      </c>
      <c r="G1" t="s">
        <v>0</v>
      </c>
      <c r="H1">
        <v>0.74583808897168757</v>
      </c>
    </row>
    <row r="2" spans="1:8" x14ac:dyDescent="0.25">
      <c r="A2">
        <v>0.16484242853749997</v>
      </c>
      <c r="B2">
        <v>0.36170495116452783</v>
      </c>
      <c r="C2">
        <f t="shared" ref="C2:C40" si="0">$H$3*(1+$H$1)*(A2^($H$1))*EXP(-$H$3*(A2^(1+$H$1)))</f>
        <v>0.35899754352696028</v>
      </c>
      <c r="D2">
        <f t="shared" ref="D2:D40" si="1">B2-C2</f>
        <v>2.7074076375675493E-3</v>
      </c>
      <c r="E2">
        <f t="shared" ref="E2:E40" si="2">D2^2</f>
        <v>7.3300561159590984E-6</v>
      </c>
    </row>
    <row r="3" spans="1:8" x14ac:dyDescent="0.25">
      <c r="A3">
        <v>0.26822271756249993</v>
      </c>
      <c r="B3">
        <v>0.5015236717827487</v>
      </c>
      <c r="C3">
        <f t="shared" si="0"/>
        <v>0.49244583184448248</v>
      </c>
      <c r="D3">
        <f t="shared" si="1"/>
        <v>9.0778399382662189E-3</v>
      </c>
      <c r="E3">
        <f t="shared" si="2"/>
        <v>8.2407177944781223E-5</v>
      </c>
      <c r="G3" t="s">
        <v>1</v>
      </c>
      <c r="H3">
        <f>(_xlfn.GAMMA((2+$H$1)/(1+$H$1)))^(1+$H$1)</f>
        <v>0.81709846586387314</v>
      </c>
    </row>
    <row r="4" spans="1:8" x14ac:dyDescent="0.25">
      <c r="A4">
        <v>0.37160300658749995</v>
      </c>
      <c r="B4">
        <v>0.60851538842973507</v>
      </c>
      <c r="C4">
        <f t="shared" si="0"/>
        <v>0.58966570655026784</v>
      </c>
      <c r="D4">
        <f t="shared" si="1"/>
        <v>1.8849681879467228E-2</v>
      </c>
      <c r="E4">
        <f t="shared" si="2"/>
        <v>3.5531050695711519E-4</v>
      </c>
    </row>
    <row r="5" spans="1:8" x14ac:dyDescent="0.25">
      <c r="A5">
        <v>0.47498329561249997</v>
      </c>
      <c r="B5">
        <v>0.72644943973379961</v>
      </c>
      <c r="C5">
        <f t="shared" si="0"/>
        <v>0.65523337623901035</v>
      </c>
      <c r="D5">
        <f t="shared" si="1"/>
        <v>7.1216063494789261E-2</v>
      </c>
      <c r="E5">
        <f t="shared" si="2"/>
        <v>5.0717276996938556E-3</v>
      </c>
      <c r="G5" t="s">
        <v>2</v>
      </c>
      <c r="H5">
        <f>SUM(E1:E40)</f>
        <v>2.8458410172465354E-2</v>
      </c>
    </row>
    <row r="6" spans="1:8" x14ac:dyDescent="0.25">
      <c r="A6">
        <v>0.57836358463749993</v>
      </c>
      <c r="B6">
        <v>0.75441318385744371</v>
      </c>
      <c r="C6">
        <f t="shared" si="0"/>
        <v>0.69261493288986442</v>
      </c>
      <c r="D6">
        <f t="shared" si="1"/>
        <v>6.1798250967579293E-2</v>
      </c>
      <c r="E6">
        <f t="shared" si="2"/>
        <v>3.8190238226519153E-3</v>
      </c>
    </row>
    <row r="7" spans="1:8" x14ac:dyDescent="0.25">
      <c r="A7">
        <v>0.68174387366249989</v>
      </c>
      <c r="B7">
        <v>0.71672292003861904</v>
      </c>
      <c r="C7">
        <f t="shared" si="0"/>
        <v>0.70532465616948969</v>
      </c>
      <c r="D7">
        <f t="shared" si="1"/>
        <v>1.1398263869129344E-2</v>
      </c>
      <c r="E7">
        <f t="shared" si="2"/>
        <v>1.2992041923029943E-4</v>
      </c>
    </row>
    <row r="8" spans="1:8" x14ac:dyDescent="0.25">
      <c r="A8">
        <v>0.78512416268749985</v>
      </c>
      <c r="B8">
        <v>0.65410844950089397</v>
      </c>
      <c r="C8">
        <f t="shared" si="0"/>
        <v>0.69711461485856929</v>
      </c>
      <c r="D8">
        <f t="shared" si="1"/>
        <v>-4.3006165357675319E-2</v>
      </c>
      <c r="E8">
        <f t="shared" si="2"/>
        <v>1.8495302587717127E-3</v>
      </c>
    </row>
    <row r="9" spans="1:8" x14ac:dyDescent="0.25">
      <c r="A9">
        <v>0.88850445171250003</v>
      </c>
      <c r="B9">
        <v>0.65289263453899649</v>
      </c>
      <c r="C9">
        <f t="shared" si="0"/>
        <v>0.67189296468954773</v>
      </c>
      <c r="D9">
        <f t="shared" si="1"/>
        <v>-1.9000330150551248E-2</v>
      </c>
      <c r="E9">
        <f t="shared" si="2"/>
        <v>3.610125458299468E-4</v>
      </c>
    </row>
    <row r="10" spans="1:8" x14ac:dyDescent="0.25">
      <c r="A10">
        <v>0.99188474073749999</v>
      </c>
      <c r="B10">
        <v>0.62796842782009621</v>
      </c>
      <c r="C10">
        <f t="shared" si="0"/>
        <v>0.63356337546246233</v>
      </c>
      <c r="D10">
        <f t="shared" si="1"/>
        <v>-5.5949476423661215E-3</v>
      </c>
      <c r="E10">
        <f t="shared" si="2"/>
        <v>3.1303439120818221E-5</v>
      </c>
    </row>
    <row r="11" spans="1:8" x14ac:dyDescent="0.25">
      <c r="A11">
        <v>1.0952650297625</v>
      </c>
      <c r="B11">
        <v>0.59818096125360565</v>
      </c>
      <c r="C11">
        <f t="shared" si="0"/>
        <v>0.5858575834003148</v>
      </c>
      <c r="D11">
        <f t="shared" si="1"/>
        <v>1.2323377853290851E-2</v>
      </c>
      <c r="E11">
        <f t="shared" si="2"/>
        <v>1.5186564171497944E-4</v>
      </c>
    </row>
    <row r="12" spans="1:8" x14ac:dyDescent="0.25">
      <c r="A12">
        <v>1.1986453187874999</v>
      </c>
      <c r="B12">
        <v>0.60122049865834959</v>
      </c>
      <c r="C12">
        <f t="shared" si="0"/>
        <v>0.53219245929956838</v>
      </c>
      <c r="D12">
        <f t="shared" si="1"/>
        <v>6.9028039358781212E-2</v>
      </c>
      <c r="E12">
        <f t="shared" si="2"/>
        <v>4.7648702177174483E-3</v>
      </c>
    </row>
    <row r="13" spans="1:8" x14ac:dyDescent="0.25">
      <c r="A13">
        <v>1.3020256078124999</v>
      </c>
      <c r="B13">
        <v>0.46626503788771906</v>
      </c>
      <c r="C13">
        <f t="shared" si="0"/>
        <v>0.47556497833972322</v>
      </c>
      <c r="D13">
        <f t="shared" si="1"/>
        <v>-9.2999404520041629E-3</v>
      </c>
      <c r="E13">
        <f t="shared" si="2"/>
        <v>8.6488892410823396E-5</v>
      </c>
    </row>
    <row r="14" spans="1:8" x14ac:dyDescent="0.25">
      <c r="A14">
        <v>1.4054058968374998</v>
      </c>
      <c r="B14">
        <v>0.389668695288172</v>
      </c>
      <c r="C14">
        <f t="shared" si="0"/>
        <v>0.41848872586882635</v>
      </c>
      <c r="D14">
        <f t="shared" si="1"/>
        <v>-2.8820030580654354E-2</v>
      </c>
      <c r="E14">
        <f t="shared" si="2"/>
        <v>8.3059416266985213E-4</v>
      </c>
    </row>
    <row r="15" spans="1:8" x14ac:dyDescent="0.25">
      <c r="A15">
        <v>1.5087861858624998</v>
      </c>
      <c r="B15">
        <v>0.32523050230760064</v>
      </c>
      <c r="C15">
        <f t="shared" si="0"/>
        <v>0.36296974174090013</v>
      </c>
      <c r="D15">
        <f t="shared" si="1"/>
        <v>-3.7739239433299487E-2</v>
      </c>
      <c r="E15">
        <f t="shared" si="2"/>
        <v>1.4242501930039071E-3</v>
      </c>
    </row>
    <row r="16" spans="1:8" x14ac:dyDescent="0.25">
      <c r="A16">
        <v>1.6121664748874998</v>
      </c>
      <c r="B16">
        <v>0.27963744123644169</v>
      </c>
      <c r="C16">
        <f t="shared" si="0"/>
        <v>0.31051604574282682</v>
      </c>
      <c r="D16">
        <f t="shared" si="1"/>
        <v>-3.0878604506385132E-2</v>
      </c>
      <c r="E16">
        <f t="shared" si="2"/>
        <v>9.5348821626174815E-4</v>
      </c>
    </row>
    <row r="17" spans="1:5" x14ac:dyDescent="0.25">
      <c r="A17">
        <v>1.7155467639124997</v>
      </c>
      <c r="B17">
        <v>0.21276761833207519</v>
      </c>
      <c r="C17">
        <f t="shared" si="0"/>
        <v>0.26217339984997695</v>
      </c>
      <c r="D17">
        <f t="shared" si="1"/>
        <v>-4.9405781517901759E-2</v>
      </c>
      <c r="E17">
        <f t="shared" si="2"/>
        <v>2.4409312473946429E-3</v>
      </c>
    </row>
    <row r="18" spans="1:5" x14ac:dyDescent="0.25">
      <c r="A18">
        <v>1.8189270529374997</v>
      </c>
      <c r="B18">
        <v>0.19756993130835554</v>
      </c>
      <c r="C18">
        <f t="shared" si="0"/>
        <v>0.2185793191792367</v>
      </c>
      <c r="D18">
        <f t="shared" si="1"/>
        <v>-2.1009387870881163E-2</v>
      </c>
      <c r="E18">
        <f t="shared" si="2"/>
        <v>4.4139437870912852E-4</v>
      </c>
    </row>
    <row r="19" spans="1:5" x14ac:dyDescent="0.25">
      <c r="A19">
        <v>1.9223073419624999</v>
      </c>
      <c r="B19">
        <v>0.16231129741332592</v>
      </c>
      <c r="C19">
        <f t="shared" si="0"/>
        <v>0.18002770171281357</v>
      </c>
      <c r="D19">
        <f t="shared" si="1"/>
        <v>-1.7716404299487648E-2</v>
      </c>
      <c r="E19">
        <f t="shared" si="2"/>
        <v>3.1387098130290444E-4</v>
      </c>
    </row>
    <row r="20" spans="1:5" x14ac:dyDescent="0.25">
      <c r="A20">
        <v>2.0256876309875</v>
      </c>
      <c r="B20">
        <v>0.1282684784801939</v>
      </c>
      <c r="C20">
        <f t="shared" si="0"/>
        <v>0.1465374084084704</v>
      </c>
      <c r="D20">
        <f t="shared" si="1"/>
        <v>-1.8268929928276501E-2</v>
      </c>
      <c r="E20">
        <f t="shared" si="2"/>
        <v>3.3375380072427682E-4</v>
      </c>
    </row>
    <row r="21" spans="1:5" x14ac:dyDescent="0.25">
      <c r="A21">
        <v>2.1290679200125</v>
      </c>
      <c r="B21">
        <v>0.12036568122785968</v>
      </c>
      <c r="C21">
        <f t="shared" si="0"/>
        <v>0.11791942906760644</v>
      </c>
      <c r="D21">
        <f t="shared" si="1"/>
        <v>2.4462521602532372E-3</v>
      </c>
      <c r="E21">
        <f t="shared" si="2"/>
        <v>5.9841496315436301E-6</v>
      </c>
    </row>
    <row r="22" spans="1:5" x14ac:dyDescent="0.25">
      <c r="A22">
        <v>2.2324482090375</v>
      </c>
      <c r="B22">
        <v>8.5107047332830074E-2</v>
      </c>
      <c r="C22">
        <f t="shared" si="0"/>
        <v>9.3838698353087863E-2</v>
      </c>
      <c r="D22">
        <f t="shared" si="1"/>
        <v>-8.7316510202577885E-3</v>
      </c>
      <c r="E22">
        <f t="shared" si="2"/>
        <v>7.6241729539568883E-5</v>
      </c>
    </row>
    <row r="23" spans="1:5" x14ac:dyDescent="0.25">
      <c r="A23">
        <v>2.3358284980624999</v>
      </c>
      <c r="B23">
        <v>7.5380527637649491E-2</v>
      </c>
      <c r="C23">
        <f t="shared" si="0"/>
        <v>7.3868013733298224E-2</v>
      </c>
      <c r="D23">
        <f t="shared" si="1"/>
        <v>1.5125139043512675E-3</v>
      </c>
      <c r="E23">
        <f t="shared" si="2"/>
        <v>2.2876983108559151E-6</v>
      </c>
    </row>
    <row r="24" spans="1:5" x14ac:dyDescent="0.25">
      <c r="A24">
        <v>2.4392087870874999</v>
      </c>
      <c r="B24">
        <v>6.6261915423417708E-2</v>
      </c>
      <c r="C24">
        <f t="shared" si="0"/>
        <v>5.7532737425618291E-2</v>
      </c>
      <c r="D24">
        <f t="shared" si="1"/>
        <v>8.7291779977994172E-3</v>
      </c>
      <c r="E24">
        <f t="shared" si="2"/>
        <v>7.619854851726544E-5</v>
      </c>
    </row>
    <row r="25" spans="1:5" x14ac:dyDescent="0.25">
      <c r="A25">
        <v>2.5425890761124998</v>
      </c>
      <c r="B25">
        <v>5.8359118171083482E-2</v>
      </c>
      <c r="C25">
        <f t="shared" si="0"/>
        <v>4.4345970196103666E-2</v>
      </c>
      <c r="D25">
        <f t="shared" si="1"/>
        <v>1.4013147974979816E-2</v>
      </c>
      <c r="E25">
        <f t="shared" si="2"/>
        <v>1.963683161686809E-4</v>
      </c>
    </row>
    <row r="26" spans="1:5" x14ac:dyDescent="0.25">
      <c r="A26">
        <v>2.6459693651374998</v>
      </c>
      <c r="B26">
        <v>4.0121893742619895E-2</v>
      </c>
      <c r="C26">
        <f t="shared" si="0"/>
        <v>3.3834639607136112E-2</v>
      </c>
      <c r="D26">
        <f t="shared" si="1"/>
        <v>6.287254135483783E-3</v>
      </c>
      <c r="E26">
        <f t="shared" si="2"/>
        <v>3.9529564564157929E-5</v>
      </c>
    </row>
    <row r="27" spans="1:5" x14ac:dyDescent="0.25">
      <c r="A27">
        <v>2.7493496541624998</v>
      </c>
      <c r="B27">
        <v>3.6474448856927175E-2</v>
      </c>
      <c r="C27">
        <f t="shared" si="0"/>
        <v>2.5557454080392769E-2</v>
      </c>
      <c r="D27">
        <f t="shared" si="1"/>
        <v>1.0916994776534406E-2</v>
      </c>
      <c r="E27">
        <f t="shared" si="2"/>
        <v>1.1918077495087949E-4</v>
      </c>
    </row>
    <row r="28" spans="1:5" x14ac:dyDescent="0.25">
      <c r="A28">
        <v>2.8527299431874997</v>
      </c>
      <c r="B28">
        <v>2.7355836642695381E-2</v>
      </c>
      <c r="C28">
        <f t="shared" si="0"/>
        <v>1.9115963818624352E-2</v>
      </c>
      <c r="D28">
        <f t="shared" si="1"/>
        <v>8.2398728240710289E-3</v>
      </c>
      <c r="E28">
        <f t="shared" si="2"/>
        <v>6.7895504156864273E-5</v>
      </c>
    </row>
    <row r="29" spans="1:5" x14ac:dyDescent="0.25">
      <c r="A29">
        <v>2.9561102322124997</v>
      </c>
      <c r="B29">
        <v>2.5532114199849024E-2</v>
      </c>
      <c r="C29">
        <f t="shared" si="0"/>
        <v>1.4160079627414456E-2</v>
      </c>
      <c r="D29">
        <f t="shared" si="1"/>
        <v>1.1372034572434568E-2</v>
      </c>
      <c r="E29">
        <f t="shared" si="2"/>
        <v>1.2932317031664708E-4</v>
      </c>
    </row>
    <row r="30" spans="1:5" x14ac:dyDescent="0.25">
      <c r="A30">
        <v>3.0594905212374996</v>
      </c>
      <c r="B30">
        <v>1.7629316947514802E-2</v>
      </c>
      <c r="C30">
        <f t="shared" si="0"/>
        <v>1.0389375232980346E-2</v>
      </c>
      <c r="D30">
        <f t="shared" si="1"/>
        <v>7.2399417145344556E-3</v>
      </c>
      <c r="E30">
        <f t="shared" si="2"/>
        <v>5.2416756029856111E-5</v>
      </c>
    </row>
    <row r="31" spans="1:5" x14ac:dyDescent="0.25">
      <c r="A31">
        <v>3.1628708102624996</v>
      </c>
      <c r="B31">
        <v>1.2766057099924512E-2</v>
      </c>
      <c r="C31">
        <f t="shared" si="0"/>
        <v>7.5513809842173134E-3</v>
      </c>
      <c r="D31">
        <f t="shared" si="1"/>
        <v>5.2146761157071987E-3</v>
      </c>
      <c r="E31">
        <f t="shared" si="2"/>
        <v>2.7192846991727117E-5</v>
      </c>
    </row>
    <row r="32" spans="1:5" x14ac:dyDescent="0.25">
      <c r="A32">
        <v>3.2662510992875</v>
      </c>
      <c r="B32">
        <v>1.0334427176129366E-2</v>
      </c>
      <c r="C32">
        <f t="shared" si="0"/>
        <v>5.437905055426356E-3</v>
      </c>
      <c r="D32">
        <f t="shared" si="1"/>
        <v>4.8965221207030105E-3</v>
      </c>
      <c r="E32">
        <f t="shared" si="2"/>
        <v>2.3975928878533908E-5</v>
      </c>
    </row>
    <row r="33" spans="1:5" x14ac:dyDescent="0.25">
      <c r="A33">
        <v>3.3696313883124995</v>
      </c>
      <c r="B33">
        <v>7.2948897713854353E-3</v>
      </c>
      <c r="C33">
        <f t="shared" si="0"/>
        <v>3.8802234881627606E-3</v>
      </c>
      <c r="D33">
        <f t="shared" si="1"/>
        <v>3.4146662832226747E-3</v>
      </c>
      <c r="E33">
        <f t="shared" si="2"/>
        <v>1.1659945825777756E-5</v>
      </c>
    </row>
    <row r="34" spans="1:5" x14ac:dyDescent="0.25">
      <c r="A34">
        <v>3.4730116773374995</v>
      </c>
      <c r="B34">
        <v>4.8632598475902905E-3</v>
      </c>
      <c r="C34">
        <f t="shared" si="0"/>
        <v>2.7437858204796117E-3</v>
      </c>
      <c r="D34">
        <f t="shared" si="1"/>
        <v>2.1194740271106788E-3</v>
      </c>
      <c r="E34">
        <f t="shared" si="2"/>
        <v>4.4921701515967582E-6</v>
      </c>
    </row>
    <row r="35" spans="1:5" x14ac:dyDescent="0.25">
      <c r="A35">
        <v>3.5763919663624995</v>
      </c>
      <c r="B35">
        <v>3.6474448856927176E-3</v>
      </c>
      <c r="C35">
        <f t="shared" si="0"/>
        <v>1.9229043061547517E-3</v>
      </c>
      <c r="D35">
        <f t="shared" si="1"/>
        <v>1.7245405795379659E-3</v>
      </c>
      <c r="E35">
        <f t="shared" si="2"/>
        <v>2.9740402104731431E-6</v>
      </c>
    </row>
    <row r="36" spans="1:5" x14ac:dyDescent="0.25">
      <c r="A36">
        <v>3.6797722553874999</v>
      </c>
      <c r="B36">
        <v>3.0395374047439312E-3</v>
      </c>
      <c r="C36">
        <f t="shared" si="0"/>
        <v>1.33574093677715E-3</v>
      </c>
      <c r="D36">
        <f t="shared" si="1"/>
        <v>1.7037964679667813E-3</v>
      </c>
      <c r="E36">
        <f t="shared" si="2"/>
        <v>2.902922404256079E-6</v>
      </c>
    </row>
    <row r="37" spans="1:5" x14ac:dyDescent="0.25">
      <c r="A37">
        <v>3.7831525444124998</v>
      </c>
      <c r="B37">
        <v>0</v>
      </c>
      <c r="C37">
        <f t="shared" si="0"/>
        <v>9.1978153924924112E-4</v>
      </c>
      <c r="D37">
        <f t="shared" si="1"/>
        <v>-9.1978153924924112E-4</v>
      </c>
      <c r="E37">
        <f t="shared" si="2"/>
        <v>8.4599807994370328E-7</v>
      </c>
    </row>
    <row r="38" spans="1:5" x14ac:dyDescent="0.25">
      <c r="A38">
        <v>3.8865328334374998</v>
      </c>
      <c r="B38">
        <v>0</v>
      </c>
      <c r="C38">
        <f t="shared" si="0"/>
        <v>6.278902101039158E-4</v>
      </c>
      <c r="D38">
        <f t="shared" si="1"/>
        <v>-6.278902101039158E-4</v>
      </c>
      <c r="E38">
        <f t="shared" si="2"/>
        <v>3.9424611594433953E-7</v>
      </c>
    </row>
    <row r="39" spans="1:5" x14ac:dyDescent="0.25">
      <c r="A39">
        <v>3.9899131224624997</v>
      </c>
      <c r="B39">
        <v>0</v>
      </c>
      <c r="C39">
        <f t="shared" si="0"/>
        <v>4.2496783633679967E-4</v>
      </c>
      <c r="D39">
        <f t="shared" si="1"/>
        <v>-4.2496783633679967E-4</v>
      </c>
      <c r="E39">
        <f t="shared" si="2"/>
        <v>1.8059766192078096E-7</v>
      </c>
    </row>
    <row r="40" spans="1:5" x14ac:dyDescent="0.25">
      <c r="A40">
        <v>4.0932934114874993</v>
      </c>
      <c r="B40">
        <v>6.0790748094878631E-4</v>
      </c>
      <c r="C40">
        <f t="shared" si="0"/>
        <v>2.8519160064336638E-4</v>
      </c>
      <c r="D40">
        <f t="shared" si="1"/>
        <v>3.2271588030541992E-4</v>
      </c>
      <c r="E40">
        <f t="shared" si="2"/>
        <v>1.0414553940130212E-7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AA13-A82D-4CCA-8116-51D1460CA44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8.1103201012500015E-2</v>
      </c>
      <c r="B1">
        <v>0.11354840751877479</v>
      </c>
      <c r="C1">
        <f>$H$3*(1+$H$1)*(A1^($H$1))*EXP(-$H$3*(A1^(1+$H$1)))</f>
        <v>0.18723317735345033</v>
      </c>
      <c r="D1">
        <f>B1-C1</f>
        <v>-7.3684769834675534E-2</v>
      </c>
      <c r="E1">
        <f>D1^2</f>
        <v>5.4294453055891093E-3</v>
      </c>
      <c r="G1" t="s">
        <v>0</v>
      </c>
      <c r="H1">
        <v>0.8159756271769304</v>
      </c>
    </row>
    <row r="2" spans="1:8" x14ac:dyDescent="0.25">
      <c r="A2">
        <v>0.18017435303750001</v>
      </c>
      <c r="B2">
        <v>0.34001087391096807</v>
      </c>
      <c r="C2">
        <f t="shared" ref="C2:C40" si="0">$H$3*(1+$H$1)*(A2^($H$1))*EXP(-$H$3*(A2^(1+$H$1)))</f>
        <v>0.34938299700228381</v>
      </c>
      <c r="D2">
        <f t="shared" ref="D2:D40" si="1">B2-C2</f>
        <v>-9.3721230913157427E-3</v>
      </c>
      <c r="E2">
        <f t="shared" ref="E2:E40" si="2">D2^2</f>
        <v>8.7836691238773757E-5</v>
      </c>
    </row>
    <row r="3" spans="1:8" x14ac:dyDescent="0.25">
      <c r="A3">
        <v>0.27924550506250001</v>
      </c>
      <c r="B3">
        <v>0.50050108118610781</v>
      </c>
      <c r="C3">
        <f t="shared" si="0"/>
        <v>0.47818990341765083</v>
      </c>
      <c r="D3">
        <f t="shared" si="1"/>
        <v>2.231117776845698E-2</v>
      </c>
      <c r="E3">
        <f t="shared" si="2"/>
        <v>4.9778865341568895E-4</v>
      </c>
      <c r="G3" t="s">
        <v>1</v>
      </c>
      <c r="H3">
        <f>(_xlfn.GAMMA((2+$H$1)/(1+$H$1)))^(1+$H$1)</f>
        <v>0.80748325951481859</v>
      </c>
    </row>
    <row r="4" spans="1:8" x14ac:dyDescent="0.25">
      <c r="A4">
        <v>0.37831665708750001</v>
      </c>
      <c r="B4">
        <v>0.58677249695456246</v>
      </c>
      <c r="C4">
        <f t="shared" si="0"/>
        <v>0.57777859633272199</v>
      </c>
      <c r="D4">
        <f t="shared" si="1"/>
        <v>8.9939006218404671E-3</v>
      </c>
      <c r="E4">
        <f t="shared" si="2"/>
        <v>8.0890248395542341E-5</v>
      </c>
    </row>
    <row r="5" spans="1:8" x14ac:dyDescent="0.25">
      <c r="A5">
        <v>0.47738780911250001</v>
      </c>
      <c r="B5">
        <v>0.75170314474719624</v>
      </c>
      <c r="C5">
        <f t="shared" si="0"/>
        <v>0.64959067957169592</v>
      </c>
      <c r="D5">
        <f t="shared" si="1"/>
        <v>0.10211246517550032</v>
      </c>
      <c r="E5">
        <f t="shared" si="2"/>
        <v>1.0426955544217766E-2</v>
      </c>
      <c r="G5" t="s">
        <v>2</v>
      </c>
      <c r="H5">
        <f>SUM(E1:E40)</f>
        <v>3.199039693654767E-2</v>
      </c>
    </row>
    <row r="6" spans="1:8" x14ac:dyDescent="0.25">
      <c r="A6">
        <v>0.57645896113749995</v>
      </c>
      <c r="B6">
        <v>0.73901617184007051</v>
      </c>
      <c r="C6">
        <f t="shared" si="0"/>
        <v>0.69513513821494544</v>
      </c>
      <c r="D6">
        <f t="shared" si="1"/>
        <v>4.3881033625125077E-2</v>
      </c>
      <c r="E6">
        <f t="shared" si="2"/>
        <v>1.9255451120093576E-3</v>
      </c>
    </row>
    <row r="7" spans="1:8" x14ac:dyDescent="0.25">
      <c r="A7">
        <v>0.6755301131625</v>
      </c>
      <c r="B7">
        <v>0.76819620952645962</v>
      </c>
      <c r="C7">
        <f t="shared" si="0"/>
        <v>0.71651709325898139</v>
      </c>
      <c r="D7">
        <f t="shared" si="1"/>
        <v>5.1679116267478231E-2</v>
      </c>
      <c r="E7">
        <f t="shared" si="2"/>
        <v>2.6707310581875333E-3</v>
      </c>
    </row>
    <row r="8" spans="1:8" x14ac:dyDescent="0.25">
      <c r="A8">
        <v>0.77460126518750005</v>
      </c>
      <c r="B8">
        <v>0.6755813073044421</v>
      </c>
      <c r="C8">
        <f t="shared" si="0"/>
        <v>0.71646416286031644</v>
      </c>
      <c r="D8">
        <f t="shared" si="1"/>
        <v>-4.0882855555874342E-2</v>
      </c>
      <c r="E8">
        <f t="shared" si="2"/>
        <v>1.6714078784024855E-3</v>
      </c>
    </row>
    <row r="9" spans="1:8" x14ac:dyDescent="0.25">
      <c r="A9">
        <v>0.87367241721250011</v>
      </c>
      <c r="B9">
        <v>0.70666439092690003</v>
      </c>
      <c r="C9">
        <f t="shared" si="0"/>
        <v>0.69818436512073634</v>
      </c>
      <c r="D9">
        <f t="shared" si="1"/>
        <v>8.4800258061636935E-3</v>
      </c>
      <c r="E9">
        <f t="shared" si="2"/>
        <v>7.19108376732022E-5</v>
      </c>
    </row>
    <row r="10" spans="1:8" x14ac:dyDescent="0.25">
      <c r="A10">
        <v>0.97274356923749994</v>
      </c>
      <c r="B10">
        <v>0.62863950754807718</v>
      </c>
      <c r="C10">
        <f t="shared" si="0"/>
        <v>0.66516519460943035</v>
      </c>
      <c r="D10">
        <f t="shared" si="1"/>
        <v>-3.6525687061353174E-2</v>
      </c>
      <c r="E10">
        <f t="shared" si="2"/>
        <v>1.3341258153039025E-3</v>
      </c>
    </row>
    <row r="11" spans="1:8" x14ac:dyDescent="0.25">
      <c r="A11">
        <v>1.0718147212625</v>
      </c>
      <c r="B11">
        <v>0.62673646161200836</v>
      </c>
      <c r="C11">
        <f t="shared" si="0"/>
        <v>0.62096416520873854</v>
      </c>
      <c r="D11">
        <f t="shared" si="1"/>
        <v>5.7722964032698165E-3</v>
      </c>
      <c r="E11">
        <f t="shared" si="2"/>
        <v>3.3319405767201663E-5</v>
      </c>
    </row>
    <row r="12" spans="1:8" x14ac:dyDescent="0.25">
      <c r="A12">
        <v>1.1708858732874998</v>
      </c>
      <c r="B12">
        <v>0.5829664050824247</v>
      </c>
      <c r="C12">
        <f t="shared" si="0"/>
        <v>0.56901849230089341</v>
      </c>
      <c r="D12">
        <f t="shared" si="1"/>
        <v>1.3947912781531291E-2</v>
      </c>
      <c r="E12">
        <f t="shared" si="2"/>
        <v>1.9454427096120394E-4</v>
      </c>
    </row>
    <row r="13" spans="1:8" x14ac:dyDescent="0.25">
      <c r="A13">
        <v>1.2699570253124999</v>
      </c>
      <c r="B13">
        <v>0.53285286209927829</v>
      </c>
      <c r="C13">
        <f t="shared" si="0"/>
        <v>0.51248955071114211</v>
      </c>
      <c r="D13">
        <f t="shared" si="1"/>
        <v>2.0363311388136185E-2</v>
      </c>
      <c r="E13">
        <f t="shared" si="2"/>
        <v>4.1466445069019683E-4</v>
      </c>
    </row>
    <row r="14" spans="1:8" x14ac:dyDescent="0.25">
      <c r="A14">
        <v>1.3690281773374999</v>
      </c>
      <c r="B14">
        <v>0.45546232736581171</v>
      </c>
      <c r="C14">
        <f t="shared" si="0"/>
        <v>0.45414964652762896</v>
      </c>
      <c r="D14">
        <f t="shared" si="1"/>
        <v>1.3126808381827559E-3</v>
      </c>
      <c r="E14">
        <f t="shared" si="2"/>
        <v>1.7231309829321826E-6</v>
      </c>
    </row>
    <row r="15" spans="1:8" x14ac:dyDescent="0.25">
      <c r="A15">
        <v>1.4680993293625</v>
      </c>
      <c r="B15">
        <v>0.35967568191701288</v>
      </c>
      <c r="C15">
        <f t="shared" si="0"/>
        <v>0.39631263686143187</v>
      </c>
      <c r="D15">
        <f t="shared" si="1"/>
        <v>-3.6636954944418987E-2</v>
      </c>
      <c r="E15">
        <f t="shared" si="2"/>
        <v>1.3422664675993869E-3</v>
      </c>
    </row>
    <row r="16" spans="1:8" x14ac:dyDescent="0.25">
      <c r="A16">
        <v>1.5671704813875</v>
      </c>
      <c r="B16">
        <v>0.31653997403278555</v>
      </c>
      <c r="C16">
        <f t="shared" si="0"/>
        <v>0.34080550807379262</v>
      </c>
      <c r="D16">
        <f t="shared" si="1"/>
        <v>-2.4265534041007064E-2</v>
      </c>
      <c r="E16">
        <f t="shared" si="2"/>
        <v>5.8881614229527261E-4</v>
      </c>
    </row>
    <row r="17" spans="1:5" x14ac:dyDescent="0.25">
      <c r="A17">
        <v>1.6662416334125001</v>
      </c>
      <c r="B17">
        <v>0.23914943929931895</v>
      </c>
      <c r="C17">
        <f t="shared" si="0"/>
        <v>0.28897501244966223</v>
      </c>
      <c r="D17">
        <f t="shared" si="1"/>
        <v>-4.9825573150343277E-2</v>
      </c>
      <c r="E17">
        <f t="shared" si="2"/>
        <v>2.4825877397602089E-3</v>
      </c>
    </row>
    <row r="18" spans="1:5" x14ac:dyDescent="0.25">
      <c r="A18">
        <v>1.7653127854375001</v>
      </c>
      <c r="B18">
        <v>0.21758158535720531</v>
      </c>
      <c r="C18">
        <f t="shared" si="0"/>
        <v>0.24172173975478131</v>
      </c>
      <c r="D18">
        <f t="shared" si="1"/>
        <v>-2.4140154397575997E-2</v>
      </c>
      <c r="E18">
        <f t="shared" si="2"/>
        <v>5.8274705433880775E-4</v>
      </c>
    </row>
    <row r="19" spans="1:5" x14ac:dyDescent="0.25">
      <c r="A19">
        <v>1.8643839374625</v>
      </c>
      <c r="B19">
        <v>0.16746804237405891</v>
      </c>
      <c r="C19">
        <f t="shared" si="0"/>
        <v>0.19955339350592186</v>
      </c>
      <c r="D19">
        <f t="shared" si="1"/>
        <v>-3.2085351131862949E-2</v>
      </c>
      <c r="E19">
        <f t="shared" si="2"/>
        <v>1.029469757254939E-3</v>
      </c>
    </row>
    <row r="20" spans="1:5" x14ac:dyDescent="0.25">
      <c r="A20">
        <v>1.9634550894874998</v>
      </c>
      <c r="B20">
        <v>0.1478032343680141</v>
      </c>
      <c r="C20">
        <f t="shared" si="0"/>
        <v>0.16264933118566172</v>
      </c>
      <c r="D20">
        <f t="shared" si="1"/>
        <v>-1.4846096817647619E-2</v>
      </c>
      <c r="E20">
        <f t="shared" si="2"/>
        <v>2.2040659071896677E-4</v>
      </c>
    </row>
    <row r="21" spans="1:5" x14ac:dyDescent="0.25">
      <c r="A21">
        <v>2.0625262415124999</v>
      </c>
      <c r="B21">
        <v>0.12813842636196932</v>
      </c>
      <c r="C21">
        <f t="shared" si="0"/>
        <v>0.13092936275389966</v>
      </c>
      <c r="D21">
        <f t="shared" si="1"/>
        <v>-2.7909363919303432E-3</v>
      </c>
      <c r="E21">
        <f t="shared" si="2"/>
        <v>7.7893259438011626E-6</v>
      </c>
    </row>
    <row r="22" spans="1:5" x14ac:dyDescent="0.25">
      <c r="A22">
        <v>2.1615973935375004</v>
      </c>
      <c r="B22">
        <v>9.515229680344256E-2</v>
      </c>
      <c r="C22">
        <f t="shared" si="0"/>
        <v>0.10412113130339358</v>
      </c>
      <c r="D22">
        <f t="shared" si="1"/>
        <v>-8.96883449995102E-3</v>
      </c>
      <c r="E22">
        <f t="shared" si="2"/>
        <v>8.043999228751166E-5</v>
      </c>
    </row>
    <row r="23" spans="1:5" x14ac:dyDescent="0.25">
      <c r="A23">
        <v>2.2606685455625</v>
      </c>
      <c r="B23">
        <v>7.9927929314891746E-2</v>
      </c>
      <c r="C23">
        <f t="shared" si="0"/>
        <v>8.1821896351494713E-2</v>
      </c>
      <c r="D23">
        <f t="shared" si="1"/>
        <v>-1.8939670366029671E-3</v>
      </c>
      <c r="E23">
        <f t="shared" si="2"/>
        <v>3.5871111357386248E-6</v>
      </c>
    </row>
    <row r="24" spans="1:5" x14ac:dyDescent="0.25">
      <c r="A24">
        <v>2.3597396975874996</v>
      </c>
      <c r="B24">
        <v>7.2950094215972622E-2</v>
      </c>
      <c r="C24">
        <f t="shared" si="0"/>
        <v>6.3552018606059218E-2</v>
      </c>
      <c r="D24">
        <f t="shared" si="1"/>
        <v>9.3980756099134033E-3</v>
      </c>
      <c r="E24">
        <f t="shared" si="2"/>
        <v>8.8323825169649191E-5</v>
      </c>
    </row>
    <row r="25" spans="1:5" x14ac:dyDescent="0.25">
      <c r="A25">
        <v>2.4588108496125001</v>
      </c>
      <c r="B25">
        <v>5.4553983500640398E-2</v>
      </c>
      <c r="C25">
        <f t="shared" si="0"/>
        <v>4.8798770365914602E-2</v>
      </c>
      <c r="D25">
        <f t="shared" si="1"/>
        <v>5.7552131347257951E-3</v>
      </c>
      <c r="E25">
        <f t="shared" si="2"/>
        <v>3.3122478226120311E-5</v>
      </c>
    </row>
    <row r="26" spans="1:5" x14ac:dyDescent="0.25">
      <c r="A26">
        <v>2.5578820016375001</v>
      </c>
      <c r="B26">
        <v>5.3285286209927833E-2</v>
      </c>
      <c r="C26">
        <f t="shared" si="0"/>
        <v>3.7050185006568516E-2</v>
      </c>
      <c r="D26">
        <f t="shared" si="1"/>
        <v>1.6235101203359317E-2</v>
      </c>
      <c r="E26">
        <f t="shared" si="2"/>
        <v>2.6357851108331916E-4</v>
      </c>
    </row>
    <row r="27" spans="1:5" x14ac:dyDescent="0.25">
      <c r="A27">
        <v>2.6569531536625002</v>
      </c>
      <c r="B27">
        <v>3.9963964657445873E-2</v>
      </c>
      <c r="C27">
        <f t="shared" si="0"/>
        <v>2.7819475815536884E-2</v>
      </c>
      <c r="D27">
        <f t="shared" si="1"/>
        <v>1.2144488841908989E-2</v>
      </c>
      <c r="E27">
        <f t="shared" si="2"/>
        <v>1.4748860923125194E-4</v>
      </c>
    </row>
    <row r="28" spans="1:5" x14ac:dyDescent="0.25">
      <c r="A28">
        <v>2.7560243056875002</v>
      </c>
      <c r="B28">
        <v>2.7276991750320199E-2</v>
      </c>
      <c r="C28">
        <f t="shared" si="0"/>
        <v>2.0661099837547207E-2</v>
      </c>
      <c r="D28">
        <f t="shared" si="1"/>
        <v>6.6158919127729914E-3</v>
      </c>
      <c r="E28">
        <f t="shared" si="2"/>
        <v>4.3770025801495071E-5</v>
      </c>
    </row>
    <row r="29" spans="1:5" x14ac:dyDescent="0.25">
      <c r="A29">
        <v>2.8550954577125003</v>
      </c>
      <c r="B29">
        <v>2.1567853942113645E-2</v>
      </c>
      <c r="C29">
        <f t="shared" si="0"/>
        <v>1.5179844132439994E-2</v>
      </c>
      <c r="D29">
        <f t="shared" si="1"/>
        <v>6.3880098096736511E-3</v>
      </c>
      <c r="E29">
        <f t="shared" si="2"/>
        <v>4.0806669328486796E-5</v>
      </c>
    </row>
    <row r="30" spans="1:5" x14ac:dyDescent="0.25">
      <c r="A30">
        <v>2.9541666097375003</v>
      </c>
      <c r="B30">
        <v>2.2202202587469931E-2</v>
      </c>
      <c r="C30">
        <f t="shared" si="0"/>
        <v>1.1034413677794902E-2</v>
      </c>
      <c r="D30">
        <f t="shared" si="1"/>
        <v>1.1167788909675029E-2</v>
      </c>
      <c r="E30">
        <f t="shared" si="2"/>
        <v>1.2471950913106058E-4</v>
      </c>
    </row>
    <row r="31" spans="1:5" x14ac:dyDescent="0.25">
      <c r="A31">
        <v>3.0532377617624999</v>
      </c>
      <c r="B31">
        <v>1.0783926971056823E-2</v>
      </c>
      <c r="C31">
        <f t="shared" si="0"/>
        <v>7.9369523977009405E-3</v>
      </c>
      <c r="D31">
        <f t="shared" si="1"/>
        <v>2.8469745733558822E-3</v>
      </c>
      <c r="E31">
        <f t="shared" si="2"/>
        <v>8.1052642213349082E-6</v>
      </c>
    </row>
    <row r="32" spans="1:5" x14ac:dyDescent="0.25">
      <c r="A32">
        <v>3.1523089137875</v>
      </c>
      <c r="B32">
        <v>1.1418275616413107E-2</v>
      </c>
      <c r="C32">
        <f t="shared" si="0"/>
        <v>5.6497810934549439E-3</v>
      </c>
      <c r="D32">
        <f t="shared" si="1"/>
        <v>5.7684945229581628E-3</v>
      </c>
      <c r="E32">
        <f t="shared" si="2"/>
        <v>3.3275529061398324E-5</v>
      </c>
    </row>
    <row r="33" spans="1:5" x14ac:dyDescent="0.25">
      <c r="A33">
        <v>3.2513800658124996</v>
      </c>
      <c r="B33">
        <v>7.6121837442754041E-3</v>
      </c>
      <c r="C33">
        <f t="shared" si="0"/>
        <v>3.980432328397971E-3</v>
      </c>
      <c r="D33">
        <f t="shared" si="1"/>
        <v>3.6317514158774331E-3</v>
      </c>
      <c r="E33">
        <f t="shared" si="2"/>
        <v>1.318961834672774E-5</v>
      </c>
    </row>
    <row r="34" spans="1:5" x14ac:dyDescent="0.25">
      <c r="A34">
        <v>3.3504512178374997</v>
      </c>
      <c r="B34">
        <v>6.3434864535628372E-3</v>
      </c>
      <c r="C34">
        <f t="shared" si="0"/>
        <v>2.7758380441032598E-3</v>
      </c>
      <c r="D34">
        <f t="shared" si="1"/>
        <v>3.5676484094595774E-3</v>
      </c>
      <c r="E34">
        <f t="shared" si="2"/>
        <v>1.2728115173519453E-5</v>
      </c>
    </row>
    <row r="35" spans="1:5" x14ac:dyDescent="0.25">
      <c r="A35">
        <v>3.4495223698625002</v>
      </c>
      <c r="B35">
        <v>3.1717432267814186E-3</v>
      </c>
      <c r="C35">
        <f t="shared" si="0"/>
        <v>1.9163069021169597E-3</v>
      </c>
      <c r="D35">
        <f t="shared" si="1"/>
        <v>1.2554363246644589E-3</v>
      </c>
      <c r="E35">
        <f t="shared" si="2"/>
        <v>1.5761203652870047E-6</v>
      </c>
    </row>
    <row r="36" spans="1:5" x14ac:dyDescent="0.25">
      <c r="A36">
        <v>3.5485935218875002</v>
      </c>
      <c r="B36">
        <v>1.2686972907125674E-3</v>
      </c>
      <c r="C36">
        <f t="shared" si="0"/>
        <v>1.3097320733901898E-3</v>
      </c>
      <c r="D36">
        <f t="shared" si="1"/>
        <v>-4.1034782677622488E-5</v>
      </c>
      <c r="E36">
        <f t="shared" si="2"/>
        <v>1.6838533893997067E-9</v>
      </c>
    </row>
    <row r="37" spans="1:5" x14ac:dyDescent="0.25">
      <c r="A37">
        <v>3.6476646739124998</v>
      </c>
      <c r="B37">
        <v>6.3434864535628368E-4</v>
      </c>
      <c r="C37">
        <f t="shared" si="0"/>
        <v>8.8630568924243699E-4</v>
      </c>
      <c r="D37">
        <f t="shared" si="1"/>
        <v>-2.5195704388615331E-4</v>
      </c>
      <c r="E37">
        <f t="shared" si="2"/>
        <v>6.3482351963848983E-8</v>
      </c>
    </row>
    <row r="38" spans="1:5" x14ac:dyDescent="0.25">
      <c r="A38">
        <v>3.7467358259374999</v>
      </c>
      <c r="B38">
        <v>0</v>
      </c>
      <c r="C38">
        <f t="shared" si="0"/>
        <v>5.9388659261531865E-4</v>
      </c>
      <c r="D38">
        <f t="shared" si="1"/>
        <v>-5.9388659261531865E-4</v>
      </c>
      <c r="E38">
        <f t="shared" si="2"/>
        <v>3.5270128488823345E-7</v>
      </c>
    </row>
    <row r="39" spans="1:5" x14ac:dyDescent="0.25">
      <c r="A39">
        <v>3.8458069779624999</v>
      </c>
      <c r="B39">
        <v>0</v>
      </c>
      <c r="C39">
        <f t="shared" si="0"/>
        <v>3.9407223981383186E-4</v>
      </c>
      <c r="D39">
        <f t="shared" si="1"/>
        <v>-3.9407223981383186E-4</v>
      </c>
      <c r="E39">
        <f t="shared" si="2"/>
        <v>1.552929301918902E-7</v>
      </c>
    </row>
    <row r="40" spans="1:5" x14ac:dyDescent="0.25">
      <c r="A40">
        <v>3.9448781299875</v>
      </c>
      <c r="B40">
        <v>6.3434864535628368E-4</v>
      </c>
      <c r="C40">
        <f t="shared" si="0"/>
        <v>2.5895975626715172E-4</v>
      </c>
      <c r="D40">
        <f t="shared" si="1"/>
        <v>3.7538888908913195E-4</v>
      </c>
      <c r="E40">
        <f t="shared" si="2"/>
        <v>1.409168180515726E-7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816D-8451-4BAA-8BBC-7AAAD8A18C1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8.0540907662499994E-2</v>
      </c>
      <c r="B1">
        <v>6.3947039739019412E-2</v>
      </c>
      <c r="C1">
        <f>$H$3*(1+$H$1)*(A1^($H$1))*EXP(-$H$3*(A1^(1+$H$1)))</f>
        <v>0.1547370687047008</v>
      </c>
      <c r="D1">
        <f>B1-C1</f>
        <v>-9.0790028965681391E-2</v>
      </c>
      <c r="E1">
        <f>D1^2</f>
        <v>8.2428293595892665E-3</v>
      </c>
      <c r="G1" t="s">
        <v>0</v>
      </c>
      <c r="H1">
        <v>0.90333338889173687</v>
      </c>
    </row>
    <row r="2" spans="1:8" x14ac:dyDescent="0.25">
      <c r="A2">
        <v>0.17587023298749999</v>
      </c>
      <c r="B2">
        <v>0.27622484175926942</v>
      </c>
      <c r="C2">
        <f t="shared" ref="C2:C40" si="0">$H$3*(1+$H$1)*(A2^($H$1))*EXP(-$H$3*(A2^(1+$H$1)))</f>
        <v>0.30632988597909816</v>
      </c>
      <c r="D2">
        <f t="shared" ref="D2:D40" si="1">B2-C2</f>
        <v>-3.0105044219828736E-2</v>
      </c>
      <c r="E2">
        <f t="shared" ref="E2:E40" si="2">D2^2</f>
        <v>9.063136874778436E-4</v>
      </c>
    </row>
    <row r="3" spans="1:8" x14ac:dyDescent="0.25">
      <c r="A3">
        <v>0.27119955831249998</v>
      </c>
      <c r="B3">
        <v>0.45685874782619024</v>
      </c>
      <c r="C3">
        <f t="shared" si="0"/>
        <v>0.43641354190575271</v>
      </c>
      <c r="D3">
        <f t="shared" si="1"/>
        <v>2.0445205920437526E-2</v>
      </c>
      <c r="E3">
        <f t="shared" si="2"/>
        <v>4.1800644512909364E-4</v>
      </c>
      <c r="G3" t="s">
        <v>1</v>
      </c>
      <c r="H3">
        <f>(_xlfn.GAMMA((2+$H$1)/(1+$H$1)))^(1+$H$1)</f>
        <v>0.79647800347452424</v>
      </c>
    </row>
    <row r="4" spans="1:8" x14ac:dyDescent="0.25">
      <c r="A4">
        <v>0.36652888363749997</v>
      </c>
      <c r="B4">
        <v>0.58870831429839521</v>
      </c>
      <c r="C4">
        <f t="shared" si="0"/>
        <v>0.54416203362720894</v>
      </c>
      <c r="D4">
        <f t="shared" si="1"/>
        <v>4.4546280671186267E-2</v>
      </c>
      <c r="E4">
        <f t="shared" si="2"/>
        <v>1.9843711216361031E-3</v>
      </c>
    </row>
    <row r="5" spans="1:8" x14ac:dyDescent="0.25">
      <c r="A5">
        <v>0.46185820896249996</v>
      </c>
      <c r="B5">
        <v>0.67309203684060648</v>
      </c>
      <c r="C5">
        <f t="shared" si="0"/>
        <v>0.62823332424183764</v>
      </c>
      <c r="D5">
        <f t="shared" si="1"/>
        <v>4.4858712598768835E-2</v>
      </c>
      <c r="E5">
        <f t="shared" si="2"/>
        <v>2.0123040960189418E-3</v>
      </c>
      <c r="G5" t="s">
        <v>2</v>
      </c>
      <c r="H5">
        <f>SUM(E1:E40)</f>
        <v>3.3870139558098401E-2</v>
      </c>
    </row>
    <row r="6" spans="1:8" x14ac:dyDescent="0.25">
      <c r="A6">
        <v>0.5571875342874999</v>
      </c>
      <c r="B6">
        <v>0.77066071603003816</v>
      </c>
      <c r="C6">
        <f t="shared" si="0"/>
        <v>0.68803054447801804</v>
      </c>
      <c r="D6">
        <f t="shared" si="1"/>
        <v>8.2630171552020126E-2</v>
      </c>
      <c r="E6">
        <f t="shared" si="2"/>
        <v>6.8277452507162764E-3</v>
      </c>
    </row>
    <row r="7" spans="1:8" x14ac:dyDescent="0.25">
      <c r="A7">
        <v>0.65251685961249994</v>
      </c>
      <c r="B7">
        <v>0.77989018568309243</v>
      </c>
      <c r="C7">
        <f t="shared" si="0"/>
        <v>0.72396694221602209</v>
      </c>
      <c r="D7">
        <f t="shared" si="1"/>
        <v>5.5923243467070338E-2</v>
      </c>
      <c r="E7">
        <f t="shared" si="2"/>
        <v>3.1274091598772254E-3</v>
      </c>
    </row>
    <row r="8" spans="1:8" x14ac:dyDescent="0.25">
      <c r="A8">
        <v>0.74784618493749999</v>
      </c>
      <c r="B8">
        <v>0.77197921169476014</v>
      </c>
      <c r="C8">
        <f t="shared" si="0"/>
        <v>0.73744933547253544</v>
      </c>
      <c r="D8">
        <f t="shared" si="1"/>
        <v>3.4529876222224698E-2</v>
      </c>
      <c r="E8">
        <f t="shared" si="2"/>
        <v>1.1923123519221586E-3</v>
      </c>
    </row>
    <row r="9" spans="1:8" x14ac:dyDescent="0.25">
      <c r="A9">
        <v>0.84317551026250004</v>
      </c>
      <c r="B9">
        <v>0.70341743712921356</v>
      </c>
      <c r="C9">
        <f t="shared" si="0"/>
        <v>0.73073360153956057</v>
      </c>
      <c r="D9">
        <f t="shared" si="1"/>
        <v>-2.731616441034701E-2</v>
      </c>
      <c r="E9">
        <f t="shared" si="2"/>
        <v>7.4617283809310861E-4</v>
      </c>
    </row>
    <row r="10" spans="1:8" x14ac:dyDescent="0.25">
      <c r="A10">
        <v>0.93850483558750009</v>
      </c>
      <c r="B10">
        <v>0.68561774565546585</v>
      </c>
      <c r="C10">
        <f t="shared" si="0"/>
        <v>0.70671397070869046</v>
      </c>
      <c r="D10">
        <f t="shared" si="1"/>
        <v>-2.1096225053224615E-2</v>
      </c>
      <c r="E10">
        <f t="shared" si="2"/>
        <v>4.4505071149630193E-4</v>
      </c>
    </row>
    <row r="11" spans="1:8" x14ac:dyDescent="0.25">
      <c r="A11">
        <v>1.0338341609124999</v>
      </c>
      <c r="B11">
        <v>0.66320331935519106</v>
      </c>
      <c r="C11">
        <f t="shared" si="0"/>
        <v>0.6686841403501681</v>
      </c>
      <c r="D11">
        <f t="shared" si="1"/>
        <v>-5.4808209949770426E-3</v>
      </c>
      <c r="E11">
        <f t="shared" si="2"/>
        <v>3.0039398778981138E-5</v>
      </c>
    </row>
    <row r="12" spans="1:8" x14ac:dyDescent="0.25">
      <c r="A12">
        <v>1.1291634862375</v>
      </c>
      <c r="B12">
        <v>0.59530079262200553</v>
      </c>
      <c r="C12">
        <f t="shared" si="0"/>
        <v>0.62009846028070503</v>
      </c>
      <c r="D12">
        <f t="shared" si="1"/>
        <v>-2.4797667658699507E-2</v>
      </c>
      <c r="E12">
        <f t="shared" si="2"/>
        <v>6.1492432131131152E-4</v>
      </c>
    </row>
    <row r="13" spans="1:8" x14ac:dyDescent="0.25">
      <c r="A13">
        <v>1.2244928115625</v>
      </c>
      <c r="B13">
        <v>0.58475282730422906</v>
      </c>
      <c r="C13">
        <f t="shared" si="0"/>
        <v>0.56435460797313608</v>
      </c>
      <c r="D13">
        <f t="shared" si="1"/>
        <v>2.0398219331092982E-2</v>
      </c>
      <c r="E13">
        <f t="shared" si="2"/>
        <v>4.160873518793754E-4</v>
      </c>
    </row>
    <row r="14" spans="1:8" x14ac:dyDescent="0.25">
      <c r="A14">
        <v>1.3198221368874998</v>
      </c>
      <c r="B14">
        <v>0.50432459175618405</v>
      </c>
      <c r="C14">
        <f t="shared" si="0"/>
        <v>0.50461277767426149</v>
      </c>
      <c r="D14">
        <f t="shared" si="1"/>
        <v>-2.8818591807744376E-4</v>
      </c>
      <c r="E14">
        <f t="shared" si="2"/>
        <v>8.3051123378139122E-8</v>
      </c>
    </row>
    <row r="15" spans="1:8" x14ac:dyDescent="0.25">
      <c r="A15">
        <v>1.4151514622124999</v>
      </c>
      <c r="B15">
        <v>0.4449922868436918</v>
      </c>
      <c r="C15">
        <f t="shared" si="0"/>
        <v>0.44366015995078578</v>
      </c>
      <c r="D15">
        <f t="shared" si="1"/>
        <v>1.3321268929060159E-3</v>
      </c>
      <c r="E15">
        <f t="shared" si="2"/>
        <v>1.7745620588034361E-6</v>
      </c>
    </row>
    <row r="16" spans="1:8" x14ac:dyDescent="0.25">
      <c r="A16">
        <v>1.5104807875374999</v>
      </c>
      <c r="B16">
        <v>0.34544586415717704</v>
      </c>
      <c r="C16">
        <f t="shared" si="0"/>
        <v>0.38382370083874201</v>
      </c>
      <c r="D16">
        <f t="shared" si="1"/>
        <v>-3.837783668156497E-2</v>
      </c>
      <c r="E16">
        <f t="shared" si="2"/>
        <v>1.4728583483568738E-3</v>
      </c>
    </row>
    <row r="17" spans="1:5" x14ac:dyDescent="0.25">
      <c r="A17">
        <v>1.6058101128625</v>
      </c>
      <c r="B17">
        <v>0.2854543114123238</v>
      </c>
      <c r="C17">
        <f t="shared" si="0"/>
        <v>0.32692920847845691</v>
      </c>
      <c r="D17">
        <f t="shared" si="1"/>
        <v>-4.147489706613311E-2</v>
      </c>
      <c r="E17">
        <f t="shared" si="2"/>
        <v>1.7201670866463369E-3</v>
      </c>
    </row>
    <row r="18" spans="1:5" x14ac:dyDescent="0.25">
      <c r="A18">
        <v>1.7011394381875</v>
      </c>
      <c r="B18">
        <v>0.24721793713538434</v>
      </c>
      <c r="C18">
        <f t="shared" si="0"/>
        <v>0.27430112796477202</v>
      </c>
      <c r="D18">
        <f t="shared" si="1"/>
        <v>-2.7083190829387677E-2</v>
      </c>
      <c r="E18">
        <f t="shared" si="2"/>
        <v>7.3349922550102874E-4</v>
      </c>
    </row>
    <row r="19" spans="1:5" x14ac:dyDescent="0.25">
      <c r="A19">
        <v>1.7964687635124998</v>
      </c>
      <c r="B19">
        <v>0.18458939306108699</v>
      </c>
      <c r="C19">
        <f t="shared" si="0"/>
        <v>0.22679487669687728</v>
      </c>
      <c r="D19">
        <f t="shared" si="1"/>
        <v>-4.2205483635790297E-2</v>
      </c>
      <c r="E19">
        <f t="shared" si="2"/>
        <v>1.7813028489309627E-3</v>
      </c>
    </row>
    <row r="20" spans="1:5" x14ac:dyDescent="0.25">
      <c r="A20">
        <v>1.8917980888374999</v>
      </c>
      <c r="B20">
        <v>0.17140443641386646</v>
      </c>
      <c r="C20">
        <f t="shared" si="0"/>
        <v>0.18485249960475422</v>
      </c>
      <c r="D20">
        <f t="shared" si="1"/>
        <v>-1.344806319088776E-2</v>
      </c>
      <c r="E20">
        <f t="shared" si="2"/>
        <v>1.8085040358611028E-4</v>
      </c>
    </row>
    <row r="21" spans="1:5" x14ac:dyDescent="0.25">
      <c r="A21">
        <v>1.9871274141624999</v>
      </c>
      <c r="B21">
        <v>0.13646430129873216</v>
      </c>
      <c r="C21">
        <f t="shared" si="0"/>
        <v>0.14857240490845941</v>
      </c>
      <c r="D21">
        <f t="shared" si="1"/>
        <v>-1.210810360972725E-2</v>
      </c>
      <c r="E21">
        <f t="shared" si="2"/>
        <v>1.4660617302389005E-4</v>
      </c>
    </row>
    <row r="22" spans="1:5" x14ac:dyDescent="0.25">
      <c r="A22">
        <v>2.0824567394875002</v>
      </c>
      <c r="B22">
        <v>0.11207213150137424</v>
      </c>
      <c r="C22">
        <f t="shared" si="0"/>
        <v>0.11778482316499203</v>
      </c>
      <c r="D22">
        <f t="shared" si="1"/>
        <v>-5.7126916636177916E-3</v>
      </c>
      <c r="E22">
        <f t="shared" si="2"/>
        <v>3.2634846043568211E-5</v>
      </c>
    </row>
    <row r="23" spans="1:5" x14ac:dyDescent="0.25">
      <c r="A23">
        <v>2.1777860648125</v>
      </c>
      <c r="B23">
        <v>8.8339209536377333E-2</v>
      </c>
      <c r="C23">
        <f t="shared" si="0"/>
        <v>9.2126100128594152E-2</v>
      </c>
      <c r="D23">
        <f t="shared" si="1"/>
        <v>-3.7868905922168183E-3</v>
      </c>
      <c r="E23">
        <f t="shared" si="2"/>
        <v>1.4340540357420245E-5</v>
      </c>
    </row>
    <row r="24" spans="1:5" x14ac:dyDescent="0.25">
      <c r="A24">
        <v>2.2731153901374999</v>
      </c>
      <c r="B24">
        <v>7.7131996386239909E-2</v>
      </c>
      <c r="C24">
        <f t="shared" si="0"/>
        <v>7.1106695696307093E-2</v>
      </c>
      <c r="D24">
        <f t="shared" si="1"/>
        <v>6.0253006899328165E-3</v>
      </c>
      <c r="E24">
        <f t="shared" si="2"/>
        <v>3.6304248404104872E-5</v>
      </c>
    </row>
    <row r="25" spans="1:5" x14ac:dyDescent="0.25">
      <c r="A25">
        <v>2.3684447154624997</v>
      </c>
      <c r="B25">
        <v>5.9332304912492244E-2</v>
      </c>
      <c r="C25">
        <f t="shared" si="0"/>
        <v>5.4169563197279107E-2</v>
      </c>
      <c r="D25">
        <f t="shared" si="1"/>
        <v>5.1627417152131372E-3</v>
      </c>
      <c r="E25">
        <f t="shared" si="2"/>
        <v>2.6653902018001884E-5</v>
      </c>
    </row>
    <row r="26" spans="1:5" x14ac:dyDescent="0.25">
      <c r="A26">
        <v>2.4637740407875</v>
      </c>
      <c r="B26">
        <v>5.8673057080131215E-2</v>
      </c>
      <c r="C26">
        <f t="shared" si="0"/>
        <v>4.0737231038237863E-2</v>
      </c>
      <c r="D26">
        <f t="shared" si="1"/>
        <v>1.7935826041893352E-2</v>
      </c>
      <c r="E26">
        <f t="shared" si="2"/>
        <v>3.2169385580505975E-4</v>
      </c>
    </row>
    <row r="27" spans="1:5" x14ac:dyDescent="0.25">
      <c r="A27">
        <v>2.5591033661124998</v>
      </c>
      <c r="B27">
        <v>4.1532613438744571E-2</v>
      </c>
      <c r="C27">
        <f t="shared" si="0"/>
        <v>3.0247275306169823E-2</v>
      </c>
      <c r="D27">
        <f t="shared" si="1"/>
        <v>1.1285338132574749E-2</v>
      </c>
      <c r="E27">
        <f t="shared" si="2"/>
        <v>1.2735885676654573E-4</v>
      </c>
    </row>
    <row r="28" spans="1:5" x14ac:dyDescent="0.25">
      <c r="A28">
        <v>2.6544326914375</v>
      </c>
      <c r="B28">
        <v>3.098464812096817E-2</v>
      </c>
      <c r="C28">
        <f t="shared" si="0"/>
        <v>2.2176895365475985E-2</v>
      </c>
      <c r="D28">
        <f t="shared" si="1"/>
        <v>8.8077527554921847E-3</v>
      </c>
      <c r="E28">
        <f t="shared" si="2"/>
        <v>7.7576508601880179E-5</v>
      </c>
    </row>
    <row r="29" spans="1:5" x14ac:dyDescent="0.25">
      <c r="A29">
        <v>2.7497620167624994</v>
      </c>
      <c r="B29">
        <v>2.0436682803191771E-2</v>
      </c>
      <c r="C29">
        <f t="shared" si="0"/>
        <v>1.6057977476075107E-2</v>
      </c>
      <c r="D29">
        <f t="shared" si="1"/>
        <v>4.3787053271166637E-3</v>
      </c>
      <c r="E29">
        <f t="shared" si="2"/>
        <v>1.9173060341719849E-5</v>
      </c>
    </row>
    <row r="30" spans="1:5" x14ac:dyDescent="0.25">
      <c r="A30">
        <v>2.8450913420874997</v>
      </c>
      <c r="B30">
        <v>2.1755178467913822E-2</v>
      </c>
      <c r="C30">
        <f t="shared" si="0"/>
        <v>1.1484386978997485E-2</v>
      </c>
      <c r="D30">
        <f t="shared" si="1"/>
        <v>1.0270791488916338E-2</v>
      </c>
      <c r="E30">
        <f t="shared" si="2"/>
        <v>1.0548915780879628E-4</v>
      </c>
    </row>
    <row r="31" spans="1:5" x14ac:dyDescent="0.25">
      <c r="A31">
        <v>2.9404206674125</v>
      </c>
      <c r="B31">
        <v>1.3844204479581523E-2</v>
      </c>
      <c r="C31">
        <f t="shared" si="0"/>
        <v>8.1133254483499329E-3</v>
      </c>
      <c r="D31">
        <f t="shared" si="1"/>
        <v>5.7308790312315897E-3</v>
      </c>
      <c r="E31">
        <f t="shared" si="2"/>
        <v>3.2842974470609926E-5</v>
      </c>
    </row>
    <row r="32" spans="1:5" x14ac:dyDescent="0.25">
      <c r="A32">
        <v>3.0357499927375002</v>
      </c>
      <c r="B32">
        <v>1.1207213150137424E-2</v>
      </c>
      <c r="C32">
        <f t="shared" si="0"/>
        <v>5.6624939352524165E-3</v>
      </c>
      <c r="D32">
        <f t="shared" si="1"/>
        <v>5.5447192148850074E-3</v>
      </c>
      <c r="E32">
        <f t="shared" si="2"/>
        <v>3.0743911171915012E-5</v>
      </c>
    </row>
    <row r="33" spans="1:5" x14ac:dyDescent="0.25">
      <c r="A33">
        <v>3.1310793180624996</v>
      </c>
      <c r="B33">
        <v>9.229469653054349E-3</v>
      </c>
      <c r="C33">
        <f t="shared" si="0"/>
        <v>3.9045850943471307E-3</v>
      </c>
      <c r="D33">
        <f t="shared" si="1"/>
        <v>5.3248845587072179E-3</v>
      </c>
      <c r="E33">
        <f t="shared" si="2"/>
        <v>2.8354395563558562E-5</v>
      </c>
    </row>
    <row r="34" spans="1:5" x14ac:dyDescent="0.25">
      <c r="A34">
        <v>3.2264086433874999</v>
      </c>
      <c r="B34">
        <v>5.9332304912492239E-3</v>
      </c>
      <c r="C34">
        <f t="shared" si="0"/>
        <v>2.6603454539126442E-3</v>
      </c>
      <c r="D34">
        <f t="shared" si="1"/>
        <v>3.2728850373365797E-3</v>
      </c>
      <c r="E34">
        <f t="shared" si="2"/>
        <v>1.0711776467621665E-5</v>
      </c>
    </row>
    <row r="35" spans="1:5" x14ac:dyDescent="0.25">
      <c r="A35">
        <v>3.3217379687125002</v>
      </c>
      <c r="B35">
        <v>3.9554869941661498E-3</v>
      </c>
      <c r="C35">
        <f t="shared" si="0"/>
        <v>1.7911517600451262E-3</v>
      </c>
      <c r="D35">
        <f t="shared" si="1"/>
        <v>2.1643352341210237E-3</v>
      </c>
      <c r="E35">
        <f t="shared" si="2"/>
        <v>4.6843470056577062E-6</v>
      </c>
    </row>
    <row r="36" spans="1:5" x14ac:dyDescent="0.25">
      <c r="A36">
        <v>3.4170672940375</v>
      </c>
      <c r="B36">
        <v>6.592478323610249E-4</v>
      </c>
      <c r="C36">
        <f t="shared" si="0"/>
        <v>1.1917657500267326E-3</v>
      </c>
      <c r="D36">
        <f t="shared" si="1"/>
        <v>-5.3251791766570768E-4</v>
      </c>
      <c r="E36">
        <f t="shared" si="2"/>
        <v>2.835753326350214E-7</v>
      </c>
    </row>
    <row r="37" spans="1:5" x14ac:dyDescent="0.25">
      <c r="A37">
        <v>3.5123966193624998</v>
      </c>
      <c r="B37">
        <v>6.592478323610249E-4</v>
      </c>
      <c r="C37">
        <f t="shared" si="0"/>
        <v>7.8369038941858947E-4</v>
      </c>
      <c r="D37">
        <f t="shared" si="1"/>
        <v>-1.2444255705756457E-4</v>
      </c>
      <c r="E37">
        <f t="shared" si="2"/>
        <v>1.5485950007025213E-8</v>
      </c>
    </row>
    <row r="38" spans="1:5" x14ac:dyDescent="0.25">
      <c r="A38">
        <v>3.6077259446875001</v>
      </c>
      <c r="B38">
        <v>0</v>
      </c>
      <c r="C38">
        <f t="shared" si="0"/>
        <v>5.0935709371669748E-4</v>
      </c>
      <c r="D38">
        <f t="shared" si="1"/>
        <v>-5.0935709371669748E-4</v>
      </c>
      <c r="E38">
        <f t="shared" si="2"/>
        <v>2.5944464891952057E-7</v>
      </c>
    </row>
    <row r="39" spans="1:5" x14ac:dyDescent="0.25">
      <c r="A39">
        <v>3.7030552700124999</v>
      </c>
      <c r="B39">
        <v>0</v>
      </c>
      <c r="C39">
        <f t="shared" si="0"/>
        <v>3.2722906525373591E-4</v>
      </c>
      <c r="D39">
        <f t="shared" si="1"/>
        <v>-3.2722906525373591E-4</v>
      </c>
      <c r="E39">
        <f t="shared" si="2"/>
        <v>1.0707886114683376E-7</v>
      </c>
    </row>
    <row r="40" spans="1:5" x14ac:dyDescent="0.25">
      <c r="A40">
        <v>3.7983845953374997</v>
      </c>
      <c r="B40">
        <v>6.592478323610249E-4</v>
      </c>
      <c r="C40">
        <f t="shared" si="0"/>
        <v>2.0780644538976128E-4</v>
      </c>
      <c r="D40">
        <f t="shared" si="1"/>
        <v>4.5144138697126364E-4</v>
      </c>
      <c r="E40">
        <f t="shared" si="2"/>
        <v>2.0379932587053822E-7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0531-B35A-47BD-A7F3-DA843B0D74A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9.0485957349999993E-2</v>
      </c>
      <c r="B1">
        <v>5.1598708912891318E-2</v>
      </c>
      <c r="C1">
        <f>$H$3*(1+$H$1)*(A1^($H$1))*EXP(-$H$3*(A1^(1+$H$1)))</f>
        <v>0.1414017151108416</v>
      </c>
      <c r="D1">
        <f>B1-C1</f>
        <v>-8.9803006197950286E-2</v>
      </c>
      <c r="E1">
        <f>D1^2</f>
        <v>8.0645799221890982E-3</v>
      </c>
      <c r="G1" t="s">
        <v>0</v>
      </c>
      <c r="H1">
        <v>0.99937876548308513</v>
      </c>
    </row>
    <row r="2" spans="1:8" x14ac:dyDescent="0.25">
      <c r="A2">
        <v>0.18183366605000001</v>
      </c>
      <c r="B2">
        <v>0.22909826757323745</v>
      </c>
      <c r="C2">
        <f t="shared" ref="C2:C40" si="0">$H$3*(1+$H$1)*(A2^($H$1))*EXP(-$H$3*(A2^(1+$H$1)))</f>
        <v>0.27852616763091559</v>
      </c>
      <c r="D2">
        <f t="shared" ref="D2:D40" si="1">B2-C2</f>
        <v>-4.9427900057678137E-2</v>
      </c>
      <c r="E2">
        <f t="shared" ref="E2:E40" si="2">D2^2</f>
        <v>2.4431173041118185E-3</v>
      </c>
    </row>
    <row r="3" spans="1:8" x14ac:dyDescent="0.25">
      <c r="A3">
        <v>0.27318137474999998</v>
      </c>
      <c r="B3">
        <v>0.39008623938145837</v>
      </c>
      <c r="C3">
        <f t="shared" si="0"/>
        <v>0.40489809877247329</v>
      </c>
      <c r="D3">
        <f t="shared" si="1"/>
        <v>-1.4811859391014925E-2</v>
      </c>
      <c r="E3">
        <f t="shared" si="2"/>
        <v>2.1939117861919703E-4</v>
      </c>
      <c r="G3" t="s">
        <v>1</v>
      </c>
      <c r="H3">
        <f>(_xlfn.GAMMA((2+$H$1)/(1+$H$1)))^(1+$H$1)</f>
        <v>0.78546601771207469</v>
      </c>
    </row>
    <row r="4" spans="1:8" x14ac:dyDescent="0.25">
      <c r="A4">
        <v>0.36452908345000001</v>
      </c>
      <c r="B4">
        <v>0.58616133325044539</v>
      </c>
      <c r="C4">
        <f t="shared" si="0"/>
        <v>0.51602353112624733</v>
      </c>
      <c r="D4">
        <f t="shared" si="1"/>
        <v>7.0137802124198068E-2</v>
      </c>
      <c r="E4">
        <f t="shared" si="2"/>
        <v>4.9193112868131626E-3</v>
      </c>
    </row>
    <row r="5" spans="1:8" x14ac:dyDescent="0.25">
      <c r="A5">
        <v>0.45587679214999999</v>
      </c>
      <c r="B5">
        <v>0.65289566344445149</v>
      </c>
      <c r="C5">
        <f t="shared" si="0"/>
        <v>0.60835033017877982</v>
      </c>
      <c r="D5">
        <f t="shared" si="1"/>
        <v>4.4545333265671672E-2</v>
      </c>
      <c r="E5">
        <f t="shared" si="2"/>
        <v>1.9842867157497551E-3</v>
      </c>
      <c r="G5" t="s">
        <v>2</v>
      </c>
      <c r="H5">
        <f>SUM(E1:E40)</f>
        <v>4.5973499166245615E-2</v>
      </c>
    </row>
    <row r="6" spans="1:8" x14ac:dyDescent="0.25">
      <c r="A6">
        <v>0.54722450084999985</v>
      </c>
      <c r="B6">
        <v>0.77466861647887497</v>
      </c>
      <c r="C6">
        <f t="shared" si="0"/>
        <v>0.67945604456732034</v>
      </c>
      <c r="D6">
        <f t="shared" si="1"/>
        <v>9.5212571911554633E-2</v>
      </c>
      <c r="E6">
        <f t="shared" si="2"/>
        <v>9.0654338500129623E-3</v>
      </c>
    </row>
    <row r="7" spans="1:8" x14ac:dyDescent="0.25">
      <c r="A7">
        <v>0.63857220954999994</v>
      </c>
      <c r="B7">
        <v>0.79186818611650545</v>
      </c>
      <c r="C7">
        <f t="shared" si="0"/>
        <v>0.72813726739324514</v>
      </c>
      <c r="D7">
        <f t="shared" si="1"/>
        <v>6.373091872326031E-2</v>
      </c>
      <c r="E7">
        <f t="shared" si="2"/>
        <v>4.0616300013108118E-3</v>
      </c>
    </row>
    <row r="8" spans="1:8" x14ac:dyDescent="0.25">
      <c r="A8">
        <v>0.72991991825000002</v>
      </c>
      <c r="B8">
        <v>0.81663556639469326</v>
      </c>
      <c r="C8">
        <f t="shared" si="0"/>
        <v>0.75440093580634016</v>
      </c>
      <c r="D8">
        <f t="shared" si="1"/>
        <v>6.2234630588353101E-2</v>
      </c>
      <c r="E8">
        <f t="shared" si="2"/>
        <v>3.8731492444687753E-3</v>
      </c>
    </row>
    <row r="9" spans="1:8" x14ac:dyDescent="0.25">
      <c r="A9">
        <v>0.82126762695</v>
      </c>
      <c r="B9">
        <v>0.78774028940347407</v>
      </c>
      <c r="C9">
        <f t="shared" si="0"/>
        <v>0.75936568156539375</v>
      </c>
      <c r="D9">
        <f t="shared" si="1"/>
        <v>2.8374607838080323E-2</v>
      </c>
      <c r="E9">
        <f t="shared" si="2"/>
        <v>8.051183699648493E-4</v>
      </c>
    </row>
    <row r="10" spans="1:8" x14ac:dyDescent="0.25">
      <c r="A10">
        <v>0.91261533564999997</v>
      </c>
      <c r="B10">
        <v>0.7044943723573428</v>
      </c>
      <c r="C10">
        <f t="shared" si="0"/>
        <v>0.74508925504714785</v>
      </c>
      <c r="D10">
        <f t="shared" si="1"/>
        <v>-4.0594882689805045E-2</v>
      </c>
      <c r="E10">
        <f t="shared" si="2"/>
        <v>1.6479445005990333E-3</v>
      </c>
    </row>
    <row r="11" spans="1:8" x14ac:dyDescent="0.25">
      <c r="A11">
        <v>1.0039630443499998</v>
      </c>
      <c r="B11">
        <v>0.68523085436319664</v>
      </c>
      <c r="C11">
        <f t="shared" si="0"/>
        <v>0.71434381699360838</v>
      </c>
      <c r="D11">
        <f t="shared" si="1"/>
        <v>-2.9112962630411743E-2</v>
      </c>
      <c r="E11">
        <f t="shared" si="2"/>
        <v>8.4756459311975067E-4</v>
      </c>
    </row>
    <row r="12" spans="1:8" x14ac:dyDescent="0.25">
      <c r="A12">
        <v>1.0953107530499999</v>
      </c>
      <c r="B12">
        <v>0.64601583558939923</v>
      </c>
      <c r="C12">
        <f t="shared" si="0"/>
        <v>0.67036379750628339</v>
      </c>
      <c r="D12">
        <f t="shared" si="1"/>
        <v>-2.4347961916884153E-2</v>
      </c>
      <c r="E12">
        <f t="shared" si="2"/>
        <v>5.9282324950604107E-4</v>
      </c>
    </row>
    <row r="13" spans="1:8" x14ac:dyDescent="0.25">
      <c r="A13">
        <v>1.18665846175</v>
      </c>
      <c r="B13">
        <v>0.61918450695469585</v>
      </c>
      <c r="C13">
        <f t="shared" si="0"/>
        <v>0.61659094237452383</v>
      </c>
      <c r="D13">
        <f t="shared" si="1"/>
        <v>2.5935645801720142E-3</v>
      </c>
      <c r="E13">
        <f t="shared" si="2"/>
        <v>6.7265772315228364E-6</v>
      </c>
    </row>
    <row r="14" spans="1:8" x14ac:dyDescent="0.25">
      <c r="A14">
        <v>1.2780061704499999</v>
      </c>
      <c r="B14">
        <v>0.53112271041002801</v>
      </c>
      <c r="C14">
        <f t="shared" si="0"/>
        <v>0.55643842789711329</v>
      </c>
      <c r="D14">
        <f t="shared" si="1"/>
        <v>-2.5315717487085276E-2</v>
      </c>
      <c r="E14">
        <f t="shared" si="2"/>
        <v>6.4088555188591522E-4</v>
      </c>
    </row>
    <row r="15" spans="1:8" x14ac:dyDescent="0.25">
      <c r="A15">
        <v>1.3693538791499997</v>
      </c>
      <c r="B15">
        <v>0.50153945063330363</v>
      </c>
      <c r="C15">
        <f t="shared" si="0"/>
        <v>0.49309117524273571</v>
      </c>
      <c r="D15">
        <f t="shared" si="1"/>
        <v>8.4482753905679164E-3</v>
      </c>
      <c r="E15">
        <f t="shared" si="2"/>
        <v>7.1373357074875482E-5</v>
      </c>
    </row>
    <row r="16" spans="1:8" x14ac:dyDescent="0.25">
      <c r="A16">
        <v>1.46070158785</v>
      </c>
      <c r="B16">
        <v>0.41622958523065662</v>
      </c>
      <c r="C16">
        <f t="shared" si="0"/>
        <v>0.42935356716342338</v>
      </c>
      <c r="D16">
        <f t="shared" si="1"/>
        <v>-1.312398193276676E-2</v>
      </c>
      <c r="E16">
        <f t="shared" si="2"/>
        <v>1.7223890177158832E-4</v>
      </c>
    </row>
    <row r="17" spans="1:5" x14ac:dyDescent="0.25">
      <c r="A17">
        <v>1.5520492965499999</v>
      </c>
      <c r="B17">
        <v>0.34399139275260876</v>
      </c>
      <c r="C17">
        <f t="shared" si="0"/>
        <v>0.36754953612004709</v>
      </c>
      <c r="D17">
        <f t="shared" si="1"/>
        <v>-2.3558143367438333E-2</v>
      </c>
      <c r="E17">
        <f t="shared" si="2"/>
        <v>5.5498611892077876E-4</v>
      </c>
    </row>
    <row r="18" spans="1:5" x14ac:dyDescent="0.25">
      <c r="A18">
        <v>1.64339700525</v>
      </c>
      <c r="B18">
        <v>0.26968925191804527</v>
      </c>
      <c r="C18">
        <f t="shared" si="0"/>
        <v>0.30947423569161198</v>
      </c>
      <c r="D18">
        <f t="shared" si="1"/>
        <v>-3.9784983773566707E-2</v>
      </c>
      <c r="E18">
        <f t="shared" si="2"/>
        <v>1.582844933862966E-3</v>
      </c>
    </row>
    <row r="19" spans="1:5" x14ac:dyDescent="0.25">
      <c r="A19">
        <v>1.7347447139500001</v>
      </c>
      <c r="B19">
        <v>0.21602659464863833</v>
      </c>
      <c r="C19">
        <f t="shared" si="0"/>
        <v>0.25639182170925656</v>
      </c>
      <c r="D19">
        <f t="shared" si="1"/>
        <v>-4.0365227060618236E-2</v>
      </c>
      <c r="E19">
        <f t="shared" si="2"/>
        <v>1.6293515556552668E-3</v>
      </c>
    </row>
    <row r="20" spans="1:5" x14ac:dyDescent="0.25">
      <c r="A20">
        <v>1.8260924226499999</v>
      </c>
      <c r="B20">
        <v>0.17405964473282004</v>
      </c>
      <c r="C20">
        <f t="shared" si="0"/>
        <v>0.20907061173514863</v>
      </c>
      <c r="D20">
        <f t="shared" si="1"/>
        <v>-3.5010967002328586E-2</v>
      </c>
      <c r="E20">
        <f t="shared" si="2"/>
        <v>1.2257678104381411E-3</v>
      </c>
    </row>
    <row r="21" spans="1:5" x14ac:dyDescent="0.25">
      <c r="A21">
        <v>1.9174401313499998</v>
      </c>
      <c r="B21">
        <v>0.14172445381407481</v>
      </c>
      <c r="C21">
        <f t="shared" si="0"/>
        <v>0.16784517051887604</v>
      </c>
      <c r="D21">
        <f t="shared" si="1"/>
        <v>-2.6120716704801233E-2</v>
      </c>
      <c r="E21">
        <f t="shared" si="2"/>
        <v>6.8229184117248216E-4</v>
      </c>
    </row>
    <row r="22" spans="1:5" x14ac:dyDescent="0.25">
      <c r="A22">
        <v>2.0087878400500001</v>
      </c>
      <c r="B22">
        <v>0.13209269481700178</v>
      </c>
      <c r="C22">
        <f t="shared" si="0"/>
        <v>0.13269457853605118</v>
      </c>
      <c r="D22">
        <f t="shared" si="1"/>
        <v>-6.0188371904940086E-4</v>
      </c>
      <c r="E22">
        <f t="shared" si="2"/>
        <v>3.6226401125673813E-7</v>
      </c>
    </row>
    <row r="23" spans="1:5" x14ac:dyDescent="0.25">
      <c r="A23">
        <v>2.10013554875</v>
      </c>
      <c r="B23">
        <v>0.10250943504027742</v>
      </c>
      <c r="C23">
        <f t="shared" si="0"/>
        <v>0.10332701588354039</v>
      </c>
      <c r="D23">
        <f t="shared" si="1"/>
        <v>-8.1758084326297165E-4</v>
      </c>
      <c r="E23">
        <f t="shared" si="2"/>
        <v>6.6843843527059178E-7</v>
      </c>
    </row>
    <row r="24" spans="1:5" x14ac:dyDescent="0.25">
      <c r="A24">
        <v>2.1914832574499998</v>
      </c>
      <c r="B24">
        <v>8.737381375916263E-2</v>
      </c>
      <c r="C24">
        <f t="shared" si="0"/>
        <v>7.9262480601432456E-2</v>
      </c>
      <c r="D24">
        <f t="shared" si="1"/>
        <v>8.1113331577301745E-3</v>
      </c>
      <c r="E24">
        <f t="shared" si="2"/>
        <v>6.5793725595692957E-5</v>
      </c>
    </row>
    <row r="25" spans="1:5" x14ac:dyDescent="0.25">
      <c r="A25">
        <v>2.2828309661499997</v>
      </c>
      <c r="B25">
        <v>6.4670381837490451E-2</v>
      </c>
      <c r="C25">
        <f t="shared" si="0"/>
        <v>5.9907583057828971E-2</v>
      </c>
      <c r="D25">
        <f t="shared" si="1"/>
        <v>4.7627987796614799E-3</v>
      </c>
      <c r="E25">
        <f t="shared" si="2"/>
        <v>2.2684252215544882E-5</v>
      </c>
    </row>
    <row r="26" spans="1:5" x14ac:dyDescent="0.25">
      <c r="A26">
        <v>2.37417867485</v>
      </c>
      <c r="B26">
        <v>6.0542485124459144E-2</v>
      </c>
      <c r="C26">
        <f t="shared" si="0"/>
        <v>4.4618574389074211E-2</v>
      </c>
      <c r="D26">
        <f t="shared" si="1"/>
        <v>1.5923910735384933E-2</v>
      </c>
      <c r="E26">
        <f t="shared" si="2"/>
        <v>2.5357093310850751E-4</v>
      </c>
    </row>
    <row r="27" spans="1:5" x14ac:dyDescent="0.25">
      <c r="A27">
        <v>2.4655263835499999</v>
      </c>
      <c r="B27">
        <v>4.7470812199860012E-2</v>
      </c>
      <c r="C27">
        <f t="shared" si="0"/>
        <v>3.2750806805630001E-2</v>
      </c>
      <c r="D27">
        <f t="shared" si="1"/>
        <v>1.4720005394230011E-2</v>
      </c>
      <c r="E27">
        <f t="shared" si="2"/>
        <v>2.1667855880616062E-4</v>
      </c>
    </row>
    <row r="28" spans="1:5" x14ac:dyDescent="0.25">
      <c r="A28">
        <v>2.5568740922499997</v>
      </c>
      <c r="B28">
        <v>2.9583259776724356E-2</v>
      </c>
      <c r="C28">
        <f t="shared" si="0"/>
        <v>2.3694506427160405E-2</v>
      </c>
      <c r="D28">
        <f t="shared" si="1"/>
        <v>5.8887533495639507E-3</v>
      </c>
      <c r="E28">
        <f t="shared" si="2"/>
        <v>3.4677416012000653E-5</v>
      </c>
    </row>
    <row r="29" spans="1:5" x14ac:dyDescent="0.25">
      <c r="A29">
        <v>2.6482218009499996</v>
      </c>
      <c r="B29">
        <v>2.4767380278187832E-2</v>
      </c>
      <c r="C29">
        <f t="shared" si="0"/>
        <v>1.6897975416000556E-2</v>
      </c>
      <c r="D29">
        <f t="shared" si="1"/>
        <v>7.8694048621872764E-3</v>
      </c>
      <c r="E29">
        <f t="shared" si="2"/>
        <v>6.1927532885016744E-5</v>
      </c>
    </row>
    <row r="30" spans="1:5" x14ac:dyDescent="0.25">
      <c r="A30">
        <v>2.7395695096499999</v>
      </c>
      <c r="B30">
        <v>2.0639483565156526E-2</v>
      </c>
      <c r="C30">
        <f t="shared" si="0"/>
        <v>1.188011800373793E-2</v>
      </c>
      <c r="D30">
        <f t="shared" si="1"/>
        <v>8.7593655614185955E-3</v>
      </c>
      <c r="E30">
        <f t="shared" si="2"/>
        <v>7.6726485038566112E-5</v>
      </c>
    </row>
    <row r="31" spans="1:5" x14ac:dyDescent="0.25">
      <c r="A31">
        <v>2.8309172183499998</v>
      </c>
      <c r="B31">
        <v>1.6511586852125223E-2</v>
      </c>
      <c r="C31">
        <f t="shared" si="0"/>
        <v>8.2345511454277303E-3</v>
      </c>
      <c r="D31">
        <f t="shared" si="1"/>
        <v>8.2770357066974925E-3</v>
      </c>
      <c r="E31">
        <f t="shared" si="2"/>
        <v>6.8509320089945263E-5</v>
      </c>
    </row>
    <row r="32" spans="1:5" x14ac:dyDescent="0.25">
      <c r="A32">
        <v>2.9222649270500001</v>
      </c>
      <c r="B32">
        <v>1.1695707353588698E-2</v>
      </c>
      <c r="C32">
        <f t="shared" si="0"/>
        <v>5.6275970447689375E-3</v>
      </c>
      <c r="D32">
        <f t="shared" si="1"/>
        <v>6.0681103088197604E-3</v>
      </c>
      <c r="E32">
        <f t="shared" si="2"/>
        <v>3.6821962720004646E-5</v>
      </c>
    </row>
    <row r="33" spans="1:5" x14ac:dyDescent="0.25">
      <c r="A33">
        <v>3.0136126357499999</v>
      </c>
      <c r="B33">
        <v>9.6317589970730463E-3</v>
      </c>
      <c r="C33">
        <f t="shared" si="0"/>
        <v>3.7922581275235696E-3</v>
      </c>
      <c r="D33">
        <f t="shared" si="1"/>
        <v>5.8395008695494768E-3</v>
      </c>
      <c r="E33">
        <f t="shared" si="2"/>
        <v>3.4099770405469095E-5</v>
      </c>
    </row>
    <row r="34" spans="1:5" x14ac:dyDescent="0.25">
      <c r="A34">
        <v>3.1049603444499998</v>
      </c>
      <c r="B34">
        <v>5.5038622840417406E-3</v>
      </c>
      <c r="C34">
        <f t="shared" si="0"/>
        <v>2.5199392934609397E-3</v>
      </c>
      <c r="D34">
        <f t="shared" si="1"/>
        <v>2.9839229905808009E-3</v>
      </c>
      <c r="E34">
        <f t="shared" si="2"/>
        <v>8.9037964137166701E-6</v>
      </c>
    </row>
    <row r="35" spans="1:5" x14ac:dyDescent="0.25">
      <c r="A35">
        <v>3.1963080531500001</v>
      </c>
      <c r="B35">
        <v>2.0639483565156528E-3</v>
      </c>
      <c r="C35">
        <f t="shared" si="0"/>
        <v>1.651287910670486E-3</v>
      </c>
      <c r="D35">
        <f t="shared" si="1"/>
        <v>4.126604458451668E-4</v>
      </c>
      <c r="E35">
        <f t="shared" si="2"/>
        <v>1.7028864356513183E-7</v>
      </c>
    </row>
    <row r="36" spans="1:5" x14ac:dyDescent="0.25">
      <c r="A36">
        <v>3.28765576185</v>
      </c>
      <c r="B36">
        <v>1.3759655710104352E-3</v>
      </c>
      <c r="C36">
        <f t="shared" si="0"/>
        <v>1.0671300382128828E-3</v>
      </c>
      <c r="D36">
        <f t="shared" si="1"/>
        <v>3.0883553279755231E-4</v>
      </c>
      <c r="E36">
        <f t="shared" si="2"/>
        <v>9.537938631834801E-8</v>
      </c>
    </row>
    <row r="37" spans="1:5" x14ac:dyDescent="0.25">
      <c r="A37">
        <v>3.3790034705499998</v>
      </c>
      <c r="B37">
        <v>0</v>
      </c>
      <c r="C37">
        <f t="shared" si="0"/>
        <v>6.8013206413767527E-4</v>
      </c>
      <c r="D37">
        <f t="shared" si="1"/>
        <v>-6.8013206413767527E-4</v>
      </c>
      <c r="E37">
        <f t="shared" si="2"/>
        <v>4.6257962466817481E-7</v>
      </c>
    </row>
    <row r="38" spans="1:5" x14ac:dyDescent="0.25">
      <c r="A38">
        <v>3.4703511792499997</v>
      </c>
      <c r="B38">
        <v>0</v>
      </c>
      <c r="C38">
        <f t="shared" si="0"/>
        <v>4.2753187338079334E-4</v>
      </c>
      <c r="D38">
        <f t="shared" si="1"/>
        <v>-4.2753187338079334E-4</v>
      </c>
      <c r="E38">
        <f t="shared" si="2"/>
        <v>1.8278350275649071E-7</v>
      </c>
    </row>
    <row r="39" spans="1:5" x14ac:dyDescent="0.25">
      <c r="A39">
        <v>3.5616988879499996</v>
      </c>
      <c r="B39">
        <v>0</v>
      </c>
      <c r="C39">
        <f t="shared" si="0"/>
        <v>2.6506944832644953E-4</v>
      </c>
      <c r="D39">
        <f t="shared" si="1"/>
        <v>-2.6506944832644953E-4</v>
      </c>
      <c r="E39">
        <f t="shared" si="2"/>
        <v>7.0261812436088299E-8</v>
      </c>
    </row>
    <row r="40" spans="1:5" x14ac:dyDescent="0.25">
      <c r="A40">
        <v>3.6530465966499994</v>
      </c>
      <c r="B40">
        <v>6.8798278550521758E-4</v>
      </c>
      <c r="C40">
        <f t="shared" si="0"/>
        <v>1.6209966167111281E-4</v>
      </c>
      <c r="D40">
        <f t="shared" si="1"/>
        <v>5.2588312383410475E-4</v>
      </c>
      <c r="E40">
        <f t="shared" si="2"/>
        <v>2.7655305993351634E-7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1911-87CD-4B68-A96D-4E3E43E836D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0.10535550606249999</v>
      </c>
      <c r="B1">
        <v>4.0329003385411635E-2</v>
      </c>
      <c r="C1">
        <f>$H$3*(1+$H$1)*(A1^($H$1))*EXP(-$H$3*(A1^(1+$H$1)))</f>
        <v>0.13220450857788144</v>
      </c>
      <c r="D1">
        <f>B1-C1</f>
        <v>-9.18755051924698E-2</v>
      </c>
      <c r="E1">
        <f>D1^2</f>
        <v>8.4411084543715448E-3</v>
      </c>
      <c r="G1" t="s">
        <v>0</v>
      </c>
      <c r="H1">
        <v>1.1148958930199939</v>
      </c>
    </row>
    <row r="2" spans="1:8" x14ac:dyDescent="0.25">
      <c r="A2">
        <v>0.1926216461875</v>
      </c>
      <c r="B2">
        <v>0.17859987213539438</v>
      </c>
      <c r="C2">
        <f t="shared" ref="C2:C40" si="0">$H$3*(1+$H$1)*(A2^($H$1))*EXP(-$H$3*(A2^(1+$H$1)))</f>
        <v>0.25466325109553256</v>
      </c>
      <c r="D2">
        <f t="shared" ref="D2:D40" si="1">B2-C2</f>
        <v>-7.6063378960138178E-2</v>
      </c>
      <c r="E2">
        <f t="shared" ref="E2:E40" si="2">D2^2</f>
        <v>5.7856376188335909E-3</v>
      </c>
    </row>
    <row r="3" spans="1:8" x14ac:dyDescent="0.25">
      <c r="A3">
        <v>0.2798877863125</v>
      </c>
      <c r="B3">
        <v>0.37232312054031813</v>
      </c>
      <c r="C3">
        <f t="shared" si="0"/>
        <v>0.37538000962006435</v>
      </c>
      <c r="D3">
        <f t="shared" si="1"/>
        <v>-3.0568890797462167E-3</v>
      </c>
      <c r="E3">
        <f t="shared" si="2"/>
        <v>9.3445708458716717E-6</v>
      </c>
      <c r="G3" t="s">
        <v>1</v>
      </c>
      <c r="H3">
        <f>(_xlfn.GAMMA((2+$H$1)/(1+$H$1)))^(1+$H$1)</f>
        <v>0.77352070951864316</v>
      </c>
    </row>
    <row r="4" spans="1:8" x14ac:dyDescent="0.25">
      <c r="A4">
        <v>0.3671539264375</v>
      </c>
      <c r="B4">
        <v>0.52931816943352772</v>
      </c>
      <c r="C4">
        <f t="shared" si="0"/>
        <v>0.4878109669728688</v>
      </c>
      <c r="D4">
        <f t="shared" si="1"/>
        <v>4.1507202460658921E-2</v>
      </c>
      <c r="E4">
        <f t="shared" si="2"/>
        <v>1.7228478561101301E-3</v>
      </c>
    </row>
    <row r="5" spans="1:8" x14ac:dyDescent="0.25">
      <c r="A5">
        <v>0.4544200665625</v>
      </c>
      <c r="B5">
        <v>0.65246566191398103</v>
      </c>
      <c r="C5">
        <f t="shared" si="0"/>
        <v>0.58681581104370473</v>
      </c>
      <c r="D5">
        <f t="shared" si="1"/>
        <v>6.5649850870276305E-2</v>
      </c>
      <c r="E5">
        <f t="shared" si="2"/>
        <v>4.3099029192895186E-3</v>
      </c>
      <c r="G5" t="s">
        <v>2</v>
      </c>
      <c r="H5">
        <f>SUM(E1:E40)</f>
        <v>6.1891394711770881E-2</v>
      </c>
    </row>
    <row r="6" spans="1:8" x14ac:dyDescent="0.25">
      <c r="A6">
        <v>0.54168620668749989</v>
      </c>
      <c r="B6">
        <v>0.72664222171214887</v>
      </c>
      <c r="C6">
        <f t="shared" si="0"/>
        <v>0.668421206777569</v>
      </c>
      <c r="D6">
        <f t="shared" si="1"/>
        <v>5.8221014934579873E-2</v>
      </c>
      <c r="E6">
        <f t="shared" si="2"/>
        <v>3.3896865800125725E-3</v>
      </c>
    </row>
    <row r="7" spans="1:8" x14ac:dyDescent="0.25">
      <c r="A7">
        <v>0.62895234681250001</v>
      </c>
      <c r="B7">
        <v>0.86635341201161065</v>
      </c>
      <c r="C7">
        <f t="shared" si="0"/>
        <v>0.72987007985879293</v>
      </c>
      <c r="D7">
        <f t="shared" si="1"/>
        <v>0.13648333215281772</v>
      </c>
      <c r="E7">
        <f t="shared" si="2"/>
        <v>1.8627699955536366E-2</v>
      </c>
    </row>
    <row r="8" spans="1:8" x14ac:dyDescent="0.25">
      <c r="A8">
        <v>0.71621848693750001</v>
      </c>
      <c r="B8">
        <v>0.8209832832030225</v>
      </c>
      <c r="C8">
        <f t="shared" si="0"/>
        <v>0.76968055391603041</v>
      </c>
      <c r="D8">
        <f t="shared" si="1"/>
        <v>5.1302729286992088E-2</v>
      </c>
      <c r="E8">
        <f t="shared" si="2"/>
        <v>2.6319700322943959E-3</v>
      </c>
    </row>
    <row r="9" spans="1:8" x14ac:dyDescent="0.25">
      <c r="A9">
        <v>0.80348462706250001</v>
      </c>
      <c r="B9">
        <v>0.8497897141926023</v>
      </c>
      <c r="C9">
        <f t="shared" si="0"/>
        <v>0.78764212773000208</v>
      </c>
      <c r="D9">
        <f t="shared" si="1"/>
        <v>6.2147586462600213E-2</v>
      </c>
      <c r="E9">
        <f t="shared" si="2"/>
        <v>3.8623225031263692E-3</v>
      </c>
    </row>
    <row r="10" spans="1:8" x14ac:dyDescent="0.25">
      <c r="A10">
        <v>0.8907507671874999</v>
      </c>
      <c r="B10">
        <v>0.77129218974599745</v>
      </c>
      <c r="C10">
        <f t="shared" si="0"/>
        <v>0.78472962104016275</v>
      </c>
      <c r="D10">
        <f t="shared" si="1"/>
        <v>-1.3437431294165303E-2</v>
      </c>
      <c r="E10">
        <f t="shared" si="2"/>
        <v>1.8056455978541301E-4</v>
      </c>
    </row>
    <row r="11" spans="1:8" x14ac:dyDescent="0.25">
      <c r="A11">
        <v>0.97801690731250002</v>
      </c>
      <c r="B11">
        <v>0.71367932776683807</v>
      </c>
      <c r="C11">
        <f t="shared" si="0"/>
        <v>0.762938342603801</v>
      </c>
      <c r="D11">
        <f t="shared" si="1"/>
        <v>-4.9259014836962933E-2</v>
      </c>
      <c r="E11">
        <f t="shared" si="2"/>
        <v>2.4264505427081342E-3</v>
      </c>
    </row>
    <row r="12" spans="1:8" x14ac:dyDescent="0.25">
      <c r="A12">
        <v>1.0652830474374999</v>
      </c>
      <c r="B12">
        <v>0.71223900621735903</v>
      </c>
      <c r="C12">
        <f t="shared" si="0"/>
        <v>0.7250569636004407</v>
      </c>
      <c r="D12">
        <f t="shared" si="1"/>
        <v>-1.2817957383081668E-2</v>
      </c>
      <c r="E12">
        <f t="shared" si="2"/>
        <v>1.6430003147449785E-4</v>
      </c>
    </row>
    <row r="13" spans="1:8" x14ac:dyDescent="0.25">
      <c r="A13">
        <v>1.1525491875624998</v>
      </c>
      <c r="B13">
        <v>0.64094308951814916</v>
      </c>
      <c r="C13">
        <f t="shared" si="0"/>
        <v>0.67440201053290338</v>
      </c>
      <c r="D13">
        <f t="shared" si="1"/>
        <v>-3.3458921014754228E-2</v>
      </c>
      <c r="E13">
        <f t="shared" si="2"/>
        <v>1.1194993954715621E-3</v>
      </c>
    </row>
    <row r="14" spans="1:8" x14ac:dyDescent="0.25">
      <c r="A14">
        <v>1.2398153276874999</v>
      </c>
      <c r="B14">
        <v>0.59773344303377962</v>
      </c>
      <c r="C14">
        <f t="shared" si="0"/>
        <v>0.61454081841206876</v>
      </c>
      <c r="D14">
        <f t="shared" si="1"/>
        <v>-1.6807375378289136E-2</v>
      </c>
      <c r="E14">
        <f t="shared" si="2"/>
        <v>2.8248786710671986E-4</v>
      </c>
    </row>
    <row r="15" spans="1:8" x14ac:dyDescent="0.25">
      <c r="A15">
        <v>1.3270814678125</v>
      </c>
      <c r="B15">
        <v>0.52355688323561178</v>
      </c>
      <c r="C15">
        <f t="shared" si="0"/>
        <v>0.54902879758652812</v>
      </c>
      <c r="D15">
        <f t="shared" si="1"/>
        <v>-2.5471914350916336E-2</v>
      </c>
      <c r="E15">
        <f t="shared" si="2"/>
        <v>6.4881842070041754E-4</v>
      </c>
    </row>
    <row r="16" spans="1:8" x14ac:dyDescent="0.25">
      <c r="A16">
        <v>1.4143476079375001</v>
      </c>
      <c r="B16">
        <v>0.49042948759759503</v>
      </c>
      <c r="C16">
        <f t="shared" si="0"/>
        <v>0.4811827127935287</v>
      </c>
      <c r="D16">
        <f t="shared" si="1"/>
        <v>9.2467748040663267E-3</v>
      </c>
      <c r="E16">
        <f t="shared" si="2"/>
        <v>8.5502844277115852E-5</v>
      </c>
    </row>
    <row r="17" spans="1:5" x14ac:dyDescent="0.25">
      <c r="A17">
        <v>1.5016137480625</v>
      </c>
      <c r="B17">
        <v>0.39896906920567937</v>
      </c>
      <c r="C17">
        <f t="shared" si="0"/>
        <v>0.41390534604385126</v>
      </c>
      <c r="D17">
        <f t="shared" si="1"/>
        <v>-1.4936276838171891E-2</v>
      </c>
      <c r="E17">
        <f t="shared" si="2"/>
        <v>2.2309236578651012E-4</v>
      </c>
    </row>
    <row r="18" spans="1:5" x14ac:dyDescent="0.25">
      <c r="A18">
        <v>1.5888798881874999</v>
      </c>
      <c r="B18">
        <v>0.30534816848954521</v>
      </c>
      <c r="C18">
        <f t="shared" si="0"/>
        <v>0.34956955610607771</v>
      </c>
      <c r="D18">
        <f t="shared" si="1"/>
        <v>-4.4221387616532493E-2</v>
      </c>
      <c r="E18">
        <f t="shared" si="2"/>
        <v>1.9555311227316134E-3</v>
      </c>
    </row>
    <row r="19" spans="1:5" x14ac:dyDescent="0.25">
      <c r="A19">
        <v>1.6761460283125</v>
      </c>
      <c r="B19">
        <v>0.24989578883460423</v>
      </c>
      <c r="C19">
        <f t="shared" si="0"/>
        <v>0.28996247673426395</v>
      </c>
      <c r="D19">
        <f t="shared" si="1"/>
        <v>-4.0066687899659725E-2</v>
      </c>
      <c r="E19">
        <f t="shared" si="2"/>
        <v>1.6053394792487391E-3</v>
      </c>
    </row>
    <row r="20" spans="1:5" x14ac:dyDescent="0.25">
      <c r="A20">
        <v>1.7634121684374999</v>
      </c>
      <c r="B20">
        <v>0.20092485615231867</v>
      </c>
      <c r="C20">
        <f t="shared" si="0"/>
        <v>0.23628435365346279</v>
      </c>
      <c r="D20">
        <f t="shared" si="1"/>
        <v>-3.5359497501144116E-2</v>
      </c>
      <c r="E20">
        <f t="shared" si="2"/>
        <v>1.2502940635334169E-3</v>
      </c>
    </row>
    <row r="21" spans="1:5" x14ac:dyDescent="0.25">
      <c r="A21">
        <v>1.8506783085625</v>
      </c>
      <c r="B21">
        <v>0.14259183339841972</v>
      </c>
      <c r="C21">
        <f t="shared" si="0"/>
        <v>0.18919195224896895</v>
      </c>
      <c r="D21">
        <f t="shared" si="1"/>
        <v>-4.6600118850549238E-2</v>
      </c>
      <c r="E21">
        <f t="shared" si="2"/>
        <v>2.1715710768853143E-3</v>
      </c>
    </row>
    <row r="22" spans="1:5" x14ac:dyDescent="0.25">
      <c r="A22">
        <v>1.9379444486875002</v>
      </c>
      <c r="B22">
        <v>0.14835311959633565</v>
      </c>
      <c r="C22">
        <f t="shared" si="0"/>
        <v>0.14887387348496553</v>
      </c>
      <c r="D22">
        <f t="shared" si="1"/>
        <v>-5.2075388862987682E-4</v>
      </c>
      <c r="E22">
        <f t="shared" si="2"/>
        <v>2.7118461252313816E-7</v>
      </c>
    </row>
    <row r="23" spans="1:5" x14ac:dyDescent="0.25">
      <c r="A23">
        <v>2.0252105888125</v>
      </c>
      <c r="B23">
        <v>0.11954668860675592</v>
      </c>
      <c r="C23">
        <f t="shared" si="0"/>
        <v>0.11514446199461471</v>
      </c>
      <c r="D23">
        <f t="shared" si="1"/>
        <v>4.4022266121412079E-3</v>
      </c>
      <c r="E23">
        <f t="shared" si="2"/>
        <v>1.9379599144644256E-5</v>
      </c>
    </row>
    <row r="24" spans="1:5" x14ac:dyDescent="0.25">
      <c r="A24">
        <v>2.1124767289374997</v>
      </c>
      <c r="B24">
        <v>0.10010234768878959</v>
      </c>
      <c r="C24">
        <f t="shared" si="0"/>
        <v>8.7543978351837262E-2</v>
      </c>
      <c r="D24">
        <f t="shared" si="1"/>
        <v>1.2558369336952327E-2</v>
      </c>
      <c r="E24">
        <f t="shared" si="2"/>
        <v>1.5771264040330443E-4</v>
      </c>
    </row>
    <row r="25" spans="1:5" x14ac:dyDescent="0.25">
      <c r="A25">
        <v>2.1997428690624998</v>
      </c>
      <c r="B25">
        <v>6.9135434374991367E-2</v>
      </c>
      <c r="C25">
        <f t="shared" si="0"/>
        <v>6.5434869337971394E-2</v>
      </c>
      <c r="D25">
        <f t="shared" si="1"/>
        <v>3.7005650370199733E-3</v>
      </c>
      <c r="E25">
        <f t="shared" si="2"/>
        <v>1.3694181593214637E-5</v>
      </c>
    </row>
    <row r="26" spans="1:5" x14ac:dyDescent="0.25">
      <c r="A26">
        <v>2.2870090091874999</v>
      </c>
      <c r="B26">
        <v>6.4094308951814921E-2</v>
      </c>
      <c r="C26">
        <f t="shared" si="0"/>
        <v>4.8086774883540483E-2</v>
      </c>
      <c r="D26">
        <f t="shared" si="1"/>
        <v>1.6007534068274439E-2</v>
      </c>
      <c r="E26">
        <f t="shared" si="2"/>
        <v>2.5624114694696679E-4</v>
      </c>
    </row>
    <row r="27" spans="1:5" x14ac:dyDescent="0.25">
      <c r="A27">
        <v>2.3742751493125001</v>
      </c>
      <c r="B27">
        <v>4.609028958332758E-2</v>
      </c>
      <c r="C27">
        <f t="shared" si="0"/>
        <v>3.4745858770208693E-2</v>
      </c>
      <c r="D27">
        <f t="shared" si="1"/>
        <v>1.1344430813118887E-2</v>
      </c>
      <c r="E27">
        <f t="shared" si="2"/>
        <v>1.2869611047364125E-4</v>
      </c>
    </row>
    <row r="28" spans="1:5" x14ac:dyDescent="0.25">
      <c r="A28">
        <v>2.4615412894375002</v>
      </c>
      <c r="B28">
        <v>3.6008038736974675E-2</v>
      </c>
      <c r="C28">
        <f t="shared" si="0"/>
        <v>2.4686741616279782E-2</v>
      </c>
      <c r="D28">
        <f t="shared" si="1"/>
        <v>1.1321297120694893E-2</v>
      </c>
      <c r="E28">
        <f t="shared" si="2"/>
        <v>1.2817176849505446E-4</v>
      </c>
    </row>
    <row r="29" spans="1:5" x14ac:dyDescent="0.25">
      <c r="A29">
        <v>2.5488074295624998</v>
      </c>
      <c r="B29">
        <v>2.4485466341142778E-2</v>
      </c>
      <c r="C29">
        <f t="shared" si="0"/>
        <v>1.7247483521608507E-2</v>
      </c>
      <c r="D29">
        <f t="shared" si="1"/>
        <v>7.2379828195342708E-3</v>
      </c>
      <c r="E29">
        <f t="shared" si="2"/>
        <v>5.2388395295873272E-5</v>
      </c>
    </row>
    <row r="30" spans="1:5" x14ac:dyDescent="0.25">
      <c r="A30">
        <v>2.6360735696875</v>
      </c>
      <c r="B30">
        <v>2.2324984016924298E-2</v>
      </c>
      <c r="C30">
        <f t="shared" si="0"/>
        <v>1.1849584520551336E-2</v>
      </c>
      <c r="D30">
        <f t="shared" si="1"/>
        <v>1.0475399496372962E-2</v>
      </c>
      <c r="E30">
        <f t="shared" si="2"/>
        <v>1.097339946086109E-4</v>
      </c>
    </row>
    <row r="31" spans="1:5" x14ac:dyDescent="0.25">
      <c r="A31">
        <v>2.7233397098125001</v>
      </c>
      <c r="B31">
        <v>1.5123376269529363E-2</v>
      </c>
      <c r="C31">
        <f t="shared" si="0"/>
        <v>8.0058396961812713E-3</v>
      </c>
      <c r="D31">
        <f t="shared" si="1"/>
        <v>7.1175365733480919E-3</v>
      </c>
      <c r="E31">
        <f t="shared" si="2"/>
        <v>5.0659326872947699E-5</v>
      </c>
    </row>
    <row r="32" spans="1:5" x14ac:dyDescent="0.25">
      <c r="A32">
        <v>2.8106058499375002</v>
      </c>
      <c r="B32">
        <v>1.1522572395831895E-2</v>
      </c>
      <c r="C32">
        <f t="shared" si="0"/>
        <v>5.3191869510708619E-3</v>
      </c>
      <c r="D32">
        <f t="shared" si="1"/>
        <v>6.2033854447610332E-3</v>
      </c>
      <c r="E32">
        <f t="shared" si="2"/>
        <v>3.8481990976273039E-5</v>
      </c>
    </row>
    <row r="33" spans="1:5" x14ac:dyDescent="0.25">
      <c r="A33">
        <v>2.8978719900624998</v>
      </c>
      <c r="B33">
        <v>9.3620900716134148E-3</v>
      </c>
      <c r="C33">
        <f t="shared" si="0"/>
        <v>3.4755542081279108E-3</v>
      </c>
      <c r="D33">
        <f t="shared" si="1"/>
        <v>5.8865358634855036E-3</v>
      </c>
      <c r="E33">
        <f t="shared" si="2"/>
        <v>3.4651304472101025E-5</v>
      </c>
    </row>
    <row r="34" spans="1:5" x14ac:dyDescent="0.25">
      <c r="A34">
        <v>2.9851381301875</v>
      </c>
      <c r="B34">
        <v>4.3209646484369604E-3</v>
      </c>
      <c r="C34">
        <f t="shared" si="0"/>
        <v>2.2333003458550383E-3</v>
      </c>
      <c r="D34">
        <f t="shared" si="1"/>
        <v>2.0876643025819221E-3</v>
      </c>
      <c r="E34">
        <f t="shared" si="2"/>
        <v>4.3583422402748632E-6</v>
      </c>
    </row>
    <row r="35" spans="1:5" x14ac:dyDescent="0.25">
      <c r="A35">
        <v>3.0724042703124996</v>
      </c>
      <c r="B35">
        <v>2.8806430989579738E-3</v>
      </c>
      <c r="C35">
        <f t="shared" si="0"/>
        <v>1.4112907478662587E-3</v>
      </c>
      <c r="D35">
        <f t="shared" si="1"/>
        <v>1.4693523510917151E-3</v>
      </c>
      <c r="E35">
        <f t="shared" si="2"/>
        <v>2.158996331658751E-6</v>
      </c>
    </row>
    <row r="36" spans="1:5" x14ac:dyDescent="0.25">
      <c r="A36">
        <v>3.1596704104374997</v>
      </c>
      <c r="B36">
        <v>7.2016077473949344E-4</v>
      </c>
      <c r="C36">
        <f t="shared" si="0"/>
        <v>8.7706677085951296E-4</v>
      </c>
      <c r="D36">
        <f t="shared" si="1"/>
        <v>-1.5690599612001952E-4</v>
      </c>
      <c r="E36">
        <f t="shared" si="2"/>
        <v>2.461949161841558E-8</v>
      </c>
    </row>
    <row r="37" spans="1:5" x14ac:dyDescent="0.25">
      <c r="A37">
        <v>3.2469365505624999</v>
      </c>
      <c r="B37">
        <v>0</v>
      </c>
      <c r="C37">
        <f t="shared" si="0"/>
        <v>5.3603703550636115E-4</v>
      </c>
      <c r="D37">
        <f t="shared" si="1"/>
        <v>-5.3603703550636115E-4</v>
      </c>
      <c r="E37">
        <f t="shared" si="2"/>
        <v>2.8733570343444786E-7</v>
      </c>
    </row>
    <row r="38" spans="1:5" x14ac:dyDescent="0.25">
      <c r="A38">
        <v>3.3342026906874995</v>
      </c>
      <c r="B38">
        <v>0</v>
      </c>
      <c r="C38">
        <f t="shared" si="0"/>
        <v>3.2218174312426357E-4</v>
      </c>
      <c r="D38">
        <f t="shared" si="1"/>
        <v>-3.2218174312426357E-4</v>
      </c>
      <c r="E38">
        <f t="shared" si="2"/>
        <v>1.0380107560258895E-7</v>
      </c>
    </row>
    <row r="39" spans="1:5" x14ac:dyDescent="0.25">
      <c r="A39">
        <v>3.4214688308124996</v>
      </c>
      <c r="B39">
        <v>0</v>
      </c>
      <c r="C39">
        <f t="shared" si="0"/>
        <v>1.9043556133633137E-4</v>
      </c>
      <c r="D39">
        <f t="shared" si="1"/>
        <v>-1.9043556133633137E-4</v>
      </c>
      <c r="E39">
        <f t="shared" si="2"/>
        <v>3.6265703021483624E-8</v>
      </c>
    </row>
    <row r="40" spans="1:5" x14ac:dyDescent="0.25">
      <c r="A40">
        <v>3.5087349709374998</v>
      </c>
      <c r="B40">
        <v>7.2016077473949344E-4</v>
      </c>
      <c r="C40">
        <f t="shared" si="0"/>
        <v>1.1069609134232574E-4</v>
      </c>
      <c r="D40">
        <f t="shared" si="1"/>
        <v>6.0946468339716773E-4</v>
      </c>
      <c r="E40">
        <f t="shared" si="2"/>
        <v>3.714472003084099E-7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63C6-A883-4C39-BD40-5E0E3C9B4DB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0.12836068361249997</v>
      </c>
      <c r="B1">
        <v>3.1812975622306339E-2</v>
      </c>
      <c r="C1">
        <f>$H$3*(1+$H$1)*(A1^($H$1))*EXP(-$H$3*(A1^(1+$H$1)))</f>
        <v>0.13076811970830945</v>
      </c>
      <c r="D1">
        <f>B1-C1</f>
        <v>-9.8955144086003116E-2</v>
      </c>
      <c r="E1">
        <f>D1^2</f>
        <v>9.7921205410816375E-3</v>
      </c>
      <c r="G1" t="s">
        <v>0</v>
      </c>
      <c r="H1">
        <v>1.249175972435304</v>
      </c>
    </row>
    <row r="2" spans="1:8" x14ac:dyDescent="0.25">
      <c r="A2">
        <v>0.21133051883749998</v>
      </c>
      <c r="B2">
        <v>0.15830742631100059</v>
      </c>
      <c r="C2">
        <f t="shared" ref="C2:C40" si="0">$H$3*(1+$H$1)*(A2^($H$1))*EXP(-$H$3*(A2^(1+$H$1)))</f>
        <v>0.24000998365351189</v>
      </c>
      <c r="D2">
        <f t="shared" ref="D2:D40" si="1">B2-C2</f>
        <v>-8.1702557342511306E-2</v>
      </c>
      <c r="E2">
        <f t="shared" ref="E2:E40" si="2">D2^2</f>
        <v>6.6753078763063479E-3</v>
      </c>
    </row>
    <row r="3" spans="1:8" x14ac:dyDescent="0.25">
      <c r="A3">
        <v>0.29430035406249999</v>
      </c>
      <c r="B3">
        <v>0.3264617260289055</v>
      </c>
      <c r="C3">
        <f t="shared" si="0"/>
        <v>0.3538423604846857</v>
      </c>
      <c r="D3">
        <f t="shared" si="1"/>
        <v>-2.7380634455780206E-2</v>
      </c>
      <c r="E3">
        <f t="shared" si="2"/>
        <v>7.4969914320105826E-4</v>
      </c>
      <c r="G3" t="s">
        <v>1</v>
      </c>
      <c r="H3">
        <f>(_xlfn.GAMMA((2+$H$1)/(1+$H$1)))^(1+$H$1)</f>
        <v>0.76114836829453181</v>
      </c>
    </row>
    <row r="4" spans="1:8" x14ac:dyDescent="0.25">
      <c r="A4">
        <v>0.3772701892875</v>
      </c>
      <c r="B4">
        <v>0.50219054375212147</v>
      </c>
      <c r="C4">
        <f t="shared" si="0"/>
        <v>0.46532186634796258</v>
      </c>
      <c r="D4">
        <f t="shared" si="1"/>
        <v>3.6868677404158889E-2</v>
      </c>
      <c r="E4">
        <f t="shared" si="2"/>
        <v>1.3592993735319363E-3</v>
      </c>
    </row>
    <row r="5" spans="1:8" x14ac:dyDescent="0.25">
      <c r="A5">
        <v>0.46024002451250001</v>
      </c>
      <c r="B5">
        <v>0.64837874125462447</v>
      </c>
      <c r="C5">
        <f t="shared" si="0"/>
        <v>0.56858001844767436</v>
      </c>
      <c r="D5">
        <f t="shared" si="1"/>
        <v>7.9798722806950106E-2</v>
      </c>
      <c r="E5">
        <f t="shared" si="2"/>
        <v>6.3678361616204592E-3</v>
      </c>
      <c r="G5" t="s">
        <v>2</v>
      </c>
      <c r="H5">
        <f>SUM(E1:E40)</f>
        <v>7.3781198556208002E-2</v>
      </c>
    </row>
    <row r="6" spans="1:8" x14ac:dyDescent="0.25">
      <c r="A6">
        <v>0.54320985973749991</v>
      </c>
      <c r="B6">
        <v>0.74306021632101238</v>
      </c>
      <c r="C6">
        <f t="shared" si="0"/>
        <v>0.65862618694300523</v>
      </c>
      <c r="D6">
        <f t="shared" si="1"/>
        <v>8.4434029378007147E-2</v>
      </c>
      <c r="E6">
        <f t="shared" si="2"/>
        <v>7.1291053170061741E-3</v>
      </c>
    </row>
    <row r="7" spans="1:8" x14ac:dyDescent="0.25">
      <c r="A7">
        <v>0.62617969496249992</v>
      </c>
      <c r="B7">
        <v>0.84910346839536677</v>
      </c>
      <c r="C7">
        <f t="shared" si="0"/>
        <v>0.73145954485335318</v>
      </c>
      <c r="D7">
        <f t="shared" si="1"/>
        <v>0.11764392354201358</v>
      </c>
      <c r="E7">
        <f t="shared" si="2"/>
        <v>1.3840092746359138E-2</v>
      </c>
    </row>
    <row r="8" spans="1:8" x14ac:dyDescent="0.25">
      <c r="A8">
        <v>0.70914953018749993</v>
      </c>
      <c r="B8">
        <v>0.87182702241129995</v>
      </c>
      <c r="C8">
        <f t="shared" si="0"/>
        <v>0.78423150454128987</v>
      </c>
      <c r="D8">
        <f t="shared" si="1"/>
        <v>8.7595517870010076E-2</v>
      </c>
      <c r="E8">
        <f t="shared" si="2"/>
        <v>7.6729747509152544E-3</v>
      </c>
    </row>
    <row r="9" spans="1:8" x14ac:dyDescent="0.25">
      <c r="A9">
        <v>0.79211936541250005</v>
      </c>
      <c r="B9">
        <v>0.88546115482085974</v>
      </c>
      <c r="C9">
        <f t="shared" si="0"/>
        <v>0.81536698387004336</v>
      </c>
      <c r="D9">
        <f t="shared" si="1"/>
        <v>7.0094170950816381E-2</v>
      </c>
      <c r="E9">
        <f t="shared" si="2"/>
        <v>4.9131928012822708E-3</v>
      </c>
    </row>
    <row r="10" spans="1:8" x14ac:dyDescent="0.25">
      <c r="A10">
        <v>0.87508920063749995</v>
      </c>
      <c r="B10">
        <v>0.83243952878368255</v>
      </c>
      <c r="C10">
        <f t="shared" si="0"/>
        <v>0.82460354511152745</v>
      </c>
      <c r="D10">
        <f t="shared" si="1"/>
        <v>7.8359836721551002E-3</v>
      </c>
      <c r="E10">
        <f t="shared" si="2"/>
        <v>6.1402640110281328E-5</v>
      </c>
    </row>
    <row r="11" spans="1:8" x14ac:dyDescent="0.25">
      <c r="A11">
        <v>0.95805903586250007</v>
      </c>
      <c r="B11">
        <v>0.80517126396456284</v>
      </c>
      <c r="C11">
        <f t="shared" si="0"/>
        <v>0.81293295049419578</v>
      </c>
      <c r="D11">
        <f t="shared" si="1"/>
        <v>-7.7616865296329385E-3</v>
      </c>
      <c r="E11">
        <f t="shared" si="2"/>
        <v>6.0243777784285408E-5</v>
      </c>
    </row>
    <row r="12" spans="1:8" x14ac:dyDescent="0.25">
      <c r="A12">
        <v>1.0410288710875</v>
      </c>
      <c r="B12">
        <v>0.73548569831570132</v>
      </c>
      <c r="C12">
        <f t="shared" si="0"/>
        <v>0.78244756805700633</v>
      </c>
      <c r="D12">
        <f t="shared" si="1"/>
        <v>-4.6961869741305007E-2</v>
      </c>
      <c r="E12">
        <f t="shared" si="2"/>
        <v>2.2054172095992987E-3</v>
      </c>
    </row>
    <row r="13" spans="1:8" x14ac:dyDescent="0.25">
      <c r="A13">
        <v>1.1239987063124999</v>
      </c>
      <c r="B13">
        <v>0.70140036729180166</v>
      </c>
      <c r="C13">
        <f t="shared" si="0"/>
        <v>0.73610782588439461</v>
      </c>
      <c r="D13">
        <f t="shared" si="1"/>
        <v>-3.4707458592592944E-2</v>
      </c>
      <c r="E13">
        <f t="shared" si="2"/>
        <v>1.2046076819565538E-3</v>
      </c>
    </row>
    <row r="14" spans="1:8" x14ac:dyDescent="0.25">
      <c r="A14">
        <v>1.2069685415375</v>
      </c>
      <c r="B14">
        <v>0.6536809038583421</v>
      </c>
      <c r="C14">
        <f t="shared" si="0"/>
        <v>0.6774566637102426</v>
      </c>
      <c r="D14">
        <f t="shared" si="1"/>
        <v>-2.3775759851900502E-2</v>
      </c>
      <c r="E14">
        <f t="shared" si="2"/>
        <v>5.6528675653524376E-4</v>
      </c>
    </row>
    <row r="15" spans="1:8" x14ac:dyDescent="0.25">
      <c r="A15">
        <v>1.2899383767624999</v>
      </c>
      <c r="B15">
        <v>0.5726335612015141</v>
      </c>
      <c r="C15">
        <f t="shared" si="0"/>
        <v>0.61031216836316005</v>
      </c>
      <c r="D15">
        <f t="shared" si="1"/>
        <v>-3.7678607161645949E-2</v>
      </c>
      <c r="E15">
        <f t="shared" si="2"/>
        <v>1.4196774376416374E-3</v>
      </c>
    </row>
    <row r="16" spans="1:8" x14ac:dyDescent="0.25">
      <c r="A16">
        <v>1.3729082119875</v>
      </c>
      <c r="B16">
        <v>0.52264174236646133</v>
      </c>
      <c r="C16">
        <f t="shared" si="0"/>
        <v>0.53847010086365599</v>
      </c>
      <c r="D16">
        <f t="shared" si="1"/>
        <v>-1.5828358497194661E-2</v>
      </c>
      <c r="E16">
        <f t="shared" si="2"/>
        <v>2.5053693271571444E-4</v>
      </c>
    </row>
    <row r="17" spans="1:5" x14ac:dyDescent="0.25">
      <c r="A17">
        <v>1.4558780472124999</v>
      </c>
      <c r="B17">
        <v>0.47189247173087734</v>
      </c>
      <c r="C17">
        <f t="shared" si="0"/>
        <v>0.46544421806249786</v>
      </c>
      <c r="D17">
        <f t="shared" si="1"/>
        <v>6.4482536683794778E-3</v>
      </c>
      <c r="E17">
        <f t="shared" si="2"/>
        <v>4.1579975371769391E-5</v>
      </c>
    </row>
    <row r="18" spans="1:5" x14ac:dyDescent="0.25">
      <c r="A18">
        <v>1.5388478824375</v>
      </c>
      <c r="B18">
        <v>0.35448744264855636</v>
      </c>
      <c r="C18">
        <f t="shared" si="0"/>
        <v>0.39426514250679989</v>
      </c>
      <c r="D18">
        <f t="shared" si="1"/>
        <v>-3.9777699858243531E-2</v>
      </c>
      <c r="E18">
        <f t="shared" si="2"/>
        <v>1.5822654060125075E-3</v>
      </c>
    </row>
    <row r="19" spans="1:5" x14ac:dyDescent="0.25">
      <c r="A19">
        <v>1.6218177176624999</v>
      </c>
      <c r="B19">
        <v>0.28328697339863262</v>
      </c>
      <c r="C19">
        <f t="shared" si="0"/>
        <v>0.32734944031181579</v>
      </c>
      <c r="D19">
        <f t="shared" si="1"/>
        <v>-4.4062466913183163E-2</v>
      </c>
      <c r="E19">
        <f t="shared" si="2"/>
        <v>1.9415009904753609E-3</v>
      </c>
    </row>
    <row r="20" spans="1:5" x14ac:dyDescent="0.25">
      <c r="A20">
        <v>1.7047875528874998</v>
      </c>
      <c r="B20">
        <v>0.21966102215401995</v>
      </c>
      <c r="C20">
        <f t="shared" si="0"/>
        <v>0.26644108055913501</v>
      </c>
      <c r="D20">
        <f t="shared" si="1"/>
        <v>-4.6780058405115066E-2</v>
      </c>
      <c r="E20">
        <f t="shared" si="2"/>
        <v>2.1883738643859768E-3</v>
      </c>
    </row>
    <row r="21" spans="1:5" x14ac:dyDescent="0.25">
      <c r="A21">
        <v>1.7877573881125</v>
      </c>
      <c r="B21">
        <v>0.17421391412215376</v>
      </c>
      <c r="C21">
        <f t="shared" si="0"/>
        <v>0.21261899671711251</v>
      </c>
      <c r="D21">
        <f t="shared" si="1"/>
        <v>-3.8405082594958756E-2</v>
      </c>
      <c r="E21">
        <f t="shared" si="2"/>
        <v>1.474950369125604E-3</v>
      </c>
    </row>
    <row r="22" spans="1:5" x14ac:dyDescent="0.25">
      <c r="A22">
        <v>1.8707272233375001</v>
      </c>
      <c r="B22">
        <v>0.1401285830982541</v>
      </c>
      <c r="C22">
        <f t="shared" si="0"/>
        <v>0.16635811989121299</v>
      </c>
      <c r="D22">
        <f t="shared" si="1"/>
        <v>-2.6229536792958891E-2</v>
      </c>
      <c r="E22">
        <f t="shared" si="2"/>
        <v>6.8798860037318416E-4</v>
      </c>
    </row>
    <row r="23" spans="1:5" x14ac:dyDescent="0.25">
      <c r="A23">
        <v>1.9536970585625</v>
      </c>
      <c r="B23">
        <v>0.14164348669931631</v>
      </c>
      <c r="C23">
        <f t="shared" si="0"/>
        <v>0.12762758221432943</v>
      </c>
      <c r="D23">
        <f t="shared" si="1"/>
        <v>1.401590448498688E-2</v>
      </c>
      <c r="E23">
        <f t="shared" si="2"/>
        <v>1.9644557853227532E-4</v>
      </c>
    </row>
    <row r="24" spans="1:5" x14ac:dyDescent="0.25">
      <c r="A24">
        <v>2.0366668937874999</v>
      </c>
      <c r="B24">
        <v>0.10528580027382337</v>
      </c>
      <c r="C24">
        <f t="shared" si="0"/>
        <v>9.6008856110164464E-2</v>
      </c>
      <c r="D24">
        <f t="shared" si="1"/>
        <v>9.2769441636589012E-3</v>
      </c>
      <c r="E24">
        <f t="shared" si="2"/>
        <v>8.6061693015644953E-5</v>
      </c>
    </row>
    <row r="25" spans="1:5" x14ac:dyDescent="0.25">
      <c r="A25">
        <v>2.1196367290125</v>
      </c>
      <c r="B25">
        <v>7.3472824651517027E-2</v>
      </c>
      <c r="C25">
        <f t="shared" si="0"/>
        <v>7.081801992902774E-2</v>
      </c>
      <c r="D25">
        <f t="shared" si="1"/>
        <v>2.6548047224892873E-3</v>
      </c>
      <c r="E25">
        <f t="shared" si="2"/>
        <v>7.0479881145514218E-6</v>
      </c>
    </row>
    <row r="26" spans="1:5" x14ac:dyDescent="0.25">
      <c r="A26">
        <v>2.2026065642374997</v>
      </c>
      <c r="B26">
        <v>7.4230276452048119E-2</v>
      </c>
      <c r="C26">
        <f t="shared" si="0"/>
        <v>5.1219445142374205E-2</v>
      </c>
      <c r="D26">
        <f t="shared" si="1"/>
        <v>2.3010831309673914E-2</v>
      </c>
      <c r="E26">
        <f t="shared" si="2"/>
        <v>5.2949835756226928E-4</v>
      </c>
    </row>
    <row r="27" spans="1:5" x14ac:dyDescent="0.25">
      <c r="A27">
        <v>2.2855763994625002</v>
      </c>
      <c r="B27">
        <v>4.4689656231335098E-2</v>
      </c>
      <c r="C27">
        <f t="shared" si="0"/>
        <v>3.6322185386828187E-2</v>
      </c>
      <c r="D27">
        <f t="shared" si="1"/>
        <v>8.3674708445069107E-3</v>
      </c>
      <c r="E27">
        <f t="shared" si="2"/>
        <v>7.0014568333673198E-5</v>
      </c>
    </row>
    <row r="28" spans="1:5" x14ac:dyDescent="0.25">
      <c r="A28">
        <v>2.3685462346874999</v>
      </c>
      <c r="B28">
        <v>4.3932204430803992E-2</v>
      </c>
      <c r="C28">
        <f t="shared" si="0"/>
        <v>2.5254453408494491E-2</v>
      </c>
      <c r="D28">
        <f t="shared" si="1"/>
        <v>1.8677751022309501E-2</v>
      </c>
      <c r="E28">
        <f t="shared" si="2"/>
        <v>3.488583832513836E-4</v>
      </c>
    </row>
    <row r="29" spans="1:5" x14ac:dyDescent="0.25">
      <c r="A29">
        <v>2.4515160699124996</v>
      </c>
      <c r="B29">
        <v>1.9693746813808685E-2</v>
      </c>
      <c r="C29">
        <f t="shared" si="0"/>
        <v>1.7215198254590544E-2</v>
      </c>
      <c r="D29">
        <f t="shared" si="1"/>
        <v>2.4785485592181411E-3</v>
      </c>
      <c r="E29">
        <f t="shared" si="2"/>
        <v>6.1432029604023233E-6</v>
      </c>
    </row>
    <row r="30" spans="1:5" x14ac:dyDescent="0.25">
      <c r="A30">
        <v>2.5344859051375002</v>
      </c>
      <c r="B30">
        <v>2.6510813018588614E-2</v>
      </c>
      <c r="C30">
        <f t="shared" si="0"/>
        <v>1.1504564604942865E-2</v>
      </c>
      <c r="D30">
        <f t="shared" si="1"/>
        <v>1.5006248413645749E-2</v>
      </c>
      <c r="E30">
        <f t="shared" si="2"/>
        <v>2.2518749145204557E-4</v>
      </c>
    </row>
    <row r="31" spans="1:5" x14ac:dyDescent="0.25">
      <c r="A31">
        <v>2.6174557403624998</v>
      </c>
      <c r="B31">
        <v>1.1361777007966549E-2</v>
      </c>
      <c r="C31">
        <f t="shared" si="0"/>
        <v>7.5367815613206299E-3</v>
      </c>
      <c r="D31">
        <f t="shared" si="1"/>
        <v>3.8249954466459193E-3</v>
      </c>
      <c r="E31">
        <f t="shared" si="2"/>
        <v>1.4630590166862016E-5</v>
      </c>
    </row>
    <row r="32" spans="1:5" x14ac:dyDescent="0.25">
      <c r="A32">
        <v>2.7004255755875004</v>
      </c>
      <c r="B32">
        <v>1.1361777007966549E-2</v>
      </c>
      <c r="C32">
        <f t="shared" si="0"/>
        <v>4.8398354481161143E-3</v>
      </c>
      <c r="D32">
        <f t="shared" si="1"/>
        <v>6.521941559850435E-3</v>
      </c>
      <c r="E32">
        <f t="shared" si="2"/>
        <v>4.2535721710104322E-5</v>
      </c>
    </row>
    <row r="33" spans="1:5" x14ac:dyDescent="0.25">
      <c r="A33">
        <v>2.7833954108125001</v>
      </c>
      <c r="B33">
        <v>1.1361777007966549E-2</v>
      </c>
      <c r="C33">
        <f t="shared" si="0"/>
        <v>3.0463076881681005E-3</v>
      </c>
      <c r="D33">
        <f t="shared" si="1"/>
        <v>8.3154693197984488E-3</v>
      </c>
      <c r="E33">
        <f t="shared" si="2"/>
        <v>6.9147030008509275E-5</v>
      </c>
    </row>
    <row r="34" spans="1:5" x14ac:dyDescent="0.25">
      <c r="A34">
        <v>2.8663652460374998</v>
      </c>
      <c r="B34">
        <v>3.0298072021244134E-3</v>
      </c>
      <c r="C34">
        <f t="shared" si="0"/>
        <v>1.8792456468481105E-3</v>
      </c>
      <c r="D34">
        <f t="shared" si="1"/>
        <v>1.1505615552763028E-3</v>
      </c>
      <c r="E34">
        <f t="shared" si="2"/>
        <v>1.3237918924798248E-6</v>
      </c>
    </row>
    <row r="35" spans="1:5" x14ac:dyDescent="0.25">
      <c r="A35">
        <v>2.9493350812624994</v>
      </c>
      <c r="B35">
        <v>7.5745180053110334E-4</v>
      </c>
      <c r="C35">
        <f t="shared" si="0"/>
        <v>1.1361269543845483E-3</v>
      </c>
      <c r="D35">
        <f t="shared" si="1"/>
        <v>-3.7867515385344493E-4</v>
      </c>
      <c r="E35">
        <f t="shared" si="2"/>
        <v>1.4339487214593018E-7</v>
      </c>
    </row>
    <row r="36" spans="1:5" x14ac:dyDescent="0.25">
      <c r="A36">
        <v>3.0323049164875</v>
      </c>
      <c r="B36">
        <v>7.5745180053110334E-4</v>
      </c>
      <c r="C36">
        <f t="shared" si="0"/>
        <v>6.7308454545062337E-4</v>
      </c>
      <c r="D36">
        <f t="shared" si="1"/>
        <v>8.4367255080479973E-5</v>
      </c>
      <c r="E36">
        <f t="shared" si="2"/>
        <v>7.1178337298147735E-9</v>
      </c>
    </row>
    <row r="37" spans="1:5" x14ac:dyDescent="0.25">
      <c r="A37">
        <v>3.1152747517124997</v>
      </c>
      <c r="B37">
        <v>0</v>
      </c>
      <c r="C37">
        <f t="shared" si="0"/>
        <v>3.9073016062351958E-4</v>
      </c>
      <c r="D37">
        <f t="shared" si="1"/>
        <v>-3.9073016062351958E-4</v>
      </c>
      <c r="E37">
        <f t="shared" si="2"/>
        <v>1.5267005842088141E-7</v>
      </c>
    </row>
    <row r="38" spans="1:5" x14ac:dyDescent="0.25">
      <c r="A38">
        <v>3.1982445869374998</v>
      </c>
      <c r="B38">
        <v>0</v>
      </c>
      <c r="C38">
        <f t="shared" si="0"/>
        <v>2.222354226682851E-4</v>
      </c>
      <c r="D38">
        <f t="shared" si="1"/>
        <v>-2.222354226682851E-4</v>
      </c>
      <c r="E38">
        <f t="shared" si="2"/>
        <v>4.9388583088551328E-8</v>
      </c>
    </row>
    <row r="39" spans="1:5" x14ac:dyDescent="0.25">
      <c r="A39">
        <v>3.2812144221624999</v>
      </c>
      <c r="B39">
        <v>0</v>
      </c>
      <c r="C39">
        <f t="shared" si="0"/>
        <v>1.2383477394420936E-4</v>
      </c>
      <c r="D39">
        <f t="shared" si="1"/>
        <v>-1.2383477394420936E-4</v>
      </c>
      <c r="E39">
        <f t="shared" si="2"/>
        <v>1.5335051237813435E-8</v>
      </c>
    </row>
    <row r="40" spans="1:5" x14ac:dyDescent="0.25">
      <c r="A40">
        <v>3.3641842573874996</v>
      </c>
      <c r="B40">
        <v>7.5745180053110334E-4</v>
      </c>
      <c r="C40">
        <f t="shared" si="0"/>
        <v>6.7597165492654123E-5</v>
      </c>
      <c r="D40">
        <f t="shared" si="1"/>
        <v>6.8985463503844918E-4</v>
      </c>
      <c r="E40">
        <f t="shared" si="2"/>
        <v>4.7589941748403192E-7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6F1C-95CA-4C88-867E-A90D9E35A7C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0.1636620851875</v>
      </c>
      <c r="B1">
        <v>2.8880323293588268E-2</v>
      </c>
      <c r="C1">
        <f>$H$3*(1+$H$1)*(A1^($H$1))*EXP(-$H$3*(A1^(1+$H$1)))</f>
        <v>0.13660862033685525</v>
      </c>
      <c r="D1">
        <f>B1-C1</f>
        <v>-0.10772829704326699</v>
      </c>
      <c r="E1">
        <f>D1^2</f>
        <v>1.1605385983842366E-2</v>
      </c>
      <c r="G1" t="s">
        <v>0</v>
      </c>
      <c r="H1">
        <v>1.4225007889874672</v>
      </c>
    </row>
    <row r="2" spans="1:8" x14ac:dyDescent="0.25">
      <c r="A2">
        <v>0.24199573956250001</v>
      </c>
      <c r="B2">
        <v>0.14279715406274199</v>
      </c>
      <c r="C2">
        <f t="shared" ref="C2:C40" si="0">$H$3*(1+$H$1)*(A2^($H$1))*EXP(-$H$3*(A2^(1+$H$1)))</f>
        <v>0.23480893911062656</v>
      </c>
      <c r="D2">
        <f t="shared" ref="D2:D40" si="1">B2-C2</f>
        <v>-9.201178504788457E-2</v>
      </c>
      <c r="E2">
        <f t="shared" ref="E2:E40" si="2">D2^2</f>
        <v>8.4661685876981137E-3</v>
      </c>
    </row>
    <row r="3" spans="1:8" x14ac:dyDescent="0.25">
      <c r="A3">
        <v>0.32032939393750004</v>
      </c>
      <c r="B3">
        <v>0.32169471224246932</v>
      </c>
      <c r="C3">
        <f t="shared" si="0"/>
        <v>0.3418307920605253</v>
      </c>
      <c r="D3">
        <f t="shared" si="1"/>
        <v>-2.0136079818055985E-2</v>
      </c>
      <c r="E3">
        <f t="shared" si="2"/>
        <v>4.0546171043912157E-4</v>
      </c>
      <c r="G3" t="s">
        <v>1</v>
      </c>
      <c r="H3">
        <f>(_xlfn.GAMMA((2+$H$1)/(1+$H$1)))^(1+$H$1)</f>
        <v>0.74716985385695511</v>
      </c>
    </row>
    <row r="4" spans="1:8" x14ac:dyDescent="0.25">
      <c r="A4">
        <v>0.39866304831249999</v>
      </c>
      <c r="B4">
        <v>0.47572310314160676</v>
      </c>
      <c r="C4">
        <f t="shared" si="0"/>
        <v>0.4514159716431313</v>
      </c>
      <c r="D4">
        <f t="shared" si="1"/>
        <v>2.4307131498475465E-2</v>
      </c>
      <c r="E4">
        <f t="shared" si="2"/>
        <v>5.9083664168417809E-4</v>
      </c>
    </row>
    <row r="5" spans="1:8" x14ac:dyDescent="0.25">
      <c r="A5">
        <v>0.4769967026875</v>
      </c>
      <c r="B5">
        <v>0.64499388689013804</v>
      </c>
      <c r="C5">
        <f t="shared" si="0"/>
        <v>0.55766001291194767</v>
      </c>
      <c r="D5">
        <f t="shared" si="1"/>
        <v>8.7333873978190368E-2</v>
      </c>
      <c r="E5">
        <f t="shared" si="2"/>
        <v>7.6272055440384364E-3</v>
      </c>
      <c r="G5" t="s">
        <v>2</v>
      </c>
      <c r="H5">
        <f>SUM(E1:E40)</f>
        <v>9.3112187944579441E-2</v>
      </c>
    </row>
    <row r="6" spans="1:8" x14ac:dyDescent="0.25">
      <c r="A6">
        <v>0.5553303570625</v>
      </c>
      <c r="B6">
        <v>0.76452633607748943</v>
      </c>
      <c r="C6">
        <f t="shared" si="0"/>
        <v>0.65502264404197619</v>
      </c>
      <c r="D6">
        <f t="shared" si="1"/>
        <v>0.10950369203551324</v>
      </c>
      <c r="E6">
        <f t="shared" si="2"/>
        <v>1.1991058569408526E-2</v>
      </c>
    </row>
    <row r="7" spans="1:8" x14ac:dyDescent="0.25">
      <c r="A7">
        <v>0.63366401143749995</v>
      </c>
      <c r="B7">
        <v>0.82710036988026403</v>
      </c>
      <c r="C7">
        <f t="shared" si="0"/>
        <v>0.73854582873758567</v>
      </c>
      <c r="D7">
        <f t="shared" si="1"/>
        <v>8.8554541142678356E-2</v>
      </c>
      <c r="E7">
        <f t="shared" si="2"/>
        <v>7.8419067569903134E-3</v>
      </c>
    </row>
    <row r="8" spans="1:8" x14ac:dyDescent="0.25">
      <c r="A8">
        <v>0.71199766581250001</v>
      </c>
      <c r="B8">
        <v>0.92176365178702557</v>
      </c>
      <c r="C8">
        <f t="shared" si="0"/>
        <v>0.80413322925916231</v>
      </c>
      <c r="D8">
        <f t="shared" si="1"/>
        <v>0.11763042252786327</v>
      </c>
      <c r="E8">
        <f t="shared" si="2"/>
        <v>1.3836916304083641E-2</v>
      </c>
    </row>
    <row r="9" spans="1:8" x14ac:dyDescent="0.25">
      <c r="A9">
        <v>0.79033132018749996</v>
      </c>
      <c r="B9">
        <v>0.94101720064941774</v>
      </c>
      <c r="C9">
        <f t="shared" si="0"/>
        <v>0.84881378479102099</v>
      </c>
      <c r="D9">
        <f t="shared" si="1"/>
        <v>9.2203415858396753E-2</v>
      </c>
      <c r="E9">
        <f t="shared" si="2"/>
        <v>8.5014698959564507E-3</v>
      </c>
    </row>
    <row r="10" spans="1:8" x14ac:dyDescent="0.25">
      <c r="A10">
        <v>0.86866497456249991</v>
      </c>
      <c r="B10">
        <v>0.92256588298962527</v>
      </c>
      <c r="C10">
        <f t="shared" si="0"/>
        <v>0.870937443858398</v>
      </c>
      <c r="D10">
        <f t="shared" si="1"/>
        <v>5.1628439131227277E-2</v>
      </c>
      <c r="E10">
        <f t="shared" si="2"/>
        <v>2.66549572712684E-3</v>
      </c>
    </row>
    <row r="11" spans="1:8" x14ac:dyDescent="0.25">
      <c r="A11">
        <v>0.94699862893750009</v>
      </c>
      <c r="B11">
        <v>0.88004762925184254</v>
      </c>
      <c r="C11">
        <f t="shared" si="0"/>
        <v>0.87026811633856604</v>
      </c>
      <c r="D11">
        <f t="shared" si="1"/>
        <v>9.7795129132765002E-3</v>
      </c>
      <c r="E11">
        <f t="shared" si="2"/>
        <v>9.5638872820941819E-5</v>
      </c>
    </row>
    <row r="12" spans="1:8" x14ac:dyDescent="0.25">
      <c r="A12">
        <v>1.0253322833125</v>
      </c>
      <c r="B12">
        <v>0.80624235861267257</v>
      </c>
      <c r="C12">
        <f t="shared" si="0"/>
        <v>0.84795570650108454</v>
      </c>
      <c r="D12">
        <f t="shared" si="1"/>
        <v>-4.1713347888411967E-2</v>
      </c>
      <c r="E12">
        <f t="shared" si="2"/>
        <v>1.7400033920596831E-3</v>
      </c>
    </row>
    <row r="13" spans="1:8" x14ac:dyDescent="0.25">
      <c r="A13">
        <v>1.1036659376875</v>
      </c>
      <c r="B13">
        <v>0.76693302968528854</v>
      </c>
      <c r="C13">
        <f t="shared" si="0"/>
        <v>0.80638664361899703</v>
      </c>
      <c r="D13">
        <f t="shared" si="1"/>
        <v>-3.9453613933708498E-2</v>
      </c>
      <c r="E13">
        <f t="shared" si="2"/>
        <v>1.5565876524301174E-3</v>
      </c>
    </row>
    <row r="14" spans="1:8" x14ac:dyDescent="0.25">
      <c r="A14">
        <v>1.1819995920624999</v>
      </c>
      <c r="B14">
        <v>0.70516122708511353</v>
      </c>
      <c r="C14">
        <f t="shared" si="0"/>
        <v>0.74892920047589062</v>
      </c>
      <c r="D14">
        <f t="shared" si="1"/>
        <v>-4.3767973390777093E-2</v>
      </c>
      <c r="E14">
        <f t="shared" si="2"/>
        <v>1.9156354947357716E-3</v>
      </c>
    </row>
    <row r="15" spans="1:8" x14ac:dyDescent="0.25">
      <c r="A15">
        <v>1.2603332464374999</v>
      </c>
      <c r="B15">
        <v>0.64659834929533733</v>
      </c>
      <c r="C15">
        <f t="shared" si="0"/>
        <v>0.67960387857883442</v>
      </c>
      <c r="D15">
        <f t="shared" si="1"/>
        <v>-3.3005529283497093E-2</v>
      </c>
      <c r="E15">
        <f t="shared" si="2"/>
        <v>1.0893649632837841E-3</v>
      </c>
    </row>
    <row r="16" spans="1:8" x14ac:dyDescent="0.25">
      <c r="A16">
        <v>1.3386669008125001</v>
      </c>
      <c r="B16">
        <v>0.55113283618597619</v>
      </c>
      <c r="C16">
        <f t="shared" si="0"/>
        <v>0.60271819196758014</v>
      </c>
      <c r="D16">
        <f t="shared" si="1"/>
        <v>-5.1585355781603948E-2</v>
      </c>
      <c r="E16">
        <f t="shared" si="2"/>
        <v>2.6610489311146598E-3</v>
      </c>
    </row>
    <row r="17" spans="1:5" x14ac:dyDescent="0.25">
      <c r="A17">
        <v>1.4170005551874998</v>
      </c>
      <c r="B17">
        <v>0.51021904485339276</v>
      </c>
      <c r="C17">
        <f t="shared" si="0"/>
        <v>0.52250800923978169</v>
      </c>
      <c r="D17">
        <f t="shared" si="1"/>
        <v>-1.2288964386388934E-2</v>
      </c>
      <c r="E17">
        <f t="shared" si="2"/>
        <v>1.5101864568993554E-4</v>
      </c>
    </row>
    <row r="18" spans="1:5" x14ac:dyDescent="0.25">
      <c r="A18">
        <v>1.4953342095625</v>
      </c>
      <c r="B18">
        <v>0.39549998288163934</v>
      </c>
      <c r="C18">
        <f t="shared" si="0"/>
        <v>0.44282402615400235</v>
      </c>
      <c r="D18">
        <f t="shared" si="1"/>
        <v>-4.7324043272363003E-2</v>
      </c>
      <c r="E18">
        <f t="shared" si="2"/>
        <v>2.2395650716444861E-3</v>
      </c>
    </row>
    <row r="19" spans="1:5" x14ac:dyDescent="0.25">
      <c r="A19">
        <v>1.5736678639375001</v>
      </c>
      <c r="B19">
        <v>0.32490363705286801</v>
      </c>
      <c r="C19">
        <f t="shared" si="0"/>
        <v>0.3668929031488613</v>
      </c>
      <c r="D19">
        <f t="shared" si="1"/>
        <v>-4.1989266095993294E-2</v>
      </c>
      <c r="E19">
        <f t="shared" si="2"/>
        <v>1.763098467280132E-3</v>
      </c>
    </row>
    <row r="20" spans="1:5" x14ac:dyDescent="0.25">
      <c r="A20">
        <v>1.6520015183124999</v>
      </c>
      <c r="B20">
        <v>0.23665820476690388</v>
      </c>
      <c r="C20">
        <f t="shared" si="0"/>
        <v>0.29717001000442483</v>
      </c>
      <c r="D20">
        <f t="shared" si="1"/>
        <v>-6.0511805237520949E-2</v>
      </c>
      <c r="E20">
        <f t="shared" si="2"/>
        <v>3.6616785731036676E-3</v>
      </c>
    </row>
    <row r="21" spans="1:5" x14ac:dyDescent="0.25">
      <c r="A21">
        <v>1.7303351726875</v>
      </c>
      <c r="B21">
        <v>0.214195731094113</v>
      </c>
      <c r="C21">
        <f t="shared" si="0"/>
        <v>0.23528697519256528</v>
      </c>
      <c r="D21">
        <f t="shared" si="1"/>
        <v>-2.1091244098452283E-2</v>
      </c>
      <c r="E21">
        <f t="shared" si="2"/>
        <v>4.4484057762049826E-4</v>
      </c>
    </row>
    <row r="22" spans="1:5" x14ac:dyDescent="0.25">
      <c r="A22">
        <v>1.8086688270625</v>
      </c>
      <c r="B22">
        <v>0.15803954691213581</v>
      </c>
      <c r="C22">
        <f t="shared" si="0"/>
        <v>0.1820847281385522</v>
      </c>
      <c r="D22">
        <f t="shared" si="1"/>
        <v>-2.4045181226416384E-2</v>
      </c>
      <c r="E22">
        <f t="shared" si="2"/>
        <v>5.7817074021120692E-4</v>
      </c>
    </row>
    <row r="23" spans="1:5" x14ac:dyDescent="0.25">
      <c r="A23">
        <v>1.8870024814374999</v>
      </c>
      <c r="B23">
        <v>0.13958822925234329</v>
      </c>
      <c r="C23">
        <f t="shared" si="0"/>
        <v>0.13771334547583394</v>
      </c>
      <c r="D23">
        <f t="shared" si="1"/>
        <v>1.8748837765093507E-3</v>
      </c>
      <c r="E23">
        <f t="shared" si="2"/>
        <v>3.5151891754179646E-6</v>
      </c>
    </row>
    <row r="24" spans="1:5" x14ac:dyDescent="0.25">
      <c r="A24">
        <v>1.9653361358124997</v>
      </c>
      <c r="B24">
        <v>0.11552129317435307</v>
      </c>
      <c r="C24">
        <f t="shared" si="0"/>
        <v>0.10177484856065844</v>
      </c>
      <c r="D24">
        <f t="shared" si="1"/>
        <v>1.3746444613694633E-2</v>
      </c>
      <c r="E24">
        <f t="shared" si="2"/>
        <v>1.8896473951737419E-4</v>
      </c>
    </row>
    <row r="25" spans="1:5" x14ac:dyDescent="0.25">
      <c r="A25">
        <v>2.0436697901874998</v>
      </c>
      <c r="B25">
        <v>7.4607501841769702E-2</v>
      </c>
      <c r="C25">
        <f t="shared" si="0"/>
        <v>7.348430558428784E-2</v>
      </c>
      <c r="D25">
        <f t="shared" si="1"/>
        <v>1.1231962574818621E-3</v>
      </c>
      <c r="E25">
        <f t="shared" si="2"/>
        <v>1.2615698328212615E-6</v>
      </c>
    </row>
    <row r="26" spans="1:5" x14ac:dyDescent="0.25">
      <c r="A26">
        <v>2.1220034445625</v>
      </c>
      <c r="B26">
        <v>7.7816426652168397E-2</v>
      </c>
      <c r="C26">
        <f t="shared" si="0"/>
        <v>5.1827507073392398E-2</v>
      </c>
      <c r="D26">
        <f t="shared" si="1"/>
        <v>2.5988919578775999E-2</v>
      </c>
      <c r="E26">
        <f t="shared" si="2"/>
        <v>6.7542394087208638E-4</v>
      </c>
    </row>
    <row r="27" spans="1:5" x14ac:dyDescent="0.25">
      <c r="A27">
        <v>2.2003370989375002</v>
      </c>
      <c r="B27">
        <v>5.3749490574178167E-2</v>
      </c>
      <c r="C27">
        <f t="shared" si="0"/>
        <v>3.5698899780049517E-2</v>
      </c>
      <c r="D27">
        <f t="shared" si="1"/>
        <v>1.805059079412865E-2</v>
      </c>
      <c r="E27">
        <f t="shared" si="2"/>
        <v>3.2582382801708197E-4</v>
      </c>
    </row>
    <row r="28" spans="1:5" x14ac:dyDescent="0.25">
      <c r="A28">
        <v>2.2786707533124995</v>
      </c>
      <c r="B28">
        <v>3.4495941711785987E-2</v>
      </c>
      <c r="C28">
        <f t="shared" si="0"/>
        <v>2.4009966021925674E-2</v>
      </c>
      <c r="D28">
        <f t="shared" si="1"/>
        <v>1.0485975689860313E-2</v>
      </c>
      <c r="E28">
        <f t="shared" si="2"/>
        <v>1.0995568616834147E-4</v>
      </c>
    </row>
    <row r="29" spans="1:5" x14ac:dyDescent="0.25">
      <c r="A29">
        <v>2.3570044076874996</v>
      </c>
      <c r="B29">
        <v>2.8078092090988594E-2</v>
      </c>
      <c r="C29">
        <f t="shared" si="0"/>
        <v>1.5764523923374942E-2</v>
      </c>
      <c r="D29">
        <f t="shared" si="1"/>
        <v>1.2313568167613653E-2</v>
      </c>
      <c r="E29">
        <f t="shared" si="2"/>
        <v>1.5162396101846824E-4</v>
      </c>
    </row>
    <row r="30" spans="1:5" x14ac:dyDescent="0.25">
      <c r="A30">
        <v>2.4353380620624998</v>
      </c>
      <c r="B30">
        <v>1.8451317659792507E-2</v>
      </c>
      <c r="C30">
        <f t="shared" si="0"/>
        <v>1.0102544699940885E-2</v>
      </c>
      <c r="D30">
        <f t="shared" si="1"/>
        <v>8.3487729598516226E-3</v>
      </c>
      <c r="E30">
        <f t="shared" si="2"/>
        <v>6.9702009935149618E-5</v>
      </c>
    </row>
    <row r="31" spans="1:5" x14ac:dyDescent="0.25">
      <c r="A31">
        <v>2.5136717164375</v>
      </c>
      <c r="B31">
        <v>1.4440161646794134E-2</v>
      </c>
      <c r="C31">
        <f t="shared" si="0"/>
        <v>6.3175317486174071E-3</v>
      </c>
      <c r="D31">
        <f t="shared" si="1"/>
        <v>8.1226298981767267E-3</v>
      </c>
      <c r="E31">
        <f t="shared" si="2"/>
        <v>6.5977116462754461E-5</v>
      </c>
    </row>
    <row r="32" spans="1:5" x14ac:dyDescent="0.25">
      <c r="A32">
        <v>2.5920053708125002</v>
      </c>
      <c r="B32">
        <v>1.2835699241594787E-2</v>
      </c>
      <c r="C32">
        <f t="shared" si="0"/>
        <v>3.8542109921492853E-3</v>
      </c>
      <c r="D32">
        <f t="shared" si="1"/>
        <v>8.9814882494455017E-3</v>
      </c>
      <c r="E32">
        <f t="shared" si="2"/>
        <v>8.0667131174927628E-5</v>
      </c>
    </row>
    <row r="33" spans="1:5" x14ac:dyDescent="0.25">
      <c r="A33">
        <v>2.6703390251874994</v>
      </c>
      <c r="B33">
        <v>4.8133872155980452E-3</v>
      </c>
      <c r="C33">
        <f t="shared" si="0"/>
        <v>2.293498715286754E-3</v>
      </c>
      <c r="D33">
        <f t="shared" si="1"/>
        <v>2.5198885003112912E-3</v>
      </c>
      <c r="E33">
        <f t="shared" si="2"/>
        <v>6.3498380540010884E-6</v>
      </c>
    </row>
    <row r="34" spans="1:5" x14ac:dyDescent="0.25">
      <c r="A34">
        <v>2.7486726795624996</v>
      </c>
      <c r="B34">
        <v>3.2089248103986967E-3</v>
      </c>
      <c r="C34">
        <f t="shared" si="0"/>
        <v>1.3308810125907218E-3</v>
      </c>
      <c r="D34">
        <f t="shared" si="1"/>
        <v>1.8780437978079749E-3</v>
      </c>
      <c r="E34">
        <f t="shared" si="2"/>
        <v>3.5270485064850016E-6</v>
      </c>
    </row>
    <row r="35" spans="1:5" x14ac:dyDescent="0.25">
      <c r="A35">
        <v>2.8270063339374998</v>
      </c>
      <c r="B35">
        <v>8.0223120259967416E-4</v>
      </c>
      <c r="C35">
        <f t="shared" si="0"/>
        <v>7.5293909734930201E-4</v>
      </c>
      <c r="D35">
        <f t="shared" si="1"/>
        <v>4.9292105250372154E-5</v>
      </c>
      <c r="E35">
        <f t="shared" si="2"/>
        <v>2.4297116400137661E-9</v>
      </c>
    </row>
    <row r="36" spans="1:5" x14ac:dyDescent="0.25">
      <c r="A36">
        <v>2.9053399883125</v>
      </c>
      <c r="B36">
        <v>0</v>
      </c>
      <c r="C36">
        <f t="shared" si="0"/>
        <v>4.1520461724250718E-4</v>
      </c>
      <c r="D36">
        <f t="shared" si="1"/>
        <v>-4.1520461724250718E-4</v>
      </c>
      <c r="E36">
        <f t="shared" si="2"/>
        <v>1.7239487417949689E-7</v>
      </c>
    </row>
    <row r="37" spans="1:5" x14ac:dyDescent="0.25">
      <c r="A37">
        <v>2.9836736426875001</v>
      </c>
      <c r="B37">
        <v>0</v>
      </c>
      <c r="C37">
        <f t="shared" si="0"/>
        <v>2.2312478909517925E-4</v>
      </c>
      <c r="D37">
        <f t="shared" si="1"/>
        <v>-2.2312478909517925E-4</v>
      </c>
      <c r="E37">
        <f t="shared" si="2"/>
        <v>4.9784671508768225E-8</v>
      </c>
    </row>
    <row r="38" spans="1:5" x14ac:dyDescent="0.25">
      <c r="A38">
        <v>3.0620072970624999</v>
      </c>
      <c r="B38">
        <v>0</v>
      </c>
      <c r="C38">
        <f t="shared" si="0"/>
        <v>1.168203114225224E-4</v>
      </c>
      <c r="D38">
        <f t="shared" si="1"/>
        <v>-1.168203114225224E-4</v>
      </c>
      <c r="E38">
        <f t="shared" si="2"/>
        <v>1.3646985160855117E-8</v>
      </c>
    </row>
    <row r="39" spans="1:5" x14ac:dyDescent="0.25">
      <c r="A39">
        <v>3.1403409514374996</v>
      </c>
      <c r="B39">
        <v>0</v>
      </c>
      <c r="C39">
        <f t="shared" si="0"/>
        <v>5.9576559109686853E-5</v>
      </c>
      <c r="D39">
        <f t="shared" si="1"/>
        <v>-5.9576559109686853E-5</v>
      </c>
      <c r="E39">
        <f t="shared" si="2"/>
        <v>3.5493663953500114E-9</v>
      </c>
    </row>
    <row r="40" spans="1:5" x14ac:dyDescent="0.25">
      <c r="A40">
        <v>3.2186746058124998</v>
      </c>
      <c r="B40">
        <v>8.0223120259967416E-4</v>
      </c>
      <c r="C40">
        <f t="shared" si="0"/>
        <v>2.9588353142610917E-5</v>
      </c>
      <c r="D40">
        <f t="shared" si="1"/>
        <v>7.7264284945706321E-4</v>
      </c>
      <c r="E40">
        <f t="shared" si="2"/>
        <v>5.9697697281713E-7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A3FE-6D2D-4207-881D-9772D52619E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0.20041547791249997</v>
      </c>
      <c r="B1">
        <v>2.1346647966835774E-2</v>
      </c>
      <c r="C1">
        <f>$H$3*(1+$H$1)*(A1^($H$1))*EXP(-$H$3*(A1^(1+$H$1)))</f>
        <v>0.13636592748719728</v>
      </c>
      <c r="D1">
        <f>B1-C1</f>
        <v>-0.11501927952036151</v>
      </c>
      <c r="E1">
        <f>D1^2</f>
        <v>1.3229434661383052E-2</v>
      </c>
      <c r="G1" t="s">
        <v>0</v>
      </c>
      <c r="H1">
        <v>1.64375906935293</v>
      </c>
    </row>
    <row r="2" spans="1:8" x14ac:dyDescent="0.25">
      <c r="A2">
        <v>0.27401216373749998</v>
      </c>
      <c r="B2">
        <v>0.13149535147570837</v>
      </c>
      <c r="C2">
        <f t="shared" ref="C2:C40" si="0">$H$3*(1+$H$1)*(A2^($H$1))*EXP(-$H$3*(A2^(1+$H$1)))</f>
        <v>0.22498650896837172</v>
      </c>
      <c r="D2">
        <f t="shared" ref="D2:D40" si="1">B2-C2</f>
        <v>-9.3491157492663346E-2</v>
      </c>
      <c r="E2">
        <f t="shared" ref="E2:E40" si="2">D2^2</f>
        <v>8.7405965293179816E-3</v>
      </c>
    </row>
    <row r="3" spans="1:8" x14ac:dyDescent="0.25">
      <c r="A3">
        <v>0.34760884956249999</v>
      </c>
      <c r="B3">
        <v>0.28946054643029306</v>
      </c>
      <c r="C3">
        <f t="shared" si="0"/>
        <v>0.32576835581998853</v>
      </c>
      <c r="D3">
        <f t="shared" si="1"/>
        <v>-3.6307809389695467E-2</v>
      </c>
      <c r="E3">
        <f t="shared" si="2"/>
        <v>1.3182570226784583E-3</v>
      </c>
      <c r="G3" t="s">
        <v>1</v>
      </c>
      <c r="H3">
        <f>(_xlfn.GAMMA((2+$H$1)/(1+$H$1)))^(1+$H$1)</f>
        <v>0.73194336892488809</v>
      </c>
    </row>
    <row r="4" spans="1:8" x14ac:dyDescent="0.25">
      <c r="A4">
        <v>0.4212055353875</v>
      </c>
      <c r="B4">
        <v>0.45681826649028556</v>
      </c>
      <c r="C4">
        <f t="shared" si="0"/>
        <v>0.4336455155926221</v>
      </c>
      <c r="D4">
        <f t="shared" si="1"/>
        <v>2.3172750897663463E-2</v>
      </c>
      <c r="E4">
        <f t="shared" si="2"/>
        <v>5.3697638416516289E-4</v>
      </c>
    </row>
    <row r="5" spans="1:8" x14ac:dyDescent="0.25">
      <c r="A5">
        <v>0.4948022212125</v>
      </c>
      <c r="B5">
        <v>0.62161438879425768</v>
      </c>
      <c r="C5">
        <f t="shared" si="0"/>
        <v>0.54317594948109271</v>
      </c>
      <c r="D5">
        <f t="shared" si="1"/>
        <v>7.8438439313164965E-2</v>
      </c>
      <c r="E5">
        <f t="shared" si="2"/>
        <v>6.1525887618850634E-3</v>
      </c>
      <c r="G5" t="s">
        <v>2</v>
      </c>
      <c r="H5">
        <f>SUM(E1:E40)</f>
        <v>0.12578119184144582</v>
      </c>
    </row>
    <row r="6" spans="1:8" x14ac:dyDescent="0.25">
      <c r="A6">
        <v>0.56839890703749996</v>
      </c>
      <c r="B6">
        <v>0.73944788557119123</v>
      </c>
      <c r="C6">
        <f t="shared" si="0"/>
        <v>0.64866516294125676</v>
      </c>
      <c r="D6">
        <f t="shared" si="1"/>
        <v>9.0782722629934476E-2</v>
      </c>
      <c r="E6">
        <f t="shared" si="2"/>
        <v>8.2415027281036168E-3</v>
      </c>
    </row>
    <row r="7" spans="1:8" x14ac:dyDescent="0.25">
      <c r="A7">
        <v>0.64199559286249985</v>
      </c>
      <c r="B7">
        <v>0.8752125666402667</v>
      </c>
      <c r="C7">
        <f t="shared" si="0"/>
        <v>0.744442974964033</v>
      </c>
      <c r="D7">
        <f t="shared" si="1"/>
        <v>0.1307695916762337</v>
      </c>
      <c r="E7">
        <f t="shared" si="2"/>
        <v>1.7100686107168889E-2</v>
      </c>
    </row>
    <row r="8" spans="1:8" x14ac:dyDescent="0.25">
      <c r="A8">
        <v>0.71559227868749997</v>
      </c>
      <c r="B8">
        <v>0.97255328136903785</v>
      </c>
      <c r="C8">
        <f t="shared" si="0"/>
        <v>0.82522960408421686</v>
      </c>
      <c r="D8">
        <f t="shared" si="1"/>
        <v>0.14732367728482099</v>
      </c>
      <c r="E8">
        <f t="shared" si="2"/>
        <v>2.1704265888722079E-2</v>
      </c>
    </row>
    <row r="9" spans="1:8" x14ac:dyDescent="0.25">
      <c r="A9">
        <v>0.78918896451250009</v>
      </c>
      <c r="B9">
        <v>0.97682261096240497</v>
      </c>
      <c r="C9">
        <f t="shared" si="0"/>
        <v>0.88653497888882971</v>
      </c>
      <c r="D9">
        <f t="shared" si="1"/>
        <v>9.0287632073575264E-2</v>
      </c>
      <c r="E9">
        <f t="shared" si="2"/>
        <v>8.1518565054532963E-3</v>
      </c>
    </row>
    <row r="10" spans="1:8" x14ac:dyDescent="0.25">
      <c r="A10">
        <v>0.86278565033749999</v>
      </c>
      <c r="B10">
        <v>1.0331777615948514</v>
      </c>
      <c r="C10">
        <f t="shared" si="0"/>
        <v>0.92503439751803263</v>
      </c>
      <c r="D10">
        <f t="shared" si="1"/>
        <v>0.10814336407681879</v>
      </c>
      <c r="E10">
        <f t="shared" si="2"/>
        <v>1.1694987193851382E-2</v>
      </c>
    </row>
    <row r="11" spans="1:8" x14ac:dyDescent="0.25">
      <c r="A11">
        <v>0.9363823361625</v>
      </c>
      <c r="B11">
        <v>0.9674300858569973</v>
      </c>
      <c r="C11">
        <f t="shared" si="0"/>
        <v>0.93886532749844898</v>
      </c>
      <c r="D11">
        <f t="shared" si="1"/>
        <v>2.8564758358548326E-2</v>
      </c>
      <c r="E11">
        <f t="shared" si="2"/>
        <v>8.1594542008225641E-4</v>
      </c>
    </row>
    <row r="12" spans="1:8" x14ac:dyDescent="0.25">
      <c r="A12">
        <v>1.0099790219875</v>
      </c>
      <c r="B12">
        <v>0.89826694644444938</v>
      </c>
      <c r="C12">
        <f t="shared" si="0"/>
        <v>0.92779837291359057</v>
      </c>
      <c r="D12">
        <f t="shared" si="1"/>
        <v>-2.9531426469141198E-2</v>
      </c>
      <c r="E12">
        <f t="shared" si="2"/>
        <v>8.7210514930229337E-4</v>
      </c>
    </row>
    <row r="13" spans="1:8" x14ac:dyDescent="0.25">
      <c r="A13">
        <v>1.0835757078124999</v>
      </c>
      <c r="B13">
        <v>0.86240457786016522</v>
      </c>
      <c r="C13">
        <f t="shared" si="0"/>
        <v>0.89325115005086808</v>
      </c>
      <c r="D13">
        <f t="shared" si="1"/>
        <v>-3.0846572190702859E-2</v>
      </c>
      <c r="E13">
        <f t="shared" si="2"/>
        <v>9.5151101591624298E-4</v>
      </c>
    </row>
    <row r="14" spans="1:8" x14ac:dyDescent="0.25">
      <c r="A14">
        <v>1.1571723936375</v>
      </c>
      <c r="B14">
        <v>0.77701798599282212</v>
      </c>
      <c r="C14">
        <f t="shared" si="0"/>
        <v>0.83813556591503902</v>
      </c>
      <c r="D14">
        <f t="shared" si="1"/>
        <v>-6.1117579922216891E-2</v>
      </c>
      <c r="E14">
        <f t="shared" si="2"/>
        <v>3.7353585755485691E-3</v>
      </c>
    </row>
    <row r="15" spans="1:8" x14ac:dyDescent="0.25">
      <c r="A15">
        <v>1.2307690794624999</v>
      </c>
      <c r="B15">
        <v>0.69163139412547903</v>
      </c>
      <c r="C15">
        <f t="shared" si="0"/>
        <v>0.76655352155505174</v>
      </c>
      <c r="D15">
        <f t="shared" si="1"/>
        <v>-7.4922127429572716E-2</v>
      </c>
      <c r="E15">
        <f t="shared" si="2"/>
        <v>5.6133251785731326E-3</v>
      </c>
    </row>
    <row r="16" spans="1:8" x14ac:dyDescent="0.25">
      <c r="A16">
        <v>1.3043657652875</v>
      </c>
      <c r="B16">
        <v>0.63869170716772639</v>
      </c>
      <c r="C16">
        <f t="shared" si="0"/>
        <v>0.68337902094797676</v>
      </c>
      <c r="D16">
        <f t="shared" si="1"/>
        <v>-4.4687313780250371E-2</v>
      </c>
      <c r="E16">
        <f t="shared" si="2"/>
        <v>1.9969560128945546E-3</v>
      </c>
    </row>
    <row r="17" spans="1:5" x14ac:dyDescent="0.25">
      <c r="A17">
        <v>1.3779624511124999</v>
      </c>
      <c r="B17">
        <v>0.52683527182150691</v>
      </c>
      <c r="C17">
        <f t="shared" si="0"/>
        <v>0.59378164509349052</v>
      </c>
      <c r="D17">
        <f t="shared" si="1"/>
        <v>-6.6946373271983606E-2</v>
      </c>
      <c r="E17">
        <f t="shared" si="2"/>
        <v>4.4818168942717613E-3</v>
      </c>
    </row>
    <row r="18" spans="1:5" x14ac:dyDescent="0.25">
      <c r="A18">
        <v>1.4515591369374998</v>
      </c>
      <c r="B18">
        <v>0.47304171894508074</v>
      </c>
      <c r="C18">
        <f t="shared" si="0"/>
        <v>0.50275395884975893</v>
      </c>
      <c r="D18">
        <f t="shared" si="1"/>
        <v>-2.9712239904678195E-2</v>
      </c>
      <c r="E18">
        <f t="shared" si="2"/>
        <v>8.8281720015315126E-4</v>
      </c>
    </row>
    <row r="19" spans="1:5" x14ac:dyDescent="0.25">
      <c r="A19">
        <v>1.5251558227624999</v>
      </c>
      <c r="B19">
        <v>0.36289301543620817</v>
      </c>
      <c r="C19">
        <f t="shared" si="0"/>
        <v>0.41470217001591253</v>
      </c>
      <c r="D19">
        <f t="shared" si="1"/>
        <v>-5.1809154579704364E-2</v>
      </c>
      <c r="E19">
        <f t="shared" si="2"/>
        <v>2.6841884982637017E-3</v>
      </c>
    </row>
    <row r="20" spans="1:5" x14ac:dyDescent="0.25">
      <c r="A20">
        <v>1.5987525085874998</v>
      </c>
      <c r="B20">
        <v>0.27409095989417132</v>
      </c>
      <c r="C20">
        <f t="shared" si="0"/>
        <v>0.33314610064350741</v>
      </c>
      <c r="D20">
        <f t="shared" si="1"/>
        <v>-5.9055140749336099E-2</v>
      </c>
      <c r="E20">
        <f t="shared" si="2"/>
        <v>3.487509648923897E-3</v>
      </c>
    </row>
    <row r="21" spans="1:5" x14ac:dyDescent="0.25">
      <c r="A21">
        <v>1.6723491944125</v>
      </c>
      <c r="B21">
        <v>0.23054379804182634</v>
      </c>
      <c r="C21">
        <f t="shared" si="0"/>
        <v>0.26055424981553288</v>
      </c>
      <c r="D21">
        <f t="shared" si="1"/>
        <v>-3.0010451773706537E-2</v>
      </c>
      <c r="E21">
        <f t="shared" si="2"/>
        <v>9.0062721566196581E-4</v>
      </c>
    </row>
    <row r="22" spans="1:5" x14ac:dyDescent="0.25">
      <c r="A22">
        <v>1.7459458802375001</v>
      </c>
      <c r="B22">
        <v>0.19126596578284852</v>
      </c>
      <c r="C22">
        <f t="shared" si="0"/>
        <v>0.1983168081674351</v>
      </c>
      <c r="D22">
        <f t="shared" si="1"/>
        <v>-7.0508423845865864E-3</v>
      </c>
      <c r="E22">
        <f t="shared" si="2"/>
        <v>4.9714378332282663E-5</v>
      </c>
    </row>
    <row r="23" spans="1:5" x14ac:dyDescent="0.25">
      <c r="A23">
        <v>1.8195425660625</v>
      </c>
      <c r="B23">
        <v>0.1297876196383615</v>
      </c>
      <c r="C23">
        <f t="shared" si="0"/>
        <v>0.14683859507946087</v>
      </c>
      <c r="D23">
        <f t="shared" si="1"/>
        <v>-1.7050975441099375E-2</v>
      </c>
      <c r="E23">
        <f t="shared" si="2"/>
        <v>2.9073576349297406E-4</v>
      </c>
    </row>
    <row r="24" spans="1:5" x14ac:dyDescent="0.25">
      <c r="A24">
        <v>1.8931392518874999</v>
      </c>
      <c r="B24">
        <v>0.11783349677693347</v>
      </c>
      <c r="C24">
        <f t="shared" si="0"/>
        <v>0.10571884601671276</v>
      </c>
      <c r="D24">
        <f t="shared" si="1"/>
        <v>1.211465076022071E-2</v>
      </c>
      <c r="E24">
        <f t="shared" si="2"/>
        <v>1.4676476304211625E-4</v>
      </c>
    </row>
    <row r="25" spans="1:5" x14ac:dyDescent="0.25">
      <c r="A25">
        <v>1.9667359377124998</v>
      </c>
      <c r="B25">
        <v>9.7340714728771122E-2</v>
      </c>
      <c r="C25">
        <f t="shared" si="0"/>
        <v>7.3977707726212483E-2</v>
      </c>
      <c r="D25">
        <f t="shared" si="1"/>
        <v>2.3363007002558639E-2</v>
      </c>
      <c r="E25">
        <f t="shared" si="2"/>
        <v>5.4583009620160405E-4</v>
      </c>
    </row>
    <row r="26" spans="1:5" x14ac:dyDescent="0.25">
      <c r="A26">
        <v>2.0403326235375001</v>
      </c>
      <c r="B26">
        <v>7.5140200843261923E-2</v>
      </c>
      <c r="C26">
        <f t="shared" si="0"/>
        <v>5.0290324410151563E-2</v>
      </c>
      <c r="D26">
        <f t="shared" si="1"/>
        <v>2.484987643311036E-2</v>
      </c>
      <c r="E26">
        <f t="shared" si="2"/>
        <v>6.1751635874085367E-4</v>
      </c>
    </row>
    <row r="27" spans="1:5" x14ac:dyDescent="0.25">
      <c r="A27">
        <v>2.1139293093624998</v>
      </c>
      <c r="B27">
        <v>4.781649144571213E-2</v>
      </c>
      <c r="C27">
        <f t="shared" si="0"/>
        <v>3.3196877909152094E-2</v>
      </c>
      <c r="D27">
        <f t="shared" si="1"/>
        <v>1.4619613536560036E-2</v>
      </c>
      <c r="E27">
        <f t="shared" si="2"/>
        <v>2.1373309995836946E-4</v>
      </c>
    </row>
    <row r="28" spans="1:5" x14ac:dyDescent="0.25">
      <c r="A28">
        <v>2.1875259951874999</v>
      </c>
      <c r="B28">
        <v>3.8423966340304393E-2</v>
      </c>
      <c r="C28">
        <f t="shared" si="0"/>
        <v>2.1268147410801047E-2</v>
      </c>
      <c r="D28">
        <f t="shared" si="1"/>
        <v>1.7155818929503346E-2</v>
      </c>
      <c r="E28">
        <f t="shared" si="2"/>
        <v>2.9432212314190533E-4</v>
      </c>
    </row>
    <row r="29" spans="1:5" x14ac:dyDescent="0.25">
      <c r="A29">
        <v>2.2611226810125</v>
      </c>
      <c r="B29">
        <v>2.3054379804182634E-2</v>
      </c>
      <c r="C29">
        <f t="shared" si="0"/>
        <v>1.3218102939106498E-2</v>
      </c>
      <c r="D29">
        <f t="shared" si="1"/>
        <v>9.8362768650761354E-3</v>
      </c>
      <c r="E29">
        <f t="shared" si="2"/>
        <v>9.6752342566432006E-5</v>
      </c>
    </row>
    <row r="30" spans="1:5" x14ac:dyDescent="0.25">
      <c r="A30">
        <v>2.3347193668374997</v>
      </c>
      <c r="B30">
        <v>1.5369586536121757E-2</v>
      </c>
      <c r="C30">
        <f t="shared" si="0"/>
        <v>7.9652751812355083E-3</v>
      </c>
      <c r="D30">
        <f t="shared" si="1"/>
        <v>7.4043113548862491E-3</v>
      </c>
      <c r="E30">
        <f t="shared" si="2"/>
        <v>5.4823826640097445E-5</v>
      </c>
    </row>
    <row r="31" spans="1:5" x14ac:dyDescent="0.25">
      <c r="A31">
        <v>2.4083160526625003</v>
      </c>
      <c r="B31">
        <v>1.5369586536121757E-2</v>
      </c>
      <c r="C31">
        <f t="shared" si="0"/>
        <v>4.6516605559144813E-3</v>
      </c>
      <c r="D31">
        <f t="shared" si="1"/>
        <v>1.0717925980207276E-2</v>
      </c>
      <c r="E31">
        <f t="shared" si="2"/>
        <v>1.1487393731720209E-4</v>
      </c>
    </row>
    <row r="32" spans="1:5" x14ac:dyDescent="0.25">
      <c r="A32">
        <v>2.4819127384874999</v>
      </c>
      <c r="B32">
        <v>1.0246391024081172E-2</v>
      </c>
      <c r="C32">
        <f t="shared" si="0"/>
        <v>2.6313154477739091E-3</v>
      </c>
      <c r="D32">
        <f t="shared" si="1"/>
        <v>7.615075576307263E-3</v>
      </c>
      <c r="E32">
        <f t="shared" si="2"/>
        <v>5.7989376032871396E-5</v>
      </c>
    </row>
    <row r="33" spans="1:5" x14ac:dyDescent="0.25">
      <c r="A33">
        <v>2.5555094243125001</v>
      </c>
      <c r="B33">
        <v>3.4154636746937237E-3</v>
      </c>
      <c r="C33">
        <f t="shared" si="0"/>
        <v>1.4410420412022387E-3</v>
      </c>
      <c r="D33">
        <f t="shared" si="1"/>
        <v>1.974421633491485E-3</v>
      </c>
      <c r="E33">
        <f t="shared" si="2"/>
        <v>3.898340786799184E-6</v>
      </c>
    </row>
    <row r="34" spans="1:5" x14ac:dyDescent="0.25">
      <c r="A34">
        <v>2.6291061101374997</v>
      </c>
      <c r="B34">
        <v>8.5386591867343093E-4</v>
      </c>
      <c r="C34">
        <f t="shared" si="0"/>
        <v>7.6365953607305409E-4</v>
      </c>
      <c r="D34">
        <f t="shared" si="1"/>
        <v>9.0206382600376846E-5</v>
      </c>
      <c r="E34">
        <f t="shared" si="2"/>
        <v>8.1371914618455698E-9</v>
      </c>
    </row>
    <row r="35" spans="1:5" x14ac:dyDescent="0.25">
      <c r="A35">
        <v>2.7027027959624998</v>
      </c>
      <c r="B35">
        <v>0</v>
      </c>
      <c r="C35">
        <f t="shared" si="0"/>
        <v>3.9140151851248852E-4</v>
      </c>
      <c r="D35">
        <f t="shared" si="1"/>
        <v>-3.9140151851248852E-4</v>
      </c>
      <c r="E35">
        <f t="shared" si="2"/>
        <v>1.531951486938819E-7</v>
      </c>
    </row>
    <row r="36" spans="1:5" x14ac:dyDescent="0.25">
      <c r="A36">
        <v>2.7762994817874995</v>
      </c>
      <c r="B36">
        <v>0</v>
      </c>
      <c r="C36">
        <f t="shared" si="0"/>
        <v>1.9392102938823203E-4</v>
      </c>
      <c r="D36">
        <f t="shared" si="1"/>
        <v>-1.9392102938823203E-4</v>
      </c>
      <c r="E36">
        <f t="shared" si="2"/>
        <v>3.7605365638991549E-8</v>
      </c>
    </row>
    <row r="37" spans="1:5" x14ac:dyDescent="0.25">
      <c r="A37">
        <v>2.8498961676125001</v>
      </c>
      <c r="B37">
        <v>0</v>
      </c>
      <c r="C37">
        <f t="shared" si="0"/>
        <v>9.28297355381334E-5</v>
      </c>
      <c r="D37">
        <f t="shared" si="1"/>
        <v>-9.28297355381334E-5</v>
      </c>
      <c r="E37">
        <f t="shared" si="2"/>
        <v>8.6173598000797874E-9</v>
      </c>
    </row>
    <row r="38" spans="1:5" x14ac:dyDescent="0.25">
      <c r="A38">
        <v>2.9234928534375002</v>
      </c>
      <c r="B38">
        <v>0</v>
      </c>
      <c r="C38">
        <f t="shared" si="0"/>
        <v>4.2913057544333597E-5</v>
      </c>
      <c r="D38">
        <f t="shared" si="1"/>
        <v>-4.2913057544333597E-5</v>
      </c>
      <c r="E38">
        <f t="shared" si="2"/>
        <v>1.8415305078032866E-9</v>
      </c>
    </row>
    <row r="39" spans="1:5" x14ac:dyDescent="0.25">
      <c r="A39">
        <v>2.9970895392624999</v>
      </c>
      <c r="B39">
        <v>0</v>
      </c>
      <c r="C39">
        <f t="shared" si="0"/>
        <v>1.9147523858157314E-5</v>
      </c>
      <c r="D39">
        <f t="shared" si="1"/>
        <v>-1.9147523858157314E-5</v>
      </c>
      <c r="E39">
        <f t="shared" si="2"/>
        <v>3.6662766989870358E-10</v>
      </c>
    </row>
    <row r="40" spans="1:5" x14ac:dyDescent="0.25">
      <c r="A40">
        <v>3.0706862250875</v>
      </c>
      <c r="B40">
        <v>8.5386591867343093E-4</v>
      </c>
      <c r="C40">
        <f t="shared" si="0"/>
        <v>8.2420968695770029E-6</v>
      </c>
      <c r="D40">
        <f t="shared" si="1"/>
        <v>8.4562382180385391E-4</v>
      </c>
      <c r="E40">
        <f t="shared" si="2"/>
        <v>7.1507964800215603E-7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DA5A1-9502-4ACC-B875-C3F990384A1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0.25068313681249998</v>
      </c>
      <c r="B1">
        <v>2.5727364967301252E-2</v>
      </c>
      <c r="C1">
        <f>$H$3*(1+$H$1)*(A1^($H$1))*EXP(-$H$3*(A1^(1+$H$1)))</f>
        <v>0.14083725423339058</v>
      </c>
      <c r="D1">
        <f>B1-C1</f>
        <v>-0.11510988926608932</v>
      </c>
      <c r="E1">
        <f>D1^2</f>
        <v>1.3250286606851347E-2</v>
      </c>
      <c r="G1" t="s">
        <v>0</v>
      </c>
      <c r="H1">
        <v>1.9462433978504294</v>
      </c>
    </row>
    <row r="2" spans="1:8" x14ac:dyDescent="0.25">
      <c r="A2">
        <v>0.31907598043749996</v>
      </c>
      <c r="B2">
        <v>0.12036731466844515</v>
      </c>
      <c r="C2">
        <f t="shared" ref="C2:C40" si="0">$H$3*(1+$H$1)*(A2^($H$1))*EXP(-$H$3*(A2^(1+$H$1)))</f>
        <v>0.2224173419125727</v>
      </c>
      <c r="D2">
        <f t="shared" ref="D2:D40" si="1">B2-C2</f>
        <v>-0.10205002724412755</v>
      </c>
      <c r="E2">
        <f t="shared" ref="E2:E40" si="2">D2^2</f>
        <v>1.0414208060527176E-2</v>
      </c>
    </row>
    <row r="3" spans="1:8" x14ac:dyDescent="0.25">
      <c r="A3">
        <v>0.38746882406249999</v>
      </c>
      <c r="B3">
        <v>0.26278665645171995</v>
      </c>
      <c r="C3">
        <f t="shared" si="0"/>
        <v>0.31844965790874435</v>
      </c>
      <c r="D3">
        <f t="shared" si="1"/>
        <v>-5.5663001457024408E-2</v>
      </c>
      <c r="E3">
        <f t="shared" si="2"/>
        <v>3.0983697312047015E-3</v>
      </c>
      <c r="G3" t="s">
        <v>1</v>
      </c>
      <c r="H3">
        <f>(_xlfn.GAMMA((2+$H$1)/(1+$H$1)))^(1+$H$1)</f>
        <v>0.71476858452062886</v>
      </c>
    </row>
    <row r="4" spans="1:8" x14ac:dyDescent="0.25">
      <c r="A4">
        <v>0.45586166768750003</v>
      </c>
      <c r="B4">
        <v>0.42266385303423487</v>
      </c>
      <c r="C4">
        <f t="shared" si="0"/>
        <v>0.42536807574209751</v>
      </c>
      <c r="D4">
        <f t="shared" si="1"/>
        <v>-2.7042227078626357E-3</v>
      </c>
      <c r="E4">
        <f t="shared" si="2"/>
        <v>7.3128204537199264E-6</v>
      </c>
    </row>
    <row r="5" spans="1:8" x14ac:dyDescent="0.25">
      <c r="A5">
        <v>0.5242545113125</v>
      </c>
      <c r="B5">
        <v>0.62664510384640915</v>
      </c>
      <c r="C5">
        <f t="shared" si="0"/>
        <v>0.53862590814818045</v>
      </c>
      <c r="D5">
        <f t="shared" si="1"/>
        <v>8.8019195698228692E-2</v>
      </c>
      <c r="E5">
        <f t="shared" si="2"/>
        <v>7.7473788113630801E-3</v>
      </c>
      <c r="G5" t="s">
        <v>2</v>
      </c>
      <c r="H5">
        <f>SUM(E1:E40)</f>
        <v>0.19013051519052915</v>
      </c>
    </row>
    <row r="6" spans="1:8" x14ac:dyDescent="0.25">
      <c r="A6">
        <v>0.59264735493749998</v>
      </c>
      <c r="B6">
        <v>0.7929541416707494</v>
      </c>
      <c r="C6">
        <f t="shared" si="0"/>
        <v>0.65280229496743813</v>
      </c>
      <c r="D6">
        <f t="shared" si="1"/>
        <v>0.14015184670331127</v>
      </c>
      <c r="E6">
        <f t="shared" si="2"/>
        <v>1.9642540134348463E-2</v>
      </c>
    </row>
    <row r="7" spans="1:8" x14ac:dyDescent="0.25">
      <c r="A7">
        <v>0.66104019856249996</v>
      </c>
      <c r="B7">
        <v>0.87840574674071425</v>
      </c>
      <c r="C7">
        <f t="shared" si="0"/>
        <v>0.76184910737835443</v>
      </c>
      <c r="D7">
        <f t="shared" si="1"/>
        <v>0.11655663936235983</v>
      </c>
      <c r="E7">
        <f t="shared" si="2"/>
        <v>1.3585450179447208E-2</v>
      </c>
    </row>
    <row r="8" spans="1:8" x14ac:dyDescent="0.25">
      <c r="A8">
        <v>0.72943304218750005</v>
      </c>
      <c r="B8">
        <v>1.0281757642289322</v>
      </c>
      <c r="C8">
        <f t="shared" si="0"/>
        <v>0.85947288346728667</v>
      </c>
      <c r="D8">
        <f t="shared" si="1"/>
        <v>0.16870288076164552</v>
      </c>
      <c r="E8">
        <f t="shared" si="2"/>
        <v>2.8460661977277986E-2</v>
      </c>
    </row>
    <row r="9" spans="1:8" x14ac:dyDescent="0.25">
      <c r="A9">
        <v>0.79782588581250002</v>
      </c>
      <c r="B9">
        <v>1.0474712879544081</v>
      </c>
      <c r="C9">
        <f t="shared" si="0"/>
        <v>0.93962570380091415</v>
      </c>
      <c r="D9">
        <f t="shared" si="1"/>
        <v>0.10784558415349399</v>
      </c>
      <c r="E9">
        <f t="shared" si="2"/>
        <v>1.1630670021408353E-2</v>
      </c>
    </row>
    <row r="10" spans="1:8" x14ac:dyDescent="0.25">
      <c r="A10">
        <v>0.86621872943749989</v>
      </c>
      <c r="B10">
        <v>1.1742704438646787</v>
      </c>
      <c r="C10">
        <f t="shared" si="0"/>
        <v>0.99705625890536054</v>
      </c>
      <c r="D10">
        <f t="shared" si="1"/>
        <v>0.17721418495931818</v>
      </c>
      <c r="E10">
        <f t="shared" si="2"/>
        <v>3.140486735079543E-2</v>
      </c>
    </row>
    <row r="11" spans="1:8" x14ac:dyDescent="0.25">
      <c r="A11">
        <v>0.93461157306249998</v>
      </c>
      <c r="B11">
        <v>1.048390122417526</v>
      </c>
      <c r="C11">
        <f t="shared" si="0"/>
        <v>1.0278526551707419</v>
      </c>
      <c r="D11">
        <f t="shared" si="1"/>
        <v>2.053746724678418E-2</v>
      </c>
      <c r="E11">
        <f t="shared" si="2"/>
        <v>4.2178756091273295E-4</v>
      </c>
    </row>
    <row r="12" spans="1:8" x14ac:dyDescent="0.25">
      <c r="A12">
        <v>1.0030044166874998</v>
      </c>
      <c r="B12">
        <v>1.0640103082905303</v>
      </c>
      <c r="C12">
        <f t="shared" si="0"/>
        <v>1.029897208717065</v>
      </c>
      <c r="D12">
        <f t="shared" si="1"/>
        <v>3.4113099573465311E-2</v>
      </c>
      <c r="E12">
        <f t="shared" si="2"/>
        <v>1.1637035625091591E-3</v>
      </c>
    </row>
    <row r="13" spans="1:8" x14ac:dyDescent="0.25">
      <c r="A13">
        <v>1.0713972603124997</v>
      </c>
      <c r="B13">
        <v>0.93812998684337789</v>
      </c>
      <c r="C13">
        <f t="shared" si="0"/>
        <v>1.0031553222698406</v>
      </c>
      <c r="D13">
        <f t="shared" si="1"/>
        <v>-6.5025335426462716E-2</v>
      </c>
      <c r="E13">
        <f t="shared" si="2"/>
        <v>4.2282942473239873E-3</v>
      </c>
    </row>
    <row r="14" spans="1:8" x14ac:dyDescent="0.25">
      <c r="A14">
        <v>1.1397901039375</v>
      </c>
      <c r="B14">
        <v>0.90597078063425129</v>
      </c>
      <c r="C14">
        <f t="shared" si="0"/>
        <v>0.94973805313504844</v>
      </c>
      <c r="D14">
        <f t="shared" si="1"/>
        <v>-4.376727250079715E-2</v>
      </c>
      <c r="E14">
        <f t="shared" si="2"/>
        <v>1.9155741421590343E-3</v>
      </c>
    </row>
    <row r="15" spans="1:8" x14ac:dyDescent="0.25">
      <c r="A15">
        <v>1.2081829475624999</v>
      </c>
      <c r="B15">
        <v>0.74701241851485423</v>
      </c>
      <c r="C15">
        <f t="shared" si="0"/>
        <v>0.87371019536724159</v>
      </c>
      <c r="D15">
        <f t="shared" si="1"/>
        <v>-0.12669777685238737</v>
      </c>
      <c r="E15">
        <f t="shared" si="2"/>
        <v>1.6052326659337344E-2</v>
      </c>
    </row>
    <row r="16" spans="1:8" x14ac:dyDescent="0.25">
      <c r="A16">
        <v>1.2765757911875</v>
      </c>
      <c r="B16">
        <v>0.7038271987483129</v>
      </c>
      <c r="C16">
        <f t="shared" si="0"/>
        <v>0.78065762751603196</v>
      </c>
      <c r="D16">
        <f t="shared" si="1"/>
        <v>-7.6830428767719061E-2</v>
      </c>
      <c r="E16">
        <f t="shared" si="2"/>
        <v>5.9029147846315529E-3</v>
      </c>
    </row>
    <row r="17" spans="1:5" x14ac:dyDescent="0.25">
      <c r="A17">
        <v>1.3449686348125001</v>
      </c>
      <c r="B17">
        <v>0.59172939424792881</v>
      </c>
      <c r="C17">
        <f t="shared" si="0"/>
        <v>0.67707093306485755</v>
      </c>
      <c r="D17">
        <f t="shared" si="1"/>
        <v>-8.5341538816928741E-2</v>
      </c>
      <c r="E17">
        <f t="shared" si="2"/>
        <v>7.2831782476413549E-3</v>
      </c>
    </row>
    <row r="18" spans="1:5" x14ac:dyDescent="0.25">
      <c r="A18">
        <v>1.4133614784374999</v>
      </c>
      <c r="B18">
        <v>0.51914147166161462</v>
      </c>
      <c r="C18">
        <f t="shared" si="0"/>
        <v>0.56963695653300506</v>
      </c>
      <c r="D18">
        <f t="shared" si="1"/>
        <v>-5.0495484871390439E-2</v>
      </c>
      <c r="E18">
        <f t="shared" si="2"/>
        <v>2.5497939923968208E-3</v>
      </c>
    </row>
    <row r="19" spans="1:5" x14ac:dyDescent="0.25">
      <c r="A19">
        <v>1.4817543220625</v>
      </c>
      <c r="B19">
        <v>0.40336832930875893</v>
      </c>
      <c r="C19">
        <f t="shared" si="0"/>
        <v>0.46454723936675346</v>
      </c>
      <c r="D19">
        <f t="shared" si="1"/>
        <v>-6.1178910057994529E-2</v>
      </c>
      <c r="E19">
        <f t="shared" si="2"/>
        <v>3.7428590358841839E-3</v>
      </c>
    </row>
    <row r="20" spans="1:5" x14ac:dyDescent="0.25">
      <c r="A20">
        <v>1.5501471656874999</v>
      </c>
      <c r="B20">
        <v>0.31056604853385084</v>
      </c>
      <c r="C20">
        <f t="shared" si="0"/>
        <v>0.36692728903101163</v>
      </c>
      <c r="D20">
        <f t="shared" si="1"/>
        <v>-5.6361240497160792E-2</v>
      </c>
      <c r="E20">
        <f t="shared" si="2"/>
        <v>3.1765894303787978E-3</v>
      </c>
    </row>
    <row r="21" spans="1:5" x14ac:dyDescent="0.25">
      <c r="A21">
        <v>1.6185400093125</v>
      </c>
      <c r="B21">
        <v>0.24808530504183351</v>
      </c>
      <c r="C21">
        <f t="shared" si="0"/>
        <v>0.28046413620260763</v>
      </c>
      <c r="D21">
        <f t="shared" si="1"/>
        <v>-3.2378831160774113E-2</v>
      </c>
      <c r="E21">
        <f t="shared" si="2"/>
        <v>1.0483887073379167E-3</v>
      </c>
    </row>
    <row r="22" spans="1:5" x14ac:dyDescent="0.25">
      <c r="A22">
        <v>1.6869328529374998</v>
      </c>
      <c r="B22">
        <v>0.19111756832852358</v>
      </c>
      <c r="C22">
        <f t="shared" si="0"/>
        <v>0.2072681393290817</v>
      </c>
      <c r="D22">
        <f t="shared" si="1"/>
        <v>-1.6150571000558112E-2</v>
      </c>
      <c r="E22">
        <f t="shared" si="2"/>
        <v>2.6084094364406862E-4</v>
      </c>
    </row>
    <row r="23" spans="1:5" x14ac:dyDescent="0.25">
      <c r="A23">
        <v>1.7553256965624999</v>
      </c>
      <c r="B23">
        <v>0.15712069319316121</v>
      </c>
      <c r="C23">
        <f t="shared" si="0"/>
        <v>0.14795896349238491</v>
      </c>
      <c r="D23">
        <f t="shared" si="1"/>
        <v>9.1617297007763054E-3</v>
      </c>
      <c r="E23">
        <f t="shared" si="2"/>
        <v>8.3937291110086686E-5</v>
      </c>
    </row>
    <row r="24" spans="1:5" x14ac:dyDescent="0.25">
      <c r="A24">
        <v>1.8237185401874998</v>
      </c>
      <c r="B24">
        <v>0.11393547342661983</v>
      </c>
      <c r="C24">
        <f t="shared" si="0"/>
        <v>0.1019263611785458</v>
      </c>
      <c r="D24">
        <f t="shared" si="1"/>
        <v>1.2009112248074036E-2</v>
      </c>
      <c r="E24">
        <f t="shared" si="2"/>
        <v>1.4421877698684183E-4</v>
      </c>
    </row>
    <row r="25" spans="1:5" x14ac:dyDescent="0.25">
      <c r="A25">
        <v>1.8921113838124999</v>
      </c>
      <c r="B25">
        <v>0.10750363218479453</v>
      </c>
      <c r="C25">
        <f t="shared" si="0"/>
        <v>6.7692508246561825E-2</v>
      </c>
      <c r="D25">
        <f t="shared" si="1"/>
        <v>3.9811123938232704E-2</v>
      </c>
      <c r="E25">
        <f t="shared" si="2"/>
        <v>1.584925589225325E-3</v>
      </c>
    </row>
    <row r="26" spans="1:5" x14ac:dyDescent="0.25">
      <c r="A26">
        <v>1.9605042274375</v>
      </c>
      <c r="B26">
        <v>5.6048902250192018E-2</v>
      </c>
      <c r="C26">
        <f t="shared" si="0"/>
        <v>4.3297901964183511E-2</v>
      </c>
      <c r="D26">
        <f t="shared" si="1"/>
        <v>1.2751000286008507E-2</v>
      </c>
      <c r="E26">
        <f t="shared" si="2"/>
        <v>1.6258800829378902E-4</v>
      </c>
    </row>
    <row r="27" spans="1:5" x14ac:dyDescent="0.25">
      <c r="A27">
        <v>2.0288970710625001</v>
      </c>
      <c r="B27">
        <v>5.0535895471484606E-2</v>
      </c>
      <c r="C27">
        <f t="shared" si="0"/>
        <v>2.664531680907873E-2</v>
      </c>
      <c r="D27">
        <f t="shared" si="1"/>
        <v>2.3890578662405876E-2</v>
      </c>
      <c r="E27">
        <f t="shared" si="2"/>
        <v>5.7075974882460291E-4</v>
      </c>
    </row>
    <row r="28" spans="1:5" x14ac:dyDescent="0.25">
      <c r="A28">
        <v>2.0972899146874999</v>
      </c>
      <c r="B28">
        <v>3.1240371746008664E-2</v>
      </c>
      <c r="C28">
        <f t="shared" si="0"/>
        <v>1.5759838987240513E-2</v>
      </c>
      <c r="D28">
        <f t="shared" si="1"/>
        <v>1.5480532758768151E-2</v>
      </c>
      <c r="E28">
        <f t="shared" si="2"/>
        <v>2.3964689449529385E-4</v>
      </c>
    </row>
    <row r="29" spans="1:5" x14ac:dyDescent="0.25">
      <c r="A29">
        <v>2.1656827583124998</v>
      </c>
      <c r="B29">
        <v>2.2052027114829648E-2</v>
      </c>
      <c r="C29">
        <f t="shared" si="0"/>
        <v>8.9495860122876629E-3</v>
      </c>
      <c r="D29">
        <f t="shared" si="1"/>
        <v>1.3102441102541985E-2</v>
      </c>
      <c r="E29">
        <f t="shared" si="2"/>
        <v>1.7167396284558162E-4</v>
      </c>
    </row>
    <row r="30" spans="1:5" x14ac:dyDescent="0.25">
      <c r="A30">
        <v>2.2340756019374997</v>
      </c>
      <c r="B30">
        <v>1.5620185873004332E-2</v>
      </c>
      <c r="C30">
        <f t="shared" si="0"/>
        <v>4.8743081485134012E-3</v>
      </c>
      <c r="D30">
        <f t="shared" si="1"/>
        <v>1.074587772449093E-2</v>
      </c>
      <c r="E30">
        <f t="shared" si="2"/>
        <v>1.1547388806971036E-4</v>
      </c>
    </row>
    <row r="31" spans="1:5" x14ac:dyDescent="0.25">
      <c r="A31">
        <v>2.3024684455625</v>
      </c>
      <c r="B31">
        <v>1.0107179094296922E-2</v>
      </c>
      <c r="C31">
        <f t="shared" si="0"/>
        <v>2.5434094504411344E-3</v>
      </c>
      <c r="D31">
        <f t="shared" si="1"/>
        <v>7.5637696438557878E-3</v>
      </c>
      <c r="E31">
        <f t="shared" si="2"/>
        <v>5.7210611225314309E-5</v>
      </c>
    </row>
    <row r="32" spans="1:5" x14ac:dyDescent="0.25">
      <c r="A32">
        <v>2.3708612891875003</v>
      </c>
      <c r="B32">
        <v>4.5941723155895099E-3</v>
      </c>
      <c r="C32">
        <f t="shared" si="0"/>
        <v>1.2701166953881103E-3</v>
      </c>
      <c r="D32">
        <f t="shared" si="1"/>
        <v>3.3240556202013996E-3</v>
      </c>
      <c r="E32">
        <f t="shared" si="2"/>
        <v>1.1049345766192512E-5</v>
      </c>
    </row>
    <row r="33" spans="1:5" x14ac:dyDescent="0.25">
      <c r="A33">
        <v>2.4392541328124997</v>
      </c>
      <c r="B33">
        <v>9.1883446311790188E-4</v>
      </c>
      <c r="C33">
        <f t="shared" si="0"/>
        <v>6.0634898839909005E-4</v>
      </c>
      <c r="D33">
        <f t="shared" si="1"/>
        <v>3.1248547471881183E-4</v>
      </c>
      <c r="E33">
        <f t="shared" si="2"/>
        <v>9.7647171910241192E-8</v>
      </c>
    </row>
    <row r="34" spans="1:5" x14ac:dyDescent="0.25">
      <c r="A34">
        <v>2.5076469764375</v>
      </c>
      <c r="B34">
        <v>0</v>
      </c>
      <c r="C34">
        <f t="shared" si="0"/>
        <v>2.7642562375740235E-4</v>
      </c>
      <c r="D34">
        <f t="shared" si="1"/>
        <v>-2.7642562375740235E-4</v>
      </c>
      <c r="E34">
        <f t="shared" si="2"/>
        <v>7.6411125469668955E-8</v>
      </c>
    </row>
    <row r="35" spans="1:5" x14ac:dyDescent="0.25">
      <c r="A35">
        <v>2.5760398200624994</v>
      </c>
      <c r="B35">
        <v>0</v>
      </c>
      <c r="C35">
        <f t="shared" si="0"/>
        <v>1.2020792460148676E-4</v>
      </c>
      <c r="D35">
        <f t="shared" si="1"/>
        <v>-1.2020792460148676E-4</v>
      </c>
      <c r="E35">
        <f t="shared" si="2"/>
        <v>1.4449945136996726E-8</v>
      </c>
    </row>
    <row r="36" spans="1:5" x14ac:dyDescent="0.25">
      <c r="A36">
        <v>2.6444326636874997</v>
      </c>
      <c r="B36">
        <v>0</v>
      </c>
      <c r="C36">
        <f t="shared" si="0"/>
        <v>4.9808968786660141E-5</v>
      </c>
      <c r="D36">
        <f t="shared" si="1"/>
        <v>-4.9808968786660141E-5</v>
      </c>
      <c r="E36">
        <f t="shared" si="2"/>
        <v>2.4809333715904842E-9</v>
      </c>
    </row>
    <row r="37" spans="1:5" x14ac:dyDescent="0.25">
      <c r="A37">
        <v>2.7128255073125001</v>
      </c>
      <c r="B37">
        <v>0</v>
      </c>
      <c r="C37">
        <f t="shared" si="0"/>
        <v>1.9643566812482548E-5</v>
      </c>
      <c r="D37">
        <f t="shared" si="1"/>
        <v>-1.9643566812482548E-5</v>
      </c>
      <c r="E37">
        <f t="shared" si="2"/>
        <v>3.8586971711646578E-10</v>
      </c>
    </row>
    <row r="38" spans="1:5" x14ac:dyDescent="0.25">
      <c r="A38">
        <v>2.7812183509375004</v>
      </c>
      <c r="B38">
        <v>0</v>
      </c>
      <c r="C38">
        <f t="shared" si="0"/>
        <v>7.3652692131337512E-6</v>
      </c>
      <c r="D38">
        <f t="shared" si="1"/>
        <v>-7.3652692131337512E-6</v>
      </c>
      <c r="E38">
        <f t="shared" si="2"/>
        <v>5.4247190581935869E-11</v>
      </c>
    </row>
    <row r="39" spans="1:5" x14ac:dyDescent="0.25">
      <c r="A39">
        <v>2.8496111945624998</v>
      </c>
      <c r="B39">
        <v>0</v>
      </c>
      <c r="C39">
        <f t="shared" si="0"/>
        <v>2.6225764353435577E-6</v>
      </c>
      <c r="D39">
        <f t="shared" si="1"/>
        <v>-2.6225764353435577E-6</v>
      </c>
      <c r="E39">
        <f t="shared" si="2"/>
        <v>6.8779071592193214E-12</v>
      </c>
    </row>
    <row r="40" spans="1:5" x14ac:dyDescent="0.25">
      <c r="A40">
        <v>2.9180040381874996</v>
      </c>
      <c r="B40">
        <v>9.1883446311790188E-4</v>
      </c>
      <c r="C40">
        <f t="shared" si="0"/>
        <v>8.8583640289847926E-7</v>
      </c>
      <c r="D40">
        <f t="shared" si="1"/>
        <v>9.1794862671500338E-4</v>
      </c>
      <c r="E40">
        <f t="shared" si="2"/>
        <v>8.4262968128796058E-7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51FF-98F0-4197-B4C3-054694483B5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0.31213542426249996</v>
      </c>
      <c r="B1">
        <v>2.5041588963363542E-2</v>
      </c>
      <c r="C1">
        <f>$H$3*(1+$H$1)*(A1^($H$1))*EXP(-$H$3*(A1^(1+$H$1)))</f>
        <v>0.14472326502248284</v>
      </c>
      <c r="D1">
        <f>B1-C1</f>
        <v>-0.11968167605911929</v>
      </c>
      <c r="E1">
        <f>D1^2</f>
        <v>1.4323703584319968E-2</v>
      </c>
      <c r="G1" t="s">
        <v>0</v>
      </c>
      <c r="H1">
        <v>2.3832091203144263</v>
      </c>
    </row>
    <row r="2" spans="1:8" x14ac:dyDescent="0.25">
      <c r="A2">
        <v>0.37487275878749993</v>
      </c>
      <c r="B2">
        <v>0.11218631855586866</v>
      </c>
      <c r="C2">
        <f t="shared" ref="C2:C40" si="0">$H$3*(1+$H$1)*(A2^($H$1))*EXP(-$H$3*(A2^(1+$H$1)))</f>
        <v>0.22133809532752627</v>
      </c>
      <c r="D2">
        <f t="shared" ref="D2:D40" si="1">B2-C2</f>
        <v>-0.1091517767716576</v>
      </c>
      <c r="E2">
        <f t="shared" ref="E2:E40" si="2">D2^2</f>
        <v>1.1914110372409773E-2</v>
      </c>
    </row>
    <row r="3" spans="1:8" x14ac:dyDescent="0.25">
      <c r="A3">
        <v>0.43761009331249995</v>
      </c>
      <c r="B3">
        <v>0.24240258116535909</v>
      </c>
      <c r="C3">
        <f t="shared" si="0"/>
        <v>0.31455878414504918</v>
      </c>
      <c r="D3">
        <f t="shared" si="1"/>
        <v>-7.2156202979690082E-2</v>
      </c>
      <c r="E3">
        <f t="shared" si="2"/>
        <v>5.2065176284462359E-3</v>
      </c>
      <c r="G3" t="s">
        <v>1</v>
      </c>
      <c r="H3">
        <f>(_xlfn.GAMMA((2+$H$1)/(1+$H$1)))^(1+$H$1)</f>
        <v>0.69530209738591775</v>
      </c>
    </row>
    <row r="4" spans="1:8" x14ac:dyDescent="0.25">
      <c r="A4">
        <v>0.50034742783749997</v>
      </c>
      <c r="B4">
        <v>0.39966375985528213</v>
      </c>
      <c r="C4">
        <f t="shared" si="0"/>
        <v>0.42246915182407674</v>
      </c>
      <c r="D4">
        <f t="shared" si="1"/>
        <v>-2.2805391968794608E-2</v>
      </c>
      <c r="E4">
        <f t="shared" si="2"/>
        <v>5.2008590285036163E-4</v>
      </c>
    </row>
    <row r="5" spans="1:8" x14ac:dyDescent="0.25">
      <c r="A5">
        <v>0.56308476236249994</v>
      </c>
      <c r="B5">
        <v>0.60400312579632864</v>
      </c>
      <c r="C5">
        <f t="shared" si="0"/>
        <v>0.54175946373241557</v>
      </c>
      <c r="D5">
        <f t="shared" si="1"/>
        <v>6.2243662063913074E-2</v>
      </c>
      <c r="E5">
        <f t="shared" si="2"/>
        <v>3.8742734671266118E-3</v>
      </c>
      <c r="G5" t="s">
        <v>2</v>
      </c>
      <c r="H5">
        <f>SUM(E1:E40)</f>
        <v>0.28241582784696839</v>
      </c>
    </row>
    <row r="6" spans="1:8" x14ac:dyDescent="0.25">
      <c r="A6">
        <v>0.6258220968874999</v>
      </c>
      <c r="B6">
        <v>0.81635580020565146</v>
      </c>
      <c r="C6">
        <f t="shared" si="0"/>
        <v>0.66766208826254048</v>
      </c>
      <c r="D6">
        <f t="shared" si="1"/>
        <v>0.14869371194311098</v>
      </c>
      <c r="E6">
        <f t="shared" si="2"/>
        <v>2.2109819971420867E-2</v>
      </c>
    </row>
    <row r="7" spans="1:8" x14ac:dyDescent="0.25">
      <c r="A7">
        <v>0.68855943141249987</v>
      </c>
      <c r="B7">
        <v>0.98563694159798898</v>
      </c>
      <c r="C7">
        <f t="shared" si="0"/>
        <v>0.79403430784278572</v>
      </c>
      <c r="D7">
        <f t="shared" si="1"/>
        <v>0.19160263375520326</v>
      </c>
      <c r="E7">
        <f t="shared" si="2"/>
        <v>3.6711569261930553E-2</v>
      </c>
    </row>
    <row r="8" spans="1:8" x14ac:dyDescent="0.25">
      <c r="A8">
        <v>0.75129676593749983</v>
      </c>
      <c r="B8">
        <v>1.081796643217305</v>
      </c>
      <c r="C8">
        <f t="shared" si="0"/>
        <v>0.91363382123452708</v>
      </c>
      <c r="D8">
        <f t="shared" si="1"/>
        <v>0.16816282198277788</v>
      </c>
      <c r="E8">
        <f t="shared" si="2"/>
        <v>2.8278734697211441E-2</v>
      </c>
    </row>
    <row r="9" spans="1:8" x14ac:dyDescent="0.25">
      <c r="A9">
        <v>0.81403410046250002</v>
      </c>
      <c r="B9">
        <v>1.2370544947901589</v>
      </c>
      <c r="C9">
        <f t="shared" si="0"/>
        <v>1.0186103173199736</v>
      </c>
      <c r="D9">
        <f t="shared" si="1"/>
        <v>0.2184441774701853</v>
      </c>
      <c r="E9">
        <f t="shared" si="2"/>
        <v>4.7717858670625807E-2</v>
      </c>
    </row>
    <row r="10" spans="1:8" x14ac:dyDescent="0.25">
      <c r="A10">
        <v>0.87677143498749999</v>
      </c>
      <c r="B10">
        <v>1.2410611490242971</v>
      </c>
      <c r="C10">
        <f t="shared" si="0"/>
        <v>1.1012010316573897</v>
      </c>
      <c r="D10">
        <f t="shared" si="1"/>
        <v>0.1398601173669074</v>
      </c>
      <c r="E10">
        <f t="shared" si="2"/>
        <v>1.9560852429885114E-2</v>
      </c>
    </row>
    <row r="11" spans="1:8" x14ac:dyDescent="0.25">
      <c r="A11">
        <v>0.93950876951249995</v>
      </c>
      <c r="B11">
        <v>1.250076121051108</v>
      </c>
      <c r="C11">
        <f t="shared" si="0"/>
        <v>1.1545724301588915</v>
      </c>
      <c r="D11">
        <f t="shared" si="1"/>
        <v>9.5503690892216442E-2</v>
      </c>
      <c r="E11">
        <f t="shared" si="2"/>
        <v>9.120954974036026E-3</v>
      </c>
    </row>
    <row r="12" spans="1:8" x14ac:dyDescent="0.25">
      <c r="A12">
        <v>1.0022461040374999</v>
      </c>
      <c r="B12">
        <v>1.2160195600609336</v>
      </c>
      <c r="C12">
        <f t="shared" si="0"/>
        <v>1.1737020501372686</v>
      </c>
      <c r="D12">
        <f t="shared" si="1"/>
        <v>4.2317509923665009E-2</v>
      </c>
      <c r="E12">
        <f t="shared" si="2"/>
        <v>1.7907716461394866E-3</v>
      </c>
    </row>
    <row r="13" spans="1:8" x14ac:dyDescent="0.25">
      <c r="A13">
        <v>1.0649834385624999</v>
      </c>
      <c r="B13">
        <v>1.1018299143879959</v>
      </c>
      <c r="C13">
        <f t="shared" si="0"/>
        <v>1.156156401866028</v>
      </c>
      <c r="D13">
        <f t="shared" si="1"/>
        <v>-5.4326487478032037E-2</v>
      </c>
      <c r="E13">
        <f t="shared" si="2"/>
        <v>2.9513672417007717E-3</v>
      </c>
    </row>
    <row r="14" spans="1:8" x14ac:dyDescent="0.25">
      <c r="A14">
        <v>1.1277207730874999</v>
      </c>
      <c r="B14">
        <v>1.0076735398857488</v>
      </c>
      <c r="C14">
        <f t="shared" si="0"/>
        <v>1.1026069109521854</v>
      </c>
      <c r="D14">
        <f t="shared" si="1"/>
        <v>-9.4933371066436623E-2</v>
      </c>
      <c r="E14">
        <f t="shared" si="2"/>
        <v>9.0123449420377467E-3</v>
      </c>
    </row>
    <row r="15" spans="1:8" x14ac:dyDescent="0.25">
      <c r="A15">
        <v>1.1904581076124998</v>
      </c>
      <c r="B15">
        <v>0.87044563236651673</v>
      </c>
      <c r="C15">
        <f t="shared" si="0"/>
        <v>1.016947834815626</v>
      </c>
      <c r="D15">
        <f t="shared" si="1"/>
        <v>-0.14650220244910928</v>
      </c>
      <c r="E15">
        <f t="shared" si="2"/>
        <v>2.14628953224398E-2</v>
      </c>
    </row>
    <row r="16" spans="1:8" x14ac:dyDescent="0.25">
      <c r="A16">
        <v>1.2531954421374998</v>
      </c>
      <c r="B16">
        <v>0.76927761295452801</v>
      </c>
      <c r="C16">
        <f t="shared" si="0"/>
        <v>0.90594171077298991</v>
      </c>
      <c r="D16">
        <f t="shared" si="1"/>
        <v>-0.13666409781846189</v>
      </c>
      <c r="E16">
        <f t="shared" si="2"/>
        <v>1.867707563253412E-2</v>
      </c>
    </row>
    <row r="17" spans="1:5" x14ac:dyDescent="0.25">
      <c r="A17">
        <v>1.3159327766624997</v>
      </c>
      <c r="B17">
        <v>0.68714120115469557</v>
      </c>
      <c r="C17">
        <f t="shared" si="0"/>
        <v>0.7784108982580682</v>
      </c>
      <c r="D17">
        <f t="shared" si="1"/>
        <v>-9.1269697103372627E-2</v>
      </c>
      <c r="E17">
        <f t="shared" si="2"/>
        <v>8.3301576093413859E-3</v>
      </c>
    </row>
    <row r="18" spans="1:5" x14ac:dyDescent="0.25">
      <c r="A18">
        <v>1.3786701111874999</v>
      </c>
      <c r="B18">
        <v>0.5739532190402924</v>
      </c>
      <c r="C18">
        <f t="shared" si="0"/>
        <v>0.64409711630666255</v>
      </c>
      <c r="D18">
        <f t="shared" si="1"/>
        <v>-7.0143897266370159E-2</v>
      </c>
      <c r="E18">
        <f t="shared" si="2"/>
        <v>4.9201663237150913E-3</v>
      </c>
    </row>
    <row r="19" spans="1:5" x14ac:dyDescent="0.25">
      <c r="A19">
        <v>1.4414074457124999</v>
      </c>
      <c r="B19">
        <v>0.43572364796252561</v>
      </c>
      <c r="C19">
        <f t="shared" si="0"/>
        <v>0.51239526425444082</v>
      </c>
      <c r="D19">
        <f t="shared" si="1"/>
        <v>-7.6671616291915212E-2</v>
      </c>
      <c r="E19">
        <f t="shared" si="2"/>
        <v>5.878536744814678E-3</v>
      </c>
    </row>
    <row r="20" spans="1:5" x14ac:dyDescent="0.25">
      <c r="A20">
        <v>1.5041447802374999</v>
      </c>
      <c r="B20">
        <v>0.31752734805544969</v>
      </c>
      <c r="C20">
        <f t="shared" si="0"/>
        <v>0.39120505207904482</v>
      </c>
      <c r="D20">
        <f t="shared" si="1"/>
        <v>-7.3677704023595136E-2</v>
      </c>
      <c r="E20">
        <f t="shared" si="2"/>
        <v>5.4284040701884874E-3</v>
      </c>
    </row>
    <row r="21" spans="1:5" x14ac:dyDescent="0.25">
      <c r="A21">
        <v>1.5668821147625001</v>
      </c>
      <c r="B21">
        <v>0.25842919810191173</v>
      </c>
      <c r="C21">
        <f t="shared" si="0"/>
        <v>0.28611807652346527</v>
      </c>
      <c r="D21">
        <f t="shared" si="1"/>
        <v>-2.7688878421553542E-2</v>
      </c>
      <c r="E21">
        <f t="shared" si="2"/>
        <v>7.666739882435734E-4</v>
      </c>
    </row>
    <row r="22" spans="1:5" x14ac:dyDescent="0.25">
      <c r="A22">
        <v>1.6296194492875</v>
      </c>
      <c r="B22">
        <v>0.21435600152639192</v>
      </c>
      <c r="C22">
        <f t="shared" si="0"/>
        <v>0.20007327493348889</v>
      </c>
      <c r="D22">
        <f t="shared" si="1"/>
        <v>1.4282726592903028E-2</v>
      </c>
      <c r="E22">
        <f t="shared" si="2"/>
        <v>2.0399627892761933E-4</v>
      </c>
    </row>
    <row r="23" spans="1:5" x14ac:dyDescent="0.25">
      <c r="A23">
        <v>1.6923567838125</v>
      </c>
      <c r="B23">
        <v>0.16126783292406122</v>
      </c>
      <c r="C23">
        <f t="shared" si="0"/>
        <v>0.13349532241793607</v>
      </c>
      <c r="D23">
        <f t="shared" si="1"/>
        <v>2.7772510506125142E-2</v>
      </c>
      <c r="E23">
        <f t="shared" si="2"/>
        <v>7.7131233981283143E-4</v>
      </c>
    </row>
    <row r="24" spans="1:5" x14ac:dyDescent="0.25">
      <c r="A24">
        <v>1.7550941183375</v>
      </c>
      <c r="B24">
        <v>0.11519130923147229</v>
      </c>
      <c r="C24">
        <f t="shared" si="0"/>
        <v>8.4816028860864298E-2</v>
      </c>
      <c r="D24">
        <f t="shared" si="1"/>
        <v>3.0375280370607993E-2</v>
      </c>
      <c r="E24">
        <f t="shared" si="2"/>
        <v>9.2265765759304329E-4</v>
      </c>
    </row>
    <row r="25" spans="1:5" x14ac:dyDescent="0.25">
      <c r="A25">
        <v>1.8178314528624999</v>
      </c>
      <c r="B25">
        <v>7.1118112655952456E-2</v>
      </c>
      <c r="C25">
        <f t="shared" si="0"/>
        <v>5.1203569352100888E-2</v>
      </c>
      <c r="D25">
        <f t="shared" si="1"/>
        <v>1.9914543303851569E-2</v>
      </c>
      <c r="E25">
        <f t="shared" si="2"/>
        <v>3.9658903500097936E-4</v>
      </c>
    </row>
    <row r="26" spans="1:5" x14ac:dyDescent="0.25">
      <c r="A26">
        <v>1.8805687873874999</v>
      </c>
      <c r="B26">
        <v>5.5091495719399794E-2</v>
      </c>
      <c r="C26">
        <f t="shared" si="0"/>
        <v>2.9307861689750497E-2</v>
      </c>
      <c r="D26">
        <f t="shared" si="1"/>
        <v>2.5783634029649297E-2</v>
      </c>
      <c r="E26">
        <f t="shared" si="2"/>
        <v>6.6479578377488921E-4</v>
      </c>
    </row>
    <row r="27" spans="1:5" x14ac:dyDescent="0.25">
      <c r="A27">
        <v>1.9433061219124999</v>
      </c>
      <c r="B27">
        <v>3.5058224548708959E-2</v>
      </c>
      <c r="C27">
        <f t="shared" si="0"/>
        <v>1.5869313097721362E-2</v>
      </c>
      <c r="D27">
        <f t="shared" si="1"/>
        <v>1.9188911450987597E-2</v>
      </c>
      <c r="E27">
        <f t="shared" si="2"/>
        <v>3.6821432267384295E-4</v>
      </c>
    </row>
    <row r="28" spans="1:5" x14ac:dyDescent="0.25">
      <c r="A28">
        <v>2.0060434564374998</v>
      </c>
      <c r="B28">
        <v>2.8046579638967166E-2</v>
      </c>
      <c r="C28">
        <f t="shared" si="0"/>
        <v>8.1101607007803903E-3</v>
      </c>
      <c r="D28">
        <f t="shared" si="1"/>
        <v>1.9936418938186776E-2</v>
      </c>
      <c r="E28">
        <f t="shared" si="2"/>
        <v>3.9746080007889233E-4</v>
      </c>
    </row>
    <row r="29" spans="1:5" x14ac:dyDescent="0.25">
      <c r="A29">
        <v>2.0687807909624998</v>
      </c>
      <c r="B29">
        <v>1.3021626260949042E-2</v>
      </c>
      <c r="C29">
        <f t="shared" si="0"/>
        <v>3.9028810988916756E-3</v>
      </c>
      <c r="D29">
        <f t="shared" si="1"/>
        <v>9.1187451620573651E-3</v>
      </c>
      <c r="E29">
        <f t="shared" si="2"/>
        <v>8.3151513330544606E-5</v>
      </c>
    </row>
    <row r="30" spans="1:5" x14ac:dyDescent="0.25">
      <c r="A30">
        <v>2.1315181254874997</v>
      </c>
      <c r="B30">
        <v>8.0133084682763329E-3</v>
      </c>
      <c r="C30">
        <f t="shared" si="0"/>
        <v>1.7643873293641137E-3</v>
      </c>
      <c r="D30">
        <f t="shared" si="1"/>
        <v>6.2489211389122196E-3</v>
      </c>
      <c r="E30">
        <f t="shared" si="2"/>
        <v>3.9049015400343989E-5</v>
      </c>
    </row>
    <row r="31" spans="1:5" x14ac:dyDescent="0.25">
      <c r="A31">
        <v>2.1942554600125002</v>
      </c>
      <c r="B31">
        <v>4.0066542341381664E-3</v>
      </c>
      <c r="C31">
        <f t="shared" si="0"/>
        <v>7.4749013950091924E-4</v>
      </c>
      <c r="D31">
        <f t="shared" si="1"/>
        <v>3.259164094637247E-3</v>
      </c>
      <c r="E31">
        <f t="shared" si="2"/>
        <v>1.0622150595772626E-5</v>
      </c>
    </row>
    <row r="32" spans="1:5" x14ac:dyDescent="0.25">
      <c r="A32">
        <v>2.2569927945375001</v>
      </c>
      <c r="B32">
        <v>0</v>
      </c>
      <c r="C32">
        <f t="shared" si="0"/>
        <v>2.9604170853118168E-4</v>
      </c>
      <c r="D32">
        <f t="shared" si="1"/>
        <v>-2.9604170853118168E-4</v>
      </c>
      <c r="E32">
        <f t="shared" si="2"/>
        <v>8.7640693190061126E-8</v>
      </c>
    </row>
    <row r="33" spans="1:5" x14ac:dyDescent="0.25">
      <c r="A33">
        <v>2.3197301290624996</v>
      </c>
      <c r="B33">
        <v>0</v>
      </c>
      <c r="C33">
        <f t="shared" si="0"/>
        <v>1.0933336725754801E-4</v>
      </c>
      <c r="D33">
        <f t="shared" si="1"/>
        <v>-1.0933336725754801E-4</v>
      </c>
      <c r="E33">
        <f t="shared" si="2"/>
        <v>1.1953785195873873E-8</v>
      </c>
    </row>
    <row r="34" spans="1:5" x14ac:dyDescent="0.25">
      <c r="A34">
        <v>2.3824674635875001</v>
      </c>
      <c r="B34">
        <v>0</v>
      </c>
      <c r="C34">
        <f t="shared" si="0"/>
        <v>3.755827222374218E-5</v>
      </c>
      <c r="D34">
        <f t="shared" si="1"/>
        <v>-3.755827222374218E-5</v>
      </c>
      <c r="E34">
        <f t="shared" si="2"/>
        <v>1.4106238124327233E-9</v>
      </c>
    </row>
    <row r="35" spans="1:5" x14ac:dyDescent="0.25">
      <c r="A35">
        <v>2.4452047981125</v>
      </c>
      <c r="B35">
        <v>0</v>
      </c>
      <c r="C35">
        <f t="shared" si="0"/>
        <v>1.1970078233567862E-5</v>
      </c>
      <c r="D35">
        <f t="shared" si="1"/>
        <v>-1.1970078233567862E-5</v>
      </c>
      <c r="E35">
        <f t="shared" si="2"/>
        <v>1.4328277291773512E-10</v>
      </c>
    </row>
    <row r="36" spans="1:5" x14ac:dyDescent="0.25">
      <c r="A36">
        <v>2.5079421326375</v>
      </c>
      <c r="B36">
        <v>0</v>
      </c>
      <c r="C36">
        <f t="shared" si="0"/>
        <v>3.5301862404986616E-6</v>
      </c>
      <c r="D36">
        <f t="shared" si="1"/>
        <v>-3.5301862404986616E-6</v>
      </c>
      <c r="E36">
        <f t="shared" si="2"/>
        <v>1.2462214892606074E-11</v>
      </c>
    </row>
    <row r="37" spans="1:5" x14ac:dyDescent="0.25">
      <c r="A37">
        <v>2.5706794671625</v>
      </c>
      <c r="B37">
        <v>0</v>
      </c>
      <c r="C37">
        <f t="shared" si="0"/>
        <v>9.6086864137401359E-7</v>
      </c>
      <c r="D37">
        <f t="shared" si="1"/>
        <v>-9.6086864137401359E-7</v>
      </c>
      <c r="E37">
        <f t="shared" si="2"/>
        <v>9.2326854597594276E-13</v>
      </c>
    </row>
    <row r="38" spans="1:5" x14ac:dyDescent="0.25">
      <c r="A38">
        <v>2.6334168016874999</v>
      </c>
      <c r="B38">
        <v>0</v>
      </c>
      <c r="C38">
        <f t="shared" si="0"/>
        <v>2.407348391635044E-7</v>
      </c>
      <c r="D38">
        <f t="shared" si="1"/>
        <v>-2.407348391635044E-7</v>
      </c>
      <c r="E38">
        <f t="shared" si="2"/>
        <v>5.7953262787078333E-14</v>
      </c>
    </row>
    <row r="39" spans="1:5" x14ac:dyDescent="0.25">
      <c r="A39">
        <v>2.6961541362124999</v>
      </c>
      <c r="B39">
        <v>0</v>
      </c>
      <c r="C39">
        <f t="shared" si="0"/>
        <v>5.5367099093815097E-8</v>
      </c>
      <c r="D39">
        <f t="shared" si="1"/>
        <v>-5.5367099093815097E-8</v>
      </c>
      <c r="E39">
        <f t="shared" si="2"/>
        <v>3.0655156620643407E-15</v>
      </c>
    </row>
    <row r="40" spans="1:5" x14ac:dyDescent="0.25">
      <c r="A40">
        <v>2.7588914707374999</v>
      </c>
      <c r="B40">
        <v>1.0016635585345416E-3</v>
      </c>
      <c r="C40">
        <f t="shared" si="0"/>
        <v>1.1657860587024184E-8</v>
      </c>
      <c r="D40">
        <f t="shared" si="1"/>
        <v>1.0016519006739546E-3</v>
      </c>
      <c r="E40">
        <f t="shared" si="2"/>
        <v>1.0033065301237458E-6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89F6-FD84-4F8A-9F2A-19FBF724C81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0.38474859192499999</v>
      </c>
      <c r="B1">
        <v>1.6688772503075433E-2</v>
      </c>
      <c r="C1">
        <f>$H$3*(1+$H$1)*(A1^($H$1))*EXP(-$H$3*(A1^(1+$H$1)))</f>
        <v>0.13757673289700562</v>
      </c>
      <c r="D1">
        <f>B1-C1</f>
        <v>-0.12088796039393018</v>
      </c>
      <c r="E1">
        <f>D1^2</f>
        <v>1.4613898968204432E-2</v>
      </c>
      <c r="G1" t="s">
        <v>0</v>
      </c>
      <c r="H1">
        <v>3.1311788937500098</v>
      </c>
    </row>
    <row r="2" spans="1:8" x14ac:dyDescent="0.25">
      <c r="A2">
        <v>0.44123120777499991</v>
      </c>
      <c r="B2">
        <v>7.5655768680608637E-2</v>
      </c>
      <c r="C2">
        <f t="shared" ref="C2:C40" si="0">$H$3*(1+$H$1)*(A2^($H$1))*EXP(-$H$3*(A2^(1+$H$1)))</f>
        <v>0.20918294373802437</v>
      </c>
      <c r="D2">
        <f t="shared" ref="D2:D40" si="1">B2-C2</f>
        <v>-0.13352717505741574</v>
      </c>
      <c r="E2">
        <f t="shared" ref="E2:E40" si="2">D2^2</f>
        <v>1.7829506478813748E-2</v>
      </c>
    </row>
    <row r="3" spans="1:8" x14ac:dyDescent="0.25">
      <c r="A3">
        <v>0.49771382362499994</v>
      </c>
      <c r="B3">
        <v>0.19470234586921339</v>
      </c>
      <c r="C3">
        <f t="shared" si="0"/>
        <v>0.3005577346361511</v>
      </c>
      <c r="D3">
        <f t="shared" si="1"/>
        <v>-0.1058553887669377</v>
      </c>
      <c r="E3">
        <f t="shared" si="2"/>
        <v>1.1205363330999521E-2</v>
      </c>
      <c r="G3" t="s">
        <v>1</v>
      </c>
      <c r="H3">
        <f>(_xlfn.GAMMA((2+$H$1)/(1+$H$1)))^(1+$H$1)</f>
        <v>0.6714182937228822</v>
      </c>
    </row>
    <row r="4" spans="1:8" x14ac:dyDescent="0.25">
      <c r="A4">
        <v>0.55419643947499997</v>
      </c>
      <c r="B4">
        <v>0.36381524056704445</v>
      </c>
      <c r="C4">
        <f t="shared" si="0"/>
        <v>0.41207427184549539</v>
      </c>
      <c r="D4">
        <f t="shared" si="1"/>
        <v>-4.8259031278450937E-2</v>
      </c>
      <c r="E4">
        <f t="shared" si="2"/>
        <v>2.3289340999345059E-3</v>
      </c>
    </row>
    <row r="5" spans="1:8" x14ac:dyDescent="0.25">
      <c r="A5">
        <v>0.610679055325</v>
      </c>
      <c r="B5">
        <v>0.60079581011071559</v>
      </c>
      <c r="C5">
        <f t="shared" si="0"/>
        <v>0.54249580211167003</v>
      </c>
      <c r="D5">
        <f t="shared" si="1"/>
        <v>5.8300007999045556E-2</v>
      </c>
      <c r="E5">
        <f t="shared" si="2"/>
        <v>3.3988909326887759E-3</v>
      </c>
      <c r="G5" t="s">
        <v>2</v>
      </c>
      <c r="H5">
        <f>SUM(E1:E40)</f>
        <v>0.48287420300317779</v>
      </c>
    </row>
    <row r="6" spans="1:8" x14ac:dyDescent="0.25">
      <c r="A6">
        <v>0.66716167117499992</v>
      </c>
      <c r="B6">
        <v>0.80996175881592769</v>
      </c>
      <c r="C6">
        <f t="shared" si="0"/>
        <v>0.68852610204992515</v>
      </c>
      <c r="D6">
        <f t="shared" si="1"/>
        <v>0.12143565676600254</v>
      </c>
      <c r="E6">
        <f t="shared" si="2"/>
        <v>1.4746618734190378E-2</v>
      </c>
    </row>
    <row r="7" spans="1:8" x14ac:dyDescent="0.25">
      <c r="A7">
        <v>0.72364428702499994</v>
      </c>
      <c r="B7">
        <v>1.0647436856962127</v>
      </c>
      <c r="C7">
        <f t="shared" si="0"/>
        <v>0.84445419090904073</v>
      </c>
      <c r="D7">
        <f t="shared" si="1"/>
        <v>0.22028949478717197</v>
      </c>
      <c r="E7">
        <f t="shared" si="2"/>
        <v>4.8527461513587465E-2</v>
      </c>
    </row>
    <row r="8" spans="1:8" x14ac:dyDescent="0.25">
      <c r="A8">
        <v>0.78012690287499997</v>
      </c>
      <c r="B8">
        <v>1.2605586163989644</v>
      </c>
      <c r="C8">
        <f t="shared" si="0"/>
        <v>1.0020163304308987</v>
      </c>
      <c r="D8">
        <f t="shared" si="1"/>
        <v>0.25854228596806572</v>
      </c>
      <c r="E8">
        <f t="shared" si="2"/>
        <v>6.6844113633593077E-2</v>
      </c>
    </row>
    <row r="9" spans="1:8" x14ac:dyDescent="0.25">
      <c r="A9">
        <v>0.836609518725</v>
      </c>
      <c r="B9">
        <v>1.4207708324284885</v>
      </c>
      <c r="C9">
        <f t="shared" si="0"/>
        <v>1.1506151394905668</v>
      </c>
      <c r="D9">
        <f t="shared" si="1"/>
        <v>0.27015569293792163</v>
      </c>
      <c r="E9">
        <f t="shared" si="2"/>
        <v>7.2984098426768604E-2</v>
      </c>
    </row>
    <row r="10" spans="1:8" x14ac:dyDescent="0.25">
      <c r="A10">
        <v>0.89309213457499992</v>
      </c>
      <c r="B10">
        <v>1.5331419006158631</v>
      </c>
      <c r="C10">
        <f t="shared" si="0"/>
        <v>1.2780202973067569</v>
      </c>
      <c r="D10">
        <f t="shared" si="1"/>
        <v>0.25512160330910616</v>
      </c>
      <c r="E10">
        <f t="shared" si="2"/>
        <v>6.5087032475008924E-2</v>
      </c>
    </row>
    <row r="11" spans="1:8" x14ac:dyDescent="0.25">
      <c r="A11">
        <v>0.94957475042500006</v>
      </c>
      <c r="B11">
        <v>1.4841881679401752</v>
      </c>
      <c r="C11">
        <f t="shared" si="0"/>
        <v>1.3716113619920018</v>
      </c>
      <c r="D11">
        <f t="shared" si="1"/>
        <v>0.11257680594817332</v>
      </c>
      <c r="E11">
        <f t="shared" si="2"/>
        <v>1.2673537237492672E-2</v>
      </c>
    </row>
    <row r="12" spans="1:8" x14ac:dyDescent="0.25">
      <c r="A12">
        <v>1.0060573662750001</v>
      </c>
      <c r="B12">
        <v>1.4430225290992558</v>
      </c>
      <c r="C12">
        <f t="shared" si="0"/>
        <v>1.4201030209883594</v>
      </c>
      <c r="D12">
        <f t="shared" si="1"/>
        <v>2.2919508110896381E-2</v>
      </c>
      <c r="E12">
        <f t="shared" si="2"/>
        <v>5.2530385204544502E-4</v>
      </c>
    </row>
    <row r="13" spans="1:8" x14ac:dyDescent="0.25">
      <c r="A13">
        <v>1.0625399821250001</v>
      </c>
      <c r="B13">
        <v>1.3673667604186472</v>
      </c>
      <c r="C13">
        <f t="shared" si="0"/>
        <v>1.4155284743334964</v>
      </c>
      <c r="D13">
        <f t="shared" si="1"/>
        <v>-4.8161713914849136E-2</v>
      </c>
      <c r="E13">
        <f t="shared" si="2"/>
        <v>2.3195506872157727E-3</v>
      </c>
    </row>
    <row r="14" spans="1:8" x14ac:dyDescent="0.25">
      <c r="A14">
        <v>1.1190225979749999</v>
      </c>
      <c r="B14">
        <v>1.1871280173854324</v>
      </c>
      <c r="C14">
        <f t="shared" si="0"/>
        <v>1.3550874999369604</v>
      </c>
      <c r="D14">
        <f t="shared" si="1"/>
        <v>-0.16795948255152804</v>
      </c>
      <c r="E14">
        <f t="shared" si="2"/>
        <v>2.8210387778977053E-2</v>
      </c>
    </row>
    <row r="15" spans="1:8" x14ac:dyDescent="0.25">
      <c r="A15">
        <v>1.1755052138249997</v>
      </c>
      <c r="B15">
        <v>1.0591807615285209</v>
      </c>
      <c r="C15">
        <f t="shared" si="0"/>
        <v>1.2423586122851364</v>
      </c>
      <c r="D15">
        <f t="shared" si="1"/>
        <v>-0.18317785075661552</v>
      </c>
      <c r="E15">
        <f t="shared" si="2"/>
        <v>3.3554125007812907E-2</v>
      </c>
    </row>
    <row r="16" spans="1:8" x14ac:dyDescent="0.25">
      <c r="A16">
        <v>1.231987829675</v>
      </c>
      <c r="B16">
        <v>0.91231956350145704</v>
      </c>
      <c r="C16">
        <f t="shared" si="0"/>
        <v>1.0874044869454795</v>
      </c>
      <c r="D16">
        <f t="shared" si="1"/>
        <v>-0.17508492344402249</v>
      </c>
      <c r="E16">
        <f t="shared" si="2"/>
        <v>3.0654730417399217E-2</v>
      </c>
    </row>
    <row r="17" spans="1:5" x14ac:dyDescent="0.25">
      <c r="A17">
        <v>1.288470445525</v>
      </c>
      <c r="B17">
        <v>0.75433251713900962</v>
      </c>
      <c r="C17">
        <f t="shared" si="0"/>
        <v>0.90551369405901294</v>
      </c>
      <c r="D17">
        <f t="shared" si="1"/>
        <v>-0.15118117692000332</v>
      </c>
      <c r="E17">
        <f t="shared" si="2"/>
        <v>2.2855748254917346E-2</v>
      </c>
    </row>
    <row r="18" spans="1:5" x14ac:dyDescent="0.25">
      <c r="A18">
        <v>1.344953061375</v>
      </c>
      <c r="B18">
        <v>0.63417335511686646</v>
      </c>
      <c r="C18">
        <f t="shared" si="0"/>
        <v>0.71469791002137639</v>
      </c>
      <c r="D18">
        <f t="shared" si="1"/>
        <v>-8.0524554904509937E-2</v>
      </c>
      <c r="E18">
        <f t="shared" si="2"/>
        <v>6.4842039425694357E-3</v>
      </c>
    </row>
    <row r="19" spans="1:5" x14ac:dyDescent="0.25">
      <c r="A19">
        <v>1.4014356772249998</v>
      </c>
      <c r="B19">
        <v>0.39719278557319532</v>
      </c>
      <c r="C19">
        <f t="shared" si="0"/>
        <v>0.53248995878223082</v>
      </c>
      <c r="D19">
        <f t="shared" si="1"/>
        <v>-0.1352971732090355</v>
      </c>
      <c r="E19">
        <f t="shared" si="2"/>
        <v>1.8305325078355753E-2</v>
      </c>
    </row>
    <row r="20" spans="1:5" x14ac:dyDescent="0.25">
      <c r="A20">
        <v>1.4579182930750001</v>
      </c>
      <c r="B20">
        <v>0.33266286522797028</v>
      </c>
      <c r="C20">
        <f t="shared" si="0"/>
        <v>0.37288751642959606</v>
      </c>
      <c r="D20">
        <f t="shared" si="1"/>
        <v>-4.0224651201625772E-2</v>
      </c>
      <c r="E20">
        <f t="shared" si="2"/>
        <v>1.6180225642924537E-3</v>
      </c>
    </row>
    <row r="21" spans="1:5" x14ac:dyDescent="0.25">
      <c r="A21">
        <v>1.5144009089249999</v>
      </c>
      <c r="B21">
        <v>0.28593430221935912</v>
      </c>
      <c r="C21">
        <f t="shared" si="0"/>
        <v>0.24429776089170285</v>
      </c>
      <c r="D21">
        <f t="shared" si="1"/>
        <v>4.1636541327656262E-2</v>
      </c>
      <c r="E21">
        <f t="shared" si="2"/>
        <v>1.7336015737296278E-3</v>
      </c>
    </row>
    <row r="22" spans="1:5" x14ac:dyDescent="0.25">
      <c r="A22">
        <v>1.5708835247750002</v>
      </c>
      <c r="B22">
        <v>0.19470234586921339</v>
      </c>
      <c r="C22">
        <f t="shared" si="0"/>
        <v>0.14901100628444314</v>
      </c>
      <c r="D22">
        <f t="shared" si="1"/>
        <v>4.5691339584770257E-2</v>
      </c>
      <c r="E22">
        <f t="shared" si="2"/>
        <v>2.0876985130507935E-3</v>
      </c>
    </row>
    <row r="23" spans="1:5" x14ac:dyDescent="0.25">
      <c r="A23">
        <v>1.627366140625</v>
      </c>
      <c r="B23">
        <v>0.1145962378544513</v>
      </c>
      <c r="C23">
        <f t="shared" si="0"/>
        <v>8.4186574665307837E-2</v>
      </c>
      <c r="D23">
        <f t="shared" si="1"/>
        <v>3.0409663189143468E-2</v>
      </c>
      <c r="E23">
        <f t="shared" si="2"/>
        <v>9.2474761527714733E-4</v>
      </c>
    </row>
    <row r="24" spans="1:5" x14ac:dyDescent="0.25">
      <c r="A24">
        <v>1.6838487564749998</v>
      </c>
      <c r="B24">
        <v>8.1218692848300439E-2</v>
      </c>
      <c r="C24">
        <f t="shared" si="0"/>
        <v>4.3817690489693466E-2</v>
      </c>
      <c r="D24">
        <f t="shared" si="1"/>
        <v>3.7401002358606973E-2</v>
      </c>
      <c r="E24">
        <f t="shared" si="2"/>
        <v>1.3988349774285245E-3</v>
      </c>
    </row>
    <row r="25" spans="1:5" x14ac:dyDescent="0.25">
      <c r="A25">
        <v>1.740331372325</v>
      </c>
      <c r="B25">
        <v>5.5629241676918108E-2</v>
      </c>
      <c r="C25">
        <f t="shared" si="0"/>
        <v>2.0892204137506285E-2</v>
      </c>
      <c r="D25">
        <f t="shared" si="1"/>
        <v>3.4737037539411819E-2</v>
      </c>
      <c r="E25">
        <f t="shared" si="2"/>
        <v>1.2066617770145058E-3</v>
      </c>
    </row>
    <row r="26" spans="1:5" x14ac:dyDescent="0.25">
      <c r="A26">
        <v>1.796813988175</v>
      </c>
      <c r="B26">
        <v>3.2264960172612503E-2</v>
      </c>
      <c r="C26">
        <f t="shared" si="0"/>
        <v>9.0715957888282076E-3</v>
      </c>
      <c r="D26">
        <f t="shared" si="1"/>
        <v>2.3193364383784297E-2</v>
      </c>
      <c r="E26">
        <f t="shared" si="2"/>
        <v>5.3793215143899391E-4</v>
      </c>
    </row>
    <row r="27" spans="1:5" x14ac:dyDescent="0.25">
      <c r="A27">
        <v>1.8532966040250001</v>
      </c>
      <c r="B27">
        <v>1.4463602835998709E-2</v>
      </c>
      <c r="C27">
        <f t="shared" si="0"/>
        <v>3.5651325754474956E-3</v>
      </c>
      <c r="D27">
        <f t="shared" si="1"/>
        <v>1.0898470260551213E-2</v>
      </c>
      <c r="E27">
        <f t="shared" si="2"/>
        <v>1.1877665402011922E-4</v>
      </c>
    </row>
    <row r="28" spans="1:5" x14ac:dyDescent="0.25">
      <c r="A28">
        <v>1.9097792198749999</v>
      </c>
      <c r="B28">
        <v>1.1125848335383623E-2</v>
      </c>
      <c r="C28">
        <f t="shared" si="0"/>
        <v>1.2600280631104091E-3</v>
      </c>
      <c r="D28">
        <f t="shared" si="1"/>
        <v>9.8658202722732135E-3</v>
      </c>
      <c r="E28">
        <f t="shared" si="2"/>
        <v>9.7334409644797101E-5</v>
      </c>
    </row>
    <row r="29" spans="1:5" x14ac:dyDescent="0.25">
      <c r="A29">
        <v>1.9662618357249999</v>
      </c>
      <c r="B29">
        <v>1.1125848335383623E-3</v>
      </c>
      <c r="C29">
        <f t="shared" si="0"/>
        <v>3.9784129233855372E-4</v>
      </c>
      <c r="D29">
        <f t="shared" si="1"/>
        <v>7.147435411998086E-4</v>
      </c>
      <c r="E29">
        <f t="shared" si="2"/>
        <v>5.1085832968684248E-7</v>
      </c>
    </row>
    <row r="30" spans="1:5" x14ac:dyDescent="0.25">
      <c r="A30">
        <v>2.0227444515749999</v>
      </c>
      <c r="B30">
        <v>0</v>
      </c>
      <c r="C30">
        <f t="shared" si="0"/>
        <v>1.1144745694880127E-4</v>
      </c>
      <c r="D30">
        <f t="shared" si="1"/>
        <v>-1.1144745694880127E-4</v>
      </c>
      <c r="E30">
        <f t="shared" si="2"/>
        <v>1.2420535660354912E-8</v>
      </c>
    </row>
    <row r="31" spans="1:5" x14ac:dyDescent="0.25">
      <c r="A31">
        <v>2.0792270674250002</v>
      </c>
      <c r="B31">
        <v>0</v>
      </c>
      <c r="C31">
        <f t="shared" si="0"/>
        <v>2.7501728807382892E-5</v>
      </c>
      <c r="D31">
        <f t="shared" si="1"/>
        <v>-2.7501728807382892E-5</v>
      </c>
      <c r="E31">
        <f t="shared" si="2"/>
        <v>7.5634508739483408E-10</v>
      </c>
    </row>
    <row r="32" spans="1:5" x14ac:dyDescent="0.25">
      <c r="A32">
        <v>2.1357096832750004</v>
      </c>
      <c r="B32">
        <v>0</v>
      </c>
      <c r="C32">
        <f t="shared" si="0"/>
        <v>5.9343305327352901E-6</v>
      </c>
      <c r="D32">
        <f t="shared" si="1"/>
        <v>-5.9343305327352901E-6</v>
      </c>
      <c r="E32">
        <f t="shared" si="2"/>
        <v>3.5216278871754312E-11</v>
      </c>
    </row>
    <row r="33" spans="1:5" x14ac:dyDescent="0.25">
      <c r="A33">
        <v>2.1921922991249998</v>
      </c>
      <c r="B33">
        <v>0</v>
      </c>
      <c r="C33">
        <f t="shared" si="0"/>
        <v>1.1111979303689914E-6</v>
      </c>
      <c r="D33">
        <f t="shared" si="1"/>
        <v>-1.1111979303689914E-6</v>
      </c>
      <c r="E33">
        <f t="shared" si="2"/>
        <v>1.2347608404563299E-12</v>
      </c>
    </row>
    <row r="34" spans="1:5" x14ac:dyDescent="0.25">
      <c r="A34">
        <v>2.248674914975</v>
      </c>
      <c r="B34">
        <v>0</v>
      </c>
      <c r="C34">
        <f t="shared" si="0"/>
        <v>1.7914260531031637E-7</v>
      </c>
      <c r="D34">
        <f t="shared" si="1"/>
        <v>-1.7914260531031637E-7</v>
      </c>
      <c r="E34">
        <f t="shared" si="2"/>
        <v>3.209207303736779E-14</v>
      </c>
    </row>
    <row r="35" spans="1:5" x14ac:dyDescent="0.25">
      <c r="A35">
        <v>2.3051575308249999</v>
      </c>
      <c r="B35">
        <v>0</v>
      </c>
      <c r="C35">
        <f t="shared" si="0"/>
        <v>2.4664240489019476E-8</v>
      </c>
      <c r="D35">
        <f t="shared" si="1"/>
        <v>-2.4664240489019476E-8</v>
      </c>
      <c r="E35">
        <f t="shared" si="2"/>
        <v>6.083247589001877E-16</v>
      </c>
    </row>
    <row r="36" spans="1:5" x14ac:dyDescent="0.25">
      <c r="A36">
        <v>2.3616401466749997</v>
      </c>
      <c r="B36">
        <v>0</v>
      </c>
      <c r="C36">
        <f t="shared" si="0"/>
        <v>2.8758448400862091E-9</v>
      </c>
      <c r="D36">
        <f t="shared" si="1"/>
        <v>-2.8758448400862091E-9</v>
      </c>
      <c r="E36">
        <f t="shared" si="2"/>
        <v>8.2704835442504734E-18</v>
      </c>
    </row>
    <row r="37" spans="1:5" x14ac:dyDescent="0.25">
      <c r="A37">
        <v>2.4181227625249999</v>
      </c>
      <c r="B37">
        <v>0</v>
      </c>
      <c r="C37">
        <f t="shared" si="0"/>
        <v>2.8154851180804343E-10</v>
      </c>
      <c r="D37">
        <f t="shared" si="1"/>
        <v>-2.8154851180804343E-10</v>
      </c>
      <c r="E37">
        <f t="shared" si="2"/>
        <v>7.9269564501323965E-20</v>
      </c>
    </row>
    <row r="38" spans="1:5" x14ac:dyDescent="0.25">
      <c r="A38">
        <v>2.4746053783749997</v>
      </c>
      <c r="B38">
        <v>0</v>
      </c>
      <c r="C38">
        <f t="shared" si="0"/>
        <v>2.2939612229528124E-11</v>
      </c>
      <c r="D38">
        <f t="shared" si="1"/>
        <v>-2.2939612229528124E-11</v>
      </c>
      <c r="E38">
        <f t="shared" si="2"/>
        <v>5.2622580924111631E-22</v>
      </c>
    </row>
    <row r="39" spans="1:5" x14ac:dyDescent="0.25">
      <c r="A39">
        <v>2.531087994225</v>
      </c>
      <c r="B39">
        <v>0</v>
      </c>
      <c r="C39">
        <f t="shared" si="0"/>
        <v>1.5413901660453048E-12</v>
      </c>
      <c r="D39">
        <f t="shared" si="1"/>
        <v>-1.5413901660453048E-12</v>
      </c>
      <c r="E39">
        <f t="shared" si="2"/>
        <v>2.3758836439811724E-24</v>
      </c>
    </row>
    <row r="40" spans="1:5" x14ac:dyDescent="0.25">
      <c r="A40">
        <v>2.5875706100749998</v>
      </c>
      <c r="B40">
        <v>1.1125848335383623E-3</v>
      </c>
      <c r="C40">
        <f t="shared" si="0"/>
        <v>8.4620375582109927E-14</v>
      </c>
      <c r="D40">
        <f t="shared" si="1"/>
        <v>1.1125848334537418E-3</v>
      </c>
      <c r="E40">
        <f t="shared" si="2"/>
        <v>1.2378450116312904E-6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E7EA-76B2-495F-BEBA-2EB4ED190FB1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0.44353724373750003</v>
      </c>
      <c r="B1">
        <v>1.1952610359375341E-2</v>
      </c>
      <c r="C1">
        <f>$H$3*(1+$H$1)*(A1^($H$1))*EXP(-$H$3*(A1^(1+$H$1)))</f>
        <v>0.14580517995549291</v>
      </c>
      <c r="D1">
        <f>B1-C1</f>
        <v>-0.13385256959611758</v>
      </c>
      <c r="E1">
        <f>D1^2</f>
        <v>1.79165103874835E-2</v>
      </c>
      <c r="G1" t="s">
        <v>0</v>
      </c>
      <c r="H1">
        <v>3.7524247340669663</v>
      </c>
    </row>
    <row r="2" spans="1:8" x14ac:dyDescent="0.25">
      <c r="A2">
        <v>0.49611295721250004</v>
      </c>
      <c r="B2">
        <v>7.7691967335939721E-2</v>
      </c>
      <c r="C2">
        <f t="shared" ref="C2:C40" si="0">$H$3*(1+$H$1)*(A2^($H$1))*EXP(-$H$3*(A2^(1+$H$1)))</f>
        <v>0.21984574625217546</v>
      </c>
      <c r="D2">
        <f t="shared" ref="D2:D40" si="1">B2-C2</f>
        <v>-0.14215377891623573</v>
      </c>
      <c r="E2">
        <f t="shared" ref="E2:E40" si="2">D2^2</f>
        <v>2.0207696860166026E-2</v>
      </c>
    </row>
    <row r="3" spans="1:8" x14ac:dyDescent="0.25">
      <c r="A3">
        <v>0.54868867068750005</v>
      </c>
      <c r="B3">
        <v>0.19363228782188052</v>
      </c>
      <c r="C3">
        <f t="shared" si="0"/>
        <v>0.31623100939487281</v>
      </c>
      <c r="D3">
        <f t="shared" si="1"/>
        <v>-0.12259872157299229</v>
      </c>
      <c r="E3">
        <f t="shared" si="2"/>
        <v>1.5030446531332084E-2</v>
      </c>
      <c r="G3" t="s">
        <v>1</v>
      </c>
      <c r="H3">
        <f>(_xlfn.GAMMA((2+$H$1)/(1+$H$1)))^(1+$H$1)</f>
        <v>0.65723071078777484</v>
      </c>
    </row>
    <row r="4" spans="1:8" x14ac:dyDescent="0.25">
      <c r="A4">
        <v>0.60126438416250005</v>
      </c>
      <c r="B4">
        <v>0.36574987699688544</v>
      </c>
      <c r="C4">
        <f t="shared" si="0"/>
        <v>0.43666896652715759</v>
      </c>
      <c r="D4">
        <f t="shared" si="1"/>
        <v>-7.091908953027215E-2</v>
      </c>
      <c r="E4">
        <f t="shared" si="2"/>
        <v>5.0295172598027573E-3</v>
      </c>
    </row>
    <row r="5" spans="1:8" x14ac:dyDescent="0.25">
      <c r="A5">
        <v>0.65384009763750006</v>
      </c>
      <c r="B5">
        <v>0.66695565805314405</v>
      </c>
      <c r="C5">
        <f t="shared" si="0"/>
        <v>0.58118210723983355</v>
      </c>
      <c r="D5">
        <f t="shared" si="1"/>
        <v>8.5773550813310506E-2</v>
      </c>
      <c r="E5">
        <f t="shared" si="2"/>
        <v>7.3571020191235594E-3</v>
      </c>
      <c r="G5" t="s">
        <v>2</v>
      </c>
      <c r="H5">
        <f>SUM(E1:E40)</f>
        <v>0.69860198819884867</v>
      </c>
    </row>
    <row r="6" spans="1:8" x14ac:dyDescent="0.25">
      <c r="A6">
        <v>0.70641581111250007</v>
      </c>
      <c r="B6">
        <v>0.85580690173127438</v>
      </c>
      <c r="C6">
        <f t="shared" si="0"/>
        <v>0.74734346811129515</v>
      </c>
      <c r="D6">
        <f t="shared" si="1"/>
        <v>0.10846343361997923</v>
      </c>
      <c r="E6">
        <f t="shared" si="2"/>
        <v>1.1764316432635641E-2</v>
      </c>
    </row>
    <row r="7" spans="1:8" x14ac:dyDescent="0.25">
      <c r="A7">
        <v>0.75899152458749997</v>
      </c>
      <c r="B7">
        <v>1.2287283449437851</v>
      </c>
      <c r="C7">
        <f t="shared" si="0"/>
        <v>0.92951926929152617</v>
      </c>
      <c r="D7">
        <f t="shared" si="1"/>
        <v>0.29920907565225896</v>
      </c>
      <c r="E7">
        <f t="shared" si="2"/>
        <v>8.9526070952679226E-2</v>
      </c>
    </row>
    <row r="8" spans="1:8" x14ac:dyDescent="0.25">
      <c r="A8">
        <v>0.81156723806250008</v>
      </c>
      <c r="B8">
        <v>1.4331179820891033</v>
      </c>
      <c r="C8">
        <f t="shared" si="0"/>
        <v>1.1183009245427606</v>
      </c>
      <c r="D8">
        <f t="shared" si="1"/>
        <v>0.3148170575463427</v>
      </c>
      <c r="E8">
        <f t="shared" si="2"/>
        <v>9.9109779722137248E-2</v>
      </c>
    </row>
    <row r="9" spans="1:8" x14ac:dyDescent="0.25">
      <c r="A9">
        <v>0.86414295153750009</v>
      </c>
      <c r="B9">
        <v>1.5681824791500447</v>
      </c>
      <c r="C9">
        <f t="shared" si="0"/>
        <v>1.3003847782516758</v>
      </c>
      <c r="D9">
        <f t="shared" si="1"/>
        <v>0.26779770089836896</v>
      </c>
      <c r="E9">
        <f t="shared" si="2"/>
        <v>7.1715608606452291E-2</v>
      </c>
    </row>
    <row r="10" spans="1:8" x14ac:dyDescent="0.25">
      <c r="A10">
        <v>0.9167186650125001</v>
      </c>
      <c r="B10">
        <v>1.8191872966969269</v>
      </c>
      <c r="C10">
        <f t="shared" si="0"/>
        <v>1.4591965154433642</v>
      </c>
      <c r="D10">
        <f t="shared" si="1"/>
        <v>0.35999078125356276</v>
      </c>
      <c r="E10">
        <f t="shared" si="2"/>
        <v>0.12959336258755047</v>
      </c>
    </row>
    <row r="11" spans="1:8" x14ac:dyDescent="0.25">
      <c r="A11">
        <v>0.96929437848750011</v>
      </c>
      <c r="B11">
        <v>1.6745607113484853</v>
      </c>
      <c r="C11">
        <f t="shared" si="0"/>
        <v>1.5765091580410993</v>
      </c>
      <c r="D11">
        <f t="shared" si="1"/>
        <v>9.8051553307386019E-2</v>
      </c>
      <c r="E11">
        <f t="shared" si="2"/>
        <v>9.6141071059911622E-3</v>
      </c>
    </row>
    <row r="12" spans="1:8" x14ac:dyDescent="0.25">
      <c r="A12">
        <v>1.0218700919625001</v>
      </c>
      <c r="B12">
        <v>1.6112118764437959</v>
      </c>
      <c r="C12">
        <f t="shared" si="0"/>
        <v>1.6351193335141776</v>
      </c>
      <c r="D12">
        <f t="shared" si="1"/>
        <v>-2.3907457070381666E-2</v>
      </c>
      <c r="E12">
        <f t="shared" si="2"/>
        <v>5.7156650357214234E-4</v>
      </c>
    </row>
    <row r="13" spans="1:8" x14ac:dyDescent="0.25">
      <c r="A13">
        <v>1.0744458054375001</v>
      </c>
      <c r="B13">
        <v>1.5550346077547319</v>
      </c>
      <c r="C13">
        <f t="shared" si="0"/>
        <v>1.6223082640091619</v>
      </c>
      <c r="D13">
        <f t="shared" si="1"/>
        <v>-6.7273656254430048E-2</v>
      </c>
      <c r="E13">
        <f t="shared" si="2"/>
        <v>4.5257448258392147E-3</v>
      </c>
    </row>
    <row r="14" spans="1:8" x14ac:dyDescent="0.25">
      <c r="A14">
        <v>1.1270215189125001</v>
      </c>
      <c r="B14">
        <v>1.2777340474172241</v>
      </c>
      <c r="C14">
        <f t="shared" si="0"/>
        <v>1.5333779737892248</v>
      </c>
      <c r="D14">
        <f t="shared" si="1"/>
        <v>-0.25564392637200073</v>
      </c>
      <c r="E14">
        <f t="shared" si="2"/>
        <v>6.5353817090892927E-2</v>
      </c>
    </row>
    <row r="15" spans="1:8" x14ac:dyDescent="0.25">
      <c r="A15">
        <v>1.1795972323874999</v>
      </c>
      <c r="B15">
        <v>1.121154851709407</v>
      </c>
      <c r="C15">
        <f t="shared" si="0"/>
        <v>1.3741793224049104</v>
      </c>
      <c r="D15">
        <f t="shared" si="1"/>
        <v>-0.25302447069550338</v>
      </c>
      <c r="E15">
        <f t="shared" si="2"/>
        <v>6.4021382770739654E-2</v>
      </c>
    </row>
    <row r="16" spans="1:8" x14ac:dyDescent="0.25">
      <c r="A16">
        <v>1.2321729458625001</v>
      </c>
      <c r="B16">
        <v>0.97413774428909028</v>
      </c>
      <c r="C16">
        <f t="shared" si="0"/>
        <v>1.1614766723403493</v>
      </c>
      <c r="D16">
        <f t="shared" si="1"/>
        <v>-0.18733892805125907</v>
      </c>
      <c r="E16">
        <f t="shared" si="2"/>
        <v>3.5095873963394822E-2</v>
      </c>
    </row>
    <row r="17" spans="1:5" x14ac:dyDescent="0.25">
      <c r="A17">
        <v>1.2847486593374999</v>
      </c>
      <c r="B17">
        <v>0.78289597853908488</v>
      </c>
      <c r="C17">
        <f t="shared" si="0"/>
        <v>0.92043634322469969</v>
      </c>
      <c r="D17">
        <f t="shared" si="1"/>
        <v>-0.13754036468561481</v>
      </c>
      <c r="E17">
        <f t="shared" si="2"/>
        <v>1.8917351917851918E-2</v>
      </c>
    </row>
    <row r="18" spans="1:5" x14ac:dyDescent="0.25">
      <c r="A18">
        <v>1.3373243728124999</v>
      </c>
      <c r="B18">
        <v>0.53428168306407775</v>
      </c>
      <c r="C18">
        <f t="shared" si="0"/>
        <v>0.67949207542097556</v>
      </c>
      <c r="D18">
        <f t="shared" si="1"/>
        <v>-0.14521039235689781</v>
      </c>
      <c r="E18">
        <f t="shared" si="2"/>
        <v>2.1086058048444205E-2</v>
      </c>
    </row>
    <row r="19" spans="1:5" x14ac:dyDescent="0.25">
      <c r="A19">
        <v>1.3899000862875002</v>
      </c>
      <c r="B19">
        <v>0.41356031843438679</v>
      </c>
      <c r="C19">
        <f t="shared" si="0"/>
        <v>0.46400163263888217</v>
      </c>
      <c r="D19">
        <f t="shared" si="1"/>
        <v>-5.044131420449538E-2</v>
      </c>
      <c r="E19">
        <f t="shared" si="2"/>
        <v>2.5443261786766273E-3</v>
      </c>
    </row>
    <row r="20" spans="1:5" x14ac:dyDescent="0.25">
      <c r="A20">
        <v>1.4424757997625</v>
      </c>
      <c r="B20">
        <v>0.32511100177500929</v>
      </c>
      <c r="C20">
        <f t="shared" si="0"/>
        <v>0.29085683482255431</v>
      </c>
      <c r="D20">
        <f t="shared" si="1"/>
        <v>3.4254166952454979E-2</v>
      </c>
      <c r="E20">
        <f t="shared" si="2"/>
        <v>1.1733479536066588E-3</v>
      </c>
    </row>
    <row r="21" spans="1:5" x14ac:dyDescent="0.25">
      <c r="A21">
        <v>1.4950515132375</v>
      </c>
      <c r="B21">
        <v>0.21514698646875613</v>
      </c>
      <c r="C21">
        <f t="shared" si="0"/>
        <v>0.16599057658692334</v>
      </c>
      <c r="D21">
        <f t="shared" si="1"/>
        <v>4.9156409881832785E-2</v>
      </c>
      <c r="E21">
        <f t="shared" si="2"/>
        <v>2.4163526324707477E-3</v>
      </c>
    </row>
    <row r="22" spans="1:5" x14ac:dyDescent="0.25">
      <c r="A22">
        <v>1.5476272267125002</v>
      </c>
      <c r="B22">
        <v>0.13506449706094137</v>
      </c>
      <c r="C22">
        <f t="shared" si="0"/>
        <v>8.5484478723720503E-2</v>
      </c>
      <c r="D22">
        <f t="shared" si="1"/>
        <v>4.9580018337220866E-2</v>
      </c>
      <c r="E22">
        <f t="shared" si="2"/>
        <v>2.4581782183191571E-3</v>
      </c>
    </row>
    <row r="23" spans="1:5" x14ac:dyDescent="0.25">
      <c r="A23">
        <v>1.6002029401875</v>
      </c>
      <c r="B23">
        <v>8.1277750443752322E-2</v>
      </c>
      <c r="C23">
        <f t="shared" si="0"/>
        <v>3.9352938126232424E-2</v>
      </c>
      <c r="D23">
        <f t="shared" si="1"/>
        <v>4.1924812317519898E-2</v>
      </c>
      <c r="E23">
        <f t="shared" si="2"/>
        <v>1.7576898878592681E-3</v>
      </c>
    </row>
    <row r="24" spans="1:5" x14ac:dyDescent="0.25">
      <c r="A24">
        <v>1.6527786536624998</v>
      </c>
      <c r="B24">
        <v>4.9005702473438897E-2</v>
      </c>
      <c r="C24">
        <f t="shared" si="0"/>
        <v>1.6031193800835664E-2</v>
      </c>
      <c r="D24">
        <f t="shared" si="1"/>
        <v>3.2974508672603237E-2</v>
      </c>
      <c r="E24">
        <f t="shared" si="2"/>
        <v>1.0873182221995861E-3</v>
      </c>
    </row>
    <row r="25" spans="1:5" x14ac:dyDescent="0.25">
      <c r="A25">
        <v>1.7053543671374998</v>
      </c>
      <c r="B25">
        <v>2.868626486250082E-2</v>
      </c>
      <c r="C25">
        <f t="shared" si="0"/>
        <v>5.7172539447723249E-3</v>
      </c>
      <c r="D25">
        <f t="shared" si="1"/>
        <v>2.2969010917728495E-2</v>
      </c>
      <c r="E25">
        <f t="shared" si="2"/>
        <v>5.275754625387308E-4</v>
      </c>
    </row>
    <row r="26" spans="1:5" x14ac:dyDescent="0.25">
      <c r="A26">
        <v>1.7579300806125</v>
      </c>
      <c r="B26">
        <v>1.5538393467187944E-2</v>
      </c>
      <c r="C26">
        <f t="shared" si="0"/>
        <v>1.7647870269259607E-3</v>
      </c>
      <c r="D26">
        <f t="shared" si="1"/>
        <v>1.3773606440261984E-2</v>
      </c>
      <c r="E26">
        <f t="shared" si="2"/>
        <v>1.8971223437122639E-4</v>
      </c>
    </row>
    <row r="27" spans="1:5" x14ac:dyDescent="0.25">
      <c r="A27">
        <v>1.8105057940875002</v>
      </c>
      <c r="B27">
        <v>3.5857831078126025E-3</v>
      </c>
      <c r="C27">
        <f t="shared" si="0"/>
        <v>4.6584500022885095E-4</v>
      </c>
      <c r="D27">
        <f t="shared" si="1"/>
        <v>3.1199381075837514E-3</v>
      </c>
      <c r="E27">
        <f t="shared" si="2"/>
        <v>9.7340137951532796E-6</v>
      </c>
    </row>
    <row r="28" spans="1:5" x14ac:dyDescent="0.25">
      <c r="A28">
        <v>1.8630815075625</v>
      </c>
      <c r="B28">
        <v>0</v>
      </c>
      <c r="C28">
        <f t="shared" si="0"/>
        <v>1.0382486464656209E-4</v>
      </c>
      <c r="D28">
        <f t="shared" si="1"/>
        <v>-1.0382486464656209E-4</v>
      </c>
      <c r="E28">
        <f t="shared" si="2"/>
        <v>1.0779602518876938E-8</v>
      </c>
    </row>
    <row r="29" spans="1:5" x14ac:dyDescent="0.25">
      <c r="A29">
        <v>1.9156572210374998</v>
      </c>
      <c r="B29">
        <v>0</v>
      </c>
      <c r="C29">
        <f t="shared" si="0"/>
        <v>1.9276953521051291E-5</v>
      </c>
      <c r="D29">
        <f t="shared" si="1"/>
        <v>-1.9276953521051291E-5</v>
      </c>
      <c r="E29">
        <f t="shared" si="2"/>
        <v>3.7160093705277175E-10</v>
      </c>
    </row>
    <row r="30" spans="1:5" x14ac:dyDescent="0.25">
      <c r="A30">
        <v>1.9682329345124998</v>
      </c>
      <c r="B30">
        <v>0</v>
      </c>
      <c r="C30">
        <f t="shared" si="0"/>
        <v>2.9397675586399271E-6</v>
      </c>
      <c r="D30">
        <f t="shared" si="1"/>
        <v>-2.9397675586399271E-6</v>
      </c>
      <c r="E30">
        <f t="shared" si="2"/>
        <v>8.6422332988317579E-12</v>
      </c>
    </row>
    <row r="31" spans="1:5" x14ac:dyDescent="0.25">
      <c r="A31">
        <v>2.0208086479874998</v>
      </c>
      <c r="B31">
        <v>0</v>
      </c>
      <c r="C31">
        <f t="shared" si="0"/>
        <v>3.6280571839840791E-7</v>
      </c>
      <c r="D31">
        <f t="shared" si="1"/>
        <v>-3.6280571839840791E-7</v>
      </c>
      <c r="E31">
        <f t="shared" si="2"/>
        <v>1.3162798930258487E-13</v>
      </c>
    </row>
    <row r="32" spans="1:5" x14ac:dyDescent="0.25">
      <c r="A32">
        <v>2.0733843614624998</v>
      </c>
      <c r="B32">
        <v>0</v>
      </c>
      <c r="C32">
        <f t="shared" si="0"/>
        <v>3.5674141914286034E-8</v>
      </c>
      <c r="D32">
        <f t="shared" si="1"/>
        <v>-3.5674141914286034E-8</v>
      </c>
      <c r="E32">
        <f t="shared" si="2"/>
        <v>1.2726444013206197E-15</v>
      </c>
    </row>
    <row r="33" spans="1:5" x14ac:dyDescent="0.25">
      <c r="A33">
        <v>2.1259600749374998</v>
      </c>
      <c r="B33">
        <v>0</v>
      </c>
      <c r="C33">
        <f t="shared" si="0"/>
        <v>2.7495396631967906E-9</v>
      </c>
      <c r="D33">
        <f t="shared" si="1"/>
        <v>-2.7495396631967906E-9</v>
      </c>
      <c r="E33">
        <f t="shared" si="2"/>
        <v>7.5599683594923209E-18</v>
      </c>
    </row>
    <row r="34" spans="1:5" x14ac:dyDescent="0.25">
      <c r="A34">
        <v>2.1785357884124998</v>
      </c>
      <c r="B34">
        <v>0</v>
      </c>
      <c r="C34">
        <f t="shared" si="0"/>
        <v>1.6329522416629782E-10</v>
      </c>
      <c r="D34">
        <f t="shared" si="1"/>
        <v>-1.6329522416629782E-10</v>
      </c>
      <c r="E34">
        <f t="shared" si="2"/>
        <v>2.6665330235521453E-20</v>
      </c>
    </row>
    <row r="35" spans="1:5" x14ac:dyDescent="0.25">
      <c r="A35">
        <v>2.2311115018874998</v>
      </c>
      <c r="B35">
        <v>0</v>
      </c>
      <c r="C35">
        <f t="shared" si="0"/>
        <v>7.3407336838238184E-12</v>
      </c>
      <c r="D35">
        <f t="shared" si="1"/>
        <v>-7.3407336838238184E-12</v>
      </c>
      <c r="E35">
        <f t="shared" si="2"/>
        <v>5.388637101682561E-23</v>
      </c>
    </row>
    <row r="36" spans="1:5" x14ac:dyDescent="0.25">
      <c r="A36">
        <v>2.2836872153624999</v>
      </c>
      <c r="B36">
        <v>0</v>
      </c>
      <c r="C36">
        <f t="shared" si="0"/>
        <v>2.4516758396829606E-13</v>
      </c>
      <c r="D36">
        <f t="shared" si="1"/>
        <v>-2.4516758396829606E-13</v>
      </c>
      <c r="E36">
        <f t="shared" si="2"/>
        <v>6.0107144228851493E-26</v>
      </c>
    </row>
    <row r="37" spans="1:5" x14ac:dyDescent="0.25">
      <c r="A37">
        <v>2.3362629288374999</v>
      </c>
      <c r="B37">
        <v>0</v>
      </c>
      <c r="C37">
        <f t="shared" si="0"/>
        <v>5.9662737443428788E-15</v>
      </c>
      <c r="D37">
        <f t="shared" si="1"/>
        <v>-5.9662737443428788E-15</v>
      </c>
      <c r="E37">
        <f t="shared" si="2"/>
        <v>3.5596422392435195E-29</v>
      </c>
    </row>
    <row r="38" spans="1:5" x14ac:dyDescent="0.25">
      <c r="A38">
        <v>2.3888386423124999</v>
      </c>
      <c r="B38">
        <v>0</v>
      </c>
      <c r="C38">
        <f t="shared" si="0"/>
        <v>1.0367328644649491E-16</v>
      </c>
      <c r="D38">
        <f t="shared" si="1"/>
        <v>-1.0367328644649491E-16</v>
      </c>
      <c r="E38">
        <f t="shared" si="2"/>
        <v>1.0748150322616986E-32</v>
      </c>
    </row>
    <row r="39" spans="1:5" x14ac:dyDescent="0.25">
      <c r="A39">
        <v>2.4414143557874999</v>
      </c>
      <c r="B39">
        <v>0</v>
      </c>
      <c r="C39">
        <f t="shared" si="0"/>
        <v>1.2595151420153496E-18</v>
      </c>
      <c r="D39">
        <f t="shared" si="1"/>
        <v>-1.2595151420153496E-18</v>
      </c>
      <c r="E39">
        <f t="shared" si="2"/>
        <v>1.5863783929659464E-36</v>
      </c>
    </row>
    <row r="40" spans="1:5" x14ac:dyDescent="0.25">
      <c r="A40">
        <v>2.4939900692624999</v>
      </c>
      <c r="B40">
        <v>1.1952610359375342E-3</v>
      </c>
      <c r="C40">
        <f t="shared" si="0"/>
        <v>1.0466428508239311E-20</v>
      </c>
      <c r="D40">
        <f t="shared" si="1"/>
        <v>1.1952610359375342E-3</v>
      </c>
      <c r="E40">
        <f t="shared" si="2"/>
        <v>1.4286489440304674E-6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7AB3-86BE-4B5D-A267-79878641C8D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0.52600725326249997</v>
      </c>
      <c r="B1">
        <v>1.3143632814998524E-2</v>
      </c>
      <c r="C1">
        <f>$H$3*(1+$H$1)*(A1^($H$1))*EXP(-$H$3*(A1^(1+$H$1)))</f>
        <v>0.16726141892170096</v>
      </c>
      <c r="D1">
        <f>B1-C1</f>
        <v>-0.15411778610670243</v>
      </c>
      <c r="E1">
        <f>D1^2</f>
        <v>2.3752291994431282E-2</v>
      </c>
      <c r="G1" t="s">
        <v>0</v>
      </c>
      <c r="H1">
        <v>4.8017231421139597</v>
      </c>
    </row>
    <row r="2" spans="1:8" x14ac:dyDescent="0.25">
      <c r="A2">
        <v>0.57381876978750002</v>
      </c>
      <c r="B2">
        <v>9.2005429704989664E-2</v>
      </c>
      <c r="C2">
        <f t="shared" ref="C2:C40" si="0">$H$3*(1+$H$1)*(A2^($H$1))*EXP(-$H$3*(A2^(1+$H$1)))</f>
        <v>0.25143645143585763</v>
      </c>
      <c r="D2">
        <f t="shared" ref="D2:D40" si="1">B2-C2</f>
        <v>-0.15943102173086798</v>
      </c>
      <c r="E2">
        <f t="shared" ref="E2:E40" si="2">D2^2</f>
        <v>2.5418250690148501E-2</v>
      </c>
    </row>
    <row r="3" spans="1:8" x14ac:dyDescent="0.25">
      <c r="A3">
        <v>0.62163028631250006</v>
      </c>
      <c r="B3">
        <v>0.21555557816597579</v>
      </c>
      <c r="C3">
        <f t="shared" si="0"/>
        <v>0.36372788885902729</v>
      </c>
      <c r="D3">
        <f t="shared" si="1"/>
        <v>-0.14817231069305151</v>
      </c>
      <c r="E3">
        <f t="shared" si="2"/>
        <v>2.1955033656118186E-2</v>
      </c>
      <c r="G3" t="s">
        <v>1</v>
      </c>
      <c r="H3">
        <f>(_xlfn.GAMMA((2+$H$1)/(1+$H$1)))^(1+$H$1)</f>
        <v>0.64009927045761572</v>
      </c>
    </row>
    <row r="4" spans="1:8" x14ac:dyDescent="0.25">
      <c r="A4">
        <v>0.66944180283749999</v>
      </c>
      <c r="B4">
        <v>0.4639702383694479</v>
      </c>
      <c r="C4">
        <f t="shared" si="0"/>
        <v>0.50796296286494458</v>
      </c>
      <c r="D4">
        <f t="shared" si="1"/>
        <v>-4.3992724495496682E-2</v>
      </c>
      <c r="E4">
        <f t="shared" si="2"/>
        <v>1.9353598085366738E-3</v>
      </c>
    </row>
    <row r="5" spans="1:8" x14ac:dyDescent="0.25">
      <c r="A5">
        <v>0.71725331936250014</v>
      </c>
      <c r="B5">
        <v>0.78073178921091235</v>
      </c>
      <c r="C5">
        <f t="shared" si="0"/>
        <v>0.68605006488682152</v>
      </c>
      <c r="D5">
        <f t="shared" si="1"/>
        <v>9.4681724324090832E-2</v>
      </c>
      <c r="E5">
        <f t="shared" si="2"/>
        <v>8.964628920983134E-3</v>
      </c>
      <c r="G5" t="s">
        <v>2</v>
      </c>
      <c r="H5">
        <f>SUM(E1:E40)</f>
        <v>1.039341596700553</v>
      </c>
    </row>
    <row r="6" spans="1:8" x14ac:dyDescent="0.25">
      <c r="A6">
        <v>0.76506483588750007</v>
      </c>
      <c r="B6">
        <v>1.1001220666153764</v>
      </c>
      <c r="C6">
        <f t="shared" si="0"/>
        <v>0.89653762727069419</v>
      </c>
      <c r="D6">
        <f t="shared" si="1"/>
        <v>0.20358443934468218</v>
      </c>
      <c r="E6">
        <f t="shared" si="2"/>
        <v>4.1446623943288574E-2</v>
      </c>
    </row>
    <row r="7" spans="1:8" x14ac:dyDescent="0.25">
      <c r="A7">
        <v>0.8128763524125</v>
      </c>
      <c r="B7">
        <v>1.532547586228828</v>
      </c>
      <c r="C7">
        <f t="shared" si="0"/>
        <v>1.1329296769051036</v>
      </c>
      <c r="D7">
        <f t="shared" si="1"/>
        <v>0.39961790932372443</v>
      </c>
      <c r="E7">
        <f t="shared" si="2"/>
        <v>0.15969447345226445</v>
      </c>
    </row>
    <row r="8" spans="1:8" x14ac:dyDescent="0.25">
      <c r="A8">
        <v>0.86068786893750004</v>
      </c>
      <c r="B8">
        <v>1.7441600745503041</v>
      </c>
      <c r="C8">
        <f t="shared" si="0"/>
        <v>1.3820769086305706</v>
      </c>
      <c r="D8">
        <f t="shared" si="1"/>
        <v>0.36208316591973344</v>
      </c>
      <c r="E8">
        <f t="shared" si="2"/>
        <v>0.13110421904245723</v>
      </c>
    </row>
    <row r="9" spans="1:8" x14ac:dyDescent="0.25">
      <c r="A9">
        <v>0.90849938546250009</v>
      </c>
      <c r="B9">
        <v>2.0490923558582699</v>
      </c>
      <c r="C9">
        <f t="shared" si="0"/>
        <v>1.6232331169049321</v>
      </c>
      <c r="D9">
        <f t="shared" si="1"/>
        <v>0.42585923895333777</v>
      </c>
      <c r="E9">
        <f t="shared" si="2"/>
        <v>0.18135609140191603</v>
      </c>
    </row>
    <row r="10" spans="1:8" x14ac:dyDescent="0.25">
      <c r="A10">
        <v>0.95631090198750002</v>
      </c>
      <c r="B10">
        <v>2.1279541527482611</v>
      </c>
      <c r="C10">
        <f t="shared" si="0"/>
        <v>1.8286223535912502</v>
      </c>
      <c r="D10">
        <f t="shared" si="1"/>
        <v>0.2993317991570108</v>
      </c>
      <c r="E10">
        <f t="shared" si="2"/>
        <v>8.9599525986573059E-2</v>
      </c>
    </row>
    <row r="11" spans="1:8" x14ac:dyDescent="0.25">
      <c r="A11">
        <v>1.0041224185124999</v>
      </c>
      <c r="B11">
        <v>1.9754880120942782</v>
      </c>
      <c r="C11">
        <f t="shared" si="0"/>
        <v>1.9664228129309207</v>
      </c>
      <c r="D11">
        <f t="shared" si="1"/>
        <v>9.0651991633574625E-3</v>
      </c>
      <c r="E11">
        <f t="shared" si="2"/>
        <v>8.2177835871336837E-5</v>
      </c>
    </row>
    <row r="12" spans="1:8" x14ac:dyDescent="0.25">
      <c r="A12">
        <v>1.0519339350375001</v>
      </c>
      <c r="B12">
        <v>1.9386858402122824</v>
      </c>
      <c r="C12">
        <f t="shared" si="0"/>
        <v>2.0066796932085755</v>
      </c>
      <c r="D12">
        <f t="shared" si="1"/>
        <v>-6.7993852996293125E-2</v>
      </c>
      <c r="E12">
        <f t="shared" si="2"/>
        <v>4.6231640452815198E-3</v>
      </c>
    </row>
    <row r="13" spans="1:8" x14ac:dyDescent="0.25">
      <c r="A13">
        <v>1.0997454515625003</v>
      </c>
      <c r="B13">
        <v>1.6284961057783172</v>
      </c>
      <c r="C13">
        <f t="shared" si="0"/>
        <v>1.9295974203075734</v>
      </c>
      <c r="D13">
        <f t="shared" si="1"/>
        <v>-0.30110131452925626</v>
      </c>
      <c r="E13">
        <f t="shared" si="2"/>
        <v>9.0662001611246101E-2</v>
      </c>
    </row>
    <row r="14" spans="1:8" x14ac:dyDescent="0.25">
      <c r="A14">
        <v>1.1475569680875002</v>
      </c>
      <c r="B14">
        <v>1.4208267073013405</v>
      </c>
      <c r="C14">
        <f t="shared" si="0"/>
        <v>1.7340271022620553</v>
      </c>
      <c r="D14">
        <f t="shared" si="1"/>
        <v>-0.31320039496071472</v>
      </c>
      <c r="E14">
        <f t="shared" si="2"/>
        <v>9.8094487403547703E-2</v>
      </c>
    </row>
    <row r="15" spans="1:8" x14ac:dyDescent="0.25">
      <c r="A15">
        <v>1.1953684846125001</v>
      </c>
      <c r="B15">
        <v>1.1684689572533689</v>
      </c>
      <c r="C15">
        <f t="shared" si="0"/>
        <v>1.442453373876553</v>
      </c>
      <c r="D15">
        <f t="shared" si="1"/>
        <v>-0.27398441662318418</v>
      </c>
      <c r="E15">
        <f t="shared" si="2"/>
        <v>7.506746055234656E-2</v>
      </c>
    </row>
    <row r="16" spans="1:8" x14ac:dyDescent="0.25">
      <c r="A16">
        <v>1.2431800011375</v>
      </c>
      <c r="B16">
        <v>0.85959358610090353</v>
      </c>
      <c r="C16">
        <f t="shared" si="0"/>
        <v>1.0986772336652186</v>
      </c>
      <c r="D16">
        <f t="shared" si="1"/>
        <v>-0.2390836475643151</v>
      </c>
      <c r="E16">
        <f t="shared" si="2"/>
        <v>5.7160990532657635E-2</v>
      </c>
    </row>
    <row r="17" spans="1:5" x14ac:dyDescent="0.25">
      <c r="A17">
        <v>1.2909915176625</v>
      </c>
      <c r="B17">
        <v>0.64666673449792744</v>
      </c>
      <c r="C17">
        <f t="shared" si="0"/>
        <v>0.75683233867343847</v>
      </c>
      <c r="D17">
        <f t="shared" si="1"/>
        <v>-0.11016560417551102</v>
      </c>
      <c r="E17">
        <f t="shared" si="2"/>
        <v>1.2136460343355372E-2</v>
      </c>
    </row>
    <row r="18" spans="1:5" x14ac:dyDescent="0.25">
      <c r="A18">
        <v>1.3388030341874999</v>
      </c>
      <c r="B18">
        <v>0.44819787899144969</v>
      </c>
      <c r="C18">
        <f t="shared" si="0"/>
        <v>0.46501124208401146</v>
      </c>
      <c r="D18">
        <f t="shared" si="1"/>
        <v>-1.6813363092561762E-2</v>
      </c>
      <c r="E18">
        <f t="shared" si="2"/>
        <v>2.8268917848231799E-4</v>
      </c>
    </row>
    <row r="19" spans="1:5" x14ac:dyDescent="0.25">
      <c r="A19">
        <v>1.3866145507125001</v>
      </c>
      <c r="B19">
        <v>0.32070464068596399</v>
      </c>
      <c r="C19">
        <f t="shared" si="0"/>
        <v>0.25091558867653685</v>
      </c>
      <c r="D19">
        <f t="shared" si="1"/>
        <v>6.9789052009427144E-2</v>
      </c>
      <c r="E19">
        <f t="shared" si="2"/>
        <v>4.8705117803745273E-3</v>
      </c>
    </row>
    <row r="20" spans="1:5" x14ac:dyDescent="0.25">
      <c r="A20">
        <v>1.4344260672375002</v>
      </c>
      <c r="B20">
        <v>0.18532522269147919</v>
      </c>
      <c r="C20">
        <f t="shared" si="0"/>
        <v>0.11687150135678107</v>
      </c>
      <c r="D20">
        <f t="shared" si="1"/>
        <v>6.8453721334698125E-2</v>
      </c>
      <c r="E20">
        <f t="shared" si="2"/>
        <v>4.685911964568505E-3</v>
      </c>
    </row>
    <row r="21" spans="1:5" x14ac:dyDescent="0.25">
      <c r="A21">
        <v>1.4822375837625001</v>
      </c>
      <c r="B21">
        <v>0.11566396877198701</v>
      </c>
      <c r="C21">
        <f t="shared" si="0"/>
        <v>4.6102876304739797E-2</v>
      </c>
      <c r="D21">
        <f t="shared" si="1"/>
        <v>6.9561092467247204E-2</v>
      </c>
      <c r="E21">
        <f t="shared" si="2"/>
        <v>4.8387455852369156E-3</v>
      </c>
    </row>
    <row r="22" spans="1:5" x14ac:dyDescent="0.25">
      <c r="A22">
        <v>1.5300491002875001</v>
      </c>
      <c r="B22">
        <v>4.2059625007995274E-2</v>
      </c>
      <c r="C22">
        <f t="shared" si="0"/>
        <v>1.5082247595731676E-2</v>
      </c>
      <c r="D22">
        <f t="shared" si="1"/>
        <v>2.6977377412263599E-2</v>
      </c>
      <c r="E22">
        <f t="shared" si="2"/>
        <v>7.2777889204371016E-4</v>
      </c>
    </row>
    <row r="23" spans="1:5" x14ac:dyDescent="0.25">
      <c r="A23">
        <v>1.5778606168125</v>
      </c>
      <c r="B23">
        <v>3.1544718755996459E-2</v>
      </c>
      <c r="C23">
        <f t="shared" si="0"/>
        <v>3.9986486490343528E-3</v>
      </c>
      <c r="D23">
        <f t="shared" si="1"/>
        <v>2.7546070106962105E-2</v>
      </c>
      <c r="E23">
        <f t="shared" si="2"/>
        <v>7.5878597833767129E-4</v>
      </c>
    </row>
    <row r="24" spans="1:5" x14ac:dyDescent="0.25">
      <c r="A24">
        <v>1.6256721333374999</v>
      </c>
      <c r="B24">
        <v>1.1829269533498672E-2</v>
      </c>
      <c r="C24">
        <f t="shared" si="0"/>
        <v>8.3776144649530624E-4</v>
      </c>
      <c r="D24">
        <f t="shared" si="1"/>
        <v>1.0991508087003367E-2</v>
      </c>
      <c r="E24">
        <f t="shared" si="2"/>
        <v>1.2081325002666041E-4</v>
      </c>
    </row>
    <row r="25" spans="1:5" x14ac:dyDescent="0.25">
      <c r="A25">
        <v>1.6734836498625001</v>
      </c>
      <c r="B25">
        <v>1.3143632814998523E-3</v>
      </c>
      <c r="C25">
        <f t="shared" si="0"/>
        <v>1.3494198434731757E-4</v>
      </c>
      <c r="D25">
        <f t="shared" si="1"/>
        <v>1.1794212971525347E-3</v>
      </c>
      <c r="E25">
        <f t="shared" si="2"/>
        <v>1.3910345961769677E-6</v>
      </c>
    </row>
    <row r="26" spans="1:5" x14ac:dyDescent="0.25">
      <c r="A26">
        <v>1.7212951663875002</v>
      </c>
      <c r="B26">
        <v>0</v>
      </c>
      <c r="C26">
        <f t="shared" si="0"/>
        <v>1.6218434282510594E-5</v>
      </c>
      <c r="D26">
        <f t="shared" si="1"/>
        <v>-1.6218434282510594E-5</v>
      </c>
      <c r="E26">
        <f t="shared" si="2"/>
        <v>2.6303761057611492E-10</v>
      </c>
    </row>
    <row r="27" spans="1:5" x14ac:dyDescent="0.25">
      <c r="A27">
        <v>1.7691066829125002</v>
      </c>
      <c r="B27">
        <v>0</v>
      </c>
      <c r="C27">
        <f t="shared" si="0"/>
        <v>1.4080653561144426E-6</v>
      </c>
      <c r="D27">
        <f t="shared" si="1"/>
        <v>-1.4080653561144426E-6</v>
      </c>
      <c r="E27">
        <f t="shared" si="2"/>
        <v>1.9826480470896922E-12</v>
      </c>
    </row>
    <row r="28" spans="1:5" x14ac:dyDescent="0.25">
      <c r="A28">
        <v>1.8169181994375001</v>
      </c>
      <c r="B28">
        <v>0</v>
      </c>
      <c r="C28">
        <f t="shared" si="0"/>
        <v>8.5261166923143137E-8</v>
      </c>
      <c r="D28">
        <f t="shared" si="1"/>
        <v>-8.5261166923143137E-8</v>
      </c>
      <c r="E28">
        <f t="shared" si="2"/>
        <v>7.2694665850960777E-15</v>
      </c>
    </row>
    <row r="29" spans="1:5" x14ac:dyDescent="0.25">
      <c r="A29">
        <v>1.8647297159625</v>
      </c>
      <c r="B29">
        <v>0</v>
      </c>
      <c r="C29">
        <f t="shared" si="0"/>
        <v>3.4669305459588384E-9</v>
      </c>
      <c r="D29">
        <f t="shared" si="1"/>
        <v>-3.4669305459588384E-9</v>
      </c>
      <c r="E29">
        <f t="shared" si="2"/>
        <v>1.2019607410502449E-17</v>
      </c>
    </row>
    <row r="30" spans="1:5" x14ac:dyDescent="0.25">
      <c r="A30">
        <v>1.9125412324875</v>
      </c>
      <c r="B30">
        <v>0</v>
      </c>
      <c r="C30">
        <f t="shared" si="0"/>
        <v>9.0883483004490687E-11</v>
      </c>
      <c r="D30">
        <f t="shared" si="1"/>
        <v>-9.0883483004490687E-11</v>
      </c>
      <c r="E30">
        <f t="shared" si="2"/>
        <v>8.2598074830275479E-21</v>
      </c>
    </row>
    <row r="31" spans="1:5" x14ac:dyDescent="0.25">
      <c r="A31">
        <v>1.9603527490124999</v>
      </c>
      <c r="B31">
        <v>0</v>
      </c>
      <c r="C31">
        <f t="shared" si="0"/>
        <v>1.4700124498130238E-12</v>
      </c>
      <c r="D31">
        <f t="shared" si="1"/>
        <v>-1.4700124498130238E-12</v>
      </c>
      <c r="E31">
        <f t="shared" si="2"/>
        <v>2.1609366026052879E-24</v>
      </c>
    </row>
    <row r="32" spans="1:5" x14ac:dyDescent="0.25">
      <c r="A32">
        <v>2.0081642655375003</v>
      </c>
      <c r="B32">
        <v>0</v>
      </c>
      <c r="C32">
        <f t="shared" si="0"/>
        <v>1.3996260197883171E-14</v>
      </c>
      <c r="D32">
        <f t="shared" si="1"/>
        <v>-1.3996260197883171E-14</v>
      </c>
      <c r="E32">
        <f t="shared" si="2"/>
        <v>1.9589529952684866E-28</v>
      </c>
    </row>
    <row r="33" spans="1:5" x14ac:dyDescent="0.25">
      <c r="A33">
        <v>2.0559757820625002</v>
      </c>
      <c r="B33">
        <v>0</v>
      </c>
      <c r="C33">
        <f t="shared" si="0"/>
        <v>7.4586888365179698E-17</v>
      </c>
      <c r="D33">
        <f t="shared" si="1"/>
        <v>-7.4586888365179698E-17</v>
      </c>
      <c r="E33">
        <f t="shared" si="2"/>
        <v>5.5632039159997784E-33</v>
      </c>
    </row>
    <row r="34" spans="1:5" x14ac:dyDescent="0.25">
      <c r="A34">
        <v>2.1037872985875001</v>
      </c>
      <c r="B34">
        <v>0</v>
      </c>
      <c r="C34">
        <f t="shared" si="0"/>
        <v>2.107943275240617E-19</v>
      </c>
      <c r="D34">
        <f t="shared" si="1"/>
        <v>-2.107943275240617E-19</v>
      </c>
      <c r="E34">
        <f t="shared" si="2"/>
        <v>4.4434248516321398E-38</v>
      </c>
    </row>
    <row r="35" spans="1:5" x14ac:dyDescent="0.25">
      <c r="A35">
        <v>2.1515988151125001</v>
      </c>
      <c r="B35">
        <v>0</v>
      </c>
      <c r="C35">
        <f t="shared" si="0"/>
        <v>2.9826650421994611E-22</v>
      </c>
      <c r="D35">
        <f t="shared" si="1"/>
        <v>-2.9826650421994611E-22</v>
      </c>
      <c r="E35">
        <f t="shared" si="2"/>
        <v>8.8962907539587128E-44</v>
      </c>
    </row>
    <row r="36" spans="1:5" x14ac:dyDescent="0.25">
      <c r="A36">
        <v>2.1994103316375</v>
      </c>
      <c r="B36">
        <v>0</v>
      </c>
      <c r="C36">
        <f t="shared" si="0"/>
        <v>1.9872505434462775E-25</v>
      </c>
      <c r="D36">
        <f t="shared" si="1"/>
        <v>-1.9872505434462775E-25</v>
      </c>
      <c r="E36">
        <f t="shared" si="2"/>
        <v>3.949164722427525E-50</v>
      </c>
    </row>
    <row r="37" spans="1:5" x14ac:dyDescent="0.25">
      <c r="A37">
        <v>2.2472218481624999</v>
      </c>
      <c r="B37">
        <v>0</v>
      </c>
      <c r="C37">
        <f t="shared" si="0"/>
        <v>5.8403558315965226E-29</v>
      </c>
      <c r="D37">
        <f t="shared" si="1"/>
        <v>-5.8403558315965226E-29</v>
      </c>
      <c r="E37">
        <f t="shared" si="2"/>
        <v>3.4109756239663508E-57</v>
      </c>
    </row>
    <row r="38" spans="1:5" x14ac:dyDescent="0.25">
      <c r="A38">
        <v>2.2950333646874999</v>
      </c>
      <c r="B38">
        <v>0</v>
      </c>
      <c r="C38">
        <f t="shared" si="0"/>
        <v>7.0634039438048491E-33</v>
      </c>
      <c r="D38">
        <f t="shared" si="1"/>
        <v>-7.0634039438048491E-33</v>
      </c>
      <c r="E38">
        <f t="shared" si="2"/>
        <v>4.9891675273357896E-65</v>
      </c>
    </row>
    <row r="39" spans="1:5" x14ac:dyDescent="0.25">
      <c r="A39">
        <v>2.3428448812124998</v>
      </c>
      <c r="B39">
        <v>0</v>
      </c>
      <c r="C39">
        <f t="shared" si="0"/>
        <v>3.2656501282577037E-37</v>
      </c>
      <c r="D39">
        <f t="shared" si="1"/>
        <v>-3.2656501282577037E-37</v>
      </c>
      <c r="E39">
        <f t="shared" si="2"/>
        <v>1.0664470760189556E-73</v>
      </c>
    </row>
    <row r="40" spans="1:5" x14ac:dyDescent="0.25">
      <c r="A40">
        <v>2.3906563977375002</v>
      </c>
      <c r="B40">
        <v>1.3143632814998523E-3</v>
      </c>
      <c r="C40">
        <f t="shared" si="0"/>
        <v>5.3379046544162233E-42</v>
      </c>
      <c r="D40">
        <f t="shared" si="1"/>
        <v>1.3143632814998523E-3</v>
      </c>
      <c r="E40">
        <f t="shared" si="2"/>
        <v>1.72755083575506E-6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3AED-D25A-4D70-868D-336AE7B35D6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2.8677596175000004E-2</v>
      </c>
      <c r="B1">
        <v>1.0985123285580519E-3</v>
      </c>
      <c r="C1">
        <f>$H$3*(1+$H$1)*(A1^($H$1))*EXP(-$H$3*(A1^(1+$H$1)))</f>
        <v>3.6288278555751647E-11</v>
      </c>
      <c r="D1">
        <f>B1-C1</f>
        <v>1.0985122922697733E-3</v>
      </c>
      <c r="E1">
        <f>D1^2</f>
        <v>1.2067292562677919E-6</v>
      </c>
      <c r="G1" t="s">
        <v>0</v>
      </c>
      <c r="H1">
        <v>7.2259923953678165</v>
      </c>
    </row>
    <row r="2" spans="1:8" x14ac:dyDescent="0.25">
      <c r="A2">
        <v>8.5880188525000012E-2</v>
      </c>
      <c r="B2">
        <v>0</v>
      </c>
      <c r="C2">
        <f t="shared" ref="C2:C40" si="0">$H$3*(1+$H$1)*(A2^($H$1))*EXP(-$H$3*(A2^(1+$H$1)))</f>
        <v>1.0043142119920156E-7</v>
      </c>
      <c r="D2">
        <f t="shared" ref="D2:D40" si="1">B2-C2</f>
        <v>-1.0043142119920156E-7</v>
      </c>
      <c r="E2">
        <f t="shared" ref="E2:E40" si="2">D2^2</f>
        <v>1.0086470364091431E-14</v>
      </c>
    </row>
    <row r="3" spans="1:8" x14ac:dyDescent="0.25">
      <c r="A3">
        <v>0.14308278087500001</v>
      </c>
      <c r="B3">
        <v>0</v>
      </c>
      <c r="C3">
        <f t="shared" si="0"/>
        <v>4.0163495674588182E-6</v>
      </c>
      <c r="D3">
        <f t="shared" si="1"/>
        <v>-4.0163495674588182E-6</v>
      </c>
      <c r="E3">
        <f t="shared" si="2"/>
        <v>1.6131063848026637E-11</v>
      </c>
      <c r="G3" t="s">
        <v>1</v>
      </c>
      <c r="H3">
        <f>(_xlfn.GAMMA((2+$H$1)/(1+$H$1)))^(1+$H$1)</f>
        <v>0.61710982143578952</v>
      </c>
    </row>
    <row r="4" spans="1:8" x14ac:dyDescent="0.25">
      <c r="A4">
        <v>0.20028537322500001</v>
      </c>
      <c r="B4">
        <v>0</v>
      </c>
      <c r="C4">
        <f t="shared" si="0"/>
        <v>4.56323626835079E-5</v>
      </c>
      <c r="D4">
        <f t="shared" si="1"/>
        <v>-4.56323626835079E-5</v>
      </c>
      <c r="E4">
        <f t="shared" si="2"/>
        <v>2.0823125240792045E-9</v>
      </c>
    </row>
    <row r="5" spans="1:8" x14ac:dyDescent="0.25">
      <c r="A5">
        <v>0.25748796557499998</v>
      </c>
      <c r="B5">
        <v>0</v>
      </c>
      <c r="C5">
        <f t="shared" si="0"/>
        <v>2.8033740615101681E-4</v>
      </c>
      <c r="D5">
        <f t="shared" si="1"/>
        <v>-2.8033740615101681E-4</v>
      </c>
      <c r="E5">
        <f t="shared" si="2"/>
        <v>7.8589061287480163E-8</v>
      </c>
      <c r="G5" t="s">
        <v>2</v>
      </c>
      <c r="H5">
        <f>SUM(E1:E40)</f>
        <v>1.3848328593995076</v>
      </c>
    </row>
    <row r="6" spans="1:8" x14ac:dyDescent="0.25">
      <c r="A6">
        <v>0.314690557925</v>
      </c>
      <c r="B6">
        <v>0</v>
      </c>
      <c r="C6">
        <f t="shared" si="0"/>
        <v>1.1946548129648691E-3</v>
      </c>
      <c r="D6">
        <f t="shared" si="1"/>
        <v>-1.1946548129648691E-3</v>
      </c>
      <c r="E6">
        <f t="shared" si="2"/>
        <v>1.4272001221401264E-6</v>
      </c>
    </row>
    <row r="7" spans="1:8" x14ac:dyDescent="0.25">
      <c r="A7">
        <v>0.37189315027499997</v>
      </c>
      <c r="B7">
        <v>0</v>
      </c>
      <c r="C7">
        <f t="shared" si="0"/>
        <v>3.9931661045256419E-3</v>
      </c>
      <c r="D7">
        <f t="shared" si="1"/>
        <v>-3.9931661045256419E-3</v>
      </c>
      <c r="E7">
        <f t="shared" si="2"/>
        <v>1.5945375538332491E-5</v>
      </c>
    </row>
    <row r="8" spans="1:8" x14ac:dyDescent="0.25">
      <c r="A8">
        <v>0.42909574262500005</v>
      </c>
      <c r="B8">
        <v>0</v>
      </c>
      <c r="C8">
        <f t="shared" si="0"/>
        <v>1.1223694377933224E-2</v>
      </c>
      <c r="D8">
        <f t="shared" si="1"/>
        <v>-1.1223694377933224E-2</v>
      </c>
      <c r="E8">
        <f t="shared" si="2"/>
        <v>1.2597131548924985E-4</v>
      </c>
    </row>
    <row r="9" spans="1:8" x14ac:dyDescent="0.25">
      <c r="A9">
        <v>0.48629833497500008</v>
      </c>
      <c r="B9">
        <v>0</v>
      </c>
      <c r="C9">
        <f t="shared" si="0"/>
        <v>2.7694940380709635E-2</v>
      </c>
      <c r="D9">
        <f t="shared" si="1"/>
        <v>-2.7694940380709635E-2</v>
      </c>
      <c r="E9">
        <f t="shared" si="2"/>
        <v>7.670097226910611E-4</v>
      </c>
    </row>
    <row r="10" spans="1:8" x14ac:dyDescent="0.25">
      <c r="A10">
        <v>0.54350092732499999</v>
      </c>
      <c r="B10">
        <v>0</v>
      </c>
      <c r="C10">
        <f t="shared" si="0"/>
        <v>6.1706678624033243E-2</v>
      </c>
      <c r="D10">
        <f t="shared" si="1"/>
        <v>-6.1706678624033243E-2</v>
      </c>
      <c r="E10">
        <f t="shared" si="2"/>
        <v>3.8077141868097211E-3</v>
      </c>
    </row>
    <row r="11" spans="1:8" x14ac:dyDescent="0.25">
      <c r="A11">
        <v>0.60070351967500013</v>
      </c>
      <c r="B11">
        <v>0</v>
      </c>
      <c r="C11">
        <f t="shared" si="0"/>
        <v>0.12650314671388133</v>
      </c>
      <c r="D11">
        <f t="shared" si="1"/>
        <v>-0.12650314671388133</v>
      </c>
      <c r="E11">
        <f t="shared" si="2"/>
        <v>1.6003046128513783E-2</v>
      </c>
    </row>
    <row r="12" spans="1:8" x14ac:dyDescent="0.25">
      <c r="A12">
        <v>0.65790611202500004</v>
      </c>
      <c r="B12">
        <v>3.8447931499531816E-2</v>
      </c>
      <c r="C12">
        <f t="shared" si="0"/>
        <v>0.24157210878701749</v>
      </c>
      <c r="D12">
        <f t="shared" si="1"/>
        <v>-0.20312417728748566</v>
      </c>
      <c r="E12">
        <f t="shared" si="2"/>
        <v>4.1259431398717905E-2</v>
      </c>
    </row>
    <row r="13" spans="1:8" x14ac:dyDescent="0.25">
      <c r="A13">
        <v>0.71510870437499996</v>
      </c>
      <c r="B13">
        <v>0.2449682492684456</v>
      </c>
      <c r="C13">
        <f t="shared" si="0"/>
        <v>0.43276652406258559</v>
      </c>
      <c r="D13">
        <f t="shared" si="1"/>
        <v>-0.18779827479413999</v>
      </c>
      <c r="E13">
        <f t="shared" si="2"/>
        <v>3.5268192015655314E-2</v>
      </c>
    </row>
    <row r="14" spans="1:8" x14ac:dyDescent="0.25">
      <c r="A14">
        <v>0.77231129672499998</v>
      </c>
      <c r="B14">
        <v>0.76236755601928807</v>
      </c>
      <c r="C14">
        <f t="shared" si="0"/>
        <v>0.72902268180279961</v>
      </c>
      <c r="D14">
        <f t="shared" si="1"/>
        <v>3.3344874216488463E-2</v>
      </c>
      <c r="E14">
        <f t="shared" si="2"/>
        <v>1.111880636513437E-3</v>
      </c>
    </row>
    <row r="15" spans="1:8" x14ac:dyDescent="0.25">
      <c r="A15">
        <v>0.82951388907500001</v>
      </c>
      <c r="B15">
        <v>1.4796961065676959</v>
      </c>
      <c r="C15">
        <f t="shared" si="0"/>
        <v>1.1517954522796456</v>
      </c>
      <c r="D15">
        <f t="shared" si="1"/>
        <v>0.32790065428805026</v>
      </c>
      <c r="E15">
        <f t="shared" si="2"/>
        <v>0.10751883908253146</v>
      </c>
    </row>
    <row r="16" spans="1:8" x14ac:dyDescent="0.25">
      <c r="A16">
        <v>0.88671648142500004</v>
      </c>
      <c r="B16">
        <v>2.260738372172471</v>
      </c>
      <c r="C16">
        <f t="shared" si="0"/>
        <v>1.6926226254954815</v>
      </c>
      <c r="D16">
        <f t="shared" si="1"/>
        <v>0.5681157466769895</v>
      </c>
      <c r="E16">
        <f t="shared" si="2"/>
        <v>0.32275550162235328</v>
      </c>
    </row>
    <row r="17" spans="1:5" x14ac:dyDescent="0.25">
      <c r="A17">
        <v>0.94391907377500006</v>
      </c>
      <c r="B17">
        <v>2.8385558569940064</v>
      </c>
      <c r="C17">
        <f t="shared" si="0"/>
        <v>2.2788726526910303</v>
      </c>
      <c r="D17">
        <f t="shared" si="1"/>
        <v>0.55968320430297602</v>
      </c>
      <c r="E17">
        <f t="shared" si="2"/>
        <v>0.31324528917884681</v>
      </c>
    </row>
    <row r="18" spans="1:5" x14ac:dyDescent="0.25">
      <c r="A18">
        <v>1.001121666125</v>
      </c>
      <c r="B18">
        <v>2.8539350295938188</v>
      </c>
      <c r="C18">
        <f t="shared" si="0"/>
        <v>2.7452286430136197</v>
      </c>
      <c r="D18">
        <f t="shared" si="1"/>
        <v>0.10870638658019915</v>
      </c>
      <c r="E18">
        <f t="shared" si="2"/>
        <v>1.1817078483323702E-2</v>
      </c>
    </row>
    <row r="19" spans="1:5" x14ac:dyDescent="0.25">
      <c r="A19">
        <v>1.0583242584749999</v>
      </c>
      <c r="B19">
        <v>2.5595337255402613</v>
      </c>
      <c r="C19">
        <f t="shared" si="0"/>
        <v>2.8590184712720399</v>
      </c>
      <c r="D19">
        <f t="shared" si="1"/>
        <v>-0.29948474573177863</v>
      </c>
      <c r="E19">
        <f t="shared" si="2"/>
        <v>8.9691112926028105E-2</v>
      </c>
    </row>
    <row r="20" spans="1:5" x14ac:dyDescent="0.25">
      <c r="A20">
        <v>1.1155268508249998</v>
      </c>
      <c r="B20">
        <v>1.922396574976591</v>
      </c>
      <c r="C20">
        <f t="shared" si="0"/>
        <v>2.4541234481703631</v>
      </c>
      <c r="D20">
        <f t="shared" si="1"/>
        <v>-0.5317268731937721</v>
      </c>
      <c r="E20">
        <f t="shared" si="2"/>
        <v>0.28273346767642582</v>
      </c>
    </row>
    <row r="21" spans="1:5" x14ac:dyDescent="0.25">
      <c r="A21">
        <v>1.1727294431750002</v>
      </c>
      <c r="B21">
        <v>1.2632891778417596</v>
      </c>
      <c r="C21">
        <f t="shared" si="0"/>
        <v>1.6278589669444359</v>
      </c>
      <c r="D21">
        <f t="shared" si="1"/>
        <v>-0.36456978910267623</v>
      </c>
      <c r="E21">
        <f t="shared" si="2"/>
        <v>0.13291113112636982</v>
      </c>
    </row>
    <row r="22" spans="1:5" x14ac:dyDescent="0.25">
      <c r="A22">
        <v>1.2299320355250001</v>
      </c>
      <c r="B22">
        <v>0.7305106984911045</v>
      </c>
      <c r="C22">
        <f t="shared" si="0"/>
        <v>0.76627573324815601</v>
      </c>
      <c r="D22">
        <f t="shared" si="1"/>
        <v>-3.5765034757051506E-2</v>
      </c>
      <c r="E22">
        <f t="shared" si="2"/>
        <v>1.2791377111731022E-3</v>
      </c>
    </row>
    <row r="23" spans="1:5" x14ac:dyDescent="0.25">
      <c r="A23">
        <v>1.287134627875</v>
      </c>
      <c r="B23">
        <v>0.34932692048146052</v>
      </c>
      <c r="C23">
        <f t="shared" si="0"/>
        <v>0.22917126287072778</v>
      </c>
      <c r="D23">
        <f t="shared" si="1"/>
        <v>0.12015565761073274</v>
      </c>
      <c r="E23">
        <f t="shared" si="2"/>
        <v>1.4437382055867637E-2</v>
      </c>
    </row>
    <row r="24" spans="1:5" x14ac:dyDescent="0.25">
      <c r="A24">
        <v>1.3443372202249999</v>
      </c>
      <c r="B24">
        <v>0.13072296709840819</v>
      </c>
      <c r="C24">
        <f t="shared" si="0"/>
        <v>3.7795388941237726E-2</v>
      </c>
      <c r="D24">
        <f t="shared" si="1"/>
        <v>9.2927578157170468E-2</v>
      </c>
      <c r="E24">
        <f t="shared" si="2"/>
        <v>8.6355347821570252E-3</v>
      </c>
    </row>
    <row r="25" spans="1:5" x14ac:dyDescent="0.25">
      <c r="A25">
        <v>1.4015398125749998</v>
      </c>
      <c r="B25">
        <v>4.064495615664792E-2</v>
      </c>
      <c r="C25">
        <f t="shared" si="0"/>
        <v>2.8737229785945799E-3</v>
      </c>
      <c r="D25">
        <f t="shared" si="1"/>
        <v>3.7771233178053337E-2</v>
      </c>
      <c r="E25">
        <f t="shared" si="2"/>
        <v>1.4266660557908772E-3</v>
      </c>
    </row>
    <row r="26" spans="1:5" x14ac:dyDescent="0.25">
      <c r="A26">
        <v>1.4587424049250002</v>
      </c>
      <c r="B26">
        <v>4.3940493142322077E-3</v>
      </c>
      <c r="C26">
        <f t="shared" si="0"/>
        <v>8.05157180552214E-5</v>
      </c>
      <c r="D26">
        <f t="shared" si="1"/>
        <v>4.3135335961769859E-3</v>
      </c>
      <c r="E26">
        <f t="shared" si="2"/>
        <v>1.8606572085347561E-5</v>
      </c>
    </row>
    <row r="27" spans="1:5" x14ac:dyDescent="0.25">
      <c r="A27">
        <v>1.5159449972750001</v>
      </c>
      <c r="B27">
        <v>0</v>
      </c>
      <c r="C27">
        <f t="shared" si="0"/>
        <v>6.2979172489264666E-7</v>
      </c>
      <c r="D27">
        <f t="shared" si="1"/>
        <v>-6.2979172489264666E-7</v>
      </c>
      <c r="E27">
        <f t="shared" si="2"/>
        <v>3.9663761674325514E-13</v>
      </c>
    </row>
    <row r="28" spans="1:5" x14ac:dyDescent="0.25">
      <c r="A28">
        <v>1.573147589625</v>
      </c>
      <c r="B28">
        <v>0</v>
      </c>
      <c r="C28">
        <f t="shared" si="0"/>
        <v>9.7799363053614093E-10</v>
      </c>
      <c r="D28">
        <f t="shared" si="1"/>
        <v>-9.7799363053614093E-10</v>
      </c>
      <c r="E28">
        <f t="shared" si="2"/>
        <v>9.5647154136926171E-19</v>
      </c>
    </row>
    <row r="29" spans="1:5" x14ac:dyDescent="0.25">
      <c r="A29">
        <v>1.6303501819749999</v>
      </c>
      <c r="B29">
        <v>0</v>
      </c>
      <c r="C29">
        <f t="shared" si="0"/>
        <v>1.9902096779425805E-13</v>
      </c>
      <c r="D29">
        <f t="shared" si="1"/>
        <v>-1.9902096779425805E-13</v>
      </c>
      <c r="E29">
        <f t="shared" si="2"/>
        <v>3.96093456217631E-26</v>
      </c>
    </row>
    <row r="30" spans="1:5" x14ac:dyDescent="0.25">
      <c r="A30">
        <v>1.6875527743249998</v>
      </c>
      <c r="B30">
        <v>0</v>
      </c>
      <c r="C30">
        <f t="shared" si="0"/>
        <v>3.2113334406151564E-18</v>
      </c>
      <c r="D30">
        <f t="shared" si="1"/>
        <v>-3.2113334406151564E-18</v>
      </c>
      <c r="E30">
        <f t="shared" si="2"/>
        <v>1.0312662466813178E-35</v>
      </c>
    </row>
    <row r="31" spans="1:5" x14ac:dyDescent="0.25">
      <c r="A31">
        <v>1.7447553666750002</v>
      </c>
      <c r="B31">
        <v>0</v>
      </c>
      <c r="C31">
        <f t="shared" si="0"/>
        <v>2.2467516419856781E-24</v>
      </c>
      <c r="D31">
        <f t="shared" si="1"/>
        <v>-2.2467516419856781E-24</v>
      </c>
      <c r="E31">
        <f t="shared" si="2"/>
        <v>5.0478929407653408E-48</v>
      </c>
    </row>
    <row r="32" spans="1:5" x14ac:dyDescent="0.25">
      <c r="A32">
        <v>1.8019579590250001</v>
      </c>
      <c r="B32">
        <v>0</v>
      </c>
      <c r="C32">
        <f t="shared" si="0"/>
        <v>3.3155108613185887E-32</v>
      </c>
      <c r="D32">
        <f t="shared" si="1"/>
        <v>-3.3155108613185887E-32</v>
      </c>
      <c r="E32">
        <f t="shared" si="2"/>
        <v>1.099261227152153E-63</v>
      </c>
    </row>
    <row r="33" spans="1:5" x14ac:dyDescent="0.25">
      <c r="A33">
        <v>1.859160551375</v>
      </c>
      <c r="B33">
        <v>0</v>
      </c>
      <c r="C33">
        <f t="shared" si="0"/>
        <v>4.3875967759858053E-42</v>
      </c>
      <c r="D33">
        <f t="shared" si="1"/>
        <v>-4.3875967759858053E-42</v>
      </c>
      <c r="E33">
        <f t="shared" si="2"/>
        <v>1.9251005468641032E-83</v>
      </c>
    </row>
    <row r="34" spans="1:5" x14ac:dyDescent="0.25">
      <c r="A34">
        <v>1.9163631437249999</v>
      </c>
      <c r="B34">
        <v>0</v>
      </c>
      <c r="C34">
        <f t="shared" si="0"/>
        <v>1.8972517793042659E-54</v>
      </c>
      <c r="D34">
        <f t="shared" si="1"/>
        <v>-1.8972517793042659E-54</v>
      </c>
      <c r="E34">
        <f t="shared" si="2"/>
        <v>3.5995643140732032E-108</v>
      </c>
    </row>
    <row r="35" spans="1:5" x14ac:dyDescent="0.25">
      <c r="A35">
        <v>1.9735657360749999</v>
      </c>
      <c r="B35">
        <v>0</v>
      </c>
      <c r="C35">
        <f t="shared" si="0"/>
        <v>8.190803871890563E-70</v>
      </c>
      <c r="D35">
        <f t="shared" si="1"/>
        <v>-8.190803871890563E-70</v>
      </c>
      <c r="E35">
        <f t="shared" si="2"/>
        <v>6.7089268067777439E-139</v>
      </c>
    </row>
    <row r="36" spans="1:5" x14ac:dyDescent="0.25">
      <c r="A36">
        <v>2.0307683284250002</v>
      </c>
      <c r="B36">
        <v>0</v>
      </c>
      <c r="C36">
        <f t="shared" si="0"/>
        <v>8.8312377210049125E-89</v>
      </c>
      <c r="D36">
        <f t="shared" si="1"/>
        <v>-8.8312377210049125E-89</v>
      </c>
      <c r="E36">
        <f t="shared" si="2"/>
        <v>7.7990759684900044E-177</v>
      </c>
    </row>
    <row r="37" spans="1:5" x14ac:dyDescent="0.25">
      <c r="A37">
        <v>2.0879709207750001</v>
      </c>
      <c r="B37">
        <v>0</v>
      </c>
      <c r="C37">
        <f t="shared" si="0"/>
        <v>4.7426808232659304E-112</v>
      </c>
      <c r="D37">
        <f t="shared" si="1"/>
        <v>-4.7426808232659304E-112</v>
      </c>
      <c r="E37">
        <f t="shared" si="2"/>
        <v>2.2493021391374405E-223</v>
      </c>
    </row>
    <row r="38" spans="1:5" x14ac:dyDescent="0.25">
      <c r="A38">
        <v>2.145173513125</v>
      </c>
      <c r="B38">
        <v>0</v>
      </c>
      <c r="C38">
        <f t="shared" si="0"/>
        <v>1.9595677532024119E-140</v>
      </c>
      <c r="D38">
        <f t="shared" si="1"/>
        <v>-1.9595677532024119E-140</v>
      </c>
      <c r="E38">
        <f t="shared" si="2"/>
        <v>3.8399057793907488E-280</v>
      </c>
    </row>
    <row r="39" spans="1:5" x14ac:dyDescent="0.25">
      <c r="A39">
        <v>2.202376105475</v>
      </c>
      <c r="B39">
        <v>0</v>
      </c>
      <c r="C39">
        <f t="shared" si="0"/>
        <v>7.2187309506274487E-175</v>
      </c>
      <c r="D39">
        <f t="shared" si="1"/>
        <v>-7.2187309506274487E-175</v>
      </c>
      <c r="E39">
        <f t="shared" si="2"/>
        <v>0</v>
      </c>
    </row>
    <row r="40" spans="1:5" x14ac:dyDescent="0.25">
      <c r="A40">
        <v>2.2595786978249999</v>
      </c>
      <c r="B40">
        <v>1.0985123285580519E-3</v>
      </c>
      <c r="C40">
        <f t="shared" si="0"/>
        <v>1.9910121321965241E-216</v>
      </c>
      <c r="D40">
        <f t="shared" si="1"/>
        <v>1.0985123285580519E-3</v>
      </c>
      <c r="E40">
        <f t="shared" si="2"/>
        <v>1.2067293359940334E-6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9FA9-9258-41F5-A99D-E139B561AB9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0.77538335442499995</v>
      </c>
      <c r="B1">
        <v>6.1582047726582573E-2</v>
      </c>
      <c r="C1">
        <f>$H$3*(1+$H$1)*(A1^($H$1))*EXP(-$H$3*(A1^(1+$H$1)))</f>
        <v>0.36323493802882018</v>
      </c>
      <c r="D1">
        <f>B1-C1</f>
        <v>-0.30165289030223763</v>
      </c>
      <c r="E1">
        <f>D1^2</f>
        <v>9.0994466227693804E-2</v>
      </c>
      <c r="G1" t="s">
        <v>0</v>
      </c>
      <c r="H1">
        <v>11.925178984668769</v>
      </c>
    </row>
    <row r="2" spans="1:8" x14ac:dyDescent="0.25">
      <c r="A2">
        <v>0.81109703127499988</v>
      </c>
      <c r="B2">
        <v>0.31846716110032702</v>
      </c>
      <c r="C2">
        <f t="shared" ref="C2:C40" si="0">$H$3*(1+$H$1)*(A2^($H$1))*EXP(-$H$3*(A2^(1+$H$1)))</f>
        <v>0.61060334322599152</v>
      </c>
      <c r="D2">
        <f t="shared" ref="D2:D40" si="1">B2-C2</f>
        <v>-0.2921361821256645</v>
      </c>
      <c r="E2">
        <f t="shared" ref="E2:E40" si="2">D2^2</f>
        <v>8.5343548906959416E-2</v>
      </c>
    </row>
    <row r="3" spans="1:8" x14ac:dyDescent="0.25">
      <c r="A3">
        <v>0.84681070812500003</v>
      </c>
      <c r="B3">
        <v>0.97123686700210232</v>
      </c>
      <c r="C3">
        <f t="shared" si="0"/>
        <v>0.99086358335027558</v>
      </c>
      <c r="D3">
        <f t="shared" si="1"/>
        <v>-1.9626716348173256E-2</v>
      </c>
      <c r="E3">
        <f t="shared" si="2"/>
        <v>3.8520799461165138E-4</v>
      </c>
      <c r="G3" t="s">
        <v>1</v>
      </c>
      <c r="H3">
        <f>(_xlfn.GAMMA((2+$H$1)/(1+$H$1)))^(1+$H$1)</f>
        <v>0.59698525636702593</v>
      </c>
    </row>
    <row r="4" spans="1:8" x14ac:dyDescent="0.25">
      <c r="A4">
        <v>0.88252438497499996</v>
      </c>
      <c r="B4">
        <v>1.9794229626401543</v>
      </c>
      <c r="C4">
        <f t="shared" si="0"/>
        <v>1.5439324022335639</v>
      </c>
      <c r="D4">
        <f t="shared" si="1"/>
        <v>0.4354905604065904</v>
      </c>
      <c r="E4">
        <f t="shared" si="2"/>
        <v>0.18965202820324617</v>
      </c>
    </row>
    <row r="5" spans="1:8" x14ac:dyDescent="0.25">
      <c r="A5">
        <v>0.9182380618249999</v>
      </c>
      <c r="B5">
        <v>3.2304182750287316</v>
      </c>
      <c r="C5">
        <f t="shared" si="0"/>
        <v>2.2884857640148737</v>
      </c>
      <c r="D5">
        <f t="shared" si="1"/>
        <v>0.94193251101385789</v>
      </c>
      <c r="E5">
        <f t="shared" si="2"/>
        <v>0.88723685530487151</v>
      </c>
      <c r="G5" t="s">
        <v>2</v>
      </c>
      <c r="H5">
        <f>SUM(E1:E40)</f>
        <v>4.0742387944911487</v>
      </c>
    </row>
    <row r="6" spans="1:8" x14ac:dyDescent="0.25">
      <c r="A6">
        <v>0.95395173867499994</v>
      </c>
      <c r="B6">
        <v>4.1048833527462039</v>
      </c>
      <c r="C6">
        <f t="shared" si="0"/>
        <v>3.1789234268161009</v>
      </c>
      <c r="D6">
        <f t="shared" si="1"/>
        <v>0.92595992593010301</v>
      </c>
      <c r="E6">
        <f t="shared" si="2"/>
        <v>0.85740178442848181</v>
      </c>
    </row>
    <row r="7" spans="1:8" x14ac:dyDescent="0.25">
      <c r="A7">
        <v>0.98966541552499998</v>
      </c>
      <c r="B7">
        <v>4.636248450272717</v>
      </c>
      <c r="C7">
        <f t="shared" si="0"/>
        <v>4.0448953745126603</v>
      </c>
      <c r="D7">
        <f t="shared" si="1"/>
        <v>0.59135307576005669</v>
      </c>
      <c r="E7">
        <f t="shared" si="2"/>
        <v>0.34969846021087936</v>
      </c>
    </row>
    <row r="8" spans="1:8" x14ac:dyDescent="0.25">
      <c r="A8">
        <v>1.0253790923749999</v>
      </c>
      <c r="B8">
        <v>4.1981361678750293</v>
      </c>
      <c r="C8">
        <f t="shared" si="0"/>
        <v>4.5577120911388098</v>
      </c>
      <c r="D8">
        <f t="shared" si="1"/>
        <v>-0.35957592326378052</v>
      </c>
      <c r="E8">
        <f t="shared" si="2"/>
        <v>0.12929484459100019</v>
      </c>
    </row>
    <row r="9" spans="1:8" x14ac:dyDescent="0.25">
      <c r="A9">
        <v>1.0610927692250001</v>
      </c>
      <c r="B9">
        <v>3.4661895434676477</v>
      </c>
      <c r="C9">
        <f t="shared" si="0"/>
        <v>4.3305062416267921</v>
      </c>
      <c r="D9">
        <f t="shared" si="1"/>
        <v>-0.86431669815914436</v>
      </c>
      <c r="E9">
        <f t="shared" si="2"/>
        <v>0.74704335471672545</v>
      </c>
    </row>
    <row r="10" spans="1:8" x14ac:dyDescent="0.25">
      <c r="A10">
        <v>1.096806446075</v>
      </c>
      <c r="B10">
        <v>2.477357805686522</v>
      </c>
      <c r="C10">
        <f t="shared" si="0"/>
        <v>3.2361854138210111</v>
      </c>
      <c r="D10">
        <f t="shared" si="1"/>
        <v>-0.75882760813448913</v>
      </c>
      <c r="E10">
        <f t="shared" si="2"/>
        <v>0.57581933886710979</v>
      </c>
    </row>
    <row r="11" spans="1:8" x14ac:dyDescent="0.25">
      <c r="A11">
        <v>1.1325201229249999</v>
      </c>
      <c r="B11">
        <v>1.4287035072567158</v>
      </c>
      <c r="C11">
        <f t="shared" si="0"/>
        <v>1.7250980939453564</v>
      </c>
      <c r="D11">
        <f t="shared" si="1"/>
        <v>-0.2963945866886406</v>
      </c>
      <c r="E11">
        <f t="shared" si="2"/>
        <v>8.7849751018330091E-2</v>
      </c>
    </row>
    <row r="12" spans="1:8" x14ac:dyDescent="0.25">
      <c r="A12">
        <v>1.1682337997750001</v>
      </c>
      <c r="B12">
        <v>0.73370611148528386</v>
      </c>
      <c r="C12">
        <f t="shared" si="0"/>
        <v>0.57298670786574923</v>
      </c>
      <c r="D12">
        <f t="shared" si="1"/>
        <v>0.16071940361953463</v>
      </c>
      <c r="E12">
        <f t="shared" si="2"/>
        <v>2.5830726699818882E-2</v>
      </c>
    </row>
    <row r="13" spans="1:8" x14ac:dyDescent="0.25">
      <c r="A13">
        <v>1.203947476625</v>
      </c>
      <c r="B13">
        <v>0.30439126447710818</v>
      </c>
      <c r="C13">
        <f t="shared" si="0"/>
        <v>9.8537683964320139E-2</v>
      </c>
      <c r="D13">
        <f t="shared" si="1"/>
        <v>0.20585358051278804</v>
      </c>
      <c r="E13">
        <f t="shared" si="2"/>
        <v>4.2375696609934906E-2</v>
      </c>
    </row>
    <row r="14" spans="1:8" x14ac:dyDescent="0.25">
      <c r="A14">
        <v>1.2396611534749999</v>
      </c>
      <c r="B14">
        <v>7.9176918505606167E-2</v>
      </c>
      <c r="C14">
        <f t="shared" si="0"/>
        <v>6.8262833265532522E-3</v>
      </c>
      <c r="D14">
        <f t="shared" si="1"/>
        <v>7.2350635179052908E-2</v>
      </c>
      <c r="E14">
        <f t="shared" si="2"/>
        <v>5.2346144108124078E-3</v>
      </c>
    </row>
    <row r="15" spans="1:8" x14ac:dyDescent="0.25">
      <c r="A15">
        <v>1.2753748303250001</v>
      </c>
      <c r="B15">
        <v>8.7974353895117971E-3</v>
      </c>
      <c r="C15">
        <f t="shared" si="0"/>
        <v>1.3599753840047457E-4</v>
      </c>
      <c r="D15">
        <f t="shared" si="1"/>
        <v>8.661437851111323E-3</v>
      </c>
      <c r="E15">
        <f t="shared" si="2"/>
        <v>7.5020505648663928E-5</v>
      </c>
    </row>
    <row r="16" spans="1:8" x14ac:dyDescent="0.25">
      <c r="A16">
        <v>1.311088507175</v>
      </c>
      <c r="B16">
        <v>0</v>
      </c>
      <c r="C16">
        <f t="shared" si="0"/>
        <v>4.975410101284229E-7</v>
      </c>
      <c r="D16">
        <f t="shared" si="1"/>
        <v>-4.975410101284229E-7</v>
      </c>
      <c r="E16">
        <f t="shared" si="2"/>
        <v>2.4754705675961142E-13</v>
      </c>
    </row>
    <row r="17" spans="1:5" x14ac:dyDescent="0.25">
      <c r="A17">
        <v>1.346802184025</v>
      </c>
      <c r="B17">
        <v>0</v>
      </c>
      <c r="C17">
        <f t="shared" si="0"/>
        <v>1.8487233204406211E-10</v>
      </c>
      <c r="D17">
        <f t="shared" si="1"/>
        <v>-1.8487233204406211E-10</v>
      </c>
      <c r="E17">
        <f t="shared" si="2"/>
        <v>3.4177779155409954E-20</v>
      </c>
    </row>
    <row r="18" spans="1:5" x14ac:dyDescent="0.25">
      <c r="A18">
        <v>1.3825158608749999</v>
      </c>
      <c r="B18">
        <v>0</v>
      </c>
      <c r="C18">
        <f t="shared" si="0"/>
        <v>3.2112080065890573E-15</v>
      </c>
      <c r="D18">
        <f t="shared" si="1"/>
        <v>-3.2112080065890573E-15</v>
      </c>
      <c r="E18">
        <f t="shared" si="2"/>
        <v>1.0311856861581666E-29</v>
      </c>
    </row>
    <row r="19" spans="1:5" x14ac:dyDescent="0.25">
      <c r="A19">
        <v>1.418229537725</v>
      </c>
      <c r="B19">
        <v>0</v>
      </c>
      <c r="C19">
        <f t="shared" si="0"/>
        <v>9.503097140452352E-22</v>
      </c>
      <c r="D19">
        <f t="shared" si="1"/>
        <v>-9.503097140452352E-22</v>
      </c>
      <c r="E19">
        <f t="shared" si="2"/>
        <v>9.0308855260873672E-43</v>
      </c>
    </row>
    <row r="20" spans="1:5" x14ac:dyDescent="0.25">
      <c r="A20">
        <v>1.453943214575</v>
      </c>
      <c r="B20">
        <v>0</v>
      </c>
      <c r="C20">
        <f t="shared" si="0"/>
        <v>1.3005768114660205E-30</v>
      </c>
      <c r="D20">
        <f t="shared" si="1"/>
        <v>-1.3005768114660205E-30</v>
      </c>
      <c r="E20">
        <f t="shared" si="2"/>
        <v>1.6915000425231208E-60</v>
      </c>
    </row>
    <row r="21" spans="1:5" x14ac:dyDescent="0.25">
      <c r="A21">
        <v>1.4896568914249999</v>
      </c>
      <c r="B21">
        <v>0</v>
      </c>
      <c r="C21">
        <f t="shared" si="0"/>
        <v>1.5436074171709159E-42</v>
      </c>
      <c r="D21">
        <f t="shared" si="1"/>
        <v>-1.5436074171709159E-42</v>
      </c>
      <c r="E21">
        <f t="shared" si="2"/>
        <v>2.3827238583450659E-84</v>
      </c>
    </row>
    <row r="22" spans="1:5" x14ac:dyDescent="0.25">
      <c r="A22">
        <v>1.5253705682750001</v>
      </c>
      <c r="B22">
        <v>0</v>
      </c>
      <c r="C22">
        <f t="shared" si="0"/>
        <v>1.8778611864059594E-58</v>
      </c>
      <c r="D22">
        <f t="shared" si="1"/>
        <v>-1.8778611864059594E-58</v>
      </c>
      <c r="E22">
        <f t="shared" si="2"/>
        <v>3.5263626354099973E-116</v>
      </c>
    </row>
    <row r="23" spans="1:5" x14ac:dyDescent="0.25">
      <c r="A23">
        <v>1.561084245125</v>
      </c>
      <c r="B23">
        <v>0</v>
      </c>
      <c r="C23">
        <f t="shared" si="0"/>
        <v>1.5604952134679559E-79</v>
      </c>
      <c r="D23">
        <f t="shared" si="1"/>
        <v>-1.5604952134679559E-79</v>
      </c>
      <c r="E23">
        <f t="shared" si="2"/>
        <v>2.4351453112564012E-158</v>
      </c>
    </row>
    <row r="24" spans="1:5" x14ac:dyDescent="0.25">
      <c r="A24">
        <v>1.5967979219749999</v>
      </c>
      <c r="B24">
        <v>0</v>
      </c>
      <c r="C24">
        <f t="shared" si="0"/>
        <v>2.9089348115885685E-107</v>
      </c>
      <c r="D24">
        <f t="shared" si="1"/>
        <v>-2.9089348115885685E-107</v>
      </c>
      <c r="E24">
        <f t="shared" si="2"/>
        <v>8.46190173807182E-214</v>
      </c>
    </row>
    <row r="25" spans="1:5" x14ac:dyDescent="0.25">
      <c r="A25">
        <v>1.6325115988249999</v>
      </c>
      <c r="B25">
        <v>0</v>
      </c>
      <c r="C25">
        <f t="shared" si="0"/>
        <v>1.6738947369549208E-143</v>
      </c>
      <c r="D25">
        <f t="shared" si="1"/>
        <v>-1.6738947369549208E-143</v>
      </c>
      <c r="E25">
        <f t="shared" si="2"/>
        <v>2.8019235904053836E-286</v>
      </c>
    </row>
    <row r="26" spans="1:5" x14ac:dyDescent="0.25">
      <c r="A26">
        <v>1.6682252756749998</v>
      </c>
      <c r="B26">
        <v>0</v>
      </c>
      <c r="C26">
        <f t="shared" si="0"/>
        <v>1.4117818637399978E-190</v>
      </c>
      <c r="D26">
        <f t="shared" si="1"/>
        <v>-1.4117818637399978E-190</v>
      </c>
      <c r="E26">
        <f t="shared" si="2"/>
        <v>0</v>
      </c>
    </row>
    <row r="27" spans="1:5" x14ac:dyDescent="0.25">
      <c r="A27">
        <v>1.7039389525250002</v>
      </c>
      <c r="B27">
        <v>0</v>
      </c>
      <c r="C27">
        <f t="shared" si="0"/>
        <v>2.2674195157548257E-251</v>
      </c>
      <c r="D27">
        <f t="shared" si="1"/>
        <v>-2.2674195157548257E-251</v>
      </c>
      <c r="E27">
        <f t="shared" si="2"/>
        <v>0</v>
      </c>
    </row>
    <row r="28" spans="1:5" x14ac:dyDescent="0.25">
      <c r="A28">
        <v>1.7396526293750001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1.7753663062249998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1.811079983075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1.8467936599250001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1.882507336775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1.9182210136249997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1.9539346904749997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1.9896483673249998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2.025362044175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2.0610757210249999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2.0967893978749998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2.1325030747250002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2.1682167515749997</v>
      </c>
      <c r="B40">
        <v>1.7594870779023594E-3</v>
      </c>
      <c r="C40">
        <f t="shared" si="0"/>
        <v>0</v>
      </c>
      <c r="D40">
        <f t="shared" si="1"/>
        <v>1.7594870779023594E-3</v>
      </c>
      <c r="E40">
        <f t="shared" si="2"/>
        <v>3.0957947773053834E-6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D2E6-6D30-4867-89A2-BADCB052A82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0.84218546688749996</v>
      </c>
      <c r="B1">
        <v>0.13027247760165969</v>
      </c>
      <c r="C1">
        <f>$H$3*(1+$H$1)*(A1^($H$1))*EXP(-$H$3*(A1^(1+$H$1)))</f>
        <v>0.54315789527382752</v>
      </c>
      <c r="D1">
        <f>B1-C1</f>
        <v>-0.4128854176721678</v>
      </c>
      <c r="E1">
        <f>D1^2</f>
        <v>0.17047436812632044</v>
      </c>
      <c r="G1" t="s">
        <v>0</v>
      </c>
      <c r="H1">
        <v>17.188173028967359</v>
      </c>
    </row>
    <row r="2" spans="1:8" x14ac:dyDescent="0.25">
      <c r="A2">
        <v>0.87498569666250003</v>
      </c>
      <c r="B2">
        <v>0.75098251793897941</v>
      </c>
      <c r="C2">
        <f t="shared" ref="C2:C40" si="0">$H$3*(1+$H$1)*(A2^($H$1))*EXP(-$H$3*(A2^(1+$H$1)))</f>
        <v>1.0206692959946757</v>
      </c>
      <c r="D2">
        <f t="shared" ref="D2:D40" si="1">B2-C2</f>
        <v>-0.2696867780556963</v>
      </c>
      <c r="E2">
        <f t="shared" ref="E2:E40" si="2">D2^2</f>
        <v>7.2730958258062389E-2</v>
      </c>
    </row>
    <row r="3" spans="1:8" x14ac:dyDescent="0.25">
      <c r="A3">
        <v>0.9077859264375</v>
      </c>
      <c r="B3">
        <v>2.2222952061459593</v>
      </c>
      <c r="C3">
        <f t="shared" si="0"/>
        <v>1.8289215081712922</v>
      </c>
      <c r="D3">
        <f t="shared" si="1"/>
        <v>0.39337369797466715</v>
      </c>
      <c r="E3">
        <f t="shared" si="2"/>
        <v>0.15474286625826464</v>
      </c>
      <c r="G3" t="s">
        <v>1</v>
      </c>
      <c r="H3">
        <f>(_xlfn.GAMMA((2+$H$1)/(1+$H$1)))^(1+$H$1)</f>
        <v>0.58674565274125967</v>
      </c>
    </row>
    <row r="4" spans="1:8" x14ac:dyDescent="0.25">
      <c r="A4">
        <v>0.94058615621249997</v>
      </c>
      <c r="B4">
        <v>4.3277283367963122</v>
      </c>
      <c r="C4">
        <f t="shared" si="0"/>
        <v>3.071647048920493</v>
      </c>
      <c r="D4">
        <f t="shared" si="1"/>
        <v>1.2560812878758192</v>
      </c>
      <c r="E4">
        <f t="shared" si="2"/>
        <v>1.5777402017517765</v>
      </c>
    </row>
    <row r="5" spans="1:8" x14ac:dyDescent="0.25">
      <c r="A5">
        <v>0.97338638598750005</v>
      </c>
      <c r="B5">
        <v>6.0174390021590156</v>
      </c>
      <c r="C5">
        <f t="shared" si="0"/>
        <v>4.6867278838663831</v>
      </c>
      <c r="D5">
        <f t="shared" si="1"/>
        <v>1.3307111182926326</v>
      </c>
      <c r="E5">
        <f t="shared" si="2"/>
        <v>1.7707920803476287</v>
      </c>
      <c r="G5" t="s">
        <v>2</v>
      </c>
      <c r="H5">
        <f>SUM(E1:E40)</f>
        <v>6.6562290967294544</v>
      </c>
    </row>
    <row r="6" spans="1:8" x14ac:dyDescent="0.25">
      <c r="A6">
        <v>1.0061866157625001</v>
      </c>
      <c r="B6">
        <v>6.3354571092454206</v>
      </c>
      <c r="C6">
        <f t="shared" si="0"/>
        <v>6.1547138614008272</v>
      </c>
      <c r="D6">
        <f t="shared" si="1"/>
        <v>0.18074324784459339</v>
      </c>
      <c r="E6">
        <f t="shared" si="2"/>
        <v>3.2668121641412112E-2</v>
      </c>
    </row>
    <row r="7" spans="1:8" x14ac:dyDescent="0.25">
      <c r="A7">
        <v>1.0389868455375</v>
      </c>
      <c r="B7">
        <v>5.1495944087244299</v>
      </c>
      <c r="C7">
        <f t="shared" si="0"/>
        <v>6.3508197126021928</v>
      </c>
      <c r="D7">
        <f t="shared" si="1"/>
        <v>-1.2012253038777629</v>
      </c>
      <c r="E7">
        <f t="shared" si="2"/>
        <v>1.4429422306762238</v>
      </c>
    </row>
    <row r="8" spans="1:8" x14ac:dyDescent="0.25">
      <c r="A8">
        <v>1.0717870753125001</v>
      </c>
      <c r="B8">
        <v>3.2817169725241624</v>
      </c>
      <c r="C8">
        <f t="shared" si="0"/>
        <v>4.4315534361687465</v>
      </c>
      <c r="D8">
        <f t="shared" si="1"/>
        <v>-1.1498364636445841</v>
      </c>
      <c r="E8">
        <f t="shared" si="2"/>
        <v>1.322123893126683</v>
      </c>
    </row>
    <row r="9" spans="1:8" x14ac:dyDescent="0.25">
      <c r="A9">
        <v>1.1045873050875001</v>
      </c>
      <c r="B9">
        <v>1.62649019829131</v>
      </c>
      <c r="C9">
        <f t="shared" si="0"/>
        <v>1.6403318490400765</v>
      </c>
      <c r="D9">
        <f t="shared" si="1"/>
        <v>-1.3841650748766421E-2</v>
      </c>
      <c r="E9">
        <f t="shared" si="2"/>
        <v>1.9159129545082601E-4</v>
      </c>
    </row>
    <row r="10" spans="1:8" x14ac:dyDescent="0.25">
      <c r="A10">
        <v>1.1373875348625</v>
      </c>
      <c r="B10">
        <v>0.54024762770100043</v>
      </c>
      <c r="C10">
        <f t="shared" si="0"/>
        <v>0.21880159299308374</v>
      </c>
      <c r="D10">
        <f t="shared" si="1"/>
        <v>0.32144603470791666</v>
      </c>
      <c r="E10">
        <f t="shared" si="2"/>
        <v>0.10332755322944316</v>
      </c>
    </row>
    <row r="11" spans="1:8" x14ac:dyDescent="0.25">
      <c r="A11">
        <v>1.1701877646374998</v>
      </c>
      <c r="B11">
        <v>9.7704358201244762E-2</v>
      </c>
      <c r="C11">
        <f t="shared" si="0"/>
        <v>5.7333701390423156E-3</v>
      </c>
      <c r="D11">
        <f t="shared" si="1"/>
        <v>9.1970988062202441E-2</v>
      </c>
      <c r="E11">
        <f t="shared" si="2"/>
        <v>8.4586626451377839E-3</v>
      </c>
    </row>
    <row r="12" spans="1:8" x14ac:dyDescent="0.25">
      <c r="A12">
        <v>1.2029879944125002</v>
      </c>
      <c r="B12">
        <v>5.7473151883085157E-3</v>
      </c>
      <c r="C12">
        <f t="shared" si="0"/>
        <v>1.1533486483994844E-5</v>
      </c>
      <c r="D12">
        <f t="shared" si="1"/>
        <v>5.7357817018245209E-3</v>
      </c>
      <c r="E12">
        <f t="shared" si="2"/>
        <v>3.2899191730984995E-5</v>
      </c>
    </row>
    <row r="13" spans="1:8" x14ac:dyDescent="0.25">
      <c r="A13">
        <v>1.2357882241875</v>
      </c>
      <c r="B13">
        <v>0</v>
      </c>
      <c r="C13">
        <f t="shared" si="0"/>
        <v>4.232636413435195E-10</v>
      </c>
      <c r="D13">
        <f t="shared" si="1"/>
        <v>-4.232636413435195E-10</v>
      </c>
      <c r="E13">
        <f t="shared" si="2"/>
        <v>1.791521100833755E-19</v>
      </c>
    </row>
    <row r="14" spans="1:8" x14ac:dyDescent="0.25">
      <c r="A14">
        <v>1.2685884539624999</v>
      </c>
      <c r="B14">
        <v>0</v>
      </c>
      <c r="C14">
        <f t="shared" si="0"/>
        <v>3.2277836268043423E-17</v>
      </c>
      <c r="D14">
        <f t="shared" si="1"/>
        <v>-3.2277836268043423E-17</v>
      </c>
      <c r="E14">
        <f t="shared" si="2"/>
        <v>1.0418587141466195E-33</v>
      </c>
    </row>
    <row r="15" spans="1:8" x14ac:dyDescent="0.25">
      <c r="A15">
        <v>1.3013886837375002</v>
      </c>
      <c r="B15">
        <v>0</v>
      </c>
      <c r="C15">
        <f t="shared" si="0"/>
        <v>1.9869114364176865E-28</v>
      </c>
      <c r="D15">
        <f t="shared" si="1"/>
        <v>-1.9869114364176865E-28</v>
      </c>
      <c r="E15">
        <f t="shared" si="2"/>
        <v>3.9478170561673942E-56</v>
      </c>
    </row>
    <row r="16" spans="1:8" x14ac:dyDescent="0.25">
      <c r="A16">
        <v>1.3341889135125</v>
      </c>
      <c r="B16">
        <v>0</v>
      </c>
      <c r="C16">
        <f t="shared" si="0"/>
        <v>8.0726412316652635E-46</v>
      </c>
      <c r="D16">
        <f t="shared" si="1"/>
        <v>-8.0726412316652635E-46</v>
      </c>
      <c r="E16">
        <f t="shared" si="2"/>
        <v>6.5167536455182066E-91</v>
      </c>
    </row>
    <row r="17" spans="1:5" x14ac:dyDescent="0.25">
      <c r="A17">
        <v>1.3669891432874999</v>
      </c>
      <c r="B17">
        <v>0</v>
      </c>
      <c r="C17">
        <f t="shared" si="0"/>
        <v>1.891810246628005E-72</v>
      </c>
      <c r="D17">
        <f t="shared" si="1"/>
        <v>-1.891810246628005E-72</v>
      </c>
      <c r="E17">
        <f t="shared" si="2"/>
        <v>3.5789460092467133E-144</v>
      </c>
    </row>
    <row r="18" spans="1:5" x14ac:dyDescent="0.25">
      <c r="A18">
        <v>1.3997893730625002</v>
      </c>
      <c r="B18">
        <v>0</v>
      </c>
      <c r="C18">
        <f t="shared" si="0"/>
        <v>9.2917825344454942E-113</v>
      </c>
      <c r="D18">
        <f t="shared" si="1"/>
        <v>-9.2917825344454942E-113</v>
      </c>
      <c r="E18">
        <f t="shared" si="2"/>
        <v>8.633722266742633E-225</v>
      </c>
    </row>
    <row r="19" spans="1:5" x14ac:dyDescent="0.25">
      <c r="A19">
        <v>1.4325896028375</v>
      </c>
      <c r="B19">
        <v>0</v>
      </c>
      <c r="C19">
        <f t="shared" si="0"/>
        <v>3.9211843580008265E-173</v>
      </c>
      <c r="D19">
        <f t="shared" si="1"/>
        <v>-3.9211843580008265E-173</v>
      </c>
      <c r="E19">
        <f t="shared" si="2"/>
        <v>0</v>
      </c>
    </row>
    <row r="20" spans="1:5" x14ac:dyDescent="0.25">
      <c r="A20">
        <v>1.4653898326124999</v>
      </c>
      <c r="B20">
        <v>0</v>
      </c>
      <c r="C20">
        <f t="shared" si="0"/>
        <v>1.0998683183661531E-262</v>
      </c>
      <c r="D20">
        <f t="shared" si="1"/>
        <v>-1.0998683183661531E-262</v>
      </c>
      <c r="E20">
        <f t="shared" si="2"/>
        <v>0</v>
      </c>
    </row>
    <row r="21" spans="1:5" x14ac:dyDescent="0.25">
      <c r="A21">
        <v>1.4981900623875002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1.5309902921625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1.5637905219374999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1.5965907517125002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1.6293909814875001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1.6621912112624999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1.6949914410375002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1.7277916708125001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1.7605919005874999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1.7933921303625002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1.8261923601375001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1.8589925899124999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1.8917928196875002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1.9245930494625001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1.9573932792375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1.9901935090125003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2.0229937387875001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2.0557939685625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2.0885941983374998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2.1213944281124997</v>
      </c>
      <c r="B40">
        <v>1.915771729436172E-3</v>
      </c>
      <c r="C40">
        <f t="shared" si="0"/>
        <v>0</v>
      </c>
      <c r="D40">
        <f t="shared" si="1"/>
        <v>1.915771729436172E-3</v>
      </c>
      <c r="E40">
        <f t="shared" si="2"/>
        <v>3.6701813193068615E-6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A3DC-2005-40A7-8FD8-8F2BDDFFE37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0.93501802300000003</v>
      </c>
      <c r="B1">
        <v>0.87415317456392527</v>
      </c>
      <c r="C1">
        <f>$H$3*(1+$H$1)*(A1^($H$1))*EXP(-$H$3*(A1^(1+$H$1)))</f>
        <v>1.7248345779118268</v>
      </c>
      <c r="D1">
        <f>B1-C1</f>
        <v>-0.85068140334790154</v>
      </c>
      <c r="E1">
        <f>D1^2</f>
        <v>0.72365885000195518</v>
      </c>
      <c r="G1" t="s">
        <v>0</v>
      </c>
      <c r="H1">
        <v>37.154826003485738</v>
      </c>
    </row>
    <row r="2" spans="1:8" x14ac:dyDescent="0.25">
      <c r="A2">
        <v>0.96391544899999992</v>
      </c>
      <c r="B2">
        <v>6.5778939130743135</v>
      </c>
      <c r="C2">
        <f t="shared" ref="C2:C40" si="0">$H$3*(1+$H$1)*(A2^($H$1))*EXP(-$H$3*(A2^(1+$H$1)))</f>
        <v>4.8506121505555457</v>
      </c>
      <c r="D2">
        <f t="shared" ref="D2:D40" si="1">B2-C2</f>
        <v>1.7272817625187677</v>
      </c>
      <c r="E2">
        <f t="shared" ref="E2:E40" si="2">D2^2</f>
        <v>2.9835022871299408</v>
      </c>
    </row>
    <row r="3" spans="1:8" x14ac:dyDescent="0.25">
      <c r="A3">
        <v>0.99281287499999993</v>
      </c>
      <c r="B3">
        <v>13.621133048428925</v>
      </c>
      <c r="C3">
        <f t="shared" si="0"/>
        <v>10.828382800834174</v>
      </c>
      <c r="D3">
        <f t="shared" si="1"/>
        <v>2.7927502475947517</v>
      </c>
      <c r="E3">
        <f t="shared" si="2"/>
        <v>7.7994539454405469</v>
      </c>
      <c r="G3" t="s">
        <v>1</v>
      </c>
      <c r="H3">
        <f>(_xlfn.GAMMA((2+$H$1)/(1+$H$1)))^(1+$H$1)</f>
        <v>0.57353857453862456</v>
      </c>
    </row>
    <row r="4" spans="1:8" x14ac:dyDescent="0.25">
      <c r="A4">
        <v>1.0217103009999999</v>
      </c>
      <c r="B4">
        <v>10.420253762463508</v>
      </c>
      <c r="C4">
        <f t="shared" si="0"/>
        <v>13.22592905319541</v>
      </c>
      <c r="D4">
        <f t="shared" si="1"/>
        <v>-2.8056752907319016</v>
      </c>
      <c r="E4">
        <f t="shared" si="2"/>
        <v>7.8718138370235406</v>
      </c>
    </row>
    <row r="5" spans="1:8" x14ac:dyDescent="0.25">
      <c r="A5">
        <v>1.050607727</v>
      </c>
      <c r="B5">
        <v>2.9421125502114203</v>
      </c>
      <c r="C5">
        <f t="shared" si="0"/>
        <v>3.1504673752855652</v>
      </c>
      <c r="D5">
        <f t="shared" si="1"/>
        <v>-0.20835482507414493</v>
      </c>
      <c r="E5">
        <f t="shared" si="2"/>
        <v>4.3411733131677531E-2</v>
      </c>
      <c r="G5" t="s">
        <v>2</v>
      </c>
      <c r="H5">
        <f>SUM(E1:E40)</f>
        <v>19.446902573315587</v>
      </c>
    </row>
    <row r="6" spans="1:8" x14ac:dyDescent="0.25">
      <c r="A6">
        <v>1.0795051529999999</v>
      </c>
      <c r="B6">
        <v>0.16743729960552797</v>
      </c>
      <c r="C6">
        <f t="shared" si="0"/>
        <v>9.1426626385216776E-3</v>
      </c>
      <c r="D6">
        <f t="shared" si="1"/>
        <v>0.1582946369670063</v>
      </c>
      <c r="E6">
        <f t="shared" si="2"/>
        <v>2.5057192092516316E-2</v>
      </c>
    </row>
    <row r="7" spans="1:8" x14ac:dyDescent="0.25">
      <c r="A7">
        <v>1.1084025789999998</v>
      </c>
      <c r="B7">
        <v>0</v>
      </c>
      <c r="C7">
        <f t="shared" si="0"/>
        <v>2.2912722269939612E-10</v>
      </c>
      <c r="D7">
        <f t="shared" si="1"/>
        <v>-2.2912722269939612E-10</v>
      </c>
      <c r="E7">
        <f t="shared" si="2"/>
        <v>5.2499284181938668E-20</v>
      </c>
    </row>
    <row r="8" spans="1:8" x14ac:dyDescent="0.25">
      <c r="A8">
        <v>1.1373000050000002</v>
      </c>
      <c r="B8">
        <v>0</v>
      </c>
      <c r="C8">
        <f t="shared" si="0"/>
        <v>4.6562131722406494E-31</v>
      </c>
      <c r="D8">
        <f t="shared" si="1"/>
        <v>-4.6562131722406494E-31</v>
      </c>
      <c r="E8">
        <f t="shared" si="2"/>
        <v>2.1680321105347332E-61</v>
      </c>
    </row>
    <row r="9" spans="1:8" x14ac:dyDescent="0.25">
      <c r="A9">
        <v>1.1661974310000001</v>
      </c>
      <c r="B9">
        <v>0</v>
      </c>
      <c r="C9">
        <f t="shared" si="0"/>
        <v>8.2015693158162504E-85</v>
      </c>
      <c r="D9">
        <f t="shared" si="1"/>
        <v>-8.2015693158162504E-85</v>
      </c>
      <c r="E9">
        <f t="shared" si="2"/>
        <v>6.7265739242138641E-169</v>
      </c>
    </row>
    <row r="10" spans="1:8" x14ac:dyDescent="0.25">
      <c r="A10">
        <v>1.195094857</v>
      </c>
      <c r="B10">
        <v>0</v>
      </c>
      <c r="C10">
        <f t="shared" si="0"/>
        <v>3.459846850303864E-220</v>
      </c>
      <c r="D10">
        <f t="shared" si="1"/>
        <v>-3.459846850303864E-220</v>
      </c>
      <c r="E10">
        <f t="shared" si="2"/>
        <v>0</v>
      </c>
    </row>
    <row r="11" spans="1:8" x14ac:dyDescent="0.25">
      <c r="A11">
        <v>1.2239922830000001</v>
      </c>
      <c r="B11">
        <v>0</v>
      </c>
      <c r="C11">
        <f t="shared" si="0"/>
        <v>0</v>
      </c>
      <c r="D11">
        <f t="shared" si="1"/>
        <v>0</v>
      </c>
      <c r="E11">
        <f t="shared" si="2"/>
        <v>0</v>
      </c>
    </row>
    <row r="12" spans="1:8" x14ac:dyDescent="0.25">
      <c r="A12">
        <v>1.252889709</v>
      </c>
      <c r="B12">
        <v>0</v>
      </c>
      <c r="C12">
        <f t="shared" si="0"/>
        <v>0</v>
      </c>
      <c r="D12">
        <f t="shared" si="1"/>
        <v>0</v>
      </c>
      <c r="E12">
        <f t="shared" si="2"/>
        <v>0</v>
      </c>
    </row>
    <row r="13" spans="1:8" x14ac:dyDescent="0.25">
      <c r="A13">
        <v>1.2817871350000001</v>
      </c>
      <c r="B13">
        <v>0</v>
      </c>
      <c r="C13">
        <f t="shared" si="0"/>
        <v>0</v>
      </c>
      <c r="D13">
        <f t="shared" si="1"/>
        <v>0</v>
      </c>
      <c r="E13">
        <f t="shared" si="2"/>
        <v>0</v>
      </c>
    </row>
    <row r="14" spans="1:8" x14ac:dyDescent="0.25">
      <c r="A14">
        <v>1.310684561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1.3395819869999999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1.368479413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1.3973768389999999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1.426274265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1.4551716910000001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1.484069117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1.5129665430000001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1.541863969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1.5707613949999999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1.599658821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1.6285562470000001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1.657453673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1.6863510989999999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1.715248525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1.7441459509999999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1.773043377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1.8019408029999999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1.8308382290000003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1.8597356550000002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1.888633081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1.9175305069999999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1.9464279329999998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1.9753253589999999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2.0042227849999996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2.033120211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2.0620176370000003</v>
      </c>
      <c r="B40">
        <v>2.1745103844873761E-3</v>
      </c>
      <c r="C40">
        <f t="shared" si="0"/>
        <v>0</v>
      </c>
      <c r="D40">
        <f t="shared" si="1"/>
        <v>2.1745103844873761E-3</v>
      </c>
      <c r="E40">
        <f t="shared" si="2"/>
        <v>4.728495412243436E-6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09F3-5A1F-4736-9AB3-B83CFADD91EE}">
  <dimension ref="A1:H40"/>
  <sheetViews>
    <sheetView tabSelected="1" workbookViewId="0">
      <selection activeCell="H15" sqref="H15"/>
    </sheetView>
  </sheetViews>
  <sheetFormatPr defaultColWidth="11" defaultRowHeight="15.75" x14ac:dyDescent="0.25"/>
  <sheetData>
    <row r="1" spans="1:8" x14ac:dyDescent="0.25">
      <c r="A1">
        <v>0.98800880061250007</v>
      </c>
      <c r="B1">
        <v>21.173477335020987</v>
      </c>
      <c r="C1">
        <f>$H$3*(1+$H$1)*(A1^($H$1))*EXP(-$H$3*(A1^(1+$H$1)))</f>
        <v>14.292652341247072</v>
      </c>
      <c r="D1">
        <f>B1-C1</f>
        <v>6.8808249937739152</v>
      </c>
      <c r="E1">
        <f>D1^2</f>
        <v>47.345752594943804</v>
      </c>
      <c r="G1" t="s">
        <v>0</v>
      </c>
      <c r="H1">
        <v>113.17205344291069</v>
      </c>
    </row>
    <row r="2" spans="1:8" x14ac:dyDescent="0.25">
      <c r="A2">
        <v>1.0147572018375</v>
      </c>
      <c r="B2">
        <v>16.204887013977007</v>
      </c>
      <c r="C2">
        <f t="shared" ref="C2:C40" si="0">$H$3*(1+$H$1)*(A2^($H$1))*EXP(-$H$3*(A2^(1+$H$1)))</f>
        <v>16.67412334274022</v>
      </c>
      <c r="D2">
        <f t="shared" ref="D2:D40" si="1">B2-C2</f>
        <v>-0.46923632876321264</v>
      </c>
      <c r="E2">
        <f t="shared" ref="E2:E40" si="2">D2^2</f>
        <v>0.22018273223117779</v>
      </c>
    </row>
    <row r="3" spans="1:8" x14ac:dyDescent="0.25">
      <c r="A3">
        <v>1.0415056030624998</v>
      </c>
      <c r="B3">
        <v>2.3492152818174843E-3</v>
      </c>
      <c r="C3">
        <f t="shared" si="0"/>
        <v>1.9978436084077998E-22</v>
      </c>
      <c r="D3">
        <f t="shared" si="1"/>
        <v>2.3492152818174843E-3</v>
      </c>
      <c r="E3">
        <f t="shared" si="2"/>
        <v>5.5188124403248022E-6</v>
      </c>
      <c r="G3" t="s">
        <v>1</v>
      </c>
      <c r="H3">
        <f>(_xlfn.GAMMA((2+$H$1)/(1+$H$1)))^(1+$H$1)</f>
        <v>0.56550142021200489</v>
      </c>
    </row>
    <row r="4" spans="1:8" x14ac:dyDescent="0.25">
      <c r="A4">
        <v>1.0682540042875002</v>
      </c>
      <c r="B4">
        <v>2.3492152818174843E-3</v>
      </c>
      <c r="C4">
        <f t="shared" si="0"/>
        <v>0</v>
      </c>
      <c r="D4">
        <f t="shared" si="1"/>
        <v>2.3492152818174843E-3</v>
      </c>
      <c r="E4">
        <f t="shared" si="2"/>
        <v>5.5188124403248022E-6</v>
      </c>
    </row>
    <row r="5" spans="1:8" x14ac:dyDescent="0.25">
      <c r="A5">
        <v>1.0950024055125001</v>
      </c>
      <c r="B5">
        <v>0</v>
      </c>
      <c r="C5">
        <f t="shared" si="0"/>
        <v>0</v>
      </c>
      <c r="D5">
        <f t="shared" si="1"/>
        <v>0</v>
      </c>
      <c r="E5">
        <f t="shared" si="2"/>
        <v>0</v>
      </c>
      <c r="G5" t="s">
        <v>2</v>
      </c>
      <c r="H5">
        <f>SUM(E1:E40)</f>
        <v>47.565951883612314</v>
      </c>
    </row>
    <row r="6" spans="1:8" x14ac:dyDescent="0.25">
      <c r="A6">
        <v>1.1217508067374999</v>
      </c>
      <c r="B6">
        <v>0</v>
      </c>
      <c r="C6">
        <f t="shared" si="0"/>
        <v>0</v>
      </c>
      <c r="D6">
        <f t="shared" si="1"/>
        <v>0</v>
      </c>
      <c r="E6">
        <f t="shared" si="2"/>
        <v>0</v>
      </c>
    </row>
    <row r="7" spans="1:8" x14ac:dyDescent="0.25">
      <c r="A7">
        <v>1.1484992079625</v>
      </c>
      <c r="B7">
        <v>0</v>
      </c>
      <c r="C7">
        <f t="shared" si="0"/>
        <v>0</v>
      </c>
      <c r="D7">
        <f t="shared" si="1"/>
        <v>0</v>
      </c>
      <c r="E7">
        <f t="shared" si="2"/>
        <v>0</v>
      </c>
    </row>
    <row r="8" spans="1:8" x14ac:dyDescent="0.25">
      <c r="A8">
        <v>1.1752476091875002</v>
      </c>
      <c r="B8">
        <v>0</v>
      </c>
      <c r="C8">
        <f t="shared" si="0"/>
        <v>0</v>
      </c>
      <c r="D8">
        <f t="shared" si="1"/>
        <v>0</v>
      </c>
      <c r="E8">
        <f t="shared" si="2"/>
        <v>0</v>
      </c>
    </row>
    <row r="9" spans="1:8" x14ac:dyDescent="0.25">
      <c r="A9">
        <v>1.2019960104125</v>
      </c>
      <c r="B9">
        <v>0</v>
      </c>
      <c r="C9">
        <f t="shared" si="0"/>
        <v>0</v>
      </c>
      <c r="D9">
        <f t="shared" si="1"/>
        <v>0</v>
      </c>
      <c r="E9">
        <f t="shared" si="2"/>
        <v>0</v>
      </c>
    </row>
    <row r="10" spans="1:8" x14ac:dyDescent="0.25">
      <c r="A10">
        <v>1.2287444116375001</v>
      </c>
      <c r="B10">
        <v>0</v>
      </c>
      <c r="C10">
        <f t="shared" si="0"/>
        <v>0</v>
      </c>
      <c r="D10">
        <f t="shared" si="1"/>
        <v>0</v>
      </c>
      <c r="E10">
        <f t="shared" si="2"/>
        <v>0</v>
      </c>
    </row>
    <row r="11" spans="1:8" x14ac:dyDescent="0.25">
      <c r="A11">
        <v>1.2554928128625</v>
      </c>
      <c r="B11">
        <v>0</v>
      </c>
      <c r="C11">
        <f t="shared" si="0"/>
        <v>0</v>
      </c>
      <c r="D11">
        <f t="shared" si="1"/>
        <v>0</v>
      </c>
      <c r="E11">
        <f t="shared" si="2"/>
        <v>0</v>
      </c>
    </row>
    <row r="12" spans="1:8" x14ac:dyDescent="0.25">
      <c r="A12">
        <v>1.2822412140874999</v>
      </c>
      <c r="B12">
        <v>0</v>
      </c>
      <c r="C12">
        <f t="shared" si="0"/>
        <v>0</v>
      </c>
      <c r="D12">
        <f t="shared" si="1"/>
        <v>0</v>
      </c>
      <c r="E12">
        <f t="shared" si="2"/>
        <v>0</v>
      </c>
    </row>
    <row r="13" spans="1:8" x14ac:dyDescent="0.25">
      <c r="A13">
        <v>1.3089896153125</v>
      </c>
      <c r="B13">
        <v>0</v>
      </c>
      <c r="C13">
        <f t="shared" si="0"/>
        <v>0</v>
      </c>
      <c r="D13">
        <f t="shared" si="1"/>
        <v>0</v>
      </c>
      <c r="E13">
        <f t="shared" si="2"/>
        <v>0</v>
      </c>
    </row>
    <row r="14" spans="1:8" x14ac:dyDescent="0.25">
      <c r="A14">
        <v>1.3357380165375001</v>
      </c>
      <c r="B14">
        <v>0</v>
      </c>
      <c r="C14">
        <f t="shared" si="0"/>
        <v>0</v>
      </c>
      <c r="D14">
        <f t="shared" si="1"/>
        <v>0</v>
      </c>
      <c r="E14">
        <f t="shared" si="2"/>
        <v>0</v>
      </c>
    </row>
    <row r="15" spans="1:8" x14ac:dyDescent="0.25">
      <c r="A15">
        <v>1.3624864177625</v>
      </c>
      <c r="B15">
        <v>0</v>
      </c>
      <c r="C15">
        <f t="shared" si="0"/>
        <v>0</v>
      </c>
      <c r="D15">
        <f t="shared" si="1"/>
        <v>0</v>
      </c>
      <c r="E15">
        <f t="shared" si="2"/>
        <v>0</v>
      </c>
    </row>
    <row r="16" spans="1:8" x14ac:dyDescent="0.25">
      <c r="A16">
        <v>1.3892348189875001</v>
      </c>
      <c r="B16">
        <v>0</v>
      </c>
      <c r="C16">
        <f t="shared" si="0"/>
        <v>0</v>
      </c>
      <c r="D16">
        <f t="shared" si="1"/>
        <v>0</v>
      </c>
      <c r="E16">
        <f t="shared" si="2"/>
        <v>0</v>
      </c>
    </row>
    <row r="17" spans="1:5" x14ac:dyDescent="0.25">
      <c r="A17">
        <v>1.4159832202125002</v>
      </c>
      <c r="B17">
        <v>0</v>
      </c>
      <c r="C17">
        <f t="shared" si="0"/>
        <v>0</v>
      </c>
      <c r="D17">
        <f t="shared" si="1"/>
        <v>0</v>
      </c>
      <c r="E17">
        <f t="shared" si="2"/>
        <v>0</v>
      </c>
    </row>
    <row r="18" spans="1:5" x14ac:dyDescent="0.25">
      <c r="A18">
        <v>1.4427316214375001</v>
      </c>
      <c r="B18">
        <v>0</v>
      </c>
      <c r="C18">
        <f t="shared" si="0"/>
        <v>0</v>
      </c>
      <c r="D18">
        <f t="shared" si="1"/>
        <v>0</v>
      </c>
      <c r="E18">
        <f t="shared" si="2"/>
        <v>0</v>
      </c>
    </row>
    <row r="19" spans="1:5" x14ac:dyDescent="0.25">
      <c r="A19">
        <v>1.4694800226625</v>
      </c>
      <c r="B19">
        <v>0</v>
      </c>
      <c r="C19">
        <f t="shared" si="0"/>
        <v>0</v>
      </c>
      <c r="D19">
        <f t="shared" si="1"/>
        <v>0</v>
      </c>
      <c r="E19">
        <f t="shared" si="2"/>
        <v>0</v>
      </c>
    </row>
    <row r="20" spans="1:5" x14ac:dyDescent="0.25">
      <c r="A20">
        <v>1.4962284238875001</v>
      </c>
      <c r="B20">
        <v>0</v>
      </c>
      <c r="C20">
        <f t="shared" si="0"/>
        <v>0</v>
      </c>
      <c r="D20">
        <f t="shared" si="1"/>
        <v>0</v>
      </c>
      <c r="E20">
        <f t="shared" si="2"/>
        <v>0</v>
      </c>
    </row>
    <row r="21" spans="1:5" x14ac:dyDescent="0.25">
      <c r="A21">
        <v>1.5229768251125</v>
      </c>
      <c r="B21">
        <v>0</v>
      </c>
      <c r="C21">
        <f t="shared" si="0"/>
        <v>0</v>
      </c>
      <c r="D21">
        <f t="shared" si="1"/>
        <v>0</v>
      </c>
      <c r="E21">
        <f t="shared" si="2"/>
        <v>0</v>
      </c>
    </row>
    <row r="22" spans="1:5" x14ac:dyDescent="0.25">
      <c r="A22">
        <v>1.5497252263375001</v>
      </c>
      <c r="B22">
        <v>0</v>
      </c>
      <c r="C22">
        <f t="shared" si="0"/>
        <v>0</v>
      </c>
      <c r="D22">
        <f t="shared" si="1"/>
        <v>0</v>
      </c>
      <c r="E22">
        <f t="shared" si="2"/>
        <v>0</v>
      </c>
    </row>
    <row r="23" spans="1:5" x14ac:dyDescent="0.25">
      <c r="A23">
        <v>1.5764736275625002</v>
      </c>
      <c r="B23">
        <v>0</v>
      </c>
      <c r="C23">
        <f t="shared" si="0"/>
        <v>0</v>
      </c>
      <c r="D23">
        <f t="shared" si="1"/>
        <v>0</v>
      </c>
      <c r="E23">
        <f t="shared" si="2"/>
        <v>0</v>
      </c>
    </row>
    <row r="24" spans="1:5" x14ac:dyDescent="0.25">
      <c r="A24">
        <v>1.6032220287875001</v>
      </c>
      <c r="B24">
        <v>0</v>
      </c>
      <c r="C24">
        <f t="shared" si="0"/>
        <v>0</v>
      </c>
      <c r="D24">
        <f t="shared" si="1"/>
        <v>0</v>
      </c>
      <c r="E24">
        <f t="shared" si="2"/>
        <v>0</v>
      </c>
    </row>
    <row r="25" spans="1:5" x14ac:dyDescent="0.25">
      <c r="A25">
        <v>1.6299704300125</v>
      </c>
      <c r="B25">
        <v>0</v>
      </c>
      <c r="C25">
        <f t="shared" si="0"/>
        <v>0</v>
      </c>
      <c r="D25">
        <f t="shared" si="1"/>
        <v>0</v>
      </c>
      <c r="E25">
        <f t="shared" si="2"/>
        <v>0</v>
      </c>
    </row>
    <row r="26" spans="1:5" x14ac:dyDescent="0.25">
      <c r="A26">
        <v>1.6567188312375001</v>
      </c>
      <c r="B26">
        <v>0</v>
      </c>
      <c r="C26">
        <f t="shared" si="0"/>
        <v>0</v>
      </c>
      <c r="D26">
        <f t="shared" si="1"/>
        <v>0</v>
      </c>
      <c r="E26">
        <f t="shared" si="2"/>
        <v>0</v>
      </c>
    </row>
    <row r="27" spans="1:5" x14ac:dyDescent="0.25">
      <c r="A27">
        <v>1.6834672324625002</v>
      </c>
      <c r="B27">
        <v>0</v>
      </c>
      <c r="C27">
        <f t="shared" si="0"/>
        <v>0</v>
      </c>
      <c r="D27">
        <f t="shared" si="1"/>
        <v>0</v>
      </c>
      <c r="E27">
        <f t="shared" si="2"/>
        <v>0</v>
      </c>
    </row>
    <row r="28" spans="1:5" x14ac:dyDescent="0.25">
      <c r="A28">
        <v>1.7102156336875001</v>
      </c>
      <c r="B28">
        <v>0</v>
      </c>
      <c r="C28">
        <f t="shared" si="0"/>
        <v>0</v>
      </c>
      <c r="D28">
        <f t="shared" si="1"/>
        <v>0</v>
      </c>
      <c r="E28">
        <f t="shared" si="2"/>
        <v>0</v>
      </c>
    </row>
    <row r="29" spans="1:5" x14ac:dyDescent="0.25">
      <c r="A29">
        <v>1.7369640349125</v>
      </c>
      <c r="B29">
        <v>0</v>
      </c>
      <c r="C29">
        <f t="shared" si="0"/>
        <v>0</v>
      </c>
      <c r="D29">
        <f t="shared" si="1"/>
        <v>0</v>
      </c>
      <c r="E29">
        <f t="shared" si="2"/>
        <v>0</v>
      </c>
    </row>
    <row r="30" spans="1:5" x14ac:dyDescent="0.25">
      <c r="A30">
        <v>1.7637124361375001</v>
      </c>
      <c r="B30">
        <v>0</v>
      </c>
      <c r="C30">
        <f t="shared" si="0"/>
        <v>0</v>
      </c>
      <c r="D30">
        <f t="shared" si="1"/>
        <v>0</v>
      </c>
      <c r="E30">
        <f t="shared" si="2"/>
        <v>0</v>
      </c>
    </row>
    <row r="31" spans="1:5" x14ac:dyDescent="0.25">
      <c r="A31">
        <v>1.7904608373625002</v>
      </c>
      <c r="B31">
        <v>0</v>
      </c>
      <c r="C31">
        <f t="shared" si="0"/>
        <v>0</v>
      </c>
      <c r="D31">
        <f t="shared" si="1"/>
        <v>0</v>
      </c>
      <c r="E31">
        <f t="shared" si="2"/>
        <v>0</v>
      </c>
    </row>
    <row r="32" spans="1:5" x14ac:dyDescent="0.25">
      <c r="A32">
        <v>1.8172092385875001</v>
      </c>
      <c r="B32">
        <v>0</v>
      </c>
      <c r="C32">
        <f t="shared" si="0"/>
        <v>0</v>
      </c>
      <c r="D32">
        <f t="shared" si="1"/>
        <v>0</v>
      </c>
      <c r="E32">
        <f t="shared" si="2"/>
        <v>0</v>
      </c>
    </row>
    <row r="33" spans="1:5" x14ac:dyDescent="0.25">
      <c r="A33">
        <v>1.8439576398125002</v>
      </c>
      <c r="B33">
        <v>0</v>
      </c>
      <c r="C33">
        <f t="shared" si="0"/>
        <v>0</v>
      </c>
      <c r="D33">
        <f t="shared" si="1"/>
        <v>0</v>
      </c>
      <c r="E33">
        <f t="shared" si="2"/>
        <v>0</v>
      </c>
    </row>
    <row r="34" spans="1:5" x14ac:dyDescent="0.25">
      <c r="A34">
        <v>1.8707060410375003</v>
      </c>
      <c r="B34">
        <v>0</v>
      </c>
      <c r="C34">
        <f t="shared" si="0"/>
        <v>0</v>
      </c>
      <c r="D34">
        <f t="shared" si="1"/>
        <v>0</v>
      </c>
      <c r="E34">
        <f t="shared" si="2"/>
        <v>0</v>
      </c>
    </row>
    <row r="35" spans="1:5" x14ac:dyDescent="0.25">
      <c r="A35">
        <v>1.8974544422625002</v>
      </c>
      <c r="B35">
        <v>0</v>
      </c>
      <c r="C35">
        <f t="shared" si="0"/>
        <v>0</v>
      </c>
      <c r="D35">
        <f t="shared" si="1"/>
        <v>0</v>
      </c>
      <c r="E35">
        <f t="shared" si="2"/>
        <v>0</v>
      </c>
    </row>
    <row r="36" spans="1:5" x14ac:dyDescent="0.25">
      <c r="A36">
        <v>1.9242028434875</v>
      </c>
      <c r="B36">
        <v>0</v>
      </c>
      <c r="C36">
        <f t="shared" si="0"/>
        <v>0</v>
      </c>
      <c r="D36">
        <f t="shared" si="1"/>
        <v>0</v>
      </c>
      <c r="E36">
        <f t="shared" si="2"/>
        <v>0</v>
      </c>
    </row>
    <row r="37" spans="1:5" x14ac:dyDescent="0.25">
      <c r="A37">
        <v>1.9509512447125001</v>
      </c>
      <c r="B37">
        <v>0</v>
      </c>
      <c r="C37">
        <f t="shared" si="0"/>
        <v>0</v>
      </c>
      <c r="D37">
        <f t="shared" si="1"/>
        <v>0</v>
      </c>
      <c r="E37">
        <f t="shared" si="2"/>
        <v>0</v>
      </c>
    </row>
    <row r="38" spans="1:5" x14ac:dyDescent="0.25">
      <c r="A38">
        <v>1.9776996459375003</v>
      </c>
      <c r="B38">
        <v>0</v>
      </c>
      <c r="C38">
        <f t="shared" si="0"/>
        <v>0</v>
      </c>
      <c r="D38">
        <f t="shared" si="1"/>
        <v>0</v>
      </c>
      <c r="E38">
        <f t="shared" si="2"/>
        <v>0</v>
      </c>
    </row>
    <row r="39" spans="1:5" x14ac:dyDescent="0.25">
      <c r="A39">
        <v>2.0044480471625001</v>
      </c>
      <c r="B39">
        <v>0</v>
      </c>
      <c r="C39">
        <f t="shared" si="0"/>
        <v>0</v>
      </c>
      <c r="D39">
        <f t="shared" si="1"/>
        <v>0</v>
      </c>
      <c r="E39">
        <f t="shared" si="2"/>
        <v>0</v>
      </c>
    </row>
    <row r="40" spans="1:5" x14ac:dyDescent="0.25">
      <c r="A40">
        <v>2.0311964483875</v>
      </c>
      <c r="B40">
        <v>2.3492152818174843E-3</v>
      </c>
      <c r="C40">
        <f t="shared" si="0"/>
        <v>0</v>
      </c>
      <c r="D40">
        <f t="shared" si="1"/>
        <v>2.3492152818174843E-3</v>
      </c>
      <c r="E40">
        <f t="shared" si="2"/>
        <v>5.5188124403248022E-6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2024-10-06T01:15:23Z</dcterms:modified>
</cp:coreProperties>
</file>