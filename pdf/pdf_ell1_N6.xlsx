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pdf/"/>
    </mc:Choice>
  </mc:AlternateContent>
  <xr:revisionPtr revIDLastSave="2500" documentId="115_{6640FBA1-EB7D-4F99-9B8B-70B9B817E751}" xr6:coauthVersionLast="47" xr6:coauthVersionMax="47" xr10:uidLastSave="{583C6C34-560E-4EEC-BA5B-07F23FB26276}"/>
  <bookViews>
    <workbookView xWindow="-120" yWindow="-120" windowWidth="29040" windowHeight="15720" tabRatio="1000" xr2:uid="{52D9C27D-0EF6-DD41-9728-0267E68F7539}"/>
  </bookViews>
  <sheets>
    <sheet name="Brody" sheetId="33" r:id="rId1"/>
    <sheet name="0.0001" sheetId="2" r:id="rId2"/>
    <sheet name="0.001" sheetId="3" r:id="rId3"/>
    <sheet name="0.005" sheetId="4" r:id="rId4"/>
    <sheet name="0.01" sheetId="5" r:id="rId5"/>
    <sheet name="0.025" sheetId="6" r:id="rId6"/>
    <sheet name="0.05" sheetId="7" r:id="rId7"/>
    <sheet name="0.075" sheetId="8" r:id="rId8"/>
    <sheet name="0.1" sheetId="9" r:id="rId9"/>
    <sheet name="0.15" sheetId="10" r:id="rId10"/>
    <sheet name="0.2" sheetId="11" r:id="rId11"/>
    <sheet name="0.25" sheetId="12" r:id="rId12"/>
    <sheet name="0.3" sheetId="13" r:id="rId13"/>
    <sheet name="0.35" sheetId="14" r:id="rId14"/>
    <sheet name="0.4" sheetId="15" r:id="rId15"/>
    <sheet name="0.45" sheetId="16" r:id="rId16"/>
    <sheet name="0.5" sheetId="17" r:id="rId17"/>
    <sheet name="0.55" sheetId="18" r:id="rId18"/>
    <sheet name="0.6" sheetId="19" r:id="rId19"/>
    <sheet name="0.65" sheetId="20" r:id="rId20"/>
    <sheet name="0.7" sheetId="21" r:id="rId21"/>
    <sheet name="0.75" sheetId="22" r:id="rId22"/>
    <sheet name="0.8" sheetId="23" r:id="rId23"/>
    <sheet name="0.85" sheetId="24" r:id="rId24"/>
    <sheet name="0.9" sheetId="25" r:id="rId25"/>
    <sheet name="0.925" sheetId="26" r:id="rId26"/>
    <sheet name="0.95" sheetId="27" r:id="rId27"/>
    <sheet name="0.975" sheetId="28" r:id="rId28"/>
    <sheet name="0.99" sheetId="29" r:id="rId29"/>
    <sheet name="0.995" sheetId="30" r:id="rId30"/>
    <sheet name="0.999" sheetId="31" r:id="rId31"/>
    <sheet name="0.9999" sheetId="32" r:id="rId32"/>
  </sheets>
  <definedNames>
    <definedName name="solver_adj" localSheetId="1" hidden="1">'0.0001'!$H$1</definedName>
    <definedName name="solver_adj" localSheetId="2" hidden="1">'0.001'!$H$1</definedName>
    <definedName name="solver_adj" localSheetId="3" hidden="1">'0.005'!$H$1</definedName>
    <definedName name="solver_adj" localSheetId="4" hidden="1">'0.01'!$H$1</definedName>
    <definedName name="solver_adj" localSheetId="5" hidden="1">'0.025'!$H$1</definedName>
    <definedName name="solver_adj" localSheetId="6" hidden="1">'0.05'!$H$1</definedName>
    <definedName name="solver_adj" localSheetId="7" hidden="1">'0.075'!$H$1</definedName>
    <definedName name="solver_adj" localSheetId="8" hidden="1">'0.1'!$H$1</definedName>
    <definedName name="solver_adj" localSheetId="9" hidden="1">'0.15'!$H$1</definedName>
    <definedName name="solver_adj" localSheetId="10" hidden="1">'0.2'!$H$1</definedName>
    <definedName name="solver_adj" localSheetId="11" hidden="1">'0.25'!$H$1</definedName>
    <definedName name="solver_adj" localSheetId="12" hidden="1">'0.3'!$H$1</definedName>
    <definedName name="solver_adj" localSheetId="13" hidden="1">'0.35'!$H$1</definedName>
    <definedName name="solver_adj" localSheetId="14" hidden="1">'0.4'!$H$1</definedName>
    <definedName name="solver_adj" localSheetId="15" hidden="1">'0.45'!$H$1</definedName>
    <definedName name="solver_adj" localSheetId="16" hidden="1">'0.5'!$H$1</definedName>
    <definedName name="solver_adj" localSheetId="17" hidden="1">'0.55'!$H$1</definedName>
    <definedName name="solver_adj" localSheetId="18" hidden="1">'0.6'!$H$1</definedName>
    <definedName name="solver_adj" localSheetId="19" hidden="1">'0.65'!$H$1</definedName>
    <definedName name="solver_adj" localSheetId="20" hidden="1">'0.7'!$H$1</definedName>
    <definedName name="solver_adj" localSheetId="21" hidden="1">'0.75'!$H$1</definedName>
    <definedName name="solver_adj" localSheetId="22" hidden="1">'0.8'!$H$1</definedName>
    <definedName name="solver_adj" localSheetId="23" hidden="1">'0.85'!$H$1</definedName>
    <definedName name="solver_adj" localSheetId="24" hidden="1">'0.9'!$H$1</definedName>
    <definedName name="solver_adj" localSheetId="25" hidden="1">'0.925'!$H$1</definedName>
    <definedName name="solver_adj" localSheetId="26" hidden="1">'0.95'!$H$1</definedName>
    <definedName name="solver_adj" localSheetId="27" hidden="1">'0.975'!$H$1</definedName>
    <definedName name="solver_adj" localSheetId="28" hidden="1">'0.99'!$H$1</definedName>
    <definedName name="solver_adj" localSheetId="29" hidden="1">'0.995'!$H$1</definedName>
    <definedName name="solver_adj" localSheetId="30" hidden="1">'0.999'!$H$1</definedName>
    <definedName name="solver_adj" localSheetId="31" hidden="1">'0.9999'!$H$1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cvg" localSheetId="9" hidden="1">0.0001</definedName>
    <definedName name="solver_cvg" localSheetId="10" hidden="1">0.0001</definedName>
    <definedName name="solver_cvg" localSheetId="11" hidden="1">0.0001</definedName>
    <definedName name="solver_cvg" localSheetId="12" hidden="1">0.0001</definedName>
    <definedName name="solver_cvg" localSheetId="13" hidden="1">0.0001</definedName>
    <definedName name="solver_cvg" localSheetId="14" hidden="1">0.0001</definedName>
    <definedName name="solver_cvg" localSheetId="15" hidden="1">0.0001</definedName>
    <definedName name="solver_cvg" localSheetId="16" hidden="1">0.0001</definedName>
    <definedName name="solver_cvg" localSheetId="17" hidden="1">0.0001</definedName>
    <definedName name="solver_cvg" localSheetId="18" hidden="1">0.0001</definedName>
    <definedName name="solver_cvg" localSheetId="19" hidden="1">0.0001</definedName>
    <definedName name="solver_cvg" localSheetId="20" hidden="1">0.0001</definedName>
    <definedName name="solver_cvg" localSheetId="21" hidden="1">0.0001</definedName>
    <definedName name="solver_cvg" localSheetId="22" hidden="1">0.0001</definedName>
    <definedName name="solver_cvg" localSheetId="23" hidden="1">0.0001</definedName>
    <definedName name="solver_cvg" localSheetId="24" hidden="1">0.0001</definedName>
    <definedName name="solver_cvg" localSheetId="25" hidden="1">0.0001</definedName>
    <definedName name="solver_cvg" localSheetId="26" hidden="1">0.0001</definedName>
    <definedName name="solver_cvg" localSheetId="27" hidden="1">0.0001</definedName>
    <definedName name="solver_cvg" localSheetId="28" hidden="1">0.0001</definedName>
    <definedName name="solver_cvg" localSheetId="29" hidden="1">0.0001</definedName>
    <definedName name="solver_cvg" localSheetId="30" hidden="1">0.0001</definedName>
    <definedName name="solver_cvg" localSheetId="31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drv" localSheetId="10" hidden="1">1</definedName>
    <definedName name="solver_drv" localSheetId="11" hidden="1">1</definedName>
    <definedName name="solver_drv" localSheetId="12" hidden="1">1</definedName>
    <definedName name="solver_drv" localSheetId="13" hidden="1">1</definedName>
    <definedName name="solver_drv" localSheetId="14" hidden="1">1</definedName>
    <definedName name="solver_drv" localSheetId="15" hidden="1">1</definedName>
    <definedName name="solver_drv" localSheetId="16" hidden="1">1</definedName>
    <definedName name="solver_drv" localSheetId="17" hidden="1">1</definedName>
    <definedName name="solver_drv" localSheetId="18" hidden="1">1</definedName>
    <definedName name="solver_drv" localSheetId="19" hidden="1">1</definedName>
    <definedName name="solver_drv" localSheetId="20" hidden="1">1</definedName>
    <definedName name="solver_drv" localSheetId="21" hidden="1">1</definedName>
    <definedName name="solver_drv" localSheetId="22" hidden="1">1</definedName>
    <definedName name="solver_drv" localSheetId="23" hidden="1">1</definedName>
    <definedName name="solver_drv" localSheetId="24" hidden="1">1</definedName>
    <definedName name="solver_drv" localSheetId="25" hidden="1">1</definedName>
    <definedName name="solver_drv" localSheetId="26" hidden="1">1</definedName>
    <definedName name="solver_drv" localSheetId="27" hidden="1">1</definedName>
    <definedName name="solver_drv" localSheetId="28" hidden="1">1</definedName>
    <definedName name="solver_drv" localSheetId="29" hidden="1">1</definedName>
    <definedName name="solver_drv" localSheetId="30" hidden="1">1</definedName>
    <definedName name="solver_drv" localSheetId="31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ng" localSheetId="7" hidden="1">1</definedName>
    <definedName name="solver_eng" localSheetId="8" hidden="1">1</definedName>
    <definedName name="solver_eng" localSheetId="9" hidden="1">1</definedName>
    <definedName name="solver_eng" localSheetId="10" hidden="1">1</definedName>
    <definedName name="solver_eng" localSheetId="11" hidden="1">1</definedName>
    <definedName name="solver_eng" localSheetId="12" hidden="1">1</definedName>
    <definedName name="solver_eng" localSheetId="13" hidden="1">1</definedName>
    <definedName name="solver_eng" localSheetId="14" hidden="1">1</definedName>
    <definedName name="solver_eng" localSheetId="15" hidden="1">1</definedName>
    <definedName name="solver_eng" localSheetId="16" hidden="1">1</definedName>
    <definedName name="solver_eng" localSheetId="17" hidden="1">1</definedName>
    <definedName name="solver_eng" localSheetId="18" hidden="1">1</definedName>
    <definedName name="solver_eng" localSheetId="19" hidden="1">1</definedName>
    <definedName name="solver_eng" localSheetId="20" hidden="1">1</definedName>
    <definedName name="solver_eng" localSheetId="21" hidden="1">1</definedName>
    <definedName name="solver_eng" localSheetId="22" hidden="1">1</definedName>
    <definedName name="solver_eng" localSheetId="23" hidden="1">1</definedName>
    <definedName name="solver_eng" localSheetId="24" hidden="1">1</definedName>
    <definedName name="solver_eng" localSheetId="25" hidden="1">1</definedName>
    <definedName name="solver_eng" localSheetId="26" hidden="1">1</definedName>
    <definedName name="solver_eng" localSheetId="27" hidden="1">1</definedName>
    <definedName name="solver_eng" localSheetId="28" hidden="1">1</definedName>
    <definedName name="solver_eng" localSheetId="29" hidden="1">1</definedName>
    <definedName name="solver_eng" localSheetId="30" hidden="1">1</definedName>
    <definedName name="solver_eng" localSheetId="31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est" localSheetId="10" hidden="1">1</definedName>
    <definedName name="solver_est" localSheetId="11" hidden="1">1</definedName>
    <definedName name="solver_est" localSheetId="12" hidden="1">1</definedName>
    <definedName name="solver_est" localSheetId="13" hidden="1">1</definedName>
    <definedName name="solver_est" localSheetId="14" hidden="1">1</definedName>
    <definedName name="solver_est" localSheetId="15" hidden="1">1</definedName>
    <definedName name="solver_est" localSheetId="16" hidden="1">1</definedName>
    <definedName name="solver_est" localSheetId="17" hidden="1">1</definedName>
    <definedName name="solver_est" localSheetId="18" hidden="1">1</definedName>
    <definedName name="solver_est" localSheetId="19" hidden="1">1</definedName>
    <definedName name="solver_est" localSheetId="20" hidden="1">1</definedName>
    <definedName name="solver_est" localSheetId="21" hidden="1">1</definedName>
    <definedName name="solver_est" localSheetId="22" hidden="1">1</definedName>
    <definedName name="solver_est" localSheetId="23" hidden="1">1</definedName>
    <definedName name="solver_est" localSheetId="24" hidden="1">1</definedName>
    <definedName name="solver_est" localSheetId="25" hidden="1">1</definedName>
    <definedName name="solver_est" localSheetId="26" hidden="1">1</definedName>
    <definedName name="solver_est" localSheetId="27" hidden="1">1</definedName>
    <definedName name="solver_est" localSheetId="28" hidden="1">1</definedName>
    <definedName name="solver_est" localSheetId="29" hidden="1">1</definedName>
    <definedName name="solver_est" localSheetId="30" hidden="1">1</definedName>
    <definedName name="solver_est" localSheetId="31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itr" localSheetId="10" hidden="1">2147483647</definedName>
    <definedName name="solver_itr" localSheetId="11" hidden="1">2147483647</definedName>
    <definedName name="solver_itr" localSheetId="12" hidden="1">2147483647</definedName>
    <definedName name="solver_itr" localSheetId="13" hidden="1">2147483647</definedName>
    <definedName name="solver_itr" localSheetId="14" hidden="1">2147483647</definedName>
    <definedName name="solver_itr" localSheetId="15" hidden="1">2147483647</definedName>
    <definedName name="solver_itr" localSheetId="16" hidden="1">2147483647</definedName>
    <definedName name="solver_itr" localSheetId="17" hidden="1">2147483647</definedName>
    <definedName name="solver_itr" localSheetId="18" hidden="1">2147483647</definedName>
    <definedName name="solver_itr" localSheetId="19" hidden="1">2147483647</definedName>
    <definedName name="solver_itr" localSheetId="20" hidden="1">2147483647</definedName>
    <definedName name="solver_itr" localSheetId="21" hidden="1">2147483647</definedName>
    <definedName name="solver_itr" localSheetId="22" hidden="1">2147483647</definedName>
    <definedName name="solver_itr" localSheetId="23" hidden="1">2147483647</definedName>
    <definedName name="solver_itr" localSheetId="24" hidden="1">2147483647</definedName>
    <definedName name="solver_itr" localSheetId="25" hidden="1">2147483647</definedName>
    <definedName name="solver_itr" localSheetId="26" hidden="1">2147483647</definedName>
    <definedName name="solver_itr" localSheetId="27" hidden="1">2147483647</definedName>
    <definedName name="solver_itr" localSheetId="28" hidden="1">2147483647</definedName>
    <definedName name="solver_itr" localSheetId="29" hidden="1">2147483647</definedName>
    <definedName name="solver_itr" localSheetId="30" hidden="1">2147483647</definedName>
    <definedName name="solver_itr" localSheetId="31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ip" localSheetId="10" hidden="1">2147483647</definedName>
    <definedName name="solver_mip" localSheetId="11" hidden="1">2147483647</definedName>
    <definedName name="solver_mip" localSheetId="12" hidden="1">2147483647</definedName>
    <definedName name="solver_mip" localSheetId="13" hidden="1">2147483647</definedName>
    <definedName name="solver_mip" localSheetId="14" hidden="1">2147483647</definedName>
    <definedName name="solver_mip" localSheetId="15" hidden="1">2147483647</definedName>
    <definedName name="solver_mip" localSheetId="16" hidden="1">2147483647</definedName>
    <definedName name="solver_mip" localSheetId="17" hidden="1">2147483647</definedName>
    <definedName name="solver_mip" localSheetId="18" hidden="1">2147483647</definedName>
    <definedName name="solver_mip" localSheetId="19" hidden="1">2147483647</definedName>
    <definedName name="solver_mip" localSheetId="20" hidden="1">2147483647</definedName>
    <definedName name="solver_mip" localSheetId="21" hidden="1">2147483647</definedName>
    <definedName name="solver_mip" localSheetId="22" hidden="1">2147483647</definedName>
    <definedName name="solver_mip" localSheetId="23" hidden="1">2147483647</definedName>
    <definedName name="solver_mip" localSheetId="24" hidden="1">2147483647</definedName>
    <definedName name="solver_mip" localSheetId="25" hidden="1">2147483647</definedName>
    <definedName name="solver_mip" localSheetId="26" hidden="1">2147483647</definedName>
    <definedName name="solver_mip" localSheetId="27" hidden="1">2147483647</definedName>
    <definedName name="solver_mip" localSheetId="28" hidden="1">2147483647</definedName>
    <definedName name="solver_mip" localSheetId="29" hidden="1">2147483647</definedName>
    <definedName name="solver_mip" localSheetId="30" hidden="1">2147483647</definedName>
    <definedName name="solver_mip" localSheetId="31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ni" localSheetId="10" hidden="1">30</definedName>
    <definedName name="solver_mni" localSheetId="11" hidden="1">30</definedName>
    <definedName name="solver_mni" localSheetId="12" hidden="1">30</definedName>
    <definedName name="solver_mni" localSheetId="13" hidden="1">30</definedName>
    <definedName name="solver_mni" localSheetId="14" hidden="1">30</definedName>
    <definedName name="solver_mni" localSheetId="15" hidden="1">30</definedName>
    <definedName name="solver_mni" localSheetId="16" hidden="1">30</definedName>
    <definedName name="solver_mni" localSheetId="17" hidden="1">30</definedName>
    <definedName name="solver_mni" localSheetId="18" hidden="1">30</definedName>
    <definedName name="solver_mni" localSheetId="19" hidden="1">30</definedName>
    <definedName name="solver_mni" localSheetId="20" hidden="1">30</definedName>
    <definedName name="solver_mni" localSheetId="21" hidden="1">30</definedName>
    <definedName name="solver_mni" localSheetId="22" hidden="1">30</definedName>
    <definedName name="solver_mni" localSheetId="23" hidden="1">30</definedName>
    <definedName name="solver_mni" localSheetId="24" hidden="1">30</definedName>
    <definedName name="solver_mni" localSheetId="25" hidden="1">30</definedName>
    <definedName name="solver_mni" localSheetId="26" hidden="1">30</definedName>
    <definedName name="solver_mni" localSheetId="27" hidden="1">30</definedName>
    <definedName name="solver_mni" localSheetId="28" hidden="1">30</definedName>
    <definedName name="solver_mni" localSheetId="29" hidden="1">30</definedName>
    <definedName name="solver_mni" localSheetId="30" hidden="1">30</definedName>
    <definedName name="solver_mni" localSheetId="31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rt" localSheetId="9" hidden="1">0.075</definedName>
    <definedName name="solver_mrt" localSheetId="10" hidden="1">0.075</definedName>
    <definedName name="solver_mrt" localSheetId="11" hidden="1">0.075</definedName>
    <definedName name="solver_mrt" localSheetId="12" hidden="1">0.075</definedName>
    <definedName name="solver_mrt" localSheetId="13" hidden="1">0.075</definedName>
    <definedName name="solver_mrt" localSheetId="14" hidden="1">0.075</definedName>
    <definedName name="solver_mrt" localSheetId="15" hidden="1">0.075</definedName>
    <definedName name="solver_mrt" localSheetId="16" hidden="1">0.075</definedName>
    <definedName name="solver_mrt" localSheetId="17" hidden="1">0.075</definedName>
    <definedName name="solver_mrt" localSheetId="18" hidden="1">0.075</definedName>
    <definedName name="solver_mrt" localSheetId="19" hidden="1">0.075</definedName>
    <definedName name="solver_mrt" localSheetId="20" hidden="1">0.075</definedName>
    <definedName name="solver_mrt" localSheetId="21" hidden="1">0.075</definedName>
    <definedName name="solver_mrt" localSheetId="22" hidden="1">0.075</definedName>
    <definedName name="solver_mrt" localSheetId="23" hidden="1">0.075</definedName>
    <definedName name="solver_mrt" localSheetId="24" hidden="1">0.075</definedName>
    <definedName name="solver_mrt" localSheetId="25" hidden="1">0.075</definedName>
    <definedName name="solver_mrt" localSheetId="26" hidden="1">0.075</definedName>
    <definedName name="solver_mrt" localSheetId="27" hidden="1">0.075</definedName>
    <definedName name="solver_mrt" localSheetId="28" hidden="1">0.075</definedName>
    <definedName name="solver_mrt" localSheetId="29" hidden="1">0.075</definedName>
    <definedName name="solver_mrt" localSheetId="30" hidden="1">0.075</definedName>
    <definedName name="solver_mrt" localSheetId="31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msl" localSheetId="10" hidden="1">2</definedName>
    <definedName name="solver_msl" localSheetId="11" hidden="1">2</definedName>
    <definedName name="solver_msl" localSheetId="12" hidden="1">2</definedName>
    <definedName name="solver_msl" localSheetId="13" hidden="1">2</definedName>
    <definedName name="solver_msl" localSheetId="14" hidden="1">2</definedName>
    <definedName name="solver_msl" localSheetId="15" hidden="1">2</definedName>
    <definedName name="solver_msl" localSheetId="16" hidden="1">2</definedName>
    <definedName name="solver_msl" localSheetId="17" hidden="1">2</definedName>
    <definedName name="solver_msl" localSheetId="18" hidden="1">2</definedName>
    <definedName name="solver_msl" localSheetId="19" hidden="1">2</definedName>
    <definedName name="solver_msl" localSheetId="20" hidden="1">2</definedName>
    <definedName name="solver_msl" localSheetId="21" hidden="1">2</definedName>
    <definedName name="solver_msl" localSheetId="22" hidden="1">2</definedName>
    <definedName name="solver_msl" localSheetId="23" hidden="1">2</definedName>
    <definedName name="solver_msl" localSheetId="24" hidden="1">2</definedName>
    <definedName name="solver_msl" localSheetId="25" hidden="1">2</definedName>
    <definedName name="solver_msl" localSheetId="26" hidden="1">2</definedName>
    <definedName name="solver_msl" localSheetId="27" hidden="1">2</definedName>
    <definedName name="solver_msl" localSheetId="28" hidden="1">2</definedName>
    <definedName name="solver_msl" localSheetId="29" hidden="1">2</definedName>
    <definedName name="solver_msl" localSheetId="30" hidden="1">2</definedName>
    <definedName name="solver_msl" localSheetId="31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9" hidden="1">1</definedName>
    <definedName name="solver_neg" localSheetId="10" hidden="1">1</definedName>
    <definedName name="solver_neg" localSheetId="11" hidden="1">1</definedName>
    <definedName name="solver_neg" localSheetId="12" hidden="1">1</definedName>
    <definedName name="solver_neg" localSheetId="13" hidden="1">1</definedName>
    <definedName name="solver_neg" localSheetId="14" hidden="1">1</definedName>
    <definedName name="solver_neg" localSheetId="15" hidden="1">1</definedName>
    <definedName name="solver_neg" localSheetId="16" hidden="1">1</definedName>
    <definedName name="solver_neg" localSheetId="17" hidden="1">1</definedName>
    <definedName name="solver_neg" localSheetId="18" hidden="1">1</definedName>
    <definedName name="solver_neg" localSheetId="19" hidden="1">1</definedName>
    <definedName name="solver_neg" localSheetId="20" hidden="1">1</definedName>
    <definedName name="solver_neg" localSheetId="21" hidden="1">1</definedName>
    <definedName name="solver_neg" localSheetId="22" hidden="1">1</definedName>
    <definedName name="solver_neg" localSheetId="23" hidden="1">1</definedName>
    <definedName name="solver_neg" localSheetId="24" hidden="1">1</definedName>
    <definedName name="solver_neg" localSheetId="25" hidden="1">1</definedName>
    <definedName name="solver_neg" localSheetId="26" hidden="1">1</definedName>
    <definedName name="solver_neg" localSheetId="27" hidden="1">1</definedName>
    <definedName name="solver_neg" localSheetId="28" hidden="1">1</definedName>
    <definedName name="solver_neg" localSheetId="29" hidden="1">1</definedName>
    <definedName name="solver_neg" localSheetId="30" hidden="1">1</definedName>
    <definedName name="solver_neg" localSheetId="31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od" localSheetId="10" hidden="1">2147483647</definedName>
    <definedName name="solver_nod" localSheetId="11" hidden="1">2147483647</definedName>
    <definedName name="solver_nod" localSheetId="12" hidden="1">2147483647</definedName>
    <definedName name="solver_nod" localSheetId="13" hidden="1">2147483647</definedName>
    <definedName name="solver_nod" localSheetId="14" hidden="1">2147483647</definedName>
    <definedName name="solver_nod" localSheetId="15" hidden="1">2147483647</definedName>
    <definedName name="solver_nod" localSheetId="16" hidden="1">2147483647</definedName>
    <definedName name="solver_nod" localSheetId="17" hidden="1">2147483647</definedName>
    <definedName name="solver_nod" localSheetId="18" hidden="1">2147483647</definedName>
    <definedName name="solver_nod" localSheetId="19" hidden="1">2147483647</definedName>
    <definedName name="solver_nod" localSheetId="20" hidden="1">2147483647</definedName>
    <definedName name="solver_nod" localSheetId="21" hidden="1">2147483647</definedName>
    <definedName name="solver_nod" localSheetId="22" hidden="1">2147483647</definedName>
    <definedName name="solver_nod" localSheetId="23" hidden="1">2147483647</definedName>
    <definedName name="solver_nod" localSheetId="24" hidden="1">2147483647</definedName>
    <definedName name="solver_nod" localSheetId="25" hidden="1">2147483647</definedName>
    <definedName name="solver_nod" localSheetId="26" hidden="1">2147483647</definedName>
    <definedName name="solver_nod" localSheetId="27" hidden="1">2147483647</definedName>
    <definedName name="solver_nod" localSheetId="28" hidden="1">2147483647</definedName>
    <definedName name="solver_nod" localSheetId="29" hidden="1">2147483647</definedName>
    <definedName name="solver_nod" localSheetId="30" hidden="1">2147483647</definedName>
    <definedName name="solver_nod" localSheetId="31" hidden="1">2147483647</definedName>
    <definedName name="solver_num" localSheetId="1" hidden="1">0</definedName>
    <definedName name="solver_num" localSheetId="2" hidden="1">0</definedName>
    <definedName name="solver_num" localSheetId="3" hidden="1">0</definedName>
    <definedName name="solver_num" localSheetId="4" hidden="1">0</definedName>
    <definedName name="solver_num" localSheetId="5" hidden="1">0</definedName>
    <definedName name="solver_num" localSheetId="6" hidden="1">0</definedName>
    <definedName name="solver_num" localSheetId="7" hidden="1">0</definedName>
    <definedName name="solver_num" localSheetId="8" hidden="1">0</definedName>
    <definedName name="solver_num" localSheetId="9" hidden="1">0</definedName>
    <definedName name="solver_num" localSheetId="10" hidden="1">0</definedName>
    <definedName name="solver_num" localSheetId="11" hidden="1">0</definedName>
    <definedName name="solver_num" localSheetId="12" hidden="1">0</definedName>
    <definedName name="solver_num" localSheetId="13" hidden="1">0</definedName>
    <definedName name="solver_num" localSheetId="14" hidden="1">0</definedName>
    <definedName name="solver_num" localSheetId="15" hidden="1">0</definedName>
    <definedName name="solver_num" localSheetId="16" hidden="1">0</definedName>
    <definedName name="solver_num" localSheetId="17" hidden="1">0</definedName>
    <definedName name="solver_num" localSheetId="18" hidden="1">0</definedName>
    <definedName name="solver_num" localSheetId="19" hidden="1">0</definedName>
    <definedName name="solver_num" localSheetId="20" hidden="1">0</definedName>
    <definedName name="solver_num" localSheetId="21" hidden="1">0</definedName>
    <definedName name="solver_num" localSheetId="22" hidden="1">0</definedName>
    <definedName name="solver_num" localSheetId="23" hidden="1">0</definedName>
    <definedName name="solver_num" localSheetId="24" hidden="1">0</definedName>
    <definedName name="solver_num" localSheetId="25" hidden="1">0</definedName>
    <definedName name="solver_num" localSheetId="26" hidden="1">0</definedName>
    <definedName name="solver_num" localSheetId="27" hidden="1">0</definedName>
    <definedName name="solver_num" localSheetId="28" hidden="1">0</definedName>
    <definedName name="solver_num" localSheetId="29" hidden="1">0</definedName>
    <definedName name="solver_num" localSheetId="30" hidden="1">0</definedName>
    <definedName name="solver_num" localSheetId="31" hidden="1">0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nwt" localSheetId="10" hidden="1">1</definedName>
    <definedName name="solver_nwt" localSheetId="11" hidden="1">1</definedName>
    <definedName name="solver_nwt" localSheetId="12" hidden="1">1</definedName>
    <definedName name="solver_nwt" localSheetId="13" hidden="1">1</definedName>
    <definedName name="solver_nwt" localSheetId="14" hidden="1">1</definedName>
    <definedName name="solver_nwt" localSheetId="15" hidden="1">1</definedName>
    <definedName name="solver_nwt" localSheetId="16" hidden="1">1</definedName>
    <definedName name="solver_nwt" localSheetId="17" hidden="1">1</definedName>
    <definedName name="solver_nwt" localSheetId="18" hidden="1">1</definedName>
    <definedName name="solver_nwt" localSheetId="19" hidden="1">1</definedName>
    <definedName name="solver_nwt" localSheetId="20" hidden="1">1</definedName>
    <definedName name="solver_nwt" localSheetId="21" hidden="1">1</definedName>
    <definedName name="solver_nwt" localSheetId="22" hidden="1">1</definedName>
    <definedName name="solver_nwt" localSheetId="23" hidden="1">1</definedName>
    <definedName name="solver_nwt" localSheetId="24" hidden="1">1</definedName>
    <definedName name="solver_nwt" localSheetId="25" hidden="1">1</definedName>
    <definedName name="solver_nwt" localSheetId="26" hidden="1">1</definedName>
    <definedName name="solver_nwt" localSheetId="27" hidden="1">1</definedName>
    <definedName name="solver_nwt" localSheetId="28" hidden="1">1</definedName>
    <definedName name="solver_nwt" localSheetId="29" hidden="1">1</definedName>
    <definedName name="solver_nwt" localSheetId="30" hidden="1">1</definedName>
    <definedName name="solver_nwt" localSheetId="31" hidden="1">1</definedName>
    <definedName name="solver_opt" localSheetId="1" hidden="1">'0.0001'!$H$5</definedName>
    <definedName name="solver_opt" localSheetId="2" hidden="1">'0.001'!$H$5</definedName>
    <definedName name="solver_opt" localSheetId="3" hidden="1">'0.005'!$H$5</definedName>
    <definedName name="solver_opt" localSheetId="4" hidden="1">'0.01'!$H$5</definedName>
    <definedName name="solver_opt" localSheetId="5" hidden="1">'0.025'!$H$5</definedName>
    <definedName name="solver_opt" localSheetId="6" hidden="1">'0.05'!$H$5</definedName>
    <definedName name="solver_opt" localSheetId="7" hidden="1">'0.075'!$H$5</definedName>
    <definedName name="solver_opt" localSheetId="8" hidden="1">'0.1'!$H$5</definedName>
    <definedName name="solver_opt" localSheetId="9" hidden="1">'0.15'!$H$5</definedName>
    <definedName name="solver_opt" localSheetId="10" hidden="1">'0.2'!$H$5</definedName>
    <definedName name="solver_opt" localSheetId="11" hidden="1">'0.25'!$H$5</definedName>
    <definedName name="solver_opt" localSheetId="12" hidden="1">'0.3'!$H$5</definedName>
    <definedName name="solver_opt" localSheetId="13" hidden="1">'0.35'!$H$5</definedName>
    <definedName name="solver_opt" localSheetId="14" hidden="1">'0.4'!$H$5</definedName>
    <definedName name="solver_opt" localSheetId="15" hidden="1">'0.45'!$H$5</definedName>
    <definedName name="solver_opt" localSheetId="16" hidden="1">'0.5'!$H$5</definedName>
    <definedName name="solver_opt" localSheetId="17" hidden="1">'0.55'!$H$5</definedName>
    <definedName name="solver_opt" localSheetId="18" hidden="1">'0.6'!$H$5</definedName>
    <definedName name="solver_opt" localSheetId="19" hidden="1">'0.65'!$H$5</definedName>
    <definedName name="solver_opt" localSheetId="20" hidden="1">'0.7'!$H$5</definedName>
    <definedName name="solver_opt" localSheetId="21" hidden="1">'0.75'!$H$5</definedName>
    <definedName name="solver_opt" localSheetId="22" hidden="1">'0.8'!$H$5</definedName>
    <definedName name="solver_opt" localSheetId="23" hidden="1">'0.85'!$H$5</definedName>
    <definedName name="solver_opt" localSheetId="24" hidden="1">'0.9'!$H$5</definedName>
    <definedName name="solver_opt" localSheetId="25" hidden="1">'0.925'!$H$5</definedName>
    <definedName name="solver_opt" localSheetId="26" hidden="1">'0.95'!$H$5</definedName>
    <definedName name="solver_opt" localSheetId="27" hidden="1">'0.975'!$H$5</definedName>
    <definedName name="solver_opt" localSheetId="28" hidden="1">'0.99'!$H$5</definedName>
    <definedName name="solver_opt" localSheetId="29" hidden="1">'0.995'!$H$5</definedName>
    <definedName name="solver_opt" localSheetId="30" hidden="1">'0.999'!$H$5</definedName>
    <definedName name="solver_opt" localSheetId="31" hidden="1">'0.9999'!$H$5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pre" localSheetId="9" hidden="1">0.000001</definedName>
    <definedName name="solver_pre" localSheetId="10" hidden="1">0.000001</definedName>
    <definedName name="solver_pre" localSheetId="11" hidden="1">0.000001</definedName>
    <definedName name="solver_pre" localSheetId="12" hidden="1">0.000001</definedName>
    <definedName name="solver_pre" localSheetId="13" hidden="1">0.000001</definedName>
    <definedName name="solver_pre" localSheetId="14" hidden="1">0.000001</definedName>
    <definedName name="solver_pre" localSheetId="15" hidden="1">0.000001</definedName>
    <definedName name="solver_pre" localSheetId="16" hidden="1">0.000001</definedName>
    <definedName name="solver_pre" localSheetId="17" hidden="1">0.000001</definedName>
    <definedName name="solver_pre" localSheetId="18" hidden="1">0.000001</definedName>
    <definedName name="solver_pre" localSheetId="19" hidden="1">0.000001</definedName>
    <definedName name="solver_pre" localSheetId="20" hidden="1">0.000001</definedName>
    <definedName name="solver_pre" localSheetId="21" hidden="1">0.000001</definedName>
    <definedName name="solver_pre" localSheetId="22" hidden="1">0.000001</definedName>
    <definedName name="solver_pre" localSheetId="23" hidden="1">0.000001</definedName>
    <definedName name="solver_pre" localSheetId="24" hidden="1">0.000001</definedName>
    <definedName name="solver_pre" localSheetId="25" hidden="1">0.000001</definedName>
    <definedName name="solver_pre" localSheetId="26" hidden="1">0.000001</definedName>
    <definedName name="solver_pre" localSheetId="27" hidden="1">0.000001</definedName>
    <definedName name="solver_pre" localSheetId="28" hidden="1">0.000001</definedName>
    <definedName name="solver_pre" localSheetId="29" hidden="1">0.000001</definedName>
    <definedName name="solver_pre" localSheetId="30" hidden="1">0.000001</definedName>
    <definedName name="solver_pre" localSheetId="31" hidden="1">0.000001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bv" localSheetId="9" hidden="1">1</definedName>
    <definedName name="solver_rbv" localSheetId="10" hidden="1">1</definedName>
    <definedName name="solver_rbv" localSheetId="11" hidden="1">1</definedName>
    <definedName name="solver_rbv" localSheetId="12" hidden="1">1</definedName>
    <definedName name="solver_rbv" localSheetId="13" hidden="1">1</definedName>
    <definedName name="solver_rbv" localSheetId="14" hidden="1">1</definedName>
    <definedName name="solver_rbv" localSheetId="15" hidden="1">1</definedName>
    <definedName name="solver_rbv" localSheetId="16" hidden="1">1</definedName>
    <definedName name="solver_rbv" localSheetId="17" hidden="1">1</definedName>
    <definedName name="solver_rbv" localSheetId="18" hidden="1">1</definedName>
    <definedName name="solver_rbv" localSheetId="19" hidden="1">1</definedName>
    <definedName name="solver_rbv" localSheetId="20" hidden="1">1</definedName>
    <definedName name="solver_rbv" localSheetId="21" hidden="1">1</definedName>
    <definedName name="solver_rbv" localSheetId="22" hidden="1">1</definedName>
    <definedName name="solver_rbv" localSheetId="23" hidden="1">1</definedName>
    <definedName name="solver_rbv" localSheetId="24" hidden="1">1</definedName>
    <definedName name="solver_rbv" localSheetId="25" hidden="1">1</definedName>
    <definedName name="solver_rbv" localSheetId="26" hidden="1">1</definedName>
    <definedName name="solver_rbv" localSheetId="27" hidden="1">1</definedName>
    <definedName name="solver_rbv" localSheetId="28" hidden="1">1</definedName>
    <definedName name="solver_rbv" localSheetId="29" hidden="1">1</definedName>
    <definedName name="solver_rbv" localSheetId="30" hidden="1">1</definedName>
    <definedName name="solver_rbv" localSheetId="31" hidden="1">1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lx" localSheetId="10" hidden="1">2</definedName>
    <definedName name="solver_rlx" localSheetId="11" hidden="1">2</definedName>
    <definedName name="solver_rlx" localSheetId="12" hidden="1">2</definedName>
    <definedName name="solver_rlx" localSheetId="13" hidden="1">2</definedName>
    <definedName name="solver_rlx" localSheetId="14" hidden="1">2</definedName>
    <definedName name="solver_rlx" localSheetId="15" hidden="1">2</definedName>
    <definedName name="solver_rlx" localSheetId="16" hidden="1">2</definedName>
    <definedName name="solver_rlx" localSheetId="17" hidden="1">2</definedName>
    <definedName name="solver_rlx" localSheetId="18" hidden="1">2</definedName>
    <definedName name="solver_rlx" localSheetId="19" hidden="1">2</definedName>
    <definedName name="solver_rlx" localSheetId="20" hidden="1">2</definedName>
    <definedName name="solver_rlx" localSheetId="21" hidden="1">2</definedName>
    <definedName name="solver_rlx" localSheetId="22" hidden="1">2</definedName>
    <definedName name="solver_rlx" localSheetId="23" hidden="1">2</definedName>
    <definedName name="solver_rlx" localSheetId="24" hidden="1">2</definedName>
    <definedName name="solver_rlx" localSheetId="25" hidden="1">2</definedName>
    <definedName name="solver_rlx" localSheetId="26" hidden="1">2</definedName>
    <definedName name="solver_rlx" localSheetId="27" hidden="1">2</definedName>
    <definedName name="solver_rlx" localSheetId="28" hidden="1">2</definedName>
    <definedName name="solver_rlx" localSheetId="29" hidden="1">2</definedName>
    <definedName name="solver_rlx" localSheetId="30" hidden="1">2</definedName>
    <definedName name="solver_rlx" localSheetId="31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rsd" localSheetId="10" hidden="1">0</definedName>
    <definedName name="solver_rsd" localSheetId="11" hidden="1">0</definedName>
    <definedName name="solver_rsd" localSheetId="12" hidden="1">0</definedName>
    <definedName name="solver_rsd" localSheetId="13" hidden="1">0</definedName>
    <definedName name="solver_rsd" localSheetId="14" hidden="1">0</definedName>
    <definedName name="solver_rsd" localSheetId="15" hidden="1">0</definedName>
    <definedName name="solver_rsd" localSheetId="16" hidden="1">0</definedName>
    <definedName name="solver_rsd" localSheetId="17" hidden="1">0</definedName>
    <definedName name="solver_rsd" localSheetId="18" hidden="1">0</definedName>
    <definedName name="solver_rsd" localSheetId="19" hidden="1">0</definedName>
    <definedName name="solver_rsd" localSheetId="20" hidden="1">0</definedName>
    <definedName name="solver_rsd" localSheetId="21" hidden="1">0</definedName>
    <definedName name="solver_rsd" localSheetId="22" hidden="1">0</definedName>
    <definedName name="solver_rsd" localSheetId="23" hidden="1">0</definedName>
    <definedName name="solver_rsd" localSheetId="24" hidden="1">0</definedName>
    <definedName name="solver_rsd" localSheetId="25" hidden="1">0</definedName>
    <definedName name="solver_rsd" localSheetId="26" hidden="1">0</definedName>
    <definedName name="solver_rsd" localSheetId="27" hidden="1">0</definedName>
    <definedName name="solver_rsd" localSheetId="28" hidden="1">0</definedName>
    <definedName name="solver_rsd" localSheetId="29" hidden="1">0</definedName>
    <definedName name="solver_rsd" localSheetId="30" hidden="1">0</definedName>
    <definedName name="solver_rsd" localSheetId="31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cl" localSheetId="9" hidden="1">1</definedName>
    <definedName name="solver_scl" localSheetId="10" hidden="1">1</definedName>
    <definedName name="solver_scl" localSheetId="11" hidden="1">1</definedName>
    <definedName name="solver_scl" localSheetId="12" hidden="1">1</definedName>
    <definedName name="solver_scl" localSheetId="13" hidden="1">1</definedName>
    <definedName name="solver_scl" localSheetId="14" hidden="1">1</definedName>
    <definedName name="solver_scl" localSheetId="15" hidden="1">1</definedName>
    <definedName name="solver_scl" localSheetId="16" hidden="1">1</definedName>
    <definedName name="solver_scl" localSheetId="17" hidden="1">1</definedName>
    <definedName name="solver_scl" localSheetId="18" hidden="1">1</definedName>
    <definedName name="solver_scl" localSheetId="19" hidden="1">1</definedName>
    <definedName name="solver_scl" localSheetId="20" hidden="1">1</definedName>
    <definedName name="solver_scl" localSheetId="21" hidden="1">1</definedName>
    <definedName name="solver_scl" localSheetId="22" hidden="1">1</definedName>
    <definedName name="solver_scl" localSheetId="23" hidden="1">1</definedName>
    <definedName name="solver_scl" localSheetId="24" hidden="1">1</definedName>
    <definedName name="solver_scl" localSheetId="25" hidden="1">1</definedName>
    <definedName name="solver_scl" localSheetId="26" hidden="1">1</definedName>
    <definedName name="solver_scl" localSheetId="27" hidden="1">1</definedName>
    <definedName name="solver_scl" localSheetId="28" hidden="1">1</definedName>
    <definedName name="solver_scl" localSheetId="29" hidden="1">1</definedName>
    <definedName name="solver_scl" localSheetId="30" hidden="1">1</definedName>
    <definedName name="solver_scl" localSheetId="31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ho" localSheetId="10" hidden="1">2</definedName>
    <definedName name="solver_sho" localSheetId="11" hidden="1">2</definedName>
    <definedName name="solver_sho" localSheetId="12" hidden="1">2</definedName>
    <definedName name="solver_sho" localSheetId="13" hidden="1">2</definedName>
    <definedName name="solver_sho" localSheetId="14" hidden="1">2</definedName>
    <definedName name="solver_sho" localSheetId="15" hidden="1">2</definedName>
    <definedName name="solver_sho" localSheetId="16" hidden="1">2</definedName>
    <definedName name="solver_sho" localSheetId="17" hidden="1">2</definedName>
    <definedName name="solver_sho" localSheetId="18" hidden="1">2</definedName>
    <definedName name="solver_sho" localSheetId="19" hidden="1">2</definedName>
    <definedName name="solver_sho" localSheetId="20" hidden="1">2</definedName>
    <definedName name="solver_sho" localSheetId="21" hidden="1">2</definedName>
    <definedName name="solver_sho" localSheetId="22" hidden="1">2</definedName>
    <definedName name="solver_sho" localSheetId="23" hidden="1">2</definedName>
    <definedName name="solver_sho" localSheetId="24" hidden="1">2</definedName>
    <definedName name="solver_sho" localSheetId="25" hidden="1">2</definedName>
    <definedName name="solver_sho" localSheetId="26" hidden="1">2</definedName>
    <definedName name="solver_sho" localSheetId="27" hidden="1">2</definedName>
    <definedName name="solver_sho" localSheetId="28" hidden="1">2</definedName>
    <definedName name="solver_sho" localSheetId="29" hidden="1">2</definedName>
    <definedName name="solver_sho" localSheetId="30" hidden="1">2</definedName>
    <definedName name="solver_sho" localSheetId="31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ssz" localSheetId="9" hidden="1">100</definedName>
    <definedName name="solver_ssz" localSheetId="10" hidden="1">100</definedName>
    <definedName name="solver_ssz" localSheetId="11" hidden="1">100</definedName>
    <definedName name="solver_ssz" localSheetId="12" hidden="1">100</definedName>
    <definedName name="solver_ssz" localSheetId="13" hidden="1">100</definedName>
    <definedName name="solver_ssz" localSheetId="14" hidden="1">100</definedName>
    <definedName name="solver_ssz" localSheetId="15" hidden="1">100</definedName>
    <definedName name="solver_ssz" localSheetId="16" hidden="1">100</definedName>
    <definedName name="solver_ssz" localSheetId="17" hidden="1">100</definedName>
    <definedName name="solver_ssz" localSheetId="18" hidden="1">100</definedName>
    <definedName name="solver_ssz" localSheetId="19" hidden="1">100</definedName>
    <definedName name="solver_ssz" localSheetId="20" hidden="1">100</definedName>
    <definedName name="solver_ssz" localSheetId="21" hidden="1">100</definedName>
    <definedName name="solver_ssz" localSheetId="22" hidden="1">100</definedName>
    <definedName name="solver_ssz" localSheetId="23" hidden="1">100</definedName>
    <definedName name="solver_ssz" localSheetId="24" hidden="1">100</definedName>
    <definedName name="solver_ssz" localSheetId="25" hidden="1">100</definedName>
    <definedName name="solver_ssz" localSheetId="26" hidden="1">100</definedName>
    <definedName name="solver_ssz" localSheetId="27" hidden="1">100</definedName>
    <definedName name="solver_ssz" localSheetId="28" hidden="1">100</definedName>
    <definedName name="solver_ssz" localSheetId="29" hidden="1">100</definedName>
    <definedName name="solver_ssz" localSheetId="30" hidden="1">100</definedName>
    <definedName name="solver_ssz" localSheetId="31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im" localSheetId="10" hidden="1">2147483647</definedName>
    <definedName name="solver_tim" localSheetId="11" hidden="1">2147483647</definedName>
    <definedName name="solver_tim" localSheetId="12" hidden="1">2147483647</definedName>
    <definedName name="solver_tim" localSheetId="13" hidden="1">2147483647</definedName>
    <definedName name="solver_tim" localSheetId="14" hidden="1">2147483647</definedName>
    <definedName name="solver_tim" localSheetId="15" hidden="1">2147483647</definedName>
    <definedName name="solver_tim" localSheetId="16" hidden="1">2147483647</definedName>
    <definedName name="solver_tim" localSheetId="17" hidden="1">2147483647</definedName>
    <definedName name="solver_tim" localSheetId="18" hidden="1">2147483647</definedName>
    <definedName name="solver_tim" localSheetId="19" hidden="1">2147483647</definedName>
    <definedName name="solver_tim" localSheetId="20" hidden="1">2147483647</definedName>
    <definedName name="solver_tim" localSheetId="21" hidden="1">2147483647</definedName>
    <definedName name="solver_tim" localSheetId="22" hidden="1">2147483647</definedName>
    <definedName name="solver_tim" localSheetId="23" hidden="1">2147483647</definedName>
    <definedName name="solver_tim" localSheetId="24" hidden="1">2147483647</definedName>
    <definedName name="solver_tim" localSheetId="25" hidden="1">2147483647</definedName>
    <definedName name="solver_tim" localSheetId="26" hidden="1">2147483647</definedName>
    <definedName name="solver_tim" localSheetId="27" hidden="1">2147483647</definedName>
    <definedName name="solver_tim" localSheetId="28" hidden="1">2147483647</definedName>
    <definedName name="solver_tim" localSheetId="29" hidden="1">2147483647</definedName>
    <definedName name="solver_tim" localSheetId="30" hidden="1">2147483647</definedName>
    <definedName name="solver_tim" localSheetId="31" hidden="1">2147483647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ol" localSheetId="9" hidden="1">0.01</definedName>
    <definedName name="solver_tol" localSheetId="10" hidden="1">0.01</definedName>
    <definedName name="solver_tol" localSheetId="11" hidden="1">0.01</definedName>
    <definedName name="solver_tol" localSheetId="12" hidden="1">0.01</definedName>
    <definedName name="solver_tol" localSheetId="13" hidden="1">0.01</definedName>
    <definedName name="solver_tol" localSheetId="14" hidden="1">0.01</definedName>
    <definedName name="solver_tol" localSheetId="15" hidden="1">0.01</definedName>
    <definedName name="solver_tol" localSheetId="16" hidden="1">0.01</definedName>
    <definedName name="solver_tol" localSheetId="17" hidden="1">0.01</definedName>
    <definedName name="solver_tol" localSheetId="18" hidden="1">0.01</definedName>
    <definedName name="solver_tol" localSheetId="19" hidden="1">0.01</definedName>
    <definedName name="solver_tol" localSheetId="20" hidden="1">0.01</definedName>
    <definedName name="solver_tol" localSheetId="21" hidden="1">0.01</definedName>
    <definedName name="solver_tol" localSheetId="22" hidden="1">0.01</definedName>
    <definedName name="solver_tol" localSheetId="23" hidden="1">0.01</definedName>
    <definedName name="solver_tol" localSheetId="24" hidden="1">0.01</definedName>
    <definedName name="solver_tol" localSheetId="25" hidden="1">0.01</definedName>
    <definedName name="solver_tol" localSheetId="26" hidden="1">0.01</definedName>
    <definedName name="solver_tol" localSheetId="27" hidden="1">0.01</definedName>
    <definedName name="solver_tol" localSheetId="28" hidden="1">0.01</definedName>
    <definedName name="solver_tol" localSheetId="29" hidden="1">0.01</definedName>
    <definedName name="solver_tol" localSheetId="30" hidden="1">0.01</definedName>
    <definedName name="solver_tol" localSheetId="31" hidden="1">0.01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typ" localSheetId="9" hidden="1">2</definedName>
    <definedName name="solver_typ" localSheetId="10" hidden="1">2</definedName>
    <definedName name="solver_typ" localSheetId="11" hidden="1">2</definedName>
    <definedName name="solver_typ" localSheetId="12" hidden="1">2</definedName>
    <definedName name="solver_typ" localSheetId="13" hidden="1">2</definedName>
    <definedName name="solver_typ" localSheetId="14" hidden="1">2</definedName>
    <definedName name="solver_typ" localSheetId="15" hidden="1">2</definedName>
    <definedName name="solver_typ" localSheetId="16" hidden="1">2</definedName>
    <definedName name="solver_typ" localSheetId="17" hidden="1">2</definedName>
    <definedName name="solver_typ" localSheetId="18" hidden="1">2</definedName>
    <definedName name="solver_typ" localSheetId="19" hidden="1">2</definedName>
    <definedName name="solver_typ" localSheetId="20" hidden="1">2</definedName>
    <definedName name="solver_typ" localSheetId="21" hidden="1">2</definedName>
    <definedName name="solver_typ" localSheetId="22" hidden="1">2</definedName>
    <definedName name="solver_typ" localSheetId="23" hidden="1">2</definedName>
    <definedName name="solver_typ" localSheetId="24" hidden="1">2</definedName>
    <definedName name="solver_typ" localSheetId="25" hidden="1">2</definedName>
    <definedName name="solver_typ" localSheetId="26" hidden="1">2</definedName>
    <definedName name="solver_typ" localSheetId="27" hidden="1">2</definedName>
    <definedName name="solver_typ" localSheetId="28" hidden="1">2</definedName>
    <definedName name="solver_typ" localSheetId="29" hidden="1">2</definedName>
    <definedName name="solver_typ" localSheetId="30" hidden="1">2</definedName>
    <definedName name="solver_typ" localSheetId="31" hidden="1">2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al" localSheetId="10" hidden="1">0</definedName>
    <definedName name="solver_val" localSheetId="11" hidden="1">0</definedName>
    <definedName name="solver_val" localSheetId="12" hidden="1">0</definedName>
    <definedName name="solver_val" localSheetId="13" hidden="1">0</definedName>
    <definedName name="solver_val" localSheetId="14" hidden="1">0</definedName>
    <definedName name="solver_val" localSheetId="15" hidden="1">0</definedName>
    <definedName name="solver_val" localSheetId="16" hidden="1">0</definedName>
    <definedName name="solver_val" localSheetId="17" hidden="1">0</definedName>
    <definedName name="solver_val" localSheetId="18" hidden="1">0</definedName>
    <definedName name="solver_val" localSheetId="19" hidden="1">0</definedName>
    <definedName name="solver_val" localSheetId="20" hidden="1">0</definedName>
    <definedName name="solver_val" localSheetId="21" hidden="1">0</definedName>
    <definedName name="solver_val" localSheetId="22" hidden="1">0</definedName>
    <definedName name="solver_val" localSheetId="23" hidden="1">0</definedName>
    <definedName name="solver_val" localSheetId="24" hidden="1">0</definedName>
    <definedName name="solver_val" localSheetId="25" hidden="1">0</definedName>
    <definedName name="solver_val" localSheetId="26" hidden="1">0</definedName>
    <definedName name="solver_val" localSheetId="27" hidden="1">0</definedName>
    <definedName name="solver_val" localSheetId="28" hidden="1">0</definedName>
    <definedName name="solver_val" localSheetId="29" hidden="1">0</definedName>
    <definedName name="solver_val" localSheetId="30" hidden="1">0</definedName>
    <definedName name="solver_val" localSheetId="31" hidden="1">0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9" hidden="1">3</definedName>
    <definedName name="solver_ver" localSheetId="10" hidden="1">3</definedName>
    <definedName name="solver_ver" localSheetId="11" hidden="1">3</definedName>
    <definedName name="solver_ver" localSheetId="12" hidden="1">3</definedName>
    <definedName name="solver_ver" localSheetId="13" hidden="1">3</definedName>
    <definedName name="solver_ver" localSheetId="14" hidden="1">3</definedName>
    <definedName name="solver_ver" localSheetId="15" hidden="1">3</definedName>
    <definedName name="solver_ver" localSheetId="16" hidden="1">3</definedName>
    <definedName name="solver_ver" localSheetId="17" hidden="1">3</definedName>
    <definedName name="solver_ver" localSheetId="18" hidden="1">3</definedName>
    <definedName name="solver_ver" localSheetId="19" hidden="1">3</definedName>
    <definedName name="solver_ver" localSheetId="20" hidden="1">3</definedName>
    <definedName name="solver_ver" localSheetId="21" hidden="1">3</definedName>
    <definedName name="solver_ver" localSheetId="22" hidden="1">3</definedName>
    <definedName name="solver_ver" localSheetId="23" hidden="1">3</definedName>
    <definedName name="solver_ver" localSheetId="24" hidden="1">3</definedName>
    <definedName name="solver_ver" localSheetId="25" hidden="1">3</definedName>
    <definedName name="solver_ver" localSheetId="26" hidden="1">3</definedName>
    <definedName name="solver_ver" localSheetId="27" hidden="1">3</definedName>
    <definedName name="solver_ver" localSheetId="28" hidden="1">3</definedName>
    <definedName name="solver_ver" localSheetId="29" hidden="1">3</definedName>
    <definedName name="solver_ver" localSheetId="30" hidden="1">3</definedName>
    <definedName name="solver_ver" localSheetId="3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2" l="1"/>
  <c r="C5" i="32" s="1"/>
  <c r="D5" i="32" s="1"/>
  <c r="E5" i="32" s="1"/>
  <c r="H3" i="31"/>
  <c r="C5" i="31" s="1"/>
  <c r="D5" i="31" s="1"/>
  <c r="E5" i="31" s="1"/>
  <c r="H3" i="30"/>
  <c r="C1" i="30" s="1"/>
  <c r="D1" i="30" s="1"/>
  <c r="E1" i="30" s="1"/>
  <c r="H3" i="29"/>
  <c r="C5" i="29" s="1"/>
  <c r="D5" i="29" s="1"/>
  <c r="E5" i="29" s="1"/>
  <c r="H3" i="28"/>
  <c r="C5" i="28" s="1"/>
  <c r="D5" i="28" s="1"/>
  <c r="E5" i="28" s="1"/>
  <c r="H3" i="27"/>
  <c r="C5" i="27" s="1"/>
  <c r="D5" i="27" s="1"/>
  <c r="E5" i="27" s="1"/>
  <c r="H3" i="26"/>
  <c r="C5" i="26" s="1"/>
  <c r="D5" i="26" s="1"/>
  <c r="E5" i="26" s="1"/>
  <c r="H3" i="25"/>
  <c r="C5" i="25" s="1"/>
  <c r="D5" i="25" s="1"/>
  <c r="E5" i="25" s="1"/>
  <c r="H3" i="24"/>
  <c r="C5" i="24" s="1"/>
  <c r="D5" i="24" s="1"/>
  <c r="E5" i="24" s="1"/>
  <c r="H3" i="23"/>
  <c r="C5" i="23" s="1"/>
  <c r="D5" i="23" s="1"/>
  <c r="E5" i="23" s="1"/>
  <c r="H3" i="22"/>
  <c r="C5" i="22" s="1"/>
  <c r="D5" i="22" s="1"/>
  <c r="E5" i="22" s="1"/>
  <c r="H3" i="21"/>
  <c r="C1" i="21" s="1"/>
  <c r="D1" i="21" s="1"/>
  <c r="E1" i="21" s="1"/>
  <c r="H3" i="20"/>
  <c r="C5" i="20" s="1"/>
  <c r="D5" i="20" s="1"/>
  <c r="E5" i="20" s="1"/>
  <c r="H3" i="19"/>
  <c r="C5" i="19" s="1"/>
  <c r="D5" i="19" s="1"/>
  <c r="E5" i="19" s="1"/>
  <c r="H3" i="18"/>
  <c r="C5" i="18" s="1"/>
  <c r="D5" i="18" s="1"/>
  <c r="E5" i="18" s="1"/>
  <c r="H3" i="17"/>
  <c r="C5" i="17" s="1"/>
  <c r="D5" i="17" s="1"/>
  <c r="E5" i="17" s="1"/>
  <c r="H3" i="16"/>
  <c r="C5" i="16" s="1"/>
  <c r="D5" i="16" s="1"/>
  <c r="E5" i="16" s="1"/>
  <c r="H3" i="15"/>
  <c r="C5" i="15" s="1"/>
  <c r="D5" i="15" s="1"/>
  <c r="E5" i="15" s="1"/>
  <c r="H3" i="14"/>
  <c r="C5" i="14" s="1"/>
  <c r="D5" i="14" s="1"/>
  <c r="E5" i="14" s="1"/>
  <c r="H3" i="13"/>
  <c r="C5" i="13" s="1"/>
  <c r="D5" i="13" s="1"/>
  <c r="E5" i="13" s="1"/>
  <c r="H3" i="12"/>
  <c r="C5" i="12" s="1"/>
  <c r="D5" i="12" s="1"/>
  <c r="E5" i="12" s="1"/>
  <c r="H3" i="11"/>
  <c r="C5" i="11" s="1"/>
  <c r="D5" i="11" s="1"/>
  <c r="E5" i="11" s="1"/>
  <c r="H3" i="10"/>
  <c r="C5" i="10" s="1"/>
  <c r="D5" i="10" s="1"/>
  <c r="E5" i="10" s="1"/>
  <c r="H3" i="9"/>
  <c r="C5" i="9" s="1"/>
  <c r="D5" i="9" s="1"/>
  <c r="E5" i="9" s="1"/>
  <c r="H3" i="8"/>
  <c r="C5" i="8" s="1"/>
  <c r="D5" i="8" s="1"/>
  <c r="E5" i="8" s="1"/>
  <c r="H3" i="7"/>
  <c r="C5" i="7" s="1"/>
  <c r="D5" i="7" s="1"/>
  <c r="E5" i="7" s="1"/>
  <c r="H3" i="6"/>
  <c r="C5" i="6" s="1"/>
  <c r="D5" i="6" s="1"/>
  <c r="E5" i="6" s="1"/>
  <c r="H3" i="5"/>
  <c r="C5" i="5" s="1"/>
  <c r="D5" i="5" s="1"/>
  <c r="E5" i="5" s="1"/>
  <c r="H3" i="4"/>
  <c r="C5" i="4" s="1"/>
  <c r="D5" i="4" s="1"/>
  <c r="E5" i="4" s="1"/>
  <c r="H3" i="3"/>
  <c r="C1" i="3" s="1"/>
  <c r="D1" i="3" s="1"/>
  <c r="E1" i="3" s="1"/>
  <c r="H3" i="2"/>
  <c r="C5" i="2" s="1"/>
  <c r="D5" i="2" s="1"/>
  <c r="E5" i="2" s="1"/>
  <c r="B31" i="33"/>
  <c r="B30" i="33"/>
  <c r="B29" i="33"/>
  <c r="B28" i="33"/>
  <c r="B27" i="33"/>
  <c r="B26" i="33"/>
  <c r="B25" i="33"/>
  <c r="B24" i="33"/>
  <c r="B23" i="33"/>
  <c r="B22" i="33"/>
  <c r="B21" i="33"/>
  <c r="B20" i="33"/>
  <c r="B19" i="33"/>
  <c r="B18" i="33"/>
  <c r="B17" i="33"/>
  <c r="B16" i="33"/>
  <c r="B15" i="33"/>
  <c r="B14" i="33"/>
  <c r="B13" i="33"/>
  <c r="B12" i="33"/>
  <c r="B11" i="33"/>
  <c r="B10" i="33"/>
  <c r="B9" i="33"/>
  <c r="B8" i="33"/>
  <c r="B7" i="33"/>
  <c r="B6" i="33"/>
  <c r="B5" i="33"/>
  <c r="B4" i="33"/>
  <c r="B3" i="33"/>
  <c r="B2" i="33"/>
  <c r="B1" i="33"/>
  <c r="C2" i="32" l="1"/>
  <c r="D2" i="32" s="1"/>
  <c r="E2" i="32" s="1"/>
  <c r="C9" i="32"/>
  <c r="D9" i="32" s="1"/>
  <c r="E9" i="32" s="1"/>
  <c r="C33" i="32"/>
  <c r="D33" i="32" s="1"/>
  <c r="E33" i="32" s="1"/>
  <c r="C13" i="32"/>
  <c r="D13" i="32" s="1"/>
  <c r="E13" i="32" s="1"/>
  <c r="C17" i="32"/>
  <c r="D17" i="32" s="1"/>
  <c r="E17" i="32" s="1"/>
  <c r="C21" i="32"/>
  <c r="D21" i="32" s="1"/>
  <c r="E21" i="32" s="1"/>
  <c r="C25" i="32"/>
  <c r="D25" i="32" s="1"/>
  <c r="E25" i="32" s="1"/>
  <c r="C29" i="32"/>
  <c r="D29" i="32" s="1"/>
  <c r="E29" i="32" s="1"/>
  <c r="C37" i="32"/>
  <c r="D37" i="32" s="1"/>
  <c r="E37" i="32" s="1"/>
  <c r="C19" i="30"/>
  <c r="D19" i="30" s="1"/>
  <c r="E19" i="30" s="1"/>
  <c r="C21" i="30"/>
  <c r="D21" i="30" s="1"/>
  <c r="E21" i="30" s="1"/>
  <c r="C23" i="30"/>
  <c r="D23" i="30" s="1"/>
  <c r="E23" i="30" s="1"/>
  <c r="C25" i="30"/>
  <c r="D25" i="30" s="1"/>
  <c r="E25" i="30" s="1"/>
  <c r="C5" i="30"/>
  <c r="D5" i="30" s="1"/>
  <c r="E5" i="30" s="1"/>
  <c r="C27" i="30"/>
  <c r="D27" i="30" s="1"/>
  <c r="E27" i="30" s="1"/>
  <c r="C29" i="30"/>
  <c r="D29" i="30" s="1"/>
  <c r="E29" i="30" s="1"/>
  <c r="C7" i="30"/>
  <c r="D7" i="30" s="1"/>
  <c r="E7" i="30" s="1"/>
  <c r="C31" i="30"/>
  <c r="D31" i="30" s="1"/>
  <c r="E31" i="30" s="1"/>
  <c r="C9" i="30"/>
  <c r="D9" i="30" s="1"/>
  <c r="E9" i="30" s="1"/>
  <c r="C33" i="30"/>
  <c r="D33" i="30" s="1"/>
  <c r="E33" i="30" s="1"/>
  <c r="C11" i="30"/>
  <c r="D11" i="30" s="1"/>
  <c r="E11" i="30" s="1"/>
  <c r="C35" i="30"/>
  <c r="D35" i="30" s="1"/>
  <c r="E35" i="30" s="1"/>
  <c r="C13" i="30"/>
  <c r="D13" i="30" s="1"/>
  <c r="E13" i="30" s="1"/>
  <c r="C37" i="30"/>
  <c r="D37" i="30" s="1"/>
  <c r="E37" i="30" s="1"/>
  <c r="C39" i="30"/>
  <c r="D39" i="30" s="1"/>
  <c r="E39" i="30" s="1"/>
  <c r="C15" i="30"/>
  <c r="D15" i="30" s="1"/>
  <c r="E15" i="30" s="1"/>
  <c r="C17" i="30"/>
  <c r="D17" i="30" s="1"/>
  <c r="E17" i="30" s="1"/>
  <c r="C36" i="29"/>
  <c r="D36" i="29" s="1"/>
  <c r="E36" i="29" s="1"/>
  <c r="C20" i="29"/>
  <c r="D20" i="29" s="1"/>
  <c r="E20" i="29" s="1"/>
  <c r="C6" i="29"/>
  <c r="D6" i="29" s="1"/>
  <c r="E6" i="29" s="1"/>
  <c r="C22" i="29"/>
  <c r="D22" i="29" s="1"/>
  <c r="E22" i="29" s="1"/>
  <c r="C38" i="29"/>
  <c r="D38" i="29" s="1"/>
  <c r="E38" i="29" s="1"/>
  <c r="C37" i="29"/>
  <c r="D37" i="29" s="1"/>
  <c r="E37" i="29" s="1"/>
  <c r="C8" i="29"/>
  <c r="D8" i="29" s="1"/>
  <c r="E8" i="29" s="1"/>
  <c r="C24" i="29"/>
  <c r="D24" i="29" s="1"/>
  <c r="E24" i="29" s="1"/>
  <c r="C21" i="29"/>
  <c r="D21" i="29" s="1"/>
  <c r="E21" i="29" s="1"/>
  <c r="C9" i="29"/>
  <c r="D9" i="29" s="1"/>
  <c r="E9" i="29" s="1"/>
  <c r="C25" i="29"/>
  <c r="D25" i="29" s="1"/>
  <c r="E25" i="29" s="1"/>
  <c r="C10" i="29"/>
  <c r="D10" i="29" s="1"/>
  <c r="E10" i="29" s="1"/>
  <c r="C26" i="29"/>
  <c r="D26" i="29" s="1"/>
  <c r="E26" i="29" s="1"/>
  <c r="C12" i="29"/>
  <c r="D12" i="29" s="1"/>
  <c r="E12" i="29" s="1"/>
  <c r="C28" i="29"/>
  <c r="D28" i="29" s="1"/>
  <c r="E28" i="29" s="1"/>
  <c r="C13" i="29"/>
  <c r="D13" i="29" s="1"/>
  <c r="E13" i="29" s="1"/>
  <c r="C29" i="29"/>
  <c r="D29" i="29" s="1"/>
  <c r="E29" i="29" s="1"/>
  <c r="C14" i="29"/>
  <c r="D14" i="29" s="1"/>
  <c r="E14" i="29" s="1"/>
  <c r="C30" i="29"/>
  <c r="D30" i="29" s="1"/>
  <c r="E30" i="29" s="1"/>
  <c r="C16" i="29"/>
  <c r="D16" i="29" s="1"/>
  <c r="E16" i="29" s="1"/>
  <c r="C32" i="29"/>
  <c r="D32" i="29" s="1"/>
  <c r="E32" i="29" s="1"/>
  <c r="C17" i="29"/>
  <c r="D17" i="29" s="1"/>
  <c r="E17" i="29" s="1"/>
  <c r="C33" i="29"/>
  <c r="D33" i="29" s="1"/>
  <c r="E33" i="29" s="1"/>
  <c r="C18" i="29"/>
  <c r="D18" i="29" s="1"/>
  <c r="E18" i="29" s="1"/>
  <c r="C34" i="29"/>
  <c r="D34" i="29" s="1"/>
  <c r="E34" i="29" s="1"/>
  <c r="C37" i="28"/>
  <c r="D37" i="28" s="1"/>
  <c r="E37" i="28" s="1"/>
  <c r="C2" i="28"/>
  <c r="D2" i="28" s="1"/>
  <c r="E2" i="28" s="1"/>
  <c r="C9" i="28"/>
  <c r="D9" i="28" s="1"/>
  <c r="E9" i="28" s="1"/>
  <c r="C13" i="28"/>
  <c r="D13" i="28" s="1"/>
  <c r="E13" i="28" s="1"/>
  <c r="C17" i="28"/>
  <c r="D17" i="28" s="1"/>
  <c r="E17" i="28" s="1"/>
  <c r="C21" i="28"/>
  <c r="D21" i="28" s="1"/>
  <c r="E21" i="28" s="1"/>
  <c r="C25" i="28"/>
  <c r="D25" i="28" s="1"/>
  <c r="E25" i="28" s="1"/>
  <c r="C29" i="28"/>
  <c r="D29" i="28" s="1"/>
  <c r="E29" i="28" s="1"/>
  <c r="C33" i="28"/>
  <c r="D33" i="28" s="1"/>
  <c r="E33" i="28" s="1"/>
  <c r="C22" i="27"/>
  <c r="D22" i="27" s="1"/>
  <c r="E22" i="27" s="1"/>
  <c r="C38" i="27"/>
  <c r="D38" i="27" s="1"/>
  <c r="E38" i="27" s="1"/>
  <c r="C6" i="27"/>
  <c r="D6" i="27" s="1"/>
  <c r="E6" i="27" s="1"/>
  <c r="C7" i="27"/>
  <c r="D7" i="27" s="1"/>
  <c r="E7" i="27" s="1"/>
  <c r="C23" i="27"/>
  <c r="D23" i="27" s="1"/>
  <c r="E23" i="27" s="1"/>
  <c r="C39" i="27"/>
  <c r="D39" i="27" s="1"/>
  <c r="E39" i="27" s="1"/>
  <c r="C9" i="27"/>
  <c r="D9" i="27" s="1"/>
  <c r="E9" i="27" s="1"/>
  <c r="C25" i="27"/>
  <c r="D25" i="27" s="1"/>
  <c r="E25" i="27" s="1"/>
  <c r="C10" i="27"/>
  <c r="D10" i="27" s="1"/>
  <c r="E10" i="27" s="1"/>
  <c r="C26" i="27"/>
  <c r="D26" i="27" s="1"/>
  <c r="E26" i="27" s="1"/>
  <c r="C11" i="27"/>
  <c r="D11" i="27" s="1"/>
  <c r="E11" i="27" s="1"/>
  <c r="C27" i="27"/>
  <c r="D27" i="27" s="1"/>
  <c r="E27" i="27" s="1"/>
  <c r="C13" i="27"/>
  <c r="D13" i="27" s="1"/>
  <c r="E13" i="27" s="1"/>
  <c r="C29" i="27"/>
  <c r="D29" i="27" s="1"/>
  <c r="E29" i="27" s="1"/>
  <c r="C14" i="27"/>
  <c r="D14" i="27" s="1"/>
  <c r="E14" i="27" s="1"/>
  <c r="C30" i="27"/>
  <c r="D30" i="27" s="1"/>
  <c r="E30" i="27" s="1"/>
  <c r="C15" i="27"/>
  <c r="D15" i="27" s="1"/>
  <c r="E15" i="27" s="1"/>
  <c r="C31" i="27"/>
  <c r="D31" i="27" s="1"/>
  <c r="E31" i="27" s="1"/>
  <c r="C2" i="27"/>
  <c r="D2" i="27" s="1"/>
  <c r="E2" i="27" s="1"/>
  <c r="C17" i="27"/>
  <c r="D17" i="27" s="1"/>
  <c r="E17" i="27" s="1"/>
  <c r="C33" i="27"/>
  <c r="D33" i="27" s="1"/>
  <c r="E33" i="27" s="1"/>
  <c r="C18" i="27"/>
  <c r="D18" i="27" s="1"/>
  <c r="E18" i="27" s="1"/>
  <c r="C34" i="27"/>
  <c r="D34" i="27" s="1"/>
  <c r="E34" i="27" s="1"/>
  <c r="C3" i="27"/>
  <c r="D3" i="27" s="1"/>
  <c r="E3" i="27" s="1"/>
  <c r="C19" i="27"/>
  <c r="D19" i="27" s="1"/>
  <c r="E19" i="27" s="1"/>
  <c r="C35" i="27"/>
  <c r="D35" i="27" s="1"/>
  <c r="E35" i="27" s="1"/>
  <c r="C21" i="27"/>
  <c r="D21" i="27" s="1"/>
  <c r="E21" i="27" s="1"/>
  <c r="C37" i="27"/>
  <c r="D37" i="27" s="1"/>
  <c r="E37" i="27" s="1"/>
  <c r="C1" i="26"/>
  <c r="D1" i="26" s="1"/>
  <c r="E1" i="26" s="1"/>
  <c r="C2" i="26"/>
  <c r="D2" i="26" s="1"/>
  <c r="E2" i="26" s="1"/>
  <c r="C21" i="25"/>
  <c r="D21" i="25" s="1"/>
  <c r="E21" i="25" s="1"/>
  <c r="C25" i="25"/>
  <c r="D25" i="25" s="1"/>
  <c r="E25" i="25" s="1"/>
  <c r="C29" i="25"/>
  <c r="D29" i="25" s="1"/>
  <c r="E29" i="25" s="1"/>
  <c r="C33" i="25"/>
  <c r="D33" i="25" s="1"/>
  <c r="E33" i="25" s="1"/>
  <c r="C37" i="25"/>
  <c r="D37" i="25" s="1"/>
  <c r="E37" i="25" s="1"/>
  <c r="C3" i="25"/>
  <c r="D3" i="25" s="1"/>
  <c r="E3" i="25" s="1"/>
  <c r="C9" i="25"/>
  <c r="D9" i="25" s="1"/>
  <c r="E9" i="25" s="1"/>
  <c r="C13" i="25"/>
  <c r="D13" i="25" s="1"/>
  <c r="E13" i="25" s="1"/>
  <c r="C17" i="25"/>
  <c r="D17" i="25" s="1"/>
  <c r="E17" i="25" s="1"/>
  <c r="C13" i="24"/>
  <c r="D13" i="24" s="1"/>
  <c r="E13" i="24" s="1"/>
  <c r="C17" i="24"/>
  <c r="D17" i="24" s="1"/>
  <c r="E17" i="24" s="1"/>
  <c r="C21" i="24"/>
  <c r="D21" i="24" s="1"/>
  <c r="E21" i="24" s="1"/>
  <c r="C25" i="24"/>
  <c r="D25" i="24" s="1"/>
  <c r="E25" i="24" s="1"/>
  <c r="C29" i="24"/>
  <c r="D29" i="24" s="1"/>
  <c r="E29" i="24" s="1"/>
  <c r="C33" i="24"/>
  <c r="D33" i="24" s="1"/>
  <c r="E33" i="24" s="1"/>
  <c r="C37" i="24"/>
  <c r="D37" i="24" s="1"/>
  <c r="E37" i="24" s="1"/>
  <c r="C9" i="24"/>
  <c r="D9" i="24" s="1"/>
  <c r="E9" i="24" s="1"/>
  <c r="C17" i="23"/>
  <c r="D17" i="23" s="1"/>
  <c r="E17" i="23" s="1"/>
  <c r="C18" i="23"/>
  <c r="D18" i="23" s="1"/>
  <c r="E18" i="23" s="1"/>
  <c r="C21" i="23"/>
  <c r="D21" i="23" s="1"/>
  <c r="E21" i="23" s="1"/>
  <c r="C22" i="23"/>
  <c r="D22" i="23" s="1"/>
  <c r="E22" i="23" s="1"/>
  <c r="C25" i="23"/>
  <c r="D25" i="23" s="1"/>
  <c r="E25" i="23" s="1"/>
  <c r="C26" i="23"/>
  <c r="D26" i="23" s="1"/>
  <c r="E26" i="23" s="1"/>
  <c r="C4" i="23"/>
  <c r="D4" i="23" s="1"/>
  <c r="E4" i="23" s="1"/>
  <c r="C29" i="23"/>
  <c r="D29" i="23" s="1"/>
  <c r="E29" i="23" s="1"/>
  <c r="C6" i="23"/>
  <c r="D6" i="23" s="1"/>
  <c r="E6" i="23" s="1"/>
  <c r="C30" i="23"/>
  <c r="D30" i="23" s="1"/>
  <c r="E30" i="23" s="1"/>
  <c r="C9" i="23"/>
  <c r="D9" i="23" s="1"/>
  <c r="E9" i="23" s="1"/>
  <c r="C33" i="23"/>
  <c r="D33" i="23" s="1"/>
  <c r="E33" i="23" s="1"/>
  <c r="C10" i="23"/>
  <c r="D10" i="23" s="1"/>
  <c r="E10" i="23" s="1"/>
  <c r="C37" i="23"/>
  <c r="D37" i="23" s="1"/>
  <c r="E37" i="23" s="1"/>
  <c r="C13" i="23"/>
  <c r="D13" i="23" s="1"/>
  <c r="E13" i="23" s="1"/>
  <c r="C14" i="23"/>
  <c r="D14" i="23" s="1"/>
  <c r="E14" i="23" s="1"/>
  <c r="C6" i="22"/>
  <c r="D6" i="22" s="1"/>
  <c r="E6" i="22" s="1"/>
  <c r="C30" i="22"/>
  <c r="D30" i="22" s="1"/>
  <c r="E30" i="22" s="1"/>
  <c r="C9" i="22"/>
  <c r="D9" i="22" s="1"/>
  <c r="E9" i="22" s="1"/>
  <c r="C33" i="22"/>
  <c r="D33" i="22" s="1"/>
  <c r="E33" i="22" s="1"/>
  <c r="C10" i="22"/>
  <c r="D10" i="22" s="1"/>
  <c r="E10" i="22" s="1"/>
  <c r="C34" i="22"/>
  <c r="D34" i="22" s="1"/>
  <c r="E34" i="22" s="1"/>
  <c r="C13" i="22"/>
  <c r="D13" i="22" s="1"/>
  <c r="E13" i="22" s="1"/>
  <c r="C37" i="22"/>
  <c r="D37" i="22" s="1"/>
  <c r="E37" i="22" s="1"/>
  <c r="C14" i="22"/>
  <c r="D14" i="22" s="1"/>
  <c r="E14" i="22" s="1"/>
  <c r="C38" i="22"/>
  <c r="D38" i="22" s="1"/>
  <c r="E38" i="22" s="1"/>
  <c r="C17" i="22"/>
  <c r="D17" i="22" s="1"/>
  <c r="E17" i="22" s="1"/>
  <c r="C18" i="22"/>
  <c r="D18" i="22" s="1"/>
  <c r="E18" i="22" s="1"/>
  <c r="C21" i="22"/>
  <c r="D21" i="22" s="1"/>
  <c r="E21" i="22" s="1"/>
  <c r="C22" i="22"/>
  <c r="D22" i="22" s="1"/>
  <c r="E22" i="22" s="1"/>
  <c r="C25" i="22"/>
  <c r="D25" i="22" s="1"/>
  <c r="E25" i="22" s="1"/>
  <c r="C3" i="22"/>
  <c r="D3" i="22" s="1"/>
  <c r="E3" i="22" s="1"/>
  <c r="C26" i="22"/>
  <c r="D26" i="22" s="1"/>
  <c r="E26" i="22" s="1"/>
  <c r="C29" i="22"/>
  <c r="D29" i="22" s="1"/>
  <c r="E29" i="22" s="1"/>
  <c r="C5" i="21"/>
  <c r="D5" i="21" s="1"/>
  <c r="E5" i="21" s="1"/>
  <c r="C9" i="21"/>
  <c r="D9" i="21" s="1"/>
  <c r="E9" i="21" s="1"/>
  <c r="C13" i="21"/>
  <c r="D13" i="21" s="1"/>
  <c r="E13" i="21" s="1"/>
  <c r="C17" i="21"/>
  <c r="D17" i="21" s="1"/>
  <c r="E17" i="21" s="1"/>
  <c r="C21" i="21"/>
  <c r="D21" i="21" s="1"/>
  <c r="E21" i="21" s="1"/>
  <c r="C25" i="21"/>
  <c r="D25" i="21" s="1"/>
  <c r="E25" i="21" s="1"/>
  <c r="C29" i="21"/>
  <c r="D29" i="21" s="1"/>
  <c r="E29" i="21" s="1"/>
  <c r="C33" i="21"/>
  <c r="D33" i="21" s="1"/>
  <c r="E33" i="21" s="1"/>
  <c r="C37" i="21"/>
  <c r="D37" i="21" s="1"/>
  <c r="E37" i="21" s="1"/>
  <c r="C3" i="21"/>
  <c r="D3" i="21" s="1"/>
  <c r="E3" i="21" s="1"/>
  <c r="C1" i="20"/>
  <c r="D1" i="20" s="1"/>
  <c r="E1" i="20" s="1"/>
  <c r="C21" i="20"/>
  <c r="D21" i="20" s="1"/>
  <c r="E21" i="20" s="1"/>
  <c r="C2" i="20"/>
  <c r="D2" i="20" s="1"/>
  <c r="E2" i="20" s="1"/>
  <c r="C22" i="20"/>
  <c r="D22" i="20" s="1"/>
  <c r="E22" i="20" s="1"/>
  <c r="C25" i="20"/>
  <c r="D25" i="20" s="1"/>
  <c r="E25" i="20" s="1"/>
  <c r="C3" i="20"/>
  <c r="D3" i="20" s="1"/>
  <c r="E3" i="20" s="1"/>
  <c r="C26" i="20"/>
  <c r="D26" i="20" s="1"/>
  <c r="E26" i="20" s="1"/>
  <c r="C29" i="20"/>
  <c r="D29" i="20" s="1"/>
  <c r="E29" i="20" s="1"/>
  <c r="C6" i="20"/>
  <c r="D6" i="20" s="1"/>
  <c r="E6" i="20" s="1"/>
  <c r="C30" i="20"/>
  <c r="D30" i="20" s="1"/>
  <c r="E30" i="20" s="1"/>
  <c r="C9" i="20"/>
  <c r="D9" i="20" s="1"/>
  <c r="E9" i="20" s="1"/>
  <c r="C33" i="20"/>
  <c r="D33" i="20" s="1"/>
  <c r="E33" i="20" s="1"/>
  <c r="C10" i="20"/>
  <c r="D10" i="20" s="1"/>
  <c r="E10" i="20" s="1"/>
  <c r="C34" i="20"/>
  <c r="D34" i="20" s="1"/>
  <c r="E34" i="20" s="1"/>
  <c r="C13" i="20"/>
  <c r="D13" i="20" s="1"/>
  <c r="E13" i="20" s="1"/>
  <c r="C37" i="20"/>
  <c r="D37" i="20" s="1"/>
  <c r="E37" i="20" s="1"/>
  <c r="C14" i="20"/>
  <c r="D14" i="20" s="1"/>
  <c r="E14" i="20" s="1"/>
  <c r="C38" i="20"/>
  <c r="D38" i="20" s="1"/>
  <c r="E38" i="20" s="1"/>
  <c r="C17" i="20"/>
  <c r="D17" i="20" s="1"/>
  <c r="E17" i="20" s="1"/>
  <c r="C18" i="20"/>
  <c r="D18" i="20" s="1"/>
  <c r="E18" i="20" s="1"/>
  <c r="C17" i="19"/>
  <c r="D17" i="19" s="1"/>
  <c r="E17" i="19" s="1"/>
  <c r="C18" i="19"/>
  <c r="D18" i="19" s="1"/>
  <c r="E18" i="19" s="1"/>
  <c r="C21" i="19"/>
  <c r="D21" i="19" s="1"/>
  <c r="E21" i="19" s="1"/>
  <c r="C22" i="19"/>
  <c r="D22" i="19" s="1"/>
  <c r="E22" i="19" s="1"/>
  <c r="C25" i="19"/>
  <c r="D25" i="19" s="1"/>
  <c r="E25" i="19" s="1"/>
  <c r="C1" i="19"/>
  <c r="D1" i="19" s="1"/>
  <c r="E1" i="19" s="1"/>
  <c r="C26" i="19"/>
  <c r="D26" i="19" s="1"/>
  <c r="E26" i="19" s="1"/>
  <c r="C29" i="19"/>
  <c r="D29" i="19" s="1"/>
  <c r="E29" i="19" s="1"/>
  <c r="C6" i="19"/>
  <c r="D6" i="19" s="1"/>
  <c r="E6" i="19" s="1"/>
  <c r="C30" i="19"/>
  <c r="D30" i="19" s="1"/>
  <c r="E30" i="19" s="1"/>
  <c r="C9" i="19"/>
  <c r="D9" i="19" s="1"/>
  <c r="E9" i="19" s="1"/>
  <c r="C33" i="19"/>
  <c r="D33" i="19" s="1"/>
  <c r="E33" i="19" s="1"/>
  <c r="C10" i="19"/>
  <c r="D10" i="19" s="1"/>
  <c r="E10" i="19" s="1"/>
  <c r="C34" i="19"/>
  <c r="D34" i="19" s="1"/>
  <c r="E34" i="19" s="1"/>
  <c r="C13" i="19"/>
  <c r="D13" i="19" s="1"/>
  <c r="E13" i="19" s="1"/>
  <c r="C37" i="19"/>
  <c r="D37" i="19" s="1"/>
  <c r="E37" i="19" s="1"/>
  <c r="C14" i="19"/>
  <c r="D14" i="19" s="1"/>
  <c r="E14" i="19" s="1"/>
  <c r="C38" i="19"/>
  <c r="D38" i="19" s="1"/>
  <c r="E38" i="19" s="1"/>
  <c r="C11" i="18"/>
  <c r="D11" i="18" s="1"/>
  <c r="E11" i="18" s="1"/>
  <c r="C35" i="18"/>
  <c r="D35" i="18" s="1"/>
  <c r="E35" i="18" s="1"/>
  <c r="C31" i="18"/>
  <c r="D31" i="18" s="1"/>
  <c r="E31" i="18" s="1"/>
  <c r="C9" i="18"/>
  <c r="D9" i="18" s="1"/>
  <c r="E9" i="18" s="1"/>
  <c r="C33" i="18"/>
  <c r="D33" i="18" s="1"/>
  <c r="E33" i="18" s="1"/>
  <c r="C13" i="18"/>
  <c r="D13" i="18" s="1"/>
  <c r="E13" i="18" s="1"/>
  <c r="C37" i="18"/>
  <c r="D37" i="18" s="1"/>
  <c r="E37" i="18" s="1"/>
  <c r="C15" i="18"/>
  <c r="D15" i="18" s="1"/>
  <c r="E15" i="18" s="1"/>
  <c r="C39" i="18"/>
  <c r="D39" i="18" s="1"/>
  <c r="E39" i="18" s="1"/>
  <c r="C17" i="18"/>
  <c r="D17" i="18" s="1"/>
  <c r="E17" i="18" s="1"/>
  <c r="C19" i="18"/>
  <c r="D19" i="18" s="1"/>
  <c r="E19" i="18" s="1"/>
  <c r="C1" i="18"/>
  <c r="D1" i="18" s="1"/>
  <c r="E1" i="18" s="1"/>
  <c r="C21" i="18"/>
  <c r="D21" i="18" s="1"/>
  <c r="E21" i="18" s="1"/>
  <c r="C23" i="18"/>
  <c r="D23" i="18" s="1"/>
  <c r="E23" i="18" s="1"/>
  <c r="C6" i="18"/>
  <c r="D6" i="18" s="1"/>
  <c r="E6" i="18" s="1"/>
  <c r="C25" i="18"/>
  <c r="D25" i="18" s="1"/>
  <c r="E25" i="18" s="1"/>
  <c r="C7" i="18"/>
  <c r="D7" i="18" s="1"/>
  <c r="E7" i="18" s="1"/>
  <c r="C27" i="18"/>
  <c r="D27" i="18" s="1"/>
  <c r="E27" i="18" s="1"/>
  <c r="C8" i="18"/>
  <c r="D8" i="18" s="1"/>
  <c r="E8" i="18" s="1"/>
  <c r="C29" i="18"/>
  <c r="D29" i="18" s="1"/>
  <c r="E29" i="18" s="1"/>
  <c r="C16" i="17"/>
  <c r="D16" i="17" s="1"/>
  <c r="E16" i="17" s="1"/>
  <c r="C32" i="17"/>
  <c r="D32" i="17" s="1"/>
  <c r="E32" i="17" s="1"/>
  <c r="C17" i="17"/>
  <c r="D17" i="17" s="1"/>
  <c r="E17" i="17" s="1"/>
  <c r="C33" i="17"/>
  <c r="D33" i="17" s="1"/>
  <c r="E33" i="17" s="1"/>
  <c r="C1" i="17"/>
  <c r="D1" i="17" s="1"/>
  <c r="E1" i="17" s="1"/>
  <c r="C18" i="17"/>
  <c r="D18" i="17" s="1"/>
  <c r="E18" i="17" s="1"/>
  <c r="C34" i="17"/>
  <c r="D34" i="17" s="1"/>
  <c r="E34" i="17" s="1"/>
  <c r="C3" i="17"/>
  <c r="D3" i="17" s="1"/>
  <c r="E3" i="17" s="1"/>
  <c r="C20" i="17"/>
  <c r="D20" i="17" s="1"/>
  <c r="E20" i="17" s="1"/>
  <c r="C36" i="17"/>
  <c r="D36" i="17" s="1"/>
  <c r="E36" i="17" s="1"/>
  <c r="C21" i="17"/>
  <c r="D21" i="17" s="1"/>
  <c r="E21" i="17" s="1"/>
  <c r="C37" i="17"/>
  <c r="D37" i="17" s="1"/>
  <c r="E37" i="17" s="1"/>
  <c r="C6" i="17"/>
  <c r="D6" i="17" s="1"/>
  <c r="E6" i="17" s="1"/>
  <c r="C22" i="17"/>
  <c r="D22" i="17" s="1"/>
  <c r="E22" i="17" s="1"/>
  <c r="C38" i="17"/>
  <c r="D38" i="17" s="1"/>
  <c r="E38" i="17" s="1"/>
  <c r="C8" i="17"/>
  <c r="D8" i="17" s="1"/>
  <c r="E8" i="17" s="1"/>
  <c r="C24" i="17"/>
  <c r="D24" i="17" s="1"/>
  <c r="E24" i="17" s="1"/>
  <c r="C40" i="17"/>
  <c r="D40" i="17" s="1"/>
  <c r="E40" i="17" s="1"/>
  <c r="C9" i="17"/>
  <c r="D9" i="17" s="1"/>
  <c r="E9" i="17" s="1"/>
  <c r="C25" i="17"/>
  <c r="D25" i="17" s="1"/>
  <c r="E25" i="17" s="1"/>
  <c r="C10" i="17"/>
  <c r="D10" i="17" s="1"/>
  <c r="E10" i="17" s="1"/>
  <c r="C26" i="17"/>
  <c r="D26" i="17" s="1"/>
  <c r="E26" i="17" s="1"/>
  <c r="C12" i="17"/>
  <c r="D12" i="17" s="1"/>
  <c r="E12" i="17" s="1"/>
  <c r="C28" i="17"/>
  <c r="D28" i="17" s="1"/>
  <c r="E28" i="17" s="1"/>
  <c r="C13" i="17"/>
  <c r="D13" i="17" s="1"/>
  <c r="E13" i="17" s="1"/>
  <c r="C29" i="17"/>
  <c r="D29" i="17" s="1"/>
  <c r="E29" i="17" s="1"/>
  <c r="C14" i="17"/>
  <c r="D14" i="17" s="1"/>
  <c r="E14" i="17" s="1"/>
  <c r="C30" i="17"/>
  <c r="D30" i="17" s="1"/>
  <c r="E30" i="17" s="1"/>
  <c r="C35" i="16"/>
  <c r="D35" i="16" s="1"/>
  <c r="E35" i="16" s="1"/>
  <c r="C37" i="16"/>
  <c r="D37" i="16" s="1"/>
  <c r="E37" i="16" s="1"/>
  <c r="C19" i="16"/>
  <c r="D19" i="16" s="1"/>
  <c r="E19" i="16" s="1"/>
  <c r="C27" i="16"/>
  <c r="D27" i="16" s="1"/>
  <c r="E27" i="16" s="1"/>
  <c r="C29" i="16"/>
  <c r="D29" i="16" s="1"/>
  <c r="E29" i="16" s="1"/>
  <c r="C3" i="16"/>
  <c r="D3" i="16" s="1"/>
  <c r="E3" i="16" s="1"/>
  <c r="C11" i="16"/>
  <c r="D11" i="16" s="1"/>
  <c r="E11" i="16" s="1"/>
  <c r="C15" i="16"/>
  <c r="D15" i="16" s="1"/>
  <c r="E15" i="16" s="1"/>
  <c r="C23" i="16"/>
  <c r="D23" i="16" s="1"/>
  <c r="E23" i="16" s="1"/>
  <c r="C31" i="16"/>
  <c r="D31" i="16" s="1"/>
  <c r="E31" i="16" s="1"/>
  <c r="C17" i="16"/>
  <c r="D17" i="16" s="1"/>
  <c r="E17" i="16" s="1"/>
  <c r="C21" i="16"/>
  <c r="D21" i="16" s="1"/>
  <c r="E21" i="16" s="1"/>
  <c r="C13" i="16"/>
  <c r="D13" i="16" s="1"/>
  <c r="E13" i="16" s="1"/>
  <c r="C1" i="16"/>
  <c r="D1" i="16" s="1"/>
  <c r="E1" i="16" s="1"/>
  <c r="C25" i="16"/>
  <c r="D25" i="16" s="1"/>
  <c r="E25" i="16" s="1"/>
  <c r="C7" i="16"/>
  <c r="D7" i="16" s="1"/>
  <c r="E7" i="16" s="1"/>
  <c r="C9" i="16"/>
  <c r="D9" i="16" s="1"/>
  <c r="E9" i="16" s="1"/>
  <c r="C33" i="16"/>
  <c r="D33" i="16" s="1"/>
  <c r="E33" i="16" s="1"/>
  <c r="C2" i="15"/>
  <c r="D2" i="15" s="1"/>
  <c r="E2" i="15" s="1"/>
  <c r="C16" i="15"/>
  <c r="D16" i="15" s="1"/>
  <c r="E16" i="15" s="1"/>
  <c r="C32" i="15"/>
  <c r="D32" i="15" s="1"/>
  <c r="E32" i="15" s="1"/>
  <c r="C40" i="15"/>
  <c r="D40" i="15" s="1"/>
  <c r="E40" i="15" s="1"/>
  <c r="C17" i="15"/>
  <c r="D17" i="15" s="1"/>
  <c r="E17" i="15" s="1"/>
  <c r="C33" i="15"/>
  <c r="D33" i="15" s="1"/>
  <c r="E33" i="15" s="1"/>
  <c r="C18" i="15"/>
  <c r="D18" i="15" s="1"/>
  <c r="E18" i="15" s="1"/>
  <c r="C34" i="15"/>
  <c r="D34" i="15" s="1"/>
  <c r="E34" i="15" s="1"/>
  <c r="C3" i="15"/>
  <c r="D3" i="15" s="1"/>
  <c r="E3" i="15" s="1"/>
  <c r="C20" i="15"/>
  <c r="D20" i="15" s="1"/>
  <c r="E20" i="15" s="1"/>
  <c r="C36" i="15"/>
  <c r="D36" i="15" s="1"/>
  <c r="E36" i="15" s="1"/>
  <c r="C21" i="15"/>
  <c r="D21" i="15" s="1"/>
  <c r="E21" i="15" s="1"/>
  <c r="C37" i="15"/>
  <c r="D37" i="15" s="1"/>
  <c r="E37" i="15" s="1"/>
  <c r="C6" i="15"/>
  <c r="D6" i="15" s="1"/>
  <c r="E6" i="15" s="1"/>
  <c r="C22" i="15"/>
  <c r="D22" i="15" s="1"/>
  <c r="E22" i="15" s="1"/>
  <c r="C38" i="15"/>
  <c r="D38" i="15" s="1"/>
  <c r="E38" i="15" s="1"/>
  <c r="C24" i="15"/>
  <c r="D24" i="15" s="1"/>
  <c r="E24" i="15" s="1"/>
  <c r="C9" i="15"/>
  <c r="D9" i="15" s="1"/>
  <c r="E9" i="15" s="1"/>
  <c r="C25" i="15"/>
  <c r="D25" i="15" s="1"/>
  <c r="E25" i="15" s="1"/>
  <c r="C8" i="15"/>
  <c r="D8" i="15" s="1"/>
  <c r="E8" i="15" s="1"/>
  <c r="C10" i="15"/>
  <c r="D10" i="15" s="1"/>
  <c r="E10" i="15" s="1"/>
  <c r="C26" i="15"/>
  <c r="D26" i="15" s="1"/>
  <c r="E26" i="15" s="1"/>
  <c r="C12" i="15"/>
  <c r="D12" i="15" s="1"/>
  <c r="E12" i="15" s="1"/>
  <c r="C28" i="15"/>
  <c r="D28" i="15" s="1"/>
  <c r="E28" i="15" s="1"/>
  <c r="C13" i="15"/>
  <c r="D13" i="15" s="1"/>
  <c r="E13" i="15" s="1"/>
  <c r="C29" i="15"/>
  <c r="D29" i="15" s="1"/>
  <c r="E29" i="15" s="1"/>
  <c r="C14" i="15"/>
  <c r="D14" i="15" s="1"/>
  <c r="E14" i="15" s="1"/>
  <c r="C30" i="15"/>
  <c r="D30" i="15" s="1"/>
  <c r="E30" i="15" s="1"/>
  <c r="C9" i="14"/>
  <c r="D9" i="14" s="1"/>
  <c r="E9" i="14" s="1"/>
  <c r="C25" i="14"/>
  <c r="D25" i="14" s="1"/>
  <c r="E25" i="14" s="1"/>
  <c r="C10" i="14"/>
  <c r="D10" i="14" s="1"/>
  <c r="E10" i="14" s="1"/>
  <c r="C26" i="14"/>
  <c r="D26" i="14" s="1"/>
  <c r="E26" i="14" s="1"/>
  <c r="C12" i="14"/>
  <c r="D12" i="14" s="1"/>
  <c r="E12" i="14" s="1"/>
  <c r="C28" i="14"/>
  <c r="D28" i="14" s="1"/>
  <c r="E28" i="14" s="1"/>
  <c r="C13" i="14"/>
  <c r="D13" i="14" s="1"/>
  <c r="E13" i="14" s="1"/>
  <c r="C29" i="14"/>
  <c r="D29" i="14" s="1"/>
  <c r="E29" i="14" s="1"/>
  <c r="C14" i="14"/>
  <c r="D14" i="14" s="1"/>
  <c r="E14" i="14" s="1"/>
  <c r="C30" i="14"/>
  <c r="D30" i="14" s="1"/>
  <c r="E30" i="14" s="1"/>
  <c r="C16" i="14"/>
  <c r="D16" i="14" s="1"/>
  <c r="E16" i="14" s="1"/>
  <c r="C32" i="14"/>
  <c r="D32" i="14" s="1"/>
  <c r="E32" i="14" s="1"/>
  <c r="C17" i="14"/>
  <c r="D17" i="14" s="1"/>
  <c r="E17" i="14" s="1"/>
  <c r="C33" i="14"/>
  <c r="D33" i="14" s="1"/>
  <c r="E33" i="14" s="1"/>
  <c r="C1" i="14"/>
  <c r="D1" i="14" s="1"/>
  <c r="E1" i="14" s="1"/>
  <c r="C18" i="14"/>
  <c r="D18" i="14" s="1"/>
  <c r="E18" i="14" s="1"/>
  <c r="C34" i="14"/>
  <c r="D34" i="14" s="1"/>
  <c r="E34" i="14" s="1"/>
  <c r="C3" i="14"/>
  <c r="D3" i="14" s="1"/>
  <c r="E3" i="14" s="1"/>
  <c r="C20" i="14"/>
  <c r="D20" i="14" s="1"/>
  <c r="E20" i="14" s="1"/>
  <c r="C36" i="14"/>
  <c r="D36" i="14" s="1"/>
  <c r="E36" i="14" s="1"/>
  <c r="C21" i="14"/>
  <c r="D21" i="14" s="1"/>
  <c r="E21" i="14" s="1"/>
  <c r="C37" i="14"/>
  <c r="D37" i="14" s="1"/>
  <c r="E37" i="14" s="1"/>
  <c r="C6" i="14"/>
  <c r="D6" i="14" s="1"/>
  <c r="E6" i="14" s="1"/>
  <c r="C22" i="14"/>
  <c r="D22" i="14" s="1"/>
  <c r="E22" i="14" s="1"/>
  <c r="C38" i="14"/>
  <c r="D38" i="14" s="1"/>
  <c r="E38" i="14" s="1"/>
  <c r="C8" i="14"/>
  <c r="D8" i="14" s="1"/>
  <c r="E8" i="14" s="1"/>
  <c r="C24" i="14"/>
  <c r="D24" i="14" s="1"/>
  <c r="E24" i="14" s="1"/>
  <c r="C40" i="14"/>
  <c r="D40" i="14" s="1"/>
  <c r="E40" i="14" s="1"/>
  <c r="C13" i="13"/>
  <c r="D13" i="13" s="1"/>
  <c r="E13" i="13" s="1"/>
  <c r="C17" i="13"/>
  <c r="D17" i="13" s="1"/>
  <c r="E17" i="13" s="1"/>
  <c r="C21" i="13"/>
  <c r="D21" i="13" s="1"/>
  <c r="E21" i="13" s="1"/>
  <c r="C25" i="13"/>
  <c r="D25" i="13" s="1"/>
  <c r="E25" i="13" s="1"/>
  <c r="C29" i="13"/>
  <c r="D29" i="13" s="1"/>
  <c r="E29" i="13" s="1"/>
  <c r="C33" i="13"/>
  <c r="D33" i="13" s="1"/>
  <c r="E33" i="13" s="1"/>
  <c r="C37" i="13"/>
  <c r="D37" i="13" s="1"/>
  <c r="E37" i="13" s="1"/>
  <c r="C2" i="13"/>
  <c r="D2" i="13" s="1"/>
  <c r="E2" i="13" s="1"/>
  <c r="C3" i="13"/>
  <c r="D3" i="13" s="1"/>
  <c r="E3" i="13" s="1"/>
  <c r="C9" i="13"/>
  <c r="D9" i="13" s="1"/>
  <c r="E9" i="13" s="1"/>
  <c r="C13" i="12"/>
  <c r="D13" i="12" s="1"/>
  <c r="E13" i="12" s="1"/>
  <c r="C29" i="12"/>
  <c r="D29" i="12" s="1"/>
  <c r="E29" i="12" s="1"/>
  <c r="C14" i="12"/>
  <c r="D14" i="12" s="1"/>
  <c r="E14" i="12" s="1"/>
  <c r="C30" i="12"/>
  <c r="D30" i="12" s="1"/>
  <c r="E30" i="12" s="1"/>
  <c r="C16" i="12"/>
  <c r="D16" i="12" s="1"/>
  <c r="E16" i="12" s="1"/>
  <c r="C32" i="12"/>
  <c r="D32" i="12" s="1"/>
  <c r="E32" i="12" s="1"/>
  <c r="C1" i="12"/>
  <c r="D1" i="12" s="1"/>
  <c r="E1" i="12" s="1"/>
  <c r="C17" i="12"/>
  <c r="D17" i="12" s="1"/>
  <c r="E17" i="12" s="1"/>
  <c r="C33" i="12"/>
  <c r="D33" i="12" s="1"/>
  <c r="E33" i="12" s="1"/>
  <c r="C3" i="12"/>
  <c r="D3" i="12" s="1"/>
  <c r="E3" i="12" s="1"/>
  <c r="C18" i="12"/>
  <c r="D18" i="12" s="1"/>
  <c r="E18" i="12" s="1"/>
  <c r="C34" i="12"/>
  <c r="D34" i="12" s="1"/>
  <c r="E34" i="12" s="1"/>
  <c r="C36" i="12"/>
  <c r="D36" i="12" s="1"/>
  <c r="E36" i="12" s="1"/>
  <c r="C4" i="12"/>
  <c r="D4" i="12" s="1"/>
  <c r="E4" i="12" s="1"/>
  <c r="C21" i="12"/>
  <c r="D21" i="12" s="1"/>
  <c r="E21" i="12" s="1"/>
  <c r="C37" i="12"/>
  <c r="D37" i="12" s="1"/>
  <c r="E37" i="12" s="1"/>
  <c r="C38" i="12"/>
  <c r="D38" i="12" s="1"/>
  <c r="E38" i="12" s="1"/>
  <c r="C22" i="12"/>
  <c r="D22" i="12" s="1"/>
  <c r="E22" i="12" s="1"/>
  <c r="C8" i="12"/>
  <c r="D8" i="12" s="1"/>
  <c r="E8" i="12" s="1"/>
  <c r="C24" i="12"/>
  <c r="D24" i="12" s="1"/>
  <c r="E24" i="12" s="1"/>
  <c r="C6" i="12"/>
  <c r="D6" i="12" s="1"/>
  <c r="E6" i="12" s="1"/>
  <c r="C9" i="12"/>
  <c r="D9" i="12" s="1"/>
  <c r="E9" i="12" s="1"/>
  <c r="C25" i="12"/>
  <c r="D25" i="12" s="1"/>
  <c r="E25" i="12" s="1"/>
  <c r="C10" i="12"/>
  <c r="D10" i="12" s="1"/>
  <c r="E10" i="12" s="1"/>
  <c r="C26" i="12"/>
  <c r="D26" i="12" s="1"/>
  <c r="E26" i="12" s="1"/>
  <c r="C20" i="12"/>
  <c r="D20" i="12" s="1"/>
  <c r="E20" i="12" s="1"/>
  <c r="C12" i="12"/>
  <c r="D12" i="12" s="1"/>
  <c r="E12" i="12" s="1"/>
  <c r="C28" i="12"/>
  <c r="D28" i="12" s="1"/>
  <c r="E28" i="12" s="1"/>
  <c r="C6" i="11"/>
  <c r="D6" i="11" s="1"/>
  <c r="E6" i="11" s="1"/>
  <c r="C22" i="11"/>
  <c r="D22" i="11" s="1"/>
  <c r="E22" i="11" s="1"/>
  <c r="C38" i="11"/>
  <c r="D38" i="11" s="1"/>
  <c r="E38" i="11" s="1"/>
  <c r="C8" i="11"/>
  <c r="D8" i="11" s="1"/>
  <c r="E8" i="11" s="1"/>
  <c r="C24" i="11"/>
  <c r="D24" i="11" s="1"/>
  <c r="E24" i="11" s="1"/>
  <c r="C40" i="11"/>
  <c r="D40" i="11" s="1"/>
  <c r="E40" i="11" s="1"/>
  <c r="C9" i="11"/>
  <c r="D9" i="11" s="1"/>
  <c r="E9" i="11" s="1"/>
  <c r="C25" i="11"/>
  <c r="D25" i="11" s="1"/>
  <c r="E25" i="11" s="1"/>
  <c r="C10" i="11"/>
  <c r="D10" i="11" s="1"/>
  <c r="E10" i="11" s="1"/>
  <c r="C26" i="11"/>
  <c r="D26" i="11" s="1"/>
  <c r="E26" i="11" s="1"/>
  <c r="C21" i="11"/>
  <c r="D21" i="11" s="1"/>
  <c r="E21" i="11" s="1"/>
  <c r="C12" i="11"/>
  <c r="D12" i="11" s="1"/>
  <c r="E12" i="11" s="1"/>
  <c r="C28" i="11"/>
  <c r="D28" i="11" s="1"/>
  <c r="E28" i="11" s="1"/>
  <c r="C13" i="11"/>
  <c r="D13" i="11" s="1"/>
  <c r="E13" i="11" s="1"/>
  <c r="C29" i="11"/>
  <c r="D29" i="11" s="1"/>
  <c r="E29" i="11" s="1"/>
  <c r="C37" i="11"/>
  <c r="D37" i="11" s="1"/>
  <c r="E37" i="11" s="1"/>
  <c r="C14" i="11"/>
  <c r="D14" i="11" s="1"/>
  <c r="E14" i="11" s="1"/>
  <c r="C30" i="11"/>
  <c r="D30" i="11" s="1"/>
  <c r="E30" i="11" s="1"/>
  <c r="C16" i="11"/>
  <c r="D16" i="11" s="1"/>
  <c r="E16" i="11" s="1"/>
  <c r="C32" i="11"/>
  <c r="D32" i="11" s="1"/>
  <c r="E32" i="11" s="1"/>
  <c r="C17" i="11"/>
  <c r="D17" i="11" s="1"/>
  <c r="E17" i="11" s="1"/>
  <c r="C33" i="11"/>
  <c r="D33" i="11" s="1"/>
  <c r="E33" i="11" s="1"/>
  <c r="C2" i="11"/>
  <c r="D2" i="11" s="1"/>
  <c r="E2" i="11" s="1"/>
  <c r="C18" i="11"/>
  <c r="D18" i="11" s="1"/>
  <c r="E18" i="11" s="1"/>
  <c r="C34" i="11"/>
  <c r="D34" i="11" s="1"/>
  <c r="E34" i="11" s="1"/>
  <c r="C20" i="11"/>
  <c r="D20" i="11" s="1"/>
  <c r="E20" i="11" s="1"/>
  <c r="C36" i="11"/>
  <c r="D36" i="11" s="1"/>
  <c r="E36" i="11" s="1"/>
  <c r="C21" i="10"/>
  <c r="D21" i="10" s="1"/>
  <c r="E21" i="10" s="1"/>
  <c r="C22" i="10"/>
  <c r="D22" i="10" s="1"/>
  <c r="E22" i="10" s="1"/>
  <c r="C1" i="10"/>
  <c r="D1" i="10" s="1"/>
  <c r="E1" i="10" s="1"/>
  <c r="C25" i="10"/>
  <c r="D25" i="10" s="1"/>
  <c r="E25" i="10" s="1"/>
  <c r="C26" i="10"/>
  <c r="D26" i="10" s="1"/>
  <c r="E26" i="10" s="1"/>
  <c r="C4" i="10"/>
  <c r="D4" i="10" s="1"/>
  <c r="E4" i="10" s="1"/>
  <c r="C29" i="10"/>
  <c r="D29" i="10" s="1"/>
  <c r="E29" i="10" s="1"/>
  <c r="C6" i="10"/>
  <c r="D6" i="10" s="1"/>
  <c r="E6" i="10" s="1"/>
  <c r="C30" i="10"/>
  <c r="D30" i="10" s="1"/>
  <c r="E30" i="10" s="1"/>
  <c r="C9" i="10"/>
  <c r="D9" i="10" s="1"/>
  <c r="E9" i="10" s="1"/>
  <c r="C33" i="10"/>
  <c r="D33" i="10" s="1"/>
  <c r="E33" i="10" s="1"/>
  <c r="C10" i="10"/>
  <c r="D10" i="10" s="1"/>
  <c r="E10" i="10" s="1"/>
  <c r="C34" i="10"/>
  <c r="D34" i="10" s="1"/>
  <c r="E34" i="10" s="1"/>
  <c r="C13" i="10"/>
  <c r="D13" i="10" s="1"/>
  <c r="E13" i="10" s="1"/>
  <c r="C37" i="10"/>
  <c r="D37" i="10" s="1"/>
  <c r="E37" i="10" s="1"/>
  <c r="C14" i="10"/>
  <c r="D14" i="10" s="1"/>
  <c r="E14" i="10" s="1"/>
  <c r="C38" i="10"/>
  <c r="D38" i="10" s="1"/>
  <c r="E38" i="10" s="1"/>
  <c r="C17" i="10"/>
  <c r="D17" i="10" s="1"/>
  <c r="E17" i="10" s="1"/>
  <c r="C18" i="10"/>
  <c r="D18" i="10" s="1"/>
  <c r="E18" i="10" s="1"/>
  <c r="C33" i="9"/>
  <c r="D33" i="9" s="1"/>
  <c r="E33" i="9" s="1"/>
  <c r="C37" i="9"/>
  <c r="D37" i="9" s="1"/>
  <c r="E37" i="9" s="1"/>
  <c r="C2" i="9"/>
  <c r="D2" i="9" s="1"/>
  <c r="E2" i="9" s="1"/>
  <c r="C3" i="9"/>
  <c r="D3" i="9" s="1"/>
  <c r="E3" i="9" s="1"/>
  <c r="C9" i="9"/>
  <c r="D9" i="9" s="1"/>
  <c r="E9" i="9" s="1"/>
  <c r="C13" i="9"/>
  <c r="D13" i="9" s="1"/>
  <c r="E13" i="9" s="1"/>
  <c r="C17" i="9"/>
  <c r="D17" i="9" s="1"/>
  <c r="E17" i="9" s="1"/>
  <c r="C21" i="9"/>
  <c r="D21" i="9" s="1"/>
  <c r="E21" i="9" s="1"/>
  <c r="C25" i="9"/>
  <c r="D25" i="9" s="1"/>
  <c r="E25" i="9" s="1"/>
  <c r="C29" i="9"/>
  <c r="D29" i="9" s="1"/>
  <c r="E29" i="9" s="1"/>
  <c r="C17" i="8"/>
  <c r="D17" i="8" s="1"/>
  <c r="E17" i="8" s="1"/>
  <c r="C25" i="8"/>
  <c r="D25" i="8" s="1"/>
  <c r="E25" i="8" s="1"/>
  <c r="C33" i="8"/>
  <c r="D33" i="8" s="1"/>
  <c r="E33" i="8" s="1"/>
  <c r="C37" i="8"/>
  <c r="D37" i="8" s="1"/>
  <c r="E37" i="8" s="1"/>
  <c r="C9" i="8"/>
  <c r="D9" i="8" s="1"/>
  <c r="E9" i="8" s="1"/>
  <c r="C13" i="8"/>
  <c r="D13" i="8" s="1"/>
  <c r="E13" i="8" s="1"/>
  <c r="C21" i="8"/>
  <c r="D21" i="8" s="1"/>
  <c r="E21" i="8" s="1"/>
  <c r="C29" i="8"/>
  <c r="D29" i="8" s="1"/>
  <c r="E29" i="8" s="1"/>
  <c r="C3" i="7"/>
  <c r="D3" i="7" s="1"/>
  <c r="E3" i="7" s="1"/>
  <c r="C28" i="7"/>
  <c r="D28" i="7" s="1"/>
  <c r="E28" i="7" s="1"/>
  <c r="C9" i="7"/>
  <c r="D9" i="7" s="1"/>
  <c r="E9" i="7" s="1"/>
  <c r="C33" i="7"/>
  <c r="D33" i="7" s="1"/>
  <c r="E33" i="7" s="1"/>
  <c r="C32" i="7"/>
  <c r="D32" i="7" s="1"/>
  <c r="E32" i="7" s="1"/>
  <c r="C12" i="7"/>
  <c r="D12" i="7" s="1"/>
  <c r="E12" i="7" s="1"/>
  <c r="C37" i="7"/>
  <c r="D37" i="7" s="1"/>
  <c r="E37" i="7" s="1"/>
  <c r="C8" i="7"/>
  <c r="D8" i="7" s="1"/>
  <c r="E8" i="7" s="1"/>
  <c r="C13" i="7"/>
  <c r="D13" i="7" s="1"/>
  <c r="E13" i="7" s="1"/>
  <c r="C16" i="7"/>
  <c r="D16" i="7" s="1"/>
  <c r="E16" i="7" s="1"/>
  <c r="C20" i="7"/>
  <c r="D20" i="7" s="1"/>
  <c r="E20" i="7" s="1"/>
  <c r="C17" i="7"/>
  <c r="D17" i="7" s="1"/>
  <c r="E17" i="7" s="1"/>
  <c r="C21" i="7"/>
  <c r="D21" i="7" s="1"/>
  <c r="E21" i="7" s="1"/>
  <c r="C29" i="7"/>
  <c r="D29" i="7" s="1"/>
  <c r="E29" i="7" s="1"/>
  <c r="C24" i="7"/>
  <c r="D24" i="7" s="1"/>
  <c r="E24" i="7" s="1"/>
  <c r="C1" i="7"/>
  <c r="D1" i="7" s="1"/>
  <c r="E1" i="7" s="1"/>
  <c r="C25" i="7"/>
  <c r="D25" i="7" s="1"/>
  <c r="E25" i="7" s="1"/>
  <c r="C10" i="6"/>
  <c r="D10" i="6" s="1"/>
  <c r="E10" i="6" s="1"/>
  <c r="C26" i="6"/>
  <c r="D26" i="6" s="1"/>
  <c r="E26" i="6" s="1"/>
  <c r="C12" i="6"/>
  <c r="D12" i="6" s="1"/>
  <c r="E12" i="6" s="1"/>
  <c r="C28" i="6"/>
  <c r="D28" i="6" s="1"/>
  <c r="E28" i="6" s="1"/>
  <c r="C13" i="6"/>
  <c r="D13" i="6" s="1"/>
  <c r="E13" i="6" s="1"/>
  <c r="C29" i="6"/>
  <c r="D29" i="6" s="1"/>
  <c r="E29" i="6" s="1"/>
  <c r="C14" i="6"/>
  <c r="D14" i="6" s="1"/>
  <c r="E14" i="6" s="1"/>
  <c r="C30" i="6"/>
  <c r="D30" i="6" s="1"/>
  <c r="E30" i="6" s="1"/>
  <c r="C16" i="6"/>
  <c r="D16" i="6" s="1"/>
  <c r="E16" i="6" s="1"/>
  <c r="C32" i="6"/>
  <c r="D32" i="6" s="1"/>
  <c r="E32" i="6" s="1"/>
  <c r="C33" i="6"/>
  <c r="D33" i="6" s="1"/>
  <c r="E33" i="6" s="1"/>
  <c r="C18" i="6"/>
  <c r="D18" i="6" s="1"/>
  <c r="E18" i="6" s="1"/>
  <c r="C34" i="6"/>
  <c r="D34" i="6" s="1"/>
  <c r="E34" i="6" s="1"/>
  <c r="C17" i="6"/>
  <c r="D17" i="6" s="1"/>
  <c r="E17" i="6" s="1"/>
  <c r="C20" i="6"/>
  <c r="D20" i="6" s="1"/>
  <c r="E20" i="6" s="1"/>
  <c r="C36" i="6"/>
  <c r="D36" i="6" s="1"/>
  <c r="E36" i="6" s="1"/>
  <c r="C37" i="6"/>
  <c r="D37" i="6" s="1"/>
  <c r="E37" i="6" s="1"/>
  <c r="C6" i="6"/>
  <c r="D6" i="6" s="1"/>
  <c r="E6" i="6" s="1"/>
  <c r="C22" i="6"/>
  <c r="D22" i="6" s="1"/>
  <c r="E22" i="6" s="1"/>
  <c r="C38" i="6"/>
  <c r="D38" i="6" s="1"/>
  <c r="E38" i="6" s="1"/>
  <c r="C8" i="6"/>
  <c r="D8" i="6" s="1"/>
  <c r="E8" i="6" s="1"/>
  <c r="C24" i="6"/>
  <c r="D24" i="6" s="1"/>
  <c r="E24" i="6" s="1"/>
  <c r="C40" i="6"/>
  <c r="D40" i="6" s="1"/>
  <c r="E40" i="6" s="1"/>
  <c r="C21" i="6"/>
  <c r="D21" i="6" s="1"/>
  <c r="E21" i="6" s="1"/>
  <c r="C9" i="6"/>
  <c r="D9" i="6" s="1"/>
  <c r="E9" i="6" s="1"/>
  <c r="C25" i="6"/>
  <c r="D25" i="6" s="1"/>
  <c r="E25" i="6" s="1"/>
  <c r="C14" i="5"/>
  <c r="D14" i="5" s="1"/>
  <c r="E14" i="5" s="1"/>
  <c r="C30" i="5"/>
  <c r="D30" i="5" s="1"/>
  <c r="E30" i="5" s="1"/>
  <c r="C1" i="5"/>
  <c r="D1" i="5" s="1"/>
  <c r="E1" i="5" s="1"/>
  <c r="C16" i="5"/>
  <c r="D16" i="5" s="1"/>
  <c r="E16" i="5" s="1"/>
  <c r="C32" i="5"/>
  <c r="D32" i="5" s="1"/>
  <c r="E32" i="5" s="1"/>
  <c r="C3" i="5"/>
  <c r="D3" i="5" s="1"/>
  <c r="E3" i="5" s="1"/>
  <c r="C17" i="5"/>
  <c r="D17" i="5" s="1"/>
  <c r="E17" i="5" s="1"/>
  <c r="C33" i="5"/>
  <c r="D33" i="5" s="1"/>
  <c r="E33" i="5" s="1"/>
  <c r="C18" i="5"/>
  <c r="D18" i="5" s="1"/>
  <c r="E18" i="5" s="1"/>
  <c r="C34" i="5"/>
  <c r="D34" i="5" s="1"/>
  <c r="E34" i="5" s="1"/>
  <c r="C4" i="5"/>
  <c r="D4" i="5" s="1"/>
  <c r="E4" i="5" s="1"/>
  <c r="C20" i="5"/>
  <c r="D20" i="5" s="1"/>
  <c r="E20" i="5" s="1"/>
  <c r="C36" i="5"/>
  <c r="D36" i="5" s="1"/>
  <c r="E36" i="5" s="1"/>
  <c r="C21" i="5"/>
  <c r="D21" i="5" s="1"/>
  <c r="E21" i="5" s="1"/>
  <c r="C37" i="5"/>
  <c r="D37" i="5" s="1"/>
  <c r="E37" i="5" s="1"/>
  <c r="C6" i="5"/>
  <c r="D6" i="5" s="1"/>
  <c r="E6" i="5" s="1"/>
  <c r="C22" i="5"/>
  <c r="D22" i="5" s="1"/>
  <c r="E22" i="5" s="1"/>
  <c r="C38" i="5"/>
  <c r="D38" i="5" s="1"/>
  <c r="E38" i="5" s="1"/>
  <c r="C8" i="5"/>
  <c r="D8" i="5" s="1"/>
  <c r="E8" i="5" s="1"/>
  <c r="C24" i="5"/>
  <c r="D24" i="5" s="1"/>
  <c r="E24" i="5" s="1"/>
  <c r="C40" i="5"/>
  <c r="D40" i="5" s="1"/>
  <c r="E40" i="5" s="1"/>
  <c r="C9" i="5"/>
  <c r="D9" i="5" s="1"/>
  <c r="E9" i="5" s="1"/>
  <c r="C25" i="5"/>
  <c r="D25" i="5" s="1"/>
  <c r="E25" i="5" s="1"/>
  <c r="C10" i="5"/>
  <c r="D10" i="5" s="1"/>
  <c r="E10" i="5" s="1"/>
  <c r="C26" i="5"/>
  <c r="D26" i="5" s="1"/>
  <c r="E26" i="5" s="1"/>
  <c r="C12" i="5"/>
  <c r="D12" i="5" s="1"/>
  <c r="E12" i="5" s="1"/>
  <c r="C28" i="5"/>
  <c r="D28" i="5" s="1"/>
  <c r="E28" i="5" s="1"/>
  <c r="C13" i="5"/>
  <c r="D13" i="5" s="1"/>
  <c r="E13" i="5" s="1"/>
  <c r="C29" i="5"/>
  <c r="D29" i="5" s="1"/>
  <c r="E29" i="5" s="1"/>
  <c r="C38" i="4"/>
  <c r="D38" i="4" s="1"/>
  <c r="E38" i="4" s="1"/>
  <c r="C6" i="4"/>
  <c r="D6" i="4" s="1"/>
  <c r="E6" i="4" s="1"/>
  <c r="C8" i="4"/>
  <c r="D8" i="4" s="1"/>
  <c r="E8" i="4" s="1"/>
  <c r="C22" i="4"/>
  <c r="D22" i="4" s="1"/>
  <c r="E22" i="4" s="1"/>
  <c r="C24" i="4"/>
  <c r="D24" i="4" s="1"/>
  <c r="E24" i="4" s="1"/>
  <c r="C9" i="4"/>
  <c r="D9" i="4" s="1"/>
  <c r="E9" i="4" s="1"/>
  <c r="C25" i="4"/>
  <c r="D25" i="4" s="1"/>
  <c r="E25" i="4" s="1"/>
  <c r="C26" i="4"/>
  <c r="D26" i="4" s="1"/>
  <c r="E26" i="4" s="1"/>
  <c r="C10" i="4"/>
  <c r="D10" i="4" s="1"/>
  <c r="E10" i="4" s="1"/>
  <c r="C12" i="4"/>
  <c r="D12" i="4" s="1"/>
  <c r="E12" i="4" s="1"/>
  <c r="C28" i="4"/>
  <c r="D28" i="4" s="1"/>
  <c r="E28" i="4" s="1"/>
  <c r="C13" i="4"/>
  <c r="D13" i="4" s="1"/>
  <c r="E13" i="4" s="1"/>
  <c r="C29" i="4"/>
  <c r="D29" i="4" s="1"/>
  <c r="E29" i="4" s="1"/>
  <c r="C30" i="4"/>
  <c r="D30" i="4" s="1"/>
  <c r="E30" i="4" s="1"/>
  <c r="C14" i="4"/>
  <c r="D14" i="4" s="1"/>
  <c r="E14" i="4" s="1"/>
  <c r="C16" i="4"/>
  <c r="D16" i="4" s="1"/>
  <c r="E16" i="4" s="1"/>
  <c r="C32" i="4"/>
  <c r="D32" i="4" s="1"/>
  <c r="E32" i="4" s="1"/>
  <c r="C17" i="4"/>
  <c r="D17" i="4" s="1"/>
  <c r="E17" i="4" s="1"/>
  <c r="C33" i="4"/>
  <c r="D33" i="4" s="1"/>
  <c r="E33" i="4" s="1"/>
  <c r="C18" i="4"/>
  <c r="D18" i="4" s="1"/>
  <c r="E18" i="4" s="1"/>
  <c r="C34" i="4"/>
  <c r="D34" i="4" s="1"/>
  <c r="E34" i="4" s="1"/>
  <c r="C1" i="4"/>
  <c r="D1" i="4" s="1"/>
  <c r="E1" i="4" s="1"/>
  <c r="C20" i="4"/>
  <c r="D20" i="4" s="1"/>
  <c r="E20" i="4" s="1"/>
  <c r="C36" i="4"/>
  <c r="D36" i="4" s="1"/>
  <c r="E36" i="4" s="1"/>
  <c r="C21" i="4"/>
  <c r="D21" i="4" s="1"/>
  <c r="E21" i="4" s="1"/>
  <c r="C37" i="4"/>
  <c r="D37" i="4" s="1"/>
  <c r="E37" i="4" s="1"/>
  <c r="C10" i="3"/>
  <c r="D10" i="3" s="1"/>
  <c r="E10" i="3" s="1"/>
  <c r="C12" i="3"/>
  <c r="D12" i="3" s="1"/>
  <c r="E12" i="3" s="1"/>
  <c r="C28" i="3"/>
  <c r="D28" i="3" s="1"/>
  <c r="E28" i="3" s="1"/>
  <c r="C13" i="3"/>
  <c r="D13" i="3" s="1"/>
  <c r="E13" i="3" s="1"/>
  <c r="C29" i="3"/>
  <c r="D29" i="3" s="1"/>
  <c r="E29" i="3" s="1"/>
  <c r="C2" i="3"/>
  <c r="D2" i="3" s="1"/>
  <c r="E2" i="3" s="1"/>
  <c r="C14" i="3"/>
  <c r="D14" i="3" s="1"/>
  <c r="E14" i="3" s="1"/>
  <c r="C30" i="3"/>
  <c r="D30" i="3" s="1"/>
  <c r="E30" i="3" s="1"/>
  <c r="C16" i="3"/>
  <c r="D16" i="3" s="1"/>
  <c r="E16" i="3" s="1"/>
  <c r="C32" i="3"/>
  <c r="D32" i="3" s="1"/>
  <c r="E32" i="3" s="1"/>
  <c r="C4" i="3"/>
  <c r="D4" i="3" s="1"/>
  <c r="E4" i="3" s="1"/>
  <c r="C17" i="3"/>
  <c r="D17" i="3" s="1"/>
  <c r="E17" i="3" s="1"/>
  <c r="C33" i="3"/>
  <c r="D33" i="3" s="1"/>
  <c r="E33" i="3" s="1"/>
  <c r="C18" i="3"/>
  <c r="D18" i="3" s="1"/>
  <c r="E18" i="3" s="1"/>
  <c r="C34" i="3"/>
  <c r="D34" i="3" s="1"/>
  <c r="E34" i="3" s="1"/>
  <c r="C5" i="3"/>
  <c r="D5" i="3" s="1"/>
  <c r="E5" i="3" s="1"/>
  <c r="C20" i="3"/>
  <c r="D20" i="3" s="1"/>
  <c r="E20" i="3" s="1"/>
  <c r="C36" i="3"/>
  <c r="D36" i="3" s="1"/>
  <c r="E36" i="3" s="1"/>
  <c r="C21" i="3"/>
  <c r="D21" i="3" s="1"/>
  <c r="E21" i="3" s="1"/>
  <c r="C37" i="3"/>
  <c r="D37" i="3" s="1"/>
  <c r="E37" i="3" s="1"/>
  <c r="C6" i="3"/>
  <c r="D6" i="3" s="1"/>
  <c r="E6" i="3" s="1"/>
  <c r="C22" i="3"/>
  <c r="D22" i="3" s="1"/>
  <c r="E22" i="3" s="1"/>
  <c r="C38" i="3"/>
  <c r="D38" i="3" s="1"/>
  <c r="E38" i="3" s="1"/>
  <c r="C8" i="3"/>
  <c r="D8" i="3" s="1"/>
  <c r="E8" i="3" s="1"/>
  <c r="C24" i="3"/>
  <c r="D24" i="3" s="1"/>
  <c r="E24" i="3" s="1"/>
  <c r="C40" i="3"/>
  <c r="D40" i="3" s="1"/>
  <c r="E40" i="3" s="1"/>
  <c r="C9" i="3"/>
  <c r="D9" i="3" s="1"/>
  <c r="E9" i="3" s="1"/>
  <c r="C25" i="3"/>
  <c r="D25" i="3" s="1"/>
  <c r="E25" i="3" s="1"/>
  <c r="C26" i="3"/>
  <c r="D26" i="3" s="1"/>
  <c r="E26" i="3" s="1"/>
  <c r="C34" i="2"/>
  <c r="D34" i="2" s="1"/>
  <c r="E34" i="2" s="1"/>
  <c r="C38" i="2"/>
  <c r="D38" i="2" s="1"/>
  <c r="E38" i="2" s="1"/>
  <c r="C6" i="2"/>
  <c r="D6" i="2" s="1"/>
  <c r="E6" i="2" s="1"/>
  <c r="C10" i="2"/>
  <c r="D10" i="2" s="1"/>
  <c r="E10" i="2" s="1"/>
  <c r="C14" i="2"/>
  <c r="D14" i="2" s="1"/>
  <c r="E14" i="2" s="1"/>
  <c r="C18" i="2"/>
  <c r="D18" i="2" s="1"/>
  <c r="E18" i="2" s="1"/>
  <c r="C22" i="2"/>
  <c r="D22" i="2" s="1"/>
  <c r="E22" i="2" s="1"/>
  <c r="C26" i="2"/>
  <c r="D26" i="2" s="1"/>
  <c r="E26" i="2" s="1"/>
  <c r="C30" i="2"/>
  <c r="D30" i="2" s="1"/>
  <c r="E30" i="2" s="1"/>
  <c r="C6" i="32"/>
  <c r="D6" i="32" s="1"/>
  <c r="E6" i="32" s="1"/>
  <c r="C10" i="32"/>
  <c r="D10" i="32" s="1"/>
  <c r="E10" i="32" s="1"/>
  <c r="C14" i="32"/>
  <c r="D14" i="32" s="1"/>
  <c r="E14" i="32" s="1"/>
  <c r="C18" i="32"/>
  <c r="D18" i="32" s="1"/>
  <c r="E18" i="32" s="1"/>
  <c r="C22" i="32"/>
  <c r="D22" i="32" s="1"/>
  <c r="E22" i="32" s="1"/>
  <c r="C26" i="32"/>
  <c r="D26" i="32" s="1"/>
  <c r="E26" i="32" s="1"/>
  <c r="C30" i="32"/>
  <c r="D30" i="32" s="1"/>
  <c r="E30" i="32" s="1"/>
  <c r="C34" i="32"/>
  <c r="D34" i="32" s="1"/>
  <c r="E34" i="32" s="1"/>
  <c r="C38" i="32"/>
  <c r="D38" i="32" s="1"/>
  <c r="E38" i="32" s="1"/>
  <c r="C3" i="32"/>
  <c r="D3" i="32" s="1"/>
  <c r="E3" i="32" s="1"/>
  <c r="C7" i="32"/>
  <c r="D7" i="32" s="1"/>
  <c r="E7" i="32" s="1"/>
  <c r="C11" i="32"/>
  <c r="D11" i="32" s="1"/>
  <c r="E11" i="32" s="1"/>
  <c r="C15" i="32"/>
  <c r="D15" i="32" s="1"/>
  <c r="E15" i="32" s="1"/>
  <c r="C19" i="32"/>
  <c r="D19" i="32" s="1"/>
  <c r="E19" i="32" s="1"/>
  <c r="C23" i="32"/>
  <c r="D23" i="32" s="1"/>
  <c r="E23" i="32" s="1"/>
  <c r="C27" i="32"/>
  <c r="D27" i="32" s="1"/>
  <c r="E27" i="32" s="1"/>
  <c r="C31" i="32"/>
  <c r="D31" i="32" s="1"/>
  <c r="E31" i="32" s="1"/>
  <c r="C35" i="32"/>
  <c r="D35" i="32" s="1"/>
  <c r="E35" i="32" s="1"/>
  <c r="C39" i="32"/>
  <c r="D39" i="32" s="1"/>
  <c r="E39" i="32" s="1"/>
  <c r="C4" i="32"/>
  <c r="D4" i="32" s="1"/>
  <c r="E4" i="32" s="1"/>
  <c r="C8" i="32"/>
  <c r="D8" i="32" s="1"/>
  <c r="E8" i="32" s="1"/>
  <c r="C12" i="32"/>
  <c r="D12" i="32" s="1"/>
  <c r="E12" i="32" s="1"/>
  <c r="C16" i="32"/>
  <c r="D16" i="32" s="1"/>
  <c r="E16" i="32" s="1"/>
  <c r="C20" i="32"/>
  <c r="D20" i="32" s="1"/>
  <c r="E20" i="32" s="1"/>
  <c r="C24" i="32"/>
  <c r="D24" i="32" s="1"/>
  <c r="E24" i="32" s="1"/>
  <c r="C28" i="32"/>
  <c r="D28" i="32" s="1"/>
  <c r="E28" i="32" s="1"/>
  <c r="C32" i="32"/>
  <c r="D32" i="32" s="1"/>
  <c r="E32" i="32" s="1"/>
  <c r="C36" i="32"/>
  <c r="D36" i="32" s="1"/>
  <c r="E36" i="32" s="1"/>
  <c r="C40" i="32"/>
  <c r="D40" i="32" s="1"/>
  <c r="E40" i="32" s="1"/>
  <c r="C1" i="32"/>
  <c r="D1" i="32" s="1"/>
  <c r="E1" i="32" s="1"/>
  <c r="C37" i="31"/>
  <c r="D37" i="31" s="1"/>
  <c r="E37" i="31" s="1"/>
  <c r="C2" i="31"/>
  <c r="D2" i="31" s="1"/>
  <c r="E2" i="31" s="1"/>
  <c r="C9" i="31"/>
  <c r="D9" i="31" s="1"/>
  <c r="E9" i="31" s="1"/>
  <c r="C33" i="31"/>
  <c r="D33" i="31" s="1"/>
  <c r="E33" i="31" s="1"/>
  <c r="C13" i="31"/>
  <c r="D13" i="31" s="1"/>
  <c r="E13" i="31" s="1"/>
  <c r="C25" i="31"/>
  <c r="D25" i="31" s="1"/>
  <c r="E25" i="31" s="1"/>
  <c r="C6" i="31"/>
  <c r="D6" i="31" s="1"/>
  <c r="E6" i="31" s="1"/>
  <c r="C10" i="31"/>
  <c r="D10" i="31" s="1"/>
  <c r="E10" i="31" s="1"/>
  <c r="C14" i="31"/>
  <c r="D14" i="31" s="1"/>
  <c r="E14" i="31" s="1"/>
  <c r="C18" i="31"/>
  <c r="D18" i="31" s="1"/>
  <c r="E18" i="31" s="1"/>
  <c r="C22" i="31"/>
  <c r="D22" i="31" s="1"/>
  <c r="E22" i="31" s="1"/>
  <c r="C26" i="31"/>
  <c r="D26" i="31" s="1"/>
  <c r="E26" i="31" s="1"/>
  <c r="C30" i="31"/>
  <c r="D30" i="31" s="1"/>
  <c r="E30" i="31" s="1"/>
  <c r="C34" i="31"/>
  <c r="D34" i="31" s="1"/>
  <c r="E34" i="31" s="1"/>
  <c r="C38" i="31"/>
  <c r="D38" i="31" s="1"/>
  <c r="E38" i="31" s="1"/>
  <c r="C29" i="31"/>
  <c r="D29" i="31" s="1"/>
  <c r="E29" i="31" s="1"/>
  <c r="C3" i="31"/>
  <c r="D3" i="31" s="1"/>
  <c r="E3" i="31" s="1"/>
  <c r="C17" i="31"/>
  <c r="D17" i="31" s="1"/>
  <c r="E17" i="31" s="1"/>
  <c r="C21" i="31"/>
  <c r="D21" i="31" s="1"/>
  <c r="E21" i="31" s="1"/>
  <c r="C7" i="31"/>
  <c r="D7" i="31" s="1"/>
  <c r="E7" i="31" s="1"/>
  <c r="C11" i="31"/>
  <c r="D11" i="31" s="1"/>
  <c r="E11" i="31" s="1"/>
  <c r="C15" i="31"/>
  <c r="D15" i="31" s="1"/>
  <c r="E15" i="31" s="1"/>
  <c r="C19" i="31"/>
  <c r="D19" i="31" s="1"/>
  <c r="E19" i="31" s="1"/>
  <c r="C23" i="31"/>
  <c r="D23" i="31" s="1"/>
  <c r="E23" i="31" s="1"/>
  <c r="C27" i="31"/>
  <c r="D27" i="31" s="1"/>
  <c r="E27" i="31" s="1"/>
  <c r="C31" i="31"/>
  <c r="D31" i="31" s="1"/>
  <c r="E31" i="31" s="1"/>
  <c r="C35" i="31"/>
  <c r="D35" i="31" s="1"/>
  <c r="E35" i="31" s="1"/>
  <c r="C39" i="31"/>
  <c r="D39" i="31" s="1"/>
  <c r="E39" i="31" s="1"/>
  <c r="C4" i="31"/>
  <c r="D4" i="31" s="1"/>
  <c r="E4" i="31" s="1"/>
  <c r="C8" i="31"/>
  <c r="D8" i="31" s="1"/>
  <c r="E8" i="31" s="1"/>
  <c r="C12" i="31"/>
  <c r="D12" i="31" s="1"/>
  <c r="E12" i="31" s="1"/>
  <c r="C16" i="31"/>
  <c r="D16" i="31" s="1"/>
  <c r="E16" i="31" s="1"/>
  <c r="C20" i="31"/>
  <c r="D20" i="31" s="1"/>
  <c r="E20" i="31" s="1"/>
  <c r="C24" i="31"/>
  <c r="D24" i="31" s="1"/>
  <c r="E24" i="31" s="1"/>
  <c r="C28" i="31"/>
  <c r="D28" i="31" s="1"/>
  <c r="E28" i="31" s="1"/>
  <c r="C32" i="31"/>
  <c r="D32" i="31" s="1"/>
  <c r="E32" i="31" s="1"/>
  <c r="C36" i="31"/>
  <c r="D36" i="31" s="1"/>
  <c r="E36" i="31" s="1"/>
  <c r="C40" i="31"/>
  <c r="D40" i="31" s="1"/>
  <c r="E40" i="31" s="1"/>
  <c r="C1" i="31"/>
  <c r="D1" i="31" s="1"/>
  <c r="E1" i="31" s="1"/>
  <c r="C2" i="30"/>
  <c r="D2" i="30" s="1"/>
  <c r="E2" i="30" s="1"/>
  <c r="C6" i="30"/>
  <c r="D6" i="30" s="1"/>
  <c r="E6" i="30" s="1"/>
  <c r="C10" i="30"/>
  <c r="D10" i="30" s="1"/>
  <c r="E10" i="30" s="1"/>
  <c r="C14" i="30"/>
  <c r="D14" i="30" s="1"/>
  <c r="E14" i="30" s="1"/>
  <c r="C18" i="30"/>
  <c r="D18" i="30" s="1"/>
  <c r="E18" i="30" s="1"/>
  <c r="C22" i="30"/>
  <c r="D22" i="30" s="1"/>
  <c r="E22" i="30" s="1"/>
  <c r="C26" i="30"/>
  <c r="D26" i="30" s="1"/>
  <c r="E26" i="30" s="1"/>
  <c r="C30" i="30"/>
  <c r="D30" i="30" s="1"/>
  <c r="E30" i="30" s="1"/>
  <c r="C34" i="30"/>
  <c r="D34" i="30" s="1"/>
  <c r="E34" i="30" s="1"/>
  <c r="C38" i="30"/>
  <c r="D38" i="30" s="1"/>
  <c r="E38" i="30" s="1"/>
  <c r="C3" i="30"/>
  <c r="D3" i="30" s="1"/>
  <c r="E3" i="30" s="1"/>
  <c r="C4" i="30"/>
  <c r="D4" i="30" s="1"/>
  <c r="E4" i="30" s="1"/>
  <c r="C8" i="30"/>
  <c r="D8" i="30" s="1"/>
  <c r="E8" i="30" s="1"/>
  <c r="C12" i="30"/>
  <c r="D12" i="30" s="1"/>
  <c r="E12" i="30" s="1"/>
  <c r="C16" i="30"/>
  <c r="D16" i="30" s="1"/>
  <c r="E16" i="30" s="1"/>
  <c r="C20" i="30"/>
  <c r="D20" i="30" s="1"/>
  <c r="E20" i="30" s="1"/>
  <c r="C24" i="30"/>
  <c r="D24" i="30" s="1"/>
  <c r="E24" i="30" s="1"/>
  <c r="C28" i="30"/>
  <c r="D28" i="30" s="1"/>
  <c r="E28" i="30" s="1"/>
  <c r="C32" i="30"/>
  <c r="D32" i="30" s="1"/>
  <c r="E32" i="30" s="1"/>
  <c r="C36" i="30"/>
  <c r="D36" i="30" s="1"/>
  <c r="E36" i="30" s="1"/>
  <c r="C40" i="30"/>
  <c r="D40" i="30" s="1"/>
  <c r="E40" i="30" s="1"/>
  <c r="C2" i="29"/>
  <c r="D2" i="29" s="1"/>
  <c r="E2" i="29" s="1"/>
  <c r="C3" i="29"/>
  <c r="D3" i="29" s="1"/>
  <c r="E3" i="29" s="1"/>
  <c r="C7" i="29"/>
  <c r="D7" i="29" s="1"/>
  <c r="E7" i="29" s="1"/>
  <c r="C11" i="29"/>
  <c r="D11" i="29" s="1"/>
  <c r="E11" i="29" s="1"/>
  <c r="C15" i="29"/>
  <c r="D15" i="29" s="1"/>
  <c r="E15" i="29" s="1"/>
  <c r="C19" i="29"/>
  <c r="D19" i="29" s="1"/>
  <c r="E19" i="29" s="1"/>
  <c r="C23" i="29"/>
  <c r="D23" i="29" s="1"/>
  <c r="E23" i="29" s="1"/>
  <c r="C27" i="29"/>
  <c r="D27" i="29" s="1"/>
  <c r="E27" i="29" s="1"/>
  <c r="C31" i="29"/>
  <c r="D31" i="29" s="1"/>
  <c r="E31" i="29" s="1"/>
  <c r="C35" i="29"/>
  <c r="D35" i="29" s="1"/>
  <c r="E35" i="29" s="1"/>
  <c r="C39" i="29"/>
  <c r="D39" i="29" s="1"/>
  <c r="E39" i="29" s="1"/>
  <c r="C4" i="29"/>
  <c r="D4" i="29" s="1"/>
  <c r="E4" i="29" s="1"/>
  <c r="C40" i="29"/>
  <c r="D40" i="29" s="1"/>
  <c r="E40" i="29" s="1"/>
  <c r="C1" i="29"/>
  <c r="D1" i="29" s="1"/>
  <c r="E1" i="29" s="1"/>
  <c r="C6" i="28"/>
  <c r="D6" i="28" s="1"/>
  <c r="E6" i="28" s="1"/>
  <c r="C10" i="28"/>
  <c r="D10" i="28" s="1"/>
  <c r="E10" i="28" s="1"/>
  <c r="C14" i="28"/>
  <c r="D14" i="28" s="1"/>
  <c r="E14" i="28" s="1"/>
  <c r="C18" i="28"/>
  <c r="D18" i="28" s="1"/>
  <c r="E18" i="28" s="1"/>
  <c r="C22" i="28"/>
  <c r="D22" i="28" s="1"/>
  <c r="E22" i="28" s="1"/>
  <c r="C26" i="28"/>
  <c r="D26" i="28" s="1"/>
  <c r="E26" i="28" s="1"/>
  <c r="C30" i="28"/>
  <c r="D30" i="28" s="1"/>
  <c r="E30" i="28" s="1"/>
  <c r="C34" i="28"/>
  <c r="D34" i="28" s="1"/>
  <c r="E34" i="28" s="1"/>
  <c r="C38" i="28"/>
  <c r="D38" i="28" s="1"/>
  <c r="E38" i="28" s="1"/>
  <c r="C3" i="28"/>
  <c r="D3" i="28" s="1"/>
  <c r="E3" i="28" s="1"/>
  <c r="C7" i="28"/>
  <c r="D7" i="28" s="1"/>
  <c r="E7" i="28" s="1"/>
  <c r="C11" i="28"/>
  <c r="D11" i="28" s="1"/>
  <c r="E11" i="28" s="1"/>
  <c r="C15" i="28"/>
  <c r="D15" i="28" s="1"/>
  <c r="E15" i="28" s="1"/>
  <c r="C19" i="28"/>
  <c r="D19" i="28" s="1"/>
  <c r="E19" i="28" s="1"/>
  <c r="C23" i="28"/>
  <c r="D23" i="28" s="1"/>
  <c r="E23" i="28" s="1"/>
  <c r="C27" i="28"/>
  <c r="D27" i="28" s="1"/>
  <c r="E27" i="28" s="1"/>
  <c r="C31" i="28"/>
  <c r="D31" i="28" s="1"/>
  <c r="E31" i="28" s="1"/>
  <c r="C35" i="28"/>
  <c r="D35" i="28" s="1"/>
  <c r="E35" i="28" s="1"/>
  <c r="C39" i="28"/>
  <c r="D39" i="28" s="1"/>
  <c r="E39" i="28" s="1"/>
  <c r="C4" i="28"/>
  <c r="D4" i="28" s="1"/>
  <c r="E4" i="28" s="1"/>
  <c r="C8" i="28"/>
  <c r="D8" i="28" s="1"/>
  <c r="E8" i="28" s="1"/>
  <c r="C12" i="28"/>
  <c r="D12" i="28" s="1"/>
  <c r="E12" i="28" s="1"/>
  <c r="C16" i="28"/>
  <c r="D16" i="28" s="1"/>
  <c r="E16" i="28" s="1"/>
  <c r="C20" i="28"/>
  <c r="D20" i="28" s="1"/>
  <c r="E20" i="28" s="1"/>
  <c r="C24" i="28"/>
  <c r="D24" i="28" s="1"/>
  <c r="E24" i="28" s="1"/>
  <c r="C28" i="28"/>
  <c r="D28" i="28" s="1"/>
  <c r="E28" i="28" s="1"/>
  <c r="C32" i="28"/>
  <c r="D32" i="28" s="1"/>
  <c r="E32" i="28" s="1"/>
  <c r="C36" i="28"/>
  <c r="D36" i="28" s="1"/>
  <c r="E36" i="28" s="1"/>
  <c r="C40" i="28"/>
  <c r="D40" i="28" s="1"/>
  <c r="E40" i="28" s="1"/>
  <c r="C1" i="28"/>
  <c r="D1" i="28" s="1"/>
  <c r="E1" i="28" s="1"/>
  <c r="C4" i="27"/>
  <c r="D4" i="27" s="1"/>
  <c r="E4" i="27" s="1"/>
  <c r="C8" i="27"/>
  <c r="D8" i="27" s="1"/>
  <c r="E8" i="27" s="1"/>
  <c r="C12" i="27"/>
  <c r="D12" i="27" s="1"/>
  <c r="E12" i="27" s="1"/>
  <c r="C16" i="27"/>
  <c r="D16" i="27" s="1"/>
  <c r="E16" i="27" s="1"/>
  <c r="C20" i="27"/>
  <c r="D20" i="27" s="1"/>
  <c r="E20" i="27" s="1"/>
  <c r="C24" i="27"/>
  <c r="D24" i="27" s="1"/>
  <c r="E24" i="27" s="1"/>
  <c r="C28" i="27"/>
  <c r="D28" i="27" s="1"/>
  <c r="E28" i="27" s="1"/>
  <c r="C32" i="27"/>
  <c r="D32" i="27" s="1"/>
  <c r="E32" i="27" s="1"/>
  <c r="C36" i="27"/>
  <c r="D36" i="27" s="1"/>
  <c r="E36" i="27" s="1"/>
  <c r="C40" i="27"/>
  <c r="D40" i="27" s="1"/>
  <c r="E40" i="27" s="1"/>
  <c r="C1" i="27"/>
  <c r="D1" i="27" s="1"/>
  <c r="E1" i="27" s="1"/>
  <c r="C9" i="26"/>
  <c r="D9" i="26" s="1"/>
  <c r="E9" i="26" s="1"/>
  <c r="C13" i="26"/>
  <c r="D13" i="26" s="1"/>
  <c r="E13" i="26" s="1"/>
  <c r="C17" i="26"/>
  <c r="D17" i="26" s="1"/>
  <c r="E17" i="26" s="1"/>
  <c r="C21" i="26"/>
  <c r="D21" i="26" s="1"/>
  <c r="E21" i="26" s="1"/>
  <c r="C25" i="26"/>
  <c r="D25" i="26" s="1"/>
  <c r="E25" i="26" s="1"/>
  <c r="C29" i="26"/>
  <c r="D29" i="26" s="1"/>
  <c r="E29" i="26" s="1"/>
  <c r="C33" i="26"/>
  <c r="D33" i="26" s="1"/>
  <c r="E33" i="26" s="1"/>
  <c r="C37" i="26"/>
  <c r="D37" i="26" s="1"/>
  <c r="E37" i="26" s="1"/>
  <c r="C6" i="26"/>
  <c r="D6" i="26" s="1"/>
  <c r="E6" i="26" s="1"/>
  <c r="C10" i="26"/>
  <c r="D10" i="26" s="1"/>
  <c r="E10" i="26" s="1"/>
  <c r="C14" i="26"/>
  <c r="D14" i="26" s="1"/>
  <c r="E14" i="26" s="1"/>
  <c r="C18" i="26"/>
  <c r="D18" i="26" s="1"/>
  <c r="E18" i="26" s="1"/>
  <c r="C22" i="26"/>
  <c r="D22" i="26" s="1"/>
  <c r="E22" i="26" s="1"/>
  <c r="C26" i="26"/>
  <c r="D26" i="26" s="1"/>
  <c r="E26" i="26" s="1"/>
  <c r="C30" i="26"/>
  <c r="D30" i="26" s="1"/>
  <c r="E30" i="26" s="1"/>
  <c r="C34" i="26"/>
  <c r="D34" i="26" s="1"/>
  <c r="E34" i="26" s="1"/>
  <c r="C38" i="26"/>
  <c r="D38" i="26" s="1"/>
  <c r="E38" i="26" s="1"/>
  <c r="C3" i="26"/>
  <c r="D3" i="26" s="1"/>
  <c r="E3" i="26" s="1"/>
  <c r="C7" i="26"/>
  <c r="D7" i="26" s="1"/>
  <c r="E7" i="26" s="1"/>
  <c r="C11" i="26"/>
  <c r="D11" i="26" s="1"/>
  <c r="E11" i="26" s="1"/>
  <c r="C15" i="26"/>
  <c r="D15" i="26" s="1"/>
  <c r="E15" i="26" s="1"/>
  <c r="C19" i="26"/>
  <c r="D19" i="26" s="1"/>
  <c r="E19" i="26" s="1"/>
  <c r="C23" i="26"/>
  <c r="D23" i="26" s="1"/>
  <c r="E23" i="26" s="1"/>
  <c r="C27" i="26"/>
  <c r="D27" i="26" s="1"/>
  <c r="E27" i="26" s="1"/>
  <c r="C31" i="26"/>
  <c r="D31" i="26" s="1"/>
  <c r="E31" i="26" s="1"/>
  <c r="C35" i="26"/>
  <c r="D35" i="26" s="1"/>
  <c r="E35" i="26" s="1"/>
  <c r="C39" i="26"/>
  <c r="D39" i="26" s="1"/>
  <c r="E39" i="26" s="1"/>
  <c r="C4" i="26"/>
  <c r="D4" i="26" s="1"/>
  <c r="E4" i="26" s="1"/>
  <c r="C8" i="26"/>
  <c r="D8" i="26" s="1"/>
  <c r="E8" i="26" s="1"/>
  <c r="C12" i="26"/>
  <c r="D12" i="26" s="1"/>
  <c r="E12" i="26" s="1"/>
  <c r="C16" i="26"/>
  <c r="D16" i="26" s="1"/>
  <c r="E16" i="26" s="1"/>
  <c r="C20" i="26"/>
  <c r="D20" i="26" s="1"/>
  <c r="E20" i="26" s="1"/>
  <c r="C24" i="26"/>
  <c r="D24" i="26" s="1"/>
  <c r="E24" i="26" s="1"/>
  <c r="C28" i="26"/>
  <c r="D28" i="26" s="1"/>
  <c r="E28" i="26" s="1"/>
  <c r="C32" i="26"/>
  <c r="D32" i="26" s="1"/>
  <c r="E32" i="26" s="1"/>
  <c r="C36" i="26"/>
  <c r="D36" i="26" s="1"/>
  <c r="E36" i="26" s="1"/>
  <c r="C40" i="26"/>
  <c r="D40" i="26" s="1"/>
  <c r="E40" i="26" s="1"/>
  <c r="C2" i="25"/>
  <c r="D2" i="25" s="1"/>
  <c r="E2" i="25" s="1"/>
  <c r="C6" i="25"/>
  <c r="D6" i="25" s="1"/>
  <c r="E6" i="25" s="1"/>
  <c r="C10" i="25"/>
  <c r="D10" i="25" s="1"/>
  <c r="E10" i="25" s="1"/>
  <c r="C14" i="25"/>
  <c r="D14" i="25" s="1"/>
  <c r="E14" i="25" s="1"/>
  <c r="C18" i="25"/>
  <c r="D18" i="25" s="1"/>
  <c r="E18" i="25" s="1"/>
  <c r="C22" i="25"/>
  <c r="D22" i="25" s="1"/>
  <c r="E22" i="25" s="1"/>
  <c r="C26" i="25"/>
  <c r="D26" i="25" s="1"/>
  <c r="E26" i="25" s="1"/>
  <c r="C30" i="25"/>
  <c r="D30" i="25" s="1"/>
  <c r="E30" i="25" s="1"/>
  <c r="C34" i="25"/>
  <c r="D34" i="25" s="1"/>
  <c r="E34" i="25" s="1"/>
  <c r="C38" i="25"/>
  <c r="D38" i="25" s="1"/>
  <c r="E38" i="25" s="1"/>
  <c r="C7" i="25"/>
  <c r="D7" i="25" s="1"/>
  <c r="E7" i="25" s="1"/>
  <c r="C11" i="25"/>
  <c r="D11" i="25" s="1"/>
  <c r="E11" i="25" s="1"/>
  <c r="C15" i="25"/>
  <c r="D15" i="25" s="1"/>
  <c r="E15" i="25" s="1"/>
  <c r="C19" i="25"/>
  <c r="D19" i="25" s="1"/>
  <c r="E19" i="25" s="1"/>
  <c r="C23" i="25"/>
  <c r="D23" i="25" s="1"/>
  <c r="E23" i="25" s="1"/>
  <c r="C27" i="25"/>
  <c r="D27" i="25" s="1"/>
  <c r="E27" i="25" s="1"/>
  <c r="C31" i="25"/>
  <c r="D31" i="25" s="1"/>
  <c r="E31" i="25" s="1"/>
  <c r="C35" i="25"/>
  <c r="D35" i="25" s="1"/>
  <c r="E35" i="25" s="1"/>
  <c r="C39" i="25"/>
  <c r="D39" i="25" s="1"/>
  <c r="E39" i="25" s="1"/>
  <c r="C4" i="25"/>
  <c r="D4" i="25" s="1"/>
  <c r="E4" i="25" s="1"/>
  <c r="C8" i="25"/>
  <c r="D8" i="25" s="1"/>
  <c r="E8" i="25" s="1"/>
  <c r="C12" i="25"/>
  <c r="D12" i="25" s="1"/>
  <c r="E12" i="25" s="1"/>
  <c r="C16" i="25"/>
  <c r="D16" i="25" s="1"/>
  <c r="E16" i="25" s="1"/>
  <c r="C20" i="25"/>
  <c r="D20" i="25" s="1"/>
  <c r="E20" i="25" s="1"/>
  <c r="C24" i="25"/>
  <c r="D24" i="25" s="1"/>
  <c r="E24" i="25" s="1"/>
  <c r="C28" i="25"/>
  <c r="D28" i="25" s="1"/>
  <c r="E28" i="25" s="1"/>
  <c r="C32" i="25"/>
  <c r="D32" i="25" s="1"/>
  <c r="E32" i="25" s="1"/>
  <c r="C36" i="25"/>
  <c r="D36" i="25" s="1"/>
  <c r="E36" i="25" s="1"/>
  <c r="C40" i="25"/>
  <c r="D40" i="25" s="1"/>
  <c r="E40" i="25" s="1"/>
  <c r="C1" i="25"/>
  <c r="D1" i="25" s="1"/>
  <c r="E1" i="25" s="1"/>
  <c r="C2" i="24"/>
  <c r="D2" i="24" s="1"/>
  <c r="E2" i="24" s="1"/>
  <c r="C6" i="24"/>
  <c r="D6" i="24" s="1"/>
  <c r="E6" i="24" s="1"/>
  <c r="C10" i="24"/>
  <c r="D10" i="24" s="1"/>
  <c r="E10" i="24" s="1"/>
  <c r="C14" i="24"/>
  <c r="D14" i="24" s="1"/>
  <c r="E14" i="24" s="1"/>
  <c r="C18" i="24"/>
  <c r="D18" i="24" s="1"/>
  <c r="E18" i="24" s="1"/>
  <c r="C22" i="24"/>
  <c r="D22" i="24" s="1"/>
  <c r="E22" i="24" s="1"/>
  <c r="C26" i="24"/>
  <c r="D26" i="24" s="1"/>
  <c r="E26" i="24" s="1"/>
  <c r="C30" i="24"/>
  <c r="D30" i="24" s="1"/>
  <c r="E30" i="24" s="1"/>
  <c r="C34" i="24"/>
  <c r="D34" i="24" s="1"/>
  <c r="E34" i="24" s="1"/>
  <c r="C38" i="24"/>
  <c r="D38" i="24" s="1"/>
  <c r="E38" i="24" s="1"/>
  <c r="C3" i="24"/>
  <c r="D3" i="24" s="1"/>
  <c r="E3" i="24" s="1"/>
  <c r="C7" i="24"/>
  <c r="D7" i="24" s="1"/>
  <c r="E7" i="24" s="1"/>
  <c r="C11" i="24"/>
  <c r="D11" i="24" s="1"/>
  <c r="E11" i="24" s="1"/>
  <c r="C15" i="24"/>
  <c r="D15" i="24" s="1"/>
  <c r="E15" i="24" s="1"/>
  <c r="C19" i="24"/>
  <c r="D19" i="24" s="1"/>
  <c r="E19" i="24" s="1"/>
  <c r="C23" i="24"/>
  <c r="D23" i="24" s="1"/>
  <c r="E23" i="24" s="1"/>
  <c r="C27" i="24"/>
  <c r="D27" i="24" s="1"/>
  <c r="E27" i="24" s="1"/>
  <c r="C31" i="24"/>
  <c r="D31" i="24" s="1"/>
  <c r="E31" i="24" s="1"/>
  <c r="C35" i="24"/>
  <c r="D35" i="24" s="1"/>
  <c r="E35" i="24" s="1"/>
  <c r="C39" i="24"/>
  <c r="D39" i="24" s="1"/>
  <c r="E39" i="24" s="1"/>
  <c r="C4" i="24"/>
  <c r="D4" i="24" s="1"/>
  <c r="E4" i="24" s="1"/>
  <c r="C8" i="24"/>
  <c r="D8" i="24" s="1"/>
  <c r="E8" i="24" s="1"/>
  <c r="C12" i="24"/>
  <c r="D12" i="24" s="1"/>
  <c r="E12" i="24" s="1"/>
  <c r="C16" i="24"/>
  <c r="D16" i="24" s="1"/>
  <c r="E16" i="24" s="1"/>
  <c r="C20" i="24"/>
  <c r="D20" i="24" s="1"/>
  <c r="E20" i="24" s="1"/>
  <c r="C24" i="24"/>
  <c r="D24" i="24" s="1"/>
  <c r="E24" i="24" s="1"/>
  <c r="C28" i="24"/>
  <c r="D28" i="24" s="1"/>
  <c r="E28" i="24" s="1"/>
  <c r="C32" i="24"/>
  <c r="D32" i="24" s="1"/>
  <c r="E32" i="24" s="1"/>
  <c r="C36" i="24"/>
  <c r="D36" i="24" s="1"/>
  <c r="E36" i="24" s="1"/>
  <c r="C40" i="24"/>
  <c r="D40" i="24" s="1"/>
  <c r="E40" i="24" s="1"/>
  <c r="C1" i="24"/>
  <c r="D1" i="24" s="1"/>
  <c r="E1" i="24" s="1"/>
  <c r="C2" i="23"/>
  <c r="D2" i="23" s="1"/>
  <c r="E2" i="23" s="1"/>
  <c r="C34" i="23"/>
  <c r="D34" i="23" s="1"/>
  <c r="E34" i="23" s="1"/>
  <c r="C38" i="23"/>
  <c r="D38" i="23" s="1"/>
  <c r="E38" i="23" s="1"/>
  <c r="C3" i="23"/>
  <c r="D3" i="23" s="1"/>
  <c r="E3" i="23" s="1"/>
  <c r="C7" i="23"/>
  <c r="D7" i="23" s="1"/>
  <c r="E7" i="23" s="1"/>
  <c r="C11" i="23"/>
  <c r="D11" i="23" s="1"/>
  <c r="E11" i="23" s="1"/>
  <c r="C15" i="23"/>
  <c r="D15" i="23" s="1"/>
  <c r="E15" i="23" s="1"/>
  <c r="C19" i="23"/>
  <c r="D19" i="23" s="1"/>
  <c r="E19" i="23" s="1"/>
  <c r="C23" i="23"/>
  <c r="D23" i="23" s="1"/>
  <c r="E23" i="23" s="1"/>
  <c r="C27" i="23"/>
  <c r="D27" i="23" s="1"/>
  <c r="E27" i="23" s="1"/>
  <c r="C31" i="23"/>
  <c r="D31" i="23" s="1"/>
  <c r="E31" i="23" s="1"/>
  <c r="C35" i="23"/>
  <c r="D35" i="23" s="1"/>
  <c r="E35" i="23" s="1"/>
  <c r="C39" i="23"/>
  <c r="D39" i="23" s="1"/>
  <c r="E39" i="23" s="1"/>
  <c r="C8" i="23"/>
  <c r="D8" i="23" s="1"/>
  <c r="E8" i="23" s="1"/>
  <c r="C12" i="23"/>
  <c r="D12" i="23" s="1"/>
  <c r="E12" i="23" s="1"/>
  <c r="C16" i="23"/>
  <c r="D16" i="23" s="1"/>
  <c r="E16" i="23" s="1"/>
  <c r="C20" i="23"/>
  <c r="D20" i="23" s="1"/>
  <c r="E20" i="23" s="1"/>
  <c r="C24" i="23"/>
  <c r="D24" i="23" s="1"/>
  <c r="E24" i="23" s="1"/>
  <c r="C28" i="23"/>
  <c r="D28" i="23" s="1"/>
  <c r="E28" i="23" s="1"/>
  <c r="C32" i="23"/>
  <c r="D32" i="23" s="1"/>
  <c r="E32" i="23" s="1"/>
  <c r="C36" i="23"/>
  <c r="D36" i="23" s="1"/>
  <c r="E36" i="23" s="1"/>
  <c r="C40" i="23"/>
  <c r="D40" i="23" s="1"/>
  <c r="E40" i="23" s="1"/>
  <c r="C1" i="23"/>
  <c r="D1" i="23" s="1"/>
  <c r="E1" i="23" s="1"/>
  <c r="C2" i="22"/>
  <c r="D2" i="22" s="1"/>
  <c r="E2" i="22" s="1"/>
  <c r="C7" i="22"/>
  <c r="D7" i="22" s="1"/>
  <c r="E7" i="22" s="1"/>
  <c r="C11" i="22"/>
  <c r="D11" i="22" s="1"/>
  <c r="E11" i="22" s="1"/>
  <c r="C15" i="22"/>
  <c r="D15" i="22" s="1"/>
  <c r="E15" i="22" s="1"/>
  <c r="C19" i="22"/>
  <c r="D19" i="22" s="1"/>
  <c r="E19" i="22" s="1"/>
  <c r="C23" i="22"/>
  <c r="D23" i="22" s="1"/>
  <c r="E23" i="22" s="1"/>
  <c r="C27" i="22"/>
  <c r="D27" i="22" s="1"/>
  <c r="E27" i="22" s="1"/>
  <c r="C31" i="22"/>
  <c r="D31" i="22" s="1"/>
  <c r="E31" i="22" s="1"/>
  <c r="C35" i="22"/>
  <c r="D35" i="22" s="1"/>
  <c r="E35" i="22" s="1"/>
  <c r="C39" i="22"/>
  <c r="D39" i="22" s="1"/>
  <c r="E39" i="22" s="1"/>
  <c r="C4" i="22"/>
  <c r="D4" i="22" s="1"/>
  <c r="E4" i="22" s="1"/>
  <c r="C8" i="22"/>
  <c r="D8" i="22" s="1"/>
  <c r="E8" i="22" s="1"/>
  <c r="C12" i="22"/>
  <c r="D12" i="22" s="1"/>
  <c r="E12" i="22" s="1"/>
  <c r="C16" i="22"/>
  <c r="D16" i="22" s="1"/>
  <c r="E16" i="22" s="1"/>
  <c r="C20" i="22"/>
  <c r="D20" i="22" s="1"/>
  <c r="E20" i="22" s="1"/>
  <c r="C24" i="22"/>
  <c r="D24" i="22" s="1"/>
  <c r="E24" i="22" s="1"/>
  <c r="C28" i="22"/>
  <c r="D28" i="22" s="1"/>
  <c r="E28" i="22" s="1"/>
  <c r="C32" i="22"/>
  <c r="D32" i="22" s="1"/>
  <c r="E32" i="22" s="1"/>
  <c r="C36" i="22"/>
  <c r="D36" i="22" s="1"/>
  <c r="E36" i="22" s="1"/>
  <c r="C40" i="22"/>
  <c r="D40" i="22" s="1"/>
  <c r="E40" i="22" s="1"/>
  <c r="C1" i="22"/>
  <c r="D1" i="22" s="1"/>
  <c r="E1" i="22" s="1"/>
  <c r="C2" i="21"/>
  <c r="D2" i="21" s="1"/>
  <c r="E2" i="21" s="1"/>
  <c r="C6" i="21"/>
  <c r="D6" i="21" s="1"/>
  <c r="E6" i="21" s="1"/>
  <c r="C10" i="21"/>
  <c r="D10" i="21" s="1"/>
  <c r="E10" i="21" s="1"/>
  <c r="C14" i="21"/>
  <c r="D14" i="21" s="1"/>
  <c r="E14" i="21" s="1"/>
  <c r="C18" i="21"/>
  <c r="D18" i="21" s="1"/>
  <c r="E18" i="21" s="1"/>
  <c r="C22" i="21"/>
  <c r="D22" i="21" s="1"/>
  <c r="E22" i="21" s="1"/>
  <c r="C26" i="21"/>
  <c r="D26" i="21" s="1"/>
  <c r="E26" i="21" s="1"/>
  <c r="C30" i="21"/>
  <c r="D30" i="21" s="1"/>
  <c r="E30" i="21" s="1"/>
  <c r="C34" i="21"/>
  <c r="D34" i="21" s="1"/>
  <c r="E34" i="21" s="1"/>
  <c r="C38" i="21"/>
  <c r="D38" i="21" s="1"/>
  <c r="E38" i="21" s="1"/>
  <c r="C7" i="21"/>
  <c r="D7" i="21" s="1"/>
  <c r="E7" i="21" s="1"/>
  <c r="C11" i="21"/>
  <c r="D11" i="21" s="1"/>
  <c r="E11" i="21" s="1"/>
  <c r="C15" i="21"/>
  <c r="D15" i="21" s="1"/>
  <c r="E15" i="21" s="1"/>
  <c r="C19" i="21"/>
  <c r="D19" i="21" s="1"/>
  <c r="E19" i="21" s="1"/>
  <c r="C23" i="21"/>
  <c r="D23" i="21" s="1"/>
  <c r="E23" i="21" s="1"/>
  <c r="C27" i="21"/>
  <c r="D27" i="21" s="1"/>
  <c r="E27" i="21" s="1"/>
  <c r="C31" i="21"/>
  <c r="D31" i="21" s="1"/>
  <c r="E31" i="21" s="1"/>
  <c r="C35" i="21"/>
  <c r="D35" i="21" s="1"/>
  <c r="E35" i="21" s="1"/>
  <c r="C39" i="21"/>
  <c r="D39" i="21" s="1"/>
  <c r="E39" i="21" s="1"/>
  <c r="C4" i="21"/>
  <c r="D4" i="21" s="1"/>
  <c r="E4" i="21" s="1"/>
  <c r="C8" i="21"/>
  <c r="D8" i="21" s="1"/>
  <c r="E8" i="21" s="1"/>
  <c r="C12" i="21"/>
  <c r="D12" i="21" s="1"/>
  <c r="E12" i="21" s="1"/>
  <c r="C16" i="21"/>
  <c r="D16" i="21" s="1"/>
  <c r="E16" i="21" s="1"/>
  <c r="C20" i="21"/>
  <c r="D20" i="21" s="1"/>
  <c r="E20" i="21" s="1"/>
  <c r="C24" i="21"/>
  <c r="D24" i="21" s="1"/>
  <c r="E24" i="21" s="1"/>
  <c r="C28" i="21"/>
  <c r="D28" i="21" s="1"/>
  <c r="E28" i="21" s="1"/>
  <c r="C32" i="21"/>
  <c r="D32" i="21" s="1"/>
  <c r="E32" i="21" s="1"/>
  <c r="C36" i="21"/>
  <c r="D36" i="21" s="1"/>
  <c r="E36" i="21" s="1"/>
  <c r="C40" i="21"/>
  <c r="D40" i="21" s="1"/>
  <c r="E40" i="21" s="1"/>
  <c r="C7" i="20"/>
  <c r="D7" i="20" s="1"/>
  <c r="E7" i="20" s="1"/>
  <c r="C11" i="20"/>
  <c r="D11" i="20" s="1"/>
  <c r="E11" i="20" s="1"/>
  <c r="C15" i="20"/>
  <c r="D15" i="20" s="1"/>
  <c r="E15" i="20" s="1"/>
  <c r="C19" i="20"/>
  <c r="D19" i="20" s="1"/>
  <c r="E19" i="20" s="1"/>
  <c r="C23" i="20"/>
  <c r="D23" i="20" s="1"/>
  <c r="E23" i="20" s="1"/>
  <c r="C27" i="20"/>
  <c r="D27" i="20" s="1"/>
  <c r="E27" i="20" s="1"/>
  <c r="C31" i="20"/>
  <c r="D31" i="20" s="1"/>
  <c r="E31" i="20" s="1"/>
  <c r="C35" i="20"/>
  <c r="D35" i="20" s="1"/>
  <c r="E35" i="20" s="1"/>
  <c r="C39" i="20"/>
  <c r="D39" i="20" s="1"/>
  <c r="E39" i="20" s="1"/>
  <c r="C4" i="20"/>
  <c r="D4" i="20" s="1"/>
  <c r="E4" i="20" s="1"/>
  <c r="C8" i="20"/>
  <c r="D8" i="20" s="1"/>
  <c r="E8" i="20" s="1"/>
  <c r="C12" i="20"/>
  <c r="D12" i="20" s="1"/>
  <c r="E12" i="20" s="1"/>
  <c r="C16" i="20"/>
  <c r="D16" i="20" s="1"/>
  <c r="E16" i="20" s="1"/>
  <c r="C20" i="20"/>
  <c r="D20" i="20" s="1"/>
  <c r="E20" i="20" s="1"/>
  <c r="C24" i="20"/>
  <c r="D24" i="20" s="1"/>
  <c r="E24" i="20" s="1"/>
  <c r="C28" i="20"/>
  <c r="D28" i="20" s="1"/>
  <c r="E28" i="20" s="1"/>
  <c r="C32" i="20"/>
  <c r="D32" i="20" s="1"/>
  <c r="E32" i="20" s="1"/>
  <c r="C36" i="20"/>
  <c r="D36" i="20" s="1"/>
  <c r="E36" i="20" s="1"/>
  <c r="C40" i="20"/>
  <c r="D40" i="20" s="1"/>
  <c r="E40" i="20" s="1"/>
  <c r="C2" i="19"/>
  <c r="D2" i="19" s="1"/>
  <c r="E2" i="19" s="1"/>
  <c r="C3" i="19"/>
  <c r="D3" i="19" s="1"/>
  <c r="E3" i="19" s="1"/>
  <c r="C7" i="19"/>
  <c r="D7" i="19" s="1"/>
  <c r="E7" i="19" s="1"/>
  <c r="C11" i="19"/>
  <c r="D11" i="19" s="1"/>
  <c r="E11" i="19" s="1"/>
  <c r="C15" i="19"/>
  <c r="D15" i="19" s="1"/>
  <c r="E15" i="19" s="1"/>
  <c r="C19" i="19"/>
  <c r="D19" i="19" s="1"/>
  <c r="E19" i="19" s="1"/>
  <c r="C23" i="19"/>
  <c r="D23" i="19" s="1"/>
  <c r="E23" i="19" s="1"/>
  <c r="C27" i="19"/>
  <c r="D27" i="19" s="1"/>
  <c r="E27" i="19" s="1"/>
  <c r="C31" i="19"/>
  <c r="D31" i="19" s="1"/>
  <c r="E31" i="19" s="1"/>
  <c r="C35" i="19"/>
  <c r="D35" i="19" s="1"/>
  <c r="E35" i="19" s="1"/>
  <c r="C39" i="19"/>
  <c r="D39" i="19" s="1"/>
  <c r="E39" i="19" s="1"/>
  <c r="C4" i="19"/>
  <c r="D4" i="19" s="1"/>
  <c r="E4" i="19" s="1"/>
  <c r="C8" i="19"/>
  <c r="D8" i="19" s="1"/>
  <c r="E8" i="19" s="1"/>
  <c r="C12" i="19"/>
  <c r="D12" i="19" s="1"/>
  <c r="E12" i="19" s="1"/>
  <c r="C16" i="19"/>
  <c r="D16" i="19" s="1"/>
  <c r="E16" i="19" s="1"/>
  <c r="C20" i="19"/>
  <c r="D20" i="19" s="1"/>
  <c r="E20" i="19" s="1"/>
  <c r="C24" i="19"/>
  <c r="D24" i="19" s="1"/>
  <c r="E24" i="19" s="1"/>
  <c r="C28" i="19"/>
  <c r="D28" i="19" s="1"/>
  <c r="E28" i="19" s="1"/>
  <c r="C32" i="19"/>
  <c r="D32" i="19" s="1"/>
  <c r="E32" i="19" s="1"/>
  <c r="C36" i="19"/>
  <c r="D36" i="19" s="1"/>
  <c r="E36" i="19" s="1"/>
  <c r="C40" i="19"/>
  <c r="D40" i="19" s="1"/>
  <c r="E40" i="19" s="1"/>
  <c r="C2" i="18"/>
  <c r="D2" i="18" s="1"/>
  <c r="E2" i="18" s="1"/>
  <c r="C10" i="18"/>
  <c r="D10" i="18" s="1"/>
  <c r="E10" i="18" s="1"/>
  <c r="C14" i="18"/>
  <c r="D14" i="18" s="1"/>
  <c r="E14" i="18" s="1"/>
  <c r="C18" i="18"/>
  <c r="D18" i="18" s="1"/>
  <c r="E18" i="18" s="1"/>
  <c r="C22" i="18"/>
  <c r="D22" i="18" s="1"/>
  <c r="E22" i="18" s="1"/>
  <c r="C26" i="18"/>
  <c r="D26" i="18" s="1"/>
  <c r="E26" i="18" s="1"/>
  <c r="C30" i="18"/>
  <c r="D30" i="18" s="1"/>
  <c r="E30" i="18" s="1"/>
  <c r="C34" i="18"/>
  <c r="D34" i="18" s="1"/>
  <c r="E34" i="18" s="1"/>
  <c r="C38" i="18"/>
  <c r="D38" i="18" s="1"/>
  <c r="E38" i="18" s="1"/>
  <c r="C3" i="18"/>
  <c r="D3" i="18" s="1"/>
  <c r="E3" i="18" s="1"/>
  <c r="C4" i="18"/>
  <c r="D4" i="18" s="1"/>
  <c r="E4" i="18" s="1"/>
  <c r="C12" i="18"/>
  <c r="D12" i="18" s="1"/>
  <c r="E12" i="18" s="1"/>
  <c r="C16" i="18"/>
  <c r="D16" i="18" s="1"/>
  <c r="E16" i="18" s="1"/>
  <c r="C20" i="18"/>
  <c r="D20" i="18" s="1"/>
  <c r="E20" i="18" s="1"/>
  <c r="C24" i="18"/>
  <c r="D24" i="18" s="1"/>
  <c r="E24" i="18" s="1"/>
  <c r="C28" i="18"/>
  <c r="D28" i="18" s="1"/>
  <c r="E28" i="18" s="1"/>
  <c r="C32" i="18"/>
  <c r="D32" i="18" s="1"/>
  <c r="E32" i="18" s="1"/>
  <c r="C36" i="18"/>
  <c r="D36" i="18" s="1"/>
  <c r="E36" i="18" s="1"/>
  <c r="C40" i="18"/>
  <c r="D40" i="18" s="1"/>
  <c r="E40" i="18" s="1"/>
  <c r="C2" i="17"/>
  <c r="D2" i="17" s="1"/>
  <c r="E2" i="17" s="1"/>
  <c r="C7" i="17"/>
  <c r="D7" i="17" s="1"/>
  <c r="E7" i="17" s="1"/>
  <c r="C11" i="17"/>
  <c r="D11" i="17" s="1"/>
  <c r="E11" i="17" s="1"/>
  <c r="C15" i="17"/>
  <c r="D15" i="17" s="1"/>
  <c r="E15" i="17" s="1"/>
  <c r="C19" i="17"/>
  <c r="D19" i="17" s="1"/>
  <c r="E19" i="17" s="1"/>
  <c r="C23" i="17"/>
  <c r="D23" i="17" s="1"/>
  <c r="E23" i="17" s="1"/>
  <c r="C27" i="17"/>
  <c r="D27" i="17" s="1"/>
  <c r="E27" i="17" s="1"/>
  <c r="C31" i="17"/>
  <c r="D31" i="17" s="1"/>
  <c r="E31" i="17" s="1"/>
  <c r="C35" i="17"/>
  <c r="D35" i="17" s="1"/>
  <c r="E35" i="17" s="1"/>
  <c r="C39" i="17"/>
  <c r="D39" i="17" s="1"/>
  <c r="E39" i="17" s="1"/>
  <c r="C4" i="17"/>
  <c r="D4" i="17" s="1"/>
  <c r="E4" i="17" s="1"/>
  <c r="C2" i="16"/>
  <c r="D2" i="16" s="1"/>
  <c r="E2" i="16" s="1"/>
  <c r="C6" i="16"/>
  <c r="D6" i="16" s="1"/>
  <c r="E6" i="16" s="1"/>
  <c r="C10" i="16"/>
  <c r="D10" i="16" s="1"/>
  <c r="E10" i="16" s="1"/>
  <c r="C14" i="16"/>
  <c r="D14" i="16" s="1"/>
  <c r="E14" i="16" s="1"/>
  <c r="C18" i="16"/>
  <c r="D18" i="16" s="1"/>
  <c r="E18" i="16" s="1"/>
  <c r="C22" i="16"/>
  <c r="D22" i="16" s="1"/>
  <c r="E22" i="16" s="1"/>
  <c r="C26" i="16"/>
  <c r="D26" i="16" s="1"/>
  <c r="E26" i="16" s="1"/>
  <c r="C30" i="16"/>
  <c r="D30" i="16" s="1"/>
  <c r="E30" i="16" s="1"/>
  <c r="C34" i="16"/>
  <c r="D34" i="16" s="1"/>
  <c r="E34" i="16" s="1"/>
  <c r="C38" i="16"/>
  <c r="D38" i="16" s="1"/>
  <c r="E38" i="16" s="1"/>
  <c r="C39" i="16"/>
  <c r="D39" i="16" s="1"/>
  <c r="E39" i="16" s="1"/>
  <c r="C4" i="16"/>
  <c r="D4" i="16" s="1"/>
  <c r="E4" i="16" s="1"/>
  <c r="C8" i="16"/>
  <c r="D8" i="16" s="1"/>
  <c r="E8" i="16" s="1"/>
  <c r="C12" i="16"/>
  <c r="D12" i="16" s="1"/>
  <c r="E12" i="16" s="1"/>
  <c r="C16" i="16"/>
  <c r="D16" i="16" s="1"/>
  <c r="E16" i="16" s="1"/>
  <c r="C20" i="16"/>
  <c r="D20" i="16" s="1"/>
  <c r="E20" i="16" s="1"/>
  <c r="C24" i="16"/>
  <c r="D24" i="16" s="1"/>
  <c r="E24" i="16" s="1"/>
  <c r="C28" i="16"/>
  <c r="D28" i="16" s="1"/>
  <c r="E28" i="16" s="1"/>
  <c r="C32" i="16"/>
  <c r="D32" i="16" s="1"/>
  <c r="E32" i="16" s="1"/>
  <c r="C36" i="16"/>
  <c r="D36" i="16" s="1"/>
  <c r="E36" i="16" s="1"/>
  <c r="C40" i="16"/>
  <c r="D40" i="16" s="1"/>
  <c r="E40" i="16" s="1"/>
  <c r="C7" i="15"/>
  <c r="D7" i="15" s="1"/>
  <c r="E7" i="15" s="1"/>
  <c r="C11" i="15"/>
  <c r="D11" i="15" s="1"/>
  <c r="E11" i="15" s="1"/>
  <c r="C15" i="15"/>
  <c r="D15" i="15" s="1"/>
  <c r="E15" i="15" s="1"/>
  <c r="C19" i="15"/>
  <c r="D19" i="15" s="1"/>
  <c r="E19" i="15" s="1"/>
  <c r="C23" i="15"/>
  <c r="D23" i="15" s="1"/>
  <c r="E23" i="15" s="1"/>
  <c r="C27" i="15"/>
  <c r="D27" i="15" s="1"/>
  <c r="E27" i="15" s="1"/>
  <c r="C31" i="15"/>
  <c r="D31" i="15" s="1"/>
  <c r="E31" i="15" s="1"/>
  <c r="C35" i="15"/>
  <c r="D35" i="15" s="1"/>
  <c r="E35" i="15" s="1"/>
  <c r="C39" i="15"/>
  <c r="D39" i="15" s="1"/>
  <c r="E39" i="15" s="1"/>
  <c r="C4" i="15"/>
  <c r="D4" i="15" s="1"/>
  <c r="E4" i="15" s="1"/>
  <c r="C1" i="15"/>
  <c r="D1" i="15" s="1"/>
  <c r="E1" i="15" s="1"/>
  <c r="C2" i="14"/>
  <c r="D2" i="14" s="1"/>
  <c r="E2" i="14" s="1"/>
  <c r="C7" i="14"/>
  <c r="D7" i="14" s="1"/>
  <c r="E7" i="14" s="1"/>
  <c r="C11" i="14"/>
  <c r="D11" i="14" s="1"/>
  <c r="E11" i="14" s="1"/>
  <c r="C15" i="14"/>
  <c r="D15" i="14" s="1"/>
  <c r="E15" i="14" s="1"/>
  <c r="C19" i="14"/>
  <c r="D19" i="14" s="1"/>
  <c r="E19" i="14" s="1"/>
  <c r="C23" i="14"/>
  <c r="D23" i="14" s="1"/>
  <c r="E23" i="14" s="1"/>
  <c r="C27" i="14"/>
  <c r="D27" i="14" s="1"/>
  <c r="E27" i="14" s="1"/>
  <c r="C31" i="14"/>
  <c r="D31" i="14" s="1"/>
  <c r="E31" i="14" s="1"/>
  <c r="C35" i="14"/>
  <c r="D35" i="14" s="1"/>
  <c r="E35" i="14" s="1"/>
  <c r="C39" i="14"/>
  <c r="D39" i="14" s="1"/>
  <c r="E39" i="14" s="1"/>
  <c r="C4" i="14"/>
  <c r="D4" i="14" s="1"/>
  <c r="E4" i="14" s="1"/>
  <c r="C6" i="13"/>
  <c r="D6" i="13" s="1"/>
  <c r="E6" i="13" s="1"/>
  <c r="C10" i="13"/>
  <c r="D10" i="13" s="1"/>
  <c r="E10" i="13" s="1"/>
  <c r="C14" i="13"/>
  <c r="D14" i="13" s="1"/>
  <c r="E14" i="13" s="1"/>
  <c r="C18" i="13"/>
  <c r="D18" i="13" s="1"/>
  <c r="E18" i="13" s="1"/>
  <c r="C22" i="13"/>
  <c r="D22" i="13" s="1"/>
  <c r="E22" i="13" s="1"/>
  <c r="C26" i="13"/>
  <c r="D26" i="13" s="1"/>
  <c r="E26" i="13" s="1"/>
  <c r="C30" i="13"/>
  <c r="D30" i="13" s="1"/>
  <c r="E30" i="13" s="1"/>
  <c r="C34" i="13"/>
  <c r="D34" i="13" s="1"/>
  <c r="E34" i="13" s="1"/>
  <c r="C38" i="13"/>
  <c r="D38" i="13" s="1"/>
  <c r="E38" i="13" s="1"/>
  <c r="C7" i="13"/>
  <c r="D7" i="13" s="1"/>
  <c r="E7" i="13" s="1"/>
  <c r="C11" i="13"/>
  <c r="D11" i="13" s="1"/>
  <c r="E11" i="13" s="1"/>
  <c r="C15" i="13"/>
  <c r="D15" i="13" s="1"/>
  <c r="E15" i="13" s="1"/>
  <c r="C19" i="13"/>
  <c r="D19" i="13" s="1"/>
  <c r="E19" i="13" s="1"/>
  <c r="C23" i="13"/>
  <c r="D23" i="13" s="1"/>
  <c r="E23" i="13" s="1"/>
  <c r="C27" i="13"/>
  <c r="D27" i="13" s="1"/>
  <c r="E27" i="13" s="1"/>
  <c r="C31" i="13"/>
  <c r="D31" i="13" s="1"/>
  <c r="E31" i="13" s="1"/>
  <c r="C35" i="13"/>
  <c r="D35" i="13" s="1"/>
  <c r="E35" i="13" s="1"/>
  <c r="C39" i="13"/>
  <c r="D39" i="13" s="1"/>
  <c r="E39" i="13" s="1"/>
  <c r="C4" i="13"/>
  <c r="D4" i="13" s="1"/>
  <c r="E4" i="13" s="1"/>
  <c r="C8" i="13"/>
  <c r="D8" i="13" s="1"/>
  <c r="E8" i="13" s="1"/>
  <c r="C12" i="13"/>
  <c r="D12" i="13" s="1"/>
  <c r="E12" i="13" s="1"/>
  <c r="C16" i="13"/>
  <c r="D16" i="13" s="1"/>
  <c r="E16" i="13" s="1"/>
  <c r="C20" i="13"/>
  <c r="D20" i="13" s="1"/>
  <c r="E20" i="13" s="1"/>
  <c r="C24" i="13"/>
  <c r="D24" i="13" s="1"/>
  <c r="E24" i="13" s="1"/>
  <c r="C28" i="13"/>
  <c r="D28" i="13" s="1"/>
  <c r="E28" i="13" s="1"/>
  <c r="C32" i="13"/>
  <c r="D32" i="13" s="1"/>
  <c r="E32" i="13" s="1"/>
  <c r="C36" i="13"/>
  <c r="D36" i="13" s="1"/>
  <c r="E36" i="13" s="1"/>
  <c r="C40" i="13"/>
  <c r="D40" i="13" s="1"/>
  <c r="E40" i="13" s="1"/>
  <c r="C1" i="13"/>
  <c r="D1" i="13" s="1"/>
  <c r="E1" i="13" s="1"/>
  <c r="C2" i="12"/>
  <c r="D2" i="12" s="1"/>
  <c r="E2" i="12" s="1"/>
  <c r="C7" i="12"/>
  <c r="D7" i="12" s="1"/>
  <c r="E7" i="12" s="1"/>
  <c r="C11" i="12"/>
  <c r="D11" i="12" s="1"/>
  <c r="E11" i="12" s="1"/>
  <c r="C15" i="12"/>
  <c r="D15" i="12" s="1"/>
  <c r="E15" i="12" s="1"/>
  <c r="C19" i="12"/>
  <c r="D19" i="12" s="1"/>
  <c r="E19" i="12" s="1"/>
  <c r="C23" i="12"/>
  <c r="D23" i="12" s="1"/>
  <c r="E23" i="12" s="1"/>
  <c r="C27" i="12"/>
  <c r="D27" i="12" s="1"/>
  <c r="E27" i="12" s="1"/>
  <c r="C31" i="12"/>
  <c r="D31" i="12" s="1"/>
  <c r="E31" i="12" s="1"/>
  <c r="C35" i="12"/>
  <c r="D35" i="12" s="1"/>
  <c r="E35" i="12" s="1"/>
  <c r="C39" i="12"/>
  <c r="D39" i="12" s="1"/>
  <c r="E39" i="12" s="1"/>
  <c r="C40" i="12"/>
  <c r="D40" i="12" s="1"/>
  <c r="E40" i="12" s="1"/>
  <c r="C3" i="11"/>
  <c r="D3" i="11" s="1"/>
  <c r="E3" i="11" s="1"/>
  <c r="C7" i="11"/>
  <c r="D7" i="11" s="1"/>
  <c r="E7" i="11" s="1"/>
  <c r="C11" i="11"/>
  <c r="D11" i="11" s="1"/>
  <c r="E11" i="11" s="1"/>
  <c r="C15" i="11"/>
  <c r="D15" i="11" s="1"/>
  <c r="E15" i="11" s="1"/>
  <c r="C19" i="11"/>
  <c r="D19" i="11" s="1"/>
  <c r="E19" i="11" s="1"/>
  <c r="C23" i="11"/>
  <c r="D23" i="11" s="1"/>
  <c r="E23" i="11" s="1"/>
  <c r="C27" i="11"/>
  <c r="D27" i="11" s="1"/>
  <c r="E27" i="11" s="1"/>
  <c r="C31" i="11"/>
  <c r="D31" i="11" s="1"/>
  <c r="E31" i="11" s="1"/>
  <c r="C35" i="11"/>
  <c r="D35" i="11" s="1"/>
  <c r="E35" i="11" s="1"/>
  <c r="C39" i="11"/>
  <c r="D39" i="11" s="1"/>
  <c r="E39" i="11" s="1"/>
  <c r="C4" i="11"/>
  <c r="D4" i="11" s="1"/>
  <c r="E4" i="11" s="1"/>
  <c r="C1" i="11"/>
  <c r="D1" i="11" s="1"/>
  <c r="E1" i="11" s="1"/>
  <c r="C2" i="10"/>
  <c r="D2" i="10" s="1"/>
  <c r="E2" i="10" s="1"/>
  <c r="C3" i="10"/>
  <c r="D3" i="10" s="1"/>
  <c r="E3" i="10" s="1"/>
  <c r="C7" i="10"/>
  <c r="D7" i="10" s="1"/>
  <c r="E7" i="10" s="1"/>
  <c r="C11" i="10"/>
  <c r="D11" i="10" s="1"/>
  <c r="E11" i="10" s="1"/>
  <c r="C15" i="10"/>
  <c r="D15" i="10" s="1"/>
  <c r="E15" i="10" s="1"/>
  <c r="C19" i="10"/>
  <c r="D19" i="10" s="1"/>
  <c r="E19" i="10" s="1"/>
  <c r="C23" i="10"/>
  <c r="D23" i="10" s="1"/>
  <c r="E23" i="10" s="1"/>
  <c r="C27" i="10"/>
  <c r="D27" i="10" s="1"/>
  <c r="E27" i="10" s="1"/>
  <c r="C31" i="10"/>
  <c r="D31" i="10" s="1"/>
  <c r="E31" i="10" s="1"/>
  <c r="C35" i="10"/>
  <c r="D35" i="10" s="1"/>
  <c r="E35" i="10" s="1"/>
  <c r="C39" i="10"/>
  <c r="D39" i="10" s="1"/>
  <c r="E39" i="10" s="1"/>
  <c r="C8" i="10"/>
  <c r="D8" i="10" s="1"/>
  <c r="E8" i="10" s="1"/>
  <c r="C12" i="10"/>
  <c r="D12" i="10" s="1"/>
  <c r="E12" i="10" s="1"/>
  <c r="C16" i="10"/>
  <c r="D16" i="10" s="1"/>
  <c r="E16" i="10" s="1"/>
  <c r="C20" i="10"/>
  <c r="D20" i="10" s="1"/>
  <c r="E20" i="10" s="1"/>
  <c r="C24" i="10"/>
  <c r="D24" i="10" s="1"/>
  <c r="E24" i="10" s="1"/>
  <c r="C28" i="10"/>
  <c r="D28" i="10" s="1"/>
  <c r="E28" i="10" s="1"/>
  <c r="C32" i="10"/>
  <c r="D32" i="10" s="1"/>
  <c r="E32" i="10" s="1"/>
  <c r="C36" i="10"/>
  <c r="D36" i="10" s="1"/>
  <c r="E36" i="10" s="1"/>
  <c r="C40" i="10"/>
  <c r="D40" i="10" s="1"/>
  <c r="E40" i="10" s="1"/>
  <c r="C6" i="9"/>
  <c r="D6" i="9" s="1"/>
  <c r="E6" i="9" s="1"/>
  <c r="C10" i="9"/>
  <c r="D10" i="9" s="1"/>
  <c r="E10" i="9" s="1"/>
  <c r="C14" i="9"/>
  <c r="D14" i="9" s="1"/>
  <c r="E14" i="9" s="1"/>
  <c r="C18" i="9"/>
  <c r="D18" i="9" s="1"/>
  <c r="E18" i="9" s="1"/>
  <c r="C22" i="9"/>
  <c r="D22" i="9" s="1"/>
  <c r="E22" i="9" s="1"/>
  <c r="C26" i="9"/>
  <c r="D26" i="9" s="1"/>
  <c r="E26" i="9" s="1"/>
  <c r="C30" i="9"/>
  <c r="D30" i="9" s="1"/>
  <c r="E30" i="9" s="1"/>
  <c r="C34" i="9"/>
  <c r="D34" i="9" s="1"/>
  <c r="E34" i="9" s="1"/>
  <c r="C38" i="9"/>
  <c r="D38" i="9" s="1"/>
  <c r="E38" i="9" s="1"/>
  <c r="C7" i="9"/>
  <c r="D7" i="9" s="1"/>
  <c r="E7" i="9" s="1"/>
  <c r="C11" i="9"/>
  <c r="D11" i="9" s="1"/>
  <c r="E11" i="9" s="1"/>
  <c r="C15" i="9"/>
  <c r="D15" i="9" s="1"/>
  <c r="E15" i="9" s="1"/>
  <c r="C19" i="9"/>
  <c r="D19" i="9" s="1"/>
  <c r="E19" i="9" s="1"/>
  <c r="C23" i="9"/>
  <c r="D23" i="9" s="1"/>
  <c r="E23" i="9" s="1"/>
  <c r="C27" i="9"/>
  <c r="D27" i="9" s="1"/>
  <c r="E27" i="9" s="1"/>
  <c r="C31" i="9"/>
  <c r="D31" i="9" s="1"/>
  <c r="E31" i="9" s="1"/>
  <c r="C35" i="9"/>
  <c r="D35" i="9" s="1"/>
  <c r="E35" i="9" s="1"/>
  <c r="C39" i="9"/>
  <c r="D39" i="9" s="1"/>
  <c r="E39" i="9" s="1"/>
  <c r="C4" i="9"/>
  <c r="D4" i="9" s="1"/>
  <c r="E4" i="9" s="1"/>
  <c r="C8" i="9"/>
  <c r="D8" i="9" s="1"/>
  <c r="E8" i="9" s="1"/>
  <c r="C12" i="9"/>
  <c r="D12" i="9" s="1"/>
  <c r="E12" i="9" s="1"/>
  <c r="C16" i="9"/>
  <c r="D16" i="9" s="1"/>
  <c r="E16" i="9" s="1"/>
  <c r="C20" i="9"/>
  <c r="D20" i="9" s="1"/>
  <c r="E20" i="9" s="1"/>
  <c r="C24" i="9"/>
  <c r="D24" i="9" s="1"/>
  <c r="E24" i="9" s="1"/>
  <c r="C28" i="9"/>
  <c r="D28" i="9" s="1"/>
  <c r="E28" i="9" s="1"/>
  <c r="C32" i="9"/>
  <c r="D32" i="9" s="1"/>
  <c r="E32" i="9" s="1"/>
  <c r="C36" i="9"/>
  <c r="D36" i="9" s="1"/>
  <c r="E36" i="9" s="1"/>
  <c r="C40" i="9"/>
  <c r="D40" i="9" s="1"/>
  <c r="E40" i="9" s="1"/>
  <c r="C1" i="9"/>
  <c r="D1" i="9" s="1"/>
  <c r="E1" i="9" s="1"/>
  <c r="C2" i="8"/>
  <c r="D2" i="8" s="1"/>
  <c r="E2" i="8" s="1"/>
  <c r="C6" i="8"/>
  <c r="D6" i="8" s="1"/>
  <c r="E6" i="8" s="1"/>
  <c r="C10" i="8"/>
  <c r="D10" i="8" s="1"/>
  <c r="E10" i="8" s="1"/>
  <c r="C14" i="8"/>
  <c r="D14" i="8" s="1"/>
  <c r="E14" i="8" s="1"/>
  <c r="C18" i="8"/>
  <c r="D18" i="8" s="1"/>
  <c r="E18" i="8" s="1"/>
  <c r="C22" i="8"/>
  <c r="D22" i="8" s="1"/>
  <c r="E22" i="8" s="1"/>
  <c r="C26" i="8"/>
  <c r="D26" i="8" s="1"/>
  <c r="E26" i="8" s="1"/>
  <c r="C30" i="8"/>
  <c r="D30" i="8" s="1"/>
  <c r="E30" i="8" s="1"/>
  <c r="C34" i="8"/>
  <c r="D34" i="8" s="1"/>
  <c r="E34" i="8" s="1"/>
  <c r="C38" i="8"/>
  <c r="D38" i="8" s="1"/>
  <c r="E38" i="8" s="1"/>
  <c r="C3" i="8"/>
  <c r="D3" i="8" s="1"/>
  <c r="E3" i="8" s="1"/>
  <c r="C7" i="8"/>
  <c r="D7" i="8" s="1"/>
  <c r="E7" i="8" s="1"/>
  <c r="C11" i="8"/>
  <c r="D11" i="8" s="1"/>
  <c r="E11" i="8" s="1"/>
  <c r="C15" i="8"/>
  <c r="D15" i="8" s="1"/>
  <c r="E15" i="8" s="1"/>
  <c r="C19" i="8"/>
  <c r="D19" i="8" s="1"/>
  <c r="E19" i="8" s="1"/>
  <c r="C23" i="8"/>
  <c r="D23" i="8" s="1"/>
  <c r="E23" i="8" s="1"/>
  <c r="C27" i="8"/>
  <c r="D27" i="8" s="1"/>
  <c r="E27" i="8" s="1"/>
  <c r="C31" i="8"/>
  <c r="D31" i="8" s="1"/>
  <c r="E31" i="8" s="1"/>
  <c r="C35" i="8"/>
  <c r="D35" i="8" s="1"/>
  <c r="E35" i="8" s="1"/>
  <c r="C39" i="8"/>
  <c r="D39" i="8" s="1"/>
  <c r="E39" i="8" s="1"/>
  <c r="C4" i="8"/>
  <c r="D4" i="8" s="1"/>
  <c r="E4" i="8" s="1"/>
  <c r="C8" i="8"/>
  <c r="D8" i="8" s="1"/>
  <c r="E8" i="8" s="1"/>
  <c r="C12" i="8"/>
  <c r="D12" i="8" s="1"/>
  <c r="E12" i="8" s="1"/>
  <c r="C16" i="8"/>
  <c r="D16" i="8" s="1"/>
  <c r="E16" i="8" s="1"/>
  <c r="C20" i="8"/>
  <c r="D20" i="8" s="1"/>
  <c r="E20" i="8" s="1"/>
  <c r="C24" i="8"/>
  <c r="D24" i="8" s="1"/>
  <c r="E24" i="8" s="1"/>
  <c r="C28" i="8"/>
  <c r="D28" i="8" s="1"/>
  <c r="E28" i="8" s="1"/>
  <c r="C32" i="8"/>
  <c r="D32" i="8" s="1"/>
  <c r="E32" i="8" s="1"/>
  <c r="C36" i="8"/>
  <c r="D36" i="8" s="1"/>
  <c r="E36" i="8" s="1"/>
  <c r="C40" i="8"/>
  <c r="D40" i="8" s="1"/>
  <c r="E40" i="8" s="1"/>
  <c r="C1" i="8"/>
  <c r="D1" i="8" s="1"/>
  <c r="E1" i="8" s="1"/>
  <c r="C2" i="7"/>
  <c r="D2" i="7" s="1"/>
  <c r="E2" i="7" s="1"/>
  <c r="C6" i="7"/>
  <c r="D6" i="7" s="1"/>
  <c r="E6" i="7" s="1"/>
  <c r="C10" i="7"/>
  <c r="D10" i="7" s="1"/>
  <c r="E10" i="7" s="1"/>
  <c r="C14" i="7"/>
  <c r="D14" i="7" s="1"/>
  <c r="E14" i="7" s="1"/>
  <c r="C18" i="7"/>
  <c r="D18" i="7" s="1"/>
  <c r="E18" i="7" s="1"/>
  <c r="C22" i="7"/>
  <c r="D22" i="7" s="1"/>
  <c r="E22" i="7" s="1"/>
  <c r="C26" i="7"/>
  <c r="D26" i="7" s="1"/>
  <c r="E26" i="7" s="1"/>
  <c r="C30" i="7"/>
  <c r="D30" i="7" s="1"/>
  <c r="E30" i="7" s="1"/>
  <c r="C34" i="7"/>
  <c r="D34" i="7" s="1"/>
  <c r="E34" i="7" s="1"/>
  <c r="C38" i="7"/>
  <c r="D38" i="7" s="1"/>
  <c r="E38" i="7" s="1"/>
  <c r="C7" i="7"/>
  <c r="D7" i="7" s="1"/>
  <c r="E7" i="7" s="1"/>
  <c r="C11" i="7"/>
  <c r="D11" i="7" s="1"/>
  <c r="E11" i="7" s="1"/>
  <c r="C15" i="7"/>
  <c r="D15" i="7" s="1"/>
  <c r="E15" i="7" s="1"/>
  <c r="C19" i="7"/>
  <c r="D19" i="7" s="1"/>
  <c r="E19" i="7" s="1"/>
  <c r="C23" i="7"/>
  <c r="D23" i="7" s="1"/>
  <c r="E23" i="7" s="1"/>
  <c r="C27" i="7"/>
  <c r="D27" i="7" s="1"/>
  <c r="E27" i="7" s="1"/>
  <c r="C31" i="7"/>
  <c r="D31" i="7" s="1"/>
  <c r="E31" i="7" s="1"/>
  <c r="C35" i="7"/>
  <c r="D35" i="7" s="1"/>
  <c r="E35" i="7" s="1"/>
  <c r="C39" i="7"/>
  <c r="D39" i="7" s="1"/>
  <c r="E39" i="7" s="1"/>
  <c r="C4" i="7"/>
  <c r="D4" i="7" s="1"/>
  <c r="E4" i="7" s="1"/>
  <c r="C36" i="7"/>
  <c r="D36" i="7" s="1"/>
  <c r="E36" i="7" s="1"/>
  <c r="C40" i="7"/>
  <c r="D40" i="7" s="1"/>
  <c r="E40" i="7" s="1"/>
  <c r="C2" i="6"/>
  <c r="D2" i="6" s="1"/>
  <c r="E2" i="6" s="1"/>
  <c r="C3" i="6"/>
  <c r="D3" i="6" s="1"/>
  <c r="E3" i="6" s="1"/>
  <c r="C7" i="6"/>
  <c r="D7" i="6" s="1"/>
  <c r="E7" i="6" s="1"/>
  <c r="C11" i="6"/>
  <c r="D11" i="6" s="1"/>
  <c r="E11" i="6" s="1"/>
  <c r="C15" i="6"/>
  <c r="D15" i="6" s="1"/>
  <c r="E15" i="6" s="1"/>
  <c r="C19" i="6"/>
  <c r="D19" i="6" s="1"/>
  <c r="E19" i="6" s="1"/>
  <c r="C23" i="6"/>
  <c r="D23" i="6" s="1"/>
  <c r="E23" i="6" s="1"/>
  <c r="C27" i="6"/>
  <c r="D27" i="6" s="1"/>
  <c r="E27" i="6" s="1"/>
  <c r="C31" i="6"/>
  <c r="D31" i="6" s="1"/>
  <c r="E31" i="6" s="1"/>
  <c r="C35" i="6"/>
  <c r="D35" i="6" s="1"/>
  <c r="E35" i="6" s="1"/>
  <c r="C39" i="6"/>
  <c r="D39" i="6" s="1"/>
  <c r="E39" i="6" s="1"/>
  <c r="C4" i="6"/>
  <c r="D4" i="6" s="1"/>
  <c r="E4" i="6" s="1"/>
  <c r="C1" i="6"/>
  <c r="D1" i="6" s="1"/>
  <c r="E1" i="6" s="1"/>
  <c r="C2" i="5"/>
  <c r="D2" i="5" s="1"/>
  <c r="E2" i="5" s="1"/>
  <c r="C7" i="5"/>
  <c r="D7" i="5" s="1"/>
  <c r="E7" i="5" s="1"/>
  <c r="C11" i="5"/>
  <c r="D11" i="5" s="1"/>
  <c r="E11" i="5" s="1"/>
  <c r="C15" i="5"/>
  <c r="D15" i="5" s="1"/>
  <c r="E15" i="5" s="1"/>
  <c r="C19" i="5"/>
  <c r="D19" i="5" s="1"/>
  <c r="E19" i="5" s="1"/>
  <c r="C23" i="5"/>
  <c r="D23" i="5" s="1"/>
  <c r="E23" i="5" s="1"/>
  <c r="C27" i="5"/>
  <c r="D27" i="5" s="1"/>
  <c r="E27" i="5" s="1"/>
  <c r="C31" i="5"/>
  <c r="D31" i="5" s="1"/>
  <c r="E31" i="5" s="1"/>
  <c r="C35" i="5"/>
  <c r="D35" i="5" s="1"/>
  <c r="E35" i="5" s="1"/>
  <c r="C39" i="5"/>
  <c r="D39" i="5" s="1"/>
  <c r="E39" i="5" s="1"/>
  <c r="C2" i="4"/>
  <c r="D2" i="4" s="1"/>
  <c r="E2" i="4" s="1"/>
  <c r="C3" i="4"/>
  <c r="D3" i="4" s="1"/>
  <c r="E3" i="4" s="1"/>
  <c r="C7" i="4"/>
  <c r="D7" i="4" s="1"/>
  <c r="E7" i="4" s="1"/>
  <c r="C11" i="4"/>
  <c r="D11" i="4" s="1"/>
  <c r="E11" i="4" s="1"/>
  <c r="C15" i="4"/>
  <c r="D15" i="4" s="1"/>
  <c r="E15" i="4" s="1"/>
  <c r="C19" i="4"/>
  <c r="D19" i="4" s="1"/>
  <c r="E19" i="4" s="1"/>
  <c r="C23" i="4"/>
  <c r="D23" i="4" s="1"/>
  <c r="E23" i="4" s="1"/>
  <c r="C27" i="4"/>
  <c r="D27" i="4" s="1"/>
  <c r="E27" i="4" s="1"/>
  <c r="C31" i="4"/>
  <c r="D31" i="4" s="1"/>
  <c r="E31" i="4" s="1"/>
  <c r="C35" i="4"/>
  <c r="D35" i="4" s="1"/>
  <c r="E35" i="4" s="1"/>
  <c r="C39" i="4"/>
  <c r="D39" i="4" s="1"/>
  <c r="E39" i="4" s="1"/>
  <c r="C4" i="4"/>
  <c r="D4" i="4" s="1"/>
  <c r="E4" i="4" s="1"/>
  <c r="C40" i="4"/>
  <c r="D40" i="4" s="1"/>
  <c r="E40" i="4" s="1"/>
  <c r="C3" i="3"/>
  <c r="D3" i="3" s="1"/>
  <c r="E3" i="3" s="1"/>
  <c r="C7" i="3"/>
  <c r="D7" i="3" s="1"/>
  <c r="E7" i="3" s="1"/>
  <c r="C11" i="3"/>
  <c r="D11" i="3" s="1"/>
  <c r="E11" i="3" s="1"/>
  <c r="C15" i="3"/>
  <c r="D15" i="3" s="1"/>
  <c r="E15" i="3" s="1"/>
  <c r="C19" i="3"/>
  <c r="D19" i="3" s="1"/>
  <c r="E19" i="3" s="1"/>
  <c r="C23" i="3"/>
  <c r="D23" i="3" s="1"/>
  <c r="E23" i="3" s="1"/>
  <c r="C27" i="3"/>
  <c r="D27" i="3" s="1"/>
  <c r="E27" i="3" s="1"/>
  <c r="C31" i="3"/>
  <c r="D31" i="3" s="1"/>
  <c r="E31" i="3" s="1"/>
  <c r="C35" i="3"/>
  <c r="D35" i="3" s="1"/>
  <c r="E35" i="3" s="1"/>
  <c r="C39" i="3"/>
  <c r="D39" i="3" s="1"/>
  <c r="E39" i="3" s="1"/>
  <c r="C9" i="2"/>
  <c r="D9" i="2" s="1"/>
  <c r="E9" i="2" s="1"/>
  <c r="C13" i="2"/>
  <c r="D13" i="2" s="1"/>
  <c r="E13" i="2" s="1"/>
  <c r="C17" i="2"/>
  <c r="D17" i="2" s="1"/>
  <c r="E17" i="2" s="1"/>
  <c r="C21" i="2"/>
  <c r="D21" i="2" s="1"/>
  <c r="E21" i="2" s="1"/>
  <c r="C25" i="2"/>
  <c r="D25" i="2" s="1"/>
  <c r="E25" i="2" s="1"/>
  <c r="C29" i="2"/>
  <c r="D29" i="2" s="1"/>
  <c r="E29" i="2" s="1"/>
  <c r="C33" i="2"/>
  <c r="D33" i="2" s="1"/>
  <c r="E33" i="2" s="1"/>
  <c r="C37" i="2"/>
  <c r="D37" i="2" s="1"/>
  <c r="E37" i="2" s="1"/>
  <c r="C2" i="2"/>
  <c r="D2" i="2" s="1"/>
  <c r="E2" i="2" s="1"/>
  <c r="C3" i="2"/>
  <c r="D3" i="2" s="1"/>
  <c r="E3" i="2" s="1"/>
  <c r="C7" i="2"/>
  <c r="D7" i="2" s="1"/>
  <c r="E7" i="2" s="1"/>
  <c r="C11" i="2"/>
  <c r="D11" i="2" s="1"/>
  <c r="E11" i="2" s="1"/>
  <c r="C15" i="2"/>
  <c r="D15" i="2" s="1"/>
  <c r="E15" i="2" s="1"/>
  <c r="C19" i="2"/>
  <c r="D19" i="2" s="1"/>
  <c r="E19" i="2" s="1"/>
  <c r="C23" i="2"/>
  <c r="D23" i="2" s="1"/>
  <c r="E23" i="2" s="1"/>
  <c r="C27" i="2"/>
  <c r="D27" i="2" s="1"/>
  <c r="E27" i="2" s="1"/>
  <c r="C31" i="2"/>
  <c r="D31" i="2" s="1"/>
  <c r="E31" i="2" s="1"/>
  <c r="C35" i="2"/>
  <c r="D35" i="2" s="1"/>
  <c r="E35" i="2" s="1"/>
  <c r="C39" i="2"/>
  <c r="D39" i="2" s="1"/>
  <c r="E39" i="2" s="1"/>
  <c r="C4" i="2"/>
  <c r="D4" i="2" s="1"/>
  <c r="E4" i="2" s="1"/>
  <c r="C8" i="2"/>
  <c r="D8" i="2" s="1"/>
  <c r="E8" i="2" s="1"/>
  <c r="C12" i="2"/>
  <c r="D12" i="2" s="1"/>
  <c r="E12" i="2" s="1"/>
  <c r="C16" i="2"/>
  <c r="D16" i="2" s="1"/>
  <c r="E16" i="2" s="1"/>
  <c r="C20" i="2"/>
  <c r="D20" i="2" s="1"/>
  <c r="E20" i="2" s="1"/>
  <c r="C24" i="2"/>
  <c r="D24" i="2" s="1"/>
  <c r="E24" i="2" s="1"/>
  <c r="C28" i="2"/>
  <c r="D28" i="2" s="1"/>
  <c r="E28" i="2" s="1"/>
  <c r="C32" i="2"/>
  <c r="D32" i="2" s="1"/>
  <c r="E32" i="2" s="1"/>
  <c r="C36" i="2"/>
  <c r="D36" i="2" s="1"/>
  <c r="E36" i="2" s="1"/>
  <c r="C40" i="2"/>
  <c r="D40" i="2" s="1"/>
  <c r="E40" i="2" s="1"/>
  <c r="C1" i="2"/>
  <c r="D1" i="2" s="1"/>
  <c r="E1" i="2" s="1"/>
  <c r="H5" i="30" l="1"/>
  <c r="H5" i="26"/>
  <c r="H5" i="21"/>
  <c r="H5" i="20"/>
  <c r="H5" i="19"/>
  <c r="H5" i="18"/>
  <c r="H5" i="17"/>
  <c r="H5" i="16"/>
  <c r="H5" i="14"/>
  <c r="H5" i="12"/>
  <c r="H5" i="11"/>
  <c r="H5" i="10"/>
  <c r="H5" i="7"/>
  <c r="H5" i="5"/>
  <c r="H5" i="4"/>
  <c r="H5" i="3"/>
  <c r="H5" i="32"/>
  <c r="H5" i="31"/>
  <c r="H5" i="29"/>
  <c r="H5" i="28"/>
  <c r="H5" i="27"/>
  <c r="H5" i="25"/>
  <c r="H5" i="24"/>
  <c r="H5" i="23"/>
  <c r="H5" i="22"/>
  <c r="H5" i="15"/>
  <c r="H5" i="13"/>
  <c r="H5" i="9"/>
  <c r="H5" i="8"/>
  <c r="H5" i="6"/>
  <c r="H5" i="2"/>
</calcChain>
</file>

<file path=xl/sharedStrings.xml><?xml version="1.0" encoding="utf-8"?>
<sst xmlns="http://schemas.openxmlformats.org/spreadsheetml/2006/main" count="93" uniqueCount="3">
  <si>
    <t>b</t>
  </si>
  <si>
    <t>a_b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</si>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</sst>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7A00C-3667-4230-9C83-0E518F13B680}">
  <dimension ref="A1:B31"/>
  <sheetViews>
    <sheetView tabSelected="1" workbookViewId="0">
      <selection activeCell="H15" sqref="H15"/>
    </sheetView>
  </sheetViews>
  <sheetFormatPr defaultRowHeight="15.75" x14ac:dyDescent="0.25"/>
  <sheetData>
    <row r="1" spans="1:2" x14ac:dyDescent="0.25">
      <c r="A1">
        <v>1E-4</v>
      </c>
      <c r="B1">
        <f>'0.0001'!$H$1</f>
        <v>8.6635423148986521E-2</v>
      </c>
    </row>
    <row r="2" spans="1:2" x14ac:dyDescent="0.25">
      <c r="A2">
        <v>1E-3</v>
      </c>
      <c r="B2">
        <f>'0.001'!$H$1</f>
        <v>9.3763644029280155E-2</v>
      </c>
    </row>
    <row r="3" spans="1:2" x14ac:dyDescent="0.25">
      <c r="A3">
        <v>5.0000000000000001E-3</v>
      </c>
      <c r="B3">
        <f>'0.005'!$H$1</f>
        <v>0.14356392791631811</v>
      </c>
    </row>
    <row r="4" spans="1:2" x14ac:dyDescent="0.25">
      <c r="A4">
        <v>0.01</v>
      </c>
      <c r="B4">
        <f>'0.01'!$H$1</f>
        <v>0.16940280404264504</v>
      </c>
    </row>
    <row r="5" spans="1:2" x14ac:dyDescent="0.25">
      <c r="A5">
        <v>2.5000000000000001E-2</v>
      </c>
      <c r="B5">
        <f>'0.025'!$H$1</f>
        <v>0.22286790544817633</v>
      </c>
    </row>
    <row r="6" spans="1:2" x14ac:dyDescent="0.25">
      <c r="A6">
        <v>0.05</v>
      </c>
      <c r="B6">
        <f>'0.05'!$H$1</f>
        <v>0.27919095194243682</v>
      </c>
    </row>
    <row r="7" spans="1:2" x14ac:dyDescent="0.25">
      <c r="A7">
        <v>7.4999999999999997E-2</v>
      </c>
      <c r="B7">
        <f>'0.075'!$H$1</f>
        <v>0.32379495325671626</v>
      </c>
    </row>
    <row r="8" spans="1:2" x14ac:dyDescent="0.25">
      <c r="A8">
        <v>0.1</v>
      </c>
      <c r="B8">
        <f>'0.1'!$H$1</f>
        <v>0.3633541394460344</v>
      </c>
    </row>
    <row r="9" spans="1:2" x14ac:dyDescent="0.25">
      <c r="A9">
        <v>0.15</v>
      </c>
      <c r="B9">
        <f>'0.15'!$H$1</f>
        <v>0.42941047012416733</v>
      </c>
    </row>
    <row r="10" spans="1:2" x14ac:dyDescent="0.25">
      <c r="A10">
        <v>0.2</v>
      </c>
      <c r="B10">
        <f>'0.2'!$H$1</f>
        <v>0.49015117895667937</v>
      </c>
    </row>
    <row r="11" spans="1:2" x14ac:dyDescent="0.25">
      <c r="A11">
        <v>0.25</v>
      </c>
      <c r="B11">
        <f>'0.25'!$H$1</f>
        <v>0.54988729692472493</v>
      </c>
    </row>
    <row r="12" spans="1:2" x14ac:dyDescent="0.25">
      <c r="A12">
        <v>0.3</v>
      </c>
      <c r="B12">
        <f>'0.3'!$H$1</f>
        <v>0.61375792657959405</v>
      </c>
    </row>
    <row r="13" spans="1:2" x14ac:dyDescent="0.25">
      <c r="A13">
        <v>0.35</v>
      </c>
      <c r="B13">
        <f>'0.35'!$H$1</f>
        <v>0.67373319634460305</v>
      </c>
    </row>
    <row r="14" spans="1:2" x14ac:dyDescent="0.25">
      <c r="A14">
        <v>0.4</v>
      </c>
      <c r="B14">
        <f>'0.4'!$H$1</f>
        <v>0.74615308106140565</v>
      </c>
    </row>
    <row r="15" spans="1:2" x14ac:dyDescent="0.25">
      <c r="A15">
        <v>0.45</v>
      </c>
      <c r="B15">
        <f>'0.45'!$H$1</f>
        <v>0.81942794278467324</v>
      </c>
    </row>
    <row r="16" spans="1:2" x14ac:dyDescent="0.25">
      <c r="A16">
        <v>0.5</v>
      </c>
      <c r="B16">
        <f>'0.5'!$H$1</f>
        <v>0.90368189355118556</v>
      </c>
    </row>
    <row r="17" spans="1:2" x14ac:dyDescent="0.25">
      <c r="A17">
        <v>0.55000000000000004</v>
      </c>
      <c r="B17">
        <f>'0.55'!$H$1</f>
        <v>1.0022669981485903</v>
      </c>
    </row>
    <row r="18" spans="1:2" x14ac:dyDescent="0.25">
      <c r="A18">
        <v>0.6</v>
      </c>
      <c r="B18">
        <f>'0.6'!$H$1</f>
        <v>1.1165136950445138</v>
      </c>
    </row>
    <row r="19" spans="1:2" x14ac:dyDescent="0.25">
      <c r="A19">
        <v>0.65</v>
      </c>
      <c r="B19">
        <f>'0.65'!$H$1</f>
        <v>1.250498872361234</v>
      </c>
    </row>
    <row r="20" spans="1:2" x14ac:dyDescent="0.25">
      <c r="A20">
        <v>0.7</v>
      </c>
      <c r="B20">
        <f>'0.7'!$H$1</f>
        <v>1.4223917457168012</v>
      </c>
    </row>
    <row r="21" spans="1:2" x14ac:dyDescent="0.25">
      <c r="A21">
        <v>0.75</v>
      </c>
      <c r="B21">
        <f>'0.75'!$H$1</f>
        <v>1.6455456135596744</v>
      </c>
    </row>
    <row r="22" spans="1:2" x14ac:dyDescent="0.25">
      <c r="A22">
        <v>0.8</v>
      </c>
      <c r="B22">
        <f>'0.8'!$H$1</f>
        <v>1.946829873254539</v>
      </c>
    </row>
    <row r="23" spans="1:2" x14ac:dyDescent="0.25">
      <c r="A23">
        <v>0.85</v>
      </c>
      <c r="B23">
        <f>'0.85'!$H$1</f>
        <v>2.3780223555368352</v>
      </c>
    </row>
    <row r="24" spans="1:2" x14ac:dyDescent="0.25">
      <c r="A24">
        <v>0.9</v>
      </c>
      <c r="B24">
        <f>'0.9'!$H$1</f>
        <v>3.1294055753458085</v>
      </c>
    </row>
    <row r="25" spans="1:2" x14ac:dyDescent="0.25">
      <c r="A25">
        <v>0.92500000000000004</v>
      </c>
      <c r="B25">
        <f>'0.925'!$H$1</f>
        <v>3.7568033844142015</v>
      </c>
    </row>
    <row r="26" spans="1:2" x14ac:dyDescent="0.25">
      <c r="A26">
        <v>0.95</v>
      </c>
      <c r="B26">
        <f>'0.95'!$H$1</f>
        <v>4.8121703338765967</v>
      </c>
    </row>
    <row r="27" spans="1:2" x14ac:dyDescent="0.25">
      <c r="A27">
        <v>0.97499999999999998</v>
      </c>
      <c r="B27">
        <f>'0.975'!$H$1</f>
        <v>7.2169384490182997</v>
      </c>
    </row>
    <row r="28" spans="1:2" x14ac:dyDescent="0.25">
      <c r="A28">
        <v>0.99</v>
      </c>
      <c r="B28">
        <f>'0.99'!$H$1</f>
        <v>12.016979590373598</v>
      </c>
    </row>
    <row r="29" spans="1:2" x14ac:dyDescent="0.25">
      <c r="A29">
        <v>0.995</v>
      </c>
      <c r="B29">
        <f>'0.995'!$H$1</f>
        <v>17.386985443994103</v>
      </c>
    </row>
    <row r="30" spans="1:2" x14ac:dyDescent="0.25">
      <c r="A30">
        <v>0.999</v>
      </c>
      <c r="B30">
        <f>'0.999'!$H$1</f>
        <v>40.11017441941592</v>
      </c>
    </row>
    <row r="31" spans="1:2" x14ac:dyDescent="0.25">
      <c r="A31">
        <v>0.99990000000000001</v>
      </c>
      <c r="B31">
        <f>'0.9999'!$H$1</f>
        <v>127.63185833255869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E75FF-10EC-4FCE-8064-604CE713EFE5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7.094065062499999E-2</v>
      </c>
      <c r="B1">
        <v>0.79466750857978197</v>
      </c>
      <c r="C1">
        <f>$H$3*(1+$H$1)*(A1^($H$1))*EXP(-$H$3*(A1^(1+$H$1)))</f>
        <v>0.79056374758300418</v>
      </c>
      <c r="D1">
        <f>B1-C1</f>
        <v>4.1037609967777833E-3</v>
      </c>
      <c r="E1">
        <f>D1^2</f>
        <v>1.6840854318674585E-5</v>
      </c>
      <c r="G1" t="s">
        <v>0</v>
      </c>
      <c r="H1">
        <v>8.6635423148986521E-2</v>
      </c>
    </row>
    <row r="2" spans="1:8" x14ac:dyDescent="0.25">
      <c r="A2">
        <v>0.211896569875</v>
      </c>
      <c r="B2">
        <v>0.73707643632877529</v>
      </c>
      <c r="C2">
        <f t="shared" ref="C2:C40" si="0">$H$3*(1+$H$1)*(A2^($H$1))*EXP(-$H$3*(A2^(1+$H$1)))</f>
        <v>0.76744310862486276</v>
      </c>
      <c r="D2">
        <f t="shared" ref="D2:D40" si="1">B2-C2</f>
        <v>-3.0366672296087471E-2</v>
      </c>
      <c r="E2">
        <f t="shared" ref="E2:E40" si="2">D2^2</f>
        <v>9.2213478633796633E-4</v>
      </c>
    </row>
    <row r="3" spans="1:8" x14ac:dyDescent="0.25">
      <c r="A3">
        <v>0.352852489125</v>
      </c>
      <c r="B3">
        <v>0.67814603681611729</v>
      </c>
      <c r="C3">
        <f t="shared" si="0"/>
        <v>0.70255090352492278</v>
      </c>
      <c r="D3">
        <f t="shared" si="1"/>
        <v>-2.4404866708805484E-2</v>
      </c>
      <c r="E3">
        <f t="shared" si="2"/>
        <v>5.9559751907456221E-4</v>
      </c>
      <c r="G3" t="s">
        <v>1</v>
      </c>
      <c r="H3">
        <f>(_xlfn.GAMMA((2+$H$1)/(1+$H$1)))^(1+$H$1)</f>
        <v>0.9662209852735878</v>
      </c>
    </row>
    <row r="4" spans="1:8" x14ac:dyDescent="0.25">
      <c r="A4">
        <v>0.49380840837499995</v>
      </c>
      <c r="B4">
        <v>0.60359015258419391</v>
      </c>
      <c r="C4">
        <f t="shared" si="0"/>
        <v>0.63050026891720179</v>
      </c>
      <c r="D4">
        <f t="shared" si="1"/>
        <v>-2.6910116333007883E-2</v>
      </c>
      <c r="E4">
        <f t="shared" si="2"/>
        <v>7.2415436105601762E-4</v>
      </c>
    </row>
    <row r="5" spans="1:8" x14ac:dyDescent="0.25">
      <c r="A5">
        <v>0.6347643276249999</v>
      </c>
      <c r="B5">
        <v>0.54421331065098555</v>
      </c>
      <c r="C5">
        <f t="shared" si="0"/>
        <v>0.5597336486261788</v>
      </c>
      <c r="D5">
        <f t="shared" si="1"/>
        <v>-1.5520337975193255E-2</v>
      </c>
      <c r="E5">
        <f t="shared" si="2"/>
        <v>2.4088089086422585E-4</v>
      </c>
      <c r="G5" t="s">
        <v>2</v>
      </c>
      <c r="H5">
        <f>SUM(E1:E40)</f>
        <v>8.1436988833419547E-3</v>
      </c>
    </row>
    <row r="6" spans="1:8" x14ac:dyDescent="0.25">
      <c r="A6">
        <v>0.77572024687499996</v>
      </c>
      <c r="B6">
        <v>0.46206790526970465</v>
      </c>
      <c r="C6">
        <f t="shared" si="0"/>
        <v>0.49337536307572116</v>
      </c>
      <c r="D6">
        <f t="shared" si="1"/>
        <v>-3.1307457806016514E-2</v>
      </c>
      <c r="E6">
        <f t="shared" si="2"/>
        <v>9.801569142755043E-4</v>
      </c>
    </row>
    <row r="7" spans="1:8" x14ac:dyDescent="0.25">
      <c r="A7">
        <v>0.91667616612500002</v>
      </c>
      <c r="B7">
        <v>0.41117346932695459</v>
      </c>
      <c r="C7">
        <f t="shared" si="0"/>
        <v>0.43262895693289199</v>
      </c>
      <c r="D7">
        <f t="shared" si="1"/>
        <v>-2.1455487605937407E-2</v>
      </c>
      <c r="E7">
        <f t="shared" si="2"/>
        <v>4.6033794840853368E-4</v>
      </c>
    </row>
    <row r="8" spans="1:8" x14ac:dyDescent="0.25">
      <c r="A8">
        <v>1.0576320853749999</v>
      </c>
      <c r="B8">
        <v>0.38929779071998305</v>
      </c>
      <c r="C8">
        <f t="shared" si="0"/>
        <v>0.37783364569374706</v>
      </c>
      <c r="D8">
        <f t="shared" si="1"/>
        <v>1.1464145026235995E-2</v>
      </c>
      <c r="E8">
        <f t="shared" si="2"/>
        <v>1.314266211825715E-4</v>
      </c>
    </row>
    <row r="9" spans="1:8" x14ac:dyDescent="0.25">
      <c r="A9">
        <v>1.1985880046249999</v>
      </c>
      <c r="B9">
        <v>0.33840335477723299</v>
      </c>
      <c r="C9">
        <f t="shared" si="0"/>
        <v>0.32889985921718501</v>
      </c>
      <c r="D9">
        <f t="shared" si="1"/>
        <v>9.5034955600479809E-3</v>
      </c>
      <c r="E9">
        <f t="shared" si="2"/>
        <v>9.0316427859851682E-5</v>
      </c>
    </row>
    <row r="10" spans="1:8" x14ac:dyDescent="0.25">
      <c r="A10">
        <v>1.339543923875</v>
      </c>
      <c r="B10">
        <v>0.29197334303998729</v>
      </c>
      <c r="C10">
        <f t="shared" si="0"/>
        <v>0.28551978247949933</v>
      </c>
      <c r="D10">
        <f t="shared" si="1"/>
        <v>6.4535605604879587E-3</v>
      </c>
      <c r="E10">
        <f t="shared" si="2"/>
        <v>4.1648443907885654E-5</v>
      </c>
    </row>
    <row r="11" spans="1:8" x14ac:dyDescent="0.25">
      <c r="A11">
        <v>1.480499843125</v>
      </c>
      <c r="B11">
        <v>0.25759727665760346</v>
      </c>
      <c r="C11">
        <f t="shared" si="0"/>
        <v>0.2472793477634905</v>
      </c>
      <c r="D11">
        <f t="shared" si="1"/>
        <v>1.0317928894112954E-2</v>
      </c>
      <c r="E11">
        <f t="shared" si="2"/>
        <v>1.0645965666397097E-4</v>
      </c>
    </row>
    <row r="12" spans="1:8" x14ac:dyDescent="0.25">
      <c r="A12">
        <v>1.6214557623750001</v>
      </c>
      <c r="B12">
        <v>0.22723919206017359</v>
      </c>
      <c r="C12">
        <f t="shared" si="0"/>
        <v>0.21372123091047754</v>
      </c>
      <c r="D12">
        <f t="shared" si="1"/>
        <v>1.3517961149696056E-2</v>
      </c>
      <c r="E12">
        <f t="shared" si="2"/>
        <v>1.8273527364469193E-4</v>
      </c>
    </row>
    <row r="13" spans="1:8" x14ac:dyDescent="0.25">
      <c r="A13">
        <v>1.7624116816249999</v>
      </c>
      <c r="B13">
        <v>0.18393427726678099</v>
      </c>
      <c r="C13">
        <f t="shared" si="0"/>
        <v>0.18438124746878762</v>
      </c>
      <c r="D13">
        <f t="shared" si="1"/>
        <v>-4.4697020200662463E-4</v>
      </c>
      <c r="E13">
        <f t="shared" si="2"/>
        <v>1.9978236148184284E-7</v>
      </c>
    </row>
    <row r="14" spans="1:8" x14ac:dyDescent="0.25">
      <c r="A14">
        <v>1.9033676008749998</v>
      </c>
      <c r="B14">
        <v>0.17411254401467133</v>
      </c>
      <c r="C14">
        <f t="shared" si="0"/>
        <v>0.15880939382452303</v>
      </c>
      <c r="D14">
        <f t="shared" si="1"/>
        <v>1.5303150190148301E-2</v>
      </c>
      <c r="E14">
        <f t="shared" si="2"/>
        <v>2.34186405742236E-4</v>
      </c>
    </row>
    <row r="15" spans="1:8" x14ac:dyDescent="0.25">
      <c r="A15">
        <v>2.0443235201249998</v>
      </c>
      <c r="B15">
        <v>0.1772376409585244</v>
      </c>
      <c r="C15">
        <f t="shared" si="0"/>
        <v>0.13658164768399814</v>
      </c>
      <c r="D15">
        <f t="shared" si="1"/>
        <v>4.0655993274526264E-2</v>
      </c>
      <c r="E15">
        <f t="shared" si="2"/>
        <v>1.6529097891383249E-3</v>
      </c>
    </row>
    <row r="16" spans="1:8" x14ac:dyDescent="0.25">
      <c r="A16">
        <v>2.1852794393749999</v>
      </c>
      <c r="B16">
        <v>0.13348628374458135</v>
      </c>
      <c r="C16">
        <f t="shared" si="0"/>
        <v>0.11730606097944607</v>
      </c>
      <c r="D16">
        <f t="shared" si="1"/>
        <v>1.6180222765135283E-2</v>
      </c>
      <c r="E16">
        <f t="shared" si="2"/>
        <v>2.6179960872940207E-4</v>
      </c>
    </row>
    <row r="17" spans="1:5" x14ac:dyDescent="0.25">
      <c r="A17">
        <v>2.3262353586249995</v>
      </c>
      <c r="B17">
        <v>0.11830724144586641</v>
      </c>
      <c r="C17">
        <f t="shared" si="0"/>
        <v>0.10062528325310285</v>
      </c>
      <c r="D17">
        <f t="shared" si="1"/>
        <v>1.7681958192763553E-2</v>
      </c>
      <c r="E17">
        <f t="shared" si="2"/>
        <v>3.1265164553063811E-4</v>
      </c>
    </row>
    <row r="18" spans="1:5" x14ac:dyDescent="0.25">
      <c r="A18">
        <v>2.467191277875</v>
      </c>
      <c r="B18">
        <v>0.11428925966091245</v>
      </c>
      <c r="C18">
        <f t="shared" si="0"/>
        <v>8.6216854714632807E-2</v>
      </c>
      <c r="D18">
        <f t="shared" si="1"/>
        <v>2.8072404946279647E-2</v>
      </c>
      <c r="E18">
        <f t="shared" si="2"/>
        <v>7.8805991946790603E-4</v>
      </c>
    </row>
    <row r="19" spans="1:5" x14ac:dyDescent="0.25">
      <c r="A19">
        <v>2.6081471971250001</v>
      </c>
      <c r="B19">
        <v>7.9466750857978191E-2</v>
      </c>
      <c r="C19">
        <f t="shared" si="0"/>
        <v>7.3792128729290959E-2</v>
      </c>
      <c r="D19">
        <f t="shared" si="1"/>
        <v>5.6746221286872317E-3</v>
      </c>
      <c r="E19">
        <f t="shared" si="2"/>
        <v>3.220133630338681E-5</v>
      </c>
    </row>
    <row r="20" spans="1:5" x14ac:dyDescent="0.25">
      <c r="A20">
        <v>2.7491031163750002</v>
      </c>
      <c r="B20">
        <v>5.8483957092107547E-2</v>
      </c>
      <c r="C20">
        <f t="shared" si="0"/>
        <v>6.3094384689694791E-2</v>
      </c>
      <c r="D20">
        <f t="shared" si="1"/>
        <v>-4.6104275975872439E-3</v>
      </c>
      <c r="E20">
        <f t="shared" si="2"/>
        <v>2.1256042632594084E-5</v>
      </c>
    </row>
    <row r="21" spans="1:5" x14ac:dyDescent="0.25">
      <c r="A21">
        <v>2.8900590356249998</v>
      </c>
      <c r="B21">
        <v>6.0269726774309307E-2</v>
      </c>
      <c r="C21">
        <f t="shared" si="0"/>
        <v>5.3896500331911373E-2</v>
      </c>
      <c r="D21">
        <f t="shared" si="1"/>
        <v>6.3732264423979335E-3</v>
      </c>
      <c r="E21">
        <f t="shared" si="2"/>
        <v>4.0618015286080219E-5</v>
      </c>
    </row>
    <row r="22" spans="1:5" x14ac:dyDescent="0.25">
      <c r="A22">
        <v>3.0310149548750003</v>
      </c>
      <c r="B22">
        <v>4.5537126896144808E-2</v>
      </c>
      <c r="C22">
        <f t="shared" si="0"/>
        <v>4.5998426425753594E-2</v>
      </c>
      <c r="D22">
        <f t="shared" si="1"/>
        <v>-4.6129952960878573E-4</v>
      </c>
      <c r="E22">
        <f t="shared" si="2"/>
        <v>2.1279725601728699E-7</v>
      </c>
    </row>
    <row r="23" spans="1:5" x14ac:dyDescent="0.25">
      <c r="A23">
        <v>3.1719708741249999</v>
      </c>
      <c r="B23">
        <v>4.2858472372842175E-2</v>
      </c>
      <c r="C23">
        <f t="shared" si="0"/>
        <v>3.9224622415283461E-2</v>
      </c>
      <c r="D23">
        <f t="shared" si="1"/>
        <v>3.6338499575587144E-3</v>
      </c>
      <c r="E23">
        <f t="shared" si="2"/>
        <v>1.320486551404947E-5</v>
      </c>
    </row>
    <row r="24" spans="1:5" x14ac:dyDescent="0.25">
      <c r="A24">
        <v>3.312926793375</v>
      </c>
      <c r="B24">
        <v>4.4197799634493488E-2</v>
      </c>
      <c r="C24">
        <f t="shared" si="0"/>
        <v>3.3421554492932402E-2</v>
      </c>
      <c r="D24">
        <f t="shared" si="1"/>
        <v>1.0776245141561086E-2</v>
      </c>
      <c r="E24">
        <f t="shared" si="2"/>
        <v>1.1612745935101891E-4</v>
      </c>
    </row>
    <row r="25" spans="1:5" x14ac:dyDescent="0.25">
      <c r="A25">
        <v>3.453882712625</v>
      </c>
      <c r="B25">
        <v>2.5447217971375041E-2</v>
      </c>
      <c r="C25">
        <f t="shared" si="0"/>
        <v>2.8455318681631561E-2</v>
      </c>
      <c r="D25">
        <f t="shared" si="1"/>
        <v>-3.0081007102565199E-3</v>
      </c>
      <c r="E25">
        <f t="shared" si="2"/>
        <v>9.04866988304578E-6</v>
      </c>
    </row>
    <row r="26" spans="1:5" x14ac:dyDescent="0.25">
      <c r="A26">
        <v>3.5948386318750001</v>
      </c>
      <c r="B26">
        <v>1.8750581663118451E-2</v>
      </c>
      <c r="C26">
        <f t="shared" si="0"/>
        <v>2.4209424933376945E-2</v>
      </c>
      <c r="D26">
        <f t="shared" si="1"/>
        <v>-5.4588432702584941E-3</v>
      </c>
      <c r="E26">
        <f t="shared" si="2"/>
        <v>2.979896984924645E-5</v>
      </c>
    </row>
    <row r="27" spans="1:5" x14ac:dyDescent="0.25">
      <c r="A27">
        <v>3.7357945511250001</v>
      </c>
      <c r="B27">
        <v>1.9197024083668891E-2</v>
      </c>
      <c r="C27">
        <f t="shared" si="0"/>
        <v>2.0582760179256993E-2</v>
      </c>
      <c r="D27">
        <f t="shared" si="1"/>
        <v>-1.3857360955881019E-3</v>
      </c>
      <c r="E27">
        <f t="shared" si="2"/>
        <v>1.9202645266157573E-6</v>
      </c>
    </row>
    <row r="28" spans="1:5" x14ac:dyDescent="0.25">
      <c r="A28">
        <v>3.8767504703749998</v>
      </c>
      <c r="B28">
        <v>1.4286157457614057E-2</v>
      </c>
      <c r="C28">
        <f t="shared" si="0"/>
        <v>1.7487736093475776E-2</v>
      </c>
      <c r="D28">
        <f t="shared" si="1"/>
        <v>-3.2015786358617192E-3</v>
      </c>
      <c r="E28">
        <f t="shared" si="2"/>
        <v>1.0250105761606187E-5</v>
      </c>
    </row>
    <row r="29" spans="1:5" x14ac:dyDescent="0.25">
      <c r="A29">
        <v>4.0177063896249994</v>
      </c>
      <c r="B29">
        <v>1.6071927139815815E-2</v>
      </c>
      <c r="C29">
        <f t="shared" si="0"/>
        <v>1.4848619287456366E-2</v>
      </c>
      <c r="D29">
        <f t="shared" si="1"/>
        <v>1.2233078523594485E-3</v>
      </c>
      <c r="E29">
        <f t="shared" si="2"/>
        <v>1.4964821016442863E-6</v>
      </c>
    </row>
    <row r="30" spans="1:5" x14ac:dyDescent="0.25">
      <c r="A30">
        <v>4.1586623088749999</v>
      </c>
      <c r="B30">
        <v>8.0359635699079075E-3</v>
      </c>
      <c r="C30">
        <f t="shared" si="0"/>
        <v>1.2600036496804625E-2</v>
      </c>
      <c r="D30">
        <f t="shared" si="1"/>
        <v>-4.564072926896718E-3</v>
      </c>
      <c r="E30">
        <f t="shared" si="2"/>
        <v>2.0830761682031573E-5</v>
      </c>
    </row>
    <row r="31" spans="1:5" x14ac:dyDescent="0.25">
      <c r="A31">
        <v>4.2996182281249995</v>
      </c>
      <c r="B31">
        <v>6.6966363082565893E-3</v>
      </c>
      <c r="C31">
        <f t="shared" si="0"/>
        <v>1.068564419760476E-2</v>
      </c>
      <c r="D31">
        <f t="shared" si="1"/>
        <v>-3.9890078893481708E-3</v>
      </c>
      <c r="E31">
        <f t="shared" si="2"/>
        <v>1.5912183941281948E-5</v>
      </c>
    </row>
    <row r="32" spans="1:5" x14ac:dyDescent="0.25">
      <c r="A32">
        <v>4.4405741473749991</v>
      </c>
      <c r="B32">
        <v>5.803751467155711E-3</v>
      </c>
      <c r="C32">
        <f t="shared" si="0"/>
        <v>9.0569503754479256E-3</v>
      </c>
      <c r="D32">
        <f t="shared" si="1"/>
        <v>-3.2531989082922146E-3</v>
      </c>
      <c r="E32">
        <f t="shared" si="2"/>
        <v>1.0583303136913656E-5</v>
      </c>
    </row>
    <row r="33" spans="1:5" x14ac:dyDescent="0.25">
      <c r="A33">
        <v>4.5815300666249996</v>
      </c>
      <c r="B33">
        <v>4.0179817849539537E-3</v>
      </c>
      <c r="C33">
        <f t="shared" si="0"/>
        <v>7.6722754332525546E-3</v>
      </c>
      <c r="D33">
        <f t="shared" si="1"/>
        <v>-3.6542936482986009E-3</v>
      </c>
      <c r="E33">
        <f t="shared" si="2"/>
        <v>1.3353862067995499E-5</v>
      </c>
    </row>
    <row r="34" spans="1:5" x14ac:dyDescent="0.25">
      <c r="A34">
        <v>4.7224859858750001</v>
      </c>
      <c r="B34">
        <v>2.678654523302636E-3</v>
      </c>
      <c r="C34">
        <f t="shared" si="0"/>
        <v>6.495839149355709E-3</v>
      </c>
      <c r="D34">
        <f t="shared" si="1"/>
        <v>-3.817184626053073E-3</v>
      </c>
      <c r="E34">
        <f t="shared" si="2"/>
        <v>1.4570898469375939E-5</v>
      </c>
    </row>
    <row r="35" spans="1:5" x14ac:dyDescent="0.25">
      <c r="A35">
        <v>4.8634419051250006</v>
      </c>
      <c r="B35">
        <v>1.339327261651318E-3</v>
      </c>
      <c r="C35">
        <f t="shared" si="0"/>
        <v>5.4969609614893165E-3</v>
      </c>
      <c r="D35">
        <f t="shared" si="1"/>
        <v>-4.1576336998379983E-3</v>
      </c>
      <c r="E35">
        <f t="shared" si="2"/>
        <v>1.7285917982028603E-5</v>
      </c>
    </row>
    <row r="36" spans="1:5" x14ac:dyDescent="0.25">
      <c r="A36">
        <v>5.0043978243750002</v>
      </c>
      <c r="B36">
        <v>2.2322121027521964E-3</v>
      </c>
      <c r="C36">
        <f t="shared" si="0"/>
        <v>4.6493614949982944E-3</v>
      </c>
      <c r="D36">
        <f t="shared" si="1"/>
        <v>-2.417149392246098E-3</v>
      </c>
      <c r="E36">
        <f t="shared" si="2"/>
        <v>5.8426111844356804E-6</v>
      </c>
    </row>
    <row r="37" spans="1:5" x14ac:dyDescent="0.25">
      <c r="A37">
        <v>5.1453537436249999</v>
      </c>
      <c r="B37">
        <v>8.9288484110087855E-4</v>
      </c>
      <c r="C37">
        <f t="shared" si="0"/>
        <v>3.9305540611852203E-3</v>
      </c>
      <c r="D37">
        <f t="shared" si="1"/>
        <v>-3.0376692200843416E-3</v>
      </c>
      <c r="E37">
        <f t="shared" si="2"/>
        <v>9.2274342906478129E-6</v>
      </c>
    </row>
    <row r="38" spans="1:5" x14ac:dyDescent="0.25">
      <c r="A38">
        <v>5.2863096628750004</v>
      </c>
      <c r="B38">
        <v>8.9288484110087855E-4</v>
      </c>
      <c r="C38">
        <f t="shared" si="0"/>
        <v>3.32131574375905E-3</v>
      </c>
      <c r="D38">
        <f t="shared" si="1"/>
        <v>-2.4284309026581714E-3</v>
      </c>
      <c r="E38">
        <f t="shared" si="2"/>
        <v>5.8972766489851809E-6</v>
      </c>
    </row>
    <row r="39" spans="1:5" x14ac:dyDescent="0.25">
      <c r="A39">
        <v>5.427265582125</v>
      </c>
      <c r="B39">
        <v>0</v>
      </c>
      <c r="C39">
        <f t="shared" si="0"/>
        <v>2.8052286122662281E-3</v>
      </c>
      <c r="D39">
        <f t="shared" si="1"/>
        <v>-2.8052286122662281E-3</v>
      </c>
      <c r="E39">
        <f t="shared" si="2"/>
        <v>7.8693075670771082E-6</v>
      </c>
    </row>
    <row r="40" spans="1:5" x14ac:dyDescent="0.25">
      <c r="A40">
        <v>5.5682215013749996</v>
      </c>
      <c r="B40">
        <v>4.4644242055043927E-4</v>
      </c>
      <c r="C40">
        <f t="shared" si="0"/>
        <v>2.3682825131268472E-3</v>
      </c>
      <c r="D40">
        <f t="shared" si="1"/>
        <v>-1.9218400925764079E-3</v>
      </c>
      <c r="E40">
        <f t="shared" si="2"/>
        <v>3.6934693414340959E-6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7C66E-409C-4AEB-8ED7-5804EE6AEFF6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7.065837711249999E-2</v>
      </c>
      <c r="B1">
        <v>0.77452447238123823</v>
      </c>
      <c r="C1">
        <f>$H$3*(1+$H$1)*(A1^($H$1))*EXP(-$H$3*(A1^(1+$H$1)))</f>
        <v>0.77961660527080689</v>
      </c>
      <c r="D1">
        <f>B1-C1</f>
        <v>-5.0921328895686679E-3</v>
      </c>
      <c r="E1">
        <f>D1^2</f>
        <v>2.5929817365026951E-5</v>
      </c>
      <c r="G1" t="s">
        <v>0</v>
      </c>
      <c r="H1">
        <v>9.3763644029280155E-2</v>
      </c>
    </row>
    <row r="2" spans="1:8" x14ac:dyDescent="0.25">
      <c r="A2">
        <v>0.21108345533749998</v>
      </c>
      <c r="B2">
        <v>0.74854273762235346</v>
      </c>
      <c r="C2">
        <f t="shared" ref="C2:C40" si="0">$H$3*(1+$H$1)*(A2^($H$1))*EXP(-$H$3*(A2^(1+$H$1)))</f>
        <v>0.7641152186537713</v>
      </c>
      <c r="D2">
        <f t="shared" ref="D2:D40" si="1">B2-C2</f>
        <v>-1.557248103141784E-2</v>
      </c>
      <c r="E2">
        <f t="shared" ref="E2:E40" si="2">D2^2</f>
        <v>2.4250216547386843E-4</v>
      </c>
    </row>
    <row r="3" spans="1:8" x14ac:dyDescent="0.25">
      <c r="A3">
        <v>0.3515085335625</v>
      </c>
      <c r="B3">
        <v>0.69254761960751554</v>
      </c>
      <c r="C3">
        <f t="shared" si="0"/>
        <v>0.70291622902250428</v>
      </c>
      <c r="D3">
        <f t="shared" si="1"/>
        <v>-1.0368609414988739E-2</v>
      </c>
      <c r="E3">
        <f t="shared" si="2"/>
        <v>1.0750806120059311E-4</v>
      </c>
      <c r="G3" t="s">
        <v>1</v>
      </c>
      <c r="H3">
        <f>(_xlfn.GAMMA((2+$H$1)/(1+$H$1)))^(1+$H$1)</f>
        <v>0.96367405298077458</v>
      </c>
    </row>
    <row r="4" spans="1:8" x14ac:dyDescent="0.25">
      <c r="A4">
        <v>0.49193361178749995</v>
      </c>
      <c r="B4">
        <v>0.61057076683379274</v>
      </c>
      <c r="C4">
        <f t="shared" si="0"/>
        <v>0.63289498207613271</v>
      </c>
      <c r="D4">
        <f t="shared" si="1"/>
        <v>-2.2324215242339962E-2</v>
      </c>
      <c r="E4">
        <f t="shared" si="2"/>
        <v>4.9837058618632391E-4</v>
      </c>
    </row>
    <row r="5" spans="1:8" x14ac:dyDescent="0.25">
      <c r="A5">
        <v>0.6323586900125</v>
      </c>
      <c r="B5">
        <v>0.53576128916596932</v>
      </c>
      <c r="C5">
        <f t="shared" si="0"/>
        <v>0.56320863319811709</v>
      </c>
      <c r="D5">
        <f t="shared" si="1"/>
        <v>-2.7447344032147769E-2</v>
      </c>
      <c r="E5">
        <f t="shared" si="2"/>
        <v>7.5335669441907774E-4</v>
      </c>
      <c r="G5" t="s">
        <v>2</v>
      </c>
      <c r="H5">
        <f>SUM(E1:E40)</f>
        <v>6.6956528451025754E-3</v>
      </c>
    </row>
    <row r="6" spans="1:8" x14ac:dyDescent="0.25">
      <c r="A6">
        <v>0.77278376823749995</v>
      </c>
      <c r="B6">
        <v>0.46677530377168897</v>
      </c>
      <c r="C6">
        <f t="shared" si="0"/>
        <v>0.49734327880273194</v>
      </c>
      <c r="D6">
        <f t="shared" si="1"/>
        <v>-3.0567975031042971E-2</v>
      </c>
      <c r="E6">
        <f t="shared" si="2"/>
        <v>9.3440109749846651E-4</v>
      </c>
    </row>
    <row r="7" spans="1:8" x14ac:dyDescent="0.25">
      <c r="A7">
        <v>0.91320884646249989</v>
      </c>
      <c r="B7">
        <v>0.41570775614215677</v>
      </c>
      <c r="C7">
        <f t="shared" si="0"/>
        <v>0.43671859642804589</v>
      </c>
      <c r="D7">
        <f t="shared" si="1"/>
        <v>-2.1010840285889121E-2</v>
      </c>
      <c r="E7">
        <f t="shared" si="2"/>
        <v>4.4145540951914125E-4</v>
      </c>
    </row>
    <row r="8" spans="1:8" x14ac:dyDescent="0.25">
      <c r="A8">
        <v>1.0536339246874999</v>
      </c>
      <c r="B8">
        <v>0.38748621666267846</v>
      </c>
      <c r="C8">
        <f t="shared" si="0"/>
        <v>0.3818128746583398</v>
      </c>
      <c r="D8">
        <f t="shared" si="1"/>
        <v>5.6733420043386662E-3</v>
      </c>
      <c r="E8">
        <f t="shared" si="2"/>
        <v>3.2186809498193473E-5</v>
      </c>
    </row>
    <row r="9" spans="1:8" x14ac:dyDescent="0.25">
      <c r="A9">
        <v>1.1940590029124998</v>
      </c>
      <c r="B9">
        <v>0.34134623941845199</v>
      </c>
      <c r="C9">
        <f t="shared" si="0"/>
        <v>0.33262916174329371</v>
      </c>
      <c r="D9">
        <f t="shared" si="1"/>
        <v>8.7170776751582801E-3</v>
      </c>
      <c r="E9">
        <f t="shared" si="2"/>
        <v>7.5987443194742884E-5</v>
      </c>
    </row>
    <row r="10" spans="1:8" x14ac:dyDescent="0.25">
      <c r="A10">
        <v>1.3344840811375001</v>
      </c>
      <c r="B10">
        <v>0.29834198878305646</v>
      </c>
      <c r="C10">
        <f t="shared" si="0"/>
        <v>0.2889221263281237</v>
      </c>
      <c r="D10">
        <f t="shared" si="1"/>
        <v>9.4198624549327592E-3</v>
      </c>
      <c r="E10">
        <f t="shared" si="2"/>
        <v>8.8733808669851831E-5</v>
      </c>
    </row>
    <row r="11" spans="1:8" x14ac:dyDescent="0.25">
      <c r="A11">
        <v>1.4749091593624999</v>
      </c>
      <c r="B11">
        <v>0.25309793342706743</v>
      </c>
      <c r="C11">
        <f t="shared" si="0"/>
        <v>0.25031979731817033</v>
      </c>
      <c r="D11">
        <f t="shared" si="1"/>
        <v>2.7781361088971002E-3</v>
      </c>
      <c r="E11">
        <f t="shared" si="2"/>
        <v>7.7180402395579199E-6</v>
      </c>
    </row>
    <row r="12" spans="1:8" x14ac:dyDescent="0.25">
      <c r="A12">
        <v>1.6153342375874999</v>
      </c>
      <c r="B12">
        <v>0.22846008150053876</v>
      </c>
      <c r="C12">
        <f t="shared" si="0"/>
        <v>0.21639282746855085</v>
      </c>
      <c r="D12">
        <f t="shared" si="1"/>
        <v>1.2067254031987912E-2</v>
      </c>
      <c r="E12">
        <f t="shared" si="2"/>
        <v>1.4561861987252852E-4</v>
      </c>
    </row>
    <row r="13" spans="1:8" x14ac:dyDescent="0.25">
      <c r="A13">
        <v>1.7557593158125</v>
      </c>
      <c r="B13">
        <v>0.1845599089769058</v>
      </c>
      <c r="C13">
        <f t="shared" si="0"/>
        <v>0.18669511738970587</v>
      </c>
      <c r="D13">
        <f t="shared" si="1"/>
        <v>-2.1352084128000715E-3</v>
      </c>
      <c r="E13">
        <f t="shared" si="2"/>
        <v>4.5591149660921999E-6</v>
      </c>
    </row>
    <row r="14" spans="1:8" x14ac:dyDescent="0.25">
      <c r="A14">
        <v>1.8961843940374998</v>
      </c>
      <c r="B14">
        <v>0.17470476820629433</v>
      </c>
      <c r="C14">
        <f t="shared" si="0"/>
        <v>0.16078779856588063</v>
      </c>
      <c r="D14">
        <f t="shared" si="1"/>
        <v>1.3916969640413696E-2</v>
      </c>
      <c r="E14">
        <f t="shared" si="2"/>
        <v>1.936820439721965E-4</v>
      </c>
    </row>
    <row r="15" spans="1:8" x14ac:dyDescent="0.25">
      <c r="A15">
        <v>2.0366094722624997</v>
      </c>
      <c r="B15">
        <v>0.17604865103865044</v>
      </c>
      <c r="C15">
        <f t="shared" si="0"/>
        <v>0.13825312109298185</v>
      </c>
      <c r="D15">
        <f t="shared" si="1"/>
        <v>3.7795529945668593E-2</v>
      </c>
      <c r="E15">
        <f t="shared" si="2"/>
        <v>1.4285020838739314E-3</v>
      </c>
    </row>
    <row r="16" spans="1:8" x14ac:dyDescent="0.25">
      <c r="A16">
        <v>2.1770345504874999</v>
      </c>
      <c r="B16">
        <v>0.13797197078856066</v>
      </c>
      <c r="C16">
        <f t="shared" si="0"/>
        <v>0.11870204427663189</v>
      </c>
      <c r="D16">
        <f t="shared" si="1"/>
        <v>1.926992651192877E-2</v>
      </c>
      <c r="E16">
        <f t="shared" si="2"/>
        <v>3.7133006777513529E-4</v>
      </c>
    </row>
    <row r="17" spans="1:5" x14ac:dyDescent="0.25">
      <c r="A17">
        <v>2.3174596287124998</v>
      </c>
      <c r="B17">
        <v>0.117813728303219</v>
      </c>
      <c r="C17">
        <f t="shared" si="0"/>
        <v>0.10177784027184204</v>
      </c>
      <c r="D17">
        <f t="shared" si="1"/>
        <v>1.6035888031376955E-2</v>
      </c>
      <c r="E17">
        <f t="shared" si="2"/>
        <v>2.5714970495485868E-4</v>
      </c>
    </row>
    <row r="18" spans="1:5" x14ac:dyDescent="0.25">
      <c r="A18">
        <v>2.4578847069375001</v>
      </c>
      <c r="B18">
        <v>0.11467800169438808</v>
      </c>
      <c r="C18">
        <f t="shared" si="0"/>
        <v>8.7157166550375337E-2</v>
      </c>
      <c r="D18">
        <f t="shared" si="1"/>
        <v>2.752083514401274E-2</v>
      </c>
      <c r="E18">
        <f t="shared" si="2"/>
        <v>7.5739636702392668E-4</v>
      </c>
    </row>
    <row r="19" spans="1:5" x14ac:dyDescent="0.25">
      <c r="A19">
        <v>2.5983097851624999</v>
      </c>
      <c r="B19">
        <v>7.7945204276654398E-2</v>
      </c>
      <c r="C19">
        <f t="shared" si="0"/>
        <v>7.4549548476748551E-2</v>
      </c>
      <c r="D19">
        <f t="shared" si="1"/>
        <v>3.3956557999058473E-3</v>
      </c>
      <c r="E19">
        <f t="shared" si="2"/>
        <v>1.153047831143422E-5</v>
      </c>
    </row>
    <row r="20" spans="1:5" x14ac:dyDescent="0.25">
      <c r="A20">
        <v>2.7387348633874997</v>
      </c>
      <c r="B20">
        <v>6.0922688400143664E-2</v>
      </c>
      <c r="C20">
        <f t="shared" si="0"/>
        <v>6.3695891303825095E-2</v>
      </c>
      <c r="D20">
        <f t="shared" si="1"/>
        <v>-2.7732029036814307E-3</v>
      </c>
      <c r="E20">
        <f t="shared" si="2"/>
        <v>7.690654344987119E-6</v>
      </c>
    </row>
    <row r="21" spans="1:5" x14ac:dyDescent="0.25">
      <c r="A21">
        <v>2.8791599416125</v>
      </c>
      <c r="B21">
        <v>5.9130844623668855E-2</v>
      </c>
      <c r="C21">
        <f t="shared" si="0"/>
        <v>5.4366433139082904E-2</v>
      </c>
      <c r="D21">
        <f t="shared" si="1"/>
        <v>4.7644114845859509E-3</v>
      </c>
      <c r="E21">
        <f t="shared" si="2"/>
        <v>2.2699616794454504E-5</v>
      </c>
    </row>
    <row r="22" spans="1:5" x14ac:dyDescent="0.25">
      <c r="A22">
        <v>3.0195850198374998</v>
      </c>
      <c r="B22">
        <v>4.5692016300107746E-2</v>
      </c>
      <c r="C22">
        <f t="shared" si="0"/>
        <v>4.6358413117938882E-2</v>
      </c>
      <c r="D22">
        <f t="shared" si="1"/>
        <v>-6.663968178311358E-4</v>
      </c>
      <c r="E22">
        <f t="shared" si="2"/>
        <v>4.4408471881546398E-7</v>
      </c>
    </row>
    <row r="23" spans="1:5" x14ac:dyDescent="0.25">
      <c r="A23">
        <v>3.1600100980625001</v>
      </c>
      <c r="B23">
        <v>4.7931821020701267E-2</v>
      </c>
      <c r="C23">
        <f t="shared" si="0"/>
        <v>3.9493636607858637E-2</v>
      </c>
      <c r="D23">
        <f t="shared" si="1"/>
        <v>8.4381844128426295E-3</v>
      </c>
      <c r="E23">
        <f t="shared" si="2"/>
        <v>7.1202956185140317E-5</v>
      </c>
    </row>
    <row r="24" spans="1:5" x14ac:dyDescent="0.25">
      <c r="A24">
        <v>3.3004351762874999</v>
      </c>
      <c r="B24">
        <v>4.0764445914802008E-2</v>
      </c>
      <c r="C24">
        <f t="shared" si="0"/>
        <v>3.3616056269455345E-2</v>
      </c>
      <c r="D24">
        <f t="shared" si="1"/>
        <v>7.148389645346663E-3</v>
      </c>
      <c r="E24">
        <f t="shared" si="2"/>
        <v>5.1099474521699393E-5</v>
      </c>
    </row>
    <row r="25" spans="1:5" x14ac:dyDescent="0.25">
      <c r="A25">
        <v>3.4408602545124998</v>
      </c>
      <c r="B25">
        <v>2.508581287064739E-2</v>
      </c>
      <c r="C25">
        <f t="shared" si="0"/>
        <v>2.8589444511139372E-2</v>
      </c>
      <c r="D25">
        <f t="shared" si="1"/>
        <v>-3.5036316404919825E-3</v>
      </c>
      <c r="E25">
        <f t="shared" si="2"/>
        <v>1.2275434672256541E-5</v>
      </c>
    </row>
    <row r="26" spans="1:5" x14ac:dyDescent="0.25">
      <c r="A26">
        <v>3.5812853327375</v>
      </c>
      <c r="B26">
        <v>1.9262320597104247E-2</v>
      </c>
      <c r="C26">
        <f t="shared" si="0"/>
        <v>2.4295203029336878E-2</v>
      </c>
      <c r="D26">
        <f t="shared" si="1"/>
        <v>-5.0328824322326306E-3</v>
      </c>
      <c r="E26">
        <f t="shared" si="2"/>
        <v>2.5329905576675839E-5</v>
      </c>
    </row>
    <row r="27" spans="1:5" x14ac:dyDescent="0.25">
      <c r="A27">
        <v>3.7217104109624994</v>
      </c>
      <c r="B27">
        <v>1.9710281541222952E-2</v>
      </c>
      <c r="C27">
        <f t="shared" si="0"/>
        <v>2.0630334584571919E-2</v>
      </c>
      <c r="D27">
        <f t="shared" si="1"/>
        <v>-9.2005304334896731E-4</v>
      </c>
      <c r="E27">
        <f t="shared" si="2"/>
        <v>8.4649760257569669E-7</v>
      </c>
    </row>
    <row r="28" spans="1:5" x14ac:dyDescent="0.25">
      <c r="A28">
        <v>3.8621354891874997</v>
      </c>
      <c r="B28">
        <v>1.4782711155917214E-2</v>
      </c>
      <c r="C28">
        <f t="shared" si="0"/>
        <v>1.7505588126380239E-2</v>
      </c>
      <c r="D28">
        <f t="shared" si="1"/>
        <v>-2.722876970463025E-3</v>
      </c>
      <c r="E28">
        <f t="shared" si="2"/>
        <v>7.4140589962779011E-6</v>
      </c>
    </row>
    <row r="29" spans="1:5" x14ac:dyDescent="0.25">
      <c r="A29">
        <v>4.0025605674124991</v>
      </c>
      <c r="B29">
        <v>1.6574554932392026E-2</v>
      </c>
      <c r="C29">
        <f t="shared" si="0"/>
        <v>1.4843778922629511E-2</v>
      </c>
      <c r="D29">
        <f t="shared" si="1"/>
        <v>1.7307760097625153E-3</v>
      </c>
      <c r="E29">
        <f t="shared" si="2"/>
        <v>2.9955855959694543E-6</v>
      </c>
    </row>
    <row r="30" spans="1:5" x14ac:dyDescent="0.25">
      <c r="A30">
        <v>4.1429856456374994</v>
      </c>
      <c r="B30">
        <v>8.0632969941366612E-3</v>
      </c>
      <c r="C30">
        <f t="shared" si="0"/>
        <v>1.2578279128356743E-2</v>
      </c>
      <c r="D30">
        <f t="shared" si="1"/>
        <v>-4.5149821342200819E-3</v>
      </c>
      <c r="E30">
        <f t="shared" si="2"/>
        <v>2.0385063672326525E-5</v>
      </c>
    </row>
    <row r="31" spans="1:5" x14ac:dyDescent="0.25">
      <c r="A31">
        <v>4.2834107238624997</v>
      </c>
      <c r="B31">
        <v>8.9592188823740676E-3</v>
      </c>
      <c r="C31">
        <f t="shared" si="0"/>
        <v>1.0651670297411087E-2</v>
      </c>
      <c r="D31">
        <f t="shared" si="1"/>
        <v>-1.6924514150370197E-3</v>
      </c>
      <c r="E31">
        <f t="shared" si="2"/>
        <v>2.8643917922608103E-6</v>
      </c>
    </row>
    <row r="32" spans="1:5" x14ac:dyDescent="0.25">
      <c r="A32">
        <v>4.423835802087499</v>
      </c>
      <c r="B32">
        <v>4.4796094411870338E-3</v>
      </c>
      <c r="C32">
        <f t="shared" si="0"/>
        <v>9.0145470213164203E-3</v>
      </c>
      <c r="D32">
        <f t="shared" si="1"/>
        <v>-4.5349375801293865E-3</v>
      </c>
      <c r="E32">
        <f t="shared" si="2"/>
        <v>2.0565658855669777E-5</v>
      </c>
    </row>
    <row r="33" spans="1:5" x14ac:dyDescent="0.25">
      <c r="A33">
        <v>4.5642608803124993</v>
      </c>
      <c r="B33">
        <v>4.9275703853057379E-3</v>
      </c>
      <c r="C33">
        <f t="shared" si="0"/>
        <v>7.6244596892502577E-3</v>
      </c>
      <c r="D33">
        <f t="shared" si="1"/>
        <v>-2.6968893039445198E-3</v>
      </c>
      <c r="E33">
        <f t="shared" si="2"/>
        <v>7.2732119177303567E-6</v>
      </c>
    </row>
    <row r="34" spans="1:5" x14ac:dyDescent="0.25">
      <c r="A34">
        <v>4.7046859585374996</v>
      </c>
      <c r="B34">
        <v>2.2398047205935169E-3</v>
      </c>
      <c r="C34">
        <f t="shared" si="0"/>
        <v>6.4449839519125059E-3</v>
      </c>
      <c r="D34">
        <f t="shared" si="1"/>
        <v>-4.205179231318989E-3</v>
      </c>
      <c r="E34">
        <f t="shared" si="2"/>
        <v>1.7683532367516563E-5</v>
      </c>
    </row>
    <row r="35" spans="1:5" x14ac:dyDescent="0.25">
      <c r="A35">
        <v>4.8451110367624999</v>
      </c>
      <c r="B35">
        <v>1.7918437764748137E-3</v>
      </c>
      <c r="C35">
        <f t="shared" si="0"/>
        <v>5.4449045886290643E-3</v>
      </c>
      <c r="D35">
        <f t="shared" si="1"/>
        <v>-3.6530608121542506E-3</v>
      </c>
      <c r="E35">
        <f t="shared" si="2"/>
        <v>1.3344853297297073E-5</v>
      </c>
    </row>
    <row r="36" spans="1:5" x14ac:dyDescent="0.25">
      <c r="A36">
        <v>4.9855361149875002</v>
      </c>
      <c r="B36">
        <v>1.7918437764748137E-3</v>
      </c>
      <c r="C36">
        <f t="shared" si="0"/>
        <v>4.5975019399227303E-3</v>
      </c>
      <c r="D36">
        <f t="shared" si="1"/>
        <v>-2.8056581634479166E-3</v>
      </c>
      <c r="E36">
        <f t="shared" si="2"/>
        <v>7.8717177301219356E-6</v>
      </c>
    </row>
    <row r="37" spans="1:5" x14ac:dyDescent="0.25">
      <c r="A37">
        <v>5.1259611932125004</v>
      </c>
      <c r="B37">
        <v>8.9592188823740685E-4</v>
      </c>
      <c r="C37">
        <f t="shared" si="0"/>
        <v>3.8799297467541956E-3</v>
      </c>
      <c r="D37">
        <f t="shared" si="1"/>
        <v>-2.9840078585167888E-3</v>
      </c>
      <c r="E37">
        <f t="shared" si="2"/>
        <v>8.9043028996899524E-6</v>
      </c>
    </row>
    <row r="38" spans="1:5" x14ac:dyDescent="0.25">
      <c r="A38">
        <v>5.2663862714374989</v>
      </c>
      <c r="B38">
        <v>4.4796094411870342E-4</v>
      </c>
      <c r="C38">
        <f t="shared" si="0"/>
        <v>3.2726740398319487E-3</v>
      </c>
      <c r="D38">
        <f t="shared" si="1"/>
        <v>-2.824713095713245E-3</v>
      </c>
      <c r="E38">
        <f t="shared" si="2"/>
        <v>7.9790040730939038E-6</v>
      </c>
    </row>
    <row r="39" spans="1:5" x14ac:dyDescent="0.25">
      <c r="A39">
        <v>5.4068113496624992</v>
      </c>
      <c r="B39">
        <v>4.4796094411870342E-4</v>
      </c>
      <c r="C39">
        <f t="shared" si="0"/>
        <v>2.7590835823177035E-3</v>
      </c>
      <c r="D39">
        <f t="shared" si="1"/>
        <v>-2.3111226381990002E-3</v>
      </c>
      <c r="E39">
        <f t="shared" si="2"/>
        <v>5.3412878487959069E-6</v>
      </c>
    </row>
    <row r="40" spans="1:5" x14ac:dyDescent="0.25">
      <c r="A40">
        <v>5.5472364278874995</v>
      </c>
      <c r="B40">
        <v>4.4796094411870342E-4</v>
      </c>
      <c r="C40">
        <f t="shared" si="0"/>
        <v>2.3249632414730514E-3</v>
      </c>
      <c r="D40">
        <f t="shared" si="1"/>
        <v>-1.877002297354348E-3</v>
      </c>
      <c r="E40">
        <f t="shared" si="2"/>
        <v>3.5231376242735E-6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6AE12-5E93-4917-8A7C-844487BE6147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7.0477372137499994E-2</v>
      </c>
      <c r="B1">
        <v>0.62126189571321289</v>
      </c>
      <c r="C1">
        <f>$H$3*(1+$H$1)*(A1^($H$1))*EXP(-$H$3*(A1^(1+$H$1)))</f>
        <v>0.70682776812706571</v>
      </c>
      <c r="D1">
        <f>B1-C1</f>
        <v>-8.5565872413852828E-2</v>
      </c>
      <c r="E1">
        <f>D1^2</f>
        <v>7.3215185219437408E-3</v>
      </c>
      <c r="G1" t="s">
        <v>0</v>
      </c>
      <c r="H1">
        <v>0.14356392791631811</v>
      </c>
    </row>
    <row r="2" spans="1:8" x14ac:dyDescent="0.25">
      <c r="A2">
        <v>0.20978468241249998</v>
      </c>
      <c r="B2">
        <v>0.86100758366649499</v>
      </c>
      <c r="C2">
        <f t="shared" ref="C2:C40" si="0">$H$3*(1+$H$1)*(A2^($H$1))*EXP(-$H$3*(A2^(1+$H$1)))</f>
        <v>0.73823081012012015</v>
      </c>
      <c r="D2">
        <f t="shared" ref="D2:D40" si="1">B2-C2</f>
        <v>0.12277677354637484</v>
      </c>
      <c r="E2">
        <f t="shared" ref="E2:E40" si="2">D2^2</f>
        <v>1.5074136122457808E-2</v>
      </c>
    </row>
    <row r="3" spans="1:8" x14ac:dyDescent="0.25">
      <c r="A3">
        <v>0.34909199268749996</v>
      </c>
      <c r="B3">
        <v>0.724203547037786</v>
      </c>
      <c r="C3">
        <f t="shared" si="0"/>
        <v>0.70059798111625415</v>
      </c>
      <c r="D3">
        <f t="shared" si="1"/>
        <v>2.3605565921531846E-2</v>
      </c>
      <c r="E3">
        <f t="shared" si="2"/>
        <v>5.5722274247578562E-4</v>
      </c>
      <c r="G3" t="s">
        <v>1</v>
      </c>
      <c r="H3">
        <f>(_xlfn.GAMMA((2+$H$1)/(1+$H$1)))^(1+$H$1)</f>
        <v>0.94674433336432229</v>
      </c>
    </row>
    <row r="4" spans="1:8" x14ac:dyDescent="0.25">
      <c r="A4">
        <v>0.4883993029625</v>
      </c>
      <c r="B4">
        <v>0.61945590183032573</v>
      </c>
      <c r="C4">
        <f t="shared" si="0"/>
        <v>0.64362367883583138</v>
      </c>
      <c r="D4">
        <f t="shared" si="1"/>
        <v>-2.4167777005505653E-2</v>
      </c>
      <c r="E4">
        <f t="shared" si="2"/>
        <v>5.8408144538784777E-4</v>
      </c>
    </row>
    <row r="5" spans="1:8" x14ac:dyDescent="0.25">
      <c r="A5">
        <v>0.62770661323749999</v>
      </c>
      <c r="B5">
        <v>0.55489162051710661</v>
      </c>
      <c r="C5">
        <f t="shared" si="0"/>
        <v>0.58084120597847566</v>
      </c>
      <c r="D5">
        <f t="shared" si="1"/>
        <v>-2.5949585461369051E-2</v>
      </c>
      <c r="E5">
        <f t="shared" si="2"/>
        <v>6.7338098561689605E-4</v>
      </c>
      <c r="G5" t="s">
        <v>2</v>
      </c>
      <c r="H5">
        <f>SUM(E1:E40)</f>
        <v>3.0762805552064666E-2</v>
      </c>
    </row>
    <row r="6" spans="1:8" x14ac:dyDescent="0.25">
      <c r="A6">
        <v>0.76701392351249997</v>
      </c>
      <c r="B6">
        <v>0.46865541260924054</v>
      </c>
      <c r="C6">
        <f t="shared" si="0"/>
        <v>0.5180465188114628</v>
      </c>
      <c r="D6">
        <f t="shared" si="1"/>
        <v>-4.9391106202222257E-2</v>
      </c>
      <c r="E6">
        <f t="shared" si="2"/>
        <v>2.4394813718791979E-3</v>
      </c>
    </row>
    <row r="7" spans="1:8" x14ac:dyDescent="0.25">
      <c r="A7">
        <v>0.90632123378749996</v>
      </c>
      <c r="B7">
        <v>0.4194420793005631</v>
      </c>
      <c r="C7">
        <f t="shared" si="0"/>
        <v>0.4580757862299436</v>
      </c>
      <c r="D7">
        <f t="shared" si="1"/>
        <v>-3.8633706929380507E-2</v>
      </c>
      <c r="E7">
        <f t="shared" si="2"/>
        <v>1.4925633111052634E-3</v>
      </c>
    </row>
    <row r="8" spans="1:8" x14ac:dyDescent="0.25">
      <c r="A8">
        <v>1.0456285440624999</v>
      </c>
      <c r="B8">
        <v>0.38557969399642722</v>
      </c>
      <c r="C8">
        <f t="shared" si="0"/>
        <v>0.40233291375861185</v>
      </c>
      <c r="D8">
        <f t="shared" si="1"/>
        <v>-1.6753219762184635E-2</v>
      </c>
      <c r="E8">
        <f t="shared" si="2"/>
        <v>2.8067037240005378E-4</v>
      </c>
    </row>
    <row r="9" spans="1:8" x14ac:dyDescent="0.25">
      <c r="A9">
        <v>1.1849358543375001</v>
      </c>
      <c r="B9">
        <v>0.34720232398507322</v>
      </c>
      <c r="C9">
        <f t="shared" si="0"/>
        <v>0.35144170709024602</v>
      </c>
      <c r="D9">
        <f t="shared" si="1"/>
        <v>-4.2393831051728004E-3</v>
      </c>
      <c r="E9">
        <f t="shared" si="2"/>
        <v>1.7972369112424575E-5</v>
      </c>
    </row>
    <row r="10" spans="1:8" x14ac:dyDescent="0.25">
      <c r="A10">
        <v>1.3242431646125001</v>
      </c>
      <c r="B10">
        <v>0.29482850138134303</v>
      </c>
      <c r="C10">
        <f t="shared" si="0"/>
        <v>0.3055753879880298</v>
      </c>
      <c r="D10">
        <f t="shared" si="1"/>
        <v>-1.0746886606686767E-2</v>
      </c>
      <c r="E10">
        <f t="shared" si="2"/>
        <v>1.1549557173698342E-4</v>
      </c>
    </row>
    <row r="11" spans="1:8" x14ac:dyDescent="0.25">
      <c r="A11">
        <v>1.4635504748875001</v>
      </c>
      <c r="B11">
        <v>0.25961162066504173</v>
      </c>
      <c r="C11">
        <f t="shared" si="0"/>
        <v>0.2646416221468193</v>
      </c>
      <c r="D11">
        <f t="shared" si="1"/>
        <v>-5.0300014817775685E-3</v>
      </c>
      <c r="E11">
        <f t="shared" si="2"/>
        <v>2.5300914906684533E-5</v>
      </c>
    </row>
    <row r="12" spans="1:8" x14ac:dyDescent="0.25">
      <c r="A12">
        <v>1.6028577851625001</v>
      </c>
      <c r="B12">
        <v>0.22981272159740215</v>
      </c>
      <c r="C12">
        <f t="shared" si="0"/>
        <v>0.22839360551750809</v>
      </c>
      <c r="D12">
        <f t="shared" si="1"/>
        <v>1.4191160798940616E-3</v>
      </c>
      <c r="E12">
        <f t="shared" si="2"/>
        <v>2.0138904482138889E-6</v>
      </c>
    </row>
    <row r="13" spans="1:8" x14ac:dyDescent="0.25">
      <c r="A13">
        <v>1.7421650954375001</v>
      </c>
      <c r="B13">
        <v>0.19188685005676998</v>
      </c>
      <c r="C13">
        <f t="shared" si="0"/>
        <v>0.1964995403355759</v>
      </c>
      <c r="D13">
        <f t="shared" si="1"/>
        <v>-4.6126902788059254E-3</v>
      </c>
      <c r="E13">
        <f t="shared" si="2"/>
        <v>2.1276911608190686E-5</v>
      </c>
    </row>
    <row r="14" spans="1:8" x14ac:dyDescent="0.25">
      <c r="A14">
        <v>1.8814724057124999</v>
      </c>
      <c r="B14">
        <v>0.18240538217161192</v>
      </c>
      <c r="C14">
        <f t="shared" si="0"/>
        <v>0.1685870429005866</v>
      </c>
      <c r="D14">
        <f t="shared" si="1"/>
        <v>1.3818339271025326E-2</v>
      </c>
      <c r="E14">
        <f t="shared" si="2"/>
        <v>1.9094650020916074E-4</v>
      </c>
    </row>
    <row r="15" spans="1:8" x14ac:dyDescent="0.25">
      <c r="A15">
        <v>2.0207797159874996</v>
      </c>
      <c r="B15">
        <v>0.17111792040356663</v>
      </c>
      <c r="C15">
        <f t="shared" si="0"/>
        <v>0.14427169960253736</v>
      </c>
      <c r="D15">
        <f t="shared" si="1"/>
        <v>2.6846220801029275E-2</v>
      </c>
      <c r="E15">
        <f t="shared" si="2"/>
        <v>7.2071957129761694E-4</v>
      </c>
    </row>
    <row r="16" spans="1:8" x14ac:dyDescent="0.25">
      <c r="A16">
        <v>2.1600870262625</v>
      </c>
      <c r="B16">
        <v>0.14041602439448345</v>
      </c>
      <c r="C16">
        <f t="shared" si="0"/>
        <v>0.12317525893505188</v>
      </c>
      <c r="D16">
        <f t="shared" si="1"/>
        <v>1.7240765459431567E-2</v>
      </c>
      <c r="E16">
        <f t="shared" si="2"/>
        <v>2.9724399362712859E-4</v>
      </c>
    </row>
    <row r="17" spans="1:5" x14ac:dyDescent="0.25">
      <c r="A17">
        <v>2.2993943365374996</v>
      </c>
      <c r="B17">
        <v>0.11468061156334018</v>
      </c>
      <c r="C17">
        <f t="shared" si="0"/>
        <v>0.10493689972062564</v>
      </c>
      <c r="D17">
        <f t="shared" si="1"/>
        <v>9.7437118427145392E-3</v>
      </c>
      <c r="E17">
        <f t="shared" si="2"/>
        <v>9.4939920473855564E-5</v>
      </c>
    </row>
    <row r="18" spans="1:5" x14ac:dyDescent="0.25">
      <c r="A18">
        <v>2.4387016468124996</v>
      </c>
      <c r="B18">
        <v>0.11197162073900931</v>
      </c>
      <c r="C18">
        <f t="shared" si="0"/>
        <v>8.9219818731174003E-2</v>
      </c>
      <c r="D18">
        <f t="shared" si="1"/>
        <v>2.2751802007835303E-2</v>
      </c>
      <c r="E18">
        <f t="shared" si="2"/>
        <v>5.1764449460373855E-4</v>
      </c>
    </row>
    <row r="19" spans="1:5" x14ac:dyDescent="0.25">
      <c r="A19">
        <v>2.5780089570874996</v>
      </c>
      <c r="B19">
        <v>8.3527217083535166E-2</v>
      </c>
      <c r="C19">
        <f t="shared" si="0"/>
        <v>7.5714643914251631E-2</v>
      </c>
      <c r="D19">
        <f t="shared" si="1"/>
        <v>7.8125731692835348E-3</v>
      </c>
      <c r="E19">
        <f t="shared" si="2"/>
        <v>6.1036299525408982E-5</v>
      </c>
    </row>
    <row r="20" spans="1:5" x14ac:dyDescent="0.25">
      <c r="A20">
        <v>2.7173162673624995</v>
      </c>
      <c r="B20">
        <v>6.7724770608271756E-2</v>
      </c>
      <c r="C20">
        <f t="shared" si="0"/>
        <v>6.414070611765646E-2</v>
      </c>
      <c r="D20">
        <f t="shared" si="1"/>
        <v>3.5840644906152963E-3</v>
      </c>
      <c r="E20">
        <f t="shared" si="2"/>
        <v>1.2845518272889484E-5</v>
      </c>
    </row>
    <row r="21" spans="1:5" x14ac:dyDescent="0.25">
      <c r="A21">
        <v>2.8566235776375</v>
      </c>
      <c r="B21">
        <v>5.7791804252391901E-2</v>
      </c>
      <c r="C21">
        <f t="shared" si="0"/>
        <v>5.4245887695139973E-2</v>
      </c>
      <c r="D21">
        <f t="shared" si="1"/>
        <v>3.5459165572519283E-3</v>
      </c>
      <c r="E21">
        <f t="shared" si="2"/>
        <v>1.2573524230993367E-5</v>
      </c>
    </row>
    <row r="22" spans="1:5" x14ac:dyDescent="0.25">
      <c r="A22">
        <v>2.9959308879125</v>
      </c>
      <c r="B22">
        <v>4.785883789651204E-2</v>
      </c>
      <c r="C22">
        <f t="shared" si="0"/>
        <v>4.5805551703362681E-2</v>
      </c>
      <c r="D22">
        <f t="shared" si="1"/>
        <v>2.053286193149359E-3</v>
      </c>
      <c r="E22">
        <f t="shared" si="2"/>
        <v>4.2159841909777864E-6</v>
      </c>
    </row>
    <row r="23" spans="1:5" x14ac:dyDescent="0.25">
      <c r="A23">
        <v>3.1352381981874995</v>
      </c>
      <c r="B23">
        <v>4.9664831779399288E-2</v>
      </c>
      <c r="C23">
        <f t="shared" si="0"/>
        <v>3.8620905820422609E-2</v>
      </c>
      <c r="D23">
        <f t="shared" si="1"/>
        <v>1.1043925958976679E-2</v>
      </c>
      <c r="E23">
        <f t="shared" si="2"/>
        <v>1.2196830058735895E-4</v>
      </c>
    </row>
    <row r="24" spans="1:5" x14ac:dyDescent="0.25">
      <c r="A24">
        <v>3.2745455084624995</v>
      </c>
      <c r="B24">
        <v>3.9731865423519433E-2</v>
      </c>
      <c r="C24">
        <f t="shared" si="0"/>
        <v>3.2517049292509051E-2</v>
      </c>
      <c r="D24">
        <f t="shared" si="1"/>
        <v>7.214816131010382E-3</v>
      </c>
      <c r="E24">
        <f t="shared" si="2"/>
        <v>5.2053571804287619E-5</v>
      </c>
    </row>
    <row r="25" spans="1:5" x14ac:dyDescent="0.25">
      <c r="A25">
        <v>3.4138528187374999</v>
      </c>
      <c r="B25">
        <v>2.6186911301865078E-2</v>
      </c>
      <c r="C25">
        <f t="shared" si="0"/>
        <v>2.7340875554066665E-2</v>
      </c>
      <c r="D25">
        <f t="shared" si="1"/>
        <v>-1.1539642522015864E-3</v>
      </c>
      <c r="E25">
        <f t="shared" si="2"/>
        <v>1.3316334953591665E-6</v>
      </c>
    </row>
    <row r="26" spans="1:5" x14ac:dyDescent="0.25">
      <c r="A26">
        <v>3.5531601290124999</v>
      </c>
      <c r="B26">
        <v>1.9865932711759716E-2</v>
      </c>
      <c r="C26">
        <f t="shared" si="0"/>
        <v>2.2958948723726468E-2</v>
      </c>
      <c r="D26">
        <f t="shared" si="1"/>
        <v>-3.093016011966751E-3</v>
      </c>
      <c r="E26">
        <f t="shared" si="2"/>
        <v>9.5667480502827056E-6</v>
      </c>
    </row>
    <row r="27" spans="1:5" x14ac:dyDescent="0.25">
      <c r="A27">
        <v>3.6924674392874999</v>
      </c>
      <c r="B27">
        <v>2.1220428123925151E-2</v>
      </c>
      <c r="C27">
        <f t="shared" si="0"/>
        <v>1.9255432900334882E-2</v>
      </c>
      <c r="D27">
        <f t="shared" si="1"/>
        <v>1.9649952235902685E-3</v>
      </c>
      <c r="E27">
        <f t="shared" si="2"/>
        <v>3.8612062287325689E-6</v>
      </c>
    </row>
    <row r="28" spans="1:5" x14ac:dyDescent="0.25">
      <c r="A28">
        <v>3.8317747495624994</v>
      </c>
      <c r="B28">
        <v>1.4447951063097975E-2</v>
      </c>
      <c r="C28">
        <f t="shared" si="0"/>
        <v>1.6130124875623819E-2</v>
      </c>
      <c r="D28">
        <f t="shared" si="1"/>
        <v>-1.6821738125258438E-3</v>
      </c>
      <c r="E28">
        <f t="shared" si="2"/>
        <v>2.8297087355477328E-6</v>
      </c>
    </row>
    <row r="29" spans="1:5" x14ac:dyDescent="0.25">
      <c r="A29">
        <v>3.9710820598374994</v>
      </c>
      <c r="B29">
        <v>1.580244647526341E-2</v>
      </c>
      <c r="C29">
        <f t="shared" si="0"/>
        <v>1.3496620576171294E-2</v>
      </c>
      <c r="D29">
        <f t="shared" si="1"/>
        <v>2.3058258990921159E-3</v>
      </c>
      <c r="E29">
        <f t="shared" si="2"/>
        <v>5.3168330769239645E-6</v>
      </c>
    </row>
    <row r="30" spans="1:5" x14ac:dyDescent="0.25">
      <c r="A30">
        <v>4.1103893701124994</v>
      </c>
      <c r="B30">
        <v>9.9329663558798582E-3</v>
      </c>
      <c r="C30">
        <f t="shared" si="0"/>
        <v>1.1280631115282545E-2</v>
      </c>
      <c r="D30">
        <f t="shared" si="1"/>
        <v>-1.3476647594026867E-3</v>
      </c>
      <c r="E30">
        <f t="shared" si="2"/>
        <v>1.8162003037359014E-6</v>
      </c>
    </row>
    <row r="31" spans="1:5" x14ac:dyDescent="0.25">
      <c r="A31">
        <v>4.2496966803874994</v>
      </c>
      <c r="B31">
        <v>8.1269724729926118E-3</v>
      </c>
      <c r="C31">
        <f t="shared" si="0"/>
        <v>9.4184542226897119E-3</v>
      </c>
      <c r="D31">
        <f t="shared" si="1"/>
        <v>-1.2914817496971001E-3</v>
      </c>
      <c r="E31">
        <f t="shared" si="2"/>
        <v>1.6679251098006832E-6</v>
      </c>
    </row>
    <row r="32" spans="1:5" x14ac:dyDescent="0.25">
      <c r="A32">
        <v>4.3890039906625002</v>
      </c>
      <c r="B32">
        <v>4.9664831779399291E-3</v>
      </c>
      <c r="C32">
        <f t="shared" si="0"/>
        <v>7.8555998844511681E-3</v>
      </c>
      <c r="D32">
        <f t="shared" si="1"/>
        <v>-2.889116706511239E-3</v>
      </c>
      <c r="E32">
        <f t="shared" si="2"/>
        <v>8.3469953438423485E-6</v>
      </c>
    </row>
    <row r="33" spans="1:5" x14ac:dyDescent="0.25">
      <c r="A33">
        <v>4.5283113009374993</v>
      </c>
      <c r="B33">
        <v>4.0634862364963059E-3</v>
      </c>
      <c r="C33">
        <f t="shared" si="0"/>
        <v>6.5455644207850164E-3</v>
      </c>
      <c r="D33">
        <f t="shared" si="1"/>
        <v>-2.4820781842887106E-3</v>
      </c>
      <c r="E33">
        <f t="shared" si="2"/>
        <v>6.160712112921942E-6</v>
      </c>
    </row>
    <row r="34" spans="1:5" x14ac:dyDescent="0.25">
      <c r="A34">
        <v>4.6676186112125002</v>
      </c>
      <c r="B34">
        <v>3.1604892950526822E-3</v>
      </c>
      <c r="C34">
        <f t="shared" si="0"/>
        <v>5.4487443254942428E-3</v>
      </c>
      <c r="D34">
        <f t="shared" si="1"/>
        <v>-2.2882550304415606E-3</v>
      </c>
      <c r="E34">
        <f t="shared" si="2"/>
        <v>5.2361110843411075E-6</v>
      </c>
    </row>
    <row r="35" spans="1:5" x14ac:dyDescent="0.25">
      <c r="A35">
        <v>4.8069259214874993</v>
      </c>
      <c r="B35">
        <v>1.8059938828872469E-3</v>
      </c>
      <c r="C35">
        <f t="shared" si="0"/>
        <v>4.5314795164304667E-3</v>
      </c>
      <c r="D35">
        <f t="shared" si="1"/>
        <v>-2.7254856335432198E-3</v>
      </c>
      <c r="E35">
        <f t="shared" si="2"/>
        <v>7.4282719386504859E-6</v>
      </c>
    </row>
    <row r="36" spans="1:5" x14ac:dyDescent="0.25">
      <c r="A36">
        <v>4.9462332317625002</v>
      </c>
      <c r="B36">
        <v>1.8059938828872469E-3</v>
      </c>
      <c r="C36">
        <f t="shared" si="0"/>
        <v>3.7652148503521466E-3</v>
      </c>
      <c r="D36">
        <f t="shared" si="1"/>
        <v>-1.9592209674648997E-3</v>
      </c>
      <c r="E36">
        <f t="shared" si="2"/>
        <v>3.8385467993540977E-6</v>
      </c>
    </row>
    <row r="37" spans="1:5" x14ac:dyDescent="0.25">
      <c r="A37">
        <v>5.0855405420374993</v>
      </c>
      <c r="B37">
        <v>1.3544954121654351E-3</v>
      </c>
      <c r="C37">
        <f t="shared" si="0"/>
        <v>3.1257685750687007E-3</v>
      </c>
      <c r="D37">
        <f t="shared" si="1"/>
        <v>-1.7712731629032656E-3</v>
      </c>
      <c r="E37">
        <f t="shared" si="2"/>
        <v>3.1374086176213385E-6</v>
      </c>
    </row>
    <row r="38" spans="1:5" x14ac:dyDescent="0.25">
      <c r="A38">
        <v>5.2248478523124993</v>
      </c>
      <c r="B38">
        <v>4.5149847072181173E-4</v>
      </c>
      <c r="C38">
        <f t="shared" si="0"/>
        <v>2.5926966316953772E-3</v>
      </c>
      <c r="D38">
        <f t="shared" si="1"/>
        <v>-2.1411981609735656E-3</v>
      </c>
      <c r="E38">
        <f t="shared" si="2"/>
        <v>4.584729564556579E-6</v>
      </c>
    </row>
    <row r="39" spans="1:5" x14ac:dyDescent="0.25">
      <c r="A39">
        <v>5.3641551625874992</v>
      </c>
      <c r="B39">
        <v>0</v>
      </c>
      <c r="C39">
        <f t="shared" si="0"/>
        <v>2.148742235804856E-3</v>
      </c>
      <c r="D39">
        <f t="shared" si="1"/>
        <v>-2.148742235804856E-3</v>
      </c>
      <c r="E39">
        <f t="shared" si="2"/>
        <v>4.6170931959316518E-6</v>
      </c>
    </row>
    <row r="40" spans="1:5" x14ac:dyDescent="0.25">
      <c r="A40">
        <v>5.5034624728625001</v>
      </c>
      <c r="B40">
        <v>4.5149847072181173E-4</v>
      </c>
      <c r="C40">
        <f t="shared" si="0"/>
        <v>1.7793608523515886E-3</v>
      </c>
      <c r="D40">
        <f t="shared" si="1"/>
        <v>-1.3278623816297768E-3</v>
      </c>
      <c r="E40">
        <f t="shared" si="2"/>
        <v>1.7632185045475029E-6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F8FDE-88F2-475B-AE7B-BE14909C7858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6.9798813200000004E-2</v>
      </c>
      <c r="B1">
        <v>0.58072228457225672</v>
      </c>
      <c r="C1">
        <f>$H$3*(1+$H$1)*(A1^($H$1))*EXP(-$H$3*(A1^(1+$H$1)))</f>
        <v>0.67054401703431021</v>
      </c>
      <c r="D1">
        <f>B1-C1</f>
        <v>-8.9821732462053494E-2</v>
      </c>
      <c r="E1">
        <f>D1^2</f>
        <v>8.0679436224847141E-3</v>
      </c>
      <c r="G1" t="s">
        <v>0</v>
      </c>
      <c r="H1">
        <v>0.16940280404264504</v>
      </c>
    </row>
    <row r="2" spans="1:8" x14ac:dyDescent="0.25">
      <c r="A2">
        <v>0.2081298016</v>
      </c>
      <c r="B2">
        <v>0.8151923149629331</v>
      </c>
      <c r="C2">
        <f t="shared" ref="C2:C40" si="0">$H$3*(1+$H$1)*(A2^($H$1))*EXP(-$H$3*(A2^(1+$H$1)))</f>
        <v>0.72427519261300966</v>
      </c>
      <c r="D2">
        <f t="shared" ref="D2:D40" si="1">B2-C2</f>
        <v>9.091712234992344E-2</v>
      </c>
      <c r="E2">
        <f t="shared" ref="E2:E40" si="2">D2^2</f>
        <v>8.2659231363909486E-3</v>
      </c>
    </row>
    <row r="3" spans="1:8" x14ac:dyDescent="0.25">
      <c r="A3">
        <v>0.34646079000000002</v>
      </c>
      <c r="B3">
        <v>0.77929477155040705</v>
      </c>
      <c r="C3">
        <f t="shared" si="0"/>
        <v>0.69890412348610154</v>
      </c>
      <c r="D3">
        <f t="shared" si="1"/>
        <v>8.0390648064305514E-2</v>
      </c>
      <c r="E3">
        <f t="shared" si="2"/>
        <v>6.4626562961990278E-3</v>
      </c>
      <c r="G3" t="s">
        <v>1</v>
      </c>
      <c r="H3">
        <f>(_xlfn.GAMMA((2+$H$1)/(1+$H$1)))^(1+$H$1)</f>
        <v>0.93851461688850313</v>
      </c>
    </row>
    <row r="4" spans="1:8" x14ac:dyDescent="0.25">
      <c r="A4">
        <v>0.48479177840000004</v>
      </c>
      <c r="B4">
        <v>0.64342938572325159</v>
      </c>
      <c r="C4">
        <f t="shared" si="0"/>
        <v>0.64915570925001642</v>
      </c>
      <c r="D4">
        <f t="shared" si="1"/>
        <v>-5.7263235267648316E-3</v>
      </c>
      <c r="E4">
        <f t="shared" si="2"/>
        <v>3.2790781133180419E-5</v>
      </c>
    </row>
    <row r="5" spans="1:8" x14ac:dyDescent="0.25">
      <c r="A5">
        <v>0.62312276680000012</v>
      </c>
      <c r="B5">
        <v>0.57072550033079372</v>
      </c>
      <c r="C5">
        <f t="shared" si="0"/>
        <v>0.5904497393773408</v>
      </c>
      <c r="D5">
        <f t="shared" si="1"/>
        <v>-1.9724239046547076E-2</v>
      </c>
      <c r="E5">
        <f t="shared" si="2"/>
        <v>3.890456059653323E-4</v>
      </c>
      <c r="G5" t="s">
        <v>2</v>
      </c>
      <c r="H5">
        <f>SUM(E1:E40)</f>
        <v>3.2098451915091308E-2</v>
      </c>
    </row>
    <row r="6" spans="1:8" x14ac:dyDescent="0.25">
      <c r="A6">
        <v>0.76145375520000003</v>
      </c>
      <c r="B6">
        <v>0.47166645648356997</v>
      </c>
      <c r="C6">
        <f t="shared" si="0"/>
        <v>0.52965817093244572</v>
      </c>
      <c r="D6">
        <f t="shared" si="1"/>
        <v>-5.7991714448875742E-2</v>
      </c>
      <c r="E6">
        <f t="shared" si="2"/>
        <v>3.3630389447199434E-3</v>
      </c>
    </row>
    <row r="7" spans="1:8" x14ac:dyDescent="0.25">
      <c r="A7">
        <v>0.89978474359999994</v>
      </c>
      <c r="B7">
        <v>0.42804412524809532</v>
      </c>
      <c r="C7">
        <f t="shared" si="0"/>
        <v>0.47032020832965638</v>
      </c>
      <c r="D7">
        <f t="shared" si="1"/>
        <v>-4.2276083081561056E-2</v>
      </c>
      <c r="E7">
        <f t="shared" si="2"/>
        <v>1.7872672007190529E-3</v>
      </c>
    </row>
    <row r="8" spans="1:8" x14ac:dyDescent="0.25">
      <c r="A8">
        <v>1.0381157320000001</v>
      </c>
      <c r="B8">
        <v>0.38442179401262061</v>
      </c>
      <c r="C8">
        <f t="shared" si="0"/>
        <v>0.41432395816438489</v>
      </c>
      <c r="D8">
        <f t="shared" si="1"/>
        <v>-2.9902164151764277E-2</v>
      </c>
      <c r="E8">
        <f t="shared" si="2"/>
        <v>8.9413942095905663E-4</v>
      </c>
    </row>
    <row r="9" spans="1:8" x14ac:dyDescent="0.25">
      <c r="A9">
        <v>1.1764467204</v>
      </c>
      <c r="B9">
        <v>0.35306824343712323</v>
      </c>
      <c r="C9">
        <f t="shared" si="0"/>
        <v>0.36263289117473574</v>
      </c>
      <c r="D9">
        <f t="shared" si="1"/>
        <v>-9.5646477376125083E-3</v>
      </c>
      <c r="E9">
        <f t="shared" si="2"/>
        <v>9.1482486344616072E-5</v>
      </c>
    </row>
    <row r="10" spans="1:8" x14ac:dyDescent="0.25">
      <c r="A10">
        <v>1.3147777088000001</v>
      </c>
      <c r="B10">
        <v>0.30353872151351136</v>
      </c>
      <c r="C10">
        <f t="shared" si="0"/>
        <v>0.31565864365453522</v>
      </c>
      <c r="D10">
        <f t="shared" si="1"/>
        <v>-1.2119922141023864E-2</v>
      </c>
      <c r="E10">
        <f t="shared" si="2"/>
        <v>1.4689251270448049E-4</v>
      </c>
    </row>
    <row r="11" spans="1:8" x14ac:dyDescent="0.25">
      <c r="A11">
        <v>1.4531086972000002</v>
      </c>
      <c r="B11">
        <v>0.25582679672471087</v>
      </c>
      <c r="C11">
        <f t="shared" si="0"/>
        <v>0.27347433826578027</v>
      </c>
      <c r="D11">
        <f t="shared" si="1"/>
        <v>-1.76475415410694E-2</v>
      </c>
      <c r="E11">
        <f t="shared" si="2"/>
        <v>3.1143572244377016E-4</v>
      </c>
    </row>
    <row r="12" spans="1:8" x14ac:dyDescent="0.25">
      <c r="A12">
        <v>1.5914396856000002</v>
      </c>
      <c r="B12">
        <v>0.23810522466029929</v>
      </c>
      <c r="C12">
        <f t="shared" si="0"/>
        <v>0.23594546023462637</v>
      </c>
      <c r="D12">
        <f t="shared" si="1"/>
        <v>2.159764425672922E-3</v>
      </c>
      <c r="E12">
        <f t="shared" si="2"/>
        <v>4.6645823744022864E-6</v>
      </c>
    </row>
    <row r="13" spans="1:8" x14ac:dyDescent="0.25">
      <c r="A13">
        <v>1.7297706740000001</v>
      </c>
      <c r="B13">
        <v>0.18812130345298456</v>
      </c>
      <c r="C13">
        <f t="shared" si="0"/>
        <v>0.20281371669584111</v>
      </c>
      <c r="D13">
        <f t="shared" si="1"/>
        <v>-1.4692413242856556E-2</v>
      </c>
      <c r="E13">
        <f t="shared" si="2"/>
        <v>2.1586700689886669E-4</v>
      </c>
    </row>
    <row r="14" spans="1:8" x14ac:dyDescent="0.25">
      <c r="A14">
        <v>1.8681016624</v>
      </c>
      <c r="B14">
        <v>0.19039329987149886</v>
      </c>
      <c r="C14">
        <f t="shared" si="0"/>
        <v>0.17375211256194445</v>
      </c>
      <c r="D14">
        <f t="shared" si="1"/>
        <v>1.6641187309554412E-2</v>
      </c>
      <c r="E14">
        <f t="shared" si="2"/>
        <v>2.7692911507167482E-4</v>
      </c>
    </row>
    <row r="15" spans="1:8" x14ac:dyDescent="0.25">
      <c r="A15">
        <v>2.0064326507999999</v>
      </c>
      <c r="B15">
        <v>0.17312612709079014</v>
      </c>
      <c r="C15">
        <f t="shared" si="0"/>
        <v>0.14840149103452388</v>
      </c>
      <c r="D15">
        <f t="shared" si="1"/>
        <v>2.4724636056266264E-2</v>
      </c>
      <c r="E15">
        <f t="shared" si="2"/>
        <v>6.1130762811482183E-4</v>
      </c>
    </row>
    <row r="16" spans="1:8" x14ac:dyDescent="0.25">
      <c r="A16">
        <v>2.1447636392000002</v>
      </c>
      <c r="B16">
        <v>0.13995497938048126</v>
      </c>
      <c r="C16">
        <f t="shared" si="0"/>
        <v>0.12639471196192076</v>
      </c>
      <c r="D16">
        <f t="shared" si="1"/>
        <v>1.3560267418560507E-2</v>
      </c>
      <c r="E16">
        <f t="shared" si="2"/>
        <v>1.8388085246287363E-4</v>
      </c>
    </row>
    <row r="17" spans="1:5" x14ac:dyDescent="0.25">
      <c r="A17">
        <v>2.2830946276000001</v>
      </c>
      <c r="B17">
        <v>0.11269102235830959</v>
      </c>
      <c r="C17">
        <f t="shared" si="0"/>
        <v>0.10737239291740693</v>
      </c>
      <c r="D17">
        <f t="shared" si="1"/>
        <v>5.3186294409026669E-3</v>
      </c>
      <c r="E17">
        <f t="shared" si="2"/>
        <v>2.8287819129636616E-5</v>
      </c>
    </row>
    <row r="18" spans="1:5" x14ac:dyDescent="0.25">
      <c r="A18">
        <v>2.4214256160000005</v>
      </c>
      <c r="B18">
        <v>0.11632621662793248</v>
      </c>
      <c r="C18">
        <f t="shared" si="0"/>
        <v>9.0992813637235548E-2</v>
      </c>
      <c r="D18">
        <f t="shared" si="1"/>
        <v>2.5333402990696932E-2</v>
      </c>
      <c r="E18">
        <f t="shared" si="2"/>
        <v>6.4178130708905223E-4</v>
      </c>
    </row>
    <row r="19" spans="1:5" x14ac:dyDescent="0.25">
      <c r="A19">
        <v>2.5597566044000004</v>
      </c>
      <c r="B19">
        <v>8.1791871066515032E-2</v>
      </c>
      <c r="C19">
        <f t="shared" si="0"/>
        <v>7.6937760892293983E-2</v>
      </c>
      <c r="D19">
        <f t="shared" si="1"/>
        <v>4.8541101742210491E-3</v>
      </c>
      <c r="E19">
        <f t="shared" si="2"/>
        <v>2.3562385583476303E-5</v>
      </c>
    </row>
    <row r="20" spans="1:5" x14ac:dyDescent="0.25">
      <c r="A20">
        <v>2.6980875928000003</v>
      </c>
      <c r="B20">
        <v>7.1340687541349215E-2</v>
      </c>
      <c r="C20">
        <f t="shared" si="0"/>
        <v>6.4915555253633822E-2</v>
      </c>
      <c r="D20">
        <f t="shared" si="1"/>
        <v>6.4251322877153932E-3</v>
      </c>
      <c r="E20">
        <f t="shared" si="2"/>
        <v>4.1282324914642841E-5</v>
      </c>
    </row>
    <row r="21" spans="1:5" x14ac:dyDescent="0.25">
      <c r="A21">
        <v>2.8364185812000002</v>
      </c>
      <c r="B21">
        <v>5.6799910462857657E-2</v>
      </c>
      <c r="C21">
        <f t="shared" si="0"/>
        <v>5.4662140091491236E-2</v>
      </c>
      <c r="D21">
        <f t="shared" si="1"/>
        <v>2.1377703713664209E-3</v>
      </c>
      <c r="E21">
        <f t="shared" si="2"/>
        <v>4.5700621606921255E-6</v>
      </c>
    </row>
    <row r="22" spans="1:5" x14ac:dyDescent="0.25">
      <c r="A22">
        <v>2.9747495696000001</v>
      </c>
      <c r="B22">
        <v>4.7711924788800431E-2</v>
      </c>
      <c r="C22">
        <f t="shared" si="0"/>
        <v>4.5940862677315591E-2</v>
      </c>
      <c r="D22">
        <f t="shared" si="1"/>
        <v>1.7710621114848391E-3</v>
      </c>
      <c r="E22">
        <f t="shared" si="2"/>
        <v>3.1366610027371365E-6</v>
      </c>
    </row>
    <row r="23" spans="1:5" x14ac:dyDescent="0.25">
      <c r="A23">
        <v>3.1130805580000001</v>
      </c>
      <c r="B23">
        <v>5.2255917625829047E-2</v>
      </c>
      <c r="C23">
        <f t="shared" si="0"/>
        <v>3.8541399738350149E-2</v>
      </c>
      <c r="D23">
        <f t="shared" si="1"/>
        <v>1.3714517887478898E-2</v>
      </c>
      <c r="E23">
        <f t="shared" si="2"/>
        <v>1.8808800088597867E-4</v>
      </c>
    </row>
    <row r="24" spans="1:5" x14ac:dyDescent="0.25">
      <c r="A24">
        <v>3.2514115464</v>
      </c>
      <c r="B24">
        <v>3.4988744845120316E-2</v>
      </c>
      <c r="C24">
        <f t="shared" si="0"/>
        <v>3.227815198709709E-2</v>
      </c>
      <c r="D24">
        <f t="shared" si="1"/>
        <v>2.7105928580232266E-3</v>
      </c>
      <c r="E24">
        <f t="shared" si="2"/>
        <v>7.3473136419665245E-6</v>
      </c>
    </row>
    <row r="25" spans="1:5" x14ac:dyDescent="0.25">
      <c r="A25">
        <v>3.3897425347999999</v>
      </c>
      <c r="B25">
        <v>2.9535953440685981E-2</v>
      </c>
      <c r="C25">
        <f t="shared" si="0"/>
        <v>2.6988339091185396E-2</v>
      </c>
      <c r="D25">
        <f t="shared" si="1"/>
        <v>2.5476143495005849E-3</v>
      </c>
      <c r="E25">
        <f t="shared" si="2"/>
        <v>6.4903388737812882E-6</v>
      </c>
    </row>
    <row r="26" spans="1:5" x14ac:dyDescent="0.25">
      <c r="A26">
        <v>3.5280735231999998</v>
      </c>
      <c r="B26">
        <v>2.1811165617737341E-2</v>
      </c>
      <c r="C26">
        <f t="shared" si="0"/>
        <v>2.2529958348624597E-2</v>
      </c>
      <c r="D26">
        <f t="shared" si="1"/>
        <v>-7.1879273088725631E-4</v>
      </c>
      <c r="E26">
        <f t="shared" si="2"/>
        <v>5.166629899763597E-7</v>
      </c>
    </row>
    <row r="27" spans="1:5" x14ac:dyDescent="0.25">
      <c r="A27">
        <v>3.6664045116000006</v>
      </c>
      <c r="B27">
        <v>1.9084769915520175E-2</v>
      </c>
      <c r="C27">
        <f t="shared" si="0"/>
        <v>1.8779720199469076E-2</v>
      </c>
      <c r="D27">
        <f t="shared" si="1"/>
        <v>3.0504971605109857E-4</v>
      </c>
      <c r="E27">
        <f t="shared" si="2"/>
        <v>9.3055329262855867E-8</v>
      </c>
    </row>
    <row r="28" spans="1:5" x14ac:dyDescent="0.25">
      <c r="A28">
        <v>3.8047355000000005</v>
      </c>
      <c r="B28">
        <v>1.4995176362194423E-2</v>
      </c>
      <c r="C28">
        <f t="shared" si="0"/>
        <v>1.5631036865863909E-2</v>
      </c>
      <c r="D28">
        <f t="shared" si="1"/>
        <v>-6.3586050366948657E-4</v>
      </c>
      <c r="E28">
        <f t="shared" si="2"/>
        <v>4.0431858012681316E-7</v>
      </c>
    </row>
    <row r="29" spans="1:5" x14ac:dyDescent="0.25">
      <c r="A29">
        <v>3.9430664884000004</v>
      </c>
      <c r="B29">
        <v>1.6358374213303006E-2</v>
      </c>
      <c r="C29">
        <f t="shared" si="0"/>
        <v>1.2992113442118954E-2</v>
      </c>
      <c r="D29">
        <f t="shared" si="1"/>
        <v>3.3662607711840518E-3</v>
      </c>
      <c r="E29">
        <f t="shared" si="2"/>
        <v>1.1331711579612647E-5</v>
      </c>
    </row>
    <row r="30" spans="1:5" x14ac:dyDescent="0.25">
      <c r="A30">
        <v>4.0813974768000003</v>
      </c>
      <c r="B30">
        <v>1.1814381376274392E-2</v>
      </c>
      <c r="C30">
        <f t="shared" si="0"/>
        <v>1.0784171151756847E-2</v>
      </c>
      <c r="D30">
        <f t="shared" si="1"/>
        <v>1.0302102245175453E-3</v>
      </c>
      <c r="E30">
        <f t="shared" si="2"/>
        <v>1.0613331067004911E-6</v>
      </c>
    </row>
    <row r="31" spans="1:5" x14ac:dyDescent="0.25">
      <c r="A31">
        <v>4.2197284652000002</v>
      </c>
      <c r="B31">
        <v>6.815989255542919E-3</v>
      </c>
      <c r="C31">
        <f t="shared" si="0"/>
        <v>8.9398183956534722E-3</v>
      </c>
      <c r="D31">
        <f t="shared" si="1"/>
        <v>-2.1238291401105532E-3</v>
      </c>
      <c r="E31">
        <f t="shared" si="2"/>
        <v>4.5106502163827315E-6</v>
      </c>
    </row>
    <row r="32" spans="1:5" x14ac:dyDescent="0.25">
      <c r="A32">
        <v>4.3580594536000001</v>
      </c>
      <c r="B32">
        <v>5.4527914044343352E-3</v>
      </c>
      <c r="C32">
        <f t="shared" si="0"/>
        <v>7.4015752474877773E-3</v>
      </c>
      <c r="D32">
        <f t="shared" si="1"/>
        <v>-1.9487838430534421E-3</v>
      </c>
      <c r="E32">
        <f t="shared" si="2"/>
        <v>3.7977584669461428E-6</v>
      </c>
    </row>
    <row r="33" spans="1:5" x14ac:dyDescent="0.25">
      <c r="A33">
        <v>4.496390442</v>
      </c>
      <c r="B33">
        <v>4.9983921207314742E-3</v>
      </c>
      <c r="C33">
        <f t="shared" si="0"/>
        <v>6.1205501644491693E-3</v>
      </c>
      <c r="D33">
        <f t="shared" si="1"/>
        <v>-1.1221580437176951E-3</v>
      </c>
      <c r="E33">
        <f t="shared" si="2"/>
        <v>1.2592386750803245E-6</v>
      </c>
    </row>
    <row r="34" spans="1:5" x14ac:dyDescent="0.25">
      <c r="A34">
        <v>4.6347214304</v>
      </c>
      <c r="B34">
        <v>2.2719964185143062E-3</v>
      </c>
      <c r="C34">
        <f t="shared" si="0"/>
        <v>5.0552630810262273E-3</v>
      </c>
      <c r="D34">
        <f t="shared" si="1"/>
        <v>-2.7832666625119211E-3</v>
      </c>
      <c r="E34">
        <f t="shared" si="2"/>
        <v>7.7465733146502486E-6</v>
      </c>
    </row>
    <row r="35" spans="1:5" x14ac:dyDescent="0.25">
      <c r="A35">
        <v>4.7730524188000008</v>
      </c>
      <c r="B35">
        <v>3.180794985920029E-3</v>
      </c>
      <c r="C35">
        <f t="shared" si="0"/>
        <v>4.1706061409504513E-3</v>
      </c>
      <c r="D35">
        <f t="shared" si="1"/>
        <v>-9.8981115503042226E-4</v>
      </c>
      <c r="E35">
        <f t="shared" si="2"/>
        <v>9.7972612262265859E-7</v>
      </c>
    </row>
    <row r="36" spans="1:5" x14ac:dyDescent="0.25">
      <c r="A36">
        <v>4.9113834072000007</v>
      </c>
      <c r="B36">
        <v>9.087985674057225E-4</v>
      </c>
      <c r="C36">
        <f t="shared" si="0"/>
        <v>3.4369316408319052E-3</v>
      </c>
      <c r="D36">
        <f t="shared" si="1"/>
        <v>-2.5281330734261828E-3</v>
      </c>
      <c r="E36">
        <f t="shared" si="2"/>
        <v>6.3914568369513165E-6</v>
      </c>
    </row>
    <row r="37" spans="1:5" x14ac:dyDescent="0.25">
      <c r="A37">
        <v>5.0497143956000006</v>
      </c>
      <c r="B37">
        <v>1.3631978511085838E-3</v>
      </c>
      <c r="C37">
        <f t="shared" si="0"/>
        <v>2.8292559628691734E-3</v>
      </c>
      <c r="D37">
        <f t="shared" si="1"/>
        <v>-1.4660581117605896E-3</v>
      </c>
      <c r="E37">
        <f t="shared" si="2"/>
        <v>2.1493263870590255E-6</v>
      </c>
    </row>
    <row r="38" spans="1:5" x14ac:dyDescent="0.25">
      <c r="A38">
        <v>5.1880453840000005</v>
      </c>
      <c r="B38">
        <v>4.5439928370286125E-4</v>
      </c>
      <c r="C38">
        <f t="shared" si="0"/>
        <v>2.3265681019574587E-3</v>
      </c>
      <c r="D38">
        <f t="shared" si="1"/>
        <v>-1.8721688182545976E-3</v>
      </c>
      <c r="E38">
        <f t="shared" si="2"/>
        <v>3.5050160840448163E-6</v>
      </c>
    </row>
    <row r="39" spans="1:5" x14ac:dyDescent="0.25">
      <c r="A39">
        <v>5.3263763724000004</v>
      </c>
      <c r="B39">
        <v>0</v>
      </c>
      <c r="C39">
        <f t="shared" si="0"/>
        <v>1.9112316481883756E-3</v>
      </c>
      <c r="D39">
        <f t="shared" si="1"/>
        <v>-1.9112316481883756E-3</v>
      </c>
      <c r="E39">
        <f t="shared" si="2"/>
        <v>3.6528064130368547E-6</v>
      </c>
    </row>
    <row r="40" spans="1:5" x14ac:dyDescent="0.25">
      <c r="A40">
        <v>5.4647073608000003</v>
      </c>
      <c r="B40">
        <v>4.5439928370286125E-4</v>
      </c>
      <c r="C40">
        <f t="shared" si="0"/>
        <v>1.568469622654641E-3</v>
      </c>
      <c r="D40">
        <f t="shared" si="1"/>
        <v>-1.1140703389517798E-3</v>
      </c>
      <c r="E40">
        <f t="shared" si="2"/>
        <v>1.2411527201321336E-6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D9A52-CBD6-471A-AD18-D13DB5E8AABE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6.9278389062500001E-2</v>
      </c>
      <c r="B1">
        <v>0.5627971750161338</v>
      </c>
      <c r="C1">
        <f>$H$3*(1+$H$1)*(A1^($H$1))*EXP(-$H$3*(A1^(1+$H$1)))</f>
        <v>0.60071988921014852</v>
      </c>
      <c r="D1">
        <f>B1-C1</f>
        <v>-3.7922714194014717E-2</v>
      </c>
      <c r="E1">
        <f>D1^2</f>
        <v>1.4381322518409252E-3</v>
      </c>
      <c r="G1" t="s">
        <v>0</v>
      </c>
      <c r="H1">
        <v>0.22286790544817633</v>
      </c>
    </row>
    <row r="2" spans="1:8" x14ac:dyDescent="0.25">
      <c r="A2">
        <v>0.2051851911875</v>
      </c>
      <c r="B2">
        <v>0.61921562641462868</v>
      </c>
      <c r="C2">
        <f t="shared" ref="C2:C40" si="0">$H$3*(1+$H$1)*(A2^($H$1))*EXP(-$H$3*(A2^(1+$H$1)))</f>
        <v>0.69392968297724067</v>
      </c>
      <c r="D2">
        <f t="shared" ref="D2:D40" si="1">B2-C2</f>
        <v>-7.4714056562611986E-2</v>
      </c>
      <c r="E2">
        <f t="shared" ref="E2:E40" si="2">D2^2</f>
        <v>5.582190248041183E-3</v>
      </c>
    </row>
    <row r="3" spans="1:8" x14ac:dyDescent="0.25">
      <c r="A3">
        <v>0.34109199331249995</v>
      </c>
      <c r="B3">
        <v>0.83147848864339235</v>
      </c>
      <c r="C3">
        <f t="shared" si="0"/>
        <v>0.69300176193683294</v>
      </c>
      <c r="D3">
        <f t="shared" si="1"/>
        <v>0.13847672670655942</v>
      </c>
      <c r="E3">
        <f t="shared" si="2"/>
        <v>1.9175803839363147E-2</v>
      </c>
      <c r="G3" t="s">
        <v>1</v>
      </c>
      <c r="H3">
        <f>(_xlfn.GAMMA((2+$H$1)/(1+$H$1)))^(1+$H$1)</f>
        <v>0.9225636750625924</v>
      </c>
    </row>
    <row r="4" spans="1:8" x14ac:dyDescent="0.25">
      <c r="A4">
        <v>0.47699879543750001</v>
      </c>
      <c r="B4">
        <v>0.76257398652555841</v>
      </c>
      <c r="C4">
        <f t="shared" si="0"/>
        <v>0.65868450283963542</v>
      </c>
      <c r="D4">
        <f t="shared" si="1"/>
        <v>0.10388948368592299</v>
      </c>
      <c r="E4">
        <f t="shared" si="2"/>
        <v>1.079302482052766E-2</v>
      </c>
    </row>
    <row r="5" spans="1:8" x14ac:dyDescent="0.25">
      <c r="A5">
        <v>0.61290559756249996</v>
      </c>
      <c r="B5">
        <v>0.62892699919633688</v>
      </c>
      <c r="C5">
        <f t="shared" si="0"/>
        <v>0.60926473462221487</v>
      </c>
      <c r="D5">
        <f t="shared" si="1"/>
        <v>1.9662264574122013E-2</v>
      </c>
      <c r="E5">
        <f t="shared" si="2"/>
        <v>3.8660464818277349E-4</v>
      </c>
      <c r="G5" t="s">
        <v>2</v>
      </c>
      <c r="H5">
        <f>SUM(E1:E40)</f>
        <v>5.0445027054604616E-2</v>
      </c>
    </row>
    <row r="6" spans="1:8" x14ac:dyDescent="0.25">
      <c r="A6">
        <v>0.74881239968750002</v>
      </c>
      <c r="B6">
        <v>0.48325640747071469</v>
      </c>
      <c r="C6">
        <f t="shared" si="0"/>
        <v>0.55346086269748229</v>
      </c>
      <c r="D6">
        <f t="shared" si="1"/>
        <v>-7.0204455226767604E-2</v>
      </c>
      <c r="E6">
        <f t="shared" si="2"/>
        <v>4.9286655336872173E-3</v>
      </c>
    </row>
    <row r="7" spans="1:8" x14ac:dyDescent="0.25">
      <c r="A7">
        <v>0.88471920181249997</v>
      </c>
      <c r="B7">
        <v>0.44348602369800516</v>
      </c>
      <c r="C7">
        <f t="shared" si="0"/>
        <v>0.49612453805659834</v>
      </c>
      <c r="D7">
        <f t="shared" si="1"/>
        <v>-5.263851435859318E-2</v>
      </c>
      <c r="E7">
        <f t="shared" si="2"/>
        <v>2.7708131938798206E-3</v>
      </c>
    </row>
    <row r="8" spans="1:8" x14ac:dyDescent="0.25">
      <c r="A8">
        <v>1.0206260039374999</v>
      </c>
      <c r="B8">
        <v>0.40417808624823409</v>
      </c>
      <c r="C8">
        <f t="shared" si="0"/>
        <v>0.44010738846649822</v>
      </c>
      <c r="D8">
        <f t="shared" si="1"/>
        <v>-3.5929302218264125E-2</v>
      </c>
      <c r="E8">
        <f t="shared" si="2"/>
        <v>1.2909147578913595E-3</v>
      </c>
    </row>
    <row r="9" spans="1:8" x14ac:dyDescent="0.25">
      <c r="A9">
        <v>1.1565328060625002</v>
      </c>
      <c r="B9">
        <v>0.36487014879846308</v>
      </c>
      <c r="C9">
        <f t="shared" si="0"/>
        <v>0.38708443328756692</v>
      </c>
      <c r="D9">
        <f t="shared" si="1"/>
        <v>-2.2214284489103842E-2</v>
      </c>
      <c r="E9">
        <f t="shared" si="2"/>
        <v>4.9347443536283957E-4</v>
      </c>
    </row>
    <row r="10" spans="1:8" x14ac:dyDescent="0.25">
      <c r="A10">
        <v>1.2924396081875003</v>
      </c>
      <c r="B10">
        <v>0.30613946578527573</v>
      </c>
      <c r="C10">
        <f t="shared" si="0"/>
        <v>0.33798901106302914</v>
      </c>
      <c r="D10">
        <f t="shared" si="1"/>
        <v>-3.184954527775341E-2</v>
      </c>
      <c r="E10">
        <f t="shared" si="2"/>
        <v>1.0143935343996646E-3</v>
      </c>
    </row>
    <row r="11" spans="1:8" x14ac:dyDescent="0.25">
      <c r="A11">
        <v>1.4283464103125001</v>
      </c>
      <c r="B11">
        <v>0.27053109891901256</v>
      </c>
      <c r="C11">
        <f t="shared" si="0"/>
        <v>0.29327073818917265</v>
      </c>
      <c r="D11">
        <f t="shared" si="1"/>
        <v>-2.2739639270160095E-2</v>
      </c>
      <c r="E11">
        <f t="shared" si="2"/>
        <v>5.1709119413700716E-4</v>
      </c>
    </row>
    <row r="12" spans="1:8" x14ac:dyDescent="0.25">
      <c r="A12">
        <v>1.5642532124374999</v>
      </c>
      <c r="B12">
        <v>0.22706114456279514</v>
      </c>
      <c r="C12">
        <f t="shared" si="0"/>
        <v>0.25306038235289474</v>
      </c>
      <c r="D12">
        <f t="shared" si="1"/>
        <v>-2.5999237790099605E-2</v>
      </c>
      <c r="E12">
        <f t="shared" si="2"/>
        <v>6.7596036566614339E-4</v>
      </c>
    </row>
    <row r="13" spans="1:8" x14ac:dyDescent="0.25">
      <c r="A13">
        <v>1.7001600145625</v>
      </c>
      <c r="B13">
        <v>0.20208904312411705</v>
      </c>
      <c r="C13">
        <f t="shared" si="0"/>
        <v>0.21728030244641874</v>
      </c>
      <c r="D13">
        <f t="shared" si="1"/>
        <v>-1.5191259322301698E-2</v>
      </c>
      <c r="E13">
        <f t="shared" si="2"/>
        <v>2.3077435979741823E-4</v>
      </c>
    </row>
    <row r="14" spans="1:8" x14ac:dyDescent="0.25">
      <c r="A14">
        <v>1.8360668166875</v>
      </c>
      <c r="B14">
        <v>0.19468990195710134</v>
      </c>
      <c r="C14">
        <f t="shared" si="0"/>
        <v>0.18572049083942396</v>
      </c>
      <c r="D14">
        <f t="shared" si="1"/>
        <v>8.9694111176773783E-3</v>
      </c>
      <c r="E14">
        <f t="shared" si="2"/>
        <v>8.0450335797914557E-5</v>
      </c>
    </row>
    <row r="15" spans="1:8" x14ac:dyDescent="0.25">
      <c r="A15">
        <v>1.9719736188124999</v>
      </c>
      <c r="B15">
        <v>0.17249247845605414</v>
      </c>
      <c r="C15">
        <f t="shared" si="0"/>
        <v>0.1580916418416263</v>
      </c>
      <c r="D15">
        <f t="shared" si="1"/>
        <v>1.4400836614427842E-2</v>
      </c>
      <c r="E15">
        <f t="shared" si="2"/>
        <v>2.0738409519544557E-4</v>
      </c>
    </row>
    <row r="16" spans="1:8" x14ac:dyDescent="0.25">
      <c r="A16">
        <v>2.1078804209374997</v>
      </c>
      <c r="B16">
        <v>0.14012123585036035</v>
      </c>
      <c r="C16">
        <f t="shared" si="0"/>
        <v>0.13406228062760803</v>
      </c>
      <c r="D16">
        <f t="shared" si="1"/>
        <v>6.0589552227523213E-3</v>
      </c>
      <c r="E16">
        <f t="shared" si="2"/>
        <v>3.6710938391317633E-5</v>
      </c>
    </row>
    <row r="17" spans="1:5" x14ac:dyDescent="0.25">
      <c r="A17">
        <v>2.2437872230625002</v>
      </c>
      <c r="B17">
        <v>0.12532295351632888</v>
      </c>
      <c r="C17">
        <f t="shared" si="0"/>
        <v>0.11328455532125958</v>
      </c>
      <c r="D17">
        <f t="shared" si="1"/>
        <v>1.20383981950693E-2</v>
      </c>
      <c r="E17">
        <f t="shared" si="2"/>
        <v>1.4492303110304777E-4</v>
      </c>
    </row>
    <row r="18" spans="1:5" x14ac:dyDescent="0.25">
      <c r="A18">
        <v>2.3796940251874998</v>
      </c>
      <c r="B18">
        <v>0.10728754692172805</v>
      </c>
      <c r="C18">
        <f t="shared" si="0"/>
        <v>9.5411846955528692E-2</v>
      </c>
      <c r="D18">
        <f t="shared" si="1"/>
        <v>1.187569996619936E-2</v>
      </c>
      <c r="E18">
        <f t="shared" si="2"/>
        <v>1.4103224968718748E-4</v>
      </c>
    </row>
    <row r="19" spans="1:5" x14ac:dyDescent="0.25">
      <c r="A19">
        <v>2.5156008273124999</v>
      </c>
      <c r="B19">
        <v>8.9252140327127208E-2</v>
      </c>
      <c r="C19">
        <f t="shared" si="0"/>
        <v>8.0110434468297492E-2</v>
      </c>
      <c r="D19">
        <f t="shared" si="1"/>
        <v>9.1417058588297156E-3</v>
      </c>
      <c r="E19">
        <f t="shared" si="2"/>
        <v>8.3570786009361548E-5</v>
      </c>
    </row>
    <row r="20" spans="1:5" x14ac:dyDescent="0.25">
      <c r="A20">
        <v>2.6515076294375</v>
      </c>
      <c r="B20">
        <v>7.630364328484969E-2</v>
      </c>
      <c r="C20">
        <f t="shared" si="0"/>
        <v>6.7066839442206136E-2</v>
      </c>
      <c r="D20">
        <f t="shared" si="1"/>
        <v>9.2368038426435539E-3</v>
      </c>
      <c r="E20">
        <f t="shared" si="2"/>
        <v>8.5318545227474726E-5</v>
      </c>
    </row>
    <row r="21" spans="1:5" x14ac:dyDescent="0.25">
      <c r="A21">
        <v>2.7874144315625005</v>
      </c>
      <c r="B21">
        <v>6.2892699919633685E-2</v>
      </c>
      <c r="C21">
        <f t="shared" si="0"/>
        <v>5.5992049011283448E-2</v>
      </c>
      <c r="D21">
        <f t="shared" si="1"/>
        <v>6.9006509083502365E-3</v>
      </c>
      <c r="E21">
        <f t="shared" si="2"/>
        <v>4.7618982958914944E-5</v>
      </c>
    </row>
    <row r="22" spans="1:5" x14ac:dyDescent="0.25">
      <c r="A22">
        <v>2.9233212336875001</v>
      </c>
      <c r="B22">
        <v>4.670707861678678E-2</v>
      </c>
      <c r="C22">
        <f t="shared" si="0"/>
        <v>4.6623508895098219E-2</v>
      </c>
      <c r="D22">
        <f t="shared" si="1"/>
        <v>8.3569721688561693E-5</v>
      </c>
      <c r="E22">
        <f t="shared" si="2"/>
        <v>6.9838983831036587E-9</v>
      </c>
    </row>
    <row r="23" spans="1:5" x14ac:dyDescent="0.25">
      <c r="A23">
        <v>3.0592280358124997</v>
      </c>
      <c r="B23">
        <v>5.271888081498706E-2</v>
      </c>
      <c r="C23">
        <f t="shared" si="0"/>
        <v>3.8725552880384727E-2</v>
      </c>
      <c r="D23">
        <f t="shared" si="1"/>
        <v>1.3993327934602333E-2</v>
      </c>
      <c r="E23">
        <f t="shared" si="2"/>
        <v>1.9581322668532199E-4</v>
      </c>
    </row>
    <row r="24" spans="1:5" x14ac:dyDescent="0.25">
      <c r="A24">
        <v>3.1951348379374997</v>
      </c>
      <c r="B24">
        <v>3.9307937449771055E-2</v>
      </c>
      <c r="C24">
        <f t="shared" si="0"/>
        <v>3.2088766145542659E-2</v>
      </c>
      <c r="D24">
        <f t="shared" si="1"/>
        <v>7.2191713042283959E-3</v>
      </c>
      <c r="E24">
        <f t="shared" si="2"/>
        <v>5.2116434319794715E-5</v>
      </c>
    </row>
    <row r="25" spans="1:5" x14ac:dyDescent="0.25">
      <c r="A25">
        <v>3.3310416400624998</v>
      </c>
      <c r="B25">
        <v>2.9596564668062909E-2</v>
      </c>
      <c r="C25">
        <f t="shared" si="0"/>
        <v>2.6528651993830678E-2</v>
      </c>
      <c r="D25">
        <f t="shared" si="1"/>
        <v>3.0679126742322316E-3</v>
      </c>
      <c r="E25">
        <f t="shared" si="2"/>
        <v>9.4120881767147623E-6</v>
      </c>
    </row>
    <row r="26" spans="1:5" x14ac:dyDescent="0.25">
      <c r="A26">
        <v>3.4669484421875003</v>
      </c>
      <c r="B26">
        <v>2.1272530855170217E-2</v>
      </c>
      <c r="C26">
        <f t="shared" si="0"/>
        <v>2.1883874252353618E-2</v>
      </c>
      <c r="D26">
        <f t="shared" si="1"/>
        <v>-6.1134339718340105E-4</v>
      </c>
      <c r="E26">
        <f t="shared" si="2"/>
        <v>3.7374074927974166E-7</v>
      </c>
    </row>
    <row r="27" spans="1:5" x14ac:dyDescent="0.25">
      <c r="A27">
        <v>3.6028552443124999</v>
      </c>
      <c r="B27">
        <v>1.9885191886354767E-2</v>
      </c>
      <c r="C27">
        <f t="shared" si="0"/>
        <v>1.8014273367149412E-2</v>
      </c>
      <c r="D27">
        <f t="shared" si="1"/>
        <v>1.870918519205355E-3</v>
      </c>
      <c r="E27">
        <f t="shared" si="2"/>
        <v>3.5003361055055581E-6</v>
      </c>
    </row>
    <row r="28" spans="1:5" x14ac:dyDescent="0.25">
      <c r="A28">
        <v>3.7387620464375</v>
      </c>
      <c r="B28">
        <v>1.5723174979908421E-2</v>
      </c>
      <c r="C28">
        <f t="shared" si="0"/>
        <v>1.479879767331597E-2</v>
      </c>
      <c r="D28">
        <f t="shared" si="1"/>
        <v>9.2437730659245161E-4</v>
      </c>
      <c r="E28">
        <f t="shared" si="2"/>
        <v>8.544734049431153E-7</v>
      </c>
    </row>
    <row r="29" spans="1:5" x14ac:dyDescent="0.25">
      <c r="A29">
        <v>3.8746688485625</v>
      </c>
      <c r="B29">
        <v>1.8035406594600834E-2</v>
      </c>
      <c r="C29">
        <f t="shared" si="0"/>
        <v>1.2133448409522407E-2</v>
      </c>
      <c r="D29">
        <f t="shared" si="1"/>
        <v>5.9019581850784271E-3</v>
      </c>
      <c r="E29">
        <f t="shared" si="2"/>
        <v>3.4833110418414243E-5</v>
      </c>
    </row>
    <row r="30" spans="1:5" x14ac:dyDescent="0.25">
      <c r="A30">
        <v>4.0105756506874997</v>
      </c>
      <c r="B30">
        <v>1.1098711750523592E-2</v>
      </c>
      <c r="C30">
        <f t="shared" si="0"/>
        <v>9.9293047080900518E-3</v>
      </c>
      <c r="D30">
        <f t="shared" si="1"/>
        <v>1.1694070424335401E-3</v>
      </c>
      <c r="E30">
        <f t="shared" si="2"/>
        <v>1.3675128308931594E-6</v>
      </c>
    </row>
    <row r="31" spans="1:5" x14ac:dyDescent="0.25">
      <c r="A31">
        <v>4.1464824528125011</v>
      </c>
      <c r="B31">
        <v>9.711372781708142E-3</v>
      </c>
      <c r="C31">
        <f t="shared" si="0"/>
        <v>8.1106706538919288E-3</v>
      </c>
      <c r="D31">
        <f t="shared" si="1"/>
        <v>1.6007021278162132E-3</v>
      </c>
      <c r="E31">
        <f t="shared" si="2"/>
        <v>2.5622473019953524E-6</v>
      </c>
    </row>
    <row r="32" spans="1:5" x14ac:dyDescent="0.25">
      <c r="A32">
        <v>4.2823892549375007</v>
      </c>
      <c r="B32">
        <v>4.162016906446347E-3</v>
      </c>
      <c r="C32">
        <f t="shared" si="0"/>
        <v>6.6133687183546506E-3</v>
      </c>
      <c r="D32">
        <f t="shared" si="1"/>
        <v>-2.4513518119083037E-3</v>
      </c>
      <c r="E32">
        <f t="shared" si="2"/>
        <v>6.0091257057461235E-6</v>
      </c>
    </row>
    <row r="33" spans="1:5" x14ac:dyDescent="0.25">
      <c r="A33">
        <v>4.4182960570625003</v>
      </c>
      <c r="B33">
        <v>3.6995705835078637E-3</v>
      </c>
      <c r="C33">
        <f t="shared" si="0"/>
        <v>5.3831909881378558E-3</v>
      </c>
      <c r="D33">
        <f t="shared" si="1"/>
        <v>-1.6836204046299921E-3</v>
      </c>
      <c r="E33">
        <f t="shared" si="2"/>
        <v>2.8345776668864581E-6</v>
      </c>
    </row>
    <row r="34" spans="1:5" x14ac:dyDescent="0.25">
      <c r="A34">
        <v>4.5542028591874999</v>
      </c>
      <c r="B34">
        <v>5.0869095523233127E-3</v>
      </c>
      <c r="C34">
        <f t="shared" si="0"/>
        <v>4.3745104804600249E-3</v>
      </c>
      <c r="D34">
        <f t="shared" si="1"/>
        <v>7.1239907186328773E-4</v>
      </c>
      <c r="E34">
        <f t="shared" si="2"/>
        <v>5.0751243759167382E-7</v>
      </c>
    </row>
    <row r="35" spans="1:5" x14ac:dyDescent="0.25">
      <c r="A35">
        <v>4.6901096613124995</v>
      </c>
      <c r="B35">
        <v>2.3122316146924147E-3</v>
      </c>
      <c r="C35">
        <f t="shared" si="0"/>
        <v>3.5490485706874682E-3</v>
      </c>
      <c r="D35">
        <f t="shared" si="1"/>
        <v>-1.2368169559950535E-3</v>
      </c>
      <c r="E35">
        <f t="shared" si="2"/>
        <v>1.5297161826368701E-6</v>
      </c>
    </row>
    <row r="36" spans="1:5" x14ac:dyDescent="0.25">
      <c r="A36">
        <v>4.8260164634375009</v>
      </c>
      <c r="B36">
        <v>9.2489264587696592E-4</v>
      </c>
      <c r="C36">
        <f t="shared" si="0"/>
        <v>2.8747904476369344E-3</v>
      </c>
      <c r="D36">
        <f t="shared" si="1"/>
        <v>-1.9498978017599684E-3</v>
      </c>
      <c r="E36">
        <f t="shared" si="2"/>
        <v>3.8021014373083573E-6</v>
      </c>
    </row>
    <row r="37" spans="1:5" x14ac:dyDescent="0.25">
      <c r="A37">
        <v>4.9619232655625005</v>
      </c>
      <c r="B37">
        <v>1.387338968815449E-3</v>
      </c>
      <c r="C37">
        <f t="shared" si="0"/>
        <v>2.3250380063874056E-3</v>
      </c>
      <c r="D37">
        <f t="shared" si="1"/>
        <v>-9.3769903757195657E-4</v>
      </c>
      <c r="E37">
        <f t="shared" si="2"/>
        <v>8.7927948506337364E-7</v>
      </c>
    </row>
    <row r="38" spans="1:5" x14ac:dyDescent="0.25">
      <c r="A38">
        <v>5.0978300676875001</v>
      </c>
      <c r="B38">
        <v>9.2489264587696592E-4</v>
      </c>
      <c r="C38">
        <f t="shared" si="0"/>
        <v>1.8775882578551629E-3</v>
      </c>
      <c r="D38">
        <f t="shared" si="1"/>
        <v>-9.52695611978197E-4</v>
      </c>
      <c r="E38">
        <f t="shared" si="2"/>
        <v>9.0762892908251129E-7</v>
      </c>
    </row>
    <row r="39" spans="1:5" x14ac:dyDescent="0.25">
      <c r="A39">
        <v>5.2337368698124997</v>
      </c>
      <c r="B39">
        <v>0</v>
      </c>
      <c r="C39">
        <f t="shared" si="0"/>
        <v>1.5140248469788244E-3</v>
      </c>
      <c r="D39">
        <f t="shared" si="1"/>
        <v>-1.5140248469788244E-3</v>
      </c>
      <c r="E39">
        <f t="shared" si="2"/>
        <v>2.2922712372692525E-6</v>
      </c>
    </row>
    <row r="40" spans="1:5" x14ac:dyDescent="0.25">
      <c r="A40">
        <v>5.3696436719374994</v>
      </c>
      <c r="B40">
        <v>4.6244632293848296E-4</v>
      </c>
      <c r="C40">
        <f t="shared" si="0"/>
        <v>1.2191103725482291E-3</v>
      </c>
      <c r="D40">
        <f t="shared" si="1"/>
        <v>-7.566640496097461E-4</v>
      </c>
      <c r="E40">
        <f t="shared" si="2"/>
        <v>5.725404839718203E-7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F099C-9208-4078-BA48-8B30508F1996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6.73747128E-2</v>
      </c>
      <c r="B1">
        <v>0.52752052813376737</v>
      </c>
      <c r="C1">
        <f>$H$3*(1+$H$1)*(A1^($H$1))*EXP(-$H$3*(A1^(1+$H$1)))</f>
        <v>0.53094622804384395</v>
      </c>
      <c r="D1">
        <f>B1-C1</f>
        <v>-3.4256999100765739E-3</v>
      </c>
      <c r="E1">
        <f>D1^2</f>
        <v>1.1735419873898647E-5</v>
      </c>
      <c r="G1" t="s">
        <v>0</v>
      </c>
      <c r="H1">
        <v>0.27919095194243682</v>
      </c>
    </row>
    <row r="2" spans="1:8" x14ac:dyDescent="0.25">
      <c r="A2">
        <v>0.19979088239999998</v>
      </c>
      <c r="B2">
        <v>0.60396589719725657</v>
      </c>
      <c r="C2">
        <f t="shared" ref="C2:C40" si="0">$H$3*(1+$H$1)*(A2^($H$1))*EXP(-$H$3*(A2^(1+$H$1)))</f>
        <v>0.65938949844125982</v>
      </c>
      <c r="D2">
        <f t="shared" ref="D2:D40" si="1">B2-C2</f>
        <v>-5.5423601244003251E-2</v>
      </c>
      <c r="E2">
        <f t="shared" ref="E2:E40" si="2">D2^2</f>
        <v>3.0717755748542789E-3</v>
      </c>
    </row>
    <row r="3" spans="1:8" x14ac:dyDescent="0.25">
      <c r="A3">
        <v>0.332207052</v>
      </c>
      <c r="B3">
        <v>0.64290080566437524</v>
      </c>
      <c r="C3">
        <f t="shared" si="0"/>
        <v>0.68357390075604552</v>
      </c>
      <c r="D3">
        <f t="shared" si="1"/>
        <v>-4.0673095091670275E-2</v>
      </c>
      <c r="E3">
        <f t="shared" si="2"/>
        <v>1.6543006643360526E-3</v>
      </c>
      <c r="G3" t="s">
        <v>1</v>
      </c>
      <c r="H3">
        <f>(_xlfn.GAMMA((2+$H$1)/(1+$H$1)))^(1+$H$1)</f>
        <v>0.90716819518505309</v>
      </c>
    </row>
    <row r="4" spans="1:8" x14ac:dyDescent="0.25">
      <c r="A4">
        <v>0.46462322160000002</v>
      </c>
      <c r="B4">
        <v>0.7881944884806964</v>
      </c>
      <c r="C4">
        <f t="shared" si="0"/>
        <v>0.66664663227320442</v>
      </c>
      <c r="D4">
        <f t="shared" si="1"/>
        <v>0.12154785620749198</v>
      </c>
      <c r="E4">
        <f t="shared" si="2"/>
        <v>1.4773881348637146E-2</v>
      </c>
    </row>
    <row r="5" spans="1:8" x14ac:dyDescent="0.25">
      <c r="A5">
        <v>0.59703939120000005</v>
      </c>
      <c r="B5">
        <v>0.76825221829022095</v>
      </c>
      <c r="C5">
        <f t="shared" si="0"/>
        <v>0.62865230712893172</v>
      </c>
      <c r="D5">
        <f t="shared" si="1"/>
        <v>0.13959991116128923</v>
      </c>
      <c r="E5">
        <f t="shared" si="2"/>
        <v>1.9488135196239844E-2</v>
      </c>
      <c r="G5" t="s">
        <v>2</v>
      </c>
      <c r="H5">
        <f>SUM(E1:E40)</f>
        <v>5.1870384006068179E-2</v>
      </c>
    </row>
    <row r="6" spans="1:8" x14ac:dyDescent="0.25">
      <c r="A6">
        <v>0.72945556079999996</v>
      </c>
      <c r="B6">
        <v>0.58212436317911675</v>
      </c>
      <c r="C6">
        <f t="shared" si="0"/>
        <v>0.57971259764323835</v>
      </c>
      <c r="D6">
        <f t="shared" si="1"/>
        <v>2.4117655358784074E-3</v>
      </c>
      <c r="E6">
        <f t="shared" si="2"/>
        <v>5.816613000050861E-6</v>
      </c>
    </row>
    <row r="7" spans="1:8" x14ac:dyDescent="0.25">
      <c r="A7">
        <v>0.86187173039999998</v>
      </c>
      <c r="B7">
        <v>0.46389518990701228</v>
      </c>
      <c r="C7">
        <f t="shared" si="0"/>
        <v>0.52582893698767996</v>
      </c>
      <c r="D7">
        <f t="shared" si="1"/>
        <v>-6.1933747080667678E-2</v>
      </c>
      <c r="E7">
        <f t="shared" si="2"/>
        <v>3.8357890274521122E-3</v>
      </c>
    </row>
    <row r="8" spans="1:8" x14ac:dyDescent="0.25">
      <c r="A8">
        <v>0.9942879</v>
      </c>
      <c r="B8">
        <v>0.42068693782764882</v>
      </c>
      <c r="C8">
        <f t="shared" si="0"/>
        <v>0.47078966055662258</v>
      </c>
      <c r="D8">
        <f t="shared" si="1"/>
        <v>-5.0102722728973759E-2</v>
      </c>
      <c r="E8">
        <f t="shared" si="2"/>
        <v>2.5102828248564236E-3</v>
      </c>
    </row>
    <row r="9" spans="1:8" x14ac:dyDescent="0.25">
      <c r="A9">
        <v>1.1267040696000001</v>
      </c>
      <c r="B9">
        <v>0.38839945275735521</v>
      </c>
      <c r="C9">
        <f t="shared" si="0"/>
        <v>0.41702071721870554</v>
      </c>
      <c r="D9">
        <f t="shared" si="1"/>
        <v>-2.8621264461350326E-2</v>
      </c>
      <c r="E9">
        <f t="shared" si="2"/>
        <v>8.1917677936655514E-4</v>
      </c>
    </row>
    <row r="10" spans="1:8" x14ac:dyDescent="0.25">
      <c r="A10">
        <v>1.2591202392</v>
      </c>
      <c r="B10">
        <v>0.32619856240134848</v>
      </c>
      <c r="C10">
        <f t="shared" si="0"/>
        <v>0.36604530572511579</v>
      </c>
      <c r="D10">
        <f t="shared" si="1"/>
        <v>-3.9846743323767309E-2</v>
      </c>
      <c r="E10">
        <f t="shared" si="2"/>
        <v>1.5877629535101946E-3</v>
      </c>
    </row>
    <row r="11" spans="1:8" x14ac:dyDescent="0.25">
      <c r="A11">
        <v>1.3915364088</v>
      </c>
      <c r="B11">
        <v>0.27729251883899203</v>
      </c>
      <c r="C11">
        <f t="shared" si="0"/>
        <v>0.31876569543505351</v>
      </c>
      <c r="D11">
        <f t="shared" si="1"/>
        <v>-4.1473176596061478E-2</v>
      </c>
      <c r="E11">
        <f t="shared" si="2"/>
        <v>1.7200243769681016E-3</v>
      </c>
    </row>
    <row r="12" spans="1:8" x14ac:dyDescent="0.25">
      <c r="A12">
        <v>1.5239525784000001</v>
      </c>
      <c r="B12">
        <v>0.24595466568253058</v>
      </c>
      <c r="C12">
        <f t="shared" si="0"/>
        <v>0.27565080685002574</v>
      </c>
      <c r="D12">
        <f t="shared" si="1"/>
        <v>-2.9696141167495166E-2</v>
      </c>
      <c r="E12">
        <f t="shared" si="2"/>
        <v>8.8186080023980112E-4</v>
      </c>
    </row>
    <row r="13" spans="1:8" x14ac:dyDescent="0.25">
      <c r="A13">
        <v>1.656368748</v>
      </c>
      <c r="B13">
        <v>0.213667180612237</v>
      </c>
      <c r="C13">
        <f t="shared" si="0"/>
        <v>0.23686759935541277</v>
      </c>
      <c r="D13">
        <f t="shared" si="1"/>
        <v>-2.3200418743175771E-2</v>
      </c>
      <c r="E13">
        <f t="shared" si="2"/>
        <v>5.3825942985870161E-4</v>
      </c>
    </row>
    <row r="14" spans="1:8" x14ac:dyDescent="0.25">
      <c r="A14">
        <v>1.7887849175999999</v>
      </c>
      <c r="B14">
        <v>0.20084714977550278</v>
      </c>
      <c r="C14">
        <f t="shared" si="0"/>
        <v>0.20237584953447285</v>
      </c>
      <c r="D14">
        <f t="shared" si="1"/>
        <v>-1.5286997589700757E-3</v>
      </c>
      <c r="E14">
        <f t="shared" si="2"/>
        <v>2.3369229530751676E-6</v>
      </c>
    </row>
    <row r="15" spans="1:8" x14ac:dyDescent="0.25">
      <c r="A15">
        <v>1.9212010872</v>
      </c>
      <c r="B15">
        <v>0.16713521683446092</v>
      </c>
      <c r="C15">
        <f t="shared" si="0"/>
        <v>0.17199751781926531</v>
      </c>
      <c r="D15">
        <f t="shared" si="1"/>
        <v>-4.8623009848043908E-3</v>
      </c>
      <c r="E15">
        <f t="shared" si="2"/>
        <v>2.3641970866829747E-5</v>
      </c>
    </row>
    <row r="16" spans="1:8" x14ac:dyDescent="0.25">
      <c r="A16">
        <v>2.0536172568</v>
      </c>
      <c r="B16">
        <v>0.15051665834239805</v>
      </c>
      <c r="C16">
        <f t="shared" si="0"/>
        <v>0.14546770680290524</v>
      </c>
      <c r="D16">
        <f t="shared" si="1"/>
        <v>5.0489515394928075E-3</v>
      </c>
      <c r="E16">
        <f t="shared" si="2"/>
        <v>2.5491911648146791E-5</v>
      </c>
    </row>
    <row r="17" spans="1:5" x14ac:dyDescent="0.25">
      <c r="A17">
        <v>2.1860334263999999</v>
      </c>
      <c r="B17">
        <v>0.12630104453967786</v>
      </c>
      <c r="C17">
        <f t="shared" si="0"/>
        <v>0.12247192372707172</v>
      </c>
      <c r="D17">
        <f t="shared" si="1"/>
        <v>3.8291208126061405E-3</v>
      </c>
      <c r="E17">
        <f t="shared" si="2"/>
        <v>1.466216619753351E-5</v>
      </c>
    </row>
    <row r="18" spans="1:5" x14ac:dyDescent="0.25">
      <c r="A18">
        <v>2.3184495959999998</v>
      </c>
      <c r="B18">
        <v>0.10873285413378282</v>
      </c>
      <c r="C18">
        <f t="shared" si="0"/>
        <v>0.10267300108602305</v>
      </c>
      <c r="D18">
        <f t="shared" si="1"/>
        <v>6.0598530477597723E-3</v>
      </c>
      <c r="E18">
        <f t="shared" si="2"/>
        <v>3.6721818960443402E-5</v>
      </c>
    </row>
    <row r="19" spans="1:5" x14ac:dyDescent="0.25">
      <c r="A19">
        <v>2.4508657656000001</v>
      </c>
      <c r="B19">
        <v>0.10208543073695767</v>
      </c>
      <c r="C19">
        <f t="shared" si="0"/>
        <v>8.5730159933837632E-2</v>
      </c>
      <c r="D19">
        <f t="shared" si="1"/>
        <v>1.6355270803120034E-2</v>
      </c>
      <c r="E19">
        <f t="shared" si="2"/>
        <v>2.6749488304339064E-4</v>
      </c>
    </row>
    <row r="20" spans="1:5" x14ac:dyDescent="0.25">
      <c r="A20">
        <v>2.5832819352</v>
      </c>
      <c r="B20">
        <v>7.2172025451244501E-2</v>
      </c>
      <c r="C20">
        <f t="shared" si="0"/>
        <v>7.1312105857828392E-2</v>
      </c>
      <c r="D20">
        <f t="shared" si="1"/>
        <v>8.5991959341610857E-4</v>
      </c>
      <c r="E20">
        <f t="shared" si="2"/>
        <v>7.3946170714092551E-7</v>
      </c>
    </row>
    <row r="21" spans="1:5" x14ac:dyDescent="0.25">
      <c r="A21">
        <v>2.7156981048</v>
      </c>
      <c r="B21">
        <v>7.4546105235824903E-2</v>
      </c>
      <c r="C21">
        <f t="shared" si="0"/>
        <v>5.9105618187416144E-2</v>
      </c>
      <c r="D21">
        <f t="shared" si="1"/>
        <v>1.5440487048408759E-2</v>
      </c>
      <c r="E21">
        <f t="shared" si="2"/>
        <v>2.3840864029207862E-4</v>
      </c>
    </row>
    <row r="22" spans="1:5" x14ac:dyDescent="0.25">
      <c r="A22">
        <v>2.8481142744000003</v>
      </c>
      <c r="B22">
        <v>5.1754939303852956E-2</v>
      </c>
      <c r="C22">
        <f t="shared" si="0"/>
        <v>4.8820770022127057E-2</v>
      </c>
      <c r="D22">
        <f t="shared" si="1"/>
        <v>2.9341692817258999E-3</v>
      </c>
      <c r="E22">
        <f t="shared" si="2"/>
        <v>8.6093493738238828E-6</v>
      </c>
    </row>
    <row r="23" spans="1:5" x14ac:dyDescent="0.25">
      <c r="A23">
        <v>2.9805304440000002</v>
      </c>
      <c r="B23">
        <v>5.1754939303852956E-2</v>
      </c>
      <c r="C23">
        <f t="shared" si="0"/>
        <v>4.0193666770204896E-2</v>
      </c>
      <c r="D23">
        <f t="shared" si="1"/>
        <v>1.1561272533648061E-2</v>
      </c>
      <c r="E23">
        <f t="shared" si="2"/>
        <v>1.3366302259728506E-4</v>
      </c>
    </row>
    <row r="24" spans="1:5" x14ac:dyDescent="0.25">
      <c r="A24">
        <v>3.1129466136000001</v>
      </c>
      <c r="B24">
        <v>4.2733436122447399E-2</v>
      </c>
      <c r="C24">
        <f t="shared" si="0"/>
        <v>3.2987394101255368E-2</v>
      </c>
      <c r="D24">
        <f t="shared" si="1"/>
        <v>9.7460420211920307E-3</v>
      </c>
      <c r="E24">
        <f t="shared" si="2"/>
        <v>9.498533507884084E-5</v>
      </c>
    </row>
    <row r="25" spans="1:5" x14ac:dyDescent="0.25">
      <c r="A25">
        <v>3.2453627832</v>
      </c>
      <c r="B25">
        <v>3.038822124262926E-2</v>
      </c>
      <c r="C25">
        <f t="shared" si="0"/>
        <v>2.6991709760819455E-2</v>
      </c>
      <c r="D25">
        <f t="shared" si="1"/>
        <v>3.3965114818098052E-3</v>
      </c>
      <c r="E25">
        <f t="shared" si="2"/>
        <v>1.1536290246065839E-5</v>
      </c>
    </row>
    <row r="26" spans="1:5" x14ac:dyDescent="0.25">
      <c r="A26">
        <v>3.3777789528</v>
      </c>
      <c r="B26">
        <v>2.4215613802720193E-2</v>
      </c>
      <c r="C26">
        <f t="shared" si="0"/>
        <v>2.2021888866480478E-2</v>
      </c>
      <c r="D26">
        <f t="shared" si="1"/>
        <v>2.1937249362397153E-3</v>
      </c>
      <c r="E26">
        <f t="shared" si="2"/>
        <v>4.8124290958799428E-6</v>
      </c>
    </row>
    <row r="27" spans="1:5" x14ac:dyDescent="0.25">
      <c r="A27">
        <v>3.5101951223999999</v>
      </c>
      <c r="B27">
        <v>1.9942270190475453E-2</v>
      </c>
      <c r="C27">
        <f t="shared" si="0"/>
        <v>1.7917032798318803E-2</v>
      </c>
      <c r="D27">
        <f t="shared" si="1"/>
        <v>2.0252373921566501E-3</v>
      </c>
      <c r="E27">
        <f t="shared" si="2"/>
        <v>4.101586494589469E-6</v>
      </c>
    </row>
    <row r="28" spans="1:5" x14ac:dyDescent="0.25">
      <c r="A28">
        <v>3.6426112919999998</v>
      </c>
      <c r="B28">
        <v>1.4719294664398547E-2</v>
      </c>
      <c r="C28">
        <f t="shared" si="0"/>
        <v>1.4538072803481837E-2</v>
      </c>
      <c r="D28">
        <f t="shared" si="1"/>
        <v>1.8122186091670996E-4</v>
      </c>
      <c r="E28">
        <f t="shared" si="2"/>
        <v>3.2841362874115369E-8</v>
      </c>
    </row>
    <row r="29" spans="1:5" x14ac:dyDescent="0.25">
      <c r="A29">
        <v>3.7750274615999997</v>
      </c>
      <c r="B29">
        <v>2.0417086147391534E-2</v>
      </c>
      <c r="C29">
        <f t="shared" si="0"/>
        <v>1.1765637145547677E-2</v>
      </c>
      <c r="D29">
        <f t="shared" si="1"/>
        <v>8.651449001843857E-3</v>
      </c>
      <c r="E29">
        <f t="shared" si="2"/>
        <v>7.4847569831505071E-5</v>
      </c>
    </row>
    <row r="30" spans="1:5" x14ac:dyDescent="0.25">
      <c r="A30">
        <v>3.9074436312</v>
      </c>
      <c r="B30">
        <v>1.3294846793650301E-2</v>
      </c>
      <c r="C30">
        <f t="shared" si="0"/>
        <v>9.4979019461522464E-3</v>
      </c>
      <c r="D30">
        <f t="shared" si="1"/>
        <v>3.7969448474980544E-3</v>
      </c>
      <c r="E30">
        <f t="shared" si="2"/>
        <v>1.4416790174942024E-5</v>
      </c>
    </row>
    <row r="31" spans="1:5" x14ac:dyDescent="0.25">
      <c r="A31">
        <v>4.0398598008000004</v>
      </c>
      <c r="B31">
        <v>9.4963191383216437E-3</v>
      </c>
      <c r="C31">
        <f t="shared" si="0"/>
        <v>7.6485082312574689E-3</v>
      </c>
      <c r="D31">
        <f t="shared" si="1"/>
        <v>1.8478109070641747E-3</v>
      </c>
      <c r="E31">
        <f t="shared" si="2"/>
        <v>3.4144051482653283E-6</v>
      </c>
    </row>
    <row r="32" spans="1:5" x14ac:dyDescent="0.25">
      <c r="A32">
        <v>4.1722759703999994</v>
      </c>
      <c r="B32">
        <v>5.2229755260769038E-3</v>
      </c>
      <c r="C32">
        <f t="shared" si="0"/>
        <v>6.1445989808894073E-3</v>
      </c>
      <c r="D32">
        <f t="shared" si="1"/>
        <v>-9.2162345481250352E-4</v>
      </c>
      <c r="E32">
        <f t="shared" si="2"/>
        <v>8.4938979246053467E-7</v>
      </c>
    </row>
    <row r="33" spans="1:5" x14ac:dyDescent="0.25">
      <c r="A33">
        <v>4.3046921400000002</v>
      </c>
      <c r="B33">
        <v>5.6977914829929865E-3</v>
      </c>
      <c r="C33">
        <f t="shared" si="0"/>
        <v>4.9250084187944434E-3</v>
      </c>
      <c r="D33">
        <f t="shared" si="1"/>
        <v>7.7278306419854316E-4</v>
      </c>
      <c r="E33">
        <f t="shared" si="2"/>
        <v>5.9719366431208968E-7</v>
      </c>
    </row>
    <row r="34" spans="1:5" x14ac:dyDescent="0.25">
      <c r="A34">
        <v>4.4371083095999992</v>
      </c>
      <c r="B34">
        <v>5.2229755260769038E-3</v>
      </c>
      <c r="C34">
        <f t="shared" si="0"/>
        <v>3.9386198972380399E-3</v>
      </c>
      <c r="D34">
        <f t="shared" si="1"/>
        <v>1.2843556288388638E-3</v>
      </c>
      <c r="E34">
        <f t="shared" si="2"/>
        <v>1.6495693813300733E-6</v>
      </c>
    </row>
    <row r="35" spans="1:5" x14ac:dyDescent="0.25">
      <c r="A35">
        <v>4.5695244792</v>
      </c>
      <c r="B35">
        <v>1.4244478707482466E-3</v>
      </c>
      <c r="C35">
        <f t="shared" si="0"/>
        <v>3.1428973178474068E-3</v>
      </c>
      <c r="D35">
        <f t="shared" si="1"/>
        <v>-1.7184494470991601E-3</v>
      </c>
      <c r="E35">
        <f t="shared" si="2"/>
        <v>2.9530685022354091E-6</v>
      </c>
    </row>
    <row r="36" spans="1:5" x14ac:dyDescent="0.25">
      <c r="A36">
        <v>4.7019406488000008</v>
      </c>
      <c r="B36">
        <v>1.4244478707482466E-3</v>
      </c>
      <c r="C36">
        <f t="shared" si="0"/>
        <v>2.5025870859900416E-3</v>
      </c>
      <c r="D36">
        <f t="shared" si="1"/>
        <v>-1.078139215241795E-3</v>
      </c>
      <c r="E36">
        <f t="shared" si="2"/>
        <v>1.1623841674421935E-6</v>
      </c>
    </row>
    <row r="37" spans="1:5" x14ac:dyDescent="0.25">
      <c r="A37">
        <v>4.8343568183999999</v>
      </c>
      <c r="B37">
        <v>2.3740797845804109E-3</v>
      </c>
      <c r="C37">
        <f t="shared" si="0"/>
        <v>1.988582313465599E-3</v>
      </c>
      <c r="D37">
        <f t="shared" si="1"/>
        <v>3.8549747111481193E-4</v>
      </c>
      <c r="E37">
        <f t="shared" si="2"/>
        <v>1.4860830023591525E-7</v>
      </c>
    </row>
    <row r="38" spans="1:5" x14ac:dyDescent="0.25">
      <c r="A38">
        <v>4.9667729880000007</v>
      </c>
      <c r="B38">
        <v>0</v>
      </c>
      <c r="C38">
        <f t="shared" si="0"/>
        <v>1.5769377092855466E-3</v>
      </c>
      <c r="D38">
        <f t="shared" si="1"/>
        <v>-1.5769377092855466E-3</v>
      </c>
      <c r="E38">
        <f t="shared" si="2"/>
        <v>2.486732538966747E-6</v>
      </c>
    </row>
    <row r="39" spans="1:5" x14ac:dyDescent="0.25">
      <c r="A39">
        <v>5.0991891575999997</v>
      </c>
      <c r="B39">
        <v>0</v>
      </c>
      <c r="C39">
        <f t="shared" si="0"/>
        <v>1.2480218101027874E-3</v>
      </c>
      <c r="D39">
        <f t="shared" si="1"/>
        <v>-1.2480218101027874E-3</v>
      </c>
      <c r="E39">
        <f t="shared" si="2"/>
        <v>1.5575584384922379E-6</v>
      </c>
    </row>
    <row r="40" spans="1:5" x14ac:dyDescent="0.25">
      <c r="A40">
        <v>5.2316053272000005</v>
      </c>
      <c r="B40">
        <v>4.7481595691608219E-4</v>
      </c>
      <c r="C40">
        <f t="shared" si="0"/>
        <v>9.8579248948665312E-4</v>
      </c>
      <c r="D40">
        <f t="shared" si="1"/>
        <v>-5.1097653257057099E-4</v>
      </c>
      <c r="E40">
        <f t="shared" si="2"/>
        <v>2.6109701683784381E-7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F9AB1-9EE4-4342-A37B-6BDC8A67127B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6.5739673900000004E-2</v>
      </c>
      <c r="B1">
        <v>0.47126656344748735</v>
      </c>
      <c r="C1">
        <f>$H$3*(1+$H$1)*(A1^($H$1))*EXP(-$H$3*(A1^(1+$H$1)))</f>
        <v>0.47939814358456662</v>
      </c>
      <c r="D1">
        <f>B1-C1</f>
        <v>-8.131580137079264E-3</v>
      </c>
      <c r="E1">
        <f>D1^2</f>
        <v>6.6122595525742016E-5</v>
      </c>
      <c r="G1" t="s">
        <v>0</v>
      </c>
      <c r="H1">
        <v>0.32379495325671626</v>
      </c>
    </row>
    <row r="2" spans="1:8" x14ac:dyDescent="0.25">
      <c r="A2">
        <v>0.19496858169999998</v>
      </c>
      <c r="B2">
        <v>0.64148668440375212</v>
      </c>
      <c r="C2">
        <f t="shared" ref="C2:C40" si="0">$H$3*(1+$H$1)*(A2^($H$1))*EXP(-$H$3*(A2^(1+$H$1)))</f>
        <v>0.63021449822204145</v>
      </c>
      <c r="D2">
        <f t="shared" ref="D2:D40" si="1">B2-C2</f>
        <v>1.1272186181710664E-2</v>
      </c>
      <c r="E2">
        <f t="shared" ref="E2:E40" si="2">D2^2</f>
        <v>1.2706218131514885E-4</v>
      </c>
    </row>
    <row r="3" spans="1:8" x14ac:dyDescent="0.25">
      <c r="A3">
        <v>0.32419748949999994</v>
      </c>
      <c r="B3">
        <v>0.58604355929228302</v>
      </c>
      <c r="C3">
        <f t="shared" si="0"/>
        <v>0.67311034136410208</v>
      </c>
      <c r="D3">
        <f t="shared" si="1"/>
        <v>-8.706678207181906E-2</v>
      </c>
      <c r="E3">
        <f t="shared" si="2"/>
        <v>7.5806245403416328E-3</v>
      </c>
      <c r="G3" t="s">
        <v>1</v>
      </c>
      <c r="H3">
        <f>(_xlfn.GAMMA((2+$H$1)/(1+$H$1)))^(1+$H$1)</f>
        <v>0.89588370933352557</v>
      </c>
    </row>
    <row r="4" spans="1:8" x14ac:dyDescent="0.25">
      <c r="A4">
        <v>0.45342639730000001</v>
      </c>
      <c r="B4">
        <v>0.67553070859500508</v>
      </c>
      <c r="C4">
        <f t="shared" si="0"/>
        <v>0.67033464111703023</v>
      </c>
      <c r="D4">
        <f t="shared" si="1"/>
        <v>5.1960674779748528E-3</v>
      </c>
      <c r="E4">
        <f t="shared" si="2"/>
        <v>2.6999117235667948E-5</v>
      </c>
    </row>
    <row r="5" spans="1:8" x14ac:dyDescent="0.25">
      <c r="A5">
        <v>0.58265530509999997</v>
      </c>
      <c r="B5">
        <v>0.80343897091356975</v>
      </c>
      <c r="C5">
        <f t="shared" si="0"/>
        <v>0.64237966675489278</v>
      </c>
      <c r="D5">
        <f t="shared" si="1"/>
        <v>0.16105930415867697</v>
      </c>
      <c r="E5">
        <f t="shared" si="2"/>
        <v>2.5940099456077222E-2</v>
      </c>
      <c r="G5" t="s">
        <v>2</v>
      </c>
      <c r="H5">
        <f>SUM(E1:E40)</f>
        <v>5.4000562505084455E-2</v>
      </c>
    </row>
    <row r="6" spans="1:8" x14ac:dyDescent="0.25">
      <c r="A6">
        <v>0.71188421290000004</v>
      </c>
      <c r="B6">
        <v>0.68866197506877402</v>
      </c>
      <c r="C6">
        <f t="shared" si="0"/>
        <v>0.60002097916562414</v>
      </c>
      <c r="D6">
        <f t="shared" si="1"/>
        <v>8.8640995903149888E-2</v>
      </c>
      <c r="E6">
        <f t="shared" si="2"/>
        <v>7.8572261547022355E-3</v>
      </c>
    </row>
    <row r="7" spans="1:8" x14ac:dyDescent="0.25">
      <c r="A7">
        <v>0.84111312069999999</v>
      </c>
      <c r="B7">
        <v>0.53157312058627826</v>
      </c>
      <c r="C7">
        <f t="shared" si="0"/>
        <v>0.54993748149354282</v>
      </c>
      <c r="D7">
        <f t="shared" si="1"/>
        <v>-1.8364360907264565E-2</v>
      </c>
      <c r="E7">
        <f t="shared" si="2"/>
        <v>3.37249751532267E-4</v>
      </c>
    </row>
    <row r="8" spans="1:8" x14ac:dyDescent="0.25">
      <c r="A8">
        <v>0.97034202849999995</v>
      </c>
      <c r="B8">
        <v>0.44062694167535971</v>
      </c>
      <c r="C8">
        <f t="shared" si="0"/>
        <v>0.4965501190914165</v>
      </c>
      <c r="D8">
        <f t="shared" si="1"/>
        <v>-5.5923177416056791E-2</v>
      </c>
      <c r="E8">
        <f t="shared" si="2"/>
        <v>3.1274017723077643E-3</v>
      </c>
    </row>
    <row r="9" spans="1:8" x14ac:dyDescent="0.25">
      <c r="A9">
        <v>1.0995709362999999</v>
      </c>
      <c r="B9">
        <v>0.40950097670049984</v>
      </c>
      <c r="C9">
        <f t="shared" si="0"/>
        <v>0.44284231496423548</v>
      </c>
      <c r="D9">
        <f t="shared" si="1"/>
        <v>-3.3341338263735643E-2</v>
      </c>
      <c r="E9">
        <f t="shared" si="2"/>
        <v>1.1116448372168425E-3</v>
      </c>
    </row>
    <row r="10" spans="1:8" x14ac:dyDescent="0.25">
      <c r="A10">
        <v>1.2287998440999999</v>
      </c>
      <c r="B10">
        <v>0.35162613557536981</v>
      </c>
      <c r="C10">
        <f t="shared" si="0"/>
        <v>0.39080835317228785</v>
      </c>
      <c r="D10">
        <f t="shared" si="1"/>
        <v>-3.9182217596918034E-2</v>
      </c>
      <c r="E10">
        <f t="shared" si="2"/>
        <v>1.5352461758122334E-3</v>
      </c>
    </row>
    <row r="11" spans="1:8" x14ac:dyDescent="0.25">
      <c r="A11">
        <v>1.3580287519000001</v>
      </c>
      <c r="B11">
        <v>0.30493718811308007</v>
      </c>
      <c r="C11">
        <f t="shared" si="0"/>
        <v>0.34173475625350958</v>
      </c>
      <c r="D11">
        <f t="shared" si="1"/>
        <v>-3.6797568140429504E-2</v>
      </c>
      <c r="E11">
        <f t="shared" si="2"/>
        <v>1.3540610210495524E-3</v>
      </c>
    </row>
    <row r="12" spans="1:8" x14ac:dyDescent="0.25">
      <c r="A12">
        <v>1.4872576597</v>
      </c>
      <c r="B12">
        <v>0.24268525816336037</v>
      </c>
      <c r="C12">
        <f t="shared" si="0"/>
        <v>0.29639361765890043</v>
      </c>
      <c r="D12">
        <f t="shared" si="1"/>
        <v>-5.3708359495540064E-2</v>
      </c>
      <c r="E12">
        <f t="shared" si="2"/>
        <v>2.8845878797021684E-3</v>
      </c>
    </row>
    <row r="13" spans="1:8" x14ac:dyDescent="0.25">
      <c r="A13">
        <v>1.6164865675</v>
      </c>
      <c r="B13">
        <v>0.22079981404041202</v>
      </c>
      <c r="C13">
        <f t="shared" si="0"/>
        <v>0.25518303280063742</v>
      </c>
      <c r="D13">
        <f t="shared" si="1"/>
        <v>-3.4383218760225404E-2</v>
      </c>
      <c r="E13">
        <f t="shared" si="2"/>
        <v>1.1822057323135162E-3</v>
      </c>
    </row>
    <row r="14" spans="1:8" x14ac:dyDescent="0.25">
      <c r="A14">
        <v>1.7457154752999999</v>
      </c>
      <c r="B14">
        <v>0.21447735240489363</v>
      </c>
      <c r="C14">
        <f t="shared" si="0"/>
        <v>0.21823232133129042</v>
      </c>
      <c r="D14">
        <f t="shared" si="1"/>
        <v>-3.75496892639679E-3</v>
      </c>
      <c r="E14">
        <f t="shared" si="2"/>
        <v>1.4099791638205462E-5</v>
      </c>
    </row>
    <row r="15" spans="1:8" x14ac:dyDescent="0.25">
      <c r="A15">
        <v>1.8749443830999999</v>
      </c>
      <c r="B15">
        <v>0.18043332821364066</v>
      </c>
      <c r="C15">
        <f t="shared" si="0"/>
        <v>0.18548201797056038</v>
      </c>
      <c r="D15">
        <f t="shared" si="1"/>
        <v>-5.0486897569197164E-3</v>
      </c>
      <c r="E15">
        <f t="shared" si="2"/>
        <v>2.5489268261626064E-5</v>
      </c>
    </row>
    <row r="16" spans="1:8" x14ac:dyDescent="0.25">
      <c r="A16">
        <v>2.0041732908999998</v>
      </c>
      <c r="B16">
        <v>0.1463893040223877</v>
      </c>
      <c r="C16">
        <f t="shared" si="0"/>
        <v>0.15674487939253659</v>
      </c>
      <c r="D16">
        <f t="shared" si="1"/>
        <v>-1.035557537014889E-2</v>
      </c>
      <c r="E16">
        <f t="shared" si="2"/>
        <v>1.0723794124683432E-4</v>
      </c>
    </row>
    <row r="17" spans="1:5" x14ac:dyDescent="0.25">
      <c r="A17">
        <v>2.1334021986999998</v>
      </c>
      <c r="B17">
        <v>0.13520341035954744</v>
      </c>
      <c r="C17">
        <f t="shared" si="0"/>
        <v>0.13175218949876336</v>
      </c>
      <c r="D17">
        <f t="shared" si="1"/>
        <v>3.4512208607840877E-3</v>
      </c>
      <c r="E17">
        <f t="shared" si="2"/>
        <v>1.1910925429911259E-5</v>
      </c>
    </row>
    <row r="18" spans="1:5" x14ac:dyDescent="0.25">
      <c r="A18">
        <v>2.2626311064999998</v>
      </c>
      <c r="B18">
        <v>0.11526333904752786</v>
      </c>
      <c r="C18">
        <f t="shared" si="0"/>
        <v>0.11018851264171622</v>
      </c>
      <c r="D18">
        <f t="shared" si="1"/>
        <v>5.0748264058116388E-3</v>
      </c>
      <c r="E18">
        <f t="shared" si="2"/>
        <v>2.5753863049123076E-5</v>
      </c>
    </row>
    <row r="19" spans="1:5" x14ac:dyDescent="0.25">
      <c r="A19">
        <v>2.3918600142999997</v>
      </c>
      <c r="B19">
        <v>0.10067304296556231</v>
      </c>
      <c r="C19">
        <f t="shared" si="0"/>
        <v>9.1717327407293547E-2</v>
      </c>
      <c r="D19">
        <f t="shared" si="1"/>
        <v>8.9557155582687675E-3</v>
      </c>
      <c r="E19">
        <f t="shared" si="2"/>
        <v>8.0204841160617268E-5</v>
      </c>
    </row>
    <row r="20" spans="1:5" x14ac:dyDescent="0.25">
      <c r="A20">
        <v>2.5210889220999997</v>
      </c>
      <c r="B20">
        <v>8.6082746883596753E-2</v>
      </c>
      <c r="C20">
        <f t="shared" si="0"/>
        <v>7.5999477191503753E-2</v>
      </c>
      <c r="D20">
        <f t="shared" si="1"/>
        <v>1.0083269692093E-2</v>
      </c>
      <c r="E20">
        <f t="shared" si="2"/>
        <v>1.0167232768348126E-4</v>
      </c>
    </row>
    <row r="21" spans="1:5" x14ac:dyDescent="0.25">
      <c r="A21">
        <v>2.6503178298999996</v>
      </c>
      <c r="B21">
        <v>6.9060734787970285E-2</v>
      </c>
      <c r="C21">
        <f t="shared" si="0"/>
        <v>6.2706003145859571E-2</v>
      </c>
      <c r="D21">
        <f t="shared" si="1"/>
        <v>6.3547316421107142E-3</v>
      </c>
      <c r="E21">
        <f t="shared" si="2"/>
        <v>4.0382614243243136E-5</v>
      </c>
    </row>
    <row r="22" spans="1:5" x14ac:dyDescent="0.25">
      <c r="A22">
        <v>2.7795467377</v>
      </c>
      <c r="B22">
        <v>6.4683645963380609E-2</v>
      </c>
      <c r="C22">
        <f t="shared" si="0"/>
        <v>5.1526632563333306E-2</v>
      </c>
      <c r="D22">
        <f t="shared" si="1"/>
        <v>1.3157013400047303E-2</v>
      </c>
      <c r="E22">
        <f t="shared" si="2"/>
        <v>1.7310700160902428E-4</v>
      </c>
    </row>
    <row r="23" spans="1:5" x14ac:dyDescent="0.25">
      <c r="A23">
        <v>2.9087756454999996</v>
      </c>
      <c r="B23">
        <v>4.912066347595069E-2</v>
      </c>
      <c r="C23">
        <f t="shared" si="0"/>
        <v>4.2174956781410707E-2</v>
      </c>
      <c r="D23">
        <f t="shared" si="1"/>
        <v>6.945706694539984E-3</v>
      </c>
      <c r="E23">
        <f t="shared" si="2"/>
        <v>4.8242841486577552E-5</v>
      </c>
    </row>
    <row r="24" spans="1:5" x14ac:dyDescent="0.25">
      <c r="A24">
        <v>3.0380045532999995</v>
      </c>
      <c r="B24">
        <v>4.0852829029503546E-2</v>
      </c>
      <c r="C24">
        <f t="shared" si="0"/>
        <v>3.4391133789987628E-2</v>
      </c>
      <c r="D24">
        <f t="shared" si="1"/>
        <v>6.4616952395159175E-3</v>
      </c>
      <c r="E24">
        <f t="shared" si="2"/>
        <v>4.1753505368382672E-5</v>
      </c>
    </row>
    <row r="25" spans="1:5" x14ac:dyDescent="0.25">
      <c r="A25">
        <v>3.1672334610999999</v>
      </c>
      <c r="B25">
        <v>3.3557680988520772E-2</v>
      </c>
      <c r="C25">
        <f t="shared" si="0"/>
        <v>2.7942784099695903E-2</v>
      </c>
      <c r="D25">
        <f t="shared" si="1"/>
        <v>5.614896888824869E-3</v>
      </c>
      <c r="E25">
        <f t="shared" si="2"/>
        <v>3.1527067072135191E-5</v>
      </c>
    </row>
    <row r="26" spans="1:5" x14ac:dyDescent="0.25">
      <c r="A26">
        <v>3.2964623688999999</v>
      </c>
      <c r="B26">
        <v>2.8207905758466736E-2</v>
      </c>
      <c r="C26">
        <f t="shared" si="0"/>
        <v>2.2624608935109036E-2</v>
      </c>
      <c r="D26">
        <f t="shared" si="1"/>
        <v>5.5832968233576995E-3</v>
      </c>
      <c r="E26">
        <f t="shared" si="2"/>
        <v>3.1173203417716178E-5</v>
      </c>
    </row>
    <row r="27" spans="1:5" x14ac:dyDescent="0.25">
      <c r="A27">
        <v>3.4256912766999998</v>
      </c>
      <c r="B27">
        <v>2.3830816933877071E-2</v>
      </c>
      <c r="C27">
        <f t="shared" si="0"/>
        <v>1.8257143700161738E-2</v>
      </c>
      <c r="D27">
        <f t="shared" si="1"/>
        <v>5.573673233715333E-3</v>
      </c>
      <c r="E27">
        <f t="shared" si="2"/>
        <v>3.1065833316234737E-5</v>
      </c>
    </row>
    <row r="28" spans="1:5" x14ac:dyDescent="0.25">
      <c r="A28">
        <v>3.5549201844999994</v>
      </c>
      <c r="B28">
        <v>1.4103952879233368E-2</v>
      </c>
      <c r="C28">
        <f t="shared" si="0"/>
        <v>1.4684963835924681E-2</v>
      </c>
      <c r="D28">
        <f t="shared" si="1"/>
        <v>-5.8101095669131284E-4</v>
      </c>
      <c r="E28">
        <f t="shared" si="2"/>
        <v>3.3757373179535457E-7</v>
      </c>
    </row>
    <row r="29" spans="1:5" x14ac:dyDescent="0.25">
      <c r="A29">
        <v>3.6841490922999993</v>
      </c>
      <c r="B29">
        <v>1.8967384906555217E-2</v>
      </c>
      <c r="C29">
        <f t="shared" si="0"/>
        <v>1.1774581948572758E-2</v>
      </c>
      <c r="D29">
        <f t="shared" si="1"/>
        <v>7.1928029579824589E-3</v>
      </c>
      <c r="E29">
        <f t="shared" si="2"/>
        <v>5.1736414392361213E-5</v>
      </c>
    </row>
    <row r="30" spans="1:5" x14ac:dyDescent="0.25">
      <c r="A30">
        <v>3.8133780000999997</v>
      </c>
      <c r="B30">
        <v>1.6049325690162108E-2</v>
      </c>
      <c r="C30">
        <f t="shared" si="0"/>
        <v>9.4122119763375266E-3</v>
      </c>
      <c r="D30">
        <f t="shared" si="1"/>
        <v>6.6371137138245811E-3</v>
      </c>
      <c r="E30">
        <f t="shared" si="2"/>
        <v>4.4051278450238326E-5</v>
      </c>
    </row>
    <row r="31" spans="1:5" x14ac:dyDescent="0.25">
      <c r="A31">
        <v>3.9426069079000001</v>
      </c>
      <c r="B31">
        <v>9.2405208519115174E-3</v>
      </c>
      <c r="C31">
        <f t="shared" si="0"/>
        <v>7.501525947808378E-3</v>
      </c>
      <c r="D31">
        <f t="shared" si="1"/>
        <v>1.7389949041031394E-3</v>
      </c>
      <c r="E31">
        <f t="shared" si="2"/>
        <v>3.024103276496687E-6</v>
      </c>
    </row>
    <row r="32" spans="1:5" x14ac:dyDescent="0.25">
      <c r="A32">
        <v>4.0718358157000001</v>
      </c>
      <c r="B32">
        <v>6.8088048382505912E-3</v>
      </c>
      <c r="C32">
        <f t="shared" si="0"/>
        <v>5.9614895229047572E-3</v>
      </c>
      <c r="D32">
        <f t="shared" si="1"/>
        <v>8.4731531534583404E-4</v>
      </c>
      <c r="E32">
        <f t="shared" si="2"/>
        <v>7.1794324361961021E-7</v>
      </c>
    </row>
    <row r="33" spans="1:5" x14ac:dyDescent="0.25">
      <c r="A33">
        <v>4.2010647234999992</v>
      </c>
      <c r="B33">
        <v>5.8361184327862213E-3</v>
      </c>
      <c r="C33">
        <f t="shared" si="0"/>
        <v>4.7243321714135885E-3</v>
      </c>
      <c r="D33">
        <f t="shared" si="1"/>
        <v>1.1117862613726328E-3</v>
      </c>
      <c r="E33">
        <f t="shared" si="2"/>
        <v>1.2360686909769361E-6</v>
      </c>
    </row>
    <row r="34" spans="1:5" x14ac:dyDescent="0.25">
      <c r="A34">
        <v>4.3302936313</v>
      </c>
      <c r="B34">
        <v>4.377088824589666E-3</v>
      </c>
      <c r="C34">
        <f t="shared" si="0"/>
        <v>3.7336849105567053E-3</v>
      </c>
      <c r="D34">
        <f t="shared" si="1"/>
        <v>6.4340391403296072E-4</v>
      </c>
      <c r="E34">
        <f t="shared" si="2"/>
        <v>4.1396859659293353E-7</v>
      </c>
    </row>
    <row r="35" spans="1:5" x14ac:dyDescent="0.25">
      <c r="A35">
        <v>4.4595225391</v>
      </c>
      <c r="B35">
        <v>1.9453728109287403E-3</v>
      </c>
      <c r="C35">
        <f t="shared" si="0"/>
        <v>2.9429015781637729E-3</v>
      </c>
      <c r="D35">
        <f t="shared" si="1"/>
        <v>-9.9752876723503258E-4</v>
      </c>
      <c r="E35">
        <f t="shared" si="2"/>
        <v>9.9506364146144379E-7</v>
      </c>
    </row>
    <row r="36" spans="1:5" x14ac:dyDescent="0.25">
      <c r="A36">
        <v>4.5887514468999999</v>
      </c>
      <c r="B36">
        <v>1.9453728109287403E-3</v>
      </c>
      <c r="C36">
        <f t="shared" si="0"/>
        <v>2.3135674468083983E-3</v>
      </c>
      <c r="D36">
        <f t="shared" si="1"/>
        <v>-3.6819463587965803E-4</v>
      </c>
      <c r="E36">
        <f t="shared" si="2"/>
        <v>1.3556728989055395E-7</v>
      </c>
    </row>
    <row r="37" spans="1:5" x14ac:dyDescent="0.25">
      <c r="A37">
        <v>4.7179803546999999</v>
      </c>
      <c r="B37">
        <v>2.4317160136609253E-3</v>
      </c>
      <c r="C37">
        <f t="shared" si="0"/>
        <v>1.8141905590416804E-3</v>
      </c>
      <c r="D37">
        <f t="shared" si="1"/>
        <v>6.1752545461924487E-4</v>
      </c>
      <c r="E37">
        <f t="shared" si="2"/>
        <v>3.8133768710270505E-7</v>
      </c>
    </row>
    <row r="38" spans="1:5" x14ac:dyDescent="0.25">
      <c r="A38">
        <v>4.8472092624999998</v>
      </c>
      <c r="B38">
        <v>0</v>
      </c>
      <c r="C38">
        <f t="shared" si="0"/>
        <v>1.4190656282209459E-3</v>
      </c>
      <c r="D38">
        <f t="shared" si="1"/>
        <v>-1.4190656282209459E-3</v>
      </c>
      <c r="E38">
        <f t="shared" si="2"/>
        <v>2.013747257198108E-6</v>
      </c>
    </row>
    <row r="39" spans="1:5" x14ac:dyDescent="0.25">
      <c r="A39">
        <v>4.9764381702999998</v>
      </c>
      <c r="B39">
        <v>0</v>
      </c>
      <c r="C39">
        <f t="shared" si="0"/>
        <v>1.1072970002193984E-3</v>
      </c>
      <c r="D39">
        <f t="shared" si="1"/>
        <v>-1.1072970002193984E-3</v>
      </c>
      <c r="E39">
        <f t="shared" si="2"/>
        <v>1.2261066466948785E-6</v>
      </c>
    </row>
    <row r="40" spans="1:5" x14ac:dyDescent="0.25">
      <c r="A40">
        <v>5.1056670780999998</v>
      </c>
      <c r="B40">
        <v>4.8634320273218507E-4</v>
      </c>
      <c r="C40">
        <f t="shared" si="0"/>
        <v>8.6196543973784099E-4</v>
      </c>
      <c r="D40">
        <f t="shared" si="1"/>
        <v>-3.7562223700565592E-4</v>
      </c>
      <c r="E40">
        <f t="shared" si="2"/>
        <v>1.4109206493313316E-7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1E9A3-F0BA-458F-A1AD-2BC2F16F6CA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6.5216375687499994E-2</v>
      </c>
      <c r="B1">
        <v>0.41374306671398509</v>
      </c>
      <c r="C1">
        <f>$H$3*(1+$H$1)*(A1^($H$1))*EXP(-$H$3*(A1^(1+$H$1)))</f>
        <v>0.43868982709586324</v>
      </c>
      <c r="D1">
        <f>B1-C1</f>
        <v>-2.4946760381878152E-2</v>
      </c>
      <c r="E1">
        <f>D1^2</f>
        <v>6.2234085355084544E-4</v>
      </c>
      <c r="G1" t="s">
        <v>0</v>
      </c>
      <c r="H1">
        <v>0.3633541394460344</v>
      </c>
    </row>
    <row r="2" spans="1:8" x14ac:dyDescent="0.25">
      <c r="A2">
        <v>0.1914493510625</v>
      </c>
      <c r="B2">
        <v>0.65471977464367082</v>
      </c>
      <c r="C2">
        <f t="shared" ref="C2:C40" si="0">$H$3*(1+$H$1)*(A2^($H$1))*EXP(-$H$3*(A2^(1+$H$1)))</f>
        <v>0.60392709925430133</v>
      </c>
      <c r="D2">
        <f t="shared" ref="D2:D40" si="1">B2-C2</f>
        <v>5.079267538936949E-2</v>
      </c>
      <c r="E2">
        <f t="shared" ref="E2:E40" si="2">D2^2</f>
        <v>2.5798958732098612E-3</v>
      </c>
    </row>
    <row r="3" spans="1:8" x14ac:dyDescent="0.25">
      <c r="A3">
        <v>0.3176823264375</v>
      </c>
      <c r="B3">
        <v>0.60343754134458483</v>
      </c>
      <c r="C3">
        <f t="shared" si="0"/>
        <v>0.66175144043743261</v>
      </c>
      <c r="D3">
        <f t="shared" si="1"/>
        <v>-5.8313899092847787E-2</v>
      </c>
      <c r="E3">
        <f t="shared" si="2"/>
        <v>3.4005108274108341E-3</v>
      </c>
      <c r="G3" t="s">
        <v>1</v>
      </c>
      <c r="H3">
        <f>(_xlfn.GAMMA((2+$H$1)/(1+$H$1)))^(1+$H$1)</f>
        <v>0.88647888821255894</v>
      </c>
    </row>
    <row r="4" spans="1:8" x14ac:dyDescent="0.25">
      <c r="A4">
        <v>0.44391530181250005</v>
      </c>
      <c r="B4">
        <v>0.625344514792738</v>
      </c>
      <c r="C4">
        <f t="shared" si="0"/>
        <v>0.67125830784778906</v>
      </c>
      <c r="D4">
        <f t="shared" si="1"/>
        <v>-4.5913793055051055E-2</v>
      </c>
      <c r="E4">
        <f t="shared" si="2"/>
        <v>2.1080763927020544E-3</v>
      </c>
    </row>
    <row r="5" spans="1:8" x14ac:dyDescent="0.25">
      <c r="A5">
        <v>0.57014827718750005</v>
      </c>
      <c r="B5">
        <v>0.73089629595202188</v>
      </c>
      <c r="C5">
        <f t="shared" si="0"/>
        <v>0.65259732942382498</v>
      </c>
      <c r="D5">
        <f t="shared" si="1"/>
        <v>7.8298966528196901E-2</v>
      </c>
      <c r="E5">
        <f t="shared" si="2"/>
        <v>6.1307281593836983E-3</v>
      </c>
      <c r="G5" t="s">
        <v>2</v>
      </c>
      <c r="H5">
        <f>SUM(E1:E40)</f>
        <v>4.4213823484225465E-2</v>
      </c>
    </row>
    <row r="6" spans="1:8" x14ac:dyDescent="0.25">
      <c r="A6">
        <v>0.69638125256250005</v>
      </c>
      <c r="B6">
        <v>0.73985823963535724</v>
      </c>
      <c r="C6">
        <f t="shared" si="0"/>
        <v>0.6167436574160482</v>
      </c>
      <c r="D6">
        <f t="shared" si="1"/>
        <v>0.12311458221930904</v>
      </c>
      <c r="E6">
        <f t="shared" si="2"/>
        <v>1.5157200355035006E-2</v>
      </c>
    </row>
    <row r="7" spans="1:8" x14ac:dyDescent="0.25">
      <c r="A7">
        <v>0.82261422793749994</v>
      </c>
      <c r="B7">
        <v>0.61638257110940264</v>
      </c>
      <c r="C7">
        <f t="shared" si="0"/>
        <v>0.57076110708466121</v>
      </c>
      <c r="D7">
        <f t="shared" si="1"/>
        <v>4.5621464024741432E-2</v>
      </c>
      <c r="E7">
        <f t="shared" si="2"/>
        <v>2.0813179797607765E-3</v>
      </c>
    </row>
    <row r="8" spans="1:8" x14ac:dyDescent="0.25">
      <c r="A8">
        <v>0.94884720331249994</v>
      </c>
      <c r="B8">
        <v>0.49091535954270676</v>
      </c>
      <c r="C8">
        <f t="shared" si="0"/>
        <v>0.5195115935029615</v>
      </c>
      <c r="D8">
        <f t="shared" si="1"/>
        <v>-2.8596233960254736E-2</v>
      </c>
      <c r="E8">
        <f t="shared" si="2"/>
        <v>8.1774459670962629E-4</v>
      </c>
    </row>
    <row r="9" spans="1:8" x14ac:dyDescent="0.25">
      <c r="A9">
        <v>1.0750801786875002</v>
      </c>
      <c r="B9">
        <v>0.44162466928436195</v>
      </c>
      <c r="C9">
        <f t="shared" si="0"/>
        <v>0.46641328866981369</v>
      </c>
      <c r="D9">
        <f t="shared" si="1"/>
        <v>-2.4788619385451738E-2</v>
      </c>
      <c r="E9">
        <f t="shared" si="2"/>
        <v>6.1447565103679366E-4</v>
      </c>
    </row>
    <row r="10" spans="1:8" x14ac:dyDescent="0.25">
      <c r="A10">
        <v>1.2013131540624999</v>
      </c>
      <c r="B10">
        <v>0.3609671761343432</v>
      </c>
      <c r="C10">
        <f t="shared" si="0"/>
        <v>0.41385690973975636</v>
      </c>
      <c r="D10">
        <f t="shared" si="1"/>
        <v>-5.2889733605413158E-2</v>
      </c>
      <c r="E10">
        <f t="shared" si="2"/>
        <v>2.7973239208515699E-3</v>
      </c>
    </row>
    <row r="11" spans="1:8" x14ac:dyDescent="0.25">
      <c r="A11">
        <v>1.3275461294375002</v>
      </c>
      <c r="B11">
        <v>0.32760883020192805</v>
      </c>
      <c r="C11">
        <f t="shared" si="0"/>
        <v>0.36347178536675884</v>
      </c>
      <c r="D11">
        <f t="shared" si="1"/>
        <v>-3.586295516483079E-2</v>
      </c>
      <c r="E11">
        <f t="shared" si="2"/>
        <v>1.2861515531546635E-3</v>
      </c>
    </row>
    <row r="12" spans="1:8" x14ac:dyDescent="0.25">
      <c r="A12">
        <v>1.4537791048125002</v>
      </c>
      <c r="B12">
        <v>0.25790482377598589</v>
      </c>
      <c r="C12">
        <f t="shared" si="0"/>
        <v>0.31631403668116914</v>
      </c>
      <c r="D12">
        <f t="shared" si="1"/>
        <v>-5.840921290518325E-2</v>
      </c>
      <c r="E12">
        <f t="shared" si="2"/>
        <v>3.4116361522030254E-3</v>
      </c>
    </row>
    <row r="13" spans="1:8" x14ac:dyDescent="0.25">
      <c r="A13">
        <v>1.5800120801875002</v>
      </c>
      <c r="B13">
        <v>0.23052110696579434</v>
      </c>
      <c r="C13">
        <f t="shared" si="0"/>
        <v>0.27300807819146078</v>
      </c>
      <c r="D13">
        <f t="shared" si="1"/>
        <v>-4.2486971225666442E-2</v>
      </c>
      <c r="E13">
        <f t="shared" si="2"/>
        <v>1.8051427239306082E-3</v>
      </c>
    </row>
    <row r="14" spans="1:8" x14ac:dyDescent="0.25">
      <c r="A14">
        <v>1.7062450555624999</v>
      </c>
      <c r="B14">
        <v>0.2125972195991235</v>
      </c>
      <c r="C14">
        <f t="shared" si="0"/>
        <v>0.23385656075284902</v>
      </c>
      <c r="D14">
        <f t="shared" si="1"/>
        <v>-2.1259341153725519E-2</v>
      </c>
      <c r="E14">
        <f t="shared" si="2"/>
        <v>4.519595862904875E-4</v>
      </c>
    </row>
    <row r="15" spans="1:8" x14ac:dyDescent="0.25">
      <c r="A15">
        <v>1.8324780309374999</v>
      </c>
      <c r="B15">
        <v>0.19019236039078496</v>
      </c>
      <c r="C15">
        <f t="shared" si="0"/>
        <v>0.19892699639332284</v>
      </c>
      <c r="D15">
        <f t="shared" si="1"/>
        <v>-8.7346360025378766E-3</v>
      </c>
      <c r="E15">
        <f t="shared" si="2"/>
        <v>7.629386609683086E-5</v>
      </c>
    </row>
    <row r="16" spans="1:8" x14ac:dyDescent="0.25">
      <c r="A16">
        <v>1.9587110063124999</v>
      </c>
      <c r="B16">
        <v>0.15583824293799919</v>
      </c>
      <c r="C16">
        <f t="shared" si="0"/>
        <v>0.16812013950838381</v>
      </c>
      <c r="D16">
        <f t="shared" si="1"/>
        <v>-1.2281896570384615E-2</v>
      </c>
      <c r="E16">
        <f t="shared" si="2"/>
        <v>1.5084498336562536E-4</v>
      </c>
    </row>
    <row r="17" spans="1:5" x14ac:dyDescent="0.25">
      <c r="A17">
        <v>2.0849439816875002</v>
      </c>
      <c r="B17">
        <v>0.13741646981114305</v>
      </c>
      <c r="C17">
        <f t="shared" si="0"/>
        <v>0.14122363672131699</v>
      </c>
      <c r="D17">
        <f t="shared" si="1"/>
        <v>-3.8071669101739369E-3</v>
      </c>
      <c r="E17">
        <f t="shared" si="2"/>
        <v>1.4494519881923363E-5</v>
      </c>
    </row>
    <row r="18" spans="1:5" x14ac:dyDescent="0.25">
      <c r="A18">
        <v>2.2111769570624999</v>
      </c>
      <c r="B18">
        <v>0.12496932580651055</v>
      </c>
      <c r="C18">
        <f t="shared" si="0"/>
        <v>0.11795361730764153</v>
      </c>
      <c r="D18">
        <f t="shared" si="1"/>
        <v>7.015708498869011E-3</v>
      </c>
      <c r="E18">
        <f t="shared" si="2"/>
        <v>4.9220165741102869E-5</v>
      </c>
    </row>
    <row r="19" spans="1:5" x14ac:dyDescent="0.25">
      <c r="A19">
        <v>2.3374099324374997</v>
      </c>
      <c r="B19">
        <v>0.10356023811854261</v>
      </c>
      <c r="C19">
        <f t="shared" si="0"/>
        <v>9.7986389955055028E-2</v>
      </c>
      <c r="D19">
        <f t="shared" si="1"/>
        <v>5.5738481634875769E-3</v>
      </c>
      <c r="E19">
        <f t="shared" si="2"/>
        <v>3.1067783349613833E-5</v>
      </c>
    </row>
    <row r="20" spans="1:5" x14ac:dyDescent="0.25">
      <c r="A20">
        <v>2.4636429078124999</v>
      </c>
      <c r="B20">
        <v>8.7130008032427667E-2</v>
      </c>
      <c r="C20">
        <f t="shared" si="0"/>
        <v>8.0982064003507548E-2</v>
      </c>
      <c r="D20">
        <f t="shared" si="1"/>
        <v>6.1479440289201187E-3</v>
      </c>
      <c r="E20">
        <f t="shared" si="2"/>
        <v>3.779721578273454E-5</v>
      </c>
    </row>
    <row r="21" spans="1:5" x14ac:dyDescent="0.25">
      <c r="A21">
        <v>2.5898758831875002</v>
      </c>
      <c r="B21">
        <v>7.7670178588906957E-2</v>
      </c>
      <c r="C21">
        <f t="shared" si="0"/>
        <v>6.6601643823134979E-2</v>
      </c>
      <c r="D21">
        <f t="shared" si="1"/>
        <v>1.1068534765771978E-2</v>
      </c>
      <c r="E21">
        <f t="shared" si="2"/>
        <v>1.2251246186110293E-4</v>
      </c>
    </row>
    <row r="22" spans="1:5" x14ac:dyDescent="0.25">
      <c r="A22">
        <v>2.7161088585625004</v>
      </c>
      <c r="B22">
        <v>6.1239948502792019E-2</v>
      </c>
      <c r="C22">
        <f t="shared" si="0"/>
        <v>5.4518917544081225E-2</v>
      </c>
      <c r="D22">
        <f t="shared" si="1"/>
        <v>6.7210309587107941E-3</v>
      </c>
      <c r="E22">
        <f t="shared" si="2"/>
        <v>4.5172257147948938E-5</v>
      </c>
    </row>
    <row r="23" spans="1:5" x14ac:dyDescent="0.25">
      <c r="A23">
        <v>2.8423418339375002</v>
      </c>
      <c r="B23">
        <v>5.576320514075371E-2</v>
      </c>
      <c r="C23">
        <f t="shared" si="0"/>
        <v>4.4428260536304845E-2</v>
      </c>
      <c r="D23">
        <f t="shared" si="1"/>
        <v>1.1334944604448866E-2</v>
      </c>
      <c r="E23">
        <f t="shared" si="2"/>
        <v>1.2848096918592446E-4</v>
      </c>
    </row>
    <row r="24" spans="1:5" x14ac:dyDescent="0.25">
      <c r="A24">
        <v>2.9685748093125</v>
      </c>
      <c r="B24">
        <v>4.4311832656491787E-2</v>
      </c>
      <c r="C24">
        <f t="shared" si="0"/>
        <v>3.6049293883047298E-2</v>
      </c>
      <c r="D24">
        <f t="shared" si="1"/>
        <v>8.2625387734444888E-3</v>
      </c>
      <c r="E24">
        <f t="shared" si="2"/>
        <v>6.8269546982673558E-5</v>
      </c>
    </row>
    <row r="25" spans="1:5" x14ac:dyDescent="0.25">
      <c r="A25">
        <v>3.0948077846875002</v>
      </c>
      <c r="B25">
        <v>3.5349888973156371E-2</v>
      </c>
      <c r="C25">
        <f t="shared" si="0"/>
        <v>2.9129176655197566E-2</v>
      </c>
      <c r="D25">
        <f t="shared" si="1"/>
        <v>6.2207123179588049E-3</v>
      </c>
      <c r="E25">
        <f t="shared" si="2"/>
        <v>3.8697261742804404E-5</v>
      </c>
    </row>
    <row r="26" spans="1:5" x14ac:dyDescent="0.25">
      <c r="A26">
        <v>3.2210407600625</v>
      </c>
      <c r="B26">
        <v>2.9375259850932759E-2</v>
      </c>
      <c r="C26">
        <f t="shared" si="0"/>
        <v>2.3443167557559985E-2</v>
      </c>
      <c r="D26">
        <f t="shared" si="1"/>
        <v>5.9320922933727739E-3</v>
      </c>
      <c r="E26">
        <f t="shared" si="2"/>
        <v>3.5189718977092656E-5</v>
      </c>
    </row>
    <row r="27" spans="1:5" x14ac:dyDescent="0.25">
      <c r="A27">
        <v>3.3472737354375002</v>
      </c>
      <c r="B27">
        <v>2.4894288009265048E-2</v>
      </c>
      <c r="C27">
        <f t="shared" si="0"/>
        <v>1.8793966203882344E-2</v>
      </c>
      <c r="D27">
        <f t="shared" si="1"/>
        <v>6.1003218053827038E-3</v>
      </c>
      <c r="E27">
        <f t="shared" si="2"/>
        <v>3.7213926129227687E-5</v>
      </c>
    </row>
    <row r="28" spans="1:5" x14ac:dyDescent="0.25">
      <c r="A28">
        <v>3.4735067108125</v>
      </c>
      <c r="B28">
        <v>1.5932344325929632E-2</v>
      </c>
      <c r="C28">
        <f t="shared" si="0"/>
        <v>1.5010236368214729E-2</v>
      </c>
      <c r="D28">
        <f t="shared" si="1"/>
        <v>9.2210795771490231E-4</v>
      </c>
      <c r="E28">
        <f t="shared" si="2"/>
        <v>8.5028308568114809E-7</v>
      </c>
    </row>
    <row r="29" spans="1:5" x14ac:dyDescent="0.25">
      <c r="A29">
        <v>3.5997396861874997</v>
      </c>
      <c r="B29">
        <v>1.8919658887041436E-2</v>
      </c>
      <c r="C29">
        <f t="shared" si="0"/>
        <v>1.1944622168844392E-2</v>
      </c>
      <c r="D29">
        <f t="shared" si="1"/>
        <v>6.9750367181970439E-3</v>
      </c>
      <c r="E29">
        <f t="shared" si="2"/>
        <v>4.8651137220196989E-5</v>
      </c>
    </row>
    <row r="30" spans="1:5" x14ac:dyDescent="0.25">
      <c r="A30">
        <v>3.7259726615625</v>
      </c>
      <c r="B30">
        <v>1.543445856574433E-2</v>
      </c>
      <c r="C30">
        <f t="shared" si="0"/>
        <v>9.4714920417425831E-3</v>
      </c>
      <c r="D30">
        <f t="shared" si="1"/>
        <v>5.9629665240017466E-3</v>
      </c>
      <c r="E30">
        <f t="shared" si="2"/>
        <v>3.5556969766365474E-5</v>
      </c>
    </row>
    <row r="31" spans="1:5" x14ac:dyDescent="0.25">
      <c r="A31">
        <v>3.8522056369375002</v>
      </c>
      <c r="B31">
        <v>1.1949258244447224E-2</v>
      </c>
      <c r="C31">
        <f t="shared" si="0"/>
        <v>7.4845830826239029E-3</v>
      </c>
      <c r="D31">
        <f t="shared" si="1"/>
        <v>4.4646751618233208E-3</v>
      </c>
      <c r="E31">
        <f t="shared" si="2"/>
        <v>1.9933324300602096E-5</v>
      </c>
    </row>
    <row r="32" spans="1:5" x14ac:dyDescent="0.25">
      <c r="A32">
        <v>3.9784386123125</v>
      </c>
      <c r="B32">
        <v>6.9704006425942138E-3</v>
      </c>
      <c r="C32">
        <f t="shared" si="0"/>
        <v>5.8946682738211685E-3</v>
      </c>
      <c r="D32">
        <f t="shared" si="1"/>
        <v>1.0757323687730453E-3</v>
      </c>
      <c r="E32">
        <f t="shared" si="2"/>
        <v>1.1572001292260672E-6</v>
      </c>
    </row>
    <row r="33" spans="1:5" x14ac:dyDescent="0.25">
      <c r="A33">
        <v>4.1046715876875002</v>
      </c>
      <c r="B33">
        <v>5.9746291222236118E-3</v>
      </c>
      <c r="C33">
        <f t="shared" si="0"/>
        <v>4.6273296205603196E-3</v>
      </c>
      <c r="D33">
        <f t="shared" si="1"/>
        <v>1.3472995016632922E-3</v>
      </c>
      <c r="E33">
        <f t="shared" si="2"/>
        <v>1.8152159471821556E-6</v>
      </c>
    </row>
    <row r="34" spans="1:5" x14ac:dyDescent="0.25">
      <c r="A34">
        <v>4.2309045630624995</v>
      </c>
      <c r="B34">
        <v>4.9788576018530099E-3</v>
      </c>
      <c r="C34">
        <f t="shared" si="0"/>
        <v>3.6208896994693309E-3</v>
      </c>
      <c r="D34">
        <f t="shared" si="1"/>
        <v>1.3579679023836789E-3</v>
      </c>
      <c r="E34">
        <f t="shared" si="2"/>
        <v>1.844076823904329E-6</v>
      </c>
    </row>
    <row r="35" spans="1:5" x14ac:dyDescent="0.25">
      <c r="A35">
        <v>4.3571375384374997</v>
      </c>
      <c r="B35">
        <v>1.493657280555903E-3</v>
      </c>
      <c r="C35">
        <f t="shared" si="0"/>
        <v>2.8245310686647062E-3</v>
      </c>
      <c r="D35">
        <f t="shared" si="1"/>
        <v>-1.3308737881088033E-3</v>
      </c>
      <c r="E35">
        <f t="shared" si="2"/>
        <v>1.7712250398750758E-6</v>
      </c>
    </row>
    <row r="36" spans="1:5" x14ac:dyDescent="0.25">
      <c r="A36">
        <v>4.4833705138125</v>
      </c>
      <c r="B36">
        <v>2.4894288009265049E-3</v>
      </c>
      <c r="C36">
        <f t="shared" si="0"/>
        <v>2.1966160389507829E-3</v>
      </c>
      <c r="D36">
        <f t="shared" si="1"/>
        <v>2.9281276197572204E-4</v>
      </c>
      <c r="E36">
        <f t="shared" si="2"/>
        <v>8.5739313575850844E-8</v>
      </c>
    </row>
    <row r="37" spans="1:5" x14ac:dyDescent="0.25">
      <c r="A37">
        <v>4.6096034891875002</v>
      </c>
      <c r="B37">
        <v>2.4894288009265049E-3</v>
      </c>
      <c r="C37">
        <f t="shared" si="0"/>
        <v>1.7032072520702316E-3</v>
      </c>
      <c r="D37">
        <f t="shared" si="1"/>
        <v>7.8622154885627329E-4</v>
      </c>
      <c r="E37">
        <f t="shared" si="2"/>
        <v>6.181443238859573E-7</v>
      </c>
    </row>
    <row r="38" spans="1:5" x14ac:dyDescent="0.25">
      <c r="A38">
        <v>4.7358364645624995</v>
      </c>
      <c r="B38">
        <v>4.9788576018530099E-4</v>
      </c>
      <c r="C38">
        <f t="shared" si="0"/>
        <v>1.3167813108247543E-3</v>
      </c>
      <c r="D38">
        <f t="shared" si="1"/>
        <v>-8.1889555063945334E-4</v>
      </c>
      <c r="E38">
        <f t="shared" si="2"/>
        <v>6.7058992285709353E-7</v>
      </c>
    </row>
    <row r="39" spans="1:5" x14ac:dyDescent="0.25">
      <c r="A39">
        <v>4.8620694399374997</v>
      </c>
      <c r="B39">
        <v>0</v>
      </c>
      <c r="C39">
        <f t="shared" si="0"/>
        <v>1.0151224739898016E-3</v>
      </c>
      <c r="D39">
        <f t="shared" si="1"/>
        <v>-1.0151224739898016E-3</v>
      </c>
      <c r="E39">
        <f t="shared" si="2"/>
        <v>1.0304736371991755E-6</v>
      </c>
    </row>
    <row r="40" spans="1:5" x14ac:dyDescent="0.25">
      <c r="A40">
        <v>4.9883024153125</v>
      </c>
      <c r="B40">
        <v>4.9788576018530099E-4</v>
      </c>
      <c r="C40">
        <f t="shared" si="0"/>
        <v>7.8038043352206905E-4</v>
      </c>
      <c r="D40">
        <f t="shared" si="1"/>
        <v>-2.8249467333676807E-4</v>
      </c>
      <c r="E40">
        <f t="shared" si="2"/>
        <v>7.9803240463647294E-8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426D7-FFD9-401E-A901-2E04E8BB8344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6.2892482875000003E-2</v>
      </c>
      <c r="B1">
        <v>0.34354622340639662</v>
      </c>
      <c r="C1">
        <f>$H$3*(1+$H$1)*(A1^($H$1))*EXP(-$H$3*(A1^(1+$H$1)))</f>
        <v>0.37365702516848109</v>
      </c>
      <c r="D1">
        <f>B1-C1</f>
        <v>-3.0110801762084471E-2</v>
      </c>
      <c r="E1">
        <f>D1^2</f>
        <v>9.0666038275554937E-4</v>
      </c>
      <c r="G1" t="s">
        <v>0</v>
      </c>
      <c r="H1">
        <v>0.42941047012416733</v>
      </c>
    </row>
    <row r="2" spans="1:8" x14ac:dyDescent="0.25">
      <c r="A2">
        <v>0.183642882625</v>
      </c>
      <c r="B2">
        <v>0.61473953006508242</v>
      </c>
      <c r="C2">
        <f t="shared" ref="C2:C40" si="0">$H$3*(1+$H$1)*(A2^($H$1))*EXP(-$H$3*(A2^(1+$H$1)))</f>
        <v>0.5571646124740246</v>
      </c>
      <c r="D2">
        <f t="shared" ref="D2:D40" si="1">B2-C2</f>
        <v>5.7574917591057817E-2</v>
      </c>
      <c r="E2">
        <f t="shared" ref="E2:E40" si="2">D2^2</f>
        <v>3.3148711356170988E-3</v>
      </c>
    </row>
    <row r="3" spans="1:8" x14ac:dyDescent="0.25">
      <c r="A3">
        <v>0.30439328237500002</v>
      </c>
      <c r="B3">
        <v>0.63920418536826529</v>
      </c>
      <c r="C3">
        <f t="shared" si="0"/>
        <v>0.63774452649403057</v>
      </c>
      <c r="D3">
        <f t="shared" si="1"/>
        <v>1.459658874234715E-3</v>
      </c>
      <c r="E3">
        <f t="shared" si="2"/>
        <v>2.1306040291321554E-6</v>
      </c>
      <c r="G3" t="s">
        <v>1</v>
      </c>
      <c r="H3">
        <f>(_xlfn.GAMMA((2+$H$1)/(1+$H$1)))^(1+$H$1)</f>
        <v>0.87190839142182686</v>
      </c>
    </row>
    <row r="4" spans="1:8" x14ac:dyDescent="0.25">
      <c r="A4">
        <v>0.42514368212500003</v>
      </c>
      <c r="B4">
        <v>0.61369848090324486</v>
      </c>
      <c r="C4">
        <f t="shared" si="0"/>
        <v>0.66775290652662056</v>
      </c>
      <c r="D4">
        <f t="shared" si="1"/>
        <v>-5.4054425623375701E-2</v>
      </c>
      <c r="E4">
        <f t="shared" si="2"/>
        <v>2.9218809294730558E-3</v>
      </c>
    </row>
    <row r="5" spans="1:8" x14ac:dyDescent="0.25">
      <c r="A5">
        <v>0.54589408187499999</v>
      </c>
      <c r="B5">
        <v>0.62775264458805202</v>
      </c>
      <c r="C5">
        <f t="shared" si="0"/>
        <v>0.66580068848873664</v>
      </c>
      <c r="D5">
        <f t="shared" si="1"/>
        <v>-3.8048043900684614E-2</v>
      </c>
      <c r="E5">
        <f t="shared" si="2"/>
        <v>1.4476536446684236E-3</v>
      </c>
      <c r="G5" t="s">
        <v>2</v>
      </c>
      <c r="H5">
        <f>SUM(E1:E40)</f>
        <v>3.9659215256060289E-2</v>
      </c>
    </row>
    <row r="6" spans="1:8" x14ac:dyDescent="0.25">
      <c r="A6">
        <v>0.66664448162500001</v>
      </c>
      <c r="B6">
        <v>0.68292825016544301</v>
      </c>
      <c r="C6">
        <f t="shared" si="0"/>
        <v>0.64255817659715186</v>
      </c>
      <c r="D6">
        <f t="shared" si="1"/>
        <v>4.0370073568291143E-2</v>
      </c>
      <c r="E6">
        <f t="shared" si="2"/>
        <v>1.6297428399092392E-3</v>
      </c>
    </row>
    <row r="7" spans="1:8" x14ac:dyDescent="0.25">
      <c r="A7">
        <v>0.78739488137500002</v>
      </c>
      <c r="B7">
        <v>0.71728287250608269</v>
      </c>
      <c r="C7">
        <f t="shared" si="0"/>
        <v>0.60530994200793153</v>
      </c>
      <c r="D7">
        <f t="shared" si="1"/>
        <v>0.11197293049815116</v>
      </c>
      <c r="E7">
        <f t="shared" si="2"/>
        <v>1.2537937164343789E-2</v>
      </c>
    </row>
    <row r="8" spans="1:8" x14ac:dyDescent="0.25">
      <c r="A8">
        <v>0.90814528112500004</v>
      </c>
      <c r="B8">
        <v>0.61734215296967632</v>
      </c>
      <c r="C8">
        <f t="shared" si="0"/>
        <v>0.55938905744637124</v>
      </c>
      <c r="D8">
        <f t="shared" si="1"/>
        <v>5.7953095523305076E-2</v>
      </c>
      <c r="E8">
        <f t="shared" si="2"/>
        <v>3.3585612807333228E-3</v>
      </c>
    </row>
    <row r="9" spans="1:8" x14ac:dyDescent="0.25">
      <c r="A9">
        <v>1.0288956808750001</v>
      </c>
      <c r="B9">
        <v>0.52364772840429541</v>
      </c>
      <c r="C9">
        <f t="shared" si="0"/>
        <v>0.50878979585731965</v>
      </c>
      <c r="D9">
        <f t="shared" si="1"/>
        <v>1.4857932546975761E-2</v>
      </c>
      <c r="E9">
        <f t="shared" si="2"/>
        <v>2.207581595704816E-4</v>
      </c>
    </row>
    <row r="10" spans="1:8" x14ac:dyDescent="0.25">
      <c r="A10">
        <v>1.1496460806250002</v>
      </c>
      <c r="B10">
        <v>0.42683015635340188</v>
      </c>
      <c r="C10">
        <f t="shared" si="0"/>
        <v>0.45649777481290821</v>
      </c>
      <c r="D10">
        <f t="shared" si="1"/>
        <v>-2.9667618459506329E-2</v>
      </c>
      <c r="E10">
        <f t="shared" si="2"/>
        <v>8.8016758505884063E-4</v>
      </c>
    </row>
    <row r="11" spans="1:8" x14ac:dyDescent="0.25">
      <c r="A11">
        <v>1.2703964803750001</v>
      </c>
      <c r="B11">
        <v>0.35031304295834081</v>
      </c>
      <c r="C11">
        <f t="shared" si="0"/>
        <v>0.40470434328350796</v>
      </c>
      <c r="D11">
        <f t="shared" si="1"/>
        <v>-5.4391300325167147E-2</v>
      </c>
      <c r="E11">
        <f t="shared" si="2"/>
        <v>2.9584135510625277E-3</v>
      </c>
    </row>
    <row r="12" spans="1:8" x14ac:dyDescent="0.25">
      <c r="A12">
        <v>1.391146880125</v>
      </c>
      <c r="B12">
        <v>0.31127369938943211</v>
      </c>
      <c r="C12">
        <f t="shared" si="0"/>
        <v>0.35496557352026115</v>
      </c>
      <c r="D12">
        <f t="shared" si="1"/>
        <v>-4.3691874130829034E-2</v>
      </c>
      <c r="E12">
        <f t="shared" si="2"/>
        <v>1.9089798650642074E-3</v>
      </c>
    </row>
    <row r="13" spans="1:8" x14ac:dyDescent="0.25">
      <c r="A13">
        <v>1.5118972798750001</v>
      </c>
      <c r="B13">
        <v>0.23944130722264007</v>
      </c>
      <c r="C13">
        <f t="shared" si="0"/>
        <v>0.30832985856369793</v>
      </c>
      <c r="D13">
        <f t="shared" si="1"/>
        <v>-6.8888551341057869E-2</v>
      </c>
      <c r="E13">
        <f t="shared" si="2"/>
        <v>4.7456325058695655E-3</v>
      </c>
    </row>
    <row r="14" spans="1:8" x14ac:dyDescent="0.25">
      <c r="A14">
        <v>1.6326476796250002</v>
      </c>
      <c r="B14">
        <v>0.24360550386999033</v>
      </c>
      <c r="C14">
        <f t="shared" si="0"/>
        <v>0.26544429711897782</v>
      </c>
      <c r="D14">
        <f t="shared" si="1"/>
        <v>-2.1838793248987493E-2</v>
      </c>
      <c r="E14">
        <f t="shared" si="2"/>
        <v>4.7693289057202168E-4</v>
      </c>
    </row>
    <row r="15" spans="1:8" x14ac:dyDescent="0.25">
      <c r="A15">
        <v>1.7533980793750001</v>
      </c>
      <c r="B15">
        <v>0.19259409493994961</v>
      </c>
      <c r="C15">
        <f t="shared" si="0"/>
        <v>0.22664450844141765</v>
      </c>
      <c r="D15">
        <f t="shared" si="1"/>
        <v>-3.4050413501468035E-2</v>
      </c>
      <c r="E15">
        <f t="shared" si="2"/>
        <v>1.1594306596209567E-3</v>
      </c>
    </row>
    <row r="16" spans="1:8" x14ac:dyDescent="0.25">
      <c r="A16">
        <v>1.874148479125</v>
      </c>
      <c r="B16">
        <v>0.17385521002687343</v>
      </c>
      <c r="C16">
        <f t="shared" si="0"/>
        <v>0.19203029080529446</v>
      </c>
      <c r="D16">
        <f t="shared" si="1"/>
        <v>-1.8175080778421032E-2</v>
      </c>
      <c r="E16">
        <f t="shared" si="2"/>
        <v>3.3033356130212965E-4</v>
      </c>
    </row>
    <row r="17" spans="1:5" x14ac:dyDescent="0.25">
      <c r="A17">
        <v>1.9948988788750002</v>
      </c>
      <c r="B17">
        <v>0.15199317762828457</v>
      </c>
      <c r="C17">
        <f t="shared" si="0"/>
        <v>0.16152868791549654</v>
      </c>
      <c r="D17">
        <f t="shared" si="1"/>
        <v>-9.5355102872119735E-3</v>
      </c>
      <c r="E17">
        <f t="shared" si="2"/>
        <v>9.0925956437525371E-5</v>
      </c>
    </row>
    <row r="18" spans="1:5" x14ac:dyDescent="0.25">
      <c r="A18">
        <v>2.1156492786249999</v>
      </c>
      <c r="B18">
        <v>0.13950058768623377</v>
      </c>
      <c r="C18">
        <f t="shared" si="0"/>
        <v>0.13494574924578157</v>
      </c>
      <c r="D18">
        <f t="shared" si="1"/>
        <v>4.554838440452208E-3</v>
      </c>
      <c r="E18">
        <f t="shared" si="2"/>
        <v>2.0746553218621101E-5</v>
      </c>
    </row>
    <row r="19" spans="1:5" x14ac:dyDescent="0.25">
      <c r="A19">
        <v>2.2363996783750002</v>
      </c>
      <c r="B19">
        <v>0.10931016199294438</v>
      </c>
      <c r="C19">
        <f t="shared" si="0"/>
        <v>0.11200820821821636</v>
      </c>
      <c r="D19">
        <f t="shared" si="1"/>
        <v>-2.6980462252719772E-3</v>
      </c>
      <c r="E19">
        <f t="shared" si="2"/>
        <v>7.279453433704365E-6</v>
      </c>
    </row>
    <row r="20" spans="1:5" x14ac:dyDescent="0.25">
      <c r="A20">
        <v>2.3571500781250001</v>
      </c>
      <c r="B20">
        <v>0.10618701450743169</v>
      </c>
      <c r="C20">
        <f t="shared" si="0"/>
        <v>9.2396299981816532E-2</v>
      </c>
      <c r="D20">
        <f t="shared" si="1"/>
        <v>1.3790714525615158E-2</v>
      </c>
      <c r="E20">
        <f t="shared" si="2"/>
        <v>1.9018380712701292E-4</v>
      </c>
    </row>
    <row r="21" spans="1:5" x14ac:dyDescent="0.25">
      <c r="A21">
        <v>2.477900477875</v>
      </c>
      <c r="B21">
        <v>7.8599211718736198E-2</v>
      </c>
      <c r="C21">
        <f t="shared" si="0"/>
        <v>7.5768932796072067E-2</v>
      </c>
      <c r="D21">
        <f t="shared" si="1"/>
        <v>2.8302789226641312E-3</v>
      </c>
      <c r="E21">
        <f t="shared" si="2"/>
        <v>8.0104787800768347E-6</v>
      </c>
    </row>
    <row r="22" spans="1:5" x14ac:dyDescent="0.25">
      <c r="A22">
        <v>2.5986508776250004</v>
      </c>
      <c r="B22">
        <v>6.7147670938522974E-2</v>
      </c>
      <c r="C22">
        <f t="shared" si="0"/>
        <v>6.1782390907233378E-2</v>
      </c>
      <c r="D22">
        <f t="shared" si="1"/>
        <v>5.365280031289596E-3</v>
      </c>
      <c r="E22">
        <f t="shared" si="2"/>
        <v>2.8786229814154887E-5</v>
      </c>
    </row>
    <row r="23" spans="1:5" x14ac:dyDescent="0.25">
      <c r="A23">
        <v>2.7194012773750003</v>
      </c>
      <c r="B23">
        <v>5.9339802224741237E-2</v>
      </c>
      <c r="C23">
        <f t="shared" si="0"/>
        <v>5.0103679422772759E-2</v>
      </c>
      <c r="D23">
        <f t="shared" si="1"/>
        <v>9.2361228019684771E-3</v>
      </c>
      <c r="E23">
        <f t="shared" si="2"/>
        <v>8.5305964413042031E-5</v>
      </c>
    </row>
    <row r="24" spans="1:5" x14ac:dyDescent="0.25">
      <c r="A24">
        <v>2.8401516771250002</v>
      </c>
      <c r="B24">
        <v>5.0490884349121926E-2</v>
      </c>
      <c r="C24">
        <f t="shared" si="0"/>
        <v>4.0419528714224773E-2</v>
      </c>
      <c r="D24">
        <f t="shared" si="1"/>
        <v>1.0071355634897153E-2</v>
      </c>
      <c r="E24">
        <f t="shared" si="2"/>
        <v>1.0143220432457463E-4</v>
      </c>
    </row>
    <row r="25" spans="1:5" x14ac:dyDescent="0.25">
      <c r="A25">
        <v>2.9609020768749996</v>
      </c>
      <c r="B25">
        <v>4.1641966473502622E-2</v>
      </c>
      <c r="C25">
        <f t="shared" si="0"/>
        <v>3.2441965873748188E-2</v>
      </c>
      <c r="D25">
        <f t="shared" si="1"/>
        <v>9.2000005997544335E-3</v>
      </c>
      <c r="E25">
        <f t="shared" si="2"/>
        <v>8.4640011035481939E-5</v>
      </c>
    </row>
    <row r="26" spans="1:5" x14ac:dyDescent="0.25">
      <c r="A26">
        <v>3.081652476625</v>
      </c>
      <c r="B26">
        <v>3.1751999436045751E-2</v>
      </c>
      <c r="C26">
        <f t="shared" si="0"/>
        <v>2.5911242358785072E-2</v>
      </c>
      <c r="D26">
        <f t="shared" si="1"/>
        <v>5.840757077260679E-3</v>
      </c>
      <c r="E26">
        <f t="shared" si="2"/>
        <v>3.4114443235570709E-5</v>
      </c>
    </row>
    <row r="27" spans="1:5" x14ac:dyDescent="0.25">
      <c r="A27">
        <v>3.2024028763750003</v>
      </c>
      <c r="B27">
        <v>2.6546753626857923E-2</v>
      </c>
      <c r="C27">
        <f t="shared" si="0"/>
        <v>2.0596787613493098E-2</v>
      </c>
      <c r="D27">
        <f t="shared" si="1"/>
        <v>5.9499660133648241E-3</v>
      </c>
      <c r="E27">
        <f t="shared" si="2"/>
        <v>3.5402095560196499E-5</v>
      </c>
    </row>
    <row r="28" spans="1:5" x14ac:dyDescent="0.25">
      <c r="A28">
        <v>3.3231532761250002</v>
      </c>
      <c r="B28">
        <v>2.1341507817670094E-2</v>
      </c>
      <c r="C28">
        <f t="shared" si="0"/>
        <v>1.629674389855237E-2</v>
      </c>
      <c r="D28">
        <f t="shared" si="1"/>
        <v>5.0447639191177236E-3</v>
      </c>
      <c r="E28">
        <f t="shared" si="2"/>
        <v>2.5449642999632014E-5</v>
      </c>
    </row>
    <row r="29" spans="1:5" x14ac:dyDescent="0.25">
      <c r="A29">
        <v>3.4439036758750001</v>
      </c>
      <c r="B29">
        <v>1.8738884913076178E-2</v>
      </c>
      <c r="C29">
        <f t="shared" si="0"/>
        <v>1.2836531806569313E-2</v>
      </c>
      <c r="D29">
        <f t="shared" si="1"/>
        <v>5.9023531065068649E-3</v>
      </c>
      <c r="E29">
        <f t="shared" si="2"/>
        <v>3.4837772193891239E-5</v>
      </c>
    </row>
    <row r="30" spans="1:5" x14ac:dyDescent="0.25">
      <c r="A30">
        <v>3.564654075625</v>
      </c>
      <c r="B30">
        <v>1.6656786589401049E-2</v>
      </c>
      <c r="C30">
        <f t="shared" si="0"/>
        <v>1.0066801450667073E-2</v>
      </c>
      <c r="D30">
        <f t="shared" si="1"/>
        <v>6.5899851387339753E-3</v>
      </c>
      <c r="E30">
        <f t="shared" si="2"/>
        <v>4.3427904128734651E-5</v>
      </c>
    </row>
    <row r="31" spans="1:5" x14ac:dyDescent="0.25">
      <c r="A31">
        <v>3.6854044753749999</v>
      </c>
      <c r="B31">
        <v>1.4054163684807134E-2</v>
      </c>
      <c r="C31">
        <f t="shared" si="0"/>
        <v>7.8610422704965526E-3</v>
      </c>
      <c r="D31">
        <f t="shared" si="1"/>
        <v>6.1931214143105817E-3</v>
      </c>
      <c r="E31">
        <f t="shared" si="2"/>
        <v>3.8354752852392297E-5</v>
      </c>
    </row>
    <row r="32" spans="1:5" x14ac:dyDescent="0.25">
      <c r="A32">
        <v>3.8061548751250003</v>
      </c>
      <c r="B32">
        <v>7.8078687137817411E-3</v>
      </c>
      <c r="C32">
        <f t="shared" si="0"/>
        <v>6.1130549982170357E-3</v>
      </c>
      <c r="D32">
        <f t="shared" si="1"/>
        <v>1.6948137155647055E-3</v>
      </c>
      <c r="E32">
        <f t="shared" si="2"/>
        <v>2.8723935304662424E-6</v>
      </c>
    </row>
    <row r="33" spans="1:5" x14ac:dyDescent="0.25">
      <c r="A33">
        <v>3.9269052748750002</v>
      </c>
      <c r="B33">
        <v>9.369442456538089E-3</v>
      </c>
      <c r="C33">
        <f t="shared" si="0"/>
        <v>4.7344320540354829E-3</v>
      </c>
      <c r="D33">
        <f t="shared" si="1"/>
        <v>4.6350104025026061E-3</v>
      </c>
      <c r="E33">
        <f t="shared" si="2"/>
        <v>2.148332143130737E-5</v>
      </c>
    </row>
    <row r="34" spans="1:5" x14ac:dyDescent="0.25">
      <c r="A34">
        <v>4.0476556746250001</v>
      </c>
      <c r="B34">
        <v>3.6436720664314794E-3</v>
      </c>
      <c r="C34">
        <f t="shared" si="0"/>
        <v>3.6521465168133176E-3</v>
      </c>
      <c r="D34">
        <f t="shared" si="1"/>
        <v>-8.4744503818382291E-6</v>
      </c>
      <c r="E34">
        <f t="shared" si="2"/>
        <v>7.1816309274238109E-11</v>
      </c>
    </row>
    <row r="35" spans="1:5" x14ac:dyDescent="0.25">
      <c r="A35">
        <v>4.1684060743749995</v>
      </c>
      <c r="B35">
        <v>2.6026229045939138E-3</v>
      </c>
      <c r="C35">
        <f t="shared" si="0"/>
        <v>2.8063135905880979E-3</v>
      </c>
      <c r="D35">
        <f t="shared" si="1"/>
        <v>-2.0369068599418406E-4</v>
      </c>
      <c r="E35">
        <f t="shared" si="2"/>
        <v>4.1489895560781292E-8</v>
      </c>
    </row>
    <row r="36" spans="1:5" x14ac:dyDescent="0.25">
      <c r="A36">
        <v>4.2891564741250008</v>
      </c>
      <c r="B36">
        <v>4.1641966473502622E-3</v>
      </c>
      <c r="C36">
        <f t="shared" si="0"/>
        <v>2.1481607962212028E-3</v>
      </c>
      <c r="D36">
        <f t="shared" si="1"/>
        <v>2.0160358511290594E-3</v>
      </c>
      <c r="E36">
        <f t="shared" si="2"/>
        <v>4.0644005530376711E-6</v>
      </c>
    </row>
    <row r="37" spans="1:5" x14ac:dyDescent="0.25">
      <c r="A37">
        <v>4.4099068738750002</v>
      </c>
      <c r="B37">
        <v>1.5615737427563483E-3</v>
      </c>
      <c r="C37">
        <f t="shared" si="0"/>
        <v>1.6382225871753996E-3</v>
      </c>
      <c r="D37">
        <f t="shared" si="1"/>
        <v>-7.66488444190513E-5</v>
      </c>
      <c r="E37">
        <f t="shared" si="2"/>
        <v>5.8750453507759319E-9</v>
      </c>
    </row>
    <row r="38" spans="1:5" x14ac:dyDescent="0.25">
      <c r="A38">
        <v>4.5306572736250006</v>
      </c>
      <c r="B38">
        <v>0</v>
      </c>
      <c r="C38">
        <f t="shared" si="0"/>
        <v>1.2447604193588475E-3</v>
      </c>
      <c r="D38">
        <f t="shared" si="1"/>
        <v>-1.2447604193588475E-3</v>
      </c>
      <c r="E38">
        <f t="shared" si="2"/>
        <v>1.5494285016024139E-6</v>
      </c>
    </row>
    <row r="39" spans="1:5" x14ac:dyDescent="0.25">
      <c r="A39">
        <v>4.6514076733750001</v>
      </c>
      <c r="B39">
        <v>5.2052458091878277E-4</v>
      </c>
      <c r="C39">
        <f t="shared" si="0"/>
        <v>9.4239931581684762E-4</v>
      </c>
      <c r="D39">
        <f t="shared" si="1"/>
        <v>-4.2187473489806485E-4</v>
      </c>
      <c r="E39">
        <f t="shared" si="2"/>
        <v>1.7797829194531249E-7</v>
      </c>
    </row>
    <row r="40" spans="1:5" x14ac:dyDescent="0.25">
      <c r="A40">
        <v>4.7721580731250004</v>
      </c>
      <c r="B40">
        <v>5.2052458091878277E-4</v>
      </c>
      <c r="C40">
        <f t="shared" si="0"/>
        <v>7.109656210070543E-4</v>
      </c>
      <c r="D40">
        <f t="shared" si="1"/>
        <v>-1.9044104008827153E-4</v>
      </c>
      <c r="E40">
        <f t="shared" si="2"/>
        <v>3.6267789749902647E-8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3F1E5-F854-4F97-9777-C2D0D0FEEAD1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6.2270259500000001E-2</v>
      </c>
      <c r="B1">
        <v>0.28687846097859915</v>
      </c>
      <c r="C1">
        <f>$H$3*(1+$H$1)*(A1^($H$1))*EXP(-$H$3*(A1^(1+$H$1)))</f>
        <v>0.32403544352812635</v>
      </c>
      <c r="D1">
        <f>B1-C1</f>
        <v>-3.7156982549527207E-2</v>
      </c>
      <c r="E1">
        <f>D1^2</f>
        <v>1.3806413521858694E-3</v>
      </c>
      <c r="G1" t="s">
        <v>0</v>
      </c>
      <c r="H1">
        <v>0.49015117895667937</v>
      </c>
    </row>
    <row r="2" spans="1:8" x14ac:dyDescent="0.25">
      <c r="A2">
        <v>0.17793772250000001</v>
      </c>
      <c r="B2">
        <v>0.56017366149419645</v>
      </c>
      <c r="C2">
        <f t="shared" ref="C2:C40" si="0">$H$3*(1+$H$1)*(A2^($H$1))*EXP(-$H$3*(A2^(1+$H$1)))</f>
        <v>0.51470093913360104</v>
      </c>
      <c r="D2">
        <f t="shared" ref="D2:D40" si="1">B2-C2</f>
        <v>4.5472722360595408E-2</v>
      </c>
      <c r="E2">
        <f t="shared" ref="E2:E40" si="2">D2^2</f>
        <v>2.0677684788837935E-3</v>
      </c>
    </row>
    <row r="3" spans="1:8" x14ac:dyDescent="0.25">
      <c r="A3">
        <v>0.29360518549999998</v>
      </c>
      <c r="B3">
        <v>0.63786991134256699</v>
      </c>
      <c r="C3">
        <f t="shared" si="0"/>
        <v>0.61171381118808743</v>
      </c>
      <c r="D3">
        <f t="shared" si="1"/>
        <v>2.6156100154479556E-2</v>
      </c>
      <c r="E3">
        <f t="shared" si="2"/>
        <v>6.8414157529116549E-4</v>
      </c>
      <c r="G3" t="s">
        <v>1</v>
      </c>
      <c r="H3">
        <f>(_xlfn.GAMMA((2+$H$1)/(1+$H$1)))^(1+$H$1)</f>
        <v>0.85962471886806469</v>
      </c>
    </row>
    <row r="4" spans="1:8" x14ac:dyDescent="0.25">
      <c r="A4">
        <v>0.4092726485</v>
      </c>
      <c r="B4">
        <v>0.65090984138704877</v>
      </c>
      <c r="C4">
        <f t="shared" si="0"/>
        <v>0.65880055311503427</v>
      </c>
      <c r="D4">
        <f t="shared" si="1"/>
        <v>-7.8907117279854999E-3</v>
      </c>
      <c r="E4">
        <f t="shared" si="2"/>
        <v>6.2263331574167913E-5</v>
      </c>
    </row>
    <row r="5" spans="1:8" x14ac:dyDescent="0.25">
      <c r="A5">
        <v>0.52494011150000008</v>
      </c>
      <c r="B5">
        <v>0.64330321552776781</v>
      </c>
      <c r="C5">
        <f t="shared" si="0"/>
        <v>0.6721350596736525</v>
      </c>
      <c r="D5">
        <f t="shared" si="1"/>
        <v>-2.8831844145884689E-2</v>
      </c>
      <c r="E5">
        <f t="shared" si="2"/>
        <v>8.3127523685258521E-4</v>
      </c>
      <c r="G5" t="s">
        <v>2</v>
      </c>
      <c r="H5">
        <f>SUM(E1:E40)</f>
        <v>3.229240515160578E-2</v>
      </c>
    </row>
    <row r="6" spans="1:8" x14ac:dyDescent="0.25">
      <c r="A6">
        <v>0.64060757449999994</v>
      </c>
      <c r="B6">
        <v>0.62808996380920568</v>
      </c>
      <c r="C6">
        <f t="shared" si="0"/>
        <v>0.66142610981054362</v>
      </c>
      <c r="D6">
        <f t="shared" si="1"/>
        <v>-3.3336146001337941E-2</v>
      </c>
      <c r="E6">
        <f t="shared" si="2"/>
        <v>1.1112986302225195E-3</v>
      </c>
    </row>
    <row r="7" spans="1:8" x14ac:dyDescent="0.25">
      <c r="A7">
        <v>0.75627503750000002</v>
      </c>
      <c r="B7">
        <v>0.64112989385368746</v>
      </c>
      <c r="C7">
        <f t="shared" si="0"/>
        <v>0.63366952369322238</v>
      </c>
      <c r="D7">
        <f t="shared" si="1"/>
        <v>7.4603701604650796E-3</v>
      </c>
      <c r="E7">
        <f t="shared" si="2"/>
        <v>5.5657122931157759E-5</v>
      </c>
    </row>
    <row r="8" spans="1:8" x14ac:dyDescent="0.25">
      <c r="A8">
        <v>0.8719425005</v>
      </c>
      <c r="B8">
        <v>0.69709292696125513</v>
      </c>
      <c r="C8">
        <f t="shared" si="0"/>
        <v>0.59428228738472555</v>
      </c>
      <c r="D8">
        <f t="shared" si="1"/>
        <v>0.10281063957652958</v>
      </c>
      <c r="E8">
        <f t="shared" si="2"/>
        <v>1.0570027610135072E-2</v>
      </c>
    </row>
    <row r="9" spans="1:8" x14ac:dyDescent="0.25">
      <c r="A9">
        <v>0.98760996350000008</v>
      </c>
      <c r="B9">
        <v>0.61016005999804324</v>
      </c>
      <c r="C9">
        <f t="shared" si="0"/>
        <v>0.54755386026994246</v>
      </c>
      <c r="D9">
        <f t="shared" si="1"/>
        <v>6.2606199728100775E-2</v>
      </c>
      <c r="E9">
        <f t="shared" si="2"/>
        <v>3.9195362443948459E-3</v>
      </c>
    </row>
    <row r="10" spans="1:8" x14ac:dyDescent="0.25">
      <c r="A10">
        <v>1.1032774265</v>
      </c>
      <c r="B10">
        <v>0.51073059340886973</v>
      </c>
      <c r="C10">
        <f t="shared" si="0"/>
        <v>0.49687382883729075</v>
      </c>
      <c r="D10">
        <f t="shared" si="1"/>
        <v>1.3856764571578972E-2</v>
      </c>
      <c r="E10">
        <f t="shared" si="2"/>
        <v>1.9200992439216618E-4</v>
      </c>
    </row>
    <row r="11" spans="1:8" x14ac:dyDescent="0.25">
      <c r="A11">
        <v>1.2189448895000001</v>
      </c>
      <c r="B11">
        <v>0.42868770021233848</v>
      </c>
      <c r="C11">
        <f t="shared" si="0"/>
        <v>0.44487743974776456</v>
      </c>
      <c r="D11">
        <f t="shared" si="1"/>
        <v>-1.6189739535426073E-2</v>
      </c>
      <c r="E11">
        <f t="shared" si="2"/>
        <v>2.6210766622493804E-4</v>
      </c>
    </row>
    <row r="12" spans="1:8" x14ac:dyDescent="0.25">
      <c r="A12">
        <v>1.3346123525000002</v>
      </c>
      <c r="B12">
        <v>0.34066817241208647</v>
      </c>
      <c r="C12">
        <f t="shared" si="0"/>
        <v>0.39355858458065618</v>
      </c>
      <c r="D12">
        <f t="shared" si="1"/>
        <v>-5.2890412168569712E-2</v>
      </c>
      <c r="E12">
        <f t="shared" si="2"/>
        <v>2.7973956993611868E-3</v>
      </c>
    </row>
    <row r="13" spans="1:8" x14ac:dyDescent="0.25">
      <c r="A13">
        <v>1.4502798155000001</v>
      </c>
      <c r="B13">
        <v>0.29557174767492034</v>
      </c>
      <c r="C13">
        <f t="shared" si="0"/>
        <v>0.34436815690104805</v>
      </c>
      <c r="D13">
        <f t="shared" si="1"/>
        <v>-4.8796409226127713E-2</v>
      </c>
      <c r="E13">
        <f t="shared" si="2"/>
        <v>2.3810895533637219E-3</v>
      </c>
    </row>
    <row r="14" spans="1:8" x14ac:dyDescent="0.25">
      <c r="A14">
        <v>1.5659472784999999</v>
      </c>
      <c r="B14">
        <v>0.25101865335627427</v>
      </c>
      <c r="C14">
        <f t="shared" si="0"/>
        <v>0.29830373780014163</v>
      </c>
      <c r="D14">
        <f t="shared" si="1"/>
        <v>-4.7285084443867365E-2</v>
      </c>
      <c r="E14">
        <f t="shared" si="2"/>
        <v>2.2358792108636673E-3</v>
      </c>
    </row>
    <row r="15" spans="1:8" x14ac:dyDescent="0.25">
      <c r="A15">
        <v>1.6816147414999998</v>
      </c>
      <c r="B15">
        <v>0.21244219364134898</v>
      </c>
      <c r="C15">
        <f t="shared" si="0"/>
        <v>0.25599196015646369</v>
      </c>
      <c r="D15">
        <f t="shared" si="1"/>
        <v>-4.3549766515114718E-2</v>
      </c>
      <c r="E15">
        <f t="shared" si="2"/>
        <v>1.8965821635210072E-3</v>
      </c>
    </row>
    <row r="16" spans="1:8" x14ac:dyDescent="0.25">
      <c r="A16">
        <v>1.7972822045000001</v>
      </c>
      <c r="B16">
        <v>0.19994559401538728</v>
      </c>
      <c r="C16">
        <f t="shared" si="0"/>
        <v>0.2177632930899126</v>
      </c>
      <c r="D16">
        <f t="shared" si="1"/>
        <v>-1.7817699074525323E-2</v>
      </c>
      <c r="E16">
        <f t="shared" si="2"/>
        <v>3.1747040031034052E-4</v>
      </c>
    </row>
    <row r="17" spans="1:5" x14ac:dyDescent="0.25">
      <c r="A17">
        <v>1.9129496675</v>
      </c>
      <c r="B17">
        <v>0.15810915178934157</v>
      </c>
      <c r="C17">
        <f t="shared" si="0"/>
        <v>0.18371864315430714</v>
      </c>
      <c r="D17">
        <f t="shared" si="1"/>
        <v>-2.560949136496557E-2</v>
      </c>
      <c r="E17">
        <f t="shared" si="2"/>
        <v>6.5584604797224604E-4</v>
      </c>
    </row>
    <row r="18" spans="1:5" x14ac:dyDescent="0.25">
      <c r="A18">
        <v>2.0286171304999998</v>
      </c>
      <c r="B18">
        <v>0.14669921300042002</v>
      </c>
      <c r="C18">
        <f t="shared" si="0"/>
        <v>0.153787336981065</v>
      </c>
      <c r="D18">
        <f t="shared" si="1"/>
        <v>-7.0881239806449836E-3</v>
      </c>
      <c r="E18">
        <f t="shared" si="2"/>
        <v>5.0241501564994489E-5</v>
      </c>
    </row>
    <row r="19" spans="1:5" x14ac:dyDescent="0.25">
      <c r="A19">
        <v>2.1442845935000001</v>
      </c>
      <c r="B19">
        <v>0.13148596128185794</v>
      </c>
      <c r="C19">
        <f t="shared" si="0"/>
        <v>0.12777638812801767</v>
      </c>
      <c r="D19">
        <f t="shared" si="1"/>
        <v>3.7095731538402676E-3</v>
      </c>
      <c r="E19">
        <f t="shared" si="2"/>
        <v>1.376093298369243E-5</v>
      </c>
    </row>
    <row r="20" spans="1:5" x14ac:dyDescent="0.25">
      <c r="A20">
        <v>2.2599520565</v>
      </c>
      <c r="B20">
        <v>0.10105945784473379</v>
      </c>
      <c r="C20">
        <f t="shared" si="0"/>
        <v>0.10541129998540166</v>
      </c>
      <c r="D20">
        <f t="shared" si="1"/>
        <v>-4.3518421406678748E-3</v>
      </c>
      <c r="E20">
        <f t="shared" si="2"/>
        <v>1.8938530017292751E-5</v>
      </c>
    </row>
    <row r="21" spans="1:5" x14ac:dyDescent="0.25">
      <c r="A21">
        <v>2.3756195194999998</v>
      </c>
      <c r="B21">
        <v>8.8019527800252004E-2</v>
      </c>
      <c r="C21">
        <f t="shared" si="0"/>
        <v>8.6368947265365481E-2</v>
      </c>
      <c r="D21">
        <f t="shared" si="1"/>
        <v>1.6505805348865227E-3</v>
      </c>
      <c r="E21">
        <f t="shared" si="2"/>
        <v>2.7244161021462795E-6</v>
      </c>
    </row>
    <row r="22" spans="1:5" x14ac:dyDescent="0.25">
      <c r="A22">
        <v>2.4912869825000001</v>
      </c>
      <c r="B22">
        <v>8.0412901940970977E-2</v>
      </c>
      <c r="C22">
        <f t="shared" si="0"/>
        <v>7.0303286584416286E-2</v>
      </c>
      <c r="D22">
        <f t="shared" si="1"/>
        <v>1.0109615356554691E-2</v>
      </c>
      <c r="E22">
        <f t="shared" si="2"/>
        <v>1.0220432265748644E-4</v>
      </c>
    </row>
    <row r="23" spans="1:5" x14ac:dyDescent="0.25">
      <c r="A23">
        <v>2.6069544455</v>
      </c>
      <c r="B23">
        <v>6.3026328548328597E-2</v>
      </c>
      <c r="C23">
        <f t="shared" si="0"/>
        <v>5.6864770759564594E-2</v>
      </c>
      <c r="D23">
        <f t="shared" si="1"/>
        <v>6.1615577887640036E-3</v>
      </c>
      <c r="E23">
        <f t="shared" si="2"/>
        <v>3.796479438427836E-5</v>
      </c>
    </row>
    <row r="24" spans="1:5" x14ac:dyDescent="0.25">
      <c r="A24">
        <v>2.7226219084999999</v>
      </c>
      <c r="B24">
        <v>5.7593024363127861E-2</v>
      </c>
      <c r="C24">
        <f t="shared" si="0"/>
        <v>4.5714391761747457E-2</v>
      </c>
      <c r="D24">
        <f t="shared" si="1"/>
        <v>1.1878632601380404E-2</v>
      </c>
      <c r="E24">
        <f t="shared" si="2"/>
        <v>1.4110191247857737E-4</v>
      </c>
    </row>
    <row r="25" spans="1:5" x14ac:dyDescent="0.25">
      <c r="A25">
        <v>2.8382893715000002</v>
      </c>
      <c r="B25">
        <v>4.5096424737166151E-2</v>
      </c>
      <c r="C25">
        <f t="shared" si="0"/>
        <v>3.653326855955423E-2</v>
      </c>
      <c r="D25">
        <f t="shared" si="1"/>
        <v>8.5631561776119205E-3</v>
      </c>
      <c r="E25">
        <f t="shared" si="2"/>
        <v>7.3327643722173193E-5</v>
      </c>
    </row>
    <row r="26" spans="1:5" x14ac:dyDescent="0.25">
      <c r="A26">
        <v>2.9539568345000005</v>
      </c>
      <c r="B26">
        <v>3.422981636676467E-2</v>
      </c>
      <c r="C26">
        <f t="shared" si="0"/>
        <v>2.9028644046109962E-2</v>
      </c>
      <c r="D26">
        <f t="shared" si="1"/>
        <v>5.2011723206547081E-3</v>
      </c>
      <c r="E26">
        <f t="shared" si="2"/>
        <v>2.705219350914468E-5</v>
      </c>
    </row>
    <row r="27" spans="1:5" x14ac:dyDescent="0.25">
      <c r="A27">
        <v>3.0696242974999999</v>
      </c>
      <c r="B27">
        <v>3.3143155529724522E-2</v>
      </c>
      <c r="C27">
        <f t="shared" si="0"/>
        <v>2.2937074478098247E-2</v>
      </c>
      <c r="D27">
        <f t="shared" si="1"/>
        <v>1.0206081051626275E-2</v>
      </c>
      <c r="E27">
        <f t="shared" si="2"/>
        <v>1.0416409043236489E-4</v>
      </c>
    </row>
    <row r="28" spans="1:5" x14ac:dyDescent="0.25">
      <c r="A28">
        <v>3.1852917605000002</v>
      </c>
      <c r="B28">
        <v>1.9016564648202595E-2</v>
      </c>
      <c r="C28">
        <f t="shared" si="0"/>
        <v>1.8025497853765116E-2</v>
      </c>
      <c r="D28">
        <f t="shared" si="1"/>
        <v>9.9106679443747986E-4</v>
      </c>
      <c r="E28">
        <f t="shared" si="2"/>
        <v>9.8221339103658195E-7</v>
      </c>
    </row>
    <row r="29" spans="1:5" x14ac:dyDescent="0.25">
      <c r="A29">
        <v>3.3009592235</v>
      </c>
      <c r="B29">
        <v>2.7709851344523782E-2</v>
      </c>
      <c r="C29">
        <f t="shared" si="0"/>
        <v>1.409076439410081E-2</v>
      </c>
      <c r="D29">
        <f t="shared" si="1"/>
        <v>1.3619086950422972E-2</v>
      </c>
      <c r="E29">
        <f t="shared" si="2"/>
        <v>1.8547952936318128E-4</v>
      </c>
    </row>
    <row r="30" spans="1:5" x14ac:dyDescent="0.25">
      <c r="A30">
        <v>3.4166266864999999</v>
      </c>
      <c r="B30">
        <v>1.3039930044481779E-2</v>
      </c>
      <c r="C30">
        <f t="shared" si="0"/>
        <v>1.0958110239797314E-2</v>
      </c>
      <c r="D30">
        <f t="shared" si="1"/>
        <v>2.0818198046844653E-3</v>
      </c>
      <c r="E30">
        <f t="shared" si="2"/>
        <v>4.3339736991764648E-6</v>
      </c>
    </row>
    <row r="31" spans="1:5" x14ac:dyDescent="0.25">
      <c r="A31">
        <v>3.5322941494999998</v>
      </c>
      <c r="B31">
        <v>1.6299912555602224E-2</v>
      </c>
      <c r="C31">
        <f t="shared" si="0"/>
        <v>8.4789598276903879E-3</v>
      </c>
      <c r="D31">
        <f t="shared" si="1"/>
        <v>7.8209527279118358E-3</v>
      </c>
      <c r="E31">
        <f t="shared" si="2"/>
        <v>6.1167301572231589E-5</v>
      </c>
    </row>
    <row r="32" spans="1:5" x14ac:dyDescent="0.25">
      <c r="A32">
        <v>3.6479616125000001</v>
      </c>
      <c r="B32">
        <v>1.0866608370401482E-2</v>
      </c>
      <c r="C32">
        <f t="shared" si="0"/>
        <v>6.5283564166434254E-3</v>
      </c>
      <c r="D32">
        <f t="shared" si="1"/>
        <v>4.3382519537580565E-3</v>
      </c>
      <c r="E32">
        <f t="shared" si="2"/>
        <v>1.8820430014285592E-5</v>
      </c>
    </row>
    <row r="33" spans="1:5" x14ac:dyDescent="0.25">
      <c r="A33">
        <v>3.7636290754999999</v>
      </c>
      <c r="B33">
        <v>8.1499562778011118E-3</v>
      </c>
      <c r="C33">
        <f t="shared" si="0"/>
        <v>5.0022455885883376E-3</v>
      </c>
      <c r="D33">
        <f t="shared" si="1"/>
        <v>3.1477106892127743E-3</v>
      </c>
      <c r="E33">
        <f t="shared" si="2"/>
        <v>9.9080825829843579E-6</v>
      </c>
    </row>
    <row r="34" spans="1:5" x14ac:dyDescent="0.25">
      <c r="A34">
        <v>3.8792965384999998</v>
      </c>
      <c r="B34">
        <v>5.4333041852007409E-3</v>
      </c>
      <c r="C34">
        <f t="shared" si="0"/>
        <v>3.8147737660707104E-3</v>
      </c>
      <c r="D34">
        <f t="shared" si="1"/>
        <v>1.6185304191300306E-3</v>
      </c>
      <c r="E34">
        <f t="shared" si="2"/>
        <v>2.6196407176492322E-6</v>
      </c>
    </row>
    <row r="35" spans="1:5" x14ac:dyDescent="0.25">
      <c r="A35">
        <v>3.9949640014999996</v>
      </c>
      <c r="B35">
        <v>2.7166520926003705E-3</v>
      </c>
      <c r="C35">
        <f t="shared" si="0"/>
        <v>2.8957125280826808E-3</v>
      </c>
      <c r="D35">
        <f t="shared" si="1"/>
        <v>-1.7906043548231035E-4</v>
      </c>
      <c r="E35">
        <f t="shared" si="2"/>
        <v>3.206263955511463E-8</v>
      </c>
    </row>
    <row r="36" spans="1:5" x14ac:dyDescent="0.25">
      <c r="A36">
        <v>4.1106314644999999</v>
      </c>
      <c r="B36">
        <v>5.9766346037208153E-3</v>
      </c>
      <c r="C36">
        <f t="shared" si="0"/>
        <v>2.1880788789865376E-3</v>
      </c>
      <c r="D36">
        <f t="shared" si="1"/>
        <v>3.7885557247342777E-3</v>
      </c>
      <c r="E36">
        <f t="shared" si="2"/>
        <v>1.4353154479416868E-5</v>
      </c>
    </row>
    <row r="37" spans="1:5" x14ac:dyDescent="0.25">
      <c r="A37">
        <v>4.2262989275000002</v>
      </c>
      <c r="B37">
        <v>5.4333041852007414E-4</v>
      </c>
      <c r="C37">
        <f t="shared" si="0"/>
        <v>1.6459904145436563E-3</v>
      </c>
      <c r="D37">
        <f t="shared" si="1"/>
        <v>-1.1026599960235822E-3</v>
      </c>
      <c r="E37">
        <f t="shared" si="2"/>
        <v>1.2158590668307263E-6</v>
      </c>
    </row>
    <row r="38" spans="1:5" x14ac:dyDescent="0.25">
      <c r="A38">
        <v>4.3419663904999997</v>
      </c>
      <c r="B38">
        <v>1.6299912555602224E-3</v>
      </c>
      <c r="C38">
        <f t="shared" si="0"/>
        <v>1.2327711727747573E-3</v>
      </c>
      <c r="D38">
        <f t="shared" si="1"/>
        <v>3.9722008278546511E-4</v>
      </c>
      <c r="E38">
        <f t="shared" si="2"/>
        <v>1.5778379416809176E-7</v>
      </c>
    </row>
    <row r="39" spans="1:5" x14ac:dyDescent="0.25">
      <c r="A39">
        <v>4.4576338535</v>
      </c>
      <c r="B39">
        <v>0</v>
      </c>
      <c r="C39">
        <f t="shared" si="0"/>
        <v>9.1930747853521022E-4</v>
      </c>
      <c r="D39">
        <f t="shared" si="1"/>
        <v>-9.1930747853521022E-4</v>
      </c>
      <c r="E39">
        <f t="shared" si="2"/>
        <v>8.45126240090766E-7</v>
      </c>
    </row>
    <row r="40" spans="1:5" x14ac:dyDescent="0.25">
      <c r="A40">
        <v>4.5733013165000003</v>
      </c>
      <c r="B40">
        <v>5.4333041852007414E-4</v>
      </c>
      <c r="C40">
        <f t="shared" si="0"/>
        <v>6.8264198503552732E-4</v>
      </c>
      <c r="D40">
        <f t="shared" si="1"/>
        <v>-1.3931156651545318E-4</v>
      </c>
      <c r="E40">
        <f t="shared" si="2"/>
        <v>1.9407712564989536E-8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AFB52-52B2-4131-8995-82DE8DA8DE75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6.4744788237500003E-2</v>
      </c>
      <c r="B1">
        <v>0.26771607921563317</v>
      </c>
      <c r="C1">
        <f>$H$3*(1+$H$1)*(A1^($H$1))*EXP(-$H$3*(A1^(1+$H$1)))</f>
        <v>0.28835910548999655</v>
      </c>
      <c r="D1">
        <f>B1-C1</f>
        <v>-2.0643026274363374E-2</v>
      </c>
      <c r="E1">
        <f>D1^2</f>
        <v>4.261345337640566E-4</v>
      </c>
      <c r="G1" t="s">
        <v>0</v>
      </c>
      <c r="H1">
        <v>0.54988729692472493</v>
      </c>
    </row>
    <row r="2" spans="1:8" x14ac:dyDescent="0.25">
      <c r="A2">
        <v>0.17554555671249999</v>
      </c>
      <c r="B2">
        <v>0.47304069929202985</v>
      </c>
      <c r="C2">
        <f t="shared" ref="C2:C40" si="0">$H$3*(1+$H$1)*(A2^($H$1))*EXP(-$H$3*(A2^(1+$H$1)))</f>
        <v>0.47707142204066066</v>
      </c>
      <c r="D2">
        <f t="shared" ref="D2:D40" si="1">B2-C2</f>
        <v>-4.0307227486308106E-3</v>
      </c>
      <c r="E2">
        <f t="shared" ref="E2:E40" si="2">D2^2</f>
        <v>1.6246725876329916E-5</v>
      </c>
    </row>
    <row r="3" spans="1:8" x14ac:dyDescent="0.25">
      <c r="A3">
        <v>0.28634632518750003</v>
      </c>
      <c r="B3">
        <v>0.6273177618908693</v>
      </c>
      <c r="C3">
        <f t="shared" si="0"/>
        <v>0.58510979387508288</v>
      </c>
      <c r="D3">
        <f t="shared" si="1"/>
        <v>4.2207968015786412E-2</v>
      </c>
      <c r="E3">
        <f t="shared" si="2"/>
        <v>1.7815125640216487E-3</v>
      </c>
      <c r="G3" t="s">
        <v>1</v>
      </c>
      <c r="H3">
        <f>(_xlfn.GAMMA((2+$H$1)/(1+$H$1)))^(1+$H$1)</f>
        <v>0.84846232008801503</v>
      </c>
    </row>
    <row r="4" spans="1:8" x14ac:dyDescent="0.25">
      <c r="A4">
        <v>0.39714709366250001</v>
      </c>
      <c r="B4">
        <v>0.68687324561468599</v>
      </c>
      <c r="C4">
        <f t="shared" si="0"/>
        <v>0.64614408408056079</v>
      </c>
      <c r="D4">
        <f t="shared" si="1"/>
        <v>4.0729161534125202E-2</v>
      </c>
      <c r="E4">
        <f t="shared" si="2"/>
        <v>1.6588645992728641E-3</v>
      </c>
    </row>
    <row r="5" spans="1:8" x14ac:dyDescent="0.25">
      <c r="A5">
        <v>0.50794786213749998</v>
      </c>
      <c r="B5">
        <v>0.64943837013114414</v>
      </c>
      <c r="C5">
        <f t="shared" si="0"/>
        <v>0.67328975293436644</v>
      </c>
      <c r="D5">
        <f t="shared" si="1"/>
        <v>-2.3851382803222299E-2</v>
      </c>
      <c r="E5">
        <f t="shared" si="2"/>
        <v>5.6888846162584837E-4</v>
      </c>
      <c r="G5" t="s">
        <v>2</v>
      </c>
      <c r="H5">
        <f>SUM(E1:E40)</f>
        <v>3.0445972789591279E-2</v>
      </c>
    </row>
    <row r="6" spans="1:8" x14ac:dyDescent="0.25">
      <c r="A6">
        <v>0.61874863061250007</v>
      </c>
      <c r="B6">
        <v>0.64943837013114414</v>
      </c>
      <c r="C6">
        <f t="shared" si="0"/>
        <v>0.67482083864988207</v>
      </c>
      <c r="D6">
        <f t="shared" si="1"/>
        <v>-2.5382468518737933E-2</v>
      </c>
      <c r="E6">
        <f t="shared" si="2"/>
        <v>6.4426970810472226E-4</v>
      </c>
    </row>
    <row r="7" spans="1:8" x14ac:dyDescent="0.25">
      <c r="A7">
        <v>0.72954939908749994</v>
      </c>
      <c r="B7">
        <v>0.63922885863563261</v>
      </c>
      <c r="C7">
        <f t="shared" si="0"/>
        <v>0.65704887144681701</v>
      </c>
      <c r="D7">
        <f t="shared" si="1"/>
        <v>-1.7820012811184394E-2</v>
      </c>
      <c r="E7">
        <f t="shared" si="2"/>
        <v>3.1755285659077593E-4</v>
      </c>
    </row>
    <row r="8" spans="1:8" x14ac:dyDescent="0.25">
      <c r="A8">
        <v>0.84035016756250003</v>
      </c>
      <c r="B8">
        <v>0.6261833717247014</v>
      </c>
      <c r="C8">
        <f t="shared" si="0"/>
        <v>0.62515081212901369</v>
      </c>
      <c r="D8">
        <f t="shared" si="1"/>
        <v>1.0325595956877098E-3</v>
      </c>
      <c r="E8">
        <f t="shared" si="2"/>
        <v>1.0661793186467668E-6</v>
      </c>
    </row>
    <row r="9" spans="1:8" x14ac:dyDescent="0.25">
      <c r="A9">
        <v>0.95115093603750012</v>
      </c>
      <c r="B9">
        <v>0.68290288003309829</v>
      </c>
      <c r="C9">
        <f t="shared" si="0"/>
        <v>0.583458998438103</v>
      </c>
      <c r="D9">
        <f t="shared" si="1"/>
        <v>9.9443881594995287E-2</v>
      </c>
      <c r="E9">
        <f t="shared" si="2"/>
        <v>9.8890855866794417E-3</v>
      </c>
    </row>
    <row r="10" spans="1:8" x14ac:dyDescent="0.25">
      <c r="A10">
        <v>1.0619517045125</v>
      </c>
      <c r="B10">
        <v>0.59782361757050295</v>
      </c>
      <c r="C10">
        <f t="shared" si="0"/>
        <v>0.53558285927275906</v>
      </c>
      <c r="D10">
        <f t="shared" si="1"/>
        <v>6.2240758297743892E-2</v>
      </c>
      <c r="E10">
        <f t="shared" si="2"/>
        <v>3.873911993478175E-3</v>
      </c>
    </row>
    <row r="11" spans="1:8" x14ac:dyDescent="0.25">
      <c r="A11">
        <v>1.1727524729875003</v>
      </c>
      <c r="B11">
        <v>0.48381740587062527</v>
      </c>
      <c r="C11">
        <f t="shared" si="0"/>
        <v>0.484478157810382</v>
      </c>
      <c r="D11">
        <f t="shared" si="1"/>
        <v>-6.6075193975673185E-4</v>
      </c>
      <c r="E11">
        <f t="shared" si="2"/>
        <v>4.365931258922838E-7</v>
      </c>
    </row>
    <row r="12" spans="1:8" x14ac:dyDescent="0.25">
      <c r="A12">
        <v>1.2835532414625002</v>
      </c>
      <c r="B12">
        <v>0.41235082540204521</v>
      </c>
      <c r="C12">
        <f t="shared" si="0"/>
        <v>0.43250396107374006</v>
      </c>
      <c r="D12">
        <f t="shared" si="1"/>
        <v>-2.0153135671694855E-2</v>
      </c>
      <c r="E12">
        <f t="shared" si="2"/>
        <v>4.0614887740173964E-4</v>
      </c>
    </row>
    <row r="13" spans="1:8" x14ac:dyDescent="0.25">
      <c r="A13">
        <v>1.3943540099375</v>
      </c>
      <c r="B13">
        <v>0.32443558752403007</v>
      </c>
      <c r="C13">
        <f t="shared" si="0"/>
        <v>0.38148075911836316</v>
      </c>
      <c r="D13">
        <f t="shared" si="1"/>
        <v>-5.7045171594333088E-2</v>
      </c>
      <c r="E13">
        <f t="shared" si="2"/>
        <v>3.2541516022269066E-3</v>
      </c>
    </row>
    <row r="14" spans="1:8" x14ac:dyDescent="0.25">
      <c r="A14">
        <v>1.5051547784125001</v>
      </c>
      <c r="B14">
        <v>0.29721022353599957</v>
      </c>
      <c r="C14">
        <f t="shared" si="0"/>
        <v>0.33275273121256699</v>
      </c>
      <c r="D14">
        <f t="shared" si="1"/>
        <v>-3.5542507676567414E-2</v>
      </c>
      <c r="E14">
        <f t="shared" si="2"/>
        <v>1.2632698519388535E-3</v>
      </c>
    </row>
    <row r="15" spans="1:8" x14ac:dyDescent="0.25">
      <c r="A15">
        <v>1.6159555468875002</v>
      </c>
      <c r="B15">
        <v>0.2370875447290989</v>
      </c>
      <c r="C15">
        <f t="shared" si="0"/>
        <v>0.28725306799859823</v>
      </c>
      <c r="D15">
        <f t="shared" si="1"/>
        <v>-5.0165523269499329E-2</v>
      </c>
      <c r="E15">
        <f t="shared" si="2"/>
        <v>2.5165797249026788E-3</v>
      </c>
    </row>
    <row r="16" spans="1:8" x14ac:dyDescent="0.25">
      <c r="A16">
        <v>1.7267563153625001</v>
      </c>
      <c r="B16">
        <v>0.20192144957789285</v>
      </c>
      <c r="C16">
        <f t="shared" si="0"/>
        <v>0.24556988703207372</v>
      </c>
      <c r="D16">
        <f t="shared" si="1"/>
        <v>-4.3648437454180872E-2</v>
      </c>
      <c r="E16">
        <f t="shared" si="2"/>
        <v>1.9051860921915395E-3</v>
      </c>
    </row>
    <row r="17" spans="1:5" x14ac:dyDescent="0.25">
      <c r="A17">
        <v>1.8375570838375002</v>
      </c>
      <c r="B17">
        <v>0.18603998725154172</v>
      </c>
      <c r="C17">
        <f t="shared" si="0"/>
        <v>0.20801013346190697</v>
      </c>
      <c r="D17">
        <f t="shared" si="1"/>
        <v>-2.1970146210365249E-2</v>
      </c>
      <c r="E17">
        <f t="shared" si="2"/>
        <v>4.8268732450482653E-4</v>
      </c>
    </row>
    <row r="18" spans="1:5" x14ac:dyDescent="0.25">
      <c r="A18">
        <v>1.9483578523125</v>
      </c>
      <c r="B18">
        <v>0.15484425768192345</v>
      </c>
      <c r="C18">
        <f t="shared" si="0"/>
        <v>0.17465925480713068</v>
      </c>
      <c r="D18">
        <f t="shared" si="1"/>
        <v>-1.9814997125207234E-2</v>
      </c>
      <c r="E18">
        <f t="shared" si="2"/>
        <v>3.9263411107197095E-4</v>
      </c>
    </row>
    <row r="19" spans="1:5" x14ac:dyDescent="0.25">
      <c r="A19">
        <v>2.0591586207874997</v>
      </c>
      <c r="B19">
        <v>0.15314267243267154</v>
      </c>
      <c r="C19">
        <f t="shared" si="0"/>
        <v>0.14543503981396305</v>
      </c>
      <c r="D19">
        <f t="shared" si="1"/>
        <v>7.7076326187084931E-3</v>
      </c>
      <c r="E19">
        <f t="shared" si="2"/>
        <v>5.9407600584979144E-5</v>
      </c>
    </row>
    <row r="20" spans="1:5" x14ac:dyDescent="0.25">
      <c r="A20">
        <v>2.1699593892625</v>
      </c>
      <c r="B20">
        <v>0.10890145595212197</v>
      </c>
      <c r="C20">
        <f t="shared" si="0"/>
        <v>0.12013464075773868</v>
      </c>
      <c r="D20">
        <f t="shared" si="1"/>
        <v>-1.1233184805616706E-2</v>
      </c>
      <c r="E20">
        <f t="shared" si="2"/>
        <v>1.2618444087713802E-4</v>
      </c>
    </row>
    <row r="21" spans="1:5" x14ac:dyDescent="0.25">
      <c r="A21">
        <v>2.2807601577375003</v>
      </c>
      <c r="B21">
        <v>9.3587188708854824E-2</v>
      </c>
      <c r="C21">
        <f t="shared" si="0"/>
        <v>9.8474366472662722E-2</v>
      </c>
      <c r="D21">
        <f t="shared" si="1"/>
        <v>-4.8871777638078984E-3</v>
      </c>
      <c r="E21">
        <f t="shared" si="2"/>
        <v>2.3884506495058372E-5</v>
      </c>
    </row>
    <row r="22" spans="1:5" x14ac:dyDescent="0.25">
      <c r="A22">
        <v>2.3915609262125006</v>
      </c>
      <c r="B22">
        <v>8.5079262462595298E-2</v>
      </c>
      <c r="C22">
        <f t="shared" si="0"/>
        <v>8.012229841139977E-2</v>
      </c>
      <c r="D22">
        <f t="shared" si="1"/>
        <v>4.9569640511955282E-3</v>
      </c>
      <c r="E22">
        <f t="shared" si="2"/>
        <v>2.4571492604844782E-5</v>
      </c>
    </row>
    <row r="23" spans="1:5" x14ac:dyDescent="0.25">
      <c r="A23">
        <v>2.5023616946875</v>
      </c>
      <c r="B23">
        <v>6.863060505316021E-2</v>
      </c>
      <c r="C23">
        <f t="shared" si="0"/>
        <v>6.4724131212128666E-2</v>
      </c>
      <c r="D23">
        <f t="shared" si="1"/>
        <v>3.9064738410315436E-3</v>
      </c>
      <c r="E23">
        <f t="shared" si="2"/>
        <v>1.5260537870663742E-5</v>
      </c>
    </row>
    <row r="24" spans="1:5" x14ac:dyDescent="0.25">
      <c r="A24">
        <v>2.6131624631624999</v>
      </c>
      <c r="B24">
        <v>6.8063409970076233E-2</v>
      </c>
      <c r="C24">
        <f t="shared" si="0"/>
        <v>5.1922876415019074E-2</v>
      </c>
      <c r="D24">
        <f t="shared" si="1"/>
        <v>1.6140533555057159E-2</v>
      </c>
      <c r="E24">
        <f t="shared" si="2"/>
        <v>2.6051682344192605E-4</v>
      </c>
    </row>
    <row r="25" spans="1:5" x14ac:dyDescent="0.25">
      <c r="A25">
        <v>2.7239632316375002</v>
      </c>
      <c r="B25">
        <v>5.0480362394473212E-2</v>
      </c>
      <c r="C25">
        <f t="shared" si="0"/>
        <v>4.1373206298812991E-2</v>
      </c>
      <c r="D25">
        <f t="shared" si="1"/>
        <v>9.107156095660221E-3</v>
      </c>
      <c r="E25">
        <f t="shared" si="2"/>
        <v>8.2940292150721125E-5</v>
      </c>
    </row>
    <row r="26" spans="1:5" x14ac:dyDescent="0.25">
      <c r="A26">
        <v>2.8347640001125001</v>
      </c>
      <c r="B26">
        <v>4.027085089896177E-2</v>
      </c>
      <c r="C26">
        <f t="shared" si="0"/>
        <v>3.2751271915782657E-2</v>
      </c>
      <c r="D26">
        <f t="shared" si="1"/>
        <v>7.5195789831791135E-3</v>
      </c>
      <c r="E26">
        <f t="shared" si="2"/>
        <v>5.654406808426903E-5</v>
      </c>
    </row>
    <row r="27" spans="1:5" x14ac:dyDescent="0.25">
      <c r="A27">
        <v>2.9455647685875004</v>
      </c>
      <c r="B27">
        <v>3.3464509901954147E-2</v>
      </c>
      <c r="C27">
        <f t="shared" si="0"/>
        <v>2.5760824097116192E-2</v>
      </c>
      <c r="D27">
        <f t="shared" si="1"/>
        <v>7.703685804837955E-3</v>
      </c>
      <c r="E27">
        <f t="shared" si="2"/>
        <v>5.9346774979661808E-5</v>
      </c>
    </row>
    <row r="28" spans="1:5" x14ac:dyDescent="0.25">
      <c r="A28">
        <v>3.0563655370625002</v>
      </c>
      <c r="B28">
        <v>2.2120608240274776E-2</v>
      </c>
      <c r="C28">
        <f t="shared" si="0"/>
        <v>2.0136416405264413E-2</v>
      </c>
      <c r="D28">
        <f t="shared" si="1"/>
        <v>1.9841918350103627E-3</v>
      </c>
      <c r="E28">
        <f t="shared" si="2"/>
        <v>3.9370172381217904E-6</v>
      </c>
    </row>
    <row r="29" spans="1:5" x14ac:dyDescent="0.25">
      <c r="A29">
        <v>3.1671663055375001</v>
      </c>
      <c r="B29">
        <v>2.6658168904946527E-2</v>
      </c>
      <c r="C29">
        <f t="shared" si="0"/>
        <v>1.5644390544050524E-2</v>
      </c>
      <c r="D29">
        <f t="shared" si="1"/>
        <v>1.1013778360896002E-2</v>
      </c>
      <c r="E29">
        <f t="shared" si="2"/>
        <v>1.2130331378294104E-4</v>
      </c>
    </row>
    <row r="30" spans="1:5" x14ac:dyDescent="0.25">
      <c r="A30">
        <v>3.2779670740125</v>
      </c>
      <c r="B30">
        <v>2.098621807410684E-2</v>
      </c>
      <c r="C30">
        <f t="shared" si="0"/>
        <v>1.2082250713264422E-2</v>
      </c>
      <c r="D30">
        <f t="shared" si="1"/>
        <v>8.9039673608424172E-3</v>
      </c>
      <c r="E30">
        <f t="shared" si="2"/>
        <v>7.9280634762947079E-5</v>
      </c>
    </row>
    <row r="31" spans="1:5" x14ac:dyDescent="0.25">
      <c r="A31">
        <v>3.3887678424875003</v>
      </c>
      <c r="B31">
        <v>1.3612681994015247E-2</v>
      </c>
      <c r="C31">
        <f t="shared" si="0"/>
        <v>9.2769340540712168E-3</v>
      </c>
      <c r="D31">
        <f t="shared" si="1"/>
        <v>4.3357479399440298E-3</v>
      </c>
      <c r="E31">
        <f t="shared" si="2"/>
        <v>1.8798710198728899E-5</v>
      </c>
    </row>
    <row r="32" spans="1:5" x14ac:dyDescent="0.25">
      <c r="A32">
        <v>3.4995686109625002</v>
      </c>
      <c r="B32">
        <v>1.4179877077099216E-2</v>
      </c>
      <c r="C32">
        <f t="shared" si="0"/>
        <v>7.0823871780936595E-3</v>
      </c>
      <c r="D32">
        <f t="shared" si="1"/>
        <v>7.0974898990055569E-3</v>
      </c>
      <c r="E32">
        <f t="shared" si="2"/>
        <v>5.0374362866485912E-5</v>
      </c>
    </row>
    <row r="33" spans="1:5" x14ac:dyDescent="0.25">
      <c r="A33">
        <v>3.6103693794375</v>
      </c>
      <c r="B33">
        <v>1.1343901661679373E-2</v>
      </c>
      <c r="C33">
        <f t="shared" si="0"/>
        <v>5.3767688806062334E-3</v>
      </c>
      <c r="D33">
        <f t="shared" si="1"/>
        <v>5.9671327810731393E-3</v>
      </c>
      <c r="E33">
        <f t="shared" si="2"/>
        <v>3.5606673626957659E-5</v>
      </c>
    </row>
    <row r="34" spans="1:5" x14ac:dyDescent="0.25">
      <c r="A34">
        <v>3.7211701479124999</v>
      </c>
      <c r="B34">
        <v>4.5375606646717494E-3</v>
      </c>
      <c r="C34">
        <f t="shared" si="0"/>
        <v>4.0595195522232204E-3</v>
      </c>
      <c r="D34">
        <f t="shared" si="1"/>
        <v>4.7804111244852902E-4</v>
      </c>
      <c r="E34">
        <f t="shared" si="2"/>
        <v>2.2852330519102717E-7</v>
      </c>
    </row>
    <row r="35" spans="1:5" x14ac:dyDescent="0.25">
      <c r="A35">
        <v>3.8319709163875002</v>
      </c>
      <c r="B35">
        <v>1.7015852492519058E-3</v>
      </c>
      <c r="C35">
        <f t="shared" si="0"/>
        <v>3.0484699668734986E-3</v>
      </c>
      <c r="D35">
        <f t="shared" si="1"/>
        <v>-1.3468847176215928E-3</v>
      </c>
      <c r="E35">
        <f t="shared" si="2"/>
        <v>1.8140984425625978E-6</v>
      </c>
    </row>
    <row r="36" spans="1:5" x14ac:dyDescent="0.25">
      <c r="A36">
        <v>3.9427716848625001</v>
      </c>
      <c r="B36">
        <v>7.3735360800915922E-3</v>
      </c>
      <c r="C36">
        <f t="shared" si="0"/>
        <v>2.2771062867006898E-3</v>
      </c>
      <c r="D36">
        <f t="shared" si="1"/>
        <v>5.0964297933909029E-3</v>
      </c>
      <c r="E36">
        <f t="shared" si="2"/>
        <v>2.5973596638962442E-5</v>
      </c>
    </row>
    <row r="37" spans="1:5" x14ac:dyDescent="0.25">
      <c r="A37">
        <v>4.0535724533374999</v>
      </c>
      <c r="B37">
        <v>1.1343901661679374E-3</v>
      </c>
      <c r="C37">
        <f t="shared" si="0"/>
        <v>1.6920637081068799E-3</v>
      </c>
      <c r="D37">
        <f t="shared" si="1"/>
        <v>-5.5767354193894257E-4</v>
      </c>
      <c r="E37">
        <f t="shared" si="2"/>
        <v>3.1099977937872554E-7</v>
      </c>
    </row>
    <row r="38" spans="1:5" x14ac:dyDescent="0.25">
      <c r="A38">
        <v>4.1643732218125002</v>
      </c>
      <c r="B38">
        <v>1.7015852492519058E-3</v>
      </c>
      <c r="C38">
        <f t="shared" si="0"/>
        <v>1.2508870760498815E-3</v>
      </c>
      <c r="D38">
        <f t="shared" si="1"/>
        <v>4.5069817320202436E-4</v>
      </c>
      <c r="E38">
        <f t="shared" si="2"/>
        <v>2.0312884332764196E-7</v>
      </c>
    </row>
    <row r="39" spans="1:5" x14ac:dyDescent="0.25">
      <c r="A39">
        <v>4.2751739902874997</v>
      </c>
      <c r="B39">
        <v>0</v>
      </c>
      <c r="C39">
        <f t="shared" si="0"/>
        <v>9.2007163490037853E-4</v>
      </c>
      <c r="D39">
        <f t="shared" si="1"/>
        <v>-9.2007163490037853E-4</v>
      </c>
      <c r="E39">
        <f t="shared" si="2"/>
        <v>8.4653181334825544E-7</v>
      </c>
    </row>
    <row r="40" spans="1:5" x14ac:dyDescent="0.25">
      <c r="A40">
        <v>4.3859747587625</v>
      </c>
      <c r="B40">
        <v>5.6719508308396868E-4</v>
      </c>
      <c r="C40">
        <f t="shared" si="0"/>
        <v>6.7337938580797779E-4</v>
      </c>
      <c r="D40">
        <f t="shared" si="1"/>
        <v>-1.0618430272400911E-4</v>
      </c>
      <c r="E40">
        <f t="shared" si="2"/>
        <v>1.1275106144984008E-8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9DCAE-2770-48F0-B92B-76C9F4B2B08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6.0745640062500002E-2</v>
      </c>
      <c r="B1">
        <v>0.20160653852338159</v>
      </c>
      <c r="C1">
        <f>$H$3*(1+$H$1)*(A1^($H$1))*EXP(-$H$3*(A1^(1+$H$1)))</f>
        <v>0.23999154091499972</v>
      </c>
      <c r="D1">
        <f>B1-C1</f>
        <v>-3.8385002391618128E-2</v>
      </c>
      <c r="E1">
        <f>D1^2</f>
        <v>1.4734084086045294E-3</v>
      </c>
      <c r="G1" t="s">
        <v>0</v>
      </c>
      <c r="H1">
        <v>0.61375792657959405</v>
      </c>
    </row>
    <row r="2" spans="1:8" x14ac:dyDescent="0.25">
      <c r="A2">
        <v>0.16704361618750002</v>
      </c>
      <c r="B2">
        <v>0.43573026067956666</v>
      </c>
      <c r="C2">
        <f t="shared" ref="C2:C40" si="0">$H$3*(1+$H$1)*(A2^($H$1))*EXP(-$H$3*(A2^(1+$H$1)))</f>
        <v>0.43006258294684963</v>
      </c>
      <c r="D2">
        <f t="shared" ref="D2:D40" si="1">B2-C2</f>
        <v>5.6676777327170358E-3</v>
      </c>
      <c r="E2">
        <f t="shared" ref="E2:E40" si="2">D2^2</f>
        <v>3.212257088193652E-5</v>
      </c>
    </row>
    <row r="3" spans="1:8" x14ac:dyDescent="0.25">
      <c r="A3">
        <v>0.27334159231249999</v>
      </c>
      <c r="B3">
        <v>0.56579899521078059</v>
      </c>
      <c r="C3">
        <f t="shared" si="0"/>
        <v>0.54980891010401178</v>
      </c>
      <c r="D3">
        <f t="shared" si="1"/>
        <v>1.5990085106768803E-2</v>
      </c>
      <c r="E3">
        <f t="shared" si="2"/>
        <v>2.5568282172170947E-4</v>
      </c>
      <c r="G3" t="s">
        <v>1</v>
      </c>
      <c r="H3">
        <f>(_xlfn.GAMMA((2+$H$1)/(1+$H$1)))^(1+$H$1)</f>
        <v>0.83742142581612466</v>
      </c>
    </row>
    <row r="4" spans="1:8" x14ac:dyDescent="0.25">
      <c r="A4">
        <v>0.37963956843750002</v>
      </c>
      <c r="B4">
        <v>0.68581696389185531</v>
      </c>
      <c r="C4">
        <f t="shared" si="0"/>
        <v>0.62578007970308713</v>
      </c>
      <c r="D4">
        <f t="shared" si="1"/>
        <v>6.003688418876818E-2</v>
      </c>
      <c r="E4">
        <f t="shared" si="2"/>
        <v>3.6044274630955627E-3</v>
      </c>
    </row>
    <row r="5" spans="1:8" x14ac:dyDescent="0.25">
      <c r="A5">
        <v>0.48593754456250005</v>
      </c>
      <c r="B5">
        <v>0.68699940693304817</v>
      </c>
      <c r="C5">
        <f t="shared" si="0"/>
        <v>0.66823926531640432</v>
      </c>
      <c r="D5">
        <f t="shared" si="1"/>
        <v>1.8760141616643855E-2</v>
      </c>
      <c r="E5">
        <f t="shared" si="2"/>
        <v>3.519429134765327E-4</v>
      </c>
      <c r="G5" t="s">
        <v>2</v>
      </c>
      <c r="H5">
        <f>SUM(E1:E40)</f>
        <v>2.6082969911131858E-2</v>
      </c>
    </row>
    <row r="6" spans="1:8" x14ac:dyDescent="0.25">
      <c r="A6">
        <v>0.59223552068750007</v>
      </c>
      <c r="B6">
        <v>0.66216810306799823</v>
      </c>
      <c r="C6">
        <f t="shared" si="0"/>
        <v>0.68388336573240061</v>
      </c>
      <c r="D6">
        <f t="shared" si="1"/>
        <v>-2.1715262664402379E-2</v>
      </c>
      <c r="E6">
        <f t="shared" si="2"/>
        <v>4.7155263258398793E-4</v>
      </c>
    </row>
    <row r="7" spans="1:8" x14ac:dyDescent="0.25">
      <c r="A7">
        <v>0.6985334968125001</v>
      </c>
      <c r="B7">
        <v>0.67399253347992671</v>
      </c>
      <c r="C7">
        <f t="shared" si="0"/>
        <v>0.67813090616676153</v>
      </c>
      <c r="D7">
        <f t="shared" si="1"/>
        <v>-4.1383726868348125E-3</v>
      </c>
      <c r="E7">
        <f t="shared" si="2"/>
        <v>1.7126128495140385E-5</v>
      </c>
    </row>
    <row r="8" spans="1:8" x14ac:dyDescent="0.25">
      <c r="A8">
        <v>0.80483147293750001</v>
      </c>
      <c r="B8">
        <v>0.62669481183221265</v>
      </c>
      <c r="C8">
        <f t="shared" si="0"/>
        <v>0.6557223656292932</v>
      </c>
      <c r="D8">
        <f t="shared" si="1"/>
        <v>-2.9027553797080552E-2</v>
      </c>
      <c r="E8">
        <f t="shared" si="2"/>
        <v>8.4259887944240558E-4</v>
      </c>
    </row>
    <row r="9" spans="1:8" x14ac:dyDescent="0.25">
      <c r="A9">
        <v>0.91112944906250004</v>
      </c>
      <c r="B9">
        <v>0.62728603335280897</v>
      </c>
      <c r="C9">
        <f t="shared" si="0"/>
        <v>0.62087770247371066</v>
      </c>
      <c r="D9">
        <f t="shared" si="1"/>
        <v>6.4083308790983118E-3</v>
      </c>
      <c r="E9">
        <f t="shared" si="2"/>
        <v>4.1066704656004943E-5</v>
      </c>
    </row>
    <row r="10" spans="1:8" x14ac:dyDescent="0.25">
      <c r="A10">
        <v>1.0174274251875</v>
      </c>
      <c r="B10">
        <v>0.65152611569726249</v>
      </c>
      <c r="C10">
        <f t="shared" si="0"/>
        <v>0.57732112634686072</v>
      </c>
      <c r="D10">
        <f t="shared" si="1"/>
        <v>7.4204989350401762E-2</v>
      </c>
      <c r="E10">
        <f t="shared" si="2"/>
        <v>5.506380444493239E-3</v>
      </c>
    </row>
    <row r="11" spans="1:8" x14ac:dyDescent="0.25">
      <c r="A11">
        <v>1.1237254013125</v>
      </c>
      <c r="B11">
        <v>0.58826541299344481</v>
      </c>
      <c r="C11">
        <f t="shared" si="0"/>
        <v>0.52827275514468963</v>
      </c>
      <c r="D11">
        <f t="shared" si="1"/>
        <v>5.9992657848755182E-2</v>
      </c>
      <c r="E11">
        <f t="shared" si="2"/>
        <v>3.5991189957578066E-3</v>
      </c>
    </row>
    <row r="12" spans="1:8" x14ac:dyDescent="0.25">
      <c r="A12">
        <v>1.2300233774375</v>
      </c>
      <c r="B12">
        <v>0.47356843799773801</v>
      </c>
      <c r="C12">
        <f t="shared" si="0"/>
        <v>0.47644271293738716</v>
      </c>
      <c r="D12">
        <f t="shared" si="1"/>
        <v>-2.8742749396491463E-3</v>
      </c>
      <c r="E12">
        <f t="shared" si="2"/>
        <v>8.2614564286951027E-6</v>
      </c>
    </row>
    <row r="13" spans="1:8" x14ac:dyDescent="0.25">
      <c r="A13">
        <v>1.3363213535625</v>
      </c>
      <c r="B13">
        <v>0.38311154534648467</v>
      </c>
      <c r="C13">
        <f t="shared" si="0"/>
        <v>0.42403954586479564</v>
      </c>
      <c r="D13">
        <f t="shared" si="1"/>
        <v>-4.092800051831097E-2</v>
      </c>
      <c r="E13">
        <f t="shared" si="2"/>
        <v>1.675101226426863E-3</v>
      </c>
    </row>
    <row r="14" spans="1:8" x14ac:dyDescent="0.25">
      <c r="A14">
        <v>1.4426193296875001</v>
      </c>
      <c r="B14">
        <v>0.33817870978115622</v>
      </c>
      <c r="C14">
        <f t="shared" si="0"/>
        <v>0.37279498109163861</v>
      </c>
      <c r="D14">
        <f t="shared" si="1"/>
        <v>-3.4616271310482394E-2</v>
      </c>
      <c r="E14">
        <f t="shared" si="2"/>
        <v>1.1982862394409265E-3</v>
      </c>
    </row>
    <row r="15" spans="1:8" x14ac:dyDescent="0.25">
      <c r="A15">
        <v>1.5489173058125001</v>
      </c>
      <c r="B15">
        <v>0.2849687729274778</v>
      </c>
      <c r="C15">
        <f t="shared" si="0"/>
        <v>0.32400279903224188</v>
      </c>
      <c r="D15">
        <f t="shared" si="1"/>
        <v>-3.9034026104764086E-2</v>
      </c>
      <c r="E15">
        <f t="shared" si="2"/>
        <v>1.5236551939474042E-3</v>
      </c>
    </row>
    <row r="16" spans="1:8" x14ac:dyDescent="0.25">
      <c r="A16">
        <v>1.6552152819375001</v>
      </c>
      <c r="B16">
        <v>0.24062715888274577</v>
      </c>
      <c r="C16">
        <f t="shared" si="0"/>
        <v>0.2785679209244179</v>
      </c>
      <c r="D16">
        <f t="shared" si="1"/>
        <v>-3.7940762041672127E-2</v>
      </c>
      <c r="E16">
        <f t="shared" si="2"/>
        <v>1.4395014243027886E-3</v>
      </c>
    </row>
    <row r="17" spans="1:5" x14ac:dyDescent="0.25">
      <c r="A17">
        <v>1.7615132580625001</v>
      </c>
      <c r="B17">
        <v>0.18623477898787449</v>
      </c>
      <c r="C17">
        <f t="shared" si="0"/>
        <v>0.23706145329560863</v>
      </c>
      <c r="D17">
        <f t="shared" si="1"/>
        <v>-5.0826674307734132E-2</v>
      </c>
      <c r="E17">
        <f t="shared" si="2"/>
        <v>2.583350821184481E-3</v>
      </c>
    </row>
    <row r="18" spans="1:5" x14ac:dyDescent="0.25">
      <c r="A18">
        <v>1.8678112341875002</v>
      </c>
      <c r="B18">
        <v>0.1838698929054888</v>
      </c>
      <c r="C18">
        <f t="shared" si="0"/>
        <v>0.19977775242091711</v>
      </c>
      <c r="D18">
        <f t="shared" si="1"/>
        <v>-1.5907859515428308E-2</v>
      </c>
      <c r="E18">
        <f t="shared" si="2"/>
        <v>2.5305999436260292E-4</v>
      </c>
    </row>
    <row r="19" spans="1:5" x14ac:dyDescent="0.25">
      <c r="A19">
        <v>1.9741092103125002</v>
      </c>
      <c r="B19">
        <v>0.16081225360222814</v>
      </c>
      <c r="C19">
        <f t="shared" si="0"/>
        <v>0.16679023069676918</v>
      </c>
      <c r="D19">
        <f t="shared" si="1"/>
        <v>-5.9779770945410371E-3</v>
      </c>
      <c r="E19">
        <f t="shared" si="2"/>
        <v>3.5736210142857296E-5</v>
      </c>
    </row>
    <row r="20" spans="1:5" x14ac:dyDescent="0.25">
      <c r="A20">
        <v>2.0804071864375002</v>
      </c>
      <c r="B20">
        <v>0.12593018388703894</v>
      </c>
      <c r="C20">
        <f t="shared" si="0"/>
        <v>0.13800341672291805</v>
      </c>
      <c r="D20">
        <f t="shared" si="1"/>
        <v>-1.2073232835879105E-2</v>
      </c>
      <c r="E20">
        <f t="shared" si="2"/>
        <v>1.4576295110934942E-4</v>
      </c>
    </row>
    <row r="21" spans="1:5" x14ac:dyDescent="0.25">
      <c r="A21">
        <v>2.1867051625625002</v>
      </c>
      <c r="B21">
        <v>0.10109888002198901</v>
      </c>
      <c r="C21">
        <f t="shared" si="0"/>
        <v>0.11319957452641649</v>
      </c>
      <c r="D21">
        <f t="shared" si="1"/>
        <v>-1.2100694504427481E-2</v>
      </c>
      <c r="E21">
        <f t="shared" si="2"/>
        <v>1.4642680748948143E-4</v>
      </c>
    </row>
    <row r="22" spans="1:5" x14ac:dyDescent="0.25">
      <c r="A22">
        <v>2.2930031386875003</v>
      </c>
      <c r="B22">
        <v>9.2821778733639032E-2</v>
      </c>
      <c r="C22">
        <f t="shared" si="0"/>
        <v>9.207890814834982E-2</v>
      </c>
      <c r="D22">
        <f t="shared" si="1"/>
        <v>7.4287058528921257E-4</v>
      </c>
      <c r="E22">
        <f t="shared" si="2"/>
        <v>5.5185670648793728E-7</v>
      </c>
    </row>
    <row r="23" spans="1:5" x14ac:dyDescent="0.25">
      <c r="A23">
        <v>2.3993011148125003</v>
      </c>
      <c r="B23">
        <v>7.7450019198131936E-2</v>
      </c>
      <c r="C23">
        <f t="shared" si="0"/>
        <v>7.4292984062288001E-2</v>
      </c>
      <c r="D23">
        <f t="shared" si="1"/>
        <v>3.1570351358439358E-3</v>
      </c>
      <c r="E23">
        <f t="shared" si="2"/>
        <v>9.9668708489531377E-6</v>
      </c>
    </row>
    <row r="24" spans="1:5" x14ac:dyDescent="0.25">
      <c r="A24">
        <v>2.5055990909375003</v>
      </c>
      <c r="B24">
        <v>6.7990474868589099E-2</v>
      </c>
      <c r="C24">
        <f t="shared" si="0"/>
        <v>5.9471478591404829E-2</v>
      </c>
      <c r="D24">
        <f t="shared" si="1"/>
        <v>8.5189962771842695E-3</v>
      </c>
      <c r="E24">
        <f t="shared" si="2"/>
        <v>7.257329757067944E-5</v>
      </c>
    </row>
    <row r="25" spans="1:5" x14ac:dyDescent="0.25">
      <c r="A25">
        <v>2.6118970670625004</v>
      </c>
      <c r="B25">
        <v>5.9713373580239128E-2</v>
      </c>
      <c r="C25">
        <f t="shared" si="0"/>
        <v>4.724270072103634E-2</v>
      </c>
      <c r="D25">
        <f t="shared" si="1"/>
        <v>1.2470672859202787E-2</v>
      </c>
      <c r="E25">
        <f t="shared" si="2"/>
        <v>1.5551768156125701E-4</v>
      </c>
    </row>
    <row r="26" spans="1:5" x14ac:dyDescent="0.25">
      <c r="A26">
        <v>2.7181950431875004</v>
      </c>
      <c r="B26">
        <v>5.143627229188915E-2</v>
      </c>
      <c r="C26">
        <f t="shared" si="0"/>
        <v>3.7248563701236685E-2</v>
      </c>
      <c r="D26">
        <f t="shared" si="1"/>
        <v>1.4187708590652465E-2</v>
      </c>
      <c r="E26">
        <f t="shared" si="2"/>
        <v>2.0129107505327374E-4</v>
      </c>
    </row>
    <row r="27" spans="1:5" x14ac:dyDescent="0.25">
      <c r="A27">
        <v>2.8244930193125004</v>
      </c>
      <c r="B27">
        <v>3.1334740591610628E-2</v>
      </c>
      <c r="C27">
        <f t="shared" si="0"/>
        <v>2.9154799300593275E-2</v>
      </c>
      <c r="D27">
        <f t="shared" si="1"/>
        <v>2.1799412910173538E-3</v>
      </c>
      <c r="E27">
        <f t="shared" si="2"/>
        <v>4.752144032282407E-6</v>
      </c>
    </row>
    <row r="28" spans="1:5" x14ac:dyDescent="0.25">
      <c r="A28">
        <v>2.9307909954375004</v>
      </c>
      <c r="B28">
        <v>2.6604968426839213E-2</v>
      </c>
      <c r="C28">
        <f t="shared" si="0"/>
        <v>2.2657247066621471E-2</v>
      </c>
      <c r="D28">
        <f t="shared" si="1"/>
        <v>3.9477213602177423E-3</v>
      </c>
      <c r="E28">
        <f t="shared" si="2"/>
        <v>1.5584503937919421E-5</v>
      </c>
    </row>
    <row r="29" spans="1:5" x14ac:dyDescent="0.25">
      <c r="A29">
        <v>3.0370889715625005</v>
      </c>
      <c r="B29">
        <v>3.1334740591610628E-2</v>
      </c>
      <c r="C29">
        <f t="shared" si="0"/>
        <v>1.7485028246401101E-2</v>
      </c>
      <c r="D29">
        <f t="shared" si="1"/>
        <v>1.3849712345209528E-2</v>
      </c>
      <c r="E29">
        <f t="shared" si="2"/>
        <v>1.9181453204504919E-4</v>
      </c>
    </row>
    <row r="30" spans="1:5" x14ac:dyDescent="0.25">
      <c r="A30">
        <v>3.1433869476875005</v>
      </c>
      <c r="B30">
        <v>2.364886082385708E-2</v>
      </c>
      <c r="C30">
        <f t="shared" si="0"/>
        <v>1.3401349330821103E-2</v>
      </c>
      <c r="D30">
        <f t="shared" si="1"/>
        <v>1.0247511493035977E-2</v>
      </c>
      <c r="E30">
        <f t="shared" si="2"/>
        <v>1.0501149179990445E-4</v>
      </c>
    </row>
    <row r="31" spans="1:5" x14ac:dyDescent="0.25">
      <c r="A31">
        <v>3.2496849238125001</v>
      </c>
      <c r="B31">
        <v>1.5371759535507101E-2</v>
      </c>
      <c r="C31">
        <f t="shared" si="0"/>
        <v>1.0202590071769239E-2</v>
      </c>
      <c r="D31">
        <f t="shared" si="1"/>
        <v>5.1691694637378618E-3</v>
      </c>
      <c r="E31">
        <f t="shared" si="2"/>
        <v>2.6720312944839976E-5</v>
      </c>
    </row>
    <row r="32" spans="1:5" x14ac:dyDescent="0.25">
      <c r="A32">
        <v>3.3559828999375001</v>
      </c>
      <c r="B32">
        <v>1.1233208891332112E-2</v>
      </c>
      <c r="C32">
        <f t="shared" si="0"/>
        <v>7.7162287051433642E-3</v>
      </c>
      <c r="D32">
        <f t="shared" si="1"/>
        <v>3.5169801861887479E-3</v>
      </c>
      <c r="E32">
        <f t="shared" si="2"/>
        <v>1.236914963004424E-5</v>
      </c>
    </row>
    <row r="33" spans="1:5" x14ac:dyDescent="0.25">
      <c r="A33">
        <v>3.4622808760625001</v>
      </c>
      <c r="B33">
        <v>1.3006873453121393E-2</v>
      </c>
      <c r="C33">
        <f t="shared" si="0"/>
        <v>5.7980531960526429E-3</v>
      </c>
      <c r="D33">
        <f t="shared" si="1"/>
        <v>7.2088202570687503E-3</v>
      </c>
      <c r="E33">
        <f t="shared" si="2"/>
        <v>5.1967089498724762E-5</v>
      </c>
    </row>
    <row r="34" spans="1:5" x14ac:dyDescent="0.25">
      <c r="A34">
        <v>3.5685788521875001</v>
      </c>
      <c r="B34">
        <v>7.6858797677535505E-3</v>
      </c>
      <c r="C34">
        <f t="shared" si="0"/>
        <v>4.3290088068029947E-3</v>
      </c>
      <c r="D34">
        <f t="shared" si="1"/>
        <v>3.3568709609505558E-3</v>
      </c>
      <c r="E34">
        <f t="shared" si="2"/>
        <v>1.1268582648473108E-5</v>
      </c>
    </row>
    <row r="35" spans="1:5" x14ac:dyDescent="0.25">
      <c r="A35">
        <v>3.6748768283125002</v>
      </c>
      <c r="B35">
        <v>1.773664561789281E-3</v>
      </c>
      <c r="C35">
        <f t="shared" si="0"/>
        <v>3.2119437671445507E-3</v>
      </c>
      <c r="D35">
        <f t="shared" si="1"/>
        <v>-1.4382792053552697E-3</v>
      </c>
      <c r="E35">
        <f t="shared" si="2"/>
        <v>2.0686470725573859E-6</v>
      </c>
    </row>
    <row r="36" spans="1:5" x14ac:dyDescent="0.25">
      <c r="A36">
        <v>3.7811748044375002</v>
      </c>
      <c r="B36">
        <v>5.9122152059642701E-3</v>
      </c>
      <c r="C36">
        <f t="shared" si="0"/>
        <v>2.3684387666536031E-3</v>
      </c>
      <c r="D36">
        <f t="shared" si="1"/>
        <v>3.5437764393106671E-3</v>
      </c>
      <c r="E36">
        <f t="shared" si="2"/>
        <v>1.2558351451813391E-5</v>
      </c>
    </row>
    <row r="37" spans="1:5" x14ac:dyDescent="0.25">
      <c r="A37">
        <v>3.8874727805625002</v>
      </c>
      <c r="B37">
        <v>3.547329123578562E-3</v>
      </c>
      <c r="C37">
        <f t="shared" si="0"/>
        <v>1.7358432262756689E-3</v>
      </c>
      <c r="D37">
        <f t="shared" si="1"/>
        <v>1.8114858973028931E-3</v>
      </c>
      <c r="E37">
        <f t="shared" si="2"/>
        <v>3.2814811561272676E-6</v>
      </c>
    </row>
    <row r="38" spans="1:5" x14ac:dyDescent="0.25">
      <c r="A38">
        <v>3.9937707566875003</v>
      </c>
      <c r="B38">
        <v>1.773664561789281E-3</v>
      </c>
      <c r="C38">
        <f t="shared" si="0"/>
        <v>1.2645915075024303E-3</v>
      </c>
      <c r="D38">
        <f t="shared" si="1"/>
        <v>5.090730542868507E-4</v>
      </c>
      <c r="E38">
        <f t="shared" si="2"/>
        <v>2.5915537460094282E-7</v>
      </c>
    </row>
    <row r="39" spans="1:5" x14ac:dyDescent="0.25">
      <c r="A39">
        <v>4.1000687328125007</v>
      </c>
      <c r="B39">
        <v>0</v>
      </c>
      <c r="C39">
        <f t="shared" si="0"/>
        <v>9.1583428681784825E-4</v>
      </c>
      <c r="D39">
        <f t="shared" si="1"/>
        <v>-9.1583428681784825E-4</v>
      </c>
      <c r="E39">
        <f t="shared" si="2"/>
        <v>8.387524409111567E-7</v>
      </c>
    </row>
    <row r="40" spans="1:5" x14ac:dyDescent="0.25">
      <c r="A40">
        <v>4.2063667089374999</v>
      </c>
      <c r="B40">
        <v>5.9122152059642693E-4</v>
      </c>
      <c r="C40">
        <f t="shared" si="0"/>
        <v>6.5939272903590279E-4</v>
      </c>
      <c r="D40">
        <f t="shared" si="1"/>
        <v>-6.8171208439475866E-5</v>
      </c>
      <c r="E40">
        <f t="shared" si="2"/>
        <v>4.6473136600984658E-9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5F853-49A5-4485-AB8D-41D7C0DE0CE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6.4410687825000007E-2</v>
      </c>
      <c r="B1">
        <v>0.16492508264323788</v>
      </c>
      <c r="C1">
        <f>$H$3*(1+$H$1)*(A1^($H$1))*EXP(-$H$3*(A1^(1+$H$1)))</f>
        <v>0.21653093300072687</v>
      </c>
      <c r="D1">
        <f>B1-C1</f>
        <v>-5.1605850357488992E-2</v>
      </c>
      <c r="E1">
        <f>D1^2</f>
        <v>2.6631637911195467E-3</v>
      </c>
      <c r="G1" t="s">
        <v>0</v>
      </c>
      <c r="H1">
        <v>0.67373319634460305</v>
      </c>
    </row>
    <row r="2" spans="1:8" x14ac:dyDescent="0.25">
      <c r="A2">
        <v>0.16614617947500002</v>
      </c>
      <c r="B2">
        <v>0.39594373773151864</v>
      </c>
      <c r="C2">
        <f t="shared" ref="C2:C40" si="0">$H$3*(1+$H$1)*(A2^($H$1))*EXP(-$H$3*(A2^(1+$H$1)))</f>
        <v>0.39683300898869095</v>
      </c>
      <c r="D2">
        <f t="shared" ref="D2:D40" si="1">B2-C2</f>
        <v>-8.8927125717230826E-4</v>
      </c>
      <c r="E2">
        <f t="shared" ref="E2:E40" si="2">D2^2</f>
        <v>7.9080336883281757E-7</v>
      </c>
    </row>
    <row r="3" spans="1:8" x14ac:dyDescent="0.25">
      <c r="A3">
        <v>0.267881671125</v>
      </c>
      <c r="B3">
        <v>0.54295560915133367</v>
      </c>
      <c r="C3">
        <f t="shared" si="0"/>
        <v>0.52065535871615864</v>
      </c>
      <c r="D3">
        <f t="shared" si="1"/>
        <v>2.2300250435175029E-2</v>
      </c>
      <c r="E3">
        <f t="shared" si="2"/>
        <v>4.9730116947152407E-4</v>
      </c>
      <c r="G3" t="s">
        <v>1</v>
      </c>
      <c r="H3">
        <f>(_xlfn.GAMMA((2+$H$1)/(1+$H$1)))^(1+$H$1)</f>
        <v>0.82780439246567483</v>
      </c>
    </row>
    <row r="4" spans="1:8" x14ac:dyDescent="0.25">
      <c r="A4">
        <v>0.36961716277500001</v>
      </c>
      <c r="B4">
        <v>0.65970033057295152</v>
      </c>
      <c r="C4">
        <f t="shared" si="0"/>
        <v>0.60594836238054772</v>
      </c>
      <c r="D4">
        <f t="shared" si="1"/>
        <v>5.3751968192403798E-2</v>
      </c>
      <c r="E4">
        <f t="shared" si="2"/>
        <v>2.8892740845571896E-3</v>
      </c>
    </row>
    <row r="5" spans="1:8" x14ac:dyDescent="0.25">
      <c r="A5">
        <v>0.47135265442499996</v>
      </c>
      <c r="B5">
        <v>0.68440820812250025</v>
      </c>
      <c r="C5">
        <f t="shared" si="0"/>
        <v>0.65985264410592948</v>
      </c>
      <c r="D5">
        <f t="shared" si="1"/>
        <v>2.4555564016570774E-2</v>
      </c>
      <c r="E5">
        <f t="shared" si="2"/>
        <v>6.0297572417190544E-4</v>
      </c>
      <c r="G5" t="s">
        <v>2</v>
      </c>
      <c r="H5">
        <f>SUM(E1:E40)</f>
        <v>2.5253263447867512E-2</v>
      </c>
    </row>
    <row r="6" spans="1:8" x14ac:dyDescent="0.25">
      <c r="A6">
        <v>0.57308814607499992</v>
      </c>
      <c r="B6">
        <v>0.7177638428143911</v>
      </c>
      <c r="C6">
        <f t="shared" si="0"/>
        <v>0.68727024714199403</v>
      </c>
      <c r="D6">
        <f t="shared" si="1"/>
        <v>3.0493595672397067E-2</v>
      </c>
      <c r="E6">
        <f t="shared" si="2"/>
        <v>9.2985937703163313E-4</v>
      </c>
    </row>
    <row r="7" spans="1:8" x14ac:dyDescent="0.25">
      <c r="A7">
        <v>0.67482363772499987</v>
      </c>
      <c r="B7">
        <v>0.68996748057114876</v>
      </c>
      <c r="C7">
        <f t="shared" si="0"/>
        <v>0.69247054997986357</v>
      </c>
      <c r="D7">
        <f t="shared" si="1"/>
        <v>-2.5030694087148087E-3</v>
      </c>
      <c r="E7">
        <f t="shared" si="2"/>
        <v>6.2653564648439021E-6</v>
      </c>
    </row>
    <row r="8" spans="1:8" x14ac:dyDescent="0.25">
      <c r="A8">
        <v>0.77655912937499993</v>
      </c>
      <c r="B8">
        <v>0.6430225132270061</v>
      </c>
      <c r="C8">
        <f t="shared" si="0"/>
        <v>0.67947535037879603</v>
      </c>
      <c r="D8">
        <f t="shared" si="1"/>
        <v>-3.645283715178993E-2</v>
      </c>
      <c r="E8">
        <f t="shared" si="2"/>
        <v>1.3288093364149161E-3</v>
      </c>
    </row>
    <row r="9" spans="1:8" x14ac:dyDescent="0.25">
      <c r="A9">
        <v>0.878294621025</v>
      </c>
      <c r="B9">
        <v>0.63437475608466409</v>
      </c>
      <c r="C9">
        <f t="shared" si="0"/>
        <v>0.65211011553831444</v>
      </c>
      <c r="D9">
        <f t="shared" si="1"/>
        <v>-1.7735359453650346E-2</v>
      </c>
      <c r="E9">
        <f t="shared" si="2"/>
        <v>3.1454297495018467E-4</v>
      </c>
    </row>
    <row r="10" spans="1:8" x14ac:dyDescent="0.25">
      <c r="A10">
        <v>0.98003011267499995</v>
      </c>
      <c r="B10">
        <v>0.62881548363601558</v>
      </c>
      <c r="C10">
        <f t="shared" si="0"/>
        <v>0.61395445673028093</v>
      </c>
      <c r="D10">
        <f t="shared" si="1"/>
        <v>1.4861026905734653E-2</v>
      </c>
      <c r="E10">
        <f t="shared" si="2"/>
        <v>2.2085012069296929E-4</v>
      </c>
    </row>
    <row r="11" spans="1:8" x14ac:dyDescent="0.25">
      <c r="A11">
        <v>1.0817656043250001</v>
      </c>
      <c r="B11">
        <v>0.62696239281979937</v>
      </c>
      <c r="C11">
        <f t="shared" si="0"/>
        <v>0.56827146298785858</v>
      </c>
      <c r="D11">
        <f t="shared" si="1"/>
        <v>5.8690929831940797E-2</v>
      </c>
      <c r="E11">
        <f t="shared" si="2"/>
        <v>3.4446252445377982E-3</v>
      </c>
    </row>
    <row r="12" spans="1:8" x14ac:dyDescent="0.25">
      <c r="A12">
        <v>1.1835010959750001</v>
      </c>
      <c r="B12">
        <v>0.5676634867008824</v>
      </c>
      <c r="C12">
        <f t="shared" si="0"/>
        <v>0.51794669753403277</v>
      </c>
      <c r="D12">
        <f t="shared" si="1"/>
        <v>4.9716789166849629E-2</v>
      </c>
      <c r="E12">
        <f t="shared" si="2"/>
        <v>2.4717591250609768E-3</v>
      </c>
    </row>
    <row r="13" spans="1:8" x14ac:dyDescent="0.25">
      <c r="A13">
        <v>1.285236587625</v>
      </c>
      <c r="B13">
        <v>0.46080191629908412</v>
      </c>
      <c r="C13">
        <f t="shared" si="0"/>
        <v>0.46544840103050333</v>
      </c>
      <c r="D13">
        <f t="shared" si="1"/>
        <v>-4.6464847314192093E-3</v>
      </c>
      <c r="E13">
        <f t="shared" si="2"/>
        <v>2.158982035931184E-5</v>
      </c>
    </row>
    <row r="14" spans="1:8" x14ac:dyDescent="0.25">
      <c r="A14">
        <v>1.386972079275</v>
      </c>
      <c r="B14">
        <v>0.36814737548827631</v>
      </c>
      <c r="C14">
        <f t="shared" si="0"/>
        <v>0.41281160273342937</v>
      </c>
      <c r="D14">
        <f t="shared" si="1"/>
        <v>-4.4664227245153065E-2</v>
      </c>
      <c r="E14">
        <f t="shared" si="2"/>
        <v>1.9948931954066732E-3</v>
      </c>
    </row>
    <row r="15" spans="1:8" x14ac:dyDescent="0.25">
      <c r="A15">
        <v>1.4887075709249999</v>
      </c>
      <c r="B15">
        <v>0.33355634691890806</v>
      </c>
      <c r="C15">
        <f t="shared" si="0"/>
        <v>0.36164443679669583</v>
      </c>
      <c r="D15">
        <f t="shared" si="1"/>
        <v>-2.808808987778777E-2</v>
      </c>
      <c r="E15">
        <f t="shared" si="2"/>
        <v>7.8894079298268377E-4</v>
      </c>
    </row>
    <row r="16" spans="1:8" x14ac:dyDescent="0.25">
      <c r="A16">
        <v>1.5904430625750001</v>
      </c>
      <c r="B16">
        <v>0.26560968365764903</v>
      </c>
      <c r="C16">
        <f t="shared" si="0"/>
        <v>0.3131527974675597</v>
      </c>
      <c r="D16">
        <f t="shared" si="1"/>
        <v>-4.7543113809910664E-2</v>
      </c>
      <c r="E16">
        <f t="shared" si="2"/>
        <v>2.2603476707421183E-3</v>
      </c>
    </row>
    <row r="17" spans="1:5" x14ac:dyDescent="0.25">
      <c r="A17">
        <v>1.6921785542250001</v>
      </c>
      <c r="B17">
        <v>0.23719562447566797</v>
      </c>
      <c r="C17">
        <f t="shared" si="0"/>
        <v>0.2681785899542779</v>
      </c>
      <c r="D17">
        <f t="shared" si="1"/>
        <v>-3.0982965478609931E-2</v>
      </c>
      <c r="E17">
        <f t="shared" si="2"/>
        <v>9.5994414984873467E-4</v>
      </c>
    </row>
    <row r="18" spans="1:5" x14ac:dyDescent="0.25">
      <c r="A18">
        <v>1.793914045875</v>
      </c>
      <c r="B18">
        <v>0.1785144152954897</v>
      </c>
      <c r="C18">
        <f t="shared" si="0"/>
        <v>0.22724674893880642</v>
      </c>
      <c r="D18">
        <f t="shared" si="1"/>
        <v>-4.8732333643316722E-2</v>
      </c>
      <c r="E18">
        <f t="shared" si="2"/>
        <v>2.3748403423235389E-3</v>
      </c>
    </row>
    <row r="19" spans="1:5" x14ac:dyDescent="0.25">
      <c r="A19">
        <v>1.895649537525</v>
      </c>
      <c r="B19">
        <v>0.17727902141801224</v>
      </c>
      <c r="C19">
        <f t="shared" si="0"/>
        <v>0.19061660117800353</v>
      </c>
      <c r="D19">
        <f t="shared" si="1"/>
        <v>-1.333757975999128E-2</v>
      </c>
      <c r="E19">
        <f t="shared" si="2"/>
        <v>1.7789103385412906E-4</v>
      </c>
    </row>
    <row r="20" spans="1:5" x14ac:dyDescent="0.25">
      <c r="A20">
        <v>1.9973850291749999</v>
      </c>
      <c r="B20">
        <v>0.15998350713332812</v>
      </c>
      <c r="C20">
        <f t="shared" si="0"/>
        <v>0.15833383368954307</v>
      </c>
      <c r="D20">
        <f t="shared" si="1"/>
        <v>1.6496734437850546E-3</v>
      </c>
      <c r="E20">
        <f t="shared" si="2"/>
        <v>2.721422471129642E-6</v>
      </c>
    </row>
    <row r="21" spans="1:5" x14ac:dyDescent="0.25">
      <c r="A21">
        <v>2.0991205208250001</v>
      </c>
      <c r="B21">
        <v>0.11489163060540167</v>
      </c>
      <c r="C21">
        <f t="shared" si="0"/>
        <v>0.13028014306326297</v>
      </c>
      <c r="D21">
        <f t="shared" si="1"/>
        <v>-1.5388512457861298E-2</v>
      </c>
      <c r="E21">
        <f t="shared" si="2"/>
        <v>2.3680631566575235E-4</v>
      </c>
    </row>
    <row r="22" spans="1:5" x14ac:dyDescent="0.25">
      <c r="A22">
        <v>2.2008560124750001</v>
      </c>
      <c r="B22">
        <v>9.2654540810807803E-2</v>
      </c>
      <c r="C22">
        <f t="shared" si="0"/>
        <v>0.10621847462200848</v>
      </c>
      <c r="D22">
        <f t="shared" si="1"/>
        <v>-1.3563933811200676E-2</v>
      </c>
      <c r="E22">
        <f t="shared" si="2"/>
        <v>1.8398030043463291E-4</v>
      </c>
    </row>
    <row r="23" spans="1:5" x14ac:dyDescent="0.25">
      <c r="A23">
        <v>2.302591504125</v>
      </c>
      <c r="B23">
        <v>9.2654540810807803E-2</v>
      </c>
      <c r="C23">
        <f t="shared" si="0"/>
        <v>8.5832536512315455E-2</v>
      </c>
      <c r="D23">
        <f t="shared" si="1"/>
        <v>6.8220042984923485E-3</v>
      </c>
      <c r="E23">
        <f t="shared" si="2"/>
        <v>4.6539742648648079E-5</v>
      </c>
    </row>
    <row r="24" spans="1:5" x14ac:dyDescent="0.25">
      <c r="A24">
        <v>2.4043269957749995</v>
      </c>
      <c r="B24">
        <v>7.0417451016213925E-2</v>
      </c>
      <c r="C24">
        <f t="shared" si="0"/>
        <v>6.8759945649443488E-2</v>
      </c>
      <c r="D24">
        <f t="shared" si="1"/>
        <v>1.657505366770437E-3</v>
      </c>
      <c r="E24">
        <f t="shared" si="2"/>
        <v>2.7473240408728009E-6</v>
      </c>
    </row>
    <row r="25" spans="1:5" x14ac:dyDescent="0.25">
      <c r="A25">
        <v>2.5060624874249999</v>
      </c>
      <c r="B25">
        <v>6.7328966322520334E-2</v>
      </c>
      <c r="C25">
        <f t="shared" si="0"/>
        <v>5.4618905221240049E-2</v>
      </c>
      <c r="D25">
        <f t="shared" si="1"/>
        <v>1.2710061101280284E-2</v>
      </c>
      <c r="E25">
        <f t="shared" si="2"/>
        <v>1.6154565319827821E-4</v>
      </c>
    </row>
    <row r="26" spans="1:5" x14ac:dyDescent="0.25">
      <c r="A26">
        <v>2.6077979790749999</v>
      </c>
      <c r="B26">
        <v>5.7445815302700834E-2</v>
      </c>
      <c r="C26">
        <f t="shared" si="0"/>
        <v>4.3028720660984218E-2</v>
      </c>
      <c r="D26">
        <f t="shared" si="1"/>
        <v>1.4417094641716616E-2</v>
      </c>
      <c r="E26">
        <f t="shared" si="2"/>
        <v>2.0785261790821395E-4</v>
      </c>
    </row>
    <row r="27" spans="1:5" x14ac:dyDescent="0.25">
      <c r="A27">
        <v>2.7095334707249998</v>
      </c>
      <c r="B27">
        <v>3.5208725508106962E-2</v>
      </c>
      <c r="C27">
        <f t="shared" si="0"/>
        <v>3.3624739238314306E-2</v>
      </c>
      <c r="D27">
        <f t="shared" si="1"/>
        <v>1.583986269792656E-3</v>
      </c>
      <c r="E27">
        <f t="shared" si="2"/>
        <v>2.5090125028916528E-6</v>
      </c>
    </row>
    <row r="28" spans="1:5" x14ac:dyDescent="0.25">
      <c r="A28">
        <v>2.8112689623749998</v>
      </c>
      <c r="B28">
        <v>3.7061816324323121E-2</v>
      </c>
      <c r="C28">
        <f t="shared" si="0"/>
        <v>2.6068462903834123E-2</v>
      </c>
      <c r="D28">
        <f t="shared" si="1"/>
        <v>1.0993353420488999E-2</v>
      </c>
      <c r="E28">
        <f t="shared" si="2"/>
        <v>1.2085381942777717E-4</v>
      </c>
    </row>
    <row r="29" spans="1:5" x14ac:dyDescent="0.25">
      <c r="A29">
        <v>2.9130044540249997</v>
      </c>
      <c r="B29">
        <v>2.7178665304503621E-2</v>
      </c>
      <c r="C29">
        <f t="shared" si="0"/>
        <v>2.0053654699786289E-2</v>
      </c>
      <c r="D29">
        <f t="shared" si="1"/>
        <v>7.1250106047173328E-3</v>
      </c>
      <c r="E29">
        <f t="shared" si="2"/>
        <v>5.0765776117334455E-5</v>
      </c>
    </row>
    <row r="30" spans="1:5" x14ac:dyDescent="0.25">
      <c r="A30">
        <v>3.0147399456750001</v>
      </c>
      <c r="B30">
        <v>2.5325574488287466E-2</v>
      </c>
      <c r="C30">
        <f t="shared" si="0"/>
        <v>1.5309257477543182E-2</v>
      </c>
      <c r="D30">
        <f t="shared" si="1"/>
        <v>1.0016317010744284E-2</v>
      </c>
      <c r="E30">
        <f t="shared" si="2"/>
        <v>1.0032660645972531E-4</v>
      </c>
    </row>
    <row r="31" spans="1:5" x14ac:dyDescent="0.25">
      <c r="A31">
        <v>3.1164754373250005</v>
      </c>
      <c r="B31">
        <v>2.2237089794593871E-2</v>
      </c>
      <c r="C31">
        <f t="shared" si="0"/>
        <v>1.159989071985491E-2</v>
      </c>
      <c r="D31">
        <f t="shared" si="1"/>
        <v>1.0637199074738962E-2</v>
      </c>
      <c r="E31">
        <f t="shared" si="2"/>
        <v>1.1315000415562742E-4</v>
      </c>
    </row>
    <row r="32" spans="1:5" x14ac:dyDescent="0.25">
      <c r="A32">
        <v>3.2182109289750001</v>
      </c>
      <c r="B32">
        <v>1.1118544897296936E-2</v>
      </c>
      <c r="C32">
        <f t="shared" si="0"/>
        <v>8.7246056094628498E-3</v>
      </c>
      <c r="D32">
        <f t="shared" si="1"/>
        <v>2.3939392878340859E-3</v>
      </c>
      <c r="E32">
        <f t="shared" si="2"/>
        <v>5.73094531383557E-6</v>
      </c>
    </row>
    <row r="33" spans="1:5" x14ac:dyDescent="0.25">
      <c r="A33">
        <v>3.319946420625</v>
      </c>
      <c r="B33">
        <v>1.2971635713513091E-2</v>
      </c>
      <c r="C33">
        <f t="shared" si="0"/>
        <v>6.5144756870997361E-3</v>
      </c>
      <c r="D33">
        <f t="shared" si="1"/>
        <v>6.457160026413355E-3</v>
      </c>
      <c r="E33">
        <f t="shared" si="2"/>
        <v>4.1694915606710517E-5</v>
      </c>
    </row>
    <row r="34" spans="1:5" x14ac:dyDescent="0.25">
      <c r="A34">
        <v>3.421681912275</v>
      </c>
      <c r="B34">
        <v>8.6477571423420607E-3</v>
      </c>
      <c r="C34">
        <f t="shared" si="0"/>
        <v>4.8294926580500089E-3</v>
      </c>
      <c r="D34">
        <f t="shared" si="1"/>
        <v>3.8182644842920518E-3</v>
      </c>
      <c r="E34">
        <f t="shared" si="2"/>
        <v>1.4579143672006049E-5</v>
      </c>
    </row>
    <row r="35" spans="1:5" x14ac:dyDescent="0.25">
      <c r="A35">
        <v>3.5234174039250004</v>
      </c>
      <c r="B35">
        <v>4.9415755099097491E-3</v>
      </c>
      <c r="C35">
        <f t="shared" si="0"/>
        <v>3.5551329511900351E-3</v>
      </c>
      <c r="D35">
        <f t="shared" si="1"/>
        <v>1.386442558719714E-3</v>
      </c>
      <c r="E35">
        <f t="shared" si="2"/>
        <v>1.9222229686292679E-6</v>
      </c>
    </row>
    <row r="36" spans="1:5" x14ac:dyDescent="0.25">
      <c r="A36">
        <v>3.6251528955749999</v>
      </c>
      <c r="B36">
        <v>4.9415755099097491E-3</v>
      </c>
      <c r="C36">
        <f t="shared" si="0"/>
        <v>2.5988663151097686E-3</v>
      </c>
      <c r="D36">
        <f t="shared" si="1"/>
        <v>2.3427091947999805E-3</v>
      </c>
      <c r="E36">
        <f t="shared" si="2"/>
        <v>5.4882863714003732E-6</v>
      </c>
    </row>
    <row r="37" spans="1:5" x14ac:dyDescent="0.25">
      <c r="A37">
        <v>3.7268883872250003</v>
      </c>
      <c r="B37">
        <v>3.0884846936935933E-3</v>
      </c>
      <c r="C37">
        <f t="shared" si="0"/>
        <v>1.8867963398447715E-3</v>
      </c>
      <c r="D37">
        <f t="shared" si="1"/>
        <v>1.2016883538488218E-3</v>
      </c>
      <c r="E37">
        <f t="shared" si="2"/>
        <v>1.4440548997758911E-6</v>
      </c>
    </row>
    <row r="38" spans="1:5" x14ac:dyDescent="0.25">
      <c r="A38">
        <v>3.8286238788749998</v>
      </c>
      <c r="B38">
        <v>3.0884846936935933E-3</v>
      </c>
      <c r="C38">
        <f t="shared" si="0"/>
        <v>1.3605556310790981E-3</v>
      </c>
      <c r="D38">
        <f t="shared" si="1"/>
        <v>1.7279290626144952E-3</v>
      </c>
      <c r="E38">
        <f t="shared" si="2"/>
        <v>2.9857388454278082E-6</v>
      </c>
    </row>
    <row r="39" spans="1:5" x14ac:dyDescent="0.25">
      <c r="A39">
        <v>3.9303593705250002</v>
      </c>
      <c r="B39">
        <v>0</v>
      </c>
      <c r="C39">
        <f t="shared" si="0"/>
        <v>9.7452530515865384E-4</v>
      </c>
      <c r="D39">
        <f t="shared" si="1"/>
        <v>-9.7452530515865384E-4</v>
      </c>
      <c r="E39">
        <f t="shared" si="2"/>
        <v>9.4969957039456734E-7</v>
      </c>
    </row>
    <row r="40" spans="1:5" x14ac:dyDescent="0.25">
      <c r="A40">
        <v>4.0320948621749997</v>
      </c>
      <c r="B40">
        <v>6.1769693873871864E-4</v>
      </c>
      <c r="C40">
        <f t="shared" si="0"/>
        <v>6.9340842359783775E-4</v>
      </c>
      <c r="D40">
        <f t="shared" si="1"/>
        <v>-7.5711484859119116E-5</v>
      </c>
      <c r="E40">
        <f t="shared" si="2"/>
        <v>5.7322289395726231E-9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7F177-C77C-496D-9D46-1FBA068CBE2E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5.8334041837500003E-2</v>
      </c>
      <c r="B1">
        <v>0.10634227558689285</v>
      </c>
      <c r="C1">
        <f>$H$3*(1+$H$1)*(A1^($H$1))*EXP(-$H$3*(A1^(1+$H$1)))</f>
        <v>0.17023068299244215</v>
      </c>
      <c r="D1">
        <f>B1-C1</f>
        <v>-6.3888407405549297E-2</v>
      </c>
      <c r="E1">
        <f>D1^2</f>
        <v>4.0817286008174459E-3</v>
      </c>
      <c r="G1" t="s">
        <v>0</v>
      </c>
      <c r="H1">
        <v>0.74615308106140565</v>
      </c>
    </row>
    <row r="2" spans="1:8" x14ac:dyDescent="0.25">
      <c r="A2">
        <v>0.1558388275125</v>
      </c>
      <c r="B2">
        <v>0.33385029547885153</v>
      </c>
      <c r="C2">
        <f t="shared" ref="C2:C40" si="0">$H$3*(1+$H$1)*(A2^($H$1))*EXP(-$H$3*(A2^(1+$H$1)))</f>
        <v>0.34524803239735696</v>
      </c>
      <c r="D2">
        <f t="shared" ref="D2:D40" si="1">B2-C2</f>
        <v>-1.139773691850543E-2</v>
      </c>
      <c r="E2">
        <f t="shared" ref="E2:E40" si="2">D2^2</f>
        <v>1.2990840686346165E-4</v>
      </c>
    </row>
    <row r="3" spans="1:8" x14ac:dyDescent="0.25">
      <c r="A3">
        <v>0.25334361318749998</v>
      </c>
      <c r="B3">
        <v>0.49433045681907162</v>
      </c>
      <c r="C3">
        <f t="shared" si="0"/>
        <v>0.4754858086181854</v>
      </c>
      <c r="D3">
        <f t="shared" si="1"/>
        <v>1.8844648200886216E-2</v>
      </c>
      <c r="E3">
        <f t="shared" si="2"/>
        <v>3.5512076581516411E-4</v>
      </c>
      <c r="G3" t="s">
        <v>1</v>
      </c>
      <c r="H3">
        <f>(_xlfn.GAMMA((2+$H$1)/(1+$H$1)))^(1+$H$1)</f>
        <v>0.81705359453095983</v>
      </c>
    </row>
    <row r="4" spans="1:8" x14ac:dyDescent="0.25">
      <c r="A4">
        <v>0.35084839886250002</v>
      </c>
      <c r="B4">
        <v>0.58262677048818878</v>
      </c>
      <c r="C4">
        <f t="shared" si="0"/>
        <v>0.57271632333481115</v>
      </c>
      <c r="D4">
        <f t="shared" si="1"/>
        <v>9.9104471533776328E-3</v>
      </c>
      <c r="E4">
        <f t="shared" si="2"/>
        <v>9.8216962779890829E-5</v>
      </c>
    </row>
    <row r="5" spans="1:8" x14ac:dyDescent="0.25">
      <c r="A5">
        <v>0.44835318453750006</v>
      </c>
      <c r="B5">
        <v>0.71732698623158631</v>
      </c>
      <c r="C5">
        <f t="shared" si="0"/>
        <v>0.64113306029887784</v>
      </c>
      <c r="D5">
        <f t="shared" si="1"/>
        <v>7.6193925932708462E-2</v>
      </c>
      <c r="E5">
        <f t="shared" si="2"/>
        <v>5.8055143490390627E-3</v>
      </c>
      <c r="G5" t="s">
        <v>2</v>
      </c>
      <c r="H5">
        <f>SUM(E1:E40)</f>
        <v>2.8801904766187207E-2</v>
      </c>
    </row>
    <row r="6" spans="1:8" x14ac:dyDescent="0.25">
      <c r="A6">
        <v>0.54585797021249993</v>
      </c>
      <c r="B6">
        <v>0.73923993998888549</v>
      </c>
      <c r="C6">
        <f t="shared" si="0"/>
        <v>0.68369406601676941</v>
      </c>
      <c r="D6">
        <f t="shared" si="1"/>
        <v>5.5545873972116078E-2</v>
      </c>
      <c r="E6">
        <f t="shared" si="2"/>
        <v>3.0853441153262024E-3</v>
      </c>
    </row>
    <row r="7" spans="1:8" x14ac:dyDescent="0.25">
      <c r="A7">
        <v>0.64336275588749992</v>
      </c>
      <c r="B7">
        <v>0.73279495358967983</v>
      </c>
      <c r="C7">
        <f t="shared" si="0"/>
        <v>0.70329474820754978</v>
      </c>
      <c r="D7">
        <f t="shared" si="1"/>
        <v>2.9500205382130051E-2</v>
      </c>
      <c r="E7">
        <f t="shared" si="2"/>
        <v>8.7026211758785483E-4</v>
      </c>
    </row>
    <row r="8" spans="1:8" x14ac:dyDescent="0.25">
      <c r="A8">
        <v>0.74086754156250012</v>
      </c>
      <c r="B8">
        <v>0.66125560455849741</v>
      </c>
      <c r="C8">
        <f t="shared" si="0"/>
        <v>0.70301396398424087</v>
      </c>
      <c r="D8">
        <f t="shared" si="1"/>
        <v>-4.1758359425743463E-2</v>
      </c>
      <c r="E8">
        <f t="shared" si="2"/>
        <v>1.7437605819295779E-3</v>
      </c>
    </row>
    <row r="9" spans="1:8" x14ac:dyDescent="0.25">
      <c r="A9">
        <v>0.8383723272375001</v>
      </c>
      <c r="B9">
        <v>0.67479007599682916</v>
      </c>
      <c r="C9">
        <f t="shared" si="0"/>
        <v>0.68609335123465665</v>
      </c>
      <c r="D9">
        <f t="shared" si="1"/>
        <v>-1.1303275237827481E-2</v>
      </c>
      <c r="E9">
        <f t="shared" si="2"/>
        <v>1.277640311020839E-4</v>
      </c>
    </row>
    <row r="10" spans="1:8" x14ac:dyDescent="0.25">
      <c r="A10">
        <v>0.93587711291249998</v>
      </c>
      <c r="B10">
        <v>0.65029912767984788</v>
      </c>
      <c r="C10">
        <f t="shared" si="0"/>
        <v>0.65582981844788257</v>
      </c>
      <c r="D10">
        <f t="shared" si="1"/>
        <v>-5.5306907680346962E-3</v>
      </c>
      <c r="E10">
        <f t="shared" si="2"/>
        <v>3.0588540371624216E-5</v>
      </c>
    </row>
    <row r="11" spans="1:8" x14ac:dyDescent="0.25">
      <c r="A11">
        <v>1.0333818985875001</v>
      </c>
      <c r="B11">
        <v>0.6038952256055673</v>
      </c>
      <c r="C11">
        <f t="shared" si="0"/>
        <v>0.61544776033963589</v>
      </c>
      <c r="D11">
        <f t="shared" si="1"/>
        <v>-1.1552534734068587E-2</v>
      </c>
      <c r="E11">
        <f t="shared" si="2"/>
        <v>1.3346105878186116E-4</v>
      </c>
    </row>
    <row r="12" spans="1:8" x14ac:dyDescent="0.25">
      <c r="A12">
        <v>1.1308866842624998</v>
      </c>
      <c r="B12">
        <v>0.59938373512612342</v>
      </c>
      <c r="C12">
        <f t="shared" si="0"/>
        <v>0.56798047236417692</v>
      </c>
      <c r="D12">
        <f t="shared" si="1"/>
        <v>3.1403262761946493E-2</v>
      </c>
      <c r="E12">
        <f t="shared" si="2"/>
        <v>9.8616491209585532E-4</v>
      </c>
    </row>
    <row r="13" spans="1:8" x14ac:dyDescent="0.25">
      <c r="A13">
        <v>1.2283914699375</v>
      </c>
      <c r="B13">
        <v>0.57295929088938025</v>
      </c>
      <c r="C13">
        <f t="shared" si="0"/>
        <v>0.51617452639196415</v>
      </c>
      <c r="D13">
        <f t="shared" si="1"/>
        <v>5.6784764497416096E-2</v>
      </c>
      <c r="E13">
        <f t="shared" si="2"/>
        <v>3.2245094790270073E-3</v>
      </c>
    </row>
    <row r="14" spans="1:8" x14ac:dyDescent="0.25">
      <c r="A14">
        <v>1.3258962556125002</v>
      </c>
      <c r="B14">
        <v>0.4485710533847117</v>
      </c>
      <c r="C14">
        <f t="shared" si="0"/>
        <v>0.46242267614645244</v>
      </c>
      <c r="D14">
        <f t="shared" si="1"/>
        <v>-1.3851622761740734E-2</v>
      </c>
      <c r="E14">
        <f t="shared" si="2"/>
        <v>1.9186745313357401E-4</v>
      </c>
    </row>
    <row r="15" spans="1:8" x14ac:dyDescent="0.25">
      <c r="A15">
        <v>1.4234010412875</v>
      </c>
      <c r="B15">
        <v>0.37316471251400585</v>
      </c>
      <c r="C15">
        <f t="shared" si="0"/>
        <v>0.408725974743186</v>
      </c>
      <c r="D15">
        <f t="shared" si="1"/>
        <v>-3.5561262229180157E-2</v>
      </c>
      <c r="E15">
        <f t="shared" si="2"/>
        <v>1.2646033713325153E-3</v>
      </c>
    </row>
    <row r="16" spans="1:8" x14ac:dyDescent="0.25">
      <c r="A16">
        <v>1.5209058269625002</v>
      </c>
      <c r="B16">
        <v>0.32289381860020194</v>
      </c>
      <c r="C16">
        <f t="shared" si="0"/>
        <v>0.35668273512018195</v>
      </c>
      <c r="D16">
        <f t="shared" si="1"/>
        <v>-3.3788916519980006E-2</v>
      </c>
      <c r="E16">
        <f t="shared" si="2"/>
        <v>1.1416908795941778E-3</v>
      </c>
    </row>
    <row r="17" spans="1:5" x14ac:dyDescent="0.25">
      <c r="A17">
        <v>1.6184106126375002</v>
      </c>
      <c r="B17">
        <v>0.27262292468639804</v>
      </c>
      <c r="C17">
        <f t="shared" si="0"/>
        <v>0.30750014087840749</v>
      </c>
      <c r="D17">
        <f t="shared" si="1"/>
        <v>-3.4877216192009453E-2</v>
      </c>
      <c r="E17">
        <f t="shared" si="2"/>
        <v>1.2164202093041664E-3</v>
      </c>
    </row>
    <row r="18" spans="1:5" x14ac:dyDescent="0.25">
      <c r="A18">
        <v>1.7159153983125</v>
      </c>
      <c r="B18">
        <v>0.2146180470935474</v>
      </c>
      <c r="C18">
        <f t="shared" si="0"/>
        <v>0.26202340227718918</v>
      </c>
      <c r="D18">
        <f t="shared" si="1"/>
        <v>-4.7405355183641779E-2</v>
      </c>
      <c r="E18">
        <f t="shared" si="2"/>
        <v>2.2472677000872324E-3</v>
      </c>
    </row>
    <row r="19" spans="1:5" x14ac:dyDescent="0.25">
      <c r="A19">
        <v>1.8134201839874999</v>
      </c>
      <c r="B19">
        <v>0.19979457837537445</v>
      </c>
      <c r="C19">
        <f t="shared" si="0"/>
        <v>0.22077712971312727</v>
      </c>
      <c r="D19">
        <f t="shared" si="1"/>
        <v>-2.0982551337752814E-2</v>
      </c>
      <c r="E19">
        <f t="shared" si="2"/>
        <v>4.4026746064143238E-4</v>
      </c>
    </row>
    <row r="20" spans="1:5" x14ac:dyDescent="0.25">
      <c r="A20">
        <v>1.9109249696624999</v>
      </c>
      <c r="B20">
        <v>0.16305815589990239</v>
      </c>
      <c r="C20">
        <f t="shared" si="0"/>
        <v>0.18401388073043401</v>
      </c>
      <c r="D20">
        <f t="shared" si="1"/>
        <v>-2.0955724830531625E-2</v>
      </c>
      <c r="E20">
        <f t="shared" si="2"/>
        <v>4.391424031729597E-4</v>
      </c>
    </row>
    <row r="21" spans="1:5" x14ac:dyDescent="0.25">
      <c r="A21">
        <v>2.0084297553375001</v>
      </c>
      <c r="B21">
        <v>0.13276671982363594</v>
      </c>
      <c r="C21">
        <f t="shared" si="0"/>
        <v>0.15176546221035267</v>
      </c>
      <c r="D21">
        <f t="shared" si="1"/>
        <v>-1.8998742386716727E-2</v>
      </c>
      <c r="E21">
        <f t="shared" si="2"/>
        <v>3.6095221227682681E-4</v>
      </c>
    </row>
    <row r="22" spans="1:5" x14ac:dyDescent="0.25">
      <c r="A22">
        <v>2.1059345410125001</v>
      </c>
      <c r="B22">
        <v>0.12567723478450973</v>
      </c>
      <c r="C22">
        <f t="shared" si="0"/>
        <v>0.12389339229360452</v>
      </c>
      <c r="D22">
        <f t="shared" si="1"/>
        <v>1.7838424909052131E-3</v>
      </c>
      <c r="E22">
        <f t="shared" si="2"/>
        <v>3.1820940323589153E-6</v>
      </c>
    </row>
    <row r="23" spans="1:5" x14ac:dyDescent="0.25">
      <c r="A23">
        <v>2.2034393266875001</v>
      </c>
      <c r="B23">
        <v>9.5385798708243291E-2</v>
      </c>
      <c r="C23">
        <f t="shared" si="0"/>
        <v>0.10013582558272389</v>
      </c>
      <c r="D23">
        <f t="shared" si="1"/>
        <v>-4.7500268744806035E-3</v>
      </c>
      <c r="E23">
        <f t="shared" si="2"/>
        <v>2.2562755308287972E-5</v>
      </c>
    </row>
    <row r="24" spans="1:5" x14ac:dyDescent="0.25">
      <c r="A24">
        <v>2.3009441123625001</v>
      </c>
      <c r="B24">
        <v>7.6050839510626411E-2</v>
      </c>
      <c r="C24">
        <f t="shared" si="0"/>
        <v>8.01491254238937E-2</v>
      </c>
      <c r="D24">
        <f t="shared" si="1"/>
        <v>-4.0982859132672883E-3</v>
      </c>
      <c r="E24">
        <f t="shared" si="2"/>
        <v>1.6795947426885091E-5</v>
      </c>
    </row>
    <row r="25" spans="1:5" x14ac:dyDescent="0.25">
      <c r="A25">
        <v>2.3984488980374996</v>
      </c>
      <c r="B25">
        <v>7.2828346311023598E-2</v>
      </c>
      <c r="C25">
        <f t="shared" si="0"/>
        <v>6.3543061008072707E-2</v>
      </c>
      <c r="D25">
        <f t="shared" si="1"/>
        <v>9.2852853029508908E-3</v>
      </c>
      <c r="E25">
        <f t="shared" si="2"/>
        <v>8.6216523157195817E-5</v>
      </c>
    </row>
    <row r="26" spans="1:5" x14ac:dyDescent="0.25">
      <c r="A26">
        <v>2.4959536837125</v>
      </c>
      <c r="B26">
        <v>6.0582872152532899E-2</v>
      </c>
      <c r="C26">
        <f t="shared" si="0"/>
        <v>4.9909272871836469E-2</v>
      </c>
      <c r="D26">
        <f t="shared" si="1"/>
        <v>1.067359928069643E-2</v>
      </c>
      <c r="E26">
        <f t="shared" si="2"/>
        <v>1.1392572160488335E-4</v>
      </c>
    </row>
    <row r="27" spans="1:5" x14ac:dyDescent="0.25">
      <c r="A27">
        <v>2.5934584693875005</v>
      </c>
      <c r="B27">
        <v>4.7692899354121646E-2</v>
      </c>
      <c r="C27">
        <f t="shared" si="0"/>
        <v>3.8843168793672479E-2</v>
      </c>
      <c r="D27">
        <f t="shared" si="1"/>
        <v>8.8497305604491663E-3</v>
      </c>
      <c r="E27">
        <f t="shared" si="2"/>
        <v>7.8317730992547921E-5</v>
      </c>
    </row>
    <row r="28" spans="1:5" x14ac:dyDescent="0.25">
      <c r="A28">
        <v>2.6909632550625</v>
      </c>
      <c r="B28">
        <v>3.9958915675074889E-2</v>
      </c>
      <c r="C28">
        <f t="shared" si="0"/>
        <v>2.9959781730624458E-2</v>
      </c>
      <c r="D28">
        <f t="shared" si="1"/>
        <v>9.9991339444504314E-3</v>
      </c>
      <c r="E28">
        <f t="shared" si="2"/>
        <v>9.9982679639060843E-5</v>
      </c>
    </row>
    <row r="29" spans="1:5" x14ac:dyDescent="0.25">
      <c r="A29">
        <v>2.7884680407374995</v>
      </c>
      <c r="B29">
        <v>3.3513929275869263E-2</v>
      </c>
      <c r="C29">
        <f t="shared" si="0"/>
        <v>2.2904354047554865E-2</v>
      </c>
      <c r="D29">
        <f t="shared" si="1"/>
        <v>1.0609575228314398E-2</v>
      </c>
      <c r="E29">
        <f t="shared" si="2"/>
        <v>1.1256308652526251E-4</v>
      </c>
    </row>
    <row r="30" spans="1:5" x14ac:dyDescent="0.25">
      <c r="A30">
        <v>2.8859728264125</v>
      </c>
      <c r="B30">
        <v>2.5135446956901949E-2</v>
      </c>
      <c r="C30">
        <f t="shared" si="0"/>
        <v>1.7358527878534549E-2</v>
      </c>
      <c r="D30">
        <f t="shared" si="1"/>
        <v>7.7769190783673996E-3</v>
      </c>
      <c r="E30">
        <f t="shared" si="2"/>
        <v>6.048047035147484E-5</v>
      </c>
    </row>
    <row r="31" spans="1:5" x14ac:dyDescent="0.25">
      <c r="A31">
        <v>2.9834776120874995</v>
      </c>
      <c r="B31">
        <v>2.3846449677060823E-2</v>
      </c>
      <c r="C31">
        <f t="shared" si="0"/>
        <v>1.304304415723505E-2</v>
      </c>
      <c r="D31">
        <f t="shared" si="1"/>
        <v>1.0803405519825773E-2</v>
      </c>
      <c r="E31">
        <f t="shared" si="2"/>
        <v>1.1671357082580198E-4</v>
      </c>
    </row>
    <row r="32" spans="1:5" x14ac:dyDescent="0.25">
      <c r="A32">
        <v>3.0809823977624999</v>
      </c>
      <c r="B32">
        <v>1.611246599801407E-2</v>
      </c>
      <c r="C32">
        <f t="shared" si="0"/>
        <v>9.7178075405661875E-3</v>
      </c>
      <c r="D32">
        <f t="shared" si="1"/>
        <v>6.3946584574478826E-3</v>
      </c>
      <c r="E32">
        <f t="shared" si="2"/>
        <v>4.0891656787409735E-5</v>
      </c>
    </row>
    <row r="33" spans="1:5" x14ac:dyDescent="0.25">
      <c r="A33">
        <v>3.1784871834375004</v>
      </c>
      <c r="B33">
        <v>1.2245474158490692E-2</v>
      </c>
      <c r="C33">
        <f t="shared" si="0"/>
        <v>7.1800843196124769E-3</v>
      </c>
      <c r="D33">
        <f t="shared" si="1"/>
        <v>5.0653898388782152E-3</v>
      </c>
      <c r="E33">
        <f t="shared" si="2"/>
        <v>2.5658174219810671E-5</v>
      </c>
    </row>
    <row r="34" spans="1:5" x14ac:dyDescent="0.25">
      <c r="A34">
        <v>3.2759919691124999</v>
      </c>
      <c r="B34">
        <v>1.0956476878649568E-2</v>
      </c>
      <c r="C34">
        <f t="shared" si="0"/>
        <v>5.2614854224854631E-3</v>
      </c>
      <c r="D34">
        <f t="shared" si="1"/>
        <v>5.6949914561641047E-3</v>
      </c>
      <c r="E34">
        <f t="shared" si="2"/>
        <v>3.2432927685782146E-5</v>
      </c>
    </row>
    <row r="35" spans="1:5" x14ac:dyDescent="0.25">
      <c r="A35">
        <v>3.3734967547875003</v>
      </c>
      <c r="B35">
        <v>6.4449863992056275E-3</v>
      </c>
      <c r="C35">
        <f t="shared" si="0"/>
        <v>3.8242627170159095E-3</v>
      </c>
      <c r="D35">
        <f t="shared" si="1"/>
        <v>2.6207236821897181E-3</v>
      </c>
      <c r="E35">
        <f t="shared" si="2"/>
        <v>6.868192618390034E-6</v>
      </c>
    </row>
    <row r="36" spans="1:5" x14ac:dyDescent="0.25">
      <c r="A36">
        <v>3.4710015404624999</v>
      </c>
      <c r="B36">
        <v>5.1559891193645024E-3</v>
      </c>
      <c r="C36">
        <f t="shared" si="0"/>
        <v>2.7573258035383848E-3</v>
      </c>
      <c r="D36">
        <f t="shared" si="1"/>
        <v>2.3986633158261175E-3</v>
      </c>
      <c r="E36">
        <f t="shared" si="2"/>
        <v>5.753585702689945E-6</v>
      </c>
    </row>
    <row r="37" spans="1:5" x14ac:dyDescent="0.25">
      <c r="A37">
        <v>3.5685063261375003</v>
      </c>
      <c r="B37">
        <v>3.2224931996028138E-3</v>
      </c>
      <c r="C37">
        <f t="shared" si="0"/>
        <v>1.9722762477523124E-3</v>
      </c>
      <c r="D37">
        <f t="shared" si="1"/>
        <v>1.2502169518505014E-3</v>
      </c>
      <c r="E37">
        <f t="shared" si="2"/>
        <v>1.5630424266943589E-6</v>
      </c>
    </row>
    <row r="38" spans="1:5" x14ac:dyDescent="0.25">
      <c r="A38">
        <v>3.6660111118124998</v>
      </c>
      <c r="B38">
        <v>3.2224931996028138E-3</v>
      </c>
      <c r="C38">
        <f t="shared" si="0"/>
        <v>1.3996613003817496E-3</v>
      </c>
      <c r="D38">
        <f t="shared" si="1"/>
        <v>1.8228318992210642E-3</v>
      </c>
      <c r="E38">
        <f t="shared" si="2"/>
        <v>3.3227161328178718E-6</v>
      </c>
    </row>
    <row r="39" spans="1:5" x14ac:dyDescent="0.25">
      <c r="A39">
        <v>3.7635158974875003</v>
      </c>
      <c r="B39">
        <v>6.444986399205628E-4</v>
      </c>
      <c r="C39">
        <f t="shared" si="0"/>
        <v>9.8557148448910441E-4</v>
      </c>
      <c r="D39">
        <f t="shared" si="1"/>
        <v>-3.4107284456854161E-4</v>
      </c>
      <c r="E39">
        <f t="shared" si="2"/>
        <v>1.1633068530207655E-7</v>
      </c>
    </row>
    <row r="40" spans="1:5" x14ac:dyDescent="0.25">
      <c r="A40">
        <v>3.8610206831624998</v>
      </c>
      <c r="B40">
        <v>6.444986399205628E-4</v>
      </c>
      <c r="C40">
        <f t="shared" si="0"/>
        <v>6.8864594533010813E-4</v>
      </c>
      <c r="D40">
        <f t="shared" si="1"/>
        <v>-4.4147305409545333E-5</v>
      </c>
      <c r="E40">
        <f t="shared" si="2"/>
        <v>1.9489845749236705E-9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F389-525B-4FBE-85B8-5CF3D5591EB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7.6750970462499998E-2</v>
      </c>
      <c r="B1">
        <v>0.10575352422582333</v>
      </c>
      <c r="C1">
        <f>$H$3*(1+$H$1)*(A1^($H$1))*EXP(-$H$3*(A1^(1+$H$1)))</f>
        <v>0.17780674500535124</v>
      </c>
      <c r="D1">
        <f>B1-C1</f>
        <v>-7.2053220779527902E-2</v>
      </c>
      <c r="E1">
        <f>D1^2</f>
        <v>5.1916666247033916E-3</v>
      </c>
      <c r="G1" t="s">
        <v>0</v>
      </c>
      <c r="H1">
        <v>0.81942794278467324</v>
      </c>
    </row>
    <row r="2" spans="1:8" x14ac:dyDescent="0.25">
      <c r="A2">
        <v>0.16945053338749999</v>
      </c>
      <c r="B2">
        <v>0.30302452133937841</v>
      </c>
      <c r="C2">
        <f t="shared" ref="C2:C40" si="0">$H$3*(1+$H$1)*(A2^($H$1))*EXP(-$H$3*(A2^(1+$H$1)))</f>
        <v>0.33205758961404513</v>
      </c>
      <c r="D2">
        <f t="shared" ref="D2:D40" si="1">B2-C2</f>
        <v>-2.9033068274666729E-2</v>
      </c>
      <c r="E2">
        <f t="shared" ref="E2:E40" si="2">D2^2</f>
        <v>8.4291905344145972E-4</v>
      </c>
    </row>
    <row r="3" spans="1:8" x14ac:dyDescent="0.25">
      <c r="A3">
        <v>0.26215009631249997</v>
      </c>
      <c r="B3">
        <v>0.48809318873456919</v>
      </c>
      <c r="C3">
        <f t="shared" si="0"/>
        <v>0.45676596130928521</v>
      </c>
      <c r="D3">
        <f t="shared" si="1"/>
        <v>3.1327227425283988E-2</v>
      </c>
      <c r="E3">
        <f t="shared" si="2"/>
        <v>9.8139517815546513E-4</v>
      </c>
      <c r="G3" t="s">
        <v>1</v>
      </c>
      <c r="H3">
        <f>(_xlfn.GAMMA((2+$H$1)/(1+$H$1)))^(1+$H$1)</f>
        <v>0.80702871527069975</v>
      </c>
    </row>
    <row r="4" spans="1:8" x14ac:dyDescent="0.25">
      <c r="A4">
        <v>0.3548496592375</v>
      </c>
      <c r="B4">
        <v>0.55995135263160301</v>
      </c>
      <c r="C4">
        <f t="shared" si="0"/>
        <v>0.55578320155380201</v>
      </c>
      <c r="D4">
        <f t="shared" si="1"/>
        <v>4.1681510778009967E-3</v>
      </c>
      <c r="E4">
        <f t="shared" si="2"/>
        <v>1.737348340737361E-5</v>
      </c>
    </row>
    <row r="5" spans="1:8" x14ac:dyDescent="0.25">
      <c r="A5">
        <v>0.44754922216250004</v>
      </c>
      <c r="B5">
        <v>0.71925954617691379</v>
      </c>
      <c r="C5">
        <f t="shared" si="0"/>
        <v>0.63029171462722133</v>
      </c>
      <c r="D5">
        <f t="shared" si="1"/>
        <v>8.8967831549692455E-2</v>
      </c>
      <c r="E5">
        <f t="shared" si="2"/>
        <v>7.9152750506544522E-3</v>
      </c>
      <c r="G5" t="s">
        <v>2</v>
      </c>
      <c r="H5">
        <f>SUM(E1:E40)</f>
        <v>3.2762167718918336E-2</v>
      </c>
    </row>
    <row r="6" spans="1:8" x14ac:dyDescent="0.25">
      <c r="A6">
        <v>0.54024878508749996</v>
      </c>
      <c r="B6">
        <v>0.731461875895278</v>
      </c>
      <c r="C6">
        <f t="shared" si="0"/>
        <v>0.68136091074541671</v>
      </c>
      <c r="D6">
        <f t="shared" si="1"/>
        <v>5.0100965149861287E-2</v>
      </c>
      <c r="E6">
        <f t="shared" si="2"/>
        <v>2.5101067089476153E-3</v>
      </c>
    </row>
    <row r="7" spans="1:8" x14ac:dyDescent="0.25">
      <c r="A7">
        <v>0.6329483480125</v>
      </c>
      <c r="B7">
        <v>0.77349212270297707</v>
      </c>
      <c r="C7">
        <f t="shared" si="0"/>
        <v>0.71048822143679435</v>
      </c>
      <c r="D7">
        <f t="shared" si="1"/>
        <v>6.3003901266182716E-2</v>
      </c>
      <c r="E7">
        <f t="shared" si="2"/>
        <v>3.9694915747588997E-3</v>
      </c>
    </row>
    <row r="8" spans="1:8" x14ac:dyDescent="0.25">
      <c r="A8">
        <v>0.72564791093750003</v>
      </c>
      <c r="B8">
        <v>0.71451419573088326</v>
      </c>
      <c r="C8">
        <f t="shared" si="0"/>
        <v>0.71968329818137944</v>
      </c>
      <c r="D8">
        <f t="shared" si="1"/>
        <v>-5.1691024504961769E-3</v>
      </c>
      <c r="E8">
        <f t="shared" si="2"/>
        <v>2.6719620143725579E-5</v>
      </c>
    </row>
    <row r="9" spans="1:8" x14ac:dyDescent="0.25">
      <c r="A9">
        <v>0.81834747386250006</v>
      </c>
      <c r="B9">
        <v>0.70231186601251905</v>
      </c>
      <c r="C9">
        <f t="shared" si="0"/>
        <v>0.71139540903649523</v>
      </c>
      <c r="D9">
        <f t="shared" si="1"/>
        <v>-9.0835430239761816E-3</v>
      </c>
      <c r="E9">
        <f t="shared" si="2"/>
        <v>8.2510753868426351E-5</v>
      </c>
    </row>
    <row r="10" spans="1:8" x14ac:dyDescent="0.25">
      <c r="A10">
        <v>0.91104703678749999</v>
      </c>
      <c r="B10">
        <v>0.65350254713906208</v>
      </c>
      <c r="C10">
        <f t="shared" si="0"/>
        <v>0.68837938556719724</v>
      </c>
      <c r="D10">
        <f t="shared" si="1"/>
        <v>-3.487683842813516E-2</v>
      </c>
      <c r="E10">
        <f t="shared" si="2"/>
        <v>1.2163938587422454E-3</v>
      </c>
    </row>
    <row r="11" spans="1:8" x14ac:dyDescent="0.25">
      <c r="A11">
        <v>1.0037465997125001</v>
      </c>
      <c r="B11">
        <v>0.62503044446287892</v>
      </c>
      <c r="C11">
        <f t="shared" si="0"/>
        <v>0.65354233415049245</v>
      </c>
      <c r="D11">
        <f t="shared" si="1"/>
        <v>-2.8511889687613534E-2</v>
      </c>
      <c r="E11">
        <f t="shared" si="2"/>
        <v>8.12927853558643E-4</v>
      </c>
    </row>
    <row r="12" spans="1:8" x14ac:dyDescent="0.25">
      <c r="A12">
        <v>1.0964461626375002</v>
      </c>
      <c r="B12">
        <v>0.6392664958009705</v>
      </c>
      <c r="C12">
        <f t="shared" si="0"/>
        <v>0.60979425885950056</v>
      </c>
      <c r="D12">
        <f t="shared" si="1"/>
        <v>2.9472236941469943E-2</v>
      </c>
      <c r="E12">
        <f t="shared" si="2"/>
        <v>8.6861275033414556E-4</v>
      </c>
    </row>
    <row r="13" spans="1:8" x14ac:dyDescent="0.25">
      <c r="A13">
        <v>1.1891457255625002</v>
      </c>
      <c r="B13">
        <v>0.58096647603545248</v>
      </c>
      <c r="C13">
        <f t="shared" si="0"/>
        <v>0.55991645664358669</v>
      </c>
      <c r="D13">
        <f t="shared" si="1"/>
        <v>2.1050019391865793E-2</v>
      </c>
      <c r="E13">
        <f t="shared" si="2"/>
        <v>4.431033163979259E-4</v>
      </c>
    </row>
    <row r="14" spans="1:8" x14ac:dyDescent="0.25">
      <c r="A14">
        <v>1.2818452884875002</v>
      </c>
      <c r="B14">
        <v>0.52334436347651037</v>
      </c>
      <c r="C14">
        <f t="shared" si="0"/>
        <v>0.50645567714586137</v>
      </c>
      <c r="D14">
        <f t="shared" si="1"/>
        <v>1.6888686330648994E-2</v>
      </c>
      <c r="E14">
        <f t="shared" si="2"/>
        <v>2.8522772597505019E-4</v>
      </c>
    </row>
    <row r="15" spans="1:8" x14ac:dyDescent="0.25">
      <c r="A15">
        <v>1.3745448514125</v>
      </c>
      <c r="B15">
        <v>0.45080829237290071</v>
      </c>
      <c r="C15">
        <f t="shared" si="0"/>
        <v>0.45164772089904104</v>
      </c>
      <c r="D15">
        <f t="shared" si="1"/>
        <v>-8.3942852614032892E-4</v>
      </c>
      <c r="E15">
        <f t="shared" si="2"/>
        <v>7.0464025049812493E-7</v>
      </c>
    </row>
    <row r="16" spans="1:8" x14ac:dyDescent="0.25">
      <c r="A16">
        <v>1.4672444143375001</v>
      </c>
      <c r="B16">
        <v>0.36064663389832058</v>
      </c>
      <c r="C16">
        <f t="shared" si="0"/>
        <v>0.39737082301900767</v>
      </c>
      <c r="D16">
        <f t="shared" si="1"/>
        <v>-3.672418912068709E-2</v>
      </c>
      <c r="E16">
        <f t="shared" si="2"/>
        <v>1.3486660665719919E-3</v>
      </c>
    </row>
    <row r="17" spans="1:5" x14ac:dyDescent="0.25">
      <c r="A17">
        <v>1.5599439772625001</v>
      </c>
      <c r="B17">
        <v>0.31183731502486367</v>
      </c>
      <c r="C17">
        <f t="shared" si="0"/>
        <v>0.34512667452740536</v>
      </c>
      <c r="D17">
        <f t="shared" si="1"/>
        <v>-3.3289359502541693E-2</v>
      </c>
      <c r="E17">
        <f t="shared" si="2"/>
        <v>1.108181456089463E-3</v>
      </c>
    </row>
    <row r="18" spans="1:5" x14ac:dyDescent="0.25">
      <c r="A18">
        <v>1.6526435401874999</v>
      </c>
      <c r="B18">
        <v>0.24879194481331515</v>
      </c>
      <c r="C18">
        <f t="shared" si="0"/>
        <v>0.29604521045867932</v>
      </c>
      <c r="D18">
        <f t="shared" si="1"/>
        <v>-4.7253265645364168E-2</v>
      </c>
      <c r="E18">
        <f t="shared" si="2"/>
        <v>2.2328711141513533E-3</v>
      </c>
    </row>
    <row r="19" spans="1:5" x14ac:dyDescent="0.25">
      <c r="A19">
        <v>1.7453431031125</v>
      </c>
      <c r="B19">
        <v>0.21760821331082877</v>
      </c>
      <c r="C19">
        <f t="shared" si="0"/>
        <v>0.25090828407356519</v>
      </c>
      <c r="D19">
        <f t="shared" si="1"/>
        <v>-3.3300070762736417E-2</v>
      </c>
      <c r="E19">
        <f t="shared" si="2"/>
        <v>1.1088947128032526E-3</v>
      </c>
    </row>
    <row r="20" spans="1:5" x14ac:dyDescent="0.25">
      <c r="A20">
        <v>1.8380426660375</v>
      </c>
      <c r="B20">
        <v>0.18913611063464558</v>
      </c>
      <c r="C20">
        <f t="shared" si="0"/>
        <v>0.21018696337383844</v>
      </c>
      <c r="D20">
        <f t="shared" si="1"/>
        <v>-2.1050852739192855E-2</v>
      </c>
      <c r="E20">
        <f t="shared" si="2"/>
        <v>4.4313840104718329E-4</v>
      </c>
    </row>
    <row r="21" spans="1:5" x14ac:dyDescent="0.25">
      <c r="A21">
        <v>1.9307422289625</v>
      </c>
      <c r="B21">
        <v>0.15388493589270447</v>
      </c>
      <c r="C21">
        <f t="shared" si="0"/>
        <v>0.17408731570915253</v>
      </c>
      <c r="D21">
        <f t="shared" si="1"/>
        <v>-2.0202379816448068E-2</v>
      </c>
      <c r="E21">
        <f t="shared" si="2"/>
        <v>4.0813615024802829E-4</v>
      </c>
    </row>
    <row r="22" spans="1:5" x14ac:dyDescent="0.25">
      <c r="A22">
        <v>2.0234417918875001</v>
      </c>
      <c r="B22">
        <v>0.13625934852173391</v>
      </c>
      <c r="C22">
        <f t="shared" si="0"/>
        <v>0.14260005796110803</v>
      </c>
      <c r="D22">
        <f t="shared" si="1"/>
        <v>-6.3407094393741203E-3</v>
      </c>
      <c r="E22">
        <f t="shared" si="2"/>
        <v>4.0204596194568069E-5</v>
      </c>
    </row>
    <row r="23" spans="1:5" x14ac:dyDescent="0.25">
      <c r="A23">
        <v>2.1161413548125001</v>
      </c>
      <c r="B23">
        <v>0.11117678187842965</v>
      </c>
      <c r="C23">
        <f t="shared" si="0"/>
        <v>0.11555021002587378</v>
      </c>
      <c r="D23">
        <f t="shared" si="1"/>
        <v>-4.373428147444125E-3</v>
      </c>
      <c r="E23">
        <f t="shared" si="2"/>
        <v>1.9126873760856551E-5</v>
      </c>
    </row>
    <row r="24" spans="1:5" x14ac:dyDescent="0.25">
      <c r="A24">
        <v>2.2088409177374997</v>
      </c>
      <c r="B24">
        <v>8.6772122441701197E-2</v>
      </c>
      <c r="C24">
        <f t="shared" si="0"/>
        <v>9.2643774075699667E-2</v>
      </c>
      <c r="D24">
        <f t="shared" si="1"/>
        <v>-5.8716516339984703E-3</v>
      </c>
      <c r="E24">
        <f t="shared" si="2"/>
        <v>3.4476292911036903E-5</v>
      </c>
    </row>
    <row r="25" spans="1:5" x14ac:dyDescent="0.25">
      <c r="A25">
        <v>2.3015404806625002</v>
      </c>
      <c r="B25">
        <v>7.6603514343064338E-2</v>
      </c>
      <c r="C25">
        <f t="shared" si="0"/>
        <v>7.35093661623758E-2</v>
      </c>
      <c r="D25">
        <f t="shared" si="1"/>
        <v>3.0941481806885385E-3</v>
      </c>
      <c r="E25">
        <f t="shared" si="2"/>
        <v>9.5737529640581926E-6</v>
      </c>
    </row>
    <row r="26" spans="1:5" x14ac:dyDescent="0.25">
      <c r="A26">
        <v>2.3942400435874998</v>
      </c>
      <c r="B26">
        <v>6.5756999037851691E-2</v>
      </c>
      <c r="C26">
        <f t="shared" si="0"/>
        <v>5.7733569180999526E-2</v>
      </c>
      <c r="D26">
        <f t="shared" si="1"/>
        <v>8.0234298568521642E-3</v>
      </c>
      <c r="E26">
        <f t="shared" si="2"/>
        <v>6.437542666782674E-5</v>
      </c>
    </row>
    <row r="27" spans="1:5" x14ac:dyDescent="0.25">
      <c r="A27">
        <v>2.4869396065125002</v>
      </c>
      <c r="B27">
        <v>5.4232576526063246E-2</v>
      </c>
      <c r="C27">
        <f t="shared" si="0"/>
        <v>4.4889502060157814E-2</v>
      </c>
      <c r="D27">
        <f t="shared" si="1"/>
        <v>9.3430744659054321E-3</v>
      </c>
      <c r="E27">
        <f t="shared" si="2"/>
        <v>8.7293040475454076E-5</v>
      </c>
    </row>
    <row r="28" spans="1:5" x14ac:dyDescent="0.25">
      <c r="A28">
        <v>2.5796391694374998</v>
      </c>
      <c r="B28">
        <v>4.8131411666881133E-2</v>
      </c>
      <c r="C28">
        <f t="shared" si="0"/>
        <v>3.4558678938790013E-2</v>
      </c>
      <c r="D28">
        <f t="shared" si="1"/>
        <v>1.3572732728091119E-2</v>
      </c>
      <c r="E28">
        <f t="shared" si="2"/>
        <v>1.842190737081958E-4</v>
      </c>
    </row>
    <row r="29" spans="1:5" x14ac:dyDescent="0.25">
      <c r="A29">
        <v>2.6723387323625003</v>
      </c>
      <c r="B29">
        <v>3.9996525187971643E-2</v>
      </c>
      <c r="C29">
        <f t="shared" si="0"/>
        <v>2.6346654809844987E-2</v>
      </c>
      <c r="D29">
        <f t="shared" si="1"/>
        <v>1.3649870378126656E-2</v>
      </c>
      <c r="E29">
        <f t="shared" si="2"/>
        <v>1.8631896133965956E-4</v>
      </c>
    </row>
    <row r="30" spans="1:5" x14ac:dyDescent="0.25">
      <c r="A30">
        <v>2.7650382952874999</v>
      </c>
      <c r="B30">
        <v>2.4404659436728461E-2</v>
      </c>
      <c r="C30">
        <f t="shared" si="0"/>
        <v>1.9893227816052284E-2</v>
      </c>
      <c r="D30">
        <f t="shared" si="1"/>
        <v>4.5114316206761769E-3</v>
      </c>
      <c r="E30">
        <f t="shared" si="2"/>
        <v>2.0353015268036875E-5</v>
      </c>
    </row>
    <row r="31" spans="1:5" x14ac:dyDescent="0.25">
      <c r="A31">
        <v>2.8577378582125004</v>
      </c>
      <c r="B31">
        <v>2.3048845023576878E-2</v>
      </c>
      <c r="C31">
        <f t="shared" si="0"/>
        <v>1.4878111474544967E-2</v>
      </c>
      <c r="D31">
        <f t="shared" si="1"/>
        <v>8.1707335490319114E-3</v>
      </c>
      <c r="E31">
        <f t="shared" si="2"/>
        <v>6.6760886729275609E-5</v>
      </c>
    </row>
    <row r="32" spans="1:5" x14ac:dyDescent="0.25">
      <c r="A32">
        <v>2.9504374211375</v>
      </c>
      <c r="B32">
        <v>2.3048845023576878E-2</v>
      </c>
      <c r="C32">
        <f t="shared" si="0"/>
        <v>1.1023027359020653E-2</v>
      </c>
      <c r="D32">
        <f t="shared" si="1"/>
        <v>1.2025817664556225E-2</v>
      </c>
      <c r="E32">
        <f t="shared" si="2"/>
        <v>1.4462029050115255E-4</v>
      </c>
    </row>
    <row r="33" spans="1:5" x14ac:dyDescent="0.25">
      <c r="A33">
        <v>3.0431369840625</v>
      </c>
      <c r="B33">
        <v>1.084651530521265E-2</v>
      </c>
      <c r="C33">
        <f t="shared" si="0"/>
        <v>8.0911271829651223E-3</v>
      </c>
      <c r="D33">
        <f t="shared" si="1"/>
        <v>2.7553881222475273E-3</v>
      </c>
      <c r="E33">
        <f t="shared" si="2"/>
        <v>7.5921637042227548E-6</v>
      </c>
    </row>
    <row r="34" spans="1:5" x14ac:dyDescent="0.25">
      <c r="A34">
        <v>3.1358365469875</v>
      </c>
      <c r="B34">
        <v>8.8127936854852772E-3</v>
      </c>
      <c r="C34">
        <f t="shared" si="0"/>
        <v>5.8845588546879712E-3</v>
      </c>
      <c r="D34">
        <f t="shared" si="1"/>
        <v>2.928234830797306E-3</v>
      </c>
      <c r="E34">
        <f t="shared" si="2"/>
        <v>8.5745592242945281E-6</v>
      </c>
    </row>
    <row r="35" spans="1:5" x14ac:dyDescent="0.25">
      <c r="A35">
        <v>3.2285361099125001</v>
      </c>
      <c r="B35">
        <v>1.2202329718364231E-2</v>
      </c>
      <c r="C35">
        <f t="shared" si="0"/>
        <v>4.2408668558418672E-3</v>
      </c>
      <c r="D35">
        <f t="shared" si="1"/>
        <v>7.9614628625223633E-3</v>
      </c>
      <c r="E35">
        <f t="shared" si="2"/>
        <v>6.3384890911322785E-5</v>
      </c>
    </row>
    <row r="36" spans="1:5" x14ac:dyDescent="0.25">
      <c r="A36">
        <v>3.3212356728375001</v>
      </c>
      <c r="B36">
        <v>5.4232576526063248E-3</v>
      </c>
      <c r="C36">
        <f t="shared" si="0"/>
        <v>3.0287818602634927E-3</v>
      </c>
      <c r="D36">
        <f t="shared" si="1"/>
        <v>2.394475792342832E-3</v>
      </c>
      <c r="E36">
        <f t="shared" si="2"/>
        <v>5.7335143201158331E-6</v>
      </c>
    </row>
    <row r="37" spans="1:5" x14ac:dyDescent="0.25">
      <c r="A37">
        <v>3.4139352357625001</v>
      </c>
      <c r="B37">
        <v>3.3895360328789529E-3</v>
      </c>
      <c r="C37">
        <f t="shared" si="0"/>
        <v>2.1438217695707931E-3</v>
      </c>
      <c r="D37">
        <f t="shared" si="1"/>
        <v>1.2457142633081598E-3</v>
      </c>
      <c r="E37">
        <f t="shared" si="2"/>
        <v>1.5518040258093912E-6</v>
      </c>
    </row>
    <row r="38" spans="1:5" x14ac:dyDescent="0.25">
      <c r="A38">
        <v>3.5066347986875002</v>
      </c>
      <c r="B38">
        <v>3.3895360328789529E-3</v>
      </c>
      <c r="C38">
        <f t="shared" si="0"/>
        <v>1.5040056692933663E-3</v>
      </c>
      <c r="D38">
        <f t="shared" si="1"/>
        <v>1.8855303635855866E-3</v>
      </c>
      <c r="E38">
        <f t="shared" si="2"/>
        <v>3.5552247520031944E-6</v>
      </c>
    </row>
    <row r="39" spans="1:5" x14ac:dyDescent="0.25">
      <c r="A39">
        <v>3.5993343616124998</v>
      </c>
      <c r="B39">
        <v>6.779072065757906E-4</v>
      </c>
      <c r="C39">
        <f t="shared" si="0"/>
        <v>1.0458790127145631E-3</v>
      </c>
      <c r="D39">
        <f t="shared" si="1"/>
        <v>-3.6797180613877252E-4</v>
      </c>
      <c r="E39">
        <f t="shared" si="2"/>
        <v>1.354032501130304E-7</v>
      </c>
    </row>
    <row r="40" spans="1:5" x14ac:dyDescent="0.25">
      <c r="A40">
        <v>3.6920339245375002</v>
      </c>
      <c r="B40">
        <v>6.779072065757906E-4</v>
      </c>
      <c r="C40">
        <f t="shared" si="0"/>
        <v>7.2096483947161835E-4</v>
      </c>
      <c r="D40">
        <f t="shared" si="1"/>
        <v>-4.3057632895827751E-5</v>
      </c>
      <c r="E40">
        <f t="shared" si="2"/>
        <v>1.853959750591868E-9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58F6F-4365-45A5-B3BD-3ADC25F57670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7.6722184037500002E-2</v>
      </c>
      <c r="B1">
        <v>6.3287766679279683E-2</v>
      </c>
      <c r="C1">
        <f>$H$3*(1+$H$1)*(A1^($H$1))*EXP(-$H$3*(A1^(1+$H$1)))</f>
        <v>0.14806804214138353</v>
      </c>
      <c r="D1">
        <f>B1-C1</f>
        <v>-8.4780275462103843E-2</v>
      </c>
      <c r="E1">
        <f>D1^2</f>
        <v>7.1876951074302071E-3</v>
      </c>
      <c r="G1" t="s">
        <v>0</v>
      </c>
      <c r="H1">
        <v>0.90368189355118556</v>
      </c>
    </row>
    <row r="2" spans="1:8" x14ac:dyDescent="0.25">
      <c r="A2">
        <v>0.1650948941125</v>
      </c>
      <c r="B2">
        <v>0.24248458918690305</v>
      </c>
      <c r="C2">
        <f t="shared" ref="C2:C40" si="0">$H$3*(1+$H$1)*(A2^($H$1))*EXP(-$H$3*(A2^(1+$H$1)))</f>
        <v>0.29014270896947092</v>
      </c>
      <c r="D2">
        <f t="shared" ref="D2:D40" si="1">B2-C2</f>
        <v>-4.765811978256787E-2</v>
      </c>
      <c r="E2">
        <f t="shared" ref="E2:E40" si="2">D2^2</f>
        <v>2.2712963812095868E-3</v>
      </c>
    </row>
    <row r="3" spans="1:8" x14ac:dyDescent="0.25">
      <c r="A3">
        <v>0.25346760418750003</v>
      </c>
      <c r="B3">
        <v>0.41457042667438265</v>
      </c>
      <c r="C3">
        <f t="shared" si="0"/>
        <v>0.413731185406568</v>
      </c>
      <c r="D3">
        <f t="shared" si="1"/>
        <v>8.3924126781464992E-4</v>
      </c>
      <c r="E3">
        <f t="shared" si="2"/>
        <v>7.0432590560314096E-7</v>
      </c>
      <c r="G3" t="s">
        <v>1</v>
      </c>
      <c r="H3">
        <f>(_xlfn.GAMMA((2+$H$1)/(1+$H$1)))^(1+$H$1)</f>
        <v>0.79643607985486597</v>
      </c>
    </row>
    <row r="4" spans="1:8" x14ac:dyDescent="0.25">
      <c r="A4">
        <v>0.34184031426250006</v>
      </c>
      <c r="B4">
        <v>0.58096747614574717</v>
      </c>
      <c r="C4">
        <f t="shared" si="0"/>
        <v>0.51838053702008957</v>
      </c>
      <c r="D4">
        <f t="shared" si="1"/>
        <v>6.2586939125657604E-2</v>
      </c>
      <c r="E4">
        <f t="shared" si="2"/>
        <v>3.9171249491187707E-3</v>
      </c>
    </row>
    <row r="5" spans="1:8" x14ac:dyDescent="0.25">
      <c r="A5">
        <v>0.43021302433750008</v>
      </c>
      <c r="B5">
        <v>0.62007789375653799</v>
      </c>
      <c r="C5">
        <f t="shared" si="0"/>
        <v>0.60294219368454816</v>
      </c>
      <c r="D5">
        <f t="shared" si="1"/>
        <v>1.7135700071989834E-2</v>
      </c>
      <c r="E5">
        <f t="shared" si="2"/>
        <v>2.9363221695719244E-4</v>
      </c>
      <c r="G5" t="s">
        <v>2</v>
      </c>
      <c r="H5">
        <f>SUM(E1:E40)</f>
        <v>4.1700148935323429E-2</v>
      </c>
    </row>
    <row r="6" spans="1:8" x14ac:dyDescent="0.25">
      <c r="A6">
        <v>0.5185857344125</v>
      </c>
      <c r="B6">
        <v>0.77651956419970125</v>
      </c>
      <c r="C6">
        <f t="shared" si="0"/>
        <v>0.66671543493367669</v>
      </c>
      <c r="D6">
        <f t="shared" si="1"/>
        <v>0.10980412926602456</v>
      </c>
      <c r="E6">
        <f t="shared" si="2"/>
        <v>1.2056946803869832E-2</v>
      </c>
    </row>
    <row r="7" spans="1:8" x14ac:dyDescent="0.25">
      <c r="A7">
        <v>0.60695844448750003</v>
      </c>
      <c r="B7">
        <v>0.7644308896654568</v>
      </c>
      <c r="C7">
        <f t="shared" si="0"/>
        <v>0.70972104576653772</v>
      </c>
      <c r="D7">
        <f t="shared" si="1"/>
        <v>5.4709843898919086E-2</v>
      </c>
      <c r="E7">
        <f t="shared" si="2"/>
        <v>2.993167019444094E-3</v>
      </c>
    </row>
    <row r="8" spans="1:8" x14ac:dyDescent="0.25">
      <c r="A8">
        <v>0.69533115456250005</v>
      </c>
      <c r="B8">
        <v>0.78149725371380196</v>
      </c>
      <c r="C8">
        <f t="shared" si="0"/>
        <v>0.73273771564919099</v>
      </c>
      <c r="D8">
        <f t="shared" si="1"/>
        <v>4.8759538064610974E-2</v>
      </c>
      <c r="E8">
        <f t="shared" si="2"/>
        <v>2.3774925522742464E-3</v>
      </c>
    </row>
    <row r="9" spans="1:8" x14ac:dyDescent="0.25">
      <c r="A9">
        <v>0.78370386463750008</v>
      </c>
      <c r="B9">
        <v>0.75874210164934175</v>
      </c>
      <c r="C9">
        <f t="shared" si="0"/>
        <v>0.73723318730000209</v>
      </c>
      <c r="D9">
        <f t="shared" si="1"/>
        <v>2.1508914349339658E-2</v>
      </c>
      <c r="E9">
        <f t="shared" si="2"/>
        <v>4.6263339648722944E-4</v>
      </c>
    </row>
    <row r="10" spans="1:8" x14ac:dyDescent="0.25">
      <c r="A10">
        <v>0.87207657471250011</v>
      </c>
      <c r="B10">
        <v>0.6833656604358177</v>
      </c>
      <c r="C10">
        <f t="shared" si="0"/>
        <v>0.72523847294955435</v>
      </c>
      <c r="D10">
        <f t="shared" si="1"/>
        <v>-4.1872812513736646E-2</v>
      </c>
      <c r="E10">
        <f t="shared" si="2"/>
        <v>1.7533324278105403E-3</v>
      </c>
    </row>
    <row r="11" spans="1:8" x14ac:dyDescent="0.25">
      <c r="A11">
        <v>0.96044928478750002</v>
      </c>
      <c r="B11">
        <v>0.67909906942373144</v>
      </c>
      <c r="C11">
        <f t="shared" si="0"/>
        <v>0.69919217513662157</v>
      </c>
      <c r="D11">
        <f t="shared" si="1"/>
        <v>-2.0093105712890136E-2</v>
      </c>
      <c r="E11">
        <f t="shared" si="2"/>
        <v>4.037328971893782E-4</v>
      </c>
    </row>
    <row r="12" spans="1:8" x14ac:dyDescent="0.25">
      <c r="A12">
        <v>1.0488219948625002</v>
      </c>
      <c r="B12">
        <v>0.65492172035524254</v>
      </c>
      <c r="C12">
        <f t="shared" si="0"/>
        <v>0.66177434508380351</v>
      </c>
      <c r="D12">
        <f t="shared" si="1"/>
        <v>-6.8526247285609632E-3</v>
      </c>
      <c r="E12">
        <f t="shared" si="2"/>
        <v>4.6958465670485211E-5</v>
      </c>
    </row>
    <row r="13" spans="1:8" x14ac:dyDescent="0.25">
      <c r="A13">
        <v>1.1371947049375</v>
      </c>
      <c r="B13">
        <v>0.59945603719812102</v>
      </c>
      <c r="C13">
        <f t="shared" si="0"/>
        <v>0.61574504902557081</v>
      </c>
      <c r="D13">
        <f t="shared" si="1"/>
        <v>-1.6289011827449795E-2</v>
      </c>
      <c r="E13">
        <f t="shared" si="2"/>
        <v>2.653319063147993E-4</v>
      </c>
    </row>
    <row r="14" spans="1:8" x14ac:dyDescent="0.25">
      <c r="A14">
        <v>1.2255674150125002</v>
      </c>
      <c r="B14">
        <v>0.58238967314977597</v>
      </c>
      <c r="C14">
        <f t="shared" si="0"/>
        <v>0.56379925350951732</v>
      </c>
      <c r="D14">
        <f t="shared" si="1"/>
        <v>1.8590419640258649E-2</v>
      </c>
      <c r="E14">
        <f t="shared" si="2"/>
        <v>3.456037024009145E-4</v>
      </c>
    </row>
    <row r="15" spans="1:8" x14ac:dyDescent="0.25">
      <c r="A15">
        <v>1.3139401250875</v>
      </c>
      <c r="B15">
        <v>0.51625751246243878</v>
      </c>
      <c r="C15">
        <f t="shared" si="0"/>
        <v>0.50844616522678998</v>
      </c>
      <c r="D15">
        <f t="shared" si="1"/>
        <v>7.8113472356488023E-3</v>
      </c>
      <c r="E15">
        <f t="shared" si="2"/>
        <v>6.1017145635878183E-5</v>
      </c>
    </row>
    <row r="16" spans="1:8" x14ac:dyDescent="0.25">
      <c r="A16">
        <v>1.4023128351625003</v>
      </c>
      <c r="B16">
        <v>0.43519228323279963</v>
      </c>
      <c r="C16">
        <f t="shared" si="0"/>
        <v>0.45191776478318252</v>
      </c>
      <c r="D16">
        <f t="shared" si="1"/>
        <v>-1.6725481550382892E-2</v>
      </c>
      <c r="E16">
        <f t="shared" si="2"/>
        <v>2.7974173309219851E-4</v>
      </c>
    </row>
    <row r="17" spans="1:5" x14ac:dyDescent="0.25">
      <c r="A17">
        <v>1.4906855452375001</v>
      </c>
      <c r="B17">
        <v>0.36763792554143365</v>
      </c>
      <c r="C17">
        <f t="shared" si="0"/>
        <v>0.39610813271693579</v>
      </c>
      <c r="D17">
        <f t="shared" si="1"/>
        <v>-2.8470207175502138E-2</v>
      </c>
      <c r="E17">
        <f t="shared" si="2"/>
        <v>8.1055269661601344E-4</v>
      </c>
    </row>
    <row r="18" spans="1:5" x14ac:dyDescent="0.25">
      <c r="A18">
        <v>1.5790582553125001</v>
      </c>
      <c r="B18">
        <v>0.30790565137222586</v>
      </c>
      <c r="C18">
        <f t="shared" si="0"/>
        <v>0.34254247425662127</v>
      </c>
      <c r="D18">
        <f t="shared" si="1"/>
        <v>-3.4636822884395402E-2</v>
      </c>
      <c r="E18">
        <f t="shared" si="2"/>
        <v>1.1997094995249769E-3</v>
      </c>
    </row>
    <row r="19" spans="1:5" x14ac:dyDescent="0.25">
      <c r="A19">
        <v>1.6674309653875001</v>
      </c>
      <c r="B19">
        <v>0.26097315023927686</v>
      </c>
      <c r="C19">
        <f t="shared" si="0"/>
        <v>0.29237265301152265</v>
      </c>
      <c r="D19">
        <f t="shared" si="1"/>
        <v>-3.1399502772245791E-2</v>
      </c>
      <c r="E19">
        <f t="shared" si="2"/>
        <v>9.8592877434427106E-4</v>
      </c>
    </row>
    <row r="20" spans="1:5" x14ac:dyDescent="0.25">
      <c r="A20">
        <v>1.7558036754624999</v>
      </c>
      <c r="B20">
        <v>0.20906295959222726</v>
      </c>
      <c r="C20">
        <f t="shared" si="0"/>
        <v>0.24639461655378553</v>
      </c>
      <c r="D20">
        <f t="shared" si="1"/>
        <v>-3.7331656961558268E-2</v>
      </c>
      <c r="E20">
        <f t="shared" si="2"/>
        <v>1.3936526114954619E-3</v>
      </c>
    </row>
    <row r="21" spans="1:5" x14ac:dyDescent="0.25">
      <c r="A21">
        <v>1.8441763855375002</v>
      </c>
      <c r="B21">
        <v>0.17066364048345084</v>
      </c>
      <c r="C21">
        <f t="shared" si="0"/>
        <v>0.20508233748382823</v>
      </c>
      <c r="D21">
        <f t="shared" si="1"/>
        <v>-3.4418697000377391E-2</v>
      </c>
      <c r="E21">
        <f t="shared" si="2"/>
        <v>1.1846467032037877E-3</v>
      </c>
    </row>
    <row r="22" spans="1:5" x14ac:dyDescent="0.25">
      <c r="A22">
        <v>1.9325490956125002</v>
      </c>
      <c r="B22">
        <v>0.1550194734391345</v>
      </c>
      <c r="C22">
        <f t="shared" si="0"/>
        <v>0.16863273714627064</v>
      </c>
      <c r="D22">
        <f t="shared" si="1"/>
        <v>-1.3613263707136142E-2</v>
      </c>
      <c r="E22">
        <f t="shared" si="2"/>
        <v>1.8532094876003006E-4</v>
      </c>
    </row>
    <row r="23" spans="1:5" x14ac:dyDescent="0.25">
      <c r="A23">
        <v>2.0209218056875002</v>
      </c>
      <c r="B23">
        <v>0.13084212437064563</v>
      </c>
      <c r="C23">
        <f t="shared" si="0"/>
        <v>0.13701639513372255</v>
      </c>
      <c r="D23">
        <f t="shared" si="1"/>
        <v>-6.1742707630769167E-3</v>
      </c>
      <c r="E23">
        <f t="shared" si="2"/>
        <v>3.8121619455786413E-5</v>
      </c>
    </row>
    <row r="24" spans="1:5" x14ac:dyDescent="0.25">
      <c r="A24">
        <v>2.1092945157625</v>
      </c>
      <c r="B24">
        <v>0.1023981842900705</v>
      </c>
      <c r="C24">
        <f t="shared" si="0"/>
        <v>0.11002954045615446</v>
      </c>
      <c r="D24">
        <f t="shared" si="1"/>
        <v>-7.6313561660839579E-3</v>
      </c>
      <c r="E24">
        <f t="shared" si="2"/>
        <v>5.8237596933627648E-5</v>
      </c>
    </row>
    <row r="25" spans="1:5" x14ac:dyDescent="0.25">
      <c r="A25">
        <v>2.1976672258375003</v>
      </c>
      <c r="B25">
        <v>8.533182024172542E-2</v>
      </c>
      <c r="C25">
        <f t="shared" si="0"/>
        <v>8.7343728596021825E-2</v>
      </c>
      <c r="D25">
        <f t="shared" si="1"/>
        <v>-2.0119083542964045E-3</v>
      </c>
      <c r="E25">
        <f t="shared" si="2"/>
        <v>4.0477752260876664E-6</v>
      </c>
    </row>
    <row r="26" spans="1:5" x14ac:dyDescent="0.25">
      <c r="A26">
        <v>2.2860399359125001</v>
      </c>
      <c r="B26">
        <v>7.964303222561038E-2</v>
      </c>
      <c r="C26">
        <f t="shared" si="0"/>
        <v>6.8550602013575393E-2</v>
      </c>
      <c r="D26">
        <f t="shared" si="1"/>
        <v>1.1092430212034987E-2</v>
      </c>
      <c r="E26">
        <f t="shared" si="2"/>
        <v>1.2304200800886654E-4</v>
      </c>
    </row>
    <row r="27" spans="1:5" x14ac:dyDescent="0.25">
      <c r="A27">
        <v>2.3744126459875003</v>
      </c>
      <c r="B27">
        <v>5.6887880161150275E-2</v>
      </c>
      <c r="C27">
        <f t="shared" si="0"/>
        <v>5.3200101351373763E-2</v>
      </c>
      <c r="D27">
        <f t="shared" si="1"/>
        <v>3.6877788097765124E-3</v>
      </c>
      <c r="E27">
        <f t="shared" si="2"/>
        <v>1.359971254983667E-5</v>
      </c>
    </row>
    <row r="28" spans="1:5" x14ac:dyDescent="0.25">
      <c r="A28">
        <v>2.4627853560625006</v>
      </c>
      <c r="B28">
        <v>6.044337267122217E-2</v>
      </c>
      <c r="C28">
        <f t="shared" si="0"/>
        <v>4.0831360163146597E-2</v>
      </c>
      <c r="D28">
        <f t="shared" si="1"/>
        <v>1.9612012508075573E-2</v>
      </c>
      <c r="E28">
        <f t="shared" si="2"/>
        <v>3.8463103461691271E-4</v>
      </c>
    </row>
    <row r="29" spans="1:5" x14ac:dyDescent="0.25">
      <c r="A29">
        <v>2.5511580661375</v>
      </c>
      <c r="B29">
        <v>4.266591012086271E-2</v>
      </c>
      <c r="C29">
        <f t="shared" si="0"/>
        <v>3.0996226816943494E-2</v>
      </c>
      <c r="D29">
        <f t="shared" si="1"/>
        <v>1.1669683303919216E-2</v>
      </c>
      <c r="E29">
        <f t="shared" si="2"/>
        <v>1.3618150841377091E-4</v>
      </c>
    </row>
    <row r="30" spans="1:5" x14ac:dyDescent="0.25">
      <c r="A30">
        <v>2.6395307762125002</v>
      </c>
      <c r="B30">
        <v>3.1288334088632651E-2</v>
      </c>
      <c r="C30">
        <f t="shared" si="0"/>
        <v>2.3275890306372855E-2</v>
      </c>
      <c r="D30">
        <f t="shared" si="1"/>
        <v>8.0124437822597962E-3</v>
      </c>
      <c r="E30">
        <f t="shared" si="2"/>
        <v>6.4199255363873669E-5</v>
      </c>
    </row>
    <row r="31" spans="1:5" x14ac:dyDescent="0.25">
      <c r="A31">
        <v>2.7279034862875005</v>
      </c>
      <c r="B31">
        <v>1.9910758056402595E-2</v>
      </c>
      <c r="C31">
        <f t="shared" si="0"/>
        <v>1.7291442004646704E-2</v>
      </c>
      <c r="D31">
        <f t="shared" si="1"/>
        <v>2.6193160517558912E-3</v>
      </c>
      <c r="E31">
        <f t="shared" si="2"/>
        <v>6.8608165789860711E-6</v>
      </c>
    </row>
    <row r="32" spans="1:5" x14ac:dyDescent="0.25">
      <c r="A32">
        <v>2.8162761963625003</v>
      </c>
      <c r="B32">
        <v>2.9866137084603894E-2</v>
      </c>
      <c r="C32">
        <f t="shared" si="0"/>
        <v>1.2709399780427424E-2</v>
      </c>
      <c r="D32">
        <f t="shared" si="1"/>
        <v>1.715673730417647E-2</v>
      </c>
      <c r="E32">
        <f t="shared" si="2"/>
        <v>2.9435363492452053E-4</v>
      </c>
    </row>
    <row r="33" spans="1:5" x14ac:dyDescent="0.25">
      <c r="A33">
        <v>2.9046489064375001</v>
      </c>
      <c r="B33">
        <v>1.2088674534244434E-2</v>
      </c>
      <c r="C33">
        <f t="shared" si="0"/>
        <v>9.2432818361304209E-3</v>
      </c>
      <c r="D33">
        <f t="shared" si="1"/>
        <v>2.8453926981140132E-3</v>
      </c>
      <c r="E33">
        <f t="shared" si="2"/>
        <v>8.0962596064805439E-6</v>
      </c>
    </row>
    <row r="34" spans="1:5" x14ac:dyDescent="0.25">
      <c r="A34">
        <v>2.9930216165125003</v>
      </c>
      <c r="B34">
        <v>1.2799773036258812E-2</v>
      </c>
      <c r="C34">
        <f t="shared" si="0"/>
        <v>6.6522774658938815E-3</v>
      </c>
      <c r="D34">
        <f t="shared" si="1"/>
        <v>6.1474955703649308E-3</v>
      </c>
      <c r="E34">
        <f t="shared" si="2"/>
        <v>3.7791701787656448E-5</v>
      </c>
    </row>
    <row r="35" spans="1:5" x14ac:dyDescent="0.25">
      <c r="A35">
        <v>3.0813943265875001</v>
      </c>
      <c r="B35">
        <v>1.0666477530215678E-2</v>
      </c>
      <c r="C35">
        <f t="shared" si="0"/>
        <v>4.7379531982257826E-3</v>
      </c>
      <c r="D35">
        <f t="shared" si="1"/>
        <v>5.9285243319898949E-3</v>
      </c>
      <c r="E35">
        <f t="shared" si="2"/>
        <v>3.5147400754996233E-5</v>
      </c>
    </row>
    <row r="36" spans="1:5" x14ac:dyDescent="0.25">
      <c r="A36">
        <v>3.1697670366625004</v>
      </c>
      <c r="B36">
        <v>7.1109850201437844E-3</v>
      </c>
      <c r="C36">
        <f t="shared" si="0"/>
        <v>3.3397848770776234E-3</v>
      </c>
      <c r="D36">
        <f t="shared" si="1"/>
        <v>3.7712001430661611E-3</v>
      </c>
      <c r="E36">
        <f t="shared" si="2"/>
        <v>1.4221950519062234E-5</v>
      </c>
    </row>
    <row r="37" spans="1:5" x14ac:dyDescent="0.25">
      <c r="A37">
        <v>3.2581397467375002</v>
      </c>
      <c r="B37">
        <v>3.5554925100718922E-3</v>
      </c>
      <c r="C37">
        <f t="shared" si="0"/>
        <v>2.3301433678081709E-3</v>
      </c>
      <c r="D37">
        <f t="shared" si="1"/>
        <v>1.2253491422637213E-3</v>
      </c>
      <c r="E37">
        <f t="shared" si="2"/>
        <v>1.5014805204464376E-6</v>
      </c>
    </row>
    <row r="38" spans="1:5" x14ac:dyDescent="0.25">
      <c r="A38">
        <v>3.3465124568125004</v>
      </c>
      <c r="B38">
        <v>3.5554925100718922E-3</v>
      </c>
      <c r="C38">
        <f t="shared" si="0"/>
        <v>1.6092019525290229E-3</v>
      </c>
      <c r="D38">
        <f t="shared" si="1"/>
        <v>1.9462905575428693E-3</v>
      </c>
      <c r="E38">
        <f t="shared" si="2"/>
        <v>3.7880469343805331E-6</v>
      </c>
    </row>
    <row r="39" spans="1:5" x14ac:dyDescent="0.25">
      <c r="A39">
        <v>3.4348851668874998</v>
      </c>
      <c r="B39">
        <v>1.422197004028757E-3</v>
      </c>
      <c r="C39">
        <f t="shared" si="0"/>
        <v>1.1000893365127821E-3</v>
      </c>
      <c r="D39">
        <f t="shared" si="1"/>
        <v>3.2210766751597487E-4</v>
      </c>
      <c r="E39">
        <f t="shared" si="2"/>
        <v>1.0375334947258181E-7</v>
      </c>
    </row>
    <row r="40" spans="1:5" x14ac:dyDescent="0.25">
      <c r="A40">
        <v>3.5232578769625</v>
      </c>
      <c r="B40">
        <v>7.1109850201437849E-4</v>
      </c>
      <c r="C40">
        <f t="shared" si="0"/>
        <v>7.4449046472979761E-4</v>
      </c>
      <c r="D40">
        <f t="shared" si="1"/>
        <v>-3.3391962715419122E-5</v>
      </c>
      <c r="E40">
        <f t="shared" si="2"/>
        <v>1.1150231739879407E-9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6670-A76C-4394-BF29-18BB6F066EE0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8.6170121850000017E-2</v>
      </c>
      <c r="B1">
        <v>4.5001787403602111E-2</v>
      </c>
      <c r="C1">
        <f>$H$3*(1+$H$1)*(A1^($H$1))*EXP(-$H$3*(A1^(1+$H$1)))</f>
        <v>0.13393694593724834</v>
      </c>
      <c r="D1">
        <f>B1-C1</f>
        <v>-8.8935158533646225E-2</v>
      </c>
      <c r="E1">
        <f>D1^2</f>
        <v>7.9094624234047877E-3</v>
      </c>
      <c r="G1" t="s">
        <v>0</v>
      </c>
      <c r="H1">
        <v>1.0022669981485903</v>
      </c>
    </row>
    <row r="2" spans="1:8" x14ac:dyDescent="0.25">
      <c r="A2">
        <v>0.16995572955000005</v>
      </c>
      <c r="B2">
        <v>0.20025795394602938</v>
      </c>
      <c r="C2">
        <f t="shared" ref="C2:C40" si="0">$H$3*(1+$H$1)*(A2^($H$1))*EXP(-$H$3*(A2^(1+$H$1)))</f>
        <v>0.26016939853685661</v>
      </c>
      <c r="D2">
        <f t="shared" ref="D2:D40" si="1">B2-C2</f>
        <v>-5.9911444590827229E-2</v>
      </c>
      <c r="E2">
        <f t="shared" ref="E2:E40" si="2">D2^2</f>
        <v>3.589381192959761E-3</v>
      </c>
    </row>
    <row r="3" spans="1:8" x14ac:dyDescent="0.25">
      <c r="A3">
        <v>0.25374133725000003</v>
      </c>
      <c r="B3">
        <v>0.36601453754929719</v>
      </c>
      <c r="C3">
        <f t="shared" si="0"/>
        <v>0.37812025205862826</v>
      </c>
      <c r="D3">
        <f t="shared" si="1"/>
        <v>-1.2105714509331067E-2</v>
      </c>
      <c r="E3">
        <f t="shared" si="2"/>
        <v>1.465483237814287E-4</v>
      </c>
      <c r="G3" t="s">
        <v>1</v>
      </c>
      <c r="H3">
        <f>(_xlfn.GAMMA((2+$H$1)/(1+$H$1)))^(1+$H$1)</f>
        <v>0.78515090048375968</v>
      </c>
    </row>
    <row r="4" spans="1:8" x14ac:dyDescent="0.25">
      <c r="A4">
        <v>0.33752694495000002</v>
      </c>
      <c r="B4">
        <v>0.52577088283208462</v>
      </c>
      <c r="C4">
        <f t="shared" si="0"/>
        <v>0.48413118612045147</v>
      </c>
      <c r="D4">
        <f t="shared" si="1"/>
        <v>4.1639696711633145E-2</v>
      </c>
      <c r="E4">
        <f t="shared" si="2"/>
        <v>1.7338643422367922E-3</v>
      </c>
    </row>
    <row r="5" spans="1:8" x14ac:dyDescent="0.25">
      <c r="A5">
        <v>0.42131255265000001</v>
      </c>
      <c r="B5">
        <v>0.63977541092121004</v>
      </c>
      <c r="C5">
        <f t="shared" si="0"/>
        <v>0.57520200843540759</v>
      </c>
      <c r="D5">
        <f t="shared" si="1"/>
        <v>6.4573402485802456E-2</v>
      </c>
      <c r="E5">
        <f t="shared" si="2"/>
        <v>4.1697243085934386E-3</v>
      </c>
      <c r="G5" t="s">
        <v>2</v>
      </c>
      <c r="H5">
        <f>SUM(E1:E40)</f>
        <v>5.0805767273591686E-2</v>
      </c>
    </row>
    <row r="6" spans="1:8" x14ac:dyDescent="0.25">
      <c r="A6">
        <v>0.50509816034999999</v>
      </c>
      <c r="B6">
        <v>0.68627725790493221</v>
      </c>
      <c r="C6">
        <f t="shared" si="0"/>
        <v>0.64911121592817422</v>
      </c>
      <c r="D6">
        <f t="shared" si="1"/>
        <v>3.7166041976757991E-2</v>
      </c>
      <c r="E6">
        <f t="shared" si="2"/>
        <v>1.3813146762181371E-3</v>
      </c>
    </row>
    <row r="7" spans="1:8" x14ac:dyDescent="0.25">
      <c r="A7">
        <v>0.58888376804999987</v>
      </c>
      <c r="B7">
        <v>0.80028178599405753</v>
      </c>
      <c r="C7">
        <f t="shared" si="0"/>
        <v>0.70449264582353233</v>
      </c>
      <c r="D7">
        <f t="shared" si="1"/>
        <v>9.57891401705252E-2</v>
      </c>
      <c r="E7">
        <f t="shared" si="2"/>
        <v>9.1755593746085246E-3</v>
      </c>
    </row>
    <row r="8" spans="1:8" x14ac:dyDescent="0.25">
      <c r="A8">
        <v>0.67266937574999996</v>
      </c>
      <c r="B8">
        <v>0.83103300738651897</v>
      </c>
      <c r="C8">
        <f t="shared" si="0"/>
        <v>0.74085628974614326</v>
      </c>
      <c r="D8">
        <f t="shared" si="1"/>
        <v>9.0176717640375714E-2</v>
      </c>
      <c r="E8">
        <f t="shared" si="2"/>
        <v>8.1318404043920489E-3</v>
      </c>
    </row>
    <row r="9" spans="1:8" x14ac:dyDescent="0.25">
      <c r="A9">
        <v>0.75645498345000006</v>
      </c>
      <c r="B9">
        <v>0.80028178599405753</v>
      </c>
      <c r="C9">
        <f t="shared" si="0"/>
        <v>0.75855314164659915</v>
      </c>
      <c r="D9">
        <f t="shared" si="1"/>
        <v>4.1728644347458377E-2</v>
      </c>
      <c r="E9">
        <f t="shared" si="2"/>
        <v>1.7412797590766699E-3</v>
      </c>
    </row>
    <row r="10" spans="1:8" x14ac:dyDescent="0.25">
      <c r="A10">
        <v>0.84024059115000005</v>
      </c>
      <c r="B10">
        <v>0.78228107103261668</v>
      </c>
      <c r="C10">
        <f t="shared" si="0"/>
        <v>0.75868993077888647</v>
      </c>
      <c r="D10">
        <f t="shared" si="1"/>
        <v>2.3591140253730214E-2</v>
      </c>
      <c r="E10">
        <f t="shared" si="2"/>
        <v>5.565418984711701E-4</v>
      </c>
    </row>
    <row r="11" spans="1:8" x14ac:dyDescent="0.25">
      <c r="A11">
        <v>0.92402619885000004</v>
      </c>
      <c r="B11">
        <v>0.68852734727511233</v>
      </c>
      <c r="C11">
        <f t="shared" si="0"/>
        <v>0.74300371853362179</v>
      </c>
      <c r="D11">
        <f t="shared" si="1"/>
        <v>-5.4476371258509459E-2</v>
      </c>
      <c r="E11">
        <f t="shared" si="2"/>
        <v>2.9676750254949555E-3</v>
      </c>
    </row>
    <row r="12" spans="1:8" x14ac:dyDescent="0.25">
      <c r="A12">
        <v>1.0078118065499999</v>
      </c>
      <c r="B12">
        <v>0.69077743664529245</v>
      </c>
      <c r="C12">
        <f t="shared" si="0"/>
        <v>0.71370897721382809</v>
      </c>
      <c r="D12">
        <f t="shared" si="1"/>
        <v>-2.2931540568535635E-2</v>
      </c>
      <c r="E12">
        <f t="shared" si="2"/>
        <v>5.2585555284639571E-4</v>
      </c>
    </row>
    <row r="13" spans="1:8" x14ac:dyDescent="0.25">
      <c r="A13">
        <v>1.0915974142499998</v>
      </c>
      <c r="B13">
        <v>0.65402597693235065</v>
      </c>
      <c r="C13">
        <f t="shared" si="0"/>
        <v>0.67333092241376791</v>
      </c>
      <c r="D13">
        <f t="shared" si="1"/>
        <v>-1.9304945481417257E-2</v>
      </c>
      <c r="E13">
        <f t="shared" si="2"/>
        <v>3.7268092004049259E-4</v>
      </c>
    </row>
    <row r="14" spans="1:8" x14ac:dyDescent="0.25">
      <c r="A14">
        <v>1.1753830219499999</v>
      </c>
      <c r="B14">
        <v>0.62102466616970908</v>
      </c>
      <c r="C14">
        <f t="shared" si="0"/>
        <v>0.62453860271177664</v>
      </c>
      <c r="D14">
        <f t="shared" si="1"/>
        <v>-3.5139365420675528E-3</v>
      </c>
      <c r="E14">
        <f t="shared" si="2"/>
        <v>1.2347750021677671E-5</v>
      </c>
    </row>
    <row r="15" spans="1:8" x14ac:dyDescent="0.25">
      <c r="A15">
        <v>1.25916862965</v>
      </c>
      <c r="B15">
        <v>0.54977183611400582</v>
      </c>
      <c r="C15">
        <f t="shared" si="0"/>
        <v>0.56998975071236502</v>
      </c>
      <c r="D15">
        <f t="shared" si="1"/>
        <v>-2.0217914598359199E-2</v>
      </c>
      <c r="E15">
        <f t="shared" si="2"/>
        <v>4.0876407070654602E-4</v>
      </c>
    </row>
    <row r="16" spans="1:8" x14ac:dyDescent="0.25">
      <c r="A16">
        <v>1.3429542373500001</v>
      </c>
      <c r="B16">
        <v>0.50777016787064377</v>
      </c>
      <c r="C16">
        <f t="shared" si="0"/>
        <v>0.51219696684097926</v>
      </c>
      <c r="D16">
        <f t="shared" si="1"/>
        <v>-4.4267989703354882E-3</v>
      </c>
      <c r="E16">
        <f t="shared" si="2"/>
        <v>1.959654912376334E-5</v>
      </c>
    </row>
    <row r="17" spans="1:5" x14ac:dyDescent="0.25">
      <c r="A17">
        <v>1.4267398450500002</v>
      </c>
      <c r="B17">
        <v>0.45751817193662148</v>
      </c>
      <c r="C17">
        <f t="shared" si="0"/>
        <v>0.45342180649266534</v>
      </c>
      <c r="D17">
        <f t="shared" si="1"/>
        <v>4.0963654439561403E-3</v>
      </c>
      <c r="E17">
        <f t="shared" si="2"/>
        <v>1.6780209850437986E-5</v>
      </c>
    </row>
    <row r="18" spans="1:5" x14ac:dyDescent="0.25">
      <c r="A18">
        <v>1.5105254527500001</v>
      </c>
      <c r="B18">
        <v>0.35626415027851671</v>
      </c>
      <c r="C18">
        <f t="shared" si="0"/>
        <v>0.39560015247857627</v>
      </c>
      <c r="D18">
        <f t="shared" si="1"/>
        <v>-3.9336002200059561E-2</v>
      </c>
      <c r="E18">
        <f t="shared" si="2"/>
        <v>1.5473210690830905E-3</v>
      </c>
    </row>
    <row r="19" spans="1:5" x14ac:dyDescent="0.25">
      <c r="A19">
        <v>1.5943110604500002</v>
      </c>
      <c r="B19">
        <v>0.30976230329479454</v>
      </c>
      <c r="C19">
        <f t="shared" si="0"/>
        <v>0.34029922668940427</v>
      </c>
      <c r="D19">
        <f t="shared" si="1"/>
        <v>-3.0536923394609727E-2</v>
      </c>
      <c r="E19">
        <f t="shared" si="2"/>
        <v>9.3250369040826289E-4</v>
      </c>
    </row>
    <row r="20" spans="1:5" x14ac:dyDescent="0.25">
      <c r="A20">
        <v>1.67809666815</v>
      </c>
      <c r="B20">
        <v>0.25201000946017182</v>
      </c>
      <c r="C20">
        <f t="shared" si="0"/>
        <v>0.28870400698690063</v>
      </c>
      <c r="D20">
        <f t="shared" si="1"/>
        <v>-3.6693997526728805E-2</v>
      </c>
      <c r="E20">
        <f t="shared" si="2"/>
        <v>1.3464494544915798E-3</v>
      </c>
    </row>
    <row r="21" spans="1:5" x14ac:dyDescent="0.25">
      <c r="A21">
        <v>1.7618822758500001</v>
      </c>
      <c r="B21">
        <v>0.19650780499572923</v>
      </c>
      <c r="C21">
        <f t="shared" si="0"/>
        <v>0.24162885507278908</v>
      </c>
      <c r="D21">
        <f t="shared" si="1"/>
        <v>-4.5121050077059854E-2</v>
      </c>
      <c r="E21">
        <f t="shared" si="2"/>
        <v>2.0359091600565429E-3</v>
      </c>
    </row>
    <row r="22" spans="1:5" x14ac:dyDescent="0.25">
      <c r="A22">
        <v>1.84566788355</v>
      </c>
      <c r="B22">
        <v>0.17100679213368802</v>
      </c>
      <c r="C22">
        <f t="shared" si="0"/>
        <v>0.1995489164718155</v>
      </c>
      <c r="D22">
        <f t="shared" si="1"/>
        <v>-2.8542124338127473E-2</v>
      </c>
      <c r="E22">
        <f t="shared" si="2"/>
        <v>8.1465286173312856E-4</v>
      </c>
    </row>
    <row r="23" spans="1:5" x14ac:dyDescent="0.25">
      <c r="A23">
        <v>1.9294534912499999</v>
      </c>
      <c r="B23">
        <v>0.15075598780206706</v>
      </c>
      <c r="C23">
        <f t="shared" si="0"/>
        <v>0.16264531972296528</v>
      </c>
      <c r="D23">
        <f t="shared" si="1"/>
        <v>-1.1889331920898222E-2</v>
      </c>
      <c r="E23">
        <f t="shared" si="2"/>
        <v>1.4135621352528939E-4</v>
      </c>
    </row>
    <row r="24" spans="1:5" x14ac:dyDescent="0.25">
      <c r="A24">
        <v>2.0132390989499998</v>
      </c>
      <c r="B24">
        <v>0.12525497494002588</v>
      </c>
      <c r="C24">
        <f t="shared" si="0"/>
        <v>0.13085829745614994</v>
      </c>
      <c r="D24">
        <f t="shared" si="1"/>
        <v>-5.6033225161240541E-3</v>
      </c>
      <c r="E24">
        <f t="shared" si="2"/>
        <v>3.1397223219702797E-5</v>
      </c>
    </row>
    <row r="25" spans="1:5" x14ac:dyDescent="0.25">
      <c r="A25">
        <v>2.0970247066500001</v>
      </c>
      <c r="B25">
        <v>0.10350411102828486</v>
      </c>
      <c r="C25">
        <f t="shared" si="0"/>
        <v>0.1039429441528463</v>
      </c>
      <c r="D25">
        <f t="shared" si="1"/>
        <v>-4.3883312456144408E-4</v>
      </c>
      <c r="E25">
        <f t="shared" si="2"/>
        <v>1.9257451121235988E-7</v>
      </c>
    </row>
    <row r="26" spans="1:5" x14ac:dyDescent="0.25">
      <c r="A26">
        <v>2.1808103143500004</v>
      </c>
      <c r="B26">
        <v>9.0753604597264254E-2</v>
      </c>
      <c r="C26">
        <f t="shared" si="0"/>
        <v>8.1523254589714128E-2</v>
      </c>
      <c r="D26">
        <f t="shared" si="1"/>
        <v>9.2303500075501255E-3</v>
      </c>
      <c r="E26">
        <f t="shared" si="2"/>
        <v>8.5199361261880608E-5</v>
      </c>
    </row>
    <row r="27" spans="1:5" x14ac:dyDescent="0.25">
      <c r="A27">
        <v>2.2645959220500003</v>
      </c>
      <c r="B27">
        <v>6.3002502365042956E-2</v>
      </c>
      <c r="C27">
        <f t="shared" si="0"/>
        <v>6.3141191342282355E-2</v>
      </c>
      <c r="D27">
        <f t="shared" si="1"/>
        <v>-1.3868897723939844E-4</v>
      </c>
      <c r="E27">
        <f t="shared" si="2"/>
        <v>1.9234632407710377E-8</v>
      </c>
    </row>
    <row r="28" spans="1:5" x14ac:dyDescent="0.25">
      <c r="A28">
        <v>2.3483815297500001</v>
      </c>
      <c r="B28">
        <v>6.2252472574982919E-2</v>
      </c>
      <c r="C28">
        <f t="shared" si="0"/>
        <v>4.8298664164825207E-2</v>
      </c>
      <c r="D28">
        <f t="shared" si="1"/>
        <v>1.3953808410157711E-2</v>
      </c>
      <c r="E28">
        <f t="shared" si="2"/>
        <v>1.9470876914738807E-4</v>
      </c>
    </row>
    <row r="29" spans="1:5" x14ac:dyDescent="0.25">
      <c r="A29">
        <v>2.43216713745</v>
      </c>
      <c r="B29">
        <v>5.1752055514142428E-2</v>
      </c>
      <c r="C29">
        <f t="shared" si="0"/>
        <v>3.6491353179901188E-2</v>
      </c>
      <c r="D29">
        <f t="shared" si="1"/>
        <v>1.526070233424124E-2</v>
      </c>
      <c r="E29">
        <f t="shared" si="2"/>
        <v>2.3288903573431602E-4</v>
      </c>
    </row>
    <row r="30" spans="1:5" x14ac:dyDescent="0.25">
      <c r="A30">
        <v>2.5159527451499999</v>
      </c>
      <c r="B30">
        <v>4.3501727823482043E-2</v>
      </c>
      <c r="C30">
        <f t="shared" si="0"/>
        <v>2.7234192289865643E-2</v>
      </c>
      <c r="D30">
        <f t="shared" si="1"/>
        <v>1.6267535533616401E-2</v>
      </c>
      <c r="E30">
        <f t="shared" si="2"/>
        <v>2.6463271233747221E-4</v>
      </c>
    </row>
    <row r="31" spans="1:5" x14ac:dyDescent="0.25">
      <c r="A31">
        <v>2.5997383528500002</v>
      </c>
      <c r="B31">
        <v>2.4000953281921127E-2</v>
      </c>
      <c r="C31">
        <f t="shared" si="0"/>
        <v>2.0079006209037627E-2</v>
      </c>
      <c r="D31">
        <f t="shared" si="1"/>
        <v>3.9219470728834999E-3</v>
      </c>
      <c r="E31">
        <f t="shared" si="2"/>
        <v>1.5381668842499452E-5</v>
      </c>
    </row>
    <row r="32" spans="1:5" x14ac:dyDescent="0.25">
      <c r="A32">
        <v>2.6835239605500005</v>
      </c>
      <c r="B32">
        <v>2.4750983071981161E-2</v>
      </c>
      <c r="C32">
        <f t="shared" si="0"/>
        <v>1.4625253444650786E-2</v>
      </c>
      <c r="D32">
        <f t="shared" si="1"/>
        <v>1.0125729627330375E-2</v>
      </c>
      <c r="E32">
        <f t="shared" si="2"/>
        <v>1.0253040048579613E-4</v>
      </c>
    </row>
    <row r="33" spans="1:5" x14ac:dyDescent="0.25">
      <c r="A33">
        <v>2.76730956825</v>
      </c>
      <c r="B33">
        <v>1.6500655381320773E-2</v>
      </c>
      <c r="C33">
        <f t="shared" si="0"/>
        <v>1.0525083086458428E-2</v>
      </c>
      <c r="D33">
        <f t="shared" si="1"/>
        <v>5.9755722948623448E-3</v>
      </c>
      <c r="E33">
        <f t="shared" si="2"/>
        <v>3.5707464251126429E-5</v>
      </c>
    </row>
    <row r="34" spans="1:5" x14ac:dyDescent="0.25">
      <c r="A34">
        <v>2.8510951759499998</v>
      </c>
      <c r="B34">
        <v>1.6500655381320773E-2</v>
      </c>
      <c r="C34">
        <f t="shared" si="0"/>
        <v>7.4839969866062808E-3</v>
      </c>
      <c r="D34">
        <f t="shared" si="1"/>
        <v>9.0166583947144923E-3</v>
      </c>
      <c r="E34">
        <f t="shared" si="2"/>
        <v>8.1300128606975327E-5</v>
      </c>
    </row>
    <row r="35" spans="1:5" x14ac:dyDescent="0.25">
      <c r="A35">
        <v>2.9348807836499997</v>
      </c>
      <c r="B35">
        <v>9.7503872707804581E-3</v>
      </c>
      <c r="C35">
        <f t="shared" si="0"/>
        <v>5.2583612187751044E-3</v>
      </c>
      <c r="D35">
        <f t="shared" si="1"/>
        <v>4.4920260520053537E-3</v>
      </c>
      <c r="E35">
        <f t="shared" si="2"/>
        <v>2.0178298051894806E-5</v>
      </c>
    </row>
    <row r="36" spans="1:5" x14ac:dyDescent="0.25">
      <c r="A36">
        <v>3.01866639135</v>
      </c>
      <c r="B36">
        <v>1.1250446850900528E-2</v>
      </c>
      <c r="C36">
        <f t="shared" si="0"/>
        <v>3.6508738609245077E-3</v>
      </c>
      <c r="D36">
        <f t="shared" si="1"/>
        <v>7.5995729899760202E-3</v>
      </c>
      <c r="E36">
        <f t="shared" si="2"/>
        <v>5.775350962997307E-5</v>
      </c>
    </row>
    <row r="37" spans="1:5" x14ac:dyDescent="0.25">
      <c r="A37">
        <v>3.1024519990500004</v>
      </c>
      <c r="B37">
        <v>3.7501489503001758E-3</v>
      </c>
      <c r="C37">
        <f t="shared" si="0"/>
        <v>2.5049090814335414E-3</v>
      </c>
      <c r="D37">
        <f t="shared" si="1"/>
        <v>1.2452398688666344E-3</v>
      </c>
      <c r="E37">
        <f t="shared" si="2"/>
        <v>1.5506223310149929E-6</v>
      </c>
    </row>
    <row r="38" spans="1:5" x14ac:dyDescent="0.25">
      <c r="A38">
        <v>3.1862376067499998</v>
      </c>
      <c r="B38">
        <v>3.7501489503001758E-3</v>
      </c>
      <c r="C38">
        <f t="shared" si="0"/>
        <v>1.6984525393041977E-3</v>
      </c>
      <c r="D38">
        <f t="shared" si="1"/>
        <v>2.0516964109959781E-3</v>
      </c>
      <c r="E38">
        <f t="shared" si="2"/>
        <v>4.2094581628937779E-6</v>
      </c>
    </row>
    <row r="39" spans="1:5" x14ac:dyDescent="0.25">
      <c r="A39">
        <v>3.2700232144500001</v>
      </c>
      <c r="B39">
        <v>7.5002979006003523E-4</v>
      </c>
      <c r="C39">
        <f t="shared" si="0"/>
        <v>1.138144412844303E-3</v>
      </c>
      <c r="D39">
        <f t="shared" si="1"/>
        <v>-3.8811462278426779E-4</v>
      </c>
      <c r="E39">
        <f t="shared" si="2"/>
        <v>1.5063296041897448E-7</v>
      </c>
    </row>
    <row r="40" spans="1:5" x14ac:dyDescent="0.25">
      <c r="A40">
        <v>3.35380882215</v>
      </c>
      <c r="B40">
        <v>1.5000595801200705E-3</v>
      </c>
      <c r="C40">
        <f t="shared" si="0"/>
        <v>7.5376989119578823E-4</v>
      </c>
      <c r="D40">
        <f t="shared" si="1"/>
        <v>7.4628968892428223E-4</v>
      </c>
      <c r="E40">
        <f t="shared" si="2"/>
        <v>5.5694829979470197E-7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B4C8-9665-45D8-966D-B23179815395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0.103071053675</v>
      </c>
      <c r="B1">
        <v>3.5815040655486553E-2</v>
      </c>
      <c r="C1">
        <f>$H$3*(1+$H$1)*(A1^($H$1))*EXP(-$H$3*(A1^(1+$H$1)))</f>
        <v>0.12865292456501626</v>
      </c>
      <c r="D1">
        <f>B1-C1</f>
        <v>-9.2837883909529711E-2</v>
      </c>
      <c r="E1">
        <f>D1^2</f>
        <v>8.6188726887993158E-3</v>
      </c>
      <c r="G1" t="s">
        <v>0</v>
      </c>
      <c r="H1">
        <v>1.1165136950445138</v>
      </c>
    </row>
    <row r="2" spans="1:8" x14ac:dyDescent="0.25">
      <c r="A2">
        <v>0.182028847025</v>
      </c>
      <c r="B2">
        <v>0.16315740743054985</v>
      </c>
      <c r="C2">
        <f t="shared" ref="C2:C40" si="0">$H$3*(1+$H$1)*(A2^($H$1))*EXP(-$H$3*(A2^(1+$H$1)))</f>
        <v>0.23922985372124708</v>
      </c>
      <c r="D2">
        <f t="shared" ref="D2:D40" si="1">B2-C2</f>
        <v>-7.6072446290697232E-2</v>
      </c>
      <c r="E2">
        <f t="shared" ref="E2:E40" si="2">D2^2</f>
        <v>5.7870170846510147E-3</v>
      </c>
    </row>
    <row r="3" spans="1:8" x14ac:dyDescent="0.25">
      <c r="A3">
        <v>0.26098664037500002</v>
      </c>
      <c r="B3">
        <v>0.32472303527641144</v>
      </c>
      <c r="C3">
        <f t="shared" si="0"/>
        <v>0.34921079486935436</v>
      </c>
      <c r="D3">
        <f t="shared" si="1"/>
        <v>-2.4487759592942915E-2</v>
      </c>
      <c r="E3">
        <f t="shared" si="2"/>
        <v>5.9965036988176776E-4</v>
      </c>
      <c r="G3" t="s">
        <v>1</v>
      </c>
      <c r="H3">
        <f>(_xlfn.GAMMA((2+$H$1)/(1+$H$1)))^(1+$H$1)</f>
        <v>0.77336249280417102</v>
      </c>
    </row>
    <row r="4" spans="1:8" x14ac:dyDescent="0.25">
      <c r="A4">
        <v>0.33994443372500005</v>
      </c>
      <c r="B4">
        <v>0.48071743457586397</v>
      </c>
      <c r="C4">
        <f t="shared" si="0"/>
        <v>0.45350949629111587</v>
      </c>
      <c r="D4">
        <f t="shared" si="1"/>
        <v>2.7207938284748101E-2</v>
      </c>
      <c r="E4">
        <f t="shared" si="2"/>
        <v>7.4027190570666139E-4</v>
      </c>
    </row>
    <row r="5" spans="1:8" x14ac:dyDescent="0.25">
      <c r="A5">
        <v>0.41890222707500002</v>
      </c>
      <c r="B5">
        <v>0.61920225844374532</v>
      </c>
      <c r="C5">
        <f t="shared" si="0"/>
        <v>0.54806542056042307</v>
      </c>
      <c r="D5">
        <f t="shared" si="1"/>
        <v>7.1136837883322257E-2</v>
      </c>
      <c r="E5">
        <f t="shared" si="2"/>
        <v>5.0604497040380725E-3</v>
      </c>
      <c r="G5" t="s">
        <v>2</v>
      </c>
      <c r="H5">
        <f>SUM(E1:E40)</f>
        <v>6.8550479133992426E-2</v>
      </c>
    </row>
    <row r="6" spans="1:8" x14ac:dyDescent="0.25">
      <c r="A6">
        <v>0.49786002042499999</v>
      </c>
      <c r="B6">
        <v>0.69003644996237423</v>
      </c>
      <c r="C6">
        <f t="shared" si="0"/>
        <v>0.62960489970322286</v>
      </c>
      <c r="D6">
        <f t="shared" si="1"/>
        <v>6.0431550259151368E-2</v>
      </c>
      <c r="E6">
        <f t="shared" si="2"/>
        <v>3.6519722667243378E-3</v>
      </c>
    </row>
    <row r="7" spans="1:8" x14ac:dyDescent="0.25">
      <c r="A7">
        <v>0.57681781377499997</v>
      </c>
      <c r="B7">
        <v>0.79668568213648983</v>
      </c>
      <c r="C7">
        <f t="shared" si="0"/>
        <v>0.69564976583867211</v>
      </c>
      <c r="D7">
        <f t="shared" si="1"/>
        <v>0.10103591629781772</v>
      </c>
      <c r="E7">
        <f t="shared" si="2"/>
        <v>1.0208256382139628E-2</v>
      </c>
    </row>
    <row r="8" spans="1:8" x14ac:dyDescent="0.25">
      <c r="A8">
        <v>0.65577560712500005</v>
      </c>
      <c r="B8">
        <v>0.82533771466087902</v>
      </c>
      <c r="C8">
        <f t="shared" si="0"/>
        <v>0.74456239887119158</v>
      </c>
      <c r="D8">
        <f t="shared" si="1"/>
        <v>8.0775315789687441E-2</v>
      </c>
      <c r="E8">
        <f t="shared" si="2"/>
        <v>6.5246516409237293E-3</v>
      </c>
    </row>
    <row r="9" spans="1:8" x14ac:dyDescent="0.25">
      <c r="A9">
        <v>0.73473340047500013</v>
      </c>
      <c r="B9">
        <v>0.84523495946948268</v>
      </c>
      <c r="C9">
        <f t="shared" si="0"/>
        <v>0.77556886439649486</v>
      </c>
      <c r="D9">
        <f t="shared" si="1"/>
        <v>6.9666095072987821E-2</v>
      </c>
      <c r="E9">
        <f t="shared" si="2"/>
        <v>4.853364802718578E-3</v>
      </c>
    </row>
    <row r="10" spans="1:8" x14ac:dyDescent="0.25">
      <c r="A10">
        <v>0.81369119382499999</v>
      </c>
      <c r="B10">
        <v>0.84762262884651507</v>
      </c>
      <c r="C10">
        <f t="shared" si="0"/>
        <v>0.78874033506033003</v>
      </c>
      <c r="D10">
        <f t="shared" si="1"/>
        <v>5.8882293786185036E-2</v>
      </c>
      <c r="E10">
        <f t="shared" si="2"/>
        <v>3.4671245215226049E-3</v>
      </c>
    </row>
    <row r="11" spans="1:8" x14ac:dyDescent="0.25">
      <c r="A11">
        <v>0.89264898717500007</v>
      </c>
      <c r="B11">
        <v>0.77042131898913302</v>
      </c>
      <c r="C11">
        <f t="shared" si="0"/>
        <v>0.78492827310954383</v>
      </c>
      <c r="D11">
        <f t="shared" si="1"/>
        <v>-1.4506954120410809E-2</v>
      </c>
      <c r="E11">
        <f t="shared" si="2"/>
        <v>2.1045171785170414E-4</v>
      </c>
    </row>
    <row r="12" spans="1:8" x14ac:dyDescent="0.25">
      <c r="A12">
        <v>0.97160678052500016</v>
      </c>
      <c r="B12">
        <v>0.71948437227910766</v>
      </c>
      <c r="C12">
        <f t="shared" si="0"/>
        <v>0.76565720789181124</v>
      </c>
      <c r="D12">
        <f t="shared" si="1"/>
        <v>-4.6172835612703578E-2</v>
      </c>
      <c r="E12">
        <f t="shared" si="2"/>
        <v>2.131930748517748E-3</v>
      </c>
    </row>
    <row r="13" spans="1:8" x14ac:dyDescent="0.25">
      <c r="A13">
        <v>1.050564573875</v>
      </c>
      <c r="B13">
        <v>0.72585149061786081</v>
      </c>
      <c r="C13">
        <f t="shared" si="0"/>
        <v>0.73298418390881881</v>
      </c>
      <c r="D13">
        <f t="shared" si="1"/>
        <v>-7.1326932909580032E-3</v>
      </c>
      <c r="E13">
        <f t="shared" si="2"/>
        <v>5.0875313582877313E-5</v>
      </c>
    </row>
    <row r="14" spans="1:8" x14ac:dyDescent="0.25">
      <c r="A14">
        <v>1.1295223672250001</v>
      </c>
      <c r="B14">
        <v>0.63989539304469312</v>
      </c>
      <c r="C14">
        <f t="shared" si="0"/>
        <v>0.68933707310155501</v>
      </c>
      <c r="D14">
        <f t="shared" si="1"/>
        <v>-4.9441680056861892E-2</v>
      </c>
      <c r="E14">
        <f t="shared" si="2"/>
        <v>2.4444797268450948E-3</v>
      </c>
    </row>
    <row r="15" spans="1:8" x14ac:dyDescent="0.25">
      <c r="A15">
        <v>1.2084801605750002</v>
      </c>
      <c r="B15">
        <v>0.63591594408297236</v>
      </c>
      <c r="C15">
        <f t="shared" si="0"/>
        <v>0.63734524334738674</v>
      </c>
      <c r="D15">
        <f t="shared" si="1"/>
        <v>-1.4292992644143743E-3</v>
      </c>
      <c r="E15">
        <f t="shared" si="2"/>
        <v>2.0428963872554716E-6</v>
      </c>
    </row>
    <row r="16" spans="1:8" x14ac:dyDescent="0.25">
      <c r="A16">
        <v>1.287437953925</v>
      </c>
      <c r="B16">
        <v>0.54757217713277218</v>
      </c>
      <c r="C16">
        <f t="shared" si="0"/>
        <v>0.57967575474335886</v>
      </c>
      <c r="D16">
        <f t="shared" si="1"/>
        <v>-3.2103577610586687E-2</v>
      </c>
      <c r="E16">
        <f t="shared" si="2"/>
        <v>1.0306396953989629E-3</v>
      </c>
    </row>
    <row r="17" spans="1:5" x14ac:dyDescent="0.25">
      <c r="A17">
        <v>1.3663957472749999</v>
      </c>
      <c r="B17">
        <v>0.50061467938446758</v>
      </c>
      <c r="C17">
        <f t="shared" si="0"/>
        <v>0.51888658128310439</v>
      </c>
      <c r="D17">
        <f t="shared" si="1"/>
        <v>-1.8271901898636811E-2</v>
      </c>
      <c r="E17">
        <f t="shared" si="2"/>
        <v>3.3386239899340747E-4</v>
      </c>
    </row>
    <row r="18" spans="1:5" x14ac:dyDescent="0.25">
      <c r="A18">
        <v>1.445353540625</v>
      </c>
      <c r="B18">
        <v>0.49185989166868199</v>
      </c>
      <c r="C18">
        <f t="shared" si="0"/>
        <v>0.45730568415497275</v>
      </c>
      <c r="D18">
        <f t="shared" si="1"/>
        <v>3.4554207513709245E-2</v>
      </c>
      <c r="E18">
        <f t="shared" si="2"/>
        <v>1.1939932569004805E-3</v>
      </c>
    </row>
    <row r="19" spans="1:5" x14ac:dyDescent="0.25">
      <c r="A19">
        <v>1.5243113339750001</v>
      </c>
      <c r="B19">
        <v>0.34462028008501505</v>
      </c>
      <c r="C19">
        <f t="shared" si="0"/>
        <v>0.39694151260533167</v>
      </c>
      <c r="D19">
        <f t="shared" si="1"/>
        <v>-5.2321232520316618E-2</v>
      </c>
      <c r="E19">
        <f t="shared" si="2"/>
        <v>2.7375113724450372E-3</v>
      </c>
    </row>
    <row r="20" spans="1:5" x14ac:dyDescent="0.25">
      <c r="A20">
        <v>1.6032691273249999</v>
      </c>
      <c r="B20">
        <v>0.28890799462092487</v>
      </c>
      <c r="C20">
        <f t="shared" si="0"/>
        <v>0.33942711012184279</v>
      </c>
      <c r="D20">
        <f t="shared" si="1"/>
        <v>-5.0519115500917922E-2</v>
      </c>
      <c r="E20">
        <f t="shared" si="2"/>
        <v>2.5521810309950856E-3</v>
      </c>
    </row>
    <row r="21" spans="1:5" x14ac:dyDescent="0.25">
      <c r="A21">
        <v>1.6822269206750002</v>
      </c>
      <c r="B21">
        <v>0.25309295396543829</v>
      </c>
      <c r="C21">
        <f t="shared" si="0"/>
        <v>0.28599684864205932</v>
      </c>
      <c r="D21">
        <f t="shared" si="1"/>
        <v>-3.2903894676621026E-2</v>
      </c>
      <c r="E21">
        <f t="shared" si="2"/>
        <v>1.0826662848901695E-3</v>
      </c>
    </row>
    <row r="22" spans="1:5" x14ac:dyDescent="0.25">
      <c r="A22">
        <v>1.7611847140250001</v>
      </c>
      <c r="B22">
        <v>0.19658477870900398</v>
      </c>
      <c r="C22">
        <f t="shared" si="0"/>
        <v>0.23749220938650512</v>
      </c>
      <c r="D22">
        <f t="shared" si="1"/>
        <v>-4.0907430677501133E-2</v>
      </c>
      <c r="E22">
        <f t="shared" si="2"/>
        <v>1.6734178846345609E-3</v>
      </c>
    </row>
    <row r="23" spans="1:5" x14ac:dyDescent="0.25">
      <c r="A23">
        <v>1.8401425073750002</v>
      </c>
      <c r="B23">
        <v>0.14644372179132281</v>
      </c>
      <c r="C23">
        <f t="shared" si="0"/>
        <v>0.19439117307439169</v>
      </c>
      <c r="D23">
        <f t="shared" si="1"/>
        <v>-4.7947451283068876E-2</v>
      </c>
      <c r="E23">
        <f t="shared" si="2"/>
        <v>2.2989580845422632E-3</v>
      </c>
    </row>
    <row r="24" spans="1:5" x14ac:dyDescent="0.25">
      <c r="A24">
        <v>1.919100300725</v>
      </c>
      <c r="B24">
        <v>0.15599439929945255</v>
      </c>
      <c r="C24">
        <f t="shared" si="0"/>
        <v>0.15685475298043797</v>
      </c>
      <c r="D24">
        <f t="shared" si="1"/>
        <v>-8.6035368098541509E-4</v>
      </c>
      <c r="E24">
        <f t="shared" si="2"/>
        <v>7.4020845638515339E-7</v>
      </c>
    </row>
    <row r="25" spans="1:5" x14ac:dyDescent="0.25">
      <c r="A25">
        <v>1.9980580940750001</v>
      </c>
      <c r="B25">
        <v>0.12415880760568672</v>
      </c>
      <c r="C25">
        <f t="shared" si="0"/>
        <v>0.12478396978543349</v>
      </c>
      <c r="D25">
        <f t="shared" si="1"/>
        <v>-6.2516217974677157E-4</v>
      </c>
      <c r="E25">
        <f t="shared" si="2"/>
        <v>3.9082775098573475E-7</v>
      </c>
    </row>
    <row r="26" spans="1:5" x14ac:dyDescent="0.25">
      <c r="A26">
        <v>2.0770158874250004</v>
      </c>
      <c r="B26">
        <v>0.10426156279708308</v>
      </c>
      <c r="C26">
        <f t="shared" si="0"/>
        <v>9.7881008383130949E-2</v>
      </c>
      <c r="D26">
        <f t="shared" si="1"/>
        <v>6.3805544139521331E-3</v>
      </c>
      <c r="E26">
        <f t="shared" si="2"/>
        <v>4.0711474629404047E-5</v>
      </c>
    </row>
    <row r="27" spans="1:5" x14ac:dyDescent="0.25">
      <c r="A27">
        <v>2.1559736807750003</v>
      </c>
      <c r="B27">
        <v>8.5956097573167731E-2</v>
      </c>
      <c r="C27">
        <f t="shared" si="0"/>
        <v>7.5709238119753192E-2</v>
      </c>
      <c r="D27">
        <f t="shared" si="1"/>
        <v>1.0246859453414539E-2</v>
      </c>
      <c r="E27">
        <f t="shared" si="2"/>
        <v>1.0499812865803091E-4</v>
      </c>
    </row>
    <row r="28" spans="1:5" x14ac:dyDescent="0.25">
      <c r="A28">
        <v>2.2349314741250002</v>
      </c>
      <c r="B28">
        <v>6.0487624218155067E-2</v>
      </c>
      <c r="C28">
        <f t="shared" si="0"/>
        <v>5.7748020153877415E-2</v>
      </c>
      <c r="D28">
        <f t="shared" si="1"/>
        <v>2.7396040642776523E-3</v>
      </c>
      <c r="E28">
        <f t="shared" si="2"/>
        <v>7.5054304290066309E-6</v>
      </c>
    </row>
    <row r="29" spans="1:5" x14ac:dyDescent="0.25">
      <c r="A29">
        <v>2.313889267475</v>
      </c>
      <c r="B29">
        <v>6.6058852764564094E-2</v>
      </c>
      <c r="C29">
        <f t="shared" si="0"/>
        <v>4.3439575759579588E-2</v>
      </c>
      <c r="D29">
        <f t="shared" si="1"/>
        <v>2.2619277004984506E-2</v>
      </c>
      <c r="E29">
        <f t="shared" si="2"/>
        <v>5.1163169222822084E-4</v>
      </c>
    </row>
    <row r="30" spans="1:5" x14ac:dyDescent="0.25">
      <c r="A30">
        <v>2.3928470608249999</v>
      </c>
      <c r="B30">
        <v>4.616160795596045E-2</v>
      </c>
      <c r="C30">
        <f t="shared" si="0"/>
        <v>3.2226483644710799E-2</v>
      </c>
      <c r="D30">
        <f t="shared" si="1"/>
        <v>1.3935124311249651E-2</v>
      </c>
      <c r="E30">
        <f t="shared" si="2"/>
        <v>1.9418768956998107E-4</v>
      </c>
    </row>
    <row r="31" spans="1:5" x14ac:dyDescent="0.25">
      <c r="A31">
        <v>2.4718048541750006</v>
      </c>
      <c r="B31">
        <v>3.4223261070798261E-2</v>
      </c>
      <c r="C31">
        <f t="shared" si="0"/>
        <v>2.3579492168809574E-2</v>
      </c>
      <c r="D31">
        <f t="shared" si="1"/>
        <v>1.0643768901988686E-2</v>
      </c>
      <c r="E31">
        <f t="shared" si="2"/>
        <v>1.1328981643894144E-4</v>
      </c>
    </row>
    <row r="32" spans="1:5" x14ac:dyDescent="0.25">
      <c r="A32">
        <v>2.5507626475250005</v>
      </c>
      <c r="B32">
        <v>2.3876693770324368E-2</v>
      </c>
      <c r="C32">
        <f t="shared" si="0"/>
        <v>1.7016201537729113E-2</v>
      </c>
      <c r="D32">
        <f t="shared" si="1"/>
        <v>6.8604922325952548E-3</v>
      </c>
      <c r="E32">
        <f t="shared" si="2"/>
        <v>4.7066353673499822E-5</v>
      </c>
    </row>
    <row r="33" spans="1:5" x14ac:dyDescent="0.25">
      <c r="A33">
        <v>2.6297204408750003</v>
      </c>
      <c r="B33">
        <v>2.2284914185636079E-2</v>
      </c>
      <c r="C33">
        <f t="shared" si="0"/>
        <v>1.2111765213336959E-2</v>
      </c>
      <c r="D33">
        <f t="shared" si="1"/>
        <v>1.017314897229912E-2</v>
      </c>
      <c r="E33">
        <f t="shared" si="2"/>
        <v>1.0349296001259063E-4</v>
      </c>
    </row>
    <row r="34" spans="1:5" x14ac:dyDescent="0.25">
      <c r="A34">
        <v>2.7086782342250002</v>
      </c>
      <c r="B34">
        <v>1.5121906054538767E-2</v>
      </c>
      <c r="C34">
        <f t="shared" si="0"/>
        <v>8.5030901635975639E-3</v>
      </c>
      <c r="D34">
        <f t="shared" si="1"/>
        <v>6.6188158909412029E-3</v>
      </c>
      <c r="E34">
        <f t="shared" si="2"/>
        <v>4.3808723798175791E-5</v>
      </c>
    </row>
    <row r="35" spans="1:5" x14ac:dyDescent="0.25">
      <c r="A35">
        <v>2.7876360275750001</v>
      </c>
      <c r="B35">
        <v>1.1938346885162184E-2</v>
      </c>
      <c r="C35">
        <f t="shared" si="0"/>
        <v>5.8881200230991365E-3</v>
      </c>
      <c r="D35">
        <f t="shared" si="1"/>
        <v>6.0502268620630474E-3</v>
      </c>
      <c r="E35">
        <f t="shared" si="2"/>
        <v>3.6605245082429272E-5</v>
      </c>
    </row>
    <row r="36" spans="1:5" x14ac:dyDescent="0.25">
      <c r="A36">
        <v>2.8665938209249999</v>
      </c>
      <c r="B36">
        <v>1.1938346885162184E-2</v>
      </c>
      <c r="C36">
        <f t="shared" si="0"/>
        <v>4.0217164171652969E-3</v>
      </c>
      <c r="D36">
        <f t="shared" si="1"/>
        <v>7.9166304679968869E-3</v>
      </c>
      <c r="E36">
        <f t="shared" si="2"/>
        <v>6.2673037966816609E-5</v>
      </c>
    </row>
    <row r="37" spans="1:5" x14ac:dyDescent="0.25">
      <c r="A37">
        <v>2.9455516142750002</v>
      </c>
      <c r="B37">
        <v>7.9588979234414565E-3</v>
      </c>
      <c r="C37">
        <f t="shared" si="0"/>
        <v>2.7094686365638594E-3</v>
      </c>
      <c r="D37">
        <f t="shared" si="1"/>
        <v>5.2494292868775971E-3</v>
      </c>
      <c r="E37">
        <f t="shared" si="2"/>
        <v>2.7556507837928236E-5</v>
      </c>
    </row>
    <row r="38" spans="1:5" x14ac:dyDescent="0.25">
      <c r="A38">
        <v>3.0245094076250001</v>
      </c>
      <c r="B38">
        <v>2.3876693770324368E-3</v>
      </c>
      <c r="C38">
        <f t="shared" si="0"/>
        <v>1.800513737404966E-3</v>
      </c>
      <c r="D38">
        <f t="shared" si="1"/>
        <v>5.8715563962747079E-4</v>
      </c>
      <c r="E38">
        <f t="shared" si="2"/>
        <v>3.4475174514634436E-7</v>
      </c>
    </row>
    <row r="39" spans="1:5" x14ac:dyDescent="0.25">
      <c r="A39">
        <v>3.103467200975</v>
      </c>
      <c r="B39">
        <v>7.9588979234414563E-4</v>
      </c>
      <c r="C39">
        <f t="shared" si="0"/>
        <v>1.1801820890226331E-3</v>
      </c>
      <c r="D39">
        <f t="shared" si="1"/>
        <v>-3.8429229667848749E-4</v>
      </c>
      <c r="E39">
        <f t="shared" si="2"/>
        <v>1.4768056928642666E-7</v>
      </c>
    </row>
    <row r="40" spans="1:5" x14ac:dyDescent="0.25">
      <c r="A40">
        <v>3.1824249943250003</v>
      </c>
      <c r="B40">
        <v>1.5917795846882913E-3</v>
      </c>
      <c r="C40">
        <f t="shared" si="0"/>
        <v>7.6302989073886573E-4</v>
      </c>
      <c r="D40">
        <f t="shared" si="1"/>
        <v>8.2874969394942553E-4</v>
      </c>
      <c r="E40">
        <f t="shared" si="2"/>
        <v>6.868260552212665E-7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0CB4D-16AE-4222-B392-A6702DD16CDF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0.13084998132499998</v>
      </c>
      <c r="B1">
        <v>3.4075141406551351E-2</v>
      </c>
      <c r="C1">
        <f>$H$3*(1+$H$1)*(A1^($H$1))*EXP(-$H$3*(A1^(1+$H$1)))</f>
        <v>0.13360080306323774</v>
      </c>
      <c r="D1">
        <f>B1-C1</f>
        <v>-9.9525661656686387E-2</v>
      </c>
      <c r="E1">
        <f>D1^2</f>
        <v>9.9053573282012145E-3</v>
      </c>
      <c r="G1" t="s">
        <v>0</v>
      </c>
      <c r="H1">
        <v>1.250498872361234</v>
      </c>
    </row>
    <row r="2" spans="1:8" x14ac:dyDescent="0.25">
      <c r="A2">
        <v>0.20461836397499999</v>
      </c>
      <c r="B2">
        <v>0.14737498658333462</v>
      </c>
      <c r="C2">
        <f t="shared" ref="C2:C40" si="0">$H$3*(1+$H$1)*(A2^($H$1))*EXP(-$H$3*(A2^(1+$H$1)))</f>
        <v>0.23052602879559209</v>
      </c>
      <c r="D2">
        <f t="shared" ref="D2:D40" si="1">B2-C2</f>
        <v>-8.315104221225747E-2</v>
      </c>
      <c r="E2">
        <f t="shared" ref="E2:E40" si="2">D2^2</f>
        <v>6.9140958209846235E-3</v>
      </c>
    </row>
    <row r="3" spans="1:8" x14ac:dyDescent="0.25">
      <c r="A3">
        <v>0.27838674662499996</v>
      </c>
      <c r="B3">
        <v>0.30582439412379842</v>
      </c>
      <c r="C3">
        <f t="shared" si="0"/>
        <v>0.33160603635393349</v>
      </c>
      <c r="D3">
        <f t="shared" si="1"/>
        <v>-2.5781642230135071E-2</v>
      </c>
      <c r="E3">
        <f t="shared" si="2"/>
        <v>6.6469307608268404E-4</v>
      </c>
      <c r="G3" t="s">
        <v>1</v>
      </c>
      <c r="H3">
        <f>(_xlfn.GAMMA((2+$H$1)/(1+$H$1)))^(1+$H$1)</f>
        <v>0.76103368245874081</v>
      </c>
    </row>
    <row r="4" spans="1:8" x14ac:dyDescent="0.25">
      <c r="A4">
        <v>0.35215512927499998</v>
      </c>
      <c r="B4">
        <v>0.4165686036950903</v>
      </c>
      <c r="C4">
        <f t="shared" si="0"/>
        <v>0.43183295165043034</v>
      </c>
      <c r="D4">
        <f t="shared" si="1"/>
        <v>-1.5264347955340041E-2</v>
      </c>
      <c r="E4">
        <f t="shared" si="2"/>
        <v>2.3300031850169369E-4</v>
      </c>
    </row>
    <row r="5" spans="1:8" x14ac:dyDescent="0.25">
      <c r="A5">
        <v>0.425923511925</v>
      </c>
      <c r="B5">
        <v>0.59972248875530387</v>
      </c>
      <c r="C5">
        <f t="shared" si="0"/>
        <v>0.52692051767780013</v>
      </c>
      <c r="D5">
        <f t="shared" si="1"/>
        <v>7.2801971077503747E-2</v>
      </c>
      <c r="E5">
        <f t="shared" si="2"/>
        <v>5.3001269927696916E-3</v>
      </c>
      <c r="G5" t="s">
        <v>2</v>
      </c>
      <c r="H5">
        <f>SUM(E1:E40)</f>
        <v>8.4861617070186801E-2</v>
      </c>
    </row>
    <row r="6" spans="1:8" x14ac:dyDescent="0.25">
      <c r="A6">
        <v>0.49969189457499996</v>
      </c>
      <c r="B6">
        <v>0.70450354858044928</v>
      </c>
      <c r="C6">
        <f t="shared" si="0"/>
        <v>0.61312470487767801</v>
      </c>
      <c r="D6">
        <f t="shared" si="1"/>
        <v>9.1378843702771273E-2</v>
      </c>
      <c r="E6">
        <f t="shared" si="2"/>
        <v>8.3500930764555011E-3</v>
      </c>
    </row>
    <row r="7" spans="1:8" x14ac:dyDescent="0.25">
      <c r="A7">
        <v>0.57346027722499993</v>
      </c>
      <c r="B7">
        <v>0.78372825235068111</v>
      </c>
      <c r="C7">
        <f t="shared" si="0"/>
        <v>0.68727880780344597</v>
      </c>
      <c r="D7">
        <f t="shared" si="1"/>
        <v>9.6449444547235141E-2</v>
      </c>
      <c r="E7">
        <f t="shared" si="2"/>
        <v>9.3024953534701863E-3</v>
      </c>
    </row>
    <row r="8" spans="1:8" x14ac:dyDescent="0.25">
      <c r="A8">
        <v>0.64722865987499989</v>
      </c>
      <c r="B8">
        <v>0.85954544198025795</v>
      </c>
      <c r="C8">
        <f t="shared" si="0"/>
        <v>0.74688345905783227</v>
      </c>
      <c r="D8">
        <f t="shared" si="1"/>
        <v>0.11266198292242569</v>
      </c>
      <c r="E8">
        <f t="shared" si="2"/>
        <v>1.2692722396012936E-2</v>
      </c>
    </row>
    <row r="9" spans="1:8" x14ac:dyDescent="0.25">
      <c r="A9">
        <v>0.72099704252499996</v>
      </c>
      <c r="B9">
        <v>0.89362058338680928</v>
      </c>
      <c r="C9">
        <f t="shared" si="0"/>
        <v>0.79019357237167753</v>
      </c>
      <c r="D9">
        <f t="shared" si="1"/>
        <v>0.10342701101513174</v>
      </c>
      <c r="E9">
        <f t="shared" si="2"/>
        <v>1.0697146607524183E-2</v>
      </c>
    </row>
    <row r="10" spans="1:8" x14ac:dyDescent="0.25">
      <c r="A10">
        <v>0.79476542517499993</v>
      </c>
      <c r="B10">
        <v>0.87487925561320601</v>
      </c>
      <c r="C10">
        <f t="shared" si="0"/>
        <v>0.81627481283936554</v>
      </c>
      <c r="D10">
        <f t="shared" si="1"/>
        <v>5.8604442773840471E-2</v>
      </c>
      <c r="E10">
        <f t="shared" si="2"/>
        <v>3.4344807128323424E-3</v>
      </c>
    </row>
    <row r="11" spans="1:8" x14ac:dyDescent="0.25">
      <c r="A11">
        <v>0.868533807825</v>
      </c>
      <c r="B11">
        <v>0.84250787127698223</v>
      </c>
      <c r="C11">
        <f t="shared" si="0"/>
        <v>0.82501590009597947</v>
      </c>
      <c r="D11">
        <f t="shared" si="1"/>
        <v>1.7491971181002763E-2</v>
      </c>
      <c r="E11">
        <f t="shared" si="2"/>
        <v>3.0596905579703123E-4</v>
      </c>
    </row>
    <row r="12" spans="1:8" x14ac:dyDescent="0.25">
      <c r="A12">
        <v>0.94230219047499997</v>
      </c>
      <c r="B12">
        <v>0.81865527229239632</v>
      </c>
      <c r="C12">
        <f t="shared" si="0"/>
        <v>0.81709174505795779</v>
      </c>
      <c r="D12">
        <f t="shared" si="1"/>
        <v>1.5635272344385331E-3</v>
      </c>
      <c r="E12">
        <f t="shared" si="2"/>
        <v>2.4446174128310078E-6</v>
      </c>
    </row>
    <row r="13" spans="1:8" x14ac:dyDescent="0.25">
      <c r="A13">
        <v>1.0160705731249999</v>
      </c>
      <c r="B13">
        <v>0.75135686801445734</v>
      </c>
      <c r="C13">
        <f t="shared" si="0"/>
        <v>0.7938791279685643</v>
      </c>
      <c r="D13">
        <f t="shared" si="1"/>
        <v>-4.2522259954106967E-2</v>
      </c>
      <c r="E13">
        <f t="shared" si="2"/>
        <v>1.8081425916046489E-3</v>
      </c>
    </row>
    <row r="14" spans="1:8" x14ac:dyDescent="0.25">
      <c r="A14">
        <v>1.0898389557749999</v>
      </c>
      <c r="B14">
        <v>0.72750426902987142</v>
      </c>
      <c r="C14">
        <f t="shared" si="0"/>
        <v>0.75733199621113712</v>
      </c>
      <c r="D14">
        <f t="shared" si="1"/>
        <v>-2.9827727181265695E-2</v>
      </c>
      <c r="E14">
        <f t="shared" si="2"/>
        <v>8.8969330880001637E-4</v>
      </c>
    </row>
    <row r="15" spans="1:8" x14ac:dyDescent="0.25">
      <c r="A15">
        <v>1.1636073384249999</v>
      </c>
      <c r="B15">
        <v>0.66446525742775142</v>
      </c>
      <c r="C15">
        <f t="shared" si="0"/>
        <v>0.70982745311246942</v>
      </c>
      <c r="D15">
        <f t="shared" si="1"/>
        <v>-4.5362195684717999E-2</v>
      </c>
      <c r="E15">
        <f t="shared" si="2"/>
        <v>2.0577287973386482E-3</v>
      </c>
    </row>
    <row r="16" spans="1:8" x14ac:dyDescent="0.25">
      <c r="A16">
        <v>1.2373757210749998</v>
      </c>
      <c r="B16">
        <v>0.62953823748603632</v>
      </c>
      <c r="C16">
        <f t="shared" si="0"/>
        <v>0.65399594259511951</v>
      </c>
      <c r="D16">
        <f t="shared" si="1"/>
        <v>-2.4457705109083183E-2</v>
      </c>
      <c r="E16">
        <f t="shared" si="2"/>
        <v>5.981793392028737E-4</v>
      </c>
    </row>
    <row r="17" spans="1:5" x14ac:dyDescent="0.25">
      <c r="A17">
        <v>1.3111441037249998</v>
      </c>
      <c r="B17">
        <v>0.55712856199711469</v>
      </c>
      <c r="C17">
        <f t="shared" si="0"/>
        <v>0.59254990511148875</v>
      </c>
      <c r="D17">
        <f t="shared" si="1"/>
        <v>-3.542134311437406E-2</v>
      </c>
      <c r="E17">
        <f t="shared" si="2"/>
        <v>1.2546715480262146E-3</v>
      </c>
    </row>
    <row r="18" spans="1:5" x14ac:dyDescent="0.25">
      <c r="A18">
        <v>1.3849124863749998</v>
      </c>
      <c r="B18">
        <v>0.51623839230925306</v>
      </c>
      <c r="C18">
        <f t="shared" si="0"/>
        <v>0.52812434583235535</v>
      </c>
      <c r="D18">
        <f t="shared" si="1"/>
        <v>-1.1885953523102288E-2</v>
      </c>
      <c r="E18">
        <f t="shared" si="2"/>
        <v>1.4127589115334771E-4</v>
      </c>
    </row>
    <row r="19" spans="1:5" x14ac:dyDescent="0.25">
      <c r="A19">
        <v>1.4586808690249997</v>
      </c>
      <c r="B19">
        <v>0.453199380707133</v>
      </c>
      <c r="C19">
        <f t="shared" si="0"/>
        <v>0.46314055130190923</v>
      </c>
      <c r="D19">
        <f t="shared" si="1"/>
        <v>-9.9411705947762274E-3</v>
      </c>
      <c r="E19">
        <f t="shared" si="2"/>
        <v>9.8826872794443535E-5</v>
      </c>
    </row>
    <row r="20" spans="1:5" x14ac:dyDescent="0.25">
      <c r="A20">
        <v>1.5324492516749997</v>
      </c>
      <c r="B20">
        <v>0.36801152719075464</v>
      </c>
      <c r="C20">
        <f t="shared" si="0"/>
        <v>0.39970099720057378</v>
      </c>
      <c r="D20">
        <f t="shared" si="1"/>
        <v>-3.1689470009819143E-2</v>
      </c>
      <c r="E20">
        <f t="shared" si="2"/>
        <v>1.0042225095032269E-3</v>
      </c>
    </row>
    <row r="21" spans="1:5" x14ac:dyDescent="0.25">
      <c r="A21">
        <v>1.6062176343250001</v>
      </c>
      <c r="B21">
        <v>0.2904905804908503</v>
      </c>
      <c r="C21">
        <f t="shared" si="0"/>
        <v>0.33951977783782561</v>
      </c>
      <c r="D21">
        <f t="shared" si="1"/>
        <v>-4.9029197346975306E-2</v>
      </c>
      <c r="E21">
        <f t="shared" si="2"/>
        <v>2.4038621924886506E-3</v>
      </c>
    </row>
    <row r="22" spans="1:5" x14ac:dyDescent="0.25">
      <c r="A22">
        <v>1.6799860169750001</v>
      </c>
      <c r="B22">
        <v>0.23171096156454921</v>
      </c>
      <c r="C22">
        <f t="shared" si="0"/>
        <v>0.28388914622596639</v>
      </c>
      <c r="D22">
        <f t="shared" si="1"/>
        <v>-5.2178184661417187E-2</v>
      </c>
      <c r="E22">
        <f t="shared" si="2"/>
        <v>2.722562954560952E-3</v>
      </c>
    </row>
    <row r="23" spans="1:5" x14ac:dyDescent="0.25">
      <c r="A23">
        <v>1.753754399625</v>
      </c>
      <c r="B23">
        <v>0.20274709136898056</v>
      </c>
      <c r="C23">
        <f t="shared" si="0"/>
        <v>0.23367942027880526</v>
      </c>
      <c r="D23">
        <f t="shared" si="1"/>
        <v>-3.0932328909824697E-2</v>
      </c>
      <c r="E23">
        <f t="shared" si="2"/>
        <v>9.5680897178557667E-4</v>
      </c>
    </row>
    <row r="24" spans="1:5" x14ac:dyDescent="0.25">
      <c r="A24">
        <v>1.827522782275</v>
      </c>
      <c r="B24">
        <v>0.15078250072398974</v>
      </c>
      <c r="C24">
        <f t="shared" si="0"/>
        <v>0.18936691851852885</v>
      </c>
      <c r="D24">
        <f t="shared" si="1"/>
        <v>-3.8584417794539111E-2</v>
      </c>
      <c r="E24">
        <f t="shared" si="2"/>
        <v>1.4887572965435463E-3</v>
      </c>
    </row>
    <row r="25" spans="1:5" x14ac:dyDescent="0.25">
      <c r="A25">
        <v>1.9012911649249999</v>
      </c>
      <c r="B25">
        <v>0.14993062218882597</v>
      </c>
      <c r="C25">
        <f t="shared" si="0"/>
        <v>0.15108293159559297</v>
      </c>
      <c r="D25">
        <f t="shared" si="1"/>
        <v>-1.1523094067669992E-3</v>
      </c>
      <c r="E25">
        <f t="shared" si="2"/>
        <v>1.3278169689237137E-6</v>
      </c>
    </row>
    <row r="26" spans="1:5" x14ac:dyDescent="0.25">
      <c r="A26">
        <v>1.9750595475749999</v>
      </c>
      <c r="B26">
        <v>0.12522614466907622</v>
      </c>
      <c r="C26">
        <f t="shared" si="0"/>
        <v>0.11867606092493656</v>
      </c>
      <c r="D26">
        <f t="shared" si="1"/>
        <v>6.5500837441396648E-3</v>
      </c>
      <c r="E26">
        <f t="shared" si="2"/>
        <v>4.2903597055242688E-5</v>
      </c>
    </row>
    <row r="27" spans="1:5" x14ac:dyDescent="0.25">
      <c r="A27">
        <v>2.0488279302250003</v>
      </c>
      <c r="B27">
        <v>0.10478105982514542</v>
      </c>
      <c r="C27">
        <f t="shared" si="0"/>
        <v>9.1780477967852103E-2</v>
      </c>
      <c r="D27">
        <f t="shared" si="1"/>
        <v>1.3000581857293317E-2</v>
      </c>
      <c r="E27">
        <f t="shared" si="2"/>
        <v>1.6901512862818415E-4</v>
      </c>
    </row>
    <row r="28" spans="1:5" x14ac:dyDescent="0.25">
      <c r="A28">
        <v>2.1225963128750003</v>
      </c>
      <c r="B28">
        <v>7.1557796953757843E-2</v>
      </c>
      <c r="C28">
        <f t="shared" si="0"/>
        <v>6.9883593176489262E-2</v>
      </c>
      <c r="D28">
        <f t="shared" si="1"/>
        <v>1.6742037772685819E-3</v>
      </c>
      <c r="E28">
        <f t="shared" si="2"/>
        <v>2.8029582878203875E-6</v>
      </c>
    </row>
    <row r="29" spans="1:5" x14ac:dyDescent="0.25">
      <c r="A29">
        <v>2.1963646955249998</v>
      </c>
      <c r="B29">
        <v>7.4113432559249195E-2</v>
      </c>
      <c r="C29">
        <f t="shared" si="0"/>
        <v>5.2388031651981373E-2</v>
      </c>
      <c r="D29">
        <f t="shared" si="1"/>
        <v>2.1725400907267822E-2</v>
      </c>
      <c r="E29">
        <f t="shared" si="2"/>
        <v>4.7199304458151354E-4</v>
      </c>
    </row>
    <row r="30" spans="1:5" x14ac:dyDescent="0.25">
      <c r="A30">
        <v>2.2701330781749998</v>
      </c>
      <c r="B30">
        <v>4.600144089884433E-2</v>
      </c>
      <c r="C30">
        <f t="shared" si="0"/>
        <v>3.8664439227893137E-2</v>
      </c>
      <c r="D30">
        <f t="shared" si="1"/>
        <v>7.3370016709511932E-3</v>
      </c>
      <c r="E30">
        <f t="shared" si="2"/>
        <v>5.3831593519540603E-5</v>
      </c>
    </row>
    <row r="31" spans="1:5" x14ac:dyDescent="0.25">
      <c r="A31">
        <v>2.3439014608249997</v>
      </c>
      <c r="B31">
        <v>5.1112712109827034E-2</v>
      </c>
      <c r="C31">
        <f t="shared" si="0"/>
        <v>2.8093258308748599E-2</v>
      </c>
      <c r="D31">
        <f t="shared" si="1"/>
        <v>2.3019453801078435E-2</v>
      </c>
      <c r="E31">
        <f t="shared" si="2"/>
        <v>5.2989525329998446E-4</v>
      </c>
    </row>
    <row r="32" spans="1:5" x14ac:dyDescent="0.25">
      <c r="A32">
        <v>2.4176698434749997</v>
      </c>
      <c r="B32">
        <v>2.5556356054913517E-2</v>
      </c>
      <c r="C32">
        <f t="shared" si="0"/>
        <v>2.00950384039561E-2</v>
      </c>
      <c r="D32">
        <f t="shared" si="1"/>
        <v>5.4613176509574167E-3</v>
      </c>
      <c r="E32">
        <f t="shared" si="2"/>
        <v>2.9825990484659037E-5</v>
      </c>
    </row>
    <row r="33" spans="1:5" x14ac:dyDescent="0.25">
      <c r="A33">
        <v>2.4914382261249997</v>
      </c>
      <c r="B33">
        <v>2.214884191425838E-2</v>
      </c>
      <c r="C33">
        <f t="shared" si="0"/>
        <v>1.4149967027874598E-2</v>
      </c>
      <c r="D33">
        <f t="shared" si="1"/>
        <v>7.9988748863837819E-3</v>
      </c>
      <c r="E33">
        <f t="shared" si="2"/>
        <v>6.3981999448021166E-5</v>
      </c>
    </row>
    <row r="34" spans="1:5" x14ac:dyDescent="0.25">
      <c r="A34">
        <v>2.5652066087749996</v>
      </c>
      <c r="B34">
        <v>2.1296963379094598E-2</v>
      </c>
      <c r="C34">
        <f t="shared" si="0"/>
        <v>9.8080726422357829E-3</v>
      </c>
      <c r="D34">
        <f t="shared" si="1"/>
        <v>1.1488890736858815E-2</v>
      </c>
      <c r="E34">
        <f t="shared" si="2"/>
        <v>1.319946103634803E-4</v>
      </c>
    </row>
    <row r="35" spans="1:5" x14ac:dyDescent="0.25">
      <c r="A35">
        <v>2.6389749914249996</v>
      </c>
      <c r="B35">
        <v>1.1926299492292973E-2</v>
      </c>
      <c r="C35">
        <f t="shared" si="0"/>
        <v>6.6919688934862663E-3</v>
      </c>
      <c r="D35">
        <f t="shared" si="1"/>
        <v>5.2343305988067071E-3</v>
      </c>
      <c r="E35">
        <f t="shared" si="2"/>
        <v>2.7398216817604182E-5</v>
      </c>
    </row>
    <row r="36" spans="1:5" x14ac:dyDescent="0.25">
      <c r="A36">
        <v>2.712743374075</v>
      </c>
      <c r="B36">
        <v>1.1926299492292973E-2</v>
      </c>
      <c r="C36">
        <f t="shared" si="0"/>
        <v>4.494125994320617E-3</v>
      </c>
      <c r="D36">
        <f t="shared" si="1"/>
        <v>7.4321734979723563E-3</v>
      </c>
      <c r="E36">
        <f t="shared" si="2"/>
        <v>5.5237202903962647E-5</v>
      </c>
    </row>
    <row r="37" spans="1:5" x14ac:dyDescent="0.25">
      <c r="A37">
        <v>2.786511756725</v>
      </c>
      <c r="B37">
        <v>1.0222542421965406E-2</v>
      </c>
      <c r="C37">
        <f t="shared" si="0"/>
        <v>2.9705421142886381E-3</v>
      </c>
      <c r="D37">
        <f t="shared" si="1"/>
        <v>7.2520003076767684E-3</v>
      </c>
      <c r="E37">
        <f t="shared" si="2"/>
        <v>5.2591508462543945E-5</v>
      </c>
    </row>
    <row r="38" spans="1:5" x14ac:dyDescent="0.25">
      <c r="A38">
        <v>2.8602801393749999</v>
      </c>
      <c r="B38">
        <v>2.5556356054913516E-3</v>
      </c>
      <c r="C38">
        <f t="shared" si="0"/>
        <v>1.9324242977998506E-3</v>
      </c>
      <c r="D38">
        <f t="shared" si="1"/>
        <v>6.23211307691501E-4</v>
      </c>
      <c r="E38">
        <f t="shared" si="2"/>
        <v>3.8839233403455073E-7</v>
      </c>
    </row>
    <row r="39" spans="1:5" x14ac:dyDescent="0.25">
      <c r="A39">
        <v>2.9340485220249999</v>
      </c>
      <c r="B39">
        <v>1.7037570703275677E-3</v>
      </c>
      <c r="C39">
        <f t="shared" si="0"/>
        <v>1.2371489587047675E-3</v>
      </c>
      <c r="D39">
        <f t="shared" si="1"/>
        <v>4.6660811162280028E-4</v>
      </c>
      <c r="E39">
        <f t="shared" si="2"/>
        <v>2.1772312983219564E-7</v>
      </c>
    </row>
    <row r="40" spans="1:5" x14ac:dyDescent="0.25">
      <c r="A40">
        <v>3.0078169046749998</v>
      </c>
      <c r="B40">
        <v>1.7037570703275677E-3</v>
      </c>
      <c r="C40">
        <f t="shared" si="0"/>
        <v>7.7941727652793111E-4</v>
      </c>
      <c r="D40">
        <f t="shared" si="1"/>
        <v>9.2433979379963663E-4</v>
      </c>
      <c r="E40">
        <f t="shared" si="2"/>
        <v>8.5440405440155473E-7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706FB-9F5A-47DE-9EEB-4B9A12B9C333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0.15946079907499999</v>
      </c>
      <c r="B1">
        <v>2.2956328802578425E-2</v>
      </c>
      <c r="C1">
        <f>$H$3*(1+$H$1)*(A1^($H$1))*EXP(-$H$3*(A1^(1+$H$1)))</f>
        <v>0.131743905714342</v>
      </c>
      <c r="D1">
        <f>B1-C1</f>
        <v>-0.10878757691176358</v>
      </c>
      <c r="E1">
        <f>D1^2</f>
        <v>1.1834736890332875E-2</v>
      </c>
      <c r="G1" t="s">
        <v>0</v>
      </c>
      <c r="H1">
        <v>1.4223917457168012</v>
      </c>
    </row>
    <row r="2" spans="1:8" x14ac:dyDescent="0.25">
      <c r="A2">
        <v>0.227892639225</v>
      </c>
      <c r="B2">
        <v>0.13314670705495485</v>
      </c>
      <c r="C2">
        <f t="shared" ref="C2:C40" si="0">$H$3*(1+$H$1)*(A2^($H$1))*EXP(-$H$3*(A2^(1+$H$1)))</f>
        <v>0.21631456099530069</v>
      </c>
      <c r="D2">
        <f t="shared" ref="D2:D40" si="1">B2-C2</f>
        <v>-8.3167853940345843E-2</v>
      </c>
      <c r="E2">
        <f t="shared" ref="E2:E40" si="2">D2^2</f>
        <v>6.9168919290426992E-3</v>
      </c>
    </row>
    <row r="3" spans="1:8" x14ac:dyDescent="0.25">
      <c r="A3">
        <v>0.29632447937499995</v>
      </c>
      <c r="B3">
        <v>0.24976485737205326</v>
      </c>
      <c r="C3">
        <f t="shared" si="0"/>
        <v>0.30850980333150013</v>
      </c>
      <c r="D3">
        <f t="shared" si="1"/>
        <v>-5.8744945959446876E-2</v>
      </c>
      <c r="E3">
        <f t="shared" si="2"/>
        <v>3.4509686757783339E-3</v>
      </c>
      <c r="G3" t="s">
        <v>1</v>
      </c>
      <c r="H3">
        <f>(_xlfn.GAMMA((2+$H$1)/(1+$H$1)))^(1+$H$1)</f>
        <v>0.74717803082222545</v>
      </c>
    </row>
    <row r="4" spans="1:8" x14ac:dyDescent="0.25">
      <c r="A4">
        <v>0.36475631952499998</v>
      </c>
      <c r="B4">
        <v>0.39484885540434889</v>
      </c>
      <c r="C4">
        <f t="shared" si="0"/>
        <v>0.40408022413255956</v>
      </c>
      <c r="D4">
        <f t="shared" si="1"/>
        <v>-9.231368728210676E-3</v>
      </c>
      <c r="E4">
        <f t="shared" si="2"/>
        <v>8.5218168596185999E-5</v>
      </c>
    </row>
    <row r="5" spans="1:8" x14ac:dyDescent="0.25">
      <c r="A5">
        <v>0.43318815967500002</v>
      </c>
      <c r="B5">
        <v>0.56013442278291359</v>
      </c>
      <c r="C5">
        <f t="shared" si="0"/>
        <v>0.49901594231732499</v>
      </c>
      <c r="D5">
        <f t="shared" si="1"/>
        <v>6.1118480465588598E-2</v>
      </c>
      <c r="E5">
        <f t="shared" si="2"/>
        <v>3.7354686544225353E-3</v>
      </c>
      <c r="G5" t="s">
        <v>2</v>
      </c>
      <c r="H5">
        <f>SUM(E1:E40)</f>
        <v>0.11204533274152359</v>
      </c>
    </row>
    <row r="6" spans="1:8" x14ac:dyDescent="0.25">
      <c r="A6">
        <v>0.50161999982499994</v>
      </c>
      <c r="B6">
        <v>0.69419938298997153</v>
      </c>
      <c r="C6">
        <f t="shared" si="0"/>
        <v>0.58948725691476145</v>
      </c>
      <c r="D6">
        <f t="shared" si="1"/>
        <v>0.10471212607521008</v>
      </c>
      <c r="E6">
        <f t="shared" si="2"/>
        <v>1.0964629347190689E-2</v>
      </c>
    </row>
    <row r="7" spans="1:8" x14ac:dyDescent="0.25">
      <c r="A7">
        <v>0.57005183997499986</v>
      </c>
      <c r="B7">
        <v>0.79428897656921349</v>
      </c>
      <c r="C7">
        <f t="shared" si="0"/>
        <v>0.67192172349748958</v>
      </c>
      <c r="D7">
        <f t="shared" si="1"/>
        <v>0.12236725307172391</v>
      </c>
      <c r="E7">
        <f t="shared" si="2"/>
        <v>1.4973744624319326E-2</v>
      </c>
    </row>
    <row r="8" spans="1:8" x14ac:dyDescent="0.25">
      <c r="A8">
        <v>0.63848368012500001</v>
      </c>
      <c r="B8">
        <v>0.82275482428441071</v>
      </c>
      <c r="C8">
        <f t="shared" si="0"/>
        <v>0.74313531074260875</v>
      </c>
      <c r="D8">
        <f t="shared" si="1"/>
        <v>7.9619513541801967E-2</v>
      </c>
      <c r="E8">
        <f t="shared" si="2"/>
        <v>6.3392669366331865E-3</v>
      </c>
    </row>
    <row r="9" spans="1:8" x14ac:dyDescent="0.25">
      <c r="A9">
        <v>0.70691552027500004</v>
      </c>
      <c r="B9">
        <v>0.90723411427789935</v>
      </c>
      <c r="C9">
        <f t="shared" si="0"/>
        <v>0.80047721542009043</v>
      </c>
      <c r="D9">
        <f t="shared" si="1"/>
        <v>0.10675689885780892</v>
      </c>
      <c r="E9">
        <f t="shared" si="2"/>
        <v>1.1397035453736444E-2</v>
      </c>
    </row>
    <row r="10" spans="1:8" x14ac:dyDescent="0.25">
      <c r="A10">
        <v>0.77534736042499997</v>
      </c>
      <c r="B10">
        <v>0.93110869623258086</v>
      </c>
      <c r="C10">
        <f t="shared" si="0"/>
        <v>0.84196208756568636</v>
      </c>
      <c r="D10">
        <f t="shared" si="1"/>
        <v>8.91466086668945E-2</v>
      </c>
      <c r="E10">
        <f t="shared" si="2"/>
        <v>7.9471178368084299E-3</v>
      </c>
    </row>
    <row r="11" spans="1:8" x14ac:dyDescent="0.25">
      <c r="A11">
        <v>0.843779200575</v>
      </c>
      <c r="B11">
        <v>0.96875707546880951</v>
      </c>
      <c r="C11">
        <f t="shared" si="0"/>
        <v>0.86637050662757298</v>
      </c>
      <c r="D11">
        <f t="shared" si="1"/>
        <v>0.10238656884123654</v>
      </c>
      <c r="E11">
        <f t="shared" si="2"/>
        <v>1.0483009479081267E-2</v>
      </c>
    </row>
    <row r="12" spans="1:8" x14ac:dyDescent="0.25">
      <c r="A12">
        <v>0.91221104072499992</v>
      </c>
      <c r="B12">
        <v>0.89621507645266163</v>
      </c>
      <c r="C12">
        <f t="shared" si="0"/>
        <v>0.87330412717469352</v>
      </c>
      <c r="D12">
        <f t="shared" si="1"/>
        <v>2.2910949277968107E-2</v>
      </c>
      <c r="E12">
        <f t="shared" si="2"/>
        <v>5.249115968176273E-4</v>
      </c>
    </row>
    <row r="13" spans="1:8" x14ac:dyDescent="0.25">
      <c r="A13">
        <v>0.98064288087499984</v>
      </c>
      <c r="B13">
        <v>0.84111988732647347</v>
      </c>
      <c r="C13">
        <f t="shared" si="0"/>
        <v>0.86318757104519528</v>
      </c>
      <c r="D13">
        <f t="shared" si="1"/>
        <v>-2.2067683718721809E-2</v>
      </c>
      <c r="E13">
        <f t="shared" si="2"/>
        <v>4.8698266470953959E-4</v>
      </c>
    </row>
    <row r="14" spans="1:8" x14ac:dyDescent="0.25">
      <c r="A14">
        <v>1.0490747210249998</v>
      </c>
      <c r="B14">
        <v>0.79612548287341978</v>
      </c>
      <c r="C14">
        <f t="shared" si="0"/>
        <v>0.83721510639755736</v>
      </c>
      <c r="D14">
        <f t="shared" si="1"/>
        <v>-4.1089623524137586E-2</v>
      </c>
      <c r="E14">
        <f t="shared" si="2"/>
        <v>1.6883571613553609E-3</v>
      </c>
    </row>
    <row r="15" spans="1:8" x14ac:dyDescent="0.25">
      <c r="A15">
        <v>1.1175065611749999</v>
      </c>
      <c r="B15">
        <v>0.75664059733298483</v>
      </c>
      <c r="C15">
        <f t="shared" si="0"/>
        <v>0.79724608439712252</v>
      </c>
      <c r="D15">
        <f t="shared" si="1"/>
        <v>-4.0605487064137691E-2</v>
      </c>
      <c r="E15">
        <f t="shared" si="2"/>
        <v>1.6488055797158534E-3</v>
      </c>
    </row>
    <row r="16" spans="1:8" x14ac:dyDescent="0.25">
      <c r="A16">
        <v>1.1859384013250001</v>
      </c>
      <c r="B16">
        <v>0.68960811722945581</v>
      </c>
      <c r="C16">
        <f t="shared" si="0"/>
        <v>0.74565843748034499</v>
      </c>
      <c r="D16">
        <f t="shared" si="1"/>
        <v>-5.6050320250889185E-2</v>
      </c>
      <c r="E16">
        <f t="shared" si="2"/>
        <v>3.1416384002272385E-3</v>
      </c>
    </row>
    <row r="17" spans="1:5" x14ac:dyDescent="0.25">
      <c r="A17">
        <v>1.254370241475</v>
      </c>
      <c r="B17">
        <v>0.64553196592850526</v>
      </c>
      <c r="C17">
        <f t="shared" si="0"/>
        <v>0.68517368966253955</v>
      </c>
      <c r="D17">
        <f t="shared" si="1"/>
        <v>-3.9641723734034295E-2</v>
      </c>
      <c r="E17">
        <f t="shared" si="2"/>
        <v>1.571466260605498E-3</v>
      </c>
    </row>
    <row r="18" spans="1:5" x14ac:dyDescent="0.25">
      <c r="A18">
        <v>1.3228020816249999</v>
      </c>
      <c r="B18">
        <v>0.5711534606081512</v>
      </c>
      <c r="C18">
        <f t="shared" si="0"/>
        <v>0.61866941542478715</v>
      </c>
      <c r="D18">
        <f t="shared" si="1"/>
        <v>-4.7515954816635952E-2</v>
      </c>
      <c r="E18">
        <f t="shared" si="2"/>
        <v>2.2577659621365893E-3</v>
      </c>
    </row>
    <row r="19" spans="1:5" x14ac:dyDescent="0.25">
      <c r="A19">
        <v>1.391233921775</v>
      </c>
      <c r="B19">
        <v>0.52891381561140693</v>
      </c>
      <c r="C19">
        <f t="shared" si="0"/>
        <v>0.54899564953155777</v>
      </c>
      <c r="D19">
        <f t="shared" si="1"/>
        <v>-2.0081833920150838E-2</v>
      </c>
      <c r="E19">
        <f t="shared" si="2"/>
        <v>4.0328005359652078E-4</v>
      </c>
    </row>
    <row r="20" spans="1:5" x14ac:dyDescent="0.25">
      <c r="A20">
        <v>1.4596657619249997</v>
      </c>
      <c r="B20">
        <v>0.45178055083474339</v>
      </c>
      <c r="C20">
        <f t="shared" si="0"/>
        <v>0.4788104007523819</v>
      </c>
      <c r="D20">
        <f t="shared" si="1"/>
        <v>-2.7029849917638515E-2</v>
      </c>
      <c r="E20">
        <f t="shared" si="2"/>
        <v>7.3061278657006283E-4</v>
      </c>
    </row>
    <row r="21" spans="1:5" x14ac:dyDescent="0.25">
      <c r="A21">
        <v>1.5280976020749999</v>
      </c>
      <c r="B21">
        <v>0.38199331127490499</v>
      </c>
      <c r="C21">
        <f t="shared" si="0"/>
        <v>0.41044642782860913</v>
      </c>
      <c r="D21">
        <f t="shared" si="1"/>
        <v>-2.8453116553704139E-2</v>
      </c>
      <c r="E21">
        <f t="shared" si="2"/>
        <v>8.0957984161867248E-4</v>
      </c>
    </row>
    <row r="22" spans="1:5" x14ac:dyDescent="0.25">
      <c r="A22">
        <v>1.596529442225</v>
      </c>
      <c r="B22">
        <v>0.28465847715197246</v>
      </c>
      <c r="C22">
        <f t="shared" si="0"/>
        <v>0.34581728302799519</v>
      </c>
      <c r="D22">
        <f t="shared" si="1"/>
        <v>-6.1158805876022737E-2</v>
      </c>
      <c r="E22">
        <f t="shared" si="2"/>
        <v>3.7403995361810333E-3</v>
      </c>
    </row>
    <row r="23" spans="1:5" x14ac:dyDescent="0.25">
      <c r="A23">
        <v>1.6649612823749997</v>
      </c>
      <c r="B23">
        <v>0.2313997943299905</v>
      </c>
      <c r="C23">
        <f t="shared" si="0"/>
        <v>0.28636593629715928</v>
      </c>
      <c r="D23">
        <f t="shared" si="1"/>
        <v>-5.4966141967168786E-2</v>
      </c>
      <c r="E23">
        <f t="shared" si="2"/>
        <v>3.0212767627549536E-3</v>
      </c>
    </row>
    <row r="24" spans="1:5" x14ac:dyDescent="0.25">
      <c r="A24">
        <v>1.7333931225249999</v>
      </c>
      <c r="B24">
        <v>0.21119822498372151</v>
      </c>
      <c r="C24">
        <f t="shared" si="0"/>
        <v>0.23305470849381052</v>
      </c>
      <c r="D24">
        <f t="shared" si="1"/>
        <v>-2.1856483510089009E-2</v>
      </c>
      <c r="E24">
        <f t="shared" si="2"/>
        <v>4.7770587142679274E-4</v>
      </c>
    </row>
    <row r="25" spans="1:5" x14ac:dyDescent="0.25">
      <c r="A25">
        <v>1.8018249626749998</v>
      </c>
      <c r="B25">
        <v>0.15243002324912072</v>
      </c>
      <c r="C25">
        <f t="shared" si="0"/>
        <v>0.18639133802894856</v>
      </c>
      <c r="D25">
        <f t="shared" si="1"/>
        <v>-3.3961314779827834E-2</v>
      </c>
      <c r="E25">
        <f t="shared" si="2"/>
        <v>1.1533709015745526E-3</v>
      </c>
    </row>
    <row r="26" spans="1:5" x14ac:dyDescent="0.25">
      <c r="A26">
        <v>1.870256802825</v>
      </c>
      <c r="B26">
        <v>0.14232923857598623</v>
      </c>
      <c r="C26">
        <f t="shared" si="0"/>
        <v>0.1464831973100468</v>
      </c>
      <c r="D26">
        <f t="shared" si="1"/>
        <v>-4.1539587340605755E-3</v>
      </c>
      <c r="E26">
        <f t="shared" si="2"/>
        <v>1.7255373164278137E-5</v>
      </c>
    </row>
    <row r="27" spans="1:5" x14ac:dyDescent="0.25">
      <c r="A27">
        <v>1.9386886429749999</v>
      </c>
      <c r="B27">
        <v>0.1267189349902329</v>
      </c>
      <c r="C27">
        <f t="shared" si="0"/>
        <v>0.1131101747902462</v>
      </c>
      <c r="D27">
        <f t="shared" si="1"/>
        <v>1.3608760199986705E-2</v>
      </c>
      <c r="E27">
        <f t="shared" si="2"/>
        <v>1.8519835418074219E-4</v>
      </c>
    </row>
    <row r="28" spans="1:5" x14ac:dyDescent="0.25">
      <c r="A28">
        <v>2.0071204831249996</v>
      </c>
      <c r="B28">
        <v>0.10100784673134507</v>
      </c>
      <c r="C28">
        <f t="shared" si="0"/>
        <v>8.5806543603273985E-2</v>
      </c>
      <c r="D28">
        <f t="shared" si="1"/>
        <v>1.5201303128071081E-2</v>
      </c>
      <c r="E28">
        <f t="shared" si="2"/>
        <v>2.3107961679150361E-4</v>
      </c>
    </row>
    <row r="29" spans="1:5" x14ac:dyDescent="0.25">
      <c r="A29">
        <v>2.0755523232749997</v>
      </c>
      <c r="B29">
        <v>6.6114226951425867E-2</v>
      </c>
      <c r="C29">
        <f t="shared" si="0"/>
        <v>6.3943063423999302E-2</v>
      </c>
      <c r="D29">
        <f t="shared" si="1"/>
        <v>2.1711635274265645E-3</v>
      </c>
      <c r="E29">
        <f t="shared" si="2"/>
        <v>4.7139510628273621E-6</v>
      </c>
    </row>
    <row r="30" spans="1:5" x14ac:dyDescent="0.25">
      <c r="A30">
        <v>2.1439841634250003</v>
      </c>
      <c r="B30">
        <v>7.5296758472457231E-2</v>
      </c>
      <c r="C30">
        <f t="shared" si="0"/>
        <v>4.6802295593058971E-2</v>
      </c>
      <c r="D30">
        <f t="shared" si="1"/>
        <v>2.8494462879398261E-2</v>
      </c>
      <c r="E30">
        <f t="shared" si="2"/>
        <v>8.119344147854054E-4</v>
      </c>
    </row>
    <row r="31" spans="1:5" x14ac:dyDescent="0.25">
      <c r="A31">
        <v>2.212416003575</v>
      </c>
      <c r="B31">
        <v>5.6013442278291352E-2</v>
      </c>
      <c r="C31">
        <f t="shared" si="0"/>
        <v>3.3642281740004311E-2</v>
      </c>
      <c r="D31">
        <f t="shared" si="1"/>
        <v>2.2371160538287041E-2</v>
      </c>
      <c r="E31">
        <f t="shared" si="2"/>
        <v>5.0046882382981134E-4</v>
      </c>
    </row>
    <row r="32" spans="1:5" x14ac:dyDescent="0.25">
      <c r="A32">
        <v>2.2808478437249997</v>
      </c>
      <c r="B32">
        <v>3.1220607171506657E-2</v>
      </c>
      <c r="C32">
        <f t="shared" si="0"/>
        <v>2.3745981630361273E-2</v>
      </c>
      <c r="D32">
        <f t="shared" si="1"/>
        <v>7.4746255411453841E-3</v>
      </c>
      <c r="E32">
        <f t="shared" si="2"/>
        <v>5.5870026980342926E-5</v>
      </c>
    </row>
    <row r="33" spans="1:5" x14ac:dyDescent="0.25">
      <c r="A33">
        <v>2.3492796838750003</v>
      </c>
      <c r="B33">
        <v>2.8465847715197244E-2</v>
      </c>
      <c r="C33">
        <f t="shared" si="0"/>
        <v>1.6455888559558311E-2</v>
      </c>
      <c r="D33">
        <f t="shared" si="1"/>
        <v>1.2009959155638933E-2</v>
      </c>
      <c r="E33">
        <f t="shared" si="2"/>
        <v>1.4423911892011543E-4</v>
      </c>
    </row>
    <row r="34" spans="1:5" x14ac:dyDescent="0.25">
      <c r="A34">
        <v>2.417711524025</v>
      </c>
      <c r="B34">
        <v>2.2956328802578425E-2</v>
      </c>
      <c r="C34">
        <f t="shared" si="0"/>
        <v>1.1194838225293742E-2</v>
      </c>
      <c r="D34">
        <f t="shared" si="1"/>
        <v>1.1761490577284683E-2</v>
      </c>
      <c r="E34">
        <f t="shared" si="2"/>
        <v>1.3833266059955638E-4</v>
      </c>
    </row>
    <row r="35" spans="1:5" x14ac:dyDescent="0.25">
      <c r="A35">
        <v>2.4861433641749997</v>
      </c>
      <c r="B35">
        <v>1.1937290977340781E-2</v>
      </c>
      <c r="C35">
        <f t="shared" si="0"/>
        <v>7.4751034716140008E-3</v>
      </c>
      <c r="D35">
        <f t="shared" si="1"/>
        <v>4.4621875057267802E-3</v>
      </c>
      <c r="E35">
        <f t="shared" si="2"/>
        <v>1.9911117336264185E-5</v>
      </c>
    </row>
    <row r="36" spans="1:5" x14ac:dyDescent="0.25">
      <c r="A36">
        <v>2.5545752043249998</v>
      </c>
      <c r="B36">
        <v>1.1937290977340781E-2</v>
      </c>
      <c r="C36">
        <f t="shared" si="0"/>
        <v>4.8984223350836201E-3</v>
      </c>
      <c r="D36">
        <f t="shared" si="1"/>
        <v>7.0388686422571609E-3</v>
      </c>
      <c r="E36">
        <f t="shared" si="2"/>
        <v>4.9545671762951168E-5</v>
      </c>
    </row>
    <row r="37" spans="1:5" x14ac:dyDescent="0.25">
      <c r="A37">
        <v>2.623007044475</v>
      </c>
      <c r="B37">
        <v>1.2855544129443917E-2</v>
      </c>
      <c r="C37">
        <f t="shared" si="0"/>
        <v>3.1497123636931271E-3</v>
      </c>
      <c r="D37">
        <f t="shared" si="1"/>
        <v>9.7058317657507907E-3</v>
      </c>
      <c r="E37">
        <f t="shared" si="2"/>
        <v>9.4203170265057118E-5</v>
      </c>
    </row>
    <row r="38" spans="1:5" x14ac:dyDescent="0.25">
      <c r="A38">
        <v>2.6914388846249997</v>
      </c>
      <c r="B38">
        <v>4.5912657605156849E-3</v>
      </c>
      <c r="C38">
        <f t="shared" si="0"/>
        <v>1.9869945824136726E-3</v>
      </c>
      <c r="D38">
        <f t="shared" si="1"/>
        <v>2.6042711781020123E-3</v>
      </c>
      <c r="E38">
        <f t="shared" si="2"/>
        <v>6.7822283690928432E-6</v>
      </c>
    </row>
    <row r="39" spans="1:5" x14ac:dyDescent="0.25">
      <c r="A39">
        <v>2.7598707247749998</v>
      </c>
      <c r="B39">
        <v>1.836506304206274E-3</v>
      </c>
      <c r="C39">
        <f t="shared" si="0"/>
        <v>1.229613563498759E-3</v>
      </c>
      <c r="D39">
        <f t="shared" si="1"/>
        <v>6.0689274070751501E-4</v>
      </c>
      <c r="E39">
        <f t="shared" si="2"/>
        <v>3.6831879872347904E-7</v>
      </c>
    </row>
    <row r="40" spans="1:5" x14ac:dyDescent="0.25">
      <c r="A40">
        <v>2.828302564925</v>
      </c>
      <c r="B40">
        <v>1.836506304206274E-3</v>
      </c>
      <c r="C40">
        <f t="shared" si="0"/>
        <v>7.4631391537314747E-4</v>
      </c>
      <c r="D40">
        <f t="shared" si="1"/>
        <v>1.0901923888331265E-3</v>
      </c>
      <c r="E40">
        <f t="shared" si="2"/>
        <v>1.188519444669679E-6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72225-0807-4BB3-BDDA-8150A40D6A27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0.1954285783875</v>
      </c>
      <c r="B1">
        <v>1.8030222691254871E-2</v>
      </c>
      <c r="C1">
        <f>$H$3*(1+$H$1)*(A1^($H$1))*EXP(-$H$3*(A1^(1+$H$1)))</f>
        <v>0.13061199982291241</v>
      </c>
      <c r="D1">
        <f>B1-C1</f>
        <v>-0.11258177713165754</v>
      </c>
      <c r="E1">
        <f>D1^2</f>
        <v>1.2674656542122209E-2</v>
      </c>
      <c r="G1" t="s">
        <v>0</v>
      </c>
      <c r="H1">
        <v>1.6455456135596744</v>
      </c>
    </row>
    <row r="2" spans="1:8" x14ac:dyDescent="0.25">
      <c r="A2">
        <v>0.25816100116249996</v>
      </c>
      <c r="B2">
        <v>0.10116958287870789</v>
      </c>
      <c r="C2">
        <f t="shared" ref="C2:C40" si="0">$H$3*(1+$H$1)*(A2^($H$1))*EXP(-$H$3*(A2^(1+$H$1)))</f>
        <v>0.20432788298009411</v>
      </c>
      <c r="D2">
        <f t="shared" ref="D2:D40" si="1">B2-C2</f>
        <v>-0.10315830010138621</v>
      </c>
      <c r="E2">
        <f t="shared" ref="E2:E40" si="2">D2^2</f>
        <v>1.064163487980766E-2</v>
      </c>
    </row>
    <row r="3" spans="1:8" x14ac:dyDescent="0.25">
      <c r="A3">
        <v>0.32089342393749998</v>
      </c>
      <c r="B3">
        <v>0.20734756094943102</v>
      </c>
      <c r="C3">
        <f t="shared" si="0"/>
        <v>0.28767847255466256</v>
      </c>
      <c r="D3">
        <f t="shared" si="1"/>
        <v>-8.0330911605231536E-2</v>
      </c>
      <c r="E3">
        <f t="shared" si="2"/>
        <v>6.4530553593275227E-3</v>
      </c>
      <c r="G3" t="s">
        <v>1</v>
      </c>
      <c r="H3">
        <f>(_xlfn.GAMMA((2+$H$1)/(1+$H$1)))^(1+$H$1)</f>
        <v>0.73183060759626262</v>
      </c>
    </row>
    <row r="4" spans="1:8" x14ac:dyDescent="0.25">
      <c r="A4">
        <v>0.3836258467125</v>
      </c>
      <c r="B4">
        <v>0.39165650401559193</v>
      </c>
      <c r="C4">
        <f t="shared" si="0"/>
        <v>0.37759568098442631</v>
      </c>
      <c r="D4">
        <f t="shared" si="1"/>
        <v>1.4060823031165626E-2</v>
      </c>
      <c r="E4">
        <f t="shared" si="2"/>
        <v>1.977067443137577E-4</v>
      </c>
    </row>
    <row r="5" spans="1:8" x14ac:dyDescent="0.25">
      <c r="A5">
        <v>0.44635826948749996</v>
      </c>
      <c r="B5">
        <v>0.49182440785589676</v>
      </c>
      <c r="C5">
        <f t="shared" si="0"/>
        <v>0.47080856342586364</v>
      </c>
      <c r="D5">
        <f t="shared" si="1"/>
        <v>2.1015844430033126E-2</v>
      </c>
      <c r="E5">
        <f t="shared" si="2"/>
        <v>4.4166571710735434E-4</v>
      </c>
      <c r="G5" t="s">
        <v>2</v>
      </c>
      <c r="H5">
        <f>SUM(E1:E40)</f>
        <v>0.15520890746764224</v>
      </c>
    </row>
    <row r="6" spans="1:8" x14ac:dyDescent="0.25">
      <c r="A6">
        <v>0.50909069226250003</v>
      </c>
      <c r="B6">
        <v>0.67913838803726689</v>
      </c>
      <c r="C6">
        <f t="shared" si="0"/>
        <v>0.56385932137282746</v>
      </c>
      <c r="D6">
        <f t="shared" si="1"/>
        <v>0.11527906666443943</v>
      </c>
      <c r="E6">
        <f t="shared" si="2"/>
        <v>1.3289263211024272E-2</v>
      </c>
    </row>
    <row r="7" spans="1:8" x14ac:dyDescent="0.25">
      <c r="A7">
        <v>0.57182311503749994</v>
      </c>
      <c r="B7">
        <v>0.74324584649506198</v>
      </c>
      <c r="C7">
        <f t="shared" si="0"/>
        <v>0.65319374198864821</v>
      </c>
      <c r="D7">
        <f t="shared" si="1"/>
        <v>9.0052104506413766E-2</v>
      </c>
      <c r="E7">
        <f t="shared" si="2"/>
        <v>8.1093815260340658E-3</v>
      </c>
    </row>
    <row r="8" spans="1:8" x14ac:dyDescent="0.25">
      <c r="A8">
        <v>0.63455553781249996</v>
      </c>
      <c r="B8">
        <v>0.87446580052586131</v>
      </c>
      <c r="C8">
        <f t="shared" si="0"/>
        <v>0.73530077251702475</v>
      </c>
      <c r="D8">
        <f t="shared" si="1"/>
        <v>0.13916502800883657</v>
      </c>
      <c r="E8">
        <f t="shared" si="2"/>
        <v>1.9366905020700265E-2</v>
      </c>
    </row>
    <row r="9" spans="1:8" x14ac:dyDescent="0.25">
      <c r="A9">
        <v>0.69728796058749998</v>
      </c>
      <c r="B9">
        <v>0.930559826676432</v>
      </c>
      <c r="C9">
        <f t="shared" si="0"/>
        <v>0.80688234666622494</v>
      </c>
      <c r="D9">
        <f t="shared" si="1"/>
        <v>0.12367748001020706</v>
      </c>
      <c r="E9">
        <f t="shared" si="2"/>
        <v>1.5296119061675167E-2</v>
      </c>
    </row>
    <row r="10" spans="1:8" x14ac:dyDescent="0.25">
      <c r="A10">
        <v>0.76002038336249989</v>
      </c>
      <c r="B10">
        <v>0.96161187686692651</v>
      </c>
      <c r="C10">
        <f t="shared" si="0"/>
        <v>0.86503524175881452</v>
      </c>
      <c r="D10">
        <f t="shared" si="1"/>
        <v>9.6576635108111986E-2</v>
      </c>
      <c r="E10">
        <f t="shared" si="2"/>
        <v>9.3270464488054081E-3</v>
      </c>
    </row>
    <row r="11" spans="1:8" x14ac:dyDescent="0.25">
      <c r="A11">
        <v>0.82275280613750001</v>
      </c>
      <c r="B11">
        <v>1.0397428418623642</v>
      </c>
      <c r="C11">
        <f t="shared" si="0"/>
        <v>0.90742624077686118</v>
      </c>
      <c r="D11">
        <f t="shared" si="1"/>
        <v>0.13231660108550303</v>
      </c>
      <c r="E11">
        <f t="shared" si="2"/>
        <v>1.750768292282014E-2</v>
      </c>
    </row>
    <row r="12" spans="1:8" x14ac:dyDescent="0.25">
      <c r="A12">
        <v>0.88548522891249992</v>
      </c>
      <c r="B12">
        <v>1.0217126191711094</v>
      </c>
      <c r="C12">
        <f t="shared" si="0"/>
        <v>0.93244205414563475</v>
      </c>
      <c r="D12">
        <f t="shared" si="1"/>
        <v>8.9270565025474702E-2</v>
      </c>
      <c r="E12">
        <f t="shared" si="2"/>
        <v>7.9692337799675064E-3</v>
      </c>
    </row>
    <row r="13" spans="1:8" x14ac:dyDescent="0.25">
      <c r="A13">
        <v>0.94821765168750005</v>
      </c>
      <c r="B13">
        <v>0.95259676552129902</v>
      </c>
      <c r="C13">
        <f t="shared" si="0"/>
        <v>0.93929718128426998</v>
      </c>
      <c r="D13">
        <f t="shared" si="1"/>
        <v>1.3299584237029038E-2</v>
      </c>
      <c r="E13">
        <f t="shared" si="2"/>
        <v>1.7687894087783126E-4</v>
      </c>
    </row>
    <row r="14" spans="1:8" x14ac:dyDescent="0.25">
      <c r="A14">
        <v>1.0109500744625</v>
      </c>
      <c r="B14">
        <v>0.89449938129392226</v>
      </c>
      <c r="C14">
        <f t="shared" si="0"/>
        <v>0.92808646870284894</v>
      </c>
      <c r="D14">
        <f t="shared" si="1"/>
        <v>-3.3587087408926686E-2</v>
      </c>
      <c r="E14">
        <f t="shared" si="2"/>
        <v>1.1280924406148814E-3</v>
      </c>
    </row>
    <row r="15" spans="1:8" x14ac:dyDescent="0.25">
      <c r="A15">
        <v>1.0736824972374999</v>
      </c>
      <c r="B15">
        <v>0.85643557783460644</v>
      </c>
      <c r="C15">
        <f t="shared" si="0"/>
        <v>0.89977442737905644</v>
      </c>
      <c r="D15">
        <f t="shared" si="1"/>
        <v>-4.3338849544449998E-2</v>
      </c>
      <c r="E15">
        <f t="shared" si="2"/>
        <v>1.8782558798364738E-3</v>
      </c>
    </row>
    <row r="16" spans="1:8" x14ac:dyDescent="0.25">
      <c r="A16">
        <v>1.1364149200125</v>
      </c>
      <c r="B16">
        <v>0.81837177437529063</v>
      </c>
      <c r="C16">
        <f t="shared" si="0"/>
        <v>0.85611991854027414</v>
      </c>
      <c r="D16">
        <f t="shared" si="1"/>
        <v>-3.774814416498351E-2</v>
      </c>
      <c r="E16">
        <f t="shared" si="2"/>
        <v>1.4249223879003786E-3</v>
      </c>
    </row>
    <row r="17" spans="1:5" x14ac:dyDescent="0.25">
      <c r="A17">
        <v>1.1991473427875001</v>
      </c>
      <c r="B17">
        <v>0.73723577226464365</v>
      </c>
      <c r="C17">
        <f t="shared" si="0"/>
        <v>0.79954183242373245</v>
      </c>
      <c r="D17">
        <f t="shared" si="1"/>
        <v>-6.2306060159088794E-2</v>
      </c>
      <c r="E17">
        <f t="shared" si="2"/>
        <v>3.8820451325479919E-3</v>
      </c>
    </row>
    <row r="18" spans="1:5" x14ac:dyDescent="0.25">
      <c r="A18">
        <v>1.2618797655625</v>
      </c>
      <c r="B18">
        <v>0.6540964120771906</v>
      </c>
      <c r="C18">
        <f t="shared" si="0"/>
        <v>0.73293794022893488</v>
      </c>
      <c r="D18">
        <f t="shared" si="1"/>
        <v>-7.8841528151744278E-2</v>
      </c>
      <c r="E18">
        <f t="shared" si="2"/>
        <v>6.2159865613022856E-3</v>
      </c>
    </row>
    <row r="19" spans="1:5" x14ac:dyDescent="0.25">
      <c r="A19">
        <v>1.3246121883374999</v>
      </c>
      <c r="B19">
        <v>0.61903764573308395</v>
      </c>
      <c r="C19">
        <f t="shared" si="0"/>
        <v>0.65947426768819184</v>
      </c>
      <c r="D19">
        <f t="shared" si="1"/>
        <v>-4.0436621955107888E-2</v>
      </c>
      <c r="E19">
        <f t="shared" si="2"/>
        <v>1.6351203951403132E-3</v>
      </c>
    </row>
    <row r="20" spans="1:5" x14ac:dyDescent="0.25">
      <c r="A20">
        <v>1.3873446111124998</v>
      </c>
      <c r="B20">
        <v>0.50985463054715163</v>
      </c>
      <c r="C20">
        <f t="shared" si="0"/>
        <v>0.58236536093074853</v>
      </c>
      <c r="D20">
        <f t="shared" si="1"/>
        <v>-7.25107303835969E-2</v>
      </c>
      <c r="E20">
        <f t="shared" si="2"/>
        <v>5.2578060207626827E-3</v>
      </c>
    </row>
    <row r="21" spans="1:5" x14ac:dyDescent="0.25">
      <c r="A21">
        <v>1.4500770338875002</v>
      </c>
      <c r="B21">
        <v>0.47279250612623885</v>
      </c>
      <c r="C21">
        <f t="shared" si="0"/>
        <v>0.50466624686687334</v>
      </c>
      <c r="D21">
        <f t="shared" si="1"/>
        <v>-3.1873740740634482E-2</v>
      </c>
      <c r="E21">
        <f t="shared" si="2"/>
        <v>1.0159353488011823E-3</v>
      </c>
    </row>
    <row r="22" spans="1:5" x14ac:dyDescent="0.25">
      <c r="A22">
        <v>1.5128094566625001</v>
      </c>
      <c r="B22">
        <v>0.37963635555475533</v>
      </c>
      <c r="C22">
        <f t="shared" si="0"/>
        <v>0.42909469051702637</v>
      </c>
      <c r="D22">
        <f t="shared" si="1"/>
        <v>-4.9458334962271033E-2</v>
      </c>
      <c r="E22">
        <f t="shared" si="2"/>
        <v>2.4461268972402013E-3</v>
      </c>
    </row>
    <row r="23" spans="1:5" x14ac:dyDescent="0.25">
      <c r="A23">
        <v>1.5755418794375</v>
      </c>
      <c r="B23">
        <v>0.30250706959772061</v>
      </c>
      <c r="C23">
        <f t="shared" si="0"/>
        <v>0.35789789825466956</v>
      </c>
      <c r="D23">
        <f t="shared" si="1"/>
        <v>-5.5390828656948943E-2</v>
      </c>
      <c r="E23">
        <f t="shared" si="2"/>
        <v>3.068143899303476E-3</v>
      </c>
    </row>
    <row r="24" spans="1:5" x14ac:dyDescent="0.25">
      <c r="A24">
        <v>1.6382743022124999</v>
      </c>
      <c r="B24">
        <v>0.24240632729353773</v>
      </c>
      <c r="C24">
        <f t="shared" si="0"/>
        <v>0.29277183758268926</v>
      </c>
      <c r="D24">
        <f t="shared" si="1"/>
        <v>-5.0365510289151538E-2</v>
      </c>
      <c r="E24">
        <f t="shared" si="2"/>
        <v>2.5366846266866297E-3</v>
      </c>
    </row>
    <row r="25" spans="1:5" x14ac:dyDescent="0.25">
      <c r="A25">
        <v>1.7010067249875001</v>
      </c>
      <c r="B25">
        <v>0.22237274652547676</v>
      </c>
      <c r="C25">
        <f t="shared" si="0"/>
        <v>0.23483478479467584</v>
      </c>
      <c r="D25">
        <f t="shared" si="1"/>
        <v>-1.2462038269199088E-2</v>
      </c>
      <c r="E25">
        <f t="shared" si="2"/>
        <v>1.553023978229826E-4</v>
      </c>
    </row>
    <row r="26" spans="1:5" x14ac:dyDescent="0.25">
      <c r="A26">
        <v>1.7637391477625</v>
      </c>
      <c r="B26">
        <v>0.16427536229809994</v>
      </c>
      <c r="C26">
        <f t="shared" si="0"/>
        <v>0.18465055544803763</v>
      </c>
      <c r="D26">
        <f t="shared" si="1"/>
        <v>-2.0375193149937687E-2</v>
      </c>
      <c r="E26">
        <f t="shared" si="2"/>
        <v>4.1514849589726764E-4</v>
      </c>
    </row>
    <row r="27" spans="1:5" x14ac:dyDescent="0.25">
      <c r="A27">
        <v>1.8264715705375001</v>
      </c>
      <c r="B27">
        <v>0.13322331210760543</v>
      </c>
      <c r="C27">
        <f t="shared" si="0"/>
        <v>0.14229196572425862</v>
      </c>
      <c r="D27">
        <f t="shared" si="1"/>
        <v>-9.0686536166531828E-3</v>
      </c>
      <c r="E27">
        <f t="shared" si="2"/>
        <v>8.2240478418836853E-5</v>
      </c>
    </row>
    <row r="28" spans="1:5" x14ac:dyDescent="0.25">
      <c r="A28">
        <v>1.8892039933125</v>
      </c>
      <c r="B28">
        <v>0.12721323787718716</v>
      </c>
      <c r="C28">
        <f t="shared" si="0"/>
        <v>0.10743198469660598</v>
      </c>
      <c r="D28">
        <f t="shared" si="1"/>
        <v>1.9781253180581188E-2</v>
      </c>
      <c r="E28">
        <f t="shared" si="2"/>
        <v>3.9129797739425335E-4</v>
      </c>
    </row>
    <row r="29" spans="1:5" x14ac:dyDescent="0.25">
      <c r="A29">
        <v>1.9519364160874999</v>
      </c>
      <c r="B29">
        <v>8.9149434417871307E-2</v>
      </c>
      <c r="C29">
        <f t="shared" si="0"/>
        <v>7.9448983863355693E-2</v>
      </c>
      <c r="D29">
        <f t="shared" si="1"/>
        <v>9.7004505545156133E-3</v>
      </c>
      <c r="E29">
        <f t="shared" si="2"/>
        <v>9.4098740960602275E-5</v>
      </c>
    </row>
    <row r="30" spans="1:5" x14ac:dyDescent="0.25">
      <c r="A30">
        <v>2.0146688388624998</v>
      </c>
      <c r="B30">
        <v>8.5142718264259121E-2</v>
      </c>
      <c r="C30">
        <f t="shared" si="0"/>
        <v>5.753333279653098E-2</v>
      </c>
      <c r="D30">
        <f t="shared" si="1"/>
        <v>2.7609385467728141E-2</v>
      </c>
      <c r="E30">
        <f t="shared" si="2"/>
        <v>7.6227816590559788E-4</v>
      </c>
    </row>
    <row r="31" spans="1:5" x14ac:dyDescent="0.25">
      <c r="A31">
        <v>2.0774012616375002</v>
      </c>
      <c r="B31">
        <v>6.1102421342585957E-2</v>
      </c>
      <c r="C31">
        <f t="shared" si="0"/>
        <v>4.0784905222947553E-2</v>
      </c>
      <c r="D31">
        <f t="shared" si="1"/>
        <v>2.0317516119638404E-2</v>
      </c>
      <c r="E31">
        <f t="shared" si="2"/>
        <v>4.1280146127176641E-4</v>
      </c>
    </row>
    <row r="32" spans="1:5" x14ac:dyDescent="0.25">
      <c r="A32">
        <v>2.1401336844124996</v>
      </c>
      <c r="B32">
        <v>4.8080593843346328E-2</v>
      </c>
      <c r="C32">
        <f t="shared" si="0"/>
        <v>2.8294256020745003E-2</v>
      </c>
      <c r="D32">
        <f t="shared" si="1"/>
        <v>1.9786337822601325E-2</v>
      </c>
      <c r="E32">
        <f t="shared" si="2"/>
        <v>3.9149916443010372E-4</v>
      </c>
    </row>
    <row r="33" spans="1:5" x14ac:dyDescent="0.25">
      <c r="A33">
        <v>2.2028661071875</v>
      </c>
      <c r="B33">
        <v>3.30554082673006E-2</v>
      </c>
      <c r="C33">
        <f t="shared" si="0"/>
        <v>1.9203677343128681E-2</v>
      </c>
      <c r="D33">
        <f t="shared" si="1"/>
        <v>1.3851730924171919E-2</v>
      </c>
      <c r="E33">
        <f t="shared" si="2"/>
        <v>1.9187044959566066E-4</v>
      </c>
    </row>
    <row r="34" spans="1:5" x14ac:dyDescent="0.25">
      <c r="A34">
        <v>2.2655985299624999</v>
      </c>
      <c r="B34">
        <v>2.3038617883270114E-2</v>
      </c>
      <c r="C34">
        <f t="shared" si="0"/>
        <v>1.274749354734946E-2</v>
      </c>
      <c r="D34">
        <f t="shared" si="1"/>
        <v>1.0291124335920655E-2</v>
      </c>
      <c r="E34">
        <f t="shared" si="2"/>
        <v>1.0590724009737834E-4</v>
      </c>
    </row>
    <row r="35" spans="1:5" x14ac:dyDescent="0.25">
      <c r="A35">
        <v>2.3283309527374998</v>
      </c>
      <c r="B35">
        <v>1.6026864614448775E-2</v>
      </c>
      <c r="C35">
        <f t="shared" si="0"/>
        <v>8.2734246198522179E-3</v>
      </c>
      <c r="D35">
        <f t="shared" si="1"/>
        <v>7.753439994596557E-3</v>
      </c>
      <c r="E35">
        <f t="shared" si="2"/>
        <v>6.0115831749809458E-5</v>
      </c>
    </row>
    <row r="36" spans="1:5" x14ac:dyDescent="0.25">
      <c r="A36">
        <v>2.3910633755125001</v>
      </c>
      <c r="B36">
        <v>1.7028543652851825E-2</v>
      </c>
      <c r="C36">
        <f t="shared" si="0"/>
        <v>5.2484476360907363E-3</v>
      </c>
      <c r="D36">
        <f t="shared" si="1"/>
        <v>1.1780096016761089E-2</v>
      </c>
      <c r="E36">
        <f t="shared" si="2"/>
        <v>1.3877066216411049E-4</v>
      </c>
    </row>
    <row r="37" spans="1:5" x14ac:dyDescent="0.25">
      <c r="A37">
        <v>2.4537957982875001</v>
      </c>
      <c r="B37">
        <v>1.0016790384030484E-2</v>
      </c>
      <c r="C37">
        <f t="shared" si="0"/>
        <v>3.2533117919622575E-3</v>
      </c>
      <c r="D37">
        <f t="shared" si="1"/>
        <v>6.7634785920682259E-3</v>
      </c>
      <c r="E37">
        <f t="shared" si="2"/>
        <v>4.5744642665365194E-5</v>
      </c>
    </row>
    <row r="38" spans="1:5" x14ac:dyDescent="0.25">
      <c r="A38">
        <v>2.5165282210625</v>
      </c>
      <c r="B38">
        <v>6.010074230418291E-3</v>
      </c>
      <c r="C38">
        <f t="shared" si="0"/>
        <v>1.9698513939787519E-3</v>
      </c>
      <c r="D38">
        <f t="shared" si="1"/>
        <v>4.0402228364395387E-3</v>
      </c>
      <c r="E38">
        <f t="shared" si="2"/>
        <v>1.6323400568087553E-5</v>
      </c>
    </row>
    <row r="39" spans="1:5" x14ac:dyDescent="0.25">
      <c r="A39">
        <v>2.5792606438374999</v>
      </c>
      <c r="B39">
        <v>3.0050371152091455E-3</v>
      </c>
      <c r="C39">
        <f t="shared" si="0"/>
        <v>1.1647092133754838E-3</v>
      </c>
      <c r="D39">
        <f t="shared" si="1"/>
        <v>1.8403279018336617E-3</v>
      </c>
      <c r="E39">
        <f t="shared" si="2"/>
        <v>3.3868067862674877E-6</v>
      </c>
    </row>
    <row r="40" spans="1:5" x14ac:dyDescent="0.25">
      <c r="A40">
        <v>2.6419930666124998</v>
      </c>
      <c r="B40">
        <v>2.0033580768060969E-3</v>
      </c>
      <c r="C40">
        <f t="shared" si="0"/>
        <v>6.7226559524816122E-4</v>
      </c>
      <c r="D40">
        <f t="shared" si="1"/>
        <v>1.3310924815579358E-3</v>
      </c>
      <c r="E40">
        <f t="shared" si="2"/>
        <v>1.7718071944600636E-6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44624-3844-4512-96DF-81E9889F6186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0.24495297036250002</v>
      </c>
      <c r="B1">
        <v>1.8926101548361367E-2</v>
      </c>
      <c r="C1">
        <f>$H$3*(1+$H$1)*(A1^($H$1))*EXP(-$H$3*(A1^(1+$H$1)))</f>
        <v>0.13465848787667248</v>
      </c>
      <c r="D1">
        <f>B1-C1</f>
        <v>-0.11573238632831111</v>
      </c>
      <c r="E1">
        <f>D1^2</f>
        <v>1.3393985245245451E-2</v>
      </c>
      <c r="G1" t="s">
        <v>0</v>
      </c>
      <c r="H1">
        <v>1.946829873254539</v>
      </c>
    </row>
    <row r="2" spans="1:8" x14ac:dyDescent="0.25">
      <c r="A2">
        <v>0.3013957510875</v>
      </c>
      <c r="B2">
        <v>8.3497506831006041E-2</v>
      </c>
      <c r="C2">
        <f t="shared" ref="C2:C40" si="0">$H$3*(1+$H$1)*(A2^($H$1))*EXP(-$H$3*(A2^(1+$H$1)))</f>
        <v>0.19971598462970053</v>
      </c>
      <c r="D2">
        <f t="shared" ref="D2:D40" si="1">B2-C2</f>
        <v>-0.11621847779869449</v>
      </c>
      <c r="E2">
        <f t="shared" ref="E2:E40" si="2">D2^2</f>
        <v>1.3506734581845644E-2</v>
      </c>
    </row>
    <row r="3" spans="1:8" x14ac:dyDescent="0.25">
      <c r="A3">
        <v>0.35783853181250003</v>
      </c>
      <c r="B3">
        <v>0.20373391666765472</v>
      </c>
      <c r="C3">
        <f t="shared" si="0"/>
        <v>0.27515993871504546</v>
      </c>
      <c r="D3">
        <f t="shared" si="1"/>
        <v>-7.1426022047390736E-2</v>
      </c>
      <c r="E3">
        <f t="shared" si="2"/>
        <v>5.1016766255143472E-3</v>
      </c>
      <c r="G3" t="s">
        <v>1</v>
      </c>
      <c r="H3">
        <f>(_xlfn.GAMMA((2+$H$1)/(1+$H$1)))^(1+$H$1)</f>
        <v>0.71473865371527256</v>
      </c>
    </row>
    <row r="4" spans="1:8" x14ac:dyDescent="0.25">
      <c r="A4">
        <v>0.4142813125375</v>
      </c>
      <c r="B4">
        <v>0.34846292850806521</v>
      </c>
      <c r="C4">
        <f t="shared" si="0"/>
        <v>0.3591798669247086</v>
      </c>
      <c r="D4">
        <f t="shared" si="1"/>
        <v>-1.0716938416643396E-2</v>
      </c>
      <c r="E4">
        <f t="shared" si="2"/>
        <v>1.1485276902612706E-4</v>
      </c>
    </row>
    <row r="5" spans="1:8" x14ac:dyDescent="0.25">
      <c r="A5">
        <v>0.47072409326250003</v>
      </c>
      <c r="B5">
        <v>0.4397535359766318</v>
      </c>
      <c r="C5">
        <f t="shared" si="0"/>
        <v>0.44950470116939351</v>
      </c>
      <c r="D5">
        <f t="shared" si="1"/>
        <v>-9.7511651927617016E-3</v>
      </c>
      <c r="E5">
        <f t="shared" si="2"/>
        <v>9.5085222616527346E-5</v>
      </c>
      <c r="G5" t="s">
        <v>2</v>
      </c>
      <c r="H5">
        <f>SUM(E1:E40)</f>
        <v>0.23646197658399123</v>
      </c>
    </row>
    <row r="6" spans="1:8" x14ac:dyDescent="0.25">
      <c r="A6">
        <v>0.52716687398749995</v>
      </c>
      <c r="B6">
        <v>0.6323544517334857</v>
      </c>
      <c r="C6">
        <f t="shared" si="0"/>
        <v>0.54341619231548977</v>
      </c>
      <c r="D6">
        <f t="shared" si="1"/>
        <v>8.8938259417995935E-2</v>
      </c>
      <c r="E6">
        <f t="shared" si="2"/>
        <v>7.9100139883027422E-3</v>
      </c>
    </row>
    <row r="7" spans="1:8" x14ac:dyDescent="0.25">
      <c r="A7">
        <v>0.58360965471250004</v>
      </c>
      <c r="B7">
        <v>0.76595046266309541</v>
      </c>
      <c r="C7">
        <f t="shared" si="0"/>
        <v>0.63780560893115423</v>
      </c>
      <c r="D7">
        <f t="shared" si="1"/>
        <v>0.12814485373194118</v>
      </c>
      <c r="E7">
        <f t="shared" si="2"/>
        <v>1.6421103537980597E-2</v>
      </c>
    </row>
    <row r="8" spans="1:8" x14ac:dyDescent="0.25">
      <c r="A8">
        <v>0.64005243543750001</v>
      </c>
      <c r="B8">
        <v>0.82829526776357987</v>
      </c>
      <c r="C8">
        <f t="shared" si="0"/>
        <v>0.72927538752229015</v>
      </c>
      <c r="D8">
        <f t="shared" si="1"/>
        <v>9.9019880241289715E-2</v>
      </c>
      <c r="E8">
        <f t="shared" si="2"/>
        <v>9.8049366829993569E-3</v>
      </c>
    </row>
    <row r="9" spans="1:8" x14ac:dyDescent="0.25">
      <c r="A9">
        <v>0.69649521616249999</v>
      </c>
      <c r="B9">
        <v>0.99751688160775209</v>
      </c>
      <c r="C9">
        <f t="shared" si="0"/>
        <v>0.81428383880016142</v>
      </c>
      <c r="D9">
        <f t="shared" si="1"/>
        <v>0.18323304280759067</v>
      </c>
      <c r="E9">
        <f t="shared" si="2"/>
        <v>3.3574347976528356E-2</v>
      </c>
    </row>
    <row r="10" spans="1:8" x14ac:dyDescent="0.25">
      <c r="A10">
        <v>0.75293799688750007</v>
      </c>
      <c r="B10">
        <v>1.0309158843401545</v>
      </c>
      <c r="C10">
        <f t="shared" si="0"/>
        <v>0.88932644113505932</v>
      </c>
      <c r="D10">
        <f t="shared" si="1"/>
        <v>0.14158944320509514</v>
      </c>
      <c r="E10">
        <f t="shared" si="2"/>
        <v>2.0047570427128864E-2</v>
      </c>
    </row>
    <row r="11" spans="1:8" x14ac:dyDescent="0.25">
      <c r="A11">
        <v>0.80938077761250005</v>
      </c>
      <c r="B11">
        <v>1.0743345878922776</v>
      </c>
      <c r="C11">
        <f t="shared" si="0"/>
        <v>0.95114225372964345</v>
      </c>
      <c r="D11">
        <f t="shared" si="1"/>
        <v>0.1231923341626342</v>
      </c>
      <c r="E11">
        <f t="shared" si="2"/>
        <v>1.5176351196438129E-2</v>
      </c>
    </row>
    <row r="12" spans="1:8" x14ac:dyDescent="0.25">
      <c r="A12">
        <v>0.86582355833750002</v>
      </c>
      <c r="B12">
        <v>1.1867778970913658</v>
      </c>
      <c r="C12">
        <f t="shared" si="0"/>
        <v>0.99692928207072851</v>
      </c>
      <c r="D12">
        <f t="shared" si="1"/>
        <v>0.18984861502063732</v>
      </c>
      <c r="E12">
        <f t="shared" si="2"/>
        <v>3.6042496625254161E-2</v>
      </c>
    </row>
    <row r="13" spans="1:8" x14ac:dyDescent="0.25">
      <c r="A13">
        <v>0.9222663390625</v>
      </c>
      <c r="B13">
        <v>1.0832409886209182</v>
      </c>
      <c r="C13">
        <f t="shared" si="0"/>
        <v>1.0245490428205632</v>
      </c>
      <c r="D13">
        <f t="shared" si="1"/>
        <v>5.8691945800354972E-2</v>
      </c>
      <c r="E13">
        <f t="shared" si="2"/>
        <v>3.4447445018318057E-3</v>
      </c>
    </row>
    <row r="14" spans="1:8" x14ac:dyDescent="0.25">
      <c r="A14">
        <v>0.97870911978749997</v>
      </c>
      <c r="B14">
        <v>1.049841985888516</v>
      </c>
      <c r="C14">
        <f t="shared" si="0"/>
        <v>1.0326989062592562</v>
      </c>
      <c r="D14">
        <f t="shared" si="1"/>
        <v>1.7143079629259761E-2</v>
      </c>
      <c r="E14">
        <f t="shared" si="2"/>
        <v>2.93885179175141E-4</v>
      </c>
    </row>
    <row r="15" spans="1:8" x14ac:dyDescent="0.25">
      <c r="A15">
        <v>1.0351519005125001</v>
      </c>
      <c r="B15">
        <v>0.99083708106127166</v>
      </c>
      <c r="C15">
        <f t="shared" si="0"/>
        <v>1.0210316820642935</v>
      </c>
      <c r="D15">
        <f t="shared" si="1"/>
        <v>-3.0194601003021848E-2</v>
      </c>
      <c r="E15">
        <f t="shared" si="2"/>
        <v>9.1171392973168799E-4</v>
      </c>
    </row>
    <row r="16" spans="1:8" x14ac:dyDescent="0.25">
      <c r="A16">
        <v>1.0915946812374999</v>
      </c>
      <c r="B16">
        <v>0.91290607468566598</v>
      </c>
      <c r="C16">
        <f t="shared" si="0"/>
        <v>0.99020568072045012</v>
      </c>
      <c r="D16">
        <f t="shared" si="1"/>
        <v>-7.7299606034784141E-2</v>
      </c>
      <c r="E16">
        <f t="shared" si="2"/>
        <v>5.9752290931328368E-3</v>
      </c>
    </row>
    <row r="17" spans="1:5" x14ac:dyDescent="0.25">
      <c r="A17">
        <v>1.1480374619625002</v>
      </c>
      <c r="B17">
        <v>0.91401937477674611</v>
      </c>
      <c r="C17">
        <f t="shared" si="0"/>
        <v>0.94185500331596272</v>
      </c>
      <c r="D17">
        <f t="shared" si="1"/>
        <v>-2.7835628539216617E-2</v>
      </c>
      <c r="E17">
        <f t="shared" si="2"/>
        <v>7.7482221617325062E-4</v>
      </c>
    </row>
    <row r="18" spans="1:5" x14ac:dyDescent="0.25">
      <c r="A18">
        <v>1.2044802426875001</v>
      </c>
      <c r="B18">
        <v>0.74479776093257388</v>
      </c>
      <c r="C18">
        <f t="shared" si="0"/>
        <v>0.87847845360002486</v>
      </c>
      <c r="D18">
        <f t="shared" si="1"/>
        <v>-0.13368069266745097</v>
      </c>
      <c r="E18">
        <f t="shared" si="2"/>
        <v>1.787052759204948E-2</v>
      </c>
    </row>
    <row r="19" spans="1:5" x14ac:dyDescent="0.25">
      <c r="A19">
        <v>1.2609230234125</v>
      </c>
      <c r="B19">
        <v>0.70694555783585111</v>
      </c>
      <c r="C19">
        <f t="shared" si="0"/>
        <v>0.80325512303576185</v>
      </c>
      <c r="D19">
        <f t="shared" si="1"/>
        <v>-9.630956519991074E-2</v>
      </c>
      <c r="E19">
        <f t="shared" si="2"/>
        <v>9.2755323489958578E-3</v>
      </c>
    </row>
    <row r="20" spans="1:5" x14ac:dyDescent="0.25">
      <c r="A20">
        <v>1.3173658041375</v>
      </c>
      <c r="B20">
        <v>0.64126085246212639</v>
      </c>
      <c r="C20">
        <f t="shared" si="0"/>
        <v>0.71980394282469806</v>
      </c>
      <c r="D20">
        <f t="shared" si="1"/>
        <v>-7.8543090362571677E-2</v>
      </c>
      <c r="E20">
        <f t="shared" si="2"/>
        <v>6.1690170437030999E-3</v>
      </c>
    </row>
    <row r="21" spans="1:5" x14ac:dyDescent="0.25">
      <c r="A21">
        <v>1.3738085848625001</v>
      </c>
      <c r="B21">
        <v>0.57223624681516139</v>
      </c>
      <c r="C21">
        <f t="shared" si="0"/>
        <v>0.63191181563547039</v>
      </c>
      <c r="D21">
        <f t="shared" si="1"/>
        <v>-5.9675568820309E-2</v>
      </c>
      <c r="E21">
        <f t="shared" si="2"/>
        <v>3.5611735140274356E-3</v>
      </c>
    </row>
    <row r="22" spans="1:5" x14ac:dyDescent="0.25">
      <c r="A22">
        <v>1.4302513655875</v>
      </c>
      <c r="B22">
        <v>0.49541854053063583</v>
      </c>
      <c r="C22">
        <f t="shared" si="0"/>
        <v>0.54325903724888081</v>
      </c>
      <c r="D22">
        <f t="shared" si="1"/>
        <v>-4.7840496718244974E-2</v>
      </c>
      <c r="E22">
        <f t="shared" si="2"/>
        <v>2.2887131262484079E-3</v>
      </c>
    </row>
    <row r="23" spans="1:5" x14ac:dyDescent="0.25">
      <c r="A23">
        <v>1.4866941463125001</v>
      </c>
      <c r="B23">
        <v>0.38965503187802819</v>
      </c>
      <c r="C23">
        <f t="shared" si="0"/>
        <v>0.4571707952792331</v>
      </c>
      <c r="D23">
        <f t="shared" si="1"/>
        <v>-6.7515763401204909E-2</v>
      </c>
      <c r="E23">
        <f t="shared" si="2"/>
        <v>4.5583783076474805E-3</v>
      </c>
    </row>
    <row r="24" spans="1:5" x14ac:dyDescent="0.25">
      <c r="A24">
        <v>1.5431369270375002</v>
      </c>
      <c r="B24">
        <v>0.30838412522918229</v>
      </c>
      <c r="C24">
        <f t="shared" si="0"/>
        <v>0.37641948669927561</v>
      </c>
      <c r="D24">
        <f t="shared" si="1"/>
        <v>-6.8035361470093314E-2</v>
      </c>
      <c r="E24">
        <f t="shared" si="2"/>
        <v>4.628810410366258E-3</v>
      </c>
    </row>
    <row r="25" spans="1:5" x14ac:dyDescent="0.25">
      <c r="A25">
        <v>1.5995797077625</v>
      </c>
      <c r="B25">
        <v>0.27721172267894006</v>
      </c>
      <c r="C25">
        <f t="shared" si="0"/>
        <v>0.3030950816206015</v>
      </c>
      <c r="D25">
        <f t="shared" si="1"/>
        <v>-2.5883358941661438E-2</v>
      </c>
      <c r="E25">
        <f t="shared" si="2"/>
        <v>6.6994827010288512E-4</v>
      </c>
    </row>
    <row r="26" spans="1:5" x14ac:dyDescent="0.25">
      <c r="A26">
        <v>1.6560224884875001</v>
      </c>
      <c r="B26">
        <v>0.21486691757845552</v>
      </c>
      <c r="C26">
        <f t="shared" si="0"/>
        <v>0.23855107647308688</v>
      </c>
      <c r="D26">
        <f t="shared" si="1"/>
        <v>-2.3684158894631352E-2</v>
      </c>
      <c r="E26">
        <f t="shared" si="2"/>
        <v>5.6093938254614536E-4</v>
      </c>
    </row>
    <row r="27" spans="1:5" x14ac:dyDescent="0.25">
      <c r="A27">
        <v>1.7124652692125002</v>
      </c>
      <c r="B27">
        <v>0.17033491393525232</v>
      </c>
      <c r="C27">
        <f t="shared" si="0"/>
        <v>0.1834234084585171</v>
      </c>
      <c r="D27">
        <f t="shared" si="1"/>
        <v>-1.3088494523264771E-2</v>
      </c>
      <c r="E27">
        <f t="shared" si="2"/>
        <v>1.713086888855319E-4</v>
      </c>
    </row>
    <row r="28" spans="1:5" x14ac:dyDescent="0.25">
      <c r="A28">
        <v>1.7689080499375001</v>
      </c>
      <c r="B28">
        <v>0.1603152131155316</v>
      </c>
      <c r="C28">
        <f t="shared" si="0"/>
        <v>0.13771075977698713</v>
      </c>
      <c r="D28">
        <f t="shared" si="1"/>
        <v>2.2604453338544467E-2</v>
      </c>
      <c r="E28">
        <f t="shared" si="2"/>
        <v>5.1096131073443405E-4</v>
      </c>
    </row>
    <row r="29" spans="1:5" x14ac:dyDescent="0.25">
      <c r="A29">
        <v>1.8253508306624999</v>
      </c>
      <c r="B29">
        <v>0.1024236083793674</v>
      </c>
      <c r="C29">
        <f t="shared" si="0"/>
        <v>0.10089835419517024</v>
      </c>
      <c r="D29">
        <f t="shared" si="1"/>
        <v>1.5252541841971612E-3</v>
      </c>
      <c r="E29">
        <f t="shared" si="2"/>
        <v>2.3264003264109478E-6</v>
      </c>
    </row>
    <row r="30" spans="1:5" x14ac:dyDescent="0.25">
      <c r="A30">
        <v>1.8817936113875002</v>
      </c>
      <c r="B30">
        <v>0.11466990938124828</v>
      </c>
      <c r="C30">
        <f t="shared" si="0"/>
        <v>7.2104432422753731E-2</v>
      </c>
      <c r="D30">
        <f t="shared" si="1"/>
        <v>4.2565476958494552E-2</v>
      </c>
      <c r="E30">
        <f t="shared" si="2"/>
        <v>1.8118198287041306E-3</v>
      </c>
    </row>
    <row r="31" spans="1:5" x14ac:dyDescent="0.25">
      <c r="A31">
        <v>1.9382363921125001</v>
      </c>
      <c r="B31">
        <v>6.6798005464804827E-2</v>
      </c>
      <c r="C31">
        <f t="shared" si="0"/>
        <v>5.0229161122018882E-2</v>
      </c>
      <c r="D31">
        <f t="shared" si="1"/>
        <v>1.6568844342785945E-2</v>
      </c>
      <c r="E31">
        <f t="shared" si="2"/>
        <v>2.7452660285546979E-4</v>
      </c>
    </row>
    <row r="32" spans="1:5" x14ac:dyDescent="0.25">
      <c r="A32">
        <v>1.9946791728375002</v>
      </c>
      <c r="B32">
        <v>5.566500455400402E-2</v>
      </c>
      <c r="C32">
        <f t="shared" si="0"/>
        <v>3.4089193677231698E-2</v>
      </c>
      <c r="D32">
        <f t="shared" si="1"/>
        <v>2.1575810876772322E-2</v>
      </c>
      <c r="E32">
        <f t="shared" si="2"/>
        <v>4.6551561499024683E-4</v>
      </c>
    </row>
    <row r="33" spans="1:5" x14ac:dyDescent="0.25">
      <c r="A33">
        <v>2.0511219535625003</v>
      </c>
      <c r="B33">
        <v>4.3418703552123142E-2</v>
      </c>
      <c r="C33">
        <f t="shared" si="0"/>
        <v>2.2526407075873701E-2</v>
      </c>
      <c r="D33">
        <f t="shared" si="1"/>
        <v>2.089229647624944E-2</v>
      </c>
      <c r="E33">
        <f t="shared" si="2"/>
        <v>4.3648805205150477E-4</v>
      </c>
    </row>
    <row r="34" spans="1:5" x14ac:dyDescent="0.25">
      <c r="A34">
        <v>2.1075647342875001</v>
      </c>
      <c r="B34">
        <v>2.6719202185921932E-2</v>
      </c>
      <c r="C34">
        <f t="shared" si="0"/>
        <v>1.4485258681251556E-2</v>
      </c>
      <c r="D34">
        <f t="shared" si="1"/>
        <v>1.2233943504670376E-2</v>
      </c>
      <c r="E34">
        <f t="shared" si="2"/>
        <v>1.4966937367546647E-4</v>
      </c>
    </row>
    <row r="35" spans="1:5" x14ac:dyDescent="0.25">
      <c r="A35">
        <v>2.1640075150125</v>
      </c>
      <c r="B35">
        <v>2.4492602003761771E-2</v>
      </c>
      <c r="C35">
        <f t="shared" si="0"/>
        <v>9.0586181779314569E-3</v>
      </c>
      <c r="D35">
        <f t="shared" si="1"/>
        <v>1.5433983825830314E-2</v>
      </c>
      <c r="E35">
        <f t="shared" si="2"/>
        <v>2.3820785673599174E-4</v>
      </c>
    </row>
    <row r="36" spans="1:5" x14ac:dyDescent="0.25">
      <c r="A36">
        <v>2.2204502957375003</v>
      </c>
      <c r="B36">
        <v>1.7812801457281289E-2</v>
      </c>
      <c r="C36">
        <f t="shared" si="0"/>
        <v>5.506036273662261E-3</v>
      </c>
      <c r="D36">
        <f t="shared" si="1"/>
        <v>1.2306765183619027E-2</v>
      </c>
      <c r="E36">
        <f t="shared" si="2"/>
        <v>1.5145646928473746E-4</v>
      </c>
    </row>
    <row r="37" spans="1:5" x14ac:dyDescent="0.25">
      <c r="A37">
        <v>2.2768930764625002</v>
      </c>
      <c r="B37">
        <v>1.0019700819720725E-2</v>
      </c>
      <c r="C37">
        <f t="shared" si="0"/>
        <v>3.2508407106842021E-3</v>
      </c>
      <c r="D37">
        <f t="shared" si="1"/>
        <v>6.7688601090365227E-3</v>
      </c>
      <c r="E37">
        <f t="shared" si="2"/>
        <v>4.5817467175705929E-5</v>
      </c>
    </row>
    <row r="38" spans="1:5" x14ac:dyDescent="0.25">
      <c r="A38">
        <v>2.3333358571875</v>
      </c>
      <c r="B38">
        <v>6.6798005464804829E-3</v>
      </c>
      <c r="C38">
        <f t="shared" si="0"/>
        <v>1.8632373569144242E-3</v>
      </c>
      <c r="D38">
        <f t="shared" si="1"/>
        <v>4.8165631895660584E-3</v>
      </c>
      <c r="E38">
        <f t="shared" si="2"/>
        <v>2.3199280959082764E-5</v>
      </c>
    </row>
    <row r="39" spans="1:5" x14ac:dyDescent="0.25">
      <c r="A39">
        <v>2.3897786379125003</v>
      </c>
      <c r="B39">
        <v>3.3399002732402414E-3</v>
      </c>
      <c r="C39">
        <f t="shared" si="0"/>
        <v>1.0360754286218687E-3</v>
      </c>
      <c r="D39">
        <f t="shared" si="1"/>
        <v>2.303824844618373E-3</v>
      </c>
      <c r="E39">
        <f t="shared" si="2"/>
        <v>5.3076089146808702E-6</v>
      </c>
    </row>
    <row r="40" spans="1:5" x14ac:dyDescent="0.25">
      <c r="A40">
        <v>2.4462214186375002</v>
      </c>
      <c r="B40">
        <v>2.2266001821601611E-3</v>
      </c>
      <c r="C40">
        <f t="shared" si="0"/>
        <v>5.5859715885132866E-4</v>
      </c>
      <c r="D40">
        <f t="shared" si="1"/>
        <v>1.6680030233088324E-3</v>
      </c>
      <c r="E40">
        <f t="shared" si="2"/>
        <v>2.7822340857674056E-6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4443C-5796-4A94-A887-45BEC9742218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0.30851783288750001</v>
      </c>
      <c r="B1">
        <v>2.2877583073515832E-2</v>
      </c>
      <c r="C1">
        <f>$H$3*(1+$H$1)*(A1^($H$1))*EXP(-$H$3*(A1^(1+$H$1)))</f>
        <v>0.14150524979109802</v>
      </c>
      <c r="D1">
        <f>B1-C1</f>
        <v>-0.11862766671758218</v>
      </c>
      <c r="E1">
        <f>D1^2</f>
        <v>1.4072523310857754E-2</v>
      </c>
      <c r="G1" t="s">
        <v>0</v>
      </c>
      <c r="H1">
        <v>2.3780223555368352</v>
      </c>
    </row>
    <row r="2" spans="1:8" x14ac:dyDescent="0.25">
      <c r="A2">
        <v>0.35795835066250004</v>
      </c>
      <c r="B2">
        <v>7.371665657021767E-2</v>
      </c>
      <c r="C2">
        <f t="shared" ref="C2:C40" si="0">$H$3*(1+$H$1)*(A2^($H$1))*EXP(-$H$3*(A2^(1+$H$1)))</f>
        <v>0.1997884586166499</v>
      </c>
      <c r="D2">
        <f t="shared" ref="D2:D40" si="1">B2-C2</f>
        <v>-0.12607180204643223</v>
      </c>
      <c r="E2">
        <f t="shared" ref="E2:E40" si="2">D2^2</f>
        <v>1.5894099271234793E-2</v>
      </c>
    </row>
    <row r="3" spans="1:8" x14ac:dyDescent="0.25">
      <c r="A3">
        <v>0.40739886843750001</v>
      </c>
      <c r="B3">
        <v>0.18429164142554419</v>
      </c>
      <c r="C3">
        <f t="shared" si="0"/>
        <v>0.26855628556767197</v>
      </c>
      <c r="D3">
        <f t="shared" si="1"/>
        <v>-8.4264644142127781E-2</v>
      </c>
      <c r="E3">
        <f t="shared" si="2"/>
        <v>7.1005302523994302E-3</v>
      </c>
      <c r="G3" t="s">
        <v>1</v>
      </c>
      <c r="H3">
        <f>(_xlfn.GAMMA((2+$H$1)/(1+$H$1)))^(1+$H$1)</f>
        <v>0.6955040712504168</v>
      </c>
    </row>
    <row r="4" spans="1:8" x14ac:dyDescent="0.25">
      <c r="A4">
        <v>0.45683938621250003</v>
      </c>
      <c r="B4">
        <v>0.28215685790669526</v>
      </c>
      <c r="C4">
        <f t="shared" si="0"/>
        <v>0.34710057780324283</v>
      </c>
      <c r="D4">
        <f t="shared" si="1"/>
        <v>-6.4943719896547569E-2</v>
      </c>
      <c r="E4">
        <f t="shared" si="2"/>
        <v>4.2176867540012286E-3</v>
      </c>
    </row>
    <row r="5" spans="1:8" x14ac:dyDescent="0.25">
      <c r="A5">
        <v>0.5062799039875</v>
      </c>
      <c r="B5">
        <v>0.41942235634779024</v>
      </c>
      <c r="C5">
        <f t="shared" si="0"/>
        <v>0.4342021865950485</v>
      </c>
      <c r="D5">
        <f t="shared" si="1"/>
        <v>-1.4779830247258263E-2</v>
      </c>
      <c r="E5">
        <f t="shared" si="2"/>
        <v>2.1844338213777026E-4</v>
      </c>
      <c r="G5" t="s">
        <v>2</v>
      </c>
      <c r="H5">
        <f>SUM(E1:E40)</f>
        <v>0.37376173114324795</v>
      </c>
    </row>
    <row r="6" spans="1:8" x14ac:dyDescent="0.25">
      <c r="A6">
        <v>0.55572042176250003</v>
      </c>
      <c r="B6">
        <v>0.56050078530113789</v>
      </c>
      <c r="C6">
        <f t="shared" si="0"/>
        <v>0.52809261954016928</v>
      </c>
      <c r="D6">
        <f t="shared" si="1"/>
        <v>3.240816576096861E-2</v>
      </c>
      <c r="E6">
        <f t="shared" si="2"/>
        <v>1.0502892079904181E-3</v>
      </c>
    </row>
    <row r="7" spans="1:8" x14ac:dyDescent="0.25">
      <c r="A7">
        <v>0.60516093953749994</v>
      </c>
      <c r="B7">
        <v>0.79181856971113129</v>
      </c>
      <c r="C7">
        <f t="shared" si="0"/>
        <v>0.62644193827873584</v>
      </c>
      <c r="D7">
        <f t="shared" si="1"/>
        <v>0.16537663143239545</v>
      </c>
      <c r="E7">
        <f t="shared" si="2"/>
        <v>2.7349430223926368E-2</v>
      </c>
    </row>
    <row r="8" spans="1:8" x14ac:dyDescent="0.25">
      <c r="A8">
        <v>0.65460145731249997</v>
      </c>
      <c r="B8">
        <v>0.88459987884261215</v>
      </c>
      <c r="C8">
        <f t="shared" si="0"/>
        <v>0.7263832056046875</v>
      </c>
      <c r="D8">
        <f t="shared" si="1"/>
        <v>0.15821667323792465</v>
      </c>
      <c r="E8">
        <f t="shared" si="2"/>
        <v>2.5032515690476223E-2</v>
      </c>
    </row>
    <row r="9" spans="1:8" x14ac:dyDescent="0.25">
      <c r="A9">
        <v>0.70404197508749999</v>
      </c>
      <c r="B9">
        <v>0.99009095634826849</v>
      </c>
      <c r="C9">
        <f t="shared" si="0"/>
        <v>0.82458219136846311</v>
      </c>
      <c r="D9">
        <f t="shared" si="1"/>
        <v>0.16550876497980538</v>
      </c>
      <c r="E9">
        <f t="shared" si="2"/>
        <v>2.739315128514045E-2</v>
      </c>
    </row>
    <row r="10" spans="1:8" x14ac:dyDescent="0.25">
      <c r="A10">
        <v>0.75348249286250002</v>
      </c>
      <c r="B10">
        <v>1.0981239875287598</v>
      </c>
      <c r="C10">
        <f t="shared" si="0"/>
        <v>0.9173580052078304</v>
      </c>
      <c r="D10">
        <f t="shared" si="1"/>
        <v>0.18076598232092944</v>
      </c>
      <c r="E10">
        <f t="shared" si="2"/>
        <v>3.2676340364450572E-2</v>
      </c>
    </row>
    <row r="11" spans="1:8" x14ac:dyDescent="0.25">
      <c r="A11">
        <v>0.80292301063750005</v>
      </c>
      <c r="B11">
        <v>1.2112409260589214</v>
      </c>
      <c r="C11">
        <f t="shared" si="0"/>
        <v>1.0008556789497791</v>
      </c>
      <c r="D11">
        <f t="shared" si="1"/>
        <v>0.2103852471091423</v>
      </c>
      <c r="E11">
        <f t="shared" si="2"/>
        <v>4.4261952201174869E-2</v>
      </c>
    </row>
    <row r="12" spans="1:8" x14ac:dyDescent="0.25">
      <c r="A12">
        <v>0.85236352841249996</v>
      </c>
      <c r="B12">
        <v>1.293854420491062</v>
      </c>
      <c r="C12">
        <f t="shared" si="0"/>
        <v>1.0712656029140213</v>
      </c>
      <c r="D12">
        <f t="shared" si="1"/>
        <v>0.22258881757704074</v>
      </c>
      <c r="E12">
        <f t="shared" si="2"/>
        <v>4.954578171034512E-2</v>
      </c>
    </row>
    <row r="13" spans="1:8" x14ac:dyDescent="0.25">
      <c r="A13">
        <v>0.90180404618749999</v>
      </c>
      <c r="B13">
        <v>1.2519121848562829</v>
      </c>
      <c r="C13">
        <f t="shared" si="0"/>
        <v>1.1250776085426419</v>
      </c>
      <c r="D13">
        <f t="shared" si="1"/>
        <v>0.12683457631364092</v>
      </c>
      <c r="E13">
        <f t="shared" si="2"/>
        <v>1.6087009748660803E-2</v>
      </c>
    </row>
    <row r="14" spans="1:8" x14ac:dyDescent="0.25">
      <c r="A14">
        <v>0.95124456396250001</v>
      </c>
      <c r="B14">
        <v>1.2214087407582619</v>
      </c>
      <c r="C14">
        <f t="shared" si="0"/>
        <v>1.1593502364163573</v>
      </c>
      <c r="D14">
        <f t="shared" si="1"/>
        <v>6.205850434190463E-2</v>
      </c>
      <c r="E14">
        <f t="shared" si="2"/>
        <v>3.851257961154196E-3</v>
      </c>
    </row>
    <row r="15" spans="1:8" x14ac:dyDescent="0.25">
      <c r="A15">
        <v>1.0006850817375001</v>
      </c>
      <c r="B15">
        <v>1.1896343198228232</v>
      </c>
      <c r="C15">
        <f t="shared" si="0"/>
        <v>1.171969504926611</v>
      </c>
      <c r="D15">
        <f t="shared" si="1"/>
        <v>1.7664814896212189E-2</v>
      </c>
      <c r="E15">
        <f t="shared" si="2"/>
        <v>3.1204568531744006E-4</v>
      </c>
    </row>
    <row r="16" spans="1:8" x14ac:dyDescent="0.25">
      <c r="A16">
        <v>1.0501255995125001</v>
      </c>
      <c r="B16">
        <v>1.1248145011145283</v>
      </c>
      <c r="C16">
        <f t="shared" si="0"/>
        <v>1.1618676445769218</v>
      </c>
      <c r="D16">
        <f t="shared" si="1"/>
        <v>-3.7053143462393523E-2</v>
      </c>
      <c r="E16">
        <f t="shared" si="2"/>
        <v>1.3729354404447159E-3</v>
      </c>
    </row>
    <row r="17" spans="1:5" x14ac:dyDescent="0.25">
      <c r="A17">
        <v>1.0995661172875</v>
      </c>
      <c r="B17">
        <v>1.0968530106913423</v>
      </c>
      <c r="C17">
        <f t="shared" si="0"/>
        <v>1.1291720607116527</v>
      </c>
      <c r="D17">
        <f t="shared" si="1"/>
        <v>-3.2319050020310325E-2</v>
      </c>
      <c r="E17">
        <f t="shared" si="2"/>
        <v>1.0445209942153207E-3</v>
      </c>
    </row>
    <row r="18" spans="1:5" x14ac:dyDescent="0.25">
      <c r="A18">
        <v>1.1490066350624999</v>
      </c>
      <c r="B18">
        <v>0.92781309131480871</v>
      </c>
      <c r="C18">
        <f t="shared" si="0"/>
        <v>1.0752591300205969</v>
      </c>
      <c r="D18">
        <f t="shared" si="1"/>
        <v>-0.14744603870578821</v>
      </c>
      <c r="E18">
        <f t="shared" si="2"/>
        <v>2.1740334330028793E-2</v>
      </c>
    </row>
    <row r="19" spans="1:5" x14ac:dyDescent="0.25">
      <c r="A19">
        <v>1.1984471528375</v>
      </c>
      <c r="B19">
        <v>0.87061913363101906</v>
      </c>
      <c r="C19">
        <f t="shared" si="0"/>
        <v>1.0026965277635262</v>
      </c>
      <c r="D19">
        <f t="shared" si="1"/>
        <v>-0.13207739413250719</v>
      </c>
      <c r="E19">
        <f t="shared" si="2"/>
        <v>1.7444438040833645E-2</v>
      </c>
    </row>
    <row r="20" spans="1:5" x14ac:dyDescent="0.25">
      <c r="A20">
        <v>1.2478876706124999</v>
      </c>
      <c r="B20">
        <v>0.78165075501179093</v>
      </c>
      <c r="C20">
        <f t="shared" si="0"/>
        <v>0.9150709018393417</v>
      </c>
      <c r="D20">
        <f t="shared" si="1"/>
        <v>-0.13342014682755077</v>
      </c>
      <c r="E20">
        <f t="shared" si="2"/>
        <v>1.7800935579485207E-2</v>
      </c>
    </row>
    <row r="21" spans="1:5" x14ac:dyDescent="0.25">
      <c r="A21">
        <v>1.2973281883875001</v>
      </c>
      <c r="B21">
        <v>0.69903726057965043</v>
      </c>
      <c r="C21">
        <f t="shared" si="0"/>
        <v>0.81671314877203605</v>
      </c>
      <c r="D21">
        <f t="shared" si="1"/>
        <v>-0.11767588819238561</v>
      </c>
      <c r="E21">
        <f t="shared" si="2"/>
        <v>1.384761466186684E-2</v>
      </c>
    </row>
    <row r="22" spans="1:5" x14ac:dyDescent="0.25">
      <c r="A22">
        <v>1.3467687061625</v>
      </c>
      <c r="B22">
        <v>0.61388181247267481</v>
      </c>
      <c r="C22">
        <f t="shared" si="0"/>
        <v>0.71234879214384594</v>
      </c>
      <c r="D22">
        <f t="shared" si="1"/>
        <v>-9.8466979671171129E-2</v>
      </c>
      <c r="E22">
        <f t="shared" si="2"/>
        <v>9.6957460855628275E-3</v>
      </c>
    </row>
    <row r="23" spans="1:5" x14ac:dyDescent="0.25">
      <c r="A23">
        <v>1.3962092239374999</v>
      </c>
      <c r="B23">
        <v>0.5452490632521273</v>
      </c>
      <c r="C23">
        <f t="shared" si="0"/>
        <v>0.60671313282340411</v>
      </c>
      <c r="D23">
        <f t="shared" si="1"/>
        <v>-6.1464069571276814E-2</v>
      </c>
      <c r="E23">
        <f t="shared" si="2"/>
        <v>3.7778318482627562E-3</v>
      </c>
    </row>
    <row r="24" spans="1:5" x14ac:dyDescent="0.25">
      <c r="A24">
        <v>1.4456497417124998</v>
      </c>
      <c r="B24">
        <v>0.4384870089090534</v>
      </c>
      <c r="C24">
        <f t="shared" si="0"/>
        <v>0.50417730501285041</v>
      </c>
      <c r="D24">
        <f t="shared" si="1"/>
        <v>-6.5690296103797008E-2</v>
      </c>
      <c r="E24">
        <f t="shared" si="2"/>
        <v>4.3152150022045281E-3</v>
      </c>
    </row>
    <row r="25" spans="1:5" x14ac:dyDescent="0.25">
      <c r="A25">
        <v>1.4950902594874997</v>
      </c>
      <c r="B25">
        <v>0.3215571398666392</v>
      </c>
      <c r="C25">
        <f t="shared" si="0"/>
        <v>0.4084304338573726</v>
      </c>
      <c r="D25">
        <f t="shared" si="1"/>
        <v>-8.6873293990733402E-2</v>
      </c>
      <c r="E25">
        <f t="shared" si="2"/>
        <v>7.546969208800396E-3</v>
      </c>
    </row>
    <row r="26" spans="1:5" x14ac:dyDescent="0.25">
      <c r="A26">
        <v>1.5445307772625001</v>
      </c>
      <c r="B26">
        <v>0.29995053363054092</v>
      </c>
      <c r="C26">
        <f t="shared" si="0"/>
        <v>0.32225450876071809</v>
      </c>
      <c r="D26">
        <f t="shared" si="1"/>
        <v>-2.2303975130177178E-2</v>
      </c>
      <c r="E26">
        <f t="shared" si="2"/>
        <v>4.9746730660756207E-4</v>
      </c>
    </row>
    <row r="27" spans="1:5" x14ac:dyDescent="0.25">
      <c r="A27">
        <v>1.5939712950375</v>
      </c>
      <c r="B27">
        <v>0.22369192338548813</v>
      </c>
      <c r="C27">
        <f t="shared" si="0"/>
        <v>0.24741378358192431</v>
      </c>
      <c r="D27">
        <f t="shared" si="1"/>
        <v>-2.3721860196436184E-2</v>
      </c>
      <c r="E27">
        <f t="shared" si="2"/>
        <v>5.6272665117926334E-4</v>
      </c>
    </row>
    <row r="28" spans="1:5" x14ac:dyDescent="0.25">
      <c r="A28">
        <v>1.6434118128124999</v>
      </c>
      <c r="B28">
        <v>0.21860801603581795</v>
      </c>
      <c r="C28">
        <f t="shared" si="0"/>
        <v>0.18466234535263656</v>
      </c>
      <c r="D28">
        <f t="shared" si="1"/>
        <v>3.3945670683181384E-2</v>
      </c>
      <c r="E28">
        <f t="shared" si="2"/>
        <v>1.1523085581310001E-3</v>
      </c>
    </row>
    <row r="29" spans="1:5" x14ac:dyDescent="0.25">
      <c r="A29">
        <v>1.6928523305874998</v>
      </c>
      <c r="B29">
        <v>0.15124624365268799</v>
      </c>
      <c r="C29">
        <f t="shared" si="0"/>
        <v>0.13385560209720532</v>
      </c>
      <c r="D29">
        <f t="shared" si="1"/>
        <v>1.7390641555482672E-2</v>
      </c>
      <c r="E29">
        <f t="shared" si="2"/>
        <v>3.0243441371128075E-4</v>
      </c>
    </row>
    <row r="30" spans="1:5" x14ac:dyDescent="0.25">
      <c r="A30">
        <v>1.7422928483625002</v>
      </c>
      <c r="B30">
        <v>0.12455573006691953</v>
      </c>
      <c r="C30">
        <f t="shared" si="0"/>
        <v>9.4137367421372034E-2</v>
      </c>
      <c r="D30">
        <f t="shared" si="1"/>
        <v>3.0418362645547495E-2</v>
      </c>
      <c r="E30">
        <f t="shared" si="2"/>
        <v>9.2527678603603915E-4</v>
      </c>
    </row>
    <row r="31" spans="1:5" x14ac:dyDescent="0.25">
      <c r="A31">
        <v>1.7917333661375001</v>
      </c>
      <c r="B31">
        <v>8.769740178181068E-2</v>
      </c>
      <c r="C31">
        <f t="shared" si="0"/>
        <v>6.4166509719119316E-2</v>
      </c>
      <c r="D31">
        <f t="shared" si="1"/>
        <v>2.3530892062691364E-2</v>
      </c>
      <c r="E31">
        <f t="shared" si="2"/>
        <v>5.5370288126603139E-4</v>
      </c>
    </row>
    <row r="32" spans="1:5" x14ac:dyDescent="0.25">
      <c r="A32">
        <v>1.8411738839125</v>
      </c>
      <c r="B32">
        <v>6.4819818708294855E-2</v>
      </c>
      <c r="C32">
        <f t="shared" si="0"/>
        <v>4.2346727854097252E-2</v>
      </c>
      <c r="D32">
        <f t="shared" si="1"/>
        <v>2.2473090854197603E-2</v>
      </c>
      <c r="E32">
        <f t="shared" si="2"/>
        <v>5.0503981254101991E-4</v>
      </c>
    </row>
    <row r="33" spans="1:5" x14ac:dyDescent="0.25">
      <c r="A33">
        <v>1.8906144016874999</v>
      </c>
      <c r="B33">
        <v>5.0839073496701845E-2</v>
      </c>
      <c r="C33">
        <f t="shared" si="0"/>
        <v>2.702910824158393E-2</v>
      </c>
      <c r="D33">
        <f t="shared" si="1"/>
        <v>2.3809965255117915E-2</v>
      </c>
      <c r="E33">
        <f t="shared" si="2"/>
        <v>5.6691444544992235E-4</v>
      </c>
    </row>
    <row r="34" spans="1:5" x14ac:dyDescent="0.25">
      <c r="A34">
        <v>1.9400549194624999</v>
      </c>
      <c r="B34">
        <v>3.558735144769129E-2</v>
      </c>
      <c r="C34">
        <f t="shared" si="0"/>
        <v>1.6667518447340754E-2</v>
      </c>
      <c r="D34">
        <f t="shared" si="1"/>
        <v>1.8919833000350536E-2</v>
      </c>
      <c r="E34">
        <f t="shared" si="2"/>
        <v>3.5796008076115319E-4</v>
      </c>
    </row>
    <row r="35" spans="1:5" x14ac:dyDescent="0.25">
      <c r="A35">
        <v>1.9894954372375</v>
      </c>
      <c r="B35">
        <v>2.7961490423186016E-2</v>
      </c>
      <c r="C35">
        <f t="shared" si="0"/>
        <v>9.9187398756444781E-3</v>
      </c>
      <c r="D35">
        <f t="shared" si="1"/>
        <v>1.8042750547541536E-2</v>
      </c>
      <c r="E35">
        <f t="shared" si="2"/>
        <v>3.2554084732081039E-4</v>
      </c>
    </row>
    <row r="36" spans="1:5" x14ac:dyDescent="0.25">
      <c r="A36">
        <v>2.0389359550125001</v>
      </c>
      <c r="B36">
        <v>2.1606606236098284E-2</v>
      </c>
      <c r="C36">
        <f t="shared" si="0"/>
        <v>5.689835723529762E-3</v>
      </c>
      <c r="D36">
        <f t="shared" si="1"/>
        <v>1.5916770512568523E-2</v>
      </c>
      <c r="E36">
        <f t="shared" si="2"/>
        <v>2.5334358354977085E-4</v>
      </c>
    </row>
    <row r="37" spans="1:5" x14ac:dyDescent="0.25">
      <c r="A37">
        <v>2.0883764727875</v>
      </c>
      <c r="B37">
        <v>1.1438791536757916E-2</v>
      </c>
      <c r="C37">
        <f t="shared" si="0"/>
        <v>3.1427126545522828E-3</v>
      </c>
      <c r="D37">
        <f t="shared" si="1"/>
        <v>8.2960788822056333E-3</v>
      </c>
      <c r="E37">
        <f t="shared" si="2"/>
        <v>6.8824924819778271E-5</v>
      </c>
    </row>
    <row r="38" spans="1:5" x14ac:dyDescent="0.25">
      <c r="A38">
        <v>2.1378169905624995</v>
      </c>
      <c r="B38">
        <v>6.3548841870877306E-3</v>
      </c>
      <c r="C38">
        <f t="shared" si="0"/>
        <v>1.6694306945760366E-3</v>
      </c>
      <c r="D38">
        <f t="shared" si="1"/>
        <v>4.6854534925116938E-3</v>
      </c>
      <c r="E38">
        <f t="shared" si="2"/>
        <v>2.1953474430490029E-5</v>
      </c>
    </row>
    <row r="39" spans="1:5" x14ac:dyDescent="0.25">
      <c r="A39">
        <v>2.1872575083374999</v>
      </c>
      <c r="B39">
        <v>5.0839073496701847E-3</v>
      </c>
      <c r="C39">
        <f t="shared" si="0"/>
        <v>8.5188547557729459E-4</v>
      </c>
      <c r="D39">
        <f t="shared" si="1"/>
        <v>4.23202187409289E-3</v>
      </c>
      <c r="E39">
        <f t="shared" si="2"/>
        <v>1.7910009142800696E-5</v>
      </c>
    </row>
    <row r="40" spans="1:5" x14ac:dyDescent="0.25">
      <c r="A40">
        <v>2.2366980261125002</v>
      </c>
      <c r="B40">
        <v>1.2709768374175462E-3</v>
      </c>
      <c r="C40">
        <f t="shared" si="0"/>
        <v>4.1708730802130845E-4</v>
      </c>
      <c r="D40">
        <f t="shared" si="1"/>
        <v>8.5388952939623771E-4</v>
      </c>
      <c r="E40">
        <f t="shared" si="2"/>
        <v>7.291273284125283E-7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98B5C-3CEF-4E9E-A1A7-CA3BE81501DF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0.37873255921249999</v>
      </c>
      <c r="B1">
        <v>1.0546035204696344E-2</v>
      </c>
      <c r="C1">
        <f>$H$3*(1+$H$1)*(A1^($H$1))*EXP(-$H$3*(A1^(1+$H$1)))</f>
        <v>0.13123546247980206</v>
      </c>
      <c r="D1">
        <f>B1-C1</f>
        <v>-0.12068942727510572</v>
      </c>
      <c r="E1">
        <f>D1^2</f>
        <v>1.4565937855993033E-2</v>
      </c>
      <c r="G1" t="s">
        <v>0</v>
      </c>
      <c r="H1">
        <v>3.1294055753458085</v>
      </c>
    </row>
    <row r="2" spans="1:8" x14ac:dyDescent="0.25">
      <c r="A2">
        <v>0.42044152963750003</v>
      </c>
      <c r="B2">
        <v>4.971702310785419E-2</v>
      </c>
      <c r="C2">
        <f t="shared" ref="C2:C40" si="0">$H$3*(1+$H$1)*(A2^($H$1))*EXP(-$H$3*(A2^(1+$H$1)))</f>
        <v>0.1807953272646084</v>
      </c>
      <c r="D2">
        <f t="shared" ref="D2:D40" si="1">B2-C2</f>
        <v>-0.1310783041567542</v>
      </c>
      <c r="E2">
        <f t="shared" ref="E2:E40" si="2">D2^2</f>
        <v>1.7181521820610564E-2</v>
      </c>
    </row>
    <row r="3" spans="1:8" x14ac:dyDescent="0.25">
      <c r="A3">
        <v>0.46215050006250002</v>
      </c>
      <c r="B3">
        <v>0.10998008142040473</v>
      </c>
      <c r="C3">
        <f t="shared" si="0"/>
        <v>0.24090397624552887</v>
      </c>
      <c r="D3">
        <f t="shared" si="1"/>
        <v>-0.13092389482512412</v>
      </c>
      <c r="E3">
        <f t="shared" si="2"/>
        <v>1.7141066236180162E-2</v>
      </c>
      <c r="G3" t="s">
        <v>1</v>
      </c>
      <c r="H3">
        <f>(_xlfn.GAMMA((2+$H$1)/(1+$H$1)))^(1+$H$1)</f>
        <v>0.6714648193867524</v>
      </c>
    </row>
    <row r="4" spans="1:8" x14ac:dyDescent="0.25">
      <c r="A4">
        <v>0.50385947048750002</v>
      </c>
      <c r="B4">
        <v>0.20790755117829934</v>
      </c>
      <c r="C4">
        <f t="shared" si="0"/>
        <v>0.31197263277091786</v>
      </c>
      <c r="D4">
        <f t="shared" si="1"/>
        <v>-0.10406508159261851</v>
      </c>
      <c r="E4">
        <f t="shared" si="2"/>
        <v>1.0829541206878349E-2</v>
      </c>
    </row>
    <row r="5" spans="1:8" x14ac:dyDescent="0.25">
      <c r="A5">
        <v>0.54556844091250001</v>
      </c>
      <c r="B5">
        <v>0.31035475030963527</v>
      </c>
      <c r="C5">
        <f t="shared" si="0"/>
        <v>0.39402058507435073</v>
      </c>
      <c r="D5">
        <f t="shared" si="1"/>
        <v>-8.3665834764715452E-2</v>
      </c>
      <c r="E5">
        <f t="shared" si="2"/>
        <v>6.999971906876669E-3</v>
      </c>
      <c r="G5" t="s">
        <v>2</v>
      </c>
      <c r="H5">
        <f>SUM(E1:E40)</f>
        <v>0.67679284378881721</v>
      </c>
    </row>
    <row r="6" spans="1:8" x14ac:dyDescent="0.25">
      <c r="A6">
        <v>0.5872774113375</v>
      </c>
      <c r="B6">
        <v>0.52428860731918969</v>
      </c>
      <c r="C6">
        <f t="shared" si="0"/>
        <v>0.48657344318014412</v>
      </c>
      <c r="D6">
        <f t="shared" si="1"/>
        <v>3.7715164139045576E-2</v>
      </c>
      <c r="E6">
        <f t="shared" si="2"/>
        <v>1.4224336060351494E-3</v>
      </c>
    </row>
    <row r="7" spans="1:8" x14ac:dyDescent="0.25">
      <c r="A7">
        <v>0.62898638176249999</v>
      </c>
      <c r="B7">
        <v>0.65084102977554581</v>
      </c>
      <c r="C7">
        <f t="shared" si="0"/>
        <v>0.58856267492957637</v>
      </c>
      <c r="D7">
        <f t="shared" si="1"/>
        <v>6.2278354845969441E-2</v>
      </c>
      <c r="E7">
        <f t="shared" si="2"/>
        <v>3.8785934823204853E-3</v>
      </c>
    </row>
    <row r="8" spans="1:8" x14ac:dyDescent="0.25">
      <c r="A8">
        <v>0.67069535218749998</v>
      </c>
      <c r="B8">
        <v>0.84368281637570752</v>
      </c>
      <c r="C8">
        <f t="shared" si="0"/>
        <v>0.6982372231767876</v>
      </c>
      <c r="D8">
        <f t="shared" si="1"/>
        <v>0.14544559319891992</v>
      </c>
      <c r="E8">
        <f t="shared" si="2"/>
        <v>2.1154420580985701E-2</v>
      </c>
    </row>
    <row r="9" spans="1:8" x14ac:dyDescent="0.25">
      <c r="A9">
        <v>0.71240432261249997</v>
      </c>
      <c r="B9">
        <v>1.0576166733852619</v>
      </c>
      <c r="C9">
        <f t="shared" si="0"/>
        <v>0.81310108812247828</v>
      </c>
      <c r="D9">
        <f t="shared" si="1"/>
        <v>0.24451558526278361</v>
      </c>
      <c r="E9">
        <f t="shared" si="2"/>
        <v>5.9787871436401602E-2</v>
      </c>
    </row>
    <row r="10" spans="1:8" x14ac:dyDescent="0.25">
      <c r="A10">
        <v>0.75411329303749997</v>
      </c>
      <c r="B10">
        <v>1.1691033312634804</v>
      </c>
      <c r="C10">
        <f t="shared" si="0"/>
        <v>0.92989316535683741</v>
      </c>
      <c r="D10">
        <f t="shared" si="1"/>
        <v>0.23921016590664301</v>
      </c>
      <c r="E10">
        <f t="shared" si="2"/>
        <v>5.7221503473083676E-2</v>
      </c>
    </row>
    <row r="11" spans="1:8" x14ac:dyDescent="0.25">
      <c r="A11">
        <v>0.79582226346249996</v>
      </c>
      <c r="B11">
        <v>1.2971623301776503</v>
      </c>
      <c r="C11">
        <f t="shared" si="0"/>
        <v>1.0446265938121466</v>
      </c>
      <c r="D11">
        <f t="shared" si="1"/>
        <v>0.25253573636550364</v>
      </c>
      <c r="E11">
        <f t="shared" si="2"/>
        <v>6.3774298141667157E-2</v>
      </c>
    </row>
    <row r="12" spans="1:8" x14ac:dyDescent="0.25">
      <c r="A12">
        <v>0.83753123388749995</v>
      </c>
      <c r="B12">
        <v>1.426727905549634</v>
      </c>
      <c r="C12">
        <f t="shared" si="0"/>
        <v>1.1527035028844135</v>
      </c>
      <c r="D12">
        <f t="shared" si="1"/>
        <v>0.27402440266522055</v>
      </c>
      <c r="E12">
        <f t="shared" si="2"/>
        <v>7.5089373256030933E-2</v>
      </c>
    </row>
    <row r="13" spans="1:8" x14ac:dyDescent="0.25">
      <c r="A13">
        <v>0.87924020431250005</v>
      </c>
      <c r="B13">
        <v>1.4342607878387028</v>
      </c>
      <c r="C13">
        <f t="shared" si="0"/>
        <v>1.2491164998199731</v>
      </c>
      <c r="D13">
        <f t="shared" si="1"/>
        <v>0.18514428801872973</v>
      </c>
      <c r="E13">
        <f t="shared" si="2"/>
        <v>3.4278407385962349E-2</v>
      </c>
    </row>
    <row r="14" spans="1:8" x14ac:dyDescent="0.25">
      <c r="A14">
        <v>0.92094917473750004</v>
      </c>
      <c r="B14">
        <v>1.5803987042466379</v>
      </c>
      <c r="C14">
        <f t="shared" si="0"/>
        <v>1.3287399165233231</v>
      </c>
      <c r="D14">
        <f t="shared" si="1"/>
        <v>0.25165878772331474</v>
      </c>
      <c r="E14">
        <f t="shared" si="2"/>
        <v>6.333214543836839E-2</v>
      </c>
    </row>
    <row r="15" spans="1:8" x14ac:dyDescent="0.25">
      <c r="A15">
        <v>0.96265814516249992</v>
      </c>
      <c r="B15">
        <v>1.5065764578137635</v>
      </c>
      <c r="C15">
        <f t="shared" si="0"/>
        <v>1.3867017116776477</v>
      </c>
      <c r="D15">
        <f t="shared" si="1"/>
        <v>0.11987474613611582</v>
      </c>
      <c r="E15">
        <f t="shared" si="2"/>
        <v>1.4369954761198215E-2</v>
      </c>
    </row>
    <row r="16" spans="1:8" x14ac:dyDescent="0.25">
      <c r="A16">
        <v>1.0043671155874998</v>
      </c>
      <c r="B16">
        <v>1.4237147526340064</v>
      </c>
      <c r="C16">
        <f t="shared" si="0"/>
        <v>1.418811844324305</v>
      </c>
      <c r="D16">
        <f t="shared" si="1"/>
        <v>4.9029083097014148E-3</v>
      </c>
      <c r="E16">
        <f t="shared" si="2"/>
        <v>2.4038509893339183E-5</v>
      </c>
    </row>
    <row r="17" spans="1:5" x14ac:dyDescent="0.25">
      <c r="A17">
        <v>1.0460760860125</v>
      </c>
      <c r="B17">
        <v>1.4342607878387028</v>
      </c>
      <c r="C17">
        <f t="shared" si="0"/>
        <v>1.4220068391316807</v>
      </c>
      <c r="D17">
        <f t="shared" si="1"/>
        <v>1.2253948707022122E-2</v>
      </c>
      <c r="E17">
        <f t="shared" si="2"/>
        <v>1.5015925891432913E-4</v>
      </c>
    </row>
    <row r="18" spans="1:5" x14ac:dyDescent="0.25">
      <c r="A18">
        <v>1.0877850564375</v>
      </c>
      <c r="B18">
        <v>1.2760702597682576</v>
      </c>
      <c r="C18">
        <f t="shared" si="0"/>
        <v>1.394756195844095</v>
      </c>
      <c r="D18">
        <f t="shared" si="1"/>
        <v>-0.11868593607583744</v>
      </c>
      <c r="E18">
        <f t="shared" si="2"/>
        <v>1.408635142219777E-2</v>
      </c>
    </row>
    <row r="19" spans="1:5" x14ac:dyDescent="0.25">
      <c r="A19">
        <v>1.1294940268625</v>
      </c>
      <c r="B19">
        <v>1.13294549627595</v>
      </c>
      <c r="C19">
        <f t="shared" si="0"/>
        <v>1.3373680708000053</v>
      </c>
      <c r="D19">
        <f t="shared" si="1"/>
        <v>-0.20442257452405532</v>
      </c>
      <c r="E19">
        <f t="shared" si="2"/>
        <v>4.1788588975042951E-2</v>
      </c>
    </row>
    <row r="20" spans="1:5" x14ac:dyDescent="0.25">
      <c r="A20">
        <v>1.1712029972874998</v>
      </c>
      <c r="B20">
        <v>1.0787087437946545</v>
      </c>
      <c r="C20">
        <f t="shared" si="0"/>
        <v>1.2521331152479285</v>
      </c>
      <c r="D20">
        <f t="shared" si="1"/>
        <v>-0.17342437145327394</v>
      </c>
      <c r="E20">
        <f t="shared" si="2"/>
        <v>3.0076012613963136E-2</v>
      </c>
    </row>
    <row r="21" spans="1:5" x14ac:dyDescent="0.25">
      <c r="A21">
        <v>1.2129119677125</v>
      </c>
      <c r="B21">
        <v>0.92503794509765069</v>
      </c>
      <c r="C21">
        <f t="shared" si="0"/>
        <v>1.1432592446233774</v>
      </c>
      <c r="D21">
        <f t="shared" si="1"/>
        <v>-0.21822129952572666</v>
      </c>
      <c r="E21">
        <f t="shared" si="2"/>
        <v>4.762053556669691E-2</v>
      </c>
    </row>
    <row r="22" spans="1:5" x14ac:dyDescent="0.25">
      <c r="A22">
        <v>1.2546209381375002</v>
      </c>
      <c r="B22">
        <v>0.88134722782105157</v>
      </c>
      <c r="C22">
        <f t="shared" si="0"/>
        <v>1.0165768509874189</v>
      </c>
      <c r="D22">
        <f t="shared" si="1"/>
        <v>-0.13522962316636733</v>
      </c>
      <c r="E22">
        <f t="shared" si="2"/>
        <v>1.8287050981717713E-2</v>
      </c>
    </row>
    <row r="23" spans="1:5" x14ac:dyDescent="0.25">
      <c r="A23">
        <v>1.2963299085625</v>
      </c>
      <c r="B23">
        <v>0.72616985266623402</v>
      </c>
      <c r="C23">
        <f t="shared" si="0"/>
        <v>0.87903065404317249</v>
      </c>
      <c r="D23">
        <f t="shared" si="1"/>
        <v>-0.15286080137693847</v>
      </c>
      <c r="E23">
        <f t="shared" si="2"/>
        <v>2.3366424597599834E-2</v>
      </c>
    </row>
    <row r="24" spans="1:5" x14ac:dyDescent="0.25">
      <c r="A24">
        <v>1.3380388789874997</v>
      </c>
      <c r="B24">
        <v>0.65536075914898706</v>
      </c>
      <c r="C24">
        <f t="shared" si="0"/>
        <v>0.73801456153747302</v>
      </c>
      <c r="D24">
        <f t="shared" si="1"/>
        <v>-8.2653802388485964E-2</v>
      </c>
      <c r="E24">
        <f t="shared" si="2"/>
        <v>6.8316510492748882E-3</v>
      </c>
    </row>
    <row r="25" spans="1:5" x14ac:dyDescent="0.25">
      <c r="A25">
        <v>1.3797478494124999</v>
      </c>
      <c r="B25">
        <v>0.49566365462072814</v>
      </c>
      <c r="C25">
        <f t="shared" si="0"/>
        <v>0.6006404976869073</v>
      </c>
      <c r="D25">
        <f t="shared" si="1"/>
        <v>-0.10497684306617916</v>
      </c>
      <c r="E25">
        <f t="shared" si="2"/>
        <v>1.1020137580141207E-2</v>
      </c>
    </row>
    <row r="26" spans="1:5" x14ac:dyDescent="0.25">
      <c r="A26">
        <v>1.4214568198374999</v>
      </c>
      <c r="B26">
        <v>0.36911123216437203</v>
      </c>
      <c r="C26">
        <f t="shared" si="0"/>
        <v>0.47305160379613753</v>
      </c>
      <c r="D26">
        <f t="shared" si="1"/>
        <v>-0.1039403716317655</v>
      </c>
      <c r="E26">
        <f t="shared" si="2"/>
        <v>1.0803600854949523E-2</v>
      </c>
    </row>
    <row r="27" spans="1:5" x14ac:dyDescent="0.25">
      <c r="A27">
        <v>1.4631657902624999</v>
      </c>
      <c r="B27">
        <v>0.31788763259870406</v>
      </c>
      <c r="C27">
        <f t="shared" si="0"/>
        <v>0.35988744104719983</v>
      </c>
      <c r="D27">
        <f t="shared" si="1"/>
        <v>-4.1999808448495768E-2</v>
      </c>
      <c r="E27">
        <f t="shared" si="2"/>
        <v>1.7639839097103366E-3</v>
      </c>
    </row>
    <row r="28" spans="1:5" x14ac:dyDescent="0.25">
      <c r="A28">
        <v>1.5048747606874999</v>
      </c>
      <c r="B28">
        <v>0.30583502093619397</v>
      </c>
      <c r="C28">
        <f t="shared" si="0"/>
        <v>0.26398204963208594</v>
      </c>
      <c r="D28">
        <f t="shared" si="1"/>
        <v>4.1852971304108033E-2</v>
      </c>
      <c r="E28">
        <f t="shared" si="2"/>
        <v>1.7516712069824904E-3</v>
      </c>
    </row>
    <row r="29" spans="1:5" x14ac:dyDescent="0.25">
      <c r="A29">
        <v>1.5465837311124999</v>
      </c>
      <c r="B29">
        <v>0.21694700992518193</v>
      </c>
      <c r="C29">
        <f t="shared" si="0"/>
        <v>0.18632996107348232</v>
      </c>
      <c r="D29">
        <f t="shared" si="1"/>
        <v>3.0617048851699608E-2</v>
      </c>
      <c r="E29">
        <f t="shared" si="2"/>
        <v>9.3740368038736023E-4</v>
      </c>
    </row>
    <row r="30" spans="1:5" x14ac:dyDescent="0.25">
      <c r="A30">
        <v>1.5882927015374999</v>
      </c>
      <c r="B30">
        <v>0.16572341035951399</v>
      </c>
      <c r="C30">
        <f t="shared" si="0"/>
        <v>0.12630161369496842</v>
      </c>
      <c r="D30">
        <f t="shared" si="1"/>
        <v>3.9421796664545566E-2</v>
      </c>
      <c r="E30">
        <f t="shared" si="2"/>
        <v>1.554078052260776E-3</v>
      </c>
    </row>
    <row r="31" spans="1:5" x14ac:dyDescent="0.25">
      <c r="A31">
        <v>1.6300016719624999</v>
      </c>
      <c r="B31">
        <v>0.11299323433603226</v>
      </c>
      <c r="C31">
        <f t="shared" si="0"/>
        <v>8.2042141841569591E-2</v>
      </c>
      <c r="D31">
        <f t="shared" si="1"/>
        <v>3.0951092494462665E-2</v>
      </c>
      <c r="E31">
        <f t="shared" si="2"/>
        <v>9.5797012660078307E-4</v>
      </c>
    </row>
    <row r="32" spans="1:5" x14ac:dyDescent="0.25">
      <c r="A32">
        <v>1.6717106423875001</v>
      </c>
      <c r="B32">
        <v>9.6420893300080857E-2</v>
      </c>
      <c r="C32">
        <f t="shared" si="0"/>
        <v>5.0958652268768945E-2</v>
      </c>
      <c r="D32">
        <f t="shared" si="1"/>
        <v>4.5462241031311912E-2</v>
      </c>
      <c r="E32">
        <f t="shared" si="2"/>
        <v>2.0668153595891003E-3</v>
      </c>
    </row>
    <row r="33" spans="1:5" x14ac:dyDescent="0.25">
      <c r="A33">
        <v>1.7134196128124999</v>
      </c>
      <c r="B33">
        <v>6.0263058312550535E-2</v>
      </c>
      <c r="C33">
        <f t="shared" si="0"/>
        <v>3.0197429682164659E-2</v>
      </c>
      <c r="D33">
        <f t="shared" si="1"/>
        <v>3.0065628630385876E-2</v>
      </c>
      <c r="E33">
        <f t="shared" si="2"/>
        <v>9.0394202494027893E-4</v>
      </c>
    </row>
    <row r="34" spans="1:5" x14ac:dyDescent="0.25">
      <c r="A34">
        <v>1.7551285832374999</v>
      </c>
      <c r="B34">
        <v>4.6703870192226667E-2</v>
      </c>
      <c r="C34">
        <f t="shared" si="0"/>
        <v>1.7032519485930715E-2</v>
      </c>
      <c r="D34">
        <f t="shared" si="1"/>
        <v>2.9671350706295951E-2</v>
      </c>
      <c r="E34">
        <f t="shared" si="2"/>
        <v>8.8038905273600922E-4</v>
      </c>
    </row>
    <row r="35" spans="1:5" x14ac:dyDescent="0.25">
      <c r="A35">
        <v>1.7968375536624999</v>
      </c>
      <c r="B35">
        <v>3.1638105614089029E-2</v>
      </c>
      <c r="C35">
        <f t="shared" si="0"/>
        <v>9.122170278848863E-3</v>
      </c>
      <c r="D35">
        <f t="shared" si="1"/>
        <v>2.2515935335240166E-2</v>
      </c>
      <c r="E35">
        <f t="shared" si="2"/>
        <v>5.0696734402071674E-4</v>
      </c>
    </row>
    <row r="36" spans="1:5" x14ac:dyDescent="0.25">
      <c r="A36">
        <v>1.8385465240875001</v>
      </c>
      <c r="B36">
        <v>1.9585493951578926E-2</v>
      </c>
      <c r="C36">
        <f t="shared" si="0"/>
        <v>4.627529645309757E-3</v>
      </c>
      <c r="D36">
        <f t="shared" si="1"/>
        <v>1.4957964306269169E-2</v>
      </c>
      <c r="E36">
        <f t="shared" si="2"/>
        <v>2.2374069618762249E-4</v>
      </c>
    </row>
    <row r="37" spans="1:5" x14ac:dyDescent="0.25">
      <c r="A37">
        <v>1.8802554945124998</v>
      </c>
      <c r="B37">
        <v>1.2052611662510107E-2</v>
      </c>
      <c r="C37">
        <f t="shared" si="0"/>
        <v>2.2177951523398242E-3</v>
      </c>
      <c r="D37">
        <f t="shared" si="1"/>
        <v>9.8348165101702825E-3</v>
      </c>
      <c r="E37">
        <f t="shared" si="2"/>
        <v>9.6723615788717979E-5</v>
      </c>
    </row>
    <row r="38" spans="1:5" x14ac:dyDescent="0.25">
      <c r="A38">
        <v>1.9219644649375001</v>
      </c>
      <c r="B38">
        <v>9.0394587468825803E-3</v>
      </c>
      <c r="C38">
        <f t="shared" si="0"/>
        <v>1.0015495187063802E-3</v>
      </c>
      <c r="D38">
        <f t="shared" si="1"/>
        <v>8.0379092281761995E-3</v>
      </c>
      <c r="E38">
        <f t="shared" si="2"/>
        <v>6.460798476040011E-5</v>
      </c>
    </row>
    <row r="39" spans="1:5" x14ac:dyDescent="0.25">
      <c r="A39">
        <v>1.9636734353624998</v>
      </c>
      <c r="B39">
        <v>1.5065764578137634E-3</v>
      </c>
      <c r="C39">
        <f t="shared" si="0"/>
        <v>4.2503828565984043E-4</v>
      </c>
      <c r="D39">
        <f t="shared" si="1"/>
        <v>1.081538172153923E-3</v>
      </c>
      <c r="E39">
        <f t="shared" si="2"/>
        <v>1.1697248178260489E-6</v>
      </c>
    </row>
    <row r="40" spans="1:5" x14ac:dyDescent="0.25">
      <c r="A40">
        <v>2.0053824057875</v>
      </c>
      <c r="B40">
        <v>1.5065764578137634E-3</v>
      </c>
      <c r="C40">
        <f t="shared" si="0"/>
        <v>1.6903728045268164E-4</v>
      </c>
      <c r="D40">
        <f t="shared" si="1"/>
        <v>1.3375391773610818E-3</v>
      </c>
      <c r="E40">
        <f t="shared" si="2"/>
        <v>1.7890110509757593E-6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1AD94-AE5B-4D68-B52D-EDA8D5D4050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0.43649118598750003</v>
      </c>
      <c r="B1">
        <v>6.8063018995823217E-3</v>
      </c>
      <c r="C1">
        <f>$H$3*(1+$H$1)*(A1^($H$1))*EXP(-$H$3*(A1^(1+$H$1)))</f>
        <v>0.13705732718018354</v>
      </c>
      <c r="D1">
        <f>B1-C1</f>
        <v>-0.13025102528060123</v>
      </c>
      <c r="E1">
        <f>D1^2</f>
        <v>1.6965329586647822E-2</v>
      </c>
      <c r="G1" t="s">
        <v>0</v>
      </c>
      <c r="H1">
        <v>3.7568033844142015</v>
      </c>
    </row>
    <row r="2" spans="1:8" x14ac:dyDescent="0.25">
      <c r="A2">
        <v>0.47342034596250004</v>
      </c>
      <c r="B2">
        <v>4.5942537822180669E-2</v>
      </c>
      <c r="C2">
        <f t="shared" ref="C2:C40" si="0">$H$3*(1+$H$1)*(A2^($H$1))*EXP(-$H$3*(A2^(1+$H$1)))</f>
        <v>0.18484233610788203</v>
      </c>
      <c r="D2">
        <f t="shared" ref="D2:D40" si="1">B2-C2</f>
        <v>-0.13889979828570137</v>
      </c>
      <c r="E2">
        <f t="shared" ref="E2:E40" si="2">D2^2</f>
        <v>1.929315396380853E-2</v>
      </c>
    </row>
    <row r="3" spans="1:8" x14ac:dyDescent="0.25">
      <c r="A3">
        <v>0.51034950593750006</v>
      </c>
      <c r="B3">
        <v>0.1037961039686304</v>
      </c>
      <c r="C3">
        <f t="shared" si="0"/>
        <v>0.24313935884697707</v>
      </c>
      <c r="D3">
        <f t="shared" si="1"/>
        <v>-0.13934325487834667</v>
      </c>
      <c r="E3">
        <f t="shared" si="2"/>
        <v>1.9416542680091884E-2</v>
      </c>
      <c r="G3" t="s">
        <v>1</v>
      </c>
      <c r="H3">
        <f>(_xlfn.GAMMA((2+$H$1)/(1+$H$1)))^(1+$H$1)</f>
        <v>0.6571437100963603</v>
      </c>
    </row>
    <row r="4" spans="1:8" x14ac:dyDescent="0.25">
      <c r="A4">
        <v>0.54727866591249996</v>
      </c>
      <c r="B4">
        <v>0.1820685758138271</v>
      </c>
      <c r="C4">
        <f t="shared" si="0"/>
        <v>0.3127897969965639</v>
      </c>
      <c r="D4">
        <f t="shared" si="1"/>
        <v>-0.1307212211827368</v>
      </c>
      <c r="E4">
        <f t="shared" si="2"/>
        <v>1.7088037667505995E-2</v>
      </c>
    </row>
    <row r="5" spans="1:8" x14ac:dyDescent="0.25">
      <c r="A5">
        <v>0.58420782588750009</v>
      </c>
      <c r="B5">
        <v>0.2858646797824575</v>
      </c>
      <c r="C5">
        <f t="shared" si="0"/>
        <v>0.39434967689932593</v>
      </c>
      <c r="D5">
        <f t="shared" si="1"/>
        <v>-0.10848499711686843</v>
      </c>
      <c r="E5">
        <f t="shared" si="2"/>
        <v>1.1768994599446952E-2</v>
      </c>
      <c r="G5" t="s">
        <v>2</v>
      </c>
      <c r="H5">
        <f>SUM(E1:E40)</f>
        <v>0.95817796397478738</v>
      </c>
    </row>
    <row r="6" spans="1:8" x14ac:dyDescent="0.25">
      <c r="A6">
        <v>0.62113698586249999</v>
      </c>
      <c r="B6">
        <v>0.49515846319461387</v>
      </c>
      <c r="C6">
        <f t="shared" si="0"/>
        <v>0.48797202119705063</v>
      </c>
      <c r="D6">
        <f t="shared" si="1"/>
        <v>7.1864419975632421E-3</v>
      </c>
      <c r="E6">
        <f t="shared" si="2"/>
        <v>5.1644948584340758E-5</v>
      </c>
    </row>
    <row r="7" spans="1:8" x14ac:dyDescent="0.25">
      <c r="A7">
        <v>0.65806614583750001</v>
      </c>
      <c r="B7">
        <v>0.68233176543312768</v>
      </c>
      <c r="C7">
        <f t="shared" si="0"/>
        <v>0.59327603327188883</v>
      </c>
      <c r="D7">
        <f t="shared" si="1"/>
        <v>8.9055732161238854E-2</v>
      </c>
      <c r="E7">
        <f t="shared" si="2"/>
        <v>7.9309234307743132E-3</v>
      </c>
    </row>
    <row r="8" spans="1:8" x14ac:dyDescent="0.25">
      <c r="A8">
        <v>0.69499530581250002</v>
      </c>
      <c r="B8">
        <v>0.80824835057540068</v>
      </c>
      <c r="C8">
        <f t="shared" si="0"/>
        <v>0.70921066702472724</v>
      </c>
      <c r="D8">
        <f t="shared" si="1"/>
        <v>9.9037683550673439E-2</v>
      </c>
      <c r="E8">
        <f t="shared" si="2"/>
        <v>9.8084627630833331E-3</v>
      </c>
    </row>
    <row r="9" spans="1:8" x14ac:dyDescent="0.25">
      <c r="A9">
        <v>0.73192446578750003</v>
      </c>
      <c r="B9">
        <v>1.0719925491842157</v>
      </c>
      <c r="C9">
        <f t="shared" si="0"/>
        <v>0.83392467826749439</v>
      </c>
      <c r="D9">
        <f t="shared" si="1"/>
        <v>0.23806787091672132</v>
      </c>
      <c r="E9">
        <f t="shared" si="2"/>
        <v>5.6676311162820688E-2</v>
      </c>
    </row>
    <row r="10" spans="1:8" x14ac:dyDescent="0.25">
      <c r="A10">
        <v>0.76885362576250005</v>
      </c>
      <c r="B10">
        <v>1.2336422192992957</v>
      </c>
      <c r="C10">
        <f t="shared" si="0"/>
        <v>0.96466026162904706</v>
      </c>
      <c r="D10">
        <f t="shared" si="1"/>
        <v>0.26898195767024868</v>
      </c>
      <c r="E10">
        <f t="shared" si="2"/>
        <v>7.2351293552119458E-2</v>
      </c>
    </row>
    <row r="11" spans="1:8" x14ac:dyDescent="0.25">
      <c r="A11">
        <v>0.80578278573750006</v>
      </c>
      <c r="B11">
        <v>1.4020981913139583</v>
      </c>
      <c r="C11">
        <f t="shared" si="0"/>
        <v>1.0976921885440478</v>
      </c>
      <c r="D11">
        <f t="shared" si="1"/>
        <v>0.30440600276991048</v>
      </c>
      <c r="E11">
        <f t="shared" si="2"/>
        <v>9.2663014522354745E-2</v>
      </c>
    </row>
    <row r="12" spans="1:8" x14ac:dyDescent="0.25">
      <c r="A12">
        <v>0.84271194571249997</v>
      </c>
      <c r="B12">
        <v>1.5433289557302914</v>
      </c>
      <c r="C12">
        <f t="shared" si="0"/>
        <v>1.2283379036692401</v>
      </c>
      <c r="D12">
        <f t="shared" si="1"/>
        <v>0.31499105206105127</v>
      </c>
      <c r="E12">
        <f t="shared" si="2"/>
        <v>9.9219362878527909E-2</v>
      </c>
    </row>
    <row r="13" spans="1:8" x14ac:dyDescent="0.25">
      <c r="A13">
        <v>0.87964110568749998</v>
      </c>
      <c r="B13">
        <v>1.630109304949966</v>
      </c>
      <c r="C13">
        <f t="shared" si="0"/>
        <v>1.3510648546002433</v>
      </c>
      <c r="D13">
        <f t="shared" si="1"/>
        <v>0.27904445034972269</v>
      </c>
      <c r="E13">
        <f t="shared" si="2"/>
        <v>7.7865805270978861E-2</v>
      </c>
    </row>
    <row r="14" spans="1:8" x14ac:dyDescent="0.25">
      <c r="A14">
        <v>0.91657026566249999</v>
      </c>
      <c r="B14">
        <v>1.7815495222156725</v>
      </c>
      <c r="C14">
        <f t="shared" si="0"/>
        <v>1.4597177310784399</v>
      </c>
      <c r="D14">
        <f t="shared" si="1"/>
        <v>0.32183179113723259</v>
      </c>
      <c r="E14">
        <f t="shared" si="2"/>
        <v>0.10357570178659931</v>
      </c>
    </row>
    <row r="15" spans="1:8" x14ac:dyDescent="0.25">
      <c r="A15">
        <v>0.95349942563750001</v>
      </c>
      <c r="B15">
        <v>1.7645337674667168</v>
      </c>
      <c r="C15">
        <f t="shared" si="0"/>
        <v>1.547878669555705</v>
      </c>
      <c r="D15">
        <f t="shared" si="1"/>
        <v>0.21665509791101178</v>
      </c>
      <c r="E15">
        <f t="shared" si="2"/>
        <v>4.6939431450830106E-2</v>
      </c>
    </row>
    <row r="16" spans="1:8" x14ac:dyDescent="0.25">
      <c r="A16">
        <v>0.99042858561250002</v>
      </c>
      <c r="B16">
        <v>1.6079888237763234</v>
      </c>
      <c r="C16">
        <f t="shared" si="0"/>
        <v>1.6093568468679407</v>
      </c>
      <c r="D16">
        <f t="shared" si="1"/>
        <v>-1.3680230916173208E-3</v>
      </c>
      <c r="E16">
        <f t="shared" si="2"/>
        <v>1.8714871791982127E-6</v>
      </c>
    </row>
    <row r="17" spans="1:5" x14ac:dyDescent="0.25">
      <c r="A17">
        <v>1.0273577455875</v>
      </c>
      <c r="B17">
        <v>1.6454234842240263</v>
      </c>
      <c r="C17">
        <f t="shared" si="0"/>
        <v>1.6387805584337536</v>
      </c>
      <c r="D17">
        <f t="shared" si="1"/>
        <v>6.6429257902727024E-3</v>
      </c>
      <c r="E17">
        <f t="shared" si="2"/>
        <v>4.4128463055070208E-5</v>
      </c>
    </row>
    <row r="18" spans="1:5" x14ac:dyDescent="0.25">
      <c r="A18">
        <v>1.0642869055625002</v>
      </c>
      <c r="B18">
        <v>1.5671510123788295</v>
      </c>
      <c r="C18">
        <f t="shared" si="0"/>
        <v>1.6322371783392189</v>
      </c>
      <c r="D18">
        <f t="shared" si="1"/>
        <v>-6.5086165960389408E-2</v>
      </c>
      <c r="E18">
        <f t="shared" si="2"/>
        <v>4.2362089994233531E-3</v>
      </c>
    </row>
    <row r="19" spans="1:5" x14ac:dyDescent="0.25">
      <c r="A19">
        <v>1.1012160655374998</v>
      </c>
      <c r="B19">
        <v>1.395291889414376</v>
      </c>
      <c r="C19">
        <f t="shared" si="0"/>
        <v>1.5878791183593552</v>
      </c>
      <c r="D19">
        <f t="shared" si="1"/>
        <v>-0.19258722894497926</v>
      </c>
      <c r="E19">
        <f t="shared" si="2"/>
        <v>3.7089840752705855E-2</v>
      </c>
    </row>
    <row r="20" spans="1:5" x14ac:dyDescent="0.25">
      <c r="A20">
        <v>1.1381452255125</v>
      </c>
      <c r="B20">
        <v>1.2778831816465808</v>
      </c>
      <c r="C20">
        <f t="shared" si="0"/>
        <v>1.5063941217008039</v>
      </c>
      <c r="D20">
        <f t="shared" si="1"/>
        <v>-0.22851094005422312</v>
      </c>
      <c r="E20">
        <f t="shared" si="2"/>
        <v>5.2217249724464752E-2</v>
      </c>
    </row>
    <row r="21" spans="1:5" x14ac:dyDescent="0.25">
      <c r="A21">
        <v>1.1750743854875001</v>
      </c>
      <c r="B21">
        <v>1.1383539927051431</v>
      </c>
      <c r="C21">
        <f t="shared" si="0"/>
        <v>1.3912341900387628</v>
      </c>
      <c r="D21">
        <f t="shared" si="1"/>
        <v>-0.25288019733361966</v>
      </c>
      <c r="E21">
        <f t="shared" si="2"/>
        <v>6.3948394203490425E-2</v>
      </c>
    </row>
    <row r="22" spans="1:5" x14ac:dyDescent="0.25">
      <c r="A22">
        <v>1.2120035454625002</v>
      </c>
      <c r="B22">
        <v>1.0685893982344246</v>
      </c>
      <c r="C22">
        <f t="shared" si="0"/>
        <v>1.2485163266239532</v>
      </c>
      <c r="D22">
        <f t="shared" si="1"/>
        <v>-0.17992692838952862</v>
      </c>
      <c r="E22">
        <f t="shared" si="2"/>
        <v>3.2373699559690557E-2</v>
      </c>
    </row>
    <row r="23" spans="1:5" x14ac:dyDescent="0.25">
      <c r="A23">
        <v>1.2489327054374999</v>
      </c>
      <c r="B23">
        <v>0.85929561482226813</v>
      </c>
      <c r="C23">
        <f t="shared" si="0"/>
        <v>1.0865531585095873</v>
      </c>
      <c r="D23">
        <f t="shared" si="1"/>
        <v>-0.22725754368731921</v>
      </c>
      <c r="E23">
        <f t="shared" si="2"/>
        <v>5.1645991162793801E-2</v>
      </c>
    </row>
    <row r="24" spans="1:5" x14ac:dyDescent="0.25">
      <c r="A24">
        <v>1.2858618654125</v>
      </c>
      <c r="B24">
        <v>0.77251526560259343</v>
      </c>
      <c r="C24">
        <f t="shared" si="0"/>
        <v>0.9150383952192972</v>
      </c>
      <c r="D24">
        <f t="shared" si="1"/>
        <v>-0.14252312961670377</v>
      </c>
      <c r="E24">
        <f t="shared" si="2"/>
        <v>2.0312842475739744E-2</v>
      </c>
    </row>
    <row r="25" spans="1:5" x14ac:dyDescent="0.25">
      <c r="A25">
        <v>1.3227910253875002</v>
      </c>
      <c r="B25">
        <v>0.61256717096240898</v>
      </c>
      <c r="C25">
        <f t="shared" si="0"/>
        <v>0.74398846297532972</v>
      </c>
      <c r="D25">
        <f t="shared" si="1"/>
        <v>-0.13142129201292074</v>
      </c>
      <c r="E25">
        <f t="shared" si="2"/>
        <v>1.7271555994345385E-2</v>
      </c>
    </row>
    <row r="26" spans="1:5" x14ac:dyDescent="0.25">
      <c r="A26">
        <v>1.3597201853625003</v>
      </c>
      <c r="B26">
        <v>0.47303798202097136</v>
      </c>
      <c r="C26">
        <f t="shared" si="0"/>
        <v>0.58260786435503176</v>
      </c>
      <c r="D26">
        <f t="shared" si="1"/>
        <v>-0.1095698823340604</v>
      </c>
      <c r="E26">
        <f t="shared" si="2"/>
        <v>1.2005559114699841E-2</v>
      </c>
    </row>
    <row r="27" spans="1:5" x14ac:dyDescent="0.25">
      <c r="A27">
        <v>1.3966493453375002</v>
      </c>
      <c r="B27">
        <v>0.39816866112556581</v>
      </c>
      <c r="C27">
        <f t="shared" si="0"/>
        <v>0.43828007181927076</v>
      </c>
      <c r="D27">
        <f t="shared" si="1"/>
        <v>-4.0111410693704941E-2</v>
      </c>
      <c r="E27">
        <f t="shared" si="2"/>
        <v>1.6089252678390671E-3</v>
      </c>
    </row>
    <row r="28" spans="1:5" x14ac:dyDescent="0.25">
      <c r="A28">
        <v>1.4335785053125001</v>
      </c>
      <c r="B28">
        <v>0.35392769877828073</v>
      </c>
      <c r="C28">
        <f t="shared" si="0"/>
        <v>0.3158719211874183</v>
      </c>
      <c r="D28">
        <f t="shared" si="1"/>
        <v>3.8055777590862427E-2</v>
      </c>
      <c r="E28">
        <f t="shared" si="2"/>
        <v>1.448242208045187E-3</v>
      </c>
    </row>
    <row r="29" spans="1:5" x14ac:dyDescent="0.25">
      <c r="A29">
        <v>1.4705076652875</v>
      </c>
      <c r="B29">
        <v>0.26374419860881493</v>
      </c>
      <c r="C29">
        <f t="shared" si="0"/>
        <v>0.21747481141706582</v>
      </c>
      <c r="D29">
        <f t="shared" si="1"/>
        <v>4.6269387191749112E-2</v>
      </c>
      <c r="E29">
        <f t="shared" si="2"/>
        <v>2.1408561910999969E-3</v>
      </c>
    </row>
    <row r="30" spans="1:5" x14ac:dyDescent="0.25">
      <c r="A30">
        <v>1.5074368252624999</v>
      </c>
      <c r="B30">
        <v>0.18547172676361826</v>
      </c>
      <c r="C30">
        <f t="shared" si="0"/>
        <v>0.1426052850000733</v>
      </c>
      <c r="D30">
        <f t="shared" si="1"/>
        <v>4.2866441763544955E-2</v>
      </c>
      <c r="E30">
        <f t="shared" si="2"/>
        <v>1.8375318294673911E-3</v>
      </c>
    </row>
    <row r="31" spans="1:5" x14ac:dyDescent="0.25">
      <c r="A31">
        <v>1.5443659852375</v>
      </c>
      <c r="B31">
        <v>0.12591658514227294</v>
      </c>
      <c r="C31">
        <f t="shared" si="0"/>
        <v>8.8780106512537663E-2</v>
      </c>
      <c r="D31">
        <f t="shared" si="1"/>
        <v>3.7136478629735278E-2</v>
      </c>
      <c r="E31">
        <f t="shared" si="2"/>
        <v>1.3791180450167849E-3</v>
      </c>
    </row>
    <row r="32" spans="1:5" x14ac:dyDescent="0.25">
      <c r="A32">
        <v>1.5812951452125001</v>
      </c>
      <c r="B32">
        <v>0.10719925491842157</v>
      </c>
      <c r="C32">
        <f t="shared" si="0"/>
        <v>5.2300705456976557E-2</v>
      </c>
      <c r="D32">
        <f t="shared" si="1"/>
        <v>5.4898549461445012E-2</v>
      </c>
      <c r="E32">
        <f t="shared" si="2"/>
        <v>3.0138507329707243E-3</v>
      </c>
    </row>
    <row r="33" spans="1:5" x14ac:dyDescent="0.25">
      <c r="A33">
        <v>1.6182243051875003</v>
      </c>
      <c r="B33">
        <v>7.4869320895405531E-2</v>
      </c>
      <c r="C33">
        <f t="shared" si="0"/>
        <v>2.9053783854731518E-2</v>
      </c>
      <c r="D33">
        <f t="shared" si="1"/>
        <v>4.5815537040674009E-2</v>
      </c>
      <c r="E33">
        <f t="shared" si="2"/>
        <v>2.0990634343253721E-3</v>
      </c>
    </row>
    <row r="34" spans="1:5" x14ac:dyDescent="0.25">
      <c r="A34">
        <v>1.6551534651624999</v>
      </c>
      <c r="B34">
        <v>3.5733084972807187E-2</v>
      </c>
      <c r="C34">
        <f t="shared" si="0"/>
        <v>1.5164379724207984E-2</v>
      </c>
      <c r="D34">
        <f t="shared" si="1"/>
        <v>2.0568705248599203E-2</v>
      </c>
      <c r="E34">
        <f t="shared" si="2"/>
        <v>4.2307163560375243E-4</v>
      </c>
    </row>
    <row r="35" spans="1:5" x14ac:dyDescent="0.25">
      <c r="A35">
        <v>1.6920826251375001</v>
      </c>
      <c r="B35">
        <v>4.0837811397493928E-2</v>
      </c>
      <c r="C35">
        <f t="shared" si="0"/>
        <v>7.4084633166012995E-3</v>
      </c>
      <c r="D35">
        <f t="shared" si="1"/>
        <v>3.342934808089263E-2</v>
      </c>
      <c r="E35">
        <f t="shared" si="2"/>
        <v>1.1175213131134798E-3</v>
      </c>
    </row>
    <row r="36" spans="1:5" x14ac:dyDescent="0.25">
      <c r="A36">
        <v>1.7290117851125002</v>
      </c>
      <c r="B36">
        <v>1.5314179274060223E-2</v>
      </c>
      <c r="C36">
        <f t="shared" si="0"/>
        <v>3.3744126947147365E-3</v>
      </c>
      <c r="D36">
        <f t="shared" si="1"/>
        <v>1.1939766579345486E-2</v>
      </c>
      <c r="E36">
        <f t="shared" si="2"/>
        <v>1.425580259692554E-4</v>
      </c>
    </row>
    <row r="37" spans="1:5" x14ac:dyDescent="0.25">
      <c r="A37">
        <v>1.7659409450875001</v>
      </c>
      <c r="B37">
        <v>1.5314179274060223E-2</v>
      </c>
      <c r="C37">
        <f t="shared" si="0"/>
        <v>1.4270830732907285E-3</v>
      </c>
      <c r="D37">
        <f t="shared" si="1"/>
        <v>1.3887096200769495E-2</v>
      </c>
      <c r="E37">
        <f t="shared" si="2"/>
        <v>1.9285144088942654E-4</v>
      </c>
    </row>
    <row r="38" spans="1:5" x14ac:dyDescent="0.25">
      <c r="A38">
        <v>1.8028701050625</v>
      </c>
      <c r="B38">
        <v>3.4031509497911608E-3</v>
      </c>
      <c r="C38">
        <f t="shared" si="0"/>
        <v>5.5798710785677865E-4</v>
      </c>
      <c r="D38">
        <f t="shared" si="1"/>
        <v>2.845163841934382E-3</v>
      </c>
      <c r="E38">
        <f t="shared" si="2"/>
        <v>8.0949572874508123E-6</v>
      </c>
    </row>
    <row r="39" spans="1:5" x14ac:dyDescent="0.25">
      <c r="A39">
        <v>1.8397992650375001</v>
      </c>
      <c r="B39">
        <v>1.7015754748955804E-3</v>
      </c>
      <c r="C39">
        <f t="shared" si="0"/>
        <v>2.0081366294949837E-4</v>
      </c>
      <c r="D39">
        <f t="shared" si="1"/>
        <v>1.500761811946082E-3</v>
      </c>
      <c r="E39">
        <f t="shared" si="2"/>
        <v>2.2522860161956872E-6</v>
      </c>
    </row>
    <row r="40" spans="1:5" x14ac:dyDescent="0.25">
      <c r="A40">
        <v>1.8767284250125003</v>
      </c>
      <c r="B40">
        <v>1.7015754748955804E-3</v>
      </c>
      <c r="C40">
        <f t="shared" si="0"/>
        <v>6.6214541957044997E-5</v>
      </c>
      <c r="D40">
        <f t="shared" si="1"/>
        <v>1.6353609329385354E-3</v>
      </c>
      <c r="E40">
        <f t="shared" si="2"/>
        <v>2.674405380981597E-6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D1E93-349D-45A4-BD5B-C1668A3BC42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0.51803892075000002</v>
      </c>
      <c r="B1">
        <v>8.0669547711022197E-3</v>
      </c>
      <c r="C1">
        <f>$H$3*(1+$H$1)*(A1^($H$1))*EXP(-$H$3*(A1^(1+$H$1)))</f>
        <v>0.15483743167273065</v>
      </c>
      <c r="D1">
        <f>B1-C1</f>
        <v>-0.14677047690162842</v>
      </c>
      <c r="E1">
        <f>D1^2</f>
        <v>2.1541572889931443E-2</v>
      </c>
      <c r="G1" t="s">
        <v>0</v>
      </c>
      <c r="H1">
        <v>4.8121703338765967</v>
      </c>
    </row>
    <row r="2" spans="1:8" x14ac:dyDescent="0.25">
      <c r="A2">
        <v>0.54919702424999994</v>
      </c>
      <c r="B2">
        <v>3.6301296469959991E-2</v>
      </c>
      <c r="C2">
        <f t="shared" ref="C2:C40" si="0">$H$3*(1+$H$1)*(A2^($H$1))*EXP(-$H$3*(A2^(1+$H$1)))</f>
        <v>0.20393120099549883</v>
      </c>
      <c r="D2">
        <f t="shared" ref="D2:D40" si="1">B2-C2</f>
        <v>-0.16762990452553883</v>
      </c>
      <c r="E2">
        <f t="shared" ref="E2:E40" si="2">D2^2</f>
        <v>2.8099784891241264E-2</v>
      </c>
    </row>
    <row r="3" spans="1:8" x14ac:dyDescent="0.25">
      <c r="A3">
        <v>0.58035512774999987</v>
      </c>
      <c r="B3">
        <v>0.11092062810265552</v>
      </c>
      <c r="C3">
        <f t="shared" si="0"/>
        <v>0.26398737054089899</v>
      </c>
      <c r="D3">
        <f t="shared" si="1"/>
        <v>-0.15306674243824347</v>
      </c>
      <c r="E3">
        <f t="shared" si="2"/>
        <v>2.3429427640655566E-2</v>
      </c>
      <c r="G3" t="s">
        <v>1</v>
      </c>
      <c r="H3">
        <f>(_xlfn.GAMMA((2+$H$1)/(1+$H$1)))^(1+$H$1)</f>
        <v>0.63995948779156475</v>
      </c>
    </row>
    <row r="4" spans="1:8" x14ac:dyDescent="0.25">
      <c r="A4">
        <v>0.61151323125000001</v>
      </c>
      <c r="B4">
        <v>0.16940605019314661</v>
      </c>
      <c r="C4">
        <f t="shared" si="0"/>
        <v>0.33627866543535501</v>
      </c>
      <c r="D4">
        <f t="shared" si="1"/>
        <v>-0.16687261524220839</v>
      </c>
      <c r="E4">
        <f t="shared" si="2"/>
        <v>2.784646971777412E-2</v>
      </c>
    </row>
    <row r="5" spans="1:8" x14ac:dyDescent="0.25">
      <c r="A5">
        <v>0.64267133474999993</v>
      </c>
      <c r="B5">
        <v>0.29444384914523103</v>
      </c>
      <c r="C5">
        <f t="shared" si="0"/>
        <v>0.42191269749675808</v>
      </c>
      <c r="D5">
        <f t="shared" si="1"/>
        <v>-0.12746884835152705</v>
      </c>
      <c r="E5">
        <f t="shared" si="2"/>
        <v>1.6248307300064602E-2</v>
      </c>
      <c r="G5" t="s">
        <v>2</v>
      </c>
      <c r="H5">
        <f>SUM(E1:E40)</f>
        <v>1.5865396634482176</v>
      </c>
    </row>
    <row r="6" spans="1:8" x14ac:dyDescent="0.25">
      <c r="A6">
        <v>0.67382943824999997</v>
      </c>
      <c r="B6">
        <v>0.49208424103723541</v>
      </c>
      <c r="C6">
        <f t="shared" si="0"/>
        <v>0.52170611598098326</v>
      </c>
      <c r="D6">
        <f t="shared" si="1"/>
        <v>-2.962187494374785E-2</v>
      </c>
      <c r="E6">
        <f t="shared" si="2"/>
        <v>8.7745547518303666E-4</v>
      </c>
    </row>
    <row r="7" spans="1:8" x14ac:dyDescent="0.25">
      <c r="A7">
        <v>0.70498754174999989</v>
      </c>
      <c r="B7">
        <v>0.70787528116421983</v>
      </c>
      <c r="C7">
        <f t="shared" si="0"/>
        <v>0.63602934246404164</v>
      </c>
      <c r="D7">
        <f t="shared" si="1"/>
        <v>7.1845938700178191E-2</v>
      </c>
      <c r="E7">
        <f t="shared" si="2"/>
        <v>5.1618389077097626E-3</v>
      </c>
    </row>
    <row r="8" spans="1:8" x14ac:dyDescent="0.25">
      <c r="A8">
        <v>0.73614564524999992</v>
      </c>
      <c r="B8">
        <v>0.89744871828512196</v>
      </c>
      <c r="C8">
        <f t="shared" si="0"/>
        <v>0.7646240261710332</v>
      </c>
      <c r="D8">
        <f t="shared" si="1"/>
        <v>0.13282469211408876</v>
      </c>
      <c r="E8">
        <f t="shared" si="2"/>
        <v>1.7642398835202473E-2</v>
      </c>
    </row>
    <row r="9" spans="1:8" x14ac:dyDescent="0.25">
      <c r="A9">
        <v>0.76730374874999996</v>
      </c>
      <c r="B9">
        <v>1.1253401905687597</v>
      </c>
      <c r="C9">
        <f t="shared" si="0"/>
        <v>0.90640042960614564</v>
      </c>
      <c r="D9">
        <f t="shared" si="1"/>
        <v>0.21893976096261403</v>
      </c>
      <c r="E9">
        <f t="shared" si="2"/>
        <v>4.7934618930366567E-2</v>
      </c>
    </row>
    <row r="10" spans="1:8" x14ac:dyDescent="0.25">
      <c r="A10">
        <v>0.79846185224999999</v>
      </c>
      <c r="B10">
        <v>1.413733823635664</v>
      </c>
      <c r="C10">
        <f t="shared" si="0"/>
        <v>1.0592289861992068</v>
      </c>
      <c r="D10">
        <f t="shared" si="1"/>
        <v>0.35450483743645722</v>
      </c>
      <c r="E10">
        <f t="shared" si="2"/>
        <v>0.12567367976584895</v>
      </c>
    </row>
    <row r="11" spans="1:8" x14ac:dyDescent="0.25">
      <c r="A11">
        <v>0.82961995574999992</v>
      </c>
      <c r="B11">
        <v>1.6133909542204439</v>
      </c>
      <c r="C11">
        <f t="shared" si="0"/>
        <v>1.2197491269270717</v>
      </c>
      <c r="D11">
        <f t="shared" si="1"/>
        <v>0.39364182729337216</v>
      </c>
      <c r="E11">
        <f t="shared" si="2"/>
        <v>0.15495388819486502</v>
      </c>
    </row>
    <row r="12" spans="1:8" x14ac:dyDescent="0.25">
      <c r="A12">
        <v>0.86077805924999995</v>
      </c>
      <c r="B12">
        <v>1.7767467883352639</v>
      </c>
      <c r="C12">
        <f t="shared" si="0"/>
        <v>1.3832284437057987</v>
      </c>
      <c r="D12">
        <f t="shared" si="1"/>
        <v>0.39351834462946522</v>
      </c>
      <c r="E12">
        <f t="shared" si="2"/>
        <v>0.15485668755991455</v>
      </c>
    </row>
    <row r="13" spans="1:8" x14ac:dyDescent="0.25">
      <c r="A13">
        <v>0.89193616274999998</v>
      </c>
      <c r="B13">
        <v>1.9219519742151039</v>
      </c>
      <c r="C13">
        <f t="shared" si="0"/>
        <v>1.543514797201111</v>
      </c>
      <c r="D13">
        <f t="shared" si="1"/>
        <v>0.37843717701399293</v>
      </c>
      <c r="E13">
        <f t="shared" si="2"/>
        <v>0.14321469694632022</v>
      </c>
    </row>
    <row r="14" spans="1:8" x14ac:dyDescent="0.25">
      <c r="A14">
        <v>0.92309426624999991</v>
      </c>
      <c r="B14">
        <v>2.1216091047998837</v>
      </c>
      <c r="C14">
        <f t="shared" si="0"/>
        <v>1.6931304913811518</v>
      </c>
      <c r="D14">
        <f t="shared" si="1"/>
        <v>0.42847861341873195</v>
      </c>
      <c r="E14">
        <f t="shared" si="2"/>
        <v>0.18359392215723913</v>
      </c>
    </row>
    <row r="15" spans="1:8" x14ac:dyDescent="0.25">
      <c r="A15">
        <v>0.95425236975000005</v>
      </c>
      <c r="B15">
        <v>2.1175756274143329</v>
      </c>
      <c r="C15">
        <f t="shared" si="0"/>
        <v>1.8235574758237629</v>
      </c>
      <c r="D15">
        <f t="shared" si="1"/>
        <v>0.29401815159056999</v>
      </c>
      <c r="E15">
        <f t="shared" si="2"/>
        <v>8.6446673464735391E-2</v>
      </c>
    </row>
    <row r="16" spans="1:8" x14ac:dyDescent="0.25">
      <c r="A16">
        <v>0.98541047324999997</v>
      </c>
      <c r="B16">
        <v>2.0469897731671884</v>
      </c>
      <c r="C16">
        <f t="shared" si="0"/>
        <v>1.9257513807862561</v>
      </c>
      <c r="D16">
        <f t="shared" si="1"/>
        <v>0.12123839238093237</v>
      </c>
      <c r="E16">
        <f t="shared" si="2"/>
        <v>1.469874778711292E-2</v>
      </c>
    </row>
    <row r="17" spans="1:5" x14ac:dyDescent="0.25">
      <c r="A17">
        <v>1.0165685767500001</v>
      </c>
      <c r="B17">
        <v>1.9461528385284106</v>
      </c>
      <c r="C17">
        <f t="shared" si="0"/>
        <v>1.9908960472555872</v>
      </c>
      <c r="D17">
        <f t="shared" si="1"/>
        <v>-4.4743208727176631E-2</v>
      </c>
      <c r="E17">
        <f t="shared" si="2"/>
        <v>2.0019547272036951E-3</v>
      </c>
    </row>
    <row r="18" spans="1:5" x14ac:dyDescent="0.25">
      <c r="A18">
        <v>1.0477266802499998</v>
      </c>
      <c r="B18">
        <v>1.962286748070615</v>
      </c>
      <c r="C18">
        <f t="shared" si="0"/>
        <v>2.0113671319568236</v>
      </c>
      <c r="D18">
        <f t="shared" si="1"/>
        <v>-4.9080383886208612E-2</v>
      </c>
      <c r="E18">
        <f t="shared" si="2"/>
        <v>2.4088840824176058E-3</v>
      </c>
    </row>
    <row r="19" spans="1:5" x14ac:dyDescent="0.25">
      <c r="A19">
        <v>1.07888478375</v>
      </c>
      <c r="B19">
        <v>1.8009476526485706</v>
      </c>
      <c r="C19">
        <f t="shared" si="0"/>
        <v>1.9818157111991554</v>
      </c>
      <c r="D19">
        <f t="shared" si="1"/>
        <v>-0.18086805855058485</v>
      </c>
      <c r="E19">
        <f t="shared" si="2"/>
        <v>3.2713254603857794E-2</v>
      </c>
    </row>
    <row r="20" spans="1:5" x14ac:dyDescent="0.25">
      <c r="A20">
        <v>1.1100428872500001</v>
      </c>
      <c r="B20">
        <v>1.5508720547444017</v>
      </c>
      <c r="C20">
        <f t="shared" si="0"/>
        <v>1.9002194968628214</v>
      </c>
      <c r="D20">
        <f t="shared" si="1"/>
        <v>-0.34934744211841973</v>
      </c>
      <c r="E20">
        <f t="shared" si="2"/>
        <v>0.12204363531468262</v>
      </c>
    </row>
    <row r="21" spans="1:5" x14ac:dyDescent="0.25">
      <c r="A21">
        <v>1.1412009907499998</v>
      </c>
      <c r="B21">
        <v>1.4641522909550528</v>
      </c>
      <c r="C21">
        <f t="shared" si="0"/>
        <v>1.7686968102485263</v>
      </c>
      <c r="D21">
        <f t="shared" si="1"/>
        <v>-0.30454451929347348</v>
      </c>
      <c r="E21">
        <f t="shared" si="2"/>
        <v>9.2747364231692844E-2</v>
      </c>
    </row>
    <row r="22" spans="1:5" x14ac:dyDescent="0.25">
      <c r="A22">
        <v>1.17235909425</v>
      </c>
      <c r="B22">
        <v>1.3108801503041108</v>
      </c>
      <c r="C22">
        <f t="shared" si="0"/>
        <v>1.5938591706033074</v>
      </c>
      <c r="D22">
        <f t="shared" si="1"/>
        <v>-0.28297902029919664</v>
      </c>
      <c r="E22">
        <f t="shared" si="2"/>
        <v>8.0077125929493148E-2</v>
      </c>
    </row>
    <row r="23" spans="1:5" x14ac:dyDescent="0.25">
      <c r="A23">
        <v>1.2035171977500001</v>
      </c>
      <c r="B23">
        <v>1.1031560649482286</v>
      </c>
      <c r="C23">
        <f t="shared" si="0"/>
        <v>1.3865146109034781</v>
      </c>
      <c r="D23">
        <f t="shared" si="1"/>
        <v>-0.28335854595524945</v>
      </c>
      <c r="E23">
        <f t="shared" si="2"/>
        <v>8.0292065565873219E-2</v>
      </c>
    </row>
    <row r="24" spans="1:5" x14ac:dyDescent="0.25">
      <c r="A24">
        <v>1.2346753012499998</v>
      </c>
      <c r="B24">
        <v>0.91559936652010199</v>
      </c>
      <c r="C24">
        <f t="shared" si="0"/>
        <v>1.1606382077980033</v>
      </c>
      <c r="D24">
        <f t="shared" si="1"/>
        <v>-0.24503884127790132</v>
      </c>
      <c r="E24">
        <f t="shared" si="2"/>
        <v>6.0044033734816517E-2</v>
      </c>
    </row>
    <row r="25" spans="1:5" x14ac:dyDescent="0.25">
      <c r="A25">
        <v>1.2658334047499999</v>
      </c>
      <c r="B25">
        <v>0.77039418064026199</v>
      </c>
      <c r="C25">
        <f t="shared" si="0"/>
        <v>0.93169035377803022</v>
      </c>
      <c r="D25">
        <f t="shared" si="1"/>
        <v>-0.16129617313776823</v>
      </c>
      <c r="E25">
        <f t="shared" si="2"/>
        <v>2.6016455468888904E-2</v>
      </c>
    </row>
    <row r="26" spans="1:5" x14ac:dyDescent="0.25">
      <c r="A26">
        <v>1.2969915082500001</v>
      </c>
      <c r="B26">
        <v>0.59695465306156426</v>
      </c>
      <c r="C26">
        <f t="shared" si="0"/>
        <v>0.71455040901554723</v>
      </c>
      <c r="D26">
        <f t="shared" si="1"/>
        <v>-0.11759575595398297</v>
      </c>
      <c r="E26">
        <f t="shared" si="2"/>
        <v>1.3828761818388722E-2</v>
      </c>
    </row>
    <row r="27" spans="1:5" x14ac:dyDescent="0.25">
      <c r="A27">
        <v>1.32814961175</v>
      </c>
      <c r="B27">
        <v>0.49813445711556209</v>
      </c>
      <c r="C27">
        <f t="shared" si="0"/>
        <v>0.52148264954042511</v>
      </c>
      <c r="D27">
        <f t="shared" si="1"/>
        <v>-2.3348192424863023E-2</v>
      </c>
      <c r="E27">
        <f t="shared" si="2"/>
        <v>5.4513808950843107E-4</v>
      </c>
    </row>
    <row r="28" spans="1:5" x14ac:dyDescent="0.25">
      <c r="A28">
        <v>1.3593077152499999</v>
      </c>
      <c r="B28">
        <v>0.40133099986233545</v>
      </c>
      <c r="C28">
        <f t="shared" si="0"/>
        <v>0.36059668000543449</v>
      </c>
      <c r="D28">
        <f t="shared" si="1"/>
        <v>4.0734319856900958E-2</v>
      </c>
      <c r="E28">
        <f t="shared" si="2"/>
        <v>1.6592848142043158E-3</v>
      </c>
    </row>
    <row r="29" spans="1:5" x14ac:dyDescent="0.25">
      <c r="A29">
        <v>1.3904658187500001</v>
      </c>
      <c r="B29">
        <v>0.29242711045245545</v>
      </c>
      <c r="C29">
        <f t="shared" si="0"/>
        <v>0.23516485792585784</v>
      </c>
      <c r="D29">
        <f t="shared" si="1"/>
        <v>5.7262252526597612E-2</v>
      </c>
      <c r="E29">
        <f t="shared" si="2"/>
        <v>3.2789655644198347E-3</v>
      </c>
    </row>
    <row r="30" spans="1:5" x14ac:dyDescent="0.25">
      <c r="A30">
        <v>1.42162392225</v>
      </c>
      <c r="B30">
        <v>0.20369060797033106</v>
      </c>
      <c r="C30">
        <f t="shared" si="0"/>
        <v>0.14392805245322851</v>
      </c>
      <c r="D30">
        <f t="shared" si="1"/>
        <v>5.976255551710255E-2</v>
      </c>
      <c r="E30">
        <f t="shared" si="2"/>
        <v>3.5715630419347645E-3</v>
      </c>
    </row>
    <row r="31" spans="1:5" x14ac:dyDescent="0.25">
      <c r="A31">
        <v>1.4527820257499999</v>
      </c>
      <c r="B31">
        <v>0.15730561803649329</v>
      </c>
      <c r="C31">
        <f t="shared" si="0"/>
        <v>8.2233422310596632E-2</v>
      </c>
      <c r="D31">
        <f t="shared" si="1"/>
        <v>7.5072195725896657E-2</v>
      </c>
      <c r="E31">
        <f t="shared" si="2"/>
        <v>5.6358345711073361E-3</v>
      </c>
    </row>
    <row r="32" spans="1:5" x14ac:dyDescent="0.25">
      <c r="A32">
        <v>1.4839401292500001</v>
      </c>
      <c r="B32">
        <v>0.10487041202432885</v>
      </c>
      <c r="C32">
        <f t="shared" si="0"/>
        <v>4.3615135869437806E-2</v>
      </c>
      <c r="D32">
        <f t="shared" si="1"/>
        <v>6.1255276154891049E-2</v>
      </c>
      <c r="E32">
        <f t="shared" si="2"/>
        <v>3.7522088568119638E-3</v>
      </c>
    </row>
    <row r="33" spans="1:5" x14ac:dyDescent="0.25">
      <c r="A33">
        <v>1.51509823275</v>
      </c>
      <c r="B33">
        <v>6.0502160783266645E-2</v>
      </c>
      <c r="C33">
        <f t="shared" si="0"/>
        <v>2.1345723795222264E-2</v>
      </c>
      <c r="D33">
        <f t="shared" si="1"/>
        <v>3.9156436988044385E-2</v>
      </c>
      <c r="E33">
        <f t="shared" si="2"/>
        <v>1.5332265575986905E-3</v>
      </c>
    </row>
    <row r="34" spans="1:5" x14ac:dyDescent="0.25">
      <c r="A34">
        <v>1.5462563362499999</v>
      </c>
      <c r="B34">
        <v>4.6384989933837766E-2</v>
      </c>
      <c r="C34">
        <f t="shared" si="0"/>
        <v>9.5786678508785559E-3</v>
      </c>
      <c r="D34">
        <f t="shared" si="1"/>
        <v>3.6806322082959211E-2</v>
      </c>
      <c r="E34">
        <f t="shared" si="2"/>
        <v>1.3547053452745309E-3</v>
      </c>
    </row>
    <row r="35" spans="1:5" x14ac:dyDescent="0.25">
      <c r="A35">
        <v>1.5774144397500001</v>
      </c>
      <c r="B35">
        <v>2.6217603006082214E-2</v>
      </c>
      <c r="C35">
        <f t="shared" si="0"/>
        <v>3.9145934856605873E-3</v>
      </c>
      <c r="D35">
        <f t="shared" si="1"/>
        <v>2.2303009520421628E-2</v>
      </c>
      <c r="E35">
        <f t="shared" si="2"/>
        <v>4.9742423366801777E-4</v>
      </c>
    </row>
    <row r="36" spans="1:5" x14ac:dyDescent="0.25">
      <c r="A36">
        <v>1.6085725432500002</v>
      </c>
      <c r="B36">
        <v>1.8150648234979996E-2</v>
      </c>
      <c r="C36">
        <f t="shared" si="0"/>
        <v>1.4465957545077193E-3</v>
      </c>
      <c r="D36">
        <f t="shared" si="1"/>
        <v>1.6704052480472277E-2</v>
      </c>
      <c r="E36">
        <f t="shared" si="2"/>
        <v>2.79025369270372E-4</v>
      </c>
    </row>
    <row r="37" spans="1:5" x14ac:dyDescent="0.25">
      <c r="A37">
        <v>1.6397306467499999</v>
      </c>
      <c r="B37">
        <v>6.0502160783266652E-3</v>
      </c>
      <c r="C37">
        <f t="shared" si="0"/>
        <v>4.7973010262925502E-4</v>
      </c>
      <c r="D37">
        <f t="shared" si="1"/>
        <v>5.57048597569741E-3</v>
      </c>
      <c r="E37">
        <f t="shared" si="2"/>
        <v>3.1030314005441528E-5</v>
      </c>
    </row>
    <row r="38" spans="1:5" x14ac:dyDescent="0.25">
      <c r="A38">
        <v>1.6708887502500001</v>
      </c>
      <c r="B38">
        <v>2.0167386927755549E-3</v>
      </c>
      <c r="C38">
        <f t="shared" si="0"/>
        <v>1.4163111355289479E-4</v>
      </c>
      <c r="D38">
        <f t="shared" si="1"/>
        <v>1.8751075792226601E-3</v>
      </c>
      <c r="E38">
        <f t="shared" si="2"/>
        <v>3.5160284336582645E-6</v>
      </c>
    </row>
    <row r="39" spans="1:5" x14ac:dyDescent="0.25">
      <c r="A39">
        <v>1.7020468537500002</v>
      </c>
      <c r="B39">
        <v>0</v>
      </c>
      <c r="C39">
        <f t="shared" si="0"/>
        <v>3.6911426127768379E-5</v>
      </c>
      <c r="D39">
        <f t="shared" si="1"/>
        <v>-3.6911426127768379E-5</v>
      </c>
      <c r="E39">
        <f t="shared" si="2"/>
        <v>1.3624533787857021E-9</v>
      </c>
    </row>
    <row r="40" spans="1:5" x14ac:dyDescent="0.25">
      <c r="A40">
        <v>1.7332049572499999</v>
      </c>
      <c r="B40">
        <v>2.0167386927755549E-3</v>
      </c>
      <c r="C40">
        <f t="shared" si="0"/>
        <v>8.4164959006626023E-6</v>
      </c>
      <c r="D40">
        <f t="shared" si="1"/>
        <v>2.0083221968748921E-3</v>
      </c>
      <c r="E40">
        <f t="shared" si="2"/>
        <v>4.0333580464603928E-6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3FFF-A13D-4C52-A7C2-4DF91A2E3893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0.64208812322499997</v>
      </c>
      <c r="B1">
        <v>1.0665969108495573E-2</v>
      </c>
      <c r="C1">
        <f>$H$3*(1+$H$1)*(A1^($H$1))*EXP(-$H$3*(A1^(1+$H$1)))</f>
        <v>0.20394053663115957</v>
      </c>
      <c r="D1">
        <f>B1-C1</f>
        <v>-0.193274567522664</v>
      </c>
      <c r="E1">
        <f>D1^2</f>
        <v>3.7355058451072808E-2</v>
      </c>
      <c r="G1" t="s">
        <v>0</v>
      </c>
      <c r="H1">
        <v>7.2169384490182997</v>
      </c>
    </row>
    <row r="2" spans="1:8" x14ac:dyDescent="0.25">
      <c r="A2">
        <v>0.66565382167500009</v>
      </c>
      <c r="B2">
        <v>5.3329845542477862E-2</v>
      </c>
      <c r="C2">
        <f t="shared" ref="C2:C40" si="0">$H$3*(1+$H$1)*(A2^($H$1))*EXP(-$H$3*(A2^(1+$H$1)))</f>
        <v>0.26305790452578748</v>
      </c>
      <c r="D2">
        <f t="shared" ref="D2:D40" si="1">B2-C2</f>
        <v>-0.20972805898330962</v>
      </c>
      <c r="E2">
        <f t="shared" ref="E2:E40" si="2">D2^2</f>
        <v>4.3985858724906603E-2</v>
      </c>
    </row>
    <row r="3" spans="1:8" x14ac:dyDescent="0.25">
      <c r="A3">
        <v>0.68921952012499998</v>
      </c>
      <c r="B3">
        <v>0.14665707524181412</v>
      </c>
      <c r="C3">
        <f t="shared" si="0"/>
        <v>0.33570903804885432</v>
      </c>
      <c r="D3">
        <f t="shared" si="1"/>
        <v>-0.1890519628070402</v>
      </c>
      <c r="E3">
        <f t="shared" si="2"/>
        <v>3.5740644641194509E-2</v>
      </c>
      <c r="G3" t="s">
        <v>1</v>
      </c>
      <c r="H3">
        <f>(_xlfn.GAMMA((2+$H$1)/(1+$H$1)))^(1+$H$1)</f>
        <v>0.617170636310308</v>
      </c>
    </row>
    <row r="4" spans="1:8" x14ac:dyDescent="0.25">
      <c r="A4">
        <v>0.71278521857499999</v>
      </c>
      <c r="B4">
        <v>0.19998692078429198</v>
      </c>
      <c r="C4">
        <f t="shared" si="0"/>
        <v>0.42396775048038721</v>
      </c>
      <c r="D4">
        <f t="shared" si="1"/>
        <v>-0.22398082969609523</v>
      </c>
      <c r="E4">
        <f t="shared" si="2"/>
        <v>5.0167412071351211E-2</v>
      </c>
    </row>
    <row r="5" spans="1:8" x14ac:dyDescent="0.25">
      <c r="A5">
        <v>0.736350917025</v>
      </c>
      <c r="B5">
        <v>0.38130839562871671</v>
      </c>
      <c r="C5">
        <f t="shared" si="0"/>
        <v>0.52990250646411186</v>
      </c>
      <c r="D5">
        <f t="shared" si="1"/>
        <v>-0.14859411083539514</v>
      </c>
      <c r="E5">
        <f t="shared" si="2"/>
        <v>2.2080209774961695E-2</v>
      </c>
      <c r="G5" t="s">
        <v>2</v>
      </c>
      <c r="H5">
        <f>SUM(E1:E40)</f>
        <v>3.4550938954594899</v>
      </c>
    </row>
    <row r="6" spans="1:8" x14ac:dyDescent="0.25">
      <c r="A6">
        <v>0.75991661547499989</v>
      </c>
      <c r="B6">
        <v>0.62395919284699097</v>
      </c>
      <c r="C6">
        <f t="shared" si="0"/>
        <v>0.65543096946531465</v>
      </c>
      <c r="D6">
        <f t="shared" si="1"/>
        <v>-3.1471776618323677E-2</v>
      </c>
      <c r="E6">
        <f t="shared" si="2"/>
        <v>9.9047272351366483E-4</v>
      </c>
    </row>
    <row r="7" spans="1:8" x14ac:dyDescent="0.25">
      <c r="A7">
        <v>0.78348231392500001</v>
      </c>
      <c r="B7">
        <v>0.89060842055938028</v>
      </c>
      <c r="C7">
        <f t="shared" si="0"/>
        <v>0.8021149526666288</v>
      </c>
      <c r="D7">
        <f t="shared" si="1"/>
        <v>8.8493467892751476E-2</v>
      </c>
      <c r="E7">
        <f t="shared" si="2"/>
        <v>7.8310938596854365E-3</v>
      </c>
    </row>
    <row r="8" spans="1:8" x14ac:dyDescent="0.25">
      <c r="A8">
        <v>0.80704801237500001</v>
      </c>
      <c r="B8">
        <v>1.1065942950064156</v>
      </c>
      <c r="C8">
        <f t="shared" si="0"/>
        <v>0.97088605400620798</v>
      </c>
      <c r="D8">
        <f t="shared" si="1"/>
        <v>0.13570824100020762</v>
      </c>
      <c r="E8">
        <f t="shared" si="2"/>
        <v>1.8416726675370431E-2</v>
      </c>
    </row>
    <row r="9" spans="1:8" x14ac:dyDescent="0.25">
      <c r="A9">
        <v>0.83061371082500002</v>
      </c>
      <c r="B9">
        <v>1.543899028454734</v>
      </c>
      <c r="C9">
        <f t="shared" si="0"/>
        <v>1.1616969859124782</v>
      </c>
      <c r="D9">
        <f t="shared" si="1"/>
        <v>0.38220204254225587</v>
      </c>
      <c r="E9">
        <f t="shared" si="2"/>
        <v>0.14607840132347236</v>
      </c>
    </row>
    <row r="10" spans="1:8" x14ac:dyDescent="0.25">
      <c r="A10">
        <v>0.85417940927500002</v>
      </c>
      <c r="B10">
        <v>1.8425461634926101</v>
      </c>
      <c r="C10">
        <f t="shared" si="0"/>
        <v>1.3731030997726297</v>
      </c>
      <c r="D10">
        <f t="shared" si="1"/>
        <v>0.46944306371998046</v>
      </c>
      <c r="E10">
        <f t="shared" si="2"/>
        <v>0.22037679007480163</v>
      </c>
    </row>
    <row r="11" spans="1:8" x14ac:dyDescent="0.25">
      <c r="A11">
        <v>0.87774510772500003</v>
      </c>
      <c r="B11">
        <v>2.199856128627212</v>
      </c>
      <c r="C11">
        <f t="shared" si="0"/>
        <v>1.6017945578379673</v>
      </c>
      <c r="D11">
        <f t="shared" si="1"/>
        <v>0.59806157078924471</v>
      </c>
      <c r="E11">
        <f t="shared" si="2"/>
        <v>0.35767764245489875</v>
      </c>
    </row>
    <row r="12" spans="1:8" x14ac:dyDescent="0.25">
      <c r="A12">
        <v>0.90131080617499992</v>
      </c>
      <c r="B12">
        <v>2.3651786498088931</v>
      </c>
      <c r="C12">
        <f t="shared" si="0"/>
        <v>1.8421233250678859</v>
      </c>
      <c r="D12">
        <f t="shared" si="1"/>
        <v>0.52305532474100724</v>
      </c>
      <c r="E12">
        <f t="shared" si="2"/>
        <v>0.27358687273992055</v>
      </c>
    </row>
    <row r="13" spans="1:8" x14ac:dyDescent="0.25">
      <c r="A13">
        <v>0.92487650462500004</v>
      </c>
      <c r="B13">
        <v>2.7464870454376098</v>
      </c>
      <c r="C13">
        <f t="shared" si="0"/>
        <v>2.0857006115354113</v>
      </c>
      <c r="D13">
        <f t="shared" si="1"/>
        <v>0.66078643390219849</v>
      </c>
      <c r="E13">
        <f t="shared" si="2"/>
        <v>0.43663871122918452</v>
      </c>
    </row>
    <row r="14" spans="1:8" x14ac:dyDescent="0.25">
      <c r="A14">
        <v>0.94844220307499993</v>
      </c>
      <c r="B14">
        <v>2.8771451670166805</v>
      </c>
      <c r="C14">
        <f t="shared" si="0"/>
        <v>2.3211768024971056</v>
      </c>
      <c r="D14">
        <f t="shared" si="1"/>
        <v>0.55596836451957499</v>
      </c>
      <c r="E14">
        <f t="shared" si="2"/>
        <v>0.30910082234657099</v>
      </c>
    </row>
    <row r="15" spans="1:8" x14ac:dyDescent="0.25">
      <c r="A15">
        <v>0.97200790152500005</v>
      </c>
      <c r="B15">
        <v>2.9491404584990257</v>
      </c>
      <c r="C15">
        <f t="shared" si="0"/>
        <v>2.5343499238338381</v>
      </c>
      <c r="D15">
        <f t="shared" si="1"/>
        <v>0.41479053466518767</v>
      </c>
      <c r="E15">
        <f t="shared" si="2"/>
        <v>0.17205118764783225</v>
      </c>
    </row>
    <row r="16" spans="1:8" x14ac:dyDescent="0.25">
      <c r="A16">
        <v>0.99557359997499995</v>
      </c>
      <c r="B16">
        <v>2.8531467365225658</v>
      </c>
      <c r="C16">
        <f t="shared" si="0"/>
        <v>2.70876679268676</v>
      </c>
      <c r="D16">
        <f t="shared" si="1"/>
        <v>0.14437994383580577</v>
      </c>
      <c r="E16">
        <f t="shared" si="2"/>
        <v>2.0845568182030427E-2</v>
      </c>
    </row>
    <row r="17" spans="1:5" x14ac:dyDescent="0.25">
      <c r="A17">
        <v>1.0191392984249998</v>
      </c>
      <c r="B17">
        <v>2.815815844642831</v>
      </c>
      <c r="C17">
        <f t="shared" si="0"/>
        <v>2.8269632680833898</v>
      </c>
      <c r="D17">
        <f t="shared" si="1"/>
        <v>-1.1147423440558857E-2</v>
      </c>
      <c r="E17">
        <f t="shared" si="2"/>
        <v>1.2426504936312107E-4</v>
      </c>
    </row>
    <row r="18" spans="1:5" x14ac:dyDescent="0.25">
      <c r="A18">
        <v>1.042704996875</v>
      </c>
      <c r="B18">
        <v>2.714489138112123</v>
      </c>
      <c r="C18">
        <f t="shared" si="0"/>
        <v>2.8724131160634747</v>
      </c>
      <c r="D18">
        <f t="shared" si="1"/>
        <v>-0.15792397795135171</v>
      </c>
      <c r="E18">
        <f t="shared" si="2"/>
        <v>2.4939982811979022E-2</v>
      </c>
    </row>
    <row r="19" spans="1:5" x14ac:dyDescent="0.25">
      <c r="A19">
        <v>1.0662706953250001</v>
      </c>
      <c r="B19">
        <v>2.4265079721827427</v>
      </c>
      <c r="C19">
        <f t="shared" si="0"/>
        <v>2.8321006524454098</v>
      </c>
      <c r="D19">
        <f t="shared" si="1"/>
        <v>-0.40559268026266704</v>
      </c>
      <c r="E19">
        <f t="shared" si="2"/>
        <v>0.16450542228265405</v>
      </c>
    </row>
    <row r="20" spans="1:5" x14ac:dyDescent="0.25">
      <c r="A20">
        <v>1.089836393775</v>
      </c>
      <c r="B20">
        <v>2.1545257599161056</v>
      </c>
      <c r="C20">
        <f t="shared" si="0"/>
        <v>2.6994021626886591</v>
      </c>
      <c r="D20">
        <f t="shared" si="1"/>
        <v>-0.54487640277255345</v>
      </c>
      <c r="E20">
        <f t="shared" si="2"/>
        <v>0.29689029429835789</v>
      </c>
    </row>
    <row r="21" spans="1:5" x14ac:dyDescent="0.25">
      <c r="A21">
        <v>1.1134020922249999</v>
      </c>
      <c r="B21">
        <v>1.9892032387344243</v>
      </c>
      <c r="C21">
        <f t="shared" si="0"/>
        <v>2.4766953234046101</v>
      </c>
      <c r="D21">
        <f t="shared" si="1"/>
        <v>-0.48749208467018579</v>
      </c>
      <c r="E21">
        <f t="shared" si="2"/>
        <v>0.2376485326160836</v>
      </c>
    </row>
    <row r="22" spans="1:5" x14ac:dyDescent="0.25">
      <c r="A22">
        <v>1.136967790675</v>
      </c>
      <c r="B22">
        <v>1.722554011022035</v>
      </c>
      <c r="C22">
        <f t="shared" si="0"/>
        <v>2.1769063560400923</v>
      </c>
      <c r="D22">
        <f t="shared" si="1"/>
        <v>-0.45435234501805732</v>
      </c>
      <c r="E22">
        <f t="shared" si="2"/>
        <v>0.20643605342340779</v>
      </c>
    </row>
    <row r="23" spans="1:5" x14ac:dyDescent="0.25">
      <c r="A23">
        <v>1.1605334891250001</v>
      </c>
      <c r="B23">
        <v>1.4025749377671677</v>
      </c>
      <c r="C23">
        <f t="shared" si="0"/>
        <v>1.8231862833655756</v>
      </c>
      <c r="D23">
        <f t="shared" si="1"/>
        <v>-0.42061134559840796</v>
      </c>
      <c r="E23">
        <f t="shared" si="2"/>
        <v>0.17691390404610338</v>
      </c>
    </row>
    <row r="24" spans="1:5" x14ac:dyDescent="0.25">
      <c r="A24">
        <v>1.184099187575</v>
      </c>
      <c r="B24">
        <v>1.149258171440398</v>
      </c>
      <c r="C24">
        <f t="shared" si="0"/>
        <v>1.4462105196160777</v>
      </c>
      <c r="D24">
        <f t="shared" si="1"/>
        <v>-0.29695234817567973</v>
      </c>
      <c r="E24">
        <f t="shared" si="2"/>
        <v>8.8180697087050119E-2</v>
      </c>
    </row>
    <row r="25" spans="1:5" x14ac:dyDescent="0.25">
      <c r="A25">
        <v>1.2076648860249999</v>
      </c>
      <c r="B25">
        <v>0.85861051323389359</v>
      </c>
      <c r="C25">
        <f t="shared" si="0"/>
        <v>1.0792569510669272</v>
      </c>
      <c r="D25">
        <f t="shared" si="1"/>
        <v>-0.22064643783303362</v>
      </c>
      <c r="E25">
        <f t="shared" si="2"/>
        <v>4.8684850528406765E-2</v>
      </c>
    </row>
    <row r="26" spans="1:5" x14ac:dyDescent="0.25">
      <c r="A26">
        <v>1.231230584475</v>
      </c>
      <c r="B26">
        <v>0.73328537620907064</v>
      </c>
      <c r="C26">
        <f t="shared" si="0"/>
        <v>0.75208562554162173</v>
      </c>
      <c r="D26">
        <f t="shared" si="1"/>
        <v>-1.8800249332551089E-2</v>
      </c>
      <c r="E26">
        <f t="shared" si="2"/>
        <v>3.5344937496608768E-4</v>
      </c>
    </row>
    <row r="27" spans="1:5" x14ac:dyDescent="0.25">
      <c r="A27">
        <v>1.2547962829249999</v>
      </c>
      <c r="B27">
        <v>0.56529636275026529</v>
      </c>
      <c r="C27">
        <f t="shared" si="0"/>
        <v>0.4853552137370663</v>
      </c>
      <c r="D27">
        <f t="shared" si="1"/>
        <v>7.9941149013198987E-2</v>
      </c>
      <c r="E27">
        <f t="shared" si="2"/>
        <v>6.3905873055504856E-3</v>
      </c>
    </row>
    <row r="28" spans="1:5" x14ac:dyDescent="0.25">
      <c r="A28">
        <v>1.278361981375</v>
      </c>
      <c r="B28">
        <v>0.38930787246008841</v>
      </c>
      <c r="C28">
        <f t="shared" si="0"/>
        <v>0.28742060456376944</v>
      </c>
      <c r="D28">
        <f t="shared" si="1"/>
        <v>0.10188726789631897</v>
      </c>
      <c r="E28">
        <f t="shared" si="2"/>
        <v>1.038101535937627E-2</v>
      </c>
    </row>
    <row r="29" spans="1:5" x14ac:dyDescent="0.25">
      <c r="A29">
        <v>1.3019276798249999</v>
      </c>
      <c r="B29">
        <v>0.2799816890980088</v>
      </c>
      <c r="C29">
        <f t="shared" si="0"/>
        <v>0.1546112116635574</v>
      </c>
      <c r="D29">
        <f t="shared" si="1"/>
        <v>0.1253704774344514</v>
      </c>
      <c r="E29">
        <f t="shared" si="2"/>
        <v>1.5717756612142288E-2</v>
      </c>
    </row>
    <row r="30" spans="1:5" x14ac:dyDescent="0.25">
      <c r="A30">
        <v>1.325493378275</v>
      </c>
      <c r="B30">
        <v>0.18932095167579641</v>
      </c>
      <c r="C30">
        <f t="shared" si="0"/>
        <v>7.4709821373566757E-2</v>
      </c>
      <c r="D30">
        <f t="shared" si="1"/>
        <v>0.11461113030222965</v>
      </c>
      <c r="E30">
        <f t="shared" si="2"/>
        <v>1.3135711189154664E-2</v>
      </c>
    </row>
    <row r="31" spans="1:5" x14ac:dyDescent="0.25">
      <c r="A31">
        <v>1.3490590767250001</v>
      </c>
      <c r="B31">
        <v>0.11999215247057519</v>
      </c>
      <c r="C31">
        <f t="shared" si="0"/>
        <v>3.2032490835506577E-2</v>
      </c>
      <c r="D31">
        <f t="shared" si="1"/>
        <v>8.7959661635068617E-2</v>
      </c>
      <c r="E31">
        <f t="shared" si="2"/>
        <v>7.7369020749557616E-3</v>
      </c>
    </row>
    <row r="32" spans="1:5" x14ac:dyDescent="0.25">
      <c r="A32">
        <v>1.372624775175</v>
      </c>
      <c r="B32">
        <v>5.0663353265353969E-2</v>
      </c>
      <c r="C32">
        <f t="shared" si="0"/>
        <v>1.2023162910251371E-2</v>
      </c>
      <c r="D32">
        <f t="shared" si="1"/>
        <v>3.8640190355102598E-2</v>
      </c>
      <c r="E32">
        <f t="shared" si="2"/>
        <v>1.4930643106785639E-3</v>
      </c>
    </row>
    <row r="33" spans="1:5" x14ac:dyDescent="0.25">
      <c r="A33">
        <v>1.3961904736249999</v>
      </c>
      <c r="B33">
        <v>5.0663353265353969E-2</v>
      </c>
      <c r="C33">
        <f t="shared" si="0"/>
        <v>3.892569541309795E-3</v>
      </c>
      <c r="D33">
        <f t="shared" si="1"/>
        <v>4.6770783724044175E-2</v>
      </c>
      <c r="E33">
        <f t="shared" si="2"/>
        <v>2.1875062101613155E-3</v>
      </c>
    </row>
    <row r="34" spans="1:5" x14ac:dyDescent="0.25">
      <c r="A34">
        <v>1.4197561720749998</v>
      </c>
      <c r="B34">
        <v>2.1331938216991145E-2</v>
      </c>
      <c r="C34">
        <f t="shared" si="0"/>
        <v>1.0695761532498091E-3</v>
      </c>
      <c r="D34">
        <f t="shared" si="1"/>
        <v>2.0262362063741338E-2</v>
      </c>
      <c r="E34">
        <f t="shared" si="2"/>
        <v>4.1056331640214414E-4</v>
      </c>
    </row>
    <row r="35" spans="1:5" x14ac:dyDescent="0.25">
      <c r="A35">
        <v>1.4433218705249997</v>
      </c>
      <c r="B35">
        <v>5.3329845542477864E-3</v>
      </c>
      <c r="C35">
        <f t="shared" si="0"/>
        <v>2.4505373233900152E-4</v>
      </c>
      <c r="D35">
        <f t="shared" si="1"/>
        <v>5.087930821908785E-3</v>
      </c>
      <c r="E35">
        <f t="shared" si="2"/>
        <v>2.5887040048529405E-5</v>
      </c>
    </row>
    <row r="36" spans="1:5" x14ac:dyDescent="0.25">
      <c r="A36">
        <v>1.4668875689749998</v>
      </c>
      <c r="B36">
        <v>2.6664922771238932E-3</v>
      </c>
      <c r="C36">
        <f t="shared" si="0"/>
        <v>4.5920110782098895E-5</v>
      </c>
      <c r="D36">
        <f t="shared" si="1"/>
        <v>2.6205721663417943E-3</v>
      </c>
      <c r="E36">
        <f t="shared" si="2"/>
        <v>6.8673984790053251E-6</v>
      </c>
    </row>
    <row r="37" spans="1:5" x14ac:dyDescent="0.25">
      <c r="A37">
        <v>1.490453267425</v>
      </c>
      <c r="B37">
        <v>0</v>
      </c>
      <c r="C37">
        <f t="shared" si="0"/>
        <v>6.8913663294937795E-6</v>
      </c>
      <c r="D37">
        <f t="shared" si="1"/>
        <v>-6.8913663294937795E-6</v>
      </c>
      <c r="E37">
        <f t="shared" si="2"/>
        <v>4.7490929887280566E-11</v>
      </c>
    </row>
    <row r="38" spans="1:5" x14ac:dyDescent="0.25">
      <c r="A38">
        <v>1.5140189658750001</v>
      </c>
      <c r="B38">
        <v>0</v>
      </c>
      <c r="C38">
        <f t="shared" si="0"/>
        <v>8.0953514711364954E-7</v>
      </c>
      <c r="D38">
        <f t="shared" si="1"/>
        <v>-8.0953514711364954E-7</v>
      </c>
      <c r="E38">
        <f t="shared" si="2"/>
        <v>6.5534715441231821E-13</v>
      </c>
    </row>
    <row r="39" spans="1:5" x14ac:dyDescent="0.25">
      <c r="A39">
        <v>1.537584664325</v>
      </c>
      <c r="B39">
        <v>0</v>
      </c>
      <c r="C39">
        <f t="shared" si="0"/>
        <v>7.261126550084801E-8</v>
      </c>
      <c r="D39">
        <f t="shared" si="1"/>
        <v>-7.261126550084801E-8</v>
      </c>
      <c r="E39">
        <f t="shared" si="2"/>
        <v>5.2723958776346402E-15</v>
      </c>
    </row>
    <row r="40" spans="1:5" x14ac:dyDescent="0.25">
      <c r="A40">
        <v>1.5611503627749999</v>
      </c>
      <c r="B40">
        <v>2.6664922771238932E-3</v>
      </c>
      <c r="C40">
        <f t="shared" si="0"/>
        <v>4.8406595142874233E-9</v>
      </c>
      <c r="D40">
        <f t="shared" si="1"/>
        <v>2.6664874364643789E-3</v>
      </c>
      <c r="E40">
        <f t="shared" si="2"/>
        <v>7.1101552488223754E-6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25E8D-346A-4289-9584-C463434BA3C8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0.76597100090000003</v>
      </c>
      <c r="B1">
        <v>1.4924435301358129E-2</v>
      </c>
      <c r="C1">
        <f>$H$3*(1+$H$1)*(A1^($H$1))*EXP(-$H$3*(A1^(1+$H$1)))</f>
        <v>0.30960926112469778</v>
      </c>
      <c r="D1">
        <f>B1-C1</f>
        <v>-0.29468482582333966</v>
      </c>
      <c r="E1">
        <f>D1^2</f>
        <v>8.683914657053203E-2</v>
      </c>
      <c r="G1" t="s">
        <v>0</v>
      </c>
      <c r="H1">
        <v>12.016979590373598</v>
      </c>
    </row>
    <row r="2" spans="1:8" x14ac:dyDescent="0.25">
      <c r="A2">
        <v>0.78281151869999999</v>
      </c>
      <c r="B2">
        <v>0.10820215593484644</v>
      </c>
      <c r="C2">
        <f t="shared" ref="C2:C40" si="0">$H$3*(1+$H$1)*(A2^($H$1))*EXP(-$H$3*(A2^(1+$H$1)))</f>
        <v>0.39964583992614888</v>
      </c>
      <c r="D2">
        <f t="shared" ref="D2:D40" si="1">B2-C2</f>
        <v>-0.29144368399130244</v>
      </c>
      <c r="E2">
        <f t="shared" ref="E2:E40" si="2">D2^2</f>
        <v>8.4939420938422161E-2</v>
      </c>
    </row>
    <row r="3" spans="1:8" x14ac:dyDescent="0.25">
      <c r="A3">
        <v>0.79965203650000005</v>
      </c>
      <c r="B3">
        <v>0.22013542069503242</v>
      </c>
      <c r="C3">
        <f t="shared" si="0"/>
        <v>0.51208610241913854</v>
      </c>
      <c r="D3">
        <f t="shared" si="1"/>
        <v>-0.2919506817241061</v>
      </c>
      <c r="E3">
        <f t="shared" si="2"/>
        <v>8.5235200559170304E-2</v>
      </c>
      <c r="G3" t="s">
        <v>1</v>
      </c>
      <c r="H3">
        <f>(_xlfn.GAMMA((2+$H$1)/(1+$H$1)))^(1+$H$1)</f>
        <v>0.59673607105669491</v>
      </c>
    </row>
    <row r="4" spans="1:8" x14ac:dyDescent="0.25">
      <c r="A4">
        <v>0.81649255430000012</v>
      </c>
      <c r="B4">
        <v>0.37311088253395325</v>
      </c>
      <c r="C4">
        <f t="shared" si="0"/>
        <v>0.65119695688833257</v>
      </c>
      <c r="D4">
        <f t="shared" si="1"/>
        <v>-0.27808607435437932</v>
      </c>
      <c r="E4">
        <f t="shared" si="2"/>
        <v>7.7331864749829379E-2</v>
      </c>
    </row>
    <row r="5" spans="1:8" x14ac:dyDescent="0.25">
      <c r="A5">
        <v>0.83333307210000007</v>
      </c>
      <c r="B5">
        <v>0.66040626208509723</v>
      </c>
      <c r="C5">
        <f t="shared" si="0"/>
        <v>0.82153185143520702</v>
      </c>
      <c r="D5">
        <f t="shared" si="1"/>
        <v>-0.16112558935010979</v>
      </c>
      <c r="E5">
        <f t="shared" si="2"/>
        <v>2.5961455543420213E-2</v>
      </c>
      <c r="G5" t="s">
        <v>2</v>
      </c>
      <c r="H5">
        <f>SUM(E1:E40)</f>
        <v>8.83845288222326</v>
      </c>
    </row>
    <row r="6" spans="1:8" x14ac:dyDescent="0.25">
      <c r="A6">
        <v>0.85017358990000003</v>
      </c>
      <c r="B6">
        <v>1.0148616004923527</v>
      </c>
      <c r="C6">
        <f t="shared" si="0"/>
        <v>1.0276762216989712</v>
      </c>
      <c r="D6">
        <f t="shared" si="1"/>
        <v>-1.2814621206618471E-2</v>
      </c>
      <c r="E6">
        <f t="shared" si="2"/>
        <v>1.6421451666911584E-4</v>
      </c>
    </row>
    <row r="7" spans="1:8" x14ac:dyDescent="0.25">
      <c r="A7">
        <v>0.86701410769999998</v>
      </c>
      <c r="B7">
        <v>1.4625946595330968</v>
      </c>
      <c r="C7">
        <f t="shared" si="0"/>
        <v>1.2738261566159184</v>
      </c>
      <c r="D7">
        <f t="shared" si="1"/>
        <v>0.18876850291717839</v>
      </c>
      <c r="E7">
        <f t="shared" si="2"/>
        <v>3.5633547693592789E-2</v>
      </c>
    </row>
    <row r="8" spans="1:8" x14ac:dyDescent="0.25">
      <c r="A8">
        <v>0.88385462550000005</v>
      </c>
      <c r="B8">
        <v>2.033454309810045</v>
      </c>
      <c r="C8">
        <f t="shared" si="0"/>
        <v>1.5631461195865897</v>
      </c>
      <c r="D8">
        <f t="shared" si="1"/>
        <v>0.47030819022345538</v>
      </c>
      <c r="E8">
        <f t="shared" si="2"/>
        <v>0.22118979379126189</v>
      </c>
    </row>
    <row r="9" spans="1:8" x14ac:dyDescent="0.25">
      <c r="A9">
        <v>0.90069514330000011</v>
      </c>
      <c r="B9">
        <v>2.5073051306281657</v>
      </c>
      <c r="C9">
        <f t="shared" si="0"/>
        <v>1.8968538442671352</v>
      </c>
      <c r="D9">
        <f t="shared" si="1"/>
        <v>0.61045128636103052</v>
      </c>
      <c r="E9">
        <f t="shared" si="2"/>
        <v>0.3726507730198369</v>
      </c>
    </row>
    <row r="10" spans="1:8" x14ac:dyDescent="0.25">
      <c r="A10">
        <v>0.91753566110000007</v>
      </c>
      <c r="B10">
        <v>3.231140242744035</v>
      </c>
      <c r="C10">
        <f t="shared" si="0"/>
        <v>2.2730003847480189</v>
      </c>
      <c r="D10">
        <f t="shared" si="1"/>
        <v>0.95813985799601609</v>
      </c>
      <c r="E10">
        <f t="shared" si="2"/>
        <v>0.91803198748062587</v>
      </c>
    </row>
    <row r="11" spans="1:8" x14ac:dyDescent="0.25">
      <c r="A11">
        <v>0.93437617890000002</v>
      </c>
      <c r="B11">
        <v>3.7311088253395326</v>
      </c>
      <c r="C11">
        <f t="shared" si="0"/>
        <v>2.6849636978032629</v>
      </c>
      <c r="D11">
        <f t="shared" si="1"/>
        <v>1.0461451275362696</v>
      </c>
      <c r="E11">
        <f t="shared" si="2"/>
        <v>1.0944196278678779</v>
      </c>
    </row>
    <row r="12" spans="1:8" x14ac:dyDescent="0.25">
      <c r="A12">
        <v>0.95121669669999998</v>
      </c>
      <c r="B12">
        <v>4.0781019460961092</v>
      </c>
      <c r="C12">
        <f t="shared" si="0"/>
        <v>3.1197707681756088</v>
      </c>
      <c r="D12">
        <f t="shared" si="1"/>
        <v>0.95833117792050038</v>
      </c>
      <c r="E12">
        <f t="shared" si="2"/>
        <v>0.91839864657449377</v>
      </c>
    </row>
    <row r="13" spans="1:8" x14ac:dyDescent="0.25">
      <c r="A13">
        <v>0.96805721450000004</v>
      </c>
      <c r="B13">
        <v>4.4586750462807414</v>
      </c>
      <c r="C13">
        <f t="shared" si="0"/>
        <v>3.5565196333815554</v>
      </c>
      <c r="D13">
        <f t="shared" si="1"/>
        <v>0.90215541289918599</v>
      </c>
      <c r="E13">
        <f t="shared" si="2"/>
        <v>0.81388438902330074</v>
      </c>
    </row>
    <row r="14" spans="1:8" x14ac:dyDescent="0.25">
      <c r="A14">
        <v>0.98489773230000011</v>
      </c>
      <c r="B14">
        <v>4.5482216580888899</v>
      </c>
      <c r="C14">
        <f t="shared" si="0"/>
        <v>3.9653884698341324</v>
      </c>
      <c r="D14">
        <f t="shared" si="1"/>
        <v>0.58283318825475749</v>
      </c>
      <c r="E14">
        <f t="shared" si="2"/>
        <v>0.33969452533120559</v>
      </c>
    </row>
    <row r="15" spans="1:8" x14ac:dyDescent="0.25">
      <c r="A15">
        <v>1.0017382501000001</v>
      </c>
      <c r="B15">
        <v>4.6713482493250948</v>
      </c>
      <c r="C15">
        <f t="shared" si="0"/>
        <v>4.3079599010645921</v>
      </c>
      <c r="D15">
        <f t="shared" si="1"/>
        <v>0.3633883482605027</v>
      </c>
      <c r="E15">
        <f t="shared" si="2"/>
        <v>0.13205109165149639</v>
      </c>
    </row>
    <row r="16" spans="1:8" x14ac:dyDescent="0.25">
      <c r="A16">
        <v>1.0185787679</v>
      </c>
      <c r="B16">
        <v>4.4101706315513276</v>
      </c>
      <c r="C16">
        <f t="shared" si="0"/>
        <v>4.5397595816668037</v>
      </c>
      <c r="D16">
        <f t="shared" si="1"/>
        <v>-0.12958895011547611</v>
      </c>
      <c r="E16">
        <f t="shared" si="2"/>
        <v>1.6793295992031356E-2</v>
      </c>
    </row>
    <row r="17" spans="1:5" x14ac:dyDescent="0.25">
      <c r="A17">
        <v>1.0354192857</v>
      </c>
      <c r="B17">
        <v>3.9960175519386394</v>
      </c>
      <c r="C17">
        <f t="shared" si="0"/>
        <v>4.6158320130602943</v>
      </c>
      <c r="D17">
        <f t="shared" si="1"/>
        <v>-0.61981446112165495</v>
      </c>
      <c r="E17">
        <f t="shared" si="2"/>
        <v>0.38416996621552751</v>
      </c>
    </row>
    <row r="18" spans="1:5" x14ac:dyDescent="0.25">
      <c r="A18">
        <v>1.0522598035000001</v>
      </c>
      <c r="B18">
        <v>3.663948866483421</v>
      </c>
      <c r="C18">
        <f t="shared" si="0"/>
        <v>4.4996132495373233</v>
      </c>
      <c r="D18">
        <f t="shared" si="1"/>
        <v>-0.83566438305390234</v>
      </c>
      <c r="E18">
        <f t="shared" si="2"/>
        <v>0.69833496110485926</v>
      </c>
    </row>
    <row r="19" spans="1:5" x14ac:dyDescent="0.25">
      <c r="A19">
        <v>1.0691003213000001</v>
      </c>
      <c r="B19">
        <v>3.2871068751241279</v>
      </c>
      <c r="C19">
        <f t="shared" si="0"/>
        <v>4.1741138397448747</v>
      </c>
      <c r="D19">
        <f t="shared" si="1"/>
        <v>-0.8870069646207468</v>
      </c>
      <c r="E19">
        <f t="shared" si="2"/>
        <v>0.7867813552857108</v>
      </c>
    </row>
    <row r="20" spans="1:5" x14ac:dyDescent="0.25">
      <c r="A20">
        <v>1.0859408391000001</v>
      </c>
      <c r="B20">
        <v>2.802062727829989</v>
      </c>
      <c r="C20">
        <f t="shared" si="0"/>
        <v>3.6525800146771452</v>
      </c>
      <c r="D20">
        <f t="shared" si="1"/>
        <v>-0.85051728684715622</v>
      </c>
      <c r="E20">
        <f t="shared" si="2"/>
        <v>0.7233796552258478</v>
      </c>
    </row>
    <row r="21" spans="1:5" x14ac:dyDescent="0.25">
      <c r="A21">
        <v>1.1027813569</v>
      </c>
      <c r="B21">
        <v>2.3207496893611892</v>
      </c>
      <c r="C21">
        <f t="shared" si="0"/>
        <v>2.9840273031302895</v>
      </c>
      <c r="D21">
        <f t="shared" si="1"/>
        <v>-0.66327761376910033</v>
      </c>
      <c r="E21">
        <f t="shared" si="2"/>
        <v>0.43993719292723182</v>
      </c>
    </row>
    <row r="22" spans="1:5" x14ac:dyDescent="0.25">
      <c r="A22">
        <v>1.1196218747</v>
      </c>
      <c r="B22">
        <v>1.6267634478480362</v>
      </c>
      <c r="C22">
        <f t="shared" si="0"/>
        <v>2.248712556611272</v>
      </c>
      <c r="D22">
        <f t="shared" si="1"/>
        <v>-0.62194910876323584</v>
      </c>
      <c r="E22">
        <f t="shared" si="2"/>
        <v>0.38682069389138335</v>
      </c>
    </row>
    <row r="23" spans="1:5" x14ac:dyDescent="0.25">
      <c r="A23">
        <v>1.1364623925000001</v>
      </c>
      <c r="B23">
        <v>1.3581236124235898</v>
      </c>
      <c r="C23">
        <f t="shared" si="0"/>
        <v>1.5412750252313558</v>
      </c>
      <c r="D23">
        <f t="shared" si="1"/>
        <v>-0.18315141280776603</v>
      </c>
      <c r="E23">
        <f t="shared" si="2"/>
        <v>3.3544440013480725E-2</v>
      </c>
    </row>
    <row r="24" spans="1:5" x14ac:dyDescent="0.25">
      <c r="A24">
        <v>1.1533029103000001</v>
      </c>
      <c r="B24">
        <v>1.0409793622697296</v>
      </c>
      <c r="C24">
        <f t="shared" si="0"/>
        <v>0.94520779315126735</v>
      </c>
      <c r="D24">
        <f t="shared" si="1"/>
        <v>9.5771569118462296E-2</v>
      </c>
      <c r="E24">
        <f t="shared" si="2"/>
        <v>9.1721934514124009E-3</v>
      </c>
    </row>
    <row r="25" spans="1:5" x14ac:dyDescent="0.25">
      <c r="A25">
        <v>1.1701434281</v>
      </c>
      <c r="B25">
        <v>0.73875954741722738</v>
      </c>
      <c r="C25">
        <f t="shared" si="0"/>
        <v>0.50888125183905608</v>
      </c>
      <c r="D25">
        <f t="shared" si="1"/>
        <v>0.2298782955781713</v>
      </c>
      <c r="E25">
        <f t="shared" si="2"/>
        <v>5.2844030777925093E-2</v>
      </c>
    </row>
    <row r="26" spans="1:5" x14ac:dyDescent="0.25">
      <c r="A26">
        <v>1.1869839459</v>
      </c>
      <c r="B26">
        <v>0.44400195021540434</v>
      </c>
      <c r="C26">
        <f t="shared" si="0"/>
        <v>0.23527826885270609</v>
      </c>
      <c r="D26">
        <f t="shared" si="1"/>
        <v>0.20872368136269825</v>
      </c>
      <c r="E26">
        <f t="shared" si="2"/>
        <v>4.3565575161597189E-2</v>
      </c>
    </row>
    <row r="27" spans="1:5" x14ac:dyDescent="0.25">
      <c r="A27">
        <v>1.2038244637</v>
      </c>
      <c r="B27">
        <v>0.27983316190046492</v>
      </c>
      <c r="C27">
        <f t="shared" si="0"/>
        <v>9.1068596863642062E-2</v>
      </c>
      <c r="D27">
        <f t="shared" si="1"/>
        <v>0.18876456503682287</v>
      </c>
      <c r="E27">
        <f t="shared" si="2"/>
        <v>3.5632061013540932E-2</v>
      </c>
    </row>
    <row r="28" spans="1:5" x14ac:dyDescent="0.25">
      <c r="A28">
        <v>1.2206649814999999</v>
      </c>
      <c r="B28">
        <v>0.13805102653756271</v>
      </c>
      <c r="C28">
        <f t="shared" si="0"/>
        <v>2.8656877944947194E-2</v>
      </c>
      <c r="D28">
        <f t="shared" si="1"/>
        <v>0.10939414859261551</v>
      </c>
      <c r="E28">
        <f t="shared" si="2"/>
        <v>1.1967079746303242E-2</v>
      </c>
    </row>
    <row r="29" spans="1:5" x14ac:dyDescent="0.25">
      <c r="A29">
        <v>1.2375054993000001</v>
      </c>
      <c r="B29">
        <v>7.8353285332130179E-2</v>
      </c>
      <c r="C29">
        <f t="shared" si="0"/>
        <v>7.0874845276321756E-3</v>
      </c>
      <c r="D29">
        <f t="shared" si="1"/>
        <v>7.1265800804498E-2</v>
      </c>
      <c r="E29">
        <f t="shared" si="2"/>
        <v>5.0788143643063881E-3</v>
      </c>
    </row>
    <row r="30" spans="1:5" x14ac:dyDescent="0.25">
      <c r="A30">
        <v>1.2543460171</v>
      </c>
      <c r="B30">
        <v>6.3428850030772047E-2</v>
      </c>
      <c r="C30">
        <f t="shared" si="0"/>
        <v>1.3252857729975137E-3</v>
      </c>
      <c r="D30">
        <f t="shared" si="1"/>
        <v>6.2103564257774531E-2</v>
      </c>
      <c r="E30">
        <f t="shared" si="2"/>
        <v>3.85685269351953E-3</v>
      </c>
    </row>
    <row r="31" spans="1:5" x14ac:dyDescent="0.25">
      <c r="A31">
        <v>1.2711865349</v>
      </c>
      <c r="B31">
        <v>1.1193326476018598E-2</v>
      </c>
      <c r="C31">
        <f t="shared" si="0"/>
        <v>1.7921223212593245E-4</v>
      </c>
      <c r="D31">
        <f t="shared" si="1"/>
        <v>1.1014114243892665E-2</v>
      </c>
      <c r="E31">
        <f t="shared" si="2"/>
        <v>1.2131071257751929E-4</v>
      </c>
    </row>
    <row r="32" spans="1:5" x14ac:dyDescent="0.25">
      <c r="A32">
        <v>1.2880270527000002</v>
      </c>
      <c r="B32">
        <v>3.7311088253395323E-3</v>
      </c>
      <c r="C32">
        <f t="shared" si="0"/>
        <v>1.6655946041143175E-5</v>
      </c>
      <c r="D32">
        <f t="shared" si="1"/>
        <v>3.7144528792983893E-3</v>
      </c>
      <c r="E32">
        <f t="shared" si="2"/>
        <v>1.3797160192528095E-5</v>
      </c>
    </row>
    <row r="33" spans="1:5" x14ac:dyDescent="0.25">
      <c r="A33">
        <v>1.3048675705000001</v>
      </c>
      <c r="B33">
        <v>0</v>
      </c>
      <c r="C33">
        <f t="shared" si="0"/>
        <v>1.0038719052356815E-6</v>
      </c>
      <c r="D33">
        <f t="shared" si="1"/>
        <v>-1.0038719052356815E-6</v>
      </c>
      <c r="E33">
        <f t="shared" si="2"/>
        <v>1.0077588021215172E-12</v>
      </c>
    </row>
    <row r="34" spans="1:5" x14ac:dyDescent="0.25">
      <c r="A34">
        <v>1.3217080883000001</v>
      </c>
      <c r="B34">
        <v>0</v>
      </c>
      <c r="C34">
        <f t="shared" si="0"/>
        <v>3.6721822687287648E-8</v>
      </c>
      <c r="D34">
        <f t="shared" si="1"/>
        <v>-3.6721822687287648E-8</v>
      </c>
      <c r="E34">
        <f t="shared" si="2"/>
        <v>1.3484922614765937E-15</v>
      </c>
    </row>
    <row r="35" spans="1:5" x14ac:dyDescent="0.25">
      <c r="A35">
        <v>1.3385486061</v>
      </c>
      <c r="B35">
        <v>0</v>
      </c>
      <c r="C35">
        <f t="shared" si="0"/>
        <v>7.5607291243332144E-10</v>
      </c>
      <c r="D35">
        <f t="shared" si="1"/>
        <v>-7.5607291243332144E-10</v>
      </c>
      <c r="E35">
        <f t="shared" si="2"/>
        <v>5.716462489154049E-19</v>
      </c>
    </row>
    <row r="36" spans="1:5" x14ac:dyDescent="0.25">
      <c r="A36">
        <v>1.3553891239</v>
      </c>
      <c r="B36">
        <v>0</v>
      </c>
      <c r="C36">
        <f t="shared" si="0"/>
        <v>8.042546834537628E-12</v>
      </c>
      <c r="D36">
        <f t="shared" si="1"/>
        <v>-8.042546834537628E-12</v>
      </c>
      <c r="E36">
        <f t="shared" si="2"/>
        <v>6.4682559585731219E-23</v>
      </c>
    </row>
    <row r="37" spans="1:5" x14ac:dyDescent="0.25">
      <c r="A37">
        <v>1.3722296416999999</v>
      </c>
      <c r="B37">
        <v>0</v>
      </c>
      <c r="C37">
        <f t="shared" si="0"/>
        <v>4.0106277599982854E-14</v>
      </c>
      <c r="D37">
        <f t="shared" si="1"/>
        <v>-4.0106277599982854E-14</v>
      </c>
      <c r="E37">
        <f t="shared" si="2"/>
        <v>1.6085135029268864E-27</v>
      </c>
    </row>
    <row r="38" spans="1:5" x14ac:dyDescent="0.25">
      <c r="A38">
        <v>1.3890701594999999</v>
      </c>
      <c r="B38">
        <v>0</v>
      </c>
      <c r="C38">
        <f t="shared" si="0"/>
        <v>8.3989232901399953E-17</v>
      </c>
      <c r="D38">
        <f t="shared" si="1"/>
        <v>-8.3989232901399953E-17</v>
      </c>
      <c r="E38">
        <f t="shared" si="2"/>
        <v>7.0541912433656039E-33</v>
      </c>
    </row>
    <row r="39" spans="1:5" x14ac:dyDescent="0.25">
      <c r="A39">
        <v>1.4059106773000001</v>
      </c>
      <c r="B39">
        <v>0</v>
      </c>
      <c r="C39">
        <f t="shared" si="0"/>
        <v>6.521955084123591E-20</v>
      </c>
      <c r="D39">
        <f t="shared" si="1"/>
        <v>-6.521955084123591E-20</v>
      </c>
      <c r="E39">
        <f t="shared" si="2"/>
        <v>4.2535898119325554E-39</v>
      </c>
    </row>
    <row r="40" spans="1:5" x14ac:dyDescent="0.25">
      <c r="A40">
        <v>1.4227511951</v>
      </c>
      <c r="B40">
        <v>3.7311088253395323E-3</v>
      </c>
      <c r="C40">
        <f t="shared" si="0"/>
        <v>1.6317195402583128E-23</v>
      </c>
      <c r="D40">
        <f t="shared" si="1"/>
        <v>3.7311088253395323E-3</v>
      </c>
      <c r="E40">
        <f t="shared" si="2"/>
        <v>1.3921173066526545E-5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41290-9D58-4C27-919C-962B53CC1D45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0.83253193672499992</v>
      </c>
      <c r="B1">
        <v>2.3315717601018797E-2</v>
      </c>
      <c r="C1">
        <f>$H$3*(1+$H$1)*(A1^($H$1))*EXP(-$H$3*(A1^(1+$H$1)))</f>
        <v>0.43652751725402178</v>
      </c>
      <c r="D1">
        <f>B1-C1</f>
        <v>-0.41321179965300298</v>
      </c>
      <c r="E1">
        <f>D1^2</f>
        <v>0.17074399137247348</v>
      </c>
      <c r="G1" t="s">
        <v>0</v>
      </c>
      <c r="H1">
        <v>17.386985443994103</v>
      </c>
    </row>
    <row r="2" spans="1:8" x14ac:dyDescent="0.25">
      <c r="A2">
        <v>0.84600649617500001</v>
      </c>
      <c r="B2">
        <v>0.18186259728794663</v>
      </c>
      <c r="C2">
        <f t="shared" ref="C2:C40" si="0">$H$3*(1+$H$1)*(A2^($H$1))*EXP(-$H$3*(A2^(1+$H$1)))</f>
        <v>0.5731121971054387</v>
      </c>
      <c r="D2">
        <f t="shared" ref="D2:D40" si="1">B2-C2</f>
        <v>-0.39124959981749208</v>
      </c>
      <c r="E2">
        <f t="shared" ref="E2:E40" si="2">D2^2</f>
        <v>0.1530762493573477</v>
      </c>
    </row>
    <row r="3" spans="1:8" x14ac:dyDescent="0.25">
      <c r="A3">
        <v>0.85948105562499988</v>
      </c>
      <c r="B3">
        <v>0.3357463334546707</v>
      </c>
      <c r="C3">
        <f t="shared" si="0"/>
        <v>0.74746788028281042</v>
      </c>
      <c r="D3">
        <f t="shared" si="1"/>
        <v>-0.41172154682813972</v>
      </c>
      <c r="E3">
        <f t="shared" si="2"/>
        <v>0.16951463212255605</v>
      </c>
      <c r="G3" t="s">
        <v>1</v>
      </c>
      <c r="H3">
        <f>(_xlfn.GAMMA((2+$H$1)/(1+$H$1)))^(1+$H$1)</f>
        <v>0.58647331180922924</v>
      </c>
    </row>
    <row r="4" spans="1:8" x14ac:dyDescent="0.25">
      <c r="A4">
        <v>0.87295561507499997</v>
      </c>
      <c r="B4">
        <v>0.62019808818709998</v>
      </c>
      <c r="C4">
        <f t="shared" si="0"/>
        <v>0.96793576968593509</v>
      </c>
      <c r="D4">
        <f t="shared" si="1"/>
        <v>-0.34773768149883511</v>
      </c>
      <c r="E4">
        <f t="shared" si="2"/>
        <v>0.12092149513418529</v>
      </c>
    </row>
    <row r="5" spans="1:8" x14ac:dyDescent="0.25">
      <c r="A5">
        <v>0.88643017452499995</v>
      </c>
      <c r="B5">
        <v>1.184438454131755</v>
      </c>
      <c r="C5">
        <f t="shared" si="0"/>
        <v>1.2436493917064724</v>
      </c>
      <c r="D5">
        <f t="shared" si="1"/>
        <v>-5.9210937574717404E-2</v>
      </c>
      <c r="E5">
        <f t="shared" si="2"/>
        <v>3.5059351284770814E-3</v>
      </c>
      <c r="G5" t="s">
        <v>2</v>
      </c>
      <c r="H5">
        <f>SUM(E1:E40)</f>
        <v>16.662972961945268</v>
      </c>
    </row>
    <row r="6" spans="1:8" x14ac:dyDescent="0.25">
      <c r="A6">
        <v>0.89990473397499993</v>
      </c>
      <c r="B6">
        <v>1.7160368154349834</v>
      </c>
      <c r="C6">
        <f t="shared" si="0"/>
        <v>1.5839590685428837</v>
      </c>
      <c r="D6">
        <f t="shared" si="1"/>
        <v>0.13207774689209972</v>
      </c>
      <c r="E6">
        <f t="shared" si="2"/>
        <v>1.7444531224093559E-2</v>
      </c>
    </row>
    <row r="7" spans="1:8" x14ac:dyDescent="0.25">
      <c r="A7">
        <v>0.91337929342499991</v>
      </c>
      <c r="B7">
        <v>2.564728936112068</v>
      </c>
      <c r="C7">
        <f t="shared" si="0"/>
        <v>1.9973717175929411</v>
      </c>
      <c r="D7">
        <f t="shared" si="1"/>
        <v>0.5673572185191269</v>
      </c>
      <c r="E7">
        <f t="shared" si="2"/>
        <v>0.3218942134057603</v>
      </c>
    </row>
    <row r="8" spans="1:8" x14ac:dyDescent="0.25">
      <c r="A8">
        <v>0.92685385287499988</v>
      </c>
      <c r="B8">
        <v>3.3807790521477257</v>
      </c>
      <c r="C8">
        <f t="shared" si="0"/>
        <v>2.4898053163464242</v>
      </c>
      <c r="D8">
        <f t="shared" si="1"/>
        <v>0.89097373580130146</v>
      </c>
      <c r="E8">
        <f t="shared" si="2"/>
        <v>0.79383419788772736</v>
      </c>
    </row>
    <row r="9" spans="1:8" x14ac:dyDescent="0.25">
      <c r="A9">
        <v>0.94032841232499997</v>
      </c>
      <c r="B9">
        <v>4.364702334910719</v>
      </c>
      <c r="C9">
        <f t="shared" si="0"/>
        <v>3.0619549499151857</v>
      </c>
      <c r="D9">
        <f t="shared" si="1"/>
        <v>1.3027473849955333</v>
      </c>
      <c r="E9">
        <f t="shared" si="2"/>
        <v>1.6971507491127003</v>
      </c>
    </row>
    <row r="10" spans="1:8" x14ac:dyDescent="0.25">
      <c r="A10">
        <v>0.95380297177500006</v>
      </c>
      <c r="B10">
        <v>5.1947418815069879</v>
      </c>
      <c r="C10">
        <f t="shared" si="0"/>
        <v>3.7056465227960618</v>
      </c>
      <c r="D10">
        <f t="shared" si="1"/>
        <v>1.4890953587109261</v>
      </c>
      <c r="E10">
        <f t="shared" si="2"/>
        <v>2.2174049873344219</v>
      </c>
    </row>
    <row r="11" spans="1:8" x14ac:dyDescent="0.25">
      <c r="A11">
        <v>0.96727753122499993</v>
      </c>
      <c r="B11">
        <v>5.6936982381687908</v>
      </c>
      <c r="C11">
        <f t="shared" si="0"/>
        <v>4.3992921107857725</v>
      </c>
      <c r="D11">
        <f t="shared" si="1"/>
        <v>1.2944061273830183</v>
      </c>
      <c r="E11">
        <f t="shared" si="2"/>
        <v>1.6754872226067026</v>
      </c>
    </row>
    <row r="12" spans="1:8" x14ac:dyDescent="0.25">
      <c r="A12">
        <v>0.98075209067500002</v>
      </c>
      <c r="B12">
        <v>6.3138963263558905</v>
      </c>
      <c r="C12">
        <f t="shared" si="0"/>
        <v>5.1030558418510461</v>
      </c>
      <c r="D12">
        <f t="shared" si="1"/>
        <v>1.2108404845048444</v>
      </c>
      <c r="E12">
        <f t="shared" si="2"/>
        <v>1.4661346789159262</v>
      </c>
    </row>
    <row r="13" spans="1:8" x14ac:dyDescent="0.25">
      <c r="A13">
        <v>0.99422665012499989</v>
      </c>
      <c r="B13">
        <v>6.6776215209317842</v>
      </c>
      <c r="C13">
        <f t="shared" si="0"/>
        <v>5.7551672358723724</v>
      </c>
      <c r="D13">
        <f t="shared" si="1"/>
        <v>0.92245428505941174</v>
      </c>
      <c r="E13">
        <f t="shared" si="2"/>
        <v>0.85092190802447043</v>
      </c>
    </row>
    <row r="14" spans="1:8" x14ac:dyDescent="0.25">
      <c r="A14">
        <v>1.007701209575</v>
      </c>
      <c r="B14">
        <v>6.2999068957952788</v>
      </c>
      <c r="C14">
        <f t="shared" si="0"/>
        <v>6.2719216489027811</v>
      </c>
      <c r="D14">
        <f t="shared" si="1"/>
        <v>2.7985246892497706E-2</v>
      </c>
      <c r="E14">
        <f t="shared" si="2"/>
        <v>7.8317404363405251E-4</v>
      </c>
    </row>
    <row r="15" spans="1:8" x14ac:dyDescent="0.25">
      <c r="A15">
        <v>1.0211757690250001</v>
      </c>
      <c r="B15">
        <v>5.9128659836183672</v>
      </c>
      <c r="C15">
        <f t="shared" si="0"/>
        <v>6.554889163678304</v>
      </c>
      <c r="D15">
        <f t="shared" si="1"/>
        <v>-0.64202318005993675</v>
      </c>
      <c r="E15">
        <f t="shared" si="2"/>
        <v>0.41219376373427397</v>
      </c>
    </row>
    <row r="16" spans="1:8" x14ac:dyDescent="0.25">
      <c r="A16">
        <v>1.0346503284749999</v>
      </c>
      <c r="B16">
        <v>5.3532887611939159</v>
      </c>
      <c r="C16">
        <f t="shared" si="0"/>
        <v>6.5087490988513617</v>
      </c>
      <c r="D16">
        <f t="shared" si="1"/>
        <v>-1.1554603376574457</v>
      </c>
      <c r="E16">
        <f t="shared" si="2"/>
        <v>1.3350885918994584</v>
      </c>
    </row>
    <row r="17" spans="1:5" x14ac:dyDescent="0.25">
      <c r="A17">
        <v>1.0481248879249998</v>
      </c>
      <c r="B17">
        <v>4.6911223813249823</v>
      </c>
      <c r="C17">
        <f t="shared" si="0"/>
        <v>6.0704528182177109</v>
      </c>
      <c r="D17">
        <f t="shared" si="1"/>
        <v>-1.3793304368927286</v>
      </c>
      <c r="E17">
        <f t="shared" si="2"/>
        <v>1.9025524541386856</v>
      </c>
    </row>
    <row r="18" spans="1:5" x14ac:dyDescent="0.25">
      <c r="A18">
        <v>1.0615994473749999</v>
      </c>
      <c r="B18">
        <v>3.9496825616125846</v>
      </c>
      <c r="C18">
        <f t="shared" si="0"/>
        <v>5.2438196709207645</v>
      </c>
      <c r="D18">
        <f t="shared" si="1"/>
        <v>-1.2941371093081799</v>
      </c>
      <c r="E18">
        <f t="shared" si="2"/>
        <v>1.674790857688532</v>
      </c>
    </row>
    <row r="19" spans="1:5" x14ac:dyDescent="0.25">
      <c r="A19">
        <v>1.075074006825</v>
      </c>
      <c r="B19">
        <v>3.1849270242991676</v>
      </c>
      <c r="C19">
        <f t="shared" si="0"/>
        <v>4.1242974352876161</v>
      </c>
      <c r="D19">
        <f t="shared" si="1"/>
        <v>-0.93937041098844842</v>
      </c>
      <c r="E19">
        <f t="shared" si="2"/>
        <v>0.88241676904060651</v>
      </c>
    </row>
    <row r="20" spans="1:5" x14ac:dyDescent="0.25">
      <c r="A20">
        <v>1.0885485662749999</v>
      </c>
      <c r="B20">
        <v>2.2056668850563783</v>
      </c>
      <c r="C20">
        <f t="shared" si="0"/>
        <v>2.8926195564139707</v>
      </c>
      <c r="D20">
        <f t="shared" si="1"/>
        <v>-0.68695267135759241</v>
      </c>
      <c r="E20">
        <f t="shared" si="2"/>
        <v>0.47190397268533235</v>
      </c>
    </row>
    <row r="21" spans="1:5" x14ac:dyDescent="0.25">
      <c r="A21">
        <v>1.1020231257249999</v>
      </c>
      <c r="B21">
        <v>1.6973842413541684</v>
      </c>
      <c r="C21">
        <f t="shared" si="0"/>
        <v>1.7640333859519153</v>
      </c>
      <c r="D21">
        <f t="shared" si="1"/>
        <v>-6.6649144597746846E-2</v>
      </c>
      <c r="E21">
        <f t="shared" si="2"/>
        <v>4.4421084756113673E-3</v>
      </c>
    </row>
    <row r="22" spans="1:5" x14ac:dyDescent="0.25">
      <c r="A22">
        <v>1.115497685175</v>
      </c>
      <c r="B22">
        <v>1.1984278846923662</v>
      </c>
      <c r="C22">
        <f t="shared" si="0"/>
        <v>0.90724590796525539</v>
      </c>
      <c r="D22">
        <f t="shared" si="1"/>
        <v>0.29118197672711077</v>
      </c>
      <c r="E22">
        <f t="shared" si="2"/>
        <v>8.4786943570707679E-2</v>
      </c>
    </row>
    <row r="23" spans="1:5" x14ac:dyDescent="0.25">
      <c r="A23">
        <v>1.1289722446249999</v>
      </c>
      <c r="B23">
        <v>0.6808189539497489</v>
      </c>
      <c r="C23">
        <f t="shared" si="0"/>
        <v>0.37924697476227787</v>
      </c>
      <c r="D23">
        <f t="shared" si="1"/>
        <v>0.30157197918747103</v>
      </c>
      <c r="E23">
        <f t="shared" si="2"/>
        <v>9.0945658631048462E-2</v>
      </c>
    </row>
    <row r="24" spans="1:5" x14ac:dyDescent="0.25">
      <c r="A24">
        <v>1.142446804075</v>
      </c>
      <c r="B24">
        <v>0.46165120850017222</v>
      </c>
      <c r="C24">
        <f t="shared" si="0"/>
        <v>0.12325273662336947</v>
      </c>
      <c r="D24">
        <f t="shared" si="1"/>
        <v>0.33839847187680272</v>
      </c>
      <c r="E24">
        <f t="shared" si="2"/>
        <v>0.11451352576855524</v>
      </c>
    </row>
    <row r="25" spans="1:5" x14ac:dyDescent="0.25">
      <c r="A25">
        <v>1.1559213635250001</v>
      </c>
      <c r="B25">
        <v>0.1632100232071316</v>
      </c>
      <c r="C25">
        <f t="shared" si="0"/>
        <v>2.952240305166123E-2</v>
      </c>
      <c r="D25">
        <f t="shared" si="1"/>
        <v>0.13368762015547037</v>
      </c>
      <c r="E25">
        <f t="shared" si="2"/>
        <v>1.7872379782833327E-2</v>
      </c>
    </row>
    <row r="26" spans="1:5" x14ac:dyDescent="0.25">
      <c r="A26">
        <v>1.1693959229749999</v>
      </c>
      <c r="B26">
        <v>0.10725230096468646</v>
      </c>
      <c r="C26">
        <f t="shared" si="0"/>
        <v>4.8884535568205463E-3</v>
      </c>
      <c r="D26">
        <f t="shared" si="1"/>
        <v>0.10236384740786592</v>
      </c>
      <c r="E26">
        <f t="shared" si="2"/>
        <v>1.0478357256140857E-2</v>
      </c>
    </row>
    <row r="27" spans="1:5" x14ac:dyDescent="0.25">
      <c r="A27">
        <v>1.182870482425</v>
      </c>
      <c r="B27">
        <v>4.6631435202037594E-2</v>
      </c>
      <c r="C27">
        <f t="shared" si="0"/>
        <v>5.182895294794321E-4</v>
      </c>
      <c r="D27">
        <f t="shared" si="1"/>
        <v>4.6113145672558163E-2</v>
      </c>
      <c r="E27">
        <f t="shared" si="2"/>
        <v>2.1264222038185694E-3</v>
      </c>
    </row>
    <row r="28" spans="1:5" x14ac:dyDescent="0.25">
      <c r="A28">
        <v>1.1963450418749999</v>
      </c>
      <c r="B28">
        <v>4.6631435202037592E-3</v>
      </c>
      <c r="C28">
        <f t="shared" si="0"/>
        <v>3.2107933068523354E-5</v>
      </c>
      <c r="D28">
        <f t="shared" si="1"/>
        <v>4.6310355871352358E-3</v>
      </c>
      <c r="E28">
        <f t="shared" si="2"/>
        <v>2.1446490609312996E-5</v>
      </c>
    </row>
    <row r="29" spans="1:5" x14ac:dyDescent="0.25">
      <c r="A29">
        <v>1.209819601325</v>
      </c>
      <c r="B29">
        <v>0</v>
      </c>
      <c r="C29">
        <f t="shared" si="0"/>
        <v>1.042158914758944E-6</v>
      </c>
      <c r="D29">
        <f t="shared" si="1"/>
        <v>-1.042158914758944E-6</v>
      </c>
      <c r="E29">
        <f t="shared" si="2"/>
        <v>1.0860952036115401E-12</v>
      </c>
    </row>
    <row r="30" spans="1:5" x14ac:dyDescent="0.25">
      <c r="A30">
        <v>1.2232941607750001</v>
      </c>
      <c r="B30">
        <v>0</v>
      </c>
      <c r="C30">
        <f t="shared" si="0"/>
        <v>1.5567469920839041E-8</v>
      </c>
      <c r="D30">
        <f t="shared" si="1"/>
        <v>-1.5567469920839041E-8</v>
      </c>
      <c r="E30">
        <f t="shared" si="2"/>
        <v>2.4234611973622828E-16</v>
      </c>
    </row>
    <row r="31" spans="1:5" x14ac:dyDescent="0.25">
      <c r="A31">
        <v>1.2367687202250002</v>
      </c>
      <c r="B31">
        <v>0</v>
      </c>
      <c r="C31">
        <f t="shared" si="0"/>
        <v>9.1752449094771354E-11</v>
      </c>
      <c r="D31">
        <f t="shared" si="1"/>
        <v>-9.1752449094771354E-11</v>
      </c>
      <c r="E31">
        <f t="shared" si="2"/>
        <v>8.418511914888609E-21</v>
      </c>
    </row>
    <row r="32" spans="1:5" x14ac:dyDescent="0.25">
      <c r="A32">
        <v>1.2502432796749998</v>
      </c>
      <c r="B32">
        <v>0</v>
      </c>
      <c r="C32">
        <f t="shared" si="0"/>
        <v>1.7780366120091982E-13</v>
      </c>
      <c r="D32">
        <f t="shared" si="1"/>
        <v>-1.7780366120091982E-13</v>
      </c>
      <c r="E32">
        <f t="shared" si="2"/>
        <v>3.1614141936451481E-26</v>
      </c>
    </row>
    <row r="33" spans="1:5" x14ac:dyDescent="0.25">
      <c r="A33">
        <v>1.2637178391249999</v>
      </c>
      <c r="B33">
        <v>0</v>
      </c>
      <c r="C33">
        <f t="shared" si="0"/>
        <v>9.1315348756880319E-17</v>
      </c>
      <c r="D33">
        <f t="shared" si="1"/>
        <v>-9.1315348756880319E-17</v>
      </c>
      <c r="E33">
        <f t="shared" si="2"/>
        <v>8.338492918590684E-33</v>
      </c>
    </row>
    <row r="34" spans="1:5" x14ac:dyDescent="0.25">
      <c r="A34">
        <v>1.277192398575</v>
      </c>
      <c r="B34">
        <v>0</v>
      </c>
      <c r="C34">
        <f t="shared" si="0"/>
        <v>9.6359787384376488E-21</v>
      </c>
      <c r="D34">
        <f t="shared" si="1"/>
        <v>-9.6359787384376488E-21</v>
      </c>
      <c r="E34">
        <f t="shared" si="2"/>
        <v>9.285208624762242E-41</v>
      </c>
    </row>
    <row r="35" spans="1:5" x14ac:dyDescent="0.25">
      <c r="A35">
        <v>1.2906669580249999</v>
      </c>
      <c r="B35">
        <v>0</v>
      </c>
      <c r="C35">
        <f t="shared" si="0"/>
        <v>1.5479738085256763E-25</v>
      </c>
      <c r="D35">
        <f t="shared" si="1"/>
        <v>-1.5479738085256763E-25</v>
      </c>
      <c r="E35">
        <f t="shared" si="2"/>
        <v>2.3962229118814873E-50</v>
      </c>
    </row>
    <row r="36" spans="1:5" x14ac:dyDescent="0.25">
      <c r="A36">
        <v>1.304141517475</v>
      </c>
      <c r="B36">
        <v>0</v>
      </c>
      <c r="C36">
        <f t="shared" si="0"/>
        <v>2.6605149515553014E-31</v>
      </c>
      <c r="D36">
        <f t="shared" si="1"/>
        <v>-2.6605149515553014E-31</v>
      </c>
      <c r="E36">
        <f t="shared" si="2"/>
        <v>7.0783398074493079E-62</v>
      </c>
    </row>
    <row r="37" spans="1:5" x14ac:dyDescent="0.25">
      <c r="A37">
        <v>1.317616076925</v>
      </c>
      <c r="B37">
        <v>0</v>
      </c>
      <c r="C37">
        <f t="shared" si="0"/>
        <v>3.2332140165336766E-38</v>
      </c>
      <c r="D37">
        <f t="shared" si="1"/>
        <v>-3.2332140165336766E-38</v>
      </c>
      <c r="E37">
        <f t="shared" si="2"/>
        <v>1.0453672876709829E-75</v>
      </c>
    </row>
    <row r="38" spans="1:5" x14ac:dyDescent="0.25">
      <c r="A38">
        <v>1.3310906363749999</v>
      </c>
      <c r="B38">
        <v>0</v>
      </c>
      <c r="C38">
        <f t="shared" si="0"/>
        <v>1.7096902697897605E-46</v>
      </c>
      <c r="D38">
        <f t="shared" si="1"/>
        <v>-1.7096902697897605E-46</v>
      </c>
      <c r="E38">
        <f t="shared" si="2"/>
        <v>2.923040818613784E-92</v>
      </c>
    </row>
    <row r="39" spans="1:5" x14ac:dyDescent="0.25">
      <c r="A39">
        <v>1.344565195825</v>
      </c>
      <c r="B39">
        <v>0</v>
      </c>
      <c r="C39">
        <f t="shared" si="0"/>
        <v>2.2286494025643079E-56</v>
      </c>
      <c r="D39">
        <f t="shared" si="1"/>
        <v>-2.2286494025643079E-56</v>
      </c>
      <c r="E39">
        <f t="shared" si="2"/>
        <v>4.9668781595502461E-112</v>
      </c>
    </row>
    <row r="40" spans="1:5" x14ac:dyDescent="0.25">
      <c r="A40">
        <v>1.3580397552750001</v>
      </c>
      <c r="B40">
        <v>4.6631435202037592E-3</v>
      </c>
      <c r="C40">
        <f t="shared" si="0"/>
        <v>3.6868417024246031E-68</v>
      </c>
      <c r="D40">
        <f t="shared" si="1"/>
        <v>4.6631435202037592E-3</v>
      </c>
      <c r="E40">
        <f t="shared" si="2"/>
        <v>2.1744907490018306E-5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726B6-30A3-4D3A-9249-5C07E3EE72A8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0.92508077857499993</v>
      </c>
      <c r="B1">
        <v>0.13933001584445992</v>
      </c>
      <c r="C1">
        <f>$H$3*(1+$H$1)*(A1^($H$1))*EXP(-$H$3*(A1^(1+$H$1)))</f>
        <v>1.0120262590064781</v>
      </c>
      <c r="D1">
        <f>B1-C1</f>
        <v>-0.87269624316201821</v>
      </c>
      <c r="E1">
        <f>D1^2</f>
        <v>0.7615987328291004</v>
      </c>
      <c r="G1" t="s">
        <v>0</v>
      </c>
      <c r="H1">
        <v>40.11017441941592</v>
      </c>
    </row>
    <row r="2" spans="1:8" x14ac:dyDescent="0.25">
      <c r="A2">
        <v>0.93410019972500002</v>
      </c>
      <c r="B2">
        <v>0.66181757526118457</v>
      </c>
      <c r="C2">
        <f t="shared" ref="C2:C40" si="0">$H$3*(1+$H$1)*(A2^($H$1))*EXP(-$H$3*(A2^(1+$H$1)))</f>
        <v>1.4765437012965972</v>
      </c>
      <c r="D2">
        <f t="shared" ref="D2:D40" si="1">B2-C2</f>
        <v>-0.81472612603541261</v>
      </c>
      <c r="E2">
        <f t="shared" ref="E2:E40" si="2">D2^2</f>
        <v>0.66377866044467104</v>
      </c>
    </row>
    <row r="3" spans="1:8" x14ac:dyDescent="0.25">
      <c r="A3">
        <v>0.9431196208749999</v>
      </c>
      <c r="B3">
        <v>1.5326301742890589</v>
      </c>
      <c r="C3">
        <f t="shared" si="0"/>
        <v>2.1346688726939753</v>
      </c>
      <c r="D3">
        <f t="shared" si="1"/>
        <v>-0.60203869840491642</v>
      </c>
      <c r="E3">
        <f t="shared" si="2"/>
        <v>0.36245059437708593</v>
      </c>
      <c r="G3" t="s">
        <v>1</v>
      </c>
      <c r="H3">
        <f>(_xlfn.GAMMA((2+$H$1)/(1+$H$1)))^(1+$H$1)</f>
        <v>0.57267179126170753</v>
      </c>
    </row>
    <row r="4" spans="1:8" x14ac:dyDescent="0.25">
      <c r="A4">
        <v>0.95213904202499999</v>
      </c>
      <c r="B4">
        <v>3.0791933501625639</v>
      </c>
      <c r="C4">
        <f t="shared" si="0"/>
        <v>3.050744154190514</v>
      </c>
      <c r="D4">
        <f t="shared" si="1"/>
        <v>2.8449195972049868E-2</v>
      </c>
      <c r="E4">
        <f t="shared" si="2"/>
        <v>8.0935675145609842E-4</v>
      </c>
    </row>
    <row r="5" spans="1:8" x14ac:dyDescent="0.25">
      <c r="A5">
        <v>0.96115846317499998</v>
      </c>
      <c r="B5">
        <v>5.7543296543761944</v>
      </c>
      <c r="C5">
        <f t="shared" si="0"/>
        <v>4.2949959624187928</v>
      </c>
      <c r="D5">
        <f t="shared" si="1"/>
        <v>1.4593336919574016</v>
      </c>
      <c r="E5">
        <f t="shared" si="2"/>
        <v>2.1296548244820204</v>
      </c>
      <c r="G5" t="s">
        <v>2</v>
      </c>
      <c r="H5">
        <f>SUM(E1:E40)</f>
        <v>59.953618327096656</v>
      </c>
    </row>
    <row r="6" spans="1:8" x14ac:dyDescent="0.25">
      <c r="A6">
        <v>0.97017788432499996</v>
      </c>
      <c r="B6">
        <v>8.4015999554209326</v>
      </c>
      <c r="C6">
        <f t="shared" si="0"/>
        <v>5.9268316824152807</v>
      </c>
      <c r="D6">
        <f t="shared" si="1"/>
        <v>2.4747682730056519</v>
      </c>
      <c r="E6">
        <f t="shared" si="2"/>
        <v>6.1244780050753773</v>
      </c>
    </row>
    <row r="7" spans="1:8" x14ac:dyDescent="0.25">
      <c r="A7">
        <v>0.97919730547499995</v>
      </c>
      <c r="B7">
        <v>11.278764782609029</v>
      </c>
      <c r="C7">
        <f t="shared" si="0"/>
        <v>7.9589771217877869</v>
      </c>
      <c r="D7">
        <f t="shared" si="1"/>
        <v>3.319787660821242</v>
      </c>
      <c r="E7">
        <f t="shared" si="2"/>
        <v>11.020990112940973</v>
      </c>
    </row>
    <row r="8" spans="1:8" x14ac:dyDescent="0.25">
      <c r="A8">
        <v>0.98821672662499993</v>
      </c>
      <c r="B8">
        <v>13.264217508392584</v>
      </c>
      <c r="C8">
        <f t="shared" si="0"/>
        <v>10.294307799721739</v>
      </c>
      <c r="D8">
        <f t="shared" si="1"/>
        <v>2.9699097086708441</v>
      </c>
      <c r="E8">
        <f t="shared" si="2"/>
        <v>8.8203636776573386</v>
      </c>
    </row>
    <row r="9" spans="1:8" x14ac:dyDescent="0.25">
      <c r="A9">
        <v>0.99723614777500003</v>
      </c>
      <c r="B9">
        <v>14.594819159707175</v>
      </c>
      <c r="C9">
        <f t="shared" si="0"/>
        <v>12.638118665966717</v>
      </c>
      <c r="D9">
        <f t="shared" si="1"/>
        <v>1.956700493740458</v>
      </c>
      <c r="E9">
        <f t="shared" si="2"/>
        <v>3.8286768222041521</v>
      </c>
    </row>
    <row r="10" spans="1:8" x14ac:dyDescent="0.25">
      <c r="A10">
        <v>1.0062555689249999</v>
      </c>
      <c r="B10">
        <v>13.668274554341517</v>
      </c>
      <c r="C10">
        <f t="shared" si="0"/>
        <v>14.424411687254766</v>
      </c>
      <c r="D10">
        <f t="shared" si="1"/>
        <v>-0.75613713291324913</v>
      </c>
      <c r="E10">
        <f t="shared" si="2"/>
        <v>0.57174336377026858</v>
      </c>
    </row>
    <row r="11" spans="1:8" x14ac:dyDescent="0.25">
      <c r="A11">
        <v>1.015274990075</v>
      </c>
      <c r="B11">
        <v>12.574533929962506</v>
      </c>
      <c r="C11">
        <f t="shared" si="0"/>
        <v>14.863154158236103</v>
      </c>
      <c r="D11">
        <f t="shared" si="1"/>
        <v>-2.2886202282735972</v>
      </c>
      <c r="E11">
        <f t="shared" si="2"/>
        <v>5.2377825492630921</v>
      </c>
    </row>
    <row r="12" spans="1:8" x14ac:dyDescent="0.25">
      <c r="A12">
        <v>1.0242944112250001</v>
      </c>
      <c r="B12">
        <v>9.7879336130733083</v>
      </c>
      <c r="C12">
        <f t="shared" si="0"/>
        <v>13.267725866723785</v>
      </c>
      <c r="D12">
        <f t="shared" si="1"/>
        <v>-3.4797922536504764</v>
      </c>
      <c r="E12">
        <f t="shared" si="2"/>
        <v>12.108954128565861</v>
      </c>
    </row>
    <row r="13" spans="1:8" x14ac:dyDescent="0.25">
      <c r="A13">
        <v>1.033313832375</v>
      </c>
      <c r="B13">
        <v>7.0918978064830096</v>
      </c>
      <c r="C13">
        <f t="shared" si="0"/>
        <v>9.6828529842942928</v>
      </c>
      <c r="D13">
        <f t="shared" si="1"/>
        <v>-2.5909551778112831</v>
      </c>
      <c r="E13">
        <f t="shared" si="2"/>
        <v>6.7130487334270983</v>
      </c>
    </row>
    <row r="14" spans="1:8" x14ac:dyDescent="0.25">
      <c r="A14">
        <v>1.0423332535250001</v>
      </c>
      <c r="B14">
        <v>4.6745220315816303</v>
      </c>
      <c r="C14">
        <f t="shared" si="0"/>
        <v>5.3278171419930045</v>
      </c>
      <c r="D14">
        <f t="shared" si="1"/>
        <v>-0.65329511041137422</v>
      </c>
      <c r="E14">
        <f t="shared" si="2"/>
        <v>0.42679450128740964</v>
      </c>
    </row>
    <row r="15" spans="1:8" x14ac:dyDescent="0.25">
      <c r="A15">
        <v>1.0513526746749999</v>
      </c>
      <c r="B15">
        <v>2.5985047954991773</v>
      </c>
      <c r="C15">
        <f t="shared" si="0"/>
        <v>1.9740981908750468</v>
      </c>
      <c r="D15">
        <f t="shared" si="1"/>
        <v>0.62440660462413056</v>
      </c>
      <c r="E15">
        <f t="shared" si="2"/>
        <v>0.38988360789823528</v>
      </c>
    </row>
    <row r="16" spans="1:8" x14ac:dyDescent="0.25">
      <c r="A16">
        <v>1.060372095825</v>
      </c>
      <c r="B16">
        <v>1.2330706402234701</v>
      </c>
      <c r="C16">
        <f t="shared" si="0"/>
        <v>0.42095378571166209</v>
      </c>
      <c r="D16">
        <f t="shared" si="1"/>
        <v>0.81211685451180804</v>
      </c>
      <c r="E16">
        <f t="shared" si="2"/>
        <v>0.65953378538215324</v>
      </c>
    </row>
    <row r="17" spans="1:5" x14ac:dyDescent="0.25">
      <c r="A17">
        <v>1.0693915169749999</v>
      </c>
      <c r="B17">
        <v>0.37619104278004173</v>
      </c>
      <c r="C17">
        <f t="shared" si="0"/>
        <v>4.1547589311937916E-2</v>
      </c>
      <c r="D17">
        <f t="shared" si="1"/>
        <v>0.33464345346810381</v>
      </c>
      <c r="E17">
        <f t="shared" si="2"/>
        <v>0.11198624094905896</v>
      </c>
    </row>
    <row r="18" spans="1:5" x14ac:dyDescent="0.25">
      <c r="A18">
        <v>1.078410938125</v>
      </c>
      <c r="B18">
        <v>0.14629651663668289</v>
      </c>
      <c r="C18">
        <f t="shared" si="0"/>
        <v>1.4044362431420612E-3</v>
      </c>
      <c r="D18">
        <f t="shared" si="1"/>
        <v>0.14489208039354082</v>
      </c>
      <c r="E18">
        <f t="shared" si="2"/>
        <v>2.0993714960768295E-2</v>
      </c>
    </row>
    <row r="19" spans="1:5" x14ac:dyDescent="0.25">
      <c r="A19">
        <v>1.0874303592749999</v>
      </c>
      <c r="B19">
        <v>6.9665007922229951E-3</v>
      </c>
      <c r="C19">
        <f t="shared" si="0"/>
        <v>1.073359874548785E-5</v>
      </c>
      <c r="D19">
        <f t="shared" si="1"/>
        <v>6.9557671934775073E-3</v>
      </c>
      <c r="E19">
        <f t="shared" si="2"/>
        <v>4.838269724985796E-5</v>
      </c>
    </row>
    <row r="20" spans="1:5" x14ac:dyDescent="0.25">
      <c r="A20">
        <v>1.096449780425</v>
      </c>
      <c r="B20">
        <v>0</v>
      </c>
      <c r="C20">
        <f t="shared" si="0"/>
        <v>1.0477452707857548E-8</v>
      </c>
      <c r="D20">
        <f t="shared" si="1"/>
        <v>-1.0477452707857548E-8</v>
      </c>
      <c r="E20">
        <f t="shared" si="2"/>
        <v>1.0977701524539147E-16</v>
      </c>
    </row>
    <row r="21" spans="1:5" x14ac:dyDescent="0.25">
      <c r="A21">
        <v>1.1054692015750001</v>
      </c>
      <c r="B21">
        <v>0</v>
      </c>
      <c r="C21">
        <f t="shared" si="0"/>
        <v>5.9685470285500168E-13</v>
      </c>
      <c r="D21">
        <f t="shared" si="1"/>
        <v>-5.9685470285500168E-13</v>
      </c>
      <c r="E21">
        <f t="shared" si="2"/>
        <v>3.5623553632013235E-25</v>
      </c>
    </row>
    <row r="22" spans="1:5" x14ac:dyDescent="0.25">
      <c r="A22">
        <v>1.1144886227249999</v>
      </c>
      <c r="B22">
        <v>0</v>
      </c>
      <c r="C22">
        <f t="shared" si="0"/>
        <v>6.796014144511236E-19</v>
      </c>
      <c r="D22">
        <f t="shared" si="1"/>
        <v>-6.796014144511236E-19</v>
      </c>
      <c r="E22">
        <f t="shared" si="2"/>
        <v>4.6185808252396784E-37</v>
      </c>
    </row>
    <row r="23" spans="1:5" x14ac:dyDescent="0.25">
      <c r="A23">
        <v>1.123508043875</v>
      </c>
      <c r="B23">
        <v>0</v>
      </c>
      <c r="C23">
        <f t="shared" si="0"/>
        <v>3.584993670087907E-27</v>
      </c>
      <c r="D23">
        <f t="shared" si="1"/>
        <v>-3.584993670087907E-27</v>
      </c>
      <c r="E23">
        <f t="shared" si="2"/>
        <v>1.285217961457036E-53</v>
      </c>
    </row>
    <row r="24" spans="1:5" x14ac:dyDescent="0.25">
      <c r="A24">
        <v>1.1325274650249999</v>
      </c>
      <c r="B24">
        <v>0</v>
      </c>
      <c r="C24">
        <f t="shared" si="0"/>
        <v>1.1978928483411896E-38</v>
      </c>
      <c r="D24">
        <f t="shared" si="1"/>
        <v>-1.1978928483411896E-38</v>
      </c>
      <c r="E24">
        <f t="shared" si="2"/>
        <v>1.4349472761069685E-76</v>
      </c>
    </row>
    <row r="25" spans="1:5" x14ac:dyDescent="0.25">
      <c r="A25">
        <v>1.141546886175</v>
      </c>
      <c r="B25">
        <v>0</v>
      </c>
      <c r="C25">
        <f t="shared" si="0"/>
        <v>1.7014070389823285E-54</v>
      </c>
      <c r="D25">
        <f t="shared" si="1"/>
        <v>-1.7014070389823285E-54</v>
      </c>
      <c r="E25">
        <f t="shared" si="2"/>
        <v>2.8947859122986145E-108</v>
      </c>
    </row>
    <row r="26" spans="1:5" x14ac:dyDescent="0.25">
      <c r="A26">
        <v>1.1505663073249999</v>
      </c>
      <c r="B26">
        <v>0</v>
      </c>
      <c r="C26">
        <f t="shared" si="0"/>
        <v>2.6464609738079385E-76</v>
      </c>
      <c r="D26">
        <f t="shared" si="1"/>
        <v>-2.6464609738079385E-76</v>
      </c>
      <c r="E26">
        <f t="shared" si="2"/>
        <v>7.0037556858884618E-152</v>
      </c>
    </row>
    <row r="27" spans="1:5" x14ac:dyDescent="0.25">
      <c r="A27">
        <v>1.159585728475</v>
      </c>
      <c r="B27">
        <v>0</v>
      </c>
      <c r="C27">
        <f t="shared" si="0"/>
        <v>3.2140540307853743E-106</v>
      </c>
      <c r="D27">
        <f t="shared" si="1"/>
        <v>-3.2140540307853743E-106</v>
      </c>
      <c r="E27">
        <f t="shared" si="2"/>
        <v>1.0330143312807711E-211</v>
      </c>
    </row>
    <row r="28" spans="1:5" x14ac:dyDescent="0.25">
      <c r="A28">
        <v>1.1686051496249998</v>
      </c>
      <c r="B28">
        <v>0</v>
      </c>
      <c r="C28">
        <f t="shared" si="0"/>
        <v>3.8905523262227724E-147</v>
      </c>
      <c r="D28">
        <f t="shared" si="1"/>
        <v>-3.8905523262227724E-147</v>
      </c>
      <c r="E28">
        <f t="shared" si="2"/>
        <v>1.5136397403077426E-293</v>
      </c>
    </row>
    <row r="29" spans="1:5" x14ac:dyDescent="0.25">
      <c r="A29">
        <v>1.1776245707749999</v>
      </c>
      <c r="B29">
        <v>0</v>
      </c>
      <c r="C29">
        <f t="shared" si="0"/>
        <v>6.021046745185996E-203</v>
      </c>
      <c r="D29">
        <f t="shared" si="1"/>
        <v>-6.021046745185996E-203</v>
      </c>
      <c r="E29">
        <f t="shared" si="2"/>
        <v>0</v>
      </c>
    </row>
    <row r="30" spans="1:5" x14ac:dyDescent="0.25">
      <c r="A30">
        <v>1.186643991925</v>
      </c>
      <c r="B30">
        <v>0</v>
      </c>
      <c r="C30">
        <f t="shared" si="0"/>
        <v>7.1466126030568622E-279</v>
      </c>
      <c r="D30">
        <f t="shared" si="1"/>
        <v>-7.1466126030568622E-279</v>
      </c>
      <c r="E30">
        <f t="shared" si="2"/>
        <v>0</v>
      </c>
    </row>
    <row r="31" spans="1:5" x14ac:dyDescent="0.25">
      <c r="A31">
        <v>1.1956634130749999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1.204682834225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1.2137022553749999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1.222721676525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1.2317410976750001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1.2407605188249999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1.2497799399749998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1.2587993611249999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1.267818782275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1.2768382034250001</v>
      </c>
      <c r="B40">
        <v>6.9665007922229951E-3</v>
      </c>
      <c r="C40">
        <f t="shared" si="0"/>
        <v>0</v>
      </c>
      <c r="D40">
        <f t="shared" si="1"/>
        <v>6.9665007922229951E-3</v>
      </c>
      <c r="E40">
        <f t="shared" si="2"/>
        <v>4.8532133288043616E-5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DDE30-4AC4-4FE7-B29C-5D93223B93A0}">
  <dimension ref="A1:H40"/>
  <sheetViews>
    <sheetView workbookViewId="0">
      <selection activeCell="H14" sqref="H14"/>
    </sheetView>
  </sheetViews>
  <sheetFormatPr defaultColWidth="11" defaultRowHeight="15.75" x14ac:dyDescent="0.25"/>
  <sheetData>
    <row r="1" spans="1:8" x14ac:dyDescent="0.25">
      <c r="A1">
        <v>0.97792307191250005</v>
      </c>
      <c r="B1">
        <v>1.4809725746473941</v>
      </c>
      <c r="C1">
        <f>$H$3*(1+$H$1)*(A1^($H$1))*EXP(-$H$3*(A1^(1+$H$1)))</f>
        <v>4.0748527608200362</v>
      </c>
      <c r="D1">
        <f>B1-C1</f>
        <v>-2.5938801861726422</v>
      </c>
      <c r="E1">
        <f>D1^2</f>
        <v>6.7282144202190208</v>
      </c>
      <c r="G1" t="s">
        <v>0</v>
      </c>
      <c r="H1">
        <v>127.63185833255869</v>
      </c>
    </row>
    <row r="2" spans="1:8" x14ac:dyDescent="0.25">
      <c r="A2">
        <v>0.98449931773749999</v>
      </c>
      <c r="B2">
        <v>9.8030829779885575</v>
      </c>
      <c r="C2">
        <f t="shared" ref="C2:C40" si="0">$H$3*(1+$H$1)*(A2^($H$1))*EXP(-$H$3*(A2^(1+$H$1)))</f>
        <v>9.1750359843468168</v>
      </c>
      <c r="D2">
        <f t="shared" ref="D2:D40" si="1">B2-C2</f>
        <v>0.62804699364174077</v>
      </c>
      <c r="E2">
        <f t="shared" ref="E2:E40" si="2">D2^2</f>
        <v>0.39444302622242877</v>
      </c>
    </row>
    <row r="3" spans="1:8" x14ac:dyDescent="0.25">
      <c r="A3">
        <v>0.99107556356249993</v>
      </c>
      <c r="B3">
        <v>27.765847109195661</v>
      </c>
      <c r="C3">
        <f t="shared" si="0"/>
        <v>19.367488280098428</v>
      </c>
      <c r="D3">
        <f t="shared" si="1"/>
        <v>8.3983588290972335</v>
      </c>
      <c r="E3">
        <f t="shared" si="2"/>
        <v>70.53243102227546</v>
      </c>
      <c r="G3" t="s">
        <v>1</v>
      </c>
      <c r="H3">
        <f>(_xlfn.GAMMA((2+$H$1)/(1+$H$1)))^(1+$H$1)</f>
        <v>0.56504732280460213</v>
      </c>
    </row>
    <row r="4" spans="1:8" x14ac:dyDescent="0.25">
      <c r="A4">
        <v>0.99765180938750009</v>
      </c>
      <c r="B4">
        <v>44.152092048036181</v>
      </c>
      <c r="C4">
        <f t="shared" si="0"/>
        <v>35.461992408124651</v>
      </c>
      <c r="D4">
        <f t="shared" si="1"/>
        <v>8.69009963991153</v>
      </c>
      <c r="E4">
        <f t="shared" si="2"/>
        <v>75.517831751590506</v>
      </c>
    </row>
    <row r="5" spans="1:8" x14ac:dyDescent="0.25">
      <c r="A5">
        <v>1.0042280552125</v>
      </c>
      <c r="B5">
        <v>39.537190412199465</v>
      </c>
      <c r="C5">
        <f t="shared" si="0"/>
        <v>47.103316598715011</v>
      </c>
      <c r="D5">
        <f t="shared" si="1"/>
        <v>-7.5661261865155467</v>
      </c>
      <c r="E5">
        <f t="shared" si="2"/>
        <v>57.246265470276292</v>
      </c>
      <c r="G5" t="s">
        <v>2</v>
      </c>
      <c r="H5">
        <f>SUM(E1:E40)</f>
        <v>283.37123535285275</v>
      </c>
    </row>
    <row r="6" spans="1:8" x14ac:dyDescent="0.25">
      <c r="A6">
        <v>1.0108043010375001</v>
      </c>
      <c r="B6">
        <v>22.138151325535564</v>
      </c>
      <c r="C6">
        <f t="shared" si="0"/>
        <v>30.158116236405693</v>
      </c>
      <c r="D6">
        <f t="shared" si="1"/>
        <v>-8.0199649108701294</v>
      </c>
      <c r="E6">
        <f t="shared" si="2"/>
        <v>64.319837171588119</v>
      </c>
    </row>
    <row r="7" spans="1:8" x14ac:dyDescent="0.25">
      <c r="A7">
        <v>1.0173805468624999</v>
      </c>
      <c r="B7">
        <v>6.5449433137642901</v>
      </c>
      <c r="C7">
        <f t="shared" si="0"/>
        <v>3.6731063513409956</v>
      </c>
      <c r="D7">
        <f t="shared" si="1"/>
        <v>2.8718369624232944</v>
      </c>
      <c r="E7">
        <f t="shared" si="2"/>
        <v>8.2474475387406549</v>
      </c>
    </row>
    <row r="8" spans="1:8" x14ac:dyDescent="0.25">
      <c r="A8">
        <v>1.0239567926875002</v>
      </c>
      <c r="B8">
        <v>0.63060767694663233</v>
      </c>
      <c r="C8">
        <f t="shared" si="0"/>
        <v>1.0387022357764637E-2</v>
      </c>
      <c r="D8">
        <f t="shared" si="1"/>
        <v>0.62022065458886766</v>
      </c>
      <c r="E8">
        <f t="shared" si="2"/>
        <v>0.38467366037864348</v>
      </c>
    </row>
    <row r="9" spans="1:8" x14ac:dyDescent="0.25">
      <c r="A9">
        <v>1.0305330385125</v>
      </c>
      <c r="B9">
        <v>0</v>
      </c>
      <c r="C9">
        <f t="shared" si="0"/>
        <v>6.0016781455535061E-9</v>
      </c>
      <c r="D9">
        <f t="shared" si="1"/>
        <v>-6.0016781455535061E-9</v>
      </c>
      <c r="E9">
        <f t="shared" si="2"/>
        <v>3.6020140562814573E-17</v>
      </c>
    </row>
    <row r="10" spans="1:8" x14ac:dyDescent="0.25">
      <c r="A10">
        <v>1.0371092843375</v>
      </c>
      <c r="B10">
        <v>0</v>
      </c>
      <c r="C10">
        <f t="shared" si="0"/>
        <v>1.7740263246883223E-23</v>
      </c>
      <c r="D10">
        <f t="shared" si="1"/>
        <v>-1.7740263246883223E-23</v>
      </c>
      <c r="E10">
        <f t="shared" si="2"/>
        <v>3.1471694006871567E-46</v>
      </c>
    </row>
    <row r="11" spans="1:8" x14ac:dyDescent="0.25">
      <c r="A11">
        <v>1.0436855301625001</v>
      </c>
      <c r="B11">
        <v>0</v>
      </c>
      <c r="C11">
        <f t="shared" si="0"/>
        <v>1.5158025483597909E-56</v>
      </c>
      <c r="D11">
        <f t="shared" si="1"/>
        <v>-1.5158025483597909E-56</v>
      </c>
      <c r="E11">
        <f t="shared" si="2"/>
        <v>2.2976573656140363E-112</v>
      </c>
    </row>
    <row r="12" spans="1:8" x14ac:dyDescent="0.25">
      <c r="A12">
        <v>1.0502617759874999</v>
      </c>
      <c r="B12">
        <v>0</v>
      </c>
      <c r="C12">
        <f t="shared" si="0"/>
        <v>7.3340364997124663E-131</v>
      </c>
      <c r="D12">
        <f t="shared" si="1"/>
        <v>-7.3340364997124663E-131</v>
      </c>
      <c r="E12">
        <f t="shared" si="2"/>
        <v>5.3788091379114685E-261</v>
      </c>
    </row>
    <row r="13" spans="1:8" x14ac:dyDescent="0.25">
      <c r="A13">
        <v>1.0568380218125002</v>
      </c>
      <c r="B13">
        <v>0</v>
      </c>
      <c r="C13">
        <f t="shared" si="0"/>
        <v>1.7231907062986307E-296</v>
      </c>
      <c r="D13">
        <f t="shared" si="1"/>
        <v>-1.7231907062986307E-296</v>
      </c>
      <c r="E13">
        <f t="shared" si="2"/>
        <v>0</v>
      </c>
    </row>
    <row r="14" spans="1:8" x14ac:dyDescent="0.25">
      <c r="A14">
        <v>1.0634142676375</v>
      </c>
      <c r="B14">
        <v>0</v>
      </c>
      <c r="C14">
        <f t="shared" si="0"/>
        <v>0</v>
      </c>
      <c r="D14">
        <f t="shared" si="1"/>
        <v>0</v>
      </c>
      <c r="E14">
        <f t="shared" si="2"/>
        <v>0</v>
      </c>
    </row>
    <row r="15" spans="1:8" x14ac:dyDescent="0.25">
      <c r="A15">
        <v>1.0699905134624998</v>
      </c>
      <c r="B15">
        <v>0</v>
      </c>
      <c r="C15">
        <f t="shared" si="0"/>
        <v>0</v>
      </c>
      <c r="D15">
        <f t="shared" si="1"/>
        <v>0</v>
      </c>
      <c r="E15">
        <f t="shared" si="2"/>
        <v>0</v>
      </c>
    </row>
    <row r="16" spans="1:8" x14ac:dyDescent="0.25">
      <c r="A16">
        <v>1.0765667592875001</v>
      </c>
      <c r="B16">
        <v>0</v>
      </c>
      <c r="C16">
        <f t="shared" si="0"/>
        <v>0</v>
      </c>
      <c r="D16">
        <f t="shared" si="1"/>
        <v>0</v>
      </c>
      <c r="E16">
        <f t="shared" si="2"/>
        <v>0</v>
      </c>
    </row>
    <row r="17" spans="1:5" x14ac:dyDescent="0.25">
      <c r="A17">
        <v>1.0831430051124999</v>
      </c>
      <c r="B17">
        <v>0</v>
      </c>
      <c r="C17">
        <f t="shared" si="0"/>
        <v>0</v>
      </c>
      <c r="D17">
        <f t="shared" si="1"/>
        <v>0</v>
      </c>
      <c r="E17">
        <f t="shared" si="2"/>
        <v>0</v>
      </c>
    </row>
    <row r="18" spans="1:5" x14ac:dyDescent="0.25">
      <c r="A18">
        <v>1.0897192509375002</v>
      </c>
      <c r="B18">
        <v>0</v>
      </c>
      <c r="C18">
        <f t="shared" si="0"/>
        <v>0</v>
      </c>
      <c r="D18">
        <f t="shared" si="1"/>
        <v>0</v>
      </c>
      <c r="E18">
        <f t="shared" si="2"/>
        <v>0</v>
      </c>
    </row>
    <row r="19" spans="1:5" x14ac:dyDescent="0.25">
      <c r="A19">
        <v>1.0962954967625</v>
      </c>
      <c r="B19">
        <v>0</v>
      </c>
      <c r="C19">
        <f t="shared" si="0"/>
        <v>0</v>
      </c>
      <c r="D19">
        <f t="shared" si="1"/>
        <v>0</v>
      </c>
      <c r="E19">
        <f t="shared" si="2"/>
        <v>0</v>
      </c>
    </row>
    <row r="20" spans="1:5" x14ac:dyDescent="0.25">
      <c r="A20">
        <v>1.1028717425875001</v>
      </c>
      <c r="B20">
        <v>0</v>
      </c>
      <c r="C20">
        <f t="shared" si="0"/>
        <v>0</v>
      </c>
      <c r="D20">
        <f t="shared" si="1"/>
        <v>0</v>
      </c>
      <c r="E20">
        <f t="shared" si="2"/>
        <v>0</v>
      </c>
    </row>
    <row r="21" spans="1:5" x14ac:dyDescent="0.25">
      <c r="A21">
        <v>1.1094479884125001</v>
      </c>
      <c r="B21">
        <v>0</v>
      </c>
      <c r="C21">
        <f t="shared" si="0"/>
        <v>0</v>
      </c>
      <c r="D21">
        <f t="shared" si="1"/>
        <v>0</v>
      </c>
      <c r="E21">
        <f t="shared" si="2"/>
        <v>0</v>
      </c>
    </row>
    <row r="22" spans="1:5" x14ac:dyDescent="0.25">
      <c r="A22">
        <v>1.1160242342375</v>
      </c>
      <c r="B22">
        <v>0</v>
      </c>
      <c r="C22">
        <f t="shared" si="0"/>
        <v>0</v>
      </c>
      <c r="D22">
        <f t="shared" si="1"/>
        <v>0</v>
      </c>
      <c r="E22">
        <f t="shared" si="2"/>
        <v>0</v>
      </c>
    </row>
    <row r="23" spans="1:5" x14ac:dyDescent="0.25">
      <c r="A23">
        <v>1.1226004800625002</v>
      </c>
      <c r="B23">
        <v>0</v>
      </c>
      <c r="C23">
        <f t="shared" si="0"/>
        <v>0</v>
      </c>
      <c r="D23">
        <f t="shared" si="1"/>
        <v>0</v>
      </c>
      <c r="E23">
        <f t="shared" si="2"/>
        <v>0</v>
      </c>
    </row>
    <row r="24" spans="1:5" x14ac:dyDescent="0.25">
      <c r="A24">
        <v>1.1291767258875001</v>
      </c>
      <c r="B24">
        <v>0</v>
      </c>
      <c r="C24">
        <f t="shared" si="0"/>
        <v>0</v>
      </c>
      <c r="D24">
        <f t="shared" si="1"/>
        <v>0</v>
      </c>
      <c r="E24">
        <f t="shared" si="2"/>
        <v>0</v>
      </c>
    </row>
    <row r="25" spans="1:5" x14ac:dyDescent="0.25">
      <c r="A25">
        <v>1.1357529717125001</v>
      </c>
      <c r="B25">
        <v>0</v>
      </c>
      <c r="C25">
        <f t="shared" si="0"/>
        <v>0</v>
      </c>
      <c r="D25">
        <f t="shared" si="1"/>
        <v>0</v>
      </c>
      <c r="E25">
        <f t="shared" si="2"/>
        <v>0</v>
      </c>
    </row>
    <row r="26" spans="1:5" x14ac:dyDescent="0.25">
      <c r="A26">
        <v>1.1423292175375002</v>
      </c>
      <c r="B26">
        <v>0</v>
      </c>
      <c r="C26">
        <f t="shared" si="0"/>
        <v>0</v>
      </c>
      <c r="D26">
        <f t="shared" si="1"/>
        <v>0</v>
      </c>
      <c r="E26">
        <f t="shared" si="2"/>
        <v>0</v>
      </c>
    </row>
    <row r="27" spans="1:5" x14ac:dyDescent="0.25">
      <c r="A27">
        <v>1.1489054633625</v>
      </c>
      <c r="B27">
        <v>0</v>
      </c>
      <c r="C27">
        <f t="shared" si="0"/>
        <v>0</v>
      </c>
      <c r="D27">
        <f t="shared" si="1"/>
        <v>0</v>
      </c>
      <c r="E27">
        <f t="shared" si="2"/>
        <v>0</v>
      </c>
    </row>
    <row r="28" spans="1:5" x14ac:dyDescent="0.25">
      <c r="A28">
        <v>1.1554817091875</v>
      </c>
      <c r="B28">
        <v>0</v>
      </c>
      <c r="C28">
        <f t="shared" si="0"/>
        <v>0</v>
      </c>
      <c r="D28">
        <f t="shared" si="1"/>
        <v>0</v>
      </c>
      <c r="E28">
        <f t="shared" si="2"/>
        <v>0</v>
      </c>
    </row>
    <row r="29" spans="1:5" x14ac:dyDescent="0.25">
      <c r="A29">
        <v>1.1620579550125001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</row>
    <row r="30" spans="1:5" x14ac:dyDescent="0.25">
      <c r="A30">
        <v>1.1686342008374999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1.1752104466625002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1.1817866924875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1.1883629383125001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1.1949391841375001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1.2015154299625002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1.2080916757875002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1.2146679216125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1.2212441674375001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1.2278204132625001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1.2343966590875002</v>
      </c>
      <c r="B40">
        <v>9.5546617719186721E-3</v>
      </c>
      <c r="C40">
        <f t="shared" si="0"/>
        <v>0</v>
      </c>
      <c r="D40">
        <f t="shared" si="1"/>
        <v>9.5546617719186721E-3</v>
      </c>
      <c r="E40">
        <f t="shared" si="2"/>
        <v>9.1291561575764058E-5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Brody</vt:lpstr>
      <vt:lpstr>0.0001</vt:lpstr>
      <vt:lpstr>0.001</vt:lpstr>
      <vt:lpstr>0.005</vt:lpstr>
      <vt:lpstr>0.01</vt:lpstr>
      <vt:lpstr>0.025</vt:lpstr>
      <vt:lpstr>0.05</vt:lpstr>
      <vt:lpstr>0.075</vt:lpstr>
      <vt:lpstr>0.1</vt:lpstr>
      <vt:lpstr>0.15</vt:lpstr>
      <vt:lpstr>0.2</vt:lpstr>
      <vt:lpstr>0.25</vt:lpstr>
      <vt:lpstr>0.3</vt:lpstr>
      <vt:lpstr>0.35</vt:lpstr>
      <vt:lpstr>0.4</vt:lpstr>
      <vt:lpstr>0.45</vt:lpstr>
      <vt:lpstr>0.5</vt:lpstr>
      <vt:lpstr>0.55</vt:lpstr>
      <vt:lpstr>0.6</vt:lpstr>
      <vt:lpstr>0.65</vt:lpstr>
      <vt:lpstr>0.7</vt:lpstr>
      <vt:lpstr>0.75</vt:lpstr>
      <vt:lpstr>0.8</vt:lpstr>
      <vt:lpstr>0.85</vt:lpstr>
      <vt:lpstr>0.9</vt:lpstr>
      <vt:lpstr>0.925</vt:lpstr>
      <vt:lpstr>0.95</vt:lpstr>
      <vt:lpstr>0.975</vt:lpstr>
      <vt:lpstr>0.99</vt:lpstr>
      <vt:lpstr>0.995</vt:lpstr>
      <vt:lpstr>0.999</vt:lpstr>
      <vt:lpstr>0.9999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Luis Castillo Sánchez</cp:lastModifiedBy>
  <dcterms:created xsi:type="dcterms:W3CDTF">2018-05-22T02:41:32Z</dcterms:created>
  <dcterms:modified xsi:type="dcterms:W3CDTF">2024-10-03T00:19:00Z</dcterms:modified>
</cp:coreProperties>
</file>