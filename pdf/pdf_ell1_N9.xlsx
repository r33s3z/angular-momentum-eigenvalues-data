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530" documentId="115_{FC96C592-C303-496D-91B5-CE976398198F}" xr6:coauthVersionLast="47" xr6:coauthVersionMax="47" xr10:uidLastSave="{F08351AC-455B-4757-962A-4FC9A2045159}"/>
  <bookViews>
    <workbookView xWindow="-120" yWindow="-120" windowWidth="29040" windowHeight="15720" tabRatio="998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1" i="32" s="1"/>
  <c r="D1" i="32" s="1"/>
  <c r="E1" i="32" s="1"/>
  <c r="H3" i="31"/>
  <c r="C5" i="31" s="1"/>
  <c r="D5" i="31" s="1"/>
  <c r="E5" i="31" s="1"/>
  <c r="H3" i="30"/>
  <c r="C40" i="30" s="1"/>
  <c r="D40" i="30" s="1"/>
  <c r="E40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40" i="15" s="1"/>
  <c r="D40" i="15" s="1"/>
  <c r="E40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1" i="33"/>
  <c r="C3" i="31" l="1"/>
  <c r="D3" i="31" s="1"/>
  <c r="E3" i="31" s="1"/>
  <c r="C17" i="31"/>
  <c r="D17" i="31" s="1"/>
  <c r="E17" i="31" s="1"/>
  <c r="C25" i="31"/>
  <c r="D25" i="31" s="1"/>
  <c r="E25" i="31" s="1"/>
  <c r="C33" i="31"/>
  <c r="D33" i="31" s="1"/>
  <c r="E33" i="31" s="1"/>
  <c r="C18" i="31"/>
  <c r="D18" i="31" s="1"/>
  <c r="E18" i="31" s="1"/>
  <c r="C34" i="31"/>
  <c r="D34" i="31" s="1"/>
  <c r="E34" i="31" s="1"/>
  <c r="C4" i="31"/>
  <c r="D4" i="31" s="1"/>
  <c r="E4" i="31" s="1"/>
  <c r="C20" i="31"/>
  <c r="D20" i="31" s="1"/>
  <c r="E20" i="31" s="1"/>
  <c r="C36" i="31"/>
  <c r="D36" i="31" s="1"/>
  <c r="E36" i="31" s="1"/>
  <c r="C21" i="31"/>
  <c r="D21" i="31" s="1"/>
  <c r="E21" i="31" s="1"/>
  <c r="C37" i="31"/>
  <c r="D37" i="31" s="1"/>
  <c r="E37" i="31" s="1"/>
  <c r="C6" i="31"/>
  <c r="D6" i="31" s="1"/>
  <c r="E6" i="31" s="1"/>
  <c r="C22" i="31"/>
  <c r="D22" i="31" s="1"/>
  <c r="E22" i="31" s="1"/>
  <c r="C38" i="31"/>
  <c r="D38" i="31" s="1"/>
  <c r="E38" i="31" s="1"/>
  <c r="C8" i="31"/>
  <c r="D8" i="31" s="1"/>
  <c r="E8" i="31" s="1"/>
  <c r="C24" i="31"/>
  <c r="D24" i="31" s="1"/>
  <c r="E24" i="31" s="1"/>
  <c r="C40" i="31"/>
  <c r="D40" i="31" s="1"/>
  <c r="E40" i="31" s="1"/>
  <c r="C10" i="31"/>
  <c r="D10" i="31" s="1"/>
  <c r="E10" i="31" s="1"/>
  <c r="C26" i="31"/>
  <c r="D26" i="31" s="1"/>
  <c r="E26" i="31" s="1"/>
  <c r="C12" i="31"/>
  <c r="D12" i="31" s="1"/>
  <c r="E12" i="31" s="1"/>
  <c r="C28" i="31"/>
  <c r="D28" i="31" s="1"/>
  <c r="E28" i="31" s="1"/>
  <c r="C13" i="31"/>
  <c r="D13" i="31" s="1"/>
  <c r="E13" i="31" s="1"/>
  <c r="C29" i="31"/>
  <c r="D29" i="31" s="1"/>
  <c r="E29" i="31" s="1"/>
  <c r="C14" i="31"/>
  <c r="D14" i="31" s="1"/>
  <c r="E14" i="31" s="1"/>
  <c r="C30" i="31"/>
  <c r="D30" i="31" s="1"/>
  <c r="E30" i="31" s="1"/>
  <c r="C9" i="31"/>
  <c r="D9" i="31" s="1"/>
  <c r="E9" i="31" s="1"/>
  <c r="C2" i="31"/>
  <c r="D2" i="31" s="1"/>
  <c r="E2" i="31" s="1"/>
  <c r="C16" i="31"/>
  <c r="D16" i="31" s="1"/>
  <c r="E16" i="31" s="1"/>
  <c r="C32" i="31"/>
  <c r="D32" i="31" s="1"/>
  <c r="E32" i="31" s="1"/>
  <c r="C2" i="30"/>
  <c r="D2" i="30" s="1"/>
  <c r="E2" i="30" s="1"/>
  <c r="C10" i="30"/>
  <c r="D10" i="30" s="1"/>
  <c r="E10" i="30" s="1"/>
  <c r="C18" i="30"/>
  <c r="D18" i="30" s="1"/>
  <c r="E18" i="30" s="1"/>
  <c r="C34" i="30"/>
  <c r="D34" i="30" s="1"/>
  <c r="E34" i="30" s="1"/>
  <c r="C21" i="30"/>
  <c r="D21" i="30" s="1"/>
  <c r="E21" i="30" s="1"/>
  <c r="C3" i="30"/>
  <c r="D3" i="30" s="1"/>
  <c r="E3" i="30" s="1"/>
  <c r="C22" i="30"/>
  <c r="D22" i="30" s="1"/>
  <c r="E22" i="30" s="1"/>
  <c r="C25" i="30"/>
  <c r="D25" i="30" s="1"/>
  <c r="E25" i="30" s="1"/>
  <c r="C5" i="30"/>
  <c r="D5" i="30" s="1"/>
  <c r="E5" i="30" s="1"/>
  <c r="C26" i="30"/>
  <c r="D26" i="30" s="1"/>
  <c r="E26" i="30" s="1"/>
  <c r="C29" i="30"/>
  <c r="D29" i="30" s="1"/>
  <c r="E29" i="30" s="1"/>
  <c r="C6" i="30"/>
  <c r="D6" i="30" s="1"/>
  <c r="E6" i="30" s="1"/>
  <c r="C30" i="30"/>
  <c r="D30" i="30" s="1"/>
  <c r="E30" i="30" s="1"/>
  <c r="C9" i="30"/>
  <c r="D9" i="30" s="1"/>
  <c r="E9" i="30" s="1"/>
  <c r="C33" i="30"/>
  <c r="D33" i="30" s="1"/>
  <c r="E33" i="30" s="1"/>
  <c r="C13" i="30"/>
  <c r="D13" i="30" s="1"/>
  <c r="E13" i="30" s="1"/>
  <c r="C37" i="30"/>
  <c r="D37" i="30" s="1"/>
  <c r="E37" i="30" s="1"/>
  <c r="C14" i="30"/>
  <c r="D14" i="30" s="1"/>
  <c r="E14" i="30" s="1"/>
  <c r="C38" i="30"/>
  <c r="D38" i="30" s="1"/>
  <c r="E38" i="30" s="1"/>
  <c r="C1" i="30"/>
  <c r="D1" i="30" s="1"/>
  <c r="E1" i="30" s="1"/>
  <c r="C17" i="30"/>
  <c r="D17" i="30" s="1"/>
  <c r="E17" i="30" s="1"/>
  <c r="C9" i="29"/>
  <c r="D9" i="29" s="1"/>
  <c r="E9" i="29" s="1"/>
  <c r="C13" i="29"/>
  <c r="D13" i="29" s="1"/>
  <c r="E13" i="29" s="1"/>
  <c r="C17" i="29"/>
  <c r="D17" i="29" s="1"/>
  <c r="E17" i="29" s="1"/>
  <c r="C21" i="29"/>
  <c r="D21" i="29" s="1"/>
  <c r="E21" i="29" s="1"/>
  <c r="C25" i="29"/>
  <c r="D25" i="29" s="1"/>
  <c r="E25" i="29" s="1"/>
  <c r="C29" i="29"/>
  <c r="D29" i="29" s="1"/>
  <c r="E29" i="29" s="1"/>
  <c r="C33" i="29"/>
  <c r="D33" i="29" s="1"/>
  <c r="E33" i="29" s="1"/>
  <c r="C37" i="29"/>
  <c r="D37" i="29" s="1"/>
  <c r="E37" i="29" s="1"/>
  <c r="C36" i="28"/>
  <c r="D36" i="28" s="1"/>
  <c r="E36" i="28" s="1"/>
  <c r="C37" i="28"/>
  <c r="D37" i="28" s="1"/>
  <c r="E37" i="28" s="1"/>
  <c r="C12" i="28"/>
  <c r="D12" i="28" s="1"/>
  <c r="E12" i="28" s="1"/>
  <c r="C13" i="28"/>
  <c r="D13" i="28" s="1"/>
  <c r="E13" i="28" s="1"/>
  <c r="C29" i="28"/>
  <c r="D29" i="28" s="1"/>
  <c r="E29" i="28" s="1"/>
  <c r="C16" i="28"/>
  <c r="D16" i="28" s="1"/>
  <c r="E16" i="28" s="1"/>
  <c r="C40" i="28"/>
  <c r="D40" i="28" s="1"/>
  <c r="E40" i="28" s="1"/>
  <c r="C17" i="28"/>
  <c r="D17" i="28" s="1"/>
  <c r="E17" i="28" s="1"/>
  <c r="C20" i="28"/>
  <c r="D20" i="28" s="1"/>
  <c r="E20" i="28" s="1"/>
  <c r="C21" i="28"/>
  <c r="D21" i="28" s="1"/>
  <c r="E21" i="28" s="1"/>
  <c r="C24" i="28"/>
  <c r="D24" i="28" s="1"/>
  <c r="E24" i="28" s="1"/>
  <c r="C25" i="28"/>
  <c r="D25" i="28" s="1"/>
  <c r="E25" i="28" s="1"/>
  <c r="C28" i="28"/>
  <c r="D28" i="28" s="1"/>
  <c r="E28" i="28" s="1"/>
  <c r="C32" i="28"/>
  <c r="D32" i="28" s="1"/>
  <c r="E32" i="28" s="1"/>
  <c r="C8" i="28"/>
  <c r="D8" i="28" s="1"/>
  <c r="E8" i="28" s="1"/>
  <c r="C9" i="28"/>
  <c r="D9" i="28" s="1"/>
  <c r="E9" i="28" s="1"/>
  <c r="C33" i="28"/>
  <c r="D33" i="28" s="1"/>
  <c r="E33" i="28" s="1"/>
  <c r="C2" i="27"/>
  <c r="D2" i="27" s="1"/>
  <c r="E2" i="27" s="1"/>
  <c r="C25" i="27"/>
  <c r="D25" i="27" s="1"/>
  <c r="E25" i="27" s="1"/>
  <c r="C26" i="27"/>
  <c r="D26" i="27" s="1"/>
  <c r="E26" i="27" s="1"/>
  <c r="C29" i="27"/>
  <c r="D29" i="27" s="1"/>
  <c r="E29" i="27" s="1"/>
  <c r="C6" i="27"/>
  <c r="D6" i="27" s="1"/>
  <c r="E6" i="27" s="1"/>
  <c r="C30" i="27"/>
  <c r="D30" i="27" s="1"/>
  <c r="E30" i="27" s="1"/>
  <c r="C9" i="27"/>
  <c r="D9" i="27" s="1"/>
  <c r="E9" i="27" s="1"/>
  <c r="C33" i="27"/>
  <c r="D33" i="27" s="1"/>
  <c r="E33" i="27" s="1"/>
  <c r="C10" i="27"/>
  <c r="D10" i="27" s="1"/>
  <c r="E10" i="27" s="1"/>
  <c r="C34" i="27"/>
  <c r="D34" i="27" s="1"/>
  <c r="E34" i="27" s="1"/>
  <c r="C13" i="27"/>
  <c r="D13" i="27" s="1"/>
  <c r="E13" i="27" s="1"/>
  <c r="C37" i="27"/>
  <c r="D37" i="27" s="1"/>
  <c r="E37" i="27" s="1"/>
  <c r="C14" i="27"/>
  <c r="D14" i="27" s="1"/>
  <c r="E14" i="27" s="1"/>
  <c r="C38" i="27"/>
  <c r="D38" i="27" s="1"/>
  <c r="E38" i="27" s="1"/>
  <c r="C17" i="27"/>
  <c r="D17" i="27" s="1"/>
  <c r="E17" i="27" s="1"/>
  <c r="C18" i="27"/>
  <c r="D18" i="27" s="1"/>
  <c r="E18" i="27" s="1"/>
  <c r="C21" i="27"/>
  <c r="D21" i="27" s="1"/>
  <c r="E21" i="27" s="1"/>
  <c r="C22" i="27"/>
  <c r="D22" i="27" s="1"/>
  <c r="E22" i="27" s="1"/>
  <c r="C2" i="26"/>
  <c r="D2" i="26" s="1"/>
  <c r="E2" i="26" s="1"/>
  <c r="C3" i="26"/>
  <c r="D3" i="26" s="1"/>
  <c r="E3" i="26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9" i="25"/>
  <c r="D9" i="25" s="1"/>
  <c r="E9" i="25" s="1"/>
  <c r="C25" i="25"/>
  <c r="D25" i="25" s="1"/>
  <c r="E25" i="25" s="1"/>
  <c r="C10" i="25"/>
  <c r="D10" i="25" s="1"/>
  <c r="E10" i="25" s="1"/>
  <c r="C26" i="25"/>
  <c r="D26" i="25" s="1"/>
  <c r="E26" i="25" s="1"/>
  <c r="C13" i="25"/>
  <c r="D13" i="25" s="1"/>
  <c r="E13" i="25" s="1"/>
  <c r="C29" i="25"/>
  <c r="D29" i="25" s="1"/>
  <c r="E29" i="25" s="1"/>
  <c r="C1" i="25"/>
  <c r="D1" i="25" s="1"/>
  <c r="E1" i="25" s="1"/>
  <c r="C14" i="25"/>
  <c r="D14" i="25" s="1"/>
  <c r="E14" i="25" s="1"/>
  <c r="C30" i="25"/>
  <c r="D30" i="25" s="1"/>
  <c r="E30" i="25" s="1"/>
  <c r="C2" i="25"/>
  <c r="D2" i="25" s="1"/>
  <c r="E2" i="25" s="1"/>
  <c r="C17" i="25"/>
  <c r="D17" i="25" s="1"/>
  <c r="E17" i="25" s="1"/>
  <c r="C33" i="25"/>
  <c r="D33" i="25" s="1"/>
  <c r="E33" i="25" s="1"/>
  <c r="C3" i="25"/>
  <c r="D3" i="25" s="1"/>
  <c r="E3" i="25" s="1"/>
  <c r="C18" i="25"/>
  <c r="D18" i="25" s="1"/>
  <c r="E18" i="25" s="1"/>
  <c r="C34" i="25"/>
  <c r="D34" i="25" s="1"/>
  <c r="E34" i="25" s="1"/>
  <c r="C4" i="25"/>
  <c r="D4" i="25" s="1"/>
  <c r="E4" i="25" s="1"/>
  <c r="C21" i="25"/>
  <c r="D21" i="25" s="1"/>
  <c r="E21" i="25" s="1"/>
  <c r="C37" i="25"/>
  <c r="D37" i="25" s="1"/>
  <c r="E37" i="25" s="1"/>
  <c r="C6" i="25"/>
  <c r="D6" i="25" s="1"/>
  <c r="E6" i="25" s="1"/>
  <c r="C22" i="25"/>
  <c r="D22" i="25" s="1"/>
  <c r="E22" i="25" s="1"/>
  <c r="C38" i="25"/>
  <c r="D38" i="25" s="1"/>
  <c r="E38" i="25" s="1"/>
  <c r="C14" i="24"/>
  <c r="D14" i="24" s="1"/>
  <c r="E14" i="24" s="1"/>
  <c r="C38" i="24"/>
  <c r="D38" i="24" s="1"/>
  <c r="E38" i="24" s="1"/>
  <c r="C6" i="24"/>
  <c r="D6" i="24" s="1"/>
  <c r="E6" i="24" s="1"/>
  <c r="C30" i="24"/>
  <c r="D30" i="24" s="1"/>
  <c r="E30" i="24" s="1"/>
  <c r="C9" i="24"/>
  <c r="D9" i="24" s="1"/>
  <c r="E9" i="24" s="1"/>
  <c r="C33" i="24"/>
  <c r="D33" i="24" s="1"/>
  <c r="E33" i="24" s="1"/>
  <c r="C10" i="24"/>
  <c r="D10" i="24" s="1"/>
  <c r="E10" i="24" s="1"/>
  <c r="C34" i="24"/>
  <c r="D34" i="24" s="1"/>
  <c r="E34" i="24" s="1"/>
  <c r="C13" i="24"/>
  <c r="D13" i="24" s="1"/>
  <c r="E13" i="24" s="1"/>
  <c r="C37" i="24"/>
  <c r="D37" i="24" s="1"/>
  <c r="E37" i="24" s="1"/>
  <c r="C17" i="24"/>
  <c r="D17" i="24" s="1"/>
  <c r="E17" i="24" s="1"/>
  <c r="C18" i="24"/>
  <c r="D18" i="24" s="1"/>
  <c r="E18" i="24" s="1"/>
  <c r="C1" i="24"/>
  <c r="D1" i="24" s="1"/>
  <c r="E1" i="24" s="1"/>
  <c r="C21" i="24"/>
  <c r="D21" i="24" s="1"/>
  <c r="E21" i="24" s="1"/>
  <c r="C2" i="24"/>
  <c r="D2" i="24" s="1"/>
  <c r="E2" i="24" s="1"/>
  <c r="C22" i="24"/>
  <c r="D22" i="24" s="1"/>
  <c r="E22" i="24" s="1"/>
  <c r="C25" i="24"/>
  <c r="D25" i="24" s="1"/>
  <c r="E25" i="24" s="1"/>
  <c r="C3" i="24"/>
  <c r="D3" i="24" s="1"/>
  <c r="E3" i="24" s="1"/>
  <c r="C26" i="24"/>
  <c r="D26" i="24" s="1"/>
  <c r="E26" i="24" s="1"/>
  <c r="C29" i="24"/>
  <c r="D29" i="24" s="1"/>
  <c r="E29" i="24" s="1"/>
  <c r="C21" i="23"/>
  <c r="D21" i="23" s="1"/>
  <c r="E21" i="23" s="1"/>
  <c r="C22" i="23"/>
  <c r="D22" i="23" s="1"/>
  <c r="E22" i="23" s="1"/>
  <c r="C1" i="23"/>
  <c r="D1" i="23" s="1"/>
  <c r="E1" i="23" s="1"/>
  <c r="C25" i="23"/>
  <c r="D25" i="23" s="1"/>
  <c r="E25" i="23" s="1"/>
  <c r="C3" i="23"/>
  <c r="D3" i="23" s="1"/>
  <c r="E3" i="23" s="1"/>
  <c r="C26" i="23"/>
  <c r="D26" i="23" s="1"/>
  <c r="E26" i="23" s="1"/>
  <c r="C29" i="23"/>
  <c r="D29" i="23" s="1"/>
  <c r="E29" i="23" s="1"/>
  <c r="C6" i="23"/>
  <c r="D6" i="23" s="1"/>
  <c r="E6" i="23" s="1"/>
  <c r="C33" i="23"/>
  <c r="D33" i="23" s="1"/>
  <c r="E33" i="23" s="1"/>
  <c r="C9" i="23"/>
  <c r="D9" i="23" s="1"/>
  <c r="E9" i="23" s="1"/>
  <c r="C37" i="23"/>
  <c r="D37" i="23" s="1"/>
  <c r="E37" i="23" s="1"/>
  <c r="C10" i="23"/>
  <c r="D10" i="23" s="1"/>
  <c r="E10" i="23" s="1"/>
  <c r="C13" i="23"/>
  <c r="D13" i="23" s="1"/>
  <c r="E13" i="23" s="1"/>
  <c r="C14" i="23"/>
  <c r="D14" i="23" s="1"/>
  <c r="E14" i="23" s="1"/>
  <c r="C17" i="23"/>
  <c r="D17" i="23" s="1"/>
  <c r="E17" i="23" s="1"/>
  <c r="C18" i="23"/>
  <c r="D18" i="23" s="1"/>
  <c r="E18" i="23" s="1"/>
  <c r="C6" i="22"/>
  <c r="D6" i="22" s="1"/>
  <c r="E6" i="22" s="1"/>
  <c r="C22" i="22"/>
  <c r="D22" i="22" s="1"/>
  <c r="E22" i="22" s="1"/>
  <c r="C7" i="22"/>
  <c r="D7" i="22" s="1"/>
  <c r="E7" i="22" s="1"/>
  <c r="C23" i="22"/>
  <c r="D23" i="22" s="1"/>
  <c r="E23" i="22" s="1"/>
  <c r="C9" i="22"/>
  <c r="D9" i="22" s="1"/>
  <c r="E9" i="22" s="1"/>
  <c r="C25" i="22"/>
  <c r="D25" i="22" s="1"/>
  <c r="E25" i="22" s="1"/>
  <c r="C10" i="22"/>
  <c r="D10" i="22" s="1"/>
  <c r="E10" i="22" s="1"/>
  <c r="C26" i="22"/>
  <c r="D26" i="22" s="1"/>
  <c r="E26" i="22" s="1"/>
  <c r="C39" i="22"/>
  <c r="D39" i="22" s="1"/>
  <c r="E39" i="22" s="1"/>
  <c r="C11" i="22"/>
  <c r="D11" i="22" s="1"/>
  <c r="E11" i="22" s="1"/>
  <c r="C27" i="22"/>
  <c r="D27" i="22" s="1"/>
  <c r="E27" i="22" s="1"/>
  <c r="C4" i="22"/>
  <c r="D4" i="22" s="1"/>
  <c r="E4" i="22" s="1"/>
  <c r="C13" i="22"/>
  <c r="D13" i="22" s="1"/>
  <c r="E13" i="22" s="1"/>
  <c r="C29" i="22"/>
  <c r="D29" i="22" s="1"/>
  <c r="E29" i="22" s="1"/>
  <c r="C14" i="22"/>
  <c r="D14" i="22" s="1"/>
  <c r="E14" i="22" s="1"/>
  <c r="C30" i="22"/>
  <c r="D30" i="22" s="1"/>
  <c r="E30" i="22" s="1"/>
  <c r="C31" i="22"/>
  <c r="D31" i="22" s="1"/>
  <c r="E31" i="22" s="1"/>
  <c r="C19" i="22"/>
  <c r="D19" i="22" s="1"/>
  <c r="E19" i="22" s="1"/>
  <c r="C21" i="22"/>
  <c r="D21" i="22" s="1"/>
  <c r="E21" i="22" s="1"/>
  <c r="C15" i="22"/>
  <c r="D15" i="22" s="1"/>
  <c r="E15" i="22" s="1"/>
  <c r="C2" i="22"/>
  <c r="D2" i="22" s="1"/>
  <c r="E2" i="22" s="1"/>
  <c r="C17" i="22"/>
  <c r="D17" i="22" s="1"/>
  <c r="E17" i="22" s="1"/>
  <c r="C33" i="22"/>
  <c r="D33" i="22" s="1"/>
  <c r="E33" i="22" s="1"/>
  <c r="C37" i="22"/>
  <c r="D37" i="22" s="1"/>
  <c r="E37" i="22" s="1"/>
  <c r="C1" i="22"/>
  <c r="D1" i="22" s="1"/>
  <c r="E1" i="22" s="1"/>
  <c r="C3" i="22"/>
  <c r="D3" i="22" s="1"/>
  <c r="E3" i="22" s="1"/>
  <c r="C18" i="22"/>
  <c r="D18" i="22" s="1"/>
  <c r="E18" i="22" s="1"/>
  <c r="C35" i="22"/>
  <c r="D35" i="22" s="1"/>
  <c r="E35" i="22" s="1"/>
  <c r="C4" i="21"/>
  <c r="D4" i="21" s="1"/>
  <c r="E4" i="21" s="1"/>
  <c r="C9" i="21"/>
  <c r="D9" i="21" s="1"/>
  <c r="E9" i="21" s="1"/>
  <c r="C13" i="21"/>
  <c r="D13" i="21" s="1"/>
  <c r="E13" i="21" s="1"/>
  <c r="C17" i="21"/>
  <c r="D17" i="21" s="1"/>
  <c r="E17" i="21" s="1"/>
  <c r="C21" i="21"/>
  <c r="D21" i="21" s="1"/>
  <c r="E21" i="21" s="1"/>
  <c r="C25" i="21"/>
  <c r="D25" i="21" s="1"/>
  <c r="E25" i="21" s="1"/>
  <c r="C29" i="21"/>
  <c r="D29" i="21" s="1"/>
  <c r="E29" i="21" s="1"/>
  <c r="C33" i="21"/>
  <c r="D33" i="21" s="1"/>
  <c r="E33" i="21" s="1"/>
  <c r="C37" i="21"/>
  <c r="D37" i="21" s="1"/>
  <c r="E37" i="21" s="1"/>
  <c r="C1" i="21"/>
  <c r="D1" i="21" s="1"/>
  <c r="E1" i="21" s="1"/>
  <c r="C3" i="20"/>
  <c r="D3" i="20" s="1"/>
  <c r="E3" i="20" s="1"/>
  <c r="C9" i="20"/>
  <c r="D9" i="20" s="1"/>
  <c r="E9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2" i="20"/>
  <c r="D2" i="20" s="1"/>
  <c r="E2" i="20" s="1"/>
  <c r="C10" i="19"/>
  <c r="D10" i="19" s="1"/>
  <c r="E10" i="19" s="1"/>
  <c r="C26" i="19"/>
  <c r="D26" i="19" s="1"/>
  <c r="E26" i="19" s="1"/>
  <c r="C33" i="19"/>
  <c r="D33" i="19" s="1"/>
  <c r="E33" i="19" s="1"/>
  <c r="C12" i="19"/>
  <c r="D12" i="19" s="1"/>
  <c r="E12" i="19" s="1"/>
  <c r="C28" i="19"/>
  <c r="D28" i="19" s="1"/>
  <c r="E28" i="19" s="1"/>
  <c r="C13" i="19"/>
  <c r="D13" i="19" s="1"/>
  <c r="E13" i="19" s="1"/>
  <c r="C29" i="19"/>
  <c r="D29" i="19" s="1"/>
  <c r="E29" i="19" s="1"/>
  <c r="C14" i="19"/>
  <c r="D14" i="19" s="1"/>
  <c r="E14" i="19" s="1"/>
  <c r="C30" i="19"/>
  <c r="D30" i="19" s="1"/>
  <c r="E30" i="19" s="1"/>
  <c r="C16" i="19"/>
  <c r="D16" i="19" s="1"/>
  <c r="E16" i="19" s="1"/>
  <c r="C32" i="19"/>
  <c r="D32" i="19" s="1"/>
  <c r="E32" i="19" s="1"/>
  <c r="C18" i="19"/>
  <c r="D18" i="19" s="1"/>
  <c r="E18" i="19" s="1"/>
  <c r="C34" i="19"/>
  <c r="D34" i="19" s="1"/>
  <c r="E34" i="19" s="1"/>
  <c r="C17" i="19"/>
  <c r="D17" i="19" s="1"/>
  <c r="E17" i="19" s="1"/>
  <c r="C20" i="19"/>
  <c r="D20" i="19" s="1"/>
  <c r="E20" i="19" s="1"/>
  <c r="C36" i="19"/>
  <c r="D36" i="19" s="1"/>
  <c r="E36" i="19" s="1"/>
  <c r="C21" i="19"/>
  <c r="D21" i="19" s="1"/>
  <c r="E21" i="19" s="1"/>
  <c r="C37" i="19"/>
  <c r="D37" i="19" s="1"/>
  <c r="E37" i="19" s="1"/>
  <c r="C6" i="19"/>
  <c r="D6" i="19" s="1"/>
  <c r="E6" i="19" s="1"/>
  <c r="C22" i="19"/>
  <c r="D22" i="19" s="1"/>
  <c r="E22" i="19" s="1"/>
  <c r="C38" i="19"/>
  <c r="D38" i="19" s="1"/>
  <c r="E38" i="19" s="1"/>
  <c r="C8" i="19"/>
  <c r="D8" i="19" s="1"/>
  <c r="E8" i="19" s="1"/>
  <c r="C24" i="19"/>
  <c r="D24" i="19" s="1"/>
  <c r="E24" i="19" s="1"/>
  <c r="C40" i="19"/>
  <c r="D40" i="19" s="1"/>
  <c r="E40" i="19" s="1"/>
  <c r="C9" i="19"/>
  <c r="D9" i="19" s="1"/>
  <c r="E9" i="19" s="1"/>
  <c r="C25" i="19"/>
  <c r="D25" i="19" s="1"/>
  <c r="E25" i="19" s="1"/>
  <c r="C9" i="18"/>
  <c r="D9" i="18" s="1"/>
  <c r="E9" i="18" s="1"/>
  <c r="C21" i="18"/>
  <c r="D21" i="18" s="1"/>
  <c r="E21" i="18" s="1"/>
  <c r="C13" i="18"/>
  <c r="D13" i="18" s="1"/>
  <c r="E13" i="18" s="1"/>
  <c r="C17" i="18"/>
  <c r="D17" i="18" s="1"/>
  <c r="E17" i="18" s="1"/>
  <c r="C25" i="18"/>
  <c r="D25" i="18" s="1"/>
  <c r="E25" i="18" s="1"/>
  <c r="C29" i="18"/>
  <c r="D29" i="18" s="1"/>
  <c r="E29" i="18" s="1"/>
  <c r="C33" i="18"/>
  <c r="D33" i="18" s="1"/>
  <c r="E33" i="18" s="1"/>
  <c r="C37" i="18"/>
  <c r="D37" i="18" s="1"/>
  <c r="E37" i="18" s="1"/>
  <c r="C3" i="18"/>
  <c r="D3" i="18" s="1"/>
  <c r="E3" i="18" s="1"/>
  <c r="C9" i="17"/>
  <c r="D9" i="17" s="1"/>
  <c r="E9" i="17" s="1"/>
  <c r="C13" i="17"/>
  <c r="D13" i="17" s="1"/>
  <c r="E13" i="17" s="1"/>
  <c r="C17" i="17"/>
  <c r="D17" i="17" s="1"/>
  <c r="E17" i="17" s="1"/>
  <c r="C4" i="17"/>
  <c r="D4" i="17" s="1"/>
  <c r="E4" i="17" s="1"/>
  <c r="C21" i="17"/>
  <c r="D21" i="17" s="1"/>
  <c r="E21" i="17" s="1"/>
  <c r="C25" i="17"/>
  <c r="D25" i="17" s="1"/>
  <c r="E25" i="17" s="1"/>
  <c r="C29" i="17"/>
  <c r="D29" i="17" s="1"/>
  <c r="E29" i="17" s="1"/>
  <c r="C33" i="17"/>
  <c r="D33" i="17" s="1"/>
  <c r="E33" i="17" s="1"/>
  <c r="C37" i="17"/>
  <c r="D37" i="17" s="1"/>
  <c r="E37" i="17" s="1"/>
  <c r="C1" i="17"/>
  <c r="D1" i="17" s="1"/>
  <c r="E1" i="17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5" i="16"/>
  <c r="D25" i="16" s="1"/>
  <c r="E25" i="16" s="1"/>
  <c r="C29" i="16"/>
  <c r="D29" i="16" s="1"/>
  <c r="E29" i="16" s="1"/>
  <c r="C33" i="16"/>
  <c r="D33" i="16" s="1"/>
  <c r="E33" i="16" s="1"/>
  <c r="C37" i="16"/>
  <c r="D37" i="16" s="1"/>
  <c r="E37" i="16" s="1"/>
  <c r="C9" i="15"/>
  <c r="D9" i="15" s="1"/>
  <c r="E9" i="15" s="1"/>
  <c r="C35" i="15"/>
  <c r="D35" i="15" s="1"/>
  <c r="E35" i="15" s="1"/>
  <c r="C37" i="15"/>
  <c r="D37" i="15" s="1"/>
  <c r="E37" i="15" s="1"/>
  <c r="C38" i="15"/>
  <c r="D38" i="15" s="1"/>
  <c r="E38" i="15" s="1"/>
  <c r="C5" i="15"/>
  <c r="D5" i="15" s="1"/>
  <c r="E5" i="15" s="1"/>
  <c r="C6" i="15"/>
  <c r="D6" i="15" s="1"/>
  <c r="E6" i="15" s="1"/>
  <c r="C7" i="15"/>
  <c r="D7" i="15" s="1"/>
  <c r="E7" i="15" s="1"/>
  <c r="C19" i="15"/>
  <c r="D19" i="15" s="1"/>
  <c r="E19" i="15" s="1"/>
  <c r="C21" i="15"/>
  <c r="D21" i="15" s="1"/>
  <c r="E21" i="15" s="1"/>
  <c r="C22" i="15"/>
  <c r="D22" i="15" s="1"/>
  <c r="E22" i="15" s="1"/>
  <c r="C23" i="15"/>
  <c r="D23" i="15" s="1"/>
  <c r="E23" i="15" s="1"/>
  <c r="C25" i="15"/>
  <c r="D25" i="15" s="1"/>
  <c r="E25" i="15" s="1"/>
  <c r="C39" i="15"/>
  <c r="D39" i="15" s="1"/>
  <c r="E39" i="15" s="1"/>
  <c r="C10" i="15"/>
  <c r="D10" i="15" s="1"/>
  <c r="E10" i="15" s="1"/>
  <c r="C26" i="15"/>
  <c r="D26" i="15" s="1"/>
  <c r="E26" i="15" s="1"/>
  <c r="C11" i="15"/>
  <c r="D11" i="15" s="1"/>
  <c r="E11" i="15" s="1"/>
  <c r="C27" i="15"/>
  <c r="D27" i="15" s="1"/>
  <c r="E27" i="15" s="1"/>
  <c r="C29" i="15"/>
  <c r="D29" i="15" s="1"/>
  <c r="E29" i="15" s="1"/>
  <c r="C30" i="15"/>
  <c r="D30" i="15" s="1"/>
  <c r="E30" i="15" s="1"/>
  <c r="C13" i="15"/>
  <c r="D13" i="15" s="1"/>
  <c r="E13" i="15" s="1"/>
  <c r="C15" i="15"/>
  <c r="D15" i="15" s="1"/>
  <c r="E15" i="15" s="1"/>
  <c r="C31" i="15"/>
  <c r="D31" i="15" s="1"/>
  <c r="E31" i="15" s="1"/>
  <c r="C14" i="15"/>
  <c r="D14" i="15" s="1"/>
  <c r="E14" i="15" s="1"/>
  <c r="C1" i="15"/>
  <c r="D1" i="15" s="1"/>
  <c r="E1" i="15" s="1"/>
  <c r="C17" i="15"/>
  <c r="D17" i="15" s="1"/>
  <c r="E17" i="15" s="1"/>
  <c r="C33" i="15"/>
  <c r="D33" i="15" s="1"/>
  <c r="E33" i="15" s="1"/>
  <c r="C18" i="15"/>
  <c r="D18" i="15" s="1"/>
  <c r="E18" i="15" s="1"/>
  <c r="C34" i="15"/>
  <c r="D34" i="15" s="1"/>
  <c r="E34" i="15" s="1"/>
  <c r="C2" i="14"/>
  <c r="D2" i="14" s="1"/>
  <c r="E2" i="14" s="1"/>
  <c r="C17" i="14"/>
  <c r="D17" i="14" s="1"/>
  <c r="E17" i="14" s="1"/>
  <c r="C33" i="14"/>
  <c r="D33" i="14" s="1"/>
  <c r="E33" i="14" s="1"/>
  <c r="C14" i="14"/>
  <c r="D14" i="14" s="1"/>
  <c r="E14" i="14" s="1"/>
  <c r="C30" i="14"/>
  <c r="D30" i="14" s="1"/>
  <c r="E30" i="14" s="1"/>
  <c r="C1" i="14"/>
  <c r="D1" i="14" s="1"/>
  <c r="E1" i="14" s="1"/>
  <c r="C16" i="14"/>
  <c r="D16" i="14" s="1"/>
  <c r="E16" i="14" s="1"/>
  <c r="C32" i="14"/>
  <c r="D32" i="14" s="1"/>
  <c r="E32" i="14" s="1"/>
  <c r="C18" i="14"/>
  <c r="D18" i="14" s="1"/>
  <c r="E18" i="14" s="1"/>
  <c r="C34" i="14"/>
  <c r="D34" i="14" s="1"/>
  <c r="E34" i="14" s="1"/>
  <c r="C3" i="14"/>
  <c r="D3" i="14" s="1"/>
  <c r="E3" i="14" s="1"/>
  <c r="C20" i="14"/>
  <c r="D20" i="14" s="1"/>
  <c r="E20" i="14" s="1"/>
  <c r="C36" i="14"/>
  <c r="D36" i="14" s="1"/>
  <c r="E36" i="14" s="1"/>
  <c r="C21" i="14"/>
  <c r="D21" i="14" s="1"/>
  <c r="E21" i="14" s="1"/>
  <c r="C37" i="14"/>
  <c r="D37" i="14" s="1"/>
  <c r="E37" i="14" s="1"/>
  <c r="C6" i="14"/>
  <c r="D6" i="14" s="1"/>
  <c r="E6" i="14" s="1"/>
  <c r="C22" i="14"/>
  <c r="D22" i="14" s="1"/>
  <c r="E22" i="14" s="1"/>
  <c r="C38" i="14"/>
  <c r="D38" i="14" s="1"/>
  <c r="E38" i="14" s="1"/>
  <c r="C8" i="14"/>
  <c r="D8" i="14" s="1"/>
  <c r="E8" i="14" s="1"/>
  <c r="C24" i="14"/>
  <c r="D24" i="14" s="1"/>
  <c r="E24" i="14" s="1"/>
  <c r="C40" i="14"/>
  <c r="D40" i="14" s="1"/>
  <c r="E40" i="14" s="1"/>
  <c r="C9" i="14"/>
  <c r="D9" i="14" s="1"/>
  <c r="E9" i="14" s="1"/>
  <c r="C25" i="14"/>
  <c r="D25" i="14" s="1"/>
  <c r="E25" i="14" s="1"/>
  <c r="C10" i="14"/>
  <c r="D10" i="14" s="1"/>
  <c r="E10" i="14" s="1"/>
  <c r="C26" i="14"/>
  <c r="D26" i="14" s="1"/>
  <c r="E26" i="14" s="1"/>
  <c r="C12" i="14"/>
  <c r="D12" i="14" s="1"/>
  <c r="E12" i="14" s="1"/>
  <c r="C28" i="14"/>
  <c r="D28" i="14" s="1"/>
  <c r="E28" i="14" s="1"/>
  <c r="C13" i="14"/>
  <c r="D13" i="14" s="1"/>
  <c r="E13" i="14" s="1"/>
  <c r="C29" i="14"/>
  <c r="D29" i="14" s="1"/>
  <c r="E29" i="14" s="1"/>
  <c r="C37" i="13"/>
  <c r="D37" i="13" s="1"/>
  <c r="E37" i="13" s="1"/>
  <c r="C2" i="13"/>
  <c r="D2" i="13" s="1"/>
  <c r="E2" i="13" s="1"/>
  <c r="C9" i="13"/>
  <c r="D9" i="13" s="1"/>
  <c r="E9" i="13" s="1"/>
  <c r="C17" i="13"/>
  <c r="D17" i="13" s="1"/>
  <c r="E17" i="13" s="1"/>
  <c r="C13" i="13"/>
  <c r="D13" i="13" s="1"/>
  <c r="E13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4" i="12"/>
  <c r="D34" i="12" s="1"/>
  <c r="E34" i="12" s="1"/>
  <c r="C10" i="12"/>
  <c r="D10" i="12" s="1"/>
  <c r="E10" i="12" s="1"/>
  <c r="C13" i="12"/>
  <c r="D13" i="12" s="1"/>
  <c r="E13" i="12" s="1"/>
  <c r="C37" i="12"/>
  <c r="D37" i="12" s="1"/>
  <c r="E37" i="12" s="1"/>
  <c r="C14" i="12"/>
  <c r="D14" i="12" s="1"/>
  <c r="E14" i="12" s="1"/>
  <c r="C38" i="12"/>
  <c r="D38" i="12" s="1"/>
  <c r="E38" i="12" s="1"/>
  <c r="C17" i="12"/>
  <c r="D17" i="12" s="1"/>
  <c r="E17" i="12" s="1"/>
  <c r="C18" i="12"/>
  <c r="D18" i="12" s="1"/>
  <c r="E18" i="12" s="1"/>
  <c r="C21" i="12"/>
  <c r="D21" i="12" s="1"/>
  <c r="E21" i="12" s="1"/>
  <c r="C22" i="12"/>
  <c r="D22" i="12" s="1"/>
  <c r="E22" i="12" s="1"/>
  <c r="C2" i="12"/>
  <c r="D2" i="12" s="1"/>
  <c r="E2" i="12" s="1"/>
  <c r="C25" i="12"/>
  <c r="D25" i="12" s="1"/>
  <c r="E25" i="12" s="1"/>
  <c r="C26" i="12"/>
  <c r="D26" i="12" s="1"/>
  <c r="E26" i="12" s="1"/>
  <c r="C29" i="12"/>
  <c r="D29" i="12" s="1"/>
  <c r="E29" i="12" s="1"/>
  <c r="C6" i="12"/>
  <c r="D6" i="12" s="1"/>
  <c r="E6" i="12" s="1"/>
  <c r="C30" i="12"/>
  <c r="D30" i="12" s="1"/>
  <c r="E30" i="12" s="1"/>
  <c r="C9" i="12"/>
  <c r="D9" i="12" s="1"/>
  <c r="E9" i="12" s="1"/>
  <c r="C33" i="12"/>
  <c r="D33" i="12" s="1"/>
  <c r="E33" i="12" s="1"/>
  <c r="C3" i="11"/>
  <c r="D3" i="11" s="1"/>
  <c r="E3" i="11" s="1"/>
  <c r="C9" i="11"/>
  <c r="D9" i="11" s="1"/>
  <c r="E9" i="11" s="1"/>
  <c r="C13" i="11"/>
  <c r="D13" i="11" s="1"/>
  <c r="E13" i="11" s="1"/>
  <c r="C17" i="11"/>
  <c r="D17" i="11" s="1"/>
  <c r="E17" i="11" s="1"/>
  <c r="C21" i="11"/>
  <c r="D21" i="11" s="1"/>
  <c r="E21" i="11" s="1"/>
  <c r="C25" i="11"/>
  <c r="D25" i="11" s="1"/>
  <c r="E25" i="11" s="1"/>
  <c r="C29" i="11"/>
  <c r="D29" i="11" s="1"/>
  <c r="E29" i="11" s="1"/>
  <c r="C33" i="11"/>
  <c r="D33" i="11" s="1"/>
  <c r="E33" i="11" s="1"/>
  <c r="C37" i="11"/>
  <c r="D37" i="11" s="1"/>
  <c r="E37" i="11" s="1"/>
  <c r="C1" i="11"/>
  <c r="D1" i="11" s="1"/>
  <c r="E1" i="11" s="1"/>
  <c r="C6" i="10"/>
  <c r="D6" i="10" s="1"/>
  <c r="E6" i="10" s="1"/>
  <c r="C18" i="10"/>
  <c r="D18" i="10" s="1"/>
  <c r="E18" i="10" s="1"/>
  <c r="C25" i="10"/>
  <c r="D25" i="10" s="1"/>
  <c r="E25" i="10" s="1"/>
  <c r="C8" i="10"/>
  <c r="D8" i="10" s="1"/>
  <c r="E8" i="10" s="1"/>
  <c r="C26" i="10"/>
  <c r="D26" i="10" s="1"/>
  <c r="E26" i="10" s="1"/>
  <c r="C9" i="10"/>
  <c r="D9" i="10" s="1"/>
  <c r="E9" i="10" s="1"/>
  <c r="C29" i="10"/>
  <c r="D29" i="10" s="1"/>
  <c r="E29" i="10" s="1"/>
  <c r="C10" i="10"/>
  <c r="D10" i="10" s="1"/>
  <c r="E10" i="10" s="1"/>
  <c r="C30" i="10"/>
  <c r="D30" i="10" s="1"/>
  <c r="E30" i="10" s="1"/>
  <c r="C12" i="10"/>
  <c r="D12" i="10" s="1"/>
  <c r="E12" i="10" s="1"/>
  <c r="C33" i="10"/>
  <c r="D33" i="10" s="1"/>
  <c r="E33" i="10" s="1"/>
  <c r="C13" i="10"/>
  <c r="D13" i="10" s="1"/>
  <c r="E13" i="10" s="1"/>
  <c r="C34" i="10"/>
  <c r="D34" i="10" s="1"/>
  <c r="E34" i="10" s="1"/>
  <c r="C14" i="10"/>
  <c r="D14" i="10" s="1"/>
  <c r="E14" i="10" s="1"/>
  <c r="C37" i="10"/>
  <c r="D37" i="10" s="1"/>
  <c r="E37" i="10" s="1"/>
  <c r="C16" i="10"/>
  <c r="D16" i="10" s="1"/>
  <c r="E16" i="10" s="1"/>
  <c r="C38" i="10"/>
  <c r="D38" i="10" s="1"/>
  <c r="E38" i="10" s="1"/>
  <c r="C17" i="10"/>
  <c r="D17" i="10" s="1"/>
  <c r="E17" i="10" s="1"/>
  <c r="C21" i="10"/>
  <c r="D21" i="10" s="1"/>
  <c r="E21" i="10" s="1"/>
  <c r="C22" i="10"/>
  <c r="D22" i="10" s="1"/>
  <c r="E22" i="10" s="1"/>
  <c r="C9" i="9"/>
  <c r="D9" i="9" s="1"/>
  <c r="E9" i="9" s="1"/>
  <c r="C13" i="9"/>
  <c r="D13" i="9" s="1"/>
  <c r="E13" i="9" s="1"/>
  <c r="C17" i="9"/>
  <c r="D17" i="9" s="1"/>
  <c r="E17" i="9" s="1"/>
  <c r="C21" i="9"/>
  <c r="D21" i="9" s="1"/>
  <c r="E21" i="9" s="1"/>
  <c r="C25" i="9"/>
  <c r="D25" i="9" s="1"/>
  <c r="E25" i="9" s="1"/>
  <c r="C29" i="9"/>
  <c r="D29" i="9" s="1"/>
  <c r="E29" i="9" s="1"/>
  <c r="C33" i="9"/>
  <c r="D33" i="9" s="1"/>
  <c r="E33" i="9" s="1"/>
  <c r="C37" i="9"/>
  <c r="D37" i="9" s="1"/>
  <c r="E37" i="9" s="1"/>
  <c r="C22" i="8"/>
  <c r="D22" i="8" s="1"/>
  <c r="E22" i="8" s="1"/>
  <c r="C38" i="8"/>
  <c r="D38" i="8" s="1"/>
  <c r="E38" i="8" s="1"/>
  <c r="C6" i="8"/>
  <c r="D6" i="8" s="1"/>
  <c r="E6" i="8" s="1"/>
  <c r="C8" i="8"/>
  <c r="D8" i="8" s="1"/>
  <c r="E8" i="8" s="1"/>
  <c r="C24" i="8"/>
  <c r="D24" i="8" s="1"/>
  <c r="E24" i="8" s="1"/>
  <c r="C40" i="8"/>
  <c r="D40" i="8" s="1"/>
  <c r="E40" i="8" s="1"/>
  <c r="C9" i="8"/>
  <c r="D9" i="8" s="1"/>
  <c r="E9" i="8" s="1"/>
  <c r="C25" i="8"/>
  <c r="D25" i="8" s="1"/>
  <c r="E25" i="8" s="1"/>
  <c r="C10" i="8"/>
  <c r="D10" i="8" s="1"/>
  <c r="E10" i="8" s="1"/>
  <c r="C26" i="8"/>
  <c r="D26" i="8" s="1"/>
  <c r="E26" i="8" s="1"/>
  <c r="C28" i="8"/>
  <c r="D28" i="8" s="1"/>
  <c r="E28" i="8" s="1"/>
  <c r="C13" i="8"/>
  <c r="D13" i="8" s="1"/>
  <c r="E13" i="8" s="1"/>
  <c r="C29" i="8"/>
  <c r="D29" i="8" s="1"/>
  <c r="E29" i="8" s="1"/>
  <c r="C14" i="8"/>
  <c r="D14" i="8" s="1"/>
  <c r="E14" i="8" s="1"/>
  <c r="C30" i="8"/>
  <c r="D30" i="8" s="1"/>
  <c r="E30" i="8" s="1"/>
  <c r="C12" i="8"/>
  <c r="D12" i="8" s="1"/>
  <c r="E12" i="8" s="1"/>
  <c r="C16" i="8"/>
  <c r="D16" i="8" s="1"/>
  <c r="E16" i="8" s="1"/>
  <c r="C32" i="8"/>
  <c r="D32" i="8" s="1"/>
  <c r="E32" i="8" s="1"/>
  <c r="C17" i="8"/>
  <c r="D17" i="8" s="1"/>
  <c r="E17" i="8" s="1"/>
  <c r="C33" i="8"/>
  <c r="D33" i="8" s="1"/>
  <c r="E33" i="8" s="1"/>
  <c r="C18" i="8"/>
  <c r="D18" i="8" s="1"/>
  <c r="E18" i="8" s="1"/>
  <c r="C34" i="8"/>
  <c r="D34" i="8" s="1"/>
  <c r="E34" i="8" s="1"/>
  <c r="C4" i="8"/>
  <c r="D4" i="8" s="1"/>
  <c r="E4" i="8" s="1"/>
  <c r="C20" i="8"/>
  <c r="D20" i="8" s="1"/>
  <c r="E20" i="8" s="1"/>
  <c r="C36" i="8"/>
  <c r="D36" i="8" s="1"/>
  <c r="E36" i="8" s="1"/>
  <c r="C21" i="8"/>
  <c r="D21" i="8" s="1"/>
  <c r="E21" i="8" s="1"/>
  <c r="C37" i="8"/>
  <c r="D37" i="8" s="1"/>
  <c r="E37" i="8" s="1"/>
  <c r="C22" i="7"/>
  <c r="D22" i="7" s="1"/>
  <c r="E22" i="7" s="1"/>
  <c r="C25" i="7"/>
  <c r="D25" i="7" s="1"/>
  <c r="E25" i="7" s="1"/>
  <c r="C26" i="7"/>
  <c r="D26" i="7" s="1"/>
  <c r="E26" i="7" s="1"/>
  <c r="C29" i="7"/>
  <c r="D29" i="7" s="1"/>
  <c r="E29" i="7" s="1"/>
  <c r="C6" i="7"/>
  <c r="D6" i="7" s="1"/>
  <c r="E6" i="7" s="1"/>
  <c r="C30" i="7"/>
  <c r="D30" i="7" s="1"/>
  <c r="E30" i="7" s="1"/>
  <c r="C9" i="7"/>
  <c r="D9" i="7" s="1"/>
  <c r="E9" i="7" s="1"/>
  <c r="C33" i="7"/>
  <c r="D33" i="7" s="1"/>
  <c r="E33" i="7" s="1"/>
  <c r="C10" i="7"/>
  <c r="D10" i="7" s="1"/>
  <c r="E10" i="7" s="1"/>
  <c r="C34" i="7"/>
  <c r="D34" i="7" s="1"/>
  <c r="E34" i="7" s="1"/>
  <c r="C13" i="7"/>
  <c r="D13" i="7" s="1"/>
  <c r="E13" i="7" s="1"/>
  <c r="C37" i="7"/>
  <c r="D37" i="7" s="1"/>
  <c r="E37" i="7" s="1"/>
  <c r="C38" i="7"/>
  <c r="D38" i="7" s="1"/>
  <c r="E38" i="7" s="1"/>
  <c r="C14" i="7"/>
  <c r="D14" i="7" s="1"/>
  <c r="E14" i="7" s="1"/>
  <c r="C17" i="7"/>
  <c r="D17" i="7" s="1"/>
  <c r="E17" i="7" s="1"/>
  <c r="C18" i="7"/>
  <c r="D18" i="7" s="1"/>
  <c r="E18" i="7" s="1"/>
  <c r="C21" i="7"/>
  <c r="D21" i="7" s="1"/>
  <c r="E21" i="7" s="1"/>
  <c r="C29" i="6"/>
  <c r="D29" i="6" s="1"/>
  <c r="E29" i="6" s="1"/>
  <c r="C33" i="6"/>
  <c r="D33" i="6" s="1"/>
  <c r="E33" i="6" s="1"/>
  <c r="C37" i="6"/>
  <c r="D37" i="6" s="1"/>
  <c r="E37" i="6" s="1"/>
  <c r="C9" i="6"/>
  <c r="D9" i="6" s="1"/>
  <c r="E9" i="6" s="1"/>
  <c r="C13" i="6"/>
  <c r="D13" i="6" s="1"/>
  <c r="E13" i="6" s="1"/>
  <c r="C17" i="6"/>
  <c r="D17" i="6" s="1"/>
  <c r="E17" i="6" s="1"/>
  <c r="C21" i="6"/>
  <c r="D21" i="6" s="1"/>
  <c r="E21" i="6" s="1"/>
  <c r="C25" i="6"/>
  <c r="D25" i="6" s="1"/>
  <c r="E25" i="6" s="1"/>
  <c r="C38" i="5"/>
  <c r="D38" i="5" s="1"/>
  <c r="E38" i="5" s="1"/>
  <c r="C14" i="5"/>
  <c r="D14" i="5" s="1"/>
  <c r="E14" i="5" s="1"/>
  <c r="C29" i="5"/>
  <c r="D29" i="5" s="1"/>
  <c r="E29" i="5" s="1"/>
  <c r="C6" i="5"/>
  <c r="D6" i="5" s="1"/>
  <c r="E6" i="5" s="1"/>
  <c r="C30" i="5"/>
  <c r="D30" i="5" s="1"/>
  <c r="E30" i="5" s="1"/>
  <c r="C9" i="5"/>
  <c r="D9" i="5" s="1"/>
  <c r="E9" i="5" s="1"/>
  <c r="C33" i="5"/>
  <c r="D33" i="5" s="1"/>
  <c r="E33" i="5" s="1"/>
  <c r="C10" i="5"/>
  <c r="D10" i="5" s="1"/>
  <c r="E10" i="5" s="1"/>
  <c r="C34" i="5"/>
  <c r="D34" i="5" s="1"/>
  <c r="E34" i="5" s="1"/>
  <c r="C13" i="5"/>
  <c r="D13" i="5" s="1"/>
  <c r="E13" i="5" s="1"/>
  <c r="C37" i="5"/>
  <c r="D37" i="5" s="1"/>
  <c r="E37" i="5" s="1"/>
  <c r="C17" i="5"/>
  <c r="D17" i="5" s="1"/>
  <c r="E17" i="5" s="1"/>
  <c r="C18" i="5"/>
  <c r="D18" i="5" s="1"/>
  <c r="E18" i="5" s="1"/>
  <c r="C21" i="5"/>
  <c r="D21" i="5" s="1"/>
  <c r="E21" i="5" s="1"/>
  <c r="C22" i="5"/>
  <c r="D22" i="5" s="1"/>
  <c r="E22" i="5" s="1"/>
  <c r="C25" i="5"/>
  <c r="D25" i="5" s="1"/>
  <c r="E25" i="5" s="1"/>
  <c r="C3" i="5"/>
  <c r="D3" i="5" s="1"/>
  <c r="E3" i="5" s="1"/>
  <c r="C26" i="5"/>
  <c r="D26" i="5" s="1"/>
  <c r="E26" i="5" s="1"/>
  <c r="C6" i="4"/>
  <c r="D6" i="4" s="1"/>
  <c r="E6" i="4" s="1"/>
  <c r="C18" i="4"/>
  <c r="D18" i="4" s="1"/>
  <c r="E18" i="4" s="1"/>
  <c r="C30" i="4"/>
  <c r="D30" i="4" s="1"/>
  <c r="E30" i="4" s="1"/>
  <c r="C7" i="4"/>
  <c r="D7" i="4" s="1"/>
  <c r="E7" i="4" s="1"/>
  <c r="C19" i="4"/>
  <c r="D19" i="4" s="1"/>
  <c r="E19" i="4" s="1"/>
  <c r="C31" i="4"/>
  <c r="D31" i="4" s="1"/>
  <c r="E31" i="4" s="1"/>
  <c r="C8" i="4"/>
  <c r="D8" i="4" s="1"/>
  <c r="E8" i="4" s="1"/>
  <c r="C32" i="4"/>
  <c r="D32" i="4" s="1"/>
  <c r="E32" i="4" s="1"/>
  <c r="C9" i="4"/>
  <c r="D9" i="4" s="1"/>
  <c r="E9" i="4" s="1"/>
  <c r="C21" i="4"/>
  <c r="D21" i="4" s="1"/>
  <c r="E21" i="4" s="1"/>
  <c r="C33" i="4"/>
  <c r="D33" i="4" s="1"/>
  <c r="E33" i="4" s="1"/>
  <c r="C20" i="4"/>
  <c r="D20" i="4" s="1"/>
  <c r="E20" i="4" s="1"/>
  <c r="C10" i="4"/>
  <c r="D10" i="4" s="1"/>
  <c r="E10" i="4" s="1"/>
  <c r="C22" i="4"/>
  <c r="D22" i="4" s="1"/>
  <c r="E22" i="4" s="1"/>
  <c r="C34" i="4"/>
  <c r="D34" i="4" s="1"/>
  <c r="E34" i="4" s="1"/>
  <c r="C11" i="4"/>
  <c r="D11" i="4" s="1"/>
  <c r="E11" i="4" s="1"/>
  <c r="C23" i="4"/>
  <c r="D23" i="4" s="1"/>
  <c r="E23" i="4" s="1"/>
  <c r="C35" i="4"/>
  <c r="D35" i="4" s="1"/>
  <c r="E35" i="4" s="1"/>
  <c r="C12" i="4"/>
  <c r="D12" i="4" s="1"/>
  <c r="E12" i="4" s="1"/>
  <c r="C24" i="4"/>
  <c r="D24" i="4" s="1"/>
  <c r="E24" i="4" s="1"/>
  <c r="C36" i="4"/>
  <c r="D36" i="4" s="1"/>
  <c r="E36" i="4" s="1"/>
  <c r="C37" i="4"/>
  <c r="D37" i="4" s="1"/>
  <c r="E37" i="4" s="1"/>
  <c r="C1" i="4"/>
  <c r="D1" i="4" s="1"/>
  <c r="E1" i="4" s="1"/>
  <c r="C13" i="4"/>
  <c r="D13" i="4" s="1"/>
  <c r="E13" i="4" s="1"/>
  <c r="C25" i="4"/>
  <c r="D25" i="4" s="1"/>
  <c r="E25" i="4" s="1"/>
  <c r="C3" i="4"/>
  <c r="D3" i="4" s="1"/>
  <c r="E3" i="4" s="1"/>
  <c r="C14" i="4"/>
  <c r="D14" i="4" s="1"/>
  <c r="E14" i="4" s="1"/>
  <c r="C26" i="4"/>
  <c r="D26" i="4" s="1"/>
  <c r="E26" i="4" s="1"/>
  <c r="C38" i="4"/>
  <c r="D38" i="4" s="1"/>
  <c r="E38" i="4" s="1"/>
  <c r="C15" i="4"/>
  <c r="D15" i="4" s="1"/>
  <c r="E15" i="4" s="1"/>
  <c r="C27" i="4"/>
  <c r="D27" i="4" s="1"/>
  <c r="E27" i="4" s="1"/>
  <c r="C39" i="4"/>
  <c r="D39" i="4" s="1"/>
  <c r="E39" i="4" s="1"/>
  <c r="C16" i="4"/>
  <c r="D16" i="4" s="1"/>
  <c r="E16" i="4" s="1"/>
  <c r="C28" i="4"/>
  <c r="D28" i="4" s="1"/>
  <c r="E28" i="4" s="1"/>
  <c r="C40" i="4"/>
  <c r="D40" i="4" s="1"/>
  <c r="E40" i="4" s="1"/>
  <c r="C4" i="4"/>
  <c r="D4" i="4" s="1"/>
  <c r="E4" i="4" s="1"/>
  <c r="C17" i="4"/>
  <c r="D17" i="4" s="1"/>
  <c r="E17" i="4" s="1"/>
  <c r="C29" i="4"/>
  <c r="D29" i="4" s="1"/>
  <c r="E29" i="4" s="1"/>
  <c r="C21" i="3"/>
  <c r="D21" i="3" s="1"/>
  <c r="E21" i="3" s="1"/>
  <c r="C13" i="3"/>
  <c r="D13" i="3" s="1"/>
  <c r="E13" i="3" s="1"/>
  <c r="C17" i="3"/>
  <c r="D17" i="3" s="1"/>
  <c r="E17" i="3" s="1"/>
  <c r="C25" i="3"/>
  <c r="D25" i="3" s="1"/>
  <c r="E25" i="3" s="1"/>
  <c r="C29" i="3"/>
  <c r="D29" i="3" s="1"/>
  <c r="E29" i="3" s="1"/>
  <c r="C33" i="3"/>
  <c r="D33" i="3" s="1"/>
  <c r="E33" i="3" s="1"/>
  <c r="C37" i="3"/>
  <c r="D37" i="3" s="1"/>
  <c r="E37" i="3" s="1"/>
  <c r="C9" i="3"/>
  <c r="D9" i="3" s="1"/>
  <c r="E9" i="3" s="1"/>
  <c r="C5" i="32"/>
  <c r="D5" i="32" s="1"/>
  <c r="E5" i="32" s="1"/>
  <c r="C9" i="32"/>
  <c r="D9" i="32" s="1"/>
  <c r="E9" i="32" s="1"/>
  <c r="C27" i="32"/>
  <c r="D27" i="32" s="1"/>
  <c r="E27" i="32" s="1"/>
  <c r="C33" i="32"/>
  <c r="D33" i="32" s="1"/>
  <c r="E33" i="32" s="1"/>
  <c r="C29" i="32"/>
  <c r="D29" i="32" s="1"/>
  <c r="E29" i="32" s="1"/>
  <c r="C7" i="32"/>
  <c r="D7" i="32" s="1"/>
  <c r="E7" i="32" s="1"/>
  <c r="C31" i="32"/>
  <c r="D31" i="32" s="1"/>
  <c r="E31" i="32" s="1"/>
  <c r="C11" i="32"/>
  <c r="D11" i="32" s="1"/>
  <c r="E11" i="32" s="1"/>
  <c r="C35" i="32"/>
  <c r="D35" i="32" s="1"/>
  <c r="E35" i="32" s="1"/>
  <c r="C13" i="32"/>
  <c r="D13" i="32" s="1"/>
  <c r="E13" i="32" s="1"/>
  <c r="C37" i="32"/>
  <c r="D37" i="32" s="1"/>
  <c r="E37" i="32" s="1"/>
  <c r="C15" i="32"/>
  <c r="D15" i="32" s="1"/>
  <c r="E15" i="32" s="1"/>
  <c r="C39" i="32"/>
  <c r="D39" i="32" s="1"/>
  <c r="E39" i="32" s="1"/>
  <c r="C17" i="32"/>
  <c r="D17" i="32" s="1"/>
  <c r="E17" i="32" s="1"/>
  <c r="C19" i="32"/>
  <c r="D19" i="32" s="1"/>
  <c r="E19" i="32" s="1"/>
  <c r="C21" i="32"/>
  <c r="D21" i="32" s="1"/>
  <c r="E21" i="32" s="1"/>
  <c r="C23" i="32"/>
  <c r="D23" i="32" s="1"/>
  <c r="E23" i="32" s="1"/>
  <c r="C25" i="32"/>
  <c r="D25" i="32" s="1"/>
  <c r="E25" i="32" s="1"/>
  <c r="C37" i="2"/>
  <c r="D37" i="2" s="1"/>
  <c r="E37" i="2" s="1"/>
  <c r="C29" i="2"/>
  <c r="D29" i="2" s="1"/>
  <c r="E29" i="2" s="1"/>
  <c r="C7" i="2"/>
  <c r="D7" i="2" s="1"/>
  <c r="E7" i="2" s="1"/>
  <c r="C33" i="2"/>
  <c r="D33" i="2" s="1"/>
  <c r="E33" i="2" s="1"/>
  <c r="C9" i="2"/>
  <c r="D9" i="2" s="1"/>
  <c r="E9" i="2" s="1"/>
  <c r="C11" i="2"/>
  <c r="D11" i="2" s="1"/>
  <c r="E11" i="2" s="1"/>
  <c r="C13" i="2"/>
  <c r="D13" i="2" s="1"/>
  <c r="E13" i="2" s="1"/>
  <c r="C15" i="2"/>
  <c r="D15" i="2" s="1"/>
  <c r="E15" i="2" s="1"/>
  <c r="C17" i="2"/>
  <c r="D17" i="2" s="1"/>
  <c r="E17" i="2" s="1"/>
  <c r="C19" i="2"/>
  <c r="D19" i="2" s="1"/>
  <c r="E19" i="2" s="1"/>
  <c r="C21" i="2"/>
  <c r="D21" i="2" s="1"/>
  <c r="E21" i="2" s="1"/>
  <c r="C23" i="2"/>
  <c r="D23" i="2" s="1"/>
  <c r="E23" i="2" s="1"/>
  <c r="C25" i="2"/>
  <c r="D25" i="2" s="1"/>
  <c r="E25" i="2" s="1"/>
  <c r="C2" i="2"/>
  <c r="D2" i="2" s="1"/>
  <c r="E2" i="2" s="1"/>
  <c r="C27" i="2"/>
  <c r="D27" i="2" s="1"/>
  <c r="E27" i="2" s="1"/>
  <c r="C2" i="32"/>
  <c r="D2" i="32" s="1"/>
  <c r="E2" i="32" s="1"/>
  <c r="C6" i="32"/>
  <c r="D6" i="32" s="1"/>
  <c r="E6" i="32" s="1"/>
  <c r="C10" i="32"/>
  <c r="D10" i="32" s="1"/>
  <c r="E10" i="32" s="1"/>
  <c r="C14" i="32"/>
  <c r="D14" i="32" s="1"/>
  <c r="E14" i="32" s="1"/>
  <c r="C18" i="32"/>
  <c r="D18" i="32" s="1"/>
  <c r="E18" i="32" s="1"/>
  <c r="C22" i="32"/>
  <c r="D22" i="32" s="1"/>
  <c r="E22" i="32" s="1"/>
  <c r="C26" i="32"/>
  <c r="D26" i="32" s="1"/>
  <c r="E26" i="32" s="1"/>
  <c r="C30" i="32"/>
  <c r="D30" i="32" s="1"/>
  <c r="E30" i="32" s="1"/>
  <c r="C34" i="32"/>
  <c r="D34" i="32" s="1"/>
  <c r="E34" i="32" s="1"/>
  <c r="C38" i="32"/>
  <c r="D38" i="32" s="1"/>
  <c r="E38" i="32" s="1"/>
  <c r="C3" i="32"/>
  <c r="D3" i="32" s="1"/>
  <c r="E3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1" i="31"/>
  <c r="D1" i="31" s="1"/>
  <c r="E1" i="31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2" i="29"/>
  <c r="D2" i="29" s="1"/>
  <c r="E2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2" i="28"/>
  <c r="D2" i="28" s="1"/>
  <c r="E2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3" i="28"/>
  <c r="D3" i="28" s="1"/>
  <c r="E3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1" i="28"/>
  <c r="D1" i="28" s="1"/>
  <c r="E1" i="28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2" i="23"/>
  <c r="D2" i="23" s="1"/>
  <c r="E2" i="23" s="1"/>
  <c r="C30" i="23"/>
  <c r="D30" i="23" s="1"/>
  <c r="E30" i="23" s="1"/>
  <c r="C34" i="23"/>
  <c r="D34" i="23" s="1"/>
  <c r="E34" i="23" s="1"/>
  <c r="C38" i="23"/>
  <c r="D38" i="23" s="1"/>
  <c r="E38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34" i="22"/>
  <c r="D34" i="22" s="1"/>
  <c r="E34" i="22" s="1"/>
  <c r="C38" i="22"/>
  <c r="D38" i="22" s="1"/>
  <c r="E38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2" i="21"/>
  <c r="D2" i="21" s="1"/>
  <c r="E2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3" i="21"/>
  <c r="D3" i="21" s="1"/>
  <c r="E3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2" i="19"/>
  <c r="D2" i="19" s="1"/>
  <c r="E2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1" i="19"/>
  <c r="D1" i="19" s="1"/>
  <c r="E1" i="19" s="1"/>
  <c r="C2" i="18"/>
  <c r="D2" i="18" s="1"/>
  <c r="E2" i="18" s="1"/>
  <c r="C6" i="18"/>
  <c r="D6" i="18" s="1"/>
  <c r="E6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1" i="18"/>
  <c r="D1" i="18" s="1"/>
  <c r="E1" i="18" s="1"/>
  <c r="C2" i="17"/>
  <c r="D2" i="17" s="1"/>
  <c r="E2" i="17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2" i="16"/>
  <c r="D2" i="16" s="1"/>
  <c r="E2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2" i="15"/>
  <c r="D2" i="15" s="1"/>
  <c r="E2" i="15" s="1"/>
  <c r="C3" i="15"/>
  <c r="D3" i="15" s="1"/>
  <c r="E3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3" i="12"/>
  <c r="D3" i="12" s="1"/>
  <c r="E3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2" i="11"/>
  <c r="D2" i="11" s="1"/>
  <c r="E2" i="11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8" i="11"/>
  <c r="D38" i="11" s="1"/>
  <c r="E38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2" i="10"/>
  <c r="D2" i="10" s="1"/>
  <c r="E2" i="10" s="1"/>
  <c r="C3" i="10"/>
  <c r="D3" i="10" s="1"/>
  <c r="E3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2" i="9"/>
  <c r="D2" i="9" s="1"/>
  <c r="E2" i="9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2" i="8"/>
  <c r="D2" i="8" s="1"/>
  <c r="E2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1" i="8"/>
  <c r="D1" i="8" s="1"/>
  <c r="E1" i="8" s="1"/>
  <c r="C2" i="7"/>
  <c r="D2" i="7" s="1"/>
  <c r="E2" i="7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1" i="7"/>
  <c r="D1" i="7" s="1"/>
  <c r="E1" i="7" s="1"/>
  <c r="C2" i="6"/>
  <c r="D2" i="6" s="1"/>
  <c r="E2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2" i="5"/>
  <c r="D2" i="5" s="1"/>
  <c r="E2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" i="5"/>
  <c r="D1" i="5" s="1"/>
  <c r="E1" i="5" s="1"/>
  <c r="C2" i="4"/>
  <c r="D2" i="4" s="1"/>
  <c r="E2" i="4" s="1"/>
  <c r="C2" i="3"/>
  <c r="D2" i="3" s="1"/>
  <c r="E2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3" i="3"/>
  <c r="D3" i="3" s="1"/>
  <c r="E3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1" i="3"/>
  <c r="D1" i="3" s="1"/>
  <c r="E1" i="3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3" i="2"/>
  <c r="D3" i="2" s="1"/>
  <c r="E3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31" l="1"/>
  <c r="H5" i="30"/>
  <c r="H5" i="25"/>
  <c r="H5" i="24"/>
  <c r="H5" i="23"/>
  <c r="H5" i="22"/>
  <c r="H5" i="21"/>
  <c r="H5" i="17"/>
  <c r="H5" i="15"/>
  <c r="H5" i="14"/>
  <c r="H5" i="11"/>
  <c r="H5" i="8"/>
  <c r="H5" i="4"/>
  <c r="H5" i="32"/>
  <c r="H5" i="2"/>
  <c r="H5" i="29"/>
  <c r="H5" i="28"/>
  <c r="H5" i="27"/>
  <c r="H5" i="26"/>
  <c r="H5" i="20"/>
  <c r="H5" i="19"/>
  <c r="H5" i="18"/>
  <c r="H5" i="16"/>
  <c r="H5" i="13"/>
  <c r="H5" i="12"/>
  <c r="H5" i="10"/>
  <c r="H5" i="9"/>
  <c r="H5" i="7"/>
  <c r="H5" i="6"/>
  <c r="H5" i="5"/>
  <c r="H5" i="3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<sst xmlns="http://schemas.openxmlformats.org/spreadsheetml/2006/main" count="93" uniqueCount="3">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</sst>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42C4-CF26-4BBC-8E35-DE077A89ABC9}">
  <dimension ref="A1:B31"/>
  <sheetViews>
    <sheetView tabSelected="1" workbookViewId="0">
      <selection activeCell="F9" sqref="F9"/>
    </sheetView>
  </sheetViews>
  <sheetFormatPr defaultRowHeight="15.75" x14ac:dyDescent="0.25"/>
  <sheetData>
    <row r="1" spans="1:2" x14ac:dyDescent="0.25">
      <c r="A1">
        <v>1E-4</v>
      </c>
      <c r="B1">
        <f>'0.0001'!$H$1</f>
        <v>6.6817943954151332E-2</v>
      </c>
    </row>
    <row r="2" spans="1:2" x14ac:dyDescent="0.25">
      <c r="A2">
        <v>1E-3</v>
      </c>
      <c r="B2">
        <f>'0.001'!$H$1</f>
        <v>7.394565728112816E-2</v>
      </c>
    </row>
    <row r="3" spans="1:2" x14ac:dyDescent="0.25">
      <c r="A3">
        <v>5.0000000000000001E-3</v>
      </c>
      <c r="B3">
        <f>'0.005'!$H$1</f>
        <v>0.12625287078195371</v>
      </c>
    </row>
    <row r="4" spans="1:2" x14ac:dyDescent="0.25">
      <c r="A4">
        <v>0.01</v>
      </c>
      <c r="B4">
        <f>'0.01'!$H$1</f>
        <v>0.14649449017472604</v>
      </c>
    </row>
    <row r="5" spans="1:2" x14ac:dyDescent="0.25">
      <c r="A5">
        <v>2.5000000000000001E-2</v>
      </c>
      <c r="B5">
        <f>'0.025'!$H$1</f>
        <v>0.18564449464909022</v>
      </c>
    </row>
    <row r="6" spans="1:2" x14ac:dyDescent="0.25">
      <c r="A6">
        <v>0.05</v>
      </c>
      <c r="B6">
        <f>'0.05'!$H$1</f>
        <v>0.22689130363654419</v>
      </c>
    </row>
    <row r="7" spans="1:2" x14ac:dyDescent="0.25">
      <c r="A7">
        <v>7.4999999999999997E-2</v>
      </c>
      <c r="B7">
        <f>'0.075'!$H$1</f>
        <v>0.26248104754889345</v>
      </c>
    </row>
    <row r="8" spans="1:2" x14ac:dyDescent="0.25">
      <c r="A8">
        <v>0.1</v>
      </c>
      <c r="B8">
        <f>'0.1'!$H$1</f>
        <v>0.28769886569017977</v>
      </c>
    </row>
    <row r="9" spans="1:2" x14ac:dyDescent="0.25">
      <c r="A9">
        <v>0.15</v>
      </c>
      <c r="B9">
        <f>'0.15'!$H$1</f>
        <v>0.33839540339471402</v>
      </c>
    </row>
    <row r="10" spans="1:2" x14ac:dyDescent="0.25">
      <c r="A10">
        <v>0.2</v>
      </c>
      <c r="B10">
        <f>'0.2'!$H$1</f>
        <v>0.38524317394937047</v>
      </c>
    </row>
    <row r="11" spans="1:2" x14ac:dyDescent="0.25">
      <c r="A11">
        <v>0.25</v>
      </c>
      <c r="B11">
        <f>'0.25'!$H$1</f>
        <v>0.43249597950862678</v>
      </c>
    </row>
    <row r="12" spans="1:2" x14ac:dyDescent="0.25">
      <c r="A12">
        <v>0.3</v>
      </c>
      <c r="B12">
        <f>'0.3'!$H$1</f>
        <v>0.48265037811701894</v>
      </c>
    </row>
    <row r="13" spans="1:2" x14ac:dyDescent="0.25">
      <c r="A13">
        <v>0.35</v>
      </c>
      <c r="B13">
        <f>'0.35'!$H$1</f>
        <v>0.53156792686928145</v>
      </c>
    </row>
    <row r="14" spans="1:2" x14ac:dyDescent="0.25">
      <c r="A14">
        <v>0.4</v>
      </c>
      <c r="B14">
        <f>'0.4'!$H$1</f>
        <v>0.58558596931443874</v>
      </c>
    </row>
    <row r="15" spans="1:2" x14ac:dyDescent="0.25">
      <c r="A15">
        <v>0.45</v>
      </c>
      <c r="B15">
        <f>'0.45'!$H$1</f>
        <v>0.64806154673416705</v>
      </c>
    </row>
    <row r="16" spans="1:2" x14ac:dyDescent="0.25">
      <c r="A16">
        <v>0.5</v>
      </c>
      <c r="B16">
        <f>'0.5'!$H$1</f>
        <v>0.72145309012243064</v>
      </c>
    </row>
    <row r="17" spans="1:2" x14ac:dyDescent="0.25">
      <c r="A17">
        <v>0.55000000000000004</v>
      </c>
      <c r="B17">
        <f>'0.55'!$H$1</f>
        <v>0.80465378260868781</v>
      </c>
    </row>
    <row r="18" spans="1:2" x14ac:dyDescent="0.25">
      <c r="A18">
        <v>0.6</v>
      </c>
      <c r="B18">
        <f>'0.6'!$H$1</f>
        <v>0.89682145086981746</v>
      </c>
    </row>
    <row r="19" spans="1:2" x14ac:dyDescent="0.25">
      <c r="A19">
        <v>0.65</v>
      </c>
      <c r="B19">
        <f>'0.65'!$H$1</f>
        <v>1.0153038759083461</v>
      </c>
    </row>
    <row r="20" spans="1:2" x14ac:dyDescent="0.25">
      <c r="A20">
        <v>0.7</v>
      </c>
      <c r="B20">
        <f>'0.7'!$H$1</f>
        <v>1.16046579838548</v>
      </c>
    </row>
    <row r="21" spans="1:2" x14ac:dyDescent="0.25">
      <c r="A21">
        <v>0.75</v>
      </c>
      <c r="B21">
        <f>'0.75'!$H$1</f>
        <v>1.3403374849494634</v>
      </c>
    </row>
    <row r="22" spans="1:2" x14ac:dyDescent="0.25">
      <c r="A22">
        <v>0.8</v>
      </c>
      <c r="B22">
        <f>'0.8'!$H$1</f>
        <v>1.5856642201986788</v>
      </c>
    </row>
    <row r="23" spans="1:2" x14ac:dyDescent="0.25">
      <c r="A23">
        <v>0.85</v>
      </c>
      <c r="B23">
        <f>'0.85'!$H$1</f>
        <v>1.9542343468671031</v>
      </c>
    </row>
    <row r="24" spans="1:2" x14ac:dyDescent="0.25">
      <c r="A24">
        <v>0.9</v>
      </c>
      <c r="B24">
        <f>'0.9'!$H$1</f>
        <v>2.5804315888974094</v>
      </c>
    </row>
    <row r="25" spans="1:2" x14ac:dyDescent="0.25">
      <c r="A25">
        <v>0.92500000000000004</v>
      </c>
      <c r="B25">
        <f>'0.925'!$H$1</f>
        <v>3.1126278074633262</v>
      </c>
    </row>
    <row r="26" spans="1:2" x14ac:dyDescent="0.25">
      <c r="A26">
        <v>0.95</v>
      </c>
      <c r="B26">
        <f>'0.95'!$H$1</f>
        <v>4.0117560751467494</v>
      </c>
    </row>
    <row r="27" spans="1:2" x14ac:dyDescent="0.25">
      <c r="A27">
        <v>0.97499999999999998</v>
      </c>
      <c r="B27">
        <f>'0.975'!$H$1</f>
        <v>6.0417585097875603</v>
      </c>
    </row>
    <row r="28" spans="1:2" x14ac:dyDescent="0.25">
      <c r="A28">
        <v>0.99</v>
      </c>
      <c r="B28">
        <f>'0.99'!$H$1</f>
        <v>10.115095308099203</v>
      </c>
    </row>
    <row r="29" spans="1:2" x14ac:dyDescent="0.25">
      <c r="A29">
        <v>0.995</v>
      </c>
      <c r="B29">
        <f>'0.995'!$H$1</f>
        <v>14.749835009938442</v>
      </c>
    </row>
    <row r="30" spans="1:2" x14ac:dyDescent="0.25">
      <c r="A30">
        <v>0.999</v>
      </c>
      <c r="B30">
        <f>'0.999'!$H$1</f>
        <v>34.225162792536189</v>
      </c>
    </row>
    <row r="31" spans="1:2" x14ac:dyDescent="0.25">
      <c r="A31">
        <v>0.99990000000000001</v>
      </c>
      <c r="B31">
        <f>'0.9999'!$H$1</f>
        <v>109.2960683134223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8575-D2EA-4B7F-904A-FC8CFB09431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9.1344512575000009E-2</v>
      </c>
      <c r="B1">
        <v>0.8142043577558824</v>
      </c>
      <c r="C1">
        <f>$H$3*(1+$H$1)*(A1^($H$1))*EXP(-$H$3*(A1^(1+$H$1)))</f>
        <v>0.82046314155718381</v>
      </c>
      <c r="D1">
        <f>B1-C1</f>
        <v>-6.2587838013014041E-3</v>
      </c>
      <c r="E1">
        <f>D1^2</f>
        <v>3.9172374671432853E-5</v>
      </c>
      <c r="G1" t="s">
        <v>0</v>
      </c>
      <c r="H1">
        <v>6.6817943954151332E-2</v>
      </c>
    </row>
    <row r="2" spans="1:8" x14ac:dyDescent="0.25">
      <c r="A2">
        <v>0.27317583972500004</v>
      </c>
      <c r="B2">
        <v>0.73662810248692556</v>
      </c>
      <c r="C2">
        <f t="shared" ref="C2:C40" si="0">$H$3*(1+$H$1)*(A2^($H$1))*EXP(-$H$3*(A2^(1+$H$1)))</f>
        <v>0.74620779552614402</v>
      </c>
      <c r="D2">
        <f t="shared" ref="D2:D40" si="1">B2-C2</f>
        <v>-9.579693039218462E-3</v>
      </c>
      <c r="E2">
        <f t="shared" ref="E2:E40" si="2">D2^2</f>
        <v>9.177051872565066E-5</v>
      </c>
    </row>
    <row r="3" spans="1:8" x14ac:dyDescent="0.25">
      <c r="A3">
        <v>0.45500716687499998</v>
      </c>
      <c r="B3">
        <v>0.62303430012881011</v>
      </c>
      <c r="C3">
        <f t="shared" si="0"/>
        <v>0.64723053830084654</v>
      </c>
      <c r="D3">
        <f t="shared" si="1"/>
        <v>-2.4196238172036422E-2</v>
      </c>
      <c r="E3">
        <f t="shared" si="2"/>
        <v>5.8545794167791246E-4</v>
      </c>
      <c r="G3" t="s">
        <v>1</v>
      </c>
      <c r="H3">
        <f>(_xlfn.GAMMA((2+$H$1)/(1+$H$1)))^(1+$H$1)</f>
        <v>0.97347605225466305</v>
      </c>
    </row>
    <row r="4" spans="1:8" x14ac:dyDescent="0.25">
      <c r="A4">
        <v>0.63683849402500003</v>
      </c>
      <c r="B4">
        <v>0.53679998065572854</v>
      </c>
      <c r="C4">
        <f t="shared" si="0"/>
        <v>0.55217698890832334</v>
      </c>
      <c r="D4">
        <f t="shared" si="1"/>
        <v>-1.5377008252594804E-2</v>
      </c>
      <c r="E4">
        <f t="shared" si="2"/>
        <v>2.3645238280036869E-4</v>
      </c>
    </row>
    <row r="5" spans="1:8" x14ac:dyDescent="0.25">
      <c r="A5">
        <v>0.81866982117500009</v>
      </c>
      <c r="B5">
        <v>0.46822811215906124</v>
      </c>
      <c r="C5">
        <f t="shared" si="0"/>
        <v>0.46675886737894173</v>
      </c>
      <c r="D5">
        <f t="shared" si="1"/>
        <v>1.4692447801195052E-3</v>
      </c>
      <c r="E5">
        <f t="shared" si="2"/>
        <v>2.1586802239084133E-6</v>
      </c>
      <c r="G5" t="s">
        <v>2</v>
      </c>
      <c r="H5">
        <f>SUM(E1:E40)</f>
        <v>2.6792681810866017E-3</v>
      </c>
    </row>
    <row r="6" spans="1:8" x14ac:dyDescent="0.25">
      <c r="A6">
        <v>1.0005011483249999</v>
      </c>
      <c r="B6">
        <v>0.37160411564103013</v>
      </c>
      <c r="C6">
        <f t="shared" si="0"/>
        <v>0.3921288643430082</v>
      </c>
      <c r="D6">
        <f t="shared" si="1"/>
        <v>-2.0524748701978068E-2</v>
      </c>
      <c r="E6">
        <f t="shared" si="2"/>
        <v>4.2126530927935038E-4</v>
      </c>
    </row>
    <row r="7" spans="1:8" x14ac:dyDescent="0.25">
      <c r="A7">
        <v>1.182332475475</v>
      </c>
      <c r="B7">
        <v>0.31584618216646737</v>
      </c>
      <c r="C7">
        <f t="shared" si="0"/>
        <v>0.32793626891068711</v>
      </c>
      <c r="D7">
        <f t="shared" si="1"/>
        <v>-1.2090086744219741E-2</v>
      </c>
      <c r="E7">
        <f t="shared" si="2"/>
        <v>1.4617019748275789E-4</v>
      </c>
    </row>
    <row r="8" spans="1:8" x14ac:dyDescent="0.25">
      <c r="A8">
        <v>1.3641638026250003</v>
      </c>
      <c r="B8">
        <v>0.28398450589528862</v>
      </c>
      <c r="C8">
        <f t="shared" si="0"/>
        <v>0.27327520769393848</v>
      </c>
      <c r="D8">
        <f t="shared" si="1"/>
        <v>1.0709298201350137E-2</v>
      </c>
      <c r="E8">
        <f t="shared" si="2"/>
        <v>1.1468906796544128E-4</v>
      </c>
    </row>
    <row r="9" spans="1:8" x14ac:dyDescent="0.25">
      <c r="A9">
        <v>1.5459951297750001</v>
      </c>
      <c r="B9">
        <v>0.23584566892035555</v>
      </c>
      <c r="C9">
        <f t="shared" si="0"/>
        <v>0.22706128543034396</v>
      </c>
      <c r="D9">
        <f t="shared" si="1"/>
        <v>8.7843834900115936E-3</v>
      </c>
      <c r="E9">
        <f t="shared" si="2"/>
        <v>7.7165393299588261E-5</v>
      </c>
    </row>
    <row r="10" spans="1:8" x14ac:dyDescent="0.25">
      <c r="A10">
        <v>1.7278264569249999</v>
      </c>
      <c r="B10">
        <v>0.20017444439936199</v>
      </c>
      <c r="C10">
        <f t="shared" si="0"/>
        <v>0.18819878075895585</v>
      </c>
      <c r="D10">
        <f t="shared" si="1"/>
        <v>1.1975663640406142E-2</v>
      </c>
      <c r="E10">
        <f t="shared" si="2"/>
        <v>1.4341651962814568E-4</v>
      </c>
    </row>
    <row r="11" spans="1:8" x14ac:dyDescent="0.25">
      <c r="A11">
        <v>1.9096577840750002</v>
      </c>
      <c r="B11">
        <v>0.17073702610533817</v>
      </c>
      <c r="C11">
        <f t="shared" si="0"/>
        <v>0.15565684145686262</v>
      </c>
      <c r="D11">
        <f t="shared" si="1"/>
        <v>1.5080184648475548E-2</v>
      </c>
      <c r="E11">
        <f t="shared" si="2"/>
        <v>2.2741196903211758E-4</v>
      </c>
    </row>
    <row r="12" spans="1:8" x14ac:dyDescent="0.25">
      <c r="A12">
        <v>2.091489111225</v>
      </c>
      <c r="B12">
        <v>0.14060696267498438</v>
      </c>
      <c r="C12">
        <f t="shared" si="0"/>
        <v>0.12850196645481848</v>
      </c>
      <c r="D12">
        <f t="shared" si="1"/>
        <v>1.2104996220165892E-2</v>
      </c>
      <c r="E12">
        <f t="shared" si="2"/>
        <v>1.4653093349023053E-4</v>
      </c>
    </row>
    <row r="13" spans="1:8" x14ac:dyDescent="0.25">
      <c r="A13">
        <v>2.2733204383749999</v>
      </c>
      <c r="B13">
        <v>0.11290115722178548</v>
      </c>
      <c r="C13">
        <f t="shared" si="0"/>
        <v>0.10590832931769259</v>
      </c>
      <c r="D13">
        <f t="shared" si="1"/>
        <v>6.9928279040928909E-3</v>
      </c>
      <c r="E13">
        <f t="shared" si="2"/>
        <v>4.8899642096260175E-5</v>
      </c>
    </row>
    <row r="14" spans="1:8" x14ac:dyDescent="0.25">
      <c r="A14">
        <v>2.4551517655249997</v>
      </c>
      <c r="B14">
        <v>9.4546061109041221E-2</v>
      </c>
      <c r="C14">
        <f t="shared" si="0"/>
        <v>8.7156693732785034E-2</v>
      </c>
      <c r="D14">
        <f t="shared" si="1"/>
        <v>7.3893673762561868E-3</v>
      </c>
      <c r="E14">
        <f t="shared" si="2"/>
        <v>5.4602750221279241E-5</v>
      </c>
    </row>
    <row r="15" spans="1:8" x14ac:dyDescent="0.25">
      <c r="A15">
        <v>2.636983092675</v>
      </c>
      <c r="B15">
        <v>8.3463738927761655E-2</v>
      </c>
      <c r="C15">
        <f t="shared" si="0"/>
        <v>7.1627612306912933E-2</v>
      </c>
      <c r="D15">
        <f t="shared" si="1"/>
        <v>1.1836126620848722E-2</v>
      </c>
      <c r="E15">
        <f t="shared" si="2"/>
        <v>1.4009389338476378E-4</v>
      </c>
    </row>
    <row r="16" spans="1:8" x14ac:dyDescent="0.25">
      <c r="A16">
        <v>2.8188144198250003</v>
      </c>
      <c r="B16">
        <v>5.8874836588047645E-2</v>
      </c>
      <c r="C16">
        <f t="shared" si="0"/>
        <v>5.8792031149474046E-2</v>
      </c>
      <c r="D16">
        <f t="shared" si="1"/>
        <v>8.2805438573599344E-5</v>
      </c>
      <c r="E16">
        <f t="shared" si="2"/>
        <v>6.8567406573661342E-9</v>
      </c>
    </row>
    <row r="17" spans="1:5" x14ac:dyDescent="0.25">
      <c r="A17">
        <v>3.0006457469749996</v>
      </c>
      <c r="B17">
        <v>5.7835868883552688E-2</v>
      </c>
      <c r="C17">
        <f t="shared" si="0"/>
        <v>4.8201038330174195E-2</v>
      </c>
      <c r="D17">
        <f t="shared" si="1"/>
        <v>9.6348305533784928E-3</v>
      </c>
      <c r="E17">
        <f t="shared" si="2"/>
        <v>9.2829959792315708E-5</v>
      </c>
    </row>
    <row r="18" spans="1:5" x14ac:dyDescent="0.25">
      <c r="A18">
        <v>3.1824770741249999</v>
      </c>
      <c r="B18">
        <v>4.5021933861448198E-2</v>
      </c>
      <c r="C18">
        <f t="shared" si="0"/>
        <v>3.9475715886356927E-2</v>
      </c>
      <c r="D18">
        <f t="shared" si="1"/>
        <v>5.5462179750912707E-3</v>
      </c>
      <c r="E18">
        <f t="shared" si="2"/>
        <v>3.0760533827225517E-5</v>
      </c>
    </row>
    <row r="19" spans="1:5" x14ac:dyDescent="0.25">
      <c r="A19">
        <v>3.3643084012750002</v>
      </c>
      <c r="B19">
        <v>3.5324901952828586E-2</v>
      </c>
      <c r="C19">
        <f t="shared" si="0"/>
        <v>3.2297604984996897E-2</v>
      </c>
      <c r="D19">
        <f t="shared" si="1"/>
        <v>3.0272969678316886E-3</v>
      </c>
      <c r="E19">
        <f t="shared" si="2"/>
        <v>9.164526931442936E-6</v>
      </c>
    </row>
    <row r="20" spans="1:5" x14ac:dyDescent="0.25">
      <c r="A20">
        <v>3.546139728425</v>
      </c>
      <c r="B20">
        <v>2.8398450589528862E-2</v>
      </c>
      <c r="C20">
        <f t="shared" si="0"/>
        <v>2.6400029781734346E-2</v>
      </c>
      <c r="D20">
        <f t="shared" si="1"/>
        <v>1.9984208077945161E-3</v>
      </c>
      <c r="E20">
        <f t="shared" si="2"/>
        <v>3.9936857250260863E-6</v>
      </c>
    </row>
    <row r="21" spans="1:5" x14ac:dyDescent="0.25">
      <c r="A21">
        <v>3.7279710555749999</v>
      </c>
      <c r="B21">
        <v>2.0086708953569198E-2</v>
      </c>
      <c r="C21">
        <f t="shared" si="0"/>
        <v>2.1560370416625747E-2</v>
      </c>
      <c r="D21">
        <f t="shared" si="1"/>
        <v>-1.4736614630565491E-3</v>
      </c>
      <c r="E21">
        <f t="shared" si="2"/>
        <v>2.1716781076979689E-6</v>
      </c>
    </row>
    <row r="22" spans="1:5" x14ac:dyDescent="0.25">
      <c r="A22">
        <v>3.9098023827250001</v>
      </c>
      <c r="B22">
        <v>1.523819299925939E-2</v>
      </c>
      <c r="C22">
        <f t="shared" si="0"/>
        <v>1.7593285843393855E-2</v>
      </c>
      <c r="D22">
        <f t="shared" si="1"/>
        <v>-2.3550928441344651E-3</v>
      </c>
      <c r="E22">
        <f t="shared" si="2"/>
        <v>5.5464623044933635E-6</v>
      </c>
    </row>
    <row r="23" spans="1:5" x14ac:dyDescent="0.25">
      <c r="A23">
        <v>4.0916337098749995</v>
      </c>
      <c r="B23">
        <v>1.0043354476784599E-2</v>
      </c>
      <c r="C23">
        <f t="shared" si="0"/>
        <v>1.4344837234184751E-2</v>
      </c>
      <c r="D23">
        <f t="shared" si="1"/>
        <v>-4.3014827574001518E-3</v>
      </c>
      <c r="E23">
        <f t="shared" si="2"/>
        <v>1.8502753912210814E-5</v>
      </c>
    </row>
    <row r="24" spans="1:5" x14ac:dyDescent="0.25">
      <c r="A24">
        <v>4.2734650370249998</v>
      </c>
      <c r="B24">
        <v>1.2813935022104487E-2</v>
      </c>
      <c r="C24">
        <f t="shared" si="0"/>
        <v>1.1687437109834083E-2</v>
      </c>
      <c r="D24">
        <f t="shared" si="1"/>
        <v>1.1264979122704039E-3</v>
      </c>
      <c r="E24">
        <f t="shared" si="2"/>
        <v>1.2689975463495786E-6</v>
      </c>
    </row>
    <row r="25" spans="1:5" x14ac:dyDescent="0.25">
      <c r="A25">
        <v>4.4552963641750001</v>
      </c>
      <c r="B25">
        <v>6.9264513632997229E-3</v>
      </c>
      <c r="C25">
        <f t="shared" si="0"/>
        <v>9.5155386128242449E-3</v>
      </c>
      <c r="D25">
        <f t="shared" si="1"/>
        <v>-2.589087249524522E-3</v>
      </c>
      <c r="E25">
        <f t="shared" si="2"/>
        <v>6.7033727856504543E-6</v>
      </c>
    </row>
    <row r="26" spans="1:5" x14ac:dyDescent="0.25">
      <c r="A26">
        <v>4.6371276913250004</v>
      </c>
      <c r="B26">
        <v>6.2338062269697509E-3</v>
      </c>
      <c r="C26">
        <f t="shared" si="0"/>
        <v>7.7419775249408527E-3</v>
      </c>
      <c r="D26">
        <f t="shared" si="1"/>
        <v>-1.5081712979711018E-3</v>
      </c>
      <c r="E26">
        <f t="shared" si="2"/>
        <v>2.274580664023838E-6</v>
      </c>
    </row>
    <row r="27" spans="1:5" x14ac:dyDescent="0.25">
      <c r="A27">
        <v>4.8189590184750006</v>
      </c>
      <c r="B27">
        <v>3.4632256816498615E-3</v>
      </c>
      <c r="C27">
        <f t="shared" si="0"/>
        <v>6.2948829884695891E-3</v>
      </c>
      <c r="D27">
        <f t="shared" si="1"/>
        <v>-2.8316573068197276E-3</v>
      </c>
      <c r="E27">
        <f t="shared" si="2"/>
        <v>8.0182831032655535E-6</v>
      </c>
    </row>
    <row r="28" spans="1:5" x14ac:dyDescent="0.25">
      <c r="A28">
        <v>5.0007903456250009</v>
      </c>
      <c r="B28">
        <v>2.770580545319889E-3</v>
      </c>
      <c r="C28">
        <f t="shared" si="0"/>
        <v>5.1150790530752272E-3</v>
      </c>
      <c r="D28">
        <f t="shared" si="1"/>
        <v>-2.3444985077553382E-3</v>
      </c>
      <c r="E28">
        <f t="shared" si="2"/>
        <v>5.4966732528670079E-6</v>
      </c>
    </row>
    <row r="29" spans="1:5" x14ac:dyDescent="0.25">
      <c r="A29">
        <v>5.1826216727749994</v>
      </c>
      <c r="B29">
        <v>2.424257977154903E-3</v>
      </c>
      <c r="C29">
        <f t="shared" si="0"/>
        <v>4.1539066547184641E-3</v>
      </c>
      <c r="D29">
        <f t="shared" si="1"/>
        <v>-1.7296486775635611E-3</v>
      </c>
      <c r="E29">
        <f t="shared" si="2"/>
        <v>2.9916845477973757E-6</v>
      </c>
    </row>
    <row r="30" spans="1:5" x14ac:dyDescent="0.25">
      <c r="A30">
        <v>5.3644529999249997</v>
      </c>
      <c r="B30">
        <v>1.7316128408249307E-3</v>
      </c>
      <c r="C30">
        <f t="shared" si="0"/>
        <v>3.371403519098792E-3</v>
      </c>
      <c r="D30">
        <f t="shared" si="1"/>
        <v>-1.6397906782738612E-3</v>
      </c>
      <c r="E30">
        <f t="shared" si="2"/>
        <v>2.6889134685538498E-6</v>
      </c>
    </row>
    <row r="31" spans="1:5" x14ac:dyDescent="0.25">
      <c r="A31">
        <v>5.546284327075</v>
      </c>
      <c r="B31">
        <v>3.4632256816498612E-4</v>
      </c>
      <c r="C31">
        <f t="shared" si="0"/>
        <v>2.7347872177421084E-3</v>
      </c>
      <c r="D31">
        <f t="shared" si="1"/>
        <v>-2.3884646495771224E-3</v>
      </c>
      <c r="E31">
        <f t="shared" si="2"/>
        <v>5.7047633822795661E-6</v>
      </c>
    </row>
    <row r="32" spans="1:5" x14ac:dyDescent="0.25">
      <c r="A32">
        <v>5.7281156542250002</v>
      </c>
      <c r="B32">
        <v>1.0389677044949585E-3</v>
      </c>
      <c r="C32">
        <f t="shared" si="0"/>
        <v>2.2171938747181609E-3</v>
      </c>
      <c r="D32">
        <f t="shared" si="1"/>
        <v>-1.1782261702232024E-3</v>
      </c>
      <c r="E32">
        <f t="shared" si="2"/>
        <v>1.3882169081988347E-6</v>
      </c>
    </row>
    <row r="33" spans="1:5" x14ac:dyDescent="0.25">
      <c r="A33">
        <v>5.9099469813750005</v>
      </c>
      <c r="B33">
        <v>1.0389677044949585E-3</v>
      </c>
      <c r="C33">
        <f t="shared" si="0"/>
        <v>1.7966316633513694E-3</v>
      </c>
      <c r="D33">
        <f t="shared" si="1"/>
        <v>-7.5766395885641094E-4</v>
      </c>
      <c r="E33">
        <f t="shared" si="2"/>
        <v>5.7405467454996912E-7</v>
      </c>
    </row>
    <row r="34" spans="1:5" x14ac:dyDescent="0.25">
      <c r="A34">
        <v>6.091778308524999</v>
      </c>
      <c r="B34">
        <v>3.4632256816498612E-4</v>
      </c>
      <c r="C34">
        <f t="shared" si="0"/>
        <v>1.4551141792704498E-3</v>
      </c>
      <c r="D34">
        <f t="shared" si="1"/>
        <v>-1.1087916111054636E-3</v>
      </c>
      <c r="E34">
        <f t="shared" si="2"/>
        <v>1.2294188368578495E-6</v>
      </c>
    </row>
    <row r="35" spans="1:5" x14ac:dyDescent="0.25">
      <c r="A35">
        <v>6.2736096356749993</v>
      </c>
      <c r="B35">
        <v>0</v>
      </c>
      <c r="C35">
        <f t="shared" si="0"/>
        <v>1.1779440228461946E-3</v>
      </c>
      <c r="D35">
        <f t="shared" si="1"/>
        <v>-1.1779440228461946E-3</v>
      </c>
      <c r="E35">
        <f t="shared" si="2"/>
        <v>1.3875521209590762E-6</v>
      </c>
    </row>
    <row r="36" spans="1:5" x14ac:dyDescent="0.25">
      <c r="A36">
        <v>6.4554409628249996</v>
      </c>
      <c r="B36">
        <v>6.9264513632997225E-4</v>
      </c>
      <c r="C36">
        <f t="shared" si="0"/>
        <v>9.5312150035824889E-4</v>
      </c>
      <c r="D36">
        <f t="shared" si="1"/>
        <v>-2.6047636402827664E-4</v>
      </c>
      <c r="E36">
        <f t="shared" si="2"/>
        <v>6.784793621739129E-8</v>
      </c>
    </row>
    <row r="37" spans="1:5" x14ac:dyDescent="0.25">
      <c r="A37">
        <v>6.6372722899749999</v>
      </c>
      <c r="B37">
        <v>0</v>
      </c>
      <c r="C37">
        <f t="shared" si="0"/>
        <v>7.7085730879220763E-4</v>
      </c>
      <c r="D37">
        <f t="shared" si="1"/>
        <v>-7.7085730879220763E-4</v>
      </c>
      <c r="E37">
        <f t="shared" si="2"/>
        <v>5.9422099051836497E-7</v>
      </c>
    </row>
    <row r="38" spans="1:5" x14ac:dyDescent="0.25">
      <c r="A38">
        <v>6.8191036171250001</v>
      </c>
      <c r="B38">
        <v>0</v>
      </c>
      <c r="C38">
        <f t="shared" si="0"/>
        <v>6.2317146316141596E-4</v>
      </c>
      <c r="D38">
        <f t="shared" si="1"/>
        <v>-6.2317146316141596E-4</v>
      </c>
      <c r="E38">
        <f t="shared" si="2"/>
        <v>3.8834267249873999E-7</v>
      </c>
    </row>
    <row r="39" spans="1:5" x14ac:dyDescent="0.25">
      <c r="A39">
        <v>7.0009349442749995</v>
      </c>
      <c r="B39">
        <v>0</v>
      </c>
      <c r="C39">
        <f t="shared" si="0"/>
        <v>5.0356361973572612E-4</v>
      </c>
      <c r="D39">
        <f t="shared" si="1"/>
        <v>-5.0356361973572612E-4</v>
      </c>
      <c r="E39">
        <f t="shared" si="2"/>
        <v>2.5357631912134696E-7</v>
      </c>
    </row>
    <row r="40" spans="1:5" x14ac:dyDescent="0.25">
      <c r="A40">
        <v>7.1827662714249998</v>
      </c>
      <c r="B40">
        <v>3.4632256816498612E-4</v>
      </c>
      <c r="C40">
        <f t="shared" si="0"/>
        <v>4.0674240444610457E-4</v>
      </c>
      <c r="D40">
        <f t="shared" si="1"/>
        <v>-6.0419836281118443E-5</v>
      </c>
      <c r="E40">
        <f t="shared" si="2"/>
        <v>3.6505566162371567E-9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156E-EFFE-4FB1-B4F8-5C6EEB02CE0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9.1051764475000005E-2</v>
      </c>
      <c r="B1">
        <v>0.80376844246078627</v>
      </c>
      <c r="C1">
        <f>$H$3*(1+$H$1)*(A1^($H$1))*EXP(-$H$3*(A1^(1+$H$1)))</f>
        <v>0.81099146971703095</v>
      </c>
      <c r="D1">
        <f>B1-C1</f>
        <v>-7.2230272562446851E-3</v>
      </c>
      <c r="E1">
        <f>D1^2</f>
        <v>5.2172122744453627E-5</v>
      </c>
      <c r="G1" t="s">
        <v>0</v>
      </c>
      <c r="H1">
        <v>7.394565728112816E-2</v>
      </c>
    </row>
    <row r="2" spans="1:8" x14ac:dyDescent="0.25">
      <c r="A2">
        <v>0.27219533342500002</v>
      </c>
      <c r="B2">
        <v>0.73675880557312678</v>
      </c>
      <c r="C2">
        <f t="shared" ref="C2:C40" si="0">$H$3*(1+$H$1)*(A2^($H$1))*EXP(-$H$3*(A2^(1+$H$1)))</f>
        <v>0.74490872148390219</v>
      </c>
      <c r="D2">
        <f t="shared" ref="D2:D40" si="1">B2-C2</f>
        <v>-8.1499159107754071E-3</v>
      </c>
      <c r="E2">
        <f t="shared" ref="E2:E40" si="2">D2^2</f>
        <v>6.6421129352710136E-5</v>
      </c>
    </row>
    <row r="3" spans="1:8" x14ac:dyDescent="0.25">
      <c r="A3">
        <v>0.45333890237500002</v>
      </c>
      <c r="B3">
        <v>0.63572354995494584</v>
      </c>
      <c r="C3">
        <f t="shared" si="0"/>
        <v>0.64929562017507303</v>
      </c>
      <c r="D3">
        <f t="shared" si="1"/>
        <v>-1.3572070220127186E-2</v>
      </c>
      <c r="E3">
        <f t="shared" si="2"/>
        <v>1.8420109006006319E-4</v>
      </c>
      <c r="G3" t="s">
        <v>1</v>
      </c>
      <c r="H3">
        <f>(_xlfn.GAMMA((2+$H$1)/(1+$H$1)))^(1+$H$1)</f>
        <v>0.97083659137491152</v>
      </c>
    </row>
    <row r="4" spans="1:8" x14ac:dyDescent="0.25">
      <c r="A4">
        <v>0.63448247132500013</v>
      </c>
      <c r="B4">
        <v>0.54753470140849236</v>
      </c>
      <c r="C4">
        <f t="shared" si="0"/>
        <v>0.5557147491351323</v>
      </c>
      <c r="D4">
        <f t="shared" si="1"/>
        <v>-8.1800477266399385E-3</v>
      </c>
      <c r="E4">
        <f t="shared" si="2"/>
        <v>6.6913180810107231E-5</v>
      </c>
    </row>
    <row r="5" spans="1:8" x14ac:dyDescent="0.25">
      <c r="A5">
        <v>0.81562604027500007</v>
      </c>
      <c r="B5">
        <v>0.46698425706684987</v>
      </c>
      <c r="C5">
        <f t="shared" si="0"/>
        <v>0.47079911607933467</v>
      </c>
      <c r="D5">
        <f t="shared" si="1"/>
        <v>-3.8148590124847948E-3</v>
      </c>
      <c r="E5">
        <f t="shared" si="2"/>
        <v>1.4553149285136464E-5</v>
      </c>
      <c r="G5" t="s">
        <v>2</v>
      </c>
      <c r="H5">
        <f>SUM(E1:E40)</f>
        <v>1.9756413266846635E-3</v>
      </c>
    </row>
    <row r="6" spans="1:8" x14ac:dyDescent="0.25">
      <c r="A6">
        <v>0.99676960922499991</v>
      </c>
      <c r="B6">
        <v>0.3725458050800966</v>
      </c>
      <c r="C6">
        <f t="shared" si="0"/>
        <v>0.39614860103062677</v>
      </c>
      <c r="D6">
        <f t="shared" si="1"/>
        <v>-2.3602795950530164E-2</v>
      </c>
      <c r="E6">
        <f t="shared" si="2"/>
        <v>5.5709197668236314E-4</v>
      </c>
    </row>
    <row r="7" spans="1:8" x14ac:dyDescent="0.25">
      <c r="A7">
        <v>1.1779131781749999</v>
      </c>
      <c r="B7">
        <v>0.32081297660205899</v>
      </c>
      <c r="C7">
        <f t="shared" si="0"/>
        <v>0.33166118268425338</v>
      </c>
      <c r="D7">
        <f t="shared" si="1"/>
        <v>-1.0848206082194389E-2</v>
      </c>
      <c r="E7">
        <f t="shared" si="2"/>
        <v>1.1768357520175934E-4</v>
      </c>
    </row>
    <row r="8" spans="1:8" x14ac:dyDescent="0.25">
      <c r="A8">
        <v>1.3590567471249999</v>
      </c>
      <c r="B8">
        <v>0.28435695653364318</v>
      </c>
      <c r="C8">
        <f t="shared" si="0"/>
        <v>0.27657639598598477</v>
      </c>
      <c r="D8">
        <f t="shared" si="1"/>
        <v>7.7805605476584105E-3</v>
      </c>
      <c r="E8">
        <f t="shared" si="2"/>
        <v>6.0537122435778543E-5</v>
      </c>
    </row>
    <row r="9" spans="1:8" x14ac:dyDescent="0.25">
      <c r="A9">
        <v>1.5402003160750002</v>
      </c>
      <c r="B9">
        <v>0.23297132824673331</v>
      </c>
      <c r="C9">
        <f t="shared" si="0"/>
        <v>0.22989566143580581</v>
      </c>
      <c r="D9">
        <f t="shared" si="1"/>
        <v>3.0756668109274965E-3</v>
      </c>
      <c r="E9">
        <f t="shared" si="2"/>
        <v>9.4597263318409167E-6</v>
      </c>
    </row>
    <row r="10" spans="1:8" x14ac:dyDescent="0.25">
      <c r="A10">
        <v>1.721343885025</v>
      </c>
      <c r="B10">
        <v>0.19929290970733965</v>
      </c>
      <c r="C10">
        <f t="shared" si="0"/>
        <v>0.19057288926897376</v>
      </c>
      <c r="D10">
        <f t="shared" si="1"/>
        <v>8.7200204383658941E-3</v>
      </c>
      <c r="E10">
        <f t="shared" si="2"/>
        <v>7.6038756445518914E-5</v>
      </c>
    </row>
    <row r="11" spans="1:8" x14ac:dyDescent="0.25">
      <c r="A11">
        <v>1.9024874539750001</v>
      </c>
      <c r="B11">
        <v>0.17498889632839579</v>
      </c>
      <c r="C11">
        <f t="shared" si="0"/>
        <v>0.15760439279067942</v>
      </c>
      <c r="D11">
        <f t="shared" si="1"/>
        <v>1.7384503537716367E-2</v>
      </c>
      <c r="E11">
        <f t="shared" si="2"/>
        <v>3.0222096325287288E-4</v>
      </c>
    </row>
    <row r="12" spans="1:8" x14ac:dyDescent="0.25">
      <c r="A12">
        <v>2.0836310229250001</v>
      </c>
      <c r="B12">
        <v>0.13922727664223555</v>
      </c>
      <c r="C12">
        <f t="shared" si="0"/>
        <v>0.13006984045889042</v>
      </c>
      <c r="D12">
        <f t="shared" si="1"/>
        <v>9.1574361833451356E-3</v>
      </c>
      <c r="E12">
        <f t="shared" si="2"/>
        <v>8.3858637452038728E-5</v>
      </c>
    </row>
    <row r="13" spans="1:8" x14ac:dyDescent="0.25">
      <c r="A13">
        <v>2.2647745918750002</v>
      </c>
      <c r="B13">
        <v>0.11284006211652507</v>
      </c>
      <c r="C13">
        <f t="shared" si="0"/>
        <v>0.10714796432316596</v>
      </c>
      <c r="D13">
        <f t="shared" si="1"/>
        <v>5.6920977933591077E-3</v>
      </c>
      <c r="E13">
        <f t="shared" si="2"/>
        <v>3.2399977289163623E-5</v>
      </c>
    </row>
    <row r="14" spans="1:8" x14ac:dyDescent="0.25">
      <c r="A14">
        <v>2.4459181608250002</v>
      </c>
      <c r="B14">
        <v>9.4091251795625511E-2</v>
      </c>
      <c r="C14">
        <f t="shared" si="0"/>
        <v>8.8118947334872327E-2</v>
      </c>
      <c r="D14">
        <f t="shared" si="1"/>
        <v>5.9723044607531833E-3</v>
      </c>
      <c r="E14">
        <f t="shared" si="2"/>
        <v>3.5668420571932374E-5</v>
      </c>
    </row>
    <row r="15" spans="1:8" x14ac:dyDescent="0.25">
      <c r="A15">
        <v>2.6270617297749999</v>
      </c>
      <c r="B15">
        <v>8.2980845679536896E-2</v>
      </c>
      <c r="C15">
        <f t="shared" si="0"/>
        <v>7.2359866474143011E-2</v>
      </c>
      <c r="D15">
        <f t="shared" si="1"/>
        <v>1.0620979205393885E-2</v>
      </c>
      <c r="E15">
        <f t="shared" si="2"/>
        <v>1.1280519928140933E-4</v>
      </c>
    </row>
    <row r="16" spans="1:8" x14ac:dyDescent="0.25">
      <c r="A16">
        <v>2.8082052987250004</v>
      </c>
      <c r="B16">
        <v>6.1801634020742957E-2</v>
      </c>
      <c r="C16">
        <f t="shared" si="0"/>
        <v>5.9336737699667678E-2</v>
      </c>
      <c r="D16">
        <f t="shared" si="1"/>
        <v>2.4648963210752786E-3</v>
      </c>
      <c r="E16">
        <f t="shared" si="2"/>
        <v>6.0757138736504433E-6</v>
      </c>
    </row>
    <row r="17" spans="1:5" x14ac:dyDescent="0.25">
      <c r="A17">
        <v>2.989348867675</v>
      </c>
      <c r="B17">
        <v>5.7982431918337497E-2</v>
      </c>
      <c r="C17">
        <f t="shared" si="0"/>
        <v>4.8595172508939438E-2</v>
      </c>
      <c r="D17">
        <f t="shared" si="1"/>
        <v>9.3872594093980591E-3</v>
      </c>
      <c r="E17">
        <f t="shared" si="2"/>
        <v>8.8120639219332403E-5</v>
      </c>
    </row>
    <row r="18" spans="1:5" x14ac:dyDescent="0.25">
      <c r="A18">
        <v>3.170492436625</v>
      </c>
      <c r="B18">
        <v>4.5483225037737794E-2</v>
      </c>
      <c r="C18">
        <f t="shared" si="0"/>
        <v>3.97507845950004E-2</v>
      </c>
      <c r="D18">
        <f t="shared" si="1"/>
        <v>5.7324404427373937E-3</v>
      </c>
      <c r="E18">
        <f t="shared" si="2"/>
        <v>3.2860873429531284E-5</v>
      </c>
    </row>
    <row r="19" spans="1:5" x14ac:dyDescent="0.25">
      <c r="A19">
        <v>3.3516360055750001</v>
      </c>
      <c r="B19">
        <v>3.5761619686160255E-2</v>
      </c>
      <c r="C19">
        <f t="shared" si="0"/>
        <v>3.2479975828811583E-2</v>
      </c>
      <c r="D19">
        <f t="shared" si="1"/>
        <v>3.281643857348672E-3</v>
      </c>
      <c r="E19">
        <f t="shared" si="2"/>
        <v>1.0769186406474271E-5</v>
      </c>
    </row>
    <row r="20" spans="1:5" x14ac:dyDescent="0.25">
      <c r="A20">
        <v>3.5327795745249997</v>
      </c>
      <c r="B20">
        <v>2.7428815099093784E-2</v>
      </c>
      <c r="C20">
        <f t="shared" si="0"/>
        <v>2.6511427887107857E-2</v>
      </c>
      <c r="D20">
        <f t="shared" si="1"/>
        <v>9.1738721198592749E-4</v>
      </c>
      <c r="E20">
        <f t="shared" si="2"/>
        <v>8.4159929671531308E-7</v>
      </c>
    </row>
    <row r="21" spans="1:5" x14ac:dyDescent="0.25">
      <c r="A21">
        <v>3.7139231434750002</v>
      </c>
      <c r="B21">
        <v>2.2568012423305014E-2</v>
      </c>
      <c r="C21">
        <f t="shared" si="0"/>
        <v>2.1618444707500042E-2</v>
      </c>
      <c r="D21">
        <f t="shared" si="1"/>
        <v>9.4956771580497271E-4</v>
      </c>
      <c r="E21">
        <f t="shared" si="2"/>
        <v>9.0167884689907339E-7</v>
      </c>
    </row>
    <row r="22" spans="1:5" x14ac:dyDescent="0.25">
      <c r="A22">
        <v>3.8950667124250007</v>
      </c>
      <c r="B22">
        <v>1.2152006689471931E-2</v>
      </c>
      <c r="C22">
        <f t="shared" si="0"/>
        <v>1.7612183512843802E-2</v>
      </c>
      <c r="D22">
        <f t="shared" si="1"/>
        <v>-5.4601768233718713E-3</v>
      </c>
      <c r="E22">
        <f t="shared" si="2"/>
        <v>2.981353094248734E-5</v>
      </c>
    </row>
    <row r="23" spans="1:5" x14ac:dyDescent="0.25">
      <c r="A23">
        <v>4.0762102813750003</v>
      </c>
      <c r="B23">
        <v>1.3193607262855239E-2</v>
      </c>
      <c r="C23">
        <f t="shared" si="0"/>
        <v>1.4335750058760328E-2</v>
      </c>
      <c r="D23">
        <f t="shared" si="1"/>
        <v>-1.1421427959050889E-3</v>
      </c>
      <c r="E23">
        <f t="shared" si="2"/>
        <v>1.3044901662378935E-6</v>
      </c>
    </row>
    <row r="24" spans="1:5" x14ac:dyDescent="0.25">
      <c r="A24">
        <v>4.2573538503249999</v>
      </c>
      <c r="B24">
        <v>1.0763205924960852E-2</v>
      </c>
      <c r="C24">
        <f t="shared" si="0"/>
        <v>1.1659099812758759E-2</v>
      </c>
      <c r="D24">
        <f t="shared" si="1"/>
        <v>-8.9589388779790641E-4</v>
      </c>
      <c r="E24">
        <f t="shared" si="2"/>
        <v>8.0262585819364776E-7</v>
      </c>
    </row>
    <row r="25" spans="1:5" x14ac:dyDescent="0.25">
      <c r="A25">
        <v>4.4384974192750004</v>
      </c>
      <c r="B25">
        <v>7.6384042048109274E-3</v>
      </c>
      <c r="C25">
        <f t="shared" si="0"/>
        <v>9.4746702882568621E-3</v>
      </c>
      <c r="D25">
        <f t="shared" si="1"/>
        <v>-1.8362660834459347E-3</v>
      </c>
      <c r="E25">
        <f t="shared" si="2"/>
        <v>3.3718731292138721E-6</v>
      </c>
    </row>
    <row r="26" spans="1:5" x14ac:dyDescent="0.25">
      <c r="A26">
        <v>4.619640988225</v>
      </c>
      <c r="B26">
        <v>5.9024032491720802E-3</v>
      </c>
      <c r="C26">
        <f t="shared" si="0"/>
        <v>7.6936639941709729E-3</v>
      </c>
      <c r="D26">
        <f t="shared" si="1"/>
        <v>-1.7912607449988927E-3</v>
      </c>
      <c r="E26">
        <f t="shared" si="2"/>
        <v>3.2086150565739881E-6</v>
      </c>
    </row>
    <row r="27" spans="1:5" x14ac:dyDescent="0.25">
      <c r="A27">
        <v>4.8007845571750005</v>
      </c>
      <c r="B27">
        <v>3.8192021024054637E-3</v>
      </c>
      <c r="C27">
        <f t="shared" si="0"/>
        <v>6.2429021283410165E-3</v>
      </c>
      <c r="D27">
        <f t="shared" si="1"/>
        <v>-2.4237000259355527E-3</v>
      </c>
      <c r="E27">
        <f t="shared" si="2"/>
        <v>5.874321815719999E-6</v>
      </c>
    </row>
    <row r="28" spans="1:5" x14ac:dyDescent="0.25">
      <c r="A28">
        <v>4.9819281261250001</v>
      </c>
      <c r="B28">
        <v>3.1248017201499249E-3</v>
      </c>
      <c r="C28">
        <f t="shared" si="0"/>
        <v>5.0621734954915979E-3</v>
      </c>
      <c r="D28">
        <f t="shared" si="1"/>
        <v>-1.937371775341673E-3</v>
      </c>
      <c r="E28">
        <f t="shared" si="2"/>
        <v>3.7534093958905461E-6</v>
      </c>
    </row>
    <row r="29" spans="1:5" x14ac:dyDescent="0.25">
      <c r="A29">
        <v>5.1630716950749997</v>
      </c>
      <c r="B29">
        <v>2.4304013378943861E-3</v>
      </c>
      <c r="C29">
        <f t="shared" si="0"/>
        <v>4.102009416053592E-3</v>
      </c>
      <c r="D29">
        <f t="shared" si="1"/>
        <v>-1.6716080781592059E-3</v>
      </c>
      <c r="E29">
        <f t="shared" si="2"/>
        <v>2.7942735669671135E-6</v>
      </c>
    </row>
    <row r="30" spans="1:5" x14ac:dyDescent="0.25">
      <c r="A30">
        <v>5.3442152640250002</v>
      </c>
      <c r="B30">
        <v>1.7360009556388473E-3</v>
      </c>
      <c r="C30">
        <f t="shared" si="0"/>
        <v>3.3218225046173309E-3</v>
      </c>
      <c r="D30">
        <f t="shared" si="1"/>
        <v>-1.5858215489784836E-3</v>
      </c>
      <c r="E30">
        <f t="shared" si="2"/>
        <v>2.5148299852045172E-6</v>
      </c>
    </row>
    <row r="31" spans="1:5" x14ac:dyDescent="0.25">
      <c r="A31">
        <v>5.5253588329749999</v>
      </c>
      <c r="B31">
        <v>3.4720019112776946E-4</v>
      </c>
      <c r="C31">
        <f t="shared" si="0"/>
        <v>2.6883544513956752E-3</v>
      </c>
      <c r="D31">
        <f t="shared" si="1"/>
        <v>-2.3411542602679056E-3</v>
      </c>
      <c r="E31">
        <f t="shared" si="2"/>
        <v>5.4810032703705641E-6</v>
      </c>
    </row>
    <row r="32" spans="1:5" x14ac:dyDescent="0.25">
      <c r="A32">
        <v>5.7065024019250004</v>
      </c>
      <c r="B32">
        <v>1.0416005733833082E-3</v>
      </c>
      <c r="C32">
        <f t="shared" si="0"/>
        <v>2.1743849282583388E-3</v>
      </c>
      <c r="D32">
        <f t="shared" si="1"/>
        <v>-1.1327843548750306E-3</v>
      </c>
      <c r="E32">
        <f t="shared" si="2"/>
        <v>1.2832003946496391E-6</v>
      </c>
    </row>
    <row r="33" spans="1:5" x14ac:dyDescent="0.25">
      <c r="A33">
        <v>5.887645970875</v>
      </c>
      <c r="B33">
        <v>1.0416005733833082E-3</v>
      </c>
      <c r="C33">
        <f t="shared" si="0"/>
        <v>1.7576602342322439E-3</v>
      </c>
      <c r="D33">
        <f t="shared" si="1"/>
        <v>-7.160596608489357E-4</v>
      </c>
      <c r="E33">
        <f t="shared" si="2"/>
        <v>5.127414378950928E-7</v>
      </c>
    </row>
    <row r="34" spans="1:5" x14ac:dyDescent="0.25">
      <c r="A34">
        <v>6.0687895398249996</v>
      </c>
      <c r="B34">
        <v>6.9440038225553893E-4</v>
      </c>
      <c r="C34">
        <f t="shared" si="0"/>
        <v>1.4200061819103569E-3</v>
      </c>
      <c r="D34">
        <f t="shared" si="1"/>
        <v>-7.2560579965481799E-4</v>
      </c>
      <c r="E34">
        <f t="shared" si="2"/>
        <v>5.2650377649270784E-7</v>
      </c>
    </row>
    <row r="35" spans="1:5" x14ac:dyDescent="0.25">
      <c r="A35">
        <v>6.2499331087750001</v>
      </c>
      <c r="B35">
        <v>0</v>
      </c>
      <c r="C35">
        <f t="shared" si="0"/>
        <v>1.1465949680823026E-3</v>
      </c>
      <c r="D35">
        <f t="shared" si="1"/>
        <v>-1.1465949680823026E-3</v>
      </c>
      <c r="E35">
        <f t="shared" si="2"/>
        <v>1.3146800208316566E-6</v>
      </c>
    </row>
    <row r="36" spans="1:5" x14ac:dyDescent="0.25">
      <c r="A36">
        <v>6.4310766777250006</v>
      </c>
      <c r="B36">
        <v>3.4720019112776946E-4</v>
      </c>
      <c r="C36">
        <f t="shared" si="0"/>
        <v>9.2534037693151831E-4</v>
      </c>
      <c r="D36">
        <f t="shared" si="1"/>
        <v>-5.781401858037489E-4</v>
      </c>
      <c r="E36">
        <f t="shared" si="2"/>
        <v>3.3424607444119327E-7</v>
      </c>
    </row>
    <row r="37" spans="1:5" x14ac:dyDescent="0.25">
      <c r="A37">
        <v>6.6122202466750011</v>
      </c>
      <c r="B37">
        <v>0</v>
      </c>
      <c r="C37">
        <f t="shared" si="0"/>
        <v>7.4639966707729349E-4</v>
      </c>
      <c r="D37">
        <f t="shared" si="1"/>
        <v>-7.4639966707729349E-4</v>
      </c>
      <c r="E37">
        <f t="shared" si="2"/>
        <v>5.5711246301309453E-7</v>
      </c>
    </row>
    <row r="38" spans="1:5" x14ac:dyDescent="0.25">
      <c r="A38">
        <v>6.7933638156249998</v>
      </c>
      <c r="B38">
        <v>0</v>
      </c>
      <c r="C38">
        <f t="shared" si="0"/>
        <v>6.0176394380394066E-4</v>
      </c>
      <c r="D38">
        <f t="shared" si="1"/>
        <v>-6.0176394380394066E-4</v>
      </c>
      <c r="E38">
        <f t="shared" si="2"/>
        <v>3.6211984406247226E-7</v>
      </c>
    </row>
    <row r="39" spans="1:5" x14ac:dyDescent="0.25">
      <c r="A39">
        <v>6.9745073845749994</v>
      </c>
      <c r="B39">
        <v>0</v>
      </c>
      <c r="C39">
        <f t="shared" si="0"/>
        <v>4.8492177065295223E-4</v>
      </c>
      <c r="D39">
        <f t="shared" si="1"/>
        <v>-4.8492177065295223E-4</v>
      </c>
      <c r="E39">
        <f t="shared" si="2"/>
        <v>2.3514912365319441E-7</v>
      </c>
    </row>
    <row r="40" spans="1:5" x14ac:dyDescent="0.25">
      <c r="A40">
        <v>7.1556509535249999</v>
      </c>
      <c r="B40">
        <v>3.4720019112776946E-4</v>
      </c>
      <c r="C40">
        <f t="shared" si="0"/>
        <v>3.9058328707724724E-4</v>
      </c>
      <c r="D40">
        <f t="shared" si="1"/>
        <v>-4.3383095949477775E-5</v>
      </c>
      <c r="E40">
        <f t="shared" si="2"/>
        <v>1.8820930141615949E-9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A9E4-5BAD-4E6C-A446-A1572EE4474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9.0409232700000008E-2</v>
      </c>
      <c r="B1">
        <v>0.69005767779973348</v>
      </c>
      <c r="C1">
        <f>$H$3*(1+$H$1)*(A1^($H$1))*EXP(-$H$3*(A1^(1+$H$1)))</f>
        <v>0.74317889785601332</v>
      </c>
      <c r="D1">
        <f>B1-C1</f>
        <v>-5.3121220056279839E-2</v>
      </c>
      <c r="E1">
        <f>D1^2</f>
        <v>2.8218640202677075E-3</v>
      </c>
      <c r="G1" t="s">
        <v>0</v>
      </c>
      <c r="H1">
        <v>0.12625287078195371</v>
      </c>
    </row>
    <row r="2" spans="1:8" x14ac:dyDescent="0.25">
      <c r="A2">
        <v>0.27011748610000003</v>
      </c>
      <c r="B2">
        <v>0.8251983493525985</v>
      </c>
      <c r="C2">
        <f t="shared" ref="C2:C40" si="0">$H$3*(1+$H$1)*(A2^($H$1))*EXP(-$H$3*(A2^(1+$H$1)))</f>
        <v>0.73114173702022955</v>
      </c>
      <c r="D2">
        <f t="shared" ref="D2:D40" si="1">B2-C2</f>
        <v>9.405661233236895E-2</v>
      </c>
      <c r="E2">
        <f t="shared" ref="E2:E40" si="2">D2^2</f>
        <v>8.8466463234415389E-3</v>
      </c>
    </row>
    <row r="3" spans="1:8" x14ac:dyDescent="0.25">
      <c r="A3">
        <v>0.44982573949999999</v>
      </c>
      <c r="B3">
        <v>0.66029872162876579</v>
      </c>
      <c r="C3">
        <f t="shared" si="0"/>
        <v>0.65835789031593639</v>
      </c>
      <c r="D3">
        <f t="shared" si="1"/>
        <v>1.9408313128294052E-3</v>
      </c>
      <c r="E3">
        <f t="shared" si="2"/>
        <v>3.7668261848591127E-6</v>
      </c>
      <c r="G3" t="s">
        <v>1</v>
      </c>
      <c r="H3">
        <f>(_xlfn.GAMMA((2+$H$1)/(1+$H$1)))^(1+$H$1)</f>
        <v>0.95246377109002356</v>
      </c>
    </row>
    <row r="4" spans="1:8" x14ac:dyDescent="0.25">
      <c r="A4">
        <v>0.62953399290000001</v>
      </c>
      <c r="B4">
        <v>0.55876816528075823</v>
      </c>
      <c r="C4">
        <f t="shared" si="0"/>
        <v>0.57475419459866539</v>
      </c>
      <c r="D4">
        <f t="shared" si="1"/>
        <v>-1.5986029317907158E-2</v>
      </c>
      <c r="E4">
        <f t="shared" si="2"/>
        <v>2.5555313335298718E-4</v>
      </c>
    </row>
    <row r="5" spans="1:8" x14ac:dyDescent="0.25">
      <c r="A5">
        <v>0.80924224629999997</v>
      </c>
      <c r="B5">
        <v>0.47474287726861419</v>
      </c>
      <c r="C5">
        <f t="shared" si="0"/>
        <v>0.49313157130928387</v>
      </c>
      <c r="D5">
        <f t="shared" si="1"/>
        <v>-1.8388694040669673E-2</v>
      </c>
      <c r="E5">
        <f t="shared" si="2"/>
        <v>3.3814406852136037E-4</v>
      </c>
      <c r="G5" t="s">
        <v>2</v>
      </c>
      <c r="H5">
        <f>SUM(E1:E40)</f>
        <v>1.543574880008562E-2</v>
      </c>
    </row>
    <row r="6" spans="1:8" x14ac:dyDescent="0.25">
      <c r="A6">
        <v>0.98895049969999982</v>
      </c>
      <c r="B6">
        <v>0.38336537655540748</v>
      </c>
      <c r="C6">
        <f t="shared" si="0"/>
        <v>0.4181859766877894</v>
      </c>
      <c r="D6">
        <f t="shared" si="1"/>
        <v>-3.4820600132381918E-2</v>
      </c>
      <c r="E6">
        <f t="shared" si="2"/>
        <v>1.2124741935792356E-3</v>
      </c>
    </row>
    <row r="7" spans="1:8" x14ac:dyDescent="0.25">
      <c r="A7">
        <v>1.1686587530999999</v>
      </c>
      <c r="B7">
        <v>0.32069651591301668</v>
      </c>
      <c r="C7">
        <f t="shared" si="0"/>
        <v>0.35156706851050995</v>
      </c>
      <c r="D7">
        <f t="shared" si="1"/>
        <v>-3.0870552597493273E-2</v>
      </c>
      <c r="E7">
        <f t="shared" si="2"/>
        <v>9.5299101767459869E-4</v>
      </c>
    </row>
    <row r="8" spans="1:8" x14ac:dyDescent="0.25">
      <c r="A8">
        <v>1.3483670065</v>
      </c>
      <c r="B8">
        <v>0.27553292360648918</v>
      </c>
      <c r="C8">
        <f t="shared" si="0"/>
        <v>0.29354298491546493</v>
      </c>
      <c r="D8">
        <f t="shared" si="1"/>
        <v>-1.8010061308975756E-2</v>
      </c>
      <c r="E8">
        <f t="shared" si="2"/>
        <v>3.2436230835306549E-4</v>
      </c>
    </row>
    <row r="9" spans="1:8" x14ac:dyDescent="0.25">
      <c r="A9">
        <v>1.5280752599</v>
      </c>
      <c r="B9">
        <v>0.24787459963582512</v>
      </c>
      <c r="C9">
        <f t="shared" si="0"/>
        <v>0.24371709433331054</v>
      </c>
      <c r="D9">
        <f t="shared" si="1"/>
        <v>4.1575053025145747E-3</v>
      </c>
      <c r="E9">
        <f t="shared" si="2"/>
        <v>1.7284850340436807E-5</v>
      </c>
    </row>
    <row r="10" spans="1:8" x14ac:dyDescent="0.25">
      <c r="A10">
        <v>1.7077835132999999</v>
      </c>
      <c r="B10">
        <v>0.19290805706121417</v>
      </c>
      <c r="C10">
        <f t="shared" si="0"/>
        <v>0.20138294958764363</v>
      </c>
      <c r="D10">
        <f t="shared" si="1"/>
        <v>-8.4748925264294672E-3</v>
      </c>
      <c r="E10">
        <f t="shared" si="2"/>
        <v>7.1823803334530035E-5</v>
      </c>
    </row>
    <row r="11" spans="1:8" x14ac:dyDescent="0.25">
      <c r="A11">
        <v>1.8874917667</v>
      </c>
      <c r="B11">
        <v>0.17645310482550261</v>
      </c>
      <c r="C11">
        <f t="shared" si="0"/>
        <v>0.16571317183159651</v>
      </c>
      <c r="D11">
        <f t="shared" si="1"/>
        <v>1.0739932993906104E-2</v>
      </c>
      <c r="E11">
        <f t="shared" si="2"/>
        <v>1.1534616071359292E-4</v>
      </c>
    </row>
    <row r="12" spans="1:8" x14ac:dyDescent="0.25">
      <c r="A12">
        <v>2.0672000201</v>
      </c>
      <c r="B12">
        <v>0.14564383255438312</v>
      </c>
      <c r="C12">
        <f t="shared" si="0"/>
        <v>0.13586271425849802</v>
      </c>
      <c r="D12">
        <f t="shared" si="1"/>
        <v>9.7811182958850995E-3</v>
      </c>
      <c r="E12">
        <f t="shared" si="2"/>
        <v>9.5670275118098236E-5</v>
      </c>
    </row>
    <row r="13" spans="1:8" x14ac:dyDescent="0.25">
      <c r="A13">
        <v>2.2469082734999999</v>
      </c>
      <c r="B13">
        <v>0.11378424418311181</v>
      </c>
      <c r="C13">
        <f t="shared" si="0"/>
        <v>0.11102465435521509</v>
      </c>
      <c r="D13">
        <f t="shared" si="1"/>
        <v>2.7595898278967163E-3</v>
      </c>
      <c r="E13">
        <f t="shared" si="2"/>
        <v>7.615336018231028E-6</v>
      </c>
    </row>
    <row r="14" spans="1:8" x14ac:dyDescent="0.25">
      <c r="A14">
        <v>2.4266165268999997</v>
      </c>
      <c r="B14">
        <v>9.2777922180075786E-2</v>
      </c>
      <c r="C14">
        <f t="shared" si="0"/>
        <v>9.0458526400499631E-2</v>
      </c>
      <c r="D14">
        <f t="shared" si="1"/>
        <v>2.3193957795761555E-3</v>
      </c>
      <c r="E14">
        <f t="shared" si="2"/>
        <v>5.3795967823156821E-6</v>
      </c>
    </row>
    <row r="15" spans="1:8" x14ac:dyDescent="0.25">
      <c r="A15">
        <v>2.6063247802999996</v>
      </c>
      <c r="B15">
        <v>8.5425709479013165E-2</v>
      </c>
      <c r="C15">
        <f t="shared" si="0"/>
        <v>7.3502463178449579E-2</v>
      </c>
      <c r="D15">
        <f t="shared" si="1"/>
        <v>1.1923246300563586E-2</v>
      </c>
      <c r="E15">
        <f t="shared" si="2"/>
        <v>1.4216380234390326E-4</v>
      </c>
    </row>
    <row r="16" spans="1:8" x14ac:dyDescent="0.25">
      <c r="A16">
        <v>2.7860330336999999</v>
      </c>
      <c r="B16">
        <v>6.3719176742542613E-2</v>
      </c>
      <c r="C16">
        <f t="shared" si="0"/>
        <v>5.9575806669877884E-2</v>
      </c>
      <c r="D16">
        <f t="shared" si="1"/>
        <v>4.1433700726647288E-3</v>
      </c>
      <c r="E16">
        <f t="shared" si="2"/>
        <v>1.7167515559053721E-5</v>
      </c>
    </row>
    <row r="17" spans="1:5" x14ac:dyDescent="0.25">
      <c r="A17">
        <v>2.9657412871000002</v>
      </c>
      <c r="B17">
        <v>5.3916226474459129E-2</v>
      </c>
      <c r="C17">
        <f t="shared" si="0"/>
        <v>4.8176246144819863E-2</v>
      </c>
      <c r="D17">
        <f t="shared" si="1"/>
        <v>5.739980329639266E-3</v>
      </c>
      <c r="E17">
        <f t="shared" si="2"/>
        <v>3.2947374184645699E-5</v>
      </c>
    </row>
    <row r="18" spans="1:5" x14ac:dyDescent="0.25">
      <c r="A18">
        <v>3.1454495405</v>
      </c>
      <c r="B18">
        <v>4.7614329873548328E-2</v>
      </c>
      <c r="C18">
        <f t="shared" si="0"/>
        <v>3.8873997414634938E-2</v>
      </c>
      <c r="D18">
        <f t="shared" si="1"/>
        <v>8.7403324589133899E-3</v>
      </c>
      <c r="E18">
        <f t="shared" si="2"/>
        <v>7.6393411492334983E-5</v>
      </c>
    </row>
    <row r="19" spans="1:5" x14ac:dyDescent="0.25">
      <c r="A19">
        <v>3.3251577938999999</v>
      </c>
      <c r="B19">
        <v>3.9561906439051185E-2</v>
      </c>
      <c r="C19">
        <f t="shared" si="0"/>
        <v>3.1304585589545089E-2</v>
      </c>
      <c r="D19">
        <f t="shared" si="1"/>
        <v>8.257320849506096E-3</v>
      </c>
      <c r="E19">
        <f t="shared" si="2"/>
        <v>6.8183347611688072E-5</v>
      </c>
    </row>
    <row r="20" spans="1:5" x14ac:dyDescent="0.25">
      <c r="A20">
        <v>3.5048660472999997</v>
      </c>
      <c r="B20">
        <v>2.6958113237229565E-2</v>
      </c>
      <c r="C20">
        <f t="shared" si="0"/>
        <v>2.516119293606894E-2</v>
      </c>
      <c r="D20">
        <f t="shared" si="1"/>
        <v>1.7969203011606247E-3</v>
      </c>
      <c r="E20">
        <f t="shared" si="2"/>
        <v>3.2289225687231902E-6</v>
      </c>
    </row>
    <row r="21" spans="1:5" x14ac:dyDescent="0.25">
      <c r="A21">
        <v>3.6845743006999996</v>
      </c>
      <c r="B21">
        <v>2.2056638103187826E-2</v>
      </c>
      <c r="C21">
        <f t="shared" si="0"/>
        <v>2.0187148403911209E-2</v>
      </c>
      <c r="D21">
        <f t="shared" si="1"/>
        <v>1.8694896992766177E-3</v>
      </c>
      <c r="E21">
        <f t="shared" si="2"/>
        <v>3.4949917357013786E-6</v>
      </c>
    </row>
    <row r="22" spans="1:5" x14ac:dyDescent="0.25">
      <c r="A22">
        <v>3.8642825540999999</v>
      </c>
      <c r="B22">
        <v>1.330400393525615E-2</v>
      </c>
      <c r="C22">
        <f t="shared" si="0"/>
        <v>1.6168887131755731E-2</v>
      </c>
      <c r="D22">
        <f t="shared" si="1"/>
        <v>-2.8648831964995809E-3</v>
      </c>
      <c r="E22">
        <f t="shared" si="2"/>
        <v>8.2075557295856553E-6</v>
      </c>
    </row>
    <row r="23" spans="1:5" x14ac:dyDescent="0.25">
      <c r="A23">
        <v>4.0439908074999993</v>
      </c>
      <c r="B23">
        <v>1.2953898568538883E-2</v>
      </c>
      <c r="C23">
        <f t="shared" si="0"/>
        <v>1.2929548571215782E-2</v>
      </c>
      <c r="D23">
        <f t="shared" si="1"/>
        <v>2.4349997323100739E-5</v>
      </c>
      <c r="E23">
        <f t="shared" si="2"/>
        <v>5.9292236963501314E-10</v>
      </c>
    </row>
    <row r="24" spans="1:5" x14ac:dyDescent="0.25">
      <c r="A24">
        <v>4.2236990608999996</v>
      </c>
      <c r="B24">
        <v>9.1027395346489452E-3</v>
      </c>
      <c r="C24">
        <f t="shared" si="0"/>
        <v>1.0323280396523015E-2</v>
      </c>
      <c r="D24">
        <f t="shared" si="1"/>
        <v>-1.2205408618740695E-3</v>
      </c>
      <c r="E24">
        <f t="shared" si="2"/>
        <v>1.4897199955042964E-6</v>
      </c>
    </row>
    <row r="25" spans="1:5" x14ac:dyDescent="0.25">
      <c r="A25">
        <v>4.403407314299999</v>
      </c>
      <c r="B25">
        <v>1.0153055634800746E-2</v>
      </c>
      <c r="C25">
        <f t="shared" si="0"/>
        <v>8.2302524165137718E-3</v>
      </c>
      <c r="D25">
        <f t="shared" si="1"/>
        <v>1.9228032182869743E-3</v>
      </c>
      <c r="E25">
        <f t="shared" si="2"/>
        <v>3.6971722162547455E-6</v>
      </c>
    </row>
    <row r="26" spans="1:5" x14ac:dyDescent="0.25">
      <c r="A26">
        <v>4.5831155677000002</v>
      </c>
      <c r="B26">
        <v>4.9014751340417393E-3</v>
      </c>
      <c r="C26">
        <f t="shared" si="0"/>
        <v>6.5523472843524609E-3</v>
      </c>
      <c r="D26">
        <f t="shared" si="1"/>
        <v>-1.6508721503107216E-3</v>
      </c>
      <c r="E26">
        <f t="shared" si="2"/>
        <v>2.7253788566715457E-6</v>
      </c>
    </row>
    <row r="27" spans="1:5" x14ac:dyDescent="0.25">
      <c r="A27">
        <v>4.7628238210999996</v>
      </c>
      <c r="B27">
        <v>5.6016858674762735E-3</v>
      </c>
      <c r="C27">
        <f t="shared" si="0"/>
        <v>5.2094742159673529E-3</v>
      </c>
      <c r="D27">
        <f t="shared" si="1"/>
        <v>3.9221165150892055E-4</v>
      </c>
      <c r="E27">
        <f t="shared" si="2"/>
        <v>1.5382997957935494E-7</v>
      </c>
    </row>
    <row r="28" spans="1:5" x14ac:dyDescent="0.25">
      <c r="A28">
        <v>4.942532074499999</v>
      </c>
      <c r="B28">
        <v>2.8008429337381367E-3</v>
      </c>
      <c r="C28">
        <f t="shared" si="0"/>
        <v>4.1364423141203796E-3</v>
      </c>
      <c r="D28">
        <f t="shared" si="1"/>
        <v>-1.3355993803822429E-3</v>
      </c>
      <c r="E28">
        <f t="shared" si="2"/>
        <v>1.7838257048774311E-6</v>
      </c>
    </row>
    <row r="29" spans="1:5" x14ac:dyDescent="0.25">
      <c r="A29">
        <v>5.1222403278999984</v>
      </c>
      <c r="B29">
        <v>2.8008429337381367E-3</v>
      </c>
      <c r="C29">
        <f t="shared" si="0"/>
        <v>3.2803274786290374E-3</v>
      </c>
      <c r="D29">
        <f t="shared" si="1"/>
        <v>-4.794845448909007E-4</v>
      </c>
      <c r="E29">
        <f t="shared" si="2"/>
        <v>2.2990542878923418E-7</v>
      </c>
    </row>
    <row r="30" spans="1:5" x14ac:dyDescent="0.25">
      <c r="A30">
        <v>5.3019485812999996</v>
      </c>
      <c r="B30">
        <v>1.7505268335863355E-3</v>
      </c>
      <c r="C30">
        <f t="shared" si="0"/>
        <v>2.5982685768551504E-3</v>
      </c>
      <c r="D30">
        <f t="shared" si="1"/>
        <v>-8.4774174326881493E-4</v>
      </c>
      <c r="E30">
        <f t="shared" si="2"/>
        <v>7.1866606328044935E-7</v>
      </c>
    </row>
    <row r="31" spans="1:5" x14ac:dyDescent="0.25">
      <c r="A31">
        <v>5.4816568347000008</v>
      </c>
      <c r="B31">
        <v>7.0021073343453418E-4</v>
      </c>
      <c r="C31">
        <f t="shared" si="0"/>
        <v>2.055632744548226E-3</v>
      </c>
      <c r="D31">
        <f t="shared" si="1"/>
        <v>-1.3554220111136918E-3</v>
      </c>
      <c r="E31">
        <f t="shared" si="2"/>
        <v>1.8371688282114848E-6</v>
      </c>
    </row>
    <row r="32" spans="1:5" x14ac:dyDescent="0.25">
      <c r="A32">
        <v>5.6613650881000002</v>
      </c>
      <c r="B32">
        <v>7.0021073343453418E-4</v>
      </c>
      <c r="C32">
        <f t="shared" si="0"/>
        <v>1.6244951835097639E-3</v>
      </c>
      <c r="D32">
        <f t="shared" si="1"/>
        <v>-9.2428445007522973E-4</v>
      </c>
      <c r="E32">
        <f t="shared" si="2"/>
        <v>8.5430174465086985E-7</v>
      </c>
    </row>
    <row r="33" spans="1:5" x14ac:dyDescent="0.25">
      <c r="A33">
        <v>5.8410733414999996</v>
      </c>
      <c r="B33">
        <v>7.0021073343453418E-4</v>
      </c>
      <c r="C33">
        <f t="shared" si="0"/>
        <v>1.2823848347533722E-3</v>
      </c>
      <c r="D33">
        <f t="shared" si="1"/>
        <v>-5.8217410131883806E-4</v>
      </c>
      <c r="E33">
        <f t="shared" si="2"/>
        <v>3.3892668424639672E-7</v>
      </c>
    </row>
    <row r="34" spans="1:5" x14ac:dyDescent="0.25">
      <c r="A34">
        <v>6.020781594899999</v>
      </c>
      <c r="B34">
        <v>1.0503161001518013E-3</v>
      </c>
      <c r="C34">
        <f t="shared" si="0"/>
        <v>1.0112533362910455E-3</v>
      </c>
      <c r="D34">
        <f t="shared" si="1"/>
        <v>3.9062763860755762E-5</v>
      </c>
      <c r="E34">
        <f t="shared" si="2"/>
        <v>1.5258995204411664E-9</v>
      </c>
    </row>
    <row r="35" spans="1:5" x14ac:dyDescent="0.25">
      <c r="A35">
        <v>6.2004898483000002</v>
      </c>
      <c r="B35">
        <v>0</v>
      </c>
      <c r="C35">
        <f t="shared" si="0"/>
        <v>7.9663042193742521E-4</v>
      </c>
      <c r="D35">
        <f t="shared" si="1"/>
        <v>-7.9663042193742521E-4</v>
      </c>
      <c r="E35">
        <f t="shared" si="2"/>
        <v>6.3462002915620013E-7</v>
      </c>
    </row>
    <row r="36" spans="1:5" x14ac:dyDescent="0.25">
      <c r="A36">
        <v>6.3801981016999996</v>
      </c>
      <c r="B36">
        <v>3.5010536671726709E-4</v>
      </c>
      <c r="C36">
        <f t="shared" si="0"/>
        <v>6.2693421279484468E-4</v>
      </c>
      <c r="D36">
        <f t="shared" si="1"/>
        <v>-2.7682884607757759E-4</v>
      </c>
      <c r="E36">
        <f t="shared" si="2"/>
        <v>7.663421002064315E-8</v>
      </c>
    </row>
    <row r="37" spans="1:5" x14ac:dyDescent="0.25">
      <c r="A37">
        <v>6.5599063551000008</v>
      </c>
      <c r="B37">
        <v>0</v>
      </c>
      <c r="C37">
        <f t="shared" si="0"/>
        <v>4.9290961584208385E-4</v>
      </c>
      <c r="D37">
        <f t="shared" si="1"/>
        <v>-4.9290961584208385E-4</v>
      </c>
      <c r="E37">
        <f t="shared" si="2"/>
        <v>2.4295988938959065E-7</v>
      </c>
    </row>
    <row r="38" spans="1:5" x14ac:dyDescent="0.25">
      <c r="A38">
        <v>6.7396146085000002</v>
      </c>
      <c r="B38">
        <v>0</v>
      </c>
      <c r="C38">
        <f t="shared" si="0"/>
        <v>3.8717225113403054E-4</v>
      </c>
      <c r="D38">
        <f t="shared" si="1"/>
        <v>-3.8717225113403054E-4</v>
      </c>
      <c r="E38">
        <f t="shared" si="2"/>
        <v>1.4990235204819281E-7</v>
      </c>
    </row>
    <row r="39" spans="1:5" x14ac:dyDescent="0.25">
      <c r="A39">
        <v>6.9193228618999996</v>
      </c>
      <c r="B39">
        <v>0</v>
      </c>
      <c r="C39">
        <f t="shared" si="0"/>
        <v>3.0383899330533752E-4</v>
      </c>
      <c r="D39">
        <f t="shared" si="1"/>
        <v>-3.0383899330533752E-4</v>
      </c>
      <c r="E39">
        <f t="shared" si="2"/>
        <v>9.2318133852800936E-8</v>
      </c>
    </row>
    <row r="40" spans="1:5" x14ac:dyDescent="0.25">
      <c r="A40">
        <v>7.099031115299999</v>
      </c>
      <c r="B40">
        <v>3.5010536671726709E-4</v>
      </c>
      <c r="C40">
        <f t="shared" si="0"/>
        <v>2.3822936838495561E-4</v>
      </c>
      <c r="D40">
        <f t="shared" si="1"/>
        <v>1.1187599833231148E-4</v>
      </c>
      <c r="E40">
        <f t="shared" si="2"/>
        <v>1.2516239002851362E-8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5787-0631-4698-BC9C-A9B12F52A51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8.9947724300000004E-2</v>
      </c>
      <c r="B1">
        <v>0.67815841217942985</v>
      </c>
      <c r="C1">
        <f>$H$3*(1+$H$1)*(A1^($H$1))*EXP(-$H$3*(A1^(1+$H$1)))</f>
        <v>0.71774706359647122</v>
      </c>
      <c r="D1">
        <f>B1-C1</f>
        <v>-3.9588651417041376E-2</v>
      </c>
      <c r="E1">
        <f>D1^2</f>
        <v>1.5672613210200121E-3</v>
      </c>
      <c r="G1" t="s">
        <v>0</v>
      </c>
      <c r="H1">
        <v>0.14649449017472604</v>
      </c>
    </row>
    <row r="2" spans="1:8" x14ac:dyDescent="0.25">
      <c r="A2">
        <v>0.26838138690000002</v>
      </c>
      <c r="B2">
        <v>0.76380939666986714</v>
      </c>
      <c r="C2">
        <f t="shared" ref="C2:C40" si="0">$H$3*(1+$H$1)*(A2^($H$1))*EXP(-$H$3*(A2^(1+$H$1)))</f>
        <v>0.72538022419790482</v>
      </c>
      <c r="D2">
        <f t="shared" ref="D2:D40" si="1">B2-C2</f>
        <v>3.8429172471962314E-2</v>
      </c>
      <c r="E2">
        <f t="shared" ref="E2:E40" si="2">D2^2</f>
        <v>1.4768012968798261E-3</v>
      </c>
    </row>
    <row r="3" spans="1:8" x14ac:dyDescent="0.25">
      <c r="A3">
        <v>0.44681504949999995</v>
      </c>
      <c r="B3">
        <v>0.71587304321019851</v>
      </c>
      <c r="C3">
        <f t="shared" si="0"/>
        <v>0.66193247993745197</v>
      </c>
      <c r="D3">
        <f t="shared" si="1"/>
        <v>5.3940563272746544E-2</v>
      </c>
      <c r="E3">
        <f t="shared" si="2"/>
        <v>2.9095843661811733E-3</v>
      </c>
      <c r="G3" t="s">
        <v>1</v>
      </c>
      <c r="H3">
        <f>(_xlfn.GAMMA((2+$H$1)/(1+$H$1)))^(1+$H$1)</f>
        <v>0.94579276563830317</v>
      </c>
    </row>
    <row r="4" spans="1:8" x14ac:dyDescent="0.25">
      <c r="A4">
        <v>0.62524871209999999</v>
      </c>
      <c r="B4">
        <v>0.58475301757051668</v>
      </c>
      <c r="C4">
        <f t="shared" si="0"/>
        <v>0.58283051658486695</v>
      </c>
      <c r="D4">
        <f t="shared" si="1"/>
        <v>1.9225009856497222E-3</v>
      </c>
      <c r="E4">
        <f t="shared" si="2"/>
        <v>3.6960100398241533E-6</v>
      </c>
    </row>
    <row r="5" spans="1:8" x14ac:dyDescent="0.25">
      <c r="A5">
        <v>0.80368237469999992</v>
      </c>
      <c r="B5">
        <v>0.48077342734550016</v>
      </c>
      <c r="C5">
        <f t="shared" si="0"/>
        <v>0.50297971497120275</v>
      </c>
      <c r="D5">
        <f t="shared" si="1"/>
        <v>-2.2206287625702592E-2</v>
      </c>
      <c r="E5">
        <f t="shared" si="2"/>
        <v>4.9311921011543209E-4</v>
      </c>
      <c r="G5" t="s">
        <v>2</v>
      </c>
      <c r="H5">
        <f>SUM(E1:E40)</f>
        <v>1.0638906715919251E-2</v>
      </c>
    </row>
    <row r="6" spans="1:8" x14ac:dyDescent="0.25">
      <c r="A6">
        <v>0.98211603729999997</v>
      </c>
      <c r="B6">
        <v>0.39617986241667313</v>
      </c>
      <c r="C6">
        <f t="shared" si="0"/>
        <v>0.42823109624834105</v>
      </c>
      <c r="D6">
        <f t="shared" si="1"/>
        <v>-3.2051233831667914E-2</v>
      </c>
      <c r="E6">
        <f t="shared" si="2"/>
        <v>1.0272815901322539E-3</v>
      </c>
    </row>
    <row r="7" spans="1:8" x14ac:dyDescent="0.25">
      <c r="A7">
        <v>1.1605496999</v>
      </c>
      <c r="B7">
        <v>0.32180801991674607</v>
      </c>
      <c r="C7">
        <f t="shared" si="0"/>
        <v>0.36093585082918295</v>
      </c>
      <c r="D7">
        <f t="shared" si="1"/>
        <v>-3.9127830912436878E-2</v>
      </c>
      <c r="E7">
        <f t="shared" si="2"/>
        <v>1.5309871519122509E-3</v>
      </c>
    </row>
    <row r="8" spans="1:8" x14ac:dyDescent="0.25">
      <c r="A8">
        <v>1.3389833625000001</v>
      </c>
      <c r="B8">
        <v>0.26823209546182231</v>
      </c>
      <c r="C8">
        <f t="shared" si="0"/>
        <v>0.3018001150503003</v>
      </c>
      <c r="D8">
        <f t="shared" si="1"/>
        <v>-3.3568019588477993E-2</v>
      </c>
      <c r="E8">
        <f t="shared" si="2"/>
        <v>1.1268119390924422E-3</v>
      </c>
    </row>
    <row r="9" spans="1:8" x14ac:dyDescent="0.25">
      <c r="A9">
        <v>1.5174170250999999</v>
      </c>
      <c r="B9">
        <v>0.25060843610165001</v>
      </c>
      <c r="C9">
        <f t="shared" si="0"/>
        <v>0.25069905432512724</v>
      </c>
      <c r="D9">
        <f t="shared" si="1"/>
        <v>-9.0618223477223481E-5</v>
      </c>
      <c r="E9">
        <f t="shared" si="2"/>
        <v>8.2116624261680168E-9</v>
      </c>
    </row>
    <row r="10" spans="1:8" x14ac:dyDescent="0.25">
      <c r="A10">
        <v>1.6958506877000001</v>
      </c>
      <c r="B10">
        <v>0.20126218989316758</v>
      </c>
      <c r="C10">
        <f t="shared" si="0"/>
        <v>0.20708975093028209</v>
      </c>
      <c r="D10">
        <f t="shared" si="1"/>
        <v>-5.8275610371145148E-3</v>
      </c>
      <c r="E10">
        <f t="shared" si="2"/>
        <v>3.3960467641295201E-5</v>
      </c>
    </row>
    <row r="11" spans="1:8" x14ac:dyDescent="0.25">
      <c r="A11">
        <v>1.8742843503000002</v>
      </c>
      <c r="B11">
        <v>0.17482670085290913</v>
      </c>
      <c r="C11">
        <f t="shared" si="0"/>
        <v>0.17023732609211883</v>
      </c>
      <c r="D11">
        <f t="shared" si="1"/>
        <v>4.589374760790299E-3</v>
      </c>
      <c r="E11">
        <f t="shared" si="2"/>
        <v>2.1062360694979014E-5</v>
      </c>
    </row>
    <row r="12" spans="1:8" x14ac:dyDescent="0.25">
      <c r="A12">
        <v>2.0527180129000002</v>
      </c>
      <c r="B12">
        <v>0.14803873862544725</v>
      </c>
      <c r="C12">
        <f t="shared" si="0"/>
        <v>0.13934304969655087</v>
      </c>
      <c r="D12">
        <f t="shared" si="1"/>
        <v>8.6956889288963835E-3</v>
      </c>
      <c r="E12">
        <f t="shared" si="2"/>
        <v>7.5615005948131134E-5</v>
      </c>
    </row>
    <row r="13" spans="1:8" x14ac:dyDescent="0.25">
      <c r="A13">
        <v>2.2311516755</v>
      </c>
      <c r="B13">
        <v>0.1145537858411199</v>
      </c>
      <c r="C13">
        <f t="shared" si="0"/>
        <v>0.11361696184872293</v>
      </c>
      <c r="D13">
        <f t="shared" si="1"/>
        <v>9.3682399239697345E-4</v>
      </c>
      <c r="E13">
        <f t="shared" si="2"/>
        <v>8.7763919273060461E-7</v>
      </c>
    </row>
    <row r="14" spans="1:8" x14ac:dyDescent="0.25">
      <c r="A14">
        <v>2.4095853381000003</v>
      </c>
      <c r="B14">
        <v>9.5520233732133822E-2</v>
      </c>
      <c r="C14">
        <f t="shared" si="0"/>
        <v>9.2317620509550405E-2</v>
      </c>
      <c r="D14">
        <f t="shared" si="1"/>
        <v>3.202613222583417E-3</v>
      </c>
      <c r="E14">
        <f t="shared" si="2"/>
        <v>1.0256731453466138E-5</v>
      </c>
    </row>
    <row r="15" spans="1:8" x14ac:dyDescent="0.25">
      <c r="A15">
        <v>2.5880190007000001</v>
      </c>
      <c r="B15">
        <v>8.6003457677640782E-2</v>
      </c>
      <c r="C15">
        <f t="shared" si="0"/>
        <v>7.4771921464444197E-2</v>
      </c>
      <c r="D15">
        <f t="shared" si="1"/>
        <v>1.1231536213196586E-2</v>
      </c>
      <c r="E15">
        <f t="shared" si="2"/>
        <v>1.261474057083463E-4</v>
      </c>
    </row>
    <row r="16" spans="1:8" x14ac:dyDescent="0.25">
      <c r="A16">
        <v>2.7664526632999999</v>
      </c>
      <c r="B16">
        <v>6.4150120071027147E-2</v>
      </c>
      <c r="C16">
        <f t="shared" si="0"/>
        <v>6.0382786426247725E-2</v>
      </c>
      <c r="D16">
        <f t="shared" si="1"/>
        <v>3.767333644779422E-3</v>
      </c>
      <c r="E16">
        <f t="shared" si="2"/>
        <v>1.4192802791087005E-5</v>
      </c>
    </row>
    <row r="17" spans="1:5" x14ac:dyDescent="0.25">
      <c r="A17">
        <v>2.9448863258999998</v>
      </c>
      <c r="B17">
        <v>5.2518504893313431E-2</v>
      </c>
      <c r="C17">
        <f t="shared" si="0"/>
        <v>4.8629569434135766E-2</v>
      </c>
      <c r="D17">
        <f t="shared" si="1"/>
        <v>3.8889354591776643E-3</v>
      </c>
      <c r="E17">
        <f t="shared" si="2"/>
        <v>1.5123819005649391E-5</v>
      </c>
    </row>
    <row r="18" spans="1:5" x14ac:dyDescent="0.25">
      <c r="A18">
        <v>3.1233199885</v>
      </c>
      <c r="B18">
        <v>4.9698719395685861E-2</v>
      </c>
      <c r="C18">
        <f t="shared" si="0"/>
        <v>3.9064255159704131E-2</v>
      </c>
      <c r="D18">
        <f t="shared" si="1"/>
        <v>1.063446423598173E-2</v>
      </c>
      <c r="E18">
        <f t="shared" si="2"/>
        <v>1.130918295863745E-4</v>
      </c>
    </row>
    <row r="19" spans="1:5" x14ac:dyDescent="0.25">
      <c r="A19">
        <v>3.3017536511000003</v>
      </c>
      <c r="B19">
        <v>3.7714631030768705E-2</v>
      </c>
      <c r="C19">
        <f t="shared" si="0"/>
        <v>3.1305409396583633E-2</v>
      </c>
      <c r="D19">
        <f t="shared" si="1"/>
        <v>6.4092216341850722E-3</v>
      </c>
      <c r="E19">
        <f t="shared" si="2"/>
        <v>4.1078121956105969E-5</v>
      </c>
    </row>
    <row r="20" spans="1:5" x14ac:dyDescent="0.25">
      <c r="A20">
        <v>3.4801873137000001</v>
      </c>
      <c r="B20">
        <v>2.8550328163479112E-2</v>
      </c>
      <c r="C20">
        <f t="shared" si="0"/>
        <v>2.5031125786619875E-2</v>
      </c>
      <c r="D20">
        <f t="shared" si="1"/>
        <v>3.5192023768592373E-3</v>
      </c>
      <c r="E20">
        <f t="shared" si="2"/>
        <v>1.2384785369291706E-5</v>
      </c>
    </row>
    <row r="21" spans="1:5" x14ac:dyDescent="0.25">
      <c r="A21">
        <v>3.6586209762999999</v>
      </c>
      <c r="B21">
        <v>2.3615703542630873E-2</v>
      </c>
      <c r="C21">
        <f t="shared" si="0"/>
        <v>1.9971744586325769E-2</v>
      </c>
      <c r="D21">
        <f t="shared" si="1"/>
        <v>3.6439589563051038E-3</v>
      </c>
      <c r="E21">
        <f t="shared" si="2"/>
        <v>1.3278436875236181E-5</v>
      </c>
    </row>
    <row r="22" spans="1:5" x14ac:dyDescent="0.25">
      <c r="A22">
        <v>3.8370546389000002</v>
      </c>
      <c r="B22">
        <v>1.2336561552120604E-2</v>
      </c>
      <c r="C22">
        <f t="shared" si="0"/>
        <v>1.5902810828606131E-2</v>
      </c>
      <c r="D22">
        <f t="shared" si="1"/>
        <v>-3.5662492764855277E-3</v>
      </c>
      <c r="E22">
        <f t="shared" si="2"/>
        <v>1.2718133902033549E-5</v>
      </c>
    </row>
    <row r="23" spans="1:5" x14ac:dyDescent="0.25">
      <c r="A23">
        <v>4.0154883014999996</v>
      </c>
      <c r="B23">
        <v>1.268903473932405E-2</v>
      </c>
      <c r="C23">
        <f t="shared" si="0"/>
        <v>1.2638536107976404E-2</v>
      </c>
      <c r="D23">
        <f t="shared" si="1"/>
        <v>5.0498631347645553E-5</v>
      </c>
      <c r="E23">
        <f t="shared" si="2"/>
        <v>2.5501117679854101E-9</v>
      </c>
    </row>
    <row r="24" spans="1:5" x14ac:dyDescent="0.25">
      <c r="A24">
        <v>4.1939219640999994</v>
      </c>
      <c r="B24">
        <v>1.0574195616103375E-2</v>
      </c>
      <c r="C24">
        <f t="shared" si="0"/>
        <v>1.0025895543232884E-2</v>
      </c>
      <c r="D24">
        <f t="shared" si="1"/>
        <v>5.4830007287049072E-4</v>
      </c>
      <c r="E24">
        <f t="shared" si="2"/>
        <v>3.0063296990978542E-7</v>
      </c>
    </row>
    <row r="25" spans="1:5" x14ac:dyDescent="0.25">
      <c r="A25">
        <v>4.3723556267000001</v>
      </c>
      <c r="B25">
        <v>9.8692492416964841E-3</v>
      </c>
      <c r="C25">
        <f t="shared" si="0"/>
        <v>7.939406313742679E-3</v>
      </c>
      <c r="D25">
        <f t="shared" si="1"/>
        <v>1.9298429279538051E-3</v>
      </c>
      <c r="E25">
        <f t="shared" si="2"/>
        <v>3.7242937265733155E-6</v>
      </c>
    </row>
    <row r="26" spans="1:5" x14ac:dyDescent="0.25">
      <c r="A26">
        <v>4.5507892892999999</v>
      </c>
      <c r="B26">
        <v>4.5821514336447959E-3</v>
      </c>
      <c r="C26">
        <f t="shared" si="0"/>
        <v>6.276581129626823E-3</v>
      </c>
      <c r="D26">
        <f t="shared" si="1"/>
        <v>-1.6944296959820271E-3</v>
      </c>
      <c r="E26">
        <f t="shared" si="2"/>
        <v>2.8710919946257451E-6</v>
      </c>
    </row>
    <row r="27" spans="1:5" x14ac:dyDescent="0.25">
      <c r="A27">
        <v>4.7292229519000006</v>
      </c>
      <c r="B27">
        <v>6.344517369662025E-3</v>
      </c>
      <c r="C27">
        <f t="shared" si="0"/>
        <v>4.9540186033566322E-3</v>
      </c>
      <c r="D27">
        <f t="shared" si="1"/>
        <v>1.3904987663053928E-3</v>
      </c>
      <c r="E27">
        <f t="shared" si="2"/>
        <v>1.9334868190968196E-6</v>
      </c>
    </row>
    <row r="28" spans="1:5" x14ac:dyDescent="0.25">
      <c r="A28">
        <v>4.9076566145000005</v>
      </c>
      <c r="B28">
        <v>2.8197854976275668E-3</v>
      </c>
      <c r="C28">
        <f t="shared" si="0"/>
        <v>3.9040755459805042E-3</v>
      </c>
      <c r="D28">
        <f t="shared" si="1"/>
        <v>-1.0842900483529374E-3</v>
      </c>
      <c r="E28">
        <f t="shared" si="2"/>
        <v>1.1756849089572153E-6</v>
      </c>
    </row>
    <row r="29" spans="1:5" x14ac:dyDescent="0.25">
      <c r="A29">
        <v>5.0860902771000003</v>
      </c>
      <c r="B29">
        <v>2.8197854976275668E-3</v>
      </c>
      <c r="C29">
        <f t="shared" si="0"/>
        <v>3.0720587560909996E-3</v>
      </c>
      <c r="D29">
        <f t="shared" si="1"/>
        <v>-2.5227325846343285E-4</v>
      </c>
      <c r="E29">
        <f t="shared" si="2"/>
        <v>6.364179693575799E-8</v>
      </c>
    </row>
    <row r="30" spans="1:5" x14ac:dyDescent="0.25">
      <c r="A30">
        <v>5.2645239397000001</v>
      </c>
      <c r="B30">
        <v>1.4098927488137834E-3</v>
      </c>
      <c r="C30">
        <f t="shared" si="0"/>
        <v>2.4138724868921495E-3</v>
      </c>
      <c r="D30">
        <f t="shared" si="1"/>
        <v>-1.0039797380783661E-3</v>
      </c>
      <c r="E30">
        <f t="shared" si="2"/>
        <v>1.0079753144719047E-6</v>
      </c>
    </row>
    <row r="31" spans="1:5" x14ac:dyDescent="0.25">
      <c r="A31">
        <v>5.4429576022999999</v>
      </c>
      <c r="B31">
        <v>1.0574195616103374E-3</v>
      </c>
      <c r="C31">
        <f t="shared" si="0"/>
        <v>1.8940601233422554E-3</v>
      </c>
      <c r="D31">
        <f t="shared" si="1"/>
        <v>-8.3664056173191797E-4</v>
      </c>
      <c r="E31">
        <f t="shared" si="2"/>
        <v>6.9996742953509928E-7</v>
      </c>
    </row>
    <row r="32" spans="1:5" x14ac:dyDescent="0.25">
      <c r="A32">
        <v>5.6213912648999997</v>
      </c>
      <c r="B32">
        <v>1.0574195616103374E-3</v>
      </c>
      <c r="C32">
        <f t="shared" si="0"/>
        <v>1.4841830857059801E-3</v>
      </c>
      <c r="D32">
        <f t="shared" si="1"/>
        <v>-4.2676352409564268E-4</v>
      </c>
      <c r="E32">
        <f t="shared" si="2"/>
        <v>1.8212710549853218E-7</v>
      </c>
    </row>
    <row r="33" spans="1:5" x14ac:dyDescent="0.25">
      <c r="A33">
        <v>5.7998249274999996</v>
      </c>
      <c r="B33">
        <v>3.5247318720344584E-4</v>
      </c>
      <c r="C33">
        <f t="shared" si="0"/>
        <v>1.1614855327777643E-3</v>
      </c>
      <c r="D33">
        <f t="shared" si="1"/>
        <v>-8.0901234557431841E-4</v>
      </c>
      <c r="E33">
        <f t="shared" si="2"/>
        <v>6.5450097529166042E-7</v>
      </c>
    </row>
    <row r="34" spans="1:5" x14ac:dyDescent="0.25">
      <c r="A34">
        <v>5.9782585900999994</v>
      </c>
      <c r="B34">
        <v>1.0574195616103374E-3</v>
      </c>
      <c r="C34">
        <f t="shared" si="0"/>
        <v>9.0779937048154143E-4</v>
      </c>
      <c r="D34">
        <f t="shared" si="1"/>
        <v>1.49620191128796E-4</v>
      </c>
      <c r="E34">
        <f t="shared" si="2"/>
        <v>2.2386201593417443E-8</v>
      </c>
    </row>
    <row r="35" spans="1:5" x14ac:dyDescent="0.25">
      <c r="A35">
        <v>6.1566922526999992</v>
      </c>
      <c r="B35">
        <v>0</v>
      </c>
      <c r="C35">
        <f t="shared" si="0"/>
        <v>7.0864993846604131E-4</v>
      </c>
      <c r="D35">
        <f t="shared" si="1"/>
        <v>-7.0864993846604131E-4</v>
      </c>
      <c r="E35">
        <f t="shared" si="2"/>
        <v>5.0218473528792411E-7</v>
      </c>
    </row>
    <row r="36" spans="1:5" x14ac:dyDescent="0.25">
      <c r="A36">
        <v>6.335125915299999</v>
      </c>
      <c r="B36">
        <v>3.5247318720344584E-4</v>
      </c>
      <c r="C36">
        <f t="shared" si="0"/>
        <v>5.5252828408407456E-4</v>
      </c>
      <c r="D36">
        <f t="shared" si="1"/>
        <v>-2.0005509688062872E-4</v>
      </c>
      <c r="E36">
        <f t="shared" si="2"/>
        <v>4.0022041787917739E-8</v>
      </c>
    </row>
    <row r="37" spans="1:5" x14ac:dyDescent="0.25">
      <c r="A37">
        <v>6.5135595779000006</v>
      </c>
      <c r="B37">
        <v>0</v>
      </c>
      <c r="C37">
        <f t="shared" si="0"/>
        <v>4.3030099509394696E-4</v>
      </c>
      <c r="D37">
        <f t="shared" si="1"/>
        <v>-4.3030099509394696E-4</v>
      </c>
      <c r="E37">
        <f t="shared" si="2"/>
        <v>1.8515894637884098E-7</v>
      </c>
    </row>
    <row r="38" spans="1:5" x14ac:dyDescent="0.25">
      <c r="A38">
        <v>6.6919932405000004</v>
      </c>
      <c r="B38">
        <v>0</v>
      </c>
      <c r="C38">
        <f t="shared" si="0"/>
        <v>3.347330848453594E-4</v>
      </c>
      <c r="D38">
        <f t="shared" si="1"/>
        <v>-3.347330848453594E-4</v>
      </c>
      <c r="E38">
        <f t="shared" si="2"/>
        <v>1.1204623809009057E-7</v>
      </c>
    </row>
    <row r="39" spans="1:5" x14ac:dyDescent="0.25">
      <c r="A39">
        <v>6.8704269031000003</v>
      </c>
      <c r="B39">
        <v>0</v>
      </c>
      <c r="C39">
        <f t="shared" si="0"/>
        <v>2.6010339374664057E-4</v>
      </c>
      <c r="D39">
        <f t="shared" si="1"/>
        <v>-2.6010339374664057E-4</v>
      </c>
      <c r="E39">
        <f t="shared" si="2"/>
        <v>6.7653775438519938E-8</v>
      </c>
    </row>
    <row r="40" spans="1:5" x14ac:dyDescent="0.25">
      <c r="A40">
        <v>7.0488605657000001</v>
      </c>
      <c r="B40">
        <v>3.5247318720344584E-4</v>
      </c>
      <c r="C40">
        <f t="shared" si="0"/>
        <v>2.0189540781414465E-4</v>
      </c>
      <c r="D40">
        <f t="shared" si="1"/>
        <v>1.5057777938930119E-4</v>
      </c>
      <c r="E40">
        <f t="shared" si="2"/>
        <v>2.2673667645813059E-8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1F1E-9165-4635-8F71-A91C270945C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8.8588418687500017E-2</v>
      </c>
      <c r="B1">
        <v>0.67680224856509508</v>
      </c>
      <c r="C1">
        <f>$H$3*(1+$H$1)*(A1^($H$1))*EXP(-$H$3*(A1^(1+$H$1)))</f>
        <v>0.66951893611535029</v>
      </c>
      <c r="D1">
        <f>B1-C1</f>
        <v>7.2833124497447832E-3</v>
      </c>
      <c r="E1">
        <f>D1^2</f>
        <v>5.3046640240607356E-5</v>
      </c>
      <c r="G1" t="s">
        <v>0</v>
      </c>
      <c r="H1">
        <v>0.18564449464909022</v>
      </c>
    </row>
    <row r="2" spans="1:8" x14ac:dyDescent="0.25">
      <c r="A2">
        <v>0.26389722806250004</v>
      </c>
      <c r="B2">
        <v>0.6351970228981364</v>
      </c>
      <c r="C2">
        <f t="shared" ref="C2:C40" si="0">$H$3*(1+$H$1)*(A2^($H$1))*EXP(-$H$3*(A2^(1+$H$1)))</f>
        <v>0.71305508198130574</v>
      </c>
      <c r="D2">
        <f t="shared" ref="D2:D40" si="1">B2-C2</f>
        <v>-7.785805908316934E-2</v>
      </c>
      <c r="E2">
        <f t="shared" ref="E2:E40" si="2">D2^2</f>
        <v>6.0618773641982881E-3</v>
      </c>
    </row>
    <row r="3" spans="1:8" x14ac:dyDescent="0.25">
      <c r="A3">
        <v>0.43920603743750009</v>
      </c>
      <c r="B3">
        <v>0.74494873888166535</v>
      </c>
      <c r="C3">
        <f t="shared" si="0"/>
        <v>0.66819122320358926</v>
      </c>
      <c r="D3">
        <f t="shared" si="1"/>
        <v>7.6757515678076094E-2</v>
      </c>
      <c r="E3">
        <f t="shared" si="2"/>
        <v>5.8917162130700971E-3</v>
      </c>
      <c r="G3" t="s">
        <v>1</v>
      </c>
      <c r="H3">
        <f>(_xlfn.GAMMA((2+$H$1)/(1+$H$1)))^(1+$H$1)</f>
        <v>0.93352069720629338</v>
      </c>
    </row>
    <row r="4" spans="1:8" x14ac:dyDescent="0.25">
      <c r="A4">
        <v>0.61451484681250013</v>
      </c>
      <c r="B4">
        <v>0.64452233209935128</v>
      </c>
      <c r="C4">
        <f t="shared" si="0"/>
        <v>0.59870804416194823</v>
      </c>
      <c r="D4">
        <f t="shared" si="1"/>
        <v>4.5814287937403053E-2</v>
      </c>
      <c r="E4">
        <f t="shared" si="2"/>
        <v>2.0989489792112748E-3</v>
      </c>
    </row>
    <row r="5" spans="1:8" x14ac:dyDescent="0.25">
      <c r="A5">
        <v>0.78982365618750006</v>
      </c>
      <c r="B5">
        <v>0.53871593923941319</v>
      </c>
      <c r="C5">
        <f t="shared" si="0"/>
        <v>0.52307756344799661</v>
      </c>
      <c r="D5">
        <f t="shared" si="1"/>
        <v>1.5638375791416581E-2</v>
      </c>
      <c r="E5">
        <f t="shared" si="2"/>
        <v>2.4455879739356418E-4</v>
      </c>
      <c r="G5" t="s">
        <v>2</v>
      </c>
      <c r="H5">
        <f>SUM(E1:E40)</f>
        <v>1.9384973032110311E-2</v>
      </c>
    </row>
    <row r="6" spans="1:8" x14ac:dyDescent="0.25">
      <c r="A6">
        <v>0.96513246556249999</v>
      </c>
      <c r="B6">
        <v>0.42394290291676862</v>
      </c>
      <c r="C6">
        <f t="shared" si="0"/>
        <v>0.44926213717636776</v>
      </c>
      <c r="D6">
        <f t="shared" si="1"/>
        <v>-2.5319234259599144E-2</v>
      </c>
      <c r="E6">
        <f t="shared" si="2"/>
        <v>6.4106362349245904E-4</v>
      </c>
    </row>
    <row r="7" spans="1:8" x14ac:dyDescent="0.25">
      <c r="A7">
        <v>1.1404412749374999</v>
      </c>
      <c r="B7">
        <v>0.33535246550522729</v>
      </c>
      <c r="C7">
        <f t="shared" si="0"/>
        <v>0.38097282473803784</v>
      </c>
      <c r="D7">
        <f t="shared" si="1"/>
        <v>-4.5620359232810548E-2</v>
      </c>
      <c r="E7">
        <f t="shared" si="2"/>
        <v>2.0812171765306827E-3</v>
      </c>
    </row>
    <row r="8" spans="1:8" x14ac:dyDescent="0.25">
      <c r="A8">
        <v>1.3157500843125001</v>
      </c>
      <c r="B8">
        <v>0.28298726768302068</v>
      </c>
      <c r="C8">
        <f t="shared" si="0"/>
        <v>0.31980756940721355</v>
      </c>
      <c r="D8">
        <f t="shared" si="1"/>
        <v>-3.6820301724192872E-2</v>
      </c>
      <c r="E8">
        <f t="shared" si="2"/>
        <v>1.3557346190606007E-3</v>
      </c>
    </row>
    <row r="9" spans="1:8" x14ac:dyDescent="0.25">
      <c r="A9">
        <v>1.4910588936875002</v>
      </c>
      <c r="B9">
        <v>0.24532736513965289</v>
      </c>
      <c r="C9">
        <f t="shared" si="0"/>
        <v>0.26622031039033328</v>
      </c>
      <c r="D9">
        <f t="shared" si="1"/>
        <v>-2.0892945250680389E-2</v>
      </c>
      <c r="E9">
        <f t="shared" si="2"/>
        <v>4.3651516124792821E-4</v>
      </c>
    </row>
    <row r="10" spans="1:8" x14ac:dyDescent="0.25">
      <c r="A10">
        <v>1.6663677030624999</v>
      </c>
      <c r="B10">
        <v>0.21519944310495867</v>
      </c>
      <c r="C10">
        <f t="shared" si="0"/>
        <v>0.2200326062666893</v>
      </c>
      <c r="D10">
        <f t="shared" si="1"/>
        <v>-4.8331631617306303E-3</v>
      </c>
      <c r="E10">
        <f t="shared" si="2"/>
        <v>2.3359466147910024E-5</v>
      </c>
    </row>
    <row r="11" spans="1:8" x14ac:dyDescent="0.25">
      <c r="A11">
        <v>1.8416765124375001</v>
      </c>
      <c r="B11">
        <v>0.17897420351562396</v>
      </c>
      <c r="C11">
        <f t="shared" si="0"/>
        <v>0.18072724718854866</v>
      </c>
      <c r="D11">
        <f t="shared" si="1"/>
        <v>-1.7530436729246979E-3</v>
      </c>
      <c r="E11">
        <f t="shared" si="2"/>
        <v>3.073162119181315E-6</v>
      </c>
    </row>
    <row r="12" spans="1:8" x14ac:dyDescent="0.25">
      <c r="A12">
        <v>2.0169853218125002</v>
      </c>
      <c r="B12">
        <v>0.13449965194059918</v>
      </c>
      <c r="C12">
        <f t="shared" si="0"/>
        <v>0.14762386285423962</v>
      </c>
      <c r="D12">
        <f t="shared" si="1"/>
        <v>-1.3124210913640438E-2</v>
      </c>
      <c r="E12">
        <f t="shared" si="2"/>
        <v>1.7224491210571878E-4</v>
      </c>
    </row>
    <row r="13" spans="1:8" x14ac:dyDescent="0.25">
      <c r="A13">
        <v>2.1922941311875004</v>
      </c>
      <c r="B13">
        <v>0.12660900569341735</v>
      </c>
      <c r="C13">
        <f t="shared" si="0"/>
        <v>0.11998523182958747</v>
      </c>
      <c r="D13">
        <f t="shared" si="1"/>
        <v>6.6237738638298821E-3</v>
      </c>
      <c r="E13">
        <f t="shared" si="2"/>
        <v>4.3874380199155843E-5</v>
      </c>
    </row>
    <row r="14" spans="1:8" x14ac:dyDescent="0.25">
      <c r="A14">
        <v>2.3676029405625001</v>
      </c>
      <c r="B14">
        <v>9.8274412351264467E-2</v>
      </c>
      <c r="C14">
        <f t="shared" si="0"/>
        <v>9.7080819625997294E-2</v>
      </c>
      <c r="D14">
        <f t="shared" si="1"/>
        <v>1.193592725267173E-3</v>
      </c>
      <c r="E14">
        <f t="shared" si="2"/>
        <v>1.4246635938107171E-6</v>
      </c>
    </row>
    <row r="15" spans="1:8" x14ac:dyDescent="0.25">
      <c r="A15">
        <v>2.5429117499374998</v>
      </c>
      <c r="B15">
        <v>8.3569117072425619E-2</v>
      </c>
      <c r="C15">
        <f t="shared" si="0"/>
        <v>7.822319523106884E-2</v>
      </c>
      <c r="D15">
        <f t="shared" si="1"/>
        <v>5.3459218413567794E-3</v>
      </c>
      <c r="E15">
        <f t="shared" si="2"/>
        <v>2.8578880333895458E-5</v>
      </c>
    </row>
    <row r="16" spans="1:8" x14ac:dyDescent="0.25">
      <c r="A16">
        <v>2.7182205593125</v>
      </c>
      <c r="B16">
        <v>7.1374481963144623E-2</v>
      </c>
      <c r="C16">
        <f t="shared" si="0"/>
        <v>6.2787079659137962E-2</v>
      </c>
      <c r="D16">
        <f t="shared" si="1"/>
        <v>8.587402304006661E-3</v>
      </c>
      <c r="E16">
        <f t="shared" si="2"/>
        <v>7.3743478330858905E-5</v>
      </c>
    </row>
    <row r="17" spans="1:5" x14ac:dyDescent="0.25">
      <c r="A17">
        <v>2.8935293686875001</v>
      </c>
      <c r="B17">
        <v>5.7386518161322314E-2</v>
      </c>
      <c r="C17">
        <f t="shared" si="0"/>
        <v>5.0217325507537776E-2</v>
      </c>
      <c r="D17">
        <f t="shared" si="1"/>
        <v>7.1691926537845382E-3</v>
      </c>
      <c r="E17">
        <f t="shared" si="2"/>
        <v>5.1397323307078188E-5</v>
      </c>
    </row>
    <row r="18" spans="1:5" x14ac:dyDescent="0.25">
      <c r="A18">
        <v>3.0688381780625003</v>
      </c>
      <c r="B18">
        <v>4.6985211744582644E-2</v>
      </c>
      <c r="C18">
        <f t="shared" si="0"/>
        <v>4.002998054771862E-2</v>
      </c>
      <c r="D18">
        <f t="shared" si="1"/>
        <v>6.9552311968640243E-3</v>
      </c>
      <c r="E18">
        <f t="shared" si="2"/>
        <v>4.837524100183057E-5</v>
      </c>
    </row>
    <row r="19" spans="1:5" x14ac:dyDescent="0.25">
      <c r="A19">
        <v>3.2441469874375</v>
      </c>
      <c r="B19">
        <v>3.6942571066351237E-2</v>
      </c>
      <c r="C19">
        <f t="shared" si="0"/>
        <v>3.1809198219522973E-2</v>
      </c>
      <c r="D19">
        <f t="shared" si="1"/>
        <v>5.1333728468282644E-3</v>
      </c>
      <c r="E19">
        <f t="shared" si="2"/>
        <v>2.6351516784553721E-5</v>
      </c>
    </row>
    <row r="20" spans="1:5" x14ac:dyDescent="0.25">
      <c r="A20">
        <v>3.4194557968124997</v>
      </c>
      <c r="B20">
        <v>3.0127922034694214E-2</v>
      </c>
      <c r="C20">
        <f t="shared" si="0"/>
        <v>2.5201831465907754E-2</v>
      </c>
      <c r="D20">
        <f t="shared" si="1"/>
        <v>4.9260905687864599E-3</v>
      </c>
      <c r="E20">
        <f t="shared" si="2"/>
        <v>2.4266368291886908E-5</v>
      </c>
    </row>
    <row r="21" spans="1:5" x14ac:dyDescent="0.25">
      <c r="A21">
        <v>3.5947646061875003</v>
      </c>
      <c r="B21">
        <v>2.3313273003037191E-2</v>
      </c>
      <c r="C21">
        <f t="shared" si="0"/>
        <v>1.9910918128672187E-2</v>
      </c>
      <c r="D21">
        <f t="shared" si="1"/>
        <v>3.4023548743650038E-3</v>
      </c>
      <c r="E21">
        <f t="shared" si="2"/>
        <v>1.1576018691115301E-5</v>
      </c>
    </row>
    <row r="22" spans="1:5" x14ac:dyDescent="0.25">
      <c r="A22">
        <v>3.7700734155625004</v>
      </c>
      <c r="B22">
        <v>1.685728970988843E-2</v>
      </c>
      <c r="C22">
        <f t="shared" si="0"/>
        <v>1.5688836462850679E-2</v>
      </c>
      <c r="D22">
        <f t="shared" si="1"/>
        <v>1.1684532470377512E-3</v>
      </c>
      <c r="E22">
        <f t="shared" si="2"/>
        <v>1.3652829905130642E-6</v>
      </c>
    </row>
    <row r="23" spans="1:5" x14ac:dyDescent="0.25">
      <c r="A23">
        <v>3.9453822249375001</v>
      </c>
      <c r="B23">
        <v>1.1477303632264462E-2</v>
      </c>
      <c r="C23">
        <f t="shared" si="0"/>
        <v>1.2330615103034234E-2</v>
      </c>
      <c r="D23">
        <f t="shared" si="1"/>
        <v>-8.5331147076977108E-4</v>
      </c>
      <c r="E23">
        <f t="shared" si="2"/>
        <v>7.2814046614726992E-7</v>
      </c>
    </row>
    <row r="24" spans="1:5" x14ac:dyDescent="0.25">
      <c r="A24">
        <v>4.1206910343125003</v>
      </c>
      <c r="B24">
        <v>1.1118637893756198E-2</v>
      </c>
      <c r="C24">
        <f t="shared" si="0"/>
        <v>9.6676814182633311E-3</v>
      </c>
      <c r="D24">
        <f t="shared" si="1"/>
        <v>1.4509564754928671E-3</v>
      </c>
      <c r="E24">
        <f t="shared" si="2"/>
        <v>2.1052746937746832E-6</v>
      </c>
    </row>
    <row r="25" spans="1:5" x14ac:dyDescent="0.25">
      <c r="A25">
        <v>4.2959998436875004</v>
      </c>
      <c r="B25">
        <v>8.2493119856900821E-3</v>
      </c>
      <c r="C25">
        <f t="shared" si="0"/>
        <v>7.5621973423952975E-3</v>
      </c>
      <c r="D25">
        <f t="shared" si="1"/>
        <v>6.8711464329478458E-4</v>
      </c>
      <c r="E25">
        <f t="shared" si="2"/>
        <v>4.7212653303011907E-7</v>
      </c>
    </row>
    <row r="26" spans="1:5" x14ac:dyDescent="0.25">
      <c r="A26">
        <v>4.4713086530624997</v>
      </c>
      <c r="B26">
        <v>7.5319805086735536E-3</v>
      </c>
      <c r="C26">
        <f t="shared" si="0"/>
        <v>5.902042820205059E-3</v>
      </c>
      <c r="D26">
        <f t="shared" si="1"/>
        <v>1.6299376884684946E-3</v>
      </c>
      <c r="E26">
        <f t="shared" si="2"/>
        <v>2.6566968682900194E-6</v>
      </c>
    </row>
    <row r="27" spans="1:5" x14ac:dyDescent="0.25">
      <c r="A27">
        <v>4.6466174624375007</v>
      </c>
      <c r="B27">
        <v>5.3799860776239669E-3</v>
      </c>
      <c r="C27">
        <f t="shared" si="0"/>
        <v>4.5964501238705711E-3</v>
      </c>
      <c r="D27">
        <f t="shared" si="1"/>
        <v>7.8353595375339584E-4</v>
      </c>
      <c r="E27">
        <f t="shared" si="2"/>
        <v>6.1392859082424364E-7</v>
      </c>
    </row>
    <row r="28" spans="1:5" x14ac:dyDescent="0.25">
      <c r="A28">
        <v>4.8219262718125009</v>
      </c>
      <c r="B28">
        <v>4.6626546006074384E-3</v>
      </c>
      <c r="C28">
        <f t="shared" si="0"/>
        <v>3.5722576349103579E-3</v>
      </c>
      <c r="D28">
        <f t="shared" si="1"/>
        <v>1.0903969656970804E-3</v>
      </c>
      <c r="E28">
        <f t="shared" si="2"/>
        <v>1.1889655428014E-6</v>
      </c>
    </row>
    <row r="29" spans="1:5" x14ac:dyDescent="0.25">
      <c r="A29">
        <v>4.9972350811874993</v>
      </c>
      <c r="B29">
        <v>2.151994431049587E-3</v>
      </c>
      <c r="C29">
        <f t="shared" si="0"/>
        <v>2.7707322423100372E-3</v>
      </c>
      <c r="D29">
        <f t="shared" si="1"/>
        <v>-6.1873781126045016E-4</v>
      </c>
      <c r="E29">
        <f t="shared" si="2"/>
        <v>3.8283647908337244E-7</v>
      </c>
    </row>
    <row r="30" spans="1:5" x14ac:dyDescent="0.25">
      <c r="A30">
        <v>5.1725438905624994</v>
      </c>
      <c r="B30">
        <v>1.4346629540330578E-3</v>
      </c>
      <c r="C30">
        <f t="shared" si="0"/>
        <v>2.1449002858884695E-3</v>
      </c>
      <c r="D30">
        <f t="shared" si="1"/>
        <v>-7.102373318554117E-4</v>
      </c>
      <c r="E30">
        <f t="shared" si="2"/>
        <v>5.044370675610942E-7</v>
      </c>
    </row>
    <row r="31" spans="1:5" x14ac:dyDescent="0.25">
      <c r="A31">
        <v>5.3478526999374996</v>
      </c>
      <c r="B31">
        <v>7.173314770165289E-4</v>
      </c>
      <c r="C31">
        <f t="shared" si="0"/>
        <v>1.6573244365068549E-3</v>
      </c>
      <c r="D31">
        <f t="shared" si="1"/>
        <v>-9.3999295949032601E-4</v>
      </c>
      <c r="E31">
        <f t="shared" si="2"/>
        <v>8.8358676389138163E-7</v>
      </c>
    </row>
    <row r="32" spans="1:5" x14ac:dyDescent="0.25">
      <c r="A32">
        <v>5.5231615093125006</v>
      </c>
      <c r="B32">
        <v>1.4346629540330578E-3</v>
      </c>
      <c r="C32">
        <f t="shared" si="0"/>
        <v>1.2782655649807273E-3</v>
      </c>
      <c r="D32">
        <f t="shared" si="1"/>
        <v>1.5639738905233046E-4</v>
      </c>
      <c r="E32">
        <f t="shared" si="2"/>
        <v>2.4460143302386015E-8</v>
      </c>
    </row>
    <row r="33" spans="1:5" x14ac:dyDescent="0.25">
      <c r="A33">
        <v>5.6984703186874999</v>
      </c>
      <c r="B33">
        <v>3.5866573850826445E-4</v>
      </c>
      <c r="C33">
        <f t="shared" si="0"/>
        <v>9.8417278391229549E-4</v>
      </c>
      <c r="D33">
        <f t="shared" si="1"/>
        <v>-6.2550704540403099E-4</v>
      </c>
      <c r="E33">
        <f t="shared" si="2"/>
        <v>3.9125906385008048E-7</v>
      </c>
    </row>
    <row r="34" spans="1:5" x14ac:dyDescent="0.25">
      <c r="A34">
        <v>5.8737791280625</v>
      </c>
      <c r="B34">
        <v>1.0759972155247935E-3</v>
      </c>
      <c r="C34">
        <f t="shared" si="0"/>
        <v>7.5645027427974831E-4</v>
      </c>
      <c r="D34">
        <f t="shared" si="1"/>
        <v>3.1954694124504521E-4</v>
      </c>
      <c r="E34">
        <f t="shared" si="2"/>
        <v>1.0211024765906437E-7</v>
      </c>
    </row>
    <row r="35" spans="1:5" x14ac:dyDescent="0.25">
      <c r="A35">
        <v>6.0490879374375002</v>
      </c>
      <c r="B35">
        <v>0</v>
      </c>
      <c r="C35">
        <f t="shared" si="0"/>
        <v>5.8045544803195432E-4</v>
      </c>
      <c r="D35">
        <f t="shared" si="1"/>
        <v>-5.8045544803195432E-4</v>
      </c>
      <c r="E35">
        <f t="shared" si="2"/>
        <v>3.3692852714997681E-7</v>
      </c>
    </row>
    <row r="36" spans="1:5" x14ac:dyDescent="0.25">
      <c r="A36">
        <v>6.2243967468125003</v>
      </c>
      <c r="B36">
        <v>3.5866573850826445E-4</v>
      </c>
      <c r="C36">
        <f t="shared" si="0"/>
        <v>4.4468894512546253E-4</v>
      </c>
      <c r="D36">
        <f t="shared" si="1"/>
        <v>-8.6023206617198082E-5</v>
      </c>
      <c r="E36">
        <f t="shared" si="2"/>
        <v>7.3999920767051522E-9</v>
      </c>
    </row>
    <row r="37" spans="1:5" x14ac:dyDescent="0.25">
      <c r="A37">
        <v>6.3997055561875005</v>
      </c>
      <c r="B37">
        <v>0</v>
      </c>
      <c r="C37">
        <f t="shared" si="0"/>
        <v>3.4014261050175222E-4</v>
      </c>
      <c r="D37">
        <f t="shared" si="1"/>
        <v>-3.4014261050175222E-4</v>
      </c>
      <c r="E37">
        <f t="shared" si="2"/>
        <v>1.1569699547894672E-7</v>
      </c>
    </row>
    <row r="38" spans="1:5" x14ac:dyDescent="0.25">
      <c r="A38">
        <v>6.5750143655624997</v>
      </c>
      <c r="B38">
        <v>0</v>
      </c>
      <c r="C38">
        <f t="shared" si="0"/>
        <v>2.5977677094044573E-4</v>
      </c>
      <c r="D38">
        <f t="shared" si="1"/>
        <v>-2.5977677094044573E-4</v>
      </c>
      <c r="E38">
        <f t="shared" si="2"/>
        <v>6.7483970720244815E-8</v>
      </c>
    </row>
    <row r="39" spans="1:5" x14ac:dyDescent="0.25">
      <c r="A39">
        <v>6.750323174937499</v>
      </c>
      <c r="B39">
        <v>0</v>
      </c>
      <c r="C39">
        <f t="shared" si="0"/>
        <v>1.9810275253521944E-4</v>
      </c>
      <c r="D39">
        <f t="shared" si="1"/>
        <v>-1.9810275253521944E-4</v>
      </c>
      <c r="E39">
        <f t="shared" si="2"/>
        <v>3.924470056203039E-8</v>
      </c>
    </row>
    <row r="40" spans="1:5" x14ac:dyDescent="0.25">
      <c r="A40">
        <v>6.9256319843125</v>
      </c>
      <c r="B40">
        <v>3.5866573850826445E-4</v>
      </c>
      <c r="C40">
        <f t="shared" si="0"/>
        <v>1.5085062573717533E-4</v>
      </c>
      <c r="D40">
        <f t="shared" si="1"/>
        <v>2.0781511277108913E-4</v>
      </c>
      <c r="E40">
        <f t="shared" si="2"/>
        <v>4.3187121096060488E-8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1D7C-30BA-4E09-A02D-CC8EE60A91A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8.5772023500000003E-2</v>
      </c>
      <c r="B1">
        <v>0.63241310247490023</v>
      </c>
      <c r="C1">
        <f>$H$3*(1+$H$1)*(A1^($H$1))*EXP(-$H$3*(A1^(1+$H$1)))</f>
        <v>0.61885484007667413</v>
      </c>
      <c r="D1">
        <f>B1-C1</f>
        <v>1.3558262398226106E-2</v>
      </c>
      <c r="E1">
        <f>D1^2</f>
        <v>1.8382647925915192E-4</v>
      </c>
      <c r="G1" t="s">
        <v>0</v>
      </c>
      <c r="H1">
        <v>0.22689130363654419</v>
      </c>
    </row>
    <row r="2" spans="1:8" x14ac:dyDescent="0.25">
      <c r="A2">
        <v>0.2565615845</v>
      </c>
      <c r="B2">
        <v>0.67216899017413723</v>
      </c>
      <c r="C2">
        <f t="shared" ref="C2:C40" si="0">$H$3*(1+$H$1)*(A2^($H$1))*EXP(-$H$3*(A2^(1+$H$1)))</f>
        <v>0.69792939597957371</v>
      </c>
      <c r="D2">
        <f t="shared" ref="D2:D40" si="1">B2-C2</f>
        <v>-2.5760405805436482E-2</v>
      </c>
      <c r="E2">
        <f t="shared" ref="E2:E40" si="2">D2^2</f>
        <v>6.6359850726076556E-4</v>
      </c>
    </row>
    <row r="3" spans="1:8" x14ac:dyDescent="0.25">
      <c r="A3">
        <v>0.42735114550000003</v>
      </c>
      <c r="B3">
        <v>0.60995838812625702</v>
      </c>
      <c r="C3">
        <f t="shared" si="0"/>
        <v>0.67372049213507712</v>
      </c>
      <c r="D3">
        <f t="shared" si="1"/>
        <v>-6.3762104008820097E-2</v>
      </c>
      <c r="E3">
        <f t="shared" si="2"/>
        <v>4.0656059076315922E-3</v>
      </c>
      <c r="G3" t="s">
        <v>1</v>
      </c>
      <c r="H3">
        <f>(_xlfn.GAMMA((2+$H$1)/(1+$H$1)))^(1+$H$1)</f>
        <v>0.9214181959531621</v>
      </c>
    </row>
    <row r="4" spans="1:8" x14ac:dyDescent="0.25">
      <c r="A4">
        <v>0.59814070650000006</v>
      </c>
      <c r="B4">
        <v>0.67953119159992192</v>
      </c>
      <c r="C4">
        <f t="shared" si="0"/>
        <v>0.61604151776738358</v>
      </c>
      <c r="D4">
        <f t="shared" si="1"/>
        <v>6.348967383253834E-2</v>
      </c>
      <c r="E4">
        <f t="shared" si="2"/>
        <v>4.0309386833621034E-3</v>
      </c>
    </row>
    <row r="5" spans="1:8" x14ac:dyDescent="0.25">
      <c r="A5">
        <v>0.76893026750000004</v>
      </c>
      <c r="B5">
        <v>0.61253515862528174</v>
      </c>
      <c r="C5">
        <f t="shared" si="0"/>
        <v>0.54636043051845418</v>
      </c>
      <c r="D5">
        <f t="shared" si="1"/>
        <v>6.6174728106827563E-2</v>
      </c>
      <c r="E5">
        <f t="shared" si="2"/>
        <v>4.3790946400125534E-3</v>
      </c>
      <c r="G5" t="s">
        <v>2</v>
      </c>
      <c r="H5">
        <f>SUM(E1:E40)</f>
        <v>1.7673441542416183E-2</v>
      </c>
    </row>
    <row r="6" spans="1:8" x14ac:dyDescent="0.25">
      <c r="A6">
        <v>0.93971982850000002</v>
      </c>
      <c r="B6">
        <v>0.48222419338889366</v>
      </c>
      <c r="C6">
        <f t="shared" si="0"/>
        <v>0.47463440047897132</v>
      </c>
      <c r="D6">
        <f t="shared" si="1"/>
        <v>7.5897929099223438E-3</v>
      </c>
      <c r="E6">
        <f t="shared" si="2"/>
        <v>5.760495641550748E-5</v>
      </c>
    </row>
    <row r="7" spans="1:8" x14ac:dyDescent="0.25">
      <c r="A7">
        <v>1.1105093895</v>
      </c>
      <c r="B7">
        <v>0.37179117200212408</v>
      </c>
      <c r="C7">
        <f t="shared" si="0"/>
        <v>0.40598229215025028</v>
      </c>
      <c r="D7">
        <f t="shared" si="1"/>
        <v>-3.4191120148126197E-2</v>
      </c>
      <c r="E7">
        <f t="shared" si="2"/>
        <v>1.1690326969836012E-3</v>
      </c>
    </row>
    <row r="8" spans="1:8" x14ac:dyDescent="0.25">
      <c r="A8">
        <v>1.2812989505000001</v>
      </c>
      <c r="B8">
        <v>0.31547033109487166</v>
      </c>
      <c r="C8">
        <f t="shared" si="0"/>
        <v>0.34299814686375102</v>
      </c>
      <c r="D8">
        <f t="shared" si="1"/>
        <v>-2.752781576887936E-2</v>
      </c>
      <c r="E8">
        <f t="shared" si="2"/>
        <v>7.5778064100536315E-4</v>
      </c>
    </row>
    <row r="9" spans="1:8" x14ac:dyDescent="0.25">
      <c r="A9">
        <v>1.4520885115000002</v>
      </c>
      <c r="B9">
        <v>0.25105106861925608</v>
      </c>
      <c r="C9">
        <f t="shared" si="0"/>
        <v>0.28682820168504175</v>
      </c>
      <c r="D9">
        <f t="shared" si="1"/>
        <v>-3.5777133065785671E-2</v>
      </c>
      <c r="E9">
        <f t="shared" si="2"/>
        <v>1.2800032504069344E-3</v>
      </c>
    </row>
    <row r="10" spans="1:8" x14ac:dyDescent="0.25">
      <c r="A10">
        <v>1.6228780725</v>
      </c>
      <c r="B10">
        <v>0.22086604277353908</v>
      </c>
      <c r="C10">
        <f t="shared" si="0"/>
        <v>0.23776073016470919</v>
      </c>
      <c r="D10">
        <f t="shared" si="1"/>
        <v>-1.6894687391170116E-2</v>
      </c>
      <c r="E10">
        <f t="shared" si="2"/>
        <v>2.8543046204536251E-4</v>
      </c>
    </row>
    <row r="11" spans="1:8" x14ac:dyDescent="0.25">
      <c r="A11">
        <v>1.7936676335000001</v>
      </c>
      <c r="B11">
        <v>0.18295070543074821</v>
      </c>
      <c r="C11">
        <f t="shared" si="0"/>
        <v>0.19557956713437818</v>
      </c>
      <c r="D11">
        <f t="shared" si="1"/>
        <v>-1.2628861703629979E-2</v>
      </c>
      <c r="E11">
        <f t="shared" si="2"/>
        <v>1.5948814792941189E-4</v>
      </c>
    </row>
    <row r="12" spans="1:8" x14ac:dyDescent="0.25">
      <c r="A12">
        <v>1.9644571945</v>
      </c>
      <c r="B12">
        <v>0.14429914794537885</v>
      </c>
      <c r="C12">
        <f t="shared" si="0"/>
        <v>0.15978606554486871</v>
      </c>
      <c r="D12">
        <f t="shared" si="1"/>
        <v>-1.5486917599489863E-2</v>
      </c>
      <c r="E12">
        <f t="shared" si="2"/>
        <v>2.3984461673338888E-4</v>
      </c>
    </row>
    <row r="13" spans="1:8" x14ac:dyDescent="0.25">
      <c r="A13">
        <v>2.1352467554999999</v>
      </c>
      <c r="B13">
        <v>0.136568836448305</v>
      </c>
      <c r="C13">
        <f t="shared" si="0"/>
        <v>0.12974097302634327</v>
      </c>
      <c r="D13">
        <f t="shared" si="1"/>
        <v>6.8278634219617329E-3</v>
      </c>
      <c r="E13">
        <f t="shared" si="2"/>
        <v>4.6619718908962988E-5</v>
      </c>
    </row>
    <row r="14" spans="1:8" x14ac:dyDescent="0.25">
      <c r="A14">
        <v>2.3060363165000002</v>
      </c>
      <c r="B14">
        <v>0.10564759046000952</v>
      </c>
      <c r="C14">
        <f t="shared" si="0"/>
        <v>0.10475483773916994</v>
      </c>
      <c r="D14">
        <f t="shared" si="1"/>
        <v>8.9275272083957913E-4</v>
      </c>
      <c r="E14">
        <f t="shared" si="2"/>
        <v>7.9700742056647147E-7</v>
      </c>
    </row>
    <row r="15" spans="1:8" x14ac:dyDescent="0.25">
      <c r="A15">
        <v>2.4768258774999996</v>
      </c>
      <c r="B15">
        <v>7.7671225042027905E-2</v>
      </c>
      <c r="C15">
        <f t="shared" si="0"/>
        <v>8.4144323651531641E-2</v>
      </c>
      <c r="D15">
        <f t="shared" si="1"/>
        <v>-6.4730986095037357E-3</v>
      </c>
      <c r="E15">
        <f t="shared" si="2"/>
        <v>4.19010056083592E-5</v>
      </c>
    </row>
    <row r="16" spans="1:8" x14ac:dyDescent="0.25">
      <c r="A16">
        <v>2.6476154384999999</v>
      </c>
      <c r="B16">
        <v>7.4726344471714057E-2</v>
      </c>
      <c r="C16">
        <f t="shared" si="0"/>
        <v>6.7265661152876091E-2</v>
      </c>
      <c r="D16">
        <f t="shared" si="1"/>
        <v>7.4606833188379656E-3</v>
      </c>
      <c r="E16">
        <f t="shared" si="2"/>
        <v>5.5661795583987085E-5</v>
      </c>
    </row>
    <row r="17" spans="1:5" x14ac:dyDescent="0.25">
      <c r="A17">
        <v>2.8184049995000002</v>
      </c>
      <c r="B17">
        <v>6.1842491976590939E-2</v>
      </c>
      <c r="C17">
        <f t="shared" si="0"/>
        <v>5.3532773759467127E-2</v>
      </c>
      <c r="D17">
        <f t="shared" si="1"/>
        <v>8.3097182171238126E-3</v>
      </c>
      <c r="E17">
        <f t="shared" si="2"/>
        <v>6.9051416847999356E-5</v>
      </c>
    </row>
    <row r="18" spans="1:5" x14ac:dyDescent="0.25">
      <c r="A18">
        <v>2.9891945605000001</v>
      </c>
      <c r="B18">
        <v>4.9694859624046288E-2</v>
      </c>
      <c r="C18">
        <f t="shared" si="0"/>
        <v>4.2425261353164684E-2</v>
      </c>
      <c r="D18">
        <f t="shared" si="1"/>
        <v>7.269598270881604E-3</v>
      </c>
      <c r="E18">
        <f t="shared" si="2"/>
        <v>5.284705902000481E-5</v>
      </c>
    </row>
    <row r="19" spans="1:5" x14ac:dyDescent="0.25">
      <c r="A19">
        <v>3.1599841215</v>
      </c>
      <c r="B19">
        <v>4.3436988412129347E-2</v>
      </c>
      <c r="C19">
        <f t="shared" si="0"/>
        <v>3.3489834635541817E-2</v>
      </c>
      <c r="D19">
        <f t="shared" si="1"/>
        <v>9.9471537765875306E-3</v>
      </c>
      <c r="E19">
        <f t="shared" si="2"/>
        <v>9.8945868255079578E-5</v>
      </c>
    </row>
    <row r="20" spans="1:5" x14ac:dyDescent="0.25">
      <c r="A20">
        <v>3.3307736825000003</v>
      </c>
      <c r="B20">
        <v>2.8344475489270847E-2</v>
      </c>
      <c r="C20">
        <f t="shared" si="0"/>
        <v>2.6337696172462833E-2</v>
      </c>
      <c r="D20">
        <f t="shared" si="1"/>
        <v>2.0067793168080141E-3</v>
      </c>
      <c r="E20">
        <f t="shared" si="2"/>
        <v>4.0271632263684394E-6</v>
      </c>
    </row>
    <row r="21" spans="1:5" x14ac:dyDescent="0.25">
      <c r="A21">
        <v>3.5015632434999997</v>
      </c>
      <c r="B21">
        <v>2.1718494206064674E-2</v>
      </c>
      <c r="C21">
        <f t="shared" si="0"/>
        <v>2.0639587166770768E-2</v>
      </c>
      <c r="D21">
        <f t="shared" si="1"/>
        <v>1.0789070392939054E-3</v>
      </c>
      <c r="E21">
        <f t="shared" si="2"/>
        <v>1.1640403994379407E-6</v>
      </c>
    </row>
    <row r="22" spans="1:5" x14ac:dyDescent="0.25">
      <c r="A22">
        <v>3.6723528045</v>
      </c>
      <c r="B22">
        <v>1.9877943849618517E-2</v>
      </c>
      <c r="C22">
        <f t="shared" si="0"/>
        <v>1.611966627928256E-2</v>
      </c>
      <c r="D22">
        <f t="shared" si="1"/>
        <v>3.7582775703359564E-3</v>
      </c>
      <c r="E22">
        <f t="shared" si="2"/>
        <v>1.4124650295690339E-5</v>
      </c>
    </row>
    <row r="23" spans="1:5" x14ac:dyDescent="0.25">
      <c r="A23">
        <v>3.8431423654999999</v>
      </c>
      <c r="B23">
        <v>1.2147632352544648E-2</v>
      </c>
      <c r="C23">
        <f t="shared" si="0"/>
        <v>1.2548992727326524E-2</v>
      </c>
      <c r="D23">
        <f t="shared" si="1"/>
        <v>-4.0136037478187558E-4</v>
      </c>
      <c r="E23">
        <f t="shared" si="2"/>
        <v>1.6109015044504764E-7</v>
      </c>
    </row>
    <row r="24" spans="1:5" x14ac:dyDescent="0.25">
      <c r="A24">
        <v>4.0139319264999997</v>
      </c>
      <c r="B24">
        <v>1.2147632352544648E-2</v>
      </c>
      <c r="C24">
        <f t="shared" si="0"/>
        <v>9.7391063875315997E-3</v>
      </c>
      <c r="D24">
        <f t="shared" si="1"/>
        <v>2.4085259650130485E-3</v>
      </c>
      <c r="E24">
        <f t="shared" si="2"/>
        <v>5.8009973241420365E-6</v>
      </c>
    </row>
    <row r="25" spans="1:5" x14ac:dyDescent="0.25">
      <c r="A25">
        <v>4.1847214875000001</v>
      </c>
      <c r="B25">
        <v>9.2027517822307944E-3</v>
      </c>
      <c r="C25">
        <f t="shared" si="0"/>
        <v>7.5360014850678302E-3</v>
      </c>
      <c r="D25">
        <f t="shared" si="1"/>
        <v>1.6667502971629642E-3</v>
      </c>
      <c r="E25">
        <f t="shared" si="2"/>
        <v>2.7780565530928293E-6</v>
      </c>
    </row>
    <row r="26" spans="1:5" x14ac:dyDescent="0.25">
      <c r="A26">
        <v>4.3555110485000004</v>
      </c>
      <c r="B26">
        <v>5.8897611406277086E-3</v>
      </c>
      <c r="C26">
        <f t="shared" si="0"/>
        <v>5.8146550208481576E-3</v>
      </c>
      <c r="D26">
        <f t="shared" si="1"/>
        <v>7.5106119779550992E-5</v>
      </c>
      <c r="E26">
        <f t="shared" si="2"/>
        <v>5.6409292283402604E-9</v>
      </c>
    </row>
    <row r="27" spans="1:5" x14ac:dyDescent="0.25">
      <c r="A27">
        <v>4.5263006094999998</v>
      </c>
      <c r="B27">
        <v>6.6259812832061725E-3</v>
      </c>
      <c r="C27">
        <f t="shared" si="0"/>
        <v>4.4741797109971353E-3</v>
      </c>
      <c r="D27">
        <f t="shared" si="1"/>
        <v>2.1518015722090372E-3</v>
      </c>
      <c r="E27">
        <f t="shared" si="2"/>
        <v>4.630250006161284E-6</v>
      </c>
    </row>
    <row r="28" spans="1:5" x14ac:dyDescent="0.25">
      <c r="A28">
        <v>4.6970901705000001</v>
      </c>
      <c r="B28">
        <v>4.4173208554707816E-3</v>
      </c>
      <c r="C28">
        <f t="shared" si="0"/>
        <v>3.4336115450746578E-3</v>
      </c>
      <c r="D28">
        <f t="shared" si="1"/>
        <v>9.8370931039612388E-4</v>
      </c>
      <c r="E28">
        <f t="shared" si="2"/>
        <v>9.6768400736001756E-7</v>
      </c>
    </row>
    <row r="29" spans="1:5" x14ac:dyDescent="0.25">
      <c r="A29">
        <v>4.8678797315000004</v>
      </c>
      <c r="B29">
        <v>3.3129906416030862E-3</v>
      </c>
      <c r="C29">
        <f t="shared" si="0"/>
        <v>2.628304953319993E-3</v>
      </c>
      <c r="D29">
        <f t="shared" si="1"/>
        <v>6.8468568828309326E-4</v>
      </c>
      <c r="E29">
        <f t="shared" si="2"/>
        <v>4.6879449173969316E-7</v>
      </c>
    </row>
    <row r="30" spans="1:5" x14ac:dyDescent="0.25">
      <c r="A30">
        <v>5.0386692924999998</v>
      </c>
      <c r="B30">
        <v>2.2086604277353908E-3</v>
      </c>
      <c r="C30">
        <f t="shared" si="0"/>
        <v>2.0068872356336694E-3</v>
      </c>
      <c r="D30">
        <f t="shared" si="1"/>
        <v>2.0177319210172139E-4</v>
      </c>
      <c r="E30">
        <f t="shared" si="2"/>
        <v>4.0712421050918161E-8</v>
      </c>
    </row>
    <row r="31" spans="1:5" x14ac:dyDescent="0.25">
      <c r="A31">
        <v>5.2094588534999993</v>
      </c>
      <c r="B31">
        <v>1.4724402851569271E-3</v>
      </c>
      <c r="C31">
        <f t="shared" si="0"/>
        <v>1.528713370033152E-3</v>
      </c>
      <c r="D31">
        <f t="shared" si="1"/>
        <v>-5.6273084876224885E-5</v>
      </c>
      <c r="E31">
        <f t="shared" si="2"/>
        <v>3.1666600814868098E-9</v>
      </c>
    </row>
    <row r="32" spans="1:5" x14ac:dyDescent="0.25">
      <c r="A32">
        <v>5.3802484145000005</v>
      </c>
      <c r="B32">
        <v>1.1043302138676954E-3</v>
      </c>
      <c r="C32">
        <f t="shared" si="0"/>
        <v>1.1617589651620516E-3</v>
      </c>
      <c r="D32">
        <f t="shared" si="1"/>
        <v>-5.7428751294356147E-5</v>
      </c>
      <c r="E32">
        <f t="shared" si="2"/>
        <v>3.298061475229013E-9</v>
      </c>
    </row>
    <row r="33" spans="1:5" x14ac:dyDescent="0.25">
      <c r="A33">
        <v>5.5510379754999999</v>
      </c>
      <c r="B33">
        <v>0</v>
      </c>
      <c r="C33">
        <f t="shared" si="0"/>
        <v>8.8089034886908678E-4</v>
      </c>
      <c r="D33">
        <f t="shared" si="1"/>
        <v>-8.8089034886908678E-4</v>
      </c>
      <c r="E33">
        <f t="shared" si="2"/>
        <v>7.759678067307014E-7</v>
      </c>
    </row>
    <row r="34" spans="1:5" x14ac:dyDescent="0.25">
      <c r="A34">
        <v>5.7218275364999993</v>
      </c>
      <c r="B34">
        <v>7.3622014257846357E-4</v>
      </c>
      <c r="C34">
        <f t="shared" si="0"/>
        <v>6.6645475404727679E-4</v>
      </c>
      <c r="D34">
        <f t="shared" si="1"/>
        <v>6.9765388531186777E-5</v>
      </c>
      <c r="E34">
        <f t="shared" si="2"/>
        <v>4.8672094369074477E-9</v>
      </c>
    </row>
    <row r="35" spans="1:5" x14ac:dyDescent="0.25">
      <c r="A35">
        <v>5.8926170975000005</v>
      </c>
      <c r="B35">
        <v>7.3622014257846357E-4</v>
      </c>
      <c r="C35">
        <f t="shared" si="0"/>
        <v>5.0313900030614866E-4</v>
      </c>
      <c r="D35">
        <f t="shared" si="1"/>
        <v>2.3308114227231491E-4</v>
      </c>
      <c r="E35">
        <f t="shared" si="2"/>
        <v>5.4326818882967105E-8</v>
      </c>
    </row>
    <row r="36" spans="1:5" x14ac:dyDescent="0.25">
      <c r="A36">
        <v>6.0634066584999999</v>
      </c>
      <c r="B36">
        <v>0</v>
      </c>
      <c r="C36">
        <f t="shared" si="0"/>
        <v>3.7905111685492806E-4</v>
      </c>
      <c r="D36">
        <f t="shared" si="1"/>
        <v>-3.7905111685492806E-4</v>
      </c>
      <c r="E36">
        <f t="shared" si="2"/>
        <v>1.4367974918896833E-7</v>
      </c>
    </row>
    <row r="37" spans="1:5" x14ac:dyDescent="0.25">
      <c r="A37">
        <v>6.2341962195000011</v>
      </c>
      <c r="B37">
        <v>0</v>
      </c>
      <c r="C37">
        <f t="shared" si="0"/>
        <v>2.8498544973786546E-4</v>
      </c>
      <c r="D37">
        <f t="shared" si="1"/>
        <v>-2.8498544973786546E-4</v>
      </c>
      <c r="E37">
        <f t="shared" si="2"/>
        <v>8.1216706562293436E-8</v>
      </c>
    </row>
    <row r="38" spans="1:5" x14ac:dyDescent="0.25">
      <c r="A38">
        <v>6.4049857805000006</v>
      </c>
      <c r="B38">
        <v>0</v>
      </c>
      <c r="C38">
        <f t="shared" si="0"/>
        <v>2.1383760086357255E-4</v>
      </c>
      <c r="D38">
        <f t="shared" si="1"/>
        <v>-2.1383760086357255E-4</v>
      </c>
      <c r="E38">
        <f t="shared" si="2"/>
        <v>4.5726519543088566E-8</v>
      </c>
    </row>
    <row r="39" spans="1:5" x14ac:dyDescent="0.25">
      <c r="A39">
        <v>6.5757753415</v>
      </c>
      <c r="B39">
        <v>0</v>
      </c>
      <c r="C39">
        <f t="shared" si="0"/>
        <v>1.6014086230216128E-4</v>
      </c>
      <c r="D39">
        <f t="shared" si="1"/>
        <v>-1.6014086230216128E-4</v>
      </c>
      <c r="E39">
        <f t="shared" si="2"/>
        <v>2.5645095778879782E-8</v>
      </c>
    </row>
    <row r="40" spans="1:5" x14ac:dyDescent="0.25">
      <c r="A40">
        <v>6.7465649024999994</v>
      </c>
      <c r="B40">
        <v>3.6811007128923179E-4</v>
      </c>
      <c r="C40">
        <f t="shared" si="0"/>
        <v>1.1970054432532124E-4</v>
      </c>
      <c r="D40">
        <f t="shared" si="1"/>
        <v>2.4840952696391055E-4</v>
      </c>
      <c r="E40">
        <f t="shared" si="2"/>
        <v>6.1707293086433798E-8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AB5D-1C40-43F2-A34E-22A16EE1543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8.4064729537500008E-2</v>
      </c>
      <c r="B1">
        <v>0.58061367301347389</v>
      </c>
      <c r="C1">
        <f>$H$3*(1+$H$1)*(A1^($H$1))*EXP(-$H$3*(A1^(1+$H$1)))</f>
        <v>0.5772759313174155</v>
      </c>
      <c r="D1">
        <f>B1-C1</f>
        <v>3.3377416960583828E-3</v>
      </c>
      <c r="E1">
        <f>D1^2</f>
        <v>1.1140519629606689E-5</v>
      </c>
      <c r="G1" t="s">
        <v>0</v>
      </c>
      <c r="H1">
        <v>0.26248104754889345</v>
      </c>
    </row>
    <row r="2" spans="1:8" x14ac:dyDescent="0.25">
      <c r="A2">
        <v>0.25070899861250001</v>
      </c>
      <c r="B2">
        <v>0.69228465885622126</v>
      </c>
      <c r="C2">
        <f t="shared" ref="C2:C40" si="0">$H$3*(1+$H$1)*(A2^($H$1))*EXP(-$H$3*(A2^(1+$H$1)))</f>
        <v>0.68279255908325265</v>
      </c>
      <c r="D2">
        <f t="shared" ref="D2:D40" si="1">B2-C2</f>
        <v>9.4920997729686096E-3</v>
      </c>
      <c r="E2">
        <f t="shared" ref="E2:E40" si="2">D2^2</f>
        <v>9.0099958099990735E-5</v>
      </c>
    </row>
    <row r="3" spans="1:8" x14ac:dyDescent="0.25">
      <c r="A3">
        <v>0.41735326768749997</v>
      </c>
      <c r="B3">
        <v>0.63003562958577086</v>
      </c>
      <c r="C3">
        <f t="shared" si="0"/>
        <v>0.67616329764926053</v>
      </c>
      <c r="D3">
        <f t="shared" si="1"/>
        <v>-4.6127668063489669E-2</v>
      </c>
      <c r="E3">
        <f t="shared" si="2"/>
        <v>2.1277617609754846E-3</v>
      </c>
      <c r="G3" t="s">
        <v>1</v>
      </c>
      <c r="H3">
        <f>(_xlfn.GAMMA((2+$H$1)/(1+$H$1)))^(1+$H$1)</f>
        <v>0.91159589757004744</v>
      </c>
    </row>
    <row r="4" spans="1:8" x14ac:dyDescent="0.25">
      <c r="A4">
        <v>0.58399753676249999</v>
      </c>
      <c r="B4">
        <v>0.58815900989474057</v>
      </c>
      <c r="C4">
        <f t="shared" si="0"/>
        <v>0.62943506433520724</v>
      </c>
      <c r="D4">
        <f t="shared" si="1"/>
        <v>-4.127605444046667E-2</v>
      </c>
      <c r="E4">
        <f t="shared" si="2"/>
        <v>1.7037126701723684E-3</v>
      </c>
    </row>
    <row r="5" spans="1:8" x14ac:dyDescent="0.25">
      <c r="A5">
        <v>0.75064180583749995</v>
      </c>
      <c r="B5">
        <v>0.65418070760582436</v>
      </c>
      <c r="C5">
        <f t="shared" si="0"/>
        <v>0.56585215644240561</v>
      </c>
      <c r="D5">
        <f t="shared" si="1"/>
        <v>8.8328551163418756E-2</v>
      </c>
      <c r="E5">
        <f t="shared" si="2"/>
        <v>7.8019329506286853E-3</v>
      </c>
      <c r="G5" t="s">
        <v>2</v>
      </c>
      <c r="H5">
        <f>SUM(E1:E40)</f>
        <v>1.6270648212990697E-2</v>
      </c>
    </row>
    <row r="6" spans="1:8" x14ac:dyDescent="0.25">
      <c r="A6">
        <v>0.91728607491250003</v>
      </c>
      <c r="B6">
        <v>0.53081444959711355</v>
      </c>
      <c r="C6">
        <f t="shared" si="0"/>
        <v>0.49678446268762577</v>
      </c>
      <c r="D6">
        <f t="shared" si="1"/>
        <v>3.4029986909487775E-2</v>
      </c>
      <c r="E6">
        <f t="shared" si="2"/>
        <v>1.1580400090599092E-3</v>
      </c>
    </row>
    <row r="7" spans="1:8" x14ac:dyDescent="0.25">
      <c r="A7">
        <v>1.0839303439874999</v>
      </c>
      <c r="B7">
        <v>0.41989799744249279</v>
      </c>
      <c r="C7">
        <f t="shared" si="0"/>
        <v>0.42846032948756013</v>
      </c>
      <c r="D7">
        <f t="shared" si="1"/>
        <v>-8.5623320450673446E-3</v>
      </c>
      <c r="E7">
        <f t="shared" si="2"/>
        <v>7.3313530049987132E-5</v>
      </c>
    </row>
    <row r="8" spans="1:8" x14ac:dyDescent="0.25">
      <c r="A8">
        <v>1.2505746130625</v>
      </c>
      <c r="B8">
        <v>0.34972636444671235</v>
      </c>
      <c r="C8">
        <f t="shared" si="0"/>
        <v>0.36432144371737746</v>
      </c>
      <c r="D8">
        <f t="shared" si="1"/>
        <v>-1.4595079270665112E-2</v>
      </c>
      <c r="E8">
        <f t="shared" si="2"/>
        <v>2.1301633891699848E-4</v>
      </c>
    </row>
    <row r="9" spans="1:8" x14ac:dyDescent="0.25">
      <c r="A9">
        <v>1.4172188821375</v>
      </c>
      <c r="B9">
        <v>0.27087759403747513</v>
      </c>
      <c r="C9">
        <f t="shared" si="0"/>
        <v>0.30614082218759087</v>
      </c>
      <c r="D9">
        <f t="shared" si="1"/>
        <v>-3.5263228150115733E-2</v>
      </c>
      <c r="E9">
        <f t="shared" si="2"/>
        <v>1.2434952595671146E-3</v>
      </c>
    </row>
    <row r="10" spans="1:8" x14ac:dyDescent="0.25">
      <c r="A10">
        <v>1.5838631512124999</v>
      </c>
      <c r="B10">
        <v>0.23013277487863487</v>
      </c>
      <c r="C10">
        <f t="shared" si="0"/>
        <v>0.2546533275488938</v>
      </c>
      <c r="D10">
        <f t="shared" si="1"/>
        <v>-2.4520552670258933E-2</v>
      </c>
      <c r="E10">
        <f t="shared" si="2"/>
        <v>6.012575032549425E-4</v>
      </c>
    </row>
    <row r="11" spans="1:8" x14ac:dyDescent="0.25">
      <c r="A11">
        <v>1.7505074202874997</v>
      </c>
      <c r="B11">
        <v>0.19768782628918799</v>
      </c>
      <c r="C11">
        <f t="shared" si="0"/>
        <v>0.20994720615834844</v>
      </c>
      <c r="D11">
        <f t="shared" si="1"/>
        <v>-1.2259379869160453E-2</v>
      </c>
      <c r="E11">
        <f t="shared" si="2"/>
        <v>1.5029239477637655E-4</v>
      </c>
    </row>
    <row r="12" spans="1:8" x14ac:dyDescent="0.25">
      <c r="A12">
        <v>1.9171516893624998</v>
      </c>
      <c r="B12">
        <v>0.14449320127625762</v>
      </c>
      <c r="C12">
        <f t="shared" si="0"/>
        <v>0.1717196366562741</v>
      </c>
      <c r="D12">
        <f t="shared" si="1"/>
        <v>-2.7226435380016484E-2</v>
      </c>
      <c r="E12">
        <f t="shared" si="2"/>
        <v>7.4127878350221336E-4</v>
      </c>
    </row>
    <row r="13" spans="1:8" x14ac:dyDescent="0.25">
      <c r="A13">
        <v>2.0837959584374994</v>
      </c>
      <c r="B13">
        <v>0.1335524627984209</v>
      </c>
      <c r="C13">
        <f t="shared" si="0"/>
        <v>0.1394469641943088</v>
      </c>
      <c r="D13">
        <f t="shared" si="1"/>
        <v>-5.8945013958879022E-3</v>
      </c>
      <c r="E13">
        <f t="shared" si="2"/>
        <v>3.4745146706124429E-5</v>
      </c>
    </row>
    <row r="14" spans="1:8" x14ac:dyDescent="0.25">
      <c r="A14">
        <v>2.2504402275124997</v>
      </c>
      <c r="B14">
        <v>0.11619818797150744</v>
      </c>
      <c r="C14">
        <f t="shared" si="0"/>
        <v>0.11249814685636408</v>
      </c>
      <c r="D14">
        <f t="shared" si="1"/>
        <v>3.7000411151433543E-3</v>
      </c>
      <c r="E14">
        <f t="shared" si="2"/>
        <v>1.3690304253751277E-5</v>
      </c>
    </row>
    <row r="15" spans="1:8" x14ac:dyDescent="0.25">
      <c r="A15">
        <v>2.4170844965874996</v>
      </c>
      <c r="B15">
        <v>8.488503991425056E-2</v>
      </c>
      <c r="C15">
        <f t="shared" si="0"/>
        <v>9.0209169401357342E-2</v>
      </c>
      <c r="D15">
        <f t="shared" si="1"/>
        <v>-5.3241294871067824E-3</v>
      </c>
      <c r="E15">
        <f t="shared" si="2"/>
        <v>2.8346354795479928E-5</v>
      </c>
    </row>
    <row r="16" spans="1:8" x14ac:dyDescent="0.25">
      <c r="A16">
        <v>2.5837287656624999</v>
      </c>
      <c r="B16">
        <v>7.7339703032983848E-2</v>
      </c>
      <c r="C16">
        <f t="shared" si="0"/>
        <v>7.1930265818932443E-2</v>
      </c>
      <c r="D16">
        <f t="shared" si="1"/>
        <v>5.4094372140514047E-3</v>
      </c>
      <c r="E16">
        <f t="shared" si="2"/>
        <v>2.9262010972764224E-5</v>
      </c>
    </row>
    <row r="17" spans="1:5" x14ac:dyDescent="0.25">
      <c r="A17">
        <v>2.7503730347374997</v>
      </c>
      <c r="B17">
        <v>6.6776231399210448E-2</v>
      </c>
      <c r="C17">
        <f t="shared" si="0"/>
        <v>5.7054196713939777E-2</v>
      </c>
      <c r="D17">
        <f t="shared" si="1"/>
        <v>9.722034685270671E-3</v>
      </c>
      <c r="E17">
        <f t="shared" si="2"/>
        <v>9.4517958421605998E-5</v>
      </c>
    </row>
    <row r="18" spans="1:5" x14ac:dyDescent="0.25">
      <c r="A18">
        <v>2.9170173038125</v>
      </c>
      <c r="B18">
        <v>5.0931023948550334E-2</v>
      </c>
      <c r="C18">
        <f t="shared" si="0"/>
        <v>4.50314614761195E-2</v>
      </c>
      <c r="D18">
        <f t="shared" si="1"/>
        <v>5.8995624724308346E-3</v>
      </c>
      <c r="E18">
        <f t="shared" si="2"/>
        <v>3.480483736611422E-5</v>
      </c>
    </row>
    <row r="19" spans="1:5" x14ac:dyDescent="0.25">
      <c r="A19">
        <v>3.0836615728874994</v>
      </c>
      <c r="B19">
        <v>3.99902854707136E-2</v>
      </c>
      <c r="C19">
        <f t="shared" si="0"/>
        <v>3.5376679233982036E-2</v>
      </c>
      <c r="D19">
        <f t="shared" si="1"/>
        <v>4.6136062367315642E-3</v>
      </c>
      <c r="E19">
        <f t="shared" si="2"/>
        <v>2.1285362507608387E-5</v>
      </c>
    </row>
    <row r="20" spans="1:5" x14ac:dyDescent="0.25">
      <c r="A20">
        <v>3.2503058419624997</v>
      </c>
      <c r="B20">
        <v>3.4708549653826894E-2</v>
      </c>
      <c r="C20">
        <f t="shared" si="0"/>
        <v>2.7669186852480147E-2</v>
      </c>
      <c r="D20">
        <f t="shared" si="1"/>
        <v>7.0393628013467463E-3</v>
      </c>
      <c r="E20">
        <f t="shared" si="2"/>
        <v>4.9552628648984312E-5</v>
      </c>
    </row>
    <row r="21" spans="1:5" x14ac:dyDescent="0.25">
      <c r="A21">
        <v>3.4169501110375</v>
      </c>
      <c r="B21">
        <v>2.2258743799736816E-2</v>
      </c>
      <c r="C21">
        <f t="shared" si="0"/>
        <v>2.1550031646088905E-2</v>
      </c>
      <c r="D21">
        <f t="shared" si="1"/>
        <v>7.087121536479106E-4</v>
      </c>
      <c r="E21">
        <f t="shared" si="2"/>
        <v>5.0227291672825961E-7</v>
      </c>
    </row>
    <row r="22" spans="1:5" x14ac:dyDescent="0.25">
      <c r="A22">
        <v>3.5835943801125003</v>
      </c>
      <c r="B22">
        <v>1.8108808515040119E-2</v>
      </c>
      <c r="C22">
        <f t="shared" si="0"/>
        <v>1.671689247946043E-2</v>
      </c>
      <c r="D22">
        <f t="shared" si="1"/>
        <v>1.3919160355796885E-3</v>
      </c>
      <c r="E22">
        <f t="shared" si="2"/>
        <v>1.9374302501038764E-6</v>
      </c>
    </row>
    <row r="23" spans="1:5" x14ac:dyDescent="0.25">
      <c r="A23">
        <v>3.7502386491874997</v>
      </c>
      <c r="B23">
        <v>1.5845207450660106E-2</v>
      </c>
      <c r="C23">
        <f t="shared" si="0"/>
        <v>1.2917986870254684E-2</v>
      </c>
      <c r="D23">
        <f t="shared" si="1"/>
        <v>2.9272205804054229E-3</v>
      </c>
      <c r="E23">
        <f t="shared" si="2"/>
        <v>8.5686203263490613E-6</v>
      </c>
    </row>
    <row r="24" spans="1:5" x14ac:dyDescent="0.25">
      <c r="A24">
        <v>3.9168829182624996</v>
      </c>
      <c r="B24">
        <v>1.3204339542216755E-2</v>
      </c>
      <c r="C24">
        <f t="shared" si="0"/>
        <v>9.9456721411522921E-3</v>
      </c>
      <c r="D24">
        <f t="shared" si="1"/>
        <v>3.2586674010644627E-3</v>
      </c>
      <c r="E24">
        <f t="shared" si="2"/>
        <v>1.061891323076022E-5</v>
      </c>
    </row>
    <row r="25" spans="1:5" x14ac:dyDescent="0.25">
      <c r="A25">
        <v>4.0835271873375003</v>
      </c>
      <c r="B25">
        <v>7.9226037253300532E-3</v>
      </c>
      <c r="C25">
        <f t="shared" si="0"/>
        <v>7.6301949192870509E-3</v>
      </c>
      <c r="D25">
        <f t="shared" si="1"/>
        <v>2.9240880604300239E-4</v>
      </c>
      <c r="E25">
        <f t="shared" si="2"/>
        <v>8.5502909851494186E-8</v>
      </c>
    </row>
    <row r="26" spans="1:5" x14ac:dyDescent="0.25">
      <c r="A26">
        <v>4.2501714564125006</v>
      </c>
      <c r="B26">
        <v>9.8089379456467313E-3</v>
      </c>
      <c r="C26">
        <f t="shared" si="0"/>
        <v>5.8338620144499113E-3</v>
      </c>
      <c r="D26">
        <f t="shared" si="1"/>
        <v>3.97507593119682E-3</v>
      </c>
      <c r="E26">
        <f t="shared" si="2"/>
        <v>1.5801228658780265E-5</v>
      </c>
    </row>
    <row r="27" spans="1:5" x14ac:dyDescent="0.25">
      <c r="A27">
        <v>4.4168157254875</v>
      </c>
      <c r="B27">
        <v>3.7726684406333582E-3</v>
      </c>
      <c r="C27">
        <f t="shared" si="0"/>
        <v>4.4457789154496666E-3</v>
      </c>
      <c r="D27">
        <f t="shared" si="1"/>
        <v>-6.7311047481630843E-4</v>
      </c>
      <c r="E27">
        <f t="shared" si="2"/>
        <v>4.5307771130743621E-7</v>
      </c>
    </row>
    <row r="28" spans="1:5" x14ac:dyDescent="0.25">
      <c r="A28">
        <v>4.5834599945624994</v>
      </c>
      <c r="B28">
        <v>6.4135363490767094E-3</v>
      </c>
      <c r="C28">
        <f t="shared" si="0"/>
        <v>3.3772158745021645E-3</v>
      </c>
      <c r="D28">
        <f t="shared" si="1"/>
        <v>3.0363204745745449E-3</v>
      </c>
      <c r="E28">
        <f t="shared" si="2"/>
        <v>9.219242024320589E-6</v>
      </c>
    </row>
    <row r="29" spans="1:5" x14ac:dyDescent="0.25">
      <c r="A29">
        <v>4.7501042636374997</v>
      </c>
      <c r="B29">
        <v>2.6408679084433508E-3</v>
      </c>
      <c r="C29">
        <f t="shared" si="0"/>
        <v>2.5576050179836759E-3</v>
      </c>
      <c r="D29">
        <f t="shared" si="1"/>
        <v>8.3262890459674926E-5</v>
      </c>
      <c r="E29">
        <f t="shared" si="2"/>
        <v>6.9327089276998259E-9</v>
      </c>
    </row>
    <row r="30" spans="1:5" x14ac:dyDescent="0.25">
      <c r="A30">
        <v>4.9167485327124991</v>
      </c>
      <c r="B30">
        <v>3.0181347525066867E-3</v>
      </c>
      <c r="C30">
        <f t="shared" si="0"/>
        <v>1.9311368497896193E-3</v>
      </c>
      <c r="D30">
        <f t="shared" si="1"/>
        <v>1.0869979027170675E-3</v>
      </c>
      <c r="E30">
        <f t="shared" si="2"/>
        <v>1.1815644405113032E-6</v>
      </c>
    </row>
    <row r="31" spans="1:5" x14ac:dyDescent="0.25">
      <c r="A31">
        <v>5.0833928017874994</v>
      </c>
      <c r="B31">
        <v>1.5090673762533434E-3</v>
      </c>
      <c r="C31">
        <f t="shared" si="0"/>
        <v>1.4539046094103902E-3</v>
      </c>
      <c r="D31">
        <f t="shared" si="1"/>
        <v>5.5162766842953162E-5</v>
      </c>
      <c r="E31">
        <f t="shared" si="2"/>
        <v>3.0429308457700128E-9</v>
      </c>
    </row>
    <row r="32" spans="1:5" x14ac:dyDescent="0.25">
      <c r="A32">
        <v>5.2500370708624997</v>
      </c>
      <c r="B32">
        <v>7.5453368812667169E-4</v>
      </c>
      <c r="C32">
        <f t="shared" si="0"/>
        <v>1.0915354886342195E-3</v>
      </c>
      <c r="D32">
        <f t="shared" si="1"/>
        <v>-3.370018005075478E-4</v>
      </c>
      <c r="E32">
        <f t="shared" si="2"/>
        <v>1.1357021354532905E-7</v>
      </c>
    </row>
    <row r="33" spans="1:5" x14ac:dyDescent="0.25">
      <c r="A33">
        <v>5.4166813399374991</v>
      </c>
      <c r="B33">
        <v>3.7726684406333584E-4</v>
      </c>
      <c r="C33">
        <f t="shared" si="0"/>
        <v>8.1724520627334376E-4</v>
      </c>
      <c r="D33">
        <f t="shared" si="1"/>
        <v>-4.3997836221000791E-4</v>
      </c>
      <c r="E33">
        <f t="shared" si="2"/>
        <v>1.9358095921300092E-7</v>
      </c>
    </row>
    <row r="34" spans="1:5" x14ac:dyDescent="0.25">
      <c r="A34">
        <v>5.5833256090124994</v>
      </c>
      <c r="B34">
        <v>7.5453368812667169E-4</v>
      </c>
      <c r="C34">
        <f t="shared" si="0"/>
        <v>6.1025435081224694E-4</v>
      </c>
      <c r="D34">
        <f t="shared" si="1"/>
        <v>1.4427933731442474E-4</v>
      </c>
      <c r="E34">
        <f t="shared" si="2"/>
        <v>2.0816527175889556E-8</v>
      </c>
    </row>
    <row r="35" spans="1:5" x14ac:dyDescent="0.25">
      <c r="A35">
        <v>5.7499698780874997</v>
      </c>
      <c r="B35">
        <v>7.5453368812667169E-4</v>
      </c>
      <c r="C35">
        <f t="shared" si="0"/>
        <v>4.5450941801302119E-4</v>
      </c>
      <c r="D35">
        <f t="shared" si="1"/>
        <v>3.0002427011365049E-4</v>
      </c>
      <c r="E35">
        <f t="shared" si="2"/>
        <v>9.0014562657228708E-8</v>
      </c>
    </row>
    <row r="36" spans="1:5" x14ac:dyDescent="0.25">
      <c r="A36">
        <v>5.9166141471624991</v>
      </c>
      <c r="B36">
        <v>0</v>
      </c>
      <c r="C36">
        <f t="shared" si="0"/>
        <v>3.3765733746399219E-4</v>
      </c>
      <c r="D36">
        <f t="shared" si="1"/>
        <v>-3.3765733746399219E-4</v>
      </c>
      <c r="E36">
        <f t="shared" si="2"/>
        <v>1.1401247754327231E-7</v>
      </c>
    </row>
    <row r="37" spans="1:5" x14ac:dyDescent="0.25">
      <c r="A37">
        <v>6.0832584162374994</v>
      </c>
      <c r="B37">
        <v>0</v>
      </c>
      <c r="C37">
        <f t="shared" si="0"/>
        <v>2.5022865218233506E-4</v>
      </c>
      <c r="D37">
        <f t="shared" si="1"/>
        <v>-2.5022865218233506E-4</v>
      </c>
      <c r="E37">
        <f t="shared" si="2"/>
        <v>6.2614378372988022E-8</v>
      </c>
    </row>
    <row r="38" spans="1:5" x14ac:dyDescent="0.25">
      <c r="A38">
        <v>6.2499026853124988</v>
      </c>
      <c r="B38">
        <v>0</v>
      </c>
      <c r="C38">
        <f t="shared" si="0"/>
        <v>1.8499084182024836E-4</v>
      </c>
      <c r="D38">
        <f t="shared" si="1"/>
        <v>-1.8499084182024836E-4</v>
      </c>
      <c r="E38">
        <f t="shared" si="2"/>
        <v>3.4221611557364149E-8</v>
      </c>
    </row>
    <row r="39" spans="1:5" x14ac:dyDescent="0.25">
      <c r="A39">
        <v>6.4165469543874991</v>
      </c>
      <c r="B39">
        <v>0</v>
      </c>
      <c r="C39">
        <f t="shared" si="0"/>
        <v>1.3643923070002782E-4</v>
      </c>
      <c r="D39">
        <f t="shared" si="1"/>
        <v>-1.3643923070002782E-4</v>
      </c>
      <c r="E39">
        <f t="shared" si="2"/>
        <v>1.8615663674015415E-8</v>
      </c>
    </row>
    <row r="40" spans="1:5" x14ac:dyDescent="0.25">
      <c r="A40">
        <v>6.5831912234624994</v>
      </c>
      <c r="B40">
        <v>3.7726684406333584E-4</v>
      </c>
      <c r="C40">
        <f t="shared" si="0"/>
        <v>1.0039831504180858E-4</v>
      </c>
      <c r="D40">
        <f t="shared" si="1"/>
        <v>2.7686852902152726E-4</v>
      </c>
      <c r="E40">
        <f t="shared" si="2"/>
        <v>7.6656182362544283E-8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5597-2D57-4758-94B9-D2FB1E2B219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8.2033754550000004E-2</v>
      </c>
      <c r="B1">
        <v>0.54492039065494713</v>
      </c>
      <c r="C1">
        <f>$H$3*(1+$H$1)*(A1^($H$1))*EXP(-$H$3*(A1^(1+$H$1)))</f>
        <v>0.54739000454435782</v>
      </c>
      <c r="D1">
        <f>B1-C1</f>
        <v>-2.4696138894106934E-3</v>
      </c>
      <c r="E1">
        <f>D1^2</f>
        <v>6.0989927627702123E-6</v>
      </c>
      <c r="G1" t="s">
        <v>0</v>
      </c>
      <c r="H1">
        <v>0.28769886569017977</v>
      </c>
    </row>
    <row r="2" spans="1:8" x14ac:dyDescent="0.25">
      <c r="A2">
        <v>0.24482572364999999</v>
      </c>
      <c r="B2">
        <v>0.69746720448110167</v>
      </c>
      <c r="C2">
        <f t="shared" ref="C2:C40" si="0">$H$3*(1+$H$1)*(A2^($H$1))*EXP(-$H$3*(A2^(1+$H$1)))</f>
        <v>0.67054898482116931</v>
      </c>
      <c r="D2">
        <f t="shared" ref="D2:D40" si="1">B2-C2</f>
        <v>2.6918219659932352E-2</v>
      </c>
      <c r="E2">
        <f t="shared" ref="E2:E40" si="2">D2^2</f>
        <v>7.2459054966036854E-4</v>
      </c>
    </row>
    <row r="3" spans="1:8" x14ac:dyDescent="0.25">
      <c r="A3">
        <v>0.40761769275000004</v>
      </c>
      <c r="B3">
        <v>0.63992422913908387</v>
      </c>
      <c r="C3">
        <f t="shared" si="0"/>
        <v>0.67696344639748496</v>
      </c>
      <c r="D3">
        <f t="shared" si="1"/>
        <v>-3.7039217258401091E-2</v>
      </c>
      <c r="E3">
        <f t="shared" si="2"/>
        <v>1.3719036151150373E-3</v>
      </c>
      <c r="G3" t="s">
        <v>1</v>
      </c>
      <c r="H3">
        <f>(_xlfn.GAMMA((2+$H$1)/(1+$H$1)))^(1+$H$1)</f>
        <v>0.90495689420568703</v>
      </c>
    </row>
    <row r="4" spans="1:8" x14ac:dyDescent="0.25">
      <c r="A4">
        <v>0.57040966185000008</v>
      </c>
      <c r="B4">
        <v>0.57465736448941274</v>
      </c>
      <c r="C4">
        <f t="shared" si="0"/>
        <v>0.63907516211789284</v>
      </c>
      <c r="D4">
        <f t="shared" si="1"/>
        <v>-6.44177976284801E-2</v>
      </c>
      <c r="E4">
        <f t="shared" si="2"/>
        <v>4.1496526513038166E-3</v>
      </c>
    </row>
    <row r="5" spans="1:8" x14ac:dyDescent="0.25">
      <c r="A5">
        <v>0.73320163095000002</v>
      </c>
      <c r="B5">
        <v>0.61675256121612376</v>
      </c>
      <c r="C5">
        <f t="shared" si="0"/>
        <v>0.58092308083524813</v>
      </c>
      <c r="D5">
        <f t="shared" si="1"/>
        <v>3.5829480380875633E-2</v>
      </c>
      <c r="E5">
        <f t="shared" si="2"/>
        <v>1.2837516643635519E-3</v>
      </c>
      <c r="G5" t="s">
        <v>2</v>
      </c>
      <c r="H5">
        <f>SUM(E1:E40)</f>
        <v>1.3968564913317758E-2</v>
      </c>
    </row>
    <row r="6" spans="1:8" x14ac:dyDescent="0.25">
      <c r="A6">
        <v>0.89599360004999995</v>
      </c>
      <c r="B6">
        <v>0.57234019769711664</v>
      </c>
      <c r="C6">
        <f t="shared" si="0"/>
        <v>0.51467274746885106</v>
      </c>
      <c r="D6">
        <f t="shared" si="1"/>
        <v>5.7667450228265582E-2</v>
      </c>
      <c r="E6">
        <f t="shared" si="2"/>
        <v>3.3255348158294879E-3</v>
      </c>
    </row>
    <row r="7" spans="1:8" x14ac:dyDescent="0.25">
      <c r="A7">
        <v>1.0587855691499999</v>
      </c>
      <c r="B7">
        <v>0.47270202562838787</v>
      </c>
      <c r="C7">
        <f t="shared" si="0"/>
        <v>0.4472628222310282</v>
      </c>
      <c r="D7">
        <f t="shared" si="1"/>
        <v>2.5439203397359667E-2</v>
      </c>
      <c r="E7">
        <f t="shared" si="2"/>
        <v>6.4715306949223556E-4</v>
      </c>
    </row>
    <row r="8" spans="1:8" x14ac:dyDescent="0.25">
      <c r="A8">
        <v>1.22157753825</v>
      </c>
      <c r="B8">
        <v>0.36572615871738834</v>
      </c>
      <c r="C8">
        <f t="shared" si="0"/>
        <v>0.38272909787747561</v>
      </c>
      <c r="D8">
        <f t="shared" si="1"/>
        <v>-1.7002939160087271E-2</v>
      </c>
      <c r="E8">
        <f t="shared" si="2"/>
        <v>2.8909994008162926E-4</v>
      </c>
    </row>
    <row r="9" spans="1:8" x14ac:dyDescent="0.25">
      <c r="A9">
        <v>1.38436950735</v>
      </c>
      <c r="B9">
        <v>0.30316265532539582</v>
      </c>
      <c r="C9">
        <f t="shared" si="0"/>
        <v>0.32331754720544414</v>
      </c>
      <c r="D9">
        <f t="shared" si="1"/>
        <v>-2.015489188004832E-2</v>
      </c>
      <c r="E9">
        <f t="shared" si="2"/>
        <v>4.0621966669643773E-4</v>
      </c>
    </row>
    <row r="10" spans="1:8" x14ac:dyDescent="0.25">
      <c r="A10">
        <v>1.5471614764499999</v>
      </c>
      <c r="B10">
        <v>0.24368870765646466</v>
      </c>
      <c r="C10">
        <f t="shared" si="0"/>
        <v>0.27012342986325438</v>
      </c>
      <c r="D10">
        <f t="shared" si="1"/>
        <v>-2.6434722206789718E-2</v>
      </c>
      <c r="E10">
        <f t="shared" si="2"/>
        <v>6.9879453815014151E-4</v>
      </c>
    </row>
    <row r="11" spans="1:8" x14ac:dyDescent="0.25">
      <c r="A11">
        <v>1.7099534455500001</v>
      </c>
      <c r="B11">
        <v>0.21240695596046841</v>
      </c>
      <c r="C11">
        <f t="shared" si="0"/>
        <v>0.22349786801888435</v>
      </c>
      <c r="D11">
        <f t="shared" si="1"/>
        <v>-1.1090912058415947E-2</v>
      </c>
      <c r="E11">
        <f t="shared" si="2"/>
        <v>1.2300833028751625E-4</v>
      </c>
    </row>
    <row r="12" spans="1:8" x14ac:dyDescent="0.25">
      <c r="A12">
        <v>1.8727454146500002</v>
      </c>
      <c r="B12">
        <v>0.1587259252722773</v>
      </c>
      <c r="C12">
        <f t="shared" si="0"/>
        <v>0.1833206190613135</v>
      </c>
      <c r="D12">
        <f t="shared" si="1"/>
        <v>-2.4594693789036198E-2</v>
      </c>
      <c r="E12">
        <f t="shared" si="2"/>
        <v>6.048989625764557E-4</v>
      </c>
    </row>
    <row r="13" spans="1:8" x14ac:dyDescent="0.25">
      <c r="A13">
        <v>2.0355373837499999</v>
      </c>
      <c r="B13">
        <v>0.13980239646852646</v>
      </c>
      <c r="C13">
        <f t="shared" si="0"/>
        <v>0.14918722656714453</v>
      </c>
      <c r="D13">
        <f t="shared" si="1"/>
        <v>-9.3848300986180688E-3</v>
      </c>
      <c r="E13">
        <f t="shared" si="2"/>
        <v>8.8075035979927628E-5</v>
      </c>
    </row>
    <row r="14" spans="1:8" x14ac:dyDescent="0.25">
      <c r="A14">
        <v>2.1983293528500001</v>
      </c>
      <c r="B14">
        <v>0.11276878389173958</v>
      </c>
      <c r="C14">
        <f t="shared" si="0"/>
        <v>0.12053772939462794</v>
      </c>
      <c r="D14">
        <f t="shared" si="1"/>
        <v>-7.7689455028883553E-3</v>
      </c>
      <c r="E14">
        <f t="shared" si="2"/>
        <v>6.0356514226849202E-5</v>
      </c>
    </row>
    <row r="15" spans="1:8" x14ac:dyDescent="0.25">
      <c r="A15">
        <v>2.3611213219499998</v>
      </c>
      <c r="B15">
        <v>9.6934810811050126E-2</v>
      </c>
      <c r="C15">
        <f t="shared" si="0"/>
        <v>9.6744076424371772E-2</v>
      </c>
      <c r="D15">
        <f t="shared" si="1"/>
        <v>1.9073438667835396E-4</v>
      </c>
      <c r="E15">
        <f t="shared" si="2"/>
        <v>3.6379606261567849E-8</v>
      </c>
    </row>
    <row r="16" spans="1:8" x14ac:dyDescent="0.25">
      <c r="A16">
        <v>2.52391329105</v>
      </c>
      <c r="B16">
        <v>7.8011282007299301E-2</v>
      </c>
      <c r="C16">
        <f t="shared" si="0"/>
        <v>7.7167941258557776E-2</v>
      </c>
      <c r="D16">
        <f t="shared" si="1"/>
        <v>8.4334074874152509E-4</v>
      </c>
      <c r="E16">
        <f t="shared" si="2"/>
        <v>7.1122361848791616E-7</v>
      </c>
    </row>
    <row r="17" spans="1:5" x14ac:dyDescent="0.25">
      <c r="A17">
        <v>2.6867052601500001</v>
      </c>
      <c r="B17">
        <v>6.6811642511201877E-2</v>
      </c>
      <c r="C17">
        <f t="shared" si="0"/>
        <v>6.1197305411110778E-2</v>
      </c>
      <c r="D17">
        <f t="shared" si="1"/>
        <v>5.6143371000910991E-3</v>
      </c>
      <c r="E17">
        <f t="shared" si="2"/>
        <v>3.1520781073459332E-5</v>
      </c>
    </row>
    <row r="18" spans="1:5" x14ac:dyDescent="0.25">
      <c r="A18">
        <v>2.8494972292499998</v>
      </c>
      <c r="B18">
        <v>4.9432891568981736E-2</v>
      </c>
      <c r="C18">
        <f t="shared" si="0"/>
        <v>4.8267953790050028E-2</v>
      </c>
      <c r="D18">
        <f t="shared" si="1"/>
        <v>1.1649377789317086E-3</v>
      </c>
      <c r="E18">
        <f t="shared" si="2"/>
        <v>1.3570800287823424E-6</v>
      </c>
    </row>
    <row r="19" spans="1:5" x14ac:dyDescent="0.25">
      <c r="A19">
        <v>3.01228919835</v>
      </c>
      <c r="B19">
        <v>4.4026169053624359E-2</v>
      </c>
      <c r="C19">
        <f t="shared" si="0"/>
        <v>3.7874437952108604E-2</v>
      </c>
      <c r="D19">
        <f t="shared" si="1"/>
        <v>6.1517311015157547E-3</v>
      </c>
      <c r="E19">
        <f t="shared" si="2"/>
        <v>3.7843795545356239E-5</v>
      </c>
    </row>
    <row r="20" spans="1:5" x14ac:dyDescent="0.25">
      <c r="A20">
        <v>3.1750811674500001</v>
      </c>
      <c r="B20">
        <v>3.7074668676736304E-2</v>
      </c>
      <c r="C20">
        <f t="shared" si="0"/>
        <v>2.9573882550487783E-2</v>
      </c>
      <c r="D20">
        <f t="shared" si="1"/>
        <v>7.5007861262485209E-3</v>
      </c>
      <c r="E20">
        <f t="shared" si="2"/>
        <v>5.6261792511722292E-5</v>
      </c>
    </row>
    <row r="21" spans="1:5" x14ac:dyDescent="0.25">
      <c r="A21">
        <v>3.3378731365499998</v>
      </c>
      <c r="B21">
        <v>2.5102640249873538E-2</v>
      </c>
      <c r="C21">
        <f t="shared" si="0"/>
        <v>2.2985115630423082E-2</v>
      </c>
      <c r="D21">
        <f t="shared" si="1"/>
        <v>2.1175246194504553E-3</v>
      </c>
      <c r="E21">
        <f t="shared" si="2"/>
        <v>4.4839105139787956E-6</v>
      </c>
    </row>
    <row r="22" spans="1:5" x14ac:dyDescent="0.25">
      <c r="A22">
        <v>3.5006651056500004</v>
      </c>
      <c r="B22">
        <v>1.8151139872985483E-2</v>
      </c>
      <c r="C22">
        <f t="shared" si="0"/>
        <v>1.778492032848095E-2</v>
      </c>
      <c r="D22">
        <f t="shared" si="1"/>
        <v>3.662195445045327E-4</v>
      </c>
      <c r="E22">
        <f t="shared" si="2"/>
        <v>1.341167547771074E-7</v>
      </c>
    </row>
    <row r="23" spans="1:5" x14ac:dyDescent="0.25">
      <c r="A23">
        <v>3.6634570747500002</v>
      </c>
      <c r="B23">
        <v>1.8923528803750821E-2</v>
      </c>
      <c r="C23">
        <f t="shared" si="0"/>
        <v>1.3702685145688433E-2</v>
      </c>
      <c r="D23">
        <f t="shared" si="1"/>
        <v>5.2208436580623886E-3</v>
      </c>
      <c r="E23">
        <f t="shared" si="2"/>
        <v>2.7257208501930263E-5</v>
      </c>
    </row>
    <row r="24" spans="1:5" x14ac:dyDescent="0.25">
      <c r="A24">
        <v>3.8262490438499999</v>
      </c>
      <c r="B24">
        <v>1.2744417357628103E-2</v>
      </c>
      <c r="C24">
        <f t="shared" si="0"/>
        <v>1.0514336772718168E-2</v>
      </c>
      <c r="D24">
        <f t="shared" si="1"/>
        <v>2.2300805849099353E-3</v>
      </c>
      <c r="E24">
        <f t="shared" si="2"/>
        <v>4.9732594151922394E-6</v>
      </c>
    </row>
    <row r="25" spans="1:5" x14ac:dyDescent="0.25">
      <c r="A25">
        <v>3.98904101295</v>
      </c>
      <c r="B25">
        <v>1.0041056099949415E-2</v>
      </c>
      <c r="C25">
        <f t="shared" si="0"/>
        <v>8.0361460900138897E-3</v>
      </c>
      <c r="D25">
        <f t="shared" si="1"/>
        <v>2.004910009935525E-3</v>
      </c>
      <c r="E25">
        <f t="shared" si="2"/>
        <v>4.0196641479396673E-6</v>
      </c>
    </row>
    <row r="26" spans="1:5" x14ac:dyDescent="0.25">
      <c r="A26">
        <v>4.1518329820499993</v>
      </c>
      <c r="B26">
        <v>8.4962782384187356E-3</v>
      </c>
      <c r="C26">
        <f t="shared" si="0"/>
        <v>6.1187826631841037E-3</v>
      </c>
      <c r="D26">
        <f t="shared" si="1"/>
        <v>2.3774955752346319E-3</v>
      </c>
      <c r="E26">
        <f t="shared" si="2"/>
        <v>5.6524852102602534E-6</v>
      </c>
    </row>
    <row r="27" spans="1:5" x14ac:dyDescent="0.25">
      <c r="A27">
        <v>4.3146249511499999</v>
      </c>
      <c r="B27">
        <v>3.861944653826698E-3</v>
      </c>
      <c r="C27">
        <f t="shared" si="0"/>
        <v>4.6418382213934484E-3</v>
      </c>
      <c r="D27">
        <f t="shared" si="1"/>
        <v>-7.7989356756675036E-4</v>
      </c>
      <c r="E27">
        <f t="shared" si="2"/>
        <v>6.0823397673199344E-7</v>
      </c>
    </row>
    <row r="28" spans="1:5" x14ac:dyDescent="0.25">
      <c r="A28">
        <v>4.4774169202500005</v>
      </c>
      <c r="B28">
        <v>6.5653059115053872E-3</v>
      </c>
      <c r="C28">
        <f t="shared" si="0"/>
        <v>3.5089310381941729E-3</v>
      </c>
      <c r="D28">
        <f t="shared" si="1"/>
        <v>3.0563748733112143E-3</v>
      </c>
      <c r="E28">
        <f t="shared" si="2"/>
        <v>9.341427366208141E-6</v>
      </c>
    </row>
    <row r="29" spans="1:5" x14ac:dyDescent="0.25">
      <c r="A29">
        <v>4.6402088893499993</v>
      </c>
      <c r="B29">
        <v>2.7033612576786888E-3</v>
      </c>
      <c r="C29">
        <f t="shared" si="0"/>
        <v>2.6434294280406226E-3</v>
      </c>
      <c r="D29">
        <f t="shared" si="1"/>
        <v>5.9931829638066193E-5</v>
      </c>
      <c r="E29">
        <f t="shared" si="2"/>
        <v>3.5918242037661891E-9</v>
      </c>
    </row>
    <row r="30" spans="1:5" x14ac:dyDescent="0.25">
      <c r="A30">
        <v>4.8030008584499999</v>
      </c>
      <c r="B30">
        <v>3.861944653826698E-3</v>
      </c>
      <c r="C30">
        <f t="shared" si="0"/>
        <v>1.9847846747499493E-3</v>
      </c>
      <c r="D30">
        <f t="shared" si="1"/>
        <v>1.8771599790767487E-3</v>
      </c>
      <c r="E30">
        <f t="shared" si="2"/>
        <v>3.5237295870474196E-6</v>
      </c>
    </row>
    <row r="31" spans="1:5" x14ac:dyDescent="0.25">
      <c r="A31">
        <v>4.9657928275500005</v>
      </c>
      <c r="B31">
        <v>1.930972326913349E-3</v>
      </c>
      <c r="C31">
        <f t="shared" si="0"/>
        <v>1.4854345292835719E-3</v>
      </c>
      <c r="D31">
        <f t="shared" si="1"/>
        <v>4.4553779762977709E-4</v>
      </c>
      <c r="E31">
        <f t="shared" si="2"/>
        <v>1.9850392911679221E-7</v>
      </c>
    </row>
    <row r="32" spans="1:5" x14ac:dyDescent="0.25">
      <c r="A32">
        <v>5.1285847966499993</v>
      </c>
      <c r="B32">
        <v>7.7238893076533963E-4</v>
      </c>
      <c r="C32">
        <f t="shared" si="0"/>
        <v>1.1082224831677895E-3</v>
      </c>
      <c r="D32">
        <f t="shared" si="1"/>
        <v>-3.3583355240244985E-4</v>
      </c>
      <c r="E32">
        <f t="shared" si="2"/>
        <v>1.1278417491924903E-7</v>
      </c>
    </row>
    <row r="33" spans="1:5" x14ac:dyDescent="0.25">
      <c r="A33">
        <v>5.2913767657499999</v>
      </c>
      <c r="B33">
        <v>0</v>
      </c>
      <c r="C33">
        <f t="shared" si="0"/>
        <v>8.2427119103277641E-4</v>
      </c>
      <c r="D33">
        <f t="shared" si="1"/>
        <v>-8.2427119103277641E-4</v>
      </c>
      <c r="E33">
        <f t="shared" si="2"/>
        <v>6.7942299636659183E-7</v>
      </c>
    </row>
    <row r="34" spans="1:5" x14ac:dyDescent="0.25">
      <c r="A34">
        <v>5.4541687348500005</v>
      </c>
      <c r="B34">
        <v>1.1585833961480095E-3</v>
      </c>
      <c r="C34">
        <f t="shared" si="0"/>
        <v>6.1124759083542657E-4</v>
      </c>
      <c r="D34">
        <f t="shared" si="1"/>
        <v>5.4733580531258293E-4</v>
      </c>
      <c r="E34">
        <f t="shared" si="2"/>
        <v>2.9957648377717368E-7</v>
      </c>
    </row>
    <row r="35" spans="1:5" x14ac:dyDescent="0.25">
      <c r="A35">
        <v>5.6169607039499994</v>
      </c>
      <c r="B35">
        <v>7.7238893076533963E-4</v>
      </c>
      <c r="C35">
        <f t="shared" si="0"/>
        <v>4.5196019886418429E-4</v>
      </c>
      <c r="D35">
        <f t="shared" si="1"/>
        <v>3.2042873190115534E-4</v>
      </c>
      <c r="E35">
        <f t="shared" si="2"/>
        <v>1.0267457222778248E-7</v>
      </c>
    </row>
    <row r="36" spans="1:5" x14ac:dyDescent="0.25">
      <c r="A36">
        <v>5.77975267305</v>
      </c>
      <c r="B36">
        <v>0</v>
      </c>
      <c r="C36">
        <f t="shared" si="0"/>
        <v>3.3323413238548367E-4</v>
      </c>
      <c r="D36">
        <f t="shared" si="1"/>
        <v>-3.3323413238548367E-4</v>
      </c>
      <c r="E36">
        <f t="shared" si="2"/>
        <v>1.1104498698670605E-7</v>
      </c>
    </row>
    <row r="37" spans="1:5" x14ac:dyDescent="0.25">
      <c r="A37">
        <v>5.9425446421500006</v>
      </c>
      <c r="B37">
        <v>0</v>
      </c>
      <c r="C37">
        <f t="shared" si="0"/>
        <v>2.4501552346833889E-4</v>
      </c>
      <c r="D37">
        <f t="shared" si="1"/>
        <v>-2.4501552346833889E-4</v>
      </c>
      <c r="E37">
        <f t="shared" si="2"/>
        <v>6.0032606740464125E-8</v>
      </c>
    </row>
    <row r="38" spans="1:5" x14ac:dyDescent="0.25">
      <c r="A38">
        <v>6.1053366112499994</v>
      </c>
      <c r="B38">
        <v>0</v>
      </c>
      <c r="C38">
        <f t="shared" si="0"/>
        <v>1.7966339006351105E-4</v>
      </c>
      <c r="D38">
        <f t="shared" si="1"/>
        <v>-1.7966339006351105E-4</v>
      </c>
      <c r="E38">
        <f t="shared" si="2"/>
        <v>3.2278933729113324E-8</v>
      </c>
    </row>
    <row r="39" spans="1:5" x14ac:dyDescent="0.25">
      <c r="A39">
        <v>6.26812858035</v>
      </c>
      <c r="B39">
        <v>0</v>
      </c>
      <c r="C39">
        <f t="shared" si="0"/>
        <v>1.3139325222293817E-4</v>
      </c>
      <c r="D39">
        <f t="shared" si="1"/>
        <v>-1.3139325222293817E-4</v>
      </c>
      <c r="E39">
        <f t="shared" si="2"/>
        <v>1.7264186729720646E-8</v>
      </c>
    </row>
    <row r="40" spans="1:5" x14ac:dyDescent="0.25">
      <c r="A40">
        <v>6.4309205494500006</v>
      </c>
      <c r="B40">
        <v>3.8619446538266982E-4</v>
      </c>
      <c r="C40">
        <f t="shared" si="0"/>
        <v>9.5842543403796808E-5</v>
      </c>
      <c r="D40">
        <f t="shared" si="1"/>
        <v>2.9035192197887302E-4</v>
      </c>
      <c r="E40">
        <f t="shared" si="2"/>
        <v>8.430423859682557E-8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867B-08C8-4EDF-A454-F1B0EE5DF91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7.8967388787500009E-2</v>
      </c>
      <c r="B1">
        <v>0.48777546651984099</v>
      </c>
      <c r="C1">
        <f>$H$3*(1+$H$1)*(A1^($H$1))*EXP(-$H$3*(A1^(1+$H$1)))</f>
        <v>0.49097444152061204</v>
      </c>
      <c r="D1">
        <f>B1-C1</f>
        <v>-3.1989750007710427E-3</v>
      </c>
      <c r="E1">
        <f>D1^2</f>
        <v>1.0233441055558092E-5</v>
      </c>
      <c r="G1" t="s">
        <v>0</v>
      </c>
      <c r="H1">
        <v>0.33839540339471402</v>
      </c>
    </row>
    <row r="2" spans="1:8" x14ac:dyDescent="0.25">
      <c r="A2">
        <v>0.23464687836250003</v>
      </c>
      <c r="B2">
        <v>0.65211703512379404</v>
      </c>
      <c r="C2">
        <f t="shared" ref="C2:C40" si="0">$H$3*(1+$H$1)*(A2^($H$1))*EXP(-$H$3*(A2^(1+$H$1)))</f>
        <v>0.64326870571099948</v>
      </c>
      <c r="D2">
        <f t="shared" ref="D2:D40" si="1">B2-C2</f>
        <v>8.8483294127945644E-3</v>
      </c>
      <c r="E2">
        <f t="shared" ref="E2:E40" si="2">D2^2</f>
        <v>7.8292933397325402E-5</v>
      </c>
    </row>
    <row r="3" spans="1:8" x14ac:dyDescent="0.25">
      <c r="A3">
        <v>0.39032636793749997</v>
      </c>
      <c r="B3">
        <v>0.68442004615159813</v>
      </c>
      <c r="C3">
        <f t="shared" si="0"/>
        <v>0.67427375690541114</v>
      </c>
      <c r="D3">
        <f t="shared" si="1"/>
        <v>1.014628924618699E-2</v>
      </c>
      <c r="E3">
        <f t="shared" si="2"/>
        <v>1.0294718546728976E-4</v>
      </c>
      <c r="G3" t="s">
        <v>1</v>
      </c>
      <c r="H3">
        <f>(_xlfn.GAMMA((2+$H$1)/(1+$H$1)))^(1+$H$1)</f>
        <v>0.89234941947458835</v>
      </c>
    </row>
    <row r="4" spans="1:8" x14ac:dyDescent="0.25">
      <c r="A4">
        <v>0.54600585751249997</v>
      </c>
      <c r="B4">
        <v>0.60527766913347825</v>
      </c>
      <c r="C4">
        <f t="shared" si="0"/>
        <v>0.65428817720923371</v>
      </c>
      <c r="D4">
        <f t="shared" si="1"/>
        <v>-4.9010508075755466E-2</v>
      </c>
      <c r="E4">
        <f t="shared" si="2"/>
        <v>2.4020299018436917E-3</v>
      </c>
    </row>
    <row r="5" spans="1:8" x14ac:dyDescent="0.25">
      <c r="A5">
        <v>0.70168534708750008</v>
      </c>
      <c r="B5">
        <v>0.57458980865706433</v>
      </c>
      <c r="C5">
        <f t="shared" si="0"/>
        <v>0.60791626245862562</v>
      </c>
      <c r="D5">
        <f t="shared" si="1"/>
        <v>-3.3326453801561295E-2</v>
      </c>
      <c r="E5">
        <f t="shared" si="2"/>
        <v>1.1106525229875994E-3</v>
      </c>
      <c r="G5" t="s">
        <v>2</v>
      </c>
      <c r="H5">
        <f>SUM(E1:E40)</f>
        <v>8.4382501150018011E-3</v>
      </c>
    </row>
    <row r="6" spans="1:8" x14ac:dyDescent="0.25">
      <c r="A6">
        <v>0.85736483666249996</v>
      </c>
      <c r="B6">
        <v>0.56732163117580847</v>
      </c>
      <c r="C6">
        <f t="shared" si="0"/>
        <v>0.54840071105745547</v>
      </c>
      <c r="D6">
        <f t="shared" si="1"/>
        <v>1.8920920118353002E-2</v>
      </c>
      <c r="E6">
        <f t="shared" si="2"/>
        <v>3.580012181250954E-4</v>
      </c>
    </row>
    <row r="7" spans="1:8" x14ac:dyDescent="0.25">
      <c r="A7">
        <v>1.0130443262375</v>
      </c>
      <c r="B7">
        <v>0.53622998306154712</v>
      </c>
      <c r="C7">
        <f t="shared" si="0"/>
        <v>0.48383892844574494</v>
      </c>
      <c r="D7">
        <f t="shared" si="1"/>
        <v>5.2391054615802179E-2</v>
      </c>
      <c r="E7">
        <f t="shared" si="2"/>
        <v>2.7448226037559667E-3</v>
      </c>
    </row>
    <row r="8" spans="1:8" x14ac:dyDescent="0.25">
      <c r="A8">
        <v>1.1687238158125</v>
      </c>
      <c r="B8">
        <v>0.43003383430764131</v>
      </c>
      <c r="C8">
        <f t="shared" si="0"/>
        <v>0.41933824593708646</v>
      </c>
      <c r="D8">
        <f t="shared" si="1"/>
        <v>1.0695588370554843E-2</v>
      </c>
      <c r="E8">
        <f t="shared" si="2"/>
        <v>1.14395610592348E-4</v>
      </c>
    </row>
    <row r="9" spans="1:8" x14ac:dyDescent="0.25">
      <c r="A9">
        <v>1.3244033053875</v>
      </c>
      <c r="B9">
        <v>0.34766115618674098</v>
      </c>
      <c r="C9">
        <f t="shared" si="0"/>
        <v>0.35805835271130859</v>
      </c>
      <c r="D9">
        <f t="shared" si="1"/>
        <v>-1.0397196524567609E-2</v>
      </c>
      <c r="E9">
        <f t="shared" si="2"/>
        <v>1.0810169557048077E-4</v>
      </c>
    </row>
    <row r="10" spans="1:8" x14ac:dyDescent="0.25">
      <c r="A10">
        <v>1.4800827949625002</v>
      </c>
      <c r="B10">
        <v>0.29799527673149229</v>
      </c>
      <c r="C10">
        <f t="shared" si="0"/>
        <v>0.30182939144729093</v>
      </c>
      <c r="D10">
        <f t="shared" si="1"/>
        <v>-3.8341147157986422E-3</v>
      </c>
      <c r="E10">
        <f t="shared" si="2"/>
        <v>1.4700435653903702E-5</v>
      </c>
    </row>
    <row r="11" spans="1:8" x14ac:dyDescent="0.25">
      <c r="A11">
        <v>1.6357622845375002</v>
      </c>
      <c r="B11">
        <v>0.23904228160574989</v>
      </c>
      <c r="C11">
        <f t="shared" si="0"/>
        <v>0.2515642938512016</v>
      </c>
      <c r="D11">
        <f t="shared" si="1"/>
        <v>-1.2522012245451714E-2</v>
      </c>
      <c r="E11">
        <f t="shared" si="2"/>
        <v>1.5680079067524266E-4</v>
      </c>
    </row>
    <row r="12" spans="1:8" x14ac:dyDescent="0.25">
      <c r="A12">
        <v>1.7914417741125002</v>
      </c>
      <c r="B12">
        <v>0.18574231340987324</v>
      </c>
      <c r="C12">
        <f t="shared" si="0"/>
        <v>0.20755102708187678</v>
      </c>
      <c r="D12">
        <f t="shared" si="1"/>
        <v>-2.1808713672003543E-2</v>
      </c>
      <c r="E12">
        <f t="shared" si="2"/>
        <v>4.7561999202743431E-4</v>
      </c>
    </row>
    <row r="13" spans="1:8" x14ac:dyDescent="0.25">
      <c r="A13">
        <v>1.9471212636874999</v>
      </c>
      <c r="B13">
        <v>0.15182415183067899</v>
      </c>
      <c r="C13">
        <f t="shared" si="0"/>
        <v>0.16966498323594689</v>
      </c>
      <c r="D13">
        <f t="shared" si="1"/>
        <v>-1.7840831405267904E-2</v>
      </c>
      <c r="E13">
        <f t="shared" si="2"/>
        <v>3.1829526523119352E-4</v>
      </c>
    </row>
    <row r="14" spans="1:8" x14ac:dyDescent="0.25">
      <c r="A14">
        <v>2.1028007532624997</v>
      </c>
      <c r="B14">
        <v>0.13365370812753921</v>
      </c>
      <c r="C14">
        <f t="shared" si="0"/>
        <v>0.13752388168895149</v>
      </c>
      <c r="D14">
        <f t="shared" si="1"/>
        <v>-3.8701735614122823E-3</v>
      </c>
      <c r="E14">
        <f t="shared" si="2"/>
        <v>1.4978243395454629E-5</v>
      </c>
    </row>
    <row r="15" spans="1:8" x14ac:dyDescent="0.25">
      <c r="A15">
        <v>2.2584802428374999</v>
      </c>
      <c r="B15">
        <v>0.10538857347821068</v>
      </c>
      <c r="C15">
        <f t="shared" si="0"/>
        <v>0.11059957773460012</v>
      </c>
      <c r="D15">
        <f t="shared" si="1"/>
        <v>-5.2110042563894426E-3</v>
      </c>
      <c r="E15">
        <f t="shared" si="2"/>
        <v>2.7154565360108888E-5</v>
      </c>
    </row>
    <row r="16" spans="1:8" x14ac:dyDescent="0.25">
      <c r="A16">
        <v>2.4141597324125001</v>
      </c>
      <c r="B16">
        <v>7.4700713001796842E-2</v>
      </c>
      <c r="C16">
        <f t="shared" si="0"/>
        <v>8.829707776663541E-2</v>
      </c>
      <c r="D16">
        <f t="shared" si="1"/>
        <v>-1.3596364764838567E-2</v>
      </c>
      <c r="E16">
        <f t="shared" si="2"/>
        <v>1.848611348185437E-4</v>
      </c>
    </row>
    <row r="17" spans="1:5" x14ac:dyDescent="0.25">
      <c r="A17">
        <v>2.5698392219875004</v>
      </c>
      <c r="B17">
        <v>7.6315863553187049E-2</v>
      </c>
      <c r="C17">
        <f t="shared" si="0"/>
        <v>7.0008615443452785E-2</v>
      </c>
      <c r="D17">
        <f t="shared" si="1"/>
        <v>6.3072481097342648E-3</v>
      </c>
      <c r="E17">
        <f t="shared" si="2"/>
        <v>3.9781378717746458E-5</v>
      </c>
    </row>
    <row r="18" spans="1:5" x14ac:dyDescent="0.25">
      <c r="A18">
        <v>2.7255187115625001</v>
      </c>
      <c r="B18">
        <v>5.370375583372422E-2</v>
      </c>
      <c r="C18">
        <f t="shared" si="0"/>
        <v>5.5148960841296883E-2</v>
      </c>
      <c r="D18">
        <f t="shared" si="1"/>
        <v>-1.4452050075726627E-3</v>
      </c>
      <c r="E18">
        <f t="shared" si="2"/>
        <v>2.0886175139131004E-6</v>
      </c>
    </row>
    <row r="19" spans="1:5" x14ac:dyDescent="0.25">
      <c r="A19">
        <v>2.8811982011374999</v>
      </c>
      <c r="B19">
        <v>5.1684817644486465E-2</v>
      </c>
      <c r="C19">
        <f t="shared" si="0"/>
        <v>4.3176853137080404E-2</v>
      </c>
      <c r="D19">
        <f t="shared" si="1"/>
        <v>8.5079645074060614E-3</v>
      </c>
      <c r="E19">
        <f t="shared" si="2"/>
        <v>7.2385460059281272E-5</v>
      </c>
    </row>
    <row r="20" spans="1:5" x14ac:dyDescent="0.25">
      <c r="A20">
        <v>3.0368776907125001</v>
      </c>
      <c r="B20">
        <v>3.8763613233364851E-2</v>
      </c>
      <c r="C20">
        <f t="shared" si="0"/>
        <v>3.3606414377407905E-2</v>
      </c>
      <c r="D20">
        <f t="shared" si="1"/>
        <v>5.1571988559569459E-3</v>
      </c>
      <c r="E20">
        <f t="shared" si="2"/>
        <v>2.6596700039883633E-5</v>
      </c>
    </row>
    <row r="21" spans="1:5" x14ac:dyDescent="0.25">
      <c r="A21">
        <v>3.1925571802875004</v>
      </c>
      <c r="B21">
        <v>2.5438621184395681E-2</v>
      </c>
      <c r="C21">
        <f t="shared" si="0"/>
        <v>2.6011550337764193E-2</v>
      </c>
      <c r="D21">
        <f t="shared" si="1"/>
        <v>-5.7292915336851213E-4</v>
      </c>
      <c r="E21">
        <f t="shared" si="2"/>
        <v>3.2824781477956011E-7</v>
      </c>
    </row>
    <row r="22" spans="1:5" x14ac:dyDescent="0.25">
      <c r="A22">
        <v>3.3482366698625001</v>
      </c>
      <c r="B22">
        <v>2.1400744805920177E-2</v>
      </c>
      <c r="C22">
        <f t="shared" si="0"/>
        <v>2.0025641310395057E-2</v>
      </c>
      <c r="D22">
        <f t="shared" si="1"/>
        <v>1.37510349552512E-3</v>
      </c>
      <c r="E22">
        <f t="shared" si="2"/>
        <v>1.8909096234054038E-6</v>
      </c>
    </row>
    <row r="23" spans="1:5" x14ac:dyDescent="0.25">
      <c r="A23">
        <v>3.5039161594374999</v>
      </c>
      <c r="B23">
        <v>2.0996957168072625E-2</v>
      </c>
      <c r="C23">
        <f t="shared" si="0"/>
        <v>1.5338250524295037E-2</v>
      </c>
      <c r="D23">
        <f t="shared" si="1"/>
        <v>5.658706643777588E-3</v>
      </c>
      <c r="E23">
        <f t="shared" si="2"/>
        <v>3.2020960880332612E-5</v>
      </c>
    </row>
    <row r="24" spans="1:5" x14ac:dyDescent="0.25">
      <c r="A24">
        <v>3.6595956490125001</v>
      </c>
      <c r="B24">
        <v>1.6151505513902022E-2</v>
      </c>
      <c r="C24">
        <f t="shared" si="0"/>
        <v>1.1690114650960377E-2</v>
      </c>
      <c r="D24">
        <f t="shared" si="1"/>
        <v>4.4613908629416443E-3</v>
      </c>
      <c r="E24">
        <f t="shared" si="2"/>
        <v>1.9904008431939189E-5</v>
      </c>
    </row>
    <row r="25" spans="1:5" x14ac:dyDescent="0.25">
      <c r="A25">
        <v>3.8152751385875003</v>
      </c>
      <c r="B25">
        <v>1.0498478584036313E-2</v>
      </c>
      <c r="C25">
        <f t="shared" si="0"/>
        <v>8.8673145774279486E-3</v>
      </c>
      <c r="D25">
        <f t="shared" si="1"/>
        <v>1.6311640066083641E-3</v>
      </c>
      <c r="E25">
        <f t="shared" si="2"/>
        <v>2.660696016454651E-6</v>
      </c>
    </row>
    <row r="26" spans="1:5" x14ac:dyDescent="0.25">
      <c r="A26">
        <v>3.9709546281625001</v>
      </c>
      <c r="B26">
        <v>7.2681774812559091E-3</v>
      </c>
      <c r="C26">
        <f t="shared" si="0"/>
        <v>6.6952409616116764E-3</v>
      </c>
      <c r="D26">
        <f t="shared" si="1"/>
        <v>5.7293651964423261E-4</v>
      </c>
      <c r="E26">
        <f t="shared" si="2"/>
        <v>3.2825625554204616E-7</v>
      </c>
    </row>
    <row r="27" spans="1:5" x14ac:dyDescent="0.25">
      <c r="A27">
        <v>4.1266341177374999</v>
      </c>
      <c r="B27">
        <v>7.2681774812559091E-3</v>
      </c>
      <c r="C27">
        <f t="shared" si="0"/>
        <v>5.0327543221856163E-3</v>
      </c>
      <c r="D27">
        <f t="shared" si="1"/>
        <v>2.2354231590702928E-3</v>
      </c>
      <c r="E27">
        <f t="shared" si="2"/>
        <v>4.9971167001078078E-6</v>
      </c>
    </row>
    <row r="28" spans="1:5" x14ac:dyDescent="0.25">
      <c r="A28">
        <v>4.2823136073124992</v>
      </c>
      <c r="B28">
        <v>6.0568145677132573E-3</v>
      </c>
      <c r="C28">
        <f t="shared" si="0"/>
        <v>3.7667808678690006E-3</v>
      </c>
      <c r="D28">
        <f t="shared" si="1"/>
        <v>2.2900336998442567E-3</v>
      </c>
      <c r="E28">
        <f t="shared" si="2"/>
        <v>5.2442543464223748E-6</v>
      </c>
    </row>
    <row r="29" spans="1:5" x14ac:dyDescent="0.25">
      <c r="A29">
        <v>4.4379930968874994</v>
      </c>
      <c r="B29">
        <v>3.6340887406279545E-3</v>
      </c>
      <c r="C29">
        <f t="shared" si="0"/>
        <v>2.8074715640429549E-3</v>
      </c>
      <c r="D29">
        <f t="shared" si="1"/>
        <v>8.2661717658499964E-4</v>
      </c>
      <c r="E29">
        <f t="shared" si="2"/>
        <v>6.8329595662535652E-7</v>
      </c>
    </row>
    <row r="30" spans="1:5" x14ac:dyDescent="0.25">
      <c r="A30">
        <v>4.5936725864624997</v>
      </c>
      <c r="B30">
        <v>4.0378763784755054E-3</v>
      </c>
      <c r="C30">
        <f t="shared" si="0"/>
        <v>2.0839731832289769E-3</v>
      </c>
      <c r="D30">
        <f t="shared" si="1"/>
        <v>1.9539031952465285E-3</v>
      </c>
      <c r="E30">
        <f t="shared" si="2"/>
        <v>3.8177376963945939E-6</v>
      </c>
    </row>
    <row r="31" spans="1:5" x14ac:dyDescent="0.25">
      <c r="A31">
        <v>4.7493520760374999</v>
      </c>
      <c r="B31">
        <v>3.2303011027804041E-3</v>
      </c>
      <c r="C31">
        <f t="shared" si="0"/>
        <v>1.540807943848738E-3</v>
      </c>
      <c r="D31">
        <f t="shared" si="1"/>
        <v>1.689493158931666E-3</v>
      </c>
      <c r="E31">
        <f t="shared" si="2"/>
        <v>2.8543871340768999E-6</v>
      </c>
    </row>
    <row r="32" spans="1:5" x14ac:dyDescent="0.25">
      <c r="A32">
        <v>4.9050315656125001</v>
      </c>
      <c r="B32">
        <v>4.0378763784755051E-4</v>
      </c>
      <c r="C32">
        <f t="shared" si="0"/>
        <v>1.1348259475486091E-3</v>
      </c>
      <c r="D32">
        <f t="shared" si="1"/>
        <v>-7.3103830970105868E-4</v>
      </c>
      <c r="E32">
        <f t="shared" si="2"/>
        <v>5.3441701025058104E-7</v>
      </c>
    </row>
    <row r="33" spans="1:5" x14ac:dyDescent="0.25">
      <c r="A33">
        <v>5.0607110551875003</v>
      </c>
      <c r="B33">
        <v>8.0757527569510102E-4</v>
      </c>
      <c r="C33">
        <f t="shared" si="0"/>
        <v>8.3267647905282992E-4</v>
      </c>
      <c r="D33">
        <f t="shared" si="1"/>
        <v>-2.5101203357728906E-5</v>
      </c>
      <c r="E33">
        <f t="shared" si="2"/>
        <v>6.300704100060609E-10</v>
      </c>
    </row>
    <row r="34" spans="1:5" x14ac:dyDescent="0.25">
      <c r="A34">
        <v>5.2163905447625005</v>
      </c>
      <c r="B34">
        <v>8.0757527569510102E-4</v>
      </c>
      <c r="C34">
        <f t="shared" si="0"/>
        <v>6.08736031419126E-4</v>
      </c>
      <c r="D34">
        <f t="shared" si="1"/>
        <v>1.9883924427597502E-4</v>
      </c>
      <c r="E34">
        <f t="shared" si="2"/>
        <v>3.9537045064240861E-8</v>
      </c>
    </row>
    <row r="35" spans="1:5" x14ac:dyDescent="0.25">
      <c r="A35">
        <v>5.3720700343375007</v>
      </c>
      <c r="B35">
        <v>4.0378763784755051E-4</v>
      </c>
      <c r="C35">
        <f t="shared" si="0"/>
        <v>4.4342937930151111E-4</v>
      </c>
      <c r="D35">
        <f t="shared" si="1"/>
        <v>-3.9641741453960602E-5</v>
      </c>
      <c r="E35">
        <f t="shared" si="2"/>
        <v>1.5714676655026584E-9</v>
      </c>
    </row>
    <row r="36" spans="1:5" x14ac:dyDescent="0.25">
      <c r="A36">
        <v>5.5277495239125001</v>
      </c>
      <c r="B36">
        <v>4.0378763784755051E-4</v>
      </c>
      <c r="C36">
        <f t="shared" si="0"/>
        <v>3.2188269922738341E-4</v>
      </c>
      <c r="D36">
        <f t="shared" si="1"/>
        <v>8.1904938620167098E-5</v>
      </c>
      <c r="E36">
        <f t="shared" si="2"/>
        <v>6.7084189703733402E-9</v>
      </c>
    </row>
    <row r="37" spans="1:5" x14ac:dyDescent="0.25">
      <c r="A37">
        <v>5.6834290134875003</v>
      </c>
      <c r="B37">
        <v>0</v>
      </c>
      <c r="C37">
        <f t="shared" si="0"/>
        <v>2.3285285979220344E-4</v>
      </c>
      <c r="D37">
        <f t="shared" si="1"/>
        <v>-2.3285285979220344E-4</v>
      </c>
      <c r="E37">
        <f t="shared" si="2"/>
        <v>5.4220454313407555E-8</v>
      </c>
    </row>
    <row r="38" spans="1:5" x14ac:dyDescent="0.25">
      <c r="A38">
        <v>5.8391085030625005</v>
      </c>
      <c r="B38">
        <v>0</v>
      </c>
      <c r="C38">
        <f t="shared" si="0"/>
        <v>1.6788333549016201E-4</v>
      </c>
      <c r="D38">
        <f t="shared" si="1"/>
        <v>-1.6788333549016201E-4</v>
      </c>
      <c r="E38">
        <f t="shared" si="2"/>
        <v>2.8184814335302291E-8</v>
      </c>
    </row>
    <row r="39" spans="1:5" x14ac:dyDescent="0.25">
      <c r="A39">
        <v>5.9947879926374998</v>
      </c>
      <c r="B39">
        <v>0</v>
      </c>
      <c r="C39">
        <f t="shared" si="0"/>
        <v>1.2064389885039299E-4</v>
      </c>
      <c r="D39">
        <f t="shared" si="1"/>
        <v>-1.2064389885039299E-4</v>
      </c>
      <c r="E39">
        <f t="shared" si="2"/>
        <v>1.4554950329823856E-8</v>
      </c>
    </row>
    <row r="40" spans="1:5" x14ac:dyDescent="0.25">
      <c r="A40">
        <v>6.1504674822125001</v>
      </c>
      <c r="B40">
        <v>4.0378763784755051E-4</v>
      </c>
      <c r="C40">
        <f t="shared" si="0"/>
        <v>8.6417780554736077E-5</v>
      </c>
      <c r="D40">
        <f t="shared" si="1"/>
        <v>3.1736985729281445E-4</v>
      </c>
      <c r="E40">
        <f t="shared" si="2"/>
        <v>1.007236263180614E-7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C252-8605-48E4-BF67-3206D472627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7.6367235199999994E-2</v>
      </c>
      <c r="B1">
        <v>0.41684490812969377</v>
      </c>
      <c r="C1">
        <f>$H$3*(1+$H$1)*(A1^($H$1))*EXP(-$H$3*(A1^(1+$H$1)))</f>
        <v>0.44212270207442828</v>
      </c>
      <c r="D1">
        <f>B1-C1</f>
        <v>-2.5277793944734506E-2</v>
      </c>
      <c r="E1">
        <f>D1^2</f>
        <v>6.389668667124564E-4</v>
      </c>
      <c r="G1" t="s">
        <v>0</v>
      </c>
      <c r="H1">
        <v>0.38524317394937047</v>
      </c>
    </row>
    <row r="2" spans="1:8" x14ac:dyDescent="0.25">
      <c r="A2">
        <v>0.22549263159999999</v>
      </c>
      <c r="B2">
        <v>0.64528771925840356</v>
      </c>
      <c r="C2">
        <f t="shared" ref="C2:C40" si="0">$H$3*(1+$H$1)*(A2^($H$1))*EXP(-$H$3*(A2^(1+$H$1)))</f>
        <v>0.61505425938351699</v>
      </c>
      <c r="D2">
        <f t="shared" ref="D2:D40" si="1">B2-C2</f>
        <v>3.023345987488657E-2</v>
      </c>
      <c r="E2">
        <f t="shared" ref="E2:E40" si="2">D2^2</f>
        <v>9.1406209600637623E-4</v>
      </c>
    </row>
    <row r="3" spans="1:8" x14ac:dyDescent="0.25">
      <c r="A3">
        <v>0.37461802799999999</v>
      </c>
      <c r="B3">
        <v>0.68574991458747392</v>
      </c>
      <c r="C3">
        <f t="shared" si="0"/>
        <v>0.66715776090682077</v>
      </c>
      <c r="D3">
        <f t="shared" si="1"/>
        <v>1.8592153680653145E-2</v>
      </c>
      <c r="E3">
        <f t="shared" si="2"/>
        <v>3.4566817848502427E-4</v>
      </c>
      <c r="G3" t="s">
        <v>1</v>
      </c>
      <c r="H3">
        <f>(_xlfn.GAMMA((2+$H$1)/(1+$H$1)))^(1+$H$1)</f>
        <v>0.88150040294535159</v>
      </c>
    </row>
    <row r="4" spans="1:8" x14ac:dyDescent="0.25">
      <c r="A4">
        <v>0.52374342439999999</v>
      </c>
      <c r="B4">
        <v>0.64992401247319287</v>
      </c>
      <c r="C4">
        <f t="shared" si="0"/>
        <v>0.66413400626746222</v>
      </c>
      <c r="D4">
        <f t="shared" si="1"/>
        <v>-1.4209993794269349E-2</v>
      </c>
      <c r="E4">
        <f t="shared" si="2"/>
        <v>2.019239236331734E-4</v>
      </c>
    </row>
    <row r="5" spans="1:8" x14ac:dyDescent="0.25">
      <c r="A5">
        <v>0.67286882079999999</v>
      </c>
      <c r="B5">
        <v>0.58880923827824283</v>
      </c>
      <c r="C5">
        <f t="shared" si="0"/>
        <v>0.62998386177290178</v>
      </c>
      <c r="D5">
        <f t="shared" si="1"/>
        <v>-4.1174623494658946E-2</v>
      </c>
      <c r="E5">
        <f t="shared" si="2"/>
        <v>1.6953496199269204E-3</v>
      </c>
      <c r="G5" t="s">
        <v>2</v>
      </c>
      <c r="H5">
        <f>SUM(E1:E40)</f>
        <v>6.7148303505986679E-3</v>
      </c>
    </row>
    <row r="6" spans="1:8" x14ac:dyDescent="0.25">
      <c r="A6">
        <v>0.82199421719999999</v>
      </c>
      <c r="B6">
        <v>0.56394184739891828</v>
      </c>
      <c r="C6">
        <f t="shared" si="0"/>
        <v>0.57830412224721772</v>
      </c>
      <c r="D6">
        <f t="shared" si="1"/>
        <v>-1.4362274848299439E-2</v>
      </c>
      <c r="E6">
        <f t="shared" si="2"/>
        <v>2.0627493881809466E-4</v>
      </c>
    </row>
    <row r="7" spans="1:8" x14ac:dyDescent="0.25">
      <c r="A7">
        <v>0.97111961359999999</v>
      </c>
      <c r="B7">
        <v>0.53401668210346009</v>
      </c>
      <c r="C7">
        <f t="shared" si="0"/>
        <v>0.51789847361833763</v>
      </c>
      <c r="D7">
        <f t="shared" si="1"/>
        <v>1.6118208485122465E-2</v>
      </c>
      <c r="E7">
        <f t="shared" si="2"/>
        <v>2.5979664476987385E-4</v>
      </c>
    </row>
    <row r="8" spans="1:8" x14ac:dyDescent="0.25">
      <c r="A8">
        <v>1.1202450099999999</v>
      </c>
      <c r="B8">
        <v>0.48259597553943312</v>
      </c>
      <c r="C8">
        <f t="shared" si="0"/>
        <v>0.45467959056164758</v>
      </c>
      <c r="D8">
        <f t="shared" si="1"/>
        <v>2.7916384977785536E-2</v>
      </c>
      <c r="E8">
        <f t="shared" si="2"/>
        <v>7.7932455022792992E-4</v>
      </c>
    </row>
    <row r="9" spans="1:8" x14ac:dyDescent="0.25">
      <c r="A9">
        <v>1.2693704064</v>
      </c>
      <c r="B9">
        <v>0.38691974283423547</v>
      </c>
      <c r="C9">
        <f t="shared" si="0"/>
        <v>0.39258317375943996</v>
      </c>
      <c r="D9">
        <f t="shared" si="1"/>
        <v>-5.6634309252044934E-3</v>
      </c>
      <c r="E9">
        <f t="shared" si="2"/>
        <v>3.2074449844562626E-5</v>
      </c>
    </row>
    <row r="10" spans="1:8" x14ac:dyDescent="0.25">
      <c r="A10">
        <v>1.4184958027999999</v>
      </c>
      <c r="B10">
        <v>0.35193680312264336</v>
      </c>
      <c r="C10">
        <f t="shared" si="0"/>
        <v>0.33412160824795151</v>
      </c>
      <c r="D10">
        <f t="shared" si="1"/>
        <v>1.7815194874691853E-2</v>
      </c>
      <c r="E10">
        <f t="shared" si="2"/>
        <v>3.1738116842324686E-4</v>
      </c>
    </row>
    <row r="11" spans="1:8" x14ac:dyDescent="0.25">
      <c r="A11">
        <v>1.5676211992</v>
      </c>
      <c r="B11">
        <v>0.27438426207525846</v>
      </c>
      <c r="C11">
        <f t="shared" si="0"/>
        <v>0.28076954787358532</v>
      </c>
      <c r="D11">
        <f t="shared" si="1"/>
        <v>-6.3852857983268674E-3</v>
      </c>
      <c r="E11">
        <f t="shared" si="2"/>
        <v>4.0771874726314778E-5</v>
      </c>
    </row>
    <row r="12" spans="1:8" x14ac:dyDescent="0.25">
      <c r="A12">
        <v>1.7167465956000001</v>
      </c>
      <c r="B12">
        <v>0.21326948788030842</v>
      </c>
      <c r="C12">
        <f t="shared" si="0"/>
        <v>0.23325216050499128</v>
      </c>
      <c r="D12">
        <f t="shared" si="1"/>
        <v>-1.9982672624682868E-2</v>
      </c>
      <c r="E12">
        <f t="shared" si="2"/>
        <v>3.993072052252501E-4</v>
      </c>
    </row>
    <row r="13" spans="1:8" x14ac:dyDescent="0.25">
      <c r="A13">
        <v>1.865871992</v>
      </c>
      <c r="B13">
        <v>0.16943544294048218</v>
      </c>
      <c r="C13">
        <f t="shared" si="0"/>
        <v>0.19176665270278939</v>
      </c>
      <c r="D13">
        <f t="shared" si="1"/>
        <v>-2.2331209762307208E-2</v>
      </c>
      <c r="E13">
        <f t="shared" si="2"/>
        <v>4.9868292944816477E-4</v>
      </c>
    </row>
    <row r="14" spans="1:8" x14ac:dyDescent="0.25">
      <c r="A14">
        <v>2.0149973883999999</v>
      </c>
      <c r="B14">
        <v>0.15468360089342528</v>
      </c>
      <c r="C14">
        <f t="shared" si="0"/>
        <v>0.15615302966442471</v>
      </c>
      <c r="D14">
        <f t="shared" si="1"/>
        <v>-1.4694287709994258E-3</v>
      </c>
      <c r="E14">
        <f t="shared" si="2"/>
        <v>2.1592209130408829E-6</v>
      </c>
    </row>
    <row r="15" spans="1:8" x14ac:dyDescent="0.25">
      <c r="A15">
        <v>2.1641227848</v>
      </c>
      <c r="B15">
        <v>0.12180806718855561</v>
      </c>
      <c r="C15">
        <f t="shared" si="0"/>
        <v>0.12602425778535609</v>
      </c>
      <c r="D15">
        <f t="shared" si="1"/>
        <v>-4.2161905968004787E-3</v>
      </c>
      <c r="E15">
        <f t="shared" si="2"/>
        <v>1.7776263148548776E-5</v>
      </c>
    </row>
    <row r="16" spans="1:8" x14ac:dyDescent="0.25">
      <c r="A16">
        <v>2.3132481812000001</v>
      </c>
      <c r="B16">
        <v>8.8511052282341449E-2</v>
      </c>
      <c r="C16">
        <f t="shared" si="0"/>
        <v>0.10086347079480998</v>
      </c>
      <c r="D16">
        <f t="shared" si="1"/>
        <v>-1.235241851246853E-2</v>
      </c>
      <c r="E16">
        <f t="shared" si="2"/>
        <v>1.5258224310717524E-4</v>
      </c>
    </row>
    <row r="17" spans="1:5" x14ac:dyDescent="0.25">
      <c r="A17">
        <v>2.4623735776000002</v>
      </c>
      <c r="B17">
        <v>7.2073285429906597E-2</v>
      </c>
      <c r="C17">
        <f t="shared" si="0"/>
        <v>8.0094536893459564E-2</v>
      </c>
      <c r="D17">
        <f t="shared" si="1"/>
        <v>-8.0212514635529669E-3</v>
      </c>
      <c r="E17">
        <f t="shared" si="2"/>
        <v>6.4340475041550608E-5</v>
      </c>
    </row>
    <row r="18" spans="1:5" x14ac:dyDescent="0.25">
      <c r="A18">
        <v>2.6114989739999999</v>
      </c>
      <c r="B18">
        <v>6.9122917020495223E-2</v>
      </c>
      <c r="C18">
        <f t="shared" si="0"/>
        <v>6.3131405578855451E-2</v>
      </c>
      <c r="D18">
        <f t="shared" si="1"/>
        <v>5.9915114416397713E-3</v>
      </c>
      <c r="E18">
        <f t="shared" si="2"/>
        <v>3.5898209355300288E-5</v>
      </c>
    </row>
    <row r="19" spans="1:5" x14ac:dyDescent="0.25">
      <c r="A19">
        <v>2.7606243703999995</v>
      </c>
      <c r="B19">
        <v>4.8891819355960035E-2</v>
      </c>
      <c r="C19">
        <f t="shared" si="0"/>
        <v>4.9410895008994177E-2</v>
      </c>
      <c r="D19">
        <f t="shared" si="1"/>
        <v>-5.1907565303414144E-4</v>
      </c>
      <c r="E19">
        <f t="shared" si="2"/>
        <v>2.6943953357282039E-7</v>
      </c>
    </row>
    <row r="20" spans="1:5" x14ac:dyDescent="0.25">
      <c r="A20">
        <v>2.9097497668000001</v>
      </c>
      <c r="B20">
        <v>4.0462195329070375E-2</v>
      </c>
      <c r="C20">
        <f t="shared" si="0"/>
        <v>3.8412875251486636E-2</v>
      </c>
      <c r="D20">
        <f t="shared" si="1"/>
        <v>2.0493200775837384E-3</v>
      </c>
      <c r="E20">
        <f t="shared" si="2"/>
        <v>4.1997127803878191E-6</v>
      </c>
    </row>
    <row r="21" spans="1:5" x14ac:dyDescent="0.25">
      <c r="A21">
        <v>3.0588751631999997</v>
      </c>
      <c r="B21">
        <v>2.9082202892769332E-2</v>
      </c>
      <c r="C21">
        <f t="shared" si="0"/>
        <v>2.9671135470096387E-2</v>
      </c>
      <c r="D21">
        <f t="shared" si="1"/>
        <v>-5.8893257732705456E-4</v>
      </c>
      <c r="E21">
        <f t="shared" si="2"/>
        <v>3.4684158063708711E-7</v>
      </c>
    </row>
    <row r="22" spans="1:5" x14ac:dyDescent="0.25">
      <c r="A22">
        <v>3.2080005596000003</v>
      </c>
      <c r="B22">
        <v>2.6553315684702435E-2</v>
      </c>
      <c r="C22">
        <f t="shared" si="0"/>
        <v>2.2777604012920533E-2</v>
      </c>
      <c r="D22">
        <f t="shared" si="1"/>
        <v>3.775711671781902E-3</v>
      </c>
      <c r="E22">
        <f t="shared" si="2"/>
        <v>1.4255998628430084E-5</v>
      </c>
    </row>
    <row r="23" spans="1:5" x14ac:dyDescent="0.25">
      <c r="A23">
        <v>3.357125956</v>
      </c>
      <c r="B23">
        <v>2.4024428476635534E-2</v>
      </c>
      <c r="C23">
        <f t="shared" si="0"/>
        <v>1.7382033044772264E-2</v>
      </c>
      <c r="D23">
        <f t="shared" si="1"/>
        <v>6.6423954318632697E-3</v>
      </c>
      <c r="E23">
        <f t="shared" si="2"/>
        <v>4.4121417073238034E-5</v>
      </c>
    </row>
    <row r="24" spans="1:5" x14ac:dyDescent="0.25">
      <c r="A24">
        <v>3.5062513523999996</v>
      </c>
      <c r="B24">
        <v>1.6016285651090357E-2</v>
      </c>
      <c r="C24">
        <f t="shared" si="0"/>
        <v>1.3188773383326233E-2</v>
      </c>
      <c r="D24">
        <f t="shared" si="1"/>
        <v>2.8275122677641241E-3</v>
      </c>
      <c r="E24">
        <f t="shared" si="2"/>
        <v>7.9948256243566202E-6</v>
      </c>
    </row>
    <row r="25" spans="1:5" x14ac:dyDescent="0.25">
      <c r="A25">
        <v>3.6553767488000002</v>
      </c>
      <c r="B25">
        <v>1.3908879644367942E-2</v>
      </c>
      <c r="C25">
        <f t="shared" si="0"/>
        <v>9.9518543230289486E-3</v>
      </c>
      <c r="D25">
        <f t="shared" si="1"/>
        <v>3.957025321338993E-3</v>
      </c>
      <c r="E25">
        <f t="shared" si="2"/>
        <v>1.5658049393717962E-5</v>
      </c>
    </row>
    <row r="26" spans="1:5" x14ac:dyDescent="0.25">
      <c r="A26">
        <v>3.8045021451999999</v>
      </c>
      <c r="B26">
        <v>6.7436992215117288E-3</v>
      </c>
      <c r="C26">
        <f t="shared" si="0"/>
        <v>7.4692459871263002E-3</v>
      </c>
      <c r="D26">
        <f t="shared" si="1"/>
        <v>-7.255467656145714E-4</v>
      </c>
      <c r="E26">
        <f t="shared" si="2"/>
        <v>5.264181090937658E-7</v>
      </c>
    </row>
    <row r="27" spans="1:5" x14ac:dyDescent="0.25">
      <c r="A27">
        <v>3.9536275416</v>
      </c>
      <c r="B27">
        <v>7.5866616242006952E-3</v>
      </c>
      <c r="C27">
        <f t="shared" si="0"/>
        <v>5.5769127941600501E-3</v>
      </c>
      <c r="D27">
        <f t="shared" si="1"/>
        <v>2.0097488300406452E-3</v>
      </c>
      <c r="E27">
        <f t="shared" si="2"/>
        <v>4.039090359849742E-6</v>
      </c>
    </row>
    <row r="28" spans="1:5" x14ac:dyDescent="0.25">
      <c r="A28">
        <v>4.1027529380000001</v>
      </c>
      <c r="B28">
        <v>6.3222180201672456E-3</v>
      </c>
      <c r="C28">
        <f t="shared" si="0"/>
        <v>4.143058227956492E-3</v>
      </c>
      <c r="D28">
        <f t="shared" si="1"/>
        <v>2.1791597922107536E-3</v>
      </c>
      <c r="E28">
        <f t="shared" si="2"/>
        <v>4.7487373999880146E-6</v>
      </c>
    </row>
    <row r="29" spans="1:5" x14ac:dyDescent="0.25">
      <c r="A29">
        <v>4.2518783343999988</v>
      </c>
      <c r="B29">
        <v>6.7436992215117288E-3</v>
      </c>
      <c r="C29">
        <f t="shared" si="0"/>
        <v>3.0628044051721607E-3</v>
      </c>
      <c r="D29">
        <f t="shared" si="1"/>
        <v>3.6808948163395681E-3</v>
      </c>
      <c r="E29">
        <f t="shared" si="2"/>
        <v>1.3548986648955502E-5</v>
      </c>
    </row>
    <row r="30" spans="1:5" x14ac:dyDescent="0.25">
      <c r="A30">
        <v>4.4010037307999994</v>
      </c>
      <c r="B30">
        <v>2.9503684094113816E-3</v>
      </c>
      <c r="C30">
        <f t="shared" si="0"/>
        <v>2.2534359295644903E-3</v>
      </c>
      <c r="D30">
        <f t="shared" si="1"/>
        <v>6.9693247984689132E-4</v>
      </c>
      <c r="E30">
        <f t="shared" si="2"/>
        <v>4.8571488146553762E-7</v>
      </c>
    </row>
    <row r="31" spans="1:5" x14ac:dyDescent="0.25">
      <c r="A31">
        <v>4.5501291272</v>
      </c>
      <c r="B31">
        <v>2.5288872080668984E-3</v>
      </c>
      <c r="C31">
        <f t="shared" si="0"/>
        <v>1.6502576941429881E-3</v>
      </c>
      <c r="D31">
        <f t="shared" si="1"/>
        <v>8.7862951392391028E-4</v>
      </c>
      <c r="E31">
        <f t="shared" si="2"/>
        <v>7.7198982273816688E-7</v>
      </c>
    </row>
    <row r="32" spans="1:5" x14ac:dyDescent="0.25">
      <c r="A32">
        <v>4.6992545236000005</v>
      </c>
      <c r="B32">
        <v>1.6859248053779322E-3</v>
      </c>
      <c r="C32">
        <f t="shared" si="0"/>
        <v>1.2030630219668325E-3</v>
      </c>
      <c r="D32">
        <f t="shared" si="1"/>
        <v>4.8286178341109967E-4</v>
      </c>
      <c r="E32">
        <f t="shared" si="2"/>
        <v>2.3315550187894774E-7</v>
      </c>
    </row>
    <row r="33" spans="1:5" x14ac:dyDescent="0.25">
      <c r="A33">
        <v>4.8483799199999993</v>
      </c>
      <c r="B33">
        <v>4.2148120134448305E-4</v>
      </c>
      <c r="C33">
        <f t="shared" si="0"/>
        <v>8.7317528878938478E-4</v>
      </c>
      <c r="D33">
        <f t="shared" si="1"/>
        <v>-4.5169408744490173E-4</v>
      </c>
      <c r="E33">
        <f t="shared" si="2"/>
        <v>2.0402754863268253E-7</v>
      </c>
    </row>
    <row r="34" spans="1:5" x14ac:dyDescent="0.25">
      <c r="A34">
        <v>4.9975053163999998</v>
      </c>
      <c r="B34">
        <v>1.2644436040334492E-3</v>
      </c>
      <c r="C34">
        <f t="shared" si="0"/>
        <v>6.3100753952044432E-4</v>
      </c>
      <c r="D34">
        <f t="shared" si="1"/>
        <v>6.3343606451300488E-4</v>
      </c>
      <c r="E34">
        <f t="shared" si="2"/>
        <v>4.012412478257237E-7</v>
      </c>
    </row>
    <row r="35" spans="1:5" x14ac:dyDescent="0.25">
      <c r="A35">
        <v>5.1466307128000004</v>
      </c>
      <c r="B35">
        <v>0</v>
      </c>
      <c r="C35">
        <f t="shared" si="0"/>
        <v>4.5407626449688336E-4</v>
      </c>
      <c r="D35">
        <f t="shared" si="1"/>
        <v>-4.5407626449688336E-4</v>
      </c>
      <c r="E35">
        <f t="shared" si="2"/>
        <v>2.0618525397944358E-7</v>
      </c>
    </row>
    <row r="36" spans="1:5" x14ac:dyDescent="0.25">
      <c r="A36">
        <v>5.2957561091999992</v>
      </c>
      <c r="B36">
        <v>8.429624026889661E-4</v>
      </c>
      <c r="C36">
        <f t="shared" si="0"/>
        <v>3.2540407523775906E-4</v>
      </c>
      <c r="D36">
        <f t="shared" si="1"/>
        <v>5.1755832745120699E-4</v>
      </c>
      <c r="E36">
        <f t="shared" si="2"/>
        <v>2.6786662231409078E-7</v>
      </c>
    </row>
    <row r="37" spans="1:5" x14ac:dyDescent="0.25">
      <c r="A37">
        <v>5.4448815055999997</v>
      </c>
      <c r="B37">
        <v>0</v>
      </c>
      <c r="C37">
        <f t="shared" si="0"/>
        <v>2.3224897543902426E-4</v>
      </c>
      <c r="D37">
        <f t="shared" si="1"/>
        <v>-2.3224897543902426E-4</v>
      </c>
      <c r="E37">
        <f t="shared" si="2"/>
        <v>5.3939586592476497E-8</v>
      </c>
    </row>
    <row r="38" spans="1:5" x14ac:dyDescent="0.25">
      <c r="A38">
        <v>5.5940069020000003</v>
      </c>
      <c r="B38">
        <v>0</v>
      </c>
      <c r="C38">
        <f t="shared" si="0"/>
        <v>1.6510340859775982E-4</v>
      </c>
      <c r="D38">
        <f t="shared" si="1"/>
        <v>-1.6510340859775982E-4</v>
      </c>
      <c r="E38">
        <f t="shared" si="2"/>
        <v>2.7259135530598828E-8</v>
      </c>
    </row>
    <row r="39" spans="1:5" x14ac:dyDescent="0.25">
      <c r="A39">
        <v>5.7431322983999999</v>
      </c>
      <c r="B39">
        <v>0</v>
      </c>
      <c r="C39">
        <f t="shared" si="0"/>
        <v>1.169129731992376E-4</v>
      </c>
      <c r="D39">
        <f t="shared" si="1"/>
        <v>-1.169129731992376E-4</v>
      </c>
      <c r="E39">
        <f t="shared" si="2"/>
        <v>1.3668643302285648E-8</v>
      </c>
    </row>
    <row r="40" spans="1:5" x14ac:dyDescent="0.25">
      <c r="A40">
        <v>5.8922576947999996</v>
      </c>
      <c r="B40">
        <v>4.2148120134448305E-4</v>
      </c>
      <c r="C40">
        <f t="shared" si="0"/>
        <v>8.2471748413706948E-5</v>
      </c>
      <c r="D40">
        <f t="shared" si="1"/>
        <v>3.3900945293077609E-4</v>
      </c>
      <c r="E40">
        <f t="shared" si="2"/>
        <v>1.1492740917642409E-7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CF1A-BFFE-495B-911E-995C6284CAF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7.4720084749999999E-2</v>
      </c>
      <c r="B1">
        <v>0.37556526350706071</v>
      </c>
      <c r="C1">
        <f>$H$3*(1+$H$1)*(A1^($H$1))*EXP(-$H$3*(A1^(1+$H$1)))</f>
        <v>0.39792382885155952</v>
      </c>
      <c r="D1">
        <f>B1-C1</f>
        <v>-2.2358565344498815E-2</v>
      </c>
      <c r="E1">
        <f>D1^2</f>
        <v>4.9990544426422342E-4</v>
      </c>
      <c r="G1" t="s">
        <v>0</v>
      </c>
      <c r="H1">
        <v>0.43249597950862678</v>
      </c>
    </row>
    <row r="2" spans="1:8" x14ac:dyDescent="0.25">
      <c r="A2">
        <v>0.21764313425000004</v>
      </c>
      <c r="B2">
        <v>0.59984896888012973</v>
      </c>
      <c r="C2">
        <f t="shared" ref="C2:C40" si="0">$H$3*(1+$H$1)*(A2^($H$1))*EXP(-$H$3*(A2^(1+$H$1)))</f>
        <v>0.58510487629832753</v>
      </c>
      <c r="D2">
        <f t="shared" ref="D2:D40" si="1">B2-C2</f>
        <v>1.4744092581802204E-2</v>
      </c>
      <c r="E2">
        <f t="shared" ref="E2:E40" si="2">D2^2</f>
        <v>2.1738826606075478E-4</v>
      </c>
    </row>
    <row r="3" spans="1:8" x14ac:dyDescent="0.25">
      <c r="A3">
        <v>0.36056618375000005</v>
      </c>
      <c r="B3">
        <v>0.67636929188976513</v>
      </c>
      <c r="C3">
        <f t="shared" si="0"/>
        <v>0.65595680749543661</v>
      </c>
      <c r="D3">
        <f t="shared" si="1"/>
        <v>2.0412484394328523E-2</v>
      </c>
      <c r="E3">
        <f t="shared" si="2"/>
        <v>4.1666951914870546E-4</v>
      </c>
      <c r="G3" t="s">
        <v>1</v>
      </c>
      <c r="H3">
        <f>(_xlfn.GAMMA((2+$H$1)/(1+$H$1)))^(1+$H$1)</f>
        <v>0.8712598856121796</v>
      </c>
    </row>
    <row r="4" spans="1:8" x14ac:dyDescent="0.25">
      <c r="A4">
        <v>0.50348923325000006</v>
      </c>
      <c r="B4">
        <v>0.68076701160296249</v>
      </c>
      <c r="C4">
        <f t="shared" si="0"/>
        <v>0.66951847609915249</v>
      </c>
      <c r="D4">
        <f t="shared" si="1"/>
        <v>1.1248535503809998E-2</v>
      </c>
      <c r="E4">
        <f t="shared" si="2"/>
        <v>1.2652955098047404E-4</v>
      </c>
    </row>
    <row r="5" spans="1:8" x14ac:dyDescent="0.25">
      <c r="A5">
        <v>0.64641228275000007</v>
      </c>
      <c r="B5">
        <v>0.60864440830652466</v>
      </c>
      <c r="C5">
        <f t="shared" si="0"/>
        <v>0.6482731372445748</v>
      </c>
      <c r="D5">
        <f t="shared" si="1"/>
        <v>-3.962872893805014E-2</v>
      </c>
      <c r="E5">
        <f t="shared" si="2"/>
        <v>1.5704361572454525E-3</v>
      </c>
      <c r="G5" t="s">
        <v>2</v>
      </c>
      <c r="H5">
        <f>SUM(E1:E40)</f>
        <v>5.3043723157578694E-3</v>
      </c>
    </row>
    <row r="6" spans="1:8" x14ac:dyDescent="0.25">
      <c r="A6">
        <v>0.78933533225000008</v>
      </c>
      <c r="B6">
        <v>0.59677056508089155</v>
      </c>
      <c r="C6">
        <f t="shared" si="0"/>
        <v>0.60559531286463819</v>
      </c>
      <c r="D6">
        <f t="shared" si="1"/>
        <v>-8.8247477837466448E-3</v>
      </c>
      <c r="E6">
        <f t="shared" si="2"/>
        <v>7.7876173446741315E-5</v>
      </c>
    </row>
    <row r="7" spans="1:8" x14ac:dyDescent="0.25">
      <c r="A7">
        <v>0.93225838174999998</v>
      </c>
      <c r="B7">
        <v>0.54839564823571985</v>
      </c>
      <c r="C7">
        <f t="shared" si="0"/>
        <v>0.5506245143187426</v>
      </c>
      <c r="D7">
        <f t="shared" si="1"/>
        <v>-2.2288660830227514E-3</v>
      </c>
      <c r="E7">
        <f t="shared" si="2"/>
        <v>4.9678440160491827E-6</v>
      </c>
    </row>
    <row r="8" spans="1:8" x14ac:dyDescent="0.25">
      <c r="A8">
        <v>1.0751814312500001</v>
      </c>
      <c r="B8">
        <v>0.47671281691060169</v>
      </c>
      <c r="C8">
        <f t="shared" si="0"/>
        <v>0.4898570334019981</v>
      </c>
      <c r="D8">
        <f t="shared" si="1"/>
        <v>-1.314421649139641E-2</v>
      </c>
      <c r="E8">
        <f t="shared" si="2"/>
        <v>1.7277042717269735E-4</v>
      </c>
    </row>
    <row r="9" spans="1:8" x14ac:dyDescent="0.25">
      <c r="A9">
        <v>1.2181044807500001</v>
      </c>
      <c r="B9">
        <v>0.44504923497558013</v>
      </c>
      <c r="C9">
        <f t="shared" si="0"/>
        <v>0.42789063889048012</v>
      </c>
      <c r="D9">
        <f t="shared" si="1"/>
        <v>1.7158596085100009E-2</v>
      </c>
      <c r="E9">
        <f t="shared" si="2"/>
        <v>2.9441741961160934E-4</v>
      </c>
    </row>
    <row r="10" spans="1:8" x14ac:dyDescent="0.25">
      <c r="A10">
        <v>1.3610275302499999</v>
      </c>
      <c r="B10">
        <v>0.39667431813040838</v>
      </c>
      <c r="C10">
        <f t="shared" si="0"/>
        <v>0.36788038278944907</v>
      </c>
      <c r="D10">
        <f t="shared" si="1"/>
        <v>2.8793935340959309E-2</v>
      </c>
      <c r="E10">
        <f t="shared" si="2"/>
        <v>8.2909071241934551E-4</v>
      </c>
    </row>
    <row r="11" spans="1:8" x14ac:dyDescent="0.25">
      <c r="A11">
        <v>1.5039505797500001</v>
      </c>
      <c r="B11">
        <v>0.31883467920681385</v>
      </c>
      <c r="C11">
        <f t="shared" si="0"/>
        <v>0.31187046773006327</v>
      </c>
      <c r="D11">
        <f t="shared" si="1"/>
        <v>6.9642114767505814E-3</v>
      </c>
      <c r="E11">
        <f t="shared" si="2"/>
        <v>4.850024149290451E-5</v>
      </c>
    </row>
    <row r="12" spans="1:8" x14ac:dyDescent="0.25">
      <c r="A12">
        <v>1.6468736292500001</v>
      </c>
      <c r="B12">
        <v>0.24143481225453903</v>
      </c>
      <c r="C12">
        <f t="shared" si="0"/>
        <v>0.26105778275270003</v>
      </c>
      <c r="D12">
        <f t="shared" si="1"/>
        <v>-1.9622970498161002E-2</v>
      </c>
      <c r="E12">
        <f t="shared" si="2"/>
        <v>3.8506097117169705E-4</v>
      </c>
    </row>
    <row r="13" spans="1:8" x14ac:dyDescent="0.25">
      <c r="A13">
        <v>1.7897966787500001</v>
      </c>
      <c r="B13">
        <v>0.19701784315124496</v>
      </c>
      <c r="C13">
        <f t="shared" si="0"/>
        <v>0.21600763119147268</v>
      </c>
      <c r="D13">
        <f t="shared" si="1"/>
        <v>-1.8989788040227717E-2</v>
      </c>
      <c r="E13">
        <f t="shared" si="2"/>
        <v>3.6061204981277566E-4</v>
      </c>
    </row>
    <row r="14" spans="1:8" x14ac:dyDescent="0.25">
      <c r="A14">
        <v>1.9327197282499999</v>
      </c>
      <c r="B14">
        <v>0.17107129684338013</v>
      </c>
      <c r="C14">
        <f t="shared" si="0"/>
        <v>0.17683037099418422</v>
      </c>
      <c r="D14">
        <f t="shared" si="1"/>
        <v>-5.7590741508040943E-3</v>
      </c>
      <c r="E14">
        <f t="shared" si="2"/>
        <v>3.31669350744599E-5</v>
      </c>
    </row>
    <row r="15" spans="1:8" x14ac:dyDescent="0.25">
      <c r="A15">
        <v>2.0756427777499997</v>
      </c>
      <c r="B15">
        <v>0.14160657476495733</v>
      </c>
      <c r="C15">
        <f t="shared" si="0"/>
        <v>0.14332391440433562</v>
      </c>
      <c r="D15">
        <f t="shared" si="1"/>
        <v>-1.7173396393782847E-3</v>
      </c>
      <c r="E15">
        <f t="shared" si="2"/>
        <v>2.9492554369799371E-6</v>
      </c>
    </row>
    <row r="16" spans="1:8" x14ac:dyDescent="0.25">
      <c r="A16">
        <v>2.21856582725</v>
      </c>
      <c r="B16">
        <v>0.10686458903069761</v>
      </c>
      <c r="C16">
        <f t="shared" si="0"/>
        <v>0.11508606429833815</v>
      </c>
      <c r="D16">
        <f t="shared" si="1"/>
        <v>-8.2214752676405406E-3</v>
      </c>
      <c r="E16">
        <f t="shared" si="2"/>
        <v>6.7592655576425095E-5</v>
      </c>
    </row>
    <row r="17" spans="1:5" x14ac:dyDescent="0.25">
      <c r="A17">
        <v>2.3614888767500002</v>
      </c>
      <c r="B17">
        <v>8.3996446522070958E-2</v>
      </c>
      <c r="C17">
        <f t="shared" si="0"/>
        <v>9.1600562938667487E-2</v>
      </c>
      <c r="D17">
        <f t="shared" si="1"/>
        <v>-7.6041164165965291E-3</v>
      </c>
      <c r="E17">
        <f t="shared" si="2"/>
        <v>5.7822586477152842E-5</v>
      </c>
    </row>
    <row r="18" spans="1:5" x14ac:dyDescent="0.25">
      <c r="A18">
        <v>2.50441192625</v>
      </c>
      <c r="B18">
        <v>7.1682831325118143E-2</v>
      </c>
      <c r="C18">
        <f t="shared" si="0"/>
        <v>7.2300770295978936E-2</v>
      </c>
      <c r="D18">
        <f t="shared" si="1"/>
        <v>-6.1793897086079297E-4</v>
      </c>
      <c r="E18">
        <f t="shared" si="2"/>
        <v>3.8184857170849594E-7</v>
      </c>
    </row>
    <row r="19" spans="1:5" x14ac:dyDescent="0.25">
      <c r="A19">
        <v>2.6473349757499998</v>
      </c>
      <c r="B19">
        <v>5.4531724443648164E-2</v>
      </c>
      <c r="C19">
        <f t="shared" si="0"/>
        <v>5.6614827751164491E-2</v>
      </c>
      <c r="D19">
        <f t="shared" si="1"/>
        <v>-2.0831033075163277E-3</v>
      </c>
      <c r="E19">
        <f t="shared" si="2"/>
        <v>4.3393193897854639E-6</v>
      </c>
    </row>
    <row r="20" spans="1:5" x14ac:dyDescent="0.25">
      <c r="A20">
        <v>2.79025802525</v>
      </c>
      <c r="B20">
        <v>4.0459021361416381E-2</v>
      </c>
      <c r="C20">
        <f t="shared" si="0"/>
        <v>4.3995948182788146E-2</v>
      </c>
      <c r="D20">
        <f t="shared" si="1"/>
        <v>-3.536926821371765E-3</v>
      </c>
      <c r="E20">
        <f t="shared" si="2"/>
        <v>1.2509851339738977E-5</v>
      </c>
    </row>
    <row r="21" spans="1:5" x14ac:dyDescent="0.25">
      <c r="A21">
        <v>2.9331810747500002</v>
      </c>
      <c r="B21">
        <v>3.2103353906341253E-2</v>
      </c>
      <c r="C21">
        <f t="shared" si="0"/>
        <v>3.3941129820889926E-2</v>
      </c>
      <c r="D21">
        <f t="shared" si="1"/>
        <v>-1.8377759145486727E-3</v>
      </c>
      <c r="E21">
        <f t="shared" si="2"/>
        <v>3.3774203120952104E-6</v>
      </c>
    </row>
    <row r="22" spans="1:5" x14ac:dyDescent="0.25">
      <c r="A22">
        <v>3.0761041242500005</v>
      </c>
      <c r="B22">
        <v>2.990449404974254E-2</v>
      </c>
      <c r="C22">
        <f t="shared" si="0"/>
        <v>2.6001166395518485E-2</v>
      </c>
      <c r="D22">
        <f t="shared" si="1"/>
        <v>3.903327654224055E-3</v>
      </c>
      <c r="E22">
        <f t="shared" si="2"/>
        <v>1.5235966776230264E-5</v>
      </c>
    </row>
    <row r="23" spans="1:5" x14ac:dyDescent="0.25">
      <c r="A23">
        <v>3.2190271737500002</v>
      </c>
      <c r="B23">
        <v>2.6826090250504336E-2</v>
      </c>
      <c r="C23">
        <f t="shared" si="0"/>
        <v>1.9784367707021334E-2</v>
      </c>
      <c r="D23">
        <f t="shared" si="1"/>
        <v>7.0417225434830019E-3</v>
      </c>
      <c r="E23">
        <f t="shared" si="2"/>
        <v>4.9585856379396718E-5</v>
      </c>
    </row>
    <row r="24" spans="1:5" x14ac:dyDescent="0.25">
      <c r="A24">
        <v>3.36195022325</v>
      </c>
      <c r="B24">
        <v>1.8910194766748958E-2</v>
      </c>
      <c r="C24">
        <f t="shared" si="0"/>
        <v>1.4955951506756231E-2</v>
      </c>
      <c r="D24">
        <f t="shared" si="1"/>
        <v>3.9542432599927266E-3</v>
      </c>
      <c r="E24">
        <f t="shared" si="2"/>
        <v>1.5636039759197905E-5</v>
      </c>
    </row>
    <row r="25" spans="1:5" x14ac:dyDescent="0.25">
      <c r="A25">
        <v>3.5048732727500003</v>
      </c>
      <c r="B25">
        <v>1.3193159139592297E-2</v>
      </c>
      <c r="C25">
        <f t="shared" si="0"/>
        <v>1.1234646796674052E-2</v>
      </c>
      <c r="D25">
        <f t="shared" si="1"/>
        <v>1.9585123429182449E-3</v>
      </c>
      <c r="E25">
        <f t="shared" si="2"/>
        <v>3.8357705973631134E-6</v>
      </c>
    </row>
    <row r="26" spans="1:5" x14ac:dyDescent="0.25">
      <c r="A26">
        <v>3.6477963222500005</v>
      </c>
      <c r="B26">
        <v>9.2352113977146079E-3</v>
      </c>
      <c r="C26">
        <f t="shared" si="0"/>
        <v>8.3876768539394939E-3</v>
      </c>
      <c r="D26">
        <f t="shared" si="1"/>
        <v>8.4753454377511396E-4</v>
      </c>
      <c r="E26">
        <f t="shared" si="2"/>
        <v>7.1831480289209053E-7</v>
      </c>
    </row>
    <row r="27" spans="1:5" x14ac:dyDescent="0.25">
      <c r="A27">
        <v>3.7907193717500007</v>
      </c>
      <c r="B27">
        <v>7.9158954837553787E-3</v>
      </c>
      <c r="C27">
        <f t="shared" si="0"/>
        <v>6.224975132539474E-3</v>
      </c>
      <c r="D27">
        <f t="shared" si="1"/>
        <v>1.6909203512159047E-3</v>
      </c>
      <c r="E27">
        <f t="shared" si="2"/>
        <v>2.8592116341561185E-6</v>
      </c>
    </row>
    <row r="28" spans="1:5" x14ac:dyDescent="0.25">
      <c r="A28">
        <v>3.9336424212500001</v>
      </c>
      <c r="B28">
        <v>7.0363515411158914E-3</v>
      </c>
      <c r="C28">
        <f t="shared" si="0"/>
        <v>4.5932297785275279E-3</v>
      </c>
      <c r="D28">
        <f t="shared" si="1"/>
        <v>2.4431217625883635E-3</v>
      </c>
      <c r="E28">
        <f t="shared" si="2"/>
        <v>5.9688439468328717E-6</v>
      </c>
    </row>
    <row r="29" spans="1:5" x14ac:dyDescent="0.25">
      <c r="A29">
        <v>4.0765654707499994</v>
      </c>
      <c r="B29">
        <v>7.9158954837553787E-3</v>
      </c>
      <c r="C29">
        <f t="shared" si="0"/>
        <v>3.3701494713754662E-3</v>
      </c>
      <c r="D29">
        <f t="shared" si="1"/>
        <v>4.5457460123799129E-3</v>
      </c>
      <c r="E29">
        <f t="shared" si="2"/>
        <v>2.066380680906788E-5</v>
      </c>
    </row>
    <row r="30" spans="1:5" x14ac:dyDescent="0.25">
      <c r="A30">
        <v>4.2194885202499997</v>
      </c>
      <c r="B30">
        <v>3.9579477418776893E-3</v>
      </c>
      <c r="C30">
        <f t="shared" si="0"/>
        <v>2.4591886820098021E-3</v>
      </c>
      <c r="D30">
        <f t="shared" si="1"/>
        <v>1.4987590598678872E-3</v>
      </c>
      <c r="E30">
        <f t="shared" si="2"/>
        <v>2.2462787195360732E-6</v>
      </c>
    </row>
    <row r="31" spans="1:5" x14ac:dyDescent="0.25">
      <c r="A31">
        <v>4.3624115697499999</v>
      </c>
      <c r="B31">
        <v>1.7590878852789728E-3</v>
      </c>
      <c r="C31">
        <f t="shared" si="0"/>
        <v>1.7848569772616599E-3</v>
      </c>
      <c r="D31">
        <f t="shared" si="1"/>
        <v>-2.5769091982687014E-5</v>
      </c>
      <c r="E31">
        <f t="shared" si="2"/>
        <v>6.6404610161218411E-10</v>
      </c>
    </row>
    <row r="32" spans="1:5" x14ac:dyDescent="0.25">
      <c r="A32">
        <v>4.5053346192500001</v>
      </c>
      <c r="B32">
        <v>2.1988598565987161E-3</v>
      </c>
      <c r="C32">
        <f t="shared" si="0"/>
        <v>1.2886572009756618E-3</v>
      </c>
      <c r="D32">
        <f t="shared" si="1"/>
        <v>9.1020265562305426E-4</v>
      </c>
      <c r="E32">
        <f t="shared" si="2"/>
        <v>8.2846887430326029E-7</v>
      </c>
    </row>
    <row r="33" spans="1:5" x14ac:dyDescent="0.25">
      <c r="A33">
        <v>4.6482576687500003</v>
      </c>
      <c r="B33">
        <v>1.3193159139592296E-3</v>
      </c>
      <c r="C33">
        <f t="shared" si="0"/>
        <v>9.256441189689678E-4</v>
      </c>
      <c r="D33">
        <f t="shared" si="1"/>
        <v>3.9367179499026183E-4</v>
      </c>
      <c r="E33">
        <f t="shared" si="2"/>
        <v>1.5497748217085475E-7</v>
      </c>
    </row>
    <row r="34" spans="1:5" x14ac:dyDescent="0.25">
      <c r="A34">
        <v>4.7911807182499997</v>
      </c>
      <c r="B34">
        <v>4.3977197131974321E-4</v>
      </c>
      <c r="C34">
        <f t="shared" si="0"/>
        <v>6.6156209924863782E-4</v>
      </c>
      <c r="D34">
        <f t="shared" si="1"/>
        <v>-2.2179012792889461E-4</v>
      </c>
      <c r="E34">
        <f t="shared" si="2"/>
        <v>4.9190860846715438E-8</v>
      </c>
    </row>
    <row r="35" spans="1:5" x14ac:dyDescent="0.25">
      <c r="A35">
        <v>4.9341037677499999</v>
      </c>
      <c r="B35">
        <v>4.3977197131974321E-4</v>
      </c>
      <c r="C35">
        <f t="shared" si="0"/>
        <v>4.7050223494863355E-4</v>
      </c>
      <c r="D35">
        <f t="shared" si="1"/>
        <v>-3.0730263628890337E-5</v>
      </c>
      <c r="E35">
        <f t="shared" si="2"/>
        <v>9.4434910270110026E-10</v>
      </c>
    </row>
    <row r="36" spans="1:5" x14ac:dyDescent="0.25">
      <c r="A36">
        <v>5.0770268172500002</v>
      </c>
      <c r="B36">
        <v>4.3977197131974321E-4</v>
      </c>
      <c r="C36">
        <f t="shared" si="0"/>
        <v>3.3301162006508508E-4</v>
      </c>
      <c r="D36">
        <f t="shared" si="1"/>
        <v>1.0676035125465813E-4</v>
      </c>
      <c r="E36">
        <f t="shared" si="2"/>
        <v>1.1397772600017984E-8</v>
      </c>
    </row>
    <row r="37" spans="1:5" x14ac:dyDescent="0.25">
      <c r="A37">
        <v>5.2199498667500004</v>
      </c>
      <c r="B37">
        <v>4.3977197131974321E-4</v>
      </c>
      <c r="C37">
        <f t="shared" si="0"/>
        <v>2.3458680788126436E-4</v>
      </c>
      <c r="D37">
        <f t="shared" si="1"/>
        <v>2.0518516343847885E-4</v>
      </c>
      <c r="E37">
        <f t="shared" si="2"/>
        <v>4.2100951295275277E-8</v>
      </c>
    </row>
    <row r="38" spans="1:5" x14ac:dyDescent="0.25">
      <c r="A38">
        <v>5.3628729162499997</v>
      </c>
      <c r="B38">
        <v>0</v>
      </c>
      <c r="C38">
        <f t="shared" si="0"/>
        <v>1.644871997638713E-4</v>
      </c>
      <c r="D38">
        <f t="shared" si="1"/>
        <v>-1.644871997638713E-4</v>
      </c>
      <c r="E38">
        <f t="shared" si="2"/>
        <v>2.7056038886159702E-8</v>
      </c>
    </row>
    <row r="39" spans="1:5" x14ac:dyDescent="0.25">
      <c r="A39">
        <v>5.50579596575</v>
      </c>
      <c r="B39">
        <v>0</v>
      </c>
      <c r="C39">
        <f t="shared" si="0"/>
        <v>1.1481030996249031E-4</v>
      </c>
      <c r="D39">
        <f t="shared" si="1"/>
        <v>-1.1481030996249031E-4</v>
      </c>
      <c r="E39">
        <f t="shared" si="2"/>
        <v>1.3181407273683101E-8</v>
      </c>
    </row>
    <row r="40" spans="1:5" x14ac:dyDescent="0.25">
      <c r="A40">
        <v>5.6487190152500002</v>
      </c>
      <c r="B40">
        <v>4.3977197131974321E-4</v>
      </c>
      <c r="C40">
        <f t="shared" si="0"/>
        <v>7.9778181320840606E-5</v>
      </c>
      <c r="D40">
        <f t="shared" si="1"/>
        <v>3.5999378999890263E-4</v>
      </c>
      <c r="E40">
        <f t="shared" si="2"/>
        <v>1.29595528837774E-7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768A-F95C-471B-8EA9-347F2D31781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7.0038489150000008E-2</v>
      </c>
      <c r="B1">
        <v>0.3260814097410174</v>
      </c>
      <c r="C1">
        <f>$H$3*(1+$H$1)*(A1^($H$1))*EXP(-$H$3*(A1^(1+$H$1)))</f>
        <v>0.34795970860076081</v>
      </c>
      <c r="D1">
        <f>B1-C1</f>
        <v>-2.1878298859743406E-2</v>
      </c>
      <c r="E1">
        <f>D1^2</f>
        <v>4.7865996099624963E-4</v>
      </c>
      <c r="G1" t="s">
        <v>0</v>
      </c>
      <c r="H1">
        <v>0.48265037811701894</v>
      </c>
    </row>
    <row r="2" spans="1:8" x14ac:dyDescent="0.25">
      <c r="A2">
        <v>0.20708670345000002</v>
      </c>
      <c r="B2">
        <v>0.5664001983546505</v>
      </c>
      <c r="C2">
        <f t="shared" ref="C2:C40" si="0">$H$3*(1+$H$1)*(A2^($H$1))*EXP(-$H$3*(A2^(1+$H$1)))</f>
        <v>0.5492993265149887</v>
      </c>
      <c r="D2">
        <f t="shared" ref="D2:D40" si="1">B2-C2</f>
        <v>1.7100871839661802E-2</v>
      </c>
      <c r="E2">
        <f t="shared" ref="E2:E40" si="2">D2^2</f>
        <v>2.9243981767653805E-4</v>
      </c>
    </row>
    <row r="3" spans="1:8" x14ac:dyDescent="0.25">
      <c r="A3">
        <v>0.34413491774999999</v>
      </c>
      <c r="B3">
        <v>0.62189365908413441</v>
      </c>
      <c r="C3">
        <f t="shared" si="0"/>
        <v>0.63911939654300742</v>
      </c>
      <c r="D3">
        <f t="shared" si="1"/>
        <v>-1.7225737458873014E-2</v>
      </c>
      <c r="E3">
        <f t="shared" si="2"/>
        <v>2.9672603100202092E-4</v>
      </c>
      <c r="G3" t="s">
        <v>1</v>
      </c>
      <c r="H3">
        <f>(_xlfn.GAMMA((2+$H$1)/(1+$H$1)))^(1+$H$1)</f>
        <v>0.86108840278098253</v>
      </c>
    </row>
    <row r="4" spans="1:8" x14ac:dyDescent="0.25">
      <c r="A4">
        <v>0.48118313205000002</v>
      </c>
      <c r="B4">
        <v>0.72370810769525384</v>
      </c>
      <c r="C4">
        <f t="shared" si="0"/>
        <v>0.67040204830012096</v>
      </c>
      <c r="D4">
        <f t="shared" si="1"/>
        <v>5.3306059395132888E-2</v>
      </c>
      <c r="E4">
        <f t="shared" si="2"/>
        <v>2.8415359682374352E-3</v>
      </c>
    </row>
    <row r="5" spans="1:8" x14ac:dyDescent="0.25">
      <c r="A5">
        <v>0.61823134634999999</v>
      </c>
      <c r="B5">
        <v>0.65032832491246506</v>
      </c>
      <c r="C5">
        <f t="shared" si="0"/>
        <v>0.66370821727262952</v>
      </c>
      <c r="D5">
        <f t="shared" si="1"/>
        <v>-1.3379892360164458E-2</v>
      </c>
      <c r="E5">
        <f t="shared" si="2"/>
        <v>1.7902151956958724E-4</v>
      </c>
      <c r="G5" t="s">
        <v>2</v>
      </c>
      <c r="H5">
        <f>SUM(E1:E40)</f>
        <v>8.6308916881381245E-3</v>
      </c>
    </row>
    <row r="6" spans="1:8" x14ac:dyDescent="0.25">
      <c r="A6">
        <v>0.75527956065000001</v>
      </c>
      <c r="B6">
        <v>0.59896247696451299</v>
      </c>
      <c r="C6">
        <f t="shared" si="0"/>
        <v>0.63181456068394803</v>
      </c>
      <c r="D6">
        <f t="shared" si="1"/>
        <v>-3.2852083719435043E-2</v>
      </c>
      <c r="E6">
        <f t="shared" si="2"/>
        <v>1.079259404708769E-3</v>
      </c>
    </row>
    <row r="7" spans="1:8" x14ac:dyDescent="0.25">
      <c r="A7">
        <v>0.89232777494999993</v>
      </c>
      <c r="B7">
        <v>0.59024862775905684</v>
      </c>
      <c r="C7">
        <f t="shared" si="0"/>
        <v>0.58392876116865933</v>
      </c>
      <c r="D7">
        <f t="shared" si="1"/>
        <v>6.319866590397516E-3</v>
      </c>
      <c r="E7">
        <f t="shared" si="2"/>
        <v>3.9940713720422722E-5</v>
      </c>
    </row>
    <row r="8" spans="1:8" x14ac:dyDescent="0.25">
      <c r="A8">
        <v>1.0293759892500001</v>
      </c>
      <c r="B8">
        <v>0.49256179192946931</v>
      </c>
      <c r="C8">
        <f t="shared" si="0"/>
        <v>0.52697097058968423</v>
      </c>
      <c r="D8">
        <f t="shared" si="1"/>
        <v>-3.4409178660214923E-2</v>
      </c>
      <c r="E8">
        <f t="shared" si="2"/>
        <v>1.18399157607059E-3</v>
      </c>
    </row>
    <row r="9" spans="1:8" x14ac:dyDescent="0.25">
      <c r="A9">
        <v>1.1664242035500001</v>
      </c>
      <c r="B9">
        <v>0.4700892334522403</v>
      </c>
      <c r="C9">
        <f t="shared" si="0"/>
        <v>0.46613030666422173</v>
      </c>
      <c r="D9">
        <f t="shared" si="1"/>
        <v>3.9589267880185686E-3</v>
      </c>
      <c r="E9">
        <f t="shared" si="2"/>
        <v>1.567310131289102E-5</v>
      </c>
    </row>
    <row r="10" spans="1:8" x14ac:dyDescent="0.25">
      <c r="A10">
        <v>1.3034724178500001</v>
      </c>
      <c r="B10">
        <v>0.43385796570323831</v>
      </c>
      <c r="C10">
        <f t="shared" si="0"/>
        <v>0.40519903375092881</v>
      </c>
      <c r="D10">
        <f t="shared" si="1"/>
        <v>2.8658931952309508E-2</v>
      </c>
      <c r="E10">
        <f t="shared" si="2"/>
        <v>8.2133438064710689E-4</v>
      </c>
    </row>
    <row r="11" spans="1:8" x14ac:dyDescent="0.25">
      <c r="A11">
        <v>1.4405206321500001</v>
      </c>
      <c r="B11">
        <v>0.36598166662915876</v>
      </c>
      <c r="C11">
        <f t="shared" si="0"/>
        <v>0.3468277955319351</v>
      </c>
      <c r="D11">
        <f t="shared" si="1"/>
        <v>1.9153871097223663E-2</v>
      </c>
      <c r="E11">
        <f t="shared" si="2"/>
        <v>3.6687077800906E-4</v>
      </c>
    </row>
    <row r="12" spans="1:8" x14ac:dyDescent="0.25">
      <c r="A12">
        <v>1.5775688464500002</v>
      </c>
      <c r="B12">
        <v>0.29076738927680035</v>
      </c>
      <c r="C12">
        <f t="shared" si="0"/>
        <v>0.29274509210269128</v>
      </c>
      <c r="D12">
        <f t="shared" si="1"/>
        <v>-1.9777028258909368E-3</v>
      </c>
      <c r="E12">
        <f t="shared" si="2"/>
        <v>3.9113084675369973E-6</v>
      </c>
    </row>
    <row r="13" spans="1:8" x14ac:dyDescent="0.25">
      <c r="A13">
        <v>1.71461706075</v>
      </c>
      <c r="B13">
        <v>0.21968072470597375</v>
      </c>
      <c r="C13">
        <f t="shared" si="0"/>
        <v>0.24395244641636823</v>
      </c>
      <c r="D13">
        <f t="shared" si="1"/>
        <v>-2.4271721710394489E-2</v>
      </c>
      <c r="E13">
        <f t="shared" si="2"/>
        <v>5.8911647478683516E-4</v>
      </c>
    </row>
    <row r="14" spans="1:8" x14ac:dyDescent="0.25">
      <c r="A14">
        <v>1.85166527505</v>
      </c>
      <c r="B14">
        <v>0.19537367165917499</v>
      </c>
      <c r="C14">
        <f t="shared" si="0"/>
        <v>0.20089674009555289</v>
      </c>
      <c r="D14">
        <f t="shared" si="1"/>
        <v>-5.5230684363778981E-3</v>
      </c>
      <c r="E14">
        <f t="shared" si="2"/>
        <v>3.0504284952913802E-5</v>
      </c>
    </row>
    <row r="15" spans="1:8" x14ac:dyDescent="0.25">
      <c r="A15">
        <v>1.9887134893499998</v>
      </c>
      <c r="B15">
        <v>0.15455616748624876</v>
      </c>
      <c r="C15">
        <f t="shared" si="0"/>
        <v>0.16361886901488298</v>
      </c>
      <c r="D15">
        <f t="shared" si="1"/>
        <v>-9.0627015286342261E-3</v>
      </c>
      <c r="E15">
        <f t="shared" si="2"/>
        <v>8.2132558997109132E-5</v>
      </c>
    </row>
    <row r="16" spans="1:8" x14ac:dyDescent="0.25">
      <c r="A16">
        <v>2.1257617036500003</v>
      </c>
      <c r="B16">
        <v>0.11878352337963925</v>
      </c>
      <c r="C16">
        <f t="shared" si="0"/>
        <v>0.13187819976000106</v>
      </c>
      <c r="D16">
        <f t="shared" si="1"/>
        <v>-1.3094676380361811E-2</v>
      </c>
      <c r="E16">
        <f t="shared" si="2"/>
        <v>1.714705495064055E-4</v>
      </c>
    </row>
    <row r="17" spans="1:5" x14ac:dyDescent="0.25">
      <c r="A17">
        <v>2.2628099179500003</v>
      </c>
      <c r="B17">
        <v>0.10685930867743608</v>
      </c>
      <c r="C17">
        <f t="shared" si="0"/>
        <v>0.10525338214601952</v>
      </c>
      <c r="D17">
        <f t="shared" si="1"/>
        <v>1.6059265314165572E-3</v>
      </c>
      <c r="E17">
        <f t="shared" si="2"/>
        <v>2.5790000243076143E-6</v>
      </c>
    </row>
    <row r="18" spans="1:5" x14ac:dyDescent="0.25">
      <c r="A18">
        <v>2.3998581322500003</v>
      </c>
      <c r="B18">
        <v>7.8883266491497878E-2</v>
      </c>
      <c r="C18">
        <f t="shared" si="0"/>
        <v>8.3221134709597133E-2</v>
      </c>
      <c r="D18">
        <f t="shared" si="1"/>
        <v>-4.3378682180992556E-3</v>
      </c>
      <c r="E18">
        <f t="shared" si="2"/>
        <v>1.881710067759561E-5</v>
      </c>
    </row>
    <row r="19" spans="1:5" x14ac:dyDescent="0.25">
      <c r="A19">
        <v>2.5369063465500004</v>
      </c>
      <c r="B19">
        <v>6.237281536537042E-2</v>
      </c>
      <c r="C19">
        <f t="shared" si="0"/>
        <v>6.5215398985139561E-2</v>
      </c>
      <c r="D19">
        <f t="shared" si="1"/>
        <v>-2.8425836197691415E-3</v>
      </c>
      <c r="E19">
        <f t="shared" si="2"/>
        <v>8.0802816353798349E-6</v>
      </c>
    </row>
    <row r="20" spans="1:5" x14ac:dyDescent="0.25">
      <c r="A20">
        <v>2.6739545608499999</v>
      </c>
      <c r="B20">
        <v>4.6779611524027813E-2</v>
      </c>
      <c r="C20">
        <f t="shared" si="0"/>
        <v>5.0669697451077682E-2</v>
      </c>
      <c r="D20">
        <f t="shared" si="1"/>
        <v>-3.8900859270498689E-3</v>
      </c>
      <c r="E20">
        <f t="shared" si="2"/>
        <v>1.5132768519831437E-5</v>
      </c>
    </row>
    <row r="21" spans="1:5" x14ac:dyDescent="0.25">
      <c r="A21">
        <v>2.81100277515</v>
      </c>
      <c r="B21">
        <v>4.1734751457711085E-2</v>
      </c>
      <c r="C21">
        <f t="shared" si="0"/>
        <v>3.9045664829907477E-2</v>
      </c>
      <c r="D21">
        <f t="shared" si="1"/>
        <v>2.689086627803608E-3</v>
      </c>
      <c r="E21">
        <f t="shared" si="2"/>
        <v>7.2311868918321797E-6</v>
      </c>
    </row>
    <row r="22" spans="1:5" x14ac:dyDescent="0.25">
      <c r="A22">
        <v>2.9480509894500004</v>
      </c>
      <c r="B22">
        <v>2.7058794901153344E-2</v>
      </c>
      <c r="C22">
        <f t="shared" si="0"/>
        <v>2.9850623023798314E-2</v>
      </c>
      <c r="D22">
        <f t="shared" si="1"/>
        <v>-2.7918281226449702E-3</v>
      </c>
      <c r="E22">
        <f t="shared" si="2"/>
        <v>7.7943042663913386E-6</v>
      </c>
    </row>
    <row r="23" spans="1:5" x14ac:dyDescent="0.25">
      <c r="A23">
        <v>3.0850992037500005</v>
      </c>
      <c r="B23">
        <v>2.889328947072306E-2</v>
      </c>
      <c r="C23">
        <f t="shared" si="0"/>
        <v>2.2646812283210579E-2</v>
      </c>
      <c r="D23">
        <f t="shared" si="1"/>
        <v>6.2464771875124815E-3</v>
      </c>
      <c r="E23">
        <f t="shared" si="2"/>
        <v>3.9018477254113845E-5</v>
      </c>
    </row>
    <row r="24" spans="1:5" x14ac:dyDescent="0.25">
      <c r="A24">
        <v>3.2221474180499996</v>
      </c>
      <c r="B24">
        <v>1.8803569338089611E-2</v>
      </c>
      <c r="C24">
        <f t="shared" si="0"/>
        <v>1.7054543240659029E-2</v>
      </c>
      <c r="D24">
        <f t="shared" si="1"/>
        <v>1.7490260974305817E-3</v>
      </c>
      <c r="E24">
        <f t="shared" si="2"/>
        <v>3.0590922894932505E-6</v>
      </c>
    </row>
    <row r="25" spans="1:5" x14ac:dyDescent="0.25">
      <c r="A25">
        <v>3.3591956323499996</v>
      </c>
      <c r="B25">
        <v>1.4675956556557745E-2</v>
      </c>
      <c r="C25">
        <f t="shared" si="0"/>
        <v>1.2751150626054562E-2</v>
      </c>
      <c r="D25">
        <f t="shared" si="1"/>
        <v>1.9248059305031831E-3</v>
      </c>
      <c r="E25">
        <f t="shared" si="2"/>
        <v>3.7048778701002246E-6</v>
      </c>
    </row>
    <row r="26" spans="1:5" x14ac:dyDescent="0.25">
      <c r="A26">
        <v>3.4962438466500001</v>
      </c>
      <c r="B26">
        <v>1.1924214702203168E-2</v>
      </c>
      <c r="C26">
        <f t="shared" si="0"/>
        <v>9.4672494877494854E-3</v>
      </c>
      <c r="D26">
        <f t="shared" si="1"/>
        <v>2.4569652144536824E-3</v>
      </c>
      <c r="E26">
        <f t="shared" si="2"/>
        <v>6.0366780650354294E-6</v>
      </c>
    </row>
    <row r="27" spans="1:5" x14ac:dyDescent="0.25">
      <c r="A27">
        <v>3.6332920609500006</v>
      </c>
      <c r="B27">
        <v>1.0089720132633449E-2</v>
      </c>
      <c r="C27">
        <f t="shared" si="0"/>
        <v>6.9814446806786635E-3</v>
      </c>
      <c r="D27">
        <f t="shared" si="1"/>
        <v>3.1082754519547858E-3</v>
      </c>
      <c r="E27">
        <f t="shared" si="2"/>
        <v>9.6613762852247278E-6</v>
      </c>
    </row>
    <row r="28" spans="1:5" x14ac:dyDescent="0.25">
      <c r="A28">
        <v>3.7703402752500002</v>
      </c>
      <c r="B28">
        <v>1.0089720132633449E-2</v>
      </c>
      <c r="C28">
        <f t="shared" si="0"/>
        <v>5.1143390852716611E-3</v>
      </c>
      <c r="D28">
        <f t="shared" si="1"/>
        <v>4.9753810473617882E-3</v>
      </c>
      <c r="E28">
        <f t="shared" si="2"/>
        <v>2.4754416566446885E-5</v>
      </c>
    </row>
    <row r="29" spans="1:5" x14ac:dyDescent="0.25">
      <c r="A29">
        <v>3.9073884895499997</v>
      </c>
      <c r="B29">
        <v>4.5862364239242955E-3</v>
      </c>
      <c r="C29">
        <f t="shared" si="0"/>
        <v>3.7224316876396388E-3</v>
      </c>
      <c r="D29">
        <f t="shared" si="1"/>
        <v>8.6380473628465664E-4</v>
      </c>
      <c r="E29">
        <f t="shared" si="2"/>
        <v>7.461586224278052E-7</v>
      </c>
    </row>
    <row r="30" spans="1:5" x14ac:dyDescent="0.25">
      <c r="A30">
        <v>4.0444367038499998</v>
      </c>
      <c r="B30">
        <v>5.5034837087091547E-3</v>
      </c>
      <c r="C30">
        <f t="shared" si="0"/>
        <v>2.6922933708322006E-3</v>
      </c>
      <c r="D30">
        <f t="shared" si="1"/>
        <v>2.8111903378769541E-3</v>
      </c>
      <c r="E30">
        <f t="shared" si="2"/>
        <v>7.9027911157727431E-6</v>
      </c>
    </row>
    <row r="31" spans="1:5" x14ac:dyDescent="0.25">
      <c r="A31">
        <v>4.1814849181499998</v>
      </c>
      <c r="B31">
        <v>3.6689891391394362E-3</v>
      </c>
      <c r="C31">
        <f t="shared" si="0"/>
        <v>1.935252193834121E-3</v>
      </c>
      <c r="D31">
        <f t="shared" si="1"/>
        <v>1.7337369453053152E-3</v>
      </c>
      <c r="E31">
        <f t="shared" si="2"/>
        <v>3.0058437955166056E-6</v>
      </c>
    </row>
    <row r="32" spans="1:5" x14ac:dyDescent="0.25">
      <c r="A32">
        <v>4.3185331324499998</v>
      </c>
      <c r="B32">
        <v>1.3758709271772887E-3</v>
      </c>
      <c r="C32">
        <f t="shared" si="0"/>
        <v>1.3827050306982297E-3</v>
      </c>
      <c r="D32">
        <f t="shared" si="1"/>
        <v>-6.8341035209410015E-6</v>
      </c>
      <c r="E32">
        <f t="shared" si="2"/>
        <v>4.6704970934938191E-11</v>
      </c>
    </row>
    <row r="33" spans="1:5" x14ac:dyDescent="0.25">
      <c r="A33">
        <v>4.4555813467499998</v>
      </c>
      <c r="B33">
        <v>1.3758709271772887E-3</v>
      </c>
      <c r="C33">
        <f t="shared" si="0"/>
        <v>9.820917670897971E-4</v>
      </c>
      <c r="D33">
        <f t="shared" si="1"/>
        <v>3.9377916008749157E-4</v>
      </c>
      <c r="E33">
        <f t="shared" si="2"/>
        <v>1.5506202691921032E-7</v>
      </c>
    </row>
    <row r="34" spans="1:5" x14ac:dyDescent="0.25">
      <c r="A34">
        <v>4.5926295610499999</v>
      </c>
      <c r="B34">
        <v>4.5862364239242952E-4</v>
      </c>
      <c r="C34">
        <f t="shared" si="0"/>
        <v>6.9351485620277112E-4</v>
      </c>
      <c r="D34">
        <f t="shared" si="1"/>
        <v>-2.3489121381034159E-4</v>
      </c>
      <c r="E34">
        <f t="shared" si="2"/>
        <v>5.5173882325295609E-8</v>
      </c>
    </row>
    <row r="35" spans="1:5" x14ac:dyDescent="0.25">
      <c r="A35">
        <v>4.7296777753499999</v>
      </c>
      <c r="B35">
        <v>4.5862364239242952E-4</v>
      </c>
      <c r="C35">
        <f t="shared" si="0"/>
        <v>4.8695452002111645E-4</v>
      </c>
      <c r="D35">
        <f t="shared" si="1"/>
        <v>-2.8330877628686922E-5</v>
      </c>
      <c r="E35">
        <f t="shared" si="2"/>
        <v>8.0263862721163312E-10</v>
      </c>
    </row>
    <row r="36" spans="1:5" x14ac:dyDescent="0.25">
      <c r="A36">
        <v>4.8667259896499999</v>
      </c>
      <c r="B36">
        <v>9.1724728478485905E-4</v>
      </c>
      <c r="C36">
        <f t="shared" si="0"/>
        <v>3.4001269479401816E-4</v>
      </c>
      <c r="D36">
        <f t="shared" si="1"/>
        <v>5.7723458999084094E-4</v>
      </c>
      <c r="E36">
        <f t="shared" si="2"/>
        <v>3.3319977188189424E-7</v>
      </c>
    </row>
    <row r="37" spans="1:5" x14ac:dyDescent="0.25">
      <c r="A37">
        <v>5.0037742039499999</v>
      </c>
      <c r="B37">
        <v>4.5862364239242952E-4</v>
      </c>
      <c r="C37">
        <f t="shared" si="0"/>
        <v>2.3611237609789167E-4</v>
      </c>
      <c r="D37">
        <f t="shared" si="1"/>
        <v>2.2251126629453785E-4</v>
      </c>
      <c r="E37">
        <f t="shared" si="2"/>
        <v>4.9511263627998737E-8</v>
      </c>
    </row>
    <row r="38" spans="1:5" x14ac:dyDescent="0.25">
      <c r="A38">
        <v>5.14082241825</v>
      </c>
      <c r="B38">
        <v>0</v>
      </c>
      <c r="C38">
        <f t="shared" si="0"/>
        <v>1.630796893817621E-4</v>
      </c>
      <c r="D38">
        <f t="shared" si="1"/>
        <v>-1.630796893817621E-4</v>
      </c>
      <c r="E38">
        <f t="shared" si="2"/>
        <v>2.6594985088852009E-8</v>
      </c>
    </row>
    <row r="39" spans="1:5" x14ac:dyDescent="0.25">
      <c r="A39">
        <v>5.27787063255</v>
      </c>
      <c r="B39">
        <v>0</v>
      </c>
      <c r="C39">
        <f t="shared" si="0"/>
        <v>1.1204103757362814E-4</v>
      </c>
      <c r="D39">
        <f t="shared" si="1"/>
        <v>-1.1204103757362814E-4</v>
      </c>
      <c r="E39">
        <f t="shared" si="2"/>
        <v>1.2553194100575151E-8</v>
      </c>
    </row>
    <row r="40" spans="1:5" x14ac:dyDescent="0.25">
      <c r="A40">
        <v>5.41491884685</v>
      </c>
      <c r="B40">
        <v>4.5862364239242952E-4</v>
      </c>
      <c r="C40">
        <f t="shared" si="0"/>
        <v>7.6575046477517559E-5</v>
      </c>
      <c r="D40">
        <f t="shared" si="1"/>
        <v>3.8204859591491199E-4</v>
      </c>
      <c r="E40">
        <f t="shared" si="2"/>
        <v>1.4596112964055571E-7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1626-F105-4926-B26A-0FE5E145854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6.9715370425000006E-2</v>
      </c>
      <c r="B1">
        <v>0.2950478666637712</v>
      </c>
      <c r="C1">
        <f>$H$3*(1+$H$1)*(A1^($H$1))*EXP(-$H$3*(A1^(1+$H$1)))</f>
        <v>0.31214873572736179</v>
      </c>
      <c r="D1">
        <f>B1-C1</f>
        <v>-1.7100869063590596E-2</v>
      </c>
      <c r="E1">
        <f>D1^2</f>
        <v>2.9243972273006988E-4</v>
      </c>
      <c r="G1" t="s">
        <v>0</v>
      </c>
      <c r="H1">
        <v>0.53156792686928145</v>
      </c>
    </row>
    <row r="2" spans="1:8" x14ac:dyDescent="0.25">
      <c r="A2">
        <v>0.20094081527500002</v>
      </c>
      <c r="B2">
        <v>0.51585479285208047</v>
      </c>
      <c r="C2">
        <f t="shared" ref="C2:C40" si="0">$H$3*(1+$H$1)*(A2^($H$1))*EXP(-$H$3*(A2^(1+$H$1)))</f>
        <v>0.51680826283899517</v>
      </c>
      <c r="D2">
        <f t="shared" ref="D2:D40" si="1">B2-C2</f>
        <v>-9.534699869147012E-4</v>
      </c>
      <c r="E2">
        <f t="shared" ref="E2:E40" si="2">D2^2</f>
        <v>9.0910501594712047E-7</v>
      </c>
    </row>
    <row r="3" spans="1:8" x14ac:dyDescent="0.25">
      <c r="A3">
        <v>0.33216626012500006</v>
      </c>
      <c r="B3">
        <v>0.61835518808916978</v>
      </c>
      <c r="C3">
        <f t="shared" si="0"/>
        <v>0.62035659653114117</v>
      </c>
      <c r="D3">
        <f t="shared" si="1"/>
        <v>-2.0014084419713862E-3</v>
      </c>
      <c r="E3">
        <f t="shared" si="2"/>
        <v>4.0056357515943317E-6</v>
      </c>
      <c r="G3" t="s">
        <v>1</v>
      </c>
      <c r="H3">
        <f>(_xlfn.GAMMA((2+$H$1)/(1+$H$1)))^(1+$H$1)</f>
        <v>0.8517950584609808</v>
      </c>
    </row>
    <row r="4" spans="1:8" x14ac:dyDescent="0.25">
      <c r="A4">
        <v>0.46339170497500004</v>
      </c>
      <c r="B4">
        <v>0.71079713332635786</v>
      </c>
      <c r="C4">
        <f t="shared" si="0"/>
        <v>0.66681802113432753</v>
      </c>
      <c r="D4">
        <f t="shared" si="1"/>
        <v>4.3979112192030323E-2</v>
      </c>
      <c r="E4">
        <f t="shared" si="2"/>
        <v>1.9341623091991902E-3</v>
      </c>
    </row>
    <row r="5" spans="1:8" x14ac:dyDescent="0.25">
      <c r="A5">
        <v>0.59461714982500002</v>
      </c>
      <c r="B5">
        <v>0.67870588808857757</v>
      </c>
      <c r="C5">
        <f t="shared" si="0"/>
        <v>0.67391417526917285</v>
      </c>
      <c r="D5">
        <f t="shared" si="1"/>
        <v>4.7917128194047143E-3</v>
      </c>
      <c r="E5">
        <f t="shared" si="2"/>
        <v>2.2960511743647475E-5</v>
      </c>
      <c r="G5" t="s">
        <v>2</v>
      </c>
      <c r="H5">
        <f>SUM(E1:E40)</f>
        <v>5.5910962666428244E-3</v>
      </c>
    </row>
    <row r="6" spans="1:8" x14ac:dyDescent="0.25">
      <c r="A6">
        <v>0.72584259467500001</v>
      </c>
      <c r="B6">
        <v>0.63751414046993415</v>
      </c>
      <c r="C6">
        <f t="shared" si="0"/>
        <v>0.65319127491423423</v>
      </c>
      <c r="D6">
        <f t="shared" si="1"/>
        <v>-1.5677134444300078E-2</v>
      </c>
      <c r="E6">
        <f t="shared" si="2"/>
        <v>2.4577254438465991E-4</v>
      </c>
    </row>
    <row r="7" spans="1:8" x14ac:dyDescent="0.25">
      <c r="A7">
        <v>0.85706803952499999</v>
      </c>
      <c r="B7">
        <v>0.58386907380379394</v>
      </c>
      <c r="C7">
        <f t="shared" si="0"/>
        <v>0.61343278266091028</v>
      </c>
      <c r="D7">
        <f t="shared" si="1"/>
        <v>-2.9563708857116344E-2</v>
      </c>
      <c r="E7">
        <f t="shared" si="2"/>
        <v>8.7401288138833934E-4</v>
      </c>
    </row>
    <row r="8" spans="1:8" x14ac:dyDescent="0.25">
      <c r="A8">
        <v>0.98829348437499998</v>
      </c>
      <c r="B8">
        <v>0.57333164999437358</v>
      </c>
      <c r="C8">
        <f t="shared" si="0"/>
        <v>0.56161012590116099</v>
      </c>
      <c r="D8">
        <f t="shared" si="1"/>
        <v>1.1721524093212587E-2</v>
      </c>
      <c r="E8">
        <f t="shared" si="2"/>
        <v>1.3739412706776318E-4</v>
      </c>
    </row>
    <row r="9" spans="1:8" x14ac:dyDescent="0.25">
      <c r="A9">
        <v>1.1195189292250001</v>
      </c>
      <c r="B9">
        <v>0.47705791428103267</v>
      </c>
      <c r="C9">
        <f t="shared" si="0"/>
        <v>0.5032412715879544</v>
      </c>
      <c r="D9">
        <f t="shared" si="1"/>
        <v>-2.6183357306921728E-2</v>
      </c>
      <c r="E9">
        <f t="shared" si="2"/>
        <v>6.8556819986193148E-4</v>
      </c>
    </row>
    <row r="10" spans="1:8" x14ac:dyDescent="0.25">
      <c r="A10">
        <v>1.2507443740749999</v>
      </c>
      <c r="B10">
        <v>0.45310922380507718</v>
      </c>
      <c r="C10">
        <f t="shared" si="0"/>
        <v>0.44258913501307351</v>
      </c>
      <c r="D10">
        <f t="shared" si="1"/>
        <v>1.0520088792003668E-2</v>
      </c>
      <c r="E10">
        <f t="shared" si="2"/>
        <v>1.1067226819164119E-4</v>
      </c>
    </row>
    <row r="11" spans="1:8" x14ac:dyDescent="0.25">
      <c r="A11">
        <v>1.381969818925</v>
      </c>
      <c r="B11">
        <v>0.40281697380557074</v>
      </c>
      <c r="C11">
        <f t="shared" si="0"/>
        <v>0.38282192237502971</v>
      </c>
      <c r="D11">
        <f t="shared" si="1"/>
        <v>1.9995051430541033E-2</v>
      </c>
      <c r="E11">
        <f t="shared" si="2"/>
        <v>3.99802081709981E-4</v>
      </c>
    </row>
    <row r="12" spans="1:8" x14ac:dyDescent="0.25">
      <c r="A12">
        <v>1.5131952637750001</v>
      </c>
      <c r="B12">
        <v>0.33288679761578083</v>
      </c>
      <c r="C12">
        <f t="shared" si="0"/>
        <v>0.32616896560887954</v>
      </c>
      <c r="D12">
        <f t="shared" si="1"/>
        <v>6.717832006901292E-3</v>
      </c>
      <c r="E12">
        <f t="shared" si="2"/>
        <v>4.5129266872947441E-5</v>
      </c>
    </row>
    <row r="13" spans="1:8" x14ac:dyDescent="0.25">
      <c r="A13">
        <v>1.6444207086250002</v>
      </c>
      <c r="B13">
        <v>0.26343559523550997</v>
      </c>
      <c r="C13">
        <f t="shared" si="0"/>
        <v>0.27407687426064525</v>
      </c>
      <c r="D13">
        <f t="shared" si="1"/>
        <v>-1.0641279025135286E-2</v>
      </c>
      <c r="E13">
        <f t="shared" si="2"/>
        <v>1.1323681929078419E-4</v>
      </c>
    </row>
    <row r="14" spans="1:8" x14ac:dyDescent="0.25">
      <c r="A14">
        <v>1.7756461534749999</v>
      </c>
      <c r="B14">
        <v>0.21937000475975196</v>
      </c>
      <c r="C14">
        <f t="shared" si="0"/>
        <v>0.22736180804207581</v>
      </c>
      <c r="D14">
        <f t="shared" si="1"/>
        <v>-7.9918032823238505E-3</v>
      </c>
      <c r="E14">
        <f t="shared" si="2"/>
        <v>6.3868919703362274E-5</v>
      </c>
    </row>
    <row r="15" spans="1:8" x14ac:dyDescent="0.25">
      <c r="A15">
        <v>1.906871598325</v>
      </c>
      <c r="B15">
        <v>0.16668288571264997</v>
      </c>
      <c r="C15">
        <f t="shared" si="0"/>
        <v>0.18635193077577555</v>
      </c>
      <c r="D15">
        <f t="shared" si="1"/>
        <v>-1.9669045063125584E-2</v>
      </c>
      <c r="E15">
        <f t="shared" si="2"/>
        <v>3.8687133369526489E-4</v>
      </c>
    </row>
    <row r="16" spans="1:8" x14ac:dyDescent="0.25">
      <c r="A16">
        <v>2.0380970431750001</v>
      </c>
      <c r="B16">
        <v>0.15614546190322956</v>
      </c>
      <c r="C16">
        <f t="shared" si="0"/>
        <v>0.15101509022769058</v>
      </c>
      <c r="D16">
        <f t="shared" si="1"/>
        <v>5.1303716755389805E-3</v>
      </c>
      <c r="E16">
        <f t="shared" si="2"/>
        <v>2.6320713529172645E-5</v>
      </c>
    </row>
    <row r="17" spans="1:5" x14ac:dyDescent="0.25">
      <c r="A17">
        <v>2.1693224880250002</v>
      </c>
      <c r="B17">
        <v>0.11447474047506707</v>
      </c>
      <c r="C17">
        <f t="shared" si="0"/>
        <v>0.12106860389879258</v>
      </c>
      <c r="D17">
        <f t="shared" si="1"/>
        <v>-6.5938634237255045E-3</v>
      </c>
      <c r="E17">
        <f t="shared" si="2"/>
        <v>4.3479034850745033E-5</v>
      </c>
    </row>
    <row r="18" spans="1:5" x14ac:dyDescent="0.25">
      <c r="A18">
        <v>2.3005479328750003</v>
      </c>
      <c r="B18">
        <v>8.8131180951516064E-2</v>
      </c>
      <c r="C18">
        <f t="shared" si="0"/>
        <v>9.6069899336849604E-2</v>
      </c>
      <c r="D18">
        <f t="shared" si="1"/>
        <v>-7.9387183853335402E-3</v>
      </c>
      <c r="E18">
        <f t="shared" si="2"/>
        <v>6.3023249601632775E-5</v>
      </c>
    </row>
    <row r="19" spans="1:5" x14ac:dyDescent="0.25">
      <c r="A19">
        <v>2.4317733777250004</v>
      </c>
      <c r="B19">
        <v>7.5198888094500121E-2</v>
      </c>
      <c r="C19">
        <f t="shared" si="0"/>
        <v>7.5488312950114309E-2</v>
      </c>
      <c r="D19">
        <f t="shared" si="1"/>
        <v>-2.8942485561418707E-4</v>
      </c>
      <c r="E19">
        <f t="shared" si="2"/>
        <v>8.3766747047293033E-8</v>
      </c>
    </row>
    <row r="20" spans="1:5" x14ac:dyDescent="0.25">
      <c r="A20">
        <v>2.562998822575</v>
      </c>
      <c r="B20">
        <v>5.1729171428063783E-2</v>
      </c>
      <c r="C20">
        <f t="shared" si="0"/>
        <v>5.8759479252560885E-2</v>
      </c>
      <c r="D20">
        <f t="shared" si="1"/>
        <v>-7.0303078244971021E-3</v>
      </c>
      <c r="E20">
        <f t="shared" si="2"/>
        <v>4.9425228107185174E-5</v>
      </c>
    </row>
    <row r="21" spans="1:5" x14ac:dyDescent="0.25">
      <c r="A21">
        <v>2.6942242674250001</v>
      </c>
      <c r="B21">
        <v>4.5023538094796256E-2</v>
      </c>
      <c r="C21">
        <f t="shared" si="0"/>
        <v>4.5324445844525857E-2</v>
      </c>
      <c r="D21">
        <f t="shared" si="1"/>
        <v>-3.0090774972960088E-4</v>
      </c>
      <c r="E21">
        <f t="shared" si="2"/>
        <v>9.0545473847332125E-8</v>
      </c>
    </row>
    <row r="22" spans="1:5" x14ac:dyDescent="0.25">
      <c r="A22">
        <v>2.8254497122750002</v>
      </c>
      <c r="B22">
        <v>3.68809833329714E-2</v>
      </c>
      <c r="C22">
        <f t="shared" si="0"/>
        <v>3.4655987835717494E-2</v>
      </c>
      <c r="D22">
        <f t="shared" si="1"/>
        <v>2.2249954972539052E-3</v>
      </c>
      <c r="E22">
        <f t="shared" si="2"/>
        <v>4.9506049628001527E-6</v>
      </c>
    </row>
    <row r="23" spans="1:5" x14ac:dyDescent="0.25">
      <c r="A23">
        <v>2.9566751571249998</v>
      </c>
      <c r="B23">
        <v>3.0175349999703872E-2</v>
      </c>
      <c r="C23">
        <f t="shared" si="0"/>
        <v>2.6274650666844774E-2</v>
      </c>
      <c r="D23">
        <f t="shared" si="1"/>
        <v>3.9006993328590985E-3</v>
      </c>
      <c r="E23">
        <f t="shared" si="2"/>
        <v>1.5215455285367416E-5</v>
      </c>
    </row>
    <row r="24" spans="1:5" x14ac:dyDescent="0.25">
      <c r="A24">
        <v>3.0879006019749999</v>
      </c>
      <c r="B24">
        <v>1.9637926190283473E-2</v>
      </c>
      <c r="C24">
        <f t="shared" si="0"/>
        <v>1.9756906481977515E-2</v>
      </c>
      <c r="D24">
        <f t="shared" si="1"/>
        <v>-1.1898029169404162E-4</v>
      </c>
      <c r="E24">
        <f t="shared" si="2"/>
        <v>1.4156309811599228E-8</v>
      </c>
    </row>
    <row r="25" spans="1:5" x14ac:dyDescent="0.25">
      <c r="A25">
        <v>3.219126046825</v>
      </c>
      <c r="B25">
        <v>1.7722030952207035E-2</v>
      </c>
      <c r="C25">
        <f t="shared" si="0"/>
        <v>1.473754176792942E-2</v>
      </c>
      <c r="D25">
        <f t="shared" si="1"/>
        <v>2.9844891842776156E-3</v>
      </c>
      <c r="E25">
        <f t="shared" si="2"/>
        <v>8.9071756910700683E-6</v>
      </c>
    </row>
    <row r="26" spans="1:5" x14ac:dyDescent="0.25">
      <c r="A26">
        <v>3.3503514916750001</v>
      </c>
      <c r="B26">
        <v>1.1495371428458618E-2</v>
      </c>
      <c r="C26">
        <f t="shared" si="0"/>
        <v>1.0908064487902221E-2</v>
      </c>
      <c r="D26">
        <f t="shared" si="1"/>
        <v>5.8730694055639764E-4</v>
      </c>
      <c r="E26">
        <f t="shared" si="2"/>
        <v>3.44929442425716E-7</v>
      </c>
    </row>
    <row r="27" spans="1:5" x14ac:dyDescent="0.25">
      <c r="A27">
        <v>3.4815769365250002</v>
      </c>
      <c r="B27">
        <v>1.1974345237977727E-2</v>
      </c>
      <c r="C27">
        <f t="shared" si="0"/>
        <v>8.0125736960854187E-3</v>
      </c>
      <c r="D27">
        <f t="shared" si="1"/>
        <v>3.9617715418923082E-3</v>
      </c>
      <c r="E27">
        <f t="shared" si="2"/>
        <v>1.5695633750147756E-5</v>
      </c>
    </row>
    <row r="28" spans="1:5" x14ac:dyDescent="0.25">
      <c r="A28">
        <v>3.6128023813750003</v>
      </c>
      <c r="B28">
        <v>1.1016397618939508E-2</v>
      </c>
      <c r="C28">
        <f t="shared" si="0"/>
        <v>5.8422054974425364E-3</v>
      </c>
      <c r="D28">
        <f t="shared" si="1"/>
        <v>5.1741921214969715E-3</v>
      </c>
      <c r="E28">
        <f t="shared" si="2"/>
        <v>2.677226411016133E-5</v>
      </c>
    </row>
    <row r="29" spans="1:5" x14ac:dyDescent="0.25">
      <c r="A29">
        <v>3.744027826225</v>
      </c>
      <c r="B29">
        <v>5.7476857142293091E-3</v>
      </c>
      <c r="C29">
        <f t="shared" si="0"/>
        <v>4.2289757302251115E-3</v>
      </c>
      <c r="D29">
        <f t="shared" si="1"/>
        <v>1.5187099840041976E-3</v>
      </c>
      <c r="E29">
        <f t="shared" si="2"/>
        <v>2.3064800155140303E-6</v>
      </c>
    </row>
    <row r="30" spans="1:5" x14ac:dyDescent="0.25">
      <c r="A30">
        <v>3.8752532710750001</v>
      </c>
      <c r="B30">
        <v>2.8738428571146546E-3</v>
      </c>
      <c r="C30">
        <f t="shared" si="0"/>
        <v>3.0395916501992004E-3</v>
      </c>
      <c r="D30">
        <f t="shared" si="1"/>
        <v>-1.657487930845458E-4</v>
      </c>
      <c r="E30">
        <f t="shared" si="2"/>
        <v>2.7472662408983577E-8</v>
      </c>
    </row>
    <row r="31" spans="1:5" x14ac:dyDescent="0.25">
      <c r="A31">
        <v>4.0064787159250006</v>
      </c>
      <c r="B31">
        <v>5.7476857142293091E-3</v>
      </c>
      <c r="C31">
        <f t="shared" si="0"/>
        <v>2.1696047831115182E-3</v>
      </c>
      <c r="D31">
        <f t="shared" si="1"/>
        <v>3.5780809311177909E-3</v>
      </c>
      <c r="E31">
        <f t="shared" si="2"/>
        <v>1.2802663149628757E-5</v>
      </c>
    </row>
    <row r="32" spans="1:5" x14ac:dyDescent="0.25">
      <c r="A32">
        <v>4.1377041607749998</v>
      </c>
      <c r="B32">
        <v>3.3528166666337636E-3</v>
      </c>
      <c r="C32">
        <f t="shared" si="0"/>
        <v>1.5381227759484481E-3</v>
      </c>
      <c r="D32">
        <f t="shared" si="1"/>
        <v>1.8146938906853155E-3</v>
      </c>
      <c r="E32">
        <f t="shared" si="2"/>
        <v>3.2931139168906077E-6</v>
      </c>
    </row>
    <row r="33" spans="1:5" x14ac:dyDescent="0.25">
      <c r="A33">
        <v>4.2689296056249999</v>
      </c>
      <c r="B33">
        <v>1.4369214285573273E-3</v>
      </c>
      <c r="C33">
        <f t="shared" si="0"/>
        <v>1.0831844396110102E-3</v>
      </c>
      <c r="D33">
        <f t="shared" si="1"/>
        <v>3.5373698894631709E-4</v>
      </c>
      <c r="E33">
        <f t="shared" si="2"/>
        <v>1.2512985734880686E-7</v>
      </c>
    </row>
    <row r="34" spans="1:5" x14ac:dyDescent="0.25">
      <c r="A34">
        <v>4.400155050475</v>
      </c>
      <c r="B34">
        <v>4.7897380951910908E-4</v>
      </c>
      <c r="C34">
        <f t="shared" si="0"/>
        <v>7.578227766341395E-4</v>
      </c>
      <c r="D34">
        <f t="shared" si="1"/>
        <v>-2.7884896711503042E-4</v>
      </c>
      <c r="E34">
        <f t="shared" si="2"/>
        <v>7.7756746461119315E-8</v>
      </c>
    </row>
    <row r="35" spans="1:5" x14ac:dyDescent="0.25">
      <c r="A35">
        <v>4.5313804953250001</v>
      </c>
      <c r="B35">
        <v>0</v>
      </c>
      <c r="C35">
        <f t="shared" si="0"/>
        <v>5.2678884782950315E-4</v>
      </c>
      <c r="D35">
        <f t="shared" si="1"/>
        <v>-5.2678884782950315E-4</v>
      </c>
      <c r="E35">
        <f t="shared" si="2"/>
        <v>2.7750649019753542E-7</v>
      </c>
    </row>
    <row r="36" spans="1:5" x14ac:dyDescent="0.25">
      <c r="A36">
        <v>4.6626059401750002</v>
      </c>
      <c r="B36">
        <v>9.5794761903821816E-4</v>
      </c>
      <c r="C36">
        <f t="shared" si="0"/>
        <v>3.6387844193450937E-4</v>
      </c>
      <c r="D36">
        <f t="shared" si="1"/>
        <v>5.9406917710370878E-4</v>
      </c>
      <c r="E36">
        <f t="shared" si="2"/>
        <v>3.5291818718467769E-7</v>
      </c>
    </row>
    <row r="37" spans="1:5" x14ac:dyDescent="0.25">
      <c r="A37">
        <v>4.7938313850250012</v>
      </c>
      <c r="B37">
        <v>9.5794761903821816E-4</v>
      </c>
      <c r="C37">
        <f t="shared" si="0"/>
        <v>2.4978802982785218E-4</v>
      </c>
      <c r="D37">
        <f t="shared" si="1"/>
        <v>7.0815958921036592E-4</v>
      </c>
      <c r="E37">
        <f t="shared" si="2"/>
        <v>5.0149000379059423E-7</v>
      </c>
    </row>
    <row r="38" spans="1:5" x14ac:dyDescent="0.25">
      <c r="A38">
        <v>4.9250568298750004</v>
      </c>
      <c r="B38">
        <v>0</v>
      </c>
      <c r="C38">
        <f t="shared" si="0"/>
        <v>1.7042171055122626E-4</v>
      </c>
      <c r="D38">
        <f t="shared" si="1"/>
        <v>-1.7042171055122626E-4</v>
      </c>
      <c r="E38">
        <f t="shared" si="2"/>
        <v>2.9043559427205941E-8</v>
      </c>
    </row>
    <row r="39" spans="1:5" x14ac:dyDescent="0.25">
      <c r="A39">
        <v>5.0562822747249996</v>
      </c>
      <c r="B39">
        <v>0</v>
      </c>
      <c r="C39">
        <f t="shared" si="0"/>
        <v>1.1557306063703096E-4</v>
      </c>
      <c r="D39">
        <f t="shared" si="1"/>
        <v>-1.1557306063703096E-4</v>
      </c>
      <c r="E39">
        <f t="shared" si="2"/>
        <v>1.3357132345010835E-8</v>
      </c>
    </row>
    <row r="40" spans="1:5" x14ac:dyDescent="0.25">
      <c r="A40">
        <v>5.1875077195750006</v>
      </c>
      <c r="B40">
        <v>4.7897380951910908E-4</v>
      </c>
      <c r="C40">
        <f t="shared" si="0"/>
        <v>7.7912152054728165E-5</v>
      </c>
      <c r="D40">
        <f t="shared" si="1"/>
        <v>4.0106165746438093E-4</v>
      </c>
      <c r="E40">
        <f t="shared" si="2"/>
        <v>1.6085045308807641E-7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270C-4083-4251-B942-7310EBFAD06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7.0675783350000007E-2</v>
      </c>
      <c r="B1">
        <v>0.2414352309717897</v>
      </c>
      <c r="C1">
        <f>$H$3*(1+$H$1)*(A1^($H$1))*EXP(-$H$3*(A1^(1+$H$1)))</f>
        <v>0.27942678277229205</v>
      </c>
      <c r="D1">
        <f>B1-C1</f>
        <v>-3.7991551800502343E-2</v>
      </c>
      <c r="E1">
        <f>D1^2</f>
        <v>1.4433580082102528E-3</v>
      </c>
      <c r="G1" t="s">
        <v>0</v>
      </c>
      <c r="H1">
        <v>0.58558596931443874</v>
      </c>
    </row>
    <row r="2" spans="1:8" x14ac:dyDescent="0.25">
      <c r="A2">
        <v>0.19614050405</v>
      </c>
      <c r="B2">
        <v>0.50741470741581529</v>
      </c>
      <c r="C2">
        <f t="shared" ref="C2:C40" si="0">$H$3*(1+$H$1)*(A2^($H$1))*EXP(-$H$3*(A2^(1+$H$1)))</f>
        <v>0.48272175245058752</v>
      </c>
      <c r="D2">
        <f t="shared" ref="D2:D40" si="1">B2-C2</f>
        <v>2.4692954965227776E-2</v>
      </c>
      <c r="E2">
        <f t="shared" ref="E2:E40" si="2">D2^2</f>
        <v>6.0974202491476711E-4</v>
      </c>
    </row>
    <row r="3" spans="1:8" x14ac:dyDescent="0.25">
      <c r="A3">
        <v>0.32160522474999997</v>
      </c>
      <c r="B3">
        <v>0.62162058430703537</v>
      </c>
      <c r="C3">
        <f t="shared" si="0"/>
        <v>0.59780112713904165</v>
      </c>
      <c r="D3">
        <f t="shared" si="1"/>
        <v>2.3819457167993718E-2</v>
      </c>
      <c r="E3">
        <f t="shared" si="2"/>
        <v>5.6736653977788735E-4</v>
      </c>
      <c r="G3" t="s">
        <v>1</v>
      </c>
      <c r="H3">
        <f>(_xlfn.GAMMA((2+$H$1)/(1+$H$1)))^(1+$H$1)</f>
        <v>0.8421841638243871</v>
      </c>
    </row>
    <row r="4" spans="1:8" x14ac:dyDescent="0.25">
      <c r="A4">
        <v>0.44706994545000001</v>
      </c>
      <c r="B4">
        <v>0.63915218821577524</v>
      </c>
      <c r="C4">
        <f t="shared" si="0"/>
        <v>0.65888143448396053</v>
      </c>
      <c r="D4">
        <f t="shared" si="1"/>
        <v>-1.9729246268185285E-2</v>
      </c>
      <c r="E4">
        <f t="shared" si="2"/>
        <v>3.8924315831070303E-4</v>
      </c>
    </row>
    <row r="5" spans="1:8" x14ac:dyDescent="0.25">
      <c r="A5">
        <v>0.57253466614999993</v>
      </c>
      <c r="B5">
        <v>0.70527138010016577</v>
      </c>
      <c r="C5">
        <f t="shared" si="0"/>
        <v>0.68030472791214003</v>
      </c>
      <c r="D5">
        <f t="shared" si="1"/>
        <v>2.496665218802574E-2</v>
      </c>
      <c r="E5">
        <f t="shared" si="2"/>
        <v>6.2333372147785045E-4</v>
      </c>
      <c r="G5" t="s">
        <v>2</v>
      </c>
      <c r="H5">
        <f>SUM(E1:E40)</f>
        <v>5.9808616174330384E-3</v>
      </c>
    </row>
    <row r="6" spans="1:8" x14ac:dyDescent="0.25">
      <c r="A6">
        <v>0.69799938685000007</v>
      </c>
      <c r="B6">
        <v>0.68273074650321441</v>
      </c>
      <c r="C6">
        <f t="shared" si="0"/>
        <v>0.67194262221652623</v>
      </c>
      <c r="D6">
        <f t="shared" si="1"/>
        <v>1.0788124286688183E-2</v>
      </c>
      <c r="E6">
        <f t="shared" si="2"/>
        <v>1.1638362562503142E-4</v>
      </c>
    </row>
    <row r="7" spans="1:8" x14ac:dyDescent="0.25">
      <c r="A7">
        <v>0.82346410754999999</v>
      </c>
      <c r="B7">
        <v>0.64165670305988098</v>
      </c>
      <c r="C7">
        <f t="shared" si="0"/>
        <v>0.64179110227845426</v>
      </c>
      <c r="D7">
        <f t="shared" si="1"/>
        <v>-1.3439921857327786E-4</v>
      </c>
      <c r="E7">
        <f t="shared" si="2"/>
        <v>1.8063149953107716E-8</v>
      </c>
    </row>
    <row r="8" spans="1:8" x14ac:dyDescent="0.25">
      <c r="A8">
        <v>0.94892882824999991</v>
      </c>
      <c r="B8">
        <v>0.56852486961199444</v>
      </c>
      <c r="C8">
        <f t="shared" si="0"/>
        <v>0.59659730317781601</v>
      </c>
      <c r="D8">
        <f t="shared" si="1"/>
        <v>-2.8072433565821564E-2</v>
      </c>
      <c r="E8">
        <f t="shared" si="2"/>
        <v>7.8806152630746522E-4</v>
      </c>
    </row>
    <row r="9" spans="1:8" x14ac:dyDescent="0.25">
      <c r="A9">
        <v>1.0743935489500001</v>
      </c>
      <c r="B9">
        <v>0.54297881820211624</v>
      </c>
      <c r="C9">
        <f t="shared" si="0"/>
        <v>0.54202064632277303</v>
      </c>
      <c r="D9">
        <f t="shared" si="1"/>
        <v>9.5817187934321701E-4</v>
      </c>
      <c r="E9">
        <f t="shared" si="2"/>
        <v>9.1809335036411243E-7</v>
      </c>
    </row>
    <row r="10" spans="1:8" x14ac:dyDescent="0.25">
      <c r="A10">
        <v>1.19985826965</v>
      </c>
      <c r="B10">
        <v>0.47535691741126229</v>
      </c>
      <c r="C10">
        <f t="shared" si="0"/>
        <v>0.48268715248441191</v>
      </c>
      <c r="D10">
        <f t="shared" si="1"/>
        <v>-7.3302350731496158E-3</v>
      </c>
      <c r="E10">
        <f t="shared" si="2"/>
        <v>5.3732346227632752E-5</v>
      </c>
    </row>
    <row r="11" spans="1:8" x14ac:dyDescent="0.25">
      <c r="A11">
        <v>1.3253229903500001</v>
      </c>
      <c r="B11">
        <v>0.41775307599683115</v>
      </c>
      <c r="C11">
        <f t="shared" si="0"/>
        <v>0.42224052386344446</v>
      </c>
      <c r="D11">
        <f t="shared" si="1"/>
        <v>-4.4874478666133144E-3</v>
      </c>
      <c r="E11">
        <f t="shared" si="2"/>
        <v>2.0137188355572388E-5</v>
      </c>
    </row>
    <row r="12" spans="1:8" x14ac:dyDescent="0.25">
      <c r="A12">
        <v>1.45078771105</v>
      </c>
      <c r="B12">
        <v>0.38118715927288788</v>
      </c>
      <c r="C12">
        <f t="shared" si="0"/>
        <v>0.36341736149210729</v>
      </c>
      <c r="D12">
        <f t="shared" si="1"/>
        <v>1.7769797780780583E-2</v>
      </c>
      <c r="E12">
        <f t="shared" si="2"/>
        <v>3.1576571316983452E-4</v>
      </c>
    </row>
    <row r="13" spans="1:8" x14ac:dyDescent="0.25">
      <c r="A13">
        <v>1.57625243175</v>
      </c>
      <c r="B13">
        <v>0.31055984066910708</v>
      </c>
      <c r="C13">
        <f t="shared" si="0"/>
        <v>0.30814755069809946</v>
      </c>
      <c r="D13">
        <f t="shared" si="1"/>
        <v>2.4122899710076195E-3</v>
      </c>
      <c r="E13">
        <f t="shared" si="2"/>
        <v>5.8191429042239416E-6</v>
      </c>
    </row>
    <row r="14" spans="1:8" x14ac:dyDescent="0.25">
      <c r="A14">
        <v>1.7017171524499999</v>
      </c>
      <c r="B14">
        <v>0.25846593191170847</v>
      </c>
      <c r="C14">
        <f t="shared" si="0"/>
        <v>0.2576718282937045</v>
      </c>
      <c r="D14">
        <f t="shared" si="1"/>
        <v>7.9410361800397178E-4</v>
      </c>
      <c r="E14">
        <f t="shared" si="2"/>
        <v>6.3060055612699793E-7</v>
      </c>
    </row>
    <row r="15" spans="1:8" x14ac:dyDescent="0.25">
      <c r="A15">
        <v>1.8271818731499998</v>
      </c>
      <c r="B15">
        <v>0.18383138955735856</v>
      </c>
      <c r="C15">
        <f t="shared" si="0"/>
        <v>0.21266648433318952</v>
      </c>
      <c r="D15">
        <f t="shared" si="1"/>
        <v>-2.8835094775830961E-2</v>
      </c>
      <c r="E15">
        <f t="shared" si="2"/>
        <v>8.3146269073115396E-4</v>
      </c>
    </row>
    <row r="16" spans="1:8" x14ac:dyDescent="0.25">
      <c r="A16">
        <v>1.9526465938499999</v>
      </c>
      <c r="B16">
        <v>0.16730159158626093</v>
      </c>
      <c r="C16">
        <f t="shared" si="0"/>
        <v>0.17336606609977159</v>
      </c>
      <c r="D16">
        <f t="shared" si="1"/>
        <v>-6.0644745135106648E-3</v>
      </c>
      <c r="E16">
        <f t="shared" si="2"/>
        <v>3.6777851125020415E-5</v>
      </c>
    </row>
    <row r="17" spans="1:5" x14ac:dyDescent="0.25">
      <c r="A17">
        <v>2.0781113145500001</v>
      </c>
      <c r="B17">
        <v>0.14225644314520389</v>
      </c>
      <c r="C17">
        <f t="shared" si="0"/>
        <v>0.13967705095333707</v>
      </c>
      <c r="D17">
        <f t="shared" si="1"/>
        <v>2.5793921918668139E-3</v>
      </c>
      <c r="E17">
        <f t="shared" si="2"/>
        <v>6.6532640794634864E-6</v>
      </c>
    </row>
    <row r="18" spans="1:5" x14ac:dyDescent="0.25">
      <c r="A18">
        <v>2.2035760352500002</v>
      </c>
      <c r="B18">
        <v>0.10468872048361835</v>
      </c>
      <c r="C18">
        <f t="shared" si="0"/>
        <v>0.11127784265730681</v>
      </c>
      <c r="D18">
        <f t="shared" si="1"/>
        <v>-6.5891221736884553E-3</v>
      </c>
      <c r="E18">
        <f t="shared" si="2"/>
        <v>4.3416531019792875E-5</v>
      </c>
    </row>
    <row r="19" spans="1:5" x14ac:dyDescent="0.25">
      <c r="A19">
        <v>2.3290407559499999</v>
      </c>
      <c r="B19">
        <v>8.6656213606057297E-2</v>
      </c>
      <c r="C19">
        <f t="shared" si="0"/>
        <v>8.7702661563127282E-2</v>
      </c>
      <c r="D19">
        <f t="shared" si="1"/>
        <v>-1.0464479570699847E-3</v>
      </c>
      <c r="E19">
        <f t="shared" si="2"/>
        <v>1.0950533268559446E-6</v>
      </c>
    </row>
    <row r="20" spans="1:5" x14ac:dyDescent="0.25">
      <c r="A20">
        <v>2.4545054766499996</v>
      </c>
      <c r="B20">
        <v>6.3614677040284839E-2</v>
      </c>
      <c r="C20">
        <f t="shared" si="0"/>
        <v>6.8408721957410462E-2</v>
      </c>
      <c r="D20">
        <f t="shared" si="1"/>
        <v>-4.7940449171256228E-3</v>
      </c>
      <c r="E20">
        <f t="shared" si="2"/>
        <v>2.2982866667418018E-5</v>
      </c>
    </row>
    <row r="21" spans="1:5" x14ac:dyDescent="0.25">
      <c r="A21">
        <v>2.5799701973500002</v>
      </c>
      <c r="B21">
        <v>4.7585782038008347E-2</v>
      </c>
      <c r="C21">
        <f t="shared" si="0"/>
        <v>5.282744336131593E-2</v>
      </c>
      <c r="D21">
        <f t="shared" si="1"/>
        <v>-5.2416613233075837E-3</v>
      </c>
      <c r="E21">
        <f t="shared" si="2"/>
        <v>2.7475013428258611E-5</v>
      </c>
    </row>
    <row r="22" spans="1:5" x14ac:dyDescent="0.25">
      <c r="A22">
        <v>2.7054349180499999</v>
      </c>
      <c r="B22">
        <v>4.3077655318618083E-2</v>
      </c>
      <c r="C22">
        <f t="shared" si="0"/>
        <v>4.0401336761512162E-2</v>
      </c>
      <c r="D22">
        <f t="shared" si="1"/>
        <v>2.6763185571059209E-3</v>
      </c>
      <c r="E22">
        <f t="shared" si="2"/>
        <v>7.1626810191095179E-6</v>
      </c>
    </row>
    <row r="23" spans="1:5" x14ac:dyDescent="0.25">
      <c r="A23">
        <v>2.8308996387500001</v>
      </c>
      <c r="B23">
        <v>3.0555081098089569E-2</v>
      </c>
      <c r="C23">
        <f t="shared" si="0"/>
        <v>3.0608700614918976E-2</v>
      </c>
      <c r="D23">
        <f t="shared" si="1"/>
        <v>-5.3619516829406938E-5</v>
      </c>
      <c r="E23">
        <f t="shared" si="2"/>
        <v>2.8750525850190538E-9</v>
      </c>
    </row>
    <row r="24" spans="1:5" x14ac:dyDescent="0.25">
      <c r="A24">
        <v>2.9563643594499998</v>
      </c>
      <c r="B24">
        <v>2.4043342503414743E-2</v>
      </c>
      <c r="C24">
        <f t="shared" si="0"/>
        <v>2.2978436605391665E-2</v>
      </c>
      <c r="D24">
        <f t="shared" si="1"/>
        <v>1.0649058980230774E-3</v>
      </c>
      <c r="E24">
        <f t="shared" si="2"/>
        <v>1.1340245716443371E-6</v>
      </c>
    </row>
    <row r="25" spans="1:5" x14ac:dyDescent="0.25">
      <c r="A25">
        <v>3.0818290801499999</v>
      </c>
      <c r="B25">
        <v>1.6028895002276496E-2</v>
      </c>
      <c r="C25">
        <f t="shared" si="0"/>
        <v>1.7097238016190907E-2</v>
      </c>
      <c r="D25">
        <f t="shared" si="1"/>
        <v>-1.0683430139144107E-3</v>
      </c>
      <c r="E25">
        <f t="shared" si="2"/>
        <v>1.1413567953797266E-6</v>
      </c>
    </row>
    <row r="26" spans="1:5" x14ac:dyDescent="0.25">
      <c r="A26">
        <v>3.20729380085</v>
      </c>
      <c r="B26">
        <v>1.7030700939918778E-2</v>
      </c>
      <c r="C26">
        <f t="shared" si="0"/>
        <v>1.2611194325661448E-2</v>
      </c>
      <c r="D26">
        <f t="shared" si="1"/>
        <v>4.4195066142573292E-3</v>
      </c>
      <c r="E26">
        <f t="shared" si="2"/>
        <v>1.953203871346428E-5</v>
      </c>
    </row>
    <row r="27" spans="1:5" x14ac:dyDescent="0.25">
      <c r="A27">
        <v>3.3327585215500002</v>
      </c>
      <c r="B27">
        <v>1.3524380158170793E-2</v>
      </c>
      <c r="C27">
        <f t="shared" si="0"/>
        <v>9.2235617553045601E-3</v>
      </c>
      <c r="D27">
        <f t="shared" si="1"/>
        <v>4.3008184028662331E-3</v>
      </c>
      <c r="E27">
        <f t="shared" si="2"/>
        <v>1.8497038934432856E-5</v>
      </c>
    </row>
    <row r="28" spans="1:5" x14ac:dyDescent="0.25">
      <c r="A28">
        <v>3.4582232422499999</v>
      </c>
      <c r="B28">
        <v>8.5153504699593888E-3</v>
      </c>
      <c r="C28">
        <f t="shared" si="0"/>
        <v>6.6901234317176018E-3</v>
      </c>
      <c r="D28">
        <f t="shared" si="1"/>
        <v>1.8252270382417869E-3</v>
      </c>
      <c r="E28">
        <f t="shared" si="2"/>
        <v>3.3314537411288854E-6</v>
      </c>
    </row>
    <row r="29" spans="1:5" x14ac:dyDescent="0.25">
      <c r="A29">
        <v>3.5836879629499996</v>
      </c>
      <c r="B29">
        <v>7.5135445323171075E-3</v>
      </c>
      <c r="C29">
        <f t="shared" si="0"/>
        <v>4.8132419712107024E-3</v>
      </c>
      <c r="D29">
        <f t="shared" si="1"/>
        <v>2.7003025611064052E-3</v>
      </c>
      <c r="E29">
        <f t="shared" si="2"/>
        <v>7.291633921517811E-6</v>
      </c>
    </row>
    <row r="30" spans="1:5" x14ac:dyDescent="0.25">
      <c r="A30">
        <v>3.7091526836500002</v>
      </c>
      <c r="B30">
        <v>5.0090296882114044E-3</v>
      </c>
      <c r="C30">
        <f t="shared" si="0"/>
        <v>3.435415674831055E-3</v>
      </c>
      <c r="D30">
        <f t="shared" si="1"/>
        <v>1.5736140133803494E-3</v>
      </c>
      <c r="E30">
        <f t="shared" si="2"/>
        <v>2.4762610631070106E-6</v>
      </c>
    </row>
    <row r="31" spans="1:5" x14ac:dyDescent="0.25">
      <c r="A31">
        <v>3.8346174043500003</v>
      </c>
      <c r="B31">
        <v>5.0090296882114044E-3</v>
      </c>
      <c r="C31">
        <f t="shared" si="0"/>
        <v>2.4329002028958611E-3</v>
      </c>
      <c r="D31">
        <f t="shared" si="1"/>
        <v>2.5761294853155433E-3</v>
      </c>
      <c r="E31">
        <f t="shared" si="2"/>
        <v>6.6364431251121261E-6</v>
      </c>
    </row>
    <row r="32" spans="1:5" x14ac:dyDescent="0.25">
      <c r="A32">
        <v>3.9600821250499996</v>
      </c>
      <c r="B32">
        <v>4.5081267193902647E-3</v>
      </c>
      <c r="C32">
        <f t="shared" si="0"/>
        <v>1.7097553832334344E-3</v>
      </c>
      <c r="D32">
        <f t="shared" si="1"/>
        <v>2.7983713361568303E-3</v>
      </c>
      <c r="E32">
        <f t="shared" si="2"/>
        <v>7.8308821350241641E-6</v>
      </c>
    </row>
    <row r="33" spans="1:5" x14ac:dyDescent="0.25">
      <c r="A33">
        <v>4.0855468457499997</v>
      </c>
      <c r="B33">
        <v>1.5027089064634214E-3</v>
      </c>
      <c r="C33">
        <f t="shared" si="0"/>
        <v>1.1925207601821497E-3</v>
      </c>
      <c r="D33">
        <f t="shared" si="1"/>
        <v>3.1018814628127169E-4</v>
      </c>
      <c r="E33">
        <f t="shared" si="2"/>
        <v>9.6216686093411607E-8</v>
      </c>
    </row>
    <row r="34" spans="1:5" x14ac:dyDescent="0.25">
      <c r="A34">
        <v>4.2110115664499999</v>
      </c>
      <c r="B34">
        <v>1.001805937642281E-3</v>
      </c>
      <c r="C34">
        <f t="shared" si="0"/>
        <v>8.2560911040510275E-4</v>
      </c>
      <c r="D34">
        <f t="shared" si="1"/>
        <v>1.7619682723717827E-4</v>
      </c>
      <c r="E34">
        <f t="shared" si="2"/>
        <v>3.1045321928448044E-8</v>
      </c>
    </row>
    <row r="35" spans="1:5" x14ac:dyDescent="0.25">
      <c r="A35">
        <v>4.33647628715</v>
      </c>
      <c r="B35">
        <v>5.0090296882114051E-4</v>
      </c>
      <c r="C35">
        <f t="shared" si="0"/>
        <v>5.6742808688428007E-4</v>
      </c>
      <c r="D35">
        <f t="shared" si="1"/>
        <v>-6.6525118063139564E-5</v>
      </c>
      <c r="E35">
        <f t="shared" si="2"/>
        <v>4.4255913333146576E-9</v>
      </c>
    </row>
    <row r="36" spans="1:5" x14ac:dyDescent="0.25">
      <c r="A36">
        <v>4.4619410078500001</v>
      </c>
      <c r="B36">
        <v>1.001805937642281E-3</v>
      </c>
      <c r="C36">
        <f t="shared" si="0"/>
        <v>3.8718946156466769E-4</v>
      </c>
      <c r="D36">
        <f t="shared" si="1"/>
        <v>6.1461647607761332E-4</v>
      </c>
      <c r="E36">
        <f t="shared" si="2"/>
        <v>3.7775341266606345E-7</v>
      </c>
    </row>
    <row r="37" spans="1:5" x14ac:dyDescent="0.25">
      <c r="A37">
        <v>4.5874057285499994</v>
      </c>
      <c r="B37">
        <v>0</v>
      </c>
      <c r="C37">
        <f t="shared" si="0"/>
        <v>2.6233642491953039E-4</v>
      </c>
      <c r="D37">
        <f t="shared" si="1"/>
        <v>-2.6233642491953039E-4</v>
      </c>
      <c r="E37">
        <f t="shared" si="2"/>
        <v>6.8820399839560404E-8</v>
      </c>
    </row>
    <row r="38" spans="1:5" x14ac:dyDescent="0.25">
      <c r="A38">
        <v>4.7128704492499995</v>
      </c>
      <c r="B38">
        <v>1.001805937642281E-3</v>
      </c>
      <c r="C38">
        <f t="shared" si="0"/>
        <v>1.7650611727695613E-4</v>
      </c>
      <c r="D38">
        <f t="shared" si="1"/>
        <v>8.2529982036532487E-4</v>
      </c>
      <c r="E38">
        <f t="shared" si="2"/>
        <v>6.8111979349503754E-7</v>
      </c>
    </row>
    <row r="39" spans="1:5" x14ac:dyDescent="0.25">
      <c r="A39">
        <v>4.8383351699499997</v>
      </c>
      <c r="B39">
        <v>0</v>
      </c>
      <c r="C39">
        <f t="shared" si="0"/>
        <v>1.1794204453621712E-4</v>
      </c>
      <c r="D39">
        <f t="shared" si="1"/>
        <v>-1.1794204453621712E-4</v>
      </c>
      <c r="E39">
        <f t="shared" si="2"/>
        <v>1.3910325869383024E-8</v>
      </c>
    </row>
    <row r="40" spans="1:5" x14ac:dyDescent="0.25">
      <c r="A40">
        <v>4.9637998906499998</v>
      </c>
      <c r="B40">
        <v>5.0090296882114051E-4</v>
      </c>
      <c r="C40">
        <f t="shared" si="0"/>
        <v>7.8275338773278315E-5</v>
      </c>
      <c r="D40">
        <f t="shared" si="1"/>
        <v>4.2262763004786221E-4</v>
      </c>
      <c r="E40">
        <f t="shared" si="2"/>
        <v>1.7861411367987269E-7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0E99-44DA-4C9D-886F-92B33525B05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6.9123682399999997E-2</v>
      </c>
      <c r="B1">
        <v>0.20090808724861323</v>
      </c>
      <c r="C1">
        <f>$H$3*(1+$H$1)*(A1^($H$1))*EXP(-$H$3*(A1^(1+$H$1)))</f>
        <v>0.24021390439847029</v>
      </c>
      <c r="D1">
        <f>B1-C1</f>
        <v>-3.9305817149857064E-2</v>
      </c>
      <c r="E1">
        <f>D1^2</f>
        <v>1.5449472618179977E-3</v>
      </c>
      <c r="G1" t="s">
        <v>0</v>
      </c>
      <c r="H1">
        <v>0.64806154673416705</v>
      </c>
    </row>
    <row r="2" spans="1:8" x14ac:dyDescent="0.25">
      <c r="A2">
        <v>0.18892913519999999</v>
      </c>
      <c r="B2">
        <v>0.44640413119731032</v>
      </c>
      <c r="C2">
        <f t="shared" ref="C2:C40" si="0">$H$3*(1+$H$1)*(A2^($H$1))*EXP(-$H$3*(A2^(1+$H$1)))</f>
        <v>0.44139619486585963</v>
      </c>
      <c r="D2">
        <f t="shared" ref="D2:D40" si="1">B2-C2</f>
        <v>5.0079363314506908E-3</v>
      </c>
      <c r="E2">
        <f t="shared" ref="E2:E40" si="2">D2^2</f>
        <v>2.5079426299863802E-5</v>
      </c>
    </row>
    <row r="3" spans="1:8" x14ac:dyDescent="0.25">
      <c r="A3">
        <v>0.30873458799999998</v>
      </c>
      <c r="B3">
        <v>0.60324882594231122</v>
      </c>
      <c r="C3">
        <f t="shared" si="0"/>
        <v>0.56774946602546938</v>
      </c>
      <c r="D3">
        <f t="shared" si="1"/>
        <v>3.5499359916841833E-2</v>
      </c>
      <c r="E3">
        <f t="shared" si="2"/>
        <v>1.2602045545054765E-3</v>
      </c>
      <c r="G3" t="s">
        <v>1</v>
      </c>
      <c r="H3">
        <f>(_xlfn.GAMMA((2+$H$1)/(1+$H$1)))^(1+$H$1)</f>
        <v>0.83183706846328298</v>
      </c>
    </row>
    <row r="4" spans="1:8" x14ac:dyDescent="0.25">
      <c r="A4">
        <v>0.42854004079999997</v>
      </c>
      <c r="B4">
        <v>0.64521396166003731</v>
      </c>
      <c r="C4">
        <f t="shared" si="0"/>
        <v>0.64435131577276905</v>
      </c>
      <c r="D4">
        <f t="shared" si="1"/>
        <v>8.6264588726825409E-4</v>
      </c>
      <c r="E4">
        <f t="shared" si="2"/>
        <v>7.4415792682083333E-7</v>
      </c>
    </row>
    <row r="5" spans="1:8" x14ac:dyDescent="0.25">
      <c r="A5">
        <v>0.54834549359999996</v>
      </c>
      <c r="B5">
        <v>0.68350714800246226</v>
      </c>
      <c r="C5">
        <f t="shared" si="0"/>
        <v>0.6818644242831472</v>
      </c>
      <c r="D5">
        <f t="shared" si="1"/>
        <v>1.6427237193150646E-3</v>
      </c>
      <c r="E5">
        <f t="shared" si="2"/>
        <v>2.6985412180003188E-6</v>
      </c>
      <c r="G5" t="s">
        <v>2</v>
      </c>
      <c r="H5">
        <f>SUM(E1:E40)</f>
        <v>6.2129415525672034E-3</v>
      </c>
    </row>
    <row r="6" spans="1:8" x14ac:dyDescent="0.25">
      <c r="A6">
        <v>0.66815094639999995</v>
      </c>
      <c r="B6">
        <v>0.72284946273783035</v>
      </c>
      <c r="C6">
        <f t="shared" si="0"/>
        <v>0.68809980941849891</v>
      </c>
      <c r="D6">
        <f t="shared" si="1"/>
        <v>3.4749653319331442E-2</v>
      </c>
      <c r="E6">
        <f t="shared" si="2"/>
        <v>1.2075384058137227E-3</v>
      </c>
    </row>
    <row r="7" spans="1:8" x14ac:dyDescent="0.25">
      <c r="A7">
        <v>0.78795639920000005</v>
      </c>
      <c r="B7">
        <v>0.66829478630478656</v>
      </c>
      <c r="C7">
        <f t="shared" si="0"/>
        <v>0.66990970554101403</v>
      </c>
      <c r="D7">
        <f t="shared" si="1"/>
        <v>-1.6149192362274745E-3</v>
      </c>
      <c r="E7">
        <f t="shared" si="2"/>
        <v>2.6079641395375295E-6</v>
      </c>
    </row>
    <row r="8" spans="1:8" x14ac:dyDescent="0.25">
      <c r="A8">
        <v>0.90776185199999992</v>
      </c>
      <c r="B8">
        <v>0.61898575183645854</v>
      </c>
      <c r="C8">
        <f t="shared" si="0"/>
        <v>0.63353402385048374</v>
      </c>
      <c r="D8">
        <f t="shared" si="1"/>
        <v>-1.4548272014025199E-2</v>
      </c>
      <c r="E8">
        <f t="shared" si="2"/>
        <v>2.1165221859406882E-4</v>
      </c>
    </row>
    <row r="9" spans="1:8" x14ac:dyDescent="0.25">
      <c r="A9">
        <v>1.0275673048</v>
      </c>
      <c r="B9">
        <v>0.58069256549403359</v>
      </c>
      <c r="C9">
        <f t="shared" si="0"/>
        <v>0.58458006679736862</v>
      </c>
      <c r="D9">
        <f t="shared" si="1"/>
        <v>-3.8875013033350392E-3</v>
      </c>
      <c r="E9">
        <f t="shared" si="2"/>
        <v>1.5112666383431628E-5</v>
      </c>
    </row>
    <row r="10" spans="1:8" x14ac:dyDescent="0.25">
      <c r="A10">
        <v>1.1473727575999999</v>
      </c>
      <c r="B10">
        <v>0.50305706441624043</v>
      </c>
      <c r="C10">
        <f t="shared" si="0"/>
        <v>0.52793146669428015</v>
      </c>
      <c r="D10">
        <f t="shared" si="1"/>
        <v>-2.487440227803972E-2</v>
      </c>
      <c r="E10">
        <f t="shared" si="2"/>
        <v>6.1873588868974758E-4</v>
      </c>
    </row>
    <row r="11" spans="1:8" x14ac:dyDescent="0.25">
      <c r="A11">
        <v>1.2671782104</v>
      </c>
      <c r="B11">
        <v>0.46896039164558806</v>
      </c>
      <c r="C11">
        <f t="shared" si="0"/>
        <v>0.46767778086542133</v>
      </c>
      <c r="D11">
        <f t="shared" si="1"/>
        <v>1.2826107801667264E-3</v>
      </c>
      <c r="E11">
        <f t="shared" si="2"/>
        <v>1.6450904133998984E-6</v>
      </c>
    </row>
    <row r="12" spans="1:8" x14ac:dyDescent="0.25">
      <c r="A12">
        <v>1.3869836632000001</v>
      </c>
      <c r="B12">
        <v>0.40234073869369802</v>
      </c>
      <c r="C12">
        <f t="shared" si="0"/>
        <v>0.40709114413299607</v>
      </c>
      <c r="D12">
        <f t="shared" si="1"/>
        <v>-4.7504054392980555E-3</v>
      </c>
      <c r="E12">
        <f t="shared" si="2"/>
        <v>2.2566351837712553E-5</v>
      </c>
    </row>
    <row r="13" spans="1:8" x14ac:dyDescent="0.25">
      <c r="A13">
        <v>1.506789116</v>
      </c>
      <c r="B13">
        <v>0.36142473136891518</v>
      </c>
      <c r="C13">
        <f t="shared" si="0"/>
        <v>0.34865138161748277</v>
      </c>
      <c r="D13">
        <f t="shared" si="1"/>
        <v>1.2773349751432406E-2</v>
      </c>
      <c r="E13">
        <f t="shared" si="2"/>
        <v>1.6315846387241831E-4</v>
      </c>
    </row>
    <row r="14" spans="1:8" x14ac:dyDescent="0.25">
      <c r="A14">
        <v>1.6265945687999999</v>
      </c>
      <c r="B14">
        <v>0.30687005493587138</v>
      </c>
      <c r="C14">
        <f t="shared" si="0"/>
        <v>0.29411077338301833</v>
      </c>
      <c r="D14">
        <f t="shared" si="1"/>
        <v>1.2759281552853052E-2</v>
      </c>
      <c r="E14">
        <f t="shared" si="2"/>
        <v>1.6279926574497619E-4</v>
      </c>
    </row>
    <row r="15" spans="1:8" x14ac:dyDescent="0.25">
      <c r="A15">
        <v>1.7464000216</v>
      </c>
      <c r="B15">
        <v>0.2266117328757204</v>
      </c>
      <c r="C15">
        <f t="shared" si="0"/>
        <v>0.24458610864207422</v>
      </c>
      <c r="D15">
        <f t="shared" si="1"/>
        <v>-1.7974375766353828E-2</v>
      </c>
      <c r="E15">
        <f t="shared" si="2"/>
        <v>3.230781841900878E-4</v>
      </c>
    </row>
    <row r="16" spans="1:8" x14ac:dyDescent="0.25">
      <c r="A16">
        <v>1.8662054743999998</v>
      </c>
      <c r="B16">
        <v>0.1804500835862218</v>
      </c>
      <c r="C16">
        <f t="shared" si="0"/>
        <v>0.20066550091359917</v>
      </c>
      <c r="D16">
        <f t="shared" si="1"/>
        <v>-2.0215417327377361E-2</v>
      </c>
      <c r="E16">
        <f t="shared" si="2"/>
        <v>4.0866309772002882E-4</v>
      </c>
    </row>
    <row r="17" spans="1:5" x14ac:dyDescent="0.25">
      <c r="A17">
        <v>1.9860109271999999</v>
      </c>
      <c r="B17">
        <v>0.15789382313794409</v>
      </c>
      <c r="C17">
        <f t="shared" si="0"/>
        <v>0.16251902934923915</v>
      </c>
      <c r="D17">
        <f t="shared" si="1"/>
        <v>-4.6252062112950576E-3</v>
      </c>
      <c r="E17">
        <f t="shared" si="2"/>
        <v>2.1392532497002382E-5</v>
      </c>
    </row>
    <row r="18" spans="1:5" x14ac:dyDescent="0.25">
      <c r="A18">
        <v>2.1058163800000003</v>
      </c>
      <c r="B18">
        <v>0.12641997134964958</v>
      </c>
      <c r="C18">
        <f t="shared" si="0"/>
        <v>0.13000467395337975</v>
      </c>
      <c r="D18">
        <f t="shared" si="1"/>
        <v>-3.5847026037301721E-3</v>
      </c>
      <c r="E18">
        <f t="shared" si="2"/>
        <v>1.2850092757189876E-5</v>
      </c>
    </row>
    <row r="19" spans="1:5" x14ac:dyDescent="0.25">
      <c r="A19">
        <v>2.2256218327999999</v>
      </c>
      <c r="B19">
        <v>0.10229001831195712</v>
      </c>
      <c r="C19">
        <f t="shared" si="0"/>
        <v>0.10276362312927355</v>
      </c>
      <c r="D19">
        <f t="shared" si="1"/>
        <v>-4.7360481731642534E-4</v>
      </c>
      <c r="E19">
        <f t="shared" si="2"/>
        <v>2.2430152298532463E-7</v>
      </c>
    </row>
    <row r="20" spans="1:5" x14ac:dyDescent="0.25">
      <c r="A20">
        <v>2.3454272855999996</v>
      </c>
      <c r="B20">
        <v>8.2881143042508848E-2</v>
      </c>
      <c r="C20">
        <f t="shared" si="0"/>
        <v>8.0301475017336477E-2</v>
      </c>
      <c r="D20">
        <f t="shared" si="1"/>
        <v>2.5796680251723714E-3</v>
      </c>
      <c r="E20">
        <f t="shared" si="2"/>
        <v>6.6546871200967226E-6</v>
      </c>
    </row>
    <row r="21" spans="1:5" x14ac:dyDescent="0.25">
      <c r="A21">
        <v>2.4652327384000001</v>
      </c>
      <c r="B21">
        <v>5.5603804825986952E-2</v>
      </c>
      <c r="C21">
        <f t="shared" si="0"/>
        <v>6.2053915338203439E-2</v>
      </c>
      <c r="D21">
        <f t="shared" si="1"/>
        <v>-6.4501105122164865E-3</v>
      </c>
      <c r="E21">
        <f t="shared" si="2"/>
        <v>4.1603925619805624E-5</v>
      </c>
    </row>
    <row r="22" spans="1:5" x14ac:dyDescent="0.25">
      <c r="A22">
        <v>2.5850381911999998</v>
      </c>
      <c r="B22">
        <v>4.2489699914197578E-2</v>
      </c>
      <c r="C22">
        <f t="shared" si="0"/>
        <v>4.7437039298980674E-2</v>
      </c>
      <c r="D22">
        <f t="shared" si="1"/>
        <v>-4.9473393847830963E-3</v>
      </c>
      <c r="E22">
        <f t="shared" si="2"/>
        <v>2.4476166988225985E-5</v>
      </c>
    </row>
    <row r="23" spans="1:5" x14ac:dyDescent="0.25">
      <c r="A23">
        <v>2.7048436439999999</v>
      </c>
      <c r="B23">
        <v>4.1440571521254424E-2</v>
      </c>
      <c r="C23">
        <f t="shared" si="0"/>
        <v>3.5883584009312547E-2</v>
      </c>
      <c r="D23">
        <f t="shared" si="1"/>
        <v>5.5569875119418771E-3</v>
      </c>
      <c r="E23">
        <f t="shared" si="2"/>
        <v>3.0880110207877976E-5</v>
      </c>
    </row>
    <row r="24" spans="1:5" x14ac:dyDescent="0.25">
      <c r="A24">
        <v>2.8246490968</v>
      </c>
      <c r="B24">
        <v>2.2031696251806149E-2</v>
      </c>
      <c r="C24">
        <f t="shared" si="0"/>
        <v>2.6866996758471713E-2</v>
      </c>
      <c r="D24">
        <f t="shared" si="1"/>
        <v>-4.8353005066655644E-3</v>
      </c>
      <c r="E24">
        <f t="shared" si="2"/>
        <v>2.3380130989760264E-5</v>
      </c>
    </row>
    <row r="25" spans="1:5" x14ac:dyDescent="0.25">
      <c r="A25">
        <v>2.9444545495999996</v>
      </c>
      <c r="B25">
        <v>2.4129953037692449E-2</v>
      </c>
      <c r="C25">
        <f t="shared" si="0"/>
        <v>1.9915560357223104E-2</v>
      </c>
      <c r="D25">
        <f t="shared" si="1"/>
        <v>4.2143926804693449E-3</v>
      </c>
      <c r="E25">
        <f t="shared" si="2"/>
        <v>1.776110566519359E-5</v>
      </c>
    </row>
    <row r="26" spans="1:5" x14ac:dyDescent="0.25">
      <c r="A26">
        <v>3.0642600024000002</v>
      </c>
      <c r="B26">
        <v>1.7835182680033552E-2</v>
      </c>
      <c r="C26">
        <f t="shared" si="0"/>
        <v>1.4618818268627308E-2</v>
      </c>
      <c r="D26">
        <f t="shared" si="1"/>
        <v>3.2163644114062435E-3</v>
      </c>
      <c r="E26">
        <f t="shared" si="2"/>
        <v>1.0345000026960632E-5</v>
      </c>
    </row>
    <row r="27" spans="1:5" x14ac:dyDescent="0.25">
      <c r="A27">
        <v>3.1840654551999998</v>
      </c>
      <c r="B27">
        <v>1.4163233304732525E-2</v>
      </c>
      <c r="C27">
        <f t="shared" si="0"/>
        <v>1.0628376258029175E-2</v>
      </c>
      <c r="D27">
        <f t="shared" si="1"/>
        <v>3.5348570467033501E-3</v>
      </c>
      <c r="E27">
        <f t="shared" si="2"/>
        <v>1.249521434062833E-5</v>
      </c>
    </row>
    <row r="28" spans="1:5" x14ac:dyDescent="0.25">
      <c r="A28">
        <v>3.3038709079999999</v>
      </c>
      <c r="B28">
        <v>9.442155536488351E-3</v>
      </c>
      <c r="C28">
        <f t="shared" si="0"/>
        <v>7.6548800556021377E-3</v>
      </c>
      <c r="D28">
        <f t="shared" si="1"/>
        <v>1.7872754808862133E-3</v>
      </c>
      <c r="E28">
        <f t="shared" si="2"/>
        <v>3.1943536445770448E-6</v>
      </c>
    </row>
    <row r="29" spans="1:5" x14ac:dyDescent="0.25">
      <c r="A29">
        <v>3.4236763608</v>
      </c>
      <c r="B29">
        <v>8.3930271435452009E-3</v>
      </c>
      <c r="C29">
        <f t="shared" si="0"/>
        <v>5.4626413566358162E-3</v>
      </c>
      <c r="D29">
        <f t="shared" si="1"/>
        <v>2.9303857869093846E-3</v>
      </c>
      <c r="E29">
        <f t="shared" si="2"/>
        <v>8.5871608601205332E-6</v>
      </c>
    </row>
    <row r="30" spans="1:5" x14ac:dyDescent="0.25">
      <c r="A30">
        <v>3.5434818135999997</v>
      </c>
      <c r="B30">
        <v>4.1965135717726004E-3</v>
      </c>
      <c r="C30">
        <f t="shared" si="0"/>
        <v>3.8630525482783438E-3</v>
      </c>
      <c r="D30">
        <f t="shared" si="1"/>
        <v>3.3346102349425663E-4</v>
      </c>
      <c r="E30">
        <f t="shared" si="2"/>
        <v>1.1119625418983718E-7</v>
      </c>
    </row>
    <row r="31" spans="1:5" x14ac:dyDescent="0.25">
      <c r="A31">
        <v>3.6632872663999994</v>
      </c>
      <c r="B31">
        <v>7.3438987506020499E-3</v>
      </c>
      <c r="C31">
        <f t="shared" si="0"/>
        <v>2.707623873580119E-3</v>
      </c>
      <c r="D31">
        <f t="shared" si="1"/>
        <v>4.6362748770219309E-3</v>
      </c>
      <c r="E31">
        <f t="shared" si="2"/>
        <v>2.1495044735304721E-5</v>
      </c>
    </row>
    <row r="32" spans="1:5" x14ac:dyDescent="0.25">
      <c r="A32">
        <v>3.7830927191999999</v>
      </c>
      <c r="B32">
        <v>3.6719493753010249E-3</v>
      </c>
      <c r="C32">
        <f t="shared" si="0"/>
        <v>1.8812125155759619E-3</v>
      </c>
      <c r="D32">
        <f t="shared" si="1"/>
        <v>1.7907368597250631E-3</v>
      </c>
      <c r="E32">
        <f t="shared" si="2"/>
        <v>3.2067385007779803E-6</v>
      </c>
    </row>
    <row r="33" spans="1:5" x14ac:dyDescent="0.25">
      <c r="A33">
        <v>3.9028981719999996</v>
      </c>
      <c r="B33">
        <v>2.6228209823578748E-3</v>
      </c>
      <c r="C33">
        <f t="shared" si="0"/>
        <v>1.2957985166020798E-3</v>
      </c>
      <c r="D33">
        <f t="shared" si="1"/>
        <v>1.327022465755795E-3</v>
      </c>
      <c r="E33">
        <f t="shared" si="2"/>
        <v>1.7609886246205901E-6</v>
      </c>
    </row>
    <row r="34" spans="1:5" x14ac:dyDescent="0.25">
      <c r="A34">
        <v>4.0227036248000001</v>
      </c>
      <c r="B34">
        <v>1.0491283929431501E-3</v>
      </c>
      <c r="C34">
        <f t="shared" si="0"/>
        <v>8.8499765365535976E-4</v>
      </c>
      <c r="D34">
        <f t="shared" si="1"/>
        <v>1.6413073928779034E-4</v>
      </c>
      <c r="E34">
        <f t="shared" si="2"/>
        <v>2.6938899579156605E-8</v>
      </c>
    </row>
    <row r="35" spans="1:5" x14ac:dyDescent="0.25">
      <c r="A35">
        <v>4.1425090775999998</v>
      </c>
      <c r="B35">
        <v>1.0491283929431501E-3</v>
      </c>
      <c r="C35">
        <f t="shared" si="0"/>
        <v>5.9938195767131938E-4</v>
      </c>
      <c r="D35">
        <f t="shared" si="1"/>
        <v>4.4974643527183073E-4</v>
      </c>
      <c r="E35">
        <f t="shared" si="2"/>
        <v>2.0227185603971902E-7</v>
      </c>
    </row>
    <row r="36" spans="1:5" x14ac:dyDescent="0.25">
      <c r="A36">
        <v>4.2623145303999994</v>
      </c>
      <c r="B36">
        <v>5.2456419647157505E-4</v>
      </c>
      <c r="C36">
        <f t="shared" si="0"/>
        <v>4.0259765035362272E-4</v>
      </c>
      <c r="D36">
        <f t="shared" si="1"/>
        <v>1.2196654611795234E-4</v>
      </c>
      <c r="E36">
        <f t="shared" si="2"/>
        <v>1.4875838371942595E-8</v>
      </c>
    </row>
    <row r="37" spans="1:5" x14ac:dyDescent="0.25">
      <c r="A37">
        <v>4.3821199832</v>
      </c>
      <c r="B37">
        <v>0</v>
      </c>
      <c r="C37">
        <f t="shared" si="0"/>
        <v>2.6822016445133217E-4</v>
      </c>
      <c r="D37">
        <f t="shared" si="1"/>
        <v>-2.6822016445133217E-4</v>
      </c>
      <c r="E37">
        <f t="shared" si="2"/>
        <v>7.1942056618299668E-8</v>
      </c>
    </row>
    <row r="38" spans="1:5" x14ac:dyDescent="0.25">
      <c r="A38">
        <v>4.5019254359999996</v>
      </c>
      <c r="B38">
        <v>1.0491283929431501E-3</v>
      </c>
      <c r="C38">
        <f t="shared" si="0"/>
        <v>1.7725909123028806E-4</v>
      </c>
      <c r="D38">
        <f t="shared" si="1"/>
        <v>8.718693017128621E-4</v>
      </c>
      <c r="E38">
        <f t="shared" si="2"/>
        <v>7.6015607926927375E-7</v>
      </c>
    </row>
    <row r="39" spans="1:5" x14ac:dyDescent="0.25">
      <c r="A39">
        <v>4.6217308888000002</v>
      </c>
      <c r="B39">
        <v>0</v>
      </c>
      <c r="C39">
        <f t="shared" si="0"/>
        <v>1.1621566910039098E-4</v>
      </c>
      <c r="D39">
        <f t="shared" si="1"/>
        <v>-1.1621566910039098E-4</v>
      </c>
      <c r="E39">
        <f t="shared" si="2"/>
        <v>1.3506081744451569E-8</v>
      </c>
    </row>
    <row r="40" spans="1:5" x14ac:dyDescent="0.25">
      <c r="A40">
        <v>4.7415363415999998</v>
      </c>
      <c r="B40">
        <v>5.2456419647157505E-4</v>
      </c>
      <c r="C40">
        <f t="shared" si="0"/>
        <v>7.5596232165405742E-5</v>
      </c>
      <c r="D40">
        <f t="shared" si="1"/>
        <v>4.489679643061693E-4</v>
      </c>
      <c r="E40">
        <f t="shared" si="2"/>
        <v>2.0157223297322571E-7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089D-327F-4F69-961C-01A0C6A93AE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5.9986387112500004E-2</v>
      </c>
      <c r="B1">
        <v>0.11434007248118302</v>
      </c>
      <c r="C1">
        <f>$H$3*(1+$H$1)*(A1^($H$1))*EXP(-$H$3*(A1^(1+$H$1)))</f>
        <v>0.18435379733513688</v>
      </c>
      <c r="D1">
        <f>B1-C1</f>
        <v>-7.0013724853953851E-2</v>
      </c>
      <c r="E1">
        <f>D1^2</f>
        <v>4.9019216679251553E-3</v>
      </c>
      <c r="G1" t="s">
        <v>0</v>
      </c>
      <c r="H1">
        <v>0.72145309012243064</v>
      </c>
    </row>
    <row r="2" spans="1:8" x14ac:dyDescent="0.25">
      <c r="A2">
        <v>0.1743110953375</v>
      </c>
      <c r="B2">
        <v>0.38534803273706397</v>
      </c>
      <c r="C2">
        <f t="shared" ref="C2:C40" si="0">$H$3*(1+$H$1)*(A2^($H$1))*EXP(-$H$3*(A2^(1+$H$1)))</f>
        <v>0.38465689671915992</v>
      </c>
      <c r="D2">
        <f t="shared" ref="D2:D40" si="1">B2-C2</f>
        <v>6.9113601790404822E-4</v>
      </c>
      <c r="E2">
        <f t="shared" ref="E2:E40" si="2">D2^2</f>
        <v>4.776689952442649E-7</v>
      </c>
    </row>
    <row r="3" spans="1:8" x14ac:dyDescent="0.25">
      <c r="A3">
        <v>0.28863580356249996</v>
      </c>
      <c r="B3">
        <v>0.54311534428561936</v>
      </c>
      <c r="C3">
        <f t="shared" si="0"/>
        <v>0.52328124040603841</v>
      </c>
      <c r="D3">
        <f t="shared" si="1"/>
        <v>1.9834103879580955E-2</v>
      </c>
      <c r="E3">
        <f t="shared" si="2"/>
        <v>3.9339167670600833E-4</v>
      </c>
      <c r="G3" t="s">
        <v>1</v>
      </c>
      <c r="H3">
        <f>(_xlfn.GAMMA((2+$H$1)/(1+$H$1)))^(1+$H$1)</f>
        <v>0.82062090772129537</v>
      </c>
    </row>
    <row r="4" spans="1:8" x14ac:dyDescent="0.25">
      <c r="A4">
        <v>0.40296051178749998</v>
      </c>
      <c r="B4">
        <v>0.67119821394002155</v>
      </c>
      <c r="C4">
        <f t="shared" si="0"/>
        <v>0.61760461341953998</v>
      </c>
      <c r="D4">
        <f t="shared" si="1"/>
        <v>5.3593600520481566E-2</v>
      </c>
      <c r="E4">
        <f t="shared" si="2"/>
        <v>2.8722740167489618E-3</v>
      </c>
    </row>
    <row r="5" spans="1:8" x14ac:dyDescent="0.25">
      <c r="A5">
        <v>0.51728522001249999</v>
      </c>
      <c r="B5">
        <v>0.67999360413088172</v>
      </c>
      <c r="C5">
        <f t="shared" si="0"/>
        <v>0.67440804803487153</v>
      </c>
      <c r="D5">
        <f t="shared" si="1"/>
        <v>5.5855560960101913E-3</v>
      </c>
      <c r="E5">
        <f t="shared" si="2"/>
        <v>3.1198436901676609E-5</v>
      </c>
      <c r="G5" t="s">
        <v>2</v>
      </c>
      <c r="H5">
        <f>SUM(E1:E40)</f>
        <v>1.3206975567464509E-2</v>
      </c>
    </row>
    <row r="6" spans="1:8" x14ac:dyDescent="0.25">
      <c r="A6">
        <v>0.63160992823749984</v>
      </c>
      <c r="B6">
        <v>0.72671911451982674</v>
      </c>
      <c r="C6">
        <f t="shared" si="0"/>
        <v>0.69900944527877273</v>
      </c>
      <c r="D6">
        <f t="shared" si="1"/>
        <v>2.7709669241054002E-2</v>
      </c>
      <c r="E6">
        <f t="shared" si="2"/>
        <v>7.6782576944861428E-4</v>
      </c>
    </row>
    <row r="7" spans="1:8" x14ac:dyDescent="0.25">
      <c r="A7">
        <v>0.74593463646249991</v>
      </c>
      <c r="B7">
        <v>0.73276594527604322</v>
      </c>
      <c r="C7">
        <f t="shared" si="0"/>
        <v>0.69666599702897625</v>
      </c>
      <c r="D7">
        <f t="shared" si="1"/>
        <v>3.6099948247066971E-2</v>
      </c>
      <c r="E7">
        <f t="shared" si="2"/>
        <v>1.3032062634409137E-3</v>
      </c>
    </row>
    <row r="8" spans="1:8" x14ac:dyDescent="0.25">
      <c r="A8">
        <v>0.86025934468749998</v>
      </c>
      <c r="B8">
        <v>0.66350224752301878</v>
      </c>
      <c r="C8">
        <f t="shared" si="0"/>
        <v>0.67272385893039444</v>
      </c>
      <c r="D8">
        <f t="shared" si="1"/>
        <v>-9.2216114073756517E-3</v>
      </c>
      <c r="E8">
        <f t="shared" si="2"/>
        <v>8.5038116948640748E-5</v>
      </c>
    </row>
    <row r="9" spans="1:8" x14ac:dyDescent="0.25">
      <c r="A9">
        <v>0.97458405291250005</v>
      </c>
      <c r="B9">
        <v>0.60358365184778351</v>
      </c>
      <c r="C9">
        <f t="shared" si="0"/>
        <v>0.63245545404246373</v>
      </c>
      <c r="D9">
        <f t="shared" si="1"/>
        <v>-2.8871802194680218E-2</v>
      </c>
      <c r="E9">
        <f t="shared" si="2"/>
        <v>8.3358096196874142E-4</v>
      </c>
    </row>
    <row r="10" spans="1:8" x14ac:dyDescent="0.25">
      <c r="A10">
        <v>1.0889087611374999</v>
      </c>
      <c r="B10">
        <v>0.56070612466733982</v>
      </c>
      <c r="C10">
        <f t="shared" si="0"/>
        <v>0.58083455036284626</v>
      </c>
      <c r="D10">
        <f t="shared" si="1"/>
        <v>-2.0128425695506436E-2</v>
      </c>
      <c r="E10">
        <f t="shared" si="2"/>
        <v>4.0515352097952374E-4</v>
      </c>
    </row>
    <row r="11" spans="1:8" x14ac:dyDescent="0.25">
      <c r="A11">
        <v>1.2032334693625</v>
      </c>
      <c r="B11">
        <v>0.50133724087903331</v>
      </c>
      <c r="C11">
        <f t="shared" si="0"/>
        <v>0.52233691300644891</v>
      </c>
      <c r="D11">
        <f t="shared" si="1"/>
        <v>-2.0999672127415603E-2</v>
      </c>
      <c r="E11">
        <f t="shared" si="2"/>
        <v>4.4098622945895572E-4</v>
      </c>
    </row>
    <row r="12" spans="1:8" x14ac:dyDescent="0.25">
      <c r="A12">
        <v>1.3175581775874998</v>
      </c>
      <c r="B12">
        <v>0.46010884935937596</v>
      </c>
      <c r="C12">
        <f t="shared" si="0"/>
        <v>0.4607990260795537</v>
      </c>
      <c r="D12">
        <f t="shared" si="1"/>
        <v>-6.9017672017773757E-4</v>
      </c>
      <c r="E12">
        <f t="shared" si="2"/>
        <v>4.7634390507529908E-7</v>
      </c>
    </row>
    <row r="13" spans="1:8" x14ac:dyDescent="0.25">
      <c r="A13">
        <v>1.4318828858124997</v>
      </c>
      <c r="B13">
        <v>0.39744169424949677</v>
      </c>
      <c r="C13">
        <f t="shared" si="0"/>
        <v>0.39934283686832794</v>
      </c>
      <c r="D13">
        <f t="shared" si="1"/>
        <v>-1.9011426188311753E-3</v>
      </c>
      <c r="E13">
        <f t="shared" si="2"/>
        <v>3.6143432571362596E-6</v>
      </c>
    </row>
    <row r="14" spans="1:8" x14ac:dyDescent="0.25">
      <c r="A14">
        <v>1.5462075940374997</v>
      </c>
      <c r="B14">
        <v>0.35401445518212438</v>
      </c>
      <c r="C14">
        <f t="shared" si="0"/>
        <v>0.34036187056035716</v>
      </c>
      <c r="D14">
        <f t="shared" si="1"/>
        <v>1.3652584621767216E-2</v>
      </c>
      <c r="E14">
        <f t="shared" si="2"/>
        <v>1.8639306685451468E-4</v>
      </c>
    </row>
    <row r="15" spans="1:8" x14ac:dyDescent="0.25">
      <c r="A15">
        <v>1.6605323022624998</v>
      </c>
      <c r="B15">
        <v>0.27595536723823982</v>
      </c>
      <c r="C15">
        <f t="shared" si="0"/>
        <v>0.28555756756631284</v>
      </c>
      <c r="D15">
        <f t="shared" si="1"/>
        <v>-9.6022003280730184E-3</v>
      </c>
      <c r="E15">
        <f t="shared" si="2"/>
        <v>9.220225114044558E-5</v>
      </c>
    </row>
    <row r="16" spans="1:8" x14ac:dyDescent="0.25">
      <c r="A16">
        <v>1.7748570104874999</v>
      </c>
      <c r="B16">
        <v>0.23802524704015507</v>
      </c>
      <c r="C16">
        <f t="shared" si="0"/>
        <v>0.2360119833752943</v>
      </c>
      <c r="D16">
        <f t="shared" si="1"/>
        <v>2.0132636648607649E-3</v>
      </c>
      <c r="E16">
        <f t="shared" si="2"/>
        <v>4.0532305842485987E-6</v>
      </c>
    </row>
    <row r="17" spans="1:5" x14ac:dyDescent="0.25">
      <c r="A17">
        <v>1.8891817187125</v>
      </c>
      <c r="B17">
        <v>0.16821183740020196</v>
      </c>
      <c r="C17">
        <f t="shared" si="0"/>
        <v>0.19228279968160145</v>
      </c>
      <c r="D17">
        <f t="shared" si="1"/>
        <v>-2.4070962281399488E-2</v>
      </c>
      <c r="E17">
        <f t="shared" si="2"/>
        <v>5.7941122515255681E-4</v>
      </c>
    </row>
    <row r="18" spans="1:5" x14ac:dyDescent="0.25">
      <c r="A18">
        <v>2.0035064269374998</v>
      </c>
      <c r="B18">
        <v>0.14512393814919386</v>
      </c>
      <c r="C18">
        <f t="shared" si="0"/>
        <v>0.15450803655922479</v>
      </c>
      <c r="D18">
        <f t="shared" si="1"/>
        <v>-9.3840984100309333E-3</v>
      </c>
      <c r="E18">
        <f t="shared" si="2"/>
        <v>8.8061302969145088E-5</v>
      </c>
    </row>
    <row r="19" spans="1:5" x14ac:dyDescent="0.25">
      <c r="A19">
        <v>2.1178311351624997</v>
      </c>
      <c r="B19">
        <v>0.11708863191582686</v>
      </c>
      <c r="C19">
        <f t="shared" si="0"/>
        <v>0.1225102272158573</v>
      </c>
      <c r="D19">
        <f t="shared" si="1"/>
        <v>-5.4215953000304462E-3</v>
      </c>
      <c r="E19">
        <f t="shared" si="2"/>
        <v>2.9393695597312224E-5</v>
      </c>
    </row>
    <row r="20" spans="1:5" x14ac:dyDescent="0.25">
      <c r="A20">
        <v>2.2321558433874999</v>
      </c>
      <c r="B20">
        <v>0.10334583474260774</v>
      </c>
      <c r="C20">
        <f t="shared" si="0"/>
        <v>9.5892564169149319E-2</v>
      </c>
      <c r="D20">
        <f t="shared" si="1"/>
        <v>7.4532705734584176E-3</v>
      </c>
      <c r="E20">
        <f t="shared" si="2"/>
        <v>5.5551242241181172E-5</v>
      </c>
    </row>
    <row r="21" spans="1:5" x14ac:dyDescent="0.25">
      <c r="A21">
        <v>2.3464805516124998</v>
      </c>
      <c r="B21">
        <v>6.761456209223804E-2</v>
      </c>
      <c r="C21">
        <f t="shared" si="0"/>
        <v>7.4122234575808868E-2</v>
      </c>
      <c r="D21">
        <f t="shared" si="1"/>
        <v>-6.5076724835708283E-3</v>
      </c>
      <c r="E21">
        <f t="shared" si="2"/>
        <v>4.2349801153424909E-5</v>
      </c>
    </row>
    <row r="22" spans="1:5" x14ac:dyDescent="0.25">
      <c r="A22">
        <v>2.4608052598374996</v>
      </c>
      <c r="B22">
        <v>5.7170036240591512E-2</v>
      </c>
      <c r="C22">
        <f t="shared" si="0"/>
        <v>5.6598555237849783E-2</v>
      </c>
      <c r="D22">
        <f t="shared" si="1"/>
        <v>5.7148100274172914E-4</v>
      </c>
      <c r="E22">
        <f t="shared" si="2"/>
        <v>3.2659053649469223E-7</v>
      </c>
    </row>
    <row r="23" spans="1:5" x14ac:dyDescent="0.25">
      <c r="A23">
        <v>2.5751299680624999</v>
      </c>
      <c r="B23">
        <v>3.9579255858871051E-2</v>
      </c>
      <c r="C23">
        <f t="shared" si="0"/>
        <v>4.2705439511559466E-2</v>
      </c>
      <c r="D23">
        <f t="shared" si="1"/>
        <v>-3.1261836526884149E-3</v>
      </c>
      <c r="E23">
        <f t="shared" si="2"/>
        <v>9.77302423033628E-6</v>
      </c>
    </row>
    <row r="24" spans="1:5" x14ac:dyDescent="0.25">
      <c r="A24">
        <v>2.6894546762874993</v>
      </c>
      <c r="B24">
        <v>3.2433001328797111E-2</v>
      </c>
      <c r="C24">
        <f t="shared" si="0"/>
        <v>3.1849124839625639E-2</v>
      </c>
      <c r="D24">
        <f t="shared" si="1"/>
        <v>5.8387648917147122E-4</v>
      </c>
      <c r="E24">
        <f t="shared" si="2"/>
        <v>3.4091175460720315E-7</v>
      </c>
    </row>
    <row r="25" spans="1:5" x14ac:dyDescent="0.25">
      <c r="A25">
        <v>2.8037793845124996</v>
      </c>
      <c r="B25">
        <v>2.528674679872317E-2</v>
      </c>
      <c r="C25">
        <f t="shared" si="0"/>
        <v>2.3482981497317038E-2</v>
      </c>
      <c r="D25">
        <f t="shared" si="1"/>
        <v>1.8037653014061315E-3</v>
      </c>
      <c r="E25">
        <f t="shared" si="2"/>
        <v>3.2535692625567524E-6</v>
      </c>
    </row>
    <row r="26" spans="1:5" x14ac:dyDescent="0.25">
      <c r="A26">
        <v>2.9181040927374999</v>
      </c>
      <c r="B26">
        <v>1.9239916042506761E-2</v>
      </c>
      <c r="C26">
        <f t="shared" si="0"/>
        <v>1.7121679168422353E-2</v>
      </c>
      <c r="D26">
        <f t="shared" si="1"/>
        <v>2.1182368740844081E-3</v>
      </c>
      <c r="E26">
        <f t="shared" si="2"/>
        <v>4.4869274547308844E-6</v>
      </c>
    </row>
    <row r="27" spans="1:5" x14ac:dyDescent="0.25">
      <c r="A27">
        <v>3.0324288009624998</v>
      </c>
      <c r="B27">
        <v>1.7590780381720465E-2</v>
      </c>
      <c r="C27">
        <f t="shared" si="0"/>
        <v>1.2347101526330131E-2</v>
      </c>
      <c r="D27">
        <f t="shared" si="1"/>
        <v>5.2436788553903331E-3</v>
      </c>
      <c r="E27">
        <f t="shared" si="2"/>
        <v>2.7496167938467673E-5</v>
      </c>
    </row>
    <row r="28" spans="1:5" x14ac:dyDescent="0.25">
      <c r="A28">
        <v>3.1467535091874996</v>
      </c>
      <c r="B28">
        <v>1.0994237738575292E-2</v>
      </c>
      <c r="C28">
        <f t="shared" si="0"/>
        <v>8.8082693284502207E-3</v>
      </c>
      <c r="D28">
        <f t="shared" si="1"/>
        <v>2.185968410125071E-3</v>
      </c>
      <c r="E28">
        <f t="shared" si="2"/>
        <v>4.7784578900647307E-6</v>
      </c>
    </row>
    <row r="29" spans="1:5" x14ac:dyDescent="0.25">
      <c r="A29">
        <v>3.2610782174124995</v>
      </c>
      <c r="B29">
        <v>8.7953901908602323E-3</v>
      </c>
      <c r="C29">
        <f t="shared" si="0"/>
        <v>6.217251565351657E-3</v>
      </c>
      <c r="D29">
        <f t="shared" si="1"/>
        <v>2.5781386255085753E-3</v>
      </c>
      <c r="E29">
        <f t="shared" si="2"/>
        <v>6.6467987723392458E-6</v>
      </c>
    </row>
    <row r="30" spans="1:5" x14ac:dyDescent="0.25">
      <c r="A30">
        <v>3.3754029256374993</v>
      </c>
      <c r="B30">
        <v>7.1462545300739391E-3</v>
      </c>
      <c r="C30">
        <f t="shared" si="0"/>
        <v>4.3426887277491864E-3</v>
      </c>
      <c r="D30">
        <f t="shared" si="1"/>
        <v>2.8035658023247527E-3</v>
      </c>
      <c r="E30">
        <f t="shared" si="2"/>
        <v>7.8599812079648343E-6</v>
      </c>
    </row>
    <row r="31" spans="1:5" x14ac:dyDescent="0.25">
      <c r="A31">
        <v>3.4897276338624996</v>
      </c>
      <c r="B31">
        <v>3.8479832085013522E-3</v>
      </c>
      <c r="C31">
        <f t="shared" si="0"/>
        <v>3.0021805739765131E-3</v>
      </c>
      <c r="D31">
        <f t="shared" si="1"/>
        <v>8.4580263452483902E-4</v>
      </c>
      <c r="E31">
        <f t="shared" si="2"/>
        <v>7.1538209656915841E-7</v>
      </c>
    </row>
    <row r="32" spans="1:5" x14ac:dyDescent="0.25">
      <c r="A32">
        <v>3.6040523420874999</v>
      </c>
      <c r="B32">
        <v>6.0468307562164102E-3</v>
      </c>
      <c r="C32">
        <f t="shared" si="0"/>
        <v>2.054442729399821E-3</v>
      </c>
      <c r="D32">
        <f t="shared" si="1"/>
        <v>3.9923880268165892E-3</v>
      </c>
      <c r="E32">
        <f t="shared" si="2"/>
        <v>1.5939162156668458E-5</v>
      </c>
    </row>
    <row r="33" spans="1:5" x14ac:dyDescent="0.25">
      <c r="A33">
        <v>3.7183770503124998</v>
      </c>
      <c r="B33">
        <v>3.8479832085013522E-3</v>
      </c>
      <c r="C33">
        <f t="shared" si="0"/>
        <v>1.3918355432048003E-3</v>
      </c>
      <c r="D33">
        <f t="shared" si="1"/>
        <v>2.4561476652965519E-3</v>
      </c>
      <c r="E33">
        <f t="shared" si="2"/>
        <v>6.0326613537417024E-6</v>
      </c>
    </row>
    <row r="34" spans="1:5" x14ac:dyDescent="0.25">
      <c r="A34">
        <v>3.8327017585374996</v>
      </c>
      <c r="B34">
        <v>1.6491356607862937E-3</v>
      </c>
      <c r="C34">
        <f t="shared" si="0"/>
        <v>9.3362534858388083E-4</v>
      </c>
      <c r="D34">
        <f t="shared" si="1"/>
        <v>7.1551031220241283E-4</v>
      </c>
      <c r="E34">
        <f t="shared" si="2"/>
        <v>5.1195500686799424E-7</v>
      </c>
    </row>
    <row r="35" spans="1:5" x14ac:dyDescent="0.25">
      <c r="A35">
        <v>3.9470264667624999</v>
      </c>
      <c r="B35">
        <v>1.6491356607862937E-3</v>
      </c>
      <c r="C35">
        <f t="shared" si="0"/>
        <v>6.2015365804773568E-4</v>
      </c>
      <c r="D35">
        <f t="shared" si="1"/>
        <v>1.028982002738558E-3</v>
      </c>
      <c r="E35">
        <f t="shared" si="2"/>
        <v>1.0588039619598537E-6</v>
      </c>
    </row>
    <row r="36" spans="1:5" x14ac:dyDescent="0.25">
      <c r="A36">
        <v>4.0613511749875002</v>
      </c>
      <c r="B36">
        <v>5.4971188692876452E-4</v>
      </c>
      <c r="C36">
        <f t="shared" si="0"/>
        <v>4.0795882174944262E-4</v>
      </c>
      <c r="D36">
        <f t="shared" si="1"/>
        <v>1.417530651793219E-4</v>
      </c>
      <c r="E36">
        <f t="shared" si="2"/>
        <v>2.0093931487733081E-8</v>
      </c>
    </row>
    <row r="37" spans="1:5" x14ac:dyDescent="0.25">
      <c r="A37">
        <v>4.1756758832125005</v>
      </c>
      <c r="B37">
        <v>0</v>
      </c>
      <c r="C37">
        <f t="shared" si="0"/>
        <v>2.6580892849897256E-4</v>
      </c>
      <c r="D37">
        <f t="shared" si="1"/>
        <v>-2.6580892849897256E-4</v>
      </c>
      <c r="E37">
        <f t="shared" si="2"/>
        <v>7.06543864697719E-8</v>
      </c>
    </row>
    <row r="38" spans="1:5" x14ac:dyDescent="0.25">
      <c r="A38">
        <v>4.2900005914374999</v>
      </c>
      <c r="B38">
        <v>1.099423773857529E-3</v>
      </c>
      <c r="C38">
        <f t="shared" si="0"/>
        <v>1.7155469232516918E-4</v>
      </c>
      <c r="D38">
        <f t="shared" si="1"/>
        <v>9.2786908153235986E-4</v>
      </c>
      <c r="E38">
        <f t="shared" si="2"/>
        <v>8.6094103246370508E-7</v>
      </c>
    </row>
    <row r="39" spans="1:5" x14ac:dyDescent="0.25">
      <c r="A39">
        <v>4.4043252996624993</v>
      </c>
      <c r="B39">
        <v>0</v>
      </c>
      <c r="C39">
        <f t="shared" si="0"/>
        <v>1.0968744612637997E-4</v>
      </c>
      <c r="D39">
        <f t="shared" si="1"/>
        <v>-1.0968744612637997E-4</v>
      </c>
      <c r="E39">
        <f t="shared" si="2"/>
        <v>1.2031335837727509E-8</v>
      </c>
    </row>
    <row r="40" spans="1:5" x14ac:dyDescent="0.25">
      <c r="A40">
        <v>4.5186500078874996</v>
      </c>
      <c r="B40">
        <v>5.4971188692876452E-4</v>
      </c>
      <c r="C40">
        <f t="shared" si="0"/>
        <v>6.9481965530428268E-5</v>
      </c>
      <c r="D40">
        <f t="shared" si="1"/>
        <v>4.8022992139833625E-4</v>
      </c>
      <c r="E40">
        <f t="shared" si="2"/>
        <v>2.3062077740625222E-7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B745-1F73-4D5F-9B57-CDF4E419FF0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6.3724958749999991E-2</v>
      </c>
      <c r="B1">
        <v>9.213531504367084E-2</v>
      </c>
      <c r="C1">
        <f>$H$3*(1+$H$1)*(A1^($H$1))*EXP(-$H$3*(A1^(1+$H$1)))</f>
        <v>0.15840724212468993</v>
      </c>
      <c r="D1">
        <f>B1-C1</f>
        <v>-6.6271927081019089E-2</v>
      </c>
      <c r="E1">
        <f>D1^2</f>
        <v>4.3919683190319116E-3</v>
      </c>
      <c r="G1" t="s">
        <v>0</v>
      </c>
      <c r="H1">
        <v>0.80465378260868781</v>
      </c>
    </row>
    <row r="2" spans="1:8" x14ac:dyDescent="0.25">
      <c r="A2">
        <v>0.17217912224999998</v>
      </c>
      <c r="B2">
        <v>0.31928653200668322</v>
      </c>
      <c r="C2">
        <f t="shared" ref="C2:C40" si="0">$H$3*(1+$H$1)*(A2^($H$1))*EXP(-$H$3*(A2^(1+$H$1)))</f>
        <v>0.34267040408106475</v>
      </c>
      <c r="D2">
        <f t="shared" ref="D2:D40" si="1">B2-C2</f>
        <v>-2.3383872074381529E-2</v>
      </c>
      <c r="E2">
        <f t="shared" ref="E2:E40" si="2">D2^2</f>
        <v>5.4680547319104031E-4</v>
      </c>
    </row>
    <row r="3" spans="1:8" x14ac:dyDescent="0.25">
      <c r="A3">
        <v>0.28063328575000002</v>
      </c>
      <c r="B3">
        <v>0.48907047733873077</v>
      </c>
      <c r="C3">
        <f t="shared" si="0"/>
        <v>0.48396317961294566</v>
      </c>
      <c r="D3">
        <f t="shared" si="1"/>
        <v>5.1072977257851093E-3</v>
      </c>
      <c r="E3">
        <f t="shared" si="2"/>
        <v>2.6084490059809749E-5</v>
      </c>
      <c r="G3" t="s">
        <v>1</v>
      </c>
      <c r="H3">
        <f>(_xlfn.GAMMA((2+$H$1)/(1+$H$1)))^(1+$H$1)</f>
        <v>0.80898587509847597</v>
      </c>
    </row>
    <row r="4" spans="1:8" x14ac:dyDescent="0.25">
      <c r="A4">
        <v>0.38908744924999999</v>
      </c>
      <c r="B4">
        <v>0.65595708571971945</v>
      </c>
      <c r="C4">
        <f t="shared" si="0"/>
        <v>0.5895296744514279</v>
      </c>
      <c r="D4">
        <f t="shared" si="1"/>
        <v>6.6427411268291547E-2</v>
      </c>
      <c r="E4">
        <f t="shared" si="2"/>
        <v>4.4126009678067471E-3</v>
      </c>
    </row>
    <row r="5" spans="1:8" x14ac:dyDescent="0.25">
      <c r="A5">
        <v>0.49754161274999997</v>
      </c>
      <c r="B5">
        <v>0.70810915083877846</v>
      </c>
      <c r="C5">
        <f t="shared" si="0"/>
        <v>0.66177086131974083</v>
      </c>
      <c r="D5">
        <f t="shared" si="1"/>
        <v>4.6338289519037623E-2</v>
      </c>
      <c r="E5">
        <f t="shared" si="2"/>
        <v>2.1472370755501518E-3</v>
      </c>
      <c r="G5" t="s">
        <v>2</v>
      </c>
      <c r="H5">
        <f>SUM(E1:E40)</f>
        <v>1.777590667487576E-2</v>
      </c>
    </row>
    <row r="6" spans="1:8" x14ac:dyDescent="0.25">
      <c r="A6">
        <v>0.6059957762499999</v>
      </c>
      <c r="B6">
        <v>0.72433423776470784</v>
      </c>
      <c r="C6">
        <f t="shared" si="0"/>
        <v>0.70309414118538838</v>
      </c>
      <c r="D6">
        <f t="shared" si="1"/>
        <v>2.1240096579319467E-2</v>
      </c>
      <c r="E6">
        <f t="shared" si="2"/>
        <v>4.5114170269881852E-4</v>
      </c>
    </row>
    <row r="7" spans="1:8" x14ac:dyDescent="0.25">
      <c r="A7">
        <v>0.71444993974999993</v>
      </c>
      <c r="B7">
        <v>0.73244678122767259</v>
      </c>
      <c r="C7">
        <f t="shared" si="0"/>
        <v>0.71667320943260815</v>
      </c>
      <c r="D7">
        <f t="shared" si="1"/>
        <v>1.5773571795064445E-2</v>
      </c>
      <c r="E7">
        <f t="shared" si="2"/>
        <v>2.4880556717405257E-4</v>
      </c>
    </row>
    <row r="8" spans="1:8" x14ac:dyDescent="0.25">
      <c r="A8">
        <v>0.82290410324999996</v>
      </c>
      <c r="B8">
        <v>0.73186731383746084</v>
      </c>
      <c r="C8">
        <f t="shared" si="0"/>
        <v>0.7064324979180262</v>
      </c>
      <c r="D8">
        <f t="shared" si="1"/>
        <v>2.5434815919434639E-2</v>
      </c>
      <c r="E8">
        <f t="shared" si="2"/>
        <v>6.4692986085552572E-4</v>
      </c>
    </row>
    <row r="9" spans="1:8" x14ac:dyDescent="0.25">
      <c r="A9">
        <v>0.93135826675</v>
      </c>
      <c r="B9">
        <v>0.66754643352395482</v>
      </c>
      <c r="C9">
        <f t="shared" si="0"/>
        <v>0.67680082483843629</v>
      </c>
      <c r="D9">
        <f t="shared" si="1"/>
        <v>-9.2543913144814693E-3</v>
      </c>
      <c r="E9">
        <f t="shared" si="2"/>
        <v>8.564375860155006E-5</v>
      </c>
    </row>
    <row r="10" spans="1:8" x14ac:dyDescent="0.25">
      <c r="A10">
        <v>1.03981243025</v>
      </c>
      <c r="B10">
        <v>0.58526206411388393</v>
      </c>
      <c r="C10">
        <f t="shared" si="0"/>
        <v>0.63240243088654569</v>
      </c>
      <c r="D10">
        <f t="shared" si="1"/>
        <v>-4.7140366772661757E-2</v>
      </c>
      <c r="E10">
        <f t="shared" si="2"/>
        <v>2.2222141794610724E-3</v>
      </c>
    </row>
    <row r="11" spans="1:8" x14ac:dyDescent="0.25">
      <c r="A11">
        <v>1.1482665937500001</v>
      </c>
      <c r="B11">
        <v>0.57367271630964867</v>
      </c>
      <c r="C11">
        <f t="shared" si="0"/>
        <v>0.57775942406121339</v>
      </c>
      <c r="D11">
        <f t="shared" si="1"/>
        <v>-4.0867077515647221E-3</v>
      </c>
      <c r="E11">
        <f t="shared" si="2"/>
        <v>1.6701180246699187E-5</v>
      </c>
    </row>
    <row r="12" spans="1:8" x14ac:dyDescent="0.25">
      <c r="A12">
        <v>1.2567207572500001</v>
      </c>
      <c r="B12">
        <v>0.50413662948423665</v>
      </c>
      <c r="C12">
        <f t="shared" si="0"/>
        <v>0.51704343311305201</v>
      </c>
      <c r="D12">
        <f t="shared" si="1"/>
        <v>-1.2906803628815355E-2</v>
      </c>
      <c r="E12">
        <f t="shared" si="2"/>
        <v>1.6658557991280123E-4</v>
      </c>
    </row>
    <row r="13" spans="1:8" x14ac:dyDescent="0.25">
      <c r="A13">
        <v>1.3651749207499999</v>
      </c>
      <c r="B13">
        <v>0.46241497738898951</v>
      </c>
      <c r="C13">
        <f t="shared" si="0"/>
        <v>0.45389443347598363</v>
      </c>
      <c r="D13">
        <f t="shared" si="1"/>
        <v>8.5205439130058847E-3</v>
      </c>
      <c r="E13">
        <f t="shared" si="2"/>
        <v>7.2599668573461635E-5</v>
      </c>
    </row>
    <row r="14" spans="1:8" x14ac:dyDescent="0.25">
      <c r="A14">
        <v>1.4736290842499999</v>
      </c>
      <c r="B14">
        <v>0.35695191237044804</v>
      </c>
      <c r="C14">
        <f t="shared" si="0"/>
        <v>0.39131145866733685</v>
      </c>
      <c r="D14">
        <f t="shared" si="1"/>
        <v>-3.435954629688881E-2</v>
      </c>
      <c r="E14">
        <f t="shared" si="2"/>
        <v>1.1805784217280456E-3</v>
      </c>
    </row>
    <row r="15" spans="1:8" x14ac:dyDescent="0.25">
      <c r="A15">
        <v>1.58208324775</v>
      </c>
      <c r="B15">
        <v>0.34246522761515386</v>
      </c>
      <c r="C15">
        <f t="shared" si="0"/>
        <v>0.33161067006252259</v>
      </c>
      <c r="D15">
        <f t="shared" si="1"/>
        <v>1.0854557552631261E-2</v>
      </c>
      <c r="E15">
        <f t="shared" si="2"/>
        <v>1.1782141966338435E-4</v>
      </c>
    </row>
    <row r="16" spans="1:8" x14ac:dyDescent="0.25">
      <c r="A16">
        <v>1.6905374112499998</v>
      </c>
      <c r="B16">
        <v>0.26829340166804777</v>
      </c>
      <c r="C16">
        <f t="shared" si="0"/>
        <v>0.27644024331756145</v>
      </c>
      <c r="D16">
        <f t="shared" si="1"/>
        <v>-8.1468416495136808E-3</v>
      </c>
      <c r="E16">
        <f t="shared" si="2"/>
        <v>6.6371028862250797E-5</v>
      </c>
    </row>
    <row r="17" spans="1:5" x14ac:dyDescent="0.25">
      <c r="A17">
        <v>1.7989915747499998</v>
      </c>
      <c r="B17">
        <v>0.22599228218258885</v>
      </c>
      <c r="C17">
        <f t="shared" si="0"/>
        <v>0.22683830885652542</v>
      </c>
      <c r="D17">
        <f t="shared" si="1"/>
        <v>-8.4602667393657294E-4</v>
      </c>
      <c r="E17">
        <f t="shared" si="2"/>
        <v>7.1576113301218026E-7</v>
      </c>
    </row>
    <row r="18" spans="1:5" x14ac:dyDescent="0.25">
      <c r="A18">
        <v>1.9074457382499999</v>
      </c>
      <c r="B18">
        <v>0.15587672796696514</v>
      </c>
      <c r="C18">
        <f t="shared" si="0"/>
        <v>0.1833192969144927</v>
      </c>
      <c r="D18">
        <f t="shared" si="1"/>
        <v>-2.7442568947527557E-2</v>
      </c>
      <c r="E18">
        <f t="shared" si="2"/>
        <v>7.5309459043980376E-4</v>
      </c>
    </row>
    <row r="19" spans="1:5" x14ac:dyDescent="0.25">
      <c r="A19">
        <v>2.0158999017500001</v>
      </c>
      <c r="B19">
        <v>0.14139004321167098</v>
      </c>
      <c r="C19">
        <f t="shared" si="0"/>
        <v>0.145974938626035</v>
      </c>
      <c r="D19">
        <f t="shared" si="1"/>
        <v>-4.5848954143640208E-3</v>
      </c>
      <c r="E19">
        <f t="shared" si="2"/>
        <v>2.1021265960656226E-5</v>
      </c>
    </row>
    <row r="20" spans="1:5" x14ac:dyDescent="0.25">
      <c r="A20">
        <v>2.1243540652499999</v>
      </c>
      <c r="B20">
        <v>0.11357560848150619</v>
      </c>
      <c r="C20">
        <f t="shared" si="0"/>
        <v>0.11457827607618544</v>
      </c>
      <c r="D20">
        <f t="shared" si="1"/>
        <v>-1.002667594679249E-3</v>
      </c>
      <c r="E20">
        <f t="shared" si="2"/>
        <v>1.0053423054198708E-6</v>
      </c>
    </row>
    <row r="21" spans="1:5" x14ac:dyDescent="0.25">
      <c r="A21">
        <v>2.2328082287500002</v>
      </c>
      <c r="B21">
        <v>9.4453184604517904E-2</v>
      </c>
      <c r="C21">
        <f t="shared" si="0"/>
        <v>8.8681774063144744E-2</v>
      </c>
      <c r="D21">
        <f t="shared" si="1"/>
        <v>5.7714105413731592E-3</v>
      </c>
      <c r="E21">
        <f t="shared" si="2"/>
        <v>3.3309179637073224E-5</v>
      </c>
    </row>
    <row r="22" spans="1:5" x14ac:dyDescent="0.25">
      <c r="A22">
        <v>2.34126239225</v>
      </c>
      <c r="B22">
        <v>6.0844075972235463E-2</v>
      </c>
      <c r="C22">
        <f t="shared" si="0"/>
        <v>6.7703524873707455E-2</v>
      </c>
      <c r="D22">
        <f t="shared" si="1"/>
        <v>-6.8594489014719914E-3</v>
      </c>
      <c r="E22">
        <f t="shared" si="2"/>
        <v>4.7052039231905311E-5</v>
      </c>
    </row>
    <row r="23" spans="1:5" x14ac:dyDescent="0.25">
      <c r="A23">
        <v>2.4497165557499998</v>
      </c>
      <c r="B23">
        <v>5.1572597728847203E-2</v>
      </c>
      <c r="C23">
        <f t="shared" si="0"/>
        <v>5.0998232077349423E-2</v>
      </c>
      <c r="D23">
        <f t="shared" si="1"/>
        <v>5.7436565149777963E-4</v>
      </c>
      <c r="E23">
        <f t="shared" si="2"/>
        <v>3.2989590162046886E-7</v>
      </c>
    </row>
    <row r="24" spans="1:5" x14ac:dyDescent="0.25">
      <c r="A24">
        <v>2.5581707192499996</v>
      </c>
      <c r="B24">
        <v>3.5347510802917745E-2</v>
      </c>
      <c r="C24">
        <f t="shared" si="0"/>
        <v>3.7911915931957106E-2</v>
      </c>
      <c r="D24">
        <f t="shared" si="1"/>
        <v>-2.5644051290393613E-3</v>
      </c>
      <c r="E24">
        <f t="shared" si="2"/>
        <v>6.5761736658433834E-6</v>
      </c>
    </row>
    <row r="25" spans="1:5" x14ac:dyDescent="0.25">
      <c r="A25">
        <v>2.6666248827499999</v>
      </c>
      <c r="B25">
        <v>3.4188576022494213E-2</v>
      </c>
      <c r="C25">
        <f t="shared" si="0"/>
        <v>2.7820987048436194E-2</v>
      </c>
      <c r="D25">
        <f t="shared" si="1"/>
        <v>6.3675889740580187E-3</v>
      </c>
      <c r="E25">
        <f t="shared" si="2"/>
        <v>4.0546189342545252E-5</v>
      </c>
    </row>
    <row r="26" spans="1:5" x14ac:dyDescent="0.25">
      <c r="A26">
        <v>2.7750790462500001</v>
      </c>
      <c r="B26">
        <v>2.2599228218258886E-2</v>
      </c>
      <c r="C26">
        <f t="shared" si="0"/>
        <v>2.0157470316936221E-2</v>
      </c>
      <c r="D26">
        <f t="shared" si="1"/>
        <v>2.4417579013226651E-3</v>
      </c>
      <c r="E26">
        <f t="shared" si="2"/>
        <v>5.9621816486716656E-6</v>
      </c>
    </row>
    <row r="27" spans="1:5" x14ac:dyDescent="0.25">
      <c r="A27">
        <v>2.8835332097500004</v>
      </c>
      <c r="B27">
        <v>1.6225086925929458E-2</v>
      </c>
      <c r="C27">
        <f t="shared" si="0"/>
        <v>1.4422781856135266E-2</v>
      </c>
      <c r="D27">
        <f t="shared" si="1"/>
        <v>1.8023050697941918E-3</v>
      </c>
      <c r="E27">
        <f t="shared" si="2"/>
        <v>3.2483035646058468E-6</v>
      </c>
    </row>
    <row r="28" spans="1:5" x14ac:dyDescent="0.25">
      <c r="A28">
        <v>2.9919873732499997</v>
      </c>
      <c r="B28">
        <v>1.3327749974870625E-2</v>
      </c>
      <c r="C28">
        <f t="shared" si="0"/>
        <v>1.019266373287136E-2</v>
      </c>
      <c r="D28">
        <f t="shared" si="1"/>
        <v>3.1350862419992648E-3</v>
      </c>
      <c r="E28">
        <f t="shared" si="2"/>
        <v>9.8287657447730726E-6</v>
      </c>
    </row>
    <row r="29" spans="1:5" x14ac:dyDescent="0.25">
      <c r="A29">
        <v>3.10044153675</v>
      </c>
      <c r="B29">
        <v>1.0430413023811794E-2</v>
      </c>
      <c r="C29">
        <f t="shared" si="0"/>
        <v>7.1157769863128932E-3</v>
      </c>
      <c r="D29">
        <f t="shared" si="1"/>
        <v>3.3146360374989008E-3</v>
      </c>
      <c r="E29">
        <f t="shared" si="2"/>
        <v>1.0986812061086414E-5</v>
      </c>
    </row>
    <row r="30" spans="1:5" x14ac:dyDescent="0.25">
      <c r="A30">
        <v>3.2088957002499994</v>
      </c>
      <c r="B30">
        <v>6.9536086825411954E-3</v>
      </c>
      <c r="C30">
        <f t="shared" si="0"/>
        <v>4.9081533198229513E-3</v>
      </c>
      <c r="D30">
        <f t="shared" si="1"/>
        <v>2.0454553627182442E-3</v>
      </c>
      <c r="E30">
        <f t="shared" si="2"/>
        <v>4.1838876408728242E-6</v>
      </c>
    </row>
    <row r="31" spans="1:5" x14ac:dyDescent="0.25">
      <c r="A31">
        <v>3.3173498637499996</v>
      </c>
      <c r="B31">
        <v>6.3741412923294296E-3</v>
      </c>
      <c r="C31">
        <f t="shared" si="0"/>
        <v>3.3453051132839836E-3</v>
      </c>
      <c r="D31">
        <f t="shared" si="1"/>
        <v>3.028836179045446E-3</v>
      </c>
      <c r="E31">
        <f t="shared" si="2"/>
        <v>9.1738485994946172E-6</v>
      </c>
    </row>
    <row r="32" spans="1:5" x14ac:dyDescent="0.25">
      <c r="A32">
        <v>3.4258040272499999</v>
      </c>
      <c r="B32">
        <v>5.215206511905897E-3</v>
      </c>
      <c r="C32">
        <f t="shared" si="0"/>
        <v>2.2533663683817614E-3</v>
      </c>
      <c r="D32">
        <f t="shared" si="1"/>
        <v>2.9618401435241356E-3</v>
      </c>
      <c r="E32">
        <f t="shared" si="2"/>
        <v>8.7724970357910718E-6</v>
      </c>
    </row>
    <row r="33" spans="1:5" x14ac:dyDescent="0.25">
      <c r="A33">
        <v>3.5342581907500001</v>
      </c>
      <c r="B33">
        <v>5.215206511905897E-3</v>
      </c>
      <c r="C33">
        <f t="shared" si="0"/>
        <v>1.5002353356266195E-3</v>
      </c>
      <c r="D33">
        <f t="shared" si="1"/>
        <v>3.7149711762792777E-3</v>
      </c>
      <c r="E33">
        <f t="shared" si="2"/>
        <v>1.380101084058584E-5</v>
      </c>
    </row>
    <row r="34" spans="1:5" x14ac:dyDescent="0.25">
      <c r="A34">
        <v>3.6427123542499995</v>
      </c>
      <c r="B34">
        <v>2.8973369510588314E-3</v>
      </c>
      <c r="C34">
        <f t="shared" si="0"/>
        <v>9.873435891058571E-4</v>
      </c>
      <c r="D34">
        <f t="shared" si="1"/>
        <v>1.9099933619529743E-3</v>
      </c>
      <c r="E34">
        <f t="shared" si="2"/>
        <v>3.6480746427044256E-6</v>
      </c>
    </row>
    <row r="35" spans="1:5" x14ac:dyDescent="0.25">
      <c r="A35">
        <v>3.7511665177499998</v>
      </c>
      <c r="B35">
        <v>1.7384021706352989E-3</v>
      </c>
      <c r="C35">
        <f t="shared" si="0"/>
        <v>6.4239995411519905E-4</v>
      </c>
      <c r="D35">
        <f t="shared" si="1"/>
        <v>1.0960022165200998E-3</v>
      </c>
      <c r="E35">
        <f t="shared" si="2"/>
        <v>1.2012208586169717E-6</v>
      </c>
    </row>
    <row r="36" spans="1:5" x14ac:dyDescent="0.25">
      <c r="A36">
        <v>3.85962068125</v>
      </c>
      <c r="B36">
        <v>5.7946739021176629E-4</v>
      </c>
      <c r="C36">
        <f t="shared" si="0"/>
        <v>4.1325229707171767E-4</v>
      </c>
      <c r="D36">
        <f t="shared" si="1"/>
        <v>1.6621509314004862E-4</v>
      </c>
      <c r="E36">
        <f t="shared" si="2"/>
        <v>2.7627457187555038E-8</v>
      </c>
    </row>
    <row r="37" spans="1:5" x14ac:dyDescent="0.25">
      <c r="A37">
        <v>3.9680748447500003</v>
      </c>
      <c r="B37">
        <v>0</v>
      </c>
      <c r="C37">
        <f t="shared" si="0"/>
        <v>2.628691222149234E-4</v>
      </c>
      <c r="D37">
        <f t="shared" si="1"/>
        <v>-2.628691222149234E-4</v>
      </c>
      <c r="E37">
        <f t="shared" si="2"/>
        <v>6.9100175414044332E-8</v>
      </c>
    </row>
    <row r="38" spans="1:5" x14ac:dyDescent="0.25">
      <c r="A38">
        <v>4.0765290082499996</v>
      </c>
      <c r="B38">
        <v>1.1589347804235326E-3</v>
      </c>
      <c r="C38">
        <f t="shared" si="0"/>
        <v>1.6535532113425792E-4</v>
      </c>
      <c r="D38">
        <f t="shared" si="1"/>
        <v>9.9357945928927466E-4</v>
      </c>
      <c r="E38">
        <f t="shared" si="2"/>
        <v>9.8720014192156743E-7</v>
      </c>
    </row>
    <row r="39" spans="1:5" x14ac:dyDescent="0.25">
      <c r="A39">
        <v>4.1849831717499999</v>
      </c>
      <c r="B39">
        <v>0</v>
      </c>
      <c r="C39">
        <f t="shared" si="0"/>
        <v>1.0287003349485963E-4</v>
      </c>
      <c r="D39">
        <f t="shared" si="1"/>
        <v>-1.0287003349485963E-4</v>
      </c>
      <c r="E39">
        <f t="shared" si="2"/>
        <v>1.0582243791233543E-8</v>
      </c>
    </row>
    <row r="40" spans="1:5" x14ac:dyDescent="0.25">
      <c r="A40">
        <v>4.2934373352500002</v>
      </c>
      <c r="B40">
        <v>5.7946739021176629E-4</v>
      </c>
      <c r="C40">
        <f t="shared" si="0"/>
        <v>6.329766516923309E-5</v>
      </c>
      <c r="D40">
        <f t="shared" si="1"/>
        <v>5.161697250425332E-4</v>
      </c>
      <c r="E40">
        <f t="shared" si="2"/>
        <v>2.6643118505048432E-7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BC7D-07CD-475C-A1AE-72708F9640B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7.7537717175000007E-2</v>
      </c>
      <c r="B1">
        <v>7.8701842692682933E-2</v>
      </c>
      <c r="C1">
        <f>$H$3*(1+$H$1)*(A1^($H$1))*EXP(-$H$3*(A1^(1+$H$1)))</f>
        <v>0.15170852709477026</v>
      </c>
      <c r="D1">
        <f>B1-C1</f>
        <v>-7.3006684402087324E-2</v>
      </c>
      <c r="E1">
        <f>D1^2</f>
        <v>5.3299759673859802E-3</v>
      </c>
      <c r="G1" t="s">
        <v>0</v>
      </c>
      <c r="H1">
        <v>0.89682145086981746</v>
      </c>
    </row>
    <row r="2" spans="1:8" x14ac:dyDescent="0.25">
      <c r="A2">
        <v>0.17974934352500002</v>
      </c>
      <c r="B2">
        <v>0.2852941797609756</v>
      </c>
      <c r="C2">
        <f t="shared" ref="C2:C40" si="0">$H$3*(1+$H$1)*(A2^($H$1))*EXP(-$H$3*(A2^(1+$H$1)))</f>
        <v>0.31466175844357896</v>
      </c>
      <c r="D2">
        <f t="shared" ref="D2:D40" si="1">B2-C2</f>
        <v>-2.9367578682603368E-2</v>
      </c>
      <c r="E2">
        <f t="shared" ref="E2:E40" si="2">D2^2</f>
        <v>8.6245467767889978E-4</v>
      </c>
    </row>
    <row r="3" spans="1:8" x14ac:dyDescent="0.25">
      <c r="A3">
        <v>0.28196096987500002</v>
      </c>
      <c r="B3">
        <v>0.45991389323536586</v>
      </c>
      <c r="C3">
        <f t="shared" si="0"/>
        <v>0.45204109196611769</v>
      </c>
      <c r="D3">
        <f t="shared" si="1"/>
        <v>7.8728012692481641E-3</v>
      </c>
      <c r="E3">
        <f t="shared" si="2"/>
        <v>6.1980999825075501E-5</v>
      </c>
      <c r="G3" t="s">
        <v>1</v>
      </c>
      <c r="H3">
        <f>(_xlfn.GAMMA((2+$H$1)/(1+$H$1)))^(1+$H$1)</f>
        <v>0.79726413544448704</v>
      </c>
    </row>
    <row r="4" spans="1:8" x14ac:dyDescent="0.25">
      <c r="A4">
        <v>0.384172596225</v>
      </c>
      <c r="B4">
        <v>0.59456782721737811</v>
      </c>
      <c r="C4">
        <f t="shared" si="0"/>
        <v>0.56314388178163866</v>
      </c>
      <c r="D4">
        <f t="shared" si="1"/>
        <v>3.1423945435739453E-2</v>
      </c>
      <c r="E4">
        <f t="shared" si="2"/>
        <v>9.8746434674833032E-4</v>
      </c>
    </row>
    <row r="5" spans="1:8" x14ac:dyDescent="0.25">
      <c r="A5">
        <v>0.48638422257500002</v>
      </c>
      <c r="B5">
        <v>0.74459321485030494</v>
      </c>
      <c r="C5">
        <f t="shared" si="0"/>
        <v>0.64665082391031903</v>
      </c>
      <c r="D5">
        <f t="shared" si="1"/>
        <v>9.7942390939985913E-2</v>
      </c>
      <c r="E5">
        <f t="shared" si="2"/>
        <v>9.5927119430410344E-3</v>
      </c>
      <c r="G5" t="s">
        <v>2</v>
      </c>
      <c r="H5">
        <f>SUM(E1:E40)</f>
        <v>2.4603123795199928E-2</v>
      </c>
    </row>
    <row r="6" spans="1:8" x14ac:dyDescent="0.25">
      <c r="A6">
        <v>0.58859584892500005</v>
      </c>
      <c r="B6">
        <v>0.73229605192957314</v>
      </c>
      <c r="C6">
        <f t="shared" si="0"/>
        <v>0.70225927358560758</v>
      </c>
      <c r="D6">
        <f t="shared" si="1"/>
        <v>3.0036778343965564E-2</v>
      </c>
      <c r="E6">
        <f t="shared" si="2"/>
        <v>9.0220805328451866E-4</v>
      </c>
    </row>
    <row r="7" spans="1:8" x14ac:dyDescent="0.25">
      <c r="A7">
        <v>0.69080747527499997</v>
      </c>
      <c r="B7">
        <v>0.74028920782804886</v>
      </c>
      <c r="C7">
        <f t="shared" si="0"/>
        <v>0.73096753567063644</v>
      </c>
      <c r="D7">
        <f t="shared" si="1"/>
        <v>9.3216721574124195E-3</v>
      </c>
      <c r="E7">
        <f t="shared" si="2"/>
        <v>8.6893571810277916E-5</v>
      </c>
    </row>
    <row r="8" spans="1:8" x14ac:dyDescent="0.25">
      <c r="A8">
        <v>0.793019101625</v>
      </c>
      <c r="B8">
        <v>0.75934981035518301</v>
      </c>
      <c r="C8">
        <f t="shared" si="0"/>
        <v>0.73499295399778819</v>
      </c>
      <c r="D8">
        <f t="shared" si="1"/>
        <v>2.4356856357394818E-2</v>
      </c>
      <c r="E8">
        <f t="shared" si="2"/>
        <v>5.9325645161476437E-4</v>
      </c>
    </row>
    <row r="9" spans="1:8" x14ac:dyDescent="0.25">
      <c r="A9">
        <v>0.89523072797500003</v>
      </c>
      <c r="B9">
        <v>0.75258637074878054</v>
      </c>
      <c r="C9">
        <f t="shared" si="0"/>
        <v>0.71753014822011629</v>
      </c>
      <c r="D9">
        <f t="shared" si="1"/>
        <v>3.5056222528664249E-2</v>
      </c>
      <c r="E9">
        <f t="shared" si="2"/>
        <v>1.2289387379792269E-3</v>
      </c>
    </row>
    <row r="10" spans="1:8" x14ac:dyDescent="0.25">
      <c r="A10">
        <v>0.99744235432500017</v>
      </c>
      <c r="B10">
        <v>0.64252676260823172</v>
      </c>
      <c r="C10">
        <f t="shared" si="0"/>
        <v>0.68243561393860575</v>
      </c>
      <c r="D10">
        <f t="shared" si="1"/>
        <v>-3.9908851330374029E-2</v>
      </c>
      <c r="E10">
        <f t="shared" si="2"/>
        <v>1.592716414509897E-3</v>
      </c>
    </row>
    <row r="11" spans="1:8" x14ac:dyDescent="0.25">
      <c r="A11">
        <v>1.0996539806750001</v>
      </c>
      <c r="B11">
        <v>0.62961474154146346</v>
      </c>
      <c r="C11">
        <f t="shared" si="0"/>
        <v>0.63389300521720471</v>
      </c>
      <c r="D11">
        <f t="shared" si="1"/>
        <v>-4.2782636757412451E-3</v>
      </c>
      <c r="E11">
        <f t="shared" si="2"/>
        <v>1.830354007916699E-5</v>
      </c>
    </row>
    <row r="12" spans="1:8" x14ac:dyDescent="0.25">
      <c r="A12">
        <v>1.201865607025</v>
      </c>
      <c r="B12">
        <v>0.55583176401707324</v>
      </c>
      <c r="C12">
        <f t="shared" si="0"/>
        <v>0.57609846768675188</v>
      </c>
      <c r="D12">
        <f t="shared" si="1"/>
        <v>-2.0266703669678643E-2</v>
      </c>
      <c r="E12">
        <f t="shared" si="2"/>
        <v>4.1073927763456575E-4</v>
      </c>
    </row>
    <row r="13" spans="1:8" x14ac:dyDescent="0.25">
      <c r="A13">
        <v>1.3040772333750001</v>
      </c>
      <c r="B13">
        <v>0.4722110561560976</v>
      </c>
      <c r="C13">
        <f t="shared" si="0"/>
        <v>0.5129937335047311</v>
      </c>
      <c r="D13">
        <f t="shared" si="1"/>
        <v>-4.07826773486335E-2</v>
      </c>
      <c r="E13">
        <f t="shared" si="2"/>
        <v>1.6632267717227439E-3</v>
      </c>
    </row>
    <row r="14" spans="1:8" x14ac:dyDescent="0.25">
      <c r="A14">
        <v>1.4062888597250001</v>
      </c>
      <c r="B14">
        <v>0.4500761628987805</v>
      </c>
      <c r="C14">
        <f t="shared" si="0"/>
        <v>0.44806374756312339</v>
      </c>
      <c r="D14">
        <f t="shared" si="1"/>
        <v>2.0124153356571028E-3</v>
      </c>
      <c r="E14">
        <f t="shared" si="2"/>
        <v>4.0498154831878898E-6</v>
      </c>
    </row>
    <row r="15" spans="1:8" x14ac:dyDescent="0.25">
      <c r="A15">
        <v>1.508500486075</v>
      </c>
      <c r="B15">
        <v>0.35846229913932925</v>
      </c>
      <c r="C15">
        <f t="shared" si="0"/>
        <v>0.3842054669363591</v>
      </c>
      <c r="D15">
        <f t="shared" si="1"/>
        <v>-2.5743167797029842E-2</v>
      </c>
      <c r="E15">
        <f t="shared" si="2"/>
        <v>6.6271068822603427E-4</v>
      </c>
    </row>
    <row r="16" spans="1:8" x14ac:dyDescent="0.25">
      <c r="A16">
        <v>1.6107121124250003</v>
      </c>
      <c r="B16">
        <v>0.32095595223109757</v>
      </c>
      <c r="C16">
        <f t="shared" si="0"/>
        <v>0.32366583847382785</v>
      </c>
      <c r="D16">
        <f t="shared" si="1"/>
        <v>-2.709886242730275E-3</v>
      </c>
      <c r="E16">
        <f t="shared" si="2"/>
        <v>7.3434834485388072E-6</v>
      </c>
    </row>
    <row r="17" spans="1:5" x14ac:dyDescent="0.25">
      <c r="A17">
        <v>1.7129237387750003</v>
      </c>
      <c r="B17">
        <v>0.26069985391951223</v>
      </c>
      <c r="C17">
        <f t="shared" si="0"/>
        <v>0.26804040377527</v>
      </c>
      <c r="D17">
        <f t="shared" si="1"/>
        <v>-7.340549855757772E-3</v>
      </c>
      <c r="E17">
        <f t="shared" si="2"/>
        <v>5.3883672184865446E-5</v>
      </c>
    </row>
    <row r="18" spans="1:5" x14ac:dyDescent="0.25">
      <c r="A18">
        <v>1.8151353651250002</v>
      </c>
      <c r="B18">
        <v>0.20720719521432929</v>
      </c>
      <c r="C18">
        <f t="shared" si="0"/>
        <v>0.2183197966852535</v>
      </c>
      <c r="D18">
        <f t="shared" si="1"/>
        <v>-1.1112601470924216E-2</v>
      </c>
      <c r="E18">
        <f t="shared" si="2"/>
        <v>1.2348991145158704E-4</v>
      </c>
    </row>
    <row r="19" spans="1:5" x14ac:dyDescent="0.25">
      <c r="A19">
        <v>1.9173469914750001</v>
      </c>
      <c r="B19">
        <v>0.16355226684573171</v>
      </c>
      <c r="C19">
        <f t="shared" si="0"/>
        <v>0.17496954248109045</v>
      </c>
      <c r="D19">
        <f t="shared" si="1"/>
        <v>-1.1417275635358742E-2</v>
      </c>
      <c r="E19">
        <f t="shared" si="2"/>
        <v>1.3035418293375637E-4</v>
      </c>
    </row>
    <row r="20" spans="1:5" x14ac:dyDescent="0.25">
      <c r="A20">
        <v>2.019558617825</v>
      </c>
      <c r="B20">
        <v>0.13526879212804879</v>
      </c>
      <c r="C20">
        <f t="shared" si="0"/>
        <v>0.13802872054475882</v>
      </c>
      <c r="D20">
        <f t="shared" si="1"/>
        <v>-2.7599284167100224E-3</v>
      </c>
      <c r="E20">
        <f t="shared" si="2"/>
        <v>7.6172048653634913E-6</v>
      </c>
    </row>
    <row r="21" spans="1:5" x14ac:dyDescent="0.25">
      <c r="A21">
        <v>2.1217702441749999</v>
      </c>
      <c r="B21">
        <v>0.11128932443262196</v>
      </c>
      <c r="C21">
        <f t="shared" si="0"/>
        <v>0.10721471638910601</v>
      </c>
      <c r="D21">
        <f t="shared" si="1"/>
        <v>4.0746080435159482E-3</v>
      </c>
      <c r="E21">
        <f t="shared" si="2"/>
        <v>1.6602430708284862E-5</v>
      </c>
    </row>
    <row r="22" spans="1:5" x14ac:dyDescent="0.25">
      <c r="A22">
        <v>2.2239818705250003</v>
      </c>
      <c r="B22">
        <v>7.1323544940243899E-2</v>
      </c>
      <c r="C22">
        <f t="shared" si="0"/>
        <v>8.2023897048271913E-2</v>
      </c>
      <c r="D22">
        <f t="shared" si="1"/>
        <v>-1.0700352108028013E-2</v>
      </c>
      <c r="E22">
        <f t="shared" si="2"/>
        <v>1.1449753523577955E-4</v>
      </c>
    </row>
    <row r="23" spans="1:5" x14ac:dyDescent="0.25">
      <c r="A23">
        <v>2.3261934968749998</v>
      </c>
      <c r="B23">
        <v>6.3945247187804879E-2</v>
      </c>
      <c r="C23">
        <f t="shared" si="0"/>
        <v>6.1821052229472484E-2</v>
      </c>
      <c r="D23">
        <f t="shared" si="1"/>
        <v>2.1241949583323955E-3</v>
      </c>
      <c r="E23">
        <f t="shared" si="2"/>
        <v>4.5122042210047677E-6</v>
      </c>
    </row>
    <row r="24" spans="1:5" x14ac:dyDescent="0.25">
      <c r="A24">
        <v>2.4284051232249997</v>
      </c>
      <c r="B24">
        <v>4.3654928368597565E-2</v>
      </c>
      <c r="C24">
        <f t="shared" si="0"/>
        <v>4.5913399740138874E-2</v>
      </c>
      <c r="D24">
        <f t="shared" si="1"/>
        <v>-2.2584713715413096E-3</v>
      </c>
      <c r="E24">
        <f t="shared" si="2"/>
        <v>5.1006929360716843E-6</v>
      </c>
    </row>
    <row r="25" spans="1:5" x14ac:dyDescent="0.25">
      <c r="A25">
        <v>2.530616749575</v>
      </c>
      <c r="B25">
        <v>3.8736063200304878E-2</v>
      </c>
      <c r="C25">
        <f t="shared" si="0"/>
        <v>3.3607533372492143E-2</v>
      </c>
      <c r="D25">
        <f t="shared" si="1"/>
        <v>5.1285298278127348E-3</v>
      </c>
      <c r="E25">
        <f t="shared" si="2"/>
        <v>2.6301818194764918E-5</v>
      </c>
    </row>
    <row r="26" spans="1:5" x14ac:dyDescent="0.25">
      <c r="A26">
        <v>2.632828375925</v>
      </c>
      <c r="B26">
        <v>2.7668616571646341E-2</v>
      </c>
      <c r="C26">
        <f t="shared" si="0"/>
        <v>2.4249707312540548E-2</v>
      </c>
      <c r="D26">
        <f t="shared" si="1"/>
        <v>3.4189092591057936E-3</v>
      </c>
      <c r="E26">
        <f t="shared" si="2"/>
        <v>1.1688940521999326E-5</v>
      </c>
    </row>
    <row r="27" spans="1:5" x14ac:dyDescent="0.25">
      <c r="A27">
        <v>2.7350400022750003</v>
      </c>
      <c r="B27">
        <v>2.2749751403353658E-2</v>
      </c>
      <c r="C27">
        <f t="shared" si="0"/>
        <v>1.7251239139383874E-2</v>
      </c>
      <c r="D27">
        <f t="shared" si="1"/>
        <v>5.4985122639697841E-3</v>
      </c>
      <c r="E27">
        <f t="shared" si="2"/>
        <v>3.0233637117026122E-5</v>
      </c>
    </row>
    <row r="28" spans="1:5" x14ac:dyDescent="0.25">
      <c r="A28">
        <v>2.8372516286250002</v>
      </c>
      <c r="B28">
        <v>1.4141737358841463E-2</v>
      </c>
      <c r="C28">
        <f t="shared" si="0"/>
        <v>1.2101605331923721E-2</v>
      </c>
      <c r="D28">
        <f t="shared" si="1"/>
        <v>2.0401320269177424E-3</v>
      </c>
      <c r="E28">
        <f t="shared" si="2"/>
        <v>4.1621386872554962E-6</v>
      </c>
    </row>
    <row r="29" spans="1:5" x14ac:dyDescent="0.25">
      <c r="A29">
        <v>2.9394632549749997</v>
      </c>
      <c r="B29">
        <v>9.2228721905487816E-3</v>
      </c>
      <c r="C29">
        <f t="shared" si="0"/>
        <v>8.3720935329334306E-3</v>
      </c>
      <c r="D29">
        <f t="shared" si="1"/>
        <v>8.5077865761535101E-4</v>
      </c>
      <c r="E29">
        <f t="shared" si="2"/>
        <v>7.2382432425377869E-7</v>
      </c>
    </row>
    <row r="30" spans="1:5" x14ac:dyDescent="0.25">
      <c r="A30">
        <v>3.0416748813250001</v>
      </c>
      <c r="B30">
        <v>1.0452588482621952E-2</v>
      </c>
      <c r="C30">
        <f t="shared" si="0"/>
        <v>5.7127903351382511E-3</v>
      </c>
      <c r="D30">
        <f t="shared" si="1"/>
        <v>4.7397981474837005E-3</v>
      </c>
      <c r="E30">
        <f t="shared" si="2"/>
        <v>2.246568647888992E-5</v>
      </c>
    </row>
    <row r="31" spans="1:5" x14ac:dyDescent="0.25">
      <c r="A31">
        <v>3.1438865076750004</v>
      </c>
      <c r="B31">
        <v>7.378297752439025E-3</v>
      </c>
      <c r="C31">
        <f t="shared" si="0"/>
        <v>3.8453525951831747E-3</v>
      </c>
      <c r="D31">
        <f t="shared" si="1"/>
        <v>3.5329451572558503E-3</v>
      </c>
      <c r="E31">
        <f t="shared" si="2"/>
        <v>1.2481701484177565E-5</v>
      </c>
    </row>
    <row r="32" spans="1:5" x14ac:dyDescent="0.25">
      <c r="A32">
        <v>3.2460981340250004</v>
      </c>
      <c r="B32">
        <v>5.5337233143292683E-3</v>
      </c>
      <c r="C32">
        <f t="shared" si="0"/>
        <v>2.5535511674181091E-3</v>
      </c>
      <c r="D32">
        <f t="shared" si="1"/>
        <v>2.9801721469111591E-3</v>
      </c>
      <c r="E32">
        <f t="shared" si="2"/>
        <v>8.8814260252250669E-6</v>
      </c>
    </row>
    <row r="33" spans="1:5" x14ac:dyDescent="0.25">
      <c r="A33">
        <v>3.3483097603750003</v>
      </c>
      <c r="B33">
        <v>5.5337233143292683E-3</v>
      </c>
      <c r="C33">
        <f t="shared" si="0"/>
        <v>1.6730812831874376E-3</v>
      </c>
      <c r="D33">
        <f t="shared" si="1"/>
        <v>3.8606420311418305E-3</v>
      </c>
      <c r="E33">
        <f t="shared" si="2"/>
        <v>1.4904556892618918E-5</v>
      </c>
    </row>
    <row r="34" spans="1:5" x14ac:dyDescent="0.25">
      <c r="A34">
        <v>3.4505213867250002</v>
      </c>
      <c r="B34">
        <v>1.8445744381097562E-3</v>
      </c>
      <c r="C34">
        <f t="shared" si="0"/>
        <v>1.0816686489398971E-3</v>
      </c>
      <c r="D34">
        <f t="shared" si="1"/>
        <v>7.6290578916985916E-4</v>
      </c>
      <c r="E34">
        <f t="shared" si="2"/>
        <v>5.8202524314888561E-7</v>
      </c>
    </row>
    <row r="35" spans="1:5" x14ac:dyDescent="0.25">
      <c r="A35">
        <v>3.5527330130750001</v>
      </c>
      <c r="B35">
        <v>3.6891488762195125E-3</v>
      </c>
      <c r="C35">
        <f t="shared" si="0"/>
        <v>6.9010345610647709E-4</v>
      </c>
      <c r="D35">
        <f t="shared" si="1"/>
        <v>2.9990454201130352E-3</v>
      </c>
      <c r="E35">
        <f t="shared" si="2"/>
        <v>8.9942734319009723E-6</v>
      </c>
    </row>
    <row r="36" spans="1:5" x14ac:dyDescent="0.25">
      <c r="A36">
        <v>3.6549446394250005</v>
      </c>
      <c r="B36">
        <v>6.1485814603658541E-4</v>
      </c>
      <c r="C36">
        <f t="shared" si="0"/>
        <v>4.3452283894048388E-4</v>
      </c>
      <c r="D36">
        <f t="shared" si="1"/>
        <v>1.8033530709610153E-4</v>
      </c>
      <c r="E36">
        <f t="shared" si="2"/>
        <v>3.2520822985445245E-8</v>
      </c>
    </row>
    <row r="37" spans="1:5" x14ac:dyDescent="0.25">
      <c r="A37">
        <v>3.7571562657750004</v>
      </c>
      <c r="B37">
        <v>6.1485814603658541E-4</v>
      </c>
      <c r="C37">
        <f t="shared" si="0"/>
        <v>2.700368497062178E-4</v>
      </c>
      <c r="D37">
        <f t="shared" si="1"/>
        <v>3.4482129633036762E-4</v>
      </c>
      <c r="E37">
        <f t="shared" si="2"/>
        <v>1.189017264029552E-7</v>
      </c>
    </row>
    <row r="38" spans="1:5" x14ac:dyDescent="0.25">
      <c r="A38">
        <v>3.8593678921250003</v>
      </c>
      <c r="B38">
        <v>6.1485814603658541E-4</v>
      </c>
      <c r="C38">
        <f t="shared" si="0"/>
        <v>1.6564454409725822E-4</v>
      </c>
      <c r="D38">
        <f t="shared" si="1"/>
        <v>4.4921360193932722E-4</v>
      </c>
      <c r="E38">
        <f t="shared" si="2"/>
        <v>2.0179286016730434E-7</v>
      </c>
    </row>
    <row r="39" spans="1:5" x14ac:dyDescent="0.25">
      <c r="A39">
        <v>3.9615795184750002</v>
      </c>
      <c r="B39">
        <v>0</v>
      </c>
      <c r="C39">
        <f t="shared" si="0"/>
        <v>1.0030090279586748E-4</v>
      </c>
      <c r="D39">
        <f t="shared" si="1"/>
        <v>-1.0030090279586748E-4</v>
      </c>
      <c r="E39">
        <f t="shared" si="2"/>
        <v>1.0060271101666057E-8</v>
      </c>
    </row>
    <row r="40" spans="1:5" x14ac:dyDescent="0.25">
      <c r="A40">
        <v>4.0637911448250001</v>
      </c>
      <c r="B40">
        <v>6.1485814603658541E-4</v>
      </c>
      <c r="C40">
        <f t="shared" si="0"/>
        <v>5.9956254658552702E-5</v>
      </c>
      <c r="D40">
        <f t="shared" si="1"/>
        <v>5.549018913780327E-4</v>
      </c>
      <c r="E40">
        <f t="shared" si="2"/>
        <v>3.07916109054918E-7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B867-E934-4692-8765-3538C83AE3C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7.5499944999999999E-2</v>
      </c>
      <c r="B1">
        <v>4.3770130738293639E-2</v>
      </c>
      <c r="C1">
        <f>$H$3*(1+$H$1)*(A1^($H$1))*EXP(-$H$3*(A1^(1+$H$1)))</f>
        <v>0.11413587483685173</v>
      </c>
      <c r="D1">
        <f>B1-C1</f>
        <v>-7.0365744098558086E-2</v>
      </c>
      <c r="E1">
        <f>D1^2</f>
        <v>4.9513379425437619E-3</v>
      </c>
      <c r="G1" t="s">
        <v>0</v>
      </c>
      <c r="H1">
        <v>1.0153038759083461</v>
      </c>
    </row>
    <row r="2" spans="1:8" x14ac:dyDescent="0.25">
      <c r="A2">
        <v>0.17169326099999999</v>
      </c>
      <c r="B2">
        <v>0.21754408262465344</v>
      </c>
      <c r="C2">
        <f t="shared" ref="C2:C40" si="0">$H$3*(1+$H$1)*(A2^($H$1))*EXP(-$H$3*(A2^(1+$H$1)))</f>
        <v>0.2580997159476322</v>
      </c>
      <c r="D2">
        <f t="shared" ref="D2:D40" si="1">B2-C2</f>
        <v>-4.0555633322978762E-2</v>
      </c>
      <c r="E2">
        <f t="shared" ref="E2:E40" si="2">D2^2</f>
        <v>1.6447593942279055E-3</v>
      </c>
    </row>
    <row r="3" spans="1:8" x14ac:dyDescent="0.25">
      <c r="A3">
        <v>0.26788657699999996</v>
      </c>
      <c r="B3">
        <v>0.40307717411234589</v>
      </c>
      <c r="C3">
        <f t="shared" si="0"/>
        <v>0.39243688997435627</v>
      </c>
      <c r="D3">
        <f t="shared" si="1"/>
        <v>1.064028413798962E-2</v>
      </c>
      <c r="E3">
        <f t="shared" si="2"/>
        <v>1.1321564653715351E-4</v>
      </c>
      <c r="G3" t="s">
        <v>1</v>
      </c>
      <c r="H3">
        <f>(_xlfn.GAMMA((2+$H$1)/(1+$H$1)))^(1+$H$1)</f>
        <v>0.78373953809902819</v>
      </c>
    </row>
    <row r="4" spans="1:8" x14ac:dyDescent="0.25">
      <c r="A4">
        <v>0.36407989299999999</v>
      </c>
      <c r="B4">
        <v>0.49780357645641421</v>
      </c>
      <c r="C4">
        <f t="shared" si="0"/>
        <v>0.51117301841803908</v>
      </c>
      <c r="D4">
        <f t="shared" si="1"/>
        <v>-1.3369441961624873E-2</v>
      </c>
      <c r="E4">
        <f t="shared" si="2"/>
        <v>1.7874197836525592E-4</v>
      </c>
    </row>
    <row r="5" spans="1:8" x14ac:dyDescent="0.25">
      <c r="A5">
        <v>0.46027320900000002</v>
      </c>
      <c r="B5">
        <v>0.69770894967906871</v>
      </c>
      <c r="C5">
        <f t="shared" si="0"/>
        <v>0.6096960403060252</v>
      </c>
      <c r="D5">
        <f t="shared" si="1"/>
        <v>8.8012909373043513E-2</v>
      </c>
      <c r="E5">
        <f t="shared" si="2"/>
        <v>7.746272216307571E-3</v>
      </c>
      <c r="G5" t="s">
        <v>2</v>
      </c>
      <c r="H5">
        <f>SUM(E1:E40)</f>
        <v>3.2520695312075076E-2</v>
      </c>
    </row>
    <row r="6" spans="1:8" x14ac:dyDescent="0.25">
      <c r="A6">
        <v>0.55646652499999993</v>
      </c>
      <c r="B6">
        <v>0.75781121875254653</v>
      </c>
      <c r="C6">
        <f t="shared" si="0"/>
        <v>0.68485458853799763</v>
      </c>
      <c r="D6">
        <f t="shared" si="1"/>
        <v>7.2956630214548901E-2</v>
      </c>
      <c r="E6">
        <f t="shared" si="2"/>
        <v>5.3226698922624292E-3</v>
      </c>
    </row>
    <row r="7" spans="1:8" x14ac:dyDescent="0.25">
      <c r="A7">
        <v>0.65265984099999996</v>
      </c>
      <c r="B7">
        <v>0.78198278348861916</v>
      </c>
      <c r="C7">
        <f t="shared" si="0"/>
        <v>0.73505463527240067</v>
      </c>
      <c r="D7">
        <f t="shared" si="1"/>
        <v>4.692814821621849E-2</v>
      </c>
      <c r="E7">
        <f t="shared" si="2"/>
        <v>2.2022510950033707E-3</v>
      </c>
    </row>
    <row r="8" spans="1:8" x14ac:dyDescent="0.25">
      <c r="A8">
        <v>0.74885315699999999</v>
      </c>
      <c r="B8">
        <v>0.75519807661891702</v>
      </c>
      <c r="C8">
        <f t="shared" si="0"/>
        <v>0.76024671276253497</v>
      </c>
      <c r="D8">
        <f t="shared" si="1"/>
        <v>-5.0486361436179461E-3</v>
      </c>
      <c r="E8">
        <f t="shared" si="2"/>
        <v>2.5488726910645487E-5</v>
      </c>
    </row>
    <row r="9" spans="1:8" x14ac:dyDescent="0.25">
      <c r="A9">
        <v>0.84504647300000002</v>
      </c>
      <c r="B9">
        <v>0.80419449162446965</v>
      </c>
      <c r="C9">
        <f t="shared" si="0"/>
        <v>0.76179347156080535</v>
      </c>
      <c r="D9">
        <f t="shared" si="1"/>
        <v>4.2401020063664308E-2</v>
      </c>
      <c r="E9">
        <f t="shared" si="2"/>
        <v>1.7978465024392632E-3</v>
      </c>
    </row>
    <row r="10" spans="1:8" x14ac:dyDescent="0.25">
      <c r="A10">
        <v>0.94123978899999994</v>
      </c>
      <c r="B10">
        <v>0.77936964135498965</v>
      </c>
      <c r="C10">
        <f t="shared" si="0"/>
        <v>0.74223478187411707</v>
      </c>
      <c r="D10">
        <f t="shared" si="1"/>
        <v>3.7134859480872584E-2</v>
      </c>
      <c r="E10">
        <f t="shared" si="2"/>
        <v>1.3789977886641525E-3</v>
      </c>
    </row>
    <row r="11" spans="1:8" x14ac:dyDescent="0.25">
      <c r="A11">
        <v>1.0374331050000001</v>
      </c>
      <c r="B11">
        <v>0.66504467300870029</v>
      </c>
      <c r="C11">
        <f t="shared" si="0"/>
        <v>0.70498092966699732</v>
      </c>
      <c r="D11">
        <f t="shared" si="1"/>
        <v>-3.9936256658297031E-2</v>
      </c>
      <c r="E11">
        <f t="shared" si="2"/>
        <v>1.594904595877374E-3</v>
      </c>
    </row>
    <row r="12" spans="1:8" x14ac:dyDescent="0.25">
      <c r="A12">
        <v>1.133626421</v>
      </c>
      <c r="B12">
        <v>0.6539388189407751</v>
      </c>
      <c r="C12">
        <f t="shared" si="0"/>
        <v>0.65397044926171455</v>
      </c>
      <c r="D12">
        <f t="shared" si="1"/>
        <v>-3.1630320939446399E-5</v>
      </c>
      <c r="E12">
        <f t="shared" si="2"/>
        <v>1.0004772027323812E-9</v>
      </c>
    </row>
    <row r="13" spans="1:8" x14ac:dyDescent="0.25">
      <c r="A13">
        <v>1.2298197370000001</v>
      </c>
      <c r="B13">
        <v>0.5546394178628552</v>
      </c>
      <c r="C13">
        <f t="shared" si="0"/>
        <v>0.59332926651255569</v>
      </c>
      <c r="D13">
        <f t="shared" si="1"/>
        <v>-3.8689848649700487E-2</v>
      </c>
      <c r="E13">
        <f t="shared" si="2"/>
        <v>1.4969043885367306E-3</v>
      </c>
    </row>
    <row r="14" spans="1:8" x14ac:dyDescent="0.25">
      <c r="A14">
        <v>1.3260130530000001</v>
      </c>
      <c r="B14">
        <v>0.48277800918804475</v>
      </c>
      <c r="C14">
        <f t="shared" si="0"/>
        <v>0.52706319106926414</v>
      </c>
      <c r="D14">
        <f t="shared" si="1"/>
        <v>-4.4285181881219382E-2</v>
      </c>
      <c r="E14">
        <f t="shared" si="2"/>
        <v>1.9611773342526812E-3</v>
      </c>
    </row>
    <row r="15" spans="1:8" x14ac:dyDescent="0.25">
      <c r="A15">
        <v>1.422206369</v>
      </c>
      <c r="B15">
        <v>0.44358087718360267</v>
      </c>
      <c r="C15">
        <f t="shared" si="0"/>
        <v>0.45880777350235696</v>
      </c>
      <c r="D15">
        <f t="shared" si="1"/>
        <v>-1.5226896318754291E-2</v>
      </c>
      <c r="E15">
        <f t="shared" si="2"/>
        <v>2.3185837150209297E-4</v>
      </c>
    </row>
    <row r="16" spans="1:8" x14ac:dyDescent="0.25">
      <c r="A16">
        <v>1.5183996849999999</v>
      </c>
      <c r="B16">
        <v>0.36975961190857015</v>
      </c>
      <c r="C16">
        <f t="shared" si="0"/>
        <v>0.39164974330408303</v>
      </c>
      <c r="D16">
        <f t="shared" si="1"/>
        <v>-2.189013139551288E-2</v>
      </c>
      <c r="E16">
        <f t="shared" si="2"/>
        <v>4.7917785251281865E-4</v>
      </c>
    </row>
    <row r="17" spans="1:5" x14ac:dyDescent="0.25">
      <c r="A17">
        <v>1.614593001</v>
      </c>
      <c r="B17">
        <v>0.30247120196761124</v>
      </c>
      <c r="C17">
        <f t="shared" si="0"/>
        <v>0.32802427289311253</v>
      </c>
      <c r="D17">
        <f t="shared" si="1"/>
        <v>-2.5553070925501298E-2</v>
      </c>
      <c r="E17">
        <f t="shared" si="2"/>
        <v>6.529594337236998E-4</v>
      </c>
    </row>
    <row r="18" spans="1:5" x14ac:dyDescent="0.25">
      <c r="A18">
        <v>1.7107863170000002</v>
      </c>
      <c r="B18">
        <v>0.2489017882282071</v>
      </c>
      <c r="C18">
        <f t="shared" si="0"/>
        <v>0.26968353505684056</v>
      </c>
      <c r="D18">
        <f t="shared" si="1"/>
        <v>-2.0781746828633457E-2</v>
      </c>
      <c r="E18">
        <f t="shared" si="2"/>
        <v>4.3188100124941676E-4</v>
      </c>
    </row>
    <row r="19" spans="1:5" x14ac:dyDescent="0.25">
      <c r="A19">
        <v>1.8069796330000001</v>
      </c>
      <c r="B19">
        <v>0.21493094049102399</v>
      </c>
      <c r="C19">
        <f t="shared" si="0"/>
        <v>0.21772538928444604</v>
      </c>
      <c r="D19">
        <f t="shared" si="1"/>
        <v>-2.7944487934220552E-3</v>
      </c>
      <c r="E19">
        <f t="shared" si="2"/>
        <v>7.8089440590579808E-6</v>
      </c>
    </row>
    <row r="20" spans="1:5" x14ac:dyDescent="0.25">
      <c r="A20">
        <v>1.903172949</v>
      </c>
      <c r="B20">
        <v>0.17246738081954507</v>
      </c>
      <c r="C20">
        <f t="shared" si="0"/>
        <v>0.17266701196342404</v>
      </c>
      <c r="D20">
        <f t="shared" si="1"/>
        <v>-1.9963114387896996E-4</v>
      </c>
      <c r="E20">
        <f t="shared" si="2"/>
        <v>3.9852593606426005E-8</v>
      </c>
    </row>
    <row r="21" spans="1:5" x14ac:dyDescent="0.25">
      <c r="A21">
        <v>1.9993662650000001</v>
      </c>
      <c r="B21">
        <v>0.12935053561465881</v>
      </c>
      <c r="C21">
        <f t="shared" si="0"/>
        <v>0.13454687542291163</v>
      </c>
      <c r="D21">
        <f t="shared" si="1"/>
        <v>-5.19633980825282E-3</v>
      </c>
      <c r="E21">
        <f t="shared" si="2"/>
        <v>2.7001947402832954E-5</v>
      </c>
    </row>
    <row r="22" spans="1:5" x14ac:dyDescent="0.25">
      <c r="A22">
        <v>2.0955595810000003</v>
      </c>
      <c r="B22">
        <v>0.10648554194540094</v>
      </c>
      <c r="C22">
        <f t="shared" si="0"/>
        <v>0.10303930781434559</v>
      </c>
      <c r="D22">
        <f t="shared" si="1"/>
        <v>3.4462341310553535E-3</v>
      </c>
      <c r="E22">
        <f t="shared" si="2"/>
        <v>1.1876529686050847E-5</v>
      </c>
    </row>
    <row r="23" spans="1:5" x14ac:dyDescent="0.25">
      <c r="A23">
        <v>2.1917528969999998</v>
      </c>
      <c r="B23">
        <v>7.1208123141403082E-2</v>
      </c>
      <c r="C23">
        <f t="shared" si="0"/>
        <v>7.7568320972491681E-2</v>
      </c>
      <c r="D23">
        <f t="shared" si="1"/>
        <v>-6.3601978310885987E-3</v>
      </c>
      <c r="E23">
        <f t="shared" si="2"/>
        <v>4.0452116450584119E-5</v>
      </c>
    </row>
    <row r="24" spans="1:5" x14ac:dyDescent="0.25">
      <c r="A24">
        <v>2.2879462129999997</v>
      </c>
      <c r="B24">
        <v>6.1408840140292568E-2</v>
      </c>
      <c r="C24">
        <f t="shared" si="0"/>
        <v>5.7410778876094602E-2</v>
      </c>
      <c r="D24">
        <f t="shared" si="1"/>
        <v>3.9980612641979663E-3</v>
      </c>
      <c r="E24">
        <f t="shared" si="2"/>
        <v>1.5984493872280242E-5</v>
      </c>
    </row>
    <row r="25" spans="1:5" x14ac:dyDescent="0.25">
      <c r="A25">
        <v>2.3841395289999996</v>
      </c>
      <c r="B25">
        <v>4.5729987338515743E-2</v>
      </c>
      <c r="C25">
        <f t="shared" si="0"/>
        <v>4.1782635837013221E-2</v>
      </c>
      <c r="D25">
        <f t="shared" si="1"/>
        <v>3.9473515015025218E-3</v>
      </c>
      <c r="E25">
        <f t="shared" si="2"/>
        <v>1.5581583876414213E-5</v>
      </c>
    </row>
    <row r="26" spans="1:5" x14ac:dyDescent="0.25">
      <c r="A26">
        <v>2.480332845</v>
      </c>
      <c r="B26">
        <v>3.1357705603553651E-2</v>
      </c>
      <c r="C26">
        <f t="shared" si="0"/>
        <v>2.990537078780113E-2</v>
      </c>
      <c r="D26">
        <f t="shared" si="1"/>
        <v>1.4523348157525207E-3</v>
      </c>
      <c r="E26">
        <f t="shared" si="2"/>
        <v>2.109276417046908E-6</v>
      </c>
    </row>
    <row r="27" spans="1:5" x14ac:dyDescent="0.25">
      <c r="A27">
        <v>2.5765261610000003</v>
      </c>
      <c r="B27">
        <v>2.6784706869702076E-2</v>
      </c>
      <c r="C27">
        <f t="shared" si="0"/>
        <v>2.1052527290327392E-2</v>
      </c>
      <c r="D27">
        <f t="shared" si="1"/>
        <v>5.7321795793746841E-3</v>
      </c>
      <c r="E27">
        <f t="shared" si="2"/>
        <v>3.2857882730200128E-5</v>
      </c>
    </row>
    <row r="28" spans="1:5" x14ac:dyDescent="0.25">
      <c r="A28">
        <v>2.6727194770000002</v>
      </c>
      <c r="B28">
        <v>2.0905137069035767E-2</v>
      </c>
      <c r="C28">
        <f t="shared" si="0"/>
        <v>1.4578264865744246E-2</v>
      </c>
      <c r="D28">
        <f t="shared" si="1"/>
        <v>6.3268722032915215E-3</v>
      </c>
      <c r="E28">
        <f t="shared" si="2"/>
        <v>4.0029311876782909E-5</v>
      </c>
    </row>
    <row r="29" spans="1:5" x14ac:dyDescent="0.25">
      <c r="A29">
        <v>2.7689127930000001</v>
      </c>
      <c r="B29">
        <v>1.2412425134739986E-2</v>
      </c>
      <c r="C29">
        <f t="shared" si="0"/>
        <v>9.9310191049854814E-3</v>
      </c>
      <c r="D29">
        <f t="shared" si="1"/>
        <v>2.4814060297545047E-3</v>
      </c>
      <c r="E29">
        <f t="shared" si="2"/>
        <v>6.1573758845020134E-6</v>
      </c>
    </row>
    <row r="30" spans="1:5" x14ac:dyDescent="0.25">
      <c r="A30">
        <v>2.8651061090000001</v>
      </c>
      <c r="B30">
        <v>1.1105854067925251E-2</v>
      </c>
      <c r="C30">
        <f t="shared" si="0"/>
        <v>6.6558524349200725E-3</v>
      </c>
      <c r="D30">
        <f t="shared" si="1"/>
        <v>4.4500016330051781E-3</v>
      </c>
      <c r="E30">
        <f t="shared" si="2"/>
        <v>1.9802514533748752E-5</v>
      </c>
    </row>
    <row r="31" spans="1:5" x14ac:dyDescent="0.25">
      <c r="A31">
        <v>2.961299425</v>
      </c>
      <c r="B31">
        <v>7.8394264008884128E-3</v>
      </c>
      <c r="C31">
        <f t="shared" si="0"/>
        <v>4.389016278593354E-3</v>
      </c>
      <c r="D31">
        <f t="shared" si="1"/>
        <v>3.4504101222950587E-3</v>
      </c>
      <c r="E31">
        <f t="shared" si="2"/>
        <v>1.1905330012036202E-5</v>
      </c>
    </row>
    <row r="32" spans="1:5" x14ac:dyDescent="0.25">
      <c r="A32">
        <v>3.0574927410000003</v>
      </c>
      <c r="B32">
        <v>9.7992830011105151E-3</v>
      </c>
      <c r="C32">
        <f t="shared" si="0"/>
        <v>2.8478219166385736E-3</v>
      </c>
      <c r="D32">
        <f t="shared" si="1"/>
        <v>6.9514610844719415E-3</v>
      </c>
      <c r="E32">
        <f t="shared" si="2"/>
        <v>4.832281120892782E-5</v>
      </c>
    </row>
    <row r="33" spans="1:5" x14ac:dyDescent="0.25">
      <c r="A33">
        <v>3.1536860570000003</v>
      </c>
      <c r="B33">
        <v>3.9197132004442064E-3</v>
      </c>
      <c r="C33">
        <f t="shared" si="0"/>
        <v>1.8183029034751991E-3</v>
      </c>
      <c r="D33">
        <f t="shared" si="1"/>
        <v>2.1014102969690073E-3</v>
      </c>
      <c r="E33">
        <f t="shared" si="2"/>
        <v>4.4159252362073715E-6</v>
      </c>
    </row>
    <row r="34" spans="1:5" x14ac:dyDescent="0.25">
      <c r="A34">
        <v>3.2498793730000002</v>
      </c>
      <c r="B34">
        <v>3.2664276670368387E-3</v>
      </c>
      <c r="C34">
        <f t="shared" si="0"/>
        <v>1.1424850867696348E-3</v>
      </c>
      <c r="D34">
        <f t="shared" si="1"/>
        <v>2.1239425802672038E-3</v>
      </c>
      <c r="E34">
        <f t="shared" si="2"/>
        <v>4.5111320842721074E-6</v>
      </c>
    </row>
    <row r="35" spans="1:5" x14ac:dyDescent="0.25">
      <c r="A35">
        <v>3.3460726890000001</v>
      </c>
      <c r="B35">
        <v>5.2262842672589419E-3</v>
      </c>
      <c r="C35">
        <f t="shared" si="0"/>
        <v>7.0645854278796527E-4</v>
      </c>
      <c r="D35">
        <f t="shared" si="1"/>
        <v>4.5198257244709761E-3</v>
      </c>
      <c r="E35">
        <f t="shared" si="2"/>
        <v>2.0428824579589584E-5</v>
      </c>
    </row>
    <row r="36" spans="1:5" x14ac:dyDescent="0.25">
      <c r="A36">
        <v>3.442266005</v>
      </c>
      <c r="B36">
        <v>0</v>
      </c>
      <c r="C36">
        <f t="shared" si="0"/>
        <v>4.2992592748172228E-4</v>
      </c>
      <c r="D36">
        <f t="shared" si="1"/>
        <v>-4.2992592748172228E-4</v>
      </c>
      <c r="E36">
        <f t="shared" si="2"/>
        <v>1.8483630312101913E-7</v>
      </c>
    </row>
    <row r="37" spans="1:5" x14ac:dyDescent="0.25">
      <c r="A37">
        <v>3.5384593210000004</v>
      </c>
      <c r="B37">
        <v>6.5328553340736773E-4</v>
      </c>
      <c r="C37">
        <f t="shared" si="0"/>
        <v>2.5750677340515319E-4</v>
      </c>
      <c r="D37">
        <f t="shared" si="1"/>
        <v>3.9577876000221454E-4</v>
      </c>
      <c r="E37">
        <f t="shared" si="2"/>
        <v>1.5664082686889054E-7</v>
      </c>
    </row>
    <row r="38" spans="1:5" x14ac:dyDescent="0.25">
      <c r="A38">
        <v>3.6346526370000003</v>
      </c>
      <c r="B38">
        <v>6.5328553340736773E-4</v>
      </c>
      <c r="C38">
        <f t="shared" si="0"/>
        <v>1.5180548094254802E-4</v>
      </c>
      <c r="D38">
        <f t="shared" si="1"/>
        <v>5.0148005246481971E-4</v>
      </c>
      <c r="E38">
        <f t="shared" si="2"/>
        <v>2.5148224302011831E-7</v>
      </c>
    </row>
    <row r="39" spans="1:5" x14ac:dyDescent="0.25">
      <c r="A39">
        <v>3.7308459530000002</v>
      </c>
      <c r="B39">
        <v>0</v>
      </c>
      <c r="C39">
        <f t="shared" si="0"/>
        <v>8.8085486321946683E-5</v>
      </c>
      <c r="D39">
        <f t="shared" si="1"/>
        <v>-8.8085486321946683E-5</v>
      </c>
      <c r="E39">
        <f t="shared" si="2"/>
        <v>7.7590529005738571E-9</v>
      </c>
    </row>
    <row r="40" spans="1:5" x14ac:dyDescent="0.25">
      <c r="A40">
        <v>3.8270392690000001</v>
      </c>
      <c r="B40">
        <v>6.5328553340736773E-4</v>
      </c>
      <c r="C40">
        <f t="shared" si="0"/>
        <v>5.0309786397991955E-5</v>
      </c>
      <c r="D40">
        <f t="shared" si="1"/>
        <v>6.0297574700937575E-4</v>
      </c>
      <c r="E40">
        <f t="shared" si="2"/>
        <v>3.635797514815147E-7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F2E7-A148-421C-B015-228DEC3B611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7.9875077525000004E-2</v>
      </c>
      <c r="B1">
        <v>2.100253474688913E-2</v>
      </c>
      <c r="C1">
        <f>$H$3*(1+$H$1)*(A1^($H$1))*EXP(-$H$3*(A1^(1+$H$1)))</f>
        <v>8.8191208790804929E-2</v>
      </c>
      <c r="D1">
        <f>B1-C1</f>
        <v>-6.7188674043915791E-2</v>
      </c>
      <c r="E1">
        <f>D1^2</f>
        <v>4.5143179197795636E-3</v>
      </c>
      <c r="G1" t="s">
        <v>0</v>
      </c>
      <c r="H1">
        <v>1.16046579838548</v>
      </c>
    </row>
    <row r="2" spans="1:8" x14ac:dyDescent="0.25">
      <c r="A2">
        <v>0.169638102575</v>
      </c>
      <c r="B2">
        <v>0.13931681382103123</v>
      </c>
      <c r="C2">
        <f t="shared" ref="C2:C40" si="0">$H$3*(1+$H$1)*(A2^($H$1))*EXP(-$H$3*(A2^(1+$H$1)))</f>
        <v>0.2085533719753985</v>
      </c>
      <c r="D2">
        <f t="shared" ref="D2:D40" si="1">B2-C2</f>
        <v>-6.9236558154367273E-2</v>
      </c>
      <c r="E2">
        <f t="shared" ref="E2:E40" si="2">D2^2</f>
        <v>4.7937009850630811E-3</v>
      </c>
    </row>
    <row r="3" spans="1:8" x14ac:dyDescent="0.25">
      <c r="A3">
        <v>0.25940112762500001</v>
      </c>
      <c r="B3">
        <v>0.3227389506105296</v>
      </c>
      <c r="C3">
        <f t="shared" si="0"/>
        <v>0.33296108671949631</v>
      </c>
      <c r="D3">
        <f t="shared" si="1"/>
        <v>-1.0222136108966717E-2</v>
      </c>
      <c r="E3">
        <f t="shared" si="2"/>
        <v>1.0449206663024122E-4</v>
      </c>
      <c r="G3" t="s">
        <v>1</v>
      </c>
      <c r="H3">
        <f>(_xlfn.GAMMA((2+$H$1)/(1+$H$1)))^(1+$H$1)</f>
        <v>0.76915298257080489</v>
      </c>
    </row>
    <row r="4" spans="1:8" x14ac:dyDescent="0.25">
      <c r="A4">
        <v>0.34916415267500001</v>
      </c>
      <c r="B4">
        <v>0.46905660934719057</v>
      </c>
      <c r="C4">
        <f t="shared" si="0"/>
        <v>0.45275583400269376</v>
      </c>
      <c r="D4">
        <f t="shared" si="1"/>
        <v>1.630077534449681E-2</v>
      </c>
      <c r="E4">
        <f t="shared" si="2"/>
        <v>2.6571527683175508E-4</v>
      </c>
    </row>
    <row r="5" spans="1:8" x14ac:dyDescent="0.25">
      <c r="A5">
        <v>0.43892717772500001</v>
      </c>
      <c r="B5">
        <v>0.60767333867665885</v>
      </c>
      <c r="C5">
        <f t="shared" si="0"/>
        <v>0.56127968530897066</v>
      </c>
      <c r="D5">
        <f t="shared" si="1"/>
        <v>4.6393653367688192E-2</v>
      </c>
      <c r="E5">
        <f t="shared" si="2"/>
        <v>2.1523710728012057E-3</v>
      </c>
      <c r="G5" t="s">
        <v>2</v>
      </c>
      <c r="H5">
        <f>SUM(E1:E40)</f>
        <v>3.9330694289475984E-2</v>
      </c>
    </row>
    <row r="6" spans="1:8" x14ac:dyDescent="0.25">
      <c r="A6">
        <v>0.52869020277500001</v>
      </c>
      <c r="B6">
        <v>0.73718896961580838</v>
      </c>
      <c r="C6">
        <f t="shared" si="0"/>
        <v>0.6532107751296834</v>
      </c>
      <c r="D6">
        <f t="shared" si="1"/>
        <v>8.397819448612498E-2</v>
      </c>
      <c r="E6">
        <f t="shared" si="2"/>
        <v>7.0523371491494321E-3</v>
      </c>
    </row>
    <row r="7" spans="1:8" x14ac:dyDescent="0.25">
      <c r="A7">
        <v>0.61845322782500012</v>
      </c>
      <c r="B7">
        <v>0.79249564444928311</v>
      </c>
      <c r="C7">
        <f t="shared" si="0"/>
        <v>0.72459575680427446</v>
      </c>
      <c r="D7">
        <f t="shared" si="1"/>
        <v>6.789988764500865E-2</v>
      </c>
      <c r="E7">
        <f t="shared" si="2"/>
        <v>4.6103947422047979E-3</v>
      </c>
    </row>
    <row r="8" spans="1:8" x14ac:dyDescent="0.25">
      <c r="A8">
        <v>0.70821625287500001</v>
      </c>
      <c r="B8">
        <v>0.8036969963142907</v>
      </c>
      <c r="C8">
        <f t="shared" si="0"/>
        <v>0.77296924392344957</v>
      </c>
      <c r="D8">
        <f t="shared" si="1"/>
        <v>3.0727752390841134E-2</v>
      </c>
      <c r="E8">
        <f t="shared" si="2"/>
        <v>9.4419476699284302E-4</v>
      </c>
    </row>
    <row r="9" spans="1:8" x14ac:dyDescent="0.25">
      <c r="A9">
        <v>0.79797927792500012</v>
      </c>
      <c r="B9">
        <v>0.84990257275744674</v>
      </c>
      <c r="C9">
        <f t="shared" si="0"/>
        <v>0.79741309535633842</v>
      </c>
      <c r="D9">
        <f t="shared" si="1"/>
        <v>5.248947740110832E-2</v>
      </c>
      <c r="E9">
        <f t="shared" si="2"/>
        <v>2.755145237841461E-3</v>
      </c>
    </row>
    <row r="10" spans="1:8" x14ac:dyDescent="0.25">
      <c r="A10">
        <v>0.88774230297500001</v>
      </c>
      <c r="B10">
        <v>0.80509716529741659</v>
      </c>
      <c r="C10">
        <f t="shared" si="0"/>
        <v>0.79850863190081967</v>
      </c>
      <c r="D10">
        <f t="shared" si="1"/>
        <v>6.5885333965969295E-3</v>
      </c>
      <c r="E10">
        <f t="shared" si="2"/>
        <v>4.3408772318073069E-5</v>
      </c>
    </row>
    <row r="11" spans="1:8" x14ac:dyDescent="0.25">
      <c r="A11">
        <v>0.97750532802500012</v>
      </c>
      <c r="B11">
        <v>0.80859758775523149</v>
      </c>
      <c r="C11">
        <f t="shared" si="0"/>
        <v>0.77817474921274199</v>
      </c>
      <c r="D11">
        <f t="shared" si="1"/>
        <v>3.0422838542489505E-2</v>
      </c>
      <c r="E11">
        <f t="shared" si="2"/>
        <v>9.2554910498238499E-4</v>
      </c>
    </row>
    <row r="12" spans="1:8" x14ac:dyDescent="0.25">
      <c r="A12">
        <v>1.0672683530750002</v>
      </c>
      <c r="B12">
        <v>0.74138947656518628</v>
      </c>
      <c r="C12">
        <f t="shared" si="0"/>
        <v>0.73940786565424821</v>
      </c>
      <c r="D12">
        <f t="shared" si="1"/>
        <v>1.9816109109380697E-3</v>
      </c>
      <c r="E12">
        <f t="shared" si="2"/>
        <v>3.9267818023488066E-6</v>
      </c>
    </row>
    <row r="13" spans="1:8" x14ac:dyDescent="0.25">
      <c r="A13">
        <v>1.1570313781250001</v>
      </c>
      <c r="B13">
        <v>0.65387891511981489</v>
      </c>
      <c r="C13">
        <f t="shared" si="0"/>
        <v>0.68595404300507778</v>
      </c>
      <c r="D13">
        <f t="shared" si="1"/>
        <v>-3.20751278852629E-2</v>
      </c>
      <c r="E13">
        <f t="shared" si="2"/>
        <v>1.0288138288559697E-3</v>
      </c>
    </row>
    <row r="14" spans="1:8" x14ac:dyDescent="0.25">
      <c r="A14">
        <v>1.246794403175</v>
      </c>
      <c r="B14">
        <v>0.5593675087588138</v>
      </c>
      <c r="C14">
        <f t="shared" si="0"/>
        <v>0.62195102327591179</v>
      </c>
      <c r="D14">
        <f t="shared" si="1"/>
        <v>-6.2583514517097982E-2</v>
      </c>
      <c r="E14">
        <f t="shared" si="2"/>
        <v>3.916696289311814E-3</v>
      </c>
    </row>
    <row r="15" spans="1:8" x14ac:dyDescent="0.25">
      <c r="A15">
        <v>1.3365574282249999</v>
      </c>
      <c r="B15">
        <v>0.50546100290846507</v>
      </c>
      <c r="C15">
        <f t="shared" si="0"/>
        <v>0.55157885039179888</v>
      </c>
      <c r="D15">
        <f t="shared" si="1"/>
        <v>-4.6117847483333807E-2</v>
      </c>
      <c r="E15">
        <f t="shared" si="2"/>
        <v>2.1268558564960386E-3</v>
      </c>
    </row>
    <row r="16" spans="1:8" x14ac:dyDescent="0.25">
      <c r="A16">
        <v>1.4263204532750002</v>
      </c>
      <c r="B16">
        <v>0.47535736977125731</v>
      </c>
      <c r="C16">
        <f t="shared" si="0"/>
        <v>0.47875304700148463</v>
      </c>
      <c r="D16">
        <f t="shared" si="1"/>
        <v>-3.395677230227323E-3</v>
      </c>
      <c r="E16">
        <f t="shared" si="2"/>
        <v>1.1530623851884304E-5</v>
      </c>
    </row>
    <row r="17" spans="1:5" x14ac:dyDescent="0.25">
      <c r="A17">
        <v>1.5160834783250001</v>
      </c>
      <c r="B17">
        <v>0.35564292171398926</v>
      </c>
      <c r="C17">
        <f t="shared" si="0"/>
        <v>0.40688544467439558</v>
      </c>
      <c r="D17">
        <f t="shared" si="1"/>
        <v>-5.1242522960406323E-2</v>
      </c>
      <c r="E17">
        <f t="shared" si="2"/>
        <v>2.625796159347769E-3</v>
      </c>
    </row>
    <row r="18" spans="1:5" x14ac:dyDescent="0.25">
      <c r="A18">
        <v>1.605846503375</v>
      </c>
      <c r="B18">
        <v>0.31643819018646285</v>
      </c>
      <c r="C18">
        <f t="shared" si="0"/>
        <v>0.33872659961915386</v>
      </c>
      <c r="D18">
        <f t="shared" si="1"/>
        <v>-2.2288409432691003E-2</v>
      </c>
      <c r="E18">
        <f t="shared" si="2"/>
        <v>4.9677319503926929E-4</v>
      </c>
    </row>
    <row r="19" spans="1:5" x14ac:dyDescent="0.25">
      <c r="A19">
        <v>1.6956095284250001</v>
      </c>
      <c r="B19">
        <v>0.25273050145423254</v>
      </c>
      <c r="C19">
        <f t="shared" si="0"/>
        <v>0.27629224895435678</v>
      </c>
      <c r="D19">
        <f t="shared" si="1"/>
        <v>-2.3561747500124242E-2</v>
      </c>
      <c r="E19">
        <f t="shared" si="2"/>
        <v>5.5515594525961092E-4</v>
      </c>
    </row>
    <row r="20" spans="1:5" x14ac:dyDescent="0.25">
      <c r="A20">
        <v>1.7853725534750002</v>
      </c>
      <c r="B20">
        <v>0.2219267838254618</v>
      </c>
      <c r="C20">
        <f t="shared" si="0"/>
        <v>0.22086622006068513</v>
      </c>
      <c r="D20">
        <f t="shared" si="1"/>
        <v>1.060563764776673E-3</v>
      </c>
      <c r="E20">
        <f t="shared" si="2"/>
        <v>1.1247954991572702E-6</v>
      </c>
    </row>
    <row r="21" spans="1:5" x14ac:dyDescent="0.25">
      <c r="A21">
        <v>1.8751355785250001</v>
      </c>
      <c r="B21">
        <v>0.16521994000886114</v>
      </c>
      <c r="C21">
        <f t="shared" si="0"/>
        <v>0.1730648408484467</v>
      </c>
      <c r="D21">
        <f t="shared" si="1"/>
        <v>-7.8449008395855557E-3</v>
      </c>
      <c r="E21">
        <f t="shared" si="2"/>
        <v>6.1542469182930152E-5</v>
      </c>
    </row>
    <row r="22" spans="1:5" x14ac:dyDescent="0.25">
      <c r="A22">
        <v>1.9648986035750002</v>
      </c>
      <c r="B22">
        <v>0.13021571543071259</v>
      </c>
      <c r="C22">
        <f t="shared" si="0"/>
        <v>0.13294381665695687</v>
      </c>
      <c r="D22">
        <f t="shared" si="1"/>
        <v>-2.7281012262442839E-3</v>
      </c>
      <c r="E22">
        <f t="shared" si="2"/>
        <v>7.4425363006355655E-6</v>
      </c>
    </row>
    <row r="23" spans="1:5" x14ac:dyDescent="0.25">
      <c r="A23">
        <v>2.0546616286250003</v>
      </c>
      <c r="B23">
        <v>0.10291242025975673</v>
      </c>
      <c r="C23">
        <f t="shared" si="0"/>
        <v>0.1001277108912024</v>
      </c>
      <c r="D23">
        <f t="shared" si="1"/>
        <v>2.7847093685543362E-3</v>
      </c>
      <c r="E23">
        <f t="shared" si="2"/>
        <v>7.7546062673142893E-6</v>
      </c>
    </row>
    <row r="24" spans="1:5" x14ac:dyDescent="0.25">
      <c r="A24">
        <v>2.1444246536750002</v>
      </c>
      <c r="B24">
        <v>7.8409463055052753E-2</v>
      </c>
      <c r="C24">
        <f t="shared" si="0"/>
        <v>7.3944051092431101E-2</v>
      </c>
      <c r="D24">
        <f t="shared" si="1"/>
        <v>4.4654119626216515E-3</v>
      </c>
      <c r="E24">
        <f t="shared" si="2"/>
        <v>1.9939903995924551E-5</v>
      </c>
    </row>
    <row r="25" spans="1:5" x14ac:dyDescent="0.25">
      <c r="A25">
        <v>2.2341876787250001</v>
      </c>
      <c r="B25">
        <v>5.810701279972659E-2</v>
      </c>
      <c r="C25">
        <f t="shared" si="0"/>
        <v>5.3547823587643671E-2</v>
      </c>
      <c r="D25">
        <f t="shared" si="1"/>
        <v>4.5591892120829189E-3</v>
      </c>
      <c r="E25">
        <f t="shared" si="2"/>
        <v>2.0786206271573268E-5</v>
      </c>
    </row>
    <row r="26" spans="1:5" x14ac:dyDescent="0.25">
      <c r="A26">
        <v>2.323950703775</v>
      </c>
      <c r="B26">
        <v>4.0604900510652318E-2</v>
      </c>
      <c r="C26">
        <f t="shared" si="0"/>
        <v>3.8026760311060538E-2</v>
      </c>
      <c r="D26">
        <f t="shared" si="1"/>
        <v>2.5781401995917802E-3</v>
      </c>
      <c r="E26">
        <f t="shared" si="2"/>
        <v>6.6468068887511446E-6</v>
      </c>
    </row>
    <row r="27" spans="1:5" x14ac:dyDescent="0.25">
      <c r="A27">
        <v>2.4137137288250003</v>
      </c>
      <c r="B27">
        <v>3.3604055595022608E-2</v>
      </c>
      <c r="C27">
        <f t="shared" si="0"/>
        <v>2.6482488260746829E-2</v>
      </c>
      <c r="D27">
        <f t="shared" si="1"/>
        <v>7.1215673342757795E-3</v>
      </c>
      <c r="E27">
        <f t="shared" si="2"/>
        <v>5.0716721296623829E-5</v>
      </c>
    </row>
    <row r="28" spans="1:5" x14ac:dyDescent="0.25">
      <c r="A28">
        <v>2.5034767538750002</v>
      </c>
      <c r="B28">
        <v>2.1702619238452101E-2</v>
      </c>
      <c r="C28">
        <f t="shared" si="0"/>
        <v>1.8086645911580292E-2</v>
      </c>
      <c r="D28">
        <f t="shared" si="1"/>
        <v>3.6159733268718089E-3</v>
      </c>
      <c r="E28">
        <f t="shared" si="2"/>
        <v>1.3075263100648377E-5</v>
      </c>
    </row>
    <row r="29" spans="1:5" x14ac:dyDescent="0.25">
      <c r="A29">
        <v>2.5932397789250001</v>
      </c>
      <c r="B29">
        <v>2.100253474688913E-2</v>
      </c>
      <c r="C29">
        <f t="shared" si="0"/>
        <v>1.2114082841061649E-2</v>
      </c>
      <c r="D29">
        <f t="shared" si="1"/>
        <v>8.8884519058274811E-3</v>
      </c>
      <c r="E29">
        <f t="shared" si="2"/>
        <v>7.9004577282208179E-5</v>
      </c>
    </row>
    <row r="30" spans="1:5" x14ac:dyDescent="0.25">
      <c r="A30">
        <v>2.6830028039750005</v>
      </c>
      <c r="B30">
        <v>1.3301605339696449E-2</v>
      </c>
      <c r="C30">
        <f t="shared" si="0"/>
        <v>7.9571235539168898E-3</v>
      </c>
      <c r="D30">
        <f t="shared" si="1"/>
        <v>5.3444817857795594E-3</v>
      </c>
      <c r="E30">
        <f t="shared" si="2"/>
        <v>2.8563485558529467E-5</v>
      </c>
    </row>
    <row r="31" spans="1:5" x14ac:dyDescent="0.25">
      <c r="A31">
        <v>2.7727658290250004</v>
      </c>
      <c r="B31">
        <v>9.1010983903186231E-3</v>
      </c>
      <c r="C31">
        <f t="shared" si="0"/>
        <v>5.1256794183943662E-3</v>
      </c>
      <c r="D31">
        <f t="shared" si="1"/>
        <v>3.9754189719242569E-3</v>
      </c>
      <c r="E31">
        <f t="shared" si="2"/>
        <v>1.5803956002335317E-5</v>
      </c>
    </row>
    <row r="32" spans="1:5" x14ac:dyDescent="0.25">
      <c r="A32">
        <v>2.8625288540750002</v>
      </c>
      <c r="B32">
        <v>1.1201351865007536E-2</v>
      </c>
      <c r="C32">
        <f t="shared" si="0"/>
        <v>3.2379539044505496E-3</v>
      </c>
      <c r="D32">
        <f t="shared" si="1"/>
        <v>7.9633979605569869E-3</v>
      </c>
      <c r="E32">
        <f t="shared" si="2"/>
        <v>6.3415707078203173E-5</v>
      </c>
    </row>
    <row r="33" spans="1:5" x14ac:dyDescent="0.25">
      <c r="A33">
        <v>2.9522918791250001</v>
      </c>
      <c r="B33">
        <v>4.200506949377826E-3</v>
      </c>
      <c r="C33">
        <f t="shared" si="0"/>
        <v>2.0058833072435027E-3</v>
      </c>
      <c r="D33">
        <f t="shared" si="1"/>
        <v>2.1946236421343233E-3</v>
      </c>
      <c r="E33">
        <f t="shared" si="2"/>
        <v>4.8163729306149222E-6</v>
      </c>
    </row>
    <row r="34" spans="1:5" x14ac:dyDescent="0.25">
      <c r="A34">
        <v>3.042054904175</v>
      </c>
      <c r="B34">
        <v>4.200506949377826E-3</v>
      </c>
      <c r="C34">
        <f t="shared" si="0"/>
        <v>1.2185587437045186E-3</v>
      </c>
      <c r="D34">
        <f t="shared" si="1"/>
        <v>2.9819482056733073E-3</v>
      </c>
      <c r="E34">
        <f t="shared" si="2"/>
        <v>8.8920151013182576E-6</v>
      </c>
    </row>
    <row r="35" spans="1:5" x14ac:dyDescent="0.25">
      <c r="A35">
        <v>3.1318179292249999</v>
      </c>
      <c r="B35">
        <v>4.200506949377826E-3</v>
      </c>
      <c r="C35">
        <f t="shared" si="0"/>
        <v>7.2590788106629146E-4</v>
      </c>
      <c r="D35">
        <f t="shared" si="1"/>
        <v>3.4745990683115345E-3</v>
      </c>
      <c r="E35">
        <f t="shared" si="2"/>
        <v>1.2072838685511384E-5</v>
      </c>
    </row>
    <row r="36" spans="1:5" x14ac:dyDescent="0.25">
      <c r="A36">
        <v>3.2215809542750002</v>
      </c>
      <c r="B36">
        <v>1.400168983125942E-3</v>
      </c>
      <c r="C36">
        <f t="shared" si="0"/>
        <v>4.2403125296798646E-4</v>
      </c>
      <c r="D36">
        <f t="shared" si="1"/>
        <v>9.7613773015795555E-4</v>
      </c>
      <c r="E36">
        <f t="shared" si="2"/>
        <v>9.5284486823792566E-7</v>
      </c>
    </row>
    <row r="37" spans="1:5" x14ac:dyDescent="0.25">
      <c r="A37">
        <v>3.3113439793250006</v>
      </c>
      <c r="B37">
        <v>7.0008449156297101E-4</v>
      </c>
      <c r="C37">
        <f t="shared" si="0"/>
        <v>2.4287424747701419E-4</v>
      </c>
      <c r="D37">
        <f t="shared" si="1"/>
        <v>4.5721024408595684E-4</v>
      </c>
      <c r="E37">
        <f t="shared" si="2"/>
        <v>2.0904120729714023E-7</v>
      </c>
    </row>
    <row r="38" spans="1:5" x14ac:dyDescent="0.25">
      <c r="A38">
        <v>3.4011070043750005</v>
      </c>
      <c r="B38">
        <v>7.0008449156297101E-4</v>
      </c>
      <c r="C38">
        <f t="shared" si="0"/>
        <v>1.3640091049617941E-4</v>
      </c>
      <c r="D38">
        <f t="shared" si="1"/>
        <v>5.6368358106679162E-4</v>
      </c>
      <c r="E38">
        <f t="shared" si="2"/>
        <v>3.1773917956428226E-7</v>
      </c>
    </row>
    <row r="39" spans="1:5" x14ac:dyDescent="0.25">
      <c r="A39">
        <v>3.4908700294250004</v>
      </c>
      <c r="B39">
        <v>0</v>
      </c>
      <c r="C39">
        <f t="shared" si="0"/>
        <v>7.5108553788230971E-5</v>
      </c>
      <c r="D39">
        <f t="shared" si="1"/>
        <v>-7.5108553788230971E-5</v>
      </c>
      <c r="E39">
        <f t="shared" si="2"/>
        <v>5.6412948521595845E-9</v>
      </c>
    </row>
    <row r="40" spans="1:5" x14ac:dyDescent="0.25">
      <c r="A40">
        <v>3.5806330544750002</v>
      </c>
      <c r="B40">
        <v>7.0008449156297101E-4</v>
      </c>
      <c r="C40">
        <f t="shared" si="0"/>
        <v>4.0549106448284182E-5</v>
      </c>
      <c r="D40">
        <f t="shared" si="1"/>
        <v>6.5953538511468682E-4</v>
      </c>
      <c r="E40">
        <f t="shared" si="2"/>
        <v>4.3498692421837824E-7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18AD-C38D-4F47-9D5D-0AD86983CFB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9.2822742799999997E-2</v>
      </c>
      <c r="B1">
        <v>1.2147342668138147E-2</v>
      </c>
      <c r="C1">
        <f>$H$3*(1+$H$1)*(A1^($H$1))*EXP(-$H$3*(A1^(1+$H$1)))</f>
        <v>7.2684101160676834E-2</v>
      </c>
      <c r="D1">
        <f>B1-C1</f>
        <v>-6.0536758492538686E-2</v>
      </c>
      <c r="E1">
        <f>D1^2</f>
        <v>3.6646991287839548E-3</v>
      </c>
      <c r="G1" t="s">
        <v>0</v>
      </c>
      <c r="H1">
        <v>1.3403374849494634</v>
      </c>
    </row>
    <row r="2" spans="1:8" x14ac:dyDescent="0.25">
      <c r="A2">
        <v>0.17559535040000002</v>
      </c>
      <c r="B2">
        <v>8.1994563009932492E-2</v>
      </c>
      <c r="C2">
        <f t="shared" ref="C2:C40" si="0">$H$3*(1+$H$1)*(A2^($H$1))*EXP(-$H$3*(A2^(1+$H$1)))</f>
        <v>0.16912075627630718</v>
      </c>
      <c r="D2">
        <f t="shared" ref="D2:D40" si="1">B2-C2</f>
        <v>-8.7126193266374691E-2</v>
      </c>
      <c r="E2">
        <f t="shared" ref="E2:E40" si="2">D2^2</f>
        <v>7.5909735530896747E-3</v>
      </c>
    </row>
    <row r="3" spans="1:8" x14ac:dyDescent="0.25">
      <c r="A3">
        <v>0.25836795800000001</v>
      </c>
      <c r="B3">
        <v>0.2421876444460043</v>
      </c>
      <c r="C3">
        <f t="shared" si="0"/>
        <v>0.2784872632642828</v>
      </c>
      <c r="D3">
        <f t="shared" si="1"/>
        <v>-3.6299618818278506E-2</v>
      </c>
      <c r="E3">
        <f t="shared" si="2"/>
        <v>1.3176623263523191E-3</v>
      </c>
      <c r="G3" t="s">
        <v>1</v>
      </c>
      <c r="H3">
        <f>(_xlfn.GAMMA((2+$H$1)/(1+$H$1)))^(1+$H$1)</f>
        <v>0.7535430276401005</v>
      </c>
    </row>
    <row r="4" spans="1:8" x14ac:dyDescent="0.25">
      <c r="A4">
        <v>0.3411405656</v>
      </c>
      <c r="B4">
        <v>0.39023338321393797</v>
      </c>
      <c r="C4">
        <f t="shared" si="0"/>
        <v>0.3925977229455801</v>
      </c>
      <c r="D4">
        <f t="shared" si="1"/>
        <v>-2.3643397316421289E-3</v>
      </c>
      <c r="E4">
        <f t="shared" si="2"/>
        <v>5.5901023666215735E-6</v>
      </c>
    </row>
    <row r="5" spans="1:8" x14ac:dyDescent="0.25">
      <c r="A5">
        <v>0.42391317319999999</v>
      </c>
      <c r="B5">
        <v>0.53979753981538892</v>
      </c>
      <c r="C5">
        <f t="shared" si="0"/>
        <v>0.50454356635686093</v>
      </c>
      <c r="D5">
        <f t="shared" si="1"/>
        <v>3.5253973458527987E-2</v>
      </c>
      <c r="E5">
        <f t="shared" si="2"/>
        <v>1.2428426446145957E-3</v>
      </c>
      <c r="G5" t="s">
        <v>2</v>
      </c>
      <c r="H5">
        <f>SUM(E1:E40)</f>
        <v>6.419308005013033E-2</v>
      </c>
    </row>
    <row r="6" spans="1:8" x14ac:dyDescent="0.25">
      <c r="A6">
        <v>0.50668578080000004</v>
      </c>
      <c r="B6">
        <v>0.6521604594956667</v>
      </c>
      <c r="C6">
        <f t="shared" si="0"/>
        <v>0.60809904520286218</v>
      </c>
      <c r="D6">
        <f t="shared" si="1"/>
        <v>4.4061414292804524E-2</v>
      </c>
      <c r="E6">
        <f t="shared" si="2"/>
        <v>1.9414082294821587E-3</v>
      </c>
    </row>
    <row r="7" spans="1:8" x14ac:dyDescent="0.25">
      <c r="A7">
        <v>0.58945838839999998</v>
      </c>
      <c r="B7">
        <v>0.83968506193504944</v>
      </c>
      <c r="C7">
        <f t="shared" si="0"/>
        <v>0.69779342268761135</v>
      </c>
      <c r="D7">
        <f t="shared" si="1"/>
        <v>0.14189163924743808</v>
      </c>
      <c r="E7">
        <f t="shared" si="2"/>
        <v>2.0133237288325112E-2</v>
      </c>
    </row>
    <row r="8" spans="1:8" x14ac:dyDescent="0.25">
      <c r="A8">
        <v>0.67223099599999991</v>
      </c>
      <c r="B8">
        <v>0.85031398676967029</v>
      </c>
      <c r="C8">
        <f t="shared" si="0"/>
        <v>0.76915448686511501</v>
      </c>
      <c r="D8">
        <f t="shared" si="1"/>
        <v>8.1159499904555288E-2</v>
      </c>
      <c r="E8">
        <f t="shared" si="2"/>
        <v>6.58686442475751E-3</v>
      </c>
    </row>
    <row r="9" spans="1:8" x14ac:dyDescent="0.25">
      <c r="A9">
        <v>0.75500360359999996</v>
      </c>
      <c r="B9">
        <v>0.86777579185511888</v>
      </c>
      <c r="C9">
        <f t="shared" si="0"/>
        <v>0.81896429055734843</v>
      </c>
      <c r="D9">
        <f t="shared" si="1"/>
        <v>4.8811501297770454E-2</v>
      </c>
      <c r="E9">
        <f t="shared" si="2"/>
        <v>2.3825626589422466E-3</v>
      </c>
    </row>
    <row r="10" spans="1:8" x14ac:dyDescent="0.25">
      <c r="A10">
        <v>0.83777621120000001</v>
      </c>
      <c r="B10">
        <v>0.88144155235677424</v>
      </c>
      <c r="C10">
        <f t="shared" si="0"/>
        <v>0.84544872364168233</v>
      </c>
      <c r="D10">
        <f t="shared" si="1"/>
        <v>3.5992828715091907E-2</v>
      </c>
      <c r="E10">
        <f t="shared" si="2"/>
        <v>1.2954837189139445E-3</v>
      </c>
    </row>
    <row r="11" spans="1:8" x14ac:dyDescent="0.25">
      <c r="A11">
        <v>0.92054881879999995</v>
      </c>
      <c r="B11">
        <v>0.89434810394167108</v>
      </c>
      <c r="C11">
        <f t="shared" si="0"/>
        <v>0.84835687661378578</v>
      </c>
      <c r="D11">
        <f t="shared" si="1"/>
        <v>4.5991227327885298E-2</v>
      </c>
      <c r="E11">
        <f t="shared" si="2"/>
        <v>2.1151929911252232E-3</v>
      </c>
    </row>
    <row r="12" spans="1:8" x14ac:dyDescent="0.25">
      <c r="A12">
        <v>1.0033214264000001</v>
      </c>
      <c r="B12">
        <v>0.84196268868532531</v>
      </c>
      <c r="C12">
        <f t="shared" si="0"/>
        <v>0.82891047947464735</v>
      </c>
      <c r="D12">
        <f t="shared" si="1"/>
        <v>1.3052209210677956E-2</v>
      </c>
      <c r="E12">
        <f t="shared" si="2"/>
        <v>1.7036016527930648E-4</v>
      </c>
    </row>
    <row r="13" spans="1:8" x14ac:dyDescent="0.25">
      <c r="A13">
        <v>1.086094034</v>
      </c>
      <c r="B13">
        <v>0.77135625942677233</v>
      </c>
      <c r="C13">
        <f t="shared" si="0"/>
        <v>0.78962521978347855</v>
      </c>
      <c r="D13">
        <f t="shared" si="1"/>
        <v>-1.8268960356706221E-2</v>
      </c>
      <c r="E13">
        <f t="shared" si="2"/>
        <v>3.337549125149035E-4</v>
      </c>
    </row>
    <row r="14" spans="1:8" x14ac:dyDescent="0.25">
      <c r="A14">
        <v>1.1688666415999998</v>
      </c>
      <c r="B14">
        <v>0.67949198049897763</v>
      </c>
      <c r="C14">
        <f t="shared" si="0"/>
        <v>0.73402458364961876</v>
      </c>
      <c r="D14">
        <f t="shared" si="1"/>
        <v>-5.4532603150641124E-2</v>
      </c>
      <c r="E14">
        <f t="shared" si="2"/>
        <v>2.973804806385314E-3</v>
      </c>
    </row>
    <row r="15" spans="1:8" x14ac:dyDescent="0.25">
      <c r="A15">
        <v>1.2516392491999997</v>
      </c>
      <c r="B15">
        <v>0.61116317799070052</v>
      </c>
      <c r="C15">
        <f t="shared" si="0"/>
        <v>0.66628129443469286</v>
      </c>
      <c r="D15">
        <f t="shared" si="1"/>
        <v>-5.5118116443992338E-2</v>
      </c>
      <c r="E15">
        <f t="shared" si="2"/>
        <v>3.0380067603334986E-3</v>
      </c>
    </row>
    <row r="16" spans="1:8" x14ac:dyDescent="0.25">
      <c r="A16">
        <v>1.3344118568000001</v>
      </c>
      <c r="B16">
        <v>0.54511200223269929</v>
      </c>
      <c r="C16">
        <f t="shared" si="0"/>
        <v>0.5908297085510712</v>
      </c>
      <c r="D16">
        <f t="shared" si="1"/>
        <v>-4.5717706318371909E-2</v>
      </c>
      <c r="E16">
        <f t="shared" si="2"/>
        <v>2.0901086710129026E-3</v>
      </c>
    </row>
    <row r="17" spans="1:5" x14ac:dyDescent="0.25">
      <c r="A17">
        <v>1.4171844644</v>
      </c>
      <c r="B17">
        <v>0.4623582303060082</v>
      </c>
      <c r="C17">
        <f t="shared" si="0"/>
        <v>0.51199376804888574</v>
      </c>
      <c r="D17">
        <f t="shared" si="1"/>
        <v>-4.9635537742877545E-2</v>
      </c>
      <c r="E17">
        <f t="shared" si="2"/>
        <v>2.4636866070246212E-3</v>
      </c>
    </row>
    <row r="18" spans="1:5" x14ac:dyDescent="0.25">
      <c r="A18">
        <v>1.4999570719999999</v>
      </c>
      <c r="B18">
        <v>0.38719654754690341</v>
      </c>
      <c r="C18">
        <f t="shared" si="0"/>
        <v>0.43366959396987503</v>
      </c>
      <c r="D18">
        <f t="shared" si="1"/>
        <v>-4.647304642297162E-2</v>
      </c>
      <c r="E18">
        <f t="shared" si="2"/>
        <v>2.1597440438316752E-3</v>
      </c>
    </row>
    <row r="19" spans="1:5" x14ac:dyDescent="0.25">
      <c r="A19">
        <v>1.5827296795999999</v>
      </c>
      <c r="B19">
        <v>0.32266378962241954</v>
      </c>
      <c r="C19">
        <f t="shared" si="0"/>
        <v>0.3590909769763565</v>
      </c>
      <c r="D19">
        <f t="shared" si="1"/>
        <v>-3.6427187353936963E-2</v>
      </c>
      <c r="E19">
        <f t="shared" si="2"/>
        <v>1.3269399785188251E-3</v>
      </c>
    </row>
    <row r="20" spans="1:5" x14ac:dyDescent="0.25">
      <c r="A20">
        <v>1.6655022871999998</v>
      </c>
      <c r="B20">
        <v>0.28698097053476374</v>
      </c>
      <c r="C20">
        <f t="shared" si="0"/>
        <v>0.29069215880508564</v>
      </c>
      <c r="D20">
        <f t="shared" si="1"/>
        <v>-3.7111882703219079E-3</v>
      </c>
      <c r="E20">
        <f t="shared" si="2"/>
        <v>1.3772918377774915E-5</v>
      </c>
    </row>
    <row r="21" spans="1:5" x14ac:dyDescent="0.25">
      <c r="A21">
        <v>1.7482748948</v>
      </c>
      <c r="B21">
        <v>0.22320742152703846</v>
      </c>
      <c r="C21">
        <f t="shared" si="0"/>
        <v>0.23006800428020005</v>
      </c>
      <c r="D21">
        <f t="shared" si="1"/>
        <v>-6.8605827531615926E-3</v>
      </c>
      <c r="E21">
        <f t="shared" si="2"/>
        <v>4.7067595712978297E-5</v>
      </c>
    </row>
    <row r="22" spans="1:5" x14ac:dyDescent="0.25">
      <c r="A22">
        <v>1.8310475023999999</v>
      </c>
      <c r="B22">
        <v>0.1533602011852441</v>
      </c>
      <c r="C22">
        <f t="shared" si="0"/>
        <v>0.17801932882384644</v>
      </c>
      <c r="D22">
        <f t="shared" si="1"/>
        <v>-2.4659127638602341E-2</v>
      </c>
      <c r="E22">
        <f t="shared" si="2"/>
        <v>6.0807257589688181E-4</v>
      </c>
    </row>
    <row r="23" spans="1:5" x14ac:dyDescent="0.25">
      <c r="A23">
        <v>1.9138201099999999</v>
      </c>
      <c r="B23">
        <v>0.14728652985117502</v>
      </c>
      <c r="C23">
        <f t="shared" si="0"/>
        <v>0.13466249864475485</v>
      </c>
      <c r="D23">
        <f t="shared" si="1"/>
        <v>1.2624031206420167E-2</v>
      </c>
      <c r="E23">
        <f t="shared" si="2"/>
        <v>1.593661639006702E-4</v>
      </c>
    </row>
    <row r="24" spans="1:5" x14ac:dyDescent="0.25">
      <c r="A24">
        <v>1.9965927176</v>
      </c>
      <c r="B24">
        <v>0.10173399484565698</v>
      </c>
      <c r="C24">
        <f t="shared" si="0"/>
        <v>9.9578272417707808E-2</v>
      </c>
      <c r="D24">
        <f t="shared" si="1"/>
        <v>2.1557224279491749E-3</v>
      </c>
      <c r="E24">
        <f t="shared" si="2"/>
        <v>4.6471391863630853E-6</v>
      </c>
    </row>
    <row r="25" spans="1:5" x14ac:dyDescent="0.25">
      <c r="A25">
        <v>2.0793653251999999</v>
      </c>
      <c r="B25">
        <v>7.971693625965659E-2</v>
      </c>
      <c r="C25">
        <f t="shared" si="0"/>
        <v>7.1975077726918121E-2</v>
      </c>
      <c r="D25">
        <f t="shared" si="1"/>
        <v>7.7418585327384687E-3</v>
      </c>
      <c r="E25">
        <f t="shared" si="2"/>
        <v>5.9936373540935437E-5</v>
      </c>
    </row>
    <row r="26" spans="1:5" x14ac:dyDescent="0.25">
      <c r="A26">
        <v>2.1621379327999999</v>
      </c>
      <c r="B26">
        <v>6.1495922257449369E-2</v>
      </c>
      <c r="C26">
        <f t="shared" si="0"/>
        <v>5.0845628778897707E-2</v>
      </c>
      <c r="D26">
        <f t="shared" si="1"/>
        <v>1.0650293478551662E-2</v>
      </c>
      <c r="E26">
        <f t="shared" si="2"/>
        <v>1.1342875117928006E-4</v>
      </c>
    </row>
    <row r="27" spans="1:5" x14ac:dyDescent="0.25">
      <c r="A27">
        <v>2.2449105404000003</v>
      </c>
      <c r="B27">
        <v>3.6442028004414442E-2</v>
      </c>
      <c r="C27">
        <f t="shared" si="0"/>
        <v>3.5101664681677219E-2</v>
      </c>
      <c r="D27">
        <f t="shared" si="1"/>
        <v>1.340363322737223E-3</v>
      </c>
      <c r="E27">
        <f t="shared" si="2"/>
        <v>1.796573836939169E-6</v>
      </c>
    </row>
    <row r="28" spans="1:5" x14ac:dyDescent="0.25">
      <c r="A28">
        <v>2.3276831480000002</v>
      </c>
      <c r="B28">
        <v>3.0368356670345365E-2</v>
      </c>
      <c r="C28">
        <f t="shared" si="0"/>
        <v>2.3678194004615089E-2</v>
      </c>
      <c r="D28">
        <f t="shared" si="1"/>
        <v>6.690162665730276E-3</v>
      </c>
      <c r="E28">
        <f t="shared" si="2"/>
        <v>4.4758276493931233E-5</v>
      </c>
    </row>
    <row r="29" spans="1:5" x14ac:dyDescent="0.25">
      <c r="A29">
        <v>2.4104557555999997</v>
      </c>
      <c r="B29">
        <v>2.6572312086552197E-2</v>
      </c>
      <c r="C29">
        <f t="shared" si="0"/>
        <v>1.560474626315652E-2</v>
      </c>
      <c r="D29">
        <f t="shared" si="1"/>
        <v>1.0967565823395677E-2</v>
      </c>
      <c r="E29">
        <f t="shared" si="2"/>
        <v>1.2028750009051688E-4</v>
      </c>
    </row>
    <row r="30" spans="1:5" x14ac:dyDescent="0.25">
      <c r="A30">
        <v>2.4932283631999996</v>
      </c>
      <c r="B30">
        <v>1.6702596168689951E-2</v>
      </c>
      <c r="C30">
        <f t="shared" si="0"/>
        <v>1.0045919280038548E-2</v>
      </c>
      <c r="D30">
        <f t="shared" si="1"/>
        <v>6.6566768886514027E-3</v>
      </c>
      <c r="E30">
        <f t="shared" si="2"/>
        <v>4.4311347199905717E-5</v>
      </c>
    </row>
    <row r="31" spans="1:5" x14ac:dyDescent="0.25">
      <c r="A31">
        <v>2.5760009708</v>
      </c>
      <c r="B31">
        <v>1.3665760501655414E-2</v>
      </c>
      <c r="C31">
        <f t="shared" si="0"/>
        <v>6.3165900641506817E-3</v>
      </c>
      <c r="D31">
        <f t="shared" si="1"/>
        <v>7.3491704375047325E-3</v>
      </c>
      <c r="E31">
        <f t="shared" si="2"/>
        <v>5.4010306119493503E-5</v>
      </c>
    </row>
    <row r="32" spans="1:5" x14ac:dyDescent="0.25">
      <c r="A32">
        <v>2.6587735783999999</v>
      </c>
      <c r="B32">
        <v>1.0628924834620879E-2</v>
      </c>
      <c r="C32">
        <f t="shared" si="0"/>
        <v>3.8785469703842548E-3</v>
      </c>
      <c r="D32">
        <f t="shared" si="1"/>
        <v>6.7503778642366242E-3</v>
      </c>
      <c r="E32">
        <f t="shared" si="2"/>
        <v>4.556760130997581E-5</v>
      </c>
    </row>
    <row r="33" spans="1:5" x14ac:dyDescent="0.25">
      <c r="A33">
        <v>2.7415461859999999</v>
      </c>
      <c r="B33">
        <v>6.0736713340690737E-3</v>
      </c>
      <c r="C33">
        <f t="shared" si="0"/>
        <v>2.325308638419064E-3</v>
      </c>
      <c r="D33">
        <f t="shared" si="1"/>
        <v>3.7483626956500097E-3</v>
      </c>
      <c r="E33">
        <f t="shared" si="2"/>
        <v>1.4050222898140608E-5</v>
      </c>
    </row>
    <row r="34" spans="1:5" x14ac:dyDescent="0.25">
      <c r="A34">
        <v>2.8243187935999998</v>
      </c>
      <c r="B34">
        <v>4.5552535005518053E-3</v>
      </c>
      <c r="C34">
        <f t="shared" si="0"/>
        <v>1.3609683339669968E-3</v>
      </c>
      <c r="D34">
        <f t="shared" si="1"/>
        <v>3.1942851665848083E-3</v>
      </c>
      <c r="E34">
        <f t="shared" si="2"/>
        <v>1.0203457725463737E-5</v>
      </c>
    </row>
    <row r="35" spans="1:5" x14ac:dyDescent="0.25">
      <c r="A35">
        <v>2.9070914011999998</v>
      </c>
      <c r="B35">
        <v>4.5552535005518053E-3</v>
      </c>
      <c r="C35">
        <f t="shared" si="0"/>
        <v>7.7750125597755761E-4</v>
      </c>
      <c r="D35">
        <f t="shared" si="1"/>
        <v>3.7777522445742477E-3</v>
      </c>
      <c r="E35">
        <f t="shared" si="2"/>
        <v>1.4271412021385766E-5</v>
      </c>
    </row>
    <row r="36" spans="1:5" x14ac:dyDescent="0.25">
      <c r="A36">
        <v>2.9898640087999997</v>
      </c>
      <c r="B36">
        <v>2.2776267502759026E-3</v>
      </c>
      <c r="C36">
        <f t="shared" si="0"/>
        <v>4.3347992274058074E-4</v>
      </c>
      <c r="D36">
        <f t="shared" si="1"/>
        <v>1.844146827535322E-3</v>
      </c>
      <c r="E36">
        <f t="shared" si="2"/>
        <v>3.4008775215085929E-6</v>
      </c>
    </row>
    <row r="37" spans="1:5" x14ac:dyDescent="0.25">
      <c r="A37">
        <v>3.0726366163999996</v>
      </c>
      <c r="B37">
        <v>7.5920891675863422E-4</v>
      </c>
      <c r="C37">
        <f t="shared" si="0"/>
        <v>2.3581985643028806E-4</v>
      </c>
      <c r="D37">
        <f t="shared" si="1"/>
        <v>5.2338906032834613E-4</v>
      </c>
      <c r="E37">
        <f t="shared" si="2"/>
        <v>2.7393610847138913E-7</v>
      </c>
    </row>
    <row r="38" spans="1:5" x14ac:dyDescent="0.25">
      <c r="A38">
        <v>3.1554092239999996</v>
      </c>
      <c r="B38">
        <v>7.5920891675863422E-4</v>
      </c>
      <c r="C38">
        <f t="shared" si="0"/>
        <v>1.2515944721791714E-4</v>
      </c>
      <c r="D38">
        <f t="shared" si="1"/>
        <v>6.340494695407171E-4</v>
      </c>
      <c r="E38">
        <f t="shared" si="2"/>
        <v>4.0201872982486476E-7</v>
      </c>
    </row>
    <row r="39" spans="1:5" x14ac:dyDescent="0.25">
      <c r="A39">
        <v>3.2381818315999999</v>
      </c>
      <c r="B39">
        <v>0</v>
      </c>
      <c r="C39">
        <f t="shared" si="0"/>
        <v>6.4795822607184469E-5</v>
      </c>
      <c r="D39">
        <f t="shared" si="1"/>
        <v>-6.4795822607184469E-5</v>
      </c>
      <c r="E39">
        <f t="shared" si="2"/>
        <v>4.198498627341718E-9</v>
      </c>
    </row>
    <row r="40" spans="1:5" x14ac:dyDescent="0.25">
      <c r="A40">
        <v>3.3209544391999999</v>
      </c>
      <c r="B40">
        <v>7.5920891675863422E-4</v>
      </c>
      <c r="C40">
        <f t="shared" si="0"/>
        <v>3.2715883869678593E-5</v>
      </c>
      <c r="D40">
        <f t="shared" si="1"/>
        <v>7.264930328889556E-4</v>
      </c>
      <c r="E40">
        <f t="shared" si="2"/>
        <v>5.2779212683619312E-7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466B-48B6-4604-97B8-A320A4F82C5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0.11716915687500001</v>
      </c>
      <c r="B1">
        <v>7.5388678209013689E-3</v>
      </c>
      <c r="C1">
        <f>$H$3*(1+$H$1)*(A1^($H$1))*EXP(-$H$3*(A1^(1+$H$1)))</f>
        <v>6.330967912149664E-2</v>
      </c>
      <c r="D1">
        <f>B1-C1</f>
        <v>-5.5770811300595274E-2</v>
      </c>
      <c r="E1">
        <f>D1^2</f>
        <v>3.1103833931266055E-3</v>
      </c>
      <c r="G1" t="s">
        <v>0</v>
      </c>
      <c r="H1">
        <v>1.5856642201986788</v>
      </c>
    </row>
    <row r="2" spans="1:8" x14ac:dyDescent="0.25">
      <c r="A2">
        <v>0.19219041062500003</v>
      </c>
      <c r="B2">
        <v>4.5233206925408213E-2</v>
      </c>
      <c r="C2">
        <f t="shared" ref="C2:C40" si="0">$H$3*(1+$H$1)*(A2^($H$1))*EXP(-$H$3*(A2^(1+$H$1)))</f>
        <v>0.13772600310423275</v>
      </c>
      <c r="D2">
        <f t="shared" ref="D2:D40" si="1">B2-C2</f>
        <v>-9.2492796178824527E-2</v>
      </c>
      <c r="E2">
        <f t="shared" ref="E2:E40" si="2">D2^2</f>
        <v>8.5549173449775764E-3</v>
      </c>
    </row>
    <row r="3" spans="1:8" x14ac:dyDescent="0.25">
      <c r="A3">
        <v>0.26721166437499999</v>
      </c>
      <c r="B3">
        <v>0.15999152819912904</v>
      </c>
      <c r="C3">
        <f t="shared" si="0"/>
        <v>0.22904558838436903</v>
      </c>
      <c r="D3">
        <f t="shared" si="1"/>
        <v>-6.905406018523999E-2</v>
      </c>
      <c r="E3">
        <f t="shared" si="2"/>
        <v>4.7684632280667466E-3</v>
      </c>
      <c r="G3" t="s">
        <v>1</v>
      </c>
      <c r="H3">
        <f>(_xlfn.GAMMA((2+$H$1)/(1+$H$1)))^(1+$H$1)</f>
        <v>0.73569353034576512</v>
      </c>
    </row>
    <row r="4" spans="1:8" x14ac:dyDescent="0.25">
      <c r="A4">
        <v>0.34223291812500001</v>
      </c>
      <c r="B4">
        <v>0.27726280541315035</v>
      </c>
      <c r="C4">
        <f t="shared" si="0"/>
        <v>0.33180967952261375</v>
      </c>
      <c r="D4">
        <f t="shared" si="1"/>
        <v>-5.4546874109463406E-2</v>
      </c>
      <c r="E4">
        <f t="shared" si="2"/>
        <v>2.9753614751136491E-3</v>
      </c>
    </row>
    <row r="5" spans="1:8" x14ac:dyDescent="0.25">
      <c r="A5">
        <v>0.41725417187500002</v>
      </c>
      <c r="B5">
        <v>0.4749486727167862</v>
      </c>
      <c r="C5">
        <f t="shared" si="0"/>
        <v>0.44056710701405738</v>
      </c>
      <c r="D5">
        <f t="shared" si="1"/>
        <v>3.4381565702728822E-2</v>
      </c>
      <c r="E5">
        <f t="shared" si="2"/>
        <v>1.1820920601710589E-3</v>
      </c>
      <c r="G5" t="s">
        <v>2</v>
      </c>
      <c r="H5">
        <f>SUM(E1:E40)</f>
        <v>0.10221045067277755</v>
      </c>
    </row>
    <row r="6" spans="1:8" x14ac:dyDescent="0.25">
      <c r="A6">
        <v>0.49227542562499998</v>
      </c>
      <c r="B6">
        <v>0.60981064151291076</v>
      </c>
      <c r="C6">
        <f t="shared" si="0"/>
        <v>0.54965396373810194</v>
      </c>
      <c r="D6">
        <f t="shared" si="1"/>
        <v>6.015667777480882E-2</v>
      </c>
      <c r="E6">
        <f t="shared" si="2"/>
        <v>3.6188258809021776E-3</v>
      </c>
    </row>
    <row r="7" spans="1:8" x14ac:dyDescent="0.25">
      <c r="A7">
        <v>0.56729667937499995</v>
      </c>
      <c r="B7">
        <v>0.74383495832893509</v>
      </c>
      <c r="C7">
        <f t="shared" si="0"/>
        <v>0.65330866083001193</v>
      </c>
      <c r="D7">
        <f t="shared" si="1"/>
        <v>9.0526297498923158E-2</v>
      </c>
      <c r="E7">
        <f t="shared" si="2"/>
        <v>8.1950105388635414E-3</v>
      </c>
    </row>
    <row r="8" spans="1:8" x14ac:dyDescent="0.25">
      <c r="A8">
        <v>0.64231793312499996</v>
      </c>
      <c r="B8">
        <v>0.88120988306535997</v>
      </c>
      <c r="C8">
        <f t="shared" si="0"/>
        <v>0.74594983897071698</v>
      </c>
      <c r="D8">
        <f t="shared" si="1"/>
        <v>0.13526004409464298</v>
      </c>
      <c r="E8">
        <f t="shared" si="2"/>
        <v>1.8295279528484764E-2</v>
      </c>
    </row>
    <row r="9" spans="1:8" x14ac:dyDescent="0.25">
      <c r="A9">
        <v>0.71733918687499998</v>
      </c>
      <c r="B9">
        <v>0.96665038503557554</v>
      </c>
      <c r="C9">
        <f t="shared" si="0"/>
        <v>0.82253502984674298</v>
      </c>
      <c r="D9">
        <f t="shared" si="1"/>
        <v>0.14411535518883256</v>
      </c>
      <c r="E9">
        <f t="shared" si="2"/>
        <v>2.0769235601203369E-2</v>
      </c>
    </row>
    <row r="10" spans="1:8" x14ac:dyDescent="0.25">
      <c r="A10">
        <v>0.792360440625</v>
      </c>
      <c r="B10">
        <v>0.92476778603056786</v>
      </c>
      <c r="C10">
        <f t="shared" si="0"/>
        <v>0.87893686615502009</v>
      </c>
      <c r="D10">
        <f t="shared" si="1"/>
        <v>4.5830919875547771E-2</v>
      </c>
      <c r="E10">
        <f t="shared" si="2"/>
        <v>2.1004732166388798E-3</v>
      </c>
    </row>
    <row r="11" spans="1:8" x14ac:dyDescent="0.25">
      <c r="A11">
        <v>0.86738169437500001</v>
      </c>
      <c r="B11">
        <v>0.97251394889627651</v>
      </c>
      <c r="C11">
        <f t="shared" si="0"/>
        <v>0.91227892298436586</v>
      </c>
      <c r="D11">
        <f t="shared" si="1"/>
        <v>6.0235025911910656E-2</v>
      </c>
      <c r="E11">
        <f t="shared" si="2"/>
        <v>3.6282583466085479E-3</v>
      </c>
    </row>
    <row r="12" spans="1:8" x14ac:dyDescent="0.25">
      <c r="A12">
        <v>0.94240294812500003</v>
      </c>
      <c r="B12">
        <v>0.9490596934534723</v>
      </c>
      <c r="C12">
        <f t="shared" si="0"/>
        <v>0.92117953147301301</v>
      </c>
      <c r="D12">
        <f t="shared" si="1"/>
        <v>2.7880161980459284E-2</v>
      </c>
      <c r="E12">
        <f t="shared" si="2"/>
        <v>7.7730343205664732E-4</v>
      </c>
    </row>
    <row r="13" spans="1:8" x14ac:dyDescent="0.25">
      <c r="A13">
        <v>1.0174242018749999</v>
      </c>
      <c r="B13">
        <v>0.88037223108525986</v>
      </c>
      <c r="C13">
        <f t="shared" si="0"/>
        <v>0.90586363115921742</v>
      </c>
      <c r="D13">
        <f t="shared" si="1"/>
        <v>-2.549140007395756E-2</v>
      </c>
      <c r="E13">
        <f t="shared" si="2"/>
        <v>6.4981147773056347E-4</v>
      </c>
    </row>
    <row r="14" spans="1:8" x14ac:dyDescent="0.25">
      <c r="A14">
        <v>1.0924454556250001</v>
      </c>
      <c r="B14">
        <v>0.8694827553439578</v>
      </c>
      <c r="C14">
        <f t="shared" si="0"/>
        <v>0.86812043963407914</v>
      </c>
      <c r="D14">
        <f t="shared" si="1"/>
        <v>1.3623157098786587E-3</v>
      </c>
      <c r="E14">
        <f t="shared" si="2"/>
        <v>1.8559040933821938E-6</v>
      </c>
    </row>
    <row r="15" spans="1:8" x14ac:dyDescent="0.25">
      <c r="A15">
        <v>1.167466709375</v>
      </c>
      <c r="B15">
        <v>0.75137382614983639</v>
      </c>
      <c r="C15">
        <f t="shared" si="0"/>
        <v>0.81110657098388339</v>
      </c>
      <c r="D15">
        <f t="shared" si="1"/>
        <v>-5.9732744834047002E-2</v>
      </c>
      <c r="E15">
        <f t="shared" si="2"/>
        <v>3.568000805409369E-3</v>
      </c>
    </row>
    <row r="16" spans="1:8" x14ac:dyDescent="0.25">
      <c r="A16">
        <v>1.2424879631250001</v>
      </c>
      <c r="B16">
        <v>0.68854992764232503</v>
      </c>
      <c r="C16">
        <f t="shared" si="0"/>
        <v>0.73901687390785076</v>
      </c>
      <c r="D16">
        <f t="shared" si="1"/>
        <v>-5.0466946265525725E-2</v>
      </c>
      <c r="E16">
        <f t="shared" si="2"/>
        <v>2.5469126653674609E-3</v>
      </c>
    </row>
    <row r="17" spans="1:5" x14ac:dyDescent="0.25">
      <c r="A17">
        <v>1.317509216875</v>
      </c>
      <c r="B17">
        <v>0.58970699399050708</v>
      </c>
      <c r="C17">
        <f t="shared" si="0"/>
        <v>0.65666470604836513</v>
      </c>
      <c r="D17">
        <f t="shared" si="1"/>
        <v>-6.6957712057858054E-2</v>
      </c>
      <c r="E17">
        <f t="shared" si="2"/>
        <v>4.48333520402303E-3</v>
      </c>
    </row>
    <row r="18" spans="1:5" x14ac:dyDescent="0.25">
      <c r="A18">
        <v>1.3925304706249999</v>
      </c>
      <c r="B18">
        <v>0.49505232023918988</v>
      </c>
      <c r="C18">
        <f t="shared" si="0"/>
        <v>0.56902598243352753</v>
      </c>
      <c r="D18">
        <f t="shared" si="1"/>
        <v>-7.3973662194337653E-2</v>
      </c>
      <c r="E18">
        <f t="shared" si="2"/>
        <v>5.47210269844198E-3</v>
      </c>
    </row>
    <row r="19" spans="1:5" x14ac:dyDescent="0.25">
      <c r="A19">
        <v>1.4675517243749998</v>
      </c>
      <c r="B19">
        <v>0.4163130341097756</v>
      </c>
      <c r="C19">
        <f t="shared" si="0"/>
        <v>0.48080475892276547</v>
      </c>
      <c r="D19">
        <f t="shared" si="1"/>
        <v>-6.449172481298987E-2</v>
      </c>
      <c r="E19">
        <f t="shared" si="2"/>
        <v>4.1591825693544134E-3</v>
      </c>
    </row>
    <row r="20" spans="1:5" x14ac:dyDescent="0.25">
      <c r="A20">
        <v>1.5425729781249999</v>
      </c>
      <c r="B20">
        <v>0.37861869500526873</v>
      </c>
      <c r="C20">
        <f t="shared" si="0"/>
        <v>0.39607183341661534</v>
      </c>
      <c r="D20">
        <f t="shared" si="1"/>
        <v>-1.7453138411346603E-2</v>
      </c>
      <c r="E20">
        <f t="shared" si="2"/>
        <v>3.0461204040562221E-4</v>
      </c>
    </row>
    <row r="21" spans="1:5" x14ac:dyDescent="0.25">
      <c r="A21">
        <v>1.6175942318750001</v>
      </c>
      <c r="B21">
        <v>0.28647697719425202</v>
      </c>
      <c r="C21">
        <f t="shared" si="0"/>
        <v>0.31801338581804989</v>
      </c>
      <c r="D21">
        <f t="shared" si="1"/>
        <v>-3.1536408623797862E-2</v>
      </c>
      <c r="E21">
        <f t="shared" si="2"/>
        <v>9.9454506888715217E-4</v>
      </c>
    </row>
    <row r="22" spans="1:5" x14ac:dyDescent="0.25">
      <c r="A22">
        <v>1.6926154856250002</v>
      </c>
      <c r="B22">
        <v>0.22449073066684075</v>
      </c>
      <c r="C22">
        <f t="shared" si="0"/>
        <v>0.24880720148647972</v>
      </c>
      <c r="D22">
        <f t="shared" si="1"/>
        <v>-2.4316470819638974E-2</v>
      </c>
      <c r="E22">
        <f t="shared" si="2"/>
        <v>5.9129075312235372E-4</v>
      </c>
    </row>
    <row r="23" spans="1:5" x14ac:dyDescent="0.25">
      <c r="A23">
        <v>1.7676367393750001</v>
      </c>
      <c r="B23">
        <v>0.18260813166183315</v>
      </c>
      <c r="C23">
        <f t="shared" si="0"/>
        <v>0.18962356666355448</v>
      </c>
      <c r="D23">
        <f t="shared" si="1"/>
        <v>-7.0154350017213318E-3</v>
      </c>
      <c r="E23">
        <f t="shared" si="2"/>
        <v>4.9216328263376785E-5</v>
      </c>
    </row>
    <row r="24" spans="1:5" x14ac:dyDescent="0.25">
      <c r="A24">
        <v>1.842657993125</v>
      </c>
      <c r="B24">
        <v>0.13318666483592417</v>
      </c>
      <c r="C24">
        <f t="shared" si="0"/>
        <v>0.14073040820103344</v>
      </c>
      <c r="D24">
        <f t="shared" si="1"/>
        <v>-7.5437433651092678E-3</v>
      </c>
      <c r="E24">
        <f t="shared" si="2"/>
        <v>5.6908063958630097E-5</v>
      </c>
    </row>
    <row r="25" spans="1:5" x14ac:dyDescent="0.25">
      <c r="A25">
        <v>1.9176792468749999</v>
      </c>
      <c r="B25">
        <v>0.11810892919412144</v>
      </c>
      <c r="C25">
        <f t="shared" si="0"/>
        <v>0.10167058548491958</v>
      </c>
      <c r="D25">
        <f t="shared" si="1"/>
        <v>1.6438343709201858E-2</v>
      </c>
      <c r="E25">
        <f t="shared" si="2"/>
        <v>2.7021914390185629E-4</v>
      </c>
    </row>
    <row r="26" spans="1:5" x14ac:dyDescent="0.25">
      <c r="A26">
        <v>1.9927005006249998</v>
      </c>
      <c r="B26">
        <v>8.9628761870716278E-2</v>
      </c>
      <c r="C26">
        <f t="shared" si="0"/>
        <v>7.1474765906921728E-2</v>
      </c>
      <c r="D26">
        <f t="shared" si="1"/>
        <v>1.815399596379455E-2</v>
      </c>
      <c r="E26">
        <f t="shared" si="2"/>
        <v>3.2956756945346882E-4</v>
      </c>
    </row>
    <row r="27" spans="1:5" x14ac:dyDescent="0.25">
      <c r="A27">
        <v>2.0677217543749999</v>
      </c>
      <c r="B27">
        <v>6.1986246527411255E-2</v>
      </c>
      <c r="C27">
        <f t="shared" si="0"/>
        <v>4.8875676678387145E-2</v>
      </c>
      <c r="D27">
        <f t="shared" si="1"/>
        <v>1.311056984902411E-2</v>
      </c>
      <c r="E27">
        <f t="shared" si="2"/>
        <v>1.718870417661401E-4</v>
      </c>
    </row>
    <row r="28" spans="1:5" x14ac:dyDescent="0.25">
      <c r="A28">
        <v>2.1427430081249996</v>
      </c>
      <c r="B28">
        <v>3.7694339104506841E-2</v>
      </c>
      <c r="C28">
        <f t="shared" si="0"/>
        <v>3.2497016735451204E-2</v>
      </c>
      <c r="D28">
        <f t="shared" si="1"/>
        <v>5.1973223690556375E-3</v>
      </c>
      <c r="E28">
        <f t="shared" si="2"/>
        <v>2.7012159807886103E-5</v>
      </c>
    </row>
    <row r="29" spans="1:5" x14ac:dyDescent="0.25">
      <c r="A29">
        <v>2.2177642618749998</v>
      </c>
      <c r="B29">
        <v>3.6019035144306537E-2</v>
      </c>
      <c r="C29">
        <f t="shared" si="0"/>
        <v>2.1000485457834485E-2</v>
      </c>
      <c r="D29">
        <f t="shared" si="1"/>
        <v>1.5018549686472052E-2</v>
      </c>
      <c r="E29">
        <f t="shared" si="2"/>
        <v>2.2555683468502977E-4</v>
      </c>
    </row>
    <row r="30" spans="1:5" x14ac:dyDescent="0.25">
      <c r="A30">
        <v>2.2927855156249999</v>
      </c>
      <c r="B30">
        <v>2.3454255442804259E-2</v>
      </c>
      <c r="C30">
        <f t="shared" si="0"/>
        <v>1.3184751801708377E-2</v>
      </c>
      <c r="D30">
        <f t="shared" si="1"/>
        <v>1.0269503641095882E-2</v>
      </c>
      <c r="E30">
        <f t="shared" si="2"/>
        <v>1.0546270503448159E-4</v>
      </c>
    </row>
    <row r="31" spans="1:5" x14ac:dyDescent="0.25">
      <c r="A31">
        <v>2.367806769375</v>
      </c>
      <c r="B31">
        <v>1.6753039602003042E-2</v>
      </c>
      <c r="C31">
        <f t="shared" si="0"/>
        <v>8.0387932279353137E-3</v>
      </c>
      <c r="D31">
        <f t="shared" si="1"/>
        <v>8.7142463740677283E-3</v>
      </c>
      <c r="E31">
        <f t="shared" si="2"/>
        <v>7.5938089867952547E-5</v>
      </c>
    </row>
    <row r="32" spans="1:5" x14ac:dyDescent="0.25">
      <c r="A32">
        <v>2.4428280231250001</v>
      </c>
      <c r="B32">
        <v>1.4240083661702586E-2</v>
      </c>
      <c r="C32">
        <f t="shared" si="0"/>
        <v>4.7577748354930951E-3</v>
      </c>
      <c r="D32">
        <f t="shared" si="1"/>
        <v>9.4823088262094915E-3</v>
      </c>
      <c r="E32">
        <f t="shared" si="2"/>
        <v>8.9914180675610425E-5</v>
      </c>
    </row>
    <row r="33" spans="1:5" x14ac:dyDescent="0.25">
      <c r="A33">
        <v>2.5178492768750003</v>
      </c>
      <c r="B33">
        <v>8.376519801001521E-3</v>
      </c>
      <c r="C33">
        <f t="shared" si="0"/>
        <v>2.7322956583721728E-3</v>
      </c>
      <c r="D33">
        <f t="shared" si="1"/>
        <v>5.6442241426293482E-3</v>
      </c>
      <c r="E33">
        <f t="shared" si="2"/>
        <v>3.185726617224E-5</v>
      </c>
    </row>
    <row r="34" spans="1:5" x14ac:dyDescent="0.25">
      <c r="A34">
        <v>2.5928705306249995</v>
      </c>
      <c r="B34">
        <v>4.1882599005007605E-3</v>
      </c>
      <c r="C34">
        <f t="shared" si="0"/>
        <v>1.5218718819319371E-3</v>
      </c>
      <c r="D34">
        <f t="shared" si="1"/>
        <v>2.6663880185688231E-3</v>
      </c>
      <c r="E34">
        <f t="shared" si="2"/>
        <v>7.1096250655673743E-6</v>
      </c>
    </row>
    <row r="35" spans="1:5" x14ac:dyDescent="0.25">
      <c r="A35">
        <v>2.6678917843749996</v>
      </c>
      <c r="B35">
        <v>5.0259118806009126E-3</v>
      </c>
      <c r="C35">
        <f t="shared" si="0"/>
        <v>8.218080005443296E-4</v>
      </c>
      <c r="D35">
        <f t="shared" si="1"/>
        <v>4.204103880056583E-3</v>
      </c>
      <c r="E35">
        <f t="shared" si="2"/>
        <v>1.7674489434306814E-5</v>
      </c>
    </row>
    <row r="36" spans="1:5" x14ac:dyDescent="0.25">
      <c r="A36">
        <v>2.7429130381249998</v>
      </c>
      <c r="B36">
        <v>1.6753039602003042E-3</v>
      </c>
      <c r="C36">
        <f t="shared" si="0"/>
        <v>4.3005054120990774E-4</v>
      </c>
      <c r="D36">
        <f t="shared" si="1"/>
        <v>1.2452534189903964E-3</v>
      </c>
      <c r="E36">
        <f t="shared" si="2"/>
        <v>1.5506560775072718E-6</v>
      </c>
    </row>
    <row r="37" spans="1:5" x14ac:dyDescent="0.25">
      <c r="A37">
        <v>2.8179342918749999</v>
      </c>
      <c r="B37">
        <v>1.6753039602003042E-3</v>
      </c>
      <c r="C37">
        <f t="shared" si="0"/>
        <v>2.1799192634003173E-4</v>
      </c>
      <c r="D37">
        <f t="shared" si="1"/>
        <v>1.4573120338602725E-3</v>
      </c>
      <c r="E37">
        <f t="shared" si="2"/>
        <v>2.123758364033964E-6</v>
      </c>
    </row>
    <row r="38" spans="1:5" x14ac:dyDescent="0.25">
      <c r="A38">
        <v>2.892955545625</v>
      </c>
      <c r="B38">
        <v>8.376519801001521E-4</v>
      </c>
      <c r="C38">
        <f t="shared" si="0"/>
        <v>1.0699121307574564E-4</v>
      </c>
      <c r="D38">
        <f t="shared" si="1"/>
        <v>7.306607670244065E-4</v>
      </c>
      <c r="E38">
        <f t="shared" si="2"/>
        <v>5.3386515646869404E-7</v>
      </c>
    </row>
    <row r="39" spans="1:5" x14ac:dyDescent="0.25">
      <c r="A39">
        <v>2.9679767993749997</v>
      </c>
      <c r="B39">
        <v>0</v>
      </c>
      <c r="C39">
        <f t="shared" si="0"/>
        <v>5.0822715657606529E-5</v>
      </c>
      <c r="D39">
        <f t="shared" si="1"/>
        <v>-5.0822715657606529E-5</v>
      </c>
      <c r="E39">
        <f t="shared" si="2"/>
        <v>2.5829484268139239E-9</v>
      </c>
    </row>
    <row r="40" spans="1:5" x14ac:dyDescent="0.25">
      <c r="A40">
        <v>3.0429980531249998</v>
      </c>
      <c r="B40">
        <v>8.376519801001521E-4</v>
      </c>
      <c r="C40">
        <f t="shared" si="0"/>
        <v>2.3355292318528855E-5</v>
      </c>
      <c r="D40">
        <f t="shared" si="1"/>
        <v>8.1429668778162326E-4</v>
      </c>
      <c r="E40">
        <f t="shared" si="2"/>
        <v>6.6307909573212248E-7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4B4E-3DFB-4513-843A-3C9CF94D2C8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0.16011334389999998</v>
      </c>
      <c r="B1">
        <v>2.850612455026835E-3</v>
      </c>
      <c r="C1">
        <f>$H$3*(1+$H$1)*(A1^($H$1))*EXP(-$H$3*(A1^(1+$H$1)))</f>
        <v>5.8646658486643424E-2</v>
      </c>
      <c r="D1">
        <f>B1-C1</f>
        <v>-5.5796046031616586E-2</v>
      </c>
      <c r="E1">
        <f>D1^2</f>
        <v>3.1131987527622772E-3</v>
      </c>
      <c r="G1" t="s">
        <v>0</v>
      </c>
      <c r="H1">
        <v>1.9542343468671031</v>
      </c>
    </row>
    <row r="2" spans="1:8" x14ac:dyDescent="0.25">
      <c r="A2">
        <v>0.22624413569999999</v>
      </c>
      <c r="B2">
        <v>2.280489964021468E-2</v>
      </c>
      <c r="C2">
        <f t="shared" ref="C2:C40" si="0">$H$3*(1+$H$1)*(A2^($H$1))*EXP(-$H$3*(A2^(1+$H$1)))</f>
        <v>0.11460678361593618</v>
      </c>
      <c r="D2">
        <f t="shared" ref="D2:D40" si="1">B2-C2</f>
        <v>-9.1801883975721504E-2</v>
      </c>
      <c r="E2">
        <f t="shared" ref="E2:E40" si="2">D2^2</f>
        <v>8.4275859014918322E-3</v>
      </c>
    </row>
    <row r="3" spans="1:8" x14ac:dyDescent="0.25">
      <c r="A3">
        <v>0.29237492749999999</v>
      </c>
      <c r="B3">
        <v>8.2667761195778219E-2</v>
      </c>
      <c r="C3">
        <f t="shared" si="0"/>
        <v>0.18727601381433431</v>
      </c>
      <c r="D3">
        <f t="shared" si="1"/>
        <v>-0.10460825261855609</v>
      </c>
      <c r="E3">
        <f t="shared" si="2"/>
        <v>1.0942886515907647E-2</v>
      </c>
      <c r="G3" t="s">
        <v>1</v>
      </c>
      <c r="H3">
        <f>(_xlfn.GAMMA((2+$H$1)/(1+$H$1)))^(1+$H$1)</f>
        <v>0.71436177122303379</v>
      </c>
    </row>
    <row r="4" spans="1:8" x14ac:dyDescent="0.25">
      <c r="A4">
        <v>0.35850571929999997</v>
      </c>
      <c r="B4">
        <v>0.19479185109350039</v>
      </c>
      <c r="C4">
        <f t="shared" si="0"/>
        <v>0.27463871973813675</v>
      </c>
      <c r="D4">
        <f t="shared" si="1"/>
        <v>-7.984686864463636E-2</v>
      </c>
      <c r="E4">
        <f t="shared" si="2"/>
        <v>6.3755224323538131E-3</v>
      </c>
    </row>
    <row r="5" spans="1:8" x14ac:dyDescent="0.25">
      <c r="A5">
        <v>0.4246365111</v>
      </c>
      <c r="B5">
        <v>0.34302369875489586</v>
      </c>
      <c r="C5">
        <f t="shared" si="0"/>
        <v>0.37386706034380002</v>
      </c>
      <c r="D5">
        <f t="shared" si="1"/>
        <v>-3.0843361588904161E-2</v>
      </c>
      <c r="E5">
        <f t="shared" si="2"/>
        <v>9.5131295410388862E-4</v>
      </c>
      <c r="G5" t="s">
        <v>2</v>
      </c>
      <c r="H5">
        <f>SUM(E1:E40)</f>
        <v>0.17727350506099782</v>
      </c>
    </row>
    <row r="6" spans="1:8" x14ac:dyDescent="0.25">
      <c r="A6">
        <v>0.49076730289999998</v>
      </c>
      <c r="B6">
        <v>0.53876575400007187</v>
      </c>
      <c r="C6">
        <f t="shared" si="0"/>
        <v>0.48125566130069108</v>
      </c>
      <c r="D6">
        <f t="shared" si="1"/>
        <v>5.7510092699380788E-2</v>
      </c>
      <c r="E6">
        <f t="shared" si="2"/>
        <v>3.3074107622913713E-3</v>
      </c>
    </row>
    <row r="7" spans="1:8" x14ac:dyDescent="0.25">
      <c r="A7">
        <v>0.55689809469999996</v>
      </c>
      <c r="B7">
        <v>0.7012506639366014</v>
      </c>
      <c r="C7">
        <f t="shared" si="0"/>
        <v>0.59225825546617372</v>
      </c>
      <c r="D7">
        <f t="shared" si="1"/>
        <v>0.10899240847042768</v>
      </c>
      <c r="E7">
        <f t="shared" si="2"/>
        <v>1.1879345104184556E-2</v>
      </c>
    </row>
    <row r="8" spans="1:8" x14ac:dyDescent="0.25">
      <c r="A8">
        <v>0.62302888649999999</v>
      </c>
      <c r="B8">
        <v>0.83712985762621395</v>
      </c>
      <c r="C8">
        <f t="shared" si="0"/>
        <v>0.70163769023210287</v>
      </c>
      <c r="D8">
        <f t="shared" si="1"/>
        <v>0.13549216739411107</v>
      </c>
      <c r="E8">
        <f t="shared" si="2"/>
        <v>1.8358127425153817E-2</v>
      </c>
    </row>
    <row r="9" spans="1:8" x14ac:dyDescent="0.25">
      <c r="A9">
        <v>0.68915967830000002</v>
      </c>
      <c r="B9">
        <v>0.93785149770382881</v>
      </c>
      <c r="C9">
        <f t="shared" si="0"/>
        <v>0.80373244492404938</v>
      </c>
      <c r="D9">
        <f t="shared" si="1"/>
        <v>0.13411905277977942</v>
      </c>
      <c r="E9">
        <f t="shared" si="2"/>
        <v>1.7987920318545257E-2</v>
      </c>
    </row>
    <row r="10" spans="1:8" x14ac:dyDescent="0.25">
      <c r="A10">
        <v>0.75529047010000006</v>
      </c>
      <c r="B10">
        <v>1.0661290581800364</v>
      </c>
      <c r="C10">
        <f t="shared" si="0"/>
        <v>0.89282858240289731</v>
      </c>
      <c r="D10">
        <f t="shared" si="1"/>
        <v>0.17330047577713914</v>
      </c>
      <c r="E10">
        <f t="shared" si="2"/>
        <v>3.0033054904582791E-2</v>
      </c>
    </row>
    <row r="11" spans="1:8" x14ac:dyDescent="0.25">
      <c r="A11">
        <v>0.82142126190000009</v>
      </c>
      <c r="B11">
        <v>1.1012866117920339</v>
      </c>
      <c r="C11">
        <f t="shared" si="0"/>
        <v>0.96360857975446024</v>
      </c>
      <c r="D11">
        <f t="shared" si="1"/>
        <v>0.13767803203757367</v>
      </c>
      <c r="E11">
        <f t="shared" si="2"/>
        <v>1.8955240505739164E-2</v>
      </c>
    </row>
    <row r="12" spans="1:8" x14ac:dyDescent="0.25">
      <c r="A12">
        <v>0.88755205370000001</v>
      </c>
      <c r="B12">
        <v>1.015768238141229</v>
      </c>
      <c r="C12">
        <f t="shared" si="0"/>
        <v>1.0116309613522121</v>
      </c>
      <c r="D12">
        <f t="shared" si="1"/>
        <v>4.1372767890168749E-3</v>
      </c>
      <c r="E12">
        <f t="shared" si="2"/>
        <v>1.7117059228937783E-5</v>
      </c>
    </row>
    <row r="13" spans="1:8" x14ac:dyDescent="0.25">
      <c r="A13">
        <v>0.95368284549999993</v>
      </c>
      <c r="B13">
        <v>1.0775315080001437</v>
      </c>
      <c r="C13">
        <f t="shared" si="0"/>
        <v>1.0337809834737444</v>
      </c>
      <c r="D13">
        <f t="shared" si="1"/>
        <v>4.3750524526399381E-2</v>
      </c>
      <c r="E13">
        <f t="shared" si="2"/>
        <v>1.9141083963350738E-3</v>
      </c>
    </row>
    <row r="14" spans="1:8" x14ac:dyDescent="0.25">
      <c r="A14">
        <v>1.0198136373</v>
      </c>
      <c r="B14">
        <v>1.0043657883211217</v>
      </c>
      <c r="C14">
        <f t="shared" si="0"/>
        <v>1.0286267722416709</v>
      </c>
      <c r="D14">
        <f t="shared" si="1"/>
        <v>-2.4260983920549206E-2</v>
      </c>
      <c r="E14">
        <f t="shared" si="2"/>
        <v>5.8859534079314709E-4</v>
      </c>
    </row>
    <row r="15" spans="1:8" x14ac:dyDescent="0.25">
      <c r="A15">
        <v>1.0859444291</v>
      </c>
      <c r="B15">
        <v>1.008166604927824</v>
      </c>
      <c r="C15">
        <f t="shared" si="0"/>
        <v>0.99662040499477034</v>
      </c>
      <c r="D15">
        <f t="shared" si="1"/>
        <v>1.1546199933053614E-2</v>
      </c>
      <c r="E15">
        <f t="shared" si="2"/>
        <v>1.3331473289404728E-4</v>
      </c>
    </row>
    <row r="16" spans="1:8" x14ac:dyDescent="0.25">
      <c r="A16">
        <v>1.1520752209</v>
      </c>
      <c r="B16">
        <v>0.84188087838459202</v>
      </c>
      <c r="C16">
        <f t="shared" si="0"/>
        <v>0.94010063916351327</v>
      </c>
      <c r="D16">
        <f t="shared" si="1"/>
        <v>-9.821976077892125E-2</v>
      </c>
      <c r="E16">
        <f t="shared" si="2"/>
        <v>9.6471214074685171E-3</v>
      </c>
    </row>
    <row r="17" spans="1:5" x14ac:dyDescent="0.25">
      <c r="A17">
        <v>1.2182060127000001</v>
      </c>
      <c r="B17">
        <v>0.82572740780610654</v>
      </c>
      <c r="C17">
        <f t="shared" si="0"/>
        <v>0.86308181248481342</v>
      </c>
      <c r="D17">
        <f t="shared" si="1"/>
        <v>-3.7354404678706876E-2</v>
      </c>
      <c r="E17">
        <f t="shared" si="2"/>
        <v>1.3953515489005981E-3</v>
      </c>
    </row>
    <row r="18" spans="1:5" x14ac:dyDescent="0.25">
      <c r="A18">
        <v>1.2843368044999999</v>
      </c>
      <c r="B18">
        <v>0.68224658090308921</v>
      </c>
      <c r="C18">
        <f t="shared" si="0"/>
        <v>0.77084745154408629</v>
      </c>
      <c r="D18">
        <f t="shared" si="1"/>
        <v>-8.8600870640997087E-2</v>
      </c>
      <c r="E18">
        <f t="shared" si="2"/>
        <v>7.8501142783426996E-3</v>
      </c>
    </row>
    <row r="19" spans="1:5" x14ac:dyDescent="0.25">
      <c r="A19">
        <v>1.3504675962999999</v>
      </c>
      <c r="B19">
        <v>0.58152494082547435</v>
      </c>
      <c r="C19">
        <f t="shared" si="0"/>
        <v>0.669400678985274</v>
      </c>
      <c r="D19">
        <f t="shared" si="1"/>
        <v>-8.7875738159799655E-2</v>
      </c>
      <c r="E19">
        <f t="shared" si="2"/>
        <v>7.7221453571296693E-3</v>
      </c>
    </row>
    <row r="20" spans="1:5" x14ac:dyDescent="0.25">
      <c r="A20">
        <v>1.4165983880999999</v>
      </c>
      <c r="B20">
        <v>0.47130125923110339</v>
      </c>
      <c r="C20">
        <f t="shared" si="0"/>
        <v>0.56484917626331954</v>
      </c>
      <c r="D20">
        <f t="shared" si="1"/>
        <v>-9.3547917032216155E-2</v>
      </c>
      <c r="E20">
        <f t="shared" si="2"/>
        <v>8.7512127810663969E-3</v>
      </c>
    </row>
    <row r="21" spans="1:5" x14ac:dyDescent="0.25">
      <c r="A21">
        <v>1.4827291799</v>
      </c>
      <c r="B21">
        <v>0.41333880597889111</v>
      </c>
      <c r="C21">
        <f t="shared" si="0"/>
        <v>0.46281399500592918</v>
      </c>
      <c r="D21">
        <f t="shared" si="1"/>
        <v>-4.9475189027038069E-2</v>
      </c>
      <c r="E21">
        <f t="shared" si="2"/>
        <v>2.447794329261148E-3</v>
      </c>
    </row>
    <row r="22" spans="1:5" x14ac:dyDescent="0.25">
      <c r="A22">
        <v>1.5488599717000002</v>
      </c>
      <c r="B22">
        <v>0.31356737005295188</v>
      </c>
      <c r="C22">
        <f t="shared" si="0"/>
        <v>0.3679457285864221</v>
      </c>
      <c r="D22">
        <f t="shared" si="1"/>
        <v>-5.4378358533470228E-2</v>
      </c>
      <c r="E22">
        <f t="shared" si="2"/>
        <v>2.9570058767946343E-3</v>
      </c>
    </row>
    <row r="23" spans="1:5" x14ac:dyDescent="0.25">
      <c r="A23">
        <v>1.6149907635</v>
      </c>
      <c r="B23">
        <v>0.25560491680073955</v>
      </c>
      <c r="C23">
        <f t="shared" si="0"/>
        <v>0.28360946557633804</v>
      </c>
      <c r="D23">
        <f t="shared" si="1"/>
        <v>-2.8004548775598492E-2</v>
      </c>
      <c r="E23">
        <f t="shared" si="2"/>
        <v>7.8425475212487504E-4</v>
      </c>
    </row>
    <row r="24" spans="1:5" x14ac:dyDescent="0.25">
      <c r="A24">
        <v>1.6811215552999998</v>
      </c>
      <c r="B24">
        <v>0.20619430091360774</v>
      </c>
      <c r="C24">
        <f t="shared" si="0"/>
        <v>0.21176668859159797</v>
      </c>
      <c r="D24">
        <f t="shared" si="1"/>
        <v>-5.5723876779902315E-3</v>
      </c>
      <c r="E24">
        <f t="shared" si="2"/>
        <v>3.1051504433817367E-5</v>
      </c>
    </row>
    <row r="25" spans="1:5" x14ac:dyDescent="0.25">
      <c r="A25">
        <v>1.7472523470999999</v>
      </c>
      <c r="B25">
        <v>0.15108246011642226</v>
      </c>
      <c r="C25">
        <f t="shared" si="0"/>
        <v>0.15304577408426878</v>
      </c>
      <c r="D25">
        <f t="shared" si="1"/>
        <v>-1.9633139678465195E-3</v>
      </c>
      <c r="E25">
        <f t="shared" si="2"/>
        <v>3.854601736341244E-6</v>
      </c>
    </row>
    <row r="26" spans="1:5" x14ac:dyDescent="0.25">
      <c r="A26">
        <v>1.8133831388999999</v>
      </c>
      <c r="B26">
        <v>0.12827756047620759</v>
      </c>
      <c r="C26">
        <f t="shared" si="0"/>
        <v>0.10696143697517084</v>
      </c>
      <c r="D26">
        <f t="shared" si="1"/>
        <v>2.1316123501036746E-2</v>
      </c>
      <c r="E26">
        <f t="shared" si="2"/>
        <v>4.5437712111145106E-4</v>
      </c>
    </row>
    <row r="27" spans="1:5" x14ac:dyDescent="0.25">
      <c r="A27">
        <v>1.8795139306999999</v>
      </c>
      <c r="B27">
        <v>0.10262204838096607</v>
      </c>
      <c r="C27">
        <f t="shared" si="0"/>
        <v>7.2223920183476314E-2</v>
      </c>
      <c r="D27">
        <f t="shared" si="1"/>
        <v>3.0398128197489757E-2</v>
      </c>
      <c r="E27">
        <f t="shared" si="2"/>
        <v>9.2404619791102186E-4</v>
      </c>
    </row>
    <row r="28" spans="1:5" x14ac:dyDescent="0.25">
      <c r="A28">
        <v>1.9456447225</v>
      </c>
      <c r="B28">
        <v>6.6514290617292818E-2</v>
      </c>
      <c r="C28">
        <f t="shared" si="0"/>
        <v>4.7073916952780633E-2</v>
      </c>
      <c r="D28">
        <f t="shared" si="1"/>
        <v>1.9440373664512185E-2</v>
      </c>
      <c r="E28">
        <f t="shared" si="2"/>
        <v>3.7792812821585891E-4</v>
      </c>
    </row>
    <row r="29" spans="1:5" x14ac:dyDescent="0.25">
      <c r="A29">
        <v>2.0117755143</v>
      </c>
      <c r="B29">
        <v>3.8958370218700078E-2</v>
      </c>
      <c r="C29">
        <f t="shared" si="0"/>
        <v>2.9587993351140818E-2</v>
      </c>
      <c r="D29">
        <f t="shared" si="1"/>
        <v>9.3703768675592602E-3</v>
      </c>
      <c r="E29">
        <f t="shared" si="2"/>
        <v>8.7803962640089697E-5</v>
      </c>
    </row>
    <row r="30" spans="1:5" x14ac:dyDescent="0.25">
      <c r="A30">
        <v>2.0779063061</v>
      </c>
      <c r="B30">
        <v>3.8958370218700078E-2</v>
      </c>
      <c r="C30">
        <f t="shared" si="0"/>
        <v>1.7917233491497327E-2</v>
      </c>
      <c r="D30">
        <f t="shared" si="1"/>
        <v>2.1041136727202751E-2</v>
      </c>
      <c r="E30">
        <f t="shared" si="2"/>
        <v>4.427294347728405E-4</v>
      </c>
    </row>
    <row r="31" spans="1:5" x14ac:dyDescent="0.25">
      <c r="A31">
        <v>2.1440370979000001</v>
      </c>
      <c r="B31">
        <v>2.4705307943565905E-2</v>
      </c>
      <c r="C31">
        <f t="shared" si="0"/>
        <v>1.0443012111776808E-2</v>
      </c>
      <c r="D31">
        <f t="shared" si="1"/>
        <v>1.4262295831789097E-2</v>
      </c>
      <c r="E31">
        <f t="shared" si="2"/>
        <v>2.0341308239346865E-4</v>
      </c>
    </row>
    <row r="32" spans="1:5" x14ac:dyDescent="0.25">
      <c r="A32">
        <v>2.2101678897000001</v>
      </c>
      <c r="B32">
        <v>1.5203266426809787E-2</v>
      </c>
      <c r="C32">
        <f t="shared" si="0"/>
        <v>5.8526772382549268E-3</v>
      </c>
      <c r="D32">
        <f t="shared" si="1"/>
        <v>9.3505891885548604E-3</v>
      </c>
      <c r="E32">
        <f t="shared" si="2"/>
        <v>8.7433518173119038E-5</v>
      </c>
    </row>
    <row r="33" spans="1:5" x14ac:dyDescent="0.25">
      <c r="A33">
        <v>2.2762986815000001</v>
      </c>
      <c r="B33">
        <v>1.0452245668431729E-2</v>
      </c>
      <c r="C33">
        <f t="shared" si="0"/>
        <v>3.1508516705196481E-3</v>
      </c>
      <c r="D33">
        <f t="shared" si="1"/>
        <v>7.3013939979120809E-3</v>
      </c>
      <c r="E33">
        <f t="shared" si="2"/>
        <v>5.3310354312746558E-5</v>
      </c>
    </row>
    <row r="34" spans="1:5" x14ac:dyDescent="0.25">
      <c r="A34">
        <v>2.3424294732999997</v>
      </c>
      <c r="B34">
        <v>8.5518373650805054E-3</v>
      </c>
      <c r="C34">
        <f t="shared" si="0"/>
        <v>1.6278452677161194E-3</v>
      </c>
      <c r="D34">
        <f t="shared" si="1"/>
        <v>6.923992097364386E-3</v>
      </c>
      <c r="E34">
        <f t="shared" si="2"/>
        <v>4.7941666564364469E-5</v>
      </c>
    </row>
    <row r="35" spans="1:5" x14ac:dyDescent="0.25">
      <c r="A35">
        <v>2.4085602651000002</v>
      </c>
      <c r="B35">
        <v>3.8008166067024468E-3</v>
      </c>
      <c r="C35">
        <f t="shared" si="0"/>
        <v>8.0625838420336803E-4</v>
      </c>
      <c r="D35">
        <f t="shared" si="1"/>
        <v>2.9945582224990787E-3</v>
      </c>
      <c r="E35">
        <f t="shared" si="2"/>
        <v>8.9673789479368412E-6</v>
      </c>
    </row>
    <row r="36" spans="1:5" x14ac:dyDescent="0.25">
      <c r="A36">
        <v>2.4746910569000002</v>
      </c>
      <c r="B36">
        <v>2.850612455026835E-3</v>
      </c>
      <c r="C36">
        <f t="shared" si="0"/>
        <v>3.8244842710600575E-4</v>
      </c>
      <c r="D36">
        <f t="shared" si="1"/>
        <v>2.4681640279208294E-3</v>
      </c>
      <c r="E36">
        <f t="shared" si="2"/>
        <v>6.091833668722373E-6</v>
      </c>
    </row>
    <row r="37" spans="1:5" x14ac:dyDescent="0.25">
      <c r="A37">
        <v>2.5408218487000003</v>
      </c>
      <c r="B37">
        <v>9.502041516756117E-4</v>
      </c>
      <c r="C37">
        <f t="shared" si="0"/>
        <v>1.7356744699683087E-4</v>
      </c>
      <c r="D37">
        <f t="shared" si="1"/>
        <v>7.7663670467878086E-4</v>
      </c>
      <c r="E37">
        <f t="shared" si="2"/>
        <v>6.031645710543159E-7</v>
      </c>
    </row>
    <row r="38" spans="1:5" x14ac:dyDescent="0.25">
      <c r="A38">
        <v>2.6069526405000003</v>
      </c>
      <c r="B38">
        <v>1.9004083033512234E-3</v>
      </c>
      <c r="C38">
        <f t="shared" si="0"/>
        <v>7.5286595443166044E-5</v>
      </c>
      <c r="D38">
        <f t="shared" si="1"/>
        <v>1.8251217079080573E-3</v>
      </c>
      <c r="E38">
        <f t="shared" si="2"/>
        <v>3.331069248677224E-6</v>
      </c>
    </row>
    <row r="39" spans="1:5" x14ac:dyDescent="0.25">
      <c r="A39">
        <v>2.6730834322999999</v>
      </c>
      <c r="B39">
        <v>0</v>
      </c>
      <c r="C39">
        <f t="shared" si="0"/>
        <v>3.1180026141182782E-5</v>
      </c>
      <c r="D39">
        <f t="shared" si="1"/>
        <v>-3.1180026141182782E-5</v>
      </c>
      <c r="E39">
        <f t="shared" si="2"/>
        <v>9.7219403016484168E-10</v>
      </c>
    </row>
    <row r="40" spans="1:5" x14ac:dyDescent="0.25">
      <c r="A40">
        <v>2.7392142240999999</v>
      </c>
      <c r="B40">
        <v>9.502041516756117E-4</v>
      </c>
      <c r="C40">
        <f t="shared" si="0"/>
        <v>1.2316820421056449E-5</v>
      </c>
      <c r="D40">
        <f t="shared" si="1"/>
        <v>9.3788733125455524E-4</v>
      </c>
      <c r="E40">
        <f t="shared" si="2"/>
        <v>8.7963264612779182E-7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2B01-CD22-472E-9738-B9B43863FCA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0.23812223885</v>
      </c>
      <c r="B1">
        <v>1.1354412518349104E-3</v>
      </c>
      <c r="C1">
        <f>$H$3*(1+$H$1)*(A1^($H$1))*EXP(-$H$3*(A1^(1+$H$1)))</f>
        <v>6.0488965410813514E-2</v>
      </c>
      <c r="D1">
        <f>B1-C1</f>
        <v>-5.9353524158978606E-2</v>
      </c>
      <c r="E1">
        <f>D1^2</f>
        <v>3.522840830090457E-3</v>
      </c>
      <c r="G1" t="s">
        <v>0</v>
      </c>
      <c r="H1">
        <v>2.5804315888974094</v>
      </c>
    </row>
    <row r="2" spans="1:8" x14ac:dyDescent="0.25">
      <c r="A2">
        <v>0.29346438255000001</v>
      </c>
      <c r="B2">
        <v>1.7031618777523655E-2</v>
      </c>
      <c r="C2">
        <f t="shared" ref="C2:C40" si="0">$H$3*(1+$H$1)*(A2^($H$1))*EXP(-$H$3*(A2^(1+$H$1)))</f>
        <v>0.10325511225737902</v>
      </c>
      <c r="D2">
        <f t="shared" ref="D2:D40" si="1">B2-C2</f>
        <v>-8.6223493479855362E-2</v>
      </c>
      <c r="E2">
        <f t="shared" ref="E2:E40" si="2">D2^2</f>
        <v>7.4344908278706602E-3</v>
      </c>
    </row>
    <row r="3" spans="1:8" x14ac:dyDescent="0.25">
      <c r="A3">
        <v>0.34880652625000003</v>
      </c>
      <c r="B3">
        <v>4.8823973828901142E-2</v>
      </c>
      <c r="C3">
        <f t="shared" si="0"/>
        <v>0.16008298018232198</v>
      </c>
      <c r="D3">
        <f t="shared" si="1"/>
        <v>-0.11125900635342084</v>
      </c>
      <c r="E3">
        <f t="shared" si="2"/>
        <v>1.237856649475054E-2</v>
      </c>
      <c r="G3" t="s">
        <v>1</v>
      </c>
      <c r="H3">
        <f>(_xlfn.GAMMA((2+$H$1)/(1+$H$1)))^(1+$H$1)</f>
        <v>0.68805008628595665</v>
      </c>
    </row>
    <row r="4" spans="1:8" x14ac:dyDescent="0.25">
      <c r="A4">
        <v>0.40414866995000004</v>
      </c>
      <c r="B4">
        <v>0.10786691892431648</v>
      </c>
      <c r="C4">
        <f t="shared" si="0"/>
        <v>0.23152774992076744</v>
      </c>
      <c r="D4">
        <f t="shared" si="1"/>
        <v>-0.12366083099645096</v>
      </c>
      <c r="E4">
        <f t="shared" si="2"/>
        <v>1.5292001122732808E-2</v>
      </c>
    </row>
    <row r="5" spans="1:8" x14ac:dyDescent="0.25">
      <c r="A5">
        <v>0.45949081365</v>
      </c>
      <c r="B5">
        <v>0.23390089787799151</v>
      </c>
      <c r="C5">
        <f t="shared" si="0"/>
        <v>0.31741309666626349</v>
      </c>
      <c r="D5">
        <f t="shared" si="1"/>
        <v>-8.3512198788271985E-2</v>
      </c>
      <c r="E5">
        <f t="shared" si="2"/>
        <v>6.9742873464518568E-3</v>
      </c>
      <c r="G5" t="s">
        <v>2</v>
      </c>
      <c r="H5">
        <f>SUM(E1:E40)</f>
        <v>0.33299346968313215</v>
      </c>
    </row>
    <row r="6" spans="1:8" x14ac:dyDescent="0.25">
      <c r="A6">
        <v>0.51483295735000001</v>
      </c>
      <c r="B6">
        <v>0.41897782192708188</v>
      </c>
      <c r="C6">
        <f t="shared" si="0"/>
        <v>0.41667174309234795</v>
      </c>
      <c r="D6">
        <f t="shared" si="1"/>
        <v>2.3060788347339378E-3</v>
      </c>
      <c r="E6">
        <f t="shared" si="2"/>
        <v>5.3179995920078367E-6</v>
      </c>
    </row>
    <row r="7" spans="1:8" x14ac:dyDescent="0.25">
      <c r="A7">
        <v>0.57017510105000002</v>
      </c>
      <c r="B7">
        <v>0.59156489220598829</v>
      </c>
      <c r="C7">
        <f t="shared" si="0"/>
        <v>0.52719897626457513</v>
      </c>
      <c r="D7">
        <f t="shared" si="1"/>
        <v>6.4365915941413165E-2</v>
      </c>
      <c r="E7">
        <f t="shared" si="2"/>
        <v>4.1429711349770656E-3</v>
      </c>
    </row>
    <row r="8" spans="1:8" x14ac:dyDescent="0.25">
      <c r="A8">
        <v>0.62551724475000003</v>
      </c>
      <c r="B8">
        <v>0.77437093375140886</v>
      </c>
      <c r="C8">
        <f t="shared" si="0"/>
        <v>0.64575105750882356</v>
      </c>
      <c r="D8">
        <f t="shared" si="1"/>
        <v>0.12861987624258531</v>
      </c>
      <c r="E8">
        <f t="shared" si="2"/>
        <v>1.6543072564657962E-2</v>
      </c>
    </row>
    <row r="9" spans="1:8" x14ac:dyDescent="0.25">
      <c r="A9">
        <v>0.68085938845000005</v>
      </c>
      <c r="B9">
        <v>0.97761491782985777</v>
      </c>
      <c r="C9">
        <f t="shared" si="0"/>
        <v>0.76792412188492665</v>
      </c>
      <c r="D9">
        <f t="shared" si="1"/>
        <v>0.20969079594493112</v>
      </c>
      <c r="E9">
        <f t="shared" si="2"/>
        <v>4.3970229904018741E-2</v>
      </c>
    </row>
    <row r="10" spans="1:8" x14ac:dyDescent="0.25">
      <c r="A10">
        <v>0.73620153214999995</v>
      </c>
      <c r="B10">
        <v>1.0366578629252732</v>
      </c>
      <c r="C10">
        <f t="shared" si="0"/>
        <v>0.88824894256048359</v>
      </c>
      <c r="D10">
        <f t="shared" si="1"/>
        <v>0.14840892036478959</v>
      </c>
      <c r="E10">
        <f t="shared" si="2"/>
        <v>2.2025207643842457E-2</v>
      </c>
    </row>
    <row r="11" spans="1:8" x14ac:dyDescent="0.25">
      <c r="A11">
        <v>0.79154367585000007</v>
      </c>
      <c r="B11">
        <v>1.2751005258106043</v>
      </c>
      <c r="C11">
        <f t="shared" si="0"/>
        <v>1.0004303083880526</v>
      </c>
      <c r="D11">
        <f t="shared" si="1"/>
        <v>0.27467021742255171</v>
      </c>
      <c r="E11">
        <f t="shared" si="2"/>
        <v>7.5443728338951827E-2</v>
      </c>
    </row>
    <row r="12" spans="1:8" x14ac:dyDescent="0.25">
      <c r="A12">
        <v>0.84688581954999997</v>
      </c>
      <c r="B12">
        <v>1.2353600819963824</v>
      </c>
      <c r="C12">
        <f t="shared" si="0"/>
        <v>1.0977448706236796</v>
      </c>
      <c r="D12">
        <f t="shared" si="1"/>
        <v>0.13761521137270272</v>
      </c>
      <c r="E12">
        <f t="shared" si="2"/>
        <v>1.8937946401153646E-2</v>
      </c>
    </row>
    <row r="13" spans="1:8" x14ac:dyDescent="0.25">
      <c r="A13">
        <v>0.90222796324999999</v>
      </c>
      <c r="B13">
        <v>1.252391700773906</v>
      </c>
      <c r="C13">
        <f t="shared" si="0"/>
        <v>1.1735877224919717</v>
      </c>
      <c r="D13">
        <f t="shared" si="1"/>
        <v>7.8803978281934306E-2</v>
      </c>
      <c r="E13">
        <f t="shared" si="2"/>
        <v>6.210066993059574E-3</v>
      </c>
    </row>
    <row r="14" spans="1:8" x14ac:dyDescent="0.25">
      <c r="A14">
        <v>0.95757010695</v>
      </c>
      <c r="B14">
        <v>1.2819131733216138</v>
      </c>
      <c r="C14">
        <f t="shared" si="0"/>
        <v>1.2221275201142658</v>
      </c>
      <c r="D14">
        <f t="shared" si="1"/>
        <v>5.9785653207347966E-2</v>
      </c>
      <c r="E14">
        <f t="shared" si="2"/>
        <v>3.5743243294292762E-3</v>
      </c>
    </row>
    <row r="15" spans="1:8" x14ac:dyDescent="0.25">
      <c r="A15">
        <v>1.0129122506499999</v>
      </c>
      <c r="B15">
        <v>1.2512562595220711</v>
      </c>
      <c r="C15">
        <f t="shared" si="0"/>
        <v>1.2389973134445686</v>
      </c>
      <c r="D15">
        <f t="shared" si="1"/>
        <v>1.2258946077502442E-2</v>
      </c>
      <c r="E15">
        <f t="shared" si="2"/>
        <v>1.502817589311125E-4</v>
      </c>
    </row>
    <row r="16" spans="1:8" x14ac:dyDescent="0.25">
      <c r="A16">
        <v>1.0682543943500002</v>
      </c>
      <c r="B16">
        <v>1.2115158157078494</v>
      </c>
      <c r="C16">
        <f t="shared" si="0"/>
        <v>1.2219208243261488</v>
      </c>
      <c r="D16">
        <f t="shared" si="1"/>
        <v>-1.0405008618299405E-2</v>
      </c>
      <c r="E16">
        <f t="shared" si="2"/>
        <v>1.0826420434688489E-4</v>
      </c>
    </row>
    <row r="17" spans="1:5" x14ac:dyDescent="0.25">
      <c r="A17">
        <v>1.1235965380500001</v>
      </c>
      <c r="B17">
        <v>1.0684502179766506</v>
      </c>
      <c r="C17">
        <f t="shared" si="0"/>
        <v>1.1711606107020682</v>
      </c>
      <c r="D17">
        <f t="shared" si="1"/>
        <v>-0.1027103927254176</v>
      </c>
      <c r="E17">
        <f t="shared" si="2"/>
        <v>1.0549424773809516E-2</v>
      </c>
    </row>
    <row r="18" spans="1:5" x14ac:dyDescent="0.25">
      <c r="A18">
        <v>1.1789386817500001</v>
      </c>
      <c r="B18">
        <v>0.98102124158536252</v>
      </c>
      <c r="C18">
        <f t="shared" si="0"/>
        <v>1.0896835191631236</v>
      </c>
      <c r="D18">
        <f t="shared" si="1"/>
        <v>-0.10866227757776104</v>
      </c>
      <c r="E18">
        <f t="shared" si="2"/>
        <v>1.1807490568386389E-2</v>
      </c>
    </row>
    <row r="19" spans="1:5" x14ac:dyDescent="0.25">
      <c r="A19">
        <v>1.23428082545</v>
      </c>
      <c r="B19">
        <v>0.84249740886150348</v>
      </c>
      <c r="C19">
        <f t="shared" si="0"/>
        <v>0.98297429392075908</v>
      </c>
      <c r="D19">
        <f t="shared" si="1"/>
        <v>-0.1404768850592556</v>
      </c>
      <c r="E19">
        <f t="shared" si="2"/>
        <v>1.9733755235951309E-2</v>
      </c>
    </row>
    <row r="20" spans="1:5" x14ac:dyDescent="0.25">
      <c r="A20">
        <v>1.2896229691499999</v>
      </c>
      <c r="B20">
        <v>0.75961019747755498</v>
      </c>
      <c r="C20">
        <f t="shared" si="0"/>
        <v>0.85848763309061049</v>
      </c>
      <c r="D20">
        <f t="shared" si="1"/>
        <v>-9.8877435613055509E-2</v>
      </c>
      <c r="E20">
        <f t="shared" si="2"/>
        <v>9.7767472734139379E-3</v>
      </c>
    </row>
    <row r="21" spans="1:5" x14ac:dyDescent="0.25">
      <c r="A21">
        <v>1.3449651128500002</v>
      </c>
      <c r="B21">
        <v>0.60178386347250246</v>
      </c>
      <c r="C21">
        <f t="shared" si="0"/>
        <v>0.72480164355345844</v>
      </c>
      <c r="D21">
        <f t="shared" si="1"/>
        <v>-0.12301778008095599</v>
      </c>
      <c r="E21">
        <f t="shared" si="2"/>
        <v>1.5133374216046451E-2</v>
      </c>
    </row>
    <row r="22" spans="1:5" x14ac:dyDescent="0.25">
      <c r="A22">
        <v>1.4003072565500001</v>
      </c>
      <c r="B22">
        <v>0.47688532577066234</v>
      </c>
      <c r="C22">
        <f t="shared" si="0"/>
        <v>0.59060399155979004</v>
      </c>
      <c r="D22">
        <f t="shared" si="1"/>
        <v>-0.1137186657891277</v>
      </c>
      <c r="E22">
        <f t="shared" si="2"/>
        <v>1.2931934948859324E-2</v>
      </c>
    </row>
    <row r="23" spans="1:5" x14ac:dyDescent="0.25">
      <c r="A23">
        <v>1.45564940025</v>
      </c>
      <c r="B23">
        <v>0.36674752434267605</v>
      </c>
      <c r="C23">
        <f t="shared" si="0"/>
        <v>0.46368616687123776</v>
      </c>
      <c r="D23">
        <f t="shared" si="1"/>
        <v>-9.6938642528561714E-2</v>
      </c>
      <c r="E23">
        <f t="shared" si="2"/>
        <v>9.397100415280274E-3</v>
      </c>
    </row>
    <row r="24" spans="1:5" x14ac:dyDescent="0.25">
      <c r="A24">
        <v>1.5109915439499999</v>
      </c>
      <c r="B24">
        <v>0.31338178550643525</v>
      </c>
      <c r="C24">
        <f t="shared" si="0"/>
        <v>0.35012555225474895</v>
      </c>
      <c r="D24">
        <f t="shared" si="1"/>
        <v>-3.67437667483137E-2</v>
      </c>
      <c r="E24">
        <f t="shared" si="2"/>
        <v>1.3501043948544835E-3</v>
      </c>
    </row>
    <row r="25" spans="1:5" x14ac:dyDescent="0.25">
      <c r="A25">
        <v>1.5663336876499998</v>
      </c>
      <c r="B25">
        <v>0.26115148792202936</v>
      </c>
      <c r="C25">
        <f t="shared" si="0"/>
        <v>0.25379456470602318</v>
      </c>
      <c r="D25">
        <f t="shared" si="1"/>
        <v>7.3569232160061726E-3</v>
      </c>
      <c r="E25">
        <f t="shared" si="2"/>
        <v>5.4124319206210603E-5</v>
      </c>
    </row>
    <row r="26" spans="1:5" x14ac:dyDescent="0.25">
      <c r="A26">
        <v>1.6216758313500002</v>
      </c>
      <c r="B26">
        <v>0.20097310157477913</v>
      </c>
      <c r="C26">
        <f t="shared" si="0"/>
        <v>0.17626028654575523</v>
      </c>
      <c r="D26">
        <f t="shared" si="1"/>
        <v>2.4712815029023893E-2</v>
      </c>
      <c r="E26">
        <f t="shared" si="2"/>
        <v>6.1072322665874925E-4</v>
      </c>
    </row>
    <row r="27" spans="1:5" x14ac:dyDescent="0.25">
      <c r="A27">
        <v>1.6770179750500001</v>
      </c>
      <c r="B27">
        <v>0.14533648023486853</v>
      </c>
      <c r="C27">
        <f t="shared" si="0"/>
        <v>0.11704823478810963</v>
      </c>
      <c r="D27">
        <f t="shared" si="1"/>
        <v>2.8288245446758897E-2</v>
      </c>
      <c r="E27">
        <f t="shared" si="2"/>
        <v>8.0022483045607553E-4</v>
      </c>
    </row>
    <row r="28" spans="1:5" x14ac:dyDescent="0.25">
      <c r="A28">
        <v>1.73236011875</v>
      </c>
      <c r="B28">
        <v>0.11240868393165612</v>
      </c>
      <c r="C28">
        <f t="shared" si="0"/>
        <v>7.4166801677724409E-2</v>
      </c>
      <c r="D28">
        <f t="shared" si="1"/>
        <v>3.8241882253931714E-2</v>
      </c>
      <c r="E28">
        <f t="shared" si="2"/>
        <v>1.4624415583235773E-3</v>
      </c>
    </row>
    <row r="29" spans="1:5" x14ac:dyDescent="0.25">
      <c r="A29">
        <v>1.7877022624499999</v>
      </c>
      <c r="B29">
        <v>6.9261916361929535E-2</v>
      </c>
      <c r="C29">
        <f t="shared" si="0"/>
        <v>4.4746331412883159E-2</v>
      </c>
      <c r="D29">
        <f t="shared" si="1"/>
        <v>2.4515584949046376E-2</v>
      </c>
      <c r="E29">
        <f t="shared" si="2"/>
        <v>6.0101390539390922E-4</v>
      </c>
    </row>
    <row r="30" spans="1:5" x14ac:dyDescent="0.25">
      <c r="A30">
        <v>1.8430444061500002</v>
      </c>
      <c r="B30">
        <v>5.7907503843580427E-2</v>
      </c>
      <c r="C30">
        <f t="shared" si="0"/>
        <v>2.564788398241593E-2</v>
      </c>
      <c r="D30">
        <f t="shared" si="1"/>
        <v>3.2259619861164497E-2</v>
      </c>
      <c r="E30">
        <f t="shared" si="2"/>
        <v>1.0406830735868388E-3</v>
      </c>
    </row>
    <row r="31" spans="1:5" x14ac:dyDescent="0.25">
      <c r="A31">
        <v>1.8983865498500001</v>
      </c>
      <c r="B31">
        <v>3.7469561310552041E-2</v>
      </c>
      <c r="C31">
        <f t="shared" si="0"/>
        <v>1.3935099498289987E-2</v>
      </c>
      <c r="D31">
        <f t="shared" si="1"/>
        <v>2.3534461812262056E-2</v>
      </c>
      <c r="E31">
        <f t="shared" si="2"/>
        <v>5.5387089279282104E-4</v>
      </c>
    </row>
    <row r="32" spans="1:5" x14ac:dyDescent="0.25">
      <c r="A32">
        <v>1.95372869355</v>
      </c>
      <c r="B32">
        <v>2.2708825036698205E-2</v>
      </c>
      <c r="C32">
        <f t="shared" si="0"/>
        <v>7.1602366401337303E-3</v>
      </c>
      <c r="D32">
        <f t="shared" si="1"/>
        <v>1.5548588396564474E-2</v>
      </c>
      <c r="E32">
        <f t="shared" si="2"/>
        <v>2.417586011257794E-4</v>
      </c>
    </row>
    <row r="33" spans="1:5" x14ac:dyDescent="0.25">
      <c r="A33">
        <v>2.0090708372499999</v>
      </c>
      <c r="B33">
        <v>1.5896177525688743E-2</v>
      </c>
      <c r="C33">
        <f t="shared" si="0"/>
        <v>3.4711610159753226E-3</v>
      </c>
      <c r="D33">
        <f t="shared" si="1"/>
        <v>1.2425016509713421E-2</v>
      </c>
      <c r="E33">
        <f t="shared" si="2"/>
        <v>1.543810352666511E-4</v>
      </c>
    </row>
    <row r="34" spans="1:5" x14ac:dyDescent="0.25">
      <c r="A34">
        <v>2.0644129809499998</v>
      </c>
      <c r="B34">
        <v>7.9480887628443717E-3</v>
      </c>
      <c r="C34">
        <f t="shared" si="0"/>
        <v>1.5838033649385305E-3</v>
      </c>
      <c r="D34">
        <f t="shared" si="1"/>
        <v>6.364285397905841E-3</v>
      </c>
      <c r="E34">
        <f t="shared" si="2"/>
        <v>4.0504128625997512E-5</v>
      </c>
    </row>
    <row r="35" spans="1:5" x14ac:dyDescent="0.25">
      <c r="A35">
        <v>2.1197551246500002</v>
      </c>
      <c r="B35">
        <v>3.406323755504731E-3</v>
      </c>
      <c r="C35">
        <f t="shared" si="0"/>
        <v>6.7847571209644377E-4</v>
      </c>
      <c r="D35">
        <f t="shared" si="1"/>
        <v>2.7278480434082871E-3</v>
      </c>
      <c r="E35">
        <f t="shared" si="2"/>
        <v>7.4411549479264204E-6</v>
      </c>
    </row>
    <row r="36" spans="1:5" x14ac:dyDescent="0.25">
      <c r="A36">
        <v>2.1750972683500001</v>
      </c>
      <c r="B36">
        <v>5.6772062591745514E-3</v>
      </c>
      <c r="C36">
        <f t="shared" si="0"/>
        <v>2.721951031815882E-4</v>
      </c>
      <c r="D36">
        <f t="shared" si="1"/>
        <v>5.4050111559929628E-3</v>
      </c>
      <c r="E36">
        <f t="shared" si="2"/>
        <v>2.9214145596408385E-5</v>
      </c>
    </row>
    <row r="37" spans="1:5" x14ac:dyDescent="0.25">
      <c r="A37">
        <v>2.23043941205</v>
      </c>
      <c r="B37">
        <v>1.1354412518349104E-3</v>
      </c>
      <c r="C37">
        <f t="shared" si="0"/>
        <v>1.0200588278039396E-4</v>
      </c>
      <c r="D37">
        <f t="shared" si="1"/>
        <v>1.0334353690545164E-3</v>
      </c>
      <c r="E37">
        <f t="shared" si="2"/>
        <v>1.0679886620128446E-6</v>
      </c>
    </row>
    <row r="38" spans="1:5" x14ac:dyDescent="0.25">
      <c r="A38">
        <v>2.2857815557499999</v>
      </c>
      <c r="B38">
        <v>1.1354412518349104E-3</v>
      </c>
      <c r="C38">
        <f t="shared" si="0"/>
        <v>3.5615169507179625E-5</v>
      </c>
      <c r="D38">
        <f t="shared" si="1"/>
        <v>1.0998260823277307E-3</v>
      </c>
      <c r="E38">
        <f t="shared" si="2"/>
        <v>1.2096174113683642E-6</v>
      </c>
    </row>
    <row r="39" spans="1:5" x14ac:dyDescent="0.25">
      <c r="A39">
        <v>2.3411236994499998</v>
      </c>
      <c r="B39">
        <v>0</v>
      </c>
      <c r="C39">
        <f t="shared" si="0"/>
        <v>1.1554632972626604E-5</v>
      </c>
      <c r="D39">
        <f t="shared" si="1"/>
        <v>-1.1554632972626604E-5</v>
      </c>
      <c r="E39">
        <f t="shared" si="2"/>
        <v>1.3350954313210991E-10</v>
      </c>
    </row>
    <row r="40" spans="1:5" x14ac:dyDescent="0.25">
      <c r="A40">
        <v>2.3964658431500001</v>
      </c>
      <c r="B40">
        <v>1.1354412518349104E-3</v>
      </c>
      <c r="C40">
        <f t="shared" si="0"/>
        <v>3.4738893614297427E-6</v>
      </c>
      <c r="D40">
        <f t="shared" si="1"/>
        <v>1.1319673624734807E-3</v>
      </c>
      <c r="E40">
        <f t="shared" si="2"/>
        <v>1.2813501097051684E-6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FE2E-0589-450C-8CCA-2397C5C3ECF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0.3011771136875</v>
      </c>
      <c r="B1">
        <v>1.288856309320548E-3</v>
      </c>
      <c r="C1">
        <f>$H$3*(1+$H$1)*(A1^($H$1))*EXP(-$H$3*(A1^(1+$H$1)))</f>
        <v>6.5629320848096862E-2</v>
      </c>
      <c r="D1">
        <f>B1-C1</f>
        <v>-6.4340464538776315E-2</v>
      </c>
      <c r="E1">
        <f>D1^2</f>
        <v>4.1396953770655321E-3</v>
      </c>
      <c r="G1" t="s">
        <v>0</v>
      </c>
      <c r="H1">
        <v>3.1126278074633262</v>
      </c>
    </row>
    <row r="2" spans="1:8" x14ac:dyDescent="0.25">
      <c r="A2">
        <v>0.34993177506249995</v>
      </c>
      <c r="B2">
        <v>1.6755132021167123E-2</v>
      </c>
      <c r="C2">
        <f t="shared" ref="C2:C40" si="0">$H$3*(1+$H$1)*(A2^($H$1))*EXP(-$H$3*(A2^(1+$H$1)))</f>
        <v>0.1042632053143293</v>
      </c>
      <c r="D2">
        <f t="shared" ref="D2:D40" si="1">B2-C2</f>
        <v>-8.7508073293162181E-2</v>
      </c>
      <c r="E2">
        <f t="shared" ref="E2:E40" si="2">D2^2</f>
        <v>7.6576628914814442E-3</v>
      </c>
    </row>
    <row r="3" spans="1:8" x14ac:dyDescent="0.25">
      <c r="A3">
        <v>0.39868643643750001</v>
      </c>
      <c r="B3">
        <v>3.4799120351654798E-2</v>
      </c>
      <c r="C3">
        <f t="shared" si="0"/>
        <v>0.15548758717741146</v>
      </c>
      <c r="D3">
        <f t="shared" si="1"/>
        <v>-0.12068846682575665</v>
      </c>
      <c r="E3">
        <f t="shared" si="2"/>
        <v>1.4565706024751764E-2</v>
      </c>
      <c r="G3" t="s">
        <v>1</v>
      </c>
      <c r="H3">
        <f>(_xlfn.GAMMA((2+$H$1)/(1+$H$1)))^(1+$H$1)</f>
        <v>0.67190696836256303</v>
      </c>
    </row>
    <row r="4" spans="1:8" x14ac:dyDescent="0.25">
      <c r="A4">
        <v>0.44744109781250002</v>
      </c>
      <c r="B4">
        <v>9.2797654271079458E-2</v>
      </c>
      <c r="C4">
        <f t="shared" si="0"/>
        <v>0.220605403946186</v>
      </c>
      <c r="D4">
        <f t="shared" si="1"/>
        <v>-0.12780774967510655</v>
      </c>
      <c r="E4">
        <f t="shared" si="2"/>
        <v>1.63348208770147E-2</v>
      </c>
    </row>
    <row r="5" spans="1:8" x14ac:dyDescent="0.25">
      <c r="A5">
        <v>0.49619575918750003</v>
      </c>
      <c r="B5">
        <v>0.19332844639808219</v>
      </c>
      <c r="C5">
        <f t="shared" si="0"/>
        <v>0.30044373813317854</v>
      </c>
      <c r="D5">
        <f t="shared" si="1"/>
        <v>-0.10711529173509635</v>
      </c>
      <c r="E5">
        <f t="shared" si="2"/>
        <v>1.14736857234948E-2</v>
      </c>
      <c r="G5" t="s">
        <v>2</v>
      </c>
      <c r="H5">
        <f>SUM(E1:E40)</f>
        <v>0.51442347591951554</v>
      </c>
    </row>
    <row r="6" spans="1:8" x14ac:dyDescent="0.25">
      <c r="A6">
        <v>0.54495042056249998</v>
      </c>
      <c r="B6">
        <v>0.32479178994877811</v>
      </c>
      <c r="C6">
        <f t="shared" si="0"/>
        <v>0.39515901451335683</v>
      </c>
      <c r="D6">
        <f t="shared" si="1"/>
        <v>-7.0367224564578723E-2</v>
      </c>
      <c r="E6">
        <f t="shared" si="2"/>
        <v>4.9515462929218511E-3</v>
      </c>
    </row>
    <row r="7" spans="1:8" x14ac:dyDescent="0.25">
      <c r="A7">
        <v>0.59370508193750005</v>
      </c>
      <c r="B7">
        <v>0.58127419550356718</v>
      </c>
      <c r="C7">
        <f t="shared" si="0"/>
        <v>0.50402325734057341</v>
      </c>
      <c r="D7">
        <f t="shared" si="1"/>
        <v>7.7250938162993776E-2</v>
      </c>
      <c r="E7">
        <f t="shared" si="2"/>
        <v>5.9677074470626881E-3</v>
      </c>
    </row>
    <row r="8" spans="1:8" x14ac:dyDescent="0.25">
      <c r="A8">
        <v>0.6424597433125</v>
      </c>
      <c r="B8">
        <v>0.70500440119833974</v>
      </c>
      <c r="C8">
        <f t="shared" si="0"/>
        <v>0.62521190658020154</v>
      </c>
      <c r="D8">
        <f t="shared" si="1"/>
        <v>7.9792494618138199E-2</v>
      </c>
      <c r="E8">
        <f t="shared" si="2"/>
        <v>6.3668421973856132E-3</v>
      </c>
    </row>
    <row r="9" spans="1:8" x14ac:dyDescent="0.25">
      <c r="A9">
        <v>0.69121440468749995</v>
      </c>
      <c r="B9">
        <v>0.94988709996924381</v>
      </c>
      <c r="C9">
        <f t="shared" si="0"/>
        <v>0.75562414235765984</v>
      </c>
      <c r="D9">
        <f t="shared" si="1"/>
        <v>0.19426295761158396</v>
      </c>
      <c r="E9">
        <f t="shared" si="2"/>
        <v>3.7738096700000071E-2</v>
      </c>
    </row>
    <row r="10" spans="1:8" x14ac:dyDescent="0.25">
      <c r="A10">
        <v>0.73996906606250001</v>
      </c>
      <c r="B10">
        <v>1.1341935522020823</v>
      </c>
      <c r="C10">
        <f t="shared" si="0"/>
        <v>0.89077665092365321</v>
      </c>
      <c r="D10">
        <f t="shared" si="1"/>
        <v>0.24341690127842908</v>
      </c>
      <c r="E10">
        <f t="shared" si="2"/>
        <v>5.9251787827992487E-2</v>
      </c>
    </row>
    <row r="11" spans="1:8" x14ac:dyDescent="0.25">
      <c r="A11">
        <v>0.78872372743749997</v>
      </c>
      <c r="B11">
        <v>1.2759677462273424</v>
      </c>
      <c r="C11">
        <f t="shared" si="0"/>
        <v>1.0248186106504173</v>
      </c>
      <c r="D11">
        <f t="shared" si="1"/>
        <v>0.25114913557692509</v>
      </c>
      <c r="E11">
        <f t="shared" si="2"/>
        <v>6.3075888301036692E-2</v>
      </c>
    </row>
    <row r="12" spans="1:8" x14ac:dyDescent="0.25">
      <c r="A12">
        <v>0.83747838881249992</v>
      </c>
      <c r="B12">
        <v>1.408719946087359</v>
      </c>
      <c r="C12">
        <f t="shared" si="0"/>
        <v>1.1507158057150442</v>
      </c>
      <c r="D12">
        <f t="shared" si="1"/>
        <v>0.25800414037231478</v>
      </c>
      <c r="E12">
        <f t="shared" si="2"/>
        <v>6.6566136449257116E-2</v>
      </c>
    </row>
    <row r="13" spans="1:8" x14ac:dyDescent="0.25">
      <c r="A13">
        <v>0.88623305018749998</v>
      </c>
      <c r="B13">
        <v>1.4319193596551287</v>
      </c>
      <c r="C13">
        <f t="shared" si="0"/>
        <v>1.2606412660345396</v>
      </c>
      <c r="D13">
        <f t="shared" si="1"/>
        <v>0.1712780936205891</v>
      </c>
      <c r="E13">
        <f t="shared" si="2"/>
        <v>2.9336185354303285E-2</v>
      </c>
    </row>
    <row r="14" spans="1:8" x14ac:dyDescent="0.25">
      <c r="A14">
        <v>0.93498771156250005</v>
      </c>
      <c r="B14">
        <v>1.4022756645407561</v>
      </c>
      <c r="C14">
        <f t="shared" si="0"/>
        <v>1.3465855340656314</v>
      </c>
      <c r="D14">
        <f t="shared" si="1"/>
        <v>5.5690130475124722E-2</v>
      </c>
      <c r="E14">
        <f t="shared" si="2"/>
        <v>3.1013906323364153E-3</v>
      </c>
    </row>
    <row r="15" spans="1:8" x14ac:dyDescent="0.25">
      <c r="A15">
        <v>0.98374237293749989</v>
      </c>
      <c r="B15">
        <v>1.5311612954728109</v>
      </c>
      <c r="C15">
        <f t="shared" si="0"/>
        <v>1.4011608277407039</v>
      </c>
      <c r="D15">
        <f t="shared" si="1"/>
        <v>0.13000046773210694</v>
      </c>
      <c r="E15">
        <f t="shared" si="2"/>
        <v>1.6900121610566577E-2</v>
      </c>
    </row>
    <row r="16" spans="1:8" x14ac:dyDescent="0.25">
      <c r="A16">
        <v>1.0324970343125</v>
      </c>
      <c r="B16">
        <v>1.3932536703755123</v>
      </c>
      <c r="C16">
        <f t="shared" si="0"/>
        <v>1.418523487603047</v>
      </c>
      <c r="D16">
        <f t="shared" si="1"/>
        <v>-2.5269817227534741E-2</v>
      </c>
      <c r="E16">
        <f t="shared" si="2"/>
        <v>6.3856366271301162E-4</v>
      </c>
    </row>
    <row r="17" spans="1:5" x14ac:dyDescent="0.25">
      <c r="A17">
        <v>1.0812516956875</v>
      </c>
      <c r="B17">
        <v>1.3185000044349207</v>
      </c>
      <c r="C17">
        <f t="shared" si="0"/>
        <v>1.3952871877881547</v>
      </c>
      <c r="D17">
        <f t="shared" si="1"/>
        <v>-7.678718335323409E-2</v>
      </c>
      <c r="E17">
        <f t="shared" si="2"/>
        <v>5.8962715273231901E-3</v>
      </c>
    </row>
    <row r="18" spans="1:5" x14ac:dyDescent="0.25">
      <c r="A18">
        <v>1.1300063570624999</v>
      </c>
      <c r="B18">
        <v>1.2128137870706357</v>
      </c>
      <c r="C18">
        <f t="shared" si="0"/>
        <v>1.3312598314028257</v>
      </c>
      <c r="D18">
        <f t="shared" si="1"/>
        <v>-0.11844604433218997</v>
      </c>
      <c r="E18">
        <f t="shared" si="2"/>
        <v>1.4029465417943112E-2</v>
      </c>
    </row>
    <row r="19" spans="1:5" x14ac:dyDescent="0.25">
      <c r="A19">
        <v>1.1787610184374999</v>
      </c>
      <c r="B19">
        <v>1.0645953114987725</v>
      </c>
      <c r="C19">
        <f t="shared" si="0"/>
        <v>1.2298269512466304</v>
      </c>
      <c r="D19">
        <f t="shared" si="1"/>
        <v>-0.16523163974785793</v>
      </c>
      <c r="E19">
        <f t="shared" si="2"/>
        <v>2.7301494773765905E-2</v>
      </c>
    </row>
    <row r="20" spans="1:5" x14ac:dyDescent="0.25">
      <c r="A20">
        <v>1.2275156798125</v>
      </c>
      <c r="B20">
        <v>0.92410997378283288</v>
      </c>
      <c r="C20">
        <f t="shared" si="0"/>
        <v>1.0978382850769086</v>
      </c>
      <c r="D20">
        <f t="shared" si="1"/>
        <v>-0.17372831129407573</v>
      </c>
      <c r="E20">
        <f t="shared" si="2"/>
        <v>3.0181526145091283E-2</v>
      </c>
    </row>
    <row r="21" spans="1:5" x14ac:dyDescent="0.25">
      <c r="A21">
        <v>1.2762703411874998</v>
      </c>
      <c r="B21">
        <v>0.76558064773640544</v>
      </c>
      <c r="C21">
        <f t="shared" si="0"/>
        <v>0.94493676427389672</v>
      </c>
      <c r="D21">
        <f t="shared" si="1"/>
        <v>-0.17935611653749128</v>
      </c>
      <c r="E21">
        <f t="shared" si="2"/>
        <v>3.2168616539410153E-2</v>
      </c>
    </row>
    <row r="22" spans="1:5" x14ac:dyDescent="0.25">
      <c r="A22">
        <v>1.3250250025625001</v>
      </c>
      <c r="B22">
        <v>0.66376099930008226</v>
      </c>
      <c r="C22">
        <f t="shared" si="0"/>
        <v>0.78238927891540699</v>
      </c>
      <c r="D22">
        <f t="shared" si="1"/>
        <v>-0.11862827961532474</v>
      </c>
      <c r="E22">
        <f t="shared" si="2"/>
        <v>1.4072668724491671E-2</v>
      </c>
    </row>
    <row r="23" spans="1:5" x14ac:dyDescent="0.25">
      <c r="A23">
        <v>1.3737796639375</v>
      </c>
      <c r="B23">
        <v>0.47558797813928222</v>
      </c>
      <c r="C23">
        <f t="shared" si="0"/>
        <v>0.62160746041869852</v>
      </c>
      <c r="D23">
        <f t="shared" si="1"/>
        <v>-0.1460194822794163</v>
      </c>
      <c r="E23">
        <f t="shared" si="2"/>
        <v>2.1321689205148771E-2</v>
      </c>
    </row>
    <row r="24" spans="1:5" x14ac:dyDescent="0.25">
      <c r="A24">
        <v>1.4225343253124998</v>
      </c>
      <c r="B24">
        <v>0.36474633553771507</v>
      </c>
      <c r="C24">
        <f t="shared" si="0"/>
        <v>0.4726438370728101</v>
      </c>
      <c r="D24">
        <f t="shared" si="1"/>
        <v>-0.10789750153509503</v>
      </c>
      <c r="E24">
        <f t="shared" si="2"/>
        <v>1.1641870837515835E-2</v>
      </c>
    </row>
    <row r="25" spans="1:5" x14ac:dyDescent="0.25">
      <c r="A25">
        <v>1.4712889866875001</v>
      </c>
      <c r="B25">
        <v>0.35830205399111231</v>
      </c>
      <c r="C25">
        <f t="shared" si="0"/>
        <v>0.34297555540159419</v>
      </c>
      <c r="D25">
        <f t="shared" si="1"/>
        <v>1.5326498589518123E-2</v>
      </c>
      <c r="E25">
        <f t="shared" si="2"/>
        <v>2.3490155901450101E-4</v>
      </c>
    </row>
    <row r="26" spans="1:5" x14ac:dyDescent="0.25">
      <c r="A26">
        <v>1.5200436480624999</v>
      </c>
      <c r="B26">
        <v>0.27452639388527672</v>
      </c>
      <c r="C26">
        <f t="shared" si="0"/>
        <v>0.2368251405906657</v>
      </c>
      <c r="D26">
        <f t="shared" si="1"/>
        <v>3.770125329461102E-2</v>
      </c>
      <c r="E26">
        <f t="shared" si="2"/>
        <v>1.4213844999844184E-3</v>
      </c>
    </row>
    <row r="27" spans="1:5" x14ac:dyDescent="0.25">
      <c r="A27">
        <v>1.5687983094375</v>
      </c>
      <c r="B27">
        <v>0.18559530854215892</v>
      </c>
      <c r="C27">
        <f t="shared" si="0"/>
        <v>0.15512805782400474</v>
      </c>
      <c r="D27">
        <f t="shared" si="1"/>
        <v>3.0467250718154176E-2</v>
      </c>
      <c r="E27">
        <f t="shared" si="2"/>
        <v>9.2825336632286622E-4</v>
      </c>
    </row>
    <row r="28" spans="1:5" x14ac:dyDescent="0.25">
      <c r="A28">
        <v>1.6175529708124998</v>
      </c>
      <c r="B28">
        <v>0.14821847557186302</v>
      </c>
      <c r="C28">
        <f t="shared" si="0"/>
        <v>9.6084348854242732E-2</v>
      </c>
      <c r="D28">
        <f t="shared" si="1"/>
        <v>5.2134126717620285E-2</v>
      </c>
      <c r="E28">
        <f t="shared" si="2"/>
        <v>2.7179671686088894E-3</v>
      </c>
    </row>
    <row r="29" spans="1:5" x14ac:dyDescent="0.25">
      <c r="A29">
        <v>1.6663076321874999</v>
      </c>
      <c r="B29">
        <v>9.537536688972055E-2</v>
      </c>
      <c r="C29">
        <f t="shared" si="0"/>
        <v>5.6086293418087393E-2</v>
      </c>
      <c r="D29">
        <f t="shared" si="1"/>
        <v>3.9289073471633157E-2</v>
      </c>
      <c r="E29">
        <f t="shared" si="2"/>
        <v>1.5436312942593883E-3</v>
      </c>
    </row>
    <row r="30" spans="1:5" x14ac:dyDescent="0.25">
      <c r="A30">
        <v>1.7150622935624997</v>
      </c>
      <c r="B30">
        <v>5.2843108682142467E-2</v>
      </c>
      <c r="C30">
        <f t="shared" si="0"/>
        <v>3.0745784716369934E-2</v>
      </c>
      <c r="D30">
        <f t="shared" si="1"/>
        <v>2.2097323965772533E-2</v>
      </c>
      <c r="E30">
        <f t="shared" si="2"/>
        <v>4.8829172644830512E-4</v>
      </c>
    </row>
    <row r="31" spans="1:5" x14ac:dyDescent="0.25">
      <c r="A31">
        <v>1.7638169549375</v>
      </c>
      <c r="B31">
        <v>5.0265396063501368E-2</v>
      </c>
      <c r="C31">
        <f t="shared" si="0"/>
        <v>1.5771159770281908E-2</v>
      </c>
      <c r="D31">
        <f t="shared" si="1"/>
        <v>3.449423629321946E-2</v>
      </c>
      <c r="E31">
        <f t="shared" si="2"/>
        <v>1.1898523374524587E-3</v>
      </c>
    </row>
    <row r="32" spans="1:5" x14ac:dyDescent="0.25">
      <c r="A32">
        <v>1.8125716163124999</v>
      </c>
      <c r="B32">
        <v>3.6087976660975345E-2</v>
      </c>
      <c r="C32">
        <f t="shared" si="0"/>
        <v>7.5414926585812133E-3</v>
      </c>
      <c r="D32">
        <f t="shared" si="1"/>
        <v>2.854648400239413E-2</v>
      </c>
      <c r="E32">
        <f t="shared" si="2"/>
        <v>8.1490174889894398E-4</v>
      </c>
    </row>
    <row r="33" spans="1:5" x14ac:dyDescent="0.25">
      <c r="A33">
        <v>1.8613262776874999</v>
      </c>
      <c r="B33">
        <v>2.0621700949128768E-2</v>
      </c>
      <c r="C33">
        <f t="shared" si="0"/>
        <v>3.348693647991815E-3</v>
      </c>
      <c r="D33">
        <f t="shared" si="1"/>
        <v>1.7273007301136952E-2</v>
      </c>
      <c r="E33">
        <f t="shared" si="2"/>
        <v>2.9835678122513043E-4</v>
      </c>
    </row>
    <row r="34" spans="1:5" x14ac:dyDescent="0.25">
      <c r="A34">
        <v>1.9100809390624998</v>
      </c>
      <c r="B34">
        <v>7.7331378559232881E-3</v>
      </c>
      <c r="C34">
        <f t="shared" si="0"/>
        <v>1.3752113186019487E-3</v>
      </c>
      <c r="D34">
        <f t="shared" si="1"/>
        <v>6.3579265373213392E-3</v>
      </c>
      <c r="E34">
        <f t="shared" si="2"/>
        <v>4.0423229853974913E-5</v>
      </c>
    </row>
    <row r="35" spans="1:5" x14ac:dyDescent="0.25">
      <c r="A35">
        <v>1.9588356004374998</v>
      </c>
      <c r="B35">
        <v>2.577712618641096E-3</v>
      </c>
      <c r="C35">
        <f t="shared" si="0"/>
        <v>5.2015625884133132E-4</v>
      </c>
      <c r="D35">
        <f t="shared" si="1"/>
        <v>2.057556359799765E-3</v>
      </c>
      <c r="E35">
        <f t="shared" si="2"/>
        <v>4.2335381737524597E-6</v>
      </c>
    </row>
    <row r="36" spans="1:5" x14ac:dyDescent="0.25">
      <c r="A36">
        <v>2.0075902618125001</v>
      </c>
      <c r="B36">
        <v>7.7331378559232881E-3</v>
      </c>
      <c r="C36">
        <f t="shared" si="0"/>
        <v>1.8042895527446289E-4</v>
      </c>
      <c r="D36">
        <f t="shared" si="1"/>
        <v>7.5527089006488255E-3</v>
      </c>
      <c r="E36">
        <f t="shared" si="2"/>
        <v>5.7043411737939989E-5</v>
      </c>
    </row>
    <row r="37" spans="1:5" x14ac:dyDescent="0.25">
      <c r="A37">
        <v>2.0563449231875</v>
      </c>
      <c r="B37">
        <v>1.288856309320548E-3</v>
      </c>
      <c r="C37">
        <f t="shared" si="0"/>
        <v>5.7143609390288385E-5</v>
      </c>
      <c r="D37">
        <f t="shared" si="1"/>
        <v>1.2317126999302596E-3</v>
      </c>
      <c r="E37">
        <f t="shared" si="2"/>
        <v>1.5171161751694898E-6</v>
      </c>
    </row>
    <row r="38" spans="1:5" x14ac:dyDescent="0.25">
      <c r="A38">
        <v>2.1050995845624998</v>
      </c>
      <c r="B38">
        <v>1.288856309320548E-3</v>
      </c>
      <c r="C38">
        <f t="shared" si="0"/>
        <v>1.6449119472877492E-5</v>
      </c>
      <c r="D38">
        <f t="shared" si="1"/>
        <v>1.2724071898476705E-3</v>
      </c>
      <c r="E38">
        <f t="shared" si="2"/>
        <v>1.6190200567760459E-6</v>
      </c>
    </row>
    <row r="39" spans="1:5" x14ac:dyDescent="0.25">
      <c r="A39">
        <v>2.1538542459374996</v>
      </c>
      <c r="B39">
        <v>0</v>
      </c>
      <c r="C39">
        <f t="shared" si="0"/>
        <v>4.2835056475014914E-6</v>
      </c>
      <c r="D39">
        <f t="shared" si="1"/>
        <v>-4.2835056475014914E-6</v>
      </c>
      <c r="E39">
        <f t="shared" si="2"/>
        <v>1.834842063217717E-11</v>
      </c>
    </row>
    <row r="40" spans="1:5" x14ac:dyDescent="0.25">
      <c r="A40">
        <v>2.2026089073124999</v>
      </c>
      <c r="B40">
        <v>1.288856309320548E-3</v>
      </c>
      <c r="C40">
        <f t="shared" si="0"/>
        <v>1.0042679387901708E-6</v>
      </c>
      <c r="D40">
        <f t="shared" si="1"/>
        <v>1.2878520413817577E-3</v>
      </c>
      <c r="E40">
        <f t="shared" si="2"/>
        <v>1.6585628804911606E-6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4E89-8E45-4935-8ABC-F660C95CB64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0.39328718371249999</v>
      </c>
      <c r="B1">
        <v>1.5401039565056374E-3</v>
      </c>
      <c r="C1">
        <f>$H$3*(1+$H$1)*(A1^($H$1))*EXP(-$H$3*(A1^(1+$H$1)))</f>
        <v>7.6895332989834836E-2</v>
      </c>
      <c r="D1">
        <f>B1-C1</f>
        <v>-7.5355229033329196E-2</v>
      </c>
      <c r="E1">
        <f>D1^2</f>
        <v>5.6784105426654994E-3</v>
      </c>
      <c r="G1" t="s">
        <v>0</v>
      </c>
      <c r="H1">
        <v>4.0117560751467494</v>
      </c>
    </row>
    <row r="2" spans="1:8" x14ac:dyDescent="0.25">
      <c r="A2">
        <v>0.43408816513749998</v>
      </c>
      <c r="B2">
        <v>1.3860935608550737E-2</v>
      </c>
      <c r="C2">
        <f t="shared" ref="C2:C40" si="0">$H$3*(1+$H$1)*(A2^($H$1))*EXP(-$H$3*(A2^(1+$H$1)))</f>
        <v>0.11381228168726802</v>
      </c>
      <c r="D2">
        <f t="shared" ref="D2:D40" si="1">B2-C2</f>
        <v>-9.9951346078717279E-2</v>
      </c>
      <c r="E2">
        <f t="shared" ref="E2:E40" si="2">D2^2</f>
        <v>9.9902715829475117E-3</v>
      </c>
    </row>
    <row r="3" spans="1:8" x14ac:dyDescent="0.25">
      <c r="A3">
        <v>0.47488914656249998</v>
      </c>
      <c r="B3">
        <v>4.0042702869146574E-2</v>
      </c>
      <c r="C3">
        <f t="shared" si="0"/>
        <v>0.16227292853930478</v>
      </c>
      <c r="D3">
        <f t="shared" si="1"/>
        <v>-0.1222302256701582</v>
      </c>
      <c r="E3">
        <f t="shared" si="2"/>
        <v>1.4940228067377801E-2</v>
      </c>
      <c r="G3" t="s">
        <v>1</v>
      </c>
      <c r="H3">
        <f>(_xlfn.GAMMA((2+$H$1)/(1+$H$1)))^(1+$H$1)</f>
        <v>0.65233710388694111</v>
      </c>
    </row>
    <row r="4" spans="1:8" x14ac:dyDescent="0.25">
      <c r="A4">
        <v>0.51569012798750002</v>
      </c>
      <c r="B4">
        <v>8.7785925520821331E-2</v>
      </c>
      <c r="C4">
        <f t="shared" si="0"/>
        <v>0.22407006799195192</v>
      </c>
      <c r="D4">
        <f t="shared" si="1"/>
        <v>-0.13628414247113058</v>
      </c>
      <c r="E4">
        <f t="shared" si="2"/>
        <v>1.8573367489091417E-2</v>
      </c>
    </row>
    <row r="5" spans="1:8" x14ac:dyDescent="0.25">
      <c r="A5">
        <v>0.55649110941250002</v>
      </c>
      <c r="B5">
        <v>0.16633122730260885</v>
      </c>
      <c r="C5">
        <f t="shared" si="0"/>
        <v>0.30080599391089924</v>
      </c>
      <c r="D5">
        <f t="shared" si="1"/>
        <v>-0.13447476660829039</v>
      </c>
      <c r="E5">
        <f t="shared" si="2"/>
        <v>1.8083462854354172E-2</v>
      </c>
      <c r="G5" t="s">
        <v>2</v>
      </c>
      <c r="H5">
        <f>SUM(E1:E40)</f>
        <v>0.89074671479341572</v>
      </c>
    </row>
    <row r="6" spans="1:8" x14ac:dyDescent="0.25">
      <c r="A6">
        <v>0.59729209083750001</v>
      </c>
      <c r="B6">
        <v>0.28337912799703729</v>
      </c>
      <c r="C6">
        <f t="shared" si="0"/>
        <v>0.39370482549109309</v>
      </c>
      <c r="D6">
        <f t="shared" si="1"/>
        <v>-0.1103256974940558</v>
      </c>
      <c r="E6">
        <f t="shared" si="2"/>
        <v>1.2171759527549909E-2</v>
      </c>
    </row>
    <row r="7" spans="1:8" x14ac:dyDescent="0.25">
      <c r="A7">
        <v>0.63809307226250001</v>
      </c>
      <c r="B7">
        <v>0.49899368190782656</v>
      </c>
      <c r="C7">
        <f t="shared" si="0"/>
        <v>0.50337645902685446</v>
      </c>
      <c r="D7">
        <f t="shared" si="1"/>
        <v>-4.382777119027903E-3</v>
      </c>
      <c r="E7">
        <f t="shared" si="2"/>
        <v>1.9208735275074526E-5</v>
      </c>
    </row>
    <row r="8" spans="1:8" x14ac:dyDescent="0.25">
      <c r="A8">
        <v>0.6788940536875</v>
      </c>
      <c r="B8">
        <v>0.72538896351415527</v>
      </c>
      <c r="C8">
        <f t="shared" si="0"/>
        <v>0.62953703255746096</v>
      </c>
      <c r="D8">
        <f t="shared" si="1"/>
        <v>9.5851930956694309E-2</v>
      </c>
      <c r="E8">
        <f t="shared" si="2"/>
        <v>9.187592668126892E-3</v>
      </c>
    </row>
    <row r="9" spans="1:8" x14ac:dyDescent="0.25">
      <c r="A9">
        <v>0.71969503511249999</v>
      </c>
      <c r="B9">
        <v>0.96718528468554033</v>
      </c>
      <c r="C9">
        <f t="shared" si="0"/>
        <v>0.7707016984563646</v>
      </c>
      <c r="D9">
        <f t="shared" si="1"/>
        <v>0.19648358622917572</v>
      </c>
      <c r="E9">
        <f t="shared" si="2"/>
        <v>3.8605799657477929E-2</v>
      </c>
    </row>
    <row r="10" spans="1:8" x14ac:dyDescent="0.25">
      <c r="A10">
        <v>0.76049601653749999</v>
      </c>
      <c r="B10">
        <v>1.1335165119881492</v>
      </c>
      <c r="C10">
        <f t="shared" si="0"/>
        <v>0.92388041319881775</v>
      </c>
      <c r="D10">
        <f t="shared" si="1"/>
        <v>0.20963609878933143</v>
      </c>
      <c r="E10">
        <f t="shared" si="2"/>
        <v>4.3947293915610322E-2</v>
      </c>
    </row>
    <row r="11" spans="1:8" x14ac:dyDescent="0.25">
      <c r="A11">
        <v>0.80129699796249998</v>
      </c>
      <c r="B11">
        <v>1.452318030984816</v>
      </c>
      <c r="C11">
        <f t="shared" si="0"/>
        <v>1.0843254479217916</v>
      </c>
      <c r="D11">
        <f t="shared" si="1"/>
        <v>0.3679925830630244</v>
      </c>
      <c r="E11">
        <f t="shared" si="2"/>
        <v>0.13541854118939692</v>
      </c>
    </row>
    <row r="12" spans="1:8" x14ac:dyDescent="0.25">
      <c r="A12">
        <v>0.84209797938750008</v>
      </c>
      <c r="B12">
        <v>1.5955476989398405</v>
      </c>
      <c r="C12">
        <f t="shared" si="0"/>
        <v>1.2453977359329593</v>
      </c>
      <c r="D12">
        <f t="shared" si="1"/>
        <v>0.35014996300688117</v>
      </c>
      <c r="E12">
        <f t="shared" si="2"/>
        <v>0.12260499659372025</v>
      </c>
    </row>
    <row r="13" spans="1:8" x14ac:dyDescent="0.25">
      <c r="A13">
        <v>0.88289896081250008</v>
      </c>
      <c r="B13">
        <v>1.6309700899394701</v>
      </c>
      <c r="C13">
        <f t="shared" si="0"/>
        <v>1.3986330453855369</v>
      </c>
      <c r="D13">
        <f t="shared" si="1"/>
        <v>0.23233704455393323</v>
      </c>
      <c r="E13">
        <f t="shared" si="2"/>
        <v>5.3980502272056349E-2</v>
      </c>
    </row>
    <row r="14" spans="1:8" x14ac:dyDescent="0.25">
      <c r="A14">
        <v>0.92369994223750007</v>
      </c>
      <c r="B14">
        <v>1.8142424607636409</v>
      </c>
      <c r="C14">
        <f t="shared" si="0"/>
        <v>1.5340909436238026</v>
      </c>
      <c r="D14">
        <f t="shared" si="1"/>
        <v>0.28015151713983832</v>
      </c>
      <c r="E14">
        <f t="shared" si="2"/>
        <v>7.8484872555753121E-2</v>
      </c>
    </row>
    <row r="15" spans="1:8" x14ac:dyDescent="0.25">
      <c r="A15">
        <v>0.96450092366249995</v>
      </c>
      <c r="B15">
        <v>1.758798718329438</v>
      </c>
      <c r="C15">
        <f t="shared" si="0"/>
        <v>1.6410507489130342</v>
      </c>
      <c r="D15">
        <f t="shared" si="1"/>
        <v>0.11774796941640386</v>
      </c>
      <c r="E15">
        <f t="shared" si="2"/>
        <v>1.386458430168638E-2</v>
      </c>
    </row>
    <row r="16" spans="1:8" x14ac:dyDescent="0.25">
      <c r="A16">
        <v>1.0053019050874998</v>
      </c>
      <c r="B16">
        <v>1.7741997578944944</v>
      </c>
      <c r="C16">
        <f t="shared" si="0"/>
        <v>1.7090712102764776</v>
      </c>
      <c r="D16">
        <f t="shared" si="1"/>
        <v>6.5128547618016785E-2</v>
      </c>
      <c r="E16">
        <f t="shared" si="2"/>
        <v>4.24172771483228E-3</v>
      </c>
    </row>
    <row r="17" spans="1:5" x14ac:dyDescent="0.25">
      <c r="A17">
        <v>1.0461028865124999</v>
      </c>
      <c r="B17">
        <v>1.669472688852111</v>
      </c>
      <c r="C17">
        <f t="shared" si="0"/>
        <v>1.7293516624316059</v>
      </c>
      <c r="D17">
        <f t="shared" si="1"/>
        <v>-5.9878973579494899E-2</v>
      </c>
      <c r="E17">
        <f t="shared" si="2"/>
        <v>3.585491476933848E-3</v>
      </c>
    </row>
    <row r="18" spans="1:5" x14ac:dyDescent="0.25">
      <c r="A18">
        <v>1.0869038679375</v>
      </c>
      <c r="B18">
        <v>1.5570451000271994</v>
      </c>
      <c r="C18">
        <f t="shared" si="0"/>
        <v>1.6962293547308354</v>
      </c>
      <c r="D18">
        <f t="shared" si="1"/>
        <v>-0.13918425470363593</v>
      </c>
      <c r="E18">
        <f t="shared" si="2"/>
        <v>1.93722567574066E-2</v>
      </c>
    </row>
    <row r="19" spans="1:5" x14ac:dyDescent="0.25">
      <c r="A19">
        <v>1.1277048493624999</v>
      </c>
      <c r="B19">
        <v>1.3999544964636244</v>
      </c>
      <c r="C19">
        <f t="shared" si="0"/>
        <v>1.6085427426867731</v>
      </c>
      <c r="D19">
        <f t="shared" si="1"/>
        <v>-0.20858824622314875</v>
      </c>
      <c r="E19">
        <f t="shared" si="2"/>
        <v>4.3509056462448931E-2</v>
      </c>
    </row>
    <row r="20" spans="1:5" x14ac:dyDescent="0.25">
      <c r="A20">
        <v>1.1685058307875</v>
      </c>
      <c r="B20">
        <v>1.1951206702483748</v>
      </c>
      <c r="C20">
        <f t="shared" si="0"/>
        <v>1.470520773233144</v>
      </c>
      <c r="D20">
        <f t="shared" si="1"/>
        <v>-0.27540010298476925</v>
      </c>
      <c r="E20">
        <f t="shared" si="2"/>
        <v>7.5845216724021502E-2</v>
      </c>
    </row>
    <row r="21" spans="1:5" x14ac:dyDescent="0.25">
      <c r="A21">
        <v>1.2093068122125001</v>
      </c>
      <c r="B21">
        <v>1.0503508983368448</v>
      </c>
      <c r="C21">
        <f t="shared" si="0"/>
        <v>1.291867589627808</v>
      </c>
      <c r="D21">
        <f t="shared" si="1"/>
        <v>-0.2415166912909632</v>
      </c>
      <c r="E21">
        <f t="shared" si="2"/>
        <v>5.833031217213442E-2</v>
      </c>
    </row>
    <row r="22" spans="1:5" x14ac:dyDescent="0.25">
      <c r="A22">
        <v>1.2501077936375</v>
      </c>
      <c r="B22">
        <v>0.89634050268628096</v>
      </c>
      <c r="C22">
        <f t="shared" si="0"/>
        <v>1.086834226705887</v>
      </c>
      <c r="D22">
        <f t="shared" si="1"/>
        <v>-0.19049372401960607</v>
      </c>
      <c r="E22">
        <f t="shared" si="2"/>
        <v>3.6287858890857845E-2</v>
      </c>
    </row>
    <row r="23" spans="1:5" x14ac:dyDescent="0.25">
      <c r="A23">
        <v>1.2909087750624999</v>
      </c>
      <c r="B23">
        <v>0.71614833977512138</v>
      </c>
      <c r="C23">
        <f t="shared" si="0"/>
        <v>0.87230375317193065</v>
      </c>
      <c r="D23">
        <f t="shared" si="1"/>
        <v>-0.15615541339680927</v>
      </c>
      <c r="E23">
        <f t="shared" si="2"/>
        <v>2.4384513133128401E-2</v>
      </c>
    </row>
    <row r="24" spans="1:5" x14ac:dyDescent="0.25">
      <c r="A24">
        <v>1.3317097564875</v>
      </c>
      <c r="B24">
        <v>0.48821295421228705</v>
      </c>
      <c r="C24">
        <f t="shared" si="0"/>
        <v>0.6652121705222489</v>
      </c>
      <c r="D24">
        <f t="shared" si="1"/>
        <v>-0.17699921630996185</v>
      </c>
      <c r="E24">
        <f t="shared" si="2"/>
        <v>3.1328722574340662E-2</v>
      </c>
    </row>
    <row r="25" spans="1:5" x14ac:dyDescent="0.25">
      <c r="A25">
        <v>1.3725107379125001</v>
      </c>
      <c r="B25">
        <v>0.44200983551711798</v>
      </c>
      <c r="C25">
        <f t="shared" si="0"/>
        <v>0.47988283643041013</v>
      </c>
      <c r="D25">
        <f t="shared" si="1"/>
        <v>-3.7873000913292154E-2</v>
      </c>
      <c r="E25">
        <f t="shared" si="2"/>
        <v>1.4343641981782284E-3</v>
      </c>
    </row>
    <row r="26" spans="1:5" x14ac:dyDescent="0.25">
      <c r="A26">
        <v>1.4133117193375</v>
      </c>
      <c r="B26">
        <v>0.35114370208328533</v>
      </c>
      <c r="C26">
        <f t="shared" si="0"/>
        <v>0.32594953654463216</v>
      </c>
      <c r="D26">
        <f t="shared" si="1"/>
        <v>2.5194165538653168E-2</v>
      </c>
      <c r="E26">
        <f t="shared" si="2"/>
        <v>6.3474597718905887E-4</v>
      </c>
    </row>
    <row r="27" spans="1:5" x14ac:dyDescent="0.25">
      <c r="A27">
        <v>1.4541127007625001</v>
      </c>
      <c r="B27">
        <v>0.26489788051896962</v>
      </c>
      <c r="C27">
        <f t="shared" si="0"/>
        <v>0.20740691057834457</v>
      </c>
      <c r="D27">
        <f t="shared" si="1"/>
        <v>5.7490969940625053E-2</v>
      </c>
      <c r="E27">
        <f t="shared" si="2"/>
        <v>3.3052116247138533E-3</v>
      </c>
    </row>
    <row r="28" spans="1:5" x14ac:dyDescent="0.25">
      <c r="A28">
        <v>1.4949136821875</v>
      </c>
      <c r="B28">
        <v>0.18635257873718214</v>
      </c>
      <c r="C28">
        <f t="shared" si="0"/>
        <v>0.12297826391708762</v>
      </c>
      <c r="D28">
        <f t="shared" si="1"/>
        <v>6.3374314820094521E-2</v>
      </c>
      <c r="E28">
        <f t="shared" si="2"/>
        <v>4.0163037789164519E-3</v>
      </c>
    </row>
    <row r="29" spans="1:5" x14ac:dyDescent="0.25">
      <c r="A29">
        <v>1.5357146636125001</v>
      </c>
      <c r="B29">
        <v>0.12782862838996792</v>
      </c>
      <c r="C29">
        <f t="shared" si="0"/>
        <v>6.7560703403198419E-2</v>
      </c>
      <c r="D29">
        <f t="shared" si="1"/>
        <v>6.02679249867695E-2</v>
      </c>
      <c r="E29">
        <f t="shared" si="2"/>
        <v>3.6322227822108756E-3</v>
      </c>
    </row>
    <row r="30" spans="1:5" x14ac:dyDescent="0.25">
      <c r="A30">
        <v>1.5765156450375</v>
      </c>
      <c r="B30">
        <v>7.0844781999259324E-2</v>
      </c>
      <c r="C30">
        <f t="shared" si="0"/>
        <v>3.4182163949476763E-2</v>
      </c>
      <c r="D30">
        <f t="shared" si="1"/>
        <v>3.6662618049782561E-2</v>
      </c>
      <c r="E30">
        <f t="shared" si="2"/>
        <v>1.3441475622642421E-3</v>
      </c>
    </row>
    <row r="31" spans="1:5" x14ac:dyDescent="0.25">
      <c r="A31">
        <v>1.6173166264625001</v>
      </c>
      <c r="B31">
        <v>6.16041582602255E-2</v>
      </c>
      <c r="C31">
        <f t="shared" si="0"/>
        <v>1.5825979514914101E-2</v>
      </c>
      <c r="D31">
        <f t="shared" si="1"/>
        <v>4.5778178745311399E-2</v>
      </c>
      <c r="E31">
        <f t="shared" si="2"/>
        <v>2.0956416492376802E-3</v>
      </c>
    </row>
    <row r="32" spans="1:5" x14ac:dyDescent="0.25">
      <c r="A32">
        <v>1.6581176078875002</v>
      </c>
      <c r="B32">
        <v>4.0042702869146574E-2</v>
      </c>
      <c r="C32">
        <f t="shared" si="0"/>
        <v>6.6600436870990617E-3</v>
      </c>
      <c r="D32">
        <f t="shared" si="1"/>
        <v>3.3382659182047511E-2</v>
      </c>
      <c r="E32">
        <f t="shared" si="2"/>
        <v>1.114401934064741E-3</v>
      </c>
    </row>
    <row r="33" spans="1:5" x14ac:dyDescent="0.25">
      <c r="A33">
        <v>1.6989185893125001</v>
      </c>
      <c r="B33">
        <v>2.7721871217101474E-2</v>
      </c>
      <c r="C33">
        <f t="shared" si="0"/>
        <v>2.5294666531865849E-3</v>
      </c>
      <c r="D33">
        <f t="shared" si="1"/>
        <v>2.5192404563914889E-2</v>
      </c>
      <c r="E33">
        <f t="shared" si="2"/>
        <v>6.3465724771195973E-4</v>
      </c>
    </row>
    <row r="34" spans="1:5" x14ac:dyDescent="0.25">
      <c r="A34">
        <v>1.7397195707374999</v>
      </c>
      <c r="B34">
        <v>6.1604158260225497E-3</v>
      </c>
      <c r="C34">
        <f t="shared" si="0"/>
        <v>8.6054351125784288E-4</v>
      </c>
      <c r="D34">
        <f t="shared" si="1"/>
        <v>5.2998723147647071E-3</v>
      </c>
      <c r="E34">
        <f t="shared" si="2"/>
        <v>2.8088646552809416E-5</v>
      </c>
    </row>
    <row r="35" spans="1:5" x14ac:dyDescent="0.25">
      <c r="A35">
        <v>1.7805205521624998</v>
      </c>
      <c r="B35">
        <v>3.0802079130112748E-3</v>
      </c>
      <c r="C35">
        <f t="shared" si="0"/>
        <v>2.6018862623168723E-4</v>
      </c>
      <c r="D35">
        <f t="shared" si="1"/>
        <v>2.8200192867795875E-3</v>
      </c>
      <c r="E35">
        <f t="shared" si="2"/>
        <v>7.9525087778088534E-6</v>
      </c>
    </row>
    <row r="36" spans="1:5" x14ac:dyDescent="0.25">
      <c r="A36">
        <v>1.8213215335875002</v>
      </c>
      <c r="B36">
        <v>7.7005197825281875E-3</v>
      </c>
      <c r="C36">
        <f t="shared" si="0"/>
        <v>6.9340079142429925E-5</v>
      </c>
      <c r="D36">
        <f t="shared" si="1"/>
        <v>7.6311797033857577E-3</v>
      </c>
      <c r="E36">
        <f t="shared" si="2"/>
        <v>5.8234903665366744E-5</v>
      </c>
    </row>
    <row r="37" spans="1:5" x14ac:dyDescent="0.25">
      <c r="A37">
        <v>1.8621225150125</v>
      </c>
      <c r="B37">
        <v>1.5401039565056374E-3</v>
      </c>
      <c r="C37">
        <f t="shared" si="0"/>
        <v>1.6147136596616288E-5</v>
      </c>
      <c r="D37">
        <f t="shared" si="1"/>
        <v>1.523956819909021E-3</v>
      </c>
      <c r="E37">
        <f t="shared" si="2"/>
        <v>2.3224443889472163E-6</v>
      </c>
    </row>
    <row r="38" spans="1:5" x14ac:dyDescent="0.25">
      <c r="A38">
        <v>1.9029234964375001</v>
      </c>
      <c r="B38">
        <v>0</v>
      </c>
      <c r="C38">
        <f t="shared" si="0"/>
        <v>3.2559551100162934E-6</v>
      </c>
      <c r="D38">
        <f t="shared" si="1"/>
        <v>-3.2559551100162934E-6</v>
      </c>
      <c r="E38">
        <f t="shared" si="2"/>
        <v>1.0601243678441213E-11</v>
      </c>
    </row>
    <row r="39" spans="1:5" x14ac:dyDescent="0.25">
      <c r="A39">
        <v>1.9437244778625</v>
      </c>
      <c r="B39">
        <v>0</v>
      </c>
      <c r="C39">
        <f t="shared" si="0"/>
        <v>5.6312877816177604E-7</v>
      </c>
      <c r="D39">
        <f t="shared" si="1"/>
        <v>-5.6312877816177604E-7</v>
      </c>
      <c r="E39">
        <f t="shared" si="2"/>
        <v>3.1711402079397475E-13</v>
      </c>
    </row>
    <row r="40" spans="1:5" x14ac:dyDescent="0.25">
      <c r="A40">
        <v>1.9845254592875001</v>
      </c>
      <c r="B40">
        <v>1.5401039565056374E-3</v>
      </c>
      <c r="C40">
        <f t="shared" si="0"/>
        <v>8.2712773225933775E-8</v>
      </c>
      <c r="D40">
        <f t="shared" si="1"/>
        <v>1.5400212437324116E-3</v>
      </c>
      <c r="E40">
        <f t="shared" si="2"/>
        <v>2.3716654311471239E-6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9E7C-D49C-4675-B3C1-89E6D267DD9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0.54114972655000004</v>
      </c>
      <c r="B1">
        <v>2.0740386562795869E-3</v>
      </c>
      <c r="C1">
        <f>$H$3*(1+$H$1)*(A1^($H$1))*EXP(-$H$3*(A1^(1+$H$1)))</f>
        <v>0.10707396905029515</v>
      </c>
      <c r="D1">
        <f>B1-C1</f>
        <v>-0.10499993039401556</v>
      </c>
      <c r="E1">
        <f>D1^2</f>
        <v>1.1024985382748114E-2</v>
      </c>
      <c r="G1" t="s">
        <v>0</v>
      </c>
      <c r="H1">
        <v>6.0417585097875603</v>
      </c>
    </row>
    <row r="2" spans="1:8" x14ac:dyDescent="0.25">
      <c r="A2">
        <v>0.57144701764999994</v>
      </c>
      <c r="B2">
        <v>1.4518270593957109E-2</v>
      </c>
      <c r="C2">
        <f t="shared" ref="C2:C40" si="0">$H$3*(1+$H$1)*(A2^($H$1))*EXP(-$H$3*(A2^(1+$H$1)))</f>
        <v>0.14823071379542646</v>
      </c>
      <c r="D2">
        <f t="shared" ref="D2:D40" si="1">B2-C2</f>
        <v>-0.13371244320146936</v>
      </c>
      <c r="E2">
        <f t="shared" ref="E2:E40" si="2">D2^2</f>
        <v>1.7879017466906167E-2</v>
      </c>
    </row>
    <row r="3" spans="1:8" x14ac:dyDescent="0.25">
      <c r="A3">
        <v>0.60174430875000007</v>
      </c>
      <c r="B3">
        <v>4.562885043815091E-2</v>
      </c>
      <c r="C3">
        <f t="shared" si="0"/>
        <v>0.20145171560377442</v>
      </c>
      <c r="D3">
        <f t="shared" si="1"/>
        <v>-0.15582286516562352</v>
      </c>
      <c r="E3">
        <f t="shared" si="2"/>
        <v>2.4280765308424088E-2</v>
      </c>
      <c r="G3" t="s">
        <v>1</v>
      </c>
      <c r="H3">
        <f>(_xlfn.GAMMA((2+$H$1)/(1+$H$1)))^(1+$H$1)</f>
        <v>0.62637979798733767</v>
      </c>
    </row>
    <row r="4" spans="1:8" x14ac:dyDescent="0.25">
      <c r="A4">
        <v>0.63204159984999997</v>
      </c>
      <c r="B4">
        <v>9.3331739532581406E-2</v>
      </c>
      <c r="C4">
        <f t="shared" si="0"/>
        <v>0.26910359431518283</v>
      </c>
      <c r="D4">
        <f t="shared" si="1"/>
        <v>-0.17577185478260143</v>
      </c>
      <c r="E4">
        <f t="shared" si="2"/>
        <v>3.0895744933715927E-2</v>
      </c>
    </row>
    <row r="5" spans="1:8" x14ac:dyDescent="0.25">
      <c r="A5">
        <v>0.66233889094999998</v>
      </c>
      <c r="B5">
        <v>0.18044136309632405</v>
      </c>
      <c r="C5">
        <f t="shared" si="0"/>
        <v>0.35365233886401903</v>
      </c>
      <c r="D5">
        <f t="shared" si="1"/>
        <v>-0.17321097576769498</v>
      </c>
      <c r="E5">
        <f t="shared" si="2"/>
        <v>3.0002042126397017E-2</v>
      </c>
      <c r="G5" t="s">
        <v>2</v>
      </c>
      <c r="H5">
        <f>SUM(E1:E40)</f>
        <v>2.1469387874381365</v>
      </c>
    </row>
    <row r="6" spans="1:8" x14ac:dyDescent="0.25">
      <c r="A6">
        <v>0.69263618204999999</v>
      </c>
      <c r="B6">
        <v>0.31317983709821762</v>
      </c>
      <c r="C6">
        <f t="shared" si="0"/>
        <v>0.4575111937098123</v>
      </c>
      <c r="D6">
        <f t="shared" si="1"/>
        <v>-0.14433135661159469</v>
      </c>
      <c r="E6">
        <f t="shared" si="2"/>
        <v>2.0831540501343317E-2</v>
      </c>
    </row>
    <row r="7" spans="1:8" x14ac:dyDescent="0.25">
      <c r="A7">
        <v>0.72293347314999989</v>
      </c>
      <c r="B7">
        <v>0.51436158675733756</v>
      </c>
      <c r="C7">
        <f t="shared" si="0"/>
        <v>0.58281191719928571</v>
      </c>
      <c r="D7">
        <f t="shared" si="1"/>
        <v>-6.8450330441948148E-2</v>
      </c>
      <c r="E7">
        <f t="shared" si="2"/>
        <v>4.6854477376118931E-3</v>
      </c>
    </row>
    <row r="8" spans="1:8" x14ac:dyDescent="0.25">
      <c r="A8">
        <v>0.75323076425000002</v>
      </c>
      <c r="B8">
        <v>0.83791161713695306</v>
      </c>
      <c r="C8">
        <f t="shared" si="0"/>
        <v>0.7310832401184385</v>
      </c>
      <c r="D8">
        <f t="shared" si="1"/>
        <v>0.10682837701851455</v>
      </c>
      <c r="E8">
        <f t="shared" si="2"/>
        <v>1.1412302136409888E-2</v>
      </c>
    </row>
    <row r="9" spans="1:8" x14ac:dyDescent="0.25">
      <c r="A9">
        <v>0.78352805535000003</v>
      </c>
      <c r="B9">
        <v>1.1033885651407402</v>
      </c>
      <c r="C9">
        <f t="shared" si="0"/>
        <v>0.90282604025778534</v>
      </c>
      <c r="D9">
        <f t="shared" si="1"/>
        <v>0.2005625248829549</v>
      </c>
      <c r="E9">
        <f t="shared" si="2"/>
        <v>4.0225326387425903E-2</v>
      </c>
    </row>
    <row r="10" spans="1:8" x14ac:dyDescent="0.25">
      <c r="A10">
        <v>0.81382534645000004</v>
      </c>
      <c r="B10">
        <v>1.3937539770198824</v>
      </c>
      <c r="C10">
        <f t="shared" si="0"/>
        <v>1.0969878405429982</v>
      </c>
      <c r="D10">
        <f t="shared" si="1"/>
        <v>0.2967661364768841</v>
      </c>
      <c r="E10">
        <f t="shared" si="2"/>
        <v>8.8070139759416605E-2</v>
      </c>
    </row>
    <row r="11" spans="1:8" x14ac:dyDescent="0.25">
      <c r="A11">
        <v>0.84412263754999994</v>
      </c>
      <c r="B11">
        <v>1.7027857368055408</v>
      </c>
      <c r="C11">
        <f t="shared" si="0"/>
        <v>1.3103627668135267</v>
      </c>
      <c r="D11">
        <f t="shared" si="1"/>
        <v>0.39242296999201409</v>
      </c>
      <c r="E11">
        <f t="shared" si="2"/>
        <v>0.1539957873773532</v>
      </c>
    </row>
    <row r="12" spans="1:8" x14ac:dyDescent="0.25">
      <c r="A12">
        <v>0.87441992864999996</v>
      </c>
      <c r="B12">
        <v>2.0615944243419095</v>
      </c>
      <c r="C12">
        <f t="shared" si="0"/>
        <v>1.5369794116155213</v>
      </c>
      <c r="D12">
        <f t="shared" si="1"/>
        <v>0.52461501272638822</v>
      </c>
      <c r="E12">
        <f t="shared" si="2"/>
        <v>0.27522091157790846</v>
      </c>
    </row>
    <row r="13" spans="1:8" x14ac:dyDescent="0.25">
      <c r="A13">
        <v>0.90471721974999997</v>
      </c>
      <c r="B13">
        <v>2.2897386765326639</v>
      </c>
      <c r="C13">
        <f t="shared" si="0"/>
        <v>1.7675879556568554</v>
      </c>
      <c r="D13">
        <f t="shared" si="1"/>
        <v>0.52215072087580849</v>
      </c>
      <c r="E13">
        <f t="shared" si="2"/>
        <v>0.27264137531112648</v>
      </c>
    </row>
    <row r="14" spans="1:8" x14ac:dyDescent="0.25">
      <c r="A14">
        <v>0.93501451084999998</v>
      </c>
      <c r="B14">
        <v>2.4888463875355042</v>
      </c>
      <c r="C14">
        <f t="shared" si="0"/>
        <v>1.9894138417967617</v>
      </c>
      <c r="D14">
        <f t="shared" si="1"/>
        <v>0.49943254573874252</v>
      </c>
      <c r="E14">
        <f t="shared" si="2"/>
        <v>0.24943286774308113</v>
      </c>
    </row>
    <row r="15" spans="1:8" x14ac:dyDescent="0.25">
      <c r="A15">
        <v>0.96531180194999999</v>
      </c>
      <c r="B15">
        <v>2.5095867740983002</v>
      </c>
      <c r="C15">
        <f t="shared" si="0"/>
        <v>2.1863939189388923</v>
      </c>
      <c r="D15">
        <f t="shared" si="1"/>
        <v>0.32319285515940788</v>
      </c>
      <c r="E15">
        <f t="shared" si="2"/>
        <v>0.10445362162609</v>
      </c>
    </row>
    <row r="16" spans="1:8" x14ac:dyDescent="0.25">
      <c r="A16">
        <v>0.99560909305</v>
      </c>
      <c r="B16">
        <v>2.4100329185968801</v>
      </c>
      <c r="C16">
        <f t="shared" si="0"/>
        <v>2.3401265265050131</v>
      </c>
      <c r="D16">
        <f t="shared" si="1"/>
        <v>6.9906392091866998E-2</v>
      </c>
      <c r="E16">
        <f t="shared" si="2"/>
        <v>4.8869036553018446E-3</v>
      </c>
    </row>
    <row r="17" spans="1:5" x14ac:dyDescent="0.25">
      <c r="A17">
        <v>1.0259063841499998</v>
      </c>
      <c r="B17">
        <v>2.370626184127568</v>
      </c>
      <c r="C17">
        <f t="shared" si="0"/>
        <v>2.4317135169805546</v>
      </c>
      <c r="D17">
        <f t="shared" si="1"/>
        <v>-6.108733285298662E-2</v>
      </c>
      <c r="E17">
        <f t="shared" si="2"/>
        <v>3.7316622350915783E-3</v>
      </c>
    </row>
    <row r="18" spans="1:5" x14ac:dyDescent="0.25">
      <c r="A18">
        <v>1.0562036752499999</v>
      </c>
      <c r="B18">
        <v>2.2814425219075454</v>
      </c>
      <c r="C18">
        <f t="shared" si="0"/>
        <v>2.4445127167207672</v>
      </c>
      <c r="D18">
        <f t="shared" si="1"/>
        <v>-0.16307019481322182</v>
      </c>
      <c r="E18">
        <f t="shared" si="2"/>
        <v>2.6591888436422118E-2</v>
      </c>
    </row>
    <row r="19" spans="1:5" x14ac:dyDescent="0.25">
      <c r="A19">
        <v>1.08650096635</v>
      </c>
      <c r="B19">
        <v>2.0553723083730708</v>
      </c>
      <c r="C19">
        <f t="shared" si="0"/>
        <v>2.3675365929651484</v>
      </c>
      <c r="D19">
        <f t="shared" si="1"/>
        <v>-0.31216428459207757</v>
      </c>
      <c r="E19">
        <f t="shared" si="2"/>
        <v>9.7446540574883597E-2</v>
      </c>
    </row>
    <row r="20" spans="1:5" x14ac:dyDescent="0.25">
      <c r="A20">
        <v>1.1167982574500002</v>
      </c>
      <c r="B20">
        <v>1.7276742006808958</v>
      </c>
      <c r="C20">
        <f t="shared" si="0"/>
        <v>2.1988607504333242</v>
      </c>
      <c r="D20">
        <f t="shared" si="1"/>
        <v>-0.47118654975242835</v>
      </c>
      <c r="E20">
        <f t="shared" si="2"/>
        <v>0.22201676466759765</v>
      </c>
    </row>
    <row r="21" spans="1:5" x14ac:dyDescent="0.25">
      <c r="A21">
        <v>1.1470955485499998</v>
      </c>
      <c r="B21">
        <v>1.5430847602720126</v>
      </c>
      <c r="C21">
        <f t="shared" si="0"/>
        <v>1.948058499552328</v>
      </c>
      <c r="D21">
        <f t="shared" si="1"/>
        <v>-0.40497373928031544</v>
      </c>
      <c r="E21">
        <f t="shared" si="2"/>
        <v>0.16400372950668091</v>
      </c>
    </row>
    <row r="22" spans="1:5" x14ac:dyDescent="0.25">
      <c r="A22">
        <v>1.17739283965</v>
      </c>
      <c r="B22">
        <v>1.2672376189868275</v>
      </c>
      <c r="C22">
        <f t="shared" si="0"/>
        <v>1.6365500046234671</v>
      </c>
      <c r="D22">
        <f t="shared" si="1"/>
        <v>-0.3693123856366396</v>
      </c>
      <c r="E22">
        <f t="shared" si="2"/>
        <v>0.13639163818462599</v>
      </c>
    </row>
    <row r="23" spans="1:5" x14ac:dyDescent="0.25">
      <c r="A23">
        <v>1.2076901307500001</v>
      </c>
      <c r="B23">
        <v>1.0183529802332771</v>
      </c>
      <c r="C23">
        <f t="shared" si="0"/>
        <v>1.2950597341282601</v>
      </c>
      <c r="D23">
        <f t="shared" si="1"/>
        <v>-0.276706753894983</v>
      </c>
      <c r="E23">
        <f t="shared" si="2"/>
        <v>7.6566627651098687E-2</v>
      </c>
    </row>
    <row r="24" spans="1:5" x14ac:dyDescent="0.25">
      <c r="A24">
        <v>1.2379874218499998</v>
      </c>
      <c r="B24">
        <v>0.75909814819832877</v>
      </c>
      <c r="C24">
        <f t="shared" si="0"/>
        <v>0.95820862380927319</v>
      </c>
      <c r="D24">
        <f t="shared" si="1"/>
        <v>-0.19911047561094442</v>
      </c>
      <c r="E24">
        <f t="shared" si="2"/>
        <v>3.9644981498016492E-2</v>
      </c>
    </row>
    <row r="25" spans="1:5" x14ac:dyDescent="0.25">
      <c r="A25">
        <v>1.2682847129499999</v>
      </c>
      <c r="B25">
        <v>0.64917409941551074</v>
      </c>
      <c r="C25">
        <f t="shared" si="0"/>
        <v>0.65744185208028394</v>
      </c>
      <c r="D25">
        <f t="shared" si="1"/>
        <v>-8.267752664773198E-3</v>
      </c>
      <c r="E25">
        <f t="shared" si="2"/>
        <v>6.8355734125864312E-5</v>
      </c>
    </row>
    <row r="26" spans="1:5" x14ac:dyDescent="0.25">
      <c r="A26">
        <v>1.29858200405</v>
      </c>
      <c r="B26">
        <v>0.43969619513127245</v>
      </c>
      <c r="C26">
        <f t="shared" si="0"/>
        <v>0.41448856554315389</v>
      </c>
      <c r="D26">
        <f t="shared" si="1"/>
        <v>2.5207629588118563E-2</v>
      </c>
      <c r="E26">
        <f t="shared" si="2"/>
        <v>6.3542458945179043E-4</v>
      </c>
    </row>
    <row r="27" spans="1:5" x14ac:dyDescent="0.25">
      <c r="A27">
        <v>1.3288792951500001</v>
      </c>
      <c r="B27">
        <v>0.34014233962985224</v>
      </c>
      <c r="C27">
        <f t="shared" si="0"/>
        <v>0.23770691197298568</v>
      </c>
      <c r="D27">
        <f t="shared" si="1"/>
        <v>0.10243542765686656</v>
      </c>
      <c r="E27">
        <f t="shared" si="2"/>
        <v>1.0493016839245141E-2</v>
      </c>
    </row>
    <row r="28" spans="1:5" x14ac:dyDescent="0.25">
      <c r="A28">
        <v>1.3591765862499998</v>
      </c>
      <c r="B28">
        <v>0.2239961748781954</v>
      </c>
      <c r="C28">
        <f t="shared" si="0"/>
        <v>0.12263554958770641</v>
      </c>
      <c r="D28">
        <f t="shared" si="1"/>
        <v>0.10136062529048899</v>
      </c>
      <c r="E28">
        <f t="shared" si="2"/>
        <v>1.0273976359278916E-2</v>
      </c>
    </row>
    <row r="29" spans="1:5" x14ac:dyDescent="0.25">
      <c r="A29">
        <v>1.3894738773499999</v>
      </c>
      <c r="B29">
        <v>0.14933078325213026</v>
      </c>
      <c r="C29">
        <f t="shared" si="0"/>
        <v>5.6225214753815346E-2</v>
      </c>
      <c r="D29">
        <f t="shared" si="1"/>
        <v>9.3105568498314917E-2</v>
      </c>
      <c r="E29">
        <f t="shared" si="2"/>
        <v>8.6686468853944109E-3</v>
      </c>
    </row>
    <row r="30" spans="1:5" x14ac:dyDescent="0.25">
      <c r="A30">
        <v>1.4197711684500001</v>
      </c>
      <c r="B30">
        <v>8.0887507594903887E-2</v>
      </c>
      <c r="C30">
        <f t="shared" si="0"/>
        <v>2.26032737094445E-2</v>
      </c>
      <c r="D30">
        <f t="shared" si="1"/>
        <v>5.8284233885459391E-2</v>
      </c>
      <c r="E30">
        <f t="shared" si="2"/>
        <v>3.3970519196149327E-3</v>
      </c>
    </row>
    <row r="31" spans="1:5" x14ac:dyDescent="0.25">
      <c r="A31">
        <v>1.4500684595500002</v>
      </c>
      <c r="B31">
        <v>8.7109623563742647E-2</v>
      </c>
      <c r="C31">
        <f t="shared" si="0"/>
        <v>7.8519600463621345E-3</v>
      </c>
      <c r="D31">
        <f t="shared" si="1"/>
        <v>7.9257663517380506E-2</v>
      </c>
      <c r="E31">
        <f t="shared" si="2"/>
        <v>6.2817772262343087E-3</v>
      </c>
    </row>
    <row r="32" spans="1:5" x14ac:dyDescent="0.25">
      <c r="A32">
        <v>1.4803657506500001</v>
      </c>
      <c r="B32">
        <v>2.6962502531634628E-2</v>
      </c>
      <c r="C32">
        <f t="shared" si="0"/>
        <v>2.319592711884296E-3</v>
      </c>
      <c r="D32">
        <f t="shared" si="1"/>
        <v>2.4642909819750331E-2</v>
      </c>
      <c r="E32">
        <f t="shared" si="2"/>
        <v>6.0727300438434735E-4</v>
      </c>
    </row>
    <row r="33" spans="1:5" x14ac:dyDescent="0.25">
      <c r="A33">
        <v>1.51066304175</v>
      </c>
      <c r="B33">
        <v>6.2221159688387604E-3</v>
      </c>
      <c r="C33">
        <f t="shared" si="0"/>
        <v>5.7268268496034553E-4</v>
      </c>
      <c r="D33">
        <f t="shared" si="1"/>
        <v>5.6494332838784144E-3</v>
      </c>
      <c r="E33">
        <f t="shared" si="2"/>
        <v>3.1916096428993246E-5</v>
      </c>
    </row>
    <row r="34" spans="1:5" x14ac:dyDescent="0.25">
      <c r="A34">
        <v>1.5409603328500001</v>
      </c>
      <c r="B34">
        <v>6.2221159688387604E-3</v>
      </c>
      <c r="C34">
        <f t="shared" si="0"/>
        <v>1.1594937272222037E-4</v>
      </c>
      <c r="D34">
        <f t="shared" si="1"/>
        <v>6.1061665961165404E-3</v>
      </c>
      <c r="E34">
        <f t="shared" si="2"/>
        <v>3.7285270499529459E-5</v>
      </c>
    </row>
    <row r="35" spans="1:5" x14ac:dyDescent="0.25">
      <c r="A35">
        <v>1.57125762395</v>
      </c>
      <c r="B35">
        <v>1.0370193281397934E-2</v>
      </c>
      <c r="C35">
        <f t="shared" si="0"/>
        <v>1.8860723235013808E-5</v>
      </c>
      <c r="D35">
        <f t="shared" si="1"/>
        <v>1.035133255816292E-2</v>
      </c>
      <c r="E35">
        <f t="shared" si="2"/>
        <v>1.071500857296837E-4</v>
      </c>
    </row>
    <row r="36" spans="1:5" x14ac:dyDescent="0.25">
      <c r="A36">
        <v>1.6015549150500001</v>
      </c>
      <c r="B36">
        <v>0</v>
      </c>
      <c r="C36">
        <f t="shared" si="0"/>
        <v>2.4105958113057929E-6</v>
      </c>
      <c r="D36">
        <f t="shared" si="1"/>
        <v>-2.4105958113057929E-6</v>
      </c>
      <c r="E36">
        <f t="shared" si="2"/>
        <v>5.8109721654850338E-12</v>
      </c>
    </row>
    <row r="37" spans="1:5" x14ac:dyDescent="0.25">
      <c r="A37">
        <v>1.63185220615</v>
      </c>
      <c r="B37">
        <v>0</v>
      </c>
      <c r="C37">
        <f t="shared" si="0"/>
        <v>2.3633011794002377E-7</v>
      </c>
      <c r="D37">
        <f t="shared" si="1"/>
        <v>-2.3633011794002377E-7</v>
      </c>
      <c r="E37">
        <f t="shared" si="2"/>
        <v>5.5851924645545544E-14</v>
      </c>
    </row>
    <row r="38" spans="1:5" x14ac:dyDescent="0.25">
      <c r="A38">
        <v>1.6621494972500002</v>
      </c>
      <c r="B38">
        <v>0</v>
      </c>
      <c r="C38">
        <f t="shared" si="0"/>
        <v>1.7316495623604052E-8</v>
      </c>
      <c r="D38">
        <f t="shared" si="1"/>
        <v>-1.7316495623604052E-8</v>
      </c>
      <c r="E38">
        <f t="shared" si="2"/>
        <v>2.9986102068229829E-16</v>
      </c>
    </row>
    <row r="39" spans="1:5" x14ac:dyDescent="0.25">
      <c r="A39">
        <v>1.6924467883499998</v>
      </c>
      <c r="B39">
        <v>0</v>
      </c>
      <c r="C39">
        <f t="shared" si="0"/>
        <v>9.2210694154072196E-10</v>
      </c>
      <c r="D39">
        <f t="shared" si="1"/>
        <v>-9.2210694154072196E-10</v>
      </c>
      <c r="E39">
        <f t="shared" si="2"/>
        <v>8.5028121163758442E-19</v>
      </c>
    </row>
    <row r="40" spans="1:5" x14ac:dyDescent="0.25">
      <c r="A40">
        <v>1.72274407945</v>
      </c>
      <c r="B40">
        <v>2.0740386562795869E-3</v>
      </c>
      <c r="C40">
        <f t="shared" si="0"/>
        <v>3.4624447846810275E-11</v>
      </c>
      <c r="D40">
        <f t="shared" si="1"/>
        <v>2.0740386216551391E-3</v>
      </c>
      <c r="E40">
        <f t="shared" si="2"/>
        <v>4.301636204117149E-6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CDD1-C598-408F-A306-538AFBC13AE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0.69609938814999994</v>
      </c>
      <c r="B1">
        <v>1.1974399712458448E-2</v>
      </c>
      <c r="C1">
        <f>$H$3*(1+$H$1)*(A1^($H$1))*EXP(-$H$3*(A1^(1+$H$1)))</f>
        <v>0.16981464301822649</v>
      </c>
      <c r="D1">
        <f>B1-C1</f>
        <v>-0.15784024330576804</v>
      </c>
      <c r="E1">
        <f>D1^2</f>
        <v>2.4913542406824054E-2</v>
      </c>
      <c r="G1" t="s">
        <v>0</v>
      </c>
      <c r="H1">
        <v>10.115095308099203</v>
      </c>
    </row>
    <row r="2" spans="1:8" x14ac:dyDescent="0.25">
      <c r="A2">
        <v>0.71709008645000005</v>
      </c>
      <c r="B2">
        <v>1.7961599568687672E-2</v>
      </c>
      <c r="C2">
        <f t="shared" ref="C2:C40" si="0">$H$3*(1+$H$1)*(A2^($H$1))*EXP(-$H$3*(A2^(1+$H$1)))</f>
        <v>0.22838002886660619</v>
      </c>
      <c r="D2">
        <f t="shared" ref="D2:D40" si="1">B2-C2</f>
        <v>-0.21041842929791851</v>
      </c>
      <c r="E2">
        <f t="shared" ref="E2:E40" si="2">D2^2</f>
        <v>4.4275915388203135E-2</v>
      </c>
    </row>
    <row r="3" spans="1:8" x14ac:dyDescent="0.25">
      <c r="A3">
        <v>0.73808078474999994</v>
      </c>
      <c r="B3">
        <v>5.9871998562292243E-2</v>
      </c>
      <c r="C3">
        <f t="shared" si="0"/>
        <v>0.30405094765503676</v>
      </c>
      <c r="D3">
        <f t="shared" si="1"/>
        <v>-0.24417894909274451</v>
      </c>
      <c r="E3">
        <f t="shared" si="2"/>
        <v>5.9623359180037118E-2</v>
      </c>
      <c r="G3" t="s">
        <v>1</v>
      </c>
      <c r="H3">
        <f>(_xlfn.GAMMA((2+$H$1)/(1+$H$1)))^(1+$H$1)</f>
        <v>0.60273417949638419</v>
      </c>
    </row>
    <row r="4" spans="1:8" x14ac:dyDescent="0.25">
      <c r="A4">
        <v>0.75907148305000005</v>
      </c>
      <c r="B4">
        <v>0.15267359633384522</v>
      </c>
      <c r="C4">
        <f t="shared" si="0"/>
        <v>0.40073945217729917</v>
      </c>
      <c r="D4">
        <f t="shared" si="1"/>
        <v>-0.24806585584345395</v>
      </c>
      <c r="E4">
        <f t="shared" si="2"/>
        <v>6.1536668835345275E-2</v>
      </c>
    </row>
    <row r="5" spans="1:8" x14ac:dyDescent="0.25">
      <c r="A5">
        <v>0.78006218134999994</v>
      </c>
      <c r="B5">
        <v>0.2754111933865443</v>
      </c>
      <c r="C5">
        <f t="shared" si="0"/>
        <v>0.52283098557697527</v>
      </c>
      <c r="D5">
        <f t="shared" si="1"/>
        <v>-0.24741979219043098</v>
      </c>
      <c r="E5">
        <f t="shared" si="2"/>
        <v>6.1216553567556051E-2</v>
      </c>
      <c r="G5" t="s">
        <v>2</v>
      </c>
      <c r="H5">
        <f>SUM(E1:E40)</f>
        <v>5.9282887466442249</v>
      </c>
    </row>
    <row r="6" spans="1:8" x14ac:dyDescent="0.25">
      <c r="A6">
        <v>0.80105287965000005</v>
      </c>
      <c r="B6">
        <v>0.4640079888577649</v>
      </c>
      <c r="C6">
        <f t="shared" si="0"/>
        <v>0.67503262105127071</v>
      </c>
      <c r="D6">
        <f t="shared" si="1"/>
        <v>-0.21102463219350581</v>
      </c>
      <c r="E6">
        <f t="shared" si="2"/>
        <v>4.4531395392404409E-2</v>
      </c>
    </row>
    <row r="7" spans="1:8" x14ac:dyDescent="0.25">
      <c r="A7">
        <v>0.82204357794999994</v>
      </c>
      <c r="B7">
        <v>0.86215677929700829</v>
      </c>
      <c r="C7">
        <f t="shared" si="0"/>
        <v>0.86207838488580735</v>
      </c>
      <c r="D7">
        <f t="shared" si="1"/>
        <v>7.8394411200943814E-5</v>
      </c>
      <c r="E7">
        <f t="shared" si="2"/>
        <v>6.1456837075426648E-9</v>
      </c>
    </row>
    <row r="8" spans="1:8" x14ac:dyDescent="0.25">
      <c r="A8">
        <v>0.84303427624999994</v>
      </c>
      <c r="B8">
        <v>1.3800495668608361</v>
      </c>
      <c r="C8">
        <f t="shared" si="0"/>
        <v>1.0882321353629802</v>
      </c>
      <c r="D8">
        <f t="shared" si="1"/>
        <v>0.29181743149785588</v>
      </c>
      <c r="E8">
        <f t="shared" si="2"/>
        <v>8.5157413326005807E-2</v>
      </c>
    </row>
    <row r="9" spans="1:8" x14ac:dyDescent="0.25">
      <c r="A9">
        <v>0.86402497454999994</v>
      </c>
      <c r="B9">
        <v>1.6255247609662344</v>
      </c>
      <c r="C9">
        <f t="shared" si="0"/>
        <v>1.3565219724197883</v>
      </c>
      <c r="D9">
        <f t="shared" si="1"/>
        <v>0.2690027885464461</v>
      </c>
      <c r="E9">
        <f t="shared" si="2"/>
        <v>7.2362500245763989E-2</v>
      </c>
    </row>
    <row r="10" spans="1:8" x14ac:dyDescent="0.25">
      <c r="A10">
        <v>0.88501567285000005</v>
      </c>
      <c r="B10">
        <v>2.2302319464453859</v>
      </c>
      <c r="C10">
        <f t="shared" si="0"/>
        <v>1.6676472373794211</v>
      </c>
      <c r="D10">
        <f t="shared" si="1"/>
        <v>0.56258470906596481</v>
      </c>
      <c r="E10">
        <f t="shared" si="2"/>
        <v>0.31650155487483628</v>
      </c>
    </row>
    <row r="11" spans="1:8" x14ac:dyDescent="0.25">
      <c r="A11">
        <v>0.90600637114999993</v>
      </c>
      <c r="B11">
        <v>2.6074255373878272</v>
      </c>
      <c r="C11">
        <f t="shared" si="0"/>
        <v>2.0185334610746755</v>
      </c>
      <c r="D11">
        <f t="shared" si="1"/>
        <v>0.58889207631315177</v>
      </c>
      <c r="E11">
        <f t="shared" si="2"/>
        <v>0.34679387754441499</v>
      </c>
    </row>
    <row r="12" spans="1:8" x14ac:dyDescent="0.25">
      <c r="A12">
        <v>0.92699706945000004</v>
      </c>
      <c r="B12">
        <v>3.3169087203509902</v>
      </c>
      <c r="C12">
        <f t="shared" si="0"/>
        <v>2.4005909742815579</v>
      </c>
      <c r="D12">
        <f t="shared" si="1"/>
        <v>0.91631774606943228</v>
      </c>
      <c r="E12">
        <f t="shared" si="2"/>
        <v>0.83963821176176456</v>
      </c>
    </row>
    <row r="13" spans="1:8" x14ac:dyDescent="0.25">
      <c r="A13">
        <v>0.94798776774999993</v>
      </c>
      <c r="B13">
        <v>3.6551855122279413</v>
      </c>
      <c r="C13">
        <f t="shared" si="0"/>
        <v>2.7978799222385398</v>
      </c>
      <c r="D13">
        <f t="shared" si="1"/>
        <v>0.85730558998940154</v>
      </c>
      <c r="E13">
        <f t="shared" si="2"/>
        <v>0.73497287462707583</v>
      </c>
    </row>
    <row r="14" spans="1:8" x14ac:dyDescent="0.25">
      <c r="A14">
        <v>0.96897846605000004</v>
      </c>
      <c r="B14">
        <v>3.9545455050394027</v>
      </c>
      <c r="C14">
        <f t="shared" si="0"/>
        <v>3.1856099336146833</v>
      </c>
      <c r="D14">
        <f t="shared" si="1"/>
        <v>0.76893557142471947</v>
      </c>
      <c r="E14">
        <f t="shared" si="2"/>
        <v>0.59126191300225983</v>
      </c>
    </row>
    <row r="15" spans="1:8" x14ac:dyDescent="0.25">
      <c r="A15">
        <v>0.98996916434999993</v>
      </c>
      <c r="B15">
        <v>3.9156287059739125</v>
      </c>
      <c r="C15">
        <f t="shared" si="0"/>
        <v>3.5296878544221313</v>
      </c>
      <c r="D15">
        <f t="shared" si="1"/>
        <v>0.38594085155178126</v>
      </c>
      <c r="E15">
        <f t="shared" si="2"/>
        <v>0.14895034089651407</v>
      </c>
    </row>
    <row r="16" spans="1:8" x14ac:dyDescent="0.25">
      <c r="A16">
        <v>1.01095986265</v>
      </c>
      <c r="B16">
        <v>3.8587503073397351</v>
      </c>
      <c r="C16">
        <f t="shared" si="0"/>
        <v>3.7882884289522081</v>
      </c>
      <c r="D16">
        <f t="shared" si="1"/>
        <v>7.0461878387527044E-2</v>
      </c>
      <c r="E16">
        <f t="shared" si="2"/>
        <v>4.964876305898651E-3</v>
      </c>
    </row>
    <row r="17" spans="1:5" x14ac:dyDescent="0.25">
      <c r="A17">
        <v>1.0319505609499999</v>
      </c>
      <c r="B17">
        <v>3.4606015169004918</v>
      </c>
      <c r="C17">
        <f t="shared" si="0"/>
        <v>3.9164778230742563</v>
      </c>
      <c r="D17">
        <f t="shared" si="1"/>
        <v>-0.45587630617376451</v>
      </c>
      <c r="E17">
        <f t="shared" si="2"/>
        <v>0.20782320653063588</v>
      </c>
    </row>
    <row r="18" spans="1:5" x14ac:dyDescent="0.25">
      <c r="A18">
        <v>1.05294125925</v>
      </c>
      <c r="B18">
        <v>3.4516207171161479</v>
      </c>
      <c r="C18">
        <f t="shared" si="0"/>
        <v>3.8744853714901843</v>
      </c>
      <c r="D18">
        <f t="shared" si="1"/>
        <v>-0.42286465437403642</v>
      </c>
      <c r="E18">
        <f t="shared" si="2"/>
        <v>0.17881451591887329</v>
      </c>
    </row>
    <row r="19" spans="1:5" x14ac:dyDescent="0.25">
      <c r="A19">
        <v>1.0739319575499999</v>
      </c>
      <c r="B19">
        <v>2.8289519320683083</v>
      </c>
      <c r="C19">
        <f t="shared" si="0"/>
        <v>3.6390095903125381</v>
      </c>
      <c r="D19">
        <f t="shared" si="1"/>
        <v>-0.81005765824422982</v>
      </c>
      <c r="E19">
        <f t="shared" si="2"/>
        <v>0.65619340968012541</v>
      </c>
    </row>
    <row r="20" spans="1:5" x14ac:dyDescent="0.25">
      <c r="A20">
        <v>1.09492265585</v>
      </c>
      <c r="B20">
        <v>2.4278095417009506</v>
      </c>
      <c r="C20">
        <f t="shared" si="0"/>
        <v>3.2149359289184791</v>
      </c>
      <c r="D20">
        <f t="shared" si="1"/>
        <v>-0.78712638721752848</v>
      </c>
      <c r="E20">
        <f t="shared" si="2"/>
        <v>0.61956794945411853</v>
      </c>
    </row>
    <row r="21" spans="1:5" x14ac:dyDescent="0.25">
      <c r="A21">
        <v>1.1159133541499999</v>
      </c>
      <c r="B21">
        <v>1.9308719536339249</v>
      </c>
      <c r="C21">
        <f t="shared" si="0"/>
        <v>2.6426684890315757</v>
      </c>
      <c r="D21">
        <f t="shared" si="1"/>
        <v>-0.71179653539765075</v>
      </c>
      <c r="E21">
        <f t="shared" si="2"/>
        <v>0.50665430780409904</v>
      </c>
    </row>
    <row r="22" spans="1:5" x14ac:dyDescent="0.25">
      <c r="A22">
        <v>1.13690405245</v>
      </c>
      <c r="B22">
        <v>1.5806207620445152</v>
      </c>
      <c r="C22">
        <f t="shared" si="0"/>
        <v>1.9954652766505983</v>
      </c>
      <c r="D22">
        <f t="shared" si="1"/>
        <v>-0.41484451460608307</v>
      </c>
      <c r="E22">
        <f t="shared" si="2"/>
        <v>0.17209597129875667</v>
      </c>
    </row>
    <row r="23" spans="1:5" x14ac:dyDescent="0.25">
      <c r="A23">
        <v>1.1578947507499999</v>
      </c>
      <c r="B23">
        <v>1.1854655715333864</v>
      </c>
      <c r="C23">
        <f t="shared" si="0"/>
        <v>1.3636368998054882</v>
      </c>
      <c r="D23">
        <f t="shared" si="1"/>
        <v>-0.1781713282721018</v>
      </c>
      <c r="E23">
        <f t="shared" si="2"/>
        <v>3.1745022218245066E-2</v>
      </c>
    </row>
    <row r="24" spans="1:5" x14ac:dyDescent="0.25">
      <c r="A24">
        <v>1.17888544905</v>
      </c>
      <c r="B24">
        <v>0.86215677929700829</v>
      </c>
      <c r="C24">
        <f t="shared" si="0"/>
        <v>0.82883801612356622</v>
      </c>
      <c r="D24">
        <f t="shared" si="1"/>
        <v>3.3318763173442068E-2</v>
      </c>
      <c r="E24">
        <f t="shared" si="2"/>
        <v>1.1101399794079194E-3</v>
      </c>
    </row>
    <row r="25" spans="1:5" x14ac:dyDescent="0.25">
      <c r="A25">
        <v>1.1998761473499999</v>
      </c>
      <c r="B25">
        <v>0.56579038641366175</v>
      </c>
      <c r="C25">
        <f t="shared" si="0"/>
        <v>0.43915221467176224</v>
      </c>
      <c r="D25">
        <f t="shared" si="1"/>
        <v>0.12663817174189951</v>
      </c>
      <c r="E25">
        <f t="shared" si="2"/>
        <v>1.6037226542130835E-2</v>
      </c>
    </row>
    <row r="26" spans="1:5" x14ac:dyDescent="0.25">
      <c r="A26">
        <v>1.22086684565</v>
      </c>
      <c r="B26">
        <v>0.4131167900798165</v>
      </c>
      <c r="C26">
        <f t="shared" si="0"/>
        <v>0.19816383150009337</v>
      </c>
      <c r="D26">
        <f t="shared" si="1"/>
        <v>0.21495295857972313</v>
      </c>
      <c r="E26">
        <f t="shared" si="2"/>
        <v>4.6204774402176164E-2</v>
      </c>
    </row>
    <row r="27" spans="1:5" x14ac:dyDescent="0.25">
      <c r="A27">
        <v>1.2418575439500001</v>
      </c>
      <c r="B27">
        <v>0.25744959381785665</v>
      </c>
      <c r="C27">
        <f t="shared" si="0"/>
        <v>7.4137131944562021E-2</v>
      </c>
      <c r="D27">
        <f t="shared" si="1"/>
        <v>0.18331246187329464</v>
      </c>
      <c r="E27">
        <f t="shared" si="2"/>
        <v>3.36034586780481E-2</v>
      </c>
    </row>
    <row r="28" spans="1:5" x14ac:dyDescent="0.25">
      <c r="A28">
        <v>1.26284824225</v>
      </c>
      <c r="B28">
        <v>0.14069919662138677</v>
      </c>
      <c r="C28">
        <f t="shared" si="0"/>
        <v>2.2296315413036019E-2</v>
      </c>
      <c r="D28">
        <f t="shared" si="1"/>
        <v>0.11840288120835075</v>
      </c>
      <c r="E28">
        <f t="shared" si="2"/>
        <v>1.401924227843882E-2</v>
      </c>
    </row>
    <row r="29" spans="1:5" x14ac:dyDescent="0.25">
      <c r="A29">
        <v>1.2838389405499999</v>
      </c>
      <c r="B29">
        <v>8.3820797987209136E-2</v>
      </c>
      <c r="C29">
        <f t="shared" si="0"/>
        <v>5.2025975734820776E-3</v>
      </c>
      <c r="D29">
        <f t="shared" si="1"/>
        <v>7.8618200413727052E-2</v>
      </c>
      <c r="E29">
        <f t="shared" si="2"/>
        <v>6.1808214362929527E-3</v>
      </c>
    </row>
    <row r="30" spans="1:5" x14ac:dyDescent="0.25">
      <c r="A30">
        <v>1.30482963885</v>
      </c>
      <c r="B30">
        <v>3.5923199137375343E-2</v>
      </c>
      <c r="C30">
        <f t="shared" si="0"/>
        <v>9.0442152109263224E-4</v>
      </c>
      <c r="D30">
        <f t="shared" si="1"/>
        <v>3.5018777616282713E-2</v>
      </c>
      <c r="E30">
        <f t="shared" si="2"/>
        <v>1.2263147857386632E-3</v>
      </c>
    </row>
    <row r="31" spans="1:5" x14ac:dyDescent="0.25">
      <c r="A31">
        <v>1.3258203371500001</v>
      </c>
      <c r="B31">
        <v>8.9807997843438358E-3</v>
      </c>
      <c r="C31">
        <f t="shared" si="0"/>
        <v>1.1182826272412062E-4</v>
      </c>
      <c r="D31">
        <f t="shared" si="1"/>
        <v>8.868971521619716E-3</v>
      </c>
      <c r="E31">
        <f t="shared" si="2"/>
        <v>7.8658655851301536E-5</v>
      </c>
    </row>
    <row r="32" spans="1:5" x14ac:dyDescent="0.25">
      <c r="A32">
        <v>1.34681103545</v>
      </c>
      <c r="B32">
        <v>1.4967999640573061E-2</v>
      </c>
      <c r="C32">
        <f t="shared" si="0"/>
        <v>9.328579108187229E-6</v>
      </c>
      <c r="D32">
        <f t="shared" si="1"/>
        <v>1.4958671061464873E-2</v>
      </c>
      <c r="E32">
        <f t="shared" si="2"/>
        <v>2.2376183992510663E-4</v>
      </c>
    </row>
    <row r="33" spans="1:5" x14ac:dyDescent="0.25">
      <c r="A33">
        <v>1.3678017337499999</v>
      </c>
      <c r="B33">
        <v>0</v>
      </c>
      <c r="C33">
        <f t="shared" si="0"/>
        <v>4.9438437485450107E-7</v>
      </c>
      <c r="D33">
        <f t="shared" si="1"/>
        <v>-4.9438437485450107E-7</v>
      </c>
      <c r="E33">
        <f t="shared" si="2"/>
        <v>2.4441591010027583E-13</v>
      </c>
    </row>
    <row r="34" spans="1:5" x14ac:dyDescent="0.25">
      <c r="A34">
        <v>1.3887924320499998</v>
      </c>
      <c r="B34">
        <v>0</v>
      </c>
      <c r="C34">
        <f t="shared" si="0"/>
        <v>1.5548129283040741E-8</v>
      </c>
      <c r="D34">
        <f t="shared" si="1"/>
        <v>-1.5548129283040741E-8</v>
      </c>
      <c r="E34">
        <f t="shared" si="2"/>
        <v>2.4174432420214896E-16</v>
      </c>
    </row>
    <row r="35" spans="1:5" x14ac:dyDescent="0.25">
      <c r="A35">
        <v>1.4097831303499999</v>
      </c>
      <c r="B35">
        <v>0</v>
      </c>
      <c r="C35">
        <f t="shared" si="0"/>
        <v>2.6859752295587191E-10</v>
      </c>
      <c r="D35">
        <f t="shared" si="1"/>
        <v>-2.6859752295587191E-10</v>
      </c>
      <c r="E35">
        <f t="shared" si="2"/>
        <v>7.2144629338030136E-20</v>
      </c>
    </row>
    <row r="36" spans="1:5" x14ac:dyDescent="0.25">
      <c r="A36">
        <v>1.43077382865</v>
      </c>
      <c r="B36">
        <v>0</v>
      </c>
      <c r="C36">
        <f t="shared" si="0"/>
        <v>2.3356105458793831E-12</v>
      </c>
      <c r="D36">
        <f t="shared" si="1"/>
        <v>-2.3356105458793831E-12</v>
      </c>
      <c r="E36">
        <f t="shared" si="2"/>
        <v>5.4550766220229896E-24</v>
      </c>
    </row>
    <row r="37" spans="1:5" x14ac:dyDescent="0.25">
      <c r="A37">
        <v>1.4517645269499999</v>
      </c>
      <c r="B37">
        <v>0</v>
      </c>
      <c r="C37">
        <f t="shared" si="0"/>
        <v>9.2632251565755214E-15</v>
      </c>
      <c r="D37">
        <f t="shared" si="1"/>
        <v>-9.2632251565755214E-15</v>
      </c>
      <c r="E37">
        <f t="shared" si="2"/>
        <v>8.5807340301413597E-29</v>
      </c>
    </row>
    <row r="38" spans="1:5" x14ac:dyDescent="0.25">
      <c r="A38">
        <v>1.47275522525</v>
      </c>
      <c r="B38">
        <v>0</v>
      </c>
      <c r="C38">
        <f t="shared" si="0"/>
        <v>1.499549296352149E-17</v>
      </c>
      <c r="D38">
        <f t="shared" si="1"/>
        <v>-1.499549296352149E-17</v>
      </c>
      <c r="E38">
        <f t="shared" si="2"/>
        <v>2.248648092190225E-34</v>
      </c>
    </row>
    <row r="39" spans="1:5" x14ac:dyDescent="0.25">
      <c r="A39">
        <v>1.4937459235500001</v>
      </c>
      <c r="B39">
        <v>0</v>
      </c>
      <c r="C39">
        <f t="shared" si="0"/>
        <v>8.745066521833301E-21</v>
      </c>
      <c r="D39">
        <f t="shared" si="1"/>
        <v>-8.745066521833301E-21</v>
      </c>
      <c r="E39">
        <f t="shared" si="2"/>
        <v>7.647618847128959E-41</v>
      </c>
    </row>
    <row r="40" spans="1:5" x14ac:dyDescent="0.25">
      <c r="A40">
        <v>1.51473662185</v>
      </c>
      <c r="B40">
        <v>2.9935999281146121E-3</v>
      </c>
      <c r="C40">
        <f t="shared" si="0"/>
        <v>1.5969258840243748E-24</v>
      </c>
      <c r="D40">
        <f t="shared" si="1"/>
        <v>2.9935999281146121E-3</v>
      </c>
      <c r="E40">
        <f t="shared" si="2"/>
        <v>8.9616405296078112E-6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CD64-F7F3-46A9-9743-AA2F002CA04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0.7813687574</v>
      </c>
      <c r="B1">
        <v>1.1524728186011581E-2</v>
      </c>
      <c r="C1">
        <f>$H$3*(1+$H$1)*(A1^($H$1))*EXP(-$H$3*(A1^(1+$H$1)))</f>
        <v>0.24153356775768961</v>
      </c>
      <c r="D1">
        <f>B1-C1</f>
        <v>-0.23000883957167803</v>
      </c>
      <c r="E1">
        <f>D1^2</f>
        <v>5.290406628110992E-2</v>
      </c>
      <c r="G1" t="s">
        <v>0</v>
      </c>
      <c r="H1">
        <v>14.749835009938442</v>
      </c>
    </row>
    <row r="2" spans="1:8" x14ac:dyDescent="0.25">
      <c r="A2">
        <v>0.79772501420000008</v>
      </c>
      <c r="B2">
        <v>3.4574184558034744E-2</v>
      </c>
      <c r="C2">
        <f t="shared" ref="C2:C40" si="0">$H$3*(1+$H$1)*(A2^($H$1))*EXP(-$H$3*(A2^(1+$H$1)))</f>
        <v>0.32632621390661054</v>
      </c>
      <c r="D2">
        <f t="shared" ref="D2:D40" si="1">B2-C2</f>
        <v>-0.2917520293485758</v>
      </c>
      <c r="E2">
        <f t="shared" ref="E2:E40" si="2">D2^2</f>
        <v>8.5119246629012241E-2</v>
      </c>
    </row>
    <row r="3" spans="1:8" x14ac:dyDescent="0.25">
      <c r="A3">
        <v>0.81408127100000005</v>
      </c>
      <c r="B3">
        <v>0.10372255367410423</v>
      </c>
      <c r="C3">
        <f t="shared" si="0"/>
        <v>0.43743706777682995</v>
      </c>
      <c r="D3">
        <f t="shared" si="1"/>
        <v>-0.33371451410272573</v>
      </c>
      <c r="E3">
        <f t="shared" si="2"/>
        <v>0.11136537692281834</v>
      </c>
      <c r="G3" t="s">
        <v>1</v>
      </c>
      <c r="H3">
        <f>(_xlfn.GAMMA((2+$H$1)/(1+$H$1)))^(1+$H$1)</f>
        <v>0.59064257185253788</v>
      </c>
    </row>
    <row r="4" spans="1:8" x14ac:dyDescent="0.25">
      <c r="A4">
        <v>0.83043752780000002</v>
      </c>
      <c r="B4">
        <v>0.25738559615425866</v>
      </c>
      <c r="C4">
        <f t="shared" si="0"/>
        <v>0.58162739866460611</v>
      </c>
      <c r="D4">
        <f t="shared" si="1"/>
        <v>-0.32424180251034745</v>
      </c>
      <c r="E4">
        <f t="shared" si="2"/>
        <v>0.10513274649515916</v>
      </c>
    </row>
    <row r="5" spans="1:8" x14ac:dyDescent="0.25">
      <c r="A5">
        <v>0.84679378459999999</v>
      </c>
      <c r="B5">
        <v>0.44178124713044392</v>
      </c>
      <c r="C5">
        <f t="shared" si="0"/>
        <v>0.76673053101592514</v>
      </c>
      <c r="D5">
        <f t="shared" si="1"/>
        <v>-0.32494928388548122</v>
      </c>
      <c r="E5">
        <f t="shared" si="2"/>
        <v>0.10559203709768707</v>
      </c>
      <c r="G5" t="s">
        <v>2</v>
      </c>
      <c r="H5">
        <f>SUM(E1:E40)</f>
        <v>11.872116289716265</v>
      </c>
    </row>
    <row r="6" spans="1:8" x14ac:dyDescent="0.25">
      <c r="A6">
        <v>0.86315004139999996</v>
      </c>
      <c r="B6">
        <v>0.86051303788886468</v>
      </c>
      <c r="C6">
        <f t="shared" si="0"/>
        <v>1.0014321278072087</v>
      </c>
      <c r="D6">
        <f t="shared" si="1"/>
        <v>-0.14091908991834401</v>
      </c>
      <c r="E6">
        <f t="shared" si="2"/>
        <v>1.9858189903414324E-2</v>
      </c>
    </row>
    <row r="7" spans="1:8" x14ac:dyDescent="0.25">
      <c r="A7">
        <v>0.87950629819999993</v>
      </c>
      <c r="B7">
        <v>1.5212641205535287</v>
      </c>
      <c r="C7">
        <f t="shared" si="0"/>
        <v>1.2947360496519837</v>
      </c>
      <c r="D7">
        <f t="shared" si="1"/>
        <v>0.22652807090154492</v>
      </c>
      <c r="E7">
        <f t="shared" si="2"/>
        <v>5.131496690637536E-2</v>
      </c>
    </row>
    <row r="8" spans="1:8" x14ac:dyDescent="0.25">
      <c r="A8">
        <v>0.895862555</v>
      </c>
      <c r="B8">
        <v>1.9745700958699841</v>
      </c>
      <c r="C8">
        <f t="shared" si="0"/>
        <v>1.6549443190020945</v>
      </c>
      <c r="D8">
        <f t="shared" si="1"/>
        <v>0.31962577686788962</v>
      </c>
      <c r="E8">
        <f t="shared" si="2"/>
        <v>0.10216063723840196</v>
      </c>
    </row>
    <row r="9" spans="1:8" x14ac:dyDescent="0.25">
      <c r="A9">
        <v>0.91221881180000008</v>
      </c>
      <c r="B9">
        <v>2.7620931885807756</v>
      </c>
      <c r="C9">
        <f t="shared" si="0"/>
        <v>2.0879409951029855</v>
      </c>
      <c r="D9">
        <f t="shared" si="1"/>
        <v>0.6741521934777901</v>
      </c>
      <c r="E9">
        <f t="shared" si="2"/>
        <v>0.45448117997091575</v>
      </c>
    </row>
    <row r="10" spans="1:8" x14ac:dyDescent="0.25">
      <c r="A10">
        <v>0.92857506860000005</v>
      </c>
      <c r="B10">
        <v>3.4958342164235128</v>
      </c>
      <c r="C10">
        <f t="shared" si="0"/>
        <v>2.5945671220579718</v>
      </c>
      <c r="D10">
        <f t="shared" si="1"/>
        <v>0.90126709436554098</v>
      </c>
      <c r="E10">
        <f t="shared" si="2"/>
        <v>0.81228237538610493</v>
      </c>
    </row>
    <row r="11" spans="1:8" x14ac:dyDescent="0.25">
      <c r="A11">
        <v>0.94493132540000002</v>
      </c>
      <c r="B11">
        <v>4.3717135585603932</v>
      </c>
      <c r="C11">
        <f t="shared" si="0"/>
        <v>3.1669622902730152</v>
      </c>
      <c r="D11">
        <f t="shared" si="1"/>
        <v>1.204751268287378</v>
      </c>
      <c r="E11">
        <f t="shared" si="2"/>
        <v>1.4514256184400458</v>
      </c>
    </row>
    <row r="12" spans="1:8" x14ac:dyDescent="0.25">
      <c r="A12">
        <v>0.96128758219999999</v>
      </c>
      <c r="B12">
        <v>4.8903263269309143</v>
      </c>
      <c r="C12">
        <f t="shared" si="0"/>
        <v>3.7840148986630493</v>
      </c>
      <c r="D12">
        <f t="shared" si="1"/>
        <v>1.106311428267865</v>
      </c>
      <c r="E12">
        <f t="shared" si="2"/>
        <v>1.2239249763160833</v>
      </c>
    </row>
    <row r="13" spans="1:8" x14ac:dyDescent="0.25">
      <c r="A13">
        <v>0.97764383900000007</v>
      </c>
      <c r="B13">
        <v>5.6279089308356554</v>
      </c>
      <c r="C13">
        <f t="shared" si="0"/>
        <v>4.4066163240972482</v>
      </c>
      <c r="D13">
        <f t="shared" si="1"/>
        <v>1.2212926067384071</v>
      </c>
      <c r="E13">
        <f t="shared" si="2"/>
        <v>1.4915556312738936</v>
      </c>
    </row>
    <row r="14" spans="1:8" x14ac:dyDescent="0.25">
      <c r="A14">
        <v>0.99400009580000015</v>
      </c>
      <c r="B14">
        <v>5.6279089308356554</v>
      </c>
      <c r="C14">
        <f t="shared" si="0"/>
        <v>4.9743270934905244</v>
      </c>
      <c r="D14">
        <f t="shared" si="1"/>
        <v>0.65358183734513098</v>
      </c>
      <c r="E14">
        <f t="shared" si="2"/>
        <v>0.42716921810743724</v>
      </c>
    </row>
    <row r="15" spans="1:8" x14ac:dyDescent="0.25">
      <c r="A15">
        <v>1.0103563526000001</v>
      </c>
      <c r="B15">
        <v>5.2668007810072925</v>
      </c>
      <c r="C15">
        <f t="shared" si="0"/>
        <v>5.4062328578591883</v>
      </c>
      <c r="D15">
        <f t="shared" si="1"/>
        <v>-0.13943207685189574</v>
      </c>
      <c r="E15">
        <f t="shared" si="2"/>
        <v>1.944130405523296E-2</v>
      </c>
    </row>
    <row r="16" spans="1:8" x14ac:dyDescent="0.25">
      <c r="A16">
        <v>1.0267126094000001</v>
      </c>
      <c r="B16">
        <v>5.143870347023169</v>
      </c>
      <c r="C16">
        <f t="shared" si="0"/>
        <v>5.609674293547557</v>
      </c>
      <c r="D16">
        <f t="shared" si="1"/>
        <v>-0.46580394652438795</v>
      </c>
      <c r="E16">
        <f t="shared" si="2"/>
        <v>0.21697331659769487</v>
      </c>
    </row>
    <row r="17" spans="1:5" x14ac:dyDescent="0.25">
      <c r="A17">
        <v>1.0430688662000001</v>
      </c>
      <c r="B17">
        <v>4.5868418180326094</v>
      </c>
      <c r="C17">
        <f t="shared" si="0"/>
        <v>5.5000042148138402</v>
      </c>
      <c r="D17">
        <f t="shared" si="1"/>
        <v>-0.91316239678123079</v>
      </c>
      <c r="E17">
        <f t="shared" si="2"/>
        <v>0.83386556289524194</v>
      </c>
    </row>
    <row r="18" spans="1:5" x14ac:dyDescent="0.25">
      <c r="A18">
        <v>1.059425123</v>
      </c>
      <c r="B18">
        <v>3.6072399222216247</v>
      </c>
      <c r="C18">
        <f t="shared" si="0"/>
        <v>5.0308781116122718</v>
      </c>
      <c r="D18">
        <f t="shared" si="1"/>
        <v>-1.4236381893906471</v>
      </c>
      <c r="E18">
        <f t="shared" si="2"/>
        <v>2.0267456942914799</v>
      </c>
    </row>
    <row r="19" spans="1:5" x14ac:dyDescent="0.25">
      <c r="A19">
        <v>1.0757813798</v>
      </c>
      <c r="B19">
        <v>3.0425282411070573</v>
      </c>
      <c r="C19">
        <f t="shared" si="0"/>
        <v>4.2268524121291637</v>
      </c>
      <c r="D19">
        <f t="shared" si="1"/>
        <v>-1.1843241710221064</v>
      </c>
      <c r="E19">
        <f t="shared" si="2"/>
        <v>1.4026237420671996</v>
      </c>
    </row>
    <row r="20" spans="1:5" x14ac:dyDescent="0.25">
      <c r="A20">
        <v>1.0921376366</v>
      </c>
      <c r="B20">
        <v>2.5008660163645131</v>
      </c>
      <c r="C20">
        <f t="shared" si="0"/>
        <v>3.2006423738268706</v>
      </c>
      <c r="D20">
        <f t="shared" si="1"/>
        <v>-0.69977635746235745</v>
      </c>
      <c r="E20">
        <f t="shared" si="2"/>
        <v>0.48968695046328509</v>
      </c>
    </row>
    <row r="21" spans="1:5" x14ac:dyDescent="0.25">
      <c r="A21">
        <v>1.1084938933999999</v>
      </c>
      <c r="B21">
        <v>1.7978575970178066</v>
      </c>
      <c r="C21">
        <f t="shared" si="0"/>
        <v>2.1344390356181311</v>
      </c>
      <c r="D21">
        <f t="shared" si="1"/>
        <v>-0.33658143860032452</v>
      </c>
      <c r="E21">
        <f t="shared" si="2"/>
        <v>0.11328706481026403</v>
      </c>
    </row>
    <row r="22" spans="1:5" x14ac:dyDescent="0.25">
      <c r="A22">
        <v>1.1248501501999999</v>
      </c>
      <c r="B22">
        <v>1.2561953722752623</v>
      </c>
      <c r="C22">
        <f t="shared" si="0"/>
        <v>1.2190422044309961</v>
      </c>
      <c r="D22">
        <f t="shared" si="1"/>
        <v>3.7153167844266255E-2</v>
      </c>
      <c r="E22">
        <f t="shared" si="2"/>
        <v>1.3803578808642201E-3</v>
      </c>
    </row>
    <row r="23" spans="1:5" x14ac:dyDescent="0.25">
      <c r="A23">
        <v>1.1412064069999999</v>
      </c>
      <c r="B23">
        <v>0.76447363633876819</v>
      </c>
      <c r="C23">
        <f t="shared" si="0"/>
        <v>0.57647791131420711</v>
      </c>
      <c r="D23">
        <f t="shared" si="1"/>
        <v>0.18799572502456108</v>
      </c>
      <c r="E23">
        <f t="shared" si="2"/>
        <v>3.5342392627510377E-2</v>
      </c>
    </row>
    <row r="24" spans="1:5" x14ac:dyDescent="0.25">
      <c r="A24">
        <v>1.1575626637999998</v>
      </c>
      <c r="B24">
        <v>0.57623640930057907</v>
      </c>
      <c r="C24">
        <f t="shared" si="0"/>
        <v>0.21673155794357635</v>
      </c>
      <c r="D24">
        <f t="shared" si="1"/>
        <v>0.35950485135700272</v>
      </c>
      <c r="E24">
        <f t="shared" si="2"/>
        <v>0.12924373814922063</v>
      </c>
    </row>
    <row r="25" spans="1:5" x14ac:dyDescent="0.25">
      <c r="A25">
        <v>1.1739189206</v>
      </c>
      <c r="B25">
        <v>0.33805869345633971</v>
      </c>
      <c r="C25">
        <f t="shared" si="0"/>
        <v>6.1693193739697658E-2</v>
      </c>
      <c r="D25">
        <f t="shared" si="1"/>
        <v>0.27636549971664204</v>
      </c>
      <c r="E25">
        <f t="shared" si="2"/>
        <v>7.6377889433629276E-2</v>
      </c>
    </row>
    <row r="26" spans="1:5" x14ac:dyDescent="0.25">
      <c r="A26">
        <v>1.1902751774</v>
      </c>
      <c r="B26">
        <v>0.18439565097618529</v>
      </c>
      <c r="C26">
        <f t="shared" si="0"/>
        <v>1.2541137192860532E-2</v>
      </c>
      <c r="D26">
        <f t="shared" si="1"/>
        <v>0.17185451378332475</v>
      </c>
      <c r="E26">
        <f t="shared" si="2"/>
        <v>2.9533973907702956E-2</v>
      </c>
    </row>
    <row r="27" spans="1:5" x14ac:dyDescent="0.25">
      <c r="A27">
        <v>1.2066314342</v>
      </c>
      <c r="B27">
        <v>5.3782064868054043E-2</v>
      </c>
      <c r="C27">
        <f t="shared" si="0"/>
        <v>1.6978086001760775E-3</v>
      </c>
      <c r="D27">
        <f t="shared" si="1"/>
        <v>5.2084256267877965E-2</v>
      </c>
      <c r="E27">
        <f t="shared" si="2"/>
        <v>2.712769750977985E-3</v>
      </c>
    </row>
    <row r="28" spans="1:5" x14ac:dyDescent="0.25">
      <c r="A28">
        <v>1.2229876909999999</v>
      </c>
      <c r="B28">
        <v>1.5366304248015441E-2</v>
      </c>
      <c r="C28">
        <f t="shared" si="0"/>
        <v>1.4084697181974834E-4</v>
      </c>
      <c r="D28">
        <f t="shared" si="1"/>
        <v>1.5225457276195693E-2</v>
      </c>
      <c r="E28">
        <f t="shared" si="2"/>
        <v>2.3181454926926036E-4</v>
      </c>
    </row>
    <row r="29" spans="1:5" x14ac:dyDescent="0.25">
      <c r="A29">
        <v>1.2393439477999999</v>
      </c>
      <c r="B29">
        <v>1.9207880310019302E-2</v>
      </c>
      <c r="C29">
        <f t="shared" si="0"/>
        <v>6.4855281529203831E-6</v>
      </c>
      <c r="D29">
        <f t="shared" si="1"/>
        <v>1.9201394781866381E-2</v>
      </c>
      <c r="E29">
        <f t="shared" si="2"/>
        <v>3.6869356156908547E-4</v>
      </c>
    </row>
    <row r="30" spans="1:5" x14ac:dyDescent="0.25">
      <c r="A30">
        <v>1.2557002046000001</v>
      </c>
      <c r="B30">
        <v>0</v>
      </c>
      <c r="C30">
        <f t="shared" si="0"/>
        <v>1.4740873487392482E-7</v>
      </c>
      <c r="D30">
        <f t="shared" si="1"/>
        <v>-1.4740873487392482E-7</v>
      </c>
      <c r="E30">
        <f t="shared" si="2"/>
        <v>2.172933511713106E-14</v>
      </c>
    </row>
    <row r="31" spans="1:5" x14ac:dyDescent="0.25">
      <c r="A31">
        <v>1.2720564614000001</v>
      </c>
      <c r="B31">
        <v>0</v>
      </c>
      <c r="C31">
        <f t="shared" si="0"/>
        <v>1.4394022080858157E-9</v>
      </c>
      <c r="D31">
        <f t="shared" si="1"/>
        <v>-1.4394022080858157E-9</v>
      </c>
      <c r="E31">
        <f t="shared" si="2"/>
        <v>2.0718787166423218E-18</v>
      </c>
    </row>
    <row r="32" spans="1:5" x14ac:dyDescent="0.25">
      <c r="A32">
        <v>1.2884127182</v>
      </c>
      <c r="B32">
        <v>0</v>
      </c>
      <c r="C32">
        <f t="shared" si="0"/>
        <v>5.1254141139785987E-12</v>
      </c>
      <c r="D32">
        <f t="shared" si="1"/>
        <v>-5.1254141139785987E-12</v>
      </c>
      <c r="E32">
        <f t="shared" si="2"/>
        <v>2.6269869839771022E-23</v>
      </c>
    </row>
    <row r="33" spans="1:5" x14ac:dyDescent="0.25">
      <c r="A33">
        <v>1.304768975</v>
      </c>
      <c r="B33">
        <v>0</v>
      </c>
      <c r="C33">
        <f t="shared" si="0"/>
        <v>5.4864109682913799E-15</v>
      </c>
      <c r="D33">
        <f t="shared" si="1"/>
        <v>-5.4864109682913799E-15</v>
      </c>
      <c r="E33">
        <f t="shared" si="2"/>
        <v>3.0100705312987956E-29</v>
      </c>
    </row>
    <row r="34" spans="1:5" x14ac:dyDescent="0.25">
      <c r="A34">
        <v>1.3211252318</v>
      </c>
      <c r="B34">
        <v>0</v>
      </c>
      <c r="C34">
        <f t="shared" si="0"/>
        <v>1.4068583277164224E-18</v>
      </c>
      <c r="D34">
        <f t="shared" si="1"/>
        <v>-1.4068583277164224E-18</v>
      </c>
      <c r="E34">
        <f t="shared" si="2"/>
        <v>1.9792503542650486E-36</v>
      </c>
    </row>
    <row r="35" spans="1:5" x14ac:dyDescent="0.25">
      <c r="A35">
        <v>1.3374814885999999</v>
      </c>
      <c r="B35">
        <v>0</v>
      </c>
      <c r="C35">
        <f t="shared" si="0"/>
        <v>6.6209136776545945E-23</v>
      </c>
      <c r="D35">
        <f t="shared" si="1"/>
        <v>-6.6209136776545945E-23</v>
      </c>
      <c r="E35">
        <f t="shared" si="2"/>
        <v>4.3836497926953687E-45</v>
      </c>
    </row>
    <row r="36" spans="1:5" x14ac:dyDescent="0.25">
      <c r="A36">
        <v>1.3538377453999999</v>
      </c>
      <c r="B36">
        <v>0</v>
      </c>
      <c r="C36">
        <f t="shared" si="0"/>
        <v>4.1861519752780806E-28</v>
      </c>
      <c r="D36">
        <f t="shared" si="1"/>
        <v>-4.1861519752780806E-28</v>
      </c>
      <c r="E36">
        <f t="shared" si="2"/>
        <v>1.7523868360124577E-55</v>
      </c>
    </row>
    <row r="37" spans="1:5" x14ac:dyDescent="0.25">
      <c r="A37">
        <v>1.3701940022000001</v>
      </c>
      <c r="B37">
        <v>0</v>
      </c>
      <c r="C37">
        <f t="shared" si="0"/>
        <v>2.4695169143311416E-34</v>
      </c>
      <c r="D37">
        <f t="shared" si="1"/>
        <v>-2.4695169143311416E-34</v>
      </c>
      <c r="E37">
        <f t="shared" si="2"/>
        <v>6.0985137901676026E-68</v>
      </c>
    </row>
    <row r="38" spans="1:5" x14ac:dyDescent="0.25">
      <c r="A38">
        <v>1.3865502589999998</v>
      </c>
      <c r="B38">
        <v>0</v>
      </c>
      <c r="C38">
        <f t="shared" si="0"/>
        <v>8.8842249703853584E-42</v>
      </c>
      <c r="D38">
        <f t="shared" si="1"/>
        <v>-8.8842249703853584E-42</v>
      </c>
      <c r="E38">
        <f t="shared" si="2"/>
        <v>7.8929453324418722E-83</v>
      </c>
    </row>
    <row r="39" spans="1:5" x14ac:dyDescent="0.25">
      <c r="A39">
        <v>1.4029065157999998</v>
      </c>
      <c r="B39">
        <v>0</v>
      </c>
      <c r="C39">
        <f t="shared" si="0"/>
        <v>1.1879441498604E-50</v>
      </c>
      <c r="D39">
        <f t="shared" si="1"/>
        <v>-1.1879441498604E-50</v>
      </c>
      <c r="E39">
        <f t="shared" si="2"/>
        <v>1.4112113031875484E-100</v>
      </c>
    </row>
    <row r="40" spans="1:5" x14ac:dyDescent="0.25">
      <c r="A40">
        <v>1.4192627726</v>
      </c>
      <c r="B40">
        <v>3.8415760620038601E-3</v>
      </c>
      <c r="C40">
        <f t="shared" si="0"/>
        <v>3.3205425360806219E-61</v>
      </c>
      <c r="D40">
        <f t="shared" si="1"/>
        <v>3.8415760620038601E-3</v>
      </c>
      <c r="E40">
        <f t="shared" si="2"/>
        <v>1.4757706640161085E-5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1F5B-3AEF-48A5-AF76-4502D7C5E2D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0.90135404156249987</v>
      </c>
      <c r="B1">
        <v>1.8353468752009567E-2</v>
      </c>
      <c r="C1">
        <f>$H$3*(1+$H$1)*(A1^($H$1))*EXP(-$H$3*(A1^(1+$H$1)))</f>
        <v>0.57020499833632965</v>
      </c>
      <c r="D1">
        <f>B1-C1</f>
        <v>-0.55185152958432004</v>
      </c>
      <c r="E1">
        <f>D1^2</f>
        <v>0.30454011070455367</v>
      </c>
      <c r="G1" t="s">
        <v>0</v>
      </c>
      <c r="H1">
        <v>34.225162792536189</v>
      </c>
    </row>
    <row r="2" spans="1:8" x14ac:dyDescent="0.25">
      <c r="A2">
        <v>0.91162465668749992</v>
      </c>
      <c r="B2">
        <v>0.20188815627210524</v>
      </c>
      <c r="C2">
        <f t="shared" ref="C2:C40" si="0">$H$3*(1+$H$1)*(A2^($H$1))*EXP(-$H$3*(A2^(1+$H$1)))</f>
        <v>0.83423172645699195</v>
      </c>
      <c r="D2">
        <f t="shared" ref="D2:D40" si="1">B2-C2</f>
        <v>-0.63234357018488674</v>
      </c>
      <c r="E2">
        <f t="shared" ref="E2:E40" si="2">D2^2</f>
        <v>0.39985839075416879</v>
      </c>
    </row>
    <row r="3" spans="1:8" x14ac:dyDescent="0.25">
      <c r="A3">
        <v>0.92189527181249997</v>
      </c>
      <c r="B3">
        <v>0.50166147922159487</v>
      </c>
      <c r="C3">
        <f t="shared" si="0"/>
        <v>1.2110779929415731</v>
      </c>
      <c r="D3">
        <f t="shared" si="1"/>
        <v>-0.70941651371997827</v>
      </c>
      <c r="E3">
        <f t="shared" si="2"/>
        <v>0.50327178993860811</v>
      </c>
      <c r="G3" t="s">
        <v>1</v>
      </c>
      <c r="H3">
        <f>(_xlfn.GAMMA((2+$H$1)/(1+$H$1)))^(1+$H$1)</f>
        <v>0.57454108021708328</v>
      </c>
    </row>
    <row r="4" spans="1:8" x14ac:dyDescent="0.25">
      <c r="A4">
        <v>0.93216588693750002</v>
      </c>
      <c r="B4">
        <v>1.1379150626245933</v>
      </c>
      <c r="C4">
        <f t="shared" si="0"/>
        <v>1.7420498689988175</v>
      </c>
      <c r="D4">
        <f t="shared" si="1"/>
        <v>-0.60413480637422423</v>
      </c>
      <c r="E4">
        <f t="shared" si="2"/>
        <v>0.36497886427282139</v>
      </c>
    </row>
    <row r="5" spans="1:8" x14ac:dyDescent="0.25">
      <c r="A5">
        <v>0.94243650206250007</v>
      </c>
      <c r="B5">
        <v>2.8264341878094736</v>
      </c>
      <c r="C5">
        <f t="shared" si="0"/>
        <v>2.4776255838070016</v>
      </c>
      <c r="D5">
        <f t="shared" si="1"/>
        <v>0.34880860400247204</v>
      </c>
      <c r="E5">
        <f t="shared" si="2"/>
        <v>0.12166744222615336</v>
      </c>
      <c r="G5" t="s">
        <v>2</v>
      </c>
      <c r="H5">
        <f>SUM(E1:E40)</f>
        <v>48.169248638445758</v>
      </c>
    </row>
    <row r="6" spans="1:8" x14ac:dyDescent="0.25">
      <c r="A6">
        <v>0.95270711718750001</v>
      </c>
      <c r="B6">
        <v>4.2457691046315471</v>
      </c>
      <c r="C6">
        <f t="shared" si="0"/>
        <v>3.4735392832531713</v>
      </c>
      <c r="D6">
        <f t="shared" si="1"/>
        <v>0.77222982137837581</v>
      </c>
      <c r="E6">
        <f t="shared" si="2"/>
        <v>0.59633889702607823</v>
      </c>
    </row>
    <row r="7" spans="1:8" x14ac:dyDescent="0.25">
      <c r="A7">
        <v>0.96297773231249995</v>
      </c>
      <c r="B7">
        <v>6.4787744694593776</v>
      </c>
      <c r="C7">
        <f t="shared" si="0"/>
        <v>4.7793666427030326</v>
      </c>
      <c r="D7">
        <f t="shared" si="1"/>
        <v>1.6994078267563451</v>
      </c>
      <c r="E7">
        <f t="shared" si="2"/>
        <v>2.8879869616407237</v>
      </c>
    </row>
    <row r="8" spans="1:8" x14ac:dyDescent="0.25">
      <c r="A8">
        <v>0.97324834743749999</v>
      </c>
      <c r="B8">
        <v>8.9075501676419773</v>
      </c>
      <c r="C8">
        <f t="shared" si="0"/>
        <v>6.4139412651722978</v>
      </c>
      <c r="D8">
        <f t="shared" si="1"/>
        <v>2.4936089024696795</v>
      </c>
      <c r="E8">
        <f t="shared" si="2"/>
        <v>6.2180853584760394</v>
      </c>
    </row>
    <row r="9" spans="1:8" x14ac:dyDescent="0.25">
      <c r="A9">
        <v>0.98351896256250004</v>
      </c>
      <c r="B9">
        <v>10.938667376197703</v>
      </c>
      <c r="C9">
        <f t="shared" si="0"/>
        <v>8.3215932516185038</v>
      </c>
      <c r="D9">
        <f t="shared" si="1"/>
        <v>2.6170741245791991</v>
      </c>
      <c r="E9">
        <f t="shared" si="2"/>
        <v>6.8490769735419814</v>
      </c>
    </row>
    <row r="10" spans="1:8" x14ac:dyDescent="0.25">
      <c r="A10">
        <v>0.99378957768749987</v>
      </c>
      <c r="B10">
        <v>12.602715209713237</v>
      </c>
      <c r="C10">
        <f t="shared" si="0"/>
        <v>10.309086143126454</v>
      </c>
      <c r="D10">
        <f t="shared" si="1"/>
        <v>2.2936290665867833</v>
      </c>
      <c r="E10">
        <f t="shared" si="2"/>
        <v>5.2607342950917593</v>
      </c>
    </row>
    <row r="11" spans="1:8" x14ac:dyDescent="0.25">
      <c r="A11">
        <v>1.0040601928124999</v>
      </c>
      <c r="B11">
        <v>12.523183511787861</v>
      </c>
      <c r="C11">
        <f t="shared" si="0"/>
        <v>11.983962293446231</v>
      </c>
      <c r="D11">
        <f t="shared" si="1"/>
        <v>0.5392212183416305</v>
      </c>
      <c r="E11">
        <f t="shared" si="2"/>
        <v>0.29075952230983237</v>
      </c>
    </row>
    <row r="12" spans="1:8" x14ac:dyDescent="0.25">
      <c r="A12">
        <v>1.0143308079375</v>
      </c>
      <c r="B12">
        <v>10.914196084528356</v>
      </c>
      <c r="C12">
        <f t="shared" si="0"/>
        <v>12.757936607209791</v>
      </c>
      <c r="D12">
        <f t="shared" si="1"/>
        <v>-1.8437405226814345</v>
      </c>
      <c r="E12">
        <f t="shared" si="2"/>
        <v>3.3993791149776094</v>
      </c>
    </row>
    <row r="13" spans="1:8" x14ac:dyDescent="0.25">
      <c r="A13">
        <v>1.0246014230625</v>
      </c>
      <c r="B13">
        <v>8.9014323447246397</v>
      </c>
      <c r="C13">
        <f t="shared" si="0"/>
        <v>12.024243077770796</v>
      </c>
      <c r="D13">
        <f t="shared" si="1"/>
        <v>-3.1228107330461565</v>
      </c>
      <c r="E13">
        <f t="shared" si="2"/>
        <v>9.751946874428274</v>
      </c>
    </row>
    <row r="14" spans="1:8" x14ac:dyDescent="0.25">
      <c r="A14">
        <v>1.0348720381874998</v>
      </c>
      <c r="B14">
        <v>6.6500735111448002</v>
      </c>
      <c r="C14">
        <f t="shared" si="0"/>
        <v>9.5730332306979555</v>
      </c>
      <c r="D14">
        <f t="shared" si="1"/>
        <v>-2.9229597195531554</v>
      </c>
      <c r="E14">
        <f t="shared" si="2"/>
        <v>8.5436935221302601</v>
      </c>
    </row>
    <row r="15" spans="1:8" x14ac:dyDescent="0.25">
      <c r="A15">
        <v>1.0451426533124999</v>
      </c>
      <c r="B15">
        <v>4.8330801046958527</v>
      </c>
      <c r="C15">
        <f t="shared" si="0"/>
        <v>6.0338664839707237</v>
      </c>
      <c r="D15">
        <f t="shared" si="1"/>
        <v>-1.200786379274871</v>
      </c>
      <c r="E15">
        <f t="shared" si="2"/>
        <v>1.4418879286520543</v>
      </c>
    </row>
    <row r="16" spans="1:8" x14ac:dyDescent="0.25">
      <c r="A16">
        <v>1.0554132684374999</v>
      </c>
      <c r="B16">
        <v>2.9120837086521849</v>
      </c>
      <c r="C16">
        <f t="shared" si="0"/>
        <v>2.7537237476212209</v>
      </c>
      <c r="D16">
        <f t="shared" si="1"/>
        <v>0.15835996103096406</v>
      </c>
      <c r="E16">
        <f t="shared" si="2"/>
        <v>2.5077877257728455E-2</v>
      </c>
    </row>
    <row r="17" spans="1:5" x14ac:dyDescent="0.25">
      <c r="A17">
        <v>1.0656838835625</v>
      </c>
      <c r="B17">
        <v>1.6395765418461881</v>
      </c>
      <c r="C17">
        <f t="shared" si="0"/>
        <v>0.8050124865818119</v>
      </c>
      <c r="D17">
        <f t="shared" si="1"/>
        <v>0.83456405526437616</v>
      </c>
      <c r="E17">
        <f t="shared" si="2"/>
        <v>0.69649716233932069</v>
      </c>
    </row>
    <row r="18" spans="1:5" x14ac:dyDescent="0.25">
      <c r="A18">
        <v>1.0759544986875</v>
      </c>
      <c r="B18">
        <v>0.79531697925374789</v>
      </c>
      <c r="C18">
        <f t="shared" si="0"/>
        <v>0.12747467733837248</v>
      </c>
      <c r="D18">
        <f t="shared" si="1"/>
        <v>0.66784230191537541</v>
      </c>
      <c r="E18">
        <f t="shared" si="2"/>
        <v>0.44601334022762745</v>
      </c>
    </row>
    <row r="19" spans="1:5" x14ac:dyDescent="0.25">
      <c r="A19">
        <v>1.0862251138125001</v>
      </c>
      <c r="B19">
        <v>0.26306638544547045</v>
      </c>
      <c r="C19">
        <f t="shared" si="0"/>
        <v>8.6987388731137472E-3</v>
      </c>
      <c r="D19">
        <f t="shared" si="1"/>
        <v>0.25436764657235672</v>
      </c>
      <c r="E19">
        <f t="shared" si="2"/>
        <v>6.470289962275938E-2</v>
      </c>
    </row>
    <row r="20" spans="1:5" x14ac:dyDescent="0.25">
      <c r="A20">
        <v>1.0964957289374999</v>
      </c>
      <c r="B20">
        <v>4.8942583338692183E-2</v>
      </c>
      <c r="C20">
        <f t="shared" si="0"/>
        <v>1.8742002361705928E-4</v>
      </c>
      <c r="D20">
        <f t="shared" si="1"/>
        <v>4.8755163315075123E-2</v>
      </c>
      <c r="E20">
        <f t="shared" si="2"/>
        <v>2.377065949879647E-3</v>
      </c>
    </row>
    <row r="21" spans="1:5" x14ac:dyDescent="0.25">
      <c r="A21">
        <v>1.1067663440625</v>
      </c>
      <c r="B21">
        <v>1.8353468752009567E-2</v>
      </c>
      <c r="C21">
        <f t="shared" si="0"/>
        <v>8.362357437925918E-7</v>
      </c>
      <c r="D21">
        <f t="shared" si="1"/>
        <v>1.8352632516265774E-2</v>
      </c>
      <c r="E21">
        <f t="shared" si="2"/>
        <v>3.3681912027709577E-4</v>
      </c>
    </row>
    <row r="22" spans="1:5" x14ac:dyDescent="0.25">
      <c r="A22">
        <v>1.1170369591875</v>
      </c>
      <c r="B22">
        <v>0</v>
      </c>
      <c r="C22">
        <f t="shared" si="0"/>
        <v>4.3683707285958487E-10</v>
      </c>
      <c r="D22">
        <f t="shared" si="1"/>
        <v>-4.3683707285958487E-10</v>
      </c>
      <c r="E22">
        <f t="shared" si="2"/>
        <v>1.9082662822453027E-19</v>
      </c>
    </row>
    <row r="23" spans="1:5" x14ac:dyDescent="0.25">
      <c r="A23">
        <v>1.1273075743124998</v>
      </c>
      <c r="B23">
        <v>0</v>
      </c>
      <c r="C23">
        <f t="shared" si="0"/>
        <v>1.2383360064004093E-14</v>
      </c>
      <c r="D23">
        <f t="shared" si="1"/>
        <v>-1.2383360064004093E-14</v>
      </c>
      <c r="E23">
        <f t="shared" si="2"/>
        <v>1.5334760647477145E-28</v>
      </c>
    </row>
    <row r="24" spans="1:5" x14ac:dyDescent="0.25">
      <c r="A24">
        <v>1.1375781894374999</v>
      </c>
      <c r="B24">
        <v>0</v>
      </c>
      <c r="C24">
        <f t="shared" si="0"/>
        <v>6.7740098386407624E-21</v>
      </c>
      <c r="D24">
        <f t="shared" si="1"/>
        <v>-6.7740098386407624E-21</v>
      </c>
      <c r="E24">
        <f t="shared" si="2"/>
        <v>4.5887209294001846E-41</v>
      </c>
    </row>
    <row r="25" spans="1:5" x14ac:dyDescent="0.25">
      <c r="A25">
        <v>1.1478488045624999</v>
      </c>
      <c r="B25">
        <v>0</v>
      </c>
      <c r="C25">
        <f t="shared" si="0"/>
        <v>1.7872089544929289E-29</v>
      </c>
      <c r="D25">
        <f t="shared" si="1"/>
        <v>-1.7872089544929289E-29</v>
      </c>
      <c r="E25">
        <f t="shared" si="2"/>
        <v>3.1941158470197079E-58</v>
      </c>
    </row>
    <row r="26" spans="1:5" x14ac:dyDescent="0.25">
      <c r="A26">
        <v>1.1581194196875</v>
      </c>
      <c r="B26">
        <v>0</v>
      </c>
      <c r="C26">
        <f t="shared" si="0"/>
        <v>3.5600345845714548E-41</v>
      </c>
      <c r="D26">
        <f t="shared" si="1"/>
        <v>-3.5600345845714548E-41</v>
      </c>
      <c r="E26">
        <f t="shared" si="2"/>
        <v>1.2673846243344851E-81</v>
      </c>
    </row>
    <row r="27" spans="1:5" x14ac:dyDescent="0.25">
      <c r="A27">
        <v>1.1683900348125</v>
      </c>
      <c r="B27">
        <v>0</v>
      </c>
      <c r="C27">
        <f t="shared" si="0"/>
        <v>4.5115650761116099E-57</v>
      </c>
      <c r="D27">
        <f t="shared" si="1"/>
        <v>-4.5115650761116099E-57</v>
      </c>
      <c r="E27">
        <f t="shared" si="2"/>
        <v>2.0354219435989956E-113</v>
      </c>
    </row>
    <row r="28" spans="1:5" x14ac:dyDescent="0.25">
      <c r="A28">
        <v>1.1786606499375001</v>
      </c>
      <c r="B28">
        <v>0</v>
      </c>
      <c r="C28">
        <f t="shared" si="0"/>
        <v>1.3529346737852248E-78</v>
      </c>
      <c r="D28">
        <f t="shared" si="1"/>
        <v>-1.3529346737852248E-78</v>
      </c>
      <c r="E28">
        <f t="shared" si="2"/>
        <v>1.8304322315303325E-156</v>
      </c>
    </row>
    <row r="29" spans="1:5" x14ac:dyDescent="0.25">
      <c r="A29">
        <v>1.1889312650625001</v>
      </c>
      <c r="B29">
        <v>0</v>
      </c>
      <c r="C29">
        <f t="shared" si="0"/>
        <v>1.2161286764048623E-107</v>
      </c>
      <c r="D29">
        <f t="shared" si="1"/>
        <v>-1.2161286764048623E-107</v>
      </c>
      <c r="E29">
        <f t="shared" si="2"/>
        <v>1.4789689575742424E-214</v>
      </c>
    </row>
    <row r="30" spans="1:5" x14ac:dyDescent="0.25">
      <c r="A30">
        <v>1.1992018801875</v>
      </c>
      <c r="B30">
        <v>0</v>
      </c>
      <c r="C30">
        <f t="shared" si="0"/>
        <v>1.0079000307516178E-146</v>
      </c>
      <c r="D30">
        <f t="shared" si="1"/>
        <v>-1.0079000307516178E-146</v>
      </c>
      <c r="E30">
        <f t="shared" si="2"/>
        <v>1.015862471989112E-292</v>
      </c>
    </row>
    <row r="31" spans="1:5" x14ac:dyDescent="0.25">
      <c r="A31">
        <v>1.2094724953125</v>
      </c>
      <c r="B31">
        <v>0</v>
      </c>
      <c r="C31">
        <f t="shared" si="0"/>
        <v>3.7048974467375393E-199</v>
      </c>
      <c r="D31">
        <f t="shared" si="1"/>
        <v>-3.7048974467375393E-199</v>
      </c>
      <c r="E31">
        <f t="shared" si="2"/>
        <v>0</v>
      </c>
    </row>
    <row r="32" spans="1:5" x14ac:dyDescent="0.25">
      <c r="A32">
        <v>1.2197431104374998</v>
      </c>
      <c r="B32">
        <v>0</v>
      </c>
      <c r="C32">
        <f t="shared" si="0"/>
        <v>2.5667519238157455E-269</v>
      </c>
      <c r="D32">
        <f t="shared" si="1"/>
        <v>-2.5667519238157455E-269</v>
      </c>
      <c r="E32">
        <f t="shared" si="2"/>
        <v>0</v>
      </c>
    </row>
    <row r="33" spans="1:5" x14ac:dyDescent="0.25">
      <c r="A33">
        <v>1.2300137255624999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1.2402843406874999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1.2505549558125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1.2608255709375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1.2710961860625001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1.2813668011875001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1.2916374163125002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1.3019080314375002</v>
      </c>
      <c r="B40">
        <v>6.1178229173365229E-3</v>
      </c>
      <c r="C40">
        <f t="shared" si="0"/>
        <v>0</v>
      </c>
      <c r="D40">
        <f t="shared" si="1"/>
        <v>6.1178229173365229E-3</v>
      </c>
      <c r="E40">
        <f t="shared" si="2"/>
        <v>3.7427757247887963E-5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F032-131B-45F9-ACFA-33F03B683B35}">
  <dimension ref="A1:H40"/>
  <sheetViews>
    <sheetView workbookViewId="0">
      <selection activeCell="L20" sqref="L20"/>
    </sheetView>
  </sheetViews>
  <sheetFormatPr defaultColWidth="11" defaultRowHeight="15.75" x14ac:dyDescent="0.25"/>
  <sheetData>
    <row r="1" spans="1:8" x14ac:dyDescent="0.25">
      <c r="A1">
        <v>0.97030384115000001</v>
      </c>
      <c r="B1">
        <v>0.38794283532562862</v>
      </c>
      <c r="C1">
        <f>$H$3*(1+$H$1)*(A1^($H$1))*EXP(-$H$3*(A1^(1+$H$1)))</f>
        <v>2.2663885957360206</v>
      </c>
      <c r="D1">
        <f>B1-C1</f>
        <v>-1.8784457604103919</v>
      </c>
      <c r="E1">
        <f>D1^2</f>
        <v>3.5285584748037753</v>
      </c>
      <c r="G1" t="s">
        <v>0</v>
      </c>
      <c r="H1">
        <v>109.2960683134223</v>
      </c>
    </row>
    <row r="2" spans="1:8" x14ac:dyDescent="0.25">
      <c r="A2">
        <v>0.97726840744999999</v>
      </c>
      <c r="B2">
        <v>3.1576742410225584</v>
      </c>
      <c r="C2">
        <f t="shared" ref="C2:C40" si="0">$H$3*(1+$H$1)*(A2^($H$1))*EXP(-$H$3*(A2^(1+$H$1)))</f>
        <v>4.8329012851695028</v>
      </c>
      <c r="D2">
        <f t="shared" ref="D2:D40" si="1">B2-C2</f>
        <v>-1.6752270441469443</v>
      </c>
      <c r="E2">
        <f t="shared" ref="E2:E40" si="2">D2^2</f>
        <v>2.8063856494413084</v>
      </c>
    </row>
    <row r="3" spans="1:8" x14ac:dyDescent="0.25">
      <c r="A3">
        <v>0.98423297374999996</v>
      </c>
      <c r="B3">
        <v>12.21568834955584</v>
      </c>
      <c r="C3">
        <f t="shared" si="0"/>
        <v>9.9578687344725694</v>
      </c>
      <c r="D3">
        <f t="shared" si="1"/>
        <v>2.257819615083271</v>
      </c>
      <c r="E3">
        <f t="shared" si="2"/>
        <v>5.0977494142547704</v>
      </c>
      <c r="G3" t="s">
        <v>1</v>
      </c>
      <c r="H3">
        <f>(_xlfn.GAMMA((2+$H$1)/(1+$H$1)))^(1+$H$1)</f>
        <v>0.56564336358093825</v>
      </c>
    </row>
    <row r="4" spans="1:8" x14ac:dyDescent="0.25">
      <c r="A4">
        <v>0.99119754005000005</v>
      </c>
      <c r="B4">
        <v>27.3635027800612</v>
      </c>
      <c r="C4">
        <f t="shared" si="0"/>
        <v>19.177240398399672</v>
      </c>
      <c r="D4">
        <f t="shared" si="1"/>
        <v>8.1862623816615283</v>
      </c>
      <c r="E4">
        <f t="shared" si="2"/>
        <v>67.014891781406675</v>
      </c>
    </row>
    <row r="5" spans="1:8" x14ac:dyDescent="0.25">
      <c r="A5">
        <v>0.99816210635000002</v>
      </c>
      <c r="B5">
        <v>38.722108121339488</v>
      </c>
      <c r="C5">
        <f t="shared" si="0"/>
        <v>32.154370557192351</v>
      </c>
      <c r="D5">
        <f t="shared" si="1"/>
        <v>6.5677375641471372</v>
      </c>
      <c r="E5">
        <f t="shared" si="2"/>
        <v>43.135176711509374</v>
      </c>
      <c r="G5" t="s">
        <v>2</v>
      </c>
      <c r="H5">
        <f>SUM(E1:E40)</f>
        <v>240.87483803719235</v>
      </c>
    </row>
    <row r="6" spans="1:8" x14ac:dyDescent="0.25">
      <c r="A6">
        <v>1.0051266726499999</v>
      </c>
      <c r="B6">
        <v>33.62471970368879</v>
      </c>
      <c r="C6">
        <f t="shared" si="0"/>
        <v>40.368024875608313</v>
      </c>
      <c r="D6">
        <f t="shared" si="1"/>
        <v>-6.7433051719195234</v>
      </c>
      <c r="E6">
        <f t="shared" si="2"/>
        <v>45.472164641636596</v>
      </c>
    </row>
    <row r="7" spans="1:8" x14ac:dyDescent="0.25">
      <c r="A7">
        <v>1.0120912389500001</v>
      </c>
      <c r="B7">
        <v>19.352032134266821</v>
      </c>
      <c r="C7">
        <f t="shared" si="0"/>
        <v>27.594192860342591</v>
      </c>
      <c r="D7">
        <f t="shared" si="1"/>
        <v>-8.2421607260757703</v>
      </c>
      <c r="E7">
        <f t="shared" si="2"/>
        <v>67.93321343446587</v>
      </c>
    </row>
    <row r="8" spans="1:8" x14ac:dyDescent="0.25">
      <c r="A8">
        <v>1.0190558052500001</v>
      </c>
      <c r="B8">
        <v>7.2626507543518848</v>
      </c>
      <c r="C8">
        <f t="shared" si="0"/>
        <v>5.2579494718425543</v>
      </c>
      <c r="D8">
        <f t="shared" si="1"/>
        <v>2.0047012825093304</v>
      </c>
      <c r="E8">
        <f t="shared" si="2"/>
        <v>4.0188272320945542</v>
      </c>
    </row>
    <row r="9" spans="1:8" x14ac:dyDescent="0.25">
      <c r="A9">
        <v>1.02602037155</v>
      </c>
      <c r="B9">
        <v>1.4344862980645336</v>
      </c>
      <c r="C9">
        <f t="shared" si="0"/>
        <v>6.8887732522639966E-2</v>
      </c>
      <c r="D9">
        <f t="shared" si="1"/>
        <v>1.3655985655418936</v>
      </c>
      <c r="E9">
        <f t="shared" si="2"/>
        <v>1.8648594422100775</v>
      </c>
    </row>
    <row r="10" spans="1:8" x14ac:dyDescent="0.25">
      <c r="A10">
        <v>1.03298493785</v>
      </c>
      <c r="B10">
        <v>5.4131558417529577E-2</v>
      </c>
      <c r="C10">
        <f t="shared" si="0"/>
        <v>3.3752472350378258E-6</v>
      </c>
      <c r="D10">
        <f t="shared" si="1"/>
        <v>5.4128183170294539E-2</v>
      </c>
      <c r="E10">
        <f t="shared" si="2"/>
        <v>2.9298602133169568E-3</v>
      </c>
    </row>
    <row r="11" spans="1:8" x14ac:dyDescent="0.25">
      <c r="A11">
        <v>1.03994950415</v>
      </c>
      <c r="B11">
        <v>0</v>
      </c>
      <c r="C11">
        <f t="shared" si="0"/>
        <v>1.4930274963374196E-15</v>
      </c>
      <c r="D11">
        <f t="shared" si="1"/>
        <v>-1.4930274963374196E-15</v>
      </c>
      <c r="E11">
        <f t="shared" si="2"/>
        <v>2.2291311048195833E-30</v>
      </c>
    </row>
    <row r="12" spans="1:8" x14ac:dyDescent="0.25">
      <c r="A12">
        <v>1.04691407045</v>
      </c>
      <c r="B12">
        <v>0</v>
      </c>
      <c r="C12">
        <f t="shared" si="0"/>
        <v>2.4251560704055142E-35</v>
      </c>
      <c r="D12">
        <f t="shared" si="1"/>
        <v>-2.4251560704055142E-35</v>
      </c>
      <c r="E12">
        <f t="shared" si="2"/>
        <v>5.8813819658247151E-70</v>
      </c>
    </row>
    <row r="13" spans="1:8" x14ac:dyDescent="0.25">
      <c r="A13">
        <v>1.0538786367499999</v>
      </c>
      <c r="B13">
        <v>0</v>
      </c>
      <c r="C13">
        <f t="shared" si="0"/>
        <v>1.2903510946834349E-76</v>
      </c>
      <c r="D13">
        <f t="shared" si="1"/>
        <v>-1.2903510946834349E-76</v>
      </c>
      <c r="E13">
        <f t="shared" si="2"/>
        <v>1.6650059475507388E-152</v>
      </c>
    </row>
    <row r="14" spans="1:8" x14ac:dyDescent="0.25">
      <c r="A14">
        <v>1.0608432030500001</v>
      </c>
      <c r="B14">
        <v>0</v>
      </c>
      <c r="C14">
        <f t="shared" si="0"/>
        <v>6.465385716286701E-162</v>
      </c>
      <c r="D14">
        <f t="shared" si="1"/>
        <v>-6.465385716286701E-162</v>
      </c>
      <c r="E14">
        <f t="shared" si="2"/>
        <v>0</v>
      </c>
    </row>
    <row r="15" spans="1:8" x14ac:dyDescent="0.25">
      <c r="A15">
        <v>1.0678077693499999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1.0747723356500001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1.0817369019499998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1.08870146825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1.09566603455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1.10263060085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1.1095951671500002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1.1165597334499999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1.1235242997500001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1.1304888660499999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1.1374534323500001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1.1444179986499998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1.15138256495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1.15834713125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1.16531169755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1.1722762638500002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1.1792408301499999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1.1862053964500001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1.1931699627500001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1.2001345290500001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1.2070990953499998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1.21406366165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1.22102822795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1.22799279425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1.2349573605499999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1.2419219268499999</v>
      </c>
      <c r="B40">
        <v>9.021926402921595E-3</v>
      </c>
      <c r="C40">
        <f t="shared" si="0"/>
        <v>0</v>
      </c>
      <c r="D40">
        <f t="shared" si="1"/>
        <v>9.021926402921595E-3</v>
      </c>
      <c r="E40">
        <f t="shared" si="2"/>
        <v>8.1395156019733783E-5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2024-10-03T00:27:32Z</dcterms:modified>
</cp:coreProperties>
</file>