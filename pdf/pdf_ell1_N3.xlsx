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587" documentId="115_{0D2E5861-55E6-4A9F-BBE8-6F12C3317FD2}" xr6:coauthVersionLast="47" xr6:coauthVersionMax="47" xr10:uidLastSave="{996402F2-EE79-44A9-A066-1D2851B34A6D}"/>
  <bookViews>
    <workbookView xWindow="-120" yWindow="-120" windowWidth="29040" windowHeight="15720" tabRatio="1000" activeTab="31" xr2:uid="{52D9C27D-0EF6-DD41-9728-0267E68F7539}"/>
  </bookViews>
  <sheets>
    <sheet name="Brody" sheetId="33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5" i="31" s="1"/>
  <c r="D5" i="31" s="1"/>
  <c r="E5" i="31" s="1"/>
  <c r="H3" i="30"/>
  <c r="C5" i="30" s="1"/>
  <c r="D5" i="30" s="1"/>
  <c r="E5" i="30" s="1"/>
  <c r="H3" i="29"/>
  <c r="C40" i="29" s="1"/>
  <c r="D40" i="29" s="1"/>
  <c r="E40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5" i="15" s="1"/>
  <c r="D5" i="15" s="1"/>
  <c r="E5" i="15" s="1"/>
  <c r="H3" i="14"/>
  <c r="C1" i="14" s="1"/>
  <c r="D1" i="14" s="1"/>
  <c r="E1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40" i="4" s="1"/>
  <c r="D40" i="4" s="1"/>
  <c r="E40" i="4" s="1"/>
  <c r="H3" i="3"/>
  <c r="C5" i="3" s="1"/>
  <c r="D5" i="3" s="1"/>
  <c r="E5" i="3" s="1"/>
  <c r="H3" i="2"/>
  <c r="C5" i="2" s="1"/>
  <c r="D5" i="2" s="1"/>
  <c r="E5" i="2" s="1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1" i="33"/>
  <c r="C2" i="32" l="1"/>
  <c r="D2" i="32" s="1"/>
  <c r="E2" i="32" s="1"/>
  <c r="C14" i="32"/>
  <c r="D14" i="32" s="1"/>
  <c r="E14" i="32" s="1"/>
  <c r="C21" i="32"/>
  <c r="D21" i="32" s="1"/>
  <c r="E21" i="32" s="1"/>
  <c r="C22" i="32"/>
  <c r="D22" i="32" s="1"/>
  <c r="E22" i="32" s="1"/>
  <c r="C25" i="32"/>
  <c r="D25" i="32" s="1"/>
  <c r="E25" i="32" s="1"/>
  <c r="C3" i="32"/>
  <c r="D3" i="32" s="1"/>
  <c r="E3" i="32" s="1"/>
  <c r="C17" i="32"/>
  <c r="D17" i="32" s="1"/>
  <c r="E17" i="32" s="1"/>
  <c r="C37" i="32"/>
  <c r="D37" i="32" s="1"/>
  <c r="E37" i="32" s="1"/>
  <c r="C18" i="32"/>
  <c r="D18" i="32" s="1"/>
  <c r="E18" i="32" s="1"/>
  <c r="C38" i="32"/>
  <c r="D38" i="32" s="1"/>
  <c r="E38" i="32" s="1"/>
  <c r="C26" i="32"/>
  <c r="D26" i="32" s="1"/>
  <c r="E26" i="32" s="1"/>
  <c r="C29" i="32"/>
  <c r="D29" i="32" s="1"/>
  <c r="E29" i="32" s="1"/>
  <c r="C6" i="32"/>
  <c r="D6" i="32" s="1"/>
  <c r="E6" i="32" s="1"/>
  <c r="C30" i="32"/>
  <c r="D30" i="32" s="1"/>
  <c r="E30" i="32" s="1"/>
  <c r="C9" i="32"/>
  <c r="D9" i="32" s="1"/>
  <c r="E9" i="32" s="1"/>
  <c r="C10" i="32"/>
  <c r="D10" i="32" s="1"/>
  <c r="E10" i="32" s="1"/>
  <c r="C33" i="32"/>
  <c r="D33" i="32" s="1"/>
  <c r="E33" i="32" s="1"/>
  <c r="C13" i="32"/>
  <c r="D13" i="32" s="1"/>
  <c r="E13" i="32" s="1"/>
  <c r="C34" i="32"/>
  <c r="D34" i="32" s="1"/>
  <c r="E34" i="32" s="1"/>
  <c r="C9" i="31"/>
  <c r="D9" i="31" s="1"/>
  <c r="E9" i="31" s="1"/>
  <c r="C33" i="31"/>
  <c r="D33" i="31" s="1"/>
  <c r="E33" i="31" s="1"/>
  <c r="C10" i="31"/>
  <c r="D10" i="31" s="1"/>
  <c r="E10" i="31" s="1"/>
  <c r="C34" i="31"/>
  <c r="D34" i="31" s="1"/>
  <c r="E34" i="31" s="1"/>
  <c r="C13" i="31"/>
  <c r="D13" i="31" s="1"/>
  <c r="E13" i="31" s="1"/>
  <c r="C37" i="31"/>
  <c r="D37" i="31" s="1"/>
  <c r="E37" i="31" s="1"/>
  <c r="C14" i="31"/>
  <c r="D14" i="31" s="1"/>
  <c r="E14" i="31" s="1"/>
  <c r="C38" i="31"/>
  <c r="D38" i="31" s="1"/>
  <c r="E38" i="31" s="1"/>
  <c r="C17" i="31"/>
  <c r="D17" i="31" s="1"/>
  <c r="E17" i="31" s="1"/>
  <c r="C18" i="31"/>
  <c r="D18" i="31" s="1"/>
  <c r="E18" i="31" s="1"/>
  <c r="C21" i="31"/>
  <c r="D21" i="31" s="1"/>
  <c r="E21" i="31" s="1"/>
  <c r="C22" i="31"/>
  <c r="D22" i="31" s="1"/>
  <c r="E22" i="31" s="1"/>
  <c r="C25" i="31"/>
  <c r="D25" i="31" s="1"/>
  <c r="E25" i="31" s="1"/>
  <c r="C3" i="31"/>
  <c r="D3" i="31" s="1"/>
  <c r="E3" i="31" s="1"/>
  <c r="C26" i="31"/>
  <c r="D26" i="31" s="1"/>
  <c r="E26" i="31" s="1"/>
  <c r="C29" i="31"/>
  <c r="D29" i="31" s="1"/>
  <c r="E29" i="31" s="1"/>
  <c r="C6" i="31"/>
  <c r="D6" i="31" s="1"/>
  <c r="E6" i="31" s="1"/>
  <c r="C30" i="31"/>
  <c r="D30" i="31" s="1"/>
  <c r="E30" i="31" s="1"/>
  <c r="C14" i="30"/>
  <c r="D14" i="30" s="1"/>
  <c r="E14" i="30" s="1"/>
  <c r="C22" i="30"/>
  <c r="D22" i="30" s="1"/>
  <c r="E22" i="30" s="1"/>
  <c r="C1" i="30"/>
  <c r="D1" i="30" s="1"/>
  <c r="E1" i="30" s="1"/>
  <c r="C25" i="30"/>
  <c r="D25" i="30" s="1"/>
  <c r="E25" i="30" s="1"/>
  <c r="C3" i="30"/>
  <c r="D3" i="30" s="1"/>
  <c r="E3" i="30" s="1"/>
  <c r="C26" i="30"/>
  <c r="D26" i="30" s="1"/>
  <c r="E26" i="30" s="1"/>
  <c r="C29" i="30"/>
  <c r="D29" i="30" s="1"/>
  <c r="E29" i="30" s="1"/>
  <c r="C6" i="30"/>
  <c r="D6" i="30" s="1"/>
  <c r="E6" i="30" s="1"/>
  <c r="C30" i="30"/>
  <c r="D30" i="30" s="1"/>
  <c r="E30" i="30" s="1"/>
  <c r="C9" i="30"/>
  <c r="D9" i="30" s="1"/>
  <c r="E9" i="30" s="1"/>
  <c r="C33" i="30"/>
  <c r="D33" i="30" s="1"/>
  <c r="E33" i="30" s="1"/>
  <c r="C10" i="30"/>
  <c r="D10" i="30" s="1"/>
  <c r="E10" i="30" s="1"/>
  <c r="C34" i="30"/>
  <c r="D34" i="30" s="1"/>
  <c r="E34" i="30" s="1"/>
  <c r="C13" i="30"/>
  <c r="D13" i="30" s="1"/>
  <c r="E13" i="30" s="1"/>
  <c r="C37" i="30"/>
  <c r="D37" i="30" s="1"/>
  <c r="E37" i="30" s="1"/>
  <c r="C38" i="30"/>
  <c r="D38" i="30" s="1"/>
  <c r="E38" i="30" s="1"/>
  <c r="C17" i="30"/>
  <c r="D17" i="30" s="1"/>
  <c r="E17" i="30" s="1"/>
  <c r="C18" i="30"/>
  <c r="D18" i="30" s="1"/>
  <c r="E18" i="30" s="1"/>
  <c r="C21" i="30"/>
  <c r="D21" i="30" s="1"/>
  <c r="E21" i="30" s="1"/>
  <c r="C39" i="29"/>
  <c r="D39" i="29" s="1"/>
  <c r="E39" i="29" s="1"/>
  <c r="C23" i="29"/>
  <c r="D23" i="29" s="1"/>
  <c r="E23" i="29" s="1"/>
  <c r="C7" i="29"/>
  <c r="D7" i="29" s="1"/>
  <c r="E7" i="29" s="1"/>
  <c r="C13" i="29"/>
  <c r="D13" i="29" s="1"/>
  <c r="E13" i="29" s="1"/>
  <c r="C29" i="29"/>
  <c r="D29" i="29" s="1"/>
  <c r="E29" i="29" s="1"/>
  <c r="C9" i="29"/>
  <c r="D9" i="29" s="1"/>
  <c r="E9" i="29" s="1"/>
  <c r="C25" i="29"/>
  <c r="D25" i="29" s="1"/>
  <c r="E25" i="29" s="1"/>
  <c r="C10" i="29"/>
  <c r="D10" i="29" s="1"/>
  <c r="E10" i="29" s="1"/>
  <c r="C26" i="29"/>
  <c r="D26" i="29" s="1"/>
  <c r="E26" i="29" s="1"/>
  <c r="C11" i="29"/>
  <c r="D11" i="29" s="1"/>
  <c r="E11" i="29" s="1"/>
  <c r="C27" i="29"/>
  <c r="D27" i="29" s="1"/>
  <c r="E27" i="29" s="1"/>
  <c r="C1" i="29"/>
  <c r="D1" i="29" s="1"/>
  <c r="E1" i="29" s="1"/>
  <c r="C14" i="29"/>
  <c r="D14" i="29" s="1"/>
  <c r="E14" i="29" s="1"/>
  <c r="C30" i="29"/>
  <c r="D30" i="29" s="1"/>
  <c r="E30" i="29" s="1"/>
  <c r="C15" i="29"/>
  <c r="D15" i="29" s="1"/>
  <c r="E15" i="29" s="1"/>
  <c r="C31" i="29"/>
  <c r="D31" i="29" s="1"/>
  <c r="E31" i="29" s="1"/>
  <c r="C17" i="29"/>
  <c r="D17" i="29" s="1"/>
  <c r="E17" i="29" s="1"/>
  <c r="C33" i="29"/>
  <c r="D33" i="29" s="1"/>
  <c r="E33" i="29" s="1"/>
  <c r="C18" i="29"/>
  <c r="D18" i="29" s="1"/>
  <c r="E18" i="29" s="1"/>
  <c r="C34" i="29"/>
  <c r="D34" i="29" s="1"/>
  <c r="E34" i="29" s="1"/>
  <c r="C5" i="29"/>
  <c r="D5" i="29" s="1"/>
  <c r="E5" i="29" s="1"/>
  <c r="C19" i="29"/>
  <c r="D19" i="29" s="1"/>
  <c r="E19" i="29" s="1"/>
  <c r="C35" i="29"/>
  <c r="D35" i="29" s="1"/>
  <c r="E35" i="29" s="1"/>
  <c r="C21" i="29"/>
  <c r="D21" i="29" s="1"/>
  <c r="E21" i="29" s="1"/>
  <c r="C37" i="29"/>
  <c r="D37" i="29" s="1"/>
  <c r="E37" i="29" s="1"/>
  <c r="C6" i="29"/>
  <c r="D6" i="29" s="1"/>
  <c r="E6" i="29" s="1"/>
  <c r="C22" i="29"/>
  <c r="D22" i="29" s="1"/>
  <c r="E22" i="29" s="1"/>
  <c r="C38" i="29"/>
  <c r="D38" i="29" s="1"/>
  <c r="E38" i="29" s="1"/>
  <c r="C8" i="28"/>
  <c r="D8" i="28" s="1"/>
  <c r="E8" i="28" s="1"/>
  <c r="C9" i="28"/>
  <c r="D9" i="28" s="1"/>
  <c r="E9" i="28" s="1"/>
  <c r="C20" i="28"/>
  <c r="D20" i="28" s="1"/>
  <c r="E20" i="28" s="1"/>
  <c r="C32" i="28"/>
  <c r="D32" i="28" s="1"/>
  <c r="E32" i="28" s="1"/>
  <c r="C33" i="28"/>
  <c r="D33" i="28" s="1"/>
  <c r="E33" i="28" s="1"/>
  <c r="C12" i="28"/>
  <c r="D12" i="28" s="1"/>
  <c r="E12" i="28" s="1"/>
  <c r="C36" i="28"/>
  <c r="D36" i="28" s="1"/>
  <c r="E36" i="28" s="1"/>
  <c r="C13" i="28"/>
  <c r="D13" i="28" s="1"/>
  <c r="E13" i="28" s="1"/>
  <c r="C37" i="28"/>
  <c r="D37" i="28" s="1"/>
  <c r="E37" i="28" s="1"/>
  <c r="C16" i="28"/>
  <c r="D16" i="28" s="1"/>
  <c r="E16" i="28" s="1"/>
  <c r="C40" i="28"/>
  <c r="D40" i="28" s="1"/>
  <c r="E40" i="28" s="1"/>
  <c r="C17" i="28"/>
  <c r="D17" i="28" s="1"/>
  <c r="E17" i="28" s="1"/>
  <c r="C21" i="28"/>
  <c r="D21" i="28" s="1"/>
  <c r="E21" i="28" s="1"/>
  <c r="C24" i="28"/>
  <c r="D24" i="28" s="1"/>
  <c r="E24" i="28" s="1"/>
  <c r="C1" i="28"/>
  <c r="D1" i="28" s="1"/>
  <c r="E1" i="28" s="1"/>
  <c r="C25" i="28"/>
  <c r="D25" i="28" s="1"/>
  <c r="E25" i="28" s="1"/>
  <c r="C3" i="28"/>
  <c r="D3" i="28" s="1"/>
  <c r="E3" i="28" s="1"/>
  <c r="C28" i="28"/>
  <c r="D28" i="28" s="1"/>
  <c r="E28" i="28" s="1"/>
  <c r="C29" i="28"/>
  <c r="D29" i="28" s="1"/>
  <c r="E29" i="28" s="1"/>
  <c r="C1" i="27"/>
  <c r="D1" i="27" s="1"/>
  <c r="E1" i="27" s="1"/>
  <c r="C24" i="27"/>
  <c r="D24" i="27" s="1"/>
  <c r="E24" i="27" s="1"/>
  <c r="C3" i="27"/>
  <c r="D3" i="27" s="1"/>
  <c r="E3" i="27" s="1"/>
  <c r="C25" i="27"/>
  <c r="D25" i="27" s="1"/>
  <c r="E25" i="27" s="1"/>
  <c r="C28" i="27"/>
  <c r="D28" i="27" s="1"/>
  <c r="E28" i="27" s="1"/>
  <c r="C29" i="27"/>
  <c r="D29" i="27" s="1"/>
  <c r="E29" i="27" s="1"/>
  <c r="C8" i="27"/>
  <c r="D8" i="27" s="1"/>
  <c r="E8" i="27" s="1"/>
  <c r="C32" i="27"/>
  <c r="D32" i="27" s="1"/>
  <c r="E32" i="27" s="1"/>
  <c r="C9" i="27"/>
  <c r="D9" i="27" s="1"/>
  <c r="E9" i="27" s="1"/>
  <c r="C33" i="27"/>
  <c r="D33" i="27" s="1"/>
  <c r="E33" i="27" s="1"/>
  <c r="C36" i="27"/>
  <c r="D36" i="27" s="1"/>
  <c r="E36" i="27" s="1"/>
  <c r="C12" i="27"/>
  <c r="D12" i="27" s="1"/>
  <c r="E12" i="27" s="1"/>
  <c r="C13" i="27"/>
  <c r="D13" i="27" s="1"/>
  <c r="E13" i="27" s="1"/>
  <c r="C37" i="27"/>
  <c r="D37" i="27" s="1"/>
  <c r="E37" i="27" s="1"/>
  <c r="C16" i="27"/>
  <c r="D16" i="27" s="1"/>
  <c r="E16" i="27" s="1"/>
  <c r="C40" i="27"/>
  <c r="D40" i="27" s="1"/>
  <c r="E40" i="27" s="1"/>
  <c r="C17" i="27"/>
  <c r="D17" i="27" s="1"/>
  <c r="E17" i="27" s="1"/>
  <c r="C20" i="27"/>
  <c r="D20" i="27" s="1"/>
  <c r="E20" i="27" s="1"/>
  <c r="C21" i="27"/>
  <c r="D21" i="27" s="1"/>
  <c r="E21" i="27" s="1"/>
  <c r="C8" i="26"/>
  <c r="D8" i="26" s="1"/>
  <c r="E8" i="26" s="1"/>
  <c r="C24" i="26"/>
  <c r="D24" i="26" s="1"/>
  <c r="E24" i="26" s="1"/>
  <c r="C9" i="26"/>
  <c r="D9" i="26" s="1"/>
  <c r="E9" i="26" s="1"/>
  <c r="C25" i="26"/>
  <c r="D25" i="26" s="1"/>
  <c r="E25" i="26" s="1"/>
  <c r="C10" i="26"/>
  <c r="D10" i="26" s="1"/>
  <c r="E10" i="26" s="1"/>
  <c r="C26" i="26"/>
  <c r="D26" i="26" s="1"/>
  <c r="E26" i="26" s="1"/>
  <c r="C12" i="26"/>
  <c r="D12" i="26" s="1"/>
  <c r="E12" i="26" s="1"/>
  <c r="C28" i="26"/>
  <c r="D28" i="26" s="1"/>
  <c r="E28" i="26" s="1"/>
  <c r="C13" i="26"/>
  <c r="D13" i="26" s="1"/>
  <c r="E13" i="26" s="1"/>
  <c r="C29" i="26"/>
  <c r="D29" i="26" s="1"/>
  <c r="E29" i="26" s="1"/>
  <c r="C14" i="26"/>
  <c r="D14" i="26" s="1"/>
  <c r="E14" i="26" s="1"/>
  <c r="C30" i="26"/>
  <c r="D30" i="26" s="1"/>
  <c r="E30" i="26" s="1"/>
  <c r="C16" i="26"/>
  <c r="D16" i="26" s="1"/>
  <c r="E16" i="26" s="1"/>
  <c r="C32" i="26"/>
  <c r="D32" i="26" s="1"/>
  <c r="E32" i="26" s="1"/>
  <c r="C17" i="26"/>
  <c r="D17" i="26" s="1"/>
  <c r="E17" i="26" s="1"/>
  <c r="C33" i="26"/>
  <c r="D33" i="26" s="1"/>
  <c r="E33" i="26" s="1"/>
  <c r="C18" i="26"/>
  <c r="D18" i="26" s="1"/>
  <c r="E18" i="26" s="1"/>
  <c r="C34" i="26"/>
  <c r="D34" i="26" s="1"/>
  <c r="E34" i="26" s="1"/>
  <c r="C20" i="26"/>
  <c r="D20" i="26" s="1"/>
  <c r="E20" i="26" s="1"/>
  <c r="C36" i="26"/>
  <c r="D36" i="26" s="1"/>
  <c r="E36" i="26" s="1"/>
  <c r="C21" i="26"/>
  <c r="D21" i="26" s="1"/>
  <c r="E21" i="26" s="1"/>
  <c r="C37" i="26"/>
  <c r="D37" i="26" s="1"/>
  <c r="E37" i="26" s="1"/>
  <c r="C6" i="26"/>
  <c r="D6" i="26" s="1"/>
  <c r="E6" i="26" s="1"/>
  <c r="C22" i="26"/>
  <c r="D22" i="26" s="1"/>
  <c r="E22" i="26" s="1"/>
  <c r="C38" i="26"/>
  <c r="D38" i="26" s="1"/>
  <c r="E38" i="26" s="1"/>
  <c r="C22" i="25"/>
  <c r="D22" i="25" s="1"/>
  <c r="E22" i="25" s="1"/>
  <c r="C32" i="25"/>
  <c r="D32" i="25" s="1"/>
  <c r="E32" i="25" s="1"/>
  <c r="C13" i="25"/>
  <c r="D13" i="25" s="1"/>
  <c r="E13" i="25" s="1"/>
  <c r="C23" i="25"/>
  <c r="D23" i="25" s="1"/>
  <c r="E23" i="25" s="1"/>
  <c r="C1" i="25"/>
  <c r="D1" i="25" s="1"/>
  <c r="E1" i="25" s="1"/>
  <c r="C14" i="25"/>
  <c r="D14" i="25" s="1"/>
  <c r="E14" i="25" s="1"/>
  <c r="C24" i="25"/>
  <c r="D24" i="25" s="1"/>
  <c r="E24" i="25" s="1"/>
  <c r="C33" i="25"/>
  <c r="D33" i="25" s="1"/>
  <c r="E33" i="25" s="1"/>
  <c r="C15" i="25"/>
  <c r="D15" i="25" s="1"/>
  <c r="E15" i="25" s="1"/>
  <c r="C34" i="25"/>
  <c r="D34" i="25" s="1"/>
  <c r="E34" i="25" s="1"/>
  <c r="C6" i="25"/>
  <c r="D6" i="25" s="1"/>
  <c r="E6" i="25" s="1"/>
  <c r="C16" i="25"/>
  <c r="D16" i="25" s="1"/>
  <c r="E16" i="25" s="1"/>
  <c r="C25" i="25"/>
  <c r="D25" i="25" s="1"/>
  <c r="E25" i="25" s="1"/>
  <c r="C35" i="25"/>
  <c r="D35" i="25" s="1"/>
  <c r="E35" i="25" s="1"/>
  <c r="C7" i="25"/>
  <c r="D7" i="25" s="1"/>
  <c r="E7" i="25" s="1"/>
  <c r="C26" i="25"/>
  <c r="D26" i="25" s="1"/>
  <c r="E26" i="25" s="1"/>
  <c r="C36" i="25"/>
  <c r="D36" i="25" s="1"/>
  <c r="E36" i="25" s="1"/>
  <c r="C8" i="25"/>
  <c r="D8" i="25" s="1"/>
  <c r="E8" i="25" s="1"/>
  <c r="C17" i="25"/>
  <c r="D17" i="25" s="1"/>
  <c r="E17" i="25" s="1"/>
  <c r="C27" i="25"/>
  <c r="D27" i="25" s="1"/>
  <c r="E27" i="25" s="1"/>
  <c r="C28" i="25"/>
  <c r="D28" i="25" s="1"/>
  <c r="E28" i="25" s="1"/>
  <c r="C37" i="25"/>
  <c r="D37" i="25" s="1"/>
  <c r="E37" i="25" s="1"/>
  <c r="C9" i="25"/>
  <c r="D9" i="25" s="1"/>
  <c r="E9" i="25" s="1"/>
  <c r="C19" i="25"/>
  <c r="D19" i="25" s="1"/>
  <c r="E19" i="25" s="1"/>
  <c r="C38" i="25"/>
  <c r="D38" i="25" s="1"/>
  <c r="E38" i="25" s="1"/>
  <c r="C10" i="25"/>
  <c r="D10" i="25" s="1"/>
  <c r="E10" i="25" s="1"/>
  <c r="C20" i="25"/>
  <c r="D20" i="25" s="1"/>
  <c r="E20" i="25" s="1"/>
  <c r="C29" i="25"/>
  <c r="D29" i="25" s="1"/>
  <c r="E29" i="25" s="1"/>
  <c r="C39" i="25"/>
  <c r="D39" i="25" s="1"/>
  <c r="E39" i="25" s="1"/>
  <c r="C18" i="25"/>
  <c r="D18" i="25" s="1"/>
  <c r="E18" i="25" s="1"/>
  <c r="C11" i="25"/>
  <c r="D11" i="25" s="1"/>
  <c r="E11" i="25" s="1"/>
  <c r="C30" i="25"/>
  <c r="D30" i="25" s="1"/>
  <c r="E30" i="25" s="1"/>
  <c r="C12" i="25"/>
  <c r="D12" i="25" s="1"/>
  <c r="E12" i="25" s="1"/>
  <c r="C21" i="25"/>
  <c r="D21" i="25" s="1"/>
  <c r="E21" i="25" s="1"/>
  <c r="C31" i="25"/>
  <c r="D31" i="25" s="1"/>
  <c r="E31" i="25" s="1"/>
  <c r="C22" i="24"/>
  <c r="D22" i="24" s="1"/>
  <c r="E22" i="24" s="1"/>
  <c r="C37" i="24"/>
  <c r="D37" i="24" s="1"/>
  <c r="E37" i="24" s="1"/>
  <c r="C3" i="24"/>
  <c r="D3" i="24" s="1"/>
  <c r="E3" i="24" s="1"/>
  <c r="C6" i="24"/>
  <c r="D6" i="24" s="1"/>
  <c r="E6" i="24" s="1"/>
  <c r="C20" i="24"/>
  <c r="D20" i="24" s="1"/>
  <c r="E20" i="24" s="1"/>
  <c r="C21" i="24"/>
  <c r="D21" i="24" s="1"/>
  <c r="E21" i="24" s="1"/>
  <c r="C38" i="24"/>
  <c r="D38" i="24" s="1"/>
  <c r="E38" i="24" s="1"/>
  <c r="C8" i="24"/>
  <c r="D8" i="24" s="1"/>
  <c r="E8" i="24" s="1"/>
  <c r="C24" i="24"/>
  <c r="D24" i="24" s="1"/>
  <c r="E24" i="24" s="1"/>
  <c r="C9" i="24"/>
  <c r="D9" i="24" s="1"/>
  <c r="E9" i="24" s="1"/>
  <c r="C25" i="24"/>
  <c r="D25" i="24" s="1"/>
  <c r="E25" i="24" s="1"/>
  <c r="C10" i="24"/>
  <c r="D10" i="24" s="1"/>
  <c r="E10" i="24" s="1"/>
  <c r="C26" i="24"/>
  <c r="D26" i="24" s="1"/>
  <c r="E26" i="24" s="1"/>
  <c r="C12" i="24"/>
  <c r="D12" i="24" s="1"/>
  <c r="E12" i="24" s="1"/>
  <c r="C28" i="24"/>
  <c r="D28" i="24" s="1"/>
  <c r="E28" i="24" s="1"/>
  <c r="C13" i="24"/>
  <c r="D13" i="24" s="1"/>
  <c r="E13" i="24" s="1"/>
  <c r="C29" i="24"/>
  <c r="D29" i="24" s="1"/>
  <c r="E29" i="24" s="1"/>
  <c r="C14" i="24"/>
  <c r="D14" i="24" s="1"/>
  <c r="E14" i="24" s="1"/>
  <c r="C30" i="24"/>
  <c r="D30" i="24" s="1"/>
  <c r="E30" i="24" s="1"/>
  <c r="C16" i="24"/>
  <c r="D16" i="24" s="1"/>
  <c r="E16" i="24" s="1"/>
  <c r="C32" i="24"/>
  <c r="D32" i="24" s="1"/>
  <c r="E32" i="24" s="1"/>
  <c r="C17" i="24"/>
  <c r="D17" i="24" s="1"/>
  <c r="E17" i="24" s="1"/>
  <c r="C33" i="24"/>
  <c r="D33" i="24" s="1"/>
  <c r="E33" i="24" s="1"/>
  <c r="C1" i="24"/>
  <c r="D1" i="24" s="1"/>
  <c r="E1" i="24" s="1"/>
  <c r="C18" i="24"/>
  <c r="D18" i="24" s="1"/>
  <c r="E18" i="24" s="1"/>
  <c r="C34" i="24"/>
  <c r="D34" i="24" s="1"/>
  <c r="E34" i="24" s="1"/>
  <c r="C9" i="23"/>
  <c r="D9" i="23" s="1"/>
  <c r="E9" i="23" s="1"/>
  <c r="C13" i="23"/>
  <c r="D13" i="23" s="1"/>
  <c r="E13" i="23" s="1"/>
  <c r="C17" i="23"/>
  <c r="D17" i="23" s="1"/>
  <c r="E17" i="23" s="1"/>
  <c r="C21" i="23"/>
  <c r="D21" i="23" s="1"/>
  <c r="E21" i="23" s="1"/>
  <c r="C25" i="23"/>
  <c r="D25" i="23" s="1"/>
  <c r="E25" i="23" s="1"/>
  <c r="C29" i="23"/>
  <c r="D29" i="23" s="1"/>
  <c r="E29" i="23" s="1"/>
  <c r="C37" i="23"/>
  <c r="D37" i="23" s="1"/>
  <c r="E37" i="23" s="1"/>
  <c r="C33" i="23"/>
  <c r="D33" i="23" s="1"/>
  <c r="E33" i="23" s="1"/>
  <c r="C37" i="22"/>
  <c r="D37" i="22" s="1"/>
  <c r="E37" i="22" s="1"/>
  <c r="C6" i="22"/>
  <c r="D6" i="22" s="1"/>
  <c r="E6" i="22" s="1"/>
  <c r="C22" i="22"/>
  <c r="D22" i="22" s="1"/>
  <c r="E22" i="22" s="1"/>
  <c r="C38" i="22"/>
  <c r="D38" i="22" s="1"/>
  <c r="E38" i="22" s="1"/>
  <c r="C8" i="22"/>
  <c r="D8" i="22" s="1"/>
  <c r="E8" i="22" s="1"/>
  <c r="C24" i="22"/>
  <c r="D24" i="22" s="1"/>
  <c r="E24" i="22" s="1"/>
  <c r="C21" i="22"/>
  <c r="D21" i="22" s="1"/>
  <c r="E21" i="22" s="1"/>
  <c r="C9" i="22"/>
  <c r="D9" i="22" s="1"/>
  <c r="E9" i="22" s="1"/>
  <c r="C25" i="22"/>
  <c r="D25" i="22" s="1"/>
  <c r="E25" i="22" s="1"/>
  <c r="C10" i="22"/>
  <c r="D10" i="22" s="1"/>
  <c r="E10" i="22" s="1"/>
  <c r="C26" i="22"/>
  <c r="D26" i="22" s="1"/>
  <c r="E26" i="22" s="1"/>
  <c r="C12" i="22"/>
  <c r="D12" i="22" s="1"/>
  <c r="E12" i="22" s="1"/>
  <c r="C28" i="22"/>
  <c r="D28" i="22" s="1"/>
  <c r="E28" i="22" s="1"/>
  <c r="C13" i="22"/>
  <c r="D13" i="22" s="1"/>
  <c r="E13" i="22" s="1"/>
  <c r="C29" i="22"/>
  <c r="D29" i="22" s="1"/>
  <c r="E29" i="22" s="1"/>
  <c r="C14" i="22"/>
  <c r="D14" i="22" s="1"/>
  <c r="E14" i="22" s="1"/>
  <c r="C30" i="22"/>
  <c r="D30" i="22" s="1"/>
  <c r="E30" i="22" s="1"/>
  <c r="C16" i="22"/>
  <c r="D16" i="22" s="1"/>
  <c r="E16" i="22" s="1"/>
  <c r="C32" i="22"/>
  <c r="D32" i="22" s="1"/>
  <c r="E32" i="22" s="1"/>
  <c r="C17" i="22"/>
  <c r="D17" i="22" s="1"/>
  <c r="E17" i="22" s="1"/>
  <c r="C33" i="22"/>
  <c r="D33" i="22" s="1"/>
  <c r="E33" i="22" s="1"/>
  <c r="C18" i="22"/>
  <c r="D18" i="22" s="1"/>
  <c r="E18" i="22" s="1"/>
  <c r="C34" i="22"/>
  <c r="D34" i="22" s="1"/>
  <c r="E34" i="22" s="1"/>
  <c r="C1" i="22"/>
  <c r="D1" i="22" s="1"/>
  <c r="E1" i="22" s="1"/>
  <c r="C20" i="22"/>
  <c r="D20" i="22" s="1"/>
  <c r="E20" i="22" s="1"/>
  <c r="C36" i="22"/>
  <c r="D36" i="22" s="1"/>
  <c r="E36" i="22" s="1"/>
  <c r="C10" i="21"/>
  <c r="D10" i="21" s="1"/>
  <c r="E10" i="21" s="1"/>
  <c r="C26" i="21"/>
  <c r="D26" i="21" s="1"/>
  <c r="E26" i="21" s="1"/>
  <c r="C12" i="21"/>
  <c r="D12" i="21" s="1"/>
  <c r="E12" i="21" s="1"/>
  <c r="C28" i="21"/>
  <c r="D28" i="21" s="1"/>
  <c r="E28" i="21" s="1"/>
  <c r="C13" i="21"/>
  <c r="D13" i="21" s="1"/>
  <c r="E13" i="21" s="1"/>
  <c r="C29" i="21"/>
  <c r="D29" i="21" s="1"/>
  <c r="E29" i="21" s="1"/>
  <c r="C1" i="21"/>
  <c r="D1" i="21" s="1"/>
  <c r="E1" i="21" s="1"/>
  <c r="C14" i="21"/>
  <c r="D14" i="21" s="1"/>
  <c r="E14" i="21" s="1"/>
  <c r="C30" i="21"/>
  <c r="D30" i="21" s="1"/>
  <c r="E30" i="21" s="1"/>
  <c r="C2" i="21"/>
  <c r="D2" i="21" s="1"/>
  <c r="E2" i="21" s="1"/>
  <c r="C16" i="21"/>
  <c r="D16" i="21" s="1"/>
  <c r="E16" i="21" s="1"/>
  <c r="C32" i="21"/>
  <c r="D32" i="21" s="1"/>
  <c r="E32" i="21" s="1"/>
  <c r="C17" i="21"/>
  <c r="D17" i="21" s="1"/>
  <c r="E17" i="21" s="1"/>
  <c r="C33" i="21"/>
  <c r="D33" i="21" s="1"/>
  <c r="E33" i="21" s="1"/>
  <c r="C3" i="21"/>
  <c r="D3" i="21" s="1"/>
  <c r="E3" i="21" s="1"/>
  <c r="C18" i="21"/>
  <c r="D18" i="21" s="1"/>
  <c r="E18" i="21" s="1"/>
  <c r="C34" i="21"/>
  <c r="D34" i="21" s="1"/>
  <c r="E34" i="21" s="1"/>
  <c r="C20" i="21"/>
  <c r="D20" i="21" s="1"/>
  <c r="E20" i="21" s="1"/>
  <c r="C36" i="21"/>
  <c r="D36" i="21" s="1"/>
  <c r="E36" i="21" s="1"/>
  <c r="C21" i="21"/>
  <c r="D21" i="21" s="1"/>
  <c r="E21" i="21" s="1"/>
  <c r="C37" i="21"/>
  <c r="D37" i="21" s="1"/>
  <c r="E37" i="21" s="1"/>
  <c r="C6" i="21"/>
  <c r="D6" i="21" s="1"/>
  <c r="E6" i="21" s="1"/>
  <c r="C22" i="21"/>
  <c r="D22" i="21" s="1"/>
  <c r="E22" i="21" s="1"/>
  <c r="C38" i="21"/>
  <c r="D38" i="21" s="1"/>
  <c r="E38" i="21" s="1"/>
  <c r="C8" i="21"/>
  <c r="D8" i="21" s="1"/>
  <c r="E8" i="21" s="1"/>
  <c r="C24" i="21"/>
  <c r="D24" i="21" s="1"/>
  <c r="E24" i="21" s="1"/>
  <c r="C40" i="21"/>
  <c r="D40" i="21" s="1"/>
  <c r="E40" i="21" s="1"/>
  <c r="C9" i="21"/>
  <c r="D9" i="21" s="1"/>
  <c r="E9" i="21" s="1"/>
  <c r="C25" i="21"/>
  <c r="D25" i="21" s="1"/>
  <c r="E25" i="21" s="1"/>
  <c r="C13" i="20"/>
  <c r="D13" i="20" s="1"/>
  <c r="E13" i="20" s="1"/>
  <c r="C29" i="20"/>
  <c r="D29" i="20" s="1"/>
  <c r="E29" i="20" s="1"/>
  <c r="C33" i="20"/>
  <c r="D33" i="20" s="1"/>
  <c r="E33" i="20" s="1"/>
  <c r="C37" i="20"/>
  <c r="D37" i="20" s="1"/>
  <c r="E37" i="20" s="1"/>
  <c r="C1" i="20"/>
  <c r="D1" i="20" s="1"/>
  <c r="E1" i="20" s="1"/>
  <c r="C4" i="20"/>
  <c r="D4" i="20" s="1"/>
  <c r="E4" i="20" s="1"/>
  <c r="C9" i="20"/>
  <c r="D9" i="20" s="1"/>
  <c r="E9" i="20" s="1"/>
  <c r="C17" i="20"/>
  <c r="D17" i="20" s="1"/>
  <c r="E17" i="20" s="1"/>
  <c r="C21" i="20"/>
  <c r="D21" i="20" s="1"/>
  <c r="E21" i="20" s="1"/>
  <c r="C25" i="20"/>
  <c r="D25" i="20" s="1"/>
  <c r="E25" i="20" s="1"/>
  <c r="C25" i="19"/>
  <c r="D25" i="19" s="1"/>
  <c r="E25" i="19" s="1"/>
  <c r="C33" i="19"/>
  <c r="D33" i="19" s="1"/>
  <c r="E33" i="19" s="1"/>
  <c r="C29" i="19"/>
  <c r="D29" i="19" s="1"/>
  <c r="E29" i="19" s="1"/>
  <c r="C37" i="19"/>
  <c r="D37" i="19" s="1"/>
  <c r="E37" i="19" s="1"/>
  <c r="C13" i="19"/>
  <c r="D13" i="19" s="1"/>
  <c r="E13" i="19" s="1"/>
  <c r="C14" i="19"/>
  <c r="D14" i="19" s="1"/>
  <c r="E14" i="19" s="1"/>
  <c r="C26" i="19"/>
  <c r="D26" i="19" s="1"/>
  <c r="E26" i="19" s="1"/>
  <c r="C38" i="19"/>
  <c r="D38" i="19" s="1"/>
  <c r="E38" i="19" s="1"/>
  <c r="C39" i="19"/>
  <c r="D39" i="19" s="1"/>
  <c r="E39" i="19" s="1"/>
  <c r="C15" i="19"/>
  <c r="D15" i="19" s="1"/>
  <c r="E15" i="19" s="1"/>
  <c r="C27" i="19"/>
  <c r="D27" i="19" s="1"/>
  <c r="E27" i="19" s="1"/>
  <c r="C1" i="19"/>
  <c r="D1" i="19" s="1"/>
  <c r="E1" i="19" s="1"/>
  <c r="C16" i="19"/>
  <c r="D16" i="19" s="1"/>
  <c r="E16" i="19" s="1"/>
  <c r="C28" i="19"/>
  <c r="D28" i="19" s="1"/>
  <c r="E28" i="19" s="1"/>
  <c r="C40" i="19"/>
  <c r="D40" i="19" s="1"/>
  <c r="E40" i="19" s="1"/>
  <c r="C30" i="19"/>
  <c r="D30" i="19" s="1"/>
  <c r="E30" i="19" s="1"/>
  <c r="C17" i="19"/>
  <c r="D17" i="19" s="1"/>
  <c r="E17" i="19" s="1"/>
  <c r="C19" i="19"/>
  <c r="D19" i="19" s="1"/>
  <c r="E19" i="19" s="1"/>
  <c r="C31" i="19"/>
  <c r="D31" i="19" s="1"/>
  <c r="E31" i="19" s="1"/>
  <c r="C6" i="19"/>
  <c r="D6" i="19" s="1"/>
  <c r="E6" i="19" s="1"/>
  <c r="C18" i="19"/>
  <c r="D18" i="19" s="1"/>
  <c r="E18" i="19" s="1"/>
  <c r="C7" i="19"/>
  <c r="D7" i="19" s="1"/>
  <c r="E7" i="19" s="1"/>
  <c r="C8" i="19"/>
  <c r="D8" i="19" s="1"/>
  <c r="E8" i="19" s="1"/>
  <c r="C20" i="19"/>
  <c r="D20" i="19" s="1"/>
  <c r="E20" i="19" s="1"/>
  <c r="C32" i="19"/>
  <c r="D32" i="19" s="1"/>
  <c r="E32" i="19" s="1"/>
  <c r="C9" i="19"/>
  <c r="D9" i="19" s="1"/>
  <c r="E9" i="19" s="1"/>
  <c r="C21" i="19"/>
  <c r="D21" i="19" s="1"/>
  <c r="E21" i="19" s="1"/>
  <c r="C10" i="19"/>
  <c r="D10" i="19" s="1"/>
  <c r="E10" i="19" s="1"/>
  <c r="C22" i="19"/>
  <c r="D22" i="19" s="1"/>
  <c r="E22" i="19" s="1"/>
  <c r="C34" i="19"/>
  <c r="D34" i="19" s="1"/>
  <c r="E34" i="19" s="1"/>
  <c r="C35" i="19"/>
  <c r="D35" i="19" s="1"/>
  <c r="E35" i="19" s="1"/>
  <c r="C11" i="19"/>
  <c r="D11" i="19" s="1"/>
  <c r="E11" i="19" s="1"/>
  <c r="C23" i="19"/>
  <c r="D23" i="19" s="1"/>
  <c r="E23" i="19" s="1"/>
  <c r="C12" i="19"/>
  <c r="D12" i="19" s="1"/>
  <c r="E12" i="19" s="1"/>
  <c r="C24" i="19"/>
  <c r="D24" i="19" s="1"/>
  <c r="E24" i="19" s="1"/>
  <c r="C36" i="19"/>
  <c r="D36" i="19" s="1"/>
  <c r="E36" i="19" s="1"/>
  <c r="C34" i="18"/>
  <c r="D34" i="18" s="1"/>
  <c r="E34" i="18" s="1"/>
  <c r="C10" i="18"/>
  <c r="D10" i="18" s="1"/>
  <c r="E10" i="18" s="1"/>
  <c r="C13" i="18"/>
  <c r="D13" i="18" s="1"/>
  <c r="E13" i="18" s="1"/>
  <c r="C37" i="18"/>
  <c r="D37" i="18" s="1"/>
  <c r="E37" i="18" s="1"/>
  <c r="C14" i="18"/>
  <c r="D14" i="18" s="1"/>
  <c r="E14" i="18" s="1"/>
  <c r="C38" i="18"/>
  <c r="D38" i="18" s="1"/>
  <c r="E38" i="18" s="1"/>
  <c r="C17" i="18"/>
  <c r="D17" i="18" s="1"/>
  <c r="E17" i="18" s="1"/>
  <c r="C18" i="18"/>
  <c r="D18" i="18" s="1"/>
  <c r="E18" i="18" s="1"/>
  <c r="C21" i="18"/>
  <c r="D21" i="18" s="1"/>
  <c r="E21" i="18" s="1"/>
  <c r="C1" i="18"/>
  <c r="D1" i="18" s="1"/>
  <c r="E1" i="18" s="1"/>
  <c r="C22" i="18"/>
  <c r="D22" i="18" s="1"/>
  <c r="E22" i="18" s="1"/>
  <c r="C2" i="18"/>
  <c r="D2" i="18" s="1"/>
  <c r="E2" i="18" s="1"/>
  <c r="C25" i="18"/>
  <c r="D25" i="18" s="1"/>
  <c r="E25" i="18" s="1"/>
  <c r="C3" i="18"/>
  <c r="D3" i="18" s="1"/>
  <c r="E3" i="18" s="1"/>
  <c r="C26" i="18"/>
  <c r="D26" i="18" s="1"/>
  <c r="E26" i="18" s="1"/>
  <c r="C29" i="18"/>
  <c r="D29" i="18" s="1"/>
  <c r="E29" i="18" s="1"/>
  <c r="C6" i="18"/>
  <c r="D6" i="18" s="1"/>
  <c r="E6" i="18" s="1"/>
  <c r="C30" i="18"/>
  <c r="D30" i="18" s="1"/>
  <c r="E30" i="18" s="1"/>
  <c r="C9" i="18"/>
  <c r="D9" i="18" s="1"/>
  <c r="E9" i="18" s="1"/>
  <c r="C33" i="18"/>
  <c r="D33" i="18" s="1"/>
  <c r="E33" i="18" s="1"/>
  <c r="C21" i="17"/>
  <c r="D21" i="17" s="1"/>
  <c r="E21" i="17" s="1"/>
  <c r="C25" i="17"/>
  <c r="D25" i="17" s="1"/>
  <c r="E25" i="17" s="1"/>
  <c r="C17" i="17"/>
  <c r="D17" i="17" s="1"/>
  <c r="E17" i="17" s="1"/>
  <c r="C29" i="17"/>
  <c r="D29" i="17" s="1"/>
  <c r="E29" i="17" s="1"/>
  <c r="C33" i="17"/>
  <c r="D33" i="17" s="1"/>
  <c r="E33" i="17" s="1"/>
  <c r="C37" i="17"/>
  <c r="D37" i="17" s="1"/>
  <c r="E37" i="17" s="1"/>
  <c r="C2" i="17"/>
  <c r="D2" i="17" s="1"/>
  <c r="E2" i="17" s="1"/>
  <c r="C9" i="17"/>
  <c r="D9" i="17" s="1"/>
  <c r="E9" i="17" s="1"/>
  <c r="C13" i="17"/>
  <c r="D13" i="17" s="1"/>
  <c r="E13" i="17" s="1"/>
  <c r="C3" i="16"/>
  <c r="D3" i="16" s="1"/>
  <c r="E3" i="16" s="1"/>
  <c r="C14" i="16"/>
  <c r="D14" i="16" s="1"/>
  <c r="E14" i="16" s="1"/>
  <c r="C25" i="16"/>
  <c r="D25" i="16" s="1"/>
  <c r="E25" i="16" s="1"/>
  <c r="C26" i="16"/>
  <c r="D26" i="16" s="1"/>
  <c r="E26" i="16" s="1"/>
  <c r="C38" i="16"/>
  <c r="D38" i="16" s="1"/>
  <c r="E38" i="16" s="1"/>
  <c r="C29" i="16"/>
  <c r="D29" i="16" s="1"/>
  <c r="E29" i="16" s="1"/>
  <c r="C6" i="16"/>
  <c r="D6" i="16" s="1"/>
  <c r="E6" i="16" s="1"/>
  <c r="C30" i="16"/>
  <c r="D30" i="16" s="1"/>
  <c r="E30" i="16" s="1"/>
  <c r="C9" i="16"/>
  <c r="D9" i="16" s="1"/>
  <c r="E9" i="16" s="1"/>
  <c r="C33" i="16"/>
  <c r="D33" i="16" s="1"/>
  <c r="E33" i="16" s="1"/>
  <c r="C10" i="16"/>
  <c r="D10" i="16" s="1"/>
  <c r="E10" i="16" s="1"/>
  <c r="C34" i="16"/>
  <c r="D34" i="16" s="1"/>
  <c r="E34" i="16" s="1"/>
  <c r="C13" i="16"/>
  <c r="D13" i="16" s="1"/>
  <c r="E13" i="16" s="1"/>
  <c r="C37" i="16"/>
  <c r="D37" i="16" s="1"/>
  <c r="E37" i="16" s="1"/>
  <c r="C17" i="16"/>
  <c r="D17" i="16" s="1"/>
  <c r="E17" i="16" s="1"/>
  <c r="C18" i="16"/>
  <c r="D18" i="16" s="1"/>
  <c r="E18" i="16" s="1"/>
  <c r="C21" i="16"/>
  <c r="D21" i="16" s="1"/>
  <c r="E21" i="16" s="1"/>
  <c r="C22" i="16"/>
  <c r="D22" i="16" s="1"/>
  <c r="E22" i="16" s="1"/>
  <c r="C37" i="15"/>
  <c r="D37" i="15" s="1"/>
  <c r="E37" i="15" s="1"/>
  <c r="C8" i="15"/>
  <c r="D8" i="15" s="1"/>
  <c r="E8" i="15" s="1"/>
  <c r="C9" i="15"/>
  <c r="D9" i="15" s="1"/>
  <c r="E9" i="15" s="1"/>
  <c r="C13" i="15"/>
  <c r="D13" i="15" s="1"/>
  <c r="E13" i="15" s="1"/>
  <c r="C17" i="15"/>
  <c r="D17" i="15" s="1"/>
  <c r="E17" i="15" s="1"/>
  <c r="C21" i="15"/>
  <c r="D21" i="15" s="1"/>
  <c r="E21" i="15" s="1"/>
  <c r="C25" i="15"/>
  <c r="D25" i="15" s="1"/>
  <c r="E25" i="15" s="1"/>
  <c r="C29" i="15"/>
  <c r="D29" i="15" s="1"/>
  <c r="E29" i="15" s="1"/>
  <c r="C33" i="15"/>
  <c r="D33" i="15" s="1"/>
  <c r="E33" i="15" s="1"/>
  <c r="C11" i="14"/>
  <c r="D11" i="14" s="1"/>
  <c r="E11" i="14" s="1"/>
  <c r="C35" i="14"/>
  <c r="D35" i="14" s="1"/>
  <c r="E35" i="14" s="1"/>
  <c r="C13" i="14"/>
  <c r="D13" i="14" s="1"/>
  <c r="E13" i="14" s="1"/>
  <c r="C37" i="14"/>
  <c r="D37" i="14" s="1"/>
  <c r="E37" i="14" s="1"/>
  <c r="C15" i="14"/>
  <c r="D15" i="14" s="1"/>
  <c r="E15" i="14" s="1"/>
  <c r="C39" i="14"/>
  <c r="D39" i="14" s="1"/>
  <c r="E39" i="14" s="1"/>
  <c r="C17" i="14"/>
  <c r="D17" i="14" s="1"/>
  <c r="E17" i="14" s="1"/>
  <c r="C19" i="14"/>
  <c r="D19" i="14" s="1"/>
  <c r="E19" i="14" s="1"/>
  <c r="C21" i="14"/>
  <c r="D21" i="14" s="1"/>
  <c r="E21" i="14" s="1"/>
  <c r="C23" i="14"/>
  <c r="D23" i="14" s="1"/>
  <c r="E23" i="14" s="1"/>
  <c r="C25" i="14"/>
  <c r="D25" i="14" s="1"/>
  <c r="E25" i="14" s="1"/>
  <c r="C5" i="14"/>
  <c r="D5" i="14" s="1"/>
  <c r="E5" i="14" s="1"/>
  <c r="C27" i="14"/>
  <c r="D27" i="14" s="1"/>
  <c r="E27" i="14" s="1"/>
  <c r="C29" i="14"/>
  <c r="D29" i="14" s="1"/>
  <c r="E29" i="14" s="1"/>
  <c r="C7" i="14"/>
  <c r="D7" i="14" s="1"/>
  <c r="E7" i="14" s="1"/>
  <c r="C31" i="14"/>
  <c r="D31" i="14" s="1"/>
  <c r="E31" i="14" s="1"/>
  <c r="C9" i="14"/>
  <c r="D9" i="14" s="1"/>
  <c r="E9" i="14" s="1"/>
  <c r="C33" i="14"/>
  <c r="D33" i="14" s="1"/>
  <c r="E33" i="14" s="1"/>
  <c r="C16" i="13"/>
  <c r="D16" i="13" s="1"/>
  <c r="E16" i="13" s="1"/>
  <c r="C32" i="13"/>
  <c r="D32" i="13" s="1"/>
  <c r="E32" i="13" s="1"/>
  <c r="C17" i="13"/>
  <c r="D17" i="13" s="1"/>
  <c r="E17" i="13" s="1"/>
  <c r="C33" i="13"/>
  <c r="D33" i="13" s="1"/>
  <c r="E33" i="13" s="1"/>
  <c r="C1" i="13"/>
  <c r="D1" i="13" s="1"/>
  <c r="E1" i="13" s="1"/>
  <c r="C18" i="13"/>
  <c r="D18" i="13" s="1"/>
  <c r="E18" i="13" s="1"/>
  <c r="C34" i="13"/>
  <c r="D34" i="13" s="1"/>
  <c r="E34" i="13" s="1"/>
  <c r="C3" i="13"/>
  <c r="D3" i="13" s="1"/>
  <c r="E3" i="13" s="1"/>
  <c r="C20" i="13"/>
  <c r="D20" i="13" s="1"/>
  <c r="E20" i="13" s="1"/>
  <c r="C36" i="13"/>
  <c r="D36" i="13" s="1"/>
  <c r="E36" i="13" s="1"/>
  <c r="C21" i="13"/>
  <c r="D21" i="13" s="1"/>
  <c r="E21" i="13" s="1"/>
  <c r="C37" i="13"/>
  <c r="D37" i="13" s="1"/>
  <c r="E37" i="13" s="1"/>
  <c r="C6" i="13"/>
  <c r="D6" i="13" s="1"/>
  <c r="E6" i="13" s="1"/>
  <c r="C22" i="13"/>
  <c r="D22" i="13" s="1"/>
  <c r="E22" i="13" s="1"/>
  <c r="C38" i="13"/>
  <c r="D38" i="13" s="1"/>
  <c r="E38" i="13" s="1"/>
  <c r="C8" i="13"/>
  <c r="D8" i="13" s="1"/>
  <c r="E8" i="13" s="1"/>
  <c r="C24" i="13"/>
  <c r="D24" i="13" s="1"/>
  <c r="E24" i="13" s="1"/>
  <c r="C40" i="13"/>
  <c r="D40" i="13" s="1"/>
  <c r="E40" i="13" s="1"/>
  <c r="C9" i="13"/>
  <c r="D9" i="13" s="1"/>
  <c r="E9" i="13" s="1"/>
  <c r="C25" i="13"/>
  <c r="D25" i="13" s="1"/>
  <c r="E25" i="13" s="1"/>
  <c r="C10" i="13"/>
  <c r="D10" i="13" s="1"/>
  <c r="E10" i="13" s="1"/>
  <c r="C26" i="13"/>
  <c r="D26" i="13" s="1"/>
  <c r="E26" i="13" s="1"/>
  <c r="C12" i="13"/>
  <c r="D12" i="13" s="1"/>
  <c r="E12" i="13" s="1"/>
  <c r="C28" i="13"/>
  <c r="D28" i="13" s="1"/>
  <c r="E28" i="13" s="1"/>
  <c r="C13" i="13"/>
  <c r="D13" i="13" s="1"/>
  <c r="E13" i="13" s="1"/>
  <c r="C29" i="13"/>
  <c r="D29" i="13" s="1"/>
  <c r="E29" i="13" s="1"/>
  <c r="C14" i="13"/>
  <c r="D14" i="13" s="1"/>
  <c r="E14" i="13" s="1"/>
  <c r="C30" i="13"/>
  <c r="D30" i="13" s="1"/>
  <c r="E30" i="13" s="1"/>
  <c r="C13" i="12"/>
  <c r="D13" i="12" s="1"/>
  <c r="E13" i="12" s="1"/>
  <c r="C37" i="12"/>
  <c r="D37" i="12" s="1"/>
  <c r="E37" i="12" s="1"/>
  <c r="C14" i="12"/>
  <c r="D14" i="12" s="1"/>
  <c r="E14" i="12" s="1"/>
  <c r="C38" i="12"/>
  <c r="D38" i="12" s="1"/>
  <c r="E38" i="12" s="1"/>
  <c r="C17" i="12"/>
  <c r="D17" i="12" s="1"/>
  <c r="E17" i="12" s="1"/>
  <c r="C18" i="12"/>
  <c r="D18" i="12" s="1"/>
  <c r="E18" i="12" s="1"/>
  <c r="C21" i="12"/>
  <c r="D21" i="12" s="1"/>
  <c r="E21" i="12" s="1"/>
  <c r="C22" i="12"/>
  <c r="D22" i="12" s="1"/>
  <c r="E22" i="12" s="1"/>
  <c r="C25" i="12"/>
  <c r="D25" i="12" s="1"/>
  <c r="E25" i="12" s="1"/>
  <c r="C1" i="12"/>
  <c r="D1" i="12" s="1"/>
  <c r="E1" i="12" s="1"/>
  <c r="C26" i="12"/>
  <c r="D26" i="12" s="1"/>
  <c r="E26" i="12" s="1"/>
  <c r="C29" i="12"/>
  <c r="D29" i="12" s="1"/>
  <c r="E29" i="12" s="1"/>
  <c r="C6" i="12"/>
  <c r="D6" i="12" s="1"/>
  <c r="E6" i="12" s="1"/>
  <c r="C30" i="12"/>
  <c r="D30" i="12" s="1"/>
  <c r="E30" i="12" s="1"/>
  <c r="C9" i="12"/>
  <c r="D9" i="12" s="1"/>
  <c r="E9" i="12" s="1"/>
  <c r="C33" i="12"/>
  <c r="D33" i="12" s="1"/>
  <c r="E33" i="12" s="1"/>
  <c r="C10" i="12"/>
  <c r="D10" i="12" s="1"/>
  <c r="E10" i="12" s="1"/>
  <c r="C34" i="12"/>
  <c r="D34" i="12" s="1"/>
  <c r="E34" i="12" s="1"/>
  <c r="C10" i="11"/>
  <c r="D10" i="11" s="1"/>
  <c r="E10" i="11" s="1"/>
  <c r="C21" i="11"/>
  <c r="D21" i="11" s="1"/>
  <c r="E21" i="11" s="1"/>
  <c r="C26" i="11"/>
  <c r="D26" i="11" s="1"/>
  <c r="E26" i="11" s="1"/>
  <c r="C12" i="11"/>
  <c r="D12" i="11" s="1"/>
  <c r="E12" i="11" s="1"/>
  <c r="C29" i="11"/>
  <c r="D29" i="11" s="1"/>
  <c r="E29" i="11" s="1"/>
  <c r="C30" i="11"/>
  <c r="D30" i="11" s="1"/>
  <c r="E30" i="11" s="1"/>
  <c r="C13" i="11"/>
  <c r="D13" i="11" s="1"/>
  <c r="E13" i="11" s="1"/>
  <c r="C33" i="11"/>
  <c r="D33" i="11" s="1"/>
  <c r="E33" i="11" s="1"/>
  <c r="C14" i="11"/>
  <c r="D14" i="11" s="1"/>
  <c r="E14" i="11" s="1"/>
  <c r="C34" i="11"/>
  <c r="D34" i="11" s="1"/>
  <c r="E34" i="11" s="1"/>
  <c r="C16" i="11"/>
  <c r="D16" i="11" s="1"/>
  <c r="E16" i="11" s="1"/>
  <c r="C37" i="11"/>
  <c r="D37" i="11" s="1"/>
  <c r="E37" i="11" s="1"/>
  <c r="C1" i="11"/>
  <c r="D1" i="11" s="1"/>
  <c r="E1" i="11" s="1"/>
  <c r="C38" i="11"/>
  <c r="D38" i="11" s="1"/>
  <c r="E38" i="11" s="1"/>
  <c r="C17" i="11"/>
  <c r="D17" i="11" s="1"/>
  <c r="E17" i="11" s="1"/>
  <c r="C6" i="11"/>
  <c r="D6" i="11" s="1"/>
  <c r="E6" i="11" s="1"/>
  <c r="C18" i="11"/>
  <c r="D18" i="11" s="1"/>
  <c r="E18" i="11" s="1"/>
  <c r="C8" i="11"/>
  <c r="D8" i="11" s="1"/>
  <c r="E8" i="11" s="1"/>
  <c r="C22" i="11"/>
  <c r="D22" i="11" s="1"/>
  <c r="E22" i="11" s="1"/>
  <c r="C9" i="11"/>
  <c r="D9" i="11" s="1"/>
  <c r="E9" i="11" s="1"/>
  <c r="C25" i="11"/>
  <c r="D25" i="11" s="1"/>
  <c r="E25" i="11" s="1"/>
  <c r="C2" i="10"/>
  <c r="D2" i="10" s="1"/>
  <c r="E2" i="10" s="1"/>
  <c r="C23" i="10"/>
  <c r="D23" i="10" s="1"/>
  <c r="E23" i="10" s="1"/>
  <c r="C26" i="10"/>
  <c r="D26" i="10" s="1"/>
  <c r="E26" i="10" s="1"/>
  <c r="C4" i="10"/>
  <c r="D4" i="10" s="1"/>
  <c r="E4" i="10" s="1"/>
  <c r="C27" i="10"/>
  <c r="D27" i="10" s="1"/>
  <c r="E27" i="10" s="1"/>
  <c r="C6" i="10"/>
  <c r="D6" i="10" s="1"/>
  <c r="E6" i="10" s="1"/>
  <c r="C31" i="10"/>
  <c r="D31" i="10" s="1"/>
  <c r="E31" i="10" s="1"/>
  <c r="C7" i="10"/>
  <c r="D7" i="10" s="1"/>
  <c r="E7" i="10" s="1"/>
  <c r="C35" i="10"/>
  <c r="D35" i="10" s="1"/>
  <c r="E35" i="10" s="1"/>
  <c r="C10" i="10"/>
  <c r="D10" i="10" s="1"/>
  <c r="E10" i="10" s="1"/>
  <c r="C39" i="10"/>
  <c r="D39" i="10" s="1"/>
  <c r="E39" i="10" s="1"/>
  <c r="C11" i="10"/>
  <c r="D11" i="10" s="1"/>
  <c r="E11" i="10" s="1"/>
  <c r="C14" i="10"/>
  <c r="D14" i="10" s="1"/>
  <c r="E14" i="10" s="1"/>
  <c r="C15" i="10"/>
  <c r="D15" i="10" s="1"/>
  <c r="E15" i="10" s="1"/>
  <c r="C18" i="10"/>
  <c r="D18" i="10" s="1"/>
  <c r="E18" i="10" s="1"/>
  <c r="C19" i="10"/>
  <c r="D19" i="10" s="1"/>
  <c r="E19" i="10" s="1"/>
  <c r="C22" i="10"/>
  <c r="D22" i="10" s="1"/>
  <c r="E22" i="10" s="1"/>
  <c r="C17" i="9"/>
  <c r="D17" i="9" s="1"/>
  <c r="E17" i="9" s="1"/>
  <c r="C26" i="9"/>
  <c r="D26" i="9" s="1"/>
  <c r="E26" i="9" s="1"/>
  <c r="C18" i="9"/>
  <c r="D18" i="9" s="1"/>
  <c r="E18" i="9" s="1"/>
  <c r="C21" i="9"/>
  <c r="D21" i="9" s="1"/>
  <c r="E21" i="9" s="1"/>
  <c r="C22" i="9"/>
  <c r="D22" i="9" s="1"/>
  <c r="E22" i="9" s="1"/>
  <c r="C25" i="9"/>
  <c r="D25" i="9" s="1"/>
  <c r="E25" i="9" s="1"/>
  <c r="C4" i="9"/>
  <c r="D4" i="9" s="1"/>
  <c r="E4" i="9" s="1"/>
  <c r="C29" i="9"/>
  <c r="D29" i="9" s="1"/>
  <c r="E29" i="9" s="1"/>
  <c r="C6" i="9"/>
  <c r="D6" i="9" s="1"/>
  <c r="E6" i="9" s="1"/>
  <c r="C30" i="9"/>
  <c r="D30" i="9" s="1"/>
  <c r="E30" i="9" s="1"/>
  <c r="C9" i="9"/>
  <c r="D9" i="9" s="1"/>
  <c r="E9" i="9" s="1"/>
  <c r="C33" i="9"/>
  <c r="D33" i="9" s="1"/>
  <c r="E33" i="9" s="1"/>
  <c r="C10" i="9"/>
  <c r="D10" i="9" s="1"/>
  <c r="E10" i="9" s="1"/>
  <c r="C34" i="9"/>
  <c r="D34" i="9" s="1"/>
  <c r="E34" i="9" s="1"/>
  <c r="C13" i="9"/>
  <c r="D13" i="9" s="1"/>
  <c r="E13" i="9" s="1"/>
  <c r="C37" i="9"/>
  <c r="D37" i="9" s="1"/>
  <c r="E37" i="9" s="1"/>
  <c r="C14" i="9"/>
  <c r="D14" i="9" s="1"/>
  <c r="E14" i="9" s="1"/>
  <c r="C38" i="9"/>
  <c r="D38" i="9" s="1"/>
  <c r="E38" i="9" s="1"/>
  <c r="C20" i="8"/>
  <c r="D20" i="8" s="1"/>
  <c r="E20" i="8" s="1"/>
  <c r="C1" i="8"/>
  <c r="D1" i="8" s="1"/>
  <c r="E1" i="8" s="1"/>
  <c r="C21" i="8"/>
  <c r="D21" i="8" s="1"/>
  <c r="E21" i="8" s="1"/>
  <c r="C33" i="8"/>
  <c r="D33" i="8" s="1"/>
  <c r="E33" i="8" s="1"/>
  <c r="C6" i="8"/>
  <c r="D6" i="8" s="1"/>
  <c r="E6" i="8" s="1"/>
  <c r="C22" i="8"/>
  <c r="D22" i="8" s="1"/>
  <c r="E22" i="8" s="1"/>
  <c r="C34" i="8"/>
  <c r="D34" i="8" s="1"/>
  <c r="E34" i="8" s="1"/>
  <c r="C8" i="8"/>
  <c r="D8" i="8" s="1"/>
  <c r="E8" i="8" s="1"/>
  <c r="C24" i="8"/>
  <c r="D24" i="8" s="1"/>
  <c r="E24" i="8" s="1"/>
  <c r="C37" i="8"/>
  <c r="D37" i="8" s="1"/>
  <c r="E37" i="8" s="1"/>
  <c r="C9" i="8"/>
  <c r="D9" i="8" s="1"/>
  <c r="E9" i="8" s="1"/>
  <c r="C38" i="8"/>
  <c r="D38" i="8" s="1"/>
  <c r="E38" i="8" s="1"/>
  <c r="C10" i="8"/>
  <c r="D10" i="8" s="1"/>
  <c r="E10" i="8" s="1"/>
  <c r="C25" i="8"/>
  <c r="D25" i="8" s="1"/>
  <c r="E25" i="8" s="1"/>
  <c r="C12" i="8"/>
  <c r="D12" i="8" s="1"/>
  <c r="E12" i="8" s="1"/>
  <c r="C26" i="8"/>
  <c r="D26" i="8" s="1"/>
  <c r="E26" i="8" s="1"/>
  <c r="C13" i="8"/>
  <c r="D13" i="8" s="1"/>
  <c r="E13" i="8" s="1"/>
  <c r="C28" i="8"/>
  <c r="D28" i="8" s="1"/>
  <c r="E28" i="8" s="1"/>
  <c r="C14" i="8"/>
  <c r="D14" i="8" s="1"/>
  <c r="E14" i="8" s="1"/>
  <c r="C16" i="8"/>
  <c r="D16" i="8" s="1"/>
  <c r="E16" i="8" s="1"/>
  <c r="C29" i="8"/>
  <c r="D29" i="8" s="1"/>
  <c r="E29" i="8" s="1"/>
  <c r="C17" i="8"/>
  <c r="D17" i="8" s="1"/>
  <c r="E17" i="8" s="1"/>
  <c r="C30" i="8"/>
  <c r="D30" i="8" s="1"/>
  <c r="E30" i="8" s="1"/>
  <c r="C18" i="8"/>
  <c r="D18" i="8" s="1"/>
  <c r="E18" i="8" s="1"/>
  <c r="C32" i="8"/>
  <c r="D32" i="8" s="1"/>
  <c r="E32" i="8" s="1"/>
  <c r="C9" i="7"/>
  <c r="D9" i="7" s="1"/>
  <c r="E9" i="7" s="1"/>
  <c r="C10" i="7"/>
  <c r="D10" i="7" s="1"/>
  <c r="E10" i="7" s="1"/>
  <c r="C25" i="7"/>
  <c r="D25" i="7" s="1"/>
  <c r="E25" i="7" s="1"/>
  <c r="C26" i="7"/>
  <c r="D26" i="7" s="1"/>
  <c r="E26" i="7" s="1"/>
  <c r="C13" i="7"/>
  <c r="D13" i="7" s="1"/>
  <c r="E13" i="7" s="1"/>
  <c r="C29" i="7"/>
  <c r="D29" i="7" s="1"/>
  <c r="E29" i="7" s="1"/>
  <c r="C14" i="7"/>
  <c r="D14" i="7" s="1"/>
  <c r="E14" i="7" s="1"/>
  <c r="C30" i="7"/>
  <c r="D30" i="7" s="1"/>
  <c r="E30" i="7" s="1"/>
  <c r="C17" i="7"/>
  <c r="D17" i="7" s="1"/>
  <c r="E17" i="7" s="1"/>
  <c r="C33" i="7"/>
  <c r="D33" i="7" s="1"/>
  <c r="E33" i="7" s="1"/>
  <c r="C1" i="7"/>
  <c r="D1" i="7" s="1"/>
  <c r="E1" i="7" s="1"/>
  <c r="C18" i="7"/>
  <c r="D18" i="7" s="1"/>
  <c r="E18" i="7" s="1"/>
  <c r="C34" i="7"/>
  <c r="D34" i="7" s="1"/>
  <c r="E34" i="7" s="1"/>
  <c r="C3" i="7"/>
  <c r="D3" i="7" s="1"/>
  <c r="E3" i="7" s="1"/>
  <c r="C21" i="7"/>
  <c r="D21" i="7" s="1"/>
  <c r="E21" i="7" s="1"/>
  <c r="C37" i="7"/>
  <c r="D37" i="7" s="1"/>
  <c r="E37" i="7" s="1"/>
  <c r="C6" i="7"/>
  <c r="D6" i="7" s="1"/>
  <c r="E6" i="7" s="1"/>
  <c r="C22" i="7"/>
  <c r="D22" i="7" s="1"/>
  <c r="E22" i="7" s="1"/>
  <c r="C38" i="7"/>
  <c r="D38" i="7" s="1"/>
  <c r="E38" i="7" s="1"/>
  <c r="C9" i="6"/>
  <c r="D9" i="6" s="1"/>
  <c r="E9" i="6" s="1"/>
  <c r="C21" i="6"/>
  <c r="D21" i="6" s="1"/>
  <c r="E21" i="6" s="1"/>
  <c r="C33" i="6"/>
  <c r="D33" i="6" s="1"/>
  <c r="E33" i="6" s="1"/>
  <c r="C10" i="6"/>
  <c r="D10" i="6" s="1"/>
  <c r="E10" i="6" s="1"/>
  <c r="C22" i="6"/>
  <c r="D22" i="6" s="1"/>
  <c r="E22" i="6" s="1"/>
  <c r="C34" i="6"/>
  <c r="D34" i="6" s="1"/>
  <c r="E34" i="6" s="1"/>
  <c r="C12" i="6"/>
  <c r="D12" i="6" s="1"/>
  <c r="E12" i="6" s="1"/>
  <c r="C24" i="6"/>
  <c r="D24" i="6" s="1"/>
  <c r="E24" i="6" s="1"/>
  <c r="C36" i="6"/>
  <c r="D36" i="6" s="1"/>
  <c r="E36" i="6" s="1"/>
  <c r="C13" i="6"/>
  <c r="D13" i="6" s="1"/>
  <c r="E13" i="6" s="1"/>
  <c r="C25" i="6"/>
  <c r="D25" i="6" s="1"/>
  <c r="E25" i="6" s="1"/>
  <c r="C37" i="6"/>
  <c r="D37" i="6" s="1"/>
  <c r="E37" i="6" s="1"/>
  <c r="C14" i="6"/>
  <c r="D14" i="6" s="1"/>
  <c r="E14" i="6" s="1"/>
  <c r="C26" i="6"/>
  <c r="D26" i="6" s="1"/>
  <c r="E26" i="6" s="1"/>
  <c r="C38" i="6"/>
  <c r="D38" i="6" s="1"/>
  <c r="E38" i="6" s="1"/>
  <c r="C1" i="6"/>
  <c r="D1" i="6" s="1"/>
  <c r="E1" i="6" s="1"/>
  <c r="C16" i="6"/>
  <c r="D16" i="6" s="1"/>
  <c r="E16" i="6" s="1"/>
  <c r="C28" i="6"/>
  <c r="D28" i="6" s="1"/>
  <c r="E28" i="6" s="1"/>
  <c r="C3" i="6"/>
  <c r="D3" i="6" s="1"/>
  <c r="E3" i="6" s="1"/>
  <c r="C17" i="6"/>
  <c r="D17" i="6" s="1"/>
  <c r="E17" i="6" s="1"/>
  <c r="C29" i="6"/>
  <c r="D29" i="6" s="1"/>
  <c r="E29" i="6" s="1"/>
  <c r="C6" i="6"/>
  <c r="D6" i="6" s="1"/>
  <c r="E6" i="6" s="1"/>
  <c r="C18" i="6"/>
  <c r="D18" i="6" s="1"/>
  <c r="E18" i="6" s="1"/>
  <c r="C30" i="6"/>
  <c r="D30" i="6" s="1"/>
  <c r="E30" i="6" s="1"/>
  <c r="C8" i="6"/>
  <c r="D8" i="6" s="1"/>
  <c r="E8" i="6" s="1"/>
  <c r="C20" i="6"/>
  <c r="D20" i="6" s="1"/>
  <c r="E20" i="6" s="1"/>
  <c r="C32" i="6"/>
  <c r="D32" i="6" s="1"/>
  <c r="E32" i="6" s="1"/>
  <c r="C2" i="5"/>
  <c r="D2" i="5" s="1"/>
  <c r="E2" i="5" s="1"/>
  <c r="C19" i="5"/>
  <c r="D19" i="5" s="1"/>
  <c r="E19" i="5" s="1"/>
  <c r="C35" i="5"/>
  <c r="D35" i="5" s="1"/>
  <c r="E35" i="5" s="1"/>
  <c r="C16" i="5"/>
  <c r="D16" i="5" s="1"/>
  <c r="E16" i="5" s="1"/>
  <c r="C32" i="5"/>
  <c r="D32" i="5" s="1"/>
  <c r="E32" i="5" s="1"/>
  <c r="C1" i="5"/>
  <c r="D1" i="5" s="1"/>
  <c r="E1" i="5" s="1"/>
  <c r="C17" i="5"/>
  <c r="D17" i="5" s="1"/>
  <c r="E17" i="5" s="1"/>
  <c r="C33" i="5"/>
  <c r="D33" i="5" s="1"/>
  <c r="E33" i="5" s="1"/>
  <c r="C20" i="5"/>
  <c r="D20" i="5" s="1"/>
  <c r="E20" i="5" s="1"/>
  <c r="C36" i="5"/>
  <c r="D36" i="5" s="1"/>
  <c r="E36" i="5" s="1"/>
  <c r="C21" i="5"/>
  <c r="D21" i="5" s="1"/>
  <c r="E21" i="5" s="1"/>
  <c r="C37" i="5"/>
  <c r="D37" i="5" s="1"/>
  <c r="E37" i="5" s="1"/>
  <c r="C7" i="5"/>
  <c r="D7" i="5" s="1"/>
  <c r="E7" i="5" s="1"/>
  <c r="C23" i="5"/>
  <c r="D23" i="5" s="1"/>
  <c r="E23" i="5" s="1"/>
  <c r="C39" i="5"/>
  <c r="D39" i="5" s="1"/>
  <c r="E39" i="5" s="1"/>
  <c r="C8" i="5"/>
  <c r="D8" i="5" s="1"/>
  <c r="E8" i="5" s="1"/>
  <c r="C24" i="5"/>
  <c r="D24" i="5" s="1"/>
  <c r="E24" i="5" s="1"/>
  <c r="C40" i="5"/>
  <c r="D40" i="5" s="1"/>
  <c r="E40" i="5" s="1"/>
  <c r="C9" i="5"/>
  <c r="D9" i="5" s="1"/>
  <c r="E9" i="5" s="1"/>
  <c r="C25" i="5"/>
  <c r="D25" i="5" s="1"/>
  <c r="E25" i="5" s="1"/>
  <c r="C11" i="5"/>
  <c r="D11" i="5" s="1"/>
  <c r="E11" i="5" s="1"/>
  <c r="C27" i="5"/>
  <c r="D27" i="5" s="1"/>
  <c r="E27" i="5" s="1"/>
  <c r="C12" i="5"/>
  <c r="D12" i="5" s="1"/>
  <c r="E12" i="5" s="1"/>
  <c r="C28" i="5"/>
  <c r="D28" i="5" s="1"/>
  <c r="E28" i="5" s="1"/>
  <c r="C13" i="5"/>
  <c r="D13" i="5" s="1"/>
  <c r="E13" i="5" s="1"/>
  <c r="C29" i="5"/>
  <c r="D29" i="5" s="1"/>
  <c r="E29" i="5" s="1"/>
  <c r="C15" i="5"/>
  <c r="D15" i="5" s="1"/>
  <c r="E15" i="5" s="1"/>
  <c r="C31" i="5"/>
  <c r="D31" i="5" s="1"/>
  <c r="E31" i="5" s="1"/>
  <c r="C39" i="4"/>
  <c r="D39" i="4" s="1"/>
  <c r="E39" i="4" s="1"/>
  <c r="C8" i="4"/>
  <c r="D8" i="4" s="1"/>
  <c r="E8" i="4" s="1"/>
  <c r="C23" i="4"/>
  <c r="D23" i="4" s="1"/>
  <c r="E23" i="4" s="1"/>
  <c r="C26" i="4"/>
  <c r="D26" i="4" s="1"/>
  <c r="E26" i="4" s="1"/>
  <c r="C9" i="4"/>
  <c r="D9" i="4" s="1"/>
  <c r="E9" i="4" s="1"/>
  <c r="C25" i="4"/>
  <c r="D25" i="4" s="1"/>
  <c r="E25" i="4" s="1"/>
  <c r="C11" i="4"/>
  <c r="D11" i="4" s="1"/>
  <c r="E11" i="4" s="1"/>
  <c r="C27" i="4"/>
  <c r="D27" i="4" s="1"/>
  <c r="E27" i="4" s="1"/>
  <c r="C1" i="4"/>
  <c r="D1" i="4" s="1"/>
  <c r="E1" i="4" s="1"/>
  <c r="C13" i="4"/>
  <c r="D13" i="4" s="1"/>
  <c r="E13" i="4" s="1"/>
  <c r="C29" i="4"/>
  <c r="D29" i="4" s="1"/>
  <c r="E29" i="4" s="1"/>
  <c r="C10" i="4"/>
  <c r="D10" i="4" s="1"/>
  <c r="E10" i="4" s="1"/>
  <c r="C3" i="4"/>
  <c r="D3" i="4" s="1"/>
  <c r="E3" i="4" s="1"/>
  <c r="C14" i="4"/>
  <c r="D14" i="4" s="1"/>
  <c r="E14" i="4" s="1"/>
  <c r="C30" i="4"/>
  <c r="D30" i="4" s="1"/>
  <c r="E30" i="4" s="1"/>
  <c r="C15" i="4"/>
  <c r="D15" i="4" s="1"/>
  <c r="E15" i="4" s="1"/>
  <c r="C31" i="4"/>
  <c r="D31" i="4" s="1"/>
  <c r="E31" i="4" s="1"/>
  <c r="C17" i="4"/>
  <c r="D17" i="4" s="1"/>
  <c r="E17" i="4" s="1"/>
  <c r="C33" i="4"/>
  <c r="D33" i="4" s="1"/>
  <c r="E33" i="4" s="1"/>
  <c r="C5" i="4"/>
  <c r="D5" i="4" s="1"/>
  <c r="E5" i="4" s="1"/>
  <c r="C18" i="4"/>
  <c r="D18" i="4" s="1"/>
  <c r="E18" i="4" s="1"/>
  <c r="C34" i="4"/>
  <c r="D34" i="4" s="1"/>
  <c r="E34" i="4" s="1"/>
  <c r="C19" i="4"/>
  <c r="D19" i="4" s="1"/>
  <c r="E19" i="4" s="1"/>
  <c r="C35" i="4"/>
  <c r="D35" i="4" s="1"/>
  <c r="E35" i="4" s="1"/>
  <c r="C6" i="4"/>
  <c r="D6" i="4" s="1"/>
  <c r="E6" i="4" s="1"/>
  <c r="C21" i="4"/>
  <c r="D21" i="4" s="1"/>
  <c r="E21" i="4" s="1"/>
  <c r="C37" i="4"/>
  <c r="D37" i="4" s="1"/>
  <c r="E37" i="4" s="1"/>
  <c r="C7" i="4"/>
  <c r="D7" i="4" s="1"/>
  <c r="E7" i="4" s="1"/>
  <c r="C22" i="4"/>
  <c r="D22" i="4" s="1"/>
  <c r="E22" i="4" s="1"/>
  <c r="C38" i="4"/>
  <c r="D38" i="4" s="1"/>
  <c r="E38" i="4" s="1"/>
  <c r="C10" i="3"/>
  <c r="D10" i="3" s="1"/>
  <c r="E10" i="3" s="1"/>
  <c r="C38" i="3"/>
  <c r="D38" i="3" s="1"/>
  <c r="E38" i="3" s="1"/>
  <c r="C22" i="3"/>
  <c r="D22" i="3" s="1"/>
  <c r="E22" i="3" s="1"/>
  <c r="C8" i="3"/>
  <c r="D8" i="3" s="1"/>
  <c r="E8" i="3" s="1"/>
  <c r="C20" i="3"/>
  <c r="D20" i="3" s="1"/>
  <c r="E20" i="3" s="1"/>
  <c r="C35" i="3"/>
  <c r="D35" i="3" s="1"/>
  <c r="E35" i="3" s="1"/>
  <c r="C9" i="3"/>
  <c r="D9" i="3" s="1"/>
  <c r="E9" i="3" s="1"/>
  <c r="C21" i="3"/>
  <c r="D21" i="3" s="1"/>
  <c r="E21" i="3" s="1"/>
  <c r="C37" i="3"/>
  <c r="D37" i="3" s="1"/>
  <c r="E37" i="3" s="1"/>
  <c r="C11" i="3"/>
  <c r="D11" i="3" s="1"/>
  <c r="E11" i="3" s="1"/>
  <c r="C23" i="3"/>
  <c r="D23" i="3" s="1"/>
  <c r="E23" i="3" s="1"/>
  <c r="C39" i="3"/>
  <c r="D39" i="3" s="1"/>
  <c r="E39" i="3" s="1"/>
  <c r="C12" i="3"/>
  <c r="D12" i="3" s="1"/>
  <c r="E12" i="3" s="1"/>
  <c r="C25" i="3"/>
  <c r="D25" i="3" s="1"/>
  <c r="E25" i="3" s="1"/>
  <c r="C13" i="3"/>
  <c r="D13" i="3" s="1"/>
  <c r="E13" i="3" s="1"/>
  <c r="C26" i="3"/>
  <c r="D26" i="3" s="1"/>
  <c r="E26" i="3" s="1"/>
  <c r="C14" i="3"/>
  <c r="D14" i="3" s="1"/>
  <c r="E14" i="3" s="1"/>
  <c r="C27" i="3"/>
  <c r="D27" i="3" s="1"/>
  <c r="E27" i="3" s="1"/>
  <c r="C29" i="3"/>
  <c r="D29" i="3" s="1"/>
  <c r="E29" i="3" s="1"/>
  <c r="C15" i="3"/>
  <c r="D15" i="3" s="1"/>
  <c r="E15" i="3" s="1"/>
  <c r="C1" i="3"/>
  <c r="D1" i="3" s="1"/>
  <c r="E1" i="3" s="1"/>
  <c r="C16" i="3"/>
  <c r="D16" i="3" s="1"/>
  <c r="E16" i="3" s="1"/>
  <c r="C30" i="3"/>
  <c r="D30" i="3" s="1"/>
  <c r="E30" i="3" s="1"/>
  <c r="C17" i="3"/>
  <c r="D17" i="3" s="1"/>
  <c r="E17" i="3" s="1"/>
  <c r="C31" i="3"/>
  <c r="D31" i="3" s="1"/>
  <c r="E31" i="3" s="1"/>
  <c r="C6" i="3"/>
  <c r="D6" i="3" s="1"/>
  <c r="E6" i="3" s="1"/>
  <c r="C18" i="3"/>
  <c r="D18" i="3" s="1"/>
  <c r="E18" i="3" s="1"/>
  <c r="C33" i="3"/>
  <c r="D33" i="3" s="1"/>
  <c r="E33" i="3" s="1"/>
  <c r="C7" i="3"/>
  <c r="D7" i="3" s="1"/>
  <c r="E7" i="3" s="1"/>
  <c r="C19" i="3"/>
  <c r="D19" i="3" s="1"/>
  <c r="E19" i="3" s="1"/>
  <c r="C34" i="3"/>
  <c r="D34" i="3" s="1"/>
  <c r="E34" i="3" s="1"/>
  <c r="C25" i="2"/>
  <c r="D25" i="2" s="1"/>
  <c r="E25" i="2" s="1"/>
  <c r="C3" i="2"/>
  <c r="D3" i="2" s="1"/>
  <c r="E3" i="2" s="1"/>
  <c r="C26" i="2"/>
  <c r="D26" i="2" s="1"/>
  <c r="E26" i="2" s="1"/>
  <c r="C29" i="2"/>
  <c r="D29" i="2" s="1"/>
  <c r="E29" i="2" s="1"/>
  <c r="C6" i="2"/>
  <c r="D6" i="2" s="1"/>
  <c r="E6" i="2" s="1"/>
  <c r="C30" i="2"/>
  <c r="D30" i="2" s="1"/>
  <c r="E30" i="2" s="1"/>
  <c r="C33" i="2"/>
  <c r="D33" i="2" s="1"/>
  <c r="E33" i="2" s="1"/>
  <c r="C9" i="2"/>
  <c r="D9" i="2" s="1"/>
  <c r="E9" i="2" s="1"/>
  <c r="C10" i="2"/>
  <c r="D10" i="2" s="1"/>
  <c r="E10" i="2" s="1"/>
  <c r="C34" i="2"/>
  <c r="D34" i="2" s="1"/>
  <c r="E34" i="2" s="1"/>
  <c r="C13" i="2"/>
  <c r="D13" i="2" s="1"/>
  <c r="E13" i="2" s="1"/>
  <c r="C37" i="2"/>
  <c r="D37" i="2" s="1"/>
  <c r="E37" i="2" s="1"/>
  <c r="C14" i="2"/>
  <c r="D14" i="2" s="1"/>
  <c r="E14" i="2" s="1"/>
  <c r="C38" i="2"/>
  <c r="D38" i="2" s="1"/>
  <c r="E38" i="2" s="1"/>
  <c r="C17" i="2"/>
  <c r="D17" i="2" s="1"/>
  <c r="E17" i="2" s="1"/>
  <c r="C18" i="2"/>
  <c r="D18" i="2" s="1"/>
  <c r="E18" i="2" s="1"/>
  <c r="C21" i="2"/>
  <c r="D21" i="2" s="1"/>
  <c r="E21" i="2" s="1"/>
  <c r="C22" i="2"/>
  <c r="D22" i="2" s="1"/>
  <c r="E22" i="2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1" i="32"/>
  <c r="D1" i="32" s="1"/>
  <c r="E1" i="32" s="1"/>
  <c r="C2" i="31"/>
  <c r="D2" i="31" s="1"/>
  <c r="E2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1" i="31"/>
  <c r="D1" i="31" s="1"/>
  <c r="E1" i="31" s="1"/>
  <c r="C2" i="30"/>
  <c r="D2" i="30" s="1"/>
  <c r="E2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2" i="29"/>
  <c r="D2" i="29" s="1"/>
  <c r="E2" i="29" s="1"/>
  <c r="C3" i="29"/>
  <c r="D3" i="29" s="1"/>
  <c r="E3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2" i="28"/>
  <c r="D2" i="28" s="1"/>
  <c r="E2" i="28" s="1"/>
  <c r="C6" i="28"/>
  <c r="D6" i="28" s="1"/>
  <c r="E6" i="28" s="1"/>
  <c r="C10" i="28"/>
  <c r="D10" i="28" s="1"/>
  <c r="E10" i="28" s="1"/>
  <c r="C14" i="28"/>
  <c r="D14" i="28" s="1"/>
  <c r="E14" i="28" s="1"/>
  <c r="C18" i="28"/>
  <c r="D18" i="28" s="1"/>
  <c r="E18" i="28" s="1"/>
  <c r="C22" i="28"/>
  <c r="D22" i="28" s="1"/>
  <c r="E22" i="28" s="1"/>
  <c r="C26" i="28"/>
  <c r="D26" i="28" s="1"/>
  <c r="E26" i="28" s="1"/>
  <c r="C30" i="28"/>
  <c r="D30" i="28" s="1"/>
  <c r="E30" i="28" s="1"/>
  <c r="C34" i="28"/>
  <c r="D34" i="28" s="1"/>
  <c r="E34" i="28" s="1"/>
  <c r="C38" i="28"/>
  <c r="D38" i="28" s="1"/>
  <c r="E38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4" i="28"/>
  <c r="D4" i="28" s="1"/>
  <c r="E4" i="28" s="1"/>
  <c r="C2" i="27"/>
  <c r="D2" i="27" s="1"/>
  <c r="E2" i="27" s="1"/>
  <c r="C6" i="27"/>
  <c r="D6" i="27" s="1"/>
  <c r="E6" i="27" s="1"/>
  <c r="C10" i="27"/>
  <c r="D10" i="27" s="1"/>
  <c r="E10" i="27" s="1"/>
  <c r="C14" i="27"/>
  <c r="D14" i="27" s="1"/>
  <c r="E14" i="27" s="1"/>
  <c r="C18" i="27"/>
  <c r="D18" i="27" s="1"/>
  <c r="E18" i="27" s="1"/>
  <c r="C22" i="27"/>
  <c r="D22" i="27" s="1"/>
  <c r="E22" i="27" s="1"/>
  <c r="C26" i="27"/>
  <c r="D26" i="27" s="1"/>
  <c r="E26" i="27" s="1"/>
  <c r="C30" i="27"/>
  <c r="D30" i="27" s="1"/>
  <c r="E30" i="27" s="1"/>
  <c r="C34" i="27"/>
  <c r="D34" i="27" s="1"/>
  <c r="E34" i="27" s="1"/>
  <c r="C38" i="27"/>
  <c r="D38" i="27" s="1"/>
  <c r="E38" i="27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2" i="26"/>
  <c r="D2" i="26" s="1"/>
  <c r="E2" i="26" s="1"/>
  <c r="C3" i="26"/>
  <c r="D3" i="26" s="1"/>
  <c r="E3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40" i="26"/>
  <c r="D40" i="26" s="1"/>
  <c r="E40" i="26" s="1"/>
  <c r="C1" i="26"/>
  <c r="D1" i="26" s="1"/>
  <c r="E1" i="26" s="1"/>
  <c r="C2" i="25"/>
  <c r="D2" i="25" s="1"/>
  <c r="E2" i="25" s="1"/>
  <c r="C3" i="25"/>
  <c r="D3" i="25" s="1"/>
  <c r="E3" i="25" s="1"/>
  <c r="C4" i="25"/>
  <c r="D4" i="25" s="1"/>
  <c r="E4" i="25" s="1"/>
  <c r="C40" i="25"/>
  <c r="D40" i="25" s="1"/>
  <c r="E40" i="25" s="1"/>
  <c r="C2" i="24"/>
  <c r="D2" i="24" s="1"/>
  <c r="E2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36" i="24"/>
  <c r="D36" i="24" s="1"/>
  <c r="E36" i="24" s="1"/>
  <c r="C40" i="24"/>
  <c r="D40" i="24" s="1"/>
  <c r="E40" i="24" s="1"/>
  <c r="C2" i="23"/>
  <c r="D2" i="23" s="1"/>
  <c r="E2" i="23" s="1"/>
  <c r="C6" i="23"/>
  <c r="D6" i="23" s="1"/>
  <c r="E6" i="23" s="1"/>
  <c r="C10" i="23"/>
  <c r="D10" i="23" s="1"/>
  <c r="E10" i="23" s="1"/>
  <c r="C14" i="23"/>
  <c r="D14" i="23" s="1"/>
  <c r="E14" i="23" s="1"/>
  <c r="C18" i="23"/>
  <c r="D18" i="23" s="1"/>
  <c r="E18" i="23" s="1"/>
  <c r="C22" i="23"/>
  <c r="D22" i="23" s="1"/>
  <c r="E22" i="23" s="1"/>
  <c r="C26" i="23"/>
  <c r="D26" i="23" s="1"/>
  <c r="E26" i="23" s="1"/>
  <c r="C30" i="23"/>
  <c r="D30" i="23" s="1"/>
  <c r="E30" i="23" s="1"/>
  <c r="C34" i="23"/>
  <c r="D34" i="23" s="1"/>
  <c r="E34" i="23" s="1"/>
  <c r="C38" i="23"/>
  <c r="D38" i="23" s="1"/>
  <c r="E38" i="23" s="1"/>
  <c r="C3" i="23"/>
  <c r="D3" i="23" s="1"/>
  <c r="E3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2" i="22"/>
  <c r="D2" i="22" s="1"/>
  <c r="E2" i="22" s="1"/>
  <c r="C3" i="22"/>
  <c r="D3" i="22" s="1"/>
  <c r="E3" i="22" s="1"/>
  <c r="C7" i="22"/>
  <c r="D7" i="22" s="1"/>
  <c r="E7" i="22" s="1"/>
  <c r="C11" i="22"/>
  <c r="D11" i="22" s="1"/>
  <c r="E11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1" i="22"/>
  <c r="D31" i="22" s="1"/>
  <c r="E31" i="22" s="1"/>
  <c r="C35" i="22"/>
  <c r="D35" i="22" s="1"/>
  <c r="E35" i="22" s="1"/>
  <c r="C39" i="22"/>
  <c r="D39" i="22" s="1"/>
  <c r="E39" i="22" s="1"/>
  <c r="C4" i="22"/>
  <c r="D4" i="22" s="1"/>
  <c r="E4" i="22" s="1"/>
  <c r="C40" i="22"/>
  <c r="D40" i="22" s="1"/>
  <c r="E40" i="22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4" i="21"/>
  <c r="D4" i="21" s="1"/>
  <c r="E4" i="21" s="1"/>
  <c r="C2" i="20"/>
  <c r="D2" i="20" s="1"/>
  <c r="E2" i="20" s="1"/>
  <c r="C6" i="20"/>
  <c r="D6" i="20" s="1"/>
  <c r="E6" i="20" s="1"/>
  <c r="C10" i="20"/>
  <c r="D10" i="20" s="1"/>
  <c r="E10" i="20" s="1"/>
  <c r="C14" i="20"/>
  <c r="D14" i="20" s="1"/>
  <c r="E14" i="20" s="1"/>
  <c r="C18" i="20"/>
  <c r="D18" i="20" s="1"/>
  <c r="E18" i="20" s="1"/>
  <c r="C22" i="20"/>
  <c r="D22" i="20" s="1"/>
  <c r="E22" i="20" s="1"/>
  <c r="C26" i="20"/>
  <c r="D26" i="20" s="1"/>
  <c r="E26" i="20" s="1"/>
  <c r="C30" i="20"/>
  <c r="D30" i="20" s="1"/>
  <c r="E30" i="20" s="1"/>
  <c r="C34" i="20"/>
  <c r="D34" i="20" s="1"/>
  <c r="E34" i="20" s="1"/>
  <c r="C38" i="20"/>
  <c r="D38" i="20" s="1"/>
  <c r="E38" i="20" s="1"/>
  <c r="C3" i="20"/>
  <c r="D3" i="20" s="1"/>
  <c r="E3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2" i="19"/>
  <c r="D2" i="19" s="1"/>
  <c r="E2" i="19" s="1"/>
  <c r="C3" i="19"/>
  <c r="D3" i="19" s="1"/>
  <c r="E3" i="19" s="1"/>
  <c r="C4" i="19"/>
  <c r="D4" i="19" s="1"/>
  <c r="E4" i="19" s="1"/>
  <c r="C7" i="18"/>
  <c r="D7" i="18" s="1"/>
  <c r="E7" i="18" s="1"/>
  <c r="C11" i="18"/>
  <c r="D11" i="18" s="1"/>
  <c r="E11" i="18" s="1"/>
  <c r="C15" i="18"/>
  <c r="D15" i="18" s="1"/>
  <c r="E15" i="18" s="1"/>
  <c r="C19" i="18"/>
  <c r="D19" i="18" s="1"/>
  <c r="E19" i="18" s="1"/>
  <c r="C23" i="18"/>
  <c r="D23" i="18" s="1"/>
  <c r="E23" i="18" s="1"/>
  <c r="C27" i="18"/>
  <c r="D27" i="18" s="1"/>
  <c r="E27" i="18" s="1"/>
  <c r="C31" i="18"/>
  <c r="D31" i="18" s="1"/>
  <c r="E31" i="18" s="1"/>
  <c r="C35" i="18"/>
  <c r="D35" i="18" s="1"/>
  <c r="E35" i="18" s="1"/>
  <c r="C39" i="18"/>
  <c r="D39" i="18" s="1"/>
  <c r="E39" i="18" s="1"/>
  <c r="C4" i="18"/>
  <c r="D4" i="18" s="1"/>
  <c r="E4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6" i="17"/>
  <c r="D6" i="17" s="1"/>
  <c r="E6" i="17" s="1"/>
  <c r="C10" i="17"/>
  <c r="D10" i="17" s="1"/>
  <c r="E10" i="17" s="1"/>
  <c r="C14" i="17"/>
  <c r="D14" i="17" s="1"/>
  <c r="E14" i="17" s="1"/>
  <c r="C18" i="17"/>
  <c r="D18" i="17" s="1"/>
  <c r="E18" i="17" s="1"/>
  <c r="C22" i="17"/>
  <c r="D22" i="17" s="1"/>
  <c r="E22" i="17" s="1"/>
  <c r="C26" i="17"/>
  <c r="D26" i="17" s="1"/>
  <c r="E26" i="17" s="1"/>
  <c r="C30" i="17"/>
  <c r="D30" i="17" s="1"/>
  <c r="E30" i="17" s="1"/>
  <c r="C34" i="17"/>
  <c r="D34" i="17" s="1"/>
  <c r="E34" i="17" s="1"/>
  <c r="C38" i="17"/>
  <c r="D38" i="17" s="1"/>
  <c r="E38" i="17" s="1"/>
  <c r="C3" i="17"/>
  <c r="D3" i="17" s="1"/>
  <c r="E3" i="17" s="1"/>
  <c r="C7" i="17"/>
  <c r="D7" i="17" s="1"/>
  <c r="E7" i="17" s="1"/>
  <c r="C11" i="17"/>
  <c r="D11" i="17" s="1"/>
  <c r="E11" i="17" s="1"/>
  <c r="C15" i="17"/>
  <c r="D15" i="17" s="1"/>
  <c r="E15" i="17" s="1"/>
  <c r="C19" i="17"/>
  <c r="D19" i="17" s="1"/>
  <c r="E19" i="17" s="1"/>
  <c r="C23" i="17"/>
  <c r="D23" i="17" s="1"/>
  <c r="E23" i="17" s="1"/>
  <c r="C27" i="17"/>
  <c r="D27" i="17" s="1"/>
  <c r="E27" i="17" s="1"/>
  <c r="C31" i="17"/>
  <c r="D31" i="17" s="1"/>
  <c r="E31" i="17" s="1"/>
  <c r="C35" i="17"/>
  <c r="D35" i="17" s="1"/>
  <c r="E35" i="17" s="1"/>
  <c r="C39" i="17"/>
  <c r="D39" i="17" s="1"/>
  <c r="E39" i="17" s="1"/>
  <c r="C4" i="17"/>
  <c r="D4" i="17" s="1"/>
  <c r="E4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40" i="17"/>
  <c r="D40" i="17" s="1"/>
  <c r="E40" i="17" s="1"/>
  <c r="C1" i="17"/>
  <c r="D1" i="17" s="1"/>
  <c r="E1" i="17" s="1"/>
  <c r="C2" i="16"/>
  <c r="D2" i="16" s="1"/>
  <c r="E2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1" i="16"/>
  <c r="D1" i="16" s="1"/>
  <c r="E1" i="16" s="1"/>
  <c r="C2" i="15"/>
  <c r="D2" i="15" s="1"/>
  <c r="E2" i="15" s="1"/>
  <c r="C6" i="15"/>
  <c r="D6" i="15" s="1"/>
  <c r="E6" i="15" s="1"/>
  <c r="C10" i="15"/>
  <c r="D10" i="15" s="1"/>
  <c r="E10" i="15" s="1"/>
  <c r="C14" i="15"/>
  <c r="D14" i="15" s="1"/>
  <c r="E14" i="15" s="1"/>
  <c r="C18" i="15"/>
  <c r="D18" i="15" s="1"/>
  <c r="E18" i="15" s="1"/>
  <c r="C22" i="15"/>
  <c r="D22" i="15" s="1"/>
  <c r="E22" i="15" s="1"/>
  <c r="C26" i="15"/>
  <c r="D26" i="15" s="1"/>
  <c r="E26" i="15" s="1"/>
  <c r="C30" i="15"/>
  <c r="D30" i="15" s="1"/>
  <c r="E30" i="15" s="1"/>
  <c r="C34" i="15"/>
  <c r="D34" i="15" s="1"/>
  <c r="E34" i="15" s="1"/>
  <c r="C38" i="15"/>
  <c r="D38" i="15" s="1"/>
  <c r="E38" i="15" s="1"/>
  <c r="C3" i="15"/>
  <c r="D3" i="15" s="1"/>
  <c r="E3" i="15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35" i="15"/>
  <c r="D35" i="15" s="1"/>
  <c r="E35" i="15" s="1"/>
  <c r="C39" i="15"/>
  <c r="D39" i="15" s="1"/>
  <c r="E39" i="15" s="1"/>
  <c r="C4" i="15"/>
  <c r="D4" i="15" s="1"/>
  <c r="E4" i="15" s="1"/>
  <c r="C12" i="15"/>
  <c r="D12" i="15" s="1"/>
  <c r="E12" i="15" s="1"/>
  <c r="C16" i="15"/>
  <c r="D16" i="15" s="1"/>
  <c r="E16" i="15" s="1"/>
  <c r="C20" i="15"/>
  <c r="D20" i="15" s="1"/>
  <c r="E20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40" i="15"/>
  <c r="D40" i="15" s="1"/>
  <c r="E40" i="15" s="1"/>
  <c r="C1" i="15"/>
  <c r="D1" i="15" s="1"/>
  <c r="E1" i="15" s="1"/>
  <c r="C2" i="14"/>
  <c r="D2" i="14" s="1"/>
  <c r="E2" i="14" s="1"/>
  <c r="C6" i="14"/>
  <c r="D6" i="14" s="1"/>
  <c r="E6" i="14" s="1"/>
  <c r="C10" i="14"/>
  <c r="D10" i="14" s="1"/>
  <c r="E10" i="14" s="1"/>
  <c r="C14" i="14"/>
  <c r="D14" i="14" s="1"/>
  <c r="E14" i="14" s="1"/>
  <c r="C18" i="14"/>
  <c r="D18" i="14" s="1"/>
  <c r="E18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3" i="14"/>
  <c r="D3" i="14" s="1"/>
  <c r="E3" i="14" s="1"/>
  <c r="C4" i="14"/>
  <c r="D4" i="14" s="1"/>
  <c r="E4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2" i="13"/>
  <c r="D2" i="13" s="1"/>
  <c r="E2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2" i="12"/>
  <c r="D2" i="12" s="1"/>
  <c r="E2" i="12" s="1"/>
  <c r="C3" i="12"/>
  <c r="D3" i="12" s="1"/>
  <c r="E3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2" i="11"/>
  <c r="D2" i="11" s="1"/>
  <c r="E2" i="11" s="1"/>
  <c r="C3" i="11"/>
  <c r="D3" i="11" s="1"/>
  <c r="E3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9" i="10"/>
  <c r="D9" i="10" s="1"/>
  <c r="E9" i="10" s="1"/>
  <c r="C13" i="10"/>
  <c r="D13" i="10" s="1"/>
  <c r="E13" i="10" s="1"/>
  <c r="C17" i="10"/>
  <c r="D17" i="10" s="1"/>
  <c r="E17" i="10" s="1"/>
  <c r="C21" i="10"/>
  <c r="D21" i="10" s="1"/>
  <c r="E21" i="10" s="1"/>
  <c r="C25" i="10"/>
  <c r="D25" i="10" s="1"/>
  <c r="E25" i="10" s="1"/>
  <c r="C29" i="10"/>
  <c r="D29" i="10" s="1"/>
  <c r="E29" i="10" s="1"/>
  <c r="C33" i="10"/>
  <c r="D33" i="10" s="1"/>
  <c r="E33" i="10" s="1"/>
  <c r="C37" i="10"/>
  <c r="D37" i="10" s="1"/>
  <c r="E37" i="10" s="1"/>
  <c r="C30" i="10"/>
  <c r="D30" i="10" s="1"/>
  <c r="E30" i="10" s="1"/>
  <c r="C34" i="10"/>
  <c r="D34" i="10" s="1"/>
  <c r="E34" i="10" s="1"/>
  <c r="C38" i="10"/>
  <c r="D38" i="10" s="1"/>
  <c r="E38" i="10" s="1"/>
  <c r="C3" i="10"/>
  <c r="D3" i="10" s="1"/>
  <c r="E3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1" i="10"/>
  <c r="D1" i="10" s="1"/>
  <c r="E1" i="10" s="1"/>
  <c r="C2" i="9"/>
  <c r="D2" i="9" s="1"/>
  <c r="E2" i="9" s="1"/>
  <c r="C3" i="9"/>
  <c r="D3" i="9" s="1"/>
  <c r="E3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2" i="8"/>
  <c r="D2" i="8" s="1"/>
  <c r="E2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36" i="8"/>
  <c r="D36" i="8" s="1"/>
  <c r="E36" i="8" s="1"/>
  <c r="C40" i="8"/>
  <c r="D40" i="8" s="1"/>
  <c r="E40" i="8" s="1"/>
  <c r="C2" i="7"/>
  <c r="D2" i="7" s="1"/>
  <c r="E2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40" i="7"/>
  <c r="D40" i="7" s="1"/>
  <c r="E40" i="7" s="1"/>
  <c r="C2" i="6"/>
  <c r="D2" i="6" s="1"/>
  <c r="E2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4" i="6"/>
  <c r="D4" i="6" s="1"/>
  <c r="E4" i="6" s="1"/>
  <c r="C40" i="6"/>
  <c r="D40" i="6" s="1"/>
  <c r="E40" i="6" s="1"/>
  <c r="C6" i="5"/>
  <c r="D6" i="5" s="1"/>
  <c r="E6" i="5" s="1"/>
  <c r="C10" i="5"/>
  <c r="D10" i="5" s="1"/>
  <c r="E10" i="5" s="1"/>
  <c r="C14" i="5"/>
  <c r="D14" i="5" s="1"/>
  <c r="E14" i="5" s="1"/>
  <c r="C18" i="5"/>
  <c r="D18" i="5" s="1"/>
  <c r="E18" i="5" s="1"/>
  <c r="C22" i="5"/>
  <c r="D22" i="5" s="1"/>
  <c r="E22" i="5" s="1"/>
  <c r="C26" i="5"/>
  <c r="D26" i="5" s="1"/>
  <c r="E26" i="5" s="1"/>
  <c r="C30" i="5"/>
  <c r="D30" i="5" s="1"/>
  <c r="E30" i="5" s="1"/>
  <c r="C34" i="5"/>
  <c r="D34" i="5" s="1"/>
  <c r="E34" i="5" s="1"/>
  <c r="C38" i="5"/>
  <c r="D38" i="5" s="1"/>
  <c r="E38" i="5" s="1"/>
  <c r="C3" i="5"/>
  <c r="D3" i="5" s="1"/>
  <c r="E3" i="5" s="1"/>
  <c r="C4" i="5"/>
  <c r="D4" i="5" s="1"/>
  <c r="E4" i="5" s="1"/>
  <c r="C2" i="4"/>
  <c r="D2" i="4" s="1"/>
  <c r="E2" i="4" s="1"/>
  <c r="C4" i="4"/>
  <c r="D4" i="4" s="1"/>
  <c r="E4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28" i="4"/>
  <c r="D28" i="4" s="1"/>
  <c r="E28" i="4" s="1"/>
  <c r="C32" i="4"/>
  <c r="D32" i="4" s="1"/>
  <c r="E32" i="4" s="1"/>
  <c r="C36" i="4"/>
  <c r="D36" i="4" s="1"/>
  <c r="E36" i="4" s="1"/>
  <c r="C2" i="3"/>
  <c r="D2" i="3" s="1"/>
  <c r="E2" i="3" s="1"/>
  <c r="C3" i="3"/>
  <c r="D3" i="3" s="1"/>
  <c r="E3" i="3" s="1"/>
  <c r="C4" i="3"/>
  <c r="D4" i="3" s="1"/>
  <c r="E4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2" i="2"/>
  <c r="D2" i="2" s="1"/>
  <c r="E2" i="2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4" i="2"/>
  <c r="D4" i="2" s="1"/>
  <c r="E4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C1" i="2"/>
  <c r="D1" i="2" s="1"/>
  <c r="E1" i="2" s="1"/>
  <c r="H5" i="30" l="1"/>
  <c r="H5" i="28"/>
  <c r="H5" i="27"/>
  <c r="H5" i="25"/>
  <c r="H5" i="24"/>
  <c r="H5" i="22"/>
  <c r="H5" i="21"/>
  <c r="H5" i="20"/>
  <c r="H5" i="19"/>
  <c r="H5" i="18"/>
  <c r="H5" i="14"/>
  <c r="H5" i="13"/>
  <c r="H5" i="12"/>
  <c r="H5" i="11"/>
  <c r="H5" i="8"/>
  <c r="H5" i="7"/>
  <c r="H5" i="6"/>
  <c r="H5" i="5"/>
  <c r="H5" i="4"/>
  <c r="H5" i="3"/>
  <c r="H5" i="2"/>
  <c r="H5" i="32"/>
  <c r="H5" i="31"/>
  <c r="H5" i="29"/>
  <c r="H5" i="26"/>
  <c r="H5" i="23"/>
  <c r="H5" i="17"/>
  <c r="H5" i="16"/>
  <c r="H5" i="15"/>
  <c r="H5" i="10"/>
  <c r="H5" i="9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<sst xmlns="http://schemas.openxmlformats.org/spreadsheetml/2006/main" count="93" uniqueCount="3">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</sst>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5AAD-BB08-4EC0-9C07-C9FD94C89C4E}">
  <dimension ref="A1:B31"/>
  <sheetViews>
    <sheetView workbookViewId="0">
      <selection activeCell="B31" sqref="B31"/>
    </sheetView>
  </sheetViews>
  <sheetFormatPr defaultRowHeight="15.75" x14ac:dyDescent="0.25"/>
  <sheetData>
    <row r="1" spans="1:2" x14ac:dyDescent="0.25">
      <c r="A1">
        <v>1E-4</v>
      </c>
      <c r="B1">
        <f>'0.0001'!$H$1</f>
        <v>0.14673002697512882</v>
      </c>
    </row>
    <row r="2" spans="1:2" x14ac:dyDescent="0.25">
      <c r="A2">
        <v>1E-3</v>
      </c>
      <c r="B2">
        <f>'0.001'!$H$1</f>
        <v>0.1544264992439062</v>
      </c>
    </row>
    <row r="3" spans="1:2" x14ac:dyDescent="0.25">
      <c r="A3">
        <v>5.0000000000000001E-3</v>
      </c>
      <c r="B3">
        <f>'0.005'!$H$1</f>
        <v>0.19477196278440767</v>
      </c>
    </row>
    <row r="4" spans="1:2" x14ac:dyDescent="0.25">
      <c r="A4">
        <v>0.01</v>
      </c>
      <c r="B4">
        <f>'0.01'!$H$1</f>
        <v>0.21790044544673656</v>
      </c>
    </row>
    <row r="5" spans="1:2" x14ac:dyDescent="0.25">
      <c r="A5">
        <v>2.5000000000000001E-2</v>
      </c>
      <c r="B5">
        <f>'0.025'!$H$1</f>
        <v>0.27343256249654302</v>
      </c>
    </row>
    <row r="6" spans="1:2" x14ac:dyDescent="0.25">
      <c r="A6">
        <v>0.05</v>
      </c>
      <c r="B6">
        <f>'0.05'!$H$1</f>
        <v>0.33992692870389069</v>
      </c>
    </row>
    <row r="7" spans="1:2" x14ac:dyDescent="0.25">
      <c r="A7">
        <v>7.4999999999999997E-2</v>
      </c>
      <c r="B7">
        <f>'0.075'!$H$1</f>
        <v>0.39566238480556348</v>
      </c>
    </row>
    <row r="8" spans="1:2" x14ac:dyDescent="0.25">
      <c r="A8">
        <v>0.1</v>
      </c>
      <c r="B8">
        <f>'0.1'!$H$1</f>
        <v>0.44229774396907157</v>
      </c>
    </row>
    <row r="9" spans="1:2" x14ac:dyDescent="0.25">
      <c r="A9">
        <v>0.15</v>
      </c>
      <c r="B9">
        <f>'0.15'!$H$1</f>
        <v>0.53145622843836871</v>
      </c>
    </row>
    <row r="10" spans="1:2" x14ac:dyDescent="0.25">
      <c r="A10">
        <v>0.2</v>
      </c>
      <c r="B10">
        <f>'0.2'!$H$1</f>
        <v>0.61531785712288978</v>
      </c>
    </row>
    <row r="11" spans="1:2" x14ac:dyDescent="0.25">
      <c r="A11">
        <v>0.25</v>
      </c>
      <c r="B11">
        <f>'0.25'!$H$1</f>
        <v>0.70211599496766541</v>
      </c>
    </row>
    <row r="12" spans="1:2" x14ac:dyDescent="0.25">
      <c r="A12">
        <v>0.3</v>
      </c>
      <c r="B12">
        <f>'0.3'!$H$1</f>
        <v>0.79201847650322976</v>
      </c>
    </row>
    <row r="13" spans="1:2" x14ac:dyDescent="0.25">
      <c r="A13">
        <v>0.35</v>
      </c>
      <c r="B13">
        <f>'0.35'!$H$1</f>
        <v>0.88626911541679754</v>
      </c>
    </row>
    <row r="14" spans="1:2" x14ac:dyDescent="0.25">
      <c r="A14">
        <v>0.4</v>
      </c>
      <c r="B14">
        <f>'0.4'!$H$1</f>
        <v>0.98897352379483128</v>
      </c>
    </row>
    <row r="15" spans="1:2" x14ac:dyDescent="0.25">
      <c r="A15">
        <v>0.45</v>
      </c>
      <c r="B15">
        <f>'0.45'!$H$1</f>
        <v>1.0979407840646631</v>
      </c>
    </row>
    <row r="16" spans="1:2" x14ac:dyDescent="0.25">
      <c r="A16">
        <v>0.5</v>
      </c>
      <c r="B16">
        <f>'0.5'!$H$1</f>
        <v>1.2166423601983829</v>
      </c>
    </row>
    <row r="17" spans="1:2" x14ac:dyDescent="0.25">
      <c r="A17">
        <v>0.55000000000000004</v>
      </c>
      <c r="B17">
        <f>'0.55'!$H$1</f>
        <v>1.3544776796339488</v>
      </c>
    </row>
    <row r="18" spans="1:2" x14ac:dyDescent="0.25">
      <c r="A18">
        <v>0.6</v>
      </c>
      <c r="B18">
        <f>'0.6'!$H$1</f>
        <v>1.5114342378693837</v>
      </c>
    </row>
    <row r="19" spans="1:2" x14ac:dyDescent="0.25">
      <c r="A19">
        <v>0.65</v>
      </c>
      <c r="B19">
        <f>'0.65'!$H$1</f>
        <v>1.6985655183115047</v>
      </c>
    </row>
    <row r="20" spans="1:2" x14ac:dyDescent="0.25">
      <c r="A20">
        <v>0.7</v>
      </c>
      <c r="B20">
        <f>'0.7'!$H$1</f>
        <v>1.9271751281571285</v>
      </c>
    </row>
    <row r="21" spans="1:2" x14ac:dyDescent="0.25">
      <c r="A21">
        <v>0.75</v>
      </c>
      <c r="B21">
        <f>'0.75'!$H$1</f>
        <v>2.2192261100764106</v>
      </c>
    </row>
    <row r="22" spans="1:2" x14ac:dyDescent="0.25">
      <c r="A22">
        <v>0.8</v>
      </c>
      <c r="B22">
        <f>'0.8'!$H$1</f>
        <v>2.6098225670019453</v>
      </c>
    </row>
    <row r="23" spans="1:2" x14ac:dyDescent="0.25">
      <c r="A23">
        <v>0.85</v>
      </c>
      <c r="B23">
        <f>'0.85'!$H$1</f>
        <v>3.1800094196437048</v>
      </c>
    </row>
    <row r="24" spans="1:2" x14ac:dyDescent="0.25">
      <c r="A24">
        <v>0.9</v>
      </c>
      <c r="B24">
        <f>'0.9'!$H$1</f>
        <v>4.1367119392526357</v>
      </c>
    </row>
    <row r="25" spans="1:2" x14ac:dyDescent="0.25">
      <c r="A25">
        <v>0.92500000000000004</v>
      </c>
      <c r="B25">
        <f>'0.925'!$H$1</f>
        <v>4.9403154299181189</v>
      </c>
    </row>
    <row r="26" spans="1:2" x14ac:dyDescent="0.25">
      <c r="A26">
        <v>0.95</v>
      </c>
      <c r="B26">
        <f>'0.95'!$H$1</f>
        <v>6.3028621867568972</v>
      </c>
    </row>
    <row r="27" spans="1:2" x14ac:dyDescent="0.25">
      <c r="A27">
        <v>0.97499999999999998</v>
      </c>
      <c r="B27">
        <f>'0.975'!$H$1</f>
        <v>9.37736438541822</v>
      </c>
    </row>
    <row r="28" spans="1:2" x14ac:dyDescent="0.25">
      <c r="A28">
        <v>0.99</v>
      </c>
      <c r="B28">
        <f>'0.99'!$H$1</f>
        <v>15.44987324812789</v>
      </c>
    </row>
    <row r="29" spans="1:2" x14ac:dyDescent="0.25">
      <c r="A29">
        <v>0.995</v>
      </c>
      <c r="B29">
        <f>'0.995'!$H$1</f>
        <v>22.32651587028111</v>
      </c>
    </row>
    <row r="30" spans="1:2" x14ac:dyDescent="0.25">
      <c r="A30">
        <v>0.999</v>
      </c>
      <c r="B30">
        <f>'0.999'!$H$1</f>
        <v>51.0016881724735</v>
      </c>
    </row>
    <row r="31" spans="1:2" x14ac:dyDescent="0.25">
      <c r="A31">
        <v>0.99990000000000001</v>
      </c>
      <c r="B31">
        <f>'0.9999'!$H$1</f>
        <v>155.2047135911892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5F72-96A2-407A-A270-04F1F9E679E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4.7653420912500008E-2</v>
      </c>
      <c r="B1">
        <v>0.7181703888103792</v>
      </c>
      <c r="C1">
        <f>$H$3*(1+$H$1)*(A1^($H$1))*EXP(-$H$3*(A1^(1+$H$1)))</f>
        <v>0.67411934153735698</v>
      </c>
      <c r="D1">
        <f>B1-C1</f>
        <v>4.4051047273022226E-2</v>
      </c>
      <c r="E1">
        <f>D1^2</f>
        <v>1.9404947658500388E-3</v>
      </c>
      <c r="G1" t="s">
        <v>0</v>
      </c>
      <c r="H1">
        <v>0.14673002697512882</v>
      </c>
    </row>
    <row r="2" spans="1:8" x14ac:dyDescent="0.25">
      <c r="A2">
        <v>0.1401900807375</v>
      </c>
      <c r="B2">
        <v>0.6998254498341443</v>
      </c>
      <c r="C2">
        <f t="shared" ref="C2:C40" si="0">$H$3*(1+$H$1)*(A2^($H$1))*EXP(-$H$3*(A2^(1+$H$1)))</f>
        <v>0.73597327686858249</v>
      </c>
      <c r="D2">
        <f t="shared" ref="D2:D40" si="1">B2-C2</f>
        <v>-3.6147827034438196E-2</v>
      </c>
      <c r="E2">
        <f t="shared" ref="E2:E40" si="2">D2^2</f>
        <v>1.3066653993116608E-3</v>
      </c>
    </row>
    <row r="3" spans="1:8" x14ac:dyDescent="0.25">
      <c r="A3">
        <v>0.23272674056250001</v>
      </c>
      <c r="B3">
        <v>0.68215995304221444</v>
      </c>
      <c r="C3">
        <f t="shared" si="0"/>
        <v>0.73306469958597997</v>
      </c>
      <c r="D3">
        <f t="shared" si="1"/>
        <v>-5.0904746543765533E-2</v>
      </c>
      <c r="E3">
        <f t="shared" si="2"/>
        <v>2.5912932206850091E-3</v>
      </c>
      <c r="G3" t="s">
        <v>1</v>
      </c>
      <c r="H3">
        <f>(_xlfn.GAMMA((2+$H$1)/(1+$H$1)))^(1+$H$1)</f>
        <v>0.94571649156021809</v>
      </c>
    </row>
    <row r="4" spans="1:8" x14ac:dyDescent="0.25">
      <c r="A4">
        <v>0.32526340038750001</v>
      </c>
      <c r="B4">
        <v>0.65905891877584466</v>
      </c>
      <c r="C4">
        <f t="shared" si="0"/>
        <v>0.70852863733941152</v>
      </c>
      <c r="D4">
        <f t="shared" si="1"/>
        <v>-4.9469718563566856E-2</v>
      </c>
      <c r="E4">
        <f t="shared" si="2"/>
        <v>2.447253054758511E-3</v>
      </c>
    </row>
    <row r="5" spans="1:8" x14ac:dyDescent="0.25">
      <c r="A5">
        <v>0.41780006021250005</v>
      </c>
      <c r="B5">
        <v>0.5979091221883952</v>
      </c>
      <c r="C5">
        <f t="shared" si="0"/>
        <v>0.67396000997407857</v>
      </c>
      <c r="D5">
        <f t="shared" si="1"/>
        <v>-7.6050887785683363E-2</v>
      </c>
      <c r="E5">
        <f t="shared" si="2"/>
        <v>5.7837375329906028E-3</v>
      </c>
      <c r="G5" t="s">
        <v>2</v>
      </c>
      <c r="H5">
        <f>SUM(E1:E40)</f>
        <v>5.2600856665052688E-2</v>
      </c>
    </row>
    <row r="6" spans="1:8" x14ac:dyDescent="0.25">
      <c r="A6">
        <v>0.51033672003749997</v>
      </c>
      <c r="B6">
        <v>0.53540044123233566</v>
      </c>
      <c r="C6">
        <f t="shared" si="0"/>
        <v>0.63452857105546012</v>
      </c>
      <c r="D6">
        <f t="shared" si="1"/>
        <v>-9.9128129823124467E-2</v>
      </c>
      <c r="E6">
        <f t="shared" si="2"/>
        <v>9.8263861222302185E-3</v>
      </c>
    </row>
    <row r="7" spans="1:8" x14ac:dyDescent="0.25">
      <c r="A7">
        <v>0.60287337986249989</v>
      </c>
      <c r="B7">
        <v>0.52792657720498071</v>
      </c>
      <c r="C7">
        <f t="shared" si="0"/>
        <v>0.59303819897998433</v>
      </c>
      <c r="D7">
        <f t="shared" si="1"/>
        <v>-6.5111621775003625E-2</v>
      </c>
      <c r="E7">
        <f t="shared" si="2"/>
        <v>4.2395232901711261E-3</v>
      </c>
    </row>
    <row r="8" spans="1:8" x14ac:dyDescent="0.25">
      <c r="A8">
        <v>0.69541003968750004</v>
      </c>
      <c r="B8">
        <v>0.53743876778525068</v>
      </c>
      <c r="C8">
        <f t="shared" si="0"/>
        <v>0.55116376059908778</v>
      </c>
      <c r="D8">
        <f t="shared" si="1"/>
        <v>-1.37249928138371E-2</v>
      </c>
      <c r="E8">
        <f t="shared" si="2"/>
        <v>1.8837542773988004E-4</v>
      </c>
    </row>
    <row r="9" spans="1:8" x14ac:dyDescent="0.25">
      <c r="A9">
        <v>0.78794669951250007</v>
      </c>
      <c r="B9">
        <v>0.50414610075430588</v>
      </c>
      <c r="C9">
        <f t="shared" si="0"/>
        <v>0.50995455633596531</v>
      </c>
      <c r="D9">
        <f t="shared" si="1"/>
        <v>-5.808455581659433E-3</v>
      </c>
      <c r="E9">
        <f t="shared" si="2"/>
        <v>3.3738156244110621E-5</v>
      </c>
    </row>
    <row r="10" spans="1:8" x14ac:dyDescent="0.25">
      <c r="A10">
        <v>0.88048335933749999</v>
      </c>
      <c r="B10">
        <v>0.43552244013950148</v>
      </c>
      <c r="C10">
        <f t="shared" si="0"/>
        <v>0.4700788823443694</v>
      </c>
      <c r="D10">
        <f t="shared" si="1"/>
        <v>-3.4556442204867921E-2</v>
      </c>
      <c r="E10">
        <f t="shared" si="2"/>
        <v>1.194147697858377E-3</v>
      </c>
    </row>
    <row r="11" spans="1:8" x14ac:dyDescent="0.25">
      <c r="A11">
        <v>0.97302001916250003</v>
      </c>
      <c r="B11">
        <v>0.41989526990048659</v>
      </c>
      <c r="C11">
        <f t="shared" si="0"/>
        <v>0.43195807935801206</v>
      </c>
      <c r="D11">
        <f t="shared" si="1"/>
        <v>-1.206280945752547E-2</v>
      </c>
      <c r="E11">
        <f t="shared" si="2"/>
        <v>1.455113720085659E-4</v>
      </c>
    </row>
    <row r="12" spans="1:8" x14ac:dyDescent="0.25">
      <c r="A12">
        <v>1.0655566789875</v>
      </c>
      <c r="B12">
        <v>0.40970363713591168</v>
      </c>
      <c r="C12">
        <f t="shared" si="0"/>
        <v>0.3958466923078226</v>
      </c>
      <c r="D12">
        <f t="shared" si="1"/>
        <v>1.3856944828089079E-2</v>
      </c>
      <c r="E12">
        <f t="shared" si="2"/>
        <v>1.9201491996870469E-4</v>
      </c>
    </row>
    <row r="13" spans="1:8" x14ac:dyDescent="0.25">
      <c r="A13">
        <v>1.1580933388124999</v>
      </c>
      <c r="B13">
        <v>0.39203814034398182</v>
      </c>
      <c r="C13">
        <f t="shared" si="0"/>
        <v>0.36188360224469179</v>
      </c>
      <c r="D13">
        <f t="shared" si="1"/>
        <v>3.0154538099290029E-2</v>
      </c>
      <c r="E13">
        <f t="shared" si="2"/>
        <v>9.0929616798153393E-4</v>
      </c>
    </row>
    <row r="14" spans="1:8" x14ac:dyDescent="0.25">
      <c r="A14">
        <v>1.2506299986374998</v>
      </c>
      <c r="B14">
        <v>0.34583607181124221</v>
      </c>
      <c r="C14">
        <f t="shared" si="0"/>
        <v>0.33012626222375607</v>
      </c>
      <c r="D14">
        <f t="shared" si="1"/>
        <v>1.5709809587486134E-2</v>
      </c>
      <c r="E14">
        <f t="shared" si="2"/>
        <v>2.4679811727507128E-4</v>
      </c>
    </row>
    <row r="15" spans="1:8" x14ac:dyDescent="0.25">
      <c r="A15">
        <v>1.3431666584624997</v>
      </c>
      <c r="B15">
        <v>0.30914619385877251</v>
      </c>
      <c r="C15">
        <f t="shared" si="0"/>
        <v>0.30057447141459659</v>
      </c>
      <c r="D15">
        <f t="shared" si="1"/>
        <v>8.5717224441759221E-3</v>
      </c>
      <c r="E15">
        <f t="shared" si="2"/>
        <v>7.3474425659989239E-5</v>
      </c>
    </row>
    <row r="16" spans="1:8" x14ac:dyDescent="0.25">
      <c r="A16">
        <v>1.4357033182875001</v>
      </c>
      <c r="B16">
        <v>0.3315677859408373</v>
      </c>
      <c r="C16">
        <f t="shared" si="0"/>
        <v>0.273187339702819</v>
      </c>
      <c r="D16">
        <f t="shared" si="1"/>
        <v>5.8380446238018302E-2</v>
      </c>
      <c r="E16">
        <f t="shared" si="2"/>
        <v>3.4082765029501455E-3</v>
      </c>
    </row>
    <row r="17" spans="1:5" x14ac:dyDescent="0.25">
      <c r="A17">
        <v>1.5282399781125</v>
      </c>
      <c r="B17">
        <v>0.29555735017267259</v>
      </c>
      <c r="C17">
        <f t="shared" si="0"/>
        <v>0.24789563656800931</v>
      </c>
      <c r="D17">
        <f t="shared" si="1"/>
        <v>4.7661713604663286E-2</v>
      </c>
      <c r="E17">
        <f t="shared" si="2"/>
        <v>2.2716389437329454E-3</v>
      </c>
    </row>
    <row r="18" spans="1:5" x14ac:dyDescent="0.25">
      <c r="A18">
        <v>1.6207766379374999</v>
      </c>
      <c r="B18">
        <v>0.26226468314172785</v>
      </c>
      <c r="C18">
        <f t="shared" si="0"/>
        <v>0.22461090653630639</v>
      </c>
      <c r="D18">
        <f t="shared" si="1"/>
        <v>3.7653776605421463E-2</v>
      </c>
      <c r="E18">
        <f t="shared" si="2"/>
        <v>1.4178068926509846E-3</v>
      </c>
    </row>
    <row r="19" spans="1:5" x14ac:dyDescent="0.25">
      <c r="A19">
        <v>1.7133132977624999</v>
      </c>
      <c r="B19">
        <v>0.24459918634979802</v>
      </c>
      <c r="C19">
        <f t="shared" si="0"/>
        <v>0.2032322584617626</v>
      </c>
      <c r="D19">
        <f t="shared" si="1"/>
        <v>4.1366927888035421E-2</v>
      </c>
      <c r="E19">
        <f t="shared" si="2"/>
        <v>1.7112227228939225E-3</v>
      </c>
    </row>
    <row r="20" spans="1:5" x14ac:dyDescent="0.25">
      <c r="A20">
        <v>1.8058499575874998</v>
      </c>
      <c r="B20">
        <v>0.20994763495024329</v>
      </c>
      <c r="C20">
        <f t="shared" si="0"/>
        <v>0.18365144526267924</v>
      </c>
      <c r="D20">
        <f t="shared" si="1"/>
        <v>2.6296189687564059E-2</v>
      </c>
      <c r="E20">
        <f t="shared" si="2"/>
        <v>6.914895920843504E-4</v>
      </c>
    </row>
    <row r="21" spans="1:5" x14ac:dyDescent="0.25">
      <c r="A21">
        <v>1.8983866174125001</v>
      </c>
      <c r="B21">
        <v>0.21062707713454829</v>
      </c>
      <c r="C21">
        <f t="shared" si="0"/>
        <v>0.16575666591943997</v>
      </c>
      <c r="D21">
        <f t="shared" si="1"/>
        <v>4.4870411215108319E-2</v>
      </c>
      <c r="E21">
        <f t="shared" si="2"/>
        <v>2.0133538026129182E-3</v>
      </c>
    </row>
    <row r="22" spans="1:5" x14ac:dyDescent="0.25">
      <c r="A22">
        <v>1.9909232772375003</v>
      </c>
      <c r="B22">
        <v>0.19160269597400845</v>
      </c>
      <c r="C22">
        <f t="shared" si="0"/>
        <v>0.14943539991609736</v>
      </c>
      <c r="D22">
        <f t="shared" si="1"/>
        <v>4.2167296057911086E-2</v>
      </c>
      <c r="E22">
        <f t="shared" si="2"/>
        <v>1.7780808568355238E-3</v>
      </c>
    </row>
    <row r="23" spans="1:5" x14ac:dyDescent="0.25">
      <c r="A23">
        <v>2.0834599370625</v>
      </c>
      <c r="B23">
        <v>0.17733441010360357</v>
      </c>
      <c r="C23">
        <f t="shared" si="0"/>
        <v>0.13457650180218489</v>
      </c>
      <c r="D23">
        <f t="shared" si="1"/>
        <v>4.2757908301418679E-2</v>
      </c>
      <c r="E23">
        <f t="shared" si="2"/>
        <v>1.8282387223125284E-3</v>
      </c>
    </row>
    <row r="24" spans="1:5" x14ac:dyDescent="0.25">
      <c r="A24">
        <v>2.1759965968874999</v>
      </c>
      <c r="B24">
        <v>0.1603483554959787</v>
      </c>
      <c r="C24">
        <f t="shared" si="0"/>
        <v>0.12107172605131024</v>
      </c>
      <c r="D24">
        <f t="shared" si="1"/>
        <v>3.9276629444668462E-2</v>
      </c>
      <c r="E24">
        <f t="shared" si="2"/>
        <v>1.5426536205337977E-3</v>
      </c>
    </row>
    <row r="25" spans="1:5" x14ac:dyDescent="0.25">
      <c r="A25">
        <v>2.2685332567124998</v>
      </c>
      <c r="B25">
        <v>0.14472118525696381</v>
      </c>
      <c r="C25">
        <f t="shared" si="0"/>
        <v>0.10881681135005693</v>
      </c>
      <c r="D25">
        <f t="shared" si="1"/>
        <v>3.5904373906906886E-2</v>
      </c>
      <c r="E25">
        <f t="shared" si="2"/>
        <v>1.2891240656469761E-3</v>
      </c>
    </row>
    <row r="26" spans="1:5" x14ac:dyDescent="0.25">
      <c r="A26">
        <v>2.3610699165374998</v>
      </c>
      <c r="B26">
        <v>0.1345295524923889</v>
      </c>
      <c r="C26">
        <f t="shared" si="0"/>
        <v>9.7712223529213244E-2</v>
      </c>
      <c r="D26">
        <f t="shared" si="1"/>
        <v>3.6817328963175661E-2</v>
      </c>
      <c r="E26">
        <f t="shared" si="2"/>
        <v>1.3555157119826934E-3</v>
      </c>
    </row>
    <row r="27" spans="1:5" x14ac:dyDescent="0.25">
      <c r="A27">
        <v>2.4536065763625006</v>
      </c>
      <c r="B27">
        <v>0.10735186512018913</v>
      </c>
      <c r="C27">
        <f t="shared" si="0"/>
        <v>8.7663634127684756E-2</v>
      </c>
      <c r="D27">
        <f t="shared" si="1"/>
        <v>1.9688230992504371E-2</v>
      </c>
      <c r="E27">
        <f t="shared" si="2"/>
        <v>3.8762643961420964E-4</v>
      </c>
    </row>
    <row r="28" spans="1:5" x14ac:dyDescent="0.25">
      <c r="A28">
        <v>2.5461432361875</v>
      </c>
      <c r="B28">
        <v>9.4442463618394229E-2</v>
      </c>
      <c r="C28">
        <f t="shared" si="0"/>
        <v>7.8582194807594277E-2</v>
      </c>
      <c r="D28">
        <f t="shared" si="1"/>
        <v>1.5860268810799952E-2</v>
      </c>
      <c r="E28">
        <f t="shared" si="2"/>
        <v>2.5154812675083372E-4</v>
      </c>
    </row>
    <row r="29" spans="1:5" x14ac:dyDescent="0.25">
      <c r="A29">
        <v>2.6386798960124995</v>
      </c>
      <c r="B29">
        <v>9.0365810512564274E-2</v>
      </c>
      <c r="C29">
        <f t="shared" si="0"/>
        <v>7.0384655002768984E-2</v>
      </c>
      <c r="D29">
        <f t="shared" si="1"/>
        <v>1.998115550979529E-2</v>
      </c>
      <c r="E29">
        <f t="shared" si="2"/>
        <v>3.9924657550662268E-4</v>
      </c>
    </row>
    <row r="30" spans="1:5" x14ac:dyDescent="0.25">
      <c r="A30">
        <v>2.7312165558374999</v>
      </c>
      <c r="B30">
        <v>7.6097524642159381E-2</v>
      </c>
      <c r="C30">
        <f t="shared" si="0"/>
        <v>6.2993360240800156E-2</v>
      </c>
      <c r="D30">
        <f t="shared" si="1"/>
        <v>1.3104164401359225E-2</v>
      </c>
      <c r="E30">
        <f t="shared" si="2"/>
        <v>1.7171912465785037E-4</v>
      </c>
    </row>
    <row r="31" spans="1:5" x14ac:dyDescent="0.25">
      <c r="A31">
        <v>2.8237532156625003</v>
      </c>
      <c r="B31">
        <v>6.0470354403144508E-2</v>
      </c>
      <c r="C31">
        <f t="shared" si="0"/>
        <v>5.6336160800625111E-2</v>
      </c>
      <c r="D31">
        <f t="shared" si="1"/>
        <v>4.1341936025193968E-3</v>
      </c>
      <c r="E31">
        <f t="shared" si="2"/>
        <v>1.7091556743112308E-5</v>
      </c>
    </row>
    <row r="32" spans="1:5" x14ac:dyDescent="0.25">
      <c r="A32">
        <v>2.9162898754875002</v>
      </c>
      <c r="B32">
        <v>5.911147003453452E-2</v>
      </c>
      <c r="C32">
        <f t="shared" si="0"/>
        <v>5.0346254230995466E-2</v>
      </c>
      <c r="D32">
        <f t="shared" si="1"/>
        <v>8.7652158035390546E-3</v>
      </c>
      <c r="E32">
        <f t="shared" si="2"/>
        <v>7.6829008082610799E-5</v>
      </c>
    </row>
    <row r="33" spans="1:5" x14ac:dyDescent="0.25">
      <c r="A33">
        <v>3.0088265353125001</v>
      </c>
      <c r="B33">
        <v>4.5522626348434632E-2</v>
      </c>
      <c r="C33">
        <f t="shared" si="0"/>
        <v>4.4961980380524937E-2</v>
      </c>
      <c r="D33">
        <f t="shared" si="1"/>
        <v>5.6064596790969534E-4</v>
      </c>
      <c r="E33">
        <f t="shared" si="2"/>
        <v>3.1432390133339914E-7</v>
      </c>
    </row>
    <row r="34" spans="1:5" x14ac:dyDescent="0.25">
      <c r="A34">
        <v>3.1013631951375</v>
      </c>
      <c r="B34">
        <v>3.4651551399554718E-2</v>
      </c>
      <c r="C34">
        <f t="shared" si="0"/>
        <v>4.0126583696602568E-2</v>
      </c>
      <c r="D34">
        <f t="shared" si="1"/>
        <v>-5.4750322970478493E-3</v>
      </c>
      <c r="E34">
        <f t="shared" si="2"/>
        <v>2.9975978653717049E-5</v>
      </c>
    </row>
    <row r="35" spans="1:5" x14ac:dyDescent="0.25">
      <c r="A35">
        <v>3.1938998549625</v>
      </c>
      <c r="B35">
        <v>2.9216013925114762E-2</v>
      </c>
      <c r="C35">
        <f t="shared" si="0"/>
        <v>3.57879544278129E-2</v>
      </c>
      <c r="D35">
        <f t="shared" si="1"/>
        <v>-6.5719405026981384E-3</v>
      </c>
      <c r="E35">
        <f t="shared" si="2"/>
        <v>4.3190401971004258E-5</v>
      </c>
    </row>
    <row r="36" spans="1:5" x14ac:dyDescent="0.25">
      <c r="A36">
        <v>3.2864365147874999</v>
      </c>
      <c r="B36">
        <v>2.9216013925114762E-2</v>
      </c>
      <c r="C36">
        <f t="shared" si="0"/>
        <v>3.1898357852553787E-2</v>
      </c>
      <c r="D36">
        <f t="shared" si="1"/>
        <v>-2.6823439274390251E-3</v>
      </c>
      <c r="E36">
        <f t="shared" si="2"/>
        <v>7.1949689450690137E-6</v>
      </c>
    </row>
    <row r="37" spans="1:5" x14ac:dyDescent="0.25">
      <c r="A37">
        <v>3.3789731746125002</v>
      </c>
      <c r="B37">
        <v>1.9703823344844839E-2</v>
      </c>
      <c r="C37">
        <f t="shared" si="0"/>
        <v>2.8414158632065648E-2</v>
      </c>
      <c r="D37">
        <f t="shared" si="1"/>
        <v>-8.7103352872208092E-3</v>
      </c>
      <c r="E37">
        <f t="shared" si="2"/>
        <v>7.5869940815804021E-5</v>
      </c>
    </row>
    <row r="38" spans="1:5" x14ac:dyDescent="0.25">
      <c r="A38">
        <v>3.4715098344374997</v>
      </c>
      <c r="B38">
        <v>1.5627170239014873E-2</v>
      </c>
      <c r="C38">
        <f t="shared" si="0"/>
        <v>2.5295545753155468E-2</v>
      </c>
      <c r="D38">
        <f t="shared" si="1"/>
        <v>-9.6683755141405946E-3</v>
      </c>
      <c r="E38">
        <f t="shared" si="2"/>
        <v>9.3477485082433409E-5</v>
      </c>
    </row>
    <row r="39" spans="1:5" x14ac:dyDescent="0.25">
      <c r="A39">
        <v>3.5640464942624996</v>
      </c>
      <c r="B39">
        <v>6.7944218430499451E-3</v>
      </c>
      <c r="C39">
        <f t="shared" si="0"/>
        <v>2.2506262209084006E-2</v>
      </c>
      <c r="D39">
        <f t="shared" si="1"/>
        <v>-1.5711840366034062E-2</v>
      </c>
      <c r="E39">
        <f t="shared" si="2"/>
        <v>2.4686192768773736E-4</v>
      </c>
    </row>
    <row r="40" spans="1:5" x14ac:dyDescent="0.25">
      <c r="A40">
        <v>3.6565831540874996</v>
      </c>
      <c r="B40">
        <v>6.7944218430499449E-4</v>
      </c>
      <c r="C40">
        <f t="shared" si="0"/>
        <v>2.0013342506541194E-2</v>
      </c>
      <c r="D40">
        <f t="shared" si="1"/>
        <v>-1.9333900322236201E-2</v>
      </c>
      <c r="E40">
        <f t="shared" si="2"/>
        <v>3.7379970167016508E-4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F571-79AE-4A2F-AD65-D94B249C59A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4.5111367100000001E-2</v>
      </c>
      <c r="B1">
        <v>0.68043422700238221</v>
      </c>
      <c r="C1">
        <f>$H$3*(1+$H$1)*(A1^($H$1))*EXP(-$H$3*(A1^(1+$H$1)))</f>
        <v>0.65723856493846933</v>
      </c>
      <c r="D1">
        <f>B1-C1</f>
        <v>2.3195662063912881E-2</v>
      </c>
      <c r="E1">
        <f>D1^2</f>
        <v>5.380387385832472E-4</v>
      </c>
      <c r="G1" t="s">
        <v>0</v>
      </c>
      <c r="H1">
        <v>0.1544264992439062</v>
      </c>
    </row>
    <row r="2" spans="1:8" x14ac:dyDescent="0.25">
      <c r="A2">
        <v>0.1345225273</v>
      </c>
      <c r="B2">
        <v>0.71558062302523251</v>
      </c>
      <c r="C2">
        <f t="shared" ref="C2:C40" si="0">$H$3*(1+$H$1)*(A2^($H$1))*EXP(-$H$3*(A2^(1+$H$1)))</f>
        <v>0.72782232225188004</v>
      </c>
      <c r="D2">
        <f t="shared" ref="D2:D40" si="1">B2-C2</f>
        <v>-1.2241699226647529E-2</v>
      </c>
      <c r="E2">
        <f t="shared" ref="E2:E40" si="2">D2^2</f>
        <v>1.498591999557027E-4</v>
      </c>
    </row>
    <row r="3" spans="1:8" x14ac:dyDescent="0.25">
      <c r="A3">
        <v>0.22393368750000001</v>
      </c>
      <c r="B3">
        <v>0.69308692957060825</v>
      </c>
      <c r="C3">
        <f t="shared" si="0"/>
        <v>0.73084290477114922</v>
      </c>
      <c r="D3">
        <f t="shared" si="1"/>
        <v>-3.775597520054097E-2</v>
      </c>
      <c r="E3">
        <f t="shared" si="2"/>
        <v>1.4255136633438646E-3</v>
      </c>
      <c r="G3" t="s">
        <v>1</v>
      </c>
      <c r="H3">
        <f>(_xlfn.GAMMA((2+$H$1)/(1+$H$1)))^(1+$H$1)</f>
        <v>0.94324083334767983</v>
      </c>
    </row>
    <row r="4" spans="1:8" x14ac:dyDescent="0.25">
      <c r="A4">
        <v>0.31334484769999998</v>
      </c>
      <c r="B4">
        <v>0.67481080363872614</v>
      </c>
      <c r="C4">
        <f t="shared" si="0"/>
        <v>0.71098567062734597</v>
      </c>
      <c r="D4">
        <f t="shared" si="1"/>
        <v>-3.6174866988619825E-2</v>
      </c>
      <c r="E4">
        <f t="shared" si="2"/>
        <v>1.3086210016443364E-3</v>
      </c>
    </row>
    <row r="5" spans="1:8" x14ac:dyDescent="0.25">
      <c r="A5">
        <v>0.40275600789999999</v>
      </c>
      <c r="B5">
        <v>0.60732972327485346</v>
      </c>
      <c r="C5">
        <f t="shared" si="0"/>
        <v>0.68018545779863115</v>
      </c>
      <c r="D5">
        <f t="shared" si="1"/>
        <v>-7.2855734523777693E-2</v>
      </c>
      <c r="E5">
        <f t="shared" si="2"/>
        <v>5.3079580529991725E-3</v>
      </c>
      <c r="G5" t="s">
        <v>2</v>
      </c>
      <c r="H5">
        <f>SUM(E1:E40)</f>
        <v>4.970438199772366E-2</v>
      </c>
    </row>
    <row r="6" spans="1:8" x14ac:dyDescent="0.25">
      <c r="A6">
        <v>0.49216716809999994</v>
      </c>
      <c r="B6">
        <v>0.54617499419509397</v>
      </c>
      <c r="C6">
        <f t="shared" si="0"/>
        <v>0.6437785399551269</v>
      </c>
      <c r="D6">
        <f t="shared" si="1"/>
        <v>-9.7603545760032939E-2</v>
      </c>
      <c r="E6">
        <f t="shared" si="2"/>
        <v>9.5264521449308446E-3</v>
      </c>
    </row>
    <row r="7" spans="1:8" x14ac:dyDescent="0.25">
      <c r="A7">
        <v>0.5815783283</v>
      </c>
      <c r="B7">
        <v>0.52438422866092671</v>
      </c>
      <c r="C7">
        <f t="shared" si="0"/>
        <v>0.60468200671007133</v>
      </c>
      <c r="D7">
        <f t="shared" si="1"/>
        <v>-8.0297778049144619E-2</v>
      </c>
      <c r="E7">
        <f t="shared" si="2"/>
        <v>6.4477331596296912E-3</v>
      </c>
    </row>
    <row r="8" spans="1:8" x14ac:dyDescent="0.25">
      <c r="A8">
        <v>0.67098948849999995</v>
      </c>
      <c r="B8">
        <v>0.52860179618366876</v>
      </c>
      <c r="C8">
        <f t="shared" si="0"/>
        <v>0.56466034453980307</v>
      </c>
      <c r="D8">
        <f t="shared" si="1"/>
        <v>-3.6058548356134312E-2</v>
      </c>
      <c r="E8">
        <f t="shared" si="2"/>
        <v>1.3002189095516765E-3</v>
      </c>
    </row>
    <row r="9" spans="1:8" x14ac:dyDescent="0.25">
      <c r="A9">
        <v>0.7604006486999999</v>
      </c>
      <c r="B9">
        <v>0.53563107538823884</v>
      </c>
      <c r="C9">
        <f t="shared" si="0"/>
        <v>0.52483886096159882</v>
      </c>
      <c r="D9">
        <f t="shared" si="1"/>
        <v>1.0792214426640023E-2</v>
      </c>
      <c r="E9">
        <f t="shared" si="2"/>
        <v>1.1647189223057705E-4</v>
      </c>
    </row>
    <row r="10" spans="1:8" x14ac:dyDescent="0.25">
      <c r="A10">
        <v>0.84981180889999997</v>
      </c>
      <c r="B10">
        <v>0.45057679701294107</v>
      </c>
      <c r="C10">
        <f t="shared" si="0"/>
        <v>0.48595229052760341</v>
      </c>
      <c r="D10">
        <f t="shared" si="1"/>
        <v>-3.5375493514662348E-2</v>
      </c>
      <c r="E10">
        <f t="shared" si="2"/>
        <v>1.2514255414059179E-3</v>
      </c>
    </row>
    <row r="11" spans="1:8" x14ac:dyDescent="0.25">
      <c r="A11">
        <v>0.93922296910000003</v>
      </c>
      <c r="B11">
        <v>0.42527139187648888</v>
      </c>
      <c r="C11">
        <f t="shared" si="0"/>
        <v>0.44848075950328181</v>
      </c>
      <c r="D11">
        <f t="shared" si="1"/>
        <v>-2.3209367626792932E-2</v>
      </c>
      <c r="E11">
        <f t="shared" si="2"/>
        <v>5.3867474563562372E-4</v>
      </c>
    </row>
    <row r="12" spans="1:8" x14ac:dyDescent="0.25">
      <c r="A12">
        <v>1.0286341292999999</v>
      </c>
      <c r="B12">
        <v>0.40840112178552068</v>
      </c>
      <c r="C12">
        <f t="shared" si="0"/>
        <v>0.41273101268622292</v>
      </c>
      <c r="D12">
        <f t="shared" si="1"/>
        <v>-4.3298909007022379E-3</v>
      </c>
      <c r="E12">
        <f t="shared" si="2"/>
        <v>1.8747955211984036E-5</v>
      </c>
    </row>
    <row r="13" spans="1:8" x14ac:dyDescent="0.25">
      <c r="A13">
        <v>1.1180452894999999</v>
      </c>
      <c r="B13">
        <v>0.40910404970597769</v>
      </c>
      <c r="C13">
        <f t="shared" si="0"/>
        <v>0.37888825032314649</v>
      </c>
      <c r="D13">
        <f t="shared" si="1"/>
        <v>3.0215799382831199E-2</v>
      </c>
      <c r="E13">
        <f t="shared" si="2"/>
        <v>9.1299453234350227E-4</v>
      </c>
    </row>
    <row r="14" spans="1:8" x14ac:dyDescent="0.25">
      <c r="A14">
        <v>1.2074564497</v>
      </c>
      <c r="B14">
        <v>0.35989909527398728</v>
      </c>
      <c r="C14">
        <f t="shared" si="0"/>
        <v>0.34705090635138947</v>
      </c>
      <c r="D14">
        <f t="shared" si="1"/>
        <v>1.2848188922597814E-2</v>
      </c>
      <c r="E14">
        <f t="shared" si="2"/>
        <v>1.6507595859076518E-4</v>
      </c>
    </row>
    <row r="15" spans="1:8" x14ac:dyDescent="0.25">
      <c r="A15">
        <v>1.2968676099000001</v>
      </c>
      <c r="B15">
        <v>0.32756441093296496</v>
      </c>
      <c r="C15">
        <f t="shared" si="0"/>
        <v>0.31725488738413266</v>
      </c>
      <c r="D15">
        <f t="shared" si="1"/>
        <v>1.03095235488323E-2</v>
      </c>
      <c r="E15">
        <f t="shared" si="2"/>
        <v>1.0628627580392774E-4</v>
      </c>
    </row>
    <row r="16" spans="1:8" x14ac:dyDescent="0.25">
      <c r="A16">
        <v>1.3862787700999999</v>
      </c>
      <c r="B16">
        <v>0.3184263479670239</v>
      </c>
      <c r="C16">
        <f t="shared" si="0"/>
        <v>0.28949096114890355</v>
      </c>
      <c r="D16">
        <f t="shared" si="1"/>
        <v>2.8935386818120357E-2</v>
      </c>
      <c r="E16">
        <f t="shared" si="2"/>
        <v>8.3725661031425333E-4</v>
      </c>
    </row>
    <row r="17" spans="1:5" x14ac:dyDescent="0.25">
      <c r="A17">
        <v>1.4756899302999997</v>
      </c>
      <c r="B17">
        <v>0.31561463628519587</v>
      </c>
      <c r="C17">
        <f t="shared" si="0"/>
        <v>0.26371750308142256</v>
      </c>
      <c r="D17">
        <f t="shared" si="1"/>
        <v>5.1897133203773316E-2</v>
      </c>
      <c r="E17">
        <f t="shared" si="2"/>
        <v>2.693312434770191E-3</v>
      </c>
    </row>
    <row r="18" spans="1:5" x14ac:dyDescent="0.25">
      <c r="A18">
        <v>1.5651010904999998</v>
      </c>
      <c r="B18">
        <v>0.28679459154645859</v>
      </c>
      <c r="C18">
        <f t="shared" si="0"/>
        <v>0.23986998870071624</v>
      </c>
      <c r="D18">
        <f t="shared" si="1"/>
        <v>4.6924602845742347E-2</v>
      </c>
      <c r="E18">
        <f t="shared" si="2"/>
        <v>2.2019183522306507E-3</v>
      </c>
    </row>
    <row r="19" spans="1:5" x14ac:dyDescent="0.25">
      <c r="A19">
        <v>1.6545122506999999</v>
      </c>
      <c r="B19">
        <v>0.2664096818532054</v>
      </c>
      <c r="C19">
        <f t="shared" si="0"/>
        <v>0.21786814021363862</v>
      </c>
      <c r="D19">
        <f t="shared" si="1"/>
        <v>4.8541541639566782E-2</v>
      </c>
      <c r="E19">
        <f t="shared" si="2"/>
        <v>2.3562812647457956E-3</v>
      </c>
    </row>
    <row r="20" spans="1:5" x14ac:dyDescent="0.25">
      <c r="A20">
        <v>1.7439234108999999</v>
      </c>
      <c r="B20">
        <v>0.22282815078487103</v>
      </c>
      <c r="C20">
        <f t="shared" si="0"/>
        <v>0.19762134357862207</v>
      </c>
      <c r="D20">
        <f t="shared" si="1"/>
        <v>2.520680720624896E-2</v>
      </c>
      <c r="E20">
        <f t="shared" si="2"/>
        <v>6.3538312953300455E-4</v>
      </c>
    </row>
    <row r="21" spans="1:5" x14ac:dyDescent="0.25">
      <c r="A21">
        <v>1.8333345711</v>
      </c>
      <c r="B21">
        <v>0.2094725202961879</v>
      </c>
      <c r="C21">
        <f t="shared" si="0"/>
        <v>0.17903276702838306</v>
      </c>
      <c r="D21">
        <f t="shared" si="1"/>
        <v>3.0439753267804848E-2</v>
      </c>
      <c r="E21">
        <f t="shared" si="2"/>
        <v>9.2657857900483589E-4</v>
      </c>
    </row>
    <row r="22" spans="1:5" x14ac:dyDescent="0.25">
      <c r="A22">
        <v>1.9227457313</v>
      </c>
      <c r="B22">
        <v>0.20876959237573089</v>
      </c>
      <c r="C22">
        <f t="shared" si="0"/>
        <v>0.16200249054037616</v>
      </c>
      <c r="D22">
        <f t="shared" si="1"/>
        <v>4.6767101835354735E-2</v>
      </c>
      <c r="E22">
        <f t="shared" si="2"/>
        <v>2.18716181407844E-3</v>
      </c>
    </row>
    <row r="23" spans="1:5" x14ac:dyDescent="0.25">
      <c r="A23">
        <v>2.0121568915000001</v>
      </c>
      <c r="B23">
        <v>0.18416711515973566</v>
      </c>
      <c r="C23">
        <f t="shared" si="0"/>
        <v>0.14642987355543594</v>
      </c>
      <c r="D23">
        <f t="shared" si="1"/>
        <v>3.7737241604299726E-2</v>
      </c>
      <c r="E23">
        <f t="shared" si="2"/>
        <v>1.4240994039012901E-3</v>
      </c>
    </row>
    <row r="24" spans="1:5" x14ac:dyDescent="0.25">
      <c r="A24">
        <v>2.1015680516999997</v>
      </c>
      <c r="B24">
        <v>0.17573198011425159</v>
      </c>
      <c r="C24">
        <f t="shared" si="0"/>
        <v>0.13221533111201045</v>
      </c>
      <c r="D24">
        <f t="shared" si="1"/>
        <v>4.3516649002241142E-2</v>
      </c>
      <c r="E24">
        <f t="shared" si="2"/>
        <v>1.8936987403842551E-3</v>
      </c>
    </row>
    <row r="25" spans="1:5" x14ac:dyDescent="0.25">
      <c r="A25">
        <v>2.1909792118999998</v>
      </c>
      <c r="B25">
        <v>0.15886171002328345</v>
      </c>
      <c r="C25">
        <f t="shared" si="0"/>
        <v>0.11926164786481747</v>
      </c>
      <c r="D25">
        <f t="shared" si="1"/>
        <v>3.9600062158465982E-2</v>
      </c>
      <c r="E25">
        <f t="shared" si="2"/>
        <v>1.5681649229543693E-3</v>
      </c>
    </row>
    <row r="26" spans="1:5" x14ac:dyDescent="0.25">
      <c r="A26">
        <v>2.2803903721000003</v>
      </c>
      <c r="B26">
        <v>0.1441002236936863</v>
      </c>
      <c r="C26">
        <f t="shared" si="0"/>
        <v>0.1074749298272587</v>
      </c>
      <c r="D26">
        <f t="shared" si="1"/>
        <v>3.66252938664276E-2</v>
      </c>
      <c r="E26">
        <f t="shared" si="2"/>
        <v>1.3414121508021791E-3</v>
      </c>
    </row>
    <row r="27" spans="1:5" x14ac:dyDescent="0.25">
      <c r="A27">
        <v>2.3698015323000003</v>
      </c>
      <c r="B27">
        <v>0.12863580944363218</v>
      </c>
      <c r="C27">
        <f t="shared" si="0"/>
        <v>9.6765271685890816E-2</v>
      </c>
      <c r="D27">
        <f t="shared" si="1"/>
        <v>3.187053775774136E-2</v>
      </c>
      <c r="E27">
        <f t="shared" si="2"/>
        <v>1.0157311769676176E-3</v>
      </c>
    </row>
    <row r="28" spans="1:5" x14ac:dyDescent="0.25">
      <c r="A28">
        <v>2.4592126925000004</v>
      </c>
      <c r="B28">
        <v>0.10122162054580892</v>
      </c>
      <c r="C28">
        <f t="shared" si="0"/>
        <v>8.7047200934034605E-2</v>
      </c>
      <c r="D28">
        <f t="shared" si="1"/>
        <v>1.4174419611774319E-2</v>
      </c>
      <c r="E28">
        <f t="shared" si="2"/>
        <v>2.0091417133065245E-4</v>
      </c>
    </row>
    <row r="29" spans="1:5" x14ac:dyDescent="0.25">
      <c r="A29">
        <v>2.5486238527</v>
      </c>
      <c r="B29">
        <v>9.630112510260988E-2</v>
      </c>
      <c r="C29">
        <f t="shared" si="0"/>
        <v>7.8239947351994091E-2</v>
      </c>
      <c r="D29">
        <f t="shared" si="1"/>
        <v>1.8061177750615789E-2</v>
      </c>
      <c r="E29">
        <f t="shared" si="2"/>
        <v>3.2620614173933885E-4</v>
      </c>
    </row>
    <row r="30" spans="1:5" x14ac:dyDescent="0.25">
      <c r="A30">
        <v>2.6380350128999996</v>
      </c>
      <c r="B30">
        <v>8.7163062136668787E-2</v>
      </c>
      <c r="C30">
        <f t="shared" si="0"/>
        <v>7.0267576489904809E-2</v>
      </c>
      <c r="D30">
        <f t="shared" si="1"/>
        <v>1.6895485646763977E-2</v>
      </c>
      <c r="E30">
        <f t="shared" si="2"/>
        <v>2.8545743524000758E-4</v>
      </c>
    </row>
    <row r="31" spans="1:5" x14ac:dyDescent="0.25">
      <c r="A31">
        <v>2.7274461730999997</v>
      </c>
      <c r="B31">
        <v>7.8727927091184716E-2</v>
      </c>
      <c r="C31">
        <f t="shared" si="0"/>
        <v>6.3059018063488903E-2</v>
      </c>
      <c r="D31">
        <f t="shared" si="1"/>
        <v>1.5668909027695813E-2</v>
      </c>
      <c r="E31">
        <f t="shared" si="2"/>
        <v>2.4551471011820735E-4</v>
      </c>
    </row>
    <row r="32" spans="1:5" x14ac:dyDescent="0.25">
      <c r="A32">
        <v>2.8168573332999998</v>
      </c>
      <c r="B32">
        <v>6.045180115930255E-2</v>
      </c>
      <c r="C32">
        <f t="shared" si="0"/>
        <v>5.6548014038361419E-2</v>
      </c>
      <c r="D32">
        <f t="shared" si="1"/>
        <v>3.903787120941131E-3</v>
      </c>
      <c r="E32">
        <f t="shared" si="2"/>
        <v>1.5239553885625844E-5</v>
      </c>
    </row>
    <row r="33" spans="1:5" x14ac:dyDescent="0.25">
      <c r="A33">
        <v>2.9062684934999998</v>
      </c>
      <c r="B33">
        <v>5.8343017397931532E-2</v>
      </c>
      <c r="C33">
        <f t="shared" si="0"/>
        <v>5.0673006282008624E-2</v>
      </c>
      <c r="D33">
        <f t="shared" si="1"/>
        <v>7.6700111159229076E-3</v>
      </c>
      <c r="E33">
        <f t="shared" si="2"/>
        <v>5.8829070518380966E-5</v>
      </c>
    </row>
    <row r="34" spans="1:5" x14ac:dyDescent="0.25">
      <c r="A34">
        <v>2.9956796536999994</v>
      </c>
      <c r="B34">
        <v>5.0610810272904462E-2</v>
      </c>
      <c r="C34">
        <f t="shared" si="0"/>
        <v>4.5376979729298474E-2</v>
      </c>
      <c r="D34">
        <f t="shared" si="1"/>
        <v>5.2338305436059884E-3</v>
      </c>
      <c r="E34">
        <f t="shared" si="2"/>
        <v>2.7392982159182957E-5</v>
      </c>
    </row>
    <row r="35" spans="1:5" x14ac:dyDescent="0.25">
      <c r="A35">
        <v>3.0850908138999995</v>
      </c>
      <c r="B35">
        <v>3.3740540181936306E-2</v>
      </c>
      <c r="C35">
        <f t="shared" si="0"/>
        <v>4.0607273831763879E-2</v>
      </c>
      <c r="D35">
        <f t="shared" si="1"/>
        <v>-6.8667336498275736E-3</v>
      </c>
      <c r="E35">
        <f t="shared" si="2"/>
        <v>4.7152031017674308E-5</v>
      </c>
    </row>
    <row r="36" spans="1:5" x14ac:dyDescent="0.25">
      <c r="A36">
        <v>3.1745019741</v>
      </c>
      <c r="B36">
        <v>3.1631756420565288E-2</v>
      </c>
      <c r="C36">
        <f t="shared" si="0"/>
        <v>3.6315372486903287E-2</v>
      </c>
      <c r="D36">
        <f t="shared" si="1"/>
        <v>-4.6836160663379992E-3</v>
      </c>
      <c r="E36">
        <f t="shared" si="2"/>
        <v>2.1936259456859434E-5</v>
      </c>
    </row>
    <row r="37" spans="1:5" x14ac:dyDescent="0.25">
      <c r="A37">
        <v>3.2639131343000001</v>
      </c>
      <c r="B37">
        <v>2.9522972659194267E-2</v>
      </c>
      <c r="C37">
        <f t="shared" si="0"/>
        <v>3.2456680551443955E-2</v>
      </c>
      <c r="D37">
        <f t="shared" si="1"/>
        <v>-2.933707892249688E-3</v>
      </c>
      <c r="E37">
        <f t="shared" si="2"/>
        <v>8.6066419970481069E-6</v>
      </c>
    </row>
    <row r="38" spans="1:5" x14ac:dyDescent="0.25">
      <c r="A38">
        <v>3.3533242945000001</v>
      </c>
      <c r="B38">
        <v>2.0384909693253184E-2</v>
      </c>
      <c r="C38">
        <f t="shared" si="0"/>
        <v>2.899029333862144E-2</v>
      </c>
      <c r="D38">
        <f t="shared" si="1"/>
        <v>-8.6053836453682565E-3</v>
      </c>
      <c r="E38">
        <f t="shared" si="2"/>
        <v>7.4052627683971465E-5</v>
      </c>
    </row>
    <row r="39" spans="1:5" x14ac:dyDescent="0.25">
      <c r="A39">
        <v>3.4427354546999998</v>
      </c>
      <c r="B39">
        <v>1.8276125931882166E-2</v>
      </c>
      <c r="C39">
        <f t="shared" si="0"/>
        <v>2.5878764110697009E-2</v>
      </c>
      <c r="D39">
        <f t="shared" si="1"/>
        <v>-7.6026381788148432E-3</v>
      </c>
      <c r="E39">
        <f t="shared" si="2"/>
        <v>5.7800107277973074E-5</v>
      </c>
    </row>
    <row r="40" spans="1:5" x14ac:dyDescent="0.25">
      <c r="A40">
        <v>3.5321466148999998</v>
      </c>
      <c r="B40">
        <v>1.1246846727312102E-2</v>
      </c>
      <c r="C40">
        <f t="shared" si="0"/>
        <v>2.3087873445929552E-2</v>
      </c>
      <c r="D40">
        <f t="shared" si="1"/>
        <v>-1.184102671861745E-2</v>
      </c>
      <c r="E40">
        <f t="shared" si="2"/>
        <v>1.4020991375101233E-4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3A74-2CDF-4E97-B0B1-52EF444A20C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4.5649586162500005E-2</v>
      </c>
      <c r="B1">
        <v>0.44647709532479918</v>
      </c>
      <c r="C1">
        <f>$H$3*(1+$H$1)*(A1^($H$1))*EXP(-$H$3*(A1^(1+$H$1)))</f>
        <v>0.59553803331215316</v>
      </c>
      <c r="D1">
        <f>B1-C1</f>
        <v>-0.14906093798735398</v>
      </c>
      <c r="E1">
        <f>D1^2</f>
        <v>2.2219163233669788E-2</v>
      </c>
      <c r="G1" t="s">
        <v>0</v>
      </c>
      <c r="H1">
        <v>0.19477196278440767</v>
      </c>
    </row>
    <row r="2" spans="1:8" x14ac:dyDescent="0.25">
      <c r="A2">
        <v>0.13434445248750002</v>
      </c>
      <c r="B2">
        <v>0.89437157825380409</v>
      </c>
      <c r="C2">
        <f t="shared" ref="C2:C40" si="0">$H$3*(1+$H$1)*(A2^($H$1))*EXP(-$H$3*(A2^(1+$H$1)))</f>
        <v>0.69119048816373596</v>
      </c>
      <c r="D2">
        <f t="shared" ref="D2:D40" si="1">B2-C2</f>
        <v>0.20318109009006813</v>
      </c>
      <c r="E2">
        <f t="shared" ref="E2:E40" si="2">D2^2</f>
        <v>4.1282555370188379E-2</v>
      </c>
    </row>
    <row r="3" spans="1:8" x14ac:dyDescent="0.25">
      <c r="A3">
        <v>0.2230393188125</v>
      </c>
      <c r="B3">
        <v>0.71790682153019303</v>
      </c>
      <c r="C3">
        <f t="shared" si="0"/>
        <v>0.71104897431451874</v>
      </c>
      <c r="D3">
        <f t="shared" si="1"/>
        <v>6.8578472156742842E-3</v>
      </c>
      <c r="E3">
        <f t="shared" si="2"/>
        <v>4.7030068433531535E-5</v>
      </c>
      <c r="G3" t="s">
        <v>1</v>
      </c>
      <c r="H3">
        <f>(_xlfn.GAMMA((2+$H$1)/(1+$H$1)))^(1+$H$1)</f>
        <v>0.93077234587312174</v>
      </c>
    </row>
    <row r="4" spans="1:8" x14ac:dyDescent="0.25">
      <c r="A4">
        <v>0.31173418513750006</v>
      </c>
      <c r="B4">
        <v>0.68672429423766734</v>
      </c>
      <c r="C4">
        <f t="shared" si="0"/>
        <v>0.70325521056295182</v>
      </c>
      <c r="D4">
        <f t="shared" si="1"/>
        <v>-1.6530916325284473E-2</v>
      </c>
      <c r="E4">
        <f t="shared" si="2"/>
        <v>2.732711945535567E-4</v>
      </c>
    </row>
    <row r="5" spans="1:8" x14ac:dyDescent="0.25">
      <c r="A5">
        <v>0.40042905146250007</v>
      </c>
      <c r="B5">
        <v>0.62506793345471889</v>
      </c>
      <c r="C5">
        <f t="shared" si="0"/>
        <v>0.68120038077525835</v>
      </c>
      <c r="D5">
        <f t="shared" si="1"/>
        <v>-5.6132447320539458E-2</v>
      </c>
      <c r="E5">
        <f t="shared" si="2"/>
        <v>3.1508516421931373E-3</v>
      </c>
      <c r="G5" t="s">
        <v>2</v>
      </c>
      <c r="H5">
        <f>SUM(E1:E40)</f>
        <v>0.10646982831453861</v>
      </c>
    </row>
    <row r="6" spans="1:8" x14ac:dyDescent="0.25">
      <c r="A6">
        <v>0.48912391778749997</v>
      </c>
      <c r="B6">
        <v>0.55490724704653616</v>
      </c>
      <c r="C6">
        <f t="shared" si="0"/>
        <v>0.65106718560110555</v>
      </c>
      <c r="D6">
        <f t="shared" si="1"/>
        <v>-9.6159938554569391E-2</v>
      </c>
      <c r="E6">
        <f t="shared" si="2"/>
        <v>9.24673378281856E-3</v>
      </c>
    </row>
    <row r="7" spans="1:8" x14ac:dyDescent="0.25">
      <c r="A7">
        <v>0.57781878411249998</v>
      </c>
      <c r="B7">
        <v>0.52797688256662767</v>
      </c>
      <c r="C7">
        <f t="shared" si="0"/>
        <v>0.61634945889065351</v>
      </c>
      <c r="D7">
        <f t="shared" si="1"/>
        <v>-8.8372576324025842E-2</v>
      </c>
      <c r="E7">
        <f t="shared" si="2"/>
        <v>7.8097122461457729E-3</v>
      </c>
    </row>
    <row r="8" spans="1:8" x14ac:dyDescent="0.25">
      <c r="A8">
        <v>0.66651365043749999</v>
      </c>
      <c r="B8">
        <v>0.54852900282761041</v>
      </c>
      <c r="C8">
        <f t="shared" si="0"/>
        <v>0.57923801344333581</v>
      </c>
      <c r="D8">
        <f t="shared" si="1"/>
        <v>-3.0709010615725396E-2</v>
      </c>
      <c r="E8">
        <f t="shared" si="2"/>
        <v>9.4304333299673508E-4</v>
      </c>
    </row>
    <row r="9" spans="1:8" x14ac:dyDescent="0.25">
      <c r="A9">
        <v>0.7552085167625</v>
      </c>
      <c r="B9">
        <v>0.52655949496242194</v>
      </c>
      <c r="C9">
        <f t="shared" si="0"/>
        <v>0.54118732937532765</v>
      </c>
      <c r="D9">
        <f t="shared" si="1"/>
        <v>-1.4627834412905716E-2</v>
      </c>
      <c r="E9">
        <f t="shared" si="2"/>
        <v>2.139735396113887E-4</v>
      </c>
    </row>
    <row r="10" spans="1:8" x14ac:dyDescent="0.25">
      <c r="A10">
        <v>0.84390338308750001</v>
      </c>
      <c r="B10">
        <v>0.4542727271479306</v>
      </c>
      <c r="C10">
        <f t="shared" si="0"/>
        <v>0.50319236059738748</v>
      </c>
      <c r="D10">
        <f t="shared" si="1"/>
        <v>-4.8919633449456879E-2</v>
      </c>
      <c r="E10">
        <f t="shared" si="2"/>
        <v>2.3931305368292202E-3</v>
      </c>
    </row>
    <row r="11" spans="1:8" x14ac:dyDescent="0.25">
      <c r="A11">
        <v>0.93259824941250002</v>
      </c>
      <c r="B11">
        <v>0.42450758745961065</v>
      </c>
      <c r="C11">
        <f t="shared" si="0"/>
        <v>0.46594147283599896</v>
      </c>
      <c r="D11">
        <f t="shared" si="1"/>
        <v>-4.1433885376388313E-2</v>
      </c>
      <c r="E11">
        <f t="shared" si="2"/>
        <v>1.7167668573836853E-3</v>
      </c>
    </row>
    <row r="12" spans="1:8" x14ac:dyDescent="0.25">
      <c r="A12">
        <v>1.0212931157375</v>
      </c>
      <c r="B12">
        <v>0.4223815060533021</v>
      </c>
      <c r="C12">
        <f t="shared" si="0"/>
        <v>0.42990893997231655</v>
      </c>
      <c r="D12">
        <f t="shared" si="1"/>
        <v>-7.5274339190144479E-3</v>
      </c>
      <c r="E12">
        <f t="shared" si="2"/>
        <v>5.6662261405129212E-5</v>
      </c>
    </row>
    <row r="13" spans="1:8" x14ac:dyDescent="0.25">
      <c r="A13">
        <v>1.1099879820625</v>
      </c>
      <c r="B13">
        <v>0.40608154860493639</v>
      </c>
      <c r="C13">
        <f t="shared" si="0"/>
        <v>0.39541483738691036</v>
      </c>
      <c r="D13">
        <f t="shared" si="1"/>
        <v>1.0666711218026037E-2</v>
      </c>
      <c r="E13">
        <f t="shared" si="2"/>
        <v>1.137787282087625E-4</v>
      </c>
    </row>
    <row r="14" spans="1:8" x14ac:dyDescent="0.25">
      <c r="A14">
        <v>1.1986828483875001</v>
      </c>
      <c r="B14">
        <v>0.37489902131241076</v>
      </c>
      <c r="C14">
        <f t="shared" si="0"/>
        <v>0.36266589972071245</v>
      </c>
      <c r="D14">
        <f t="shared" si="1"/>
        <v>1.2233121591698315E-2</v>
      </c>
      <c r="E14">
        <f t="shared" si="2"/>
        <v>1.4964926387727552E-4</v>
      </c>
    </row>
    <row r="15" spans="1:8" x14ac:dyDescent="0.25">
      <c r="A15">
        <v>1.2873777147125001</v>
      </c>
      <c r="B15">
        <v>0.32103829235259368</v>
      </c>
      <c r="C15">
        <f t="shared" si="0"/>
        <v>0.33178452725925639</v>
      </c>
      <c r="D15">
        <f t="shared" si="1"/>
        <v>-1.0746234906662711E-2</v>
      </c>
      <c r="E15">
        <f t="shared" si="2"/>
        <v>1.1548156466917611E-4</v>
      </c>
    </row>
    <row r="16" spans="1:8" x14ac:dyDescent="0.25">
      <c r="A16">
        <v>1.3760725810375001</v>
      </c>
      <c r="B16">
        <v>0.31253396672735945</v>
      </c>
      <c r="C16">
        <f t="shared" si="0"/>
        <v>0.3028300134072876</v>
      </c>
      <c r="D16">
        <f t="shared" si="1"/>
        <v>9.7039533200718453E-3</v>
      </c>
      <c r="E16">
        <f t="shared" si="2"/>
        <v>9.4166710038133384E-5</v>
      </c>
    </row>
    <row r="17" spans="1:5" x14ac:dyDescent="0.25">
      <c r="A17">
        <v>1.4647674473625001</v>
      </c>
      <c r="B17">
        <v>0.31891221094628514</v>
      </c>
      <c r="C17">
        <f t="shared" si="0"/>
        <v>0.27581443836206643</v>
      </c>
      <c r="D17">
        <f t="shared" si="1"/>
        <v>4.3097772584218708E-2</v>
      </c>
      <c r="E17">
        <f t="shared" si="2"/>
        <v>1.8574180017210337E-3</v>
      </c>
    </row>
    <row r="18" spans="1:5" x14ac:dyDescent="0.25">
      <c r="A18">
        <v>1.5534623136875001</v>
      </c>
      <c r="B18">
        <v>0.29269054026847946</v>
      </c>
      <c r="C18">
        <f t="shared" si="0"/>
        <v>0.25071477133327852</v>
      </c>
      <c r="D18">
        <f t="shared" si="1"/>
        <v>4.1975768935200941E-2</v>
      </c>
      <c r="E18">
        <f t="shared" si="2"/>
        <v>1.7619651777013804E-3</v>
      </c>
    </row>
    <row r="19" spans="1:5" x14ac:dyDescent="0.25">
      <c r="A19">
        <v>1.6421571800125001</v>
      </c>
      <c r="B19">
        <v>0.26717756339277665</v>
      </c>
      <c r="C19">
        <f t="shared" si="0"/>
        <v>0.22748219684072724</v>
      </c>
      <c r="D19">
        <f t="shared" si="1"/>
        <v>3.9695366552049416E-2</v>
      </c>
      <c r="E19">
        <f t="shared" si="2"/>
        <v>1.5757221257015636E-3</v>
      </c>
    </row>
    <row r="20" spans="1:5" x14ac:dyDescent="0.25">
      <c r="A20">
        <v>1.7308520463375001</v>
      </c>
      <c r="B20">
        <v>0.21969507865188531</v>
      </c>
      <c r="C20">
        <f t="shared" si="0"/>
        <v>0.20604935924600618</v>
      </c>
      <c r="D20">
        <f t="shared" si="1"/>
        <v>1.3645719405879136E-2</v>
      </c>
      <c r="E20">
        <f t="shared" si="2"/>
        <v>1.8620565810398645E-4</v>
      </c>
    </row>
    <row r="21" spans="1:5" x14ac:dyDescent="0.25">
      <c r="A21">
        <v>1.8195469126625001</v>
      </c>
      <c r="B21">
        <v>0.21827769104767961</v>
      </c>
      <c r="C21">
        <f t="shared" si="0"/>
        <v>0.18633601573577344</v>
      </c>
      <c r="D21">
        <f t="shared" si="1"/>
        <v>3.194167531190617E-2</v>
      </c>
      <c r="E21">
        <f t="shared" si="2"/>
        <v>1.0202706217312361E-3</v>
      </c>
    </row>
    <row r="22" spans="1:5" x14ac:dyDescent="0.25">
      <c r="A22">
        <v>1.9082417789875001</v>
      </c>
      <c r="B22">
        <v>0.2055212026098282</v>
      </c>
      <c r="C22">
        <f t="shared" si="0"/>
        <v>0.16825345388392629</v>
      </c>
      <c r="D22">
        <f t="shared" si="1"/>
        <v>3.7267748725901911E-2</v>
      </c>
      <c r="E22">
        <f t="shared" si="2"/>
        <v>1.3888850950969636E-3</v>
      </c>
    </row>
    <row r="23" spans="1:5" x14ac:dyDescent="0.25">
      <c r="A23">
        <v>1.9969366453125001</v>
      </c>
      <c r="B23">
        <v>0.19205602036987393</v>
      </c>
      <c r="C23">
        <f t="shared" si="0"/>
        <v>0.15170793887678766</v>
      </c>
      <c r="D23">
        <f t="shared" si="1"/>
        <v>4.0348081493086274E-2</v>
      </c>
      <c r="E23">
        <f t="shared" si="2"/>
        <v>1.6279676801727312E-3</v>
      </c>
    </row>
    <row r="24" spans="1:5" x14ac:dyDescent="0.25">
      <c r="A24">
        <v>2.0856315116374997</v>
      </c>
      <c r="B24">
        <v>0.1814256133383311</v>
      </c>
      <c r="C24">
        <f t="shared" si="0"/>
        <v>0.13660339184191556</v>
      </c>
      <c r="D24">
        <f t="shared" si="1"/>
        <v>4.4822221496415543E-2</v>
      </c>
      <c r="E24">
        <f t="shared" si="2"/>
        <v>2.0090315398737357E-3</v>
      </c>
    </row>
    <row r="25" spans="1:5" x14ac:dyDescent="0.25">
      <c r="A25">
        <v>2.1743263779625002</v>
      </c>
      <c r="B25">
        <v>0.15591263646262829</v>
      </c>
      <c r="C25">
        <f t="shared" si="0"/>
        <v>0.12284345504210066</v>
      </c>
      <c r="D25">
        <f t="shared" si="1"/>
        <v>3.306918142052763E-2</v>
      </c>
      <c r="E25">
        <f t="shared" si="2"/>
        <v>1.0935707598237697E-3</v>
      </c>
    </row>
    <row r="26" spans="1:5" x14ac:dyDescent="0.25">
      <c r="A26">
        <v>2.2630212442874997</v>
      </c>
      <c r="B26">
        <v>0.15236916745211401</v>
      </c>
      <c r="C26">
        <f t="shared" si="0"/>
        <v>0.11033306612317559</v>
      </c>
      <c r="D26">
        <f t="shared" si="1"/>
        <v>4.2036101328938424E-2</v>
      </c>
      <c r="E26">
        <f t="shared" si="2"/>
        <v>1.7670338149367788E-3</v>
      </c>
    </row>
    <row r="27" spans="1:5" x14ac:dyDescent="0.25">
      <c r="A27">
        <v>2.3517161106125002</v>
      </c>
      <c r="B27">
        <v>0.12473010917010263</v>
      </c>
      <c r="C27">
        <f t="shared" si="0"/>
        <v>9.8979638400856773E-2</v>
      </c>
      <c r="D27">
        <f t="shared" si="1"/>
        <v>2.5750470769245859E-2</v>
      </c>
      <c r="E27">
        <f t="shared" si="2"/>
        <v>6.6308674483778543E-4</v>
      </c>
    </row>
    <row r="28" spans="1:5" x14ac:dyDescent="0.25">
      <c r="A28">
        <v>2.4404109769375002</v>
      </c>
      <c r="B28">
        <v>0.10630407031542838</v>
      </c>
      <c r="C28">
        <f t="shared" si="0"/>
        <v>8.8693924894533108E-2</v>
      </c>
      <c r="D28">
        <f t="shared" si="1"/>
        <v>1.7610145420895271E-2</v>
      </c>
      <c r="E28">
        <f t="shared" si="2"/>
        <v>3.1011722174507868E-4</v>
      </c>
    </row>
    <row r="29" spans="1:5" x14ac:dyDescent="0.25">
      <c r="A29">
        <v>2.5291058432625002</v>
      </c>
      <c r="B29">
        <v>0.1013432137007084</v>
      </c>
      <c r="C29">
        <f t="shared" si="0"/>
        <v>7.9390628829018844E-2</v>
      </c>
      <c r="D29">
        <f t="shared" si="1"/>
        <v>2.1952584871689551E-2</v>
      </c>
      <c r="E29">
        <f t="shared" si="2"/>
        <v>4.8191598254873294E-4</v>
      </c>
    </row>
    <row r="30" spans="1:5" x14ac:dyDescent="0.25">
      <c r="A30">
        <v>2.6178007095874998</v>
      </c>
      <c r="B30">
        <v>8.7169337658651272E-2</v>
      </c>
      <c r="C30">
        <f t="shared" si="0"/>
        <v>7.0988811509383173E-2</v>
      </c>
      <c r="D30">
        <f t="shared" si="1"/>
        <v>1.6180526149268099E-2</v>
      </c>
      <c r="E30">
        <f t="shared" si="2"/>
        <v>2.618094264671487E-4</v>
      </c>
    </row>
    <row r="31" spans="1:5" x14ac:dyDescent="0.25">
      <c r="A31">
        <v>2.7064955759125002</v>
      </c>
      <c r="B31">
        <v>7.653893062710844E-2</v>
      </c>
      <c r="C31">
        <f t="shared" si="0"/>
        <v>6.3412139046625293E-2</v>
      </c>
      <c r="D31">
        <f t="shared" si="1"/>
        <v>1.3126791580483146E-2</v>
      </c>
      <c r="E31">
        <f t="shared" si="2"/>
        <v>1.7231265719744323E-4</v>
      </c>
    </row>
    <row r="32" spans="1:5" x14ac:dyDescent="0.25">
      <c r="A32">
        <v>2.7951904422375007</v>
      </c>
      <c r="B32">
        <v>6.8034605001874165E-2</v>
      </c>
      <c r="C32">
        <f t="shared" si="0"/>
        <v>5.6589001815221328E-2</v>
      </c>
      <c r="D32">
        <f t="shared" si="1"/>
        <v>1.1445603186652838E-2</v>
      </c>
      <c r="E32">
        <f t="shared" si="2"/>
        <v>1.3100183230631759E-4</v>
      </c>
    </row>
    <row r="33" spans="1:5" x14ac:dyDescent="0.25">
      <c r="A33">
        <v>2.8838853085625002</v>
      </c>
      <c r="B33">
        <v>6.1656360782948463E-2</v>
      </c>
      <c r="C33">
        <f t="shared" si="0"/>
        <v>5.0452534351819976E-2</v>
      </c>
      <c r="D33">
        <f t="shared" si="1"/>
        <v>1.1203826431128487E-2</v>
      </c>
      <c r="E33">
        <f t="shared" si="2"/>
        <v>1.255257266988533E-4</v>
      </c>
    </row>
    <row r="34" spans="1:5" x14ac:dyDescent="0.25">
      <c r="A34">
        <v>2.9725801748874998</v>
      </c>
      <c r="B34">
        <v>4.748248474089134E-2</v>
      </c>
      <c r="C34">
        <f t="shared" si="0"/>
        <v>4.4940558357340864E-2</v>
      </c>
      <c r="D34">
        <f t="shared" si="1"/>
        <v>2.541926383550476E-3</v>
      </c>
      <c r="E34">
        <f t="shared" si="2"/>
        <v>6.4613897393900017E-6</v>
      </c>
    </row>
    <row r="35" spans="1:5" x14ac:dyDescent="0.25">
      <c r="A35">
        <v>3.0612750412124998</v>
      </c>
      <c r="B35">
        <v>3.9686852917759925E-2</v>
      </c>
      <c r="C35">
        <f t="shared" si="0"/>
        <v>3.9995467316269837E-2</v>
      </c>
      <c r="D35">
        <f t="shared" si="1"/>
        <v>-3.0861439850991129E-4</v>
      </c>
      <c r="E35">
        <f t="shared" si="2"/>
        <v>9.5242846967634331E-8</v>
      </c>
    </row>
    <row r="36" spans="1:5" x14ac:dyDescent="0.25">
      <c r="A36">
        <v>3.1499699075374998</v>
      </c>
      <c r="B36">
        <v>3.4017302500937083E-2</v>
      </c>
      <c r="C36">
        <f t="shared" si="0"/>
        <v>3.5564067823933579E-2</v>
      </c>
      <c r="D36">
        <f t="shared" si="1"/>
        <v>-1.5467653229964962E-3</v>
      </c>
      <c r="E36">
        <f t="shared" si="2"/>
        <v>2.392482964424455E-6</v>
      </c>
    </row>
    <row r="37" spans="1:5" x14ac:dyDescent="0.25">
      <c r="A37">
        <v>3.2386647738625003</v>
      </c>
      <c r="B37">
        <v>2.4804283073599956E-2</v>
      </c>
      <c r="C37">
        <f t="shared" si="0"/>
        <v>3.1597389880462637E-2</v>
      </c>
      <c r="D37">
        <f t="shared" si="1"/>
        <v>-6.793106806862681E-3</v>
      </c>
      <c r="E37">
        <f t="shared" si="2"/>
        <v>4.6146300089444093E-5</v>
      </c>
    </row>
    <row r="38" spans="1:5" x14ac:dyDescent="0.25">
      <c r="A38">
        <v>3.3273596401874999</v>
      </c>
      <c r="B38">
        <v>2.3386895469394244E-2</v>
      </c>
      <c r="C38">
        <f t="shared" si="0"/>
        <v>2.8050476063063268E-2</v>
      </c>
      <c r="D38">
        <f t="shared" si="1"/>
        <v>-4.6635805936690242E-3</v>
      </c>
      <c r="E38">
        <f t="shared" si="2"/>
        <v>2.174898395364633E-5</v>
      </c>
    </row>
    <row r="39" spans="1:5" x14ac:dyDescent="0.25">
      <c r="A39">
        <v>3.4160545065124999</v>
      </c>
      <c r="B39">
        <v>1.913473265677711E-2</v>
      </c>
      <c r="C39">
        <f t="shared" si="0"/>
        <v>2.4882157541600884E-2</v>
      </c>
      <c r="D39">
        <f t="shared" si="1"/>
        <v>-5.7474248848237743E-3</v>
      </c>
      <c r="E39">
        <f t="shared" si="2"/>
        <v>3.3032892806691572E-5</v>
      </c>
    </row>
    <row r="40" spans="1:5" x14ac:dyDescent="0.25">
      <c r="A40">
        <v>3.5047493728374999</v>
      </c>
      <c r="B40">
        <v>1.204779463574855E-2</v>
      </c>
      <c r="C40">
        <f t="shared" si="0"/>
        <v>2.2054823288213822E-2</v>
      </c>
      <c r="D40">
        <f t="shared" si="1"/>
        <v>-1.0007028652465272E-2</v>
      </c>
      <c r="E40">
        <f t="shared" si="2"/>
        <v>1.0014062245126092E-4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4465-0F76-44D9-9E88-D45379E9FE3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4.5361846750000011E-2</v>
      </c>
      <c r="B1">
        <v>0.36816861117137789</v>
      </c>
      <c r="C1">
        <f>$H$3*(1+$H$1)*(A1^($H$1))*EXP(-$H$3*(A1^(1+$H$1)))</f>
        <v>0.56142652311986496</v>
      </c>
      <c r="D1">
        <f>B1-C1</f>
        <v>-0.19325791194848707</v>
      </c>
      <c r="E1">
        <f>D1^2</f>
        <v>3.7348620530689179E-2</v>
      </c>
      <c r="G1" t="s">
        <v>0</v>
      </c>
      <c r="H1">
        <v>0.21790044544673656</v>
      </c>
    </row>
    <row r="2" spans="1:8" x14ac:dyDescent="0.25">
      <c r="A2">
        <v>0.13344755825000001</v>
      </c>
      <c r="B2">
        <v>0.86619514333731162</v>
      </c>
      <c r="C2">
        <f t="shared" ref="C2:C40" si="0">$H$3*(1+$H$1)*(A2^($H$1))*EXP(-$H$3*(A2^(1+$H$1)))</f>
        <v>0.670124339664112</v>
      </c>
      <c r="D2">
        <f t="shared" ref="D2:D40" si="1">B2-C2</f>
        <v>0.19607080367319962</v>
      </c>
      <c r="E2">
        <f t="shared" ref="E2:E40" si="2">D2^2</f>
        <v>3.8443760053054388E-2</v>
      </c>
    </row>
    <row r="3" spans="1:8" x14ac:dyDescent="0.25">
      <c r="A3">
        <v>0.22153326975000004</v>
      </c>
      <c r="B3">
        <v>0.77415299054446718</v>
      </c>
      <c r="C3">
        <f t="shared" si="0"/>
        <v>0.69925754620258296</v>
      </c>
      <c r="D3">
        <f t="shared" si="1"/>
        <v>7.4895444341884221E-2</v>
      </c>
      <c r="E3">
        <f t="shared" si="2"/>
        <v>5.6093275831682774E-3</v>
      </c>
      <c r="G3" t="s">
        <v>1</v>
      </c>
      <c r="H3">
        <f>(_xlfn.GAMMA((2+$H$1)/(1+$H$1)))^(1+$H$1)</f>
        <v>0.9239881142969939</v>
      </c>
    </row>
    <row r="4" spans="1:8" x14ac:dyDescent="0.25">
      <c r="A4">
        <v>0.30961898125000004</v>
      </c>
      <c r="B4">
        <v>0.70851052498677958</v>
      </c>
      <c r="C4">
        <f t="shared" si="0"/>
        <v>0.69838530183197978</v>
      </c>
      <c r="D4">
        <f t="shared" si="1"/>
        <v>1.0125223154799801E-2</v>
      </c>
      <c r="E4">
        <f t="shared" si="2"/>
        <v>1.0252014393449403E-4</v>
      </c>
    </row>
    <row r="5" spans="1:8" x14ac:dyDescent="0.25">
      <c r="A5">
        <v>0.39770469275000003</v>
      </c>
      <c r="B5">
        <v>0.64072754424786316</v>
      </c>
      <c r="C5">
        <f t="shared" si="0"/>
        <v>0.68152014432910524</v>
      </c>
      <c r="D5">
        <f t="shared" si="1"/>
        <v>-4.0792600081242081E-2</v>
      </c>
      <c r="E5">
        <f t="shared" si="2"/>
        <v>1.6640362213881513E-3</v>
      </c>
      <c r="G5" t="s">
        <v>2</v>
      </c>
      <c r="H5">
        <f>SUM(E1:E40)</f>
        <v>0.12216293603454657</v>
      </c>
    </row>
    <row r="6" spans="1:8" x14ac:dyDescent="0.25">
      <c r="A6">
        <v>0.48579040425000009</v>
      </c>
      <c r="B6">
        <v>0.56366899772362122</v>
      </c>
      <c r="C6">
        <f t="shared" si="0"/>
        <v>0.65522876666847707</v>
      </c>
      <c r="D6">
        <f t="shared" si="1"/>
        <v>-9.1559768944855846E-2</v>
      </c>
      <c r="E6">
        <f t="shared" si="2"/>
        <v>8.383191289235389E-3</v>
      </c>
    </row>
    <row r="7" spans="1:8" x14ac:dyDescent="0.25">
      <c r="A7">
        <v>0.57387611575000008</v>
      </c>
      <c r="B7">
        <v>0.54155034085092213</v>
      </c>
      <c r="C7">
        <f t="shared" si="0"/>
        <v>0.62328200595707139</v>
      </c>
      <c r="D7">
        <f t="shared" si="1"/>
        <v>-8.1731665106149265E-2</v>
      </c>
      <c r="E7">
        <f t="shared" si="2"/>
        <v>6.680065081023737E-3</v>
      </c>
    </row>
    <row r="8" spans="1:8" x14ac:dyDescent="0.25">
      <c r="A8">
        <v>0.66196182725000008</v>
      </c>
      <c r="B8">
        <v>0.54012333073010288</v>
      </c>
      <c r="C8">
        <f t="shared" si="0"/>
        <v>0.58808585790398649</v>
      </c>
      <c r="D8">
        <f t="shared" si="1"/>
        <v>-4.7962527173883607E-2</v>
      </c>
      <c r="E8">
        <f t="shared" si="2"/>
        <v>2.3004040129055233E-3</v>
      </c>
    </row>
    <row r="9" spans="1:8" x14ac:dyDescent="0.25">
      <c r="A9">
        <v>0.75004753875000008</v>
      </c>
      <c r="B9">
        <v>0.53227477506559673</v>
      </c>
      <c r="C9">
        <f t="shared" si="0"/>
        <v>0.55126816696159464</v>
      </c>
      <c r="D9">
        <f t="shared" si="1"/>
        <v>-1.8993391895997913E-2</v>
      </c>
      <c r="E9">
        <f t="shared" si="2"/>
        <v>3.6074893571495922E-4</v>
      </c>
    </row>
    <row r="10" spans="1:8" x14ac:dyDescent="0.25">
      <c r="A10">
        <v>0.83813325025000007</v>
      </c>
      <c r="B10">
        <v>0.46235127914545132</v>
      </c>
      <c r="C10">
        <f t="shared" si="0"/>
        <v>0.51396603939648611</v>
      </c>
      <c r="D10">
        <f t="shared" si="1"/>
        <v>-5.1614760251034786E-2</v>
      </c>
      <c r="E10">
        <f t="shared" si="2"/>
        <v>2.6640834757718007E-3</v>
      </c>
    </row>
    <row r="11" spans="1:8" x14ac:dyDescent="0.25">
      <c r="A11">
        <v>0.92621896175000007</v>
      </c>
      <c r="B11">
        <v>0.42810303624578827</v>
      </c>
      <c r="C11">
        <f t="shared" si="0"/>
        <v>0.47698527602838997</v>
      </c>
      <c r="D11">
        <f t="shared" si="1"/>
        <v>-4.88822397826017E-2</v>
      </c>
      <c r="E11">
        <f t="shared" si="2"/>
        <v>2.3894733661637682E-3</v>
      </c>
    </row>
    <row r="12" spans="1:8" x14ac:dyDescent="0.25">
      <c r="A12">
        <v>1.0143046732500001</v>
      </c>
      <c r="B12">
        <v>0.43523808684988474</v>
      </c>
      <c r="C12">
        <f t="shared" si="0"/>
        <v>0.44089732540623316</v>
      </c>
      <c r="D12">
        <f t="shared" si="1"/>
        <v>-5.6592385563484227E-3</v>
      </c>
      <c r="E12">
        <f t="shared" si="2"/>
        <v>3.2026981037660581E-5</v>
      </c>
    </row>
    <row r="13" spans="1:8" x14ac:dyDescent="0.25">
      <c r="A13">
        <v>1.1023903847500001</v>
      </c>
      <c r="B13">
        <v>0.39456829840653485</v>
      </c>
      <c r="C13">
        <f t="shared" si="0"/>
        <v>0.40610250775853796</v>
      </c>
      <c r="D13">
        <f t="shared" si="1"/>
        <v>-1.1534209352003111E-2</v>
      </c>
      <c r="E13">
        <f t="shared" si="2"/>
        <v>1.3303798537583601E-4</v>
      </c>
    </row>
    <row r="14" spans="1:8" x14ac:dyDescent="0.25">
      <c r="A14">
        <v>1.1904760962500001</v>
      </c>
      <c r="B14">
        <v>0.39171427816489629</v>
      </c>
      <c r="C14">
        <f t="shared" si="0"/>
        <v>0.37287351442443784</v>
      </c>
      <c r="D14">
        <f t="shared" si="1"/>
        <v>1.8840763740458455E-2</v>
      </c>
      <c r="E14">
        <f t="shared" si="2"/>
        <v>3.5497437832377409E-4</v>
      </c>
    </row>
    <row r="15" spans="1:8" x14ac:dyDescent="0.25">
      <c r="A15">
        <v>1.2785618077500001</v>
      </c>
      <c r="B15">
        <v>0.31893676200311227</v>
      </c>
      <c r="C15">
        <f t="shared" si="0"/>
        <v>0.34138659281532513</v>
      </c>
      <c r="D15">
        <f t="shared" si="1"/>
        <v>-2.2449830812212856E-2</v>
      </c>
      <c r="E15">
        <f t="shared" si="2"/>
        <v>5.0399490349698178E-4</v>
      </c>
    </row>
    <row r="16" spans="1:8" x14ac:dyDescent="0.25">
      <c r="A16">
        <v>1.3666475192500003</v>
      </c>
      <c r="B16">
        <v>0.31679624682188334</v>
      </c>
      <c r="C16">
        <f t="shared" si="0"/>
        <v>0.31174461438415968</v>
      </c>
      <c r="D16">
        <f t="shared" si="1"/>
        <v>5.0516324377236632E-3</v>
      </c>
      <c r="E16">
        <f t="shared" si="2"/>
        <v>2.5518990285861921E-5</v>
      </c>
    </row>
    <row r="17" spans="1:5" x14ac:dyDescent="0.25">
      <c r="A17">
        <v>1.4547332307500001</v>
      </c>
      <c r="B17">
        <v>0.31322872151983511</v>
      </c>
      <c r="C17">
        <f t="shared" si="0"/>
        <v>0.28399454500775101</v>
      </c>
      <c r="D17">
        <f t="shared" si="1"/>
        <v>2.9234176512084098E-2</v>
      </c>
      <c r="E17">
        <f t="shared" si="2"/>
        <v>8.5463707633968956E-4</v>
      </c>
    </row>
    <row r="18" spans="1:5" x14ac:dyDescent="0.25">
      <c r="A18">
        <v>1.54281894225</v>
      </c>
      <c r="B18">
        <v>0.29610460007000355</v>
      </c>
      <c r="C18">
        <f t="shared" si="0"/>
        <v>0.25814090776363835</v>
      </c>
      <c r="D18">
        <f t="shared" si="1"/>
        <v>3.7963692306365204E-2</v>
      </c>
      <c r="E18">
        <f t="shared" si="2"/>
        <v>1.4412419335323725E-3</v>
      </c>
    </row>
    <row r="19" spans="1:5" x14ac:dyDescent="0.25">
      <c r="A19">
        <v>1.63090465375</v>
      </c>
      <c r="B19">
        <v>0.27327243813689484</v>
      </c>
      <c r="C19">
        <f t="shared" si="0"/>
        <v>0.23415628666760196</v>
      </c>
      <c r="D19">
        <f t="shared" si="1"/>
        <v>3.911615146929287E-2</v>
      </c>
      <c r="E19">
        <f t="shared" si="2"/>
        <v>1.5300733057686628E-3</v>
      </c>
    </row>
    <row r="20" spans="1:5" x14ac:dyDescent="0.25">
      <c r="A20">
        <v>1.71899036525</v>
      </c>
      <c r="B20">
        <v>0.22332708390821956</v>
      </c>
      <c r="C20">
        <f t="shared" si="0"/>
        <v>0.21198959022587591</v>
      </c>
      <c r="D20">
        <f t="shared" si="1"/>
        <v>1.1337493682343658E-2</v>
      </c>
      <c r="E20">
        <f t="shared" si="2"/>
        <v>1.2853876299718234E-4</v>
      </c>
    </row>
    <row r="21" spans="1:5" x14ac:dyDescent="0.25">
      <c r="A21">
        <v>1.80707607675</v>
      </c>
      <c r="B21">
        <v>0.23046213451231604</v>
      </c>
      <c r="C21">
        <f t="shared" si="0"/>
        <v>0.19157258471560265</v>
      </c>
      <c r="D21">
        <f t="shared" si="1"/>
        <v>3.8889549796713385E-2</v>
      </c>
      <c r="E21">
        <f t="shared" si="2"/>
        <v>1.5123970833910501E-3</v>
      </c>
    </row>
    <row r="22" spans="1:5" x14ac:dyDescent="0.25">
      <c r="A22">
        <v>1.8951617882500003</v>
      </c>
      <c r="B22">
        <v>0.19835440679388189</v>
      </c>
      <c r="C22">
        <f t="shared" si="0"/>
        <v>0.17282506982600204</v>
      </c>
      <c r="D22">
        <f t="shared" si="1"/>
        <v>2.5529336967879845E-2</v>
      </c>
      <c r="E22">
        <f t="shared" si="2"/>
        <v>6.5174704601955648E-4</v>
      </c>
    </row>
    <row r="23" spans="1:5" x14ac:dyDescent="0.25">
      <c r="A23">
        <v>1.98324749975</v>
      </c>
      <c r="B23">
        <v>0.19835440679388189</v>
      </c>
      <c r="C23">
        <f t="shared" si="0"/>
        <v>0.15565897605813897</v>
      </c>
      <c r="D23">
        <f t="shared" si="1"/>
        <v>4.2695430735742917E-2</v>
      </c>
      <c r="E23">
        <f t="shared" si="2"/>
        <v>1.8228998057106211E-3</v>
      </c>
    </row>
    <row r="24" spans="1:5" x14ac:dyDescent="0.25">
      <c r="A24">
        <v>2.0713332112499998</v>
      </c>
      <c r="B24">
        <v>0.17338172967954424</v>
      </c>
      <c r="C24">
        <f t="shared" si="0"/>
        <v>0.13998159800652946</v>
      </c>
      <c r="D24">
        <f t="shared" si="1"/>
        <v>3.3400131673014782E-2</v>
      </c>
      <c r="E24">
        <f t="shared" si="2"/>
        <v>1.1155687957747251E-3</v>
      </c>
    </row>
    <row r="25" spans="1:5" x14ac:dyDescent="0.25">
      <c r="A25">
        <v>2.1594189227500005</v>
      </c>
      <c r="B25">
        <v>0.16481966895462849</v>
      </c>
      <c r="C25">
        <f t="shared" si="0"/>
        <v>0.12569813065689847</v>
      </c>
      <c r="D25">
        <f t="shared" si="1"/>
        <v>3.9121538297730019E-2</v>
      </c>
      <c r="E25">
        <f t="shared" si="2"/>
        <v>1.5304947587807566E-3</v>
      </c>
    </row>
    <row r="26" spans="1:5" x14ac:dyDescent="0.25">
      <c r="A26">
        <v>2.2475046342500002</v>
      </c>
      <c r="B26">
        <v>0.15625760822971271</v>
      </c>
      <c r="C26">
        <f t="shared" si="0"/>
        <v>0.11271364114302287</v>
      </c>
      <c r="D26">
        <f t="shared" si="1"/>
        <v>4.3543967086689839E-2</v>
      </c>
      <c r="E26">
        <f t="shared" si="2"/>
        <v>1.896077069646728E-3</v>
      </c>
    </row>
    <row r="27" spans="1:5" x14ac:dyDescent="0.25">
      <c r="A27">
        <v>2.33559034575</v>
      </c>
      <c r="B27">
        <v>0.12486338557168825</v>
      </c>
      <c r="C27">
        <f t="shared" si="0"/>
        <v>0.10093458220562522</v>
      </c>
      <c r="D27">
        <f t="shared" si="1"/>
        <v>2.3928803366063026E-2</v>
      </c>
      <c r="E27">
        <f t="shared" si="2"/>
        <v>5.7258763053170915E-4</v>
      </c>
    </row>
    <row r="28" spans="1:5" x14ac:dyDescent="0.25">
      <c r="A28">
        <v>2.4236760572500002</v>
      </c>
      <c r="B28">
        <v>0.10345823375939883</v>
      </c>
      <c r="C28">
        <f t="shared" si="0"/>
        <v>9.0269933407877631E-2</v>
      </c>
      <c r="D28">
        <f t="shared" si="1"/>
        <v>1.3188300351521201E-2</v>
      </c>
      <c r="E28">
        <f t="shared" si="2"/>
        <v>1.7393126616193423E-4</v>
      </c>
    </row>
    <row r="29" spans="1:5" x14ac:dyDescent="0.25">
      <c r="A29">
        <v>2.51176176875</v>
      </c>
      <c r="B29">
        <v>0.11202029448431459</v>
      </c>
      <c r="C29">
        <f t="shared" si="0"/>
        <v>8.0632040331313243E-2</v>
      </c>
      <c r="D29">
        <f t="shared" si="1"/>
        <v>3.1388254153001352E-2</v>
      </c>
      <c r="E29">
        <f t="shared" si="2"/>
        <v>9.852224987734067E-4</v>
      </c>
    </row>
    <row r="30" spans="1:5" x14ac:dyDescent="0.25">
      <c r="A30">
        <v>2.5998474802500002</v>
      </c>
      <c r="B30">
        <v>8.6334112309567307E-2</v>
      </c>
      <c r="C30">
        <f t="shared" si="0"/>
        <v>7.1937209374791186E-2</v>
      </c>
      <c r="D30">
        <f t="shared" si="1"/>
        <v>1.4396902934776121E-2</v>
      </c>
      <c r="E30">
        <f t="shared" si="2"/>
        <v>2.0727081411336528E-4</v>
      </c>
    </row>
    <row r="31" spans="1:5" x14ac:dyDescent="0.25">
      <c r="A31">
        <v>2.68793319175</v>
      </c>
      <c r="B31">
        <v>7.4204526282603295E-2</v>
      </c>
      <c r="C31">
        <f t="shared" si="0"/>
        <v>6.4106105621457271E-2</v>
      </c>
      <c r="D31">
        <f t="shared" si="1"/>
        <v>1.0098420661146024E-2</v>
      </c>
      <c r="E31">
        <f t="shared" si="2"/>
        <v>1.019780998494609E-4</v>
      </c>
    </row>
    <row r="32" spans="1:5" x14ac:dyDescent="0.25">
      <c r="A32">
        <v>2.7760189032500007</v>
      </c>
      <c r="B32">
        <v>7.1350506040964712E-2</v>
      </c>
      <c r="C32">
        <f t="shared" si="0"/>
        <v>5.7063992964883271E-2</v>
      </c>
      <c r="D32">
        <f t="shared" si="1"/>
        <v>1.428651307608144E-2</v>
      </c>
      <c r="E32">
        <f t="shared" si="2"/>
        <v>2.0410445587304597E-4</v>
      </c>
    </row>
    <row r="33" spans="1:5" x14ac:dyDescent="0.25">
      <c r="A33">
        <v>2.8641046147500004</v>
      </c>
      <c r="B33">
        <v>6.7782980738916476E-2</v>
      </c>
      <c r="C33">
        <f t="shared" si="0"/>
        <v>5.074084888937111E-2</v>
      </c>
      <c r="D33">
        <f t="shared" si="1"/>
        <v>1.7042131849545367E-2</v>
      </c>
      <c r="E33">
        <f t="shared" si="2"/>
        <v>2.9043425797728857E-4</v>
      </c>
    </row>
    <row r="34" spans="1:5" x14ac:dyDescent="0.25">
      <c r="A34">
        <v>2.9521903262500002</v>
      </c>
      <c r="B34">
        <v>4.2810303624578827E-2</v>
      </c>
      <c r="C34">
        <f t="shared" si="0"/>
        <v>4.5071380679721391E-2</v>
      </c>
      <c r="D34">
        <f t="shared" si="1"/>
        <v>-2.2610770551425644E-3</v>
      </c>
      <c r="E34">
        <f t="shared" si="2"/>
        <v>5.1124694492921707E-6</v>
      </c>
    </row>
    <row r="35" spans="1:5" x14ac:dyDescent="0.25">
      <c r="A35">
        <v>3.04027603775</v>
      </c>
      <c r="B35">
        <v>4.1383293503759536E-2</v>
      </c>
      <c r="C35">
        <f t="shared" si="0"/>
        <v>3.9994965165329313E-2</v>
      </c>
      <c r="D35">
        <f t="shared" si="1"/>
        <v>1.3883283384302225E-3</v>
      </c>
      <c r="E35">
        <f t="shared" si="2"/>
        <v>1.9274555752884224E-6</v>
      </c>
    </row>
    <row r="36" spans="1:5" x14ac:dyDescent="0.25">
      <c r="A36">
        <v>3.1283617492500002</v>
      </c>
      <c r="B36">
        <v>3.496174796007271E-2</v>
      </c>
      <c r="C36">
        <f t="shared" si="0"/>
        <v>3.5455530207600991E-2</v>
      </c>
      <c r="D36">
        <f t="shared" si="1"/>
        <v>-4.9378224752828076E-4</v>
      </c>
      <c r="E36">
        <f t="shared" si="2"/>
        <v>2.4382090797408035E-7</v>
      </c>
    </row>
    <row r="37" spans="1:5" x14ac:dyDescent="0.25">
      <c r="A37">
        <v>3.2164474607500004</v>
      </c>
      <c r="B37">
        <v>2.8540202416385885E-2</v>
      </c>
      <c r="C37">
        <f t="shared" si="0"/>
        <v>3.140139288186574E-2</v>
      </c>
      <c r="D37">
        <f t="shared" si="1"/>
        <v>-2.8611904654798556E-3</v>
      </c>
      <c r="E37">
        <f t="shared" si="2"/>
        <v>8.186410879752833E-6</v>
      </c>
    </row>
    <row r="38" spans="1:5" x14ac:dyDescent="0.25">
      <c r="A38">
        <v>3.3045331722500002</v>
      </c>
      <c r="B38">
        <v>2.2118656872699059E-2</v>
      </c>
      <c r="C38">
        <f t="shared" si="0"/>
        <v>2.7785066576833869E-2</v>
      </c>
      <c r="D38">
        <f t="shared" si="1"/>
        <v>-5.6664097041348102E-3</v>
      </c>
      <c r="E38">
        <f t="shared" si="2"/>
        <v>3.2108198935113145E-5</v>
      </c>
    </row>
    <row r="39" spans="1:5" x14ac:dyDescent="0.25">
      <c r="A39">
        <v>3.39261888375</v>
      </c>
      <c r="B39">
        <v>1.7837626510241178E-2</v>
      </c>
      <c r="C39">
        <f t="shared" si="0"/>
        <v>2.4563046949019868E-2</v>
      </c>
      <c r="D39">
        <f t="shared" si="1"/>
        <v>-6.7254204387786898E-3</v>
      </c>
      <c r="E39">
        <f t="shared" si="2"/>
        <v>4.5231280078342145E-5</v>
      </c>
    </row>
    <row r="40" spans="1:5" x14ac:dyDescent="0.25">
      <c r="A40">
        <v>3.4807045952499998</v>
      </c>
      <c r="B40">
        <v>1.4270101208192942E-2</v>
      </c>
      <c r="C40">
        <f t="shared" si="0"/>
        <v>2.1695584755375696E-2</v>
      </c>
      <c r="D40">
        <f t="shared" si="1"/>
        <v>-7.4254835471827541E-3</v>
      </c>
      <c r="E40">
        <f t="shared" si="2"/>
        <v>5.5137805909481779E-5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71D5-2632-4F8B-856D-3FA29A57A3B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4.583362056250001E-2</v>
      </c>
      <c r="B1">
        <v>0.35856051721037396</v>
      </c>
      <c r="C1">
        <f>$H$3*(1+$H$1)*(A1^($H$1))*EXP(-$H$3*(A1^(1+$H$1)))</f>
        <v>0.48924437638091056</v>
      </c>
      <c r="D1">
        <f>B1-C1</f>
        <v>-0.1306838591705366</v>
      </c>
      <c r="E1">
        <f>D1^2</f>
        <v>1.7078271047704641E-2</v>
      </c>
      <c r="G1" t="s">
        <v>0</v>
      </c>
      <c r="H1">
        <v>0.27343256249654302</v>
      </c>
    </row>
    <row r="2" spans="1:8" x14ac:dyDescent="0.25">
      <c r="A2">
        <v>0.13241259168750003</v>
      </c>
      <c r="B2">
        <v>0.43695026591223712</v>
      </c>
      <c r="C2">
        <f t="shared" ref="C2:C40" si="0">$H$3*(1+$H$1)*(A2^($H$1))*EXP(-$H$3*(A2^(1+$H$1)))</f>
        <v>0.6211999305881134</v>
      </c>
      <c r="D2">
        <f t="shared" ref="D2:D40" si="1">B2-C2</f>
        <v>-0.18424966467587628</v>
      </c>
      <c r="E2">
        <f t="shared" ref="E2:E40" si="2">D2^2</f>
        <v>3.3947938933172848E-2</v>
      </c>
    </row>
    <row r="3" spans="1:8" x14ac:dyDescent="0.25">
      <c r="A3">
        <v>0.21899156281250001</v>
      </c>
      <c r="B3">
        <v>1.0212442261437169</v>
      </c>
      <c r="C3">
        <f t="shared" si="0"/>
        <v>0.66986360317466187</v>
      </c>
      <c r="D3">
        <f t="shared" si="1"/>
        <v>0.35138062296905503</v>
      </c>
      <c r="E3">
        <f t="shared" si="2"/>
        <v>0.12346834219812121</v>
      </c>
      <c r="G3" t="s">
        <v>1</v>
      </c>
      <c r="H3">
        <f>(_xlfn.GAMMA((2+$H$1)/(1+$H$1)))^(1+$H$1)</f>
        <v>0.90868122080009295</v>
      </c>
    </row>
    <row r="4" spans="1:8" x14ac:dyDescent="0.25">
      <c r="A4">
        <v>0.3055705339375</v>
      </c>
      <c r="B4">
        <v>0.80494658620709458</v>
      </c>
      <c r="C4">
        <f t="shared" si="0"/>
        <v>0.68454105364194151</v>
      </c>
      <c r="D4">
        <f t="shared" si="1"/>
        <v>0.12040553256515307</v>
      </c>
      <c r="E4">
        <f t="shared" si="2"/>
        <v>1.4497492272298138E-2</v>
      </c>
    </row>
    <row r="5" spans="1:8" x14ac:dyDescent="0.25">
      <c r="A5">
        <v>0.39214950506250001</v>
      </c>
      <c r="B5">
        <v>0.67574866705032022</v>
      </c>
      <c r="C5">
        <f t="shared" si="0"/>
        <v>0.67985525436766769</v>
      </c>
      <c r="D5">
        <f t="shared" si="1"/>
        <v>-4.1065873173474765E-3</v>
      </c>
      <c r="E5">
        <f t="shared" si="2"/>
        <v>1.6864059394999142E-5</v>
      </c>
      <c r="G5" t="s">
        <v>2</v>
      </c>
      <c r="H5">
        <f>SUM(E1:E40)</f>
        <v>0.22382576746219823</v>
      </c>
    </row>
    <row r="6" spans="1:8" x14ac:dyDescent="0.25">
      <c r="A6">
        <v>0.47872847618749997</v>
      </c>
      <c r="B6">
        <v>0.61187553847843168</v>
      </c>
      <c r="C6">
        <f t="shared" si="0"/>
        <v>0.66291102174667038</v>
      </c>
      <c r="D6">
        <f t="shared" si="1"/>
        <v>-5.1035483268238702E-2</v>
      </c>
      <c r="E6">
        <f t="shared" si="2"/>
        <v>2.6046205524226725E-3</v>
      </c>
    </row>
    <row r="7" spans="1:8" x14ac:dyDescent="0.25">
      <c r="A7">
        <v>0.56530744731249993</v>
      </c>
      <c r="B7">
        <v>0.58211646721198362</v>
      </c>
      <c r="C7">
        <f t="shared" si="0"/>
        <v>0.63794011773548498</v>
      </c>
      <c r="D7">
        <f t="shared" si="1"/>
        <v>-5.5823650523501356E-2</v>
      </c>
      <c r="E7">
        <f t="shared" si="2"/>
        <v>3.116279957770013E-3</v>
      </c>
    </row>
    <row r="8" spans="1:8" x14ac:dyDescent="0.25">
      <c r="A8">
        <v>0.65188641843749995</v>
      </c>
      <c r="B8">
        <v>0.53421162078306728</v>
      </c>
      <c r="C8">
        <f t="shared" si="0"/>
        <v>0.60774751922546466</v>
      </c>
      <c r="D8">
        <f t="shared" si="1"/>
        <v>-7.3535898442397385E-2</v>
      </c>
      <c r="E8">
        <f t="shared" si="2"/>
        <v>5.4075283597305821E-3</v>
      </c>
    </row>
    <row r="9" spans="1:8" x14ac:dyDescent="0.25">
      <c r="A9">
        <v>0.73846538956249996</v>
      </c>
      <c r="B9">
        <v>0.5400182688350571</v>
      </c>
      <c r="C9">
        <f t="shared" si="0"/>
        <v>0.57430804252944123</v>
      </c>
      <c r="D9">
        <f t="shared" si="1"/>
        <v>-3.4289773694384129E-2</v>
      </c>
      <c r="E9">
        <f t="shared" si="2"/>
        <v>1.1757885800120777E-3</v>
      </c>
    </row>
    <row r="10" spans="1:8" x14ac:dyDescent="0.25">
      <c r="A10">
        <v>0.82504436068749998</v>
      </c>
      <c r="B10">
        <v>0.47832263328266489</v>
      </c>
      <c r="C10">
        <f t="shared" si="0"/>
        <v>0.53906021487516476</v>
      </c>
      <c r="D10">
        <f t="shared" si="1"/>
        <v>-6.0737581592499867E-2</v>
      </c>
      <c r="E10">
        <f t="shared" si="2"/>
        <v>3.6890538177055789E-3</v>
      </c>
    </row>
    <row r="11" spans="1:8" x14ac:dyDescent="0.25">
      <c r="A11">
        <v>0.91162333181249999</v>
      </c>
      <c r="B11">
        <v>0.44783773100971808</v>
      </c>
      <c r="C11">
        <f t="shared" si="0"/>
        <v>0.50307050904527506</v>
      </c>
      <c r="D11">
        <f t="shared" si="1"/>
        <v>-5.5232778035556984E-2</v>
      </c>
      <c r="E11">
        <f t="shared" si="2"/>
        <v>3.0506597695251062E-3</v>
      </c>
    </row>
    <row r="12" spans="1:8" x14ac:dyDescent="0.25">
      <c r="A12">
        <v>0.99820230293750001</v>
      </c>
      <c r="B12">
        <v>0.42751446282775357</v>
      </c>
      <c r="C12">
        <f t="shared" si="0"/>
        <v>0.46713433489825923</v>
      </c>
      <c r="D12">
        <f t="shared" si="1"/>
        <v>-3.9619872070505657E-2</v>
      </c>
      <c r="E12">
        <f t="shared" si="2"/>
        <v>1.5697342628832342E-3</v>
      </c>
    </row>
    <row r="13" spans="1:8" x14ac:dyDescent="0.25">
      <c r="A13">
        <v>1.0847812740625</v>
      </c>
      <c r="B13">
        <v>0.41444950471077641</v>
      </c>
      <c r="C13">
        <f t="shared" si="0"/>
        <v>0.43184292438944544</v>
      </c>
      <c r="D13">
        <f t="shared" si="1"/>
        <v>-1.7393419678669031E-2</v>
      </c>
      <c r="E13">
        <f t="shared" si="2"/>
        <v>3.0253104811831107E-4</v>
      </c>
    </row>
    <row r="14" spans="1:8" x14ac:dyDescent="0.25">
      <c r="A14">
        <v>1.1713602451875</v>
      </c>
      <c r="B14">
        <v>0.40501370162629285</v>
      </c>
      <c r="C14">
        <f t="shared" si="0"/>
        <v>0.39763026445749161</v>
      </c>
      <c r="D14">
        <f t="shared" si="1"/>
        <v>7.3834371688012435E-3</v>
      </c>
      <c r="E14">
        <f t="shared" si="2"/>
        <v>5.4515144425635719E-5</v>
      </c>
    </row>
    <row r="15" spans="1:8" x14ac:dyDescent="0.25">
      <c r="A15">
        <v>1.2579392163125001</v>
      </c>
      <c r="B15">
        <v>0.32226896688543732</v>
      </c>
      <c r="C15">
        <f t="shared" si="0"/>
        <v>0.36480753290184387</v>
      </c>
      <c r="D15">
        <f t="shared" si="1"/>
        <v>-4.2538566016406543E-2</v>
      </c>
      <c r="E15">
        <f t="shared" si="2"/>
        <v>1.8095295987321776E-3</v>
      </c>
    </row>
    <row r="16" spans="1:8" x14ac:dyDescent="0.25">
      <c r="A16">
        <v>1.3445181874375001</v>
      </c>
      <c r="B16">
        <v>0.3375114180219107</v>
      </c>
      <c r="C16">
        <f t="shared" si="0"/>
        <v>0.33358923694276771</v>
      </c>
      <c r="D16">
        <f t="shared" si="1"/>
        <v>3.9221810791429945E-3</v>
      </c>
      <c r="E16">
        <f t="shared" si="2"/>
        <v>1.5383504417587304E-5</v>
      </c>
    </row>
    <row r="17" spans="1:5" x14ac:dyDescent="0.25">
      <c r="A17">
        <v>1.4310971585625001</v>
      </c>
      <c r="B17">
        <v>0.29105823360599181</v>
      </c>
      <c r="C17">
        <f t="shared" si="0"/>
        <v>0.30411356166846076</v>
      </c>
      <c r="D17">
        <f t="shared" si="1"/>
        <v>-1.3055328062468952E-2</v>
      </c>
      <c r="E17">
        <f t="shared" si="2"/>
        <v>1.7044159081868932E-4</v>
      </c>
    </row>
    <row r="18" spans="1:5" x14ac:dyDescent="0.25">
      <c r="A18">
        <v>1.5176761296875001</v>
      </c>
      <c r="B18">
        <v>0.30992983977495886</v>
      </c>
      <c r="C18">
        <f t="shared" si="0"/>
        <v>0.27645850447629389</v>
      </c>
      <c r="D18">
        <f t="shared" si="1"/>
        <v>3.3471335298664973E-2</v>
      </c>
      <c r="E18">
        <f t="shared" si="2"/>
        <v>1.1203302866756558E-3</v>
      </c>
    </row>
    <row r="19" spans="1:5" x14ac:dyDescent="0.25">
      <c r="A19">
        <v>1.6042551008124999</v>
      </c>
      <c r="B19">
        <v>0.28234826152800702</v>
      </c>
      <c r="C19">
        <f t="shared" si="0"/>
        <v>0.25065483379331222</v>
      </c>
      <c r="D19">
        <f t="shared" si="1"/>
        <v>3.1693427734694801E-2</v>
      </c>
      <c r="E19">
        <f t="shared" si="2"/>
        <v>1.0044733615743216E-3</v>
      </c>
    </row>
    <row r="20" spans="1:5" x14ac:dyDescent="0.25">
      <c r="A20">
        <v>1.6908340719375001</v>
      </c>
      <c r="B20">
        <v>0.23299175308609321</v>
      </c>
      <c r="C20">
        <f t="shared" si="0"/>
        <v>0.22669658595091657</v>
      </c>
      <c r="D20">
        <f t="shared" si="1"/>
        <v>6.2951671351766381E-3</v>
      </c>
      <c r="E20">
        <f t="shared" si="2"/>
        <v>3.962912925980804E-5</v>
      </c>
    </row>
    <row r="21" spans="1:5" x14ac:dyDescent="0.25">
      <c r="A21">
        <v>1.7774130430625001</v>
      </c>
      <c r="B21">
        <v>0.23008842906009827</v>
      </c>
      <c r="C21">
        <f t="shared" si="0"/>
        <v>0.20454961049931839</v>
      </c>
      <c r="D21">
        <f t="shared" si="1"/>
        <v>2.5538818560779886E-2</v>
      </c>
      <c r="E21">
        <f t="shared" si="2"/>
        <v>6.5223125348043518E-4</v>
      </c>
    </row>
    <row r="22" spans="1:5" x14ac:dyDescent="0.25">
      <c r="A22">
        <v>1.8639920141875002</v>
      </c>
      <c r="B22">
        <v>0.20831349886513628</v>
      </c>
      <c r="C22">
        <f t="shared" si="0"/>
        <v>0.18415854164585876</v>
      </c>
      <c r="D22">
        <f t="shared" si="1"/>
        <v>2.4154957219277517E-2</v>
      </c>
      <c r="E22">
        <f t="shared" si="2"/>
        <v>5.8346195826512704E-4</v>
      </c>
    </row>
    <row r="23" spans="1:5" x14ac:dyDescent="0.25">
      <c r="A23">
        <v>1.9505709853125002</v>
      </c>
      <c r="B23">
        <v>0.21121682289113122</v>
      </c>
      <c r="C23">
        <f t="shared" si="0"/>
        <v>0.16545248401849444</v>
      </c>
      <c r="D23">
        <f t="shared" si="1"/>
        <v>4.5764338872636784E-2</v>
      </c>
      <c r="E23">
        <f t="shared" si="2"/>
        <v>2.0943747124495342E-3</v>
      </c>
    </row>
    <row r="24" spans="1:5" x14ac:dyDescent="0.25">
      <c r="A24">
        <v>2.0371499564375002</v>
      </c>
      <c r="B24">
        <v>0.17855442759868825</v>
      </c>
      <c r="C24">
        <f t="shared" si="0"/>
        <v>0.14834963847649502</v>
      </c>
      <c r="D24">
        <f t="shared" si="1"/>
        <v>3.0204789122193237E-2</v>
      </c>
      <c r="E24">
        <f t="shared" si="2"/>
        <v>9.1232928591616295E-4</v>
      </c>
    </row>
    <row r="25" spans="1:5" x14ac:dyDescent="0.25">
      <c r="A25">
        <v>2.1237289275625</v>
      </c>
      <c r="B25">
        <v>0.16694113149470852</v>
      </c>
      <c r="C25">
        <f t="shared" si="0"/>
        <v>0.13276104861793289</v>
      </c>
      <c r="D25">
        <f t="shared" si="1"/>
        <v>3.4180082876775625E-2</v>
      </c>
      <c r="E25">
        <f t="shared" si="2"/>
        <v>1.1682780654632503E-3</v>
      </c>
    </row>
    <row r="26" spans="1:5" x14ac:dyDescent="0.25">
      <c r="A26">
        <v>2.2103078986875002</v>
      </c>
      <c r="B26">
        <v>0.14806952532574147</v>
      </c>
      <c r="C26">
        <f t="shared" si="0"/>
        <v>0.11859361510067234</v>
      </c>
      <c r="D26">
        <f t="shared" si="1"/>
        <v>2.9475910225069124E-2</v>
      </c>
      <c r="E26">
        <f t="shared" si="2"/>
        <v>8.6882928359633457E-4</v>
      </c>
    </row>
    <row r="27" spans="1:5" x14ac:dyDescent="0.25">
      <c r="A27">
        <v>2.2968868698125</v>
      </c>
      <c r="B27">
        <v>0.13137541217627063</v>
      </c>
      <c r="C27">
        <f t="shared" si="0"/>
        <v>0.10575249922642158</v>
      </c>
      <c r="D27">
        <f t="shared" si="1"/>
        <v>2.5622912949849058E-2</v>
      </c>
      <c r="E27">
        <f t="shared" si="2"/>
        <v>6.5653366803554252E-4</v>
      </c>
    </row>
    <row r="28" spans="1:5" x14ac:dyDescent="0.25">
      <c r="A28">
        <v>2.3834658409375002</v>
      </c>
      <c r="B28">
        <v>0.12121377808528837</v>
      </c>
      <c r="C28">
        <f t="shared" si="0"/>
        <v>9.4143017083622119E-2</v>
      </c>
      <c r="D28">
        <f t="shared" si="1"/>
        <v>2.7070761001666249E-2</v>
      </c>
      <c r="E28">
        <f t="shared" si="2"/>
        <v>7.3282610120933421E-4</v>
      </c>
    </row>
    <row r="29" spans="1:5" x14ac:dyDescent="0.25">
      <c r="A29">
        <v>2.4700448120624996</v>
      </c>
      <c r="B29">
        <v>0.10742298896181245</v>
      </c>
      <c r="C29">
        <f t="shared" si="0"/>
        <v>8.3672109365778222E-2</v>
      </c>
      <c r="D29">
        <f t="shared" si="1"/>
        <v>2.3750879596034224E-2</v>
      </c>
      <c r="E29">
        <f t="shared" si="2"/>
        <v>5.641042815853148E-4</v>
      </c>
    </row>
    <row r="30" spans="1:5" x14ac:dyDescent="0.25">
      <c r="A30">
        <v>2.5566237831874998</v>
      </c>
      <c r="B30">
        <v>9.1454706818840326E-2</v>
      </c>
      <c r="C30">
        <f t="shared" si="0"/>
        <v>7.4249458749165123E-2</v>
      </c>
      <c r="D30">
        <f t="shared" si="1"/>
        <v>1.7205248069675202E-2</v>
      </c>
      <c r="E30">
        <f t="shared" si="2"/>
        <v>2.9602056113906227E-4</v>
      </c>
    </row>
    <row r="31" spans="1:5" x14ac:dyDescent="0.25">
      <c r="A31">
        <v>2.6432027543125001</v>
      </c>
      <c r="B31">
        <v>7.5486424675868205E-2</v>
      </c>
      <c r="C31">
        <f t="shared" si="0"/>
        <v>6.5788315725841248E-2</v>
      </c>
      <c r="D31">
        <f t="shared" si="1"/>
        <v>9.6981089500269568E-3</v>
      </c>
      <c r="E31">
        <f t="shared" si="2"/>
        <v>9.4053317206592958E-5</v>
      </c>
    </row>
    <row r="32" spans="1:5" x14ac:dyDescent="0.25">
      <c r="A32">
        <v>2.7297817254375003</v>
      </c>
      <c r="B32">
        <v>7.4034762662870734E-2</v>
      </c>
      <c r="C32">
        <f t="shared" si="0"/>
        <v>5.8206084554401259E-2</v>
      </c>
      <c r="D32">
        <f t="shared" si="1"/>
        <v>1.5828678108469475E-2</v>
      </c>
      <c r="E32">
        <f t="shared" si="2"/>
        <v>2.5054705066154082E-4</v>
      </c>
    </row>
    <row r="33" spans="1:5" x14ac:dyDescent="0.25">
      <c r="A33">
        <v>2.8163606965625001</v>
      </c>
      <c r="B33">
        <v>7.4760593669369477E-2</v>
      </c>
      <c r="C33">
        <f t="shared" si="0"/>
        <v>5.1424713161544136E-2</v>
      </c>
      <c r="D33">
        <f t="shared" si="1"/>
        <v>2.3335880507825341E-2</v>
      </c>
      <c r="E33">
        <f t="shared" si="2"/>
        <v>5.4456331907550264E-4</v>
      </c>
    </row>
    <row r="34" spans="1:5" x14ac:dyDescent="0.25">
      <c r="A34">
        <v>2.9029396676874999</v>
      </c>
      <c r="B34">
        <v>5.0808170454911289E-2</v>
      </c>
      <c r="C34">
        <f t="shared" si="0"/>
        <v>4.537092414535604E-2</v>
      </c>
      <c r="D34">
        <f t="shared" si="1"/>
        <v>5.4372463095552492E-3</v>
      </c>
      <c r="E34">
        <f t="shared" si="2"/>
        <v>2.9563647430772176E-5</v>
      </c>
    </row>
    <row r="35" spans="1:5" x14ac:dyDescent="0.25">
      <c r="A35">
        <v>2.9895186388125001</v>
      </c>
      <c r="B35">
        <v>3.6291550324936639E-2</v>
      </c>
      <c r="C35">
        <f t="shared" si="0"/>
        <v>3.9976318302957663E-2</v>
      </c>
      <c r="D35">
        <f t="shared" si="1"/>
        <v>-3.6847679780210238E-3</v>
      </c>
      <c r="E35">
        <f t="shared" si="2"/>
        <v>1.3577515051849144E-5</v>
      </c>
    </row>
    <row r="36" spans="1:5" x14ac:dyDescent="0.25">
      <c r="A36">
        <v>3.0760976099375004</v>
      </c>
      <c r="B36">
        <v>4.064653636392903E-2</v>
      </c>
      <c r="C36">
        <f t="shared" si="0"/>
        <v>3.5177377181579816E-2</v>
      </c>
      <c r="D36">
        <f t="shared" si="1"/>
        <v>5.4691591823492133E-3</v>
      </c>
      <c r="E36">
        <f t="shared" si="2"/>
        <v>2.9911702161874717E-5</v>
      </c>
    </row>
    <row r="37" spans="1:5" x14ac:dyDescent="0.25">
      <c r="A37">
        <v>3.1626765810625002</v>
      </c>
      <c r="B37">
        <v>3.4839888311939168E-2</v>
      </c>
      <c r="C37">
        <f t="shared" si="0"/>
        <v>3.0915386915011663E-2</v>
      </c>
      <c r="D37">
        <f t="shared" si="1"/>
        <v>3.9245013969275051E-3</v>
      </c>
      <c r="E37">
        <f t="shared" si="2"/>
        <v>1.5401711214485939E-5</v>
      </c>
    </row>
    <row r="38" spans="1:5" x14ac:dyDescent="0.25">
      <c r="A38">
        <v>3.2492555521875</v>
      </c>
      <c r="B38">
        <v>2.4678254220956913E-2</v>
      </c>
      <c r="C38">
        <f t="shared" si="0"/>
        <v>2.7136301960863123E-2</v>
      </c>
      <c r="D38">
        <f t="shared" si="1"/>
        <v>-2.4580477399062106E-3</v>
      </c>
      <c r="E38">
        <f t="shared" si="2"/>
        <v>6.0419986916580298E-6</v>
      </c>
    </row>
    <row r="39" spans="1:5" x14ac:dyDescent="0.25">
      <c r="A39">
        <v>3.3358345233125002</v>
      </c>
      <c r="B39">
        <v>1.0887465097480991E-2</v>
      </c>
      <c r="C39">
        <f t="shared" si="0"/>
        <v>2.3790564218824369E-2</v>
      </c>
      <c r="D39">
        <f t="shared" si="1"/>
        <v>-1.2903099121343378E-2</v>
      </c>
      <c r="E39">
        <f t="shared" si="2"/>
        <v>1.6648996693521224E-4</v>
      </c>
    </row>
    <row r="40" spans="1:5" x14ac:dyDescent="0.25">
      <c r="A40">
        <v>3.4224134944375004</v>
      </c>
      <c r="B40">
        <v>1.8145775162468319E-2</v>
      </c>
      <c r="C40">
        <f t="shared" si="0"/>
        <v>2.0832890319166731E-2</v>
      </c>
      <c r="D40">
        <f t="shared" si="1"/>
        <v>-2.6871151566984115E-3</v>
      </c>
      <c r="E40">
        <f t="shared" si="2"/>
        <v>7.2205878653583291E-6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A7C4-A6B3-4323-870C-23CF38C389E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4.7523867649999996E-2</v>
      </c>
      <c r="B1">
        <v>0.31199800920054671</v>
      </c>
      <c r="C1">
        <f>$H$3*(1+$H$1)*(A1^($H$1))*EXP(-$H$3*(A1^(1+$H$1)))</f>
        <v>0.41797334703787808</v>
      </c>
      <c r="D1">
        <f>B1-C1</f>
        <v>-0.10597533783733137</v>
      </c>
      <c r="E1">
        <f>D1^2</f>
        <v>1.1230772229736518E-2</v>
      </c>
      <c r="G1" t="s">
        <v>0</v>
      </c>
      <c r="H1">
        <v>0.33992692870389069</v>
      </c>
    </row>
    <row r="2" spans="1:8" x14ac:dyDescent="0.25">
      <c r="A2">
        <v>0.13191758895</v>
      </c>
      <c r="B2">
        <v>0.41699017936111255</v>
      </c>
      <c r="C2">
        <f t="shared" ref="C2:C40" si="0">$H$3*(1+$H$1)*(A2^($H$1))*EXP(-$H$3*(A2^(1+$H$1)))</f>
        <v>0.56589493149616987</v>
      </c>
      <c r="D2">
        <f t="shared" ref="D2:D40" si="1">B2-C2</f>
        <v>-0.14890475213505733</v>
      </c>
      <c r="E2">
        <f t="shared" ref="E2:E40" si="2">D2^2</f>
        <v>2.2172625208402859E-2</v>
      </c>
    </row>
    <row r="3" spans="1:8" x14ac:dyDescent="0.25">
      <c r="A3">
        <v>0.21631131025</v>
      </c>
      <c r="B3">
        <v>0.54283185848973403</v>
      </c>
      <c r="C3">
        <f t="shared" si="0"/>
        <v>0.63331110027616266</v>
      </c>
      <c r="D3">
        <f t="shared" si="1"/>
        <v>-9.0479241786428632E-2</v>
      </c>
      <c r="E3">
        <f t="shared" si="2"/>
        <v>8.1864931942470139E-3</v>
      </c>
      <c r="G3" t="s">
        <v>1</v>
      </c>
      <c r="H3">
        <f>(_xlfn.GAMMA((2+$H$1)/(1+$H$1)))^(1+$H$1)</f>
        <v>0.89198304389509042</v>
      </c>
    </row>
    <row r="4" spans="1:8" x14ac:dyDescent="0.25">
      <c r="A4">
        <v>0.30070503155</v>
      </c>
      <c r="B4">
        <v>1.0722604612142894</v>
      </c>
      <c r="C4">
        <f t="shared" si="0"/>
        <v>0.66468755784325795</v>
      </c>
      <c r="D4">
        <f t="shared" si="1"/>
        <v>0.40757290337103147</v>
      </c>
      <c r="E4">
        <f t="shared" si="2"/>
        <v>0.16611567156229215</v>
      </c>
    </row>
    <row r="5" spans="1:8" x14ac:dyDescent="0.25">
      <c r="A5">
        <v>0.38509875285</v>
      </c>
      <c r="B5">
        <v>0.82057710295704656</v>
      </c>
      <c r="C5">
        <f t="shared" si="0"/>
        <v>0.67407485334067241</v>
      </c>
      <c r="D5">
        <f t="shared" si="1"/>
        <v>0.14650224961637415</v>
      </c>
      <c r="E5">
        <f t="shared" si="2"/>
        <v>2.1462909142658398E-2</v>
      </c>
      <c r="G5" t="s">
        <v>2</v>
      </c>
      <c r="H5">
        <f>SUM(E1:E40)</f>
        <v>0.2660938618355953</v>
      </c>
    </row>
    <row r="6" spans="1:8" x14ac:dyDescent="0.25">
      <c r="A6">
        <v>0.46949247415000001</v>
      </c>
      <c r="B6">
        <v>0.69399079850813739</v>
      </c>
      <c r="C6">
        <f t="shared" si="0"/>
        <v>0.66859481283284083</v>
      </c>
      <c r="D6">
        <f t="shared" si="1"/>
        <v>2.5395985675296551E-2</v>
      </c>
      <c r="E6">
        <f t="shared" si="2"/>
        <v>6.4495608841986759E-4</v>
      </c>
    </row>
    <row r="7" spans="1:8" x14ac:dyDescent="0.25">
      <c r="A7">
        <v>0.55388619545000006</v>
      </c>
      <c r="B7">
        <v>0.61208201327649026</v>
      </c>
      <c r="C7">
        <f t="shared" si="0"/>
        <v>0.65266864365389166</v>
      </c>
      <c r="D7">
        <f t="shared" si="1"/>
        <v>-4.05866303774014E-2</v>
      </c>
      <c r="E7">
        <f t="shared" si="2"/>
        <v>1.6472745653918022E-3</v>
      </c>
    </row>
    <row r="8" spans="1:8" x14ac:dyDescent="0.25">
      <c r="A8">
        <v>0.63827991674999995</v>
      </c>
      <c r="B8">
        <v>0.57485074726210517</v>
      </c>
      <c r="C8">
        <f t="shared" si="0"/>
        <v>0.62935370896349041</v>
      </c>
      <c r="D8">
        <f t="shared" si="1"/>
        <v>-5.4502961701385244E-2</v>
      </c>
      <c r="E8">
        <f t="shared" si="2"/>
        <v>2.9705728342226665E-3</v>
      </c>
    </row>
    <row r="9" spans="1:8" x14ac:dyDescent="0.25">
      <c r="A9">
        <v>0.72267363805000007</v>
      </c>
      <c r="B9">
        <v>0.55697973957520031</v>
      </c>
      <c r="C9">
        <f t="shared" si="0"/>
        <v>0.6008972783392974</v>
      </c>
      <c r="D9">
        <f t="shared" si="1"/>
        <v>-4.3917538764097097E-2</v>
      </c>
      <c r="E9">
        <f t="shared" si="2"/>
        <v>1.9287502110959711E-3</v>
      </c>
    </row>
    <row r="10" spans="1:8" x14ac:dyDescent="0.25">
      <c r="A10">
        <v>0.80706735934999996</v>
      </c>
      <c r="B10">
        <v>0.513046845678226</v>
      </c>
      <c r="C10">
        <f t="shared" si="0"/>
        <v>0.56900936950429637</v>
      </c>
      <c r="D10">
        <f t="shared" si="1"/>
        <v>-5.5962523826070365E-2</v>
      </c>
      <c r="E10">
        <f t="shared" si="2"/>
        <v>3.1318040729834931E-3</v>
      </c>
    </row>
    <row r="11" spans="1:8" x14ac:dyDescent="0.25">
      <c r="A11">
        <v>0.89146108065000007</v>
      </c>
      <c r="B11">
        <v>0.46390157453923775</v>
      </c>
      <c r="C11">
        <f t="shared" si="0"/>
        <v>0.53501544885195695</v>
      </c>
      <c r="D11">
        <f t="shared" si="1"/>
        <v>-7.1113874312719205E-2</v>
      </c>
      <c r="E11">
        <f t="shared" si="2"/>
        <v>5.0571831197652245E-3</v>
      </c>
    </row>
    <row r="12" spans="1:8" x14ac:dyDescent="0.25">
      <c r="A12">
        <v>0.97585480195000007</v>
      </c>
      <c r="B12">
        <v>0.42369180724370187</v>
      </c>
      <c r="C12">
        <f t="shared" si="0"/>
        <v>0.49995091961595534</v>
      </c>
      <c r="D12">
        <f t="shared" si="1"/>
        <v>-7.6259112372253468E-2</v>
      </c>
      <c r="E12">
        <f t="shared" si="2"/>
        <v>5.8154522198039819E-3</v>
      </c>
    </row>
    <row r="13" spans="1:8" x14ac:dyDescent="0.25">
      <c r="A13">
        <v>1.0602485232500001</v>
      </c>
      <c r="B13">
        <v>0.4274149338451404</v>
      </c>
      <c r="C13">
        <f t="shared" si="0"/>
        <v>0.46462453522524799</v>
      </c>
      <c r="D13">
        <f t="shared" si="1"/>
        <v>-3.7209601380107593E-2</v>
      </c>
      <c r="E13">
        <f t="shared" si="2"/>
        <v>1.3845544348665049E-3</v>
      </c>
    </row>
    <row r="14" spans="1:8" x14ac:dyDescent="0.25">
      <c r="A14">
        <v>1.14464224455</v>
      </c>
      <c r="B14">
        <v>0.41699017936111255</v>
      </c>
      <c r="C14">
        <f t="shared" si="0"/>
        <v>0.4296638289948293</v>
      </c>
      <c r="D14">
        <f t="shared" si="1"/>
        <v>-1.2673649633716755E-2</v>
      </c>
      <c r="E14">
        <f t="shared" si="2"/>
        <v>1.6062139503820883E-4</v>
      </c>
    </row>
    <row r="15" spans="1:8" x14ac:dyDescent="0.25">
      <c r="A15">
        <v>1.2290359658500001</v>
      </c>
      <c r="B15">
        <v>0.36561103226126118</v>
      </c>
      <c r="C15">
        <f t="shared" si="0"/>
        <v>0.39554937054660344</v>
      </c>
      <c r="D15">
        <f t="shared" si="1"/>
        <v>-2.9938338285342259E-2</v>
      </c>
      <c r="E15">
        <f t="shared" si="2"/>
        <v>8.9630409928759009E-4</v>
      </c>
    </row>
    <row r="16" spans="1:8" x14ac:dyDescent="0.25">
      <c r="A16">
        <v>1.3134296871500002</v>
      </c>
      <c r="B16">
        <v>0.32689051560630072</v>
      </c>
      <c r="C16">
        <f t="shared" si="0"/>
        <v>0.36264162017846757</v>
      </c>
      <c r="D16">
        <f t="shared" si="1"/>
        <v>-3.5751104572166847E-2</v>
      </c>
      <c r="E16">
        <f t="shared" si="2"/>
        <v>1.2781414781300093E-3</v>
      </c>
    </row>
    <row r="17" spans="1:5" x14ac:dyDescent="0.25">
      <c r="A17">
        <v>1.3978234084499999</v>
      </c>
      <c r="B17">
        <v>0.31274263452083445</v>
      </c>
      <c r="C17">
        <f t="shared" si="0"/>
        <v>0.33120258654470253</v>
      </c>
      <c r="D17">
        <f t="shared" si="1"/>
        <v>-1.8459952023868076E-2</v>
      </c>
      <c r="E17">
        <f t="shared" si="2"/>
        <v>3.4076982872351108E-4</v>
      </c>
    </row>
    <row r="18" spans="1:5" x14ac:dyDescent="0.25">
      <c r="A18">
        <v>1.48221712975</v>
      </c>
      <c r="B18">
        <v>0.2993393787556558</v>
      </c>
      <c r="C18">
        <f t="shared" si="0"/>
        <v>0.30141364396583958</v>
      </c>
      <c r="D18">
        <f t="shared" si="1"/>
        <v>-2.0742652101837789E-3</v>
      </c>
      <c r="E18">
        <f t="shared" si="2"/>
        <v>4.302576162178756E-6</v>
      </c>
    </row>
    <row r="19" spans="1:5" x14ac:dyDescent="0.25">
      <c r="A19">
        <v>1.5666108510500001</v>
      </c>
      <c r="B19">
        <v>0.31423188516140982</v>
      </c>
      <c r="C19">
        <f t="shared" si="0"/>
        <v>0.27339038520532094</v>
      </c>
      <c r="D19">
        <f t="shared" si="1"/>
        <v>4.0841499956088878E-2</v>
      </c>
      <c r="E19">
        <f t="shared" si="2"/>
        <v>1.6680281186632077E-3</v>
      </c>
    </row>
    <row r="20" spans="1:5" x14ac:dyDescent="0.25">
      <c r="A20">
        <v>1.65100457235</v>
      </c>
      <c r="B20">
        <v>0.24274785441379051</v>
      </c>
      <c r="C20">
        <f t="shared" si="0"/>
        <v>0.24719510334841083</v>
      </c>
      <c r="D20">
        <f t="shared" si="1"/>
        <v>-4.4472489346203126E-3</v>
      </c>
      <c r="E20">
        <f t="shared" si="2"/>
        <v>1.9778023086481504E-5</v>
      </c>
    </row>
    <row r="21" spans="1:5" x14ac:dyDescent="0.25">
      <c r="A21">
        <v>1.7353982936500001</v>
      </c>
      <c r="B21">
        <v>0.22562147204717339</v>
      </c>
      <c r="C21">
        <f t="shared" si="0"/>
        <v>0.2228473249346021</v>
      </c>
      <c r="D21">
        <f t="shared" si="1"/>
        <v>2.7741471125712902E-3</v>
      </c>
      <c r="E21">
        <f t="shared" si="2"/>
        <v>7.6958922021876269E-6</v>
      </c>
    </row>
    <row r="22" spans="1:5" x14ac:dyDescent="0.25">
      <c r="A22">
        <v>1.8197920149500002</v>
      </c>
      <c r="B22">
        <v>0.2189198441645841</v>
      </c>
      <c r="C22">
        <f t="shared" si="0"/>
        <v>0.2003327087683342</v>
      </c>
      <c r="D22">
        <f t="shared" si="1"/>
        <v>1.8587135396249899E-2</v>
      </c>
      <c r="E22">
        <f t="shared" si="2"/>
        <v>3.4548160223852589E-4</v>
      </c>
    </row>
    <row r="23" spans="1:5" x14ac:dyDescent="0.25">
      <c r="A23">
        <v>1.9041857362500001</v>
      </c>
      <c r="B23">
        <v>0.22189834544573489</v>
      </c>
      <c r="C23">
        <f t="shared" si="0"/>
        <v>0.17961055477827539</v>
      </c>
      <c r="D23">
        <f t="shared" si="1"/>
        <v>4.2287790667459496E-2</v>
      </c>
      <c r="E23">
        <f t="shared" si="2"/>
        <v>1.7882572395348745E-3</v>
      </c>
    </row>
    <row r="24" spans="1:5" x14ac:dyDescent="0.25">
      <c r="A24">
        <v>1.98857945755</v>
      </c>
      <c r="B24">
        <v>0.19881496051681616</v>
      </c>
      <c r="C24">
        <f t="shared" si="0"/>
        <v>0.16062011999398926</v>
      </c>
      <c r="D24">
        <f t="shared" si="1"/>
        <v>3.8194840522826901E-2</v>
      </c>
      <c r="E24">
        <f t="shared" si="2"/>
        <v>1.4588458425641799E-3</v>
      </c>
    </row>
    <row r="25" spans="1:5" x14ac:dyDescent="0.25">
      <c r="A25">
        <v>2.0729731788499999</v>
      </c>
      <c r="B25">
        <v>0.16456219578358192</v>
      </c>
      <c r="C25">
        <f t="shared" si="0"/>
        <v>0.14328590542324748</v>
      </c>
      <c r="D25">
        <f t="shared" si="1"/>
        <v>2.1276290360334432E-2</v>
      </c>
      <c r="E25">
        <f t="shared" si="2"/>
        <v>4.526805314972599E-4</v>
      </c>
    </row>
    <row r="26" spans="1:5" x14ac:dyDescent="0.25">
      <c r="A26">
        <v>2.1573669001500004</v>
      </c>
      <c r="B26">
        <v>0.13850030957351239</v>
      </c>
      <c r="C26">
        <f t="shared" si="0"/>
        <v>0.1275220531287328</v>
      </c>
      <c r="D26">
        <f t="shared" si="1"/>
        <v>1.0978256444779594E-2</v>
      </c>
      <c r="E26">
        <f t="shared" si="2"/>
        <v>1.2052211456734469E-4</v>
      </c>
    </row>
    <row r="27" spans="1:5" x14ac:dyDescent="0.25">
      <c r="A27">
        <v>2.2417606214500001</v>
      </c>
      <c r="B27">
        <v>0.14296806149523858</v>
      </c>
      <c r="C27">
        <f t="shared" si="0"/>
        <v>0.11323597396126477</v>
      </c>
      <c r="D27">
        <f t="shared" si="1"/>
        <v>2.9732087533973814E-2</v>
      </c>
      <c r="E27">
        <f t="shared" si="2"/>
        <v>8.8399702912788107E-4</v>
      </c>
    </row>
    <row r="28" spans="1:5" x14ac:dyDescent="0.25">
      <c r="A28">
        <v>2.3261543427500002</v>
      </c>
      <c r="B28">
        <v>0.14669118809667711</v>
      </c>
      <c r="C28">
        <f t="shared" si="0"/>
        <v>0.10033131127480507</v>
      </c>
      <c r="D28">
        <f t="shared" si="1"/>
        <v>4.6359876821872037E-2</v>
      </c>
      <c r="E28">
        <f t="shared" si="2"/>
        <v>2.1492381789391482E-3</v>
      </c>
    </row>
    <row r="29" spans="1:5" x14ac:dyDescent="0.25">
      <c r="A29">
        <v>2.4105480640500003</v>
      </c>
      <c r="B29">
        <v>0.11243842336344285</v>
      </c>
      <c r="C29">
        <f t="shared" si="0"/>
        <v>8.8710333334222541E-2</v>
      </c>
      <c r="D29">
        <f t="shared" si="1"/>
        <v>2.3728090029220314E-2</v>
      </c>
      <c r="E29">
        <f t="shared" si="2"/>
        <v>5.6302225643478448E-4</v>
      </c>
    </row>
    <row r="30" spans="1:5" x14ac:dyDescent="0.25">
      <c r="A30">
        <v>2.49494178535</v>
      </c>
      <c r="B30">
        <v>9.0844289075099519E-2</v>
      </c>
      <c r="C30">
        <f t="shared" si="0"/>
        <v>7.8275836291302039E-2</v>
      </c>
      <c r="D30">
        <f t="shared" si="1"/>
        <v>1.2568452783797479E-2</v>
      </c>
      <c r="E30">
        <f t="shared" si="2"/>
        <v>1.5796600537854659E-4</v>
      </c>
    </row>
    <row r="31" spans="1:5" x14ac:dyDescent="0.25">
      <c r="A31">
        <v>2.5793355066500006</v>
      </c>
      <c r="B31">
        <v>8.1164159911359404E-2</v>
      </c>
      <c r="C31">
        <f t="shared" si="0"/>
        <v>6.893263008809071E-2</v>
      </c>
      <c r="D31">
        <f t="shared" si="1"/>
        <v>1.2231529823268694E-2</v>
      </c>
      <c r="E31">
        <f t="shared" si="2"/>
        <v>1.4961032181751149E-4</v>
      </c>
    </row>
    <row r="32" spans="1:5" x14ac:dyDescent="0.25">
      <c r="A32">
        <v>2.6637292279500002</v>
      </c>
      <c r="B32">
        <v>7.6696407989633203E-2</v>
      </c>
      <c r="C32">
        <f t="shared" si="0"/>
        <v>6.0588671161933942E-2</v>
      </c>
      <c r="D32">
        <f t="shared" si="1"/>
        <v>1.6107736827699261E-2</v>
      </c>
      <c r="E32">
        <f t="shared" si="2"/>
        <v>2.5945918571041907E-4</v>
      </c>
    </row>
    <row r="33" spans="1:5" x14ac:dyDescent="0.25">
      <c r="A33">
        <v>2.7481229492499999</v>
      </c>
      <c r="B33">
        <v>8.4887286512797921E-2</v>
      </c>
      <c r="C33">
        <f t="shared" si="0"/>
        <v>5.3155898191871685E-2</v>
      </c>
      <c r="D33">
        <f t="shared" si="1"/>
        <v>3.1731388320926236E-2</v>
      </c>
      <c r="E33">
        <f t="shared" si="2"/>
        <v>1.0068810047734139E-3</v>
      </c>
    </row>
    <row r="34" spans="1:5" x14ac:dyDescent="0.25">
      <c r="A34">
        <v>2.83251667055</v>
      </c>
      <c r="B34">
        <v>5.8080774982440679E-2</v>
      </c>
      <c r="C34">
        <f t="shared" si="0"/>
        <v>4.6550820224341385E-2</v>
      </c>
      <c r="D34">
        <f t="shared" si="1"/>
        <v>1.1529954758099294E-2</v>
      </c>
      <c r="E34">
        <f t="shared" si="2"/>
        <v>1.3293985672381653E-4</v>
      </c>
    </row>
    <row r="35" spans="1:5" x14ac:dyDescent="0.25">
      <c r="A35">
        <v>2.9169103918500001</v>
      </c>
      <c r="B35">
        <v>3.4997390053521947E-2</v>
      </c>
      <c r="C35">
        <f t="shared" si="0"/>
        <v>4.0694900268804582E-2</v>
      </c>
      <c r="D35">
        <f t="shared" si="1"/>
        <v>-5.6975102152826348E-3</v>
      </c>
      <c r="E35">
        <f t="shared" si="2"/>
        <v>3.2461622653249977E-5</v>
      </c>
    </row>
    <row r="36" spans="1:5" x14ac:dyDescent="0.25">
      <c r="A36">
        <v>3.0013041131500002</v>
      </c>
      <c r="B36">
        <v>4.1699017936111256E-2</v>
      </c>
      <c r="C36">
        <f t="shared" si="0"/>
        <v>3.5514771804961535E-2</v>
      </c>
      <c r="D36">
        <f t="shared" si="1"/>
        <v>6.1842461311497204E-3</v>
      </c>
      <c r="E36">
        <f t="shared" si="2"/>
        <v>3.8244900210640286E-5</v>
      </c>
    </row>
    <row r="37" spans="1:5" x14ac:dyDescent="0.25">
      <c r="A37">
        <v>3.0856978344500003</v>
      </c>
      <c r="B37">
        <v>4.2443643256398961E-2</v>
      </c>
      <c r="C37">
        <f t="shared" si="0"/>
        <v>3.0942320549146085E-2</v>
      </c>
      <c r="D37">
        <f t="shared" si="1"/>
        <v>1.1501322707252876E-2</v>
      </c>
      <c r="E37">
        <f t="shared" si="2"/>
        <v>1.3228042401637063E-4</v>
      </c>
    </row>
    <row r="38" spans="1:5" x14ac:dyDescent="0.25">
      <c r="A38">
        <v>3.17009155575</v>
      </c>
      <c r="B38">
        <v>3.1274263452083444E-2</v>
      </c>
      <c r="C38">
        <f t="shared" si="0"/>
        <v>2.691465925149494E-2</v>
      </c>
      <c r="D38">
        <f t="shared" si="1"/>
        <v>4.3596042005885037E-3</v>
      </c>
      <c r="E38">
        <f t="shared" si="2"/>
        <v>1.9006148785788927E-5</v>
      </c>
    </row>
    <row r="39" spans="1:5" x14ac:dyDescent="0.25">
      <c r="A39">
        <v>3.2544852770500001</v>
      </c>
      <c r="B39">
        <v>6.7016278825893089E-3</v>
      </c>
      <c r="C39">
        <f t="shared" si="0"/>
        <v>2.3374019203915897E-2</v>
      </c>
      <c r="D39">
        <f t="shared" si="1"/>
        <v>-1.6672391321326589E-2</v>
      </c>
      <c r="E39">
        <f t="shared" si="2"/>
        <v>2.7796863237144613E-4</v>
      </c>
    </row>
    <row r="40" spans="1:5" x14ac:dyDescent="0.25">
      <c r="A40">
        <v>3.3388789983500002</v>
      </c>
      <c r="B40">
        <v>2.0849508968055628E-2</v>
      </c>
      <c r="C40">
        <f t="shared" si="0"/>
        <v>2.0267578499448154E-2</v>
      </c>
      <c r="D40">
        <f t="shared" si="1"/>
        <v>5.8193046860747361E-4</v>
      </c>
      <c r="E40">
        <f t="shared" si="2"/>
        <v>3.3864307029371385E-7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FCB8-DAED-4E6B-BA5B-62CAF6EF017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4.8601475375000008E-2</v>
      </c>
      <c r="B1">
        <v>0.25844324610906283</v>
      </c>
      <c r="C1">
        <f>$H$3*(1+$H$1)*(A1^($H$1))*EXP(-$H$3*(A1^(1+$H$1)))</f>
        <v>0.3661070032626414</v>
      </c>
      <c r="D1">
        <f>B1-C1</f>
        <v>-0.10766375715357857</v>
      </c>
      <c r="E1">
        <f>D1^2</f>
        <v>1.159148460442474E-2</v>
      </c>
      <c r="G1" t="s">
        <v>0</v>
      </c>
      <c r="H1">
        <v>0.39566238480556348</v>
      </c>
    </row>
    <row r="2" spans="1:8" x14ac:dyDescent="0.25">
      <c r="A2">
        <v>0.13103093412500003</v>
      </c>
      <c r="B2">
        <v>0.43836243809059333</v>
      </c>
      <c r="C2">
        <f t="shared" ref="C2:C40" si="0">$H$3*(1+$H$1)*(A2^($H$1))*EXP(-$H$3*(A2^(1+$H$1)))</f>
        <v>0.52149510737735238</v>
      </c>
      <c r="D2">
        <f t="shared" ref="D2:D40" si="1">B2-C2</f>
        <v>-8.3132669286759053E-2</v>
      </c>
      <c r="E2">
        <f t="shared" ref="E2:E40" si="2">D2^2</f>
        <v>6.9110407027416524E-3</v>
      </c>
    </row>
    <row r="3" spans="1:8" x14ac:dyDescent="0.25">
      <c r="A3">
        <v>0.21346039287500002</v>
      </c>
      <c r="B3">
        <v>0.44751087158117964</v>
      </c>
      <c r="C3">
        <f t="shared" si="0"/>
        <v>0.60152832776898268</v>
      </c>
      <c r="D3">
        <f t="shared" si="1"/>
        <v>-0.15401745618780305</v>
      </c>
      <c r="E3">
        <f t="shared" si="2"/>
        <v>2.3721376810561832E-2</v>
      </c>
      <c r="G3" t="s">
        <v>1</v>
      </c>
      <c r="H3">
        <f>(_xlfn.GAMMA((2+$H$1)/(1+$H$1)))^(1+$H$1)</f>
        <v>0.87918420232045791</v>
      </c>
    </row>
    <row r="4" spans="1:8" x14ac:dyDescent="0.25">
      <c r="A4">
        <v>0.29588985162500003</v>
      </c>
      <c r="B4">
        <v>0.6838454034213256</v>
      </c>
      <c r="C4">
        <f t="shared" si="0"/>
        <v>0.64539382946945179</v>
      </c>
      <c r="D4">
        <f t="shared" si="1"/>
        <v>3.8451573951873819E-2</v>
      </c>
      <c r="E4">
        <f t="shared" si="2"/>
        <v>1.4785235393764212E-3</v>
      </c>
    </row>
    <row r="5" spans="1:8" x14ac:dyDescent="0.25">
      <c r="A5">
        <v>0.37831931037500005</v>
      </c>
      <c r="B5">
        <v>1.1283067971723098</v>
      </c>
      <c r="C5">
        <f t="shared" si="0"/>
        <v>0.66604292057317194</v>
      </c>
      <c r="D5">
        <f t="shared" si="1"/>
        <v>0.46226387659913781</v>
      </c>
      <c r="E5">
        <f t="shared" si="2"/>
        <v>0.21368789160846291</v>
      </c>
      <c r="G5" t="s">
        <v>2</v>
      </c>
      <c r="H5">
        <f>SUM(E1:E40)</f>
        <v>0.32117947913628009</v>
      </c>
    </row>
    <row r="6" spans="1:8" x14ac:dyDescent="0.25">
      <c r="A6">
        <v>0.46074876912500001</v>
      </c>
      <c r="B6">
        <v>0.81573531957727807</v>
      </c>
      <c r="C6">
        <f t="shared" si="0"/>
        <v>0.67024610210387037</v>
      </c>
      <c r="D6">
        <f t="shared" si="1"/>
        <v>0.14548921747340771</v>
      </c>
      <c r="E6">
        <f t="shared" si="2"/>
        <v>2.1167112401024521E-2</v>
      </c>
    </row>
    <row r="7" spans="1:8" x14ac:dyDescent="0.25">
      <c r="A7">
        <v>0.54317822787499992</v>
      </c>
      <c r="B7">
        <v>0.64877640837407813</v>
      </c>
      <c r="C7">
        <f t="shared" si="0"/>
        <v>0.66234210571918894</v>
      </c>
      <c r="D7">
        <f t="shared" si="1"/>
        <v>-1.3565697345110816E-2</v>
      </c>
      <c r="E7">
        <f t="shared" si="2"/>
        <v>1.8402814445914666E-4</v>
      </c>
    </row>
    <row r="8" spans="1:8" x14ac:dyDescent="0.25">
      <c r="A8">
        <v>0.62560768662499999</v>
      </c>
      <c r="B8">
        <v>0.60837082712398871</v>
      </c>
      <c r="C8">
        <f t="shared" si="0"/>
        <v>0.6454333465780403</v>
      </c>
      <c r="D8">
        <f t="shared" si="1"/>
        <v>-3.706251945405159E-2</v>
      </c>
      <c r="E8">
        <f t="shared" si="2"/>
        <v>1.3736303482819526E-3</v>
      </c>
    </row>
    <row r="9" spans="1:8" x14ac:dyDescent="0.25">
      <c r="A9">
        <v>0.70803714537500007</v>
      </c>
      <c r="B9">
        <v>0.57787604882203436</v>
      </c>
      <c r="C9">
        <f t="shared" si="0"/>
        <v>0.62187962314118506</v>
      </c>
      <c r="D9">
        <f t="shared" si="1"/>
        <v>-4.4003574319150696E-2</v>
      </c>
      <c r="E9">
        <f t="shared" si="2"/>
        <v>1.9363145528610186E-3</v>
      </c>
    </row>
    <row r="10" spans="1:8" x14ac:dyDescent="0.25">
      <c r="A10">
        <v>0.79046660412500014</v>
      </c>
      <c r="B10">
        <v>0.53365862028420064</v>
      </c>
      <c r="C10">
        <f t="shared" si="0"/>
        <v>0.59353919178711689</v>
      </c>
      <c r="D10">
        <f t="shared" si="1"/>
        <v>-5.9880571502916258E-2</v>
      </c>
      <c r="E10">
        <f t="shared" si="2"/>
        <v>3.5856828435158667E-3</v>
      </c>
    </row>
    <row r="11" spans="1:8" x14ac:dyDescent="0.25">
      <c r="A11">
        <v>0.8728960628750001</v>
      </c>
      <c r="B11">
        <v>0.50011436415205079</v>
      </c>
      <c r="C11">
        <f t="shared" si="0"/>
        <v>0.56190234693023855</v>
      </c>
      <c r="D11">
        <f t="shared" si="1"/>
        <v>-6.1787982778187756E-2</v>
      </c>
      <c r="E11">
        <f t="shared" si="2"/>
        <v>3.8177548157976265E-3</v>
      </c>
    </row>
    <row r="12" spans="1:8" x14ac:dyDescent="0.25">
      <c r="A12">
        <v>0.95532552162500006</v>
      </c>
      <c r="B12">
        <v>0.43607532971794677</v>
      </c>
      <c r="C12">
        <f t="shared" si="0"/>
        <v>0.52817358960508787</v>
      </c>
      <c r="D12">
        <f t="shared" si="1"/>
        <v>-9.2098259887141098E-2</v>
      </c>
      <c r="E12">
        <f t="shared" si="2"/>
        <v>8.4820894742393838E-3</v>
      </c>
    </row>
    <row r="13" spans="1:8" x14ac:dyDescent="0.25">
      <c r="A13">
        <v>1.0377549803749999</v>
      </c>
      <c r="B13">
        <v>0.43683769917549564</v>
      </c>
      <c r="C13">
        <f t="shared" si="0"/>
        <v>0.49332689700772564</v>
      </c>
      <c r="D13">
        <f t="shared" si="1"/>
        <v>-5.6489197832229998E-2</v>
      </c>
      <c r="E13">
        <f t="shared" si="2"/>
        <v>3.1910294717288185E-3</v>
      </c>
    </row>
    <row r="14" spans="1:8" x14ac:dyDescent="0.25">
      <c r="A14">
        <v>1.120184439125</v>
      </c>
      <c r="B14">
        <v>0.4299763740575559</v>
      </c>
      <c r="C14">
        <f t="shared" si="0"/>
        <v>0.45814581019380313</v>
      </c>
      <c r="D14">
        <f t="shared" si="1"/>
        <v>-2.8169436136247228E-2</v>
      </c>
      <c r="E14">
        <f t="shared" si="2"/>
        <v>7.9351713223411112E-4</v>
      </c>
    </row>
    <row r="15" spans="1:8" x14ac:dyDescent="0.25">
      <c r="A15">
        <v>1.2026138978749998</v>
      </c>
      <c r="B15">
        <v>0.41091713761883447</v>
      </c>
      <c r="C15">
        <f t="shared" si="0"/>
        <v>0.42325433265557277</v>
      </c>
      <c r="D15">
        <f t="shared" si="1"/>
        <v>-1.2337195036738302E-2</v>
      </c>
      <c r="E15">
        <f t="shared" si="2"/>
        <v>1.5220638137452021E-4</v>
      </c>
    </row>
    <row r="16" spans="1:8" x14ac:dyDescent="0.25">
      <c r="A16">
        <v>1.2850433566250001</v>
      </c>
      <c r="B16">
        <v>0.32400701945826466</v>
      </c>
      <c r="C16">
        <f t="shared" si="0"/>
        <v>0.38914187211848167</v>
      </c>
      <c r="D16">
        <f t="shared" si="1"/>
        <v>-6.5134852660217013E-2</v>
      </c>
      <c r="E16">
        <f t="shared" si="2"/>
        <v>4.2425490310681793E-3</v>
      </c>
    </row>
    <row r="17" spans="1:5" x14ac:dyDescent="0.25">
      <c r="A17">
        <v>1.3674728153750002</v>
      </c>
      <c r="B17">
        <v>0.31257147759503179</v>
      </c>
      <c r="C17">
        <f t="shared" si="0"/>
        <v>0.35618404824470123</v>
      </c>
      <c r="D17">
        <f t="shared" si="1"/>
        <v>-4.3612570649669447E-2</v>
      </c>
      <c r="E17">
        <f t="shared" si="2"/>
        <v>1.9020563186724088E-3</v>
      </c>
    </row>
    <row r="18" spans="1:5" x14ac:dyDescent="0.25">
      <c r="A18">
        <v>1.4499022741250001</v>
      </c>
      <c r="B18">
        <v>0.30799726084973861</v>
      </c>
      <c r="C18">
        <f t="shared" si="0"/>
        <v>0.32466043691361962</v>
      </c>
      <c r="D18">
        <f t="shared" si="1"/>
        <v>-1.6663176063881013E-2</v>
      </c>
      <c r="E18">
        <f t="shared" si="2"/>
        <v>2.7766143653589712E-4</v>
      </c>
    </row>
    <row r="19" spans="1:5" x14ac:dyDescent="0.25">
      <c r="A19">
        <v>1.5323317328749999</v>
      </c>
      <c r="B19">
        <v>0.32019517217052035</v>
      </c>
      <c r="C19">
        <f t="shared" si="0"/>
        <v>0.29476990722454138</v>
      </c>
      <c r="D19">
        <f t="shared" si="1"/>
        <v>2.5425264945978965E-2</v>
      </c>
      <c r="E19">
        <f t="shared" si="2"/>
        <v>6.4644409757322677E-4</v>
      </c>
    </row>
    <row r="20" spans="1:5" x14ac:dyDescent="0.25">
      <c r="A20">
        <v>1.614761191625</v>
      </c>
      <c r="B20">
        <v>0.2698787879722957</v>
      </c>
      <c r="C20">
        <f t="shared" si="0"/>
        <v>0.26664397335167533</v>
      </c>
      <c r="D20">
        <f t="shared" si="1"/>
        <v>3.2348146206203632E-3</v>
      </c>
      <c r="E20">
        <f t="shared" si="2"/>
        <v>1.0464025629779264E-5</v>
      </c>
    </row>
    <row r="21" spans="1:5" x14ac:dyDescent="0.25">
      <c r="A21">
        <v>1.6971906503750001</v>
      </c>
      <c r="B21">
        <v>0.22566135943446197</v>
      </c>
      <c r="C21">
        <f t="shared" si="0"/>
        <v>0.24035844899002204</v>
      </c>
      <c r="D21">
        <f t="shared" si="1"/>
        <v>-1.4697089555560067E-2</v>
      </c>
      <c r="E21">
        <f t="shared" si="2"/>
        <v>2.1600444140415279E-4</v>
      </c>
    </row>
    <row r="22" spans="1:5" x14ac:dyDescent="0.25">
      <c r="A22">
        <v>1.7796201091250001</v>
      </c>
      <c r="B22">
        <v>0.21803766485897338</v>
      </c>
      <c r="C22">
        <f t="shared" si="0"/>
        <v>0.21594361394901748</v>
      </c>
      <c r="D22">
        <f t="shared" si="1"/>
        <v>2.0940509099559024E-3</v>
      </c>
      <c r="E22">
        <f t="shared" si="2"/>
        <v>4.3850492134871431E-6</v>
      </c>
    </row>
    <row r="23" spans="1:5" x14ac:dyDescent="0.25">
      <c r="A23">
        <v>1.862049567875</v>
      </c>
      <c r="B23">
        <v>0.23557216238259712</v>
      </c>
      <c r="C23">
        <f t="shared" si="0"/>
        <v>0.19339305639583898</v>
      </c>
      <c r="D23">
        <f t="shared" si="1"/>
        <v>4.2179105986758142E-2</v>
      </c>
      <c r="E23">
        <f t="shared" si="2"/>
        <v>1.7790769818421765E-3</v>
      </c>
    </row>
    <row r="24" spans="1:5" x14ac:dyDescent="0.25">
      <c r="A24">
        <v>1.9444790266249998</v>
      </c>
      <c r="B24">
        <v>0.21575055648632679</v>
      </c>
      <c r="C24">
        <f t="shared" si="0"/>
        <v>0.1726713266183825</v>
      </c>
      <c r="D24">
        <f t="shared" si="1"/>
        <v>4.3079229867944296E-2</v>
      </c>
      <c r="E24">
        <f t="shared" si="2"/>
        <v>1.8558200460151841E-3</v>
      </c>
    </row>
    <row r="25" spans="1:5" x14ac:dyDescent="0.25">
      <c r="A25">
        <v>2.0269084853750003</v>
      </c>
      <c r="B25">
        <v>0.17305786686359076</v>
      </c>
      <c r="C25">
        <f t="shared" si="0"/>
        <v>0.1537205210315031</v>
      </c>
      <c r="D25">
        <f t="shared" si="1"/>
        <v>1.9337345832087655E-2</v>
      </c>
      <c r="E25">
        <f t="shared" si="2"/>
        <v>3.7393294382975778E-4</v>
      </c>
    </row>
    <row r="26" spans="1:5" x14ac:dyDescent="0.25">
      <c r="A26">
        <v>2.1093379441250004</v>
      </c>
      <c r="B26">
        <v>0.13646413290124557</v>
      </c>
      <c r="C26">
        <f t="shared" si="0"/>
        <v>0.13646590384774088</v>
      </c>
      <c r="D26">
        <f t="shared" si="1"/>
        <v>-1.7709464953108434E-6</v>
      </c>
      <c r="E26">
        <f t="shared" si="2"/>
        <v>3.1362514892537587E-12</v>
      </c>
    </row>
    <row r="27" spans="1:5" x14ac:dyDescent="0.25">
      <c r="A27">
        <v>2.1917674028750005</v>
      </c>
      <c r="B27">
        <v>0.14713730530692959</v>
      </c>
      <c r="C27">
        <f t="shared" si="0"/>
        <v>0.12082066566208016</v>
      </c>
      <c r="D27">
        <f t="shared" si="1"/>
        <v>2.6316639644849427E-2</v>
      </c>
      <c r="E27">
        <f t="shared" si="2"/>
        <v>6.9256552219686054E-4</v>
      </c>
    </row>
    <row r="28" spans="1:5" x14ac:dyDescent="0.25">
      <c r="A28">
        <v>2.2741968616250001</v>
      </c>
      <c r="B28">
        <v>0.15094915259467387</v>
      </c>
      <c r="C28">
        <f t="shared" si="0"/>
        <v>0.10668991159301135</v>
      </c>
      <c r="D28">
        <f t="shared" si="1"/>
        <v>4.4259241001662522E-2</v>
      </c>
      <c r="E28">
        <f t="shared" si="2"/>
        <v>1.9588804140432451E-3</v>
      </c>
    </row>
    <row r="29" spans="1:5" x14ac:dyDescent="0.25">
      <c r="A29">
        <v>2.3566263203749998</v>
      </c>
      <c r="B29">
        <v>0.13875124127389216</v>
      </c>
      <c r="C29">
        <f t="shared" si="0"/>
        <v>9.3973965702598944E-2</v>
      </c>
      <c r="D29">
        <f t="shared" si="1"/>
        <v>4.4777275571293212E-2</v>
      </c>
      <c r="E29">
        <f t="shared" si="2"/>
        <v>2.0050044075875318E-3</v>
      </c>
    </row>
    <row r="30" spans="1:5" x14ac:dyDescent="0.25">
      <c r="A30">
        <v>2.4390557791249998</v>
      </c>
      <c r="B30">
        <v>8.3860640330374381E-2</v>
      </c>
      <c r="C30">
        <f t="shared" si="0"/>
        <v>8.2571072725200811E-2</v>
      </c>
      <c r="D30">
        <f t="shared" si="1"/>
        <v>1.2895676051735694E-3</v>
      </c>
      <c r="E30">
        <f t="shared" si="2"/>
        <v>1.662984608313095E-6</v>
      </c>
    </row>
    <row r="31" spans="1:5" x14ac:dyDescent="0.25">
      <c r="A31">
        <v>2.5214852378749999</v>
      </c>
      <c r="B31">
        <v>8.6910118160569816E-2</v>
      </c>
      <c r="C31">
        <f t="shared" si="0"/>
        <v>7.237957245512408E-2</v>
      </c>
      <c r="D31">
        <f t="shared" si="1"/>
        <v>1.4530545705445735E-2</v>
      </c>
      <c r="E31">
        <f t="shared" si="2"/>
        <v>2.111367584980475E-4</v>
      </c>
    </row>
    <row r="32" spans="1:5" x14ac:dyDescent="0.25">
      <c r="A32">
        <v>2.6039146966250004</v>
      </c>
      <c r="B32">
        <v>8.0048793042630087E-2</v>
      </c>
      <c r="C32">
        <f t="shared" si="0"/>
        <v>6.3299616410162546E-2</v>
      </c>
      <c r="D32">
        <f t="shared" si="1"/>
        <v>1.6749176632467541E-2</v>
      </c>
      <c r="E32">
        <f t="shared" si="2"/>
        <v>2.8053491786559671E-4</v>
      </c>
    </row>
    <row r="33" spans="1:5" x14ac:dyDescent="0.25">
      <c r="A33">
        <v>2.686344155375</v>
      </c>
      <c r="B33">
        <v>9.3009073820960672E-2</v>
      </c>
      <c r="C33">
        <f t="shared" si="0"/>
        <v>5.5234490613929647E-2</v>
      </c>
      <c r="D33">
        <f t="shared" si="1"/>
        <v>3.7774583207031025E-2</v>
      </c>
      <c r="E33">
        <f t="shared" si="2"/>
        <v>1.4269191364649104E-3</v>
      </c>
    </row>
    <row r="34" spans="1:5" x14ac:dyDescent="0.25">
      <c r="A34">
        <v>2.7687736141250001</v>
      </c>
      <c r="B34">
        <v>6.2514295519006349E-2</v>
      </c>
      <c r="C34">
        <f t="shared" si="0"/>
        <v>4.809160257948001E-2</v>
      </c>
      <c r="D34">
        <f t="shared" si="1"/>
        <v>1.442269293952634E-2</v>
      </c>
      <c r="E34">
        <f t="shared" si="2"/>
        <v>2.0801407162786292E-4</v>
      </c>
    </row>
    <row r="35" spans="1:5" x14ac:dyDescent="0.25">
      <c r="A35">
        <v>2.8512030728750002</v>
      </c>
      <c r="B35">
        <v>3.7356103419894038E-2</v>
      </c>
      <c r="C35">
        <f t="shared" si="0"/>
        <v>4.1783184900717051E-2</v>
      </c>
      <c r="D35">
        <f t="shared" si="1"/>
        <v>-4.4270814808230127E-3</v>
      </c>
      <c r="E35">
        <f t="shared" si="2"/>
        <v>1.9599050437846079E-5</v>
      </c>
    </row>
    <row r="36" spans="1:5" x14ac:dyDescent="0.25">
      <c r="A36">
        <v>2.9336325316250003</v>
      </c>
      <c r="B36">
        <v>3.8118472877442897E-2</v>
      </c>
      <c r="C36">
        <f t="shared" si="0"/>
        <v>3.6226762339042116E-2</v>
      </c>
      <c r="D36">
        <f t="shared" si="1"/>
        <v>1.8917105384007801E-3</v>
      </c>
      <c r="E36">
        <f t="shared" si="2"/>
        <v>3.5785687610965694E-6</v>
      </c>
    </row>
    <row r="37" spans="1:5" x14ac:dyDescent="0.25">
      <c r="A37">
        <v>3.0160619903750003</v>
      </c>
      <c r="B37">
        <v>5.8702448231262062E-2</v>
      </c>
      <c r="C37">
        <f t="shared" si="0"/>
        <v>3.134542399650312E-2</v>
      </c>
      <c r="D37">
        <f t="shared" si="1"/>
        <v>2.7357024234758942E-2</v>
      </c>
      <c r="E37">
        <f t="shared" si="2"/>
        <v>7.4840677498118813E-4</v>
      </c>
    </row>
    <row r="38" spans="1:5" x14ac:dyDescent="0.25">
      <c r="A38">
        <v>3.0984914491250004</v>
      </c>
      <c r="B38">
        <v>3.1257147759503175E-2</v>
      </c>
      <c r="C38">
        <f t="shared" si="0"/>
        <v>2.7067937148213386E-2</v>
      </c>
      <c r="D38">
        <f t="shared" si="1"/>
        <v>4.1892106112897884E-3</v>
      </c>
      <c r="E38">
        <f t="shared" si="2"/>
        <v>1.7549485545742963E-5</v>
      </c>
    </row>
    <row r="39" spans="1:5" x14ac:dyDescent="0.25">
      <c r="A39">
        <v>3.180920907875</v>
      </c>
      <c r="B39">
        <v>8.3860640330374377E-3</v>
      </c>
      <c r="C39">
        <f t="shared" si="0"/>
        <v>2.3328734608116568E-2</v>
      </c>
      <c r="D39">
        <f t="shared" si="1"/>
        <v>-1.494267057507913E-2</v>
      </c>
      <c r="E39">
        <f t="shared" si="2"/>
        <v>2.2328340391533565E-4</v>
      </c>
    </row>
    <row r="40" spans="1:5" x14ac:dyDescent="0.25">
      <c r="A40">
        <v>3.2633503666250001</v>
      </c>
      <c r="B40">
        <v>2.0583975353819166E-2</v>
      </c>
      <c r="C40">
        <f t="shared" si="0"/>
        <v>2.0067803152465091E-2</v>
      </c>
      <c r="D40">
        <f t="shared" si="1"/>
        <v>5.1617220135407454E-4</v>
      </c>
      <c r="E40">
        <f t="shared" si="2"/>
        <v>2.6643374145071126E-7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A2C3-7BD3-4115-8205-1F3483AA7A1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5.1541305462500006E-2</v>
      </c>
      <c r="B1">
        <v>0.236349796410386</v>
      </c>
      <c r="C1">
        <f>$H$3*(1+$H$1)*(A1^($H$1))*EXP(-$H$3*(A1^(1+$H$1)))</f>
        <v>0.33368081025595092</v>
      </c>
      <c r="D1">
        <f>B1-C1</f>
        <v>-9.7331013845564918E-2</v>
      </c>
      <c r="E1">
        <f>D1^2</f>
        <v>9.4733262562055505E-3</v>
      </c>
      <c r="G1" t="s">
        <v>0</v>
      </c>
      <c r="H1">
        <v>0.44229774396907157</v>
      </c>
    </row>
    <row r="2" spans="1:8" x14ac:dyDescent="0.25">
      <c r="A2">
        <v>0.13210425038750001</v>
      </c>
      <c r="B2">
        <v>0.42901778226307691</v>
      </c>
      <c r="C2">
        <f t="shared" ref="C2:C40" si="0">$H$3*(1+$H$1)*(A2^($H$1))*EXP(-$H$3*(A2^(1+$H$1)))</f>
        <v>0.48864780407160086</v>
      </c>
      <c r="D2">
        <f t="shared" ref="D2:D40" si="1">B2-C2</f>
        <v>-5.9630021808523948E-2</v>
      </c>
      <c r="E2">
        <f t="shared" ref="E2:E40" si="2">D2^2</f>
        <v>3.5557395008850414E-3</v>
      </c>
    </row>
    <row r="3" spans="1:8" x14ac:dyDescent="0.25">
      <c r="A3">
        <v>0.2126671953125</v>
      </c>
      <c r="B3">
        <v>0.42043742661781536</v>
      </c>
      <c r="C3">
        <f t="shared" si="0"/>
        <v>0.57589782160194991</v>
      </c>
      <c r="D3">
        <f t="shared" si="1"/>
        <v>-0.15546039498413455</v>
      </c>
      <c r="E3">
        <f t="shared" si="2"/>
        <v>2.4167934408623127E-2</v>
      </c>
      <c r="G3" t="s">
        <v>1</v>
      </c>
      <c r="H3">
        <f>(_xlfn.GAMMA((2+$H$1)/(1+$H$1)))^(1+$H$1)</f>
        <v>0.86921774887228132</v>
      </c>
    </row>
    <row r="4" spans="1:8" x14ac:dyDescent="0.25">
      <c r="A4">
        <v>0.29323014023749999</v>
      </c>
      <c r="B4">
        <v>0.55460298761645033</v>
      </c>
      <c r="C4">
        <f t="shared" si="0"/>
        <v>0.62833731864050191</v>
      </c>
      <c r="D4">
        <f t="shared" si="1"/>
        <v>-7.373433102405158E-2</v>
      </c>
      <c r="E4">
        <f t="shared" si="2"/>
        <v>5.4367515715644157E-3</v>
      </c>
    </row>
    <row r="5" spans="1:8" x14ac:dyDescent="0.25">
      <c r="A5">
        <v>0.37379308516249998</v>
      </c>
      <c r="B5">
        <v>0.95319950895541816</v>
      </c>
      <c r="C5">
        <f t="shared" si="0"/>
        <v>0.65742913655924129</v>
      </c>
      <c r="D5">
        <f t="shared" si="1"/>
        <v>0.29577037239617687</v>
      </c>
      <c r="E5">
        <f t="shared" si="2"/>
        <v>8.7480113187373143E-2</v>
      </c>
      <c r="G5" t="s">
        <v>2</v>
      </c>
      <c r="H5">
        <f>SUM(E1:E40)</f>
        <v>0.30659655881046755</v>
      </c>
    </row>
    <row r="6" spans="1:8" x14ac:dyDescent="0.25">
      <c r="A6">
        <v>0.45435603008750003</v>
      </c>
      <c r="B6">
        <v>1.021062321786123</v>
      </c>
      <c r="C6">
        <f t="shared" si="0"/>
        <v>0.66934986232304561</v>
      </c>
      <c r="D6">
        <f t="shared" si="1"/>
        <v>0.35171245946307739</v>
      </c>
      <c r="E6">
        <f t="shared" si="2"/>
        <v>0.12370165414156685</v>
      </c>
    </row>
    <row r="7" spans="1:8" x14ac:dyDescent="0.25">
      <c r="A7">
        <v>0.53491897501249996</v>
      </c>
      <c r="B7">
        <v>0.74961107046330344</v>
      </c>
      <c r="C7">
        <f t="shared" si="0"/>
        <v>0.66817303794475924</v>
      </c>
      <c r="D7">
        <f t="shared" si="1"/>
        <v>8.1438032518544201E-2</v>
      </c>
      <c r="E7">
        <f t="shared" si="2"/>
        <v>6.6321531404914631E-3</v>
      </c>
    </row>
    <row r="8" spans="1:8" x14ac:dyDescent="0.25">
      <c r="A8">
        <v>0.61548191993750001</v>
      </c>
      <c r="B8">
        <v>0.64196660873184053</v>
      </c>
      <c r="C8">
        <f t="shared" si="0"/>
        <v>0.65689844626466376</v>
      </c>
      <c r="D8">
        <f t="shared" si="1"/>
        <v>-1.4931837532823233E-2</v>
      </c>
      <c r="E8">
        <f t="shared" si="2"/>
        <v>2.2295977210662864E-4</v>
      </c>
    </row>
    <row r="9" spans="1:8" x14ac:dyDescent="0.25">
      <c r="A9">
        <v>0.69604486486250006</v>
      </c>
      <c r="B9">
        <v>0.62168576811576781</v>
      </c>
      <c r="C9">
        <f t="shared" si="0"/>
        <v>0.63787638104691291</v>
      </c>
      <c r="D9">
        <f t="shared" si="1"/>
        <v>-1.6190612931145099E-2</v>
      </c>
      <c r="E9">
        <f t="shared" si="2"/>
        <v>2.621359470861629E-4</v>
      </c>
    </row>
    <row r="10" spans="1:8" x14ac:dyDescent="0.25">
      <c r="A10">
        <v>0.77660780978749999</v>
      </c>
      <c r="B10">
        <v>0.55382295528506287</v>
      </c>
      <c r="C10">
        <f t="shared" si="0"/>
        <v>0.61301235199847282</v>
      </c>
      <c r="D10">
        <f t="shared" si="1"/>
        <v>-5.9189396713409947E-2</v>
      </c>
      <c r="E10">
        <f t="shared" si="2"/>
        <v>3.5033846832974243E-3</v>
      </c>
    </row>
    <row r="11" spans="1:8" x14ac:dyDescent="0.25">
      <c r="A11">
        <v>0.85717075471250004</v>
      </c>
      <c r="B11">
        <v>0.52340169436095385</v>
      </c>
      <c r="C11">
        <f t="shared" si="0"/>
        <v>0.58387858628109413</v>
      </c>
      <c r="D11">
        <f t="shared" si="1"/>
        <v>-6.0476891920140274E-2</v>
      </c>
      <c r="E11">
        <f t="shared" si="2"/>
        <v>3.657454456320328E-3</v>
      </c>
    </row>
    <row r="12" spans="1:8" x14ac:dyDescent="0.25">
      <c r="A12">
        <v>0.93773369963750008</v>
      </c>
      <c r="B12">
        <v>0.44539846122221255</v>
      </c>
      <c r="C12">
        <f t="shared" si="0"/>
        <v>0.55178152999432617</v>
      </c>
      <c r="D12">
        <f t="shared" si="1"/>
        <v>-0.10638306877211362</v>
      </c>
      <c r="E12">
        <f t="shared" si="2"/>
        <v>1.1317357321372255E-2</v>
      </c>
    </row>
    <row r="13" spans="1:8" x14ac:dyDescent="0.25">
      <c r="A13">
        <v>1.0182966445624999</v>
      </c>
      <c r="B13">
        <v>0.46489926950689786</v>
      </c>
      <c r="C13">
        <f t="shared" si="0"/>
        <v>0.51780688792675789</v>
      </c>
      <c r="D13">
        <f t="shared" si="1"/>
        <v>-5.2907618419860025E-2</v>
      </c>
      <c r="E13">
        <f t="shared" si="2"/>
        <v>2.7992160868615117E-3</v>
      </c>
    </row>
    <row r="14" spans="1:8" x14ac:dyDescent="0.25">
      <c r="A14">
        <v>1.0988595894875</v>
      </c>
      <c r="B14">
        <v>0.42901778226307691</v>
      </c>
      <c r="C14">
        <f t="shared" si="0"/>
        <v>0.48285243867596084</v>
      </c>
      <c r="D14">
        <f t="shared" si="1"/>
        <v>-5.383465641288393E-2</v>
      </c>
      <c r="E14">
        <f t="shared" si="2"/>
        <v>2.898170231093265E-3</v>
      </c>
    </row>
    <row r="15" spans="1:8" x14ac:dyDescent="0.25">
      <c r="A15">
        <v>1.1794225344125</v>
      </c>
      <c r="B15">
        <v>0.41965739428642795</v>
      </c>
      <c r="C15">
        <f t="shared" si="0"/>
        <v>0.44765378107263787</v>
      </c>
      <c r="D15">
        <f t="shared" si="1"/>
        <v>-2.7996386786209915E-2</v>
      </c>
      <c r="E15">
        <f t="shared" si="2"/>
        <v>7.8379767308306913E-4</v>
      </c>
    </row>
    <row r="16" spans="1:8" x14ac:dyDescent="0.25">
      <c r="A16">
        <v>1.2599854793375</v>
      </c>
      <c r="B16">
        <v>0.35959490476959716</v>
      </c>
      <c r="C16">
        <f t="shared" si="0"/>
        <v>0.41280571391982879</v>
      </c>
      <c r="D16">
        <f t="shared" si="1"/>
        <v>-5.321080915023163E-2</v>
      </c>
      <c r="E16">
        <f t="shared" si="2"/>
        <v>2.831390210422374E-3</v>
      </c>
    </row>
    <row r="17" spans="1:5" x14ac:dyDescent="0.25">
      <c r="A17">
        <v>1.3405484242624999</v>
      </c>
      <c r="B17">
        <v>0.31435302954912725</v>
      </c>
      <c r="C17">
        <f t="shared" si="0"/>
        <v>0.37878070213443021</v>
      </c>
      <c r="D17">
        <f t="shared" si="1"/>
        <v>-6.4427672585302964E-2</v>
      </c>
      <c r="E17">
        <f t="shared" si="2"/>
        <v>4.1509249947589994E-3</v>
      </c>
    </row>
    <row r="18" spans="1:5" x14ac:dyDescent="0.25">
      <c r="A18">
        <v>1.4211113691874999</v>
      </c>
      <c r="B18">
        <v>0.31513306188051465</v>
      </c>
      <c r="C18">
        <f t="shared" si="0"/>
        <v>0.34594522339116879</v>
      </c>
      <c r="D18">
        <f t="shared" si="1"/>
        <v>-3.0812161510654135E-2</v>
      </c>
      <c r="E18">
        <f t="shared" si="2"/>
        <v>9.4938929695863609E-4</v>
      </c>
    </row>
    <row r="19" spans="1:5" x14ac:dyDescent="0.25">
      <c r="A19">
        <v>1.5016743141125</v>
      </c>
      <c r="B19">
        <v>0.31903322353745173</v>
      </c>
      <c r="C19">
        <f t="shared" si="0"/>
        <v>0.31457443440620941</v>
      </c>
      <c r="D19">
        <f t="shared" si="1"/>
        <v>4.4587891312423134E-3</v>
      </c>
      <c r="E19">
        <f t="shared" si="2"/>
        <v>1.9880800516884585E-5</v>
      </c>
    </row>
    <row r="20" spans="1:5" x14ac:dyDescent="0.25">
      <c r="A20">
        <v>1.5822372590375</v>
      </c>
      <c r="B20">
        <v>0.30109247991554122</v>
      </c>
      <c r="C20">
        <f t="shared" si="0"/>
        <v>0.28486540394052356</v>
      </c>
      <c r="D20">
        <f t="shared" si="1"/>
        <v>1.6227075975017657E-2</v>
      </c>
      <c r="E20">
        <f t="shared" si="2"/>
        <v>2.6331799469899526E-4</v>
      </c>
    </row>
    <row r="21" spans="1:5" x14ac:dyDescent="0.25">
      <c r="A21">
        <v>1.6628002039625001</v>
      </c>
      <c r="B21">
        <v>0.22230921444541257</v>
      </c>
      <c r="C21">
        <f t="shared" si="0"/>
        <v>0.25694905722664374</v>
      </c>
      <c r="D21">
        <f t="shared" si="1"/>
        <v>-3.4639842781231167E-2</v>
      </c>
      <c r="E21">
        <f t="shared" si="2"/>
        <v>1.199918707908413E-3</v>
      </c>
    </row>
    <row r="22" spans="1:5" x14ac:dyDescent="0.25">
      <c r="A22">
        <v>1.7433631488875001</v>
      </c>
      <c r="B22">
        <v>0.22230921444541257</v>
      </c>
      <c r="C22">
        <f t="shared" si="0"/>
        <v>0.23090092422653549</v>
      </c>
      <c r="D22">
        <f t="shared" si="1"/>
        <v>-8.5917097811229193E-3</v>
      </c>
      <c r="E22">
        <f t="shared" si="2"/>
        <v>7.3817476963043241E-5</v>
      </c>
    </row>
    <row r="23" spans="1:5" x14ac:dyDescent="0.25">
      <c r="A23">
        <v>1.8239260938125001</v>
      </c>
      <c r="B23">
        <v>0.25195044303813424</v>
      </c>
      <c r="C23">
        <f t="shared" si="0"/>
        <v>0.20675075977771906</v>
      </c>
      <c r="D23">
        <f t="shared" si="1"/>
        <v>4.519968326041518E-2</v>
      </c>
      <c r="E23">
        <f t="shared" si="2"/>
        <v>2.0430113668418563E-3</v>
      </c>
    </row>
    <row r="24" spans="1:5" x14ac:dyDescent="0.25">
      <c r="A24">
        <v>1.9044890387375</v>
      </c>
      <c r="B24">
        <v>0.22152918211402517</v>
      </c>
      <c r="C24">
        <f t="shared" si="0"/>
        <v>0.18449109459936902</v>
      </c>
      <c r="D24">
        <f t="shared" si="1"/>
        <v>3.7038087514656148E-2</v>
      </c>
      <c r="E24">
        <f t="shared" si="2"/>
        <v>1.3718199267433277E-3</v>
      </c>
    </row>
    <row r="25" spans="1:5" x14ac:dyDescent="0.25">
      <c r="A25">
        <v>1.9850519836625002</v>
      </c>
      <c r="B25">
        <v>0.17784737155633007</v>
      </c>
      <c r="C25">
        <f t="shared" si="0"/>
        <v>0.16408477493693099</v>
      </c>
      <c r="D25">
        <f t="shared" si="1"/>
        <v>1.3762596619399076E-2</v>
      </c>
      <c r="E25">
        <f t="shared" si="2"/>
        <v>1.8940906570829487E-4</v>
      </c>
    </row>
    <row r="26" spans="1:5" x14ac:dyDescent="0.25">
      <c r="A26">
        <v>2.0656149285875003</v>
      </c>
      <c r="B26">
        <v>0.14976620762638321</v>
      </c>
      <c r="C26">
        <f t="shared" si="0"/>
        <v>0.14547155102125481</v>
      </c>
      <c r="D26">
        <f t="shared" si="1"/>
        <v>4.2946566051283996E-3</v>
      </c>
      <c r="E26">
        <f t="shared" si="2"/>
        <v>1.8444075355972989E-5</v>
      </c>
    </row>
    <row r="27" spans="1:5" x14ac:dyDescent="0.25">
      <c r="A27">
        <v>2.1461778735124999</v>
      </c>
      <c r="B27">
        <v>0.14976620762638321</v>
      </c>
      <c r="C27">
        <f t="shared" si="0"/>
        <v>0.12857377802713543</v>
      </c>
      <c r="D27">
        <f t="shared" si="1"/>
        <v>2.1192429599247775E-2</v>
      </c>
      <c r="E27">
        <f t="shared" si="2"/>
        <v>4.491190723190732E-4</v>
      </c>
    </row>
    <row r="28" spans="1:5" x14ac:dyDescent="0.25">
      <c r="A28">
        <v>2.2267408184374999</v>
      </c>
      <c r="B28">
        <v>0.160686660265807</v>
      </c>
      <c r="C28">
        <f t="shared" si="0"/>
        <v>0.11330129645824316</v>
      </c>
      <c r="D28">
        <f t="shared" si="1"/>
        <v>4.7385363807563835E-2</v>
      </c>
      <c r="E28">
        <f t="shared" si="2"/>
        <v>2.2453727031751807E-3</v>
      </c>
    </row>
    <row r="29" spans="1:5" x14ac:dyDescent="0.25">
      <c r="A29">
        <v>2.3073037633625</v>
      </c>
      <c r="B29">
        <v>0.13494559333002237</v>
      </c>
      <c r="C29">
        <f t="shared" si="0"/>
        <v>9.955556115452513E-2</v>
      </c>
      <c r="D29">
        <f t="shared" si="1"/>
        <v>3.5390032175497244E-2</v>
      </c>
      <c r="E29">
        <f t="shared" si="2"/>
        <v>1.2524543773827302E-3</v>
      </c>
    </row>
    <row r="30" spans="1:5" x14ac:dyDescent="0.25">
      <c r="A30">
        <v>2.3878667082875</v>
      </c>
      <c r="B30">
        <v>9.9064106086201392E-2</v>
      </c>
      <c r="C30">
        <f t="shared" si="0"/>
        <v>8.7233089118069582E-2</v>
      </c>
      <c r="D30">
        <f t="shared" si="1"/>
        <v>1.1831016968131811E-2</v>
      </c>
      <c r="E30">
        <f t="shared" si="2"/>
        <v>1.3997296250022281E-4</v>
      </c>
    </row>
    <row r="31" spans="1:5" x14ac:dyDescent="0.25">
      <c r="A31">
        <v>2.4684296532125001</v>
      </c>
      <c r="B31">
        <v>9.2043815103714677E-2</v>
      </c>
      <c r="C31">
        <f t="shared" si="0"/>
        <v>7.6228296034648299E-2</v>
      </c>
      <c r="D31">
        <f t="shared" si="1"/>
        <v>1.5815519069066378E-2</v>
      </c>
      <c r="E31">
        <f t="shared" si="2"/>
        <v>2.5013064342400222E-4</v>
      </c>
    </row>
    <row r="32" spans="1:5" x14ac:dyDescent="0.25">
      <c r="A32">
        <v>2.5489925981375001</v>
      </c>
      <c r="B32">
        <v>8.0343330132903498E-2</v>
      </c>
      <c r="C32">
        <f t="shared" si="0"/>
        <v>6.6435789824157487E-2</v>
      </c>
      <c r="D32">
        <f t="shared" si="1"/>
        <v>1.3907540308746011E-2</v>
      </c>
      <c r="E32">
        <f t="shared" si="2"/>
        <v>1.9341967743939509E-4</v>
      </c>
    </row>
    <row r="33" spans="1:5" x14ac:dyDescent="0.25">
      <c r="A33">
        <v>2.6295555430624997</v>
      </c>
      <c r="B33">
        <v>9.3603879766489512E-2</v>
      </c>
      <c r="C33">
        <f t="shared" si="0"/>
        <v>5.7752186954094835E-2</v>
      </c>
      <c r="D33">
        <f t="shared" si="1"/>
        <v>3.5851692812394677E-2</v>
      </c>
      <c r="E33">
        <f t="shared" si="2"/>
        <v>1.2853438775143121E-3</v>
      </c>
    </row>
    <row r="34" spans="1:5" x14ac:dyDescent="0.25">
      <c r="A34">
        <v>2.7101184879874998</v>
      </c>
      <c r="B34">
        <v>7.7223200807353842E-2</v>
      </c>
      <c r="C34">
        <f t="shared" si="0"/>
        <v>5.0077513800290359E-2</v>
      </c>
      <c r="D34">
        <f t="shared" si="1"/>
        <v>2.7145687007063483E-2</v>
      </c>
      <c r="E34">
        <f t="shared" si="2"/>
        <v>7.368883230854552E-4</v>
      </c>
    </row>
    <row r="35" spans="1:5" x14ac:dyDescent="0.25">
      <c r="A35">
        <v>2.7906814329124998</v>
      </c>
      <c r="B35">
        <v>3.7441551906595802E-2</v>
      </c>
      <c r="C35">
        <f t="shared" si="0"/>
        <v>4.3316251249717504E-2</v>
      </c>
      <c r="D35">
        <f t="shared" si="1"/>
        <v>-5.8746993431217018E-3</v>
      </c>
      <c r="E35">
        <f t="shared" si="2"/>
        <v>3.4512092372074553E-5</v>
      </c>
    </row>
    <row r="36" spans="1:5" x14ac:dyDescent="0.25">
      <c r="A36">
        <v>2.8712443778375003</v>
      </c>
      <c r="B36">
        <v>3.900161656937063E-2</v>
      </c>
      <c r="C36">
        <f t="shared" si="0"/>
        <v>3.7378076213208114E-2</v>
      </c>
      <c r="D36">
        <f t="shared" si="1"/>
        <v>1.6235403561625159E-3</v>
      </c>
      <c r="E36">
        <f t="shared" si="2"/>
        <v>2.6358832880883087E-6</v>
      </c>
    </row>
    <row r="37" spans="1:5" x14ac:dyDescent="0.25">
      <c r="A37">
        <v>2.9518073227625004</v>
      </c>
      <c r="B37">
        <v>6.0062489516830769E-2</v>
      </c>
      <c r="C37">
        <f t="shared" si="0"/>
        <v>3.2178348933900029E-2</v>
      </c>
      <c r="D37">
        <f t="shared" si="1"/>
        <v>2.788414058293074E-2</v>
      </c>
      <c r="E37">
        <f t="shared" si="2"/>
        <v>7.7752529604864506E-4</v>
      </c>
    </row>
    <row r="38" spans="1:5" x14ac:dyDescent="0.25">
      <c r="A38">
        <v>3.0323702676875</v>
      </c>
      <c r="B38">
        <v>3.6661519575208391E-2</v>
      </c>
      <c r="C38">
        <f t="shared" si="0"/>
        <v>2.7638390098596855E-2</v>
      </c>
      <c r="D38">
        <f t="shared" si="1"/>
        <v>9.0231294766115362E-3</v>
      </c>
      <c r="E38">
        <f t="shared" si="2"/>
        <v>8.1416865551695971E-5</v>
      </c>
    </row>
    <row r="39" spans="1:5" x14ac:dyDescent="0.25">
      <c r="A39">
        <v>3.1129332126125</v>
      </c>
      <c r="B39">
        <v>1.1700484970811189E-2</v>
      </c>
      <c r="C39">
        <f t="shared" si="0"/>
        <v>2.3685586916080793E-2</v>
      </c>
      <c r="D39">
        <f t="shared" si="1"/>
        <v>-1.1985101945269604E-2</v>
      </c>
      <c r="E39">
        <f t="shared" si="2"/>
        <v>1.4364266863850525E-4</v>
      </c>
    </row>
    <row r="40" spans="1:5" x14ac:dyDescent="0.25">
      <c r="A40">
        <v>3.1934961575375</v>
      </c>
      <c r="B40">
        <v>2.1060872947460139E-2</v>
      </c>
      <c r="C40">
        <f t="shared" si="0"/>
        <v>2.0253362624955286E-2</v>
      </c>
      <c r="D40">
        <f t="shared" si="1"/>
        <v>8.0751032250485355E-4</v>
      </c>
      <c r="E40">
        <f t="shared" si="2"/>
        <v>6.5207292095189255E-7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DDD1-81A1-44C7-B260-03CA2C14FD2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6.0209492500000003E-2</v>
      </c>
      <c r="B1">
        <v>0.15001236091291908</v>
      </c>
      <c r="C1">
        <f>$H$3*(1+$H$1)*(A1^($H$1))*EXP(-$H$3*(A1^(1+$H$1)))</f>
        <v>0.28966259749661388</v>
      </c>
      <c r="D1">
        <f>B1-C1</f>
        <v>-0.1396502365836948</v>
      </c>
      <c r="E1">
        <f>D1^2</f>
        <v>1.950218857788193E-2</v>
      </c>
      <c r="G1" t="s">
        <v>0</v>
      </c>
      <c r="H1">
        <v>0.53145622843836871</v>
      </c>
    </row>
    <row r="2" spans="1:8" x14ac:dyDescent="0.25">
      <c r="A2">
        <v>0.1372889615</v>
      </c>
      <c r="B2">
        <v>0.42883968391410565</v>
      </c>
      <c r="C2">
        <f t="shared" ref="C2:C40" si="0">$H$3*(1+$H$1)*(A2^($H$1))*EXP(-$H$3*(A2^(1+$H$1)))</f>
        <v>0.43597572677669688</v>
      </c>
      <c r="D2">
        <f t="shared" ref="D2:D40" si="1">B2-C2</f>
        <v>-7.1360428625912298E-3</v>
      </c>
      <c r="E2">
        <f t="shared" ref="E2:E40" si="2">D2^2</f>
        <v>5.0923107736739235E-5</v>
      </c>
    </row>
    <row r="3" spans="1:8" x14ac:dyDescent="0.25">
      <c r="A3">
        <v>0.21436843049999998</v>
      </c>
      <c r="B3">
        <v>0.4541135055896518</v>
      </c>
      <c r="C3">
        <f t="shared" si="0"/>
        <v>0.53089723274893696</v>
      </c>
      <c r="D3">
        <f t="shared" si="1"/>
        <v>-7.6783727159285164E-2</v>
      </c>
      <c r="E3">
        <f t="shared" si="2"/>
        <v>5.895740756471546E-3</v>
      </c>
      <c r="G3" t="s">
        <v>1</v>
      </c>
      <c r="H3">
        <f>(_xlfn.GAMMA((2+$H$1)/(1+$H$1)))^(1+$H$1)</f>
        <v>0.85181561805064576</v>
      </c>
    </row>
    <row r="4" spans="1:8" x14ac:dyDescent="0.25">
      <c r="A4">
        <v>0.2914478995</v>
      </c>
      <c r="B4">
        <v>0.49976944151967068</v>
      </c>
      <c r="C4">
        <f t="shared" si="0"/>
        <v>0.59551875686579436</v>
      </c>
      <c r="D4">
        <f t="shared" si="1"/>
        <v>-9.5749315346123687E-2</v>
      </c>
      <c r="E4">
        <f t="shared" si="2"/>
        <v>9.1679313892514373E-3</v>
      </c>
    </row>
    <row r="5" spans="1:8" x14ac:dyDescent="0.25">
      <c r="A5">
        <v>0.36852736850000001</v>
      </c>
      <c r="B5">
        <v>0.61227871220436003</v>
      </c>
      <c r="C5">
        <f t="shared" si="0"/>
        <v>0.63803367061534932</v>
      </c>
      <c r="D5">
        <f t="shared" si="1"/>
        <v>-2.5754958410989293E-2</v>
      </c>
      <c r="E5">
        <f t="shared" si="2"/>
        <v>6.6331788275178808E-4</v>
      </c>
      <c r="G5" t="s">
        <v>2</v>
      </c>
      <c r="H5">
        <f>SUM(E1:E40)</f>
        <v>0.29727104693829726</v>
      </c>
    </row>
    <row r="6" spans="1:8" x14ac:dyDescent="0.25">
      <c r="A6">
        <v>0.44560683749999996</v>
      </c>
      <c r="B6">
        <v>0.92534798715306077</v>
      </c>
      <c r="C6">
        <f t="shared" si="0"/>
        <v>0.66313871324583218</v>
      </c>
      <c r="D6">
        <f t="shared" si="1"/>
        <v>0.26220927390722859</v>
      </c>
      <c r="E6">
        <f t="shared" si="2"/>
        <v>6.8753703322956022E-2</v>
      </c>
    </row>
    <row r="7" spans="1:8" x14ac:dyDescent="0.25">
      <c r="A7">
        <v>0.52268630649999992</v>
      </c>
      <c r="B7">
        <v>1.0207362818639929</v>
      </c>
      <c r="C7">
        <f t="shared" si="0"/>
        <v>0.67411922005176683</v>
      </c>
      <c r="D7">
        <f t="shared" si="1"/>
        <v>0.34661706181222607</v>
      </c>
      <c r="E7">
        <f t="shared" si="2"/>
        <v>0.12014338753934055</v>
      </c>
    </row>
    <row r="8" spans="1:8" x14ac:dyDescent="0.25">
      <c r="A8">
        <v>0.59976577549999999</v>
      </c>
      <c r="B8">
        <v>0.82832912330177066</v>
      </c>
      <c r="C8">
        <f t="shared" si="0"/>
        <v>0.67354546483952116</v>
      </c>
      <c r="D8">
        <f t="shared" si="1"/>
        <v>0.15478365846224951</v>
      </c>
      <c r="E8">
        <f t="shared" si="2"/>
        <v>2.3957980926958302E-2</v>
      </c>
    </row>
    <row r="9" spans="1:8" x14ac:dyDescent="0.25">
      <c r="A9">
        <v>0.67684524449999994</v>
      </c>
      <c r="B9">
        <v>0.69869887664332431</v>
      </c>
      <c r="C9">
        <f t="shared" si="0"/>
        <v>0.66355661986909764</v>
      </c>
      <c r="D9">
        <f t="shared" si="1"/>
        <v>3.5142256774226666E-2</v>
      </c>
      <c r="E9">
        <f t="shared" si="2"/>
        <v>1.2349782111856799E-3</v>
      </c>
    </row>
    <row r="10" spans="1:8" x14ac:dyDescent="0.25">
      <c r="A10">
        <v>0.75392471350000001</v>
      </c>
      <c r="B10">
        <v>0.60901757392364442</v>
      </c>
      <c r="C10">
        <f t="shared" si="0"/>
        <v>0.64599138915984444</v>
      </c>
      <c r="D10">
        <f t="shared" si="1"/>
        <v>-3.6973815236200025E-2</v>
      </c>
      <c r="E10">
        <f t="shared" si="2"/>
        <v>1.3670630131206571E-3</v>
      </c>
    </row>
    <row r="11" spans="1:8" x14ac:dyDescent="0.25">
      <c r="A11">
        <v>0.83100418249999997</v>
      </c>
      <c r="B11">
        <v>0.55602407686201538</v>
      </c>
      <c r="C11">
        <f t="shared" si="0"/>
        <v>0.62245363848847779</v>
      </c>
      <c r="D11">
        <f t="shared" si="1"/>
        <v>-6.6429561626462408E-2</v>
      </c>
      <c r="E11">
        <f t="shared" si="2"/>
        <v>4.4128866578839665E-3</v>
      </c>
    </row>
    <row r="12" spans="1:8" x14ac:dyDescent="0.25">
      <c r="A12">
        <v>0.90808365149999992</v>
      </c>
      <c r="B12">
        <v>0.52911968604611137</v>
      </c>
      <c r="C12">
        <f t="shared" si="0"/>
        <v>0.59434830762619639</v>
      </c>
      <c r="D12">
        <f t="shared" si="1"/>
        <v>-6.5228621580085022E-2</v>
      </c>
      <c r="E12">
        <f t="shared" si="2"/>
        <v>4.2547730732379338E-3</v>
      </c>
    </row>
    <row r="13" spans="1:8" x14ac:dyDescent="0.25">
      <c r="A13">
        <v>0.98516312049999999</v>
      </c>
      <c r="B13">
        <v>0.48509431925645036</v>
      </c>
      <c r="C13">
        <f t="shared" si="0"/>
        <v>0.56290327078246705</v>
      </c>
      <c r="D13">
        <f t="shared" si="1"/>
        <v>-7.780895152601669E-2</v>
      </c>
      <c r="E13">
        <f t="shared" si="2"/>
        <v>6.0542329375780149E-3</v>
      </c>
    </row>
    <row r="14" spans="1:8" x14ac:dyDescent="0.25">
      <c r="A14">
        <v>1.0622425894999998</v>
      </c>
      <c r="B14">
        <v>0.45900521301072528</v>
      </c>
      <c r="C14">
        <f t="shared" si="0"/>
        <v>0.52918458842526794</v>
      </c>
      <c r="D14">
        <f t="shared" si="1"/>
        <v>-7.0179375414542666E-2</v>
      </c>
      <c r="E14">
        <f t="shared" si="2"/>
        <v>4.9251447335753153E-3</v>
      </c>
    </row>
    <row r="15" spans="1:8" x14ac:dyDescent="0.25">
      <c r="A15">
        <v>1.1393220584999999</v>
      </c>
      <c r="B15">
        <v>0.43047025305446351</v>
      </c>
      <c r="C15">
        <f t="shared" si="0"/>
        <v>0.49410881252275379</v>
      </c>
      <c r="D15">
        <f t="shared" si="1"/>
        <v>-6.3638559468290279E-2</v>
      </c>
      <c r="E15">
        <f t="shared" si="2"/>
        <v>4.049866251199118E-3</v>
      </c>
    </row>
    <row r="16" spans="1:8" x14ac:dyDescent="0.25">
      <c r="A16">
        <v>1.2164015275</v>
      </c>
      <c r="B16">
        <v>0.39541301653677041</v>
      </c>
      <c r="C16">
        <f t="shared" si="0"/>
        <v>0.45845414523305034</v>
      </c>
      <c r="D16">
        <f t="shared" si="1"/>
        <v>-6.3041128696279924E-2</v>
      </c>
      <c r="E16">
        <f t="shared" si="2"/>
        <v>3.974183907300928E-3</v>
      </c>
    </row>
    <row r="17" spans="1:5" x14ac:dyDescent="0.25">
      <c r="A17">
        <v>1.2934809965</v>
      </c>
      <c r="B17">
        <v>0.34323480404532031</v>
      </c>
      <c r="C17">
        <f t="shared" si="0"/>
        <v>0.42287128975158061</v>
      </c>
      <c r="D17">
        <f t="shared" si="1"/>
        <v>-7.9636485706260307E-2</v>
      </c>
      <c r="E17">
        <f t="shared" si="2"/>
        <v>6.3419698556434019E-3</v>
      </c>
    </row>
    <row r="18" spans="1:5" x14ac:dyDescent="0.25">
      <c r="A18">
        <v>1.3705604654999999</v>
      </c>
      <c r="B18">
        <v>0.35220293431728833</v>
      </c>
      <c r="C18">
        <f t="shared" si="0"/>
        <v>0.38789432296940624</v>
      </c>
      <c r="D18">
        <f t="shared" si="1"/>
        <v>-3.5691388652117906E-2</v>
      </c>
      <c r="E18">
        <f t="shared" si="2"/>
        <v>1.2738752239165308E-3</v>
      </c>
    </row>
    <row r="19" spans="1:5" x14ac:dyDescent="0.25">
      <c r="A19">
        <v>1.4476399344999999</v>
      </c>
      <c r="B19">
        <v>0.32774439721192106</v>
      </c>
      <c r="C19">
        <f t="shared" si="0"/>
        <v>0.35395165038449655</v>
      </c>
      <c r="D19">
        <f t="shared" si="1"/>
        <v>-2.6207253172575495E-2</v>
      </c>
      <c r="E19">
        <f t="shared" si="2"/>
        <v>6.8682011885146837E-4</v>
      </c>
    </row>
    <row r="20" spans="1:5" x14ac:dyDescent="0.25">
      <c r="A20">
        <v>1.5247194034999998</v>
      </c>
      <c r="B20">
        <v>0.29187187612404908</v>
      </c>
      <c r="C20">
        <f t="shared" si="0"/>
        <v>0.32137696715537356</v>
      </c>
      <c r="D20">
        <f t="shared" si="1"/>
        <v>-2.9505091031324482E-2</v>
      </c>
      <c r="E20">
        <f t="shared" si="2"/>
        <v>8.7055039676674434E-4</v>
      </c>
    </row>
    <row r="21" spans="1:5" x14ac:dyDescent="0.25">
      <c r="A21">
        <v>1.6017988724999999</v>
      </c>
      <c r="B21">
        <v>0.27148976186957641</v>
      </c>
      <c r="C21">
        <f t="shared" si="0"/>
        <v>0.29042008810524095</v>
      </c>
      <c r="D21">
        <f t="shared" si="1"/>
        <v>-1.8930326235664541E-2</v>
      </c>
      <c r="E21">
        <f t="shared" si="2"/>
        <v>3.5835725138868923E-4</v>
      </c>
    </row>
    <row r="22" spans="1:5" x14ac:dyDescent="0.25">
      <c r="A22">
        <v>1.6788783414999999</v>
      </c>
      <c r="B22">
        <v>0.23398667164134662</v>
      </c>
      <c r="C22">
        <f t="shared" si="0"/>
        <v>0.26125749182354574</v>
      </c>
      <c r="D22">
        <f t="shared" si="1"/>
        <v>-2.7270820182199118E-2</v>
      </c>
      <c r="E22">
        <f t="shared" si="2"/>
        <v>7.4369763340983877E-4</v>
      </c>
    </row>
    <row r="23" spans="1:5" x14ac:dyDescent="0.25">
      <c r="A23">
        <v>1.7559578105</v>
      </c>
      <c r="B23">
        <v>0.2600757778870717</v>
      </c>
      <c r="C23">
        <f t="shared" si="0"/>
        <v>0.23400243103297186</v>
      </c>
      <c r="D23">
        <f t="shared" si="1"/>
        <v>2.6073346854099844E-2</v>
      </c>
      <c r="E23">
        <f t="shared" si="2"/>
        <v>6.798194161741982E-4</v>
      </c>
    </row>
    <row r="24" spans="1:5" x14ac:dyDescent="0.25">
      <c r="A24">
        <v>1.8330372794999998</v>
      </c>
      <c r="B24">
        <v>0.23235610250098881</v>
      </c>
      <c r="C24">
        <f t="shared" si="0"/>
        <v>0.20871448176061666</v>
      </c>
      <c r="D24">
        <f t="shared" si="1"/>
        <v>2.3641620740372155E-2</v>
      </c>
      <c r="E24">
        <f t="shared" si="2"/>
        <v>5.5892623123159481E-4</v>
      </c>
    </row>
    <row r="25" spans="1:5" x14ac:dyDescent="0.25">
      <c r="A25">
        <v>1.9101167484999999</v>
      </c>
      <c r="B25">
        <v>0.19322244313240122</v>
      </c>
      <c r="C25">
        <f t="shared" si="0"/>
        <v>0.18540843055618264</v>
      </c>
      <c r="D25">
        <f t="shared" si="1"/>
        <v>7.8140125762185819E-3</v>
      </c>
      <c r="E25">
        <f t="shared" si="2"/>
        <v>6.1058792541302155E-5</v>
      </c>
    </row>
    <row r="26" spans="1:5" x14ac:dyDescent="0.25">
      <c r="A26">
        <v>1.9871962175000002</v>
      </c>
      <c r="B26">
        <v>0.17854732086918088</v>
      </c>
      <c r="C26">
        <f t="shared" si="0"/>
        <v>0.164062427649496</v>
      </c>
      <c r="D26">
        <f t="shared" si="1"/>
        <v>1.448489321968488E-2</v>
      </c>
      <c r="E26">
        <f t="shared" si="2"/>
        <v>2.0981213158567302E-4</v>
      </c>
    </row>
    <row r="27" spans="1:5" x14ac:dyDescent="0.25">
      <c r="A27">
        <v>2.0642756865000003</v>
      </c>
      <c r="B27">
        <v>0.16468748317613943</v>
      </c>
      <c r="C27">
        <f t="shared" si="0"/>
        <v>0.1446253618114148</v>
      </c>
      <c r="D27">
        <f t="shared" si="1"/>
        <v>2.0062121364724628E-2</v>
      </c>
      <c r="E27">
        <f t="shared" si="2"/>
        <v>4.0248871365294034E-4</v>
      </c>
    </row>
    <row r="28" spans="1:5" x14ac:dyDescent="0.25">
      <c r="A28">
        <v>2.1413551554999994</v>
      </c>
      <c r="B28">
        <v>0.15734992204452927</v>
      </c>
      <c r="C28">
        <f t="shared" si="0"/>
        <v>0.12702343814278999</v>
      </c>
      <c r="D28">
        <f t="shared" si="1"/>
        <v>3.0326483901739282E-2</v>
      </c>
      <c r="E28">
        <f t="shared" si="2"/>
        <v>9.1969562584245186E-4</v>
      </c>
    </row>
    <row r="29" spans="1:5" x14ac:dyDescent="0.25">
      <c r="A29">
        <v>2.2184346244999995</v>
      </c>
      <c r="B29">
        <v>0.14185951521113002</v>
      </c>
      <c r="C29">
        <f t="shared" si="0"/>
        <v>0.11116596216259871</v>
      </c>
      <c r="D29">
        <f t="shared" si="1"/>
        <v>3.0693553048531316E-2</v>
      </c>
      <c r="E29">
        <f t="shared" si="2"/>
        <v>9.4209419874300608E-4</v>
      </c>
    </row>
    <row r="30" spans="1:5" x14ac:dyDescent="0.25">
      <c r="A30">
        <v>2.2955140934999996</v>
      </c>
      <c r="B30">
        <v>0.11903154724612058</v>
      </c>
      <c r="C30">
        <f t="shared" si="0"/>
        <v>9.695035199164137E-2</v>
      </c>
      <c r="D30">
        <f t="shared" si="1"/>
        <v>2.2081195254479213E-2</v>
      </c>
      <c r="E30">
        <f t="shared" si="2"/>
        <v>4.8757918386643534E-4</v>
      </c>
    </row>
    <row r="31" spans="1:5" x14ac:dyDescent="0.25">
      <c r="A31">
        <v>2.3725935624999996</v>
      </c>
      <c r="B31">
        <v>0.11332455525486823</v>
      </c>
      <c r="C31">
        <f t="shared" si="0"/>
        <v>8.4266415061788308E-2</v>
      </c>
      <c r="D31">
        <f t="shared" si="1"/>
        <v>2.9058140193079923E-2</v>
      </c>
      <c r="E31">
        <f t="shared" si="2"/>
        <v>8.4437551148068687E-4</v>
      </c>
    </row>
    <row r="32" spans="1:5" x14ac:dyDescent="0.25">
      <c r="A32">
        <v>2.4496730315000002</v>
      </c>
      <c r="B32">
        <v>7.7452034166996267E-2</v>
      </c>
      <c r="C32">
        <f t="shared" si="0"/>
        <v>7.2999936776589655E-2</v>
      </c>
      <c r="D32">
        <f t="shared" si="1"/>
        <v>4.4520973904066119E-3</v>
      </c>
      <c r="E32">
        <f t="shared" si="2"/>
        <v>1.9821171173665363E-5</v>
      </c>
    </row>
    <row r="33" spans="1:5" x14ac:dyDescent="0.25">
      <c r="A33">
        <v>2.5267525004999998</v>
      </c>
      <c r="B33">
        <v>0.10517170955307915</v>
      </c>
      <c r="C33">
        <f t="shared" si="0"/>
        <v>6.3035636204668025E-2</v>
      </c>
      <c r="D33">
        <f t="shared" si="1"/>
        <v>4.2136073348411129E-2</v>
      </c>
      <c r="E33">
        <f t="shared" si="2"/>
        <v>1.7754486772226827E-3</v>
      </c>
    </row>
    <row r="34" spans="1:5" x14ac:dyDescent="0.25">
      <c r="A34">
        <v>2.6038319694999998</v>
      </c>
      <c r="B34">
        <v>7.582146502663846E-2</v>
      </c>
      <c r="C34">
        <f t="shared" si="0"/>
        <v>5.4259548584741121E-2</v>
      </c>
      <c r="D34">
        <f t="shared" si="1"/>
        <v>2.1561916441897339E-2</v>
      </c>
      <c r="E34">
        <f t="shared" si="2"/>
        <v>4.6491624064736277E-4</v>
      </c>
    </row>
    <row r="35" spans="1:5" x14ac:dyDescent="0.25">
      <c r="A35">
        <v>2.6809114384999999</v>
      </c>
      <c r="B35">
        <v>6.4407481044133741E-2</v>
      </c>
      <c r="C35">
        <f t="shared" si="0"/>
        <v>4.6560896583533282E-2</v>
      </c>
      <c r="D35">
        <f t="shared" si="1"/>
        <v>1.7846584460600459E-2</v>
      </c>
      <c r="E35">
        <f t="shared" si="2"/>
        <v>3.1850057690934581E-4</v>
      </c>
    </row>
    <row r="36" spans="1:5" x14ac:dyDescent="0.25">
      <c r="A36">
        <v>2.7579909075</v>
      </c>
      <c r="B36">
        <v>4.0764228508945406E-2</v>
      </c>
      <c r="C36">
        <f t="shared" si="0"/>
        <v>3.9833512307940612E-2</v>
      </c>
      <c r="D36">
        <f t="shared" si="1"/>
        <v>9.3071620100479424E-4</v>
      </c>
      <c r="E36">
        <f t="shared" si="2"/>
        <v>8.6623264681279652E-7</v>
      </c>
    </row>
    <row r="37" spans="1:5" x14ac:dyDescent="0.25">
      <c r="A37">
        <v>2.8350703764999996</v>
      </c>
      <c r="B37">
        <v>6.1146342763418106E-2</v>
      </c>
      <c r="C37">
        <f t="shared" si="0"/>
        <v>3.3976870450438686E-2</v>
      </c>
      <c r="D37">
        <f t="shared" si="1"/>
        <v>2.716947231297942E-2</v>
      </c>
      <c r="E37">
        <f t="shared" si="2"/>
        <v>7.3818022576575533E-4</v>
      </c>
    </row>
    <row r="38" spans="1:5" x14ac:dyDescent="0.25">
      <c r="A38">
        <v>2.9121498454999997</v>
      </c>
      <c r="B38">
        <v>4.1579513079124317E-2</v>
      </c>
      <c r="C38">
        <f t="shared" si="0"/>
        <v>2.8896790033379038E-2</v>
      </c>
      <c r="D38">
        <f t="shared" si="1"/>
        <v>1.2682723045745279E-2</v>
      </c>
      <c r="E38">
        <f t="shared" si="2"/>
        <v>1.6085146385507839E-4</v>
      </c>
    </row>
    <row r="39" spans="1:5" x14ac:dyDescent="0.25">
      <c r="A39">
        <v>2.9892293144999997</v>
      </c>
      <c r="B39">
        <v>2.2827967965009428E-2</v>
      </c>
      <c r="C39">
        <f t="shared" si="0"/>
        <v>2.4505858367001278E-2</v>
      </c>
      <c r="D39">
        <f t="shared" si="1"/>
        <v>-1.6778904019918509E-3</v>
      </c>
      <c r="E39">
        <f t="shared" si="2"/>
        <v>2.8153162010963747E-6</v>
      </c>
    </row>
    <row r="40" spans="1:5" x14ac:dyDescent="0.25">
      <c r="A40">
        <v>3.0663087834999998</v>
      </c>
      <c r="B40">
        <v>2.119739882465161E-2</v>
      </c>
      <c r="C40">
        <f t="shared" si="0"/>
        <v>2.0723626357626822E-2</v>
      </c>
      <c r="D40">
        <f t="shared" si="1"/>
        <v>4.7377246702478767E-4</v>
      </c>
      <c r="E40">
        <f t="shared" si="2"/>
        <v>2.2446035051075352E-7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78A0-6157-4BE4-8590-21F449B5FD0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7.5666807274999998E-2</v>
      </c>
      <c r="B1">
        <v>0.14233651581588155</v>
      </c>
      <c r="C1">
        <f>$H$3*(1+$H$1)*(A1^($H$1))*EXP(-$H$3*(A1^(1+$H$1)))</f>
        <v>0.27265851955405929</v>
      </c>
      <c r="D1">
        <f>B1-C1</f>
        <v>-0.13032200373817773</v>
      </c>
      <c r="E1">
        <f>D1^2</f>
        <v>1.6983824658333611E-2</v>
      </c>
      <c r="G1" t="s">
        <v>0</v>
      </c>
      <c r="H1">
        <v>0.61531785712288978</v>
      </c>
    </row>
    <row r="2" spans="1:8" x14ac:dyDescent="0.25">
      <c r="A2">
        <v>0.14939745982500002</v>
      </c>
      <c r="B2">
        <v>0.39632622667296358</v>
      </c>
      <c r="C2">
        <f t="shared" ref="C2:C40" si="0">$H$3*(1+$H$1)*(A2^($H$1))*EXP(-$H$3*(A2^(1+$H$1)))</f>
        <v>0.40379866770637224</v>
      </c>
      <c r="D2">
        <f t="shared" ref="D2:D40" si="1">B2-C2</f>
        <v>-7.4724410334086611E-3</v>
      </c>
      <c r="E2">
        <f t="shared" ref="E2:E40" si="2">D2^2</f>
        <v>5.5837374997769498E-5</v>
      </c>
    </row>
    <row r="3" spans="1:8" x14ac:dyDescent="0.25">
      <c r="A3">
        <v>0.22312811237500002</v>
      </c>
      <c r="B3">
        <v>0.46024981162021578</v>
      </c>
      <c r="C3">
        <f t="shared" si="0"/>
        <v>0.49887122028888953</v>
      </c>
      <c r="D3">
        <f t="shared" si="1"/>
        <v>-3.8621408668673751E-2</v>
      </c>
      <c r="E3">
        <f t="shared" si="2"/>
        <v>1.491613207552708E-3</v>
      </c>
      <c r="G3" t="s">
        <v>1</v>
      </c>
      <c r="H3">
        <f>(_xlfn.GAMMA((2+$H$1)/(1+$H$1)))^(1+$H$1)</f>
        <v>0.83716245004487055</v>
      </c>
    </row>
    <row r="4" spans="1:8" x14ac:dyDescent="0.25">
      <c r="A4">
        <v>0.29685876492500002</v>
      </c>
      <c r="B4">
        <v>0.49263776132682352</v>
      </c>
      <c r="C4">
        <f t="shared" si="0"/>
        <v>0.56937426084277087</v>
      </c>
      <c r="D4">
        <f t="shared" si="1"/>
        <v>-7.6736499515947354E-2</v>
      </c>
      <c r="E4">
        <f t="shared" si="2"/>
        <v>5.8884903579609887E-3</v>
      </c>
    </row>
    <row r="5" spans="1:8" x14ac:dyDescent="0.25">
      <c r="A5">
        <v>0.37058941747500002</v>
      </c>
      <c r="B5">
        <v>0.60002938403820716</v>
      </c>
      <c r="C5">
        <f t="shared" si="0"/>
        <v>0.62036756138341498</v>
      </c>
      <c r="D5">
        <f t="shared" si="1"/>
        <v>-2.033817734520782E-2</v>
      </c>
      <c r="E5">
        <f t="shared" si="2"/>
        <v>4.1364145772512459E-4</v>
      </c>
      <c r="G5" t="s">
        <v>2</v>
      </c>
      <c r="H5">
        <f>SUM(E1:E40)</f>
        <v>0.36258885326413731</v>
      </c>
    </row>
    <row r="6" spans="1:8" x14ac:dyDescent="0.25">
      <c r="A6">
        <v>0.44432007002500001</v>
      </c>
      <c r="B6">
        <v>0.59747244064031713</v>
      </c>
      <c r="C6">
        <f t="shared" si="0"/>
        <v>0.65497456472961801</v>
      </c>
      <c r="D6">
        <f t="shared" si="1"/>
        <v>-5.7502124089300888E-2</v>
      </c>
      <c r="E6">
        <f t="shared" si="2"/>
        <v>3.3064942747813575E-3</v>
      </c>
    </row>
    <row r="7" spans="1:8" x14ac:dyDescent="0.25">
      <c r="A7">
        <v>0.51805072257499996</v>
      </c>
      <c r="B7">
        <v>0.96311534653859965</v>
      </c>
      <c r="C7">
        <f t="shared" si="0"/>
        <v>0.6755396621403077</v>
      </c>
      <c r="D7">
        <f t="shared" si="1"/>
        <v>0.28757568439829195</v>
      </c>
      <c r="E7">
        <f t="shared" si="2"/>
        <v>8.2699774257146016E-2</v>
      </c>
    </row>
    <row r="8" spans="1:8" x14ac:dyDescent="0.25">
      <c r="A8">
        <v>0.59178137512500006</v>
      </c>
      <c r="B8">
        <v>1.0807347428415437</v>
      </c>
      <c r="C8">
        <f t="shared" si="0"/>
        <v>0.68403200599927505</v>
      </c>
      <c r="D8">
        <f t="shared" si="1"/>
        <v>0.39670273684226864</v>
      </c>
      <c r="E8">
        <f t="shared" si="2"/>
        <v>0.15737306141814625</v>
      </c>
    </row>
    <row r="9" spans="1:8" x14ac:dyDescent="0.25">
      <c r="A9">
        <v>0.66551202767499995</v>
      </c>
      <c r="B9">
        <v>0.86765612635070299</v>
      </c>
      <c r="C9">
        <f t="shared" si="0"/>
        <v>0.68220649130029287</v>
      </c>
      <c r="D9">
        <f t="shared" si="1"/>
        <v>0.18544963505041012</v>
      </c>
      <c r="E9">
        <f t="shared" si="2"/>
        <v>3.4391567140330301E-2</v>
      </c>
    </row>
    <row r="10" spans="1:8" x14ac:dyDescent="0.25">
      <c r="A10">
        <v>0.73924268022500006</v>
      </c>
      <c r="B10">
        <v>0.68696545956647015</v>
      </c>
      <c r="C10">
        <f t="shared" si="0"/>
        <v>0.67167031197184435</v>
      </c>
      <c r="D10">
        <f t="shared" si="1"/>
        <v>1.5295147594625802E-2</v>
      </c>
      <c r="E10">
        <f t="shared" si="2"/>
        <v>2.3394153994138746E-4</v>
      </c>
    </row>
    <row r="11" spans="1:8" x14ac:dyDescent="0.25">
      <c r="A11">
        <v>0.81297333277500006</v>
      </c>
      <c r="B11">
        <v>0.59235855384453695</v>
      </c>
      <c r="C11">
        <f t="shared" si="0"/>
        <v>0.65390892059914518</v>
      </c>
      <c r="D11">
        <f t="shared" si="1"/>
        <v>-6.1550366754608232E-2</v>
      </c>
      <c r="E11">
        <f t="shared" si="2"/>
        <v>3.7884476476267824E-3</v>
      </c>
    </row>
    <row r="12" spans="1:8" x14ac:dyDescent="0.25">
      <c r="A12">
        <v>0.88670398532500005</v>
      </c>
      <c r="B12">
        <v>0.58809698151472012</v>
      </c>
      <c r="C12">
        <f t="shared" si="0"/>
        <v>0.63029396830953488</v>
      </c>
      <c r="D12">
        <f t="shared" si="1"/>
        <v>-4.2196986794814761E-2</v>
      </c>
      <c r="E12">
        <f t="shared" si="2"/>
        <v>1.7805856945617713E-3</v>
      </c>
    </row>
    <row r="13" spans="1:8" x14ac:dyDescent="0.25">
      <c r="A13">
        <v>0.96043463787500005</v>
      </c>
      <c r="B13">
        <v>0.53269654122710153</v>
      </c>
      <c r="C13">
        <f t="shared" si="0"/>
        <v>0.60208366477568553</v>
      </c>
      <c r="D13">
        <f t="shared" si="1"/>
        <v>-6.9387123548584007E-2</v>
      </c>
      <c r="E13">
        <f t="shared" si="2"/>
        <v>4.814572914346461E-3</v>
      </c>
    </row>
    <row r="14" spans="1:8" x14ac:dyDescent="0.25">
      <c r="A14">
        <v>1.034165290425</v>
      </c>
      <c r="B14">
        <v>0.50542247831627396</v>
      </c>
      <c r="C14">
        <f t="shared" si="0"/>
        <v>0.57042067953169884</v>
      </c>
      <c r="D14">
        <f t="shared" si="1"/>
        <v>-6.4998201215424878E-2</v>
      </c>
      <c r="E14">
        <f t="shared" si="2"/>
        <v>4.2247661612408597E-3</v>
      </c>
    </row>
    <row r="15" spans="1:8" x14ac:dyDescent="0.25">
      <c r="A15">
        <v>1.1078959429749999</v>
      </c>
      <c r="B15">
        <v>0.44916972356269202</v>
      </c>
      <c r="C15">
        <f t="shared" si="0"/>
        <v>0.53633014401586199</v>
      </c>
      <c r="D15">
        <f t="shared" si="1"/>
        <v>-8.7160420453169962E-2</v>
      </c>
      <c r="E15">
        <f t="shared" si="2"/>
        <v>7.5969388935733691E-3</v>
      </c>
    </row>
    <row r="16" spans="1:8" x14ac:dyDescent="0.25">
      <c r="A16">
        <v>1.181626595525</v>
      </c>
      <c r="B16">
        <v>0.38268919521754979</v>
      </c>
      <c r="C16">
        <f t="shared" si="0"/>
        <v>0.50071898538861692</v>
      </c>
      <c r="D16">
        <f t="shared" si="1"/>
        <v>-0.11802979017106713</v>
      </c>
      <c r="E16">
        <f t="shared" si="2"/>
        <v>1.3931031367826134E-2</v>
      </c>
    </row>
    <row r="17" spans="1:5" x14ac:dyDescent="0.25">
      <c r="A17">
        <v>1.2553572480750002</v>
      </c>
      <c r="B17">
        <v>0.4227479751178278</v>
      </c>
      <c r="C17">
        <f t="shared" si="0"/>
        <v>0.46437709626280671</v>
      </c>
      <c r="D17">
        <f t="shared" si="1"/>
        <v>-4.1629121144978909E-2</v>
      </c>
      <c r="E17">
        <f t="shared" si="2"/>
        <v>1.7329837273033302E-3</v>
      </c>
    </row>
    <row r="18" spans="1:5" x14ac:dyDescent="0.25">
      <c r="A18">
        <v>1.329087900625</v>
      </c>
      <c r="B18">
        <v>0.35711976123864891</v>
      </c>
      <c r="C18">
        <f t="shared" si="0"/>
        <v>0.4279804340568063</v>
      </c>
      <c r="D18">
        <f t="shared" si="1"/>
        <v>-7.0860672818157389E-2</v>
      </c>
      <c r="E18">
        <f t="shared" si="2"/>
        <v>5.0212349522419496E-3</v>
      </c>
    </row>
    <row r="19" spans="1:5" x14ac:dyDescent="0.25">
      <c r="A19">
        <v>1.4028185531749999</v>
      </c>
      <c r="B19">
        <v>0.34689198764708856</v>
      </c>
      <c r="C19">
        <f t="shared" si="0"/>
        <v>0.39209591141620326</v>
      </c>
      <c r="D19">
        <f t="shared" si="1"/>
        <v>-4.5203923769114696E-2</v>
      </c>
      <c r="E19">
        <f t="shared" si="2"/>
        <v>2.0433947241239327E-3</v>
      </c>
    </row>
    <row r="20" spans="1:5" x14ac:dyDescent="0.25">
      <c r="A20">
        <v>1.476549205725</v>
      </c>
      <c r="B20">
        <v>0.30768552221277384</v>
      </c>
      <c r="C20">
        <f t="shared" si="0"/>
        <v>0.35718781311364911</v>
      </c>
      <c r="D20">
        <f t="shared" si="1"/>
        <v>-4.9502290900875268E-2</v>
      </c>
      <c r="E20">
        <f t="shared" si="2"/>
        <v>2.4504768044348781E-3</v>
      </c>
    </row>
    <row r="21" spans="1:5" x14ac:dyDescent="0.25">
      <c r="A21">
        <v>1.5502798582750001</v>
      </c>
      <c r="B21">
        <v>0.26506979891460575</v>
      </c>
      <c r="C21">
        <f t="shared" si="0"/>
        <v>0.32362541501675618</v>
      </c>
      <c r="D21">
        <f t="shared" si="1"/>
        <v>-5.8555616102150432E-2</v>
      </c>
      <c r="E21">
        <f t="shared" si="2"/>
        <v>3.428760177102419E-3</v>
      </c>
    </row>
    <row r="22" spans="1:5" x14ac:dyDescent="0.25">
      <c r="A22">
        <v>1.6240105108250003</v>
      </c>
      <c r="B22">
        <v>0.30001469201910358</v>
      </c>
      <c r="C22">
        <f t="shared" si="0"/>
        <v>0.29169146332819634</v>
      </c>
      <c r="D22">
        <f t="shared" si="1"/>
        <v>8.3232286909072362E-3</v>
      </c>
      <c r="E22">
        <f t="shared" si="2"/>
        <v>6.9276135841141387E-5</v>
      </c>
    </row>
    <row r="23" spans="1:5" x14ac:dyDescent="0.25">
      <c r="A23">
        <v>1.6977411633750001</v>
      </c>
      <c r="B23">
        <v>0.2548420253230454</v>
      </c>
      <c r="C23">
        <f t="shared" si="0"/>
        <v>0.26159118229761347</v>
      </c>
      <c r="D23">
        <f t="shared" si="1"/>
        <v>-6.7491569745680713E-3</v>
      </c>
      <c r="E23">
        <f t="shared" si="2"/>
        <v>4.555111986736084E-5</v>
      </c>
    </row>
    <row r="24" spans="1:5" x14ac:dyDescent="0.25">
      <c r="A24">
        <v>1.771471815925</v>
      </c>
      <c r="B24">
        <v>0.2386480504697415</v>
      </c>
      <c r="C24">
        <f t="shared" si="0"/>
        <v>0.23346150591545042</v>
      </c>
      <c r="D24">
        <f t="shared" si="1"/>
        <v>5.1865445542910726E-3</v>
      </c>
      <c r="E24">
        <f t="shared" si="2"/>
        <v>2.6900244413646382E-5</v>
      </c>
    </row>
    <row r="25" spans="1:5" x14ac:dyDescent="0.25">
      <c r="A25">
        <v>1.8452024684750001</v>
      </c>
      <c r="B25">
        <v>0.19432769823964666</v>
      </c>
      <c r="C25">
        <f t="shared" si="0"/>
        <v>0.20738026670042878</v>
      </c>
      <c r="D25">
        <f t="shared" si="1"/>
        <v>-1.3052568460782121E-2</v>
      </c>
      <c r="E25">
        <f t="shared" si="2"/>
        <v>1.7036954342340414E-4</v>
      </c>
    </row>
    <row r="26" spans="1:5" x14ac:dyDescent="0.25">
      <c r="A26">
        <v>1.9189331210250002</v>
      </c>
      <c r="B26">
        <v>0.19347538377368328</v>
      </c>
      <c r="C26">
        <f t="shared" si="0"/>
        <v>0.18337511755059133</v>
      </c>
      <c r="D26">
        <f t="shared" si="1"/>
        <v>1.0100266223091958E-2</v>
      </c>
      <c r="E26">
        <f t="shared" si="2"/>
        <v>1.0201537777733229E-4</v>
      </c>
    </row>
    <row r="27" spans="1:5" x14ac:dyDescent="0.25">
      <c r="A27">
        <v>1.9926637735749999</v>
      </c>
      <c r="B27">
        <v>0.19858927056946346</v>
      </c>
      <c r="C27">
        <f t="shared" si="0"/>
        <v>0.16143200709782041</v>
      </c>
      <c r="D27">
        <f t="shared" si="1"/>
        <v>3.7157263471643054E-2</v>
      </c>
      <c r="E27">
        <f t="shared" si="2"/>
        <v>1.3806622287010992E-3</v>
      </c>
    </row>
    <row r="28" spans="1:5" x14ac:dyDescent="0.25">
      <c r="A28">
        <v>2.066394426125</v>
      </c>
      <c r="B28">
        <v>0.17387215105652595</v>
      </c>
      <c r="C28">
        <f t="shared" si="0"/>
        <v>0.14150307247018831</v>
      </c>
      <c r="D28">
        <f t="shared" si="1"/>
        <v>3.2369078586337641E-2</v>
      </c>
      <c r="E28">
        <f t="shared" si="2"/>
        <v>1.0477572485285019E-3</v>
      </c>
    </row>
    <row r="29" spans="1:5" x14ac:dyDescent="0.25">
      <c r="A29">
        <v>2.1401250786750001</v>
      </c>
      <c r="B29">
        <v>0.13637031455413801</v>
      </c>
      <c r="C29">
        <f t="shared" si="0"/>
        <v>0.12351385399852322</v>
      </c>
      <c r="D29">
        <f t="shared" si="1"/>
        <v>1.285646055561479E-2</v>
      </c>
      <c r="E29">
        <f t="shared" si="2"/>
        <v>1.6528857801807896E-4</v>
      </c>
    </row>
    <row r="30" spans="1:5" x14ac:dyDescent="0.25">
      <c r="A30">
        <v>2.2138557312250002</v>
      </c>
      <c r="B30">
        <v>0.13807494348606472</v>
      </c>
      <c r="C30">
        <f t="shared" si="0"/>
        <v>0.1073697729989969</v>
      </c>
      <c r="D30">
        <f t="shared" si="1"/>
        <v>3.070517048706782E-2</v>
      </c>
      <c r="E30">
        <f t="shared" si="2"/>
        <v>9.428074946399007E-4</v>
      </c>
    </row>
    <row r="31" spans="1:5" x14ac:dyDescent="0.25">
      <c r="A31">
        <v>2.2875863837749999</v>
      </c>
      <c r="B31">
        <v>0.12955179882643111</v>
      </c>
      <c r="C31">
        <f t="shared" si="0"/>
        <v>9.2961845612290206E-2</v>
      </c>
      <c r="D31">
        <f t="shared" si="1"/>
        <v>3.6589953214140908E-2</v>
      </c>
      <c r="E31">
        <f t="shared" si="2"/>
        <v>1.3388246762130207E-3</v>
      </c>
    </row>
    <row r="32" spans="1:5" x14ac:dyDescent="0.25">
      <c r="A32">
        <v>2.361317036325</v>
      </c>
      <c r="B32">
        <v>9.8016163585786686E-2</v>
      </c>
      <c r="C32">
        <f t="shared" si="0"/>
        <v>8.017163246149997E-2</v>
      </c>
      <c r="D32">
        <f t="shared" si="1"/>
        <v>1.7844531124286717E-2</v>
      </c>
      <c r="E32">
        <f t="shared" si="2"/>
        <v>3.1842729104563733E-4</v>
      </c>
    </row>
    <row r="33" spans="1:5" x14ac:dyDescent="0.25">
      <c r="A33">
        <v>2.4350476888750001</v>
      </c>
      <c r="B33">
        <v>0.10653930824542031</v>
      </c>
      <c r="C33">
        <f t="shared" si="0"/>
        <v>6.8875445586402365E-2</v>
      </c>
      <c r="D33">
        <f t="shared" si="1"/>
        <v>3.7663862659017944E-2</v>
      </c>
      <c r="E33">
        <f t="shared" si="2"/>
        <v>1.4185665503973661E-3</v>
      </c>
    </row>
    <row r="34" spans="1:5" x14ac:dyDescent="0.25">
      <c r="A34">
        <v>2.5087783414250002</v>
      </c>
      <c r="B34">
        <v>7.3299044072849179E-2</v>
      </c>
      <c r="C34">
        <f t="shared" si="0"/>
        <v>5.8947850927927259E-2</v>
      </c>
      <c r="D34">
        <f t="shared" si="1"/>
        <v>1.435119314492192E-2</v>
      </c>
      <c r="E34">
        <f t="shared" si="2"/>
        <v>2.0595674468285391E-4</v>
      </c>
    </row>
    <row r="35" spans="1:5" x14ac:dyDescent="0.25">
      <c r="A35">
        <v>2.5825089939749999</v>
      </c>
      <c r="B35">
        <v>6.6480528345142273E-2</v>
      </c>
      <c r="C35">
        <f t="shared" si="0"/>
        <v>5.0264516941812713E-2</v>
      </c>
      <c r="D35">
        <f t="shared" si="1"/>
        <v>1.621601140332956E-2</v>
      </c>
      <c r="E35">
        <f t="shared" si="2"/>
        <v>2.6295902583291431E-4</v>
      </c>
    </row>
    <row r="36" spans="1:5" x14ac:dyDescent="0.25">
      <c r="A36">
        <v>2.656239646525</v>
      </c>
      <c r="B36">
        <v>6.7332842811105645E-2</v>
      </c>
      <c r="C36">
        <f t="shared" si="0"/>
        <v>4.2704468188639495E-2</v>
      </c>
      <c r="D36">
        <f t="shared" si="1"/>
        <v>2.462837462246615E-2</v>
      </c>
      <c r="E36">
        <f t="shared" si="2"/>
        <v>6.0655683654453466E-4</v>
      </c>
    </row>
    <row r="37" spans="1:5" x14ac:dyDescent="0.25">
      <c r="A37">
        <v>2.7299702990750001</v>
      </c>
      <c r="B37">
        <v>6.3071270481288827E-2</v>
      </c>
      <c r="C37">
        <f t="shared" si="0"/>
        <v>3.6151807513386459E-2</v>
      </c>
      <c r="D37">
        <f t="shared" si="1"/>
        <v>2.6919462967902368E-2</v>
      </c>
      <c r="E37">
        <f t="shared" si="2"/>
        <v>7.2465748648026696E-4</v>
      </c>
    </row>
    <row r="38" spans="1:5" x14ac:dyDescent="0.25">
      <c r="A38">
        <v>2.8037009516250002</v>
      </c>
      <c r="B38">
        <v>4.0058779900278035E-2</v>
      </c>
      <c r="C38">
        <f t="shared" si="0"/>
        <v>3.0496972249049945E-2</v>
      </c>
      <c r="D38">
        <f t="shared" si="1"/>
        <v>9.5618076512280908E-3</v>
      </c>
      <c r="E38">
        <f t="shared" si="2"/>
        <v>9.1428165559084054E-5</v>
      </c>
    </row>
    <row r="39" spans="1:5" x14ac:dyDescent="0.25">
      <c r="A39">
        <v>2.8774316041750003</v>
      </c>
      <c r="B39">
        <v>2.7274062910827599E-2</v>
      </c>
      <c r="C39">
        <f t="shared" si="0"/>
        <v>2.5637589307455841E-2</v>
      </c>
      <c r="D39">
        <f t="shared" si="1"/>
        <v>1.6364736033717582E-3</v>
      </c>
      <c r="E39">
        <f t="shared" si="2"/>
        <v>2.6780458545325467E-6</v>
      </c>
    </row>
    <row r="40" spans="1:5" x14ac:dyDescent="0.25">
      <c r="A40">
        <v>2.951162256725</v>
      </c>
      <c r="B40">
        <v>2.5569433978900876E-2</v>
      </c>
      <c r="C40">
        <f t="shared" si="0"/>
        <v>2.1478991579936324E-2</v>
      </c>
      <c r="D40">
        <f t="shared" si="1"/>
        <v>4.0904423989645521E-3</v>
      </c>
      <c r="E40">
        <f t="shared" si="2"/>
        <v>1.6731719019246879E-5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1269-4C80-4E9F-A9A8-23540B52547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9.1284353375000002E-2</v>
      </c>
      <c r="B1">
        <v>0.12819034599007698</v>
      </c>
      <c r="C1">
        <f>$H$3*(1+$H$1)*(A1^($H$1))*EXP(-$H$3*(A1^(1+$H$1)))</f>
        <v>0.25741982916293177</v>
      </c>
      <c r="D1">
        <f>B1-C1</f>
        <v>-0.12922948317285479</v>
      </c>
      <c r="E1">
        <f>D1^2</f>
        <v>1.6700259321123161E-2</v>
      </c>
      <c r="G1" t="s">
        <v>0</v>
      </c>
      <c r="H1">
        <v>0.70211599496766541</v>
      </c>
    </row>
    <row r="2" spans="1:8" x14ac:dyDescent="0.25">
      <c r="A2">
        <v>0.16187629212499999</v>
      </c>
      <c r="B2">
        <v>0.33560944748790983</v>
      </c>
      <c r="C2">
        <f t="shared" ref="C2:C40" si="0">$H$3*(1+$H$1)*(A2^($H$1))*EXP(-$H$3*(A2^(1+$H$1)))</f>
        <v>0.37607886676008051</v>
      </c>
      <c r="D2">
        <f t="shared" ref="D2:D40" si="1">B2-C2</f>
        <v>-4.0469419272170681E-2</v>
      </c>
      <c r="E2">
        <f t="shared" ref="E2:E40" si="2">D2^2</f>
        <v>1.6377738962267397E-3</v>
      </c>
    </row>
    <row r="3" spans="1:8" x14ac:dyDescent="0.25">
      <c r="A3">
        <v>0.23246823087500001</v>
      </c>
      <c r="B3">
        <v>0.46736063642215564</v>
      </c>
      <c r="C3">
        <f t="shared" si="0"/>
        <v>0.46979687940344167</v>
      </c>
      <c r="D3">
        <f t="shared" si="1"/>
        <v>-2.4362429812860298E-3</v>
      </c>
      <c r="E3">
        <f t="shared" si="2"/>
        <v>5.9352798638654424E-6</v>
      </c>
      <c r="G3" t="s">
        <v>1</v>
      </c>
      <c r="H3">
        <f>(_xlfn.GAMMA((2+$H$1)/(1+$H$1)))^(1+$H$1)</f>
        <v>0.82348433372677909</v>
      </c>
    </row>
    <row r="4" spans="1:8" x14ac:dyDescent="0.25">
      <c r="A4">
        <v>0.30306016962500004</v>
      </c>
      <c r="B4">
        <v>0.52878517720906748</v>
      </c>
      <c r="C4">
        <f t="shared" si="0"/>
        <v>0.54418000085848339</v>
      </c>
      <c r="D4">
        <f t="shared" si="1"/>
        <v>-1.5394823649415912E-2</v>
      </c>
      <c r="E4">
        <f t="shared" si="2"/>
        <v>2.3700059519661545E-4</v>
      </c>
    </row>
    <row r="5" spans="1:8" x14ac:dyDescent="0.25">
      <c r="A5">
        <v>0.37365210837500007</v>
      </c>
      <c r="B5">
        <v>0.56706423885888213</v>
      </c>
      <c r="C5">
        <f t="shared" si="0"/>
        <v>0.60189435725329532</v>
      </c>
      <c r="D5">
        <f t="shared" si="1"/>
        <v>-3.483011839441319E-2</v>
      </c>
      <c r="E5">
        <f t="shared" si="2"/>
        <v>1.21313714736884E-3</v>
      </c>
      <c r="G5" t="s">
        <v>2</v>
      </c>
      <c r="H5">
        <f>SUM(E1:E40)</f>
        <v>0.36748764781000248</v>
      </c>
    </row>
    <row r="6" spans="1:8" x14ac:dyDescent="0.25">
      <c r="A6">
        <v>0.44424404712499999</v>
      </c>
      <c r="B6">
        <v>0.59644119314827482</v>
      </c>
      <c r="C6">
        <f t="shared" si="0"/>
        <v>0.64469832124432636</v>
      </c>
      <c r="D6">
        <f t="shared" si="1"/>
        <v>-4.8257128096051538E-2</v>
      </c>
      <c r="E6">
        <f t="shared" si="2"/>
        <v>2.3287504120787267E-3</v>
      </c>
    </row>
    <row r="7" spans="1:8" x14ac:dyDescent="0.25">
      <c r="A7">
        <v>0.51483598587500001</v>
      </c>
      <c r="B7">
        <v>0.7059371136814655</v>
      </c>
      <c r="C7">
        <f t="shared" si="0"/>
        <v>0.67403134019031452</v>
      </c>
      <c r="D7">
        <f t="shared" si="1"/>
        <v>3.1905773491150979E-2</v>
      </c>
      <c r="E7">
        <f t="shared" si="2"/>
        <v>1.0179783820686325E-3</v>
      </c>
    </row>
    <row r="8" spans="1:8" x14ac:dyDescent="0.25">
      <c r="A8">
        <v>0.58542792462500004</v>
      </c>
      <c r="B8">
        <v>1.0086087639358139</v>
      </c>
      <c r="C8">
        <f t="shared" si="0"/>
        <v>0.69122447262029274</v>
      </c>
      <c r="D8">
        <f t="shared" si="1"/>
        <v>0.31738429131552115</v>
      </c>
      <c r="E8">
        <f t="shared" si="2"/>
        <v>0.10073278837385559</v>
      </c>
    </row>
    <row r="9" spans="1:8" x14ac:dyDescent="0.25">
      <c r="A9">
        <v>0.65601986337500007</v>
      </c>
      <c r="B9">
        <v>1.0682528832506415</v>
      </c>
      <c r="C9">
        <f t="shared" si="0"/>
        <v>0.69757783929401396</v>
      </c>
      <c r="D9">
        <f t="shared" si="1"/>
        <v>0.37067504395662754</v>
      </c>
      <c r="E9">
        <f t="shared" si="2"/>
        <v>0.13739998821224775</v>
      </c>
    </row>
    <row r="10" spans="1:8" x14ac:dyDescent="0.25">
      <c r="A10">
        <v>0.72661180212500009</v>
      </c>
      <c r="B10">
        <v>0.86528483543301959</v>
      </c>
      <c r="C10">
        <f t="shared" si="0"/>
        <v>0.69438310789165203</v>
      </c>
      <c r="D10">
        <f t="shared" si="1"/>
        <v>0.17090172754136757</v>
      </c>
      <c r="E10">
        <f t="shared" si="2"/>
        <v>2.9207400476623832E-2</v>
      </c>
    </row>
    <row r="11" spans="1:8" x14ac:dyDescent="0.25">
      <c r="A11">
        <v>0.79720374087500012</v>
      </c>
      <c r="B11">
        <v>0.68190142380832608</v>
      </c>
      <c r="C11">
        <f t="shared" si="0"/>
        <v>0.68292147797425073</v>
      </c>
      <c r="D11">
        <f t="shared" si="1"/>
        <v>-1.0200541659246554E-3</v>
      </c>
      <c r="E11">
        <f t="shared" si="2"/>
        <v>1.0405105014202443E-6</v>
      </c>
    </row>
    <row r="12" spans="1:8" x14ac:dyDescent="0.25">
      <c r="A12">
        <v>0.86779567962500015</v>
      </c>
      <c r="B12">
        <v>0.62047688302141424</v>
      </c>
      <c r="C12">
        <f t="shared" si="0"/>
        <v>0.66445086942434484</v>
      </c>
      <c r="D12">
        <f t="shared" si="1"/>
        <v>-4.3973986402930598E-2</v>
      </c>
      <c r="E12">
        <f t="shared" si="2"/>
        <v>1.9337114801651252E-3</v>
      </c>
    </row>
    <row r="13" spans="1:8" x14ac:dyDescent="0.25">
      <c r="A13">
        <v>0.93838761837500007</v>
      </c>
      <c r="B13">
        <v>0.6160258293412032</v>
      </c>
      <c r="C13">
        <f t="shared" si="0"/>
        <v>0.64018914510811775</v>
      </c>
      <c r="D13">
        <f t="shared" si="1"/>
        <v>-2.416331576691455E-2</v>
      </c>
      <c r="E13">
        <f t="shared" si="2"/>
        <v>5.8386582885162127E-4</v>
      </c>
    </row>
    <row r="14" spans="1:8" x14ac:dyDescent="0.25">
      <c r="A14">
        <v>1.008979557125</v>
      </c>
      <c r="B14">
        <v>0.55994255297054452</v>
      </c>
      <c r="C14">
        <f t="shared" si="0"/>
        <v>0.61129700900964956</v>
      </c>
      <c r="D14">
        <f t="shared" si="1"/>
        <v>-5.1354456039105045E-2</v>
      </c>
      <c r="E14">
        <f t="shared" si="2"/>
        <v>2.6372801550723726E-3</v>
      </c>
    </row>
    <row r="15" spans="1:8" x14ac:dyDescent="0.25">
      <c r="A15">
        <v>1.0795714958750002</v>
      </c>
      <c r="B15">
        <v>0.44688578949318497</v>
      </c>
      <c r="C15">
        <f t="shared" si="0"/>
        <v>0.57886257372207595</v>
      </c>
      <c r="D15">
        <f t="shared" si="1"/>
        <v>-0.13197678422889098</v>
      </c>
      <c r="E15">
        <f t="shared" si="2"/>
        <v>1.7417871575399247E-2</v>
      </c>
    </row>
    <row r="16" spans="1:8" x14ac:dyDescent="0.25">
      <c r="A16">
        <v>1.150163434625</v>
      </c>
      <c r="B16">
        <v>0.41750883520379234</v>
      </c>
      <c r="C16">
        <f t="shared" si="0"/>
        <v>0.54388865777494411</v>
      </c>
      <c r="D16">
        <f t="shared" si="1"/>
        <v>-0.12637982257115177</v>
      </c>
      <c r="E16">
        <f t="shared" si="2"/>
        <v>1.5971859553115801E-2</v>
      </c>
    </row>
    <row r="17" spans="1:5" x14ac:dyDescent="0.25">
      <c r="A17">
        <v>1.2207553733750001</v>
      </c>
      <c r="B17">
        <v>0.46023895053381803</v>
      </c>
      <c r="C17">
        <f t="shared" si="0"/>
        <v>0.50728330320656045</v>
      </c>
      <c r="D17">
        <f t="shared" si="1"/>
        <v>-4.7044352672742429E-2</v>
      </c>
      <c r="E17">
        <f t="shared" si="2"/>
        <v>2.2131711183973678E-3</v>
      </c>
    </row>
    <row r="18" spans="1:5" x14ac:dyDescent="0.25">
      <c r="A18">
        <v>1.2913473121250001</v>
      </c>
      <c r="B18">
        <v>0.39881440974690613</v>
      </c>
      <c r="C18">
        <f t="shared" si="0"/>
        <v>0.46985363695154697</v>
      </c>
      <c r="D18">
        <f t="shared" si="1"/>
        <v>-7.1039227204640842E-2</v>
      </c>
      <c r="E18">
        <f t="shared" si="2"/>
        <v>5.0465718018325835E-3</v>
      </c>
    </row>
    <row r="19" spans="1:5" x14ac:dyDescent="0.25">
      <c r="A19">
        <v>1.3619392508750001</v>
      </c>
      <c r="B19">
        <v>0.34807239779250065</v>
      </c>
      <c r="C19">
        <f t="shared" si="0"/>
        <v>0.43230295759696175</v>
      </c>
      <c r="D19">
        <f t="shared" si="1"/>
        <v>-8.4230559804461091E-2</v>
      </c>
      <c r="E19">
        <f t="shared" si="2"/>
        <v>7.0947872049728963E-3</v>
      </c>
    </row>
    <row r="20" spans="1:5" x14ac:dyDescent="0.25">
      <c r="A20">
        <v>1.4325311896250001</v>
      </c>
      <c r="B20">
        <v>0.33738986895999423</v>
      </c>
      <c r="C20">
        <f t="shared" si="0"/>
        <v>0.39523077051857597</v>
      </c>
      <c r="D20">
        <f t="shared" si="1"/>
        <v>-5.7840901558581737E-2</v>
      </c>
      <c r="E20">
        <f t="shared" si="2"/>
        <v>3.345569893109543E-3</v>
      </c>
    </row>
    <row r="21" spans="1:5" x14ac:dyDescent="0.25">
      <c r="A21">
        <v>1.503123128375</v>
      </c>
      <c r="B21">
        <v>0.27240448522891358</v>
      </c>
      <c r="C21">
        <f t="shared" si="0"/>
        <v>0.35913539558532814</v>
      </c>
      <c r="D21">
        <f t="shared" si="1"/>
        <v>-8.6730910356414559E-2</v>
      </c>
      <c r="E21">
        <f t="shared" si="2"/>
        <v>7.522250811252418E-3</v>
      </c>
    </row>
    <row r="22" spans="1:5" x14ac:dyDescent="0.25">
      <c r="A22">
        <v>1.5737150671250002</v>
      </c>
      <c r="B22">
        <v>0.30712270393455943</v>
      </c>
      <c r="C22">
        <f t="shared" si="0"/>
        <v>0.32441871744068118</v>
      </c>
      <c r="D22">
        <f t="shared" si="1"/>
        <v>-1.7296013506121755E-2</v>
      </c>
      <c r="E22">
        <f t="shared" si="2"/>
        <v>2.9915208320394613E-4</v>
      </c>
    </row>
    <row r="23" spans="1:5" x14ac:dyDescent="0.25">
      <c r="A23">
        <v>1.644307005875</v>
      </c>
      <c r="B23">
        <v>0.31513460055893922</v>
      </c>
      <c r="C23">
        <f t="shared" si="0"/>
        <v>0.29139262823723455</v>
      </c>
      <c r="D23">
        <f t="shared" si="1"/>
        <v>2.3741972321704663E-2</v>
      </c>
      <c r="E23">
        <f t="shared" si="2"/>
        <v>5.636812497245903E-4</v>
      </c>
    </row>
    <row r="24" spans="1:5" x14ac:dyDescent="0.25">
      <c r="A24">
        <v>1.714898944625</v>
      </c>
      <c r="B24">
        <v>0.2314547913709723</v>
      </c>
      <c r="C24">
        <f t="shared" si="0"/>
        <v>0.26028671847679197</v>
      </c>
      <c r="D24">
        <f t="shared" si="1"/>
        <v>-2.8831927105819666E-2</v>
      </c>
      <c r="E24">
        <f t="shared" si="2"/>
        <v>8.312800206352988E-4</v>
      </c>
    </row>
    <row r="25" spans="1:5" x14ac:dyDescent="0.25">
      <c r="A25">
        <v>1.7854908833750001</v>
      </c>
      <c r="B25">
        <v>0.20919952296991728</v>
      </c>
      <c r="C25">
        <f t="shared" si="0"/>
        <v>0.2312567966460008</v>
      </c>
      <c r="D25">
        <f t="shared" si="1"/>
        <v>-2.2057273676083511E-2</v>
      </c>
      <c r="E25">
        <f t="shared" si="2"/>
        <v>4.8652332202164659E-4</v>
      </c>
    </row>
    <row r="26" spans="1:5" x14ac:dyDescent="0.25">
      <c r="A26">
        <v>1.8560828221250003</v>
      </c>
      <c r="B26">
        <v>0.20652889076179068</v>
      </c>
      <c r="C26">
        <f t="shared" si="0"/>
        <v>0.20439385703114213</v>
      </c>
      <c r="D26">
        <f t="shared" si="1"/>
        <v>2.1350337306485501E-3</v>
      </c>
      <c r="E26">
        <f t="shared" si="2"/>
        <v>4.5583690310070654E-6</v>
      </c>
    </row>
    <row r="27" spans="1:5" x14ac:dyDescent="0.25">
      <c r="A27">
        <v>1.9266747608750001</v>
      </c>
      <c r="B27">
        <v>0.20029741560949527</v>
      </c>
      <c r="C27">
        <f t="shared" si="0"/>
        <v>0.17973316267305295</v>
      </c>
      <c r="D27">
        <f t="shared" si="1"/>
        <v>2.0564252936442318E-2</v>
      </c>
      <c r="E27">
        <f t="shared" si="2"/>
        <v>4.2288849883397647E-4</v>
      </c>
    </row>
    <row r="28" spans="1:5" x14ac:dyDescent="0.25">
      <c r="A28">
        <v>1.9972666996249999</v>
      </c>
      <c r="B28">
        <v>0.20741910149783288</v>
      </c>
      <c r="C28">
        <f t="shared" si="0"/>
        <v>0.15726316285653186</v>
      </c>
      <c r="D28">
        <f t="shared" si="1"/>
        <v>5.0155938641301023E-2</v>
      </c>
      <c r="E28">
        <f t="shared" si="2"/>
        <v>2.5156181809899533E-3</v>
      </c>
    </row>
    <row r="29" spans="1:5" x14ac:dyDescent="0.25">
      <c r="A29">
        <v>2.0678586383750002</v>
      </c>
      <c r="B29">
        <v>0.14866519291904759</v>
      </c>
      <c r="C29">
        <f t="shared" si="0"/>
        <v>0.13693401848823084</v>
      </c>
      <c r="D29">
        <f t="shared" si="1"/>
        <v>1.1731174430816754E-2</v>
      </c>
      <c r="E29">
        <f t="shared" si="2"/>
        <v>1.3762045352624881E-4</v>
      </c>
    </row>
    <row r="30" spans="1:5" x14ac:dyDescent="0.25">
      <c r="A30">
        <v>2.138450577125</v>
      </c>
      <c r="B30">
        <v>0.12730013525403477</v>
      </c>
      <c r="C30">
        <f t="shared" si="0"/>
        <v>0.1186655615370559</v>
      </c>
      <c r="D30">
        <f t="shared" si="1"/>
        <v>8.6345737169788717E-3</v>
      </c>
      <c r="E30">
        <f t="shared" si="2"/>
        <v>7.4555863273942328E-5</v>
      </c>
    </row>
    <row r="31" spans="1:5" x14ac:dyDescent="0.25">
      <c r="A31">
        <v>2.2090425158750002</v>
      </c>
      <c r="B31">
        <v>0.13086097819820358</v>
      </c>
      <c r="C31">
        <f t="shared" si="0"/>
        <v>0.10235456435059537</v>
      </c>
      <c r="D31">
        <f t="shared" si="1"/>
        <v>2.8506413847608214E-2</v>
      </c>
      <c r="E31">
        <f t="shared" si="2"/>
        <v>8.1261563045110933E-4</v>
      </c>
    </row>
    <row r="32" spans="1:5" x14ac:dyDescent="0.25">
      <c r="A32">
        <v>2.2796344546250005</v>
      </c>
      <c r="B32">
        <v>0.13709245335049899</v>
      </c>
      <c r="C32">
        <f t="shared" si="0"/>
        <v>8.7881239655011517E-2</v>
      </c>
      <c r="D32">
        <f t="shared" si="1"/>
        <v>4.9211213695487477E-2</v>
      </c>
      <c r="E32">
        <f t="shared" si="2"/>
        <v>2.4217435533829342E-3</v>
      </c>
    </row>
    <row r="33" spans="1:5" x14ac:dyDescent="0.25">
      <c r="A33">
        <v>2.3502263933750003</v>
      </c>
      <c r="B33">
        <v>0.11216655274131734</v>
      </c>
      <c r="C33">
        <f t="shared" si="0"/>
        <v>7.5114931444862726E-2</v>
      </c>
      <c r="D33">
        <f t="shared" si="1"/>
        <v>3.7051621296454618E-2</v>
      </c>
      <c r="E33">
        <f t="shared" si="2"/>
        <v>1.3728226406958895E-3</v>
      </c>
    </row>
    <row r="34" spans="1:5" x14ac:dyDescent="0.25">
      <c r="A34">
        <v>2.4208183321250001</v>
      </c>
      <c r="B34">
        <v>7.210706961941829E-2</v>
      </c>
      <c r="C34">
        <f t="shared" si="0"/>
        <v>6.3918990271620998E-2</v>
      </c>
      <c r="D34">
        <f t="shared" si="1"/>
        <v>8.1880793477972919E-3</v>
      </c>
      <c r="E34">
        <f t="shared" si="2"/>
        <v>6.7044643405824526E-5</v>
      </c>
    </row>
    <row r="35" spans="1:5" x14ac:dyDescent="0.25">
      <c r="A35">
        <v>2.4914102708749999</v>
      </c>
      <c r="B35">
        <v>7.5667912563587097E-2</v>
      </c>
      <c r="C35">
        <f t="shared" si="0"/>
        <v>5.4154853517287868E-2</v>
      </c>
      <c r="D35">
        <f t="shared" si="1"/>
        <v>2.1513059046299229E-2</v>
      </c>
      <c r="E35">
        <f t="shared" si="2"/>
        <v>4.6281170952955711E-4</v>
      </c>
    </row>
    <row r="36" spans="1:5" x14ac:dyDescent="0.25">
      <c r="A36">
        <v>2.5620022096250001</v>
      </c>
      <c r="B36">
        <v>7.6558123299629299E-2</v>
      </c>
      <c r="C36">
        <f t="shared" si="0"/>
        <v>4.5685372263938984E-2</v>
      </c>
      <c r="D36">
        <f t="shared" si="1"/>
        <v>3.0872751035690316E-2</v>
      </c>
      <c r="E36">
        <f t="shared" si="2"/>
        <v>9.5312675651171741E-4</v>
      </c>
    </row>
    <row r="37" spans="1:5" x14ac:dyDescent="0.25">
      <c r="A37">
        <v>2.6325941483750004</v>
      </c>
      <c r="B37">
        <v>7.9228755507755905E-2</v>
      </c>
      <c r="C37">
        <f t="shared" si="0"/>
        <v>3.8377441739601094E-2</v>
      </c>
      <c r="D37">
        <f t="shared" si="1"/>
        <v>4.0851313768154811E-2</v>
      </c>
      <c r="E37">
        <f t="shared" si="2"/>
        <v>1.6688298365842348E-3</v>
      </c>
    </row>
    <row r="38" spans="1:5" x14ac:dyDescent="0.25">
      <c r="A38">
        <v>2.7031860871250002</v>
      </c>
      <c r="B38">
        <v>3.2047586497519244E-2</v>
      </c>
      <c r="C38">
        <f t="shared" si="0"/>
        <v>3.210400259351779E-2</v>
      </c>
      <c r="D38">
        <f t="shared" si="1"/>
        <v>-5.6416095998546023E-5</v>
      </c>
      <c r="E38">
        <f t="shared" si="2"/>
        <v>3.1827758877171607E-9</v>
      </c>
    </row>
    <row r="39" spans="1:5" x14ac:dyDescent="0.25">
      <c r="A39">
        <v>2.773778025875</v>
      </c>
      <c r="B39">
        <v>3.5608429441688044E-2</v>
      </c>
      <c r="C39">
        <f t="shared" si="0"/>
        <v>2.6745486086881889E-2</v>
      </c>
      <c r="D39">
        <f t="shared" si="1"/>
        <v>8.8629433548061548E-3</v>
      </c>
      <c r="E39">
        <f t="shared" si="2"/>
        <v>7.8551764910502573E-5</v>
      </c>
    </row>
    <row r="40" spans="1:5" x14ac:dyDescent="0.25">
      <c r="A40">
        <v>2.8443699646249998</v>
      </c>
      <c r="B40">
        <v>3.026716502543484E-2</v>
      </c>
      <c r="C40">
        <f t="shared" si="0"/>
        <v>2.2190778383498994E-2</v>
      </c>
      <c r="D40">
        <f t="shared" si="1"/>
        <v>8.0763866419358461E-3</v>
      </c>
      <c r="E40">
        <f t="shared" si="2"/>
        <v>6.5228021190039774E-5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0A5F-4537-45EB-B739-37F1CC14D67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0.10323238632500001</v>
      </c>
      <c r="B1">
        <v>0.11231461087534711</v>
      </c>
      <c r="C1">
        <f>$H$3*(1+$H$1)*(A1^($H$1))*EXP(-$H$3*(A1^(1+$H$1)))</f>
        <v>0.23719283153961729</v>
      </c>
      <c r="D1">
        <f>B1-C1</f>
        <v>-0.12487822066427018</v>
      </c>
      <c r="E1">
        <f>D1^2</f>
        <v>1.5594569996274156E-2</v>
      </c>
      <c r="G1" t="s">
        <v>0</v>
      </c>
      <c r="H1">
        <v>0.79201847650322976</v>
      </c>
    </row>
    <row r="2" spans="1:8" x14ac:dyDescent="0.25">
      <c r="A2">
        <v>0.170933692975</v>
      </c>
      <c r="B2">
        <v>0.23298320107200102</v>
      </c>
      <c r="C2">
        <f t="shared" ref="C2:C40" si="0">$H$3*(1+$H$1)*(A2^($H$1))*EXP(-$H$3*(A2^(1+$H$1)))</f>
        <v>0.34651786190371137</v>
      </c>
      <c r="D2">
        <f t="shared" ref="D2:D40" si="1">B2-C2</f>
        <v>-0.11353466083171035</v>
      </c>
      <c r="E2">
        <f t="shared" ref="E2:E40" si="2">D2^2</f>
        <v>1.2890119210171504E-2</v>
      </c>
    </row>
    <row r="3" spans="1:8" x14ac:dyDescent="0.25">
      <c r="A3">
        <v>0.23863499962500001</v>
      </c>
      <c r="B3">
        <v>0.49288477995710173</v>
      </c>
      <c r="C3">
        <f t="shared" si="0"/>
        <v>0.43887256963538834</v>
      </c>
      <c r="D3">
        <f t="shared" si="1"/>
        <v>5.4012210321713383E-2</v>
      </c>
      <c r="E3">
        <f t="shared" si="2"/>
        <v>2.9173188638370018E-3</v>
      </c>
      <c r="G3" t="s">
        <v>1</v>
      </c>
      <c r="H3">
        <f>(_xlfn.GAMMA((2+$H$1)/(1+$H$1)))^(1+$H$1)</f>
        <v>0.81068474497012533</v>
      </c>
    </row>
    <row r="4" spans="1:8" x14ac:dyDescent="0.25">
      <c r="A4">
        <v>0.30633630627499997</v>
      </c>
      <c r="B4">
        <v>0.55507551490460805</v>
      </c>
      <c r="C4">
        <f t="shared" si="0"/>
        <v>0.5164134998872375</v>
      </c>
      <c r="D4">
        <f t="shared" si="1"/>
        <v>3.8662015017370543E-2</v>
      </c>
      <c r="E4">
        <f t="shared" si="2"/>
        <v>1.4947514052033855E-3</v>
      </c>
    </row>
    <row r="5" spans="1:8" x14ac:dyDescent="0.25">
      <c r="A5">
        <v>0.37403761292499998</v>
      </c>
      <c r="B5">
        <v>0.51980315777020147</v>
      </c>
      <c r="C5">
        <f t="shared" si="0"/>
        <v>0.58009607311230238</v>
      </c>
      <c r="D5">
        <f t="shared" si="1"/>
        <v>-6.0292915342100906E-2</v>
      </c>
      <c r="E5">
        <f t="shared" si="2"/>
        <v>3.6352356404497467E-3</v>
      </c>
      <c r="G5" t="s">
        <v>2</v>
      </c>
      <c r="H5">
        <f>SUM(E1:E40)</f>
        <v>0.40900141971141296</v>
      </c>
    </row>
    <row r="6" spans="1:8" x14ac:dyDescent="0.25">
      <c r="A6">
        <v>0.44173891957499994</v>
      </c>
      <c r="B6">
        <v>0.63304598857013816</v>
      </c>
      <c r="C6">
        <f t="shared" si="0"/>
        <v>0.63056879221127704</v>
      </c>
      <c r="D6">
        <f t="shared" si="1"/>
        <v>2.4771963588611223E-3</v>
      </c>
      <c r="E6">
        <f t="shared" si="2"/>
        <v>6.136501800354802E-6</v>
      </c>
    </row>
    <row r="7" spans="1:8" x14ac:dyDescent="0.25">
      <c r="A7">
        <v>0.50944022622499996</v>
      </c>
      <c r="B7">
        <v>0.65532326676028974</v>
      </c>
      <c r="C7">
        <f t="shared" si="0"/>
        <v>0.66845658684130527</v>
      </c>
      <c r="D7">
        <f t="shared" si="1"/>
        <v>-1.3133320081015531E-2</v>
      </c>
      <c r="E7">
        <f t="shared" si="2"/>
        <v>1.724840963504058E-4</v>
      </c>
    </row>
    <row r="8" spans="1:8" x14ac:dyDescent="0.25">
      <c r="A8">
        <v>0.57714153287500003</v>
      </c>
      <c r="B8">
        <v>0.74257593967171642</v>
      </c>
      <c r="C8">
        <f t="shared" si="0"/>
        <v>0.69446228161475476</v>
      </c>
      <c r="D8">
        <f t="shared" si="1"/>
        <v>4.8113658056961661E-2</v>
      </c>
      <c r="E8">
        <f t="shared" si="2"/>
        <v>2.3149240916222318E-3</v>
      </c>
    </row>
    <row r="9" spans="1:8" x14ac:dyDescent="0.25">
      <c r="A9">
        <v>0.6448428395250001</v>
      </c>
      <c r="B9">
        <v>1.0693093531272715</v>
      </c>
      <c r="C9">
        <f t="shared" si="0"/>
        <v>0.70939740778775195</v>
      </c>
      <c r="D9">
        <f t="shared" si="1"/>
        <v>0.35991194533951953</v>
      </c>
      <c r="E9">
        <f t="shared" si="2"/>
        <v>0.12953660839807729</v>
      </c>
    </row>
    <row r="10" spans="1:8" x14ac:dyDescent="0.25">
      <c r="A10">
        <v>0.71254414617499995</v>
      </c>
      <c r="B10">
        <v>1.0730222328256303</v>
      </c>
      <c r="C10">
        <f t="shared" si="0"/>
        <v>0.71418089347040969</v>
      </c>
      <c r="D10">
        <f t="shared" si="1"/>
        <v>0.35884133935522056</v>
      </c>
      <c r="E10">
        <f t="shared" si="2"/>
        <v>0.12876710683024856</v>
      </c>
    </row>
    <row r="11" spans="1:8" x14ac:dyDescent="0.25">
      <c r="A11">
        <v>0.78024545282500002</v>
      </c>
      <c r="B11">
        <v>0.84003903175362915</v>
      </c>
      <c r="C11">
        <f t="shared" si="0"/>
        <v>0.70982196319140534</v>
      </c>
      <c r="D11">
        <f t="shared" si="1"/>
        <v>0.13021706856222381</v>
      </c>
      <c r="E11">
        <f t="shared" si="2"/>
        <v>1.6956484944938899E-2</v>
      </c>
    </row>
    <row r="12" spans="1:8" x14ac:dyDescent="0.25">
      <c r="A12">
        <v>0.84794675947499998</v>
      </c>
      <c r="B12">
        <v>0.69245206374387558</v>
      </c>
      <c r="C12">
        <f t="shared" si="0"/>
        <v>0.69739536372036315</v>
      </c>
      <c r="D12">
        <f t="shared" si="1"/>
        <v>-4.9432999764875696E-3</v>
      </c>
      <c r="E12">
        <f t="shared" si="2"/>
        <v>2.4436214657542007E-5</v>
      </c>
    </row>
    <row r="13" spans="1:8" x14ac:dyDescent="0.25">
      <c r="A13">
        <v>0.91564806612499994</v>
      </c>
      <c r="B13">
        <v>0.6711030054783137</v>
      </c>
      <c r="C13">
        <f t="shared" si="0"/>
        <v>0.6780134992181065</v>
      </c>
      <c r="D13">
        <f t="shared" si="1"/>
        <v>-6.9104937397928001E-3</v>
      </c>
      <c r="E13">
        <f t="shared" si="2"/>
        <v>4.7754923727715484E-5</v>
      </c>
    </row>
    <row r="14" spans="1:8" x14ac:dyDescent="0.25">
      <c r="A14">
        <v>0.98334937277500001</v>
      </c>
      <c r="B14">
        <v>0.63768708819308639</v>
      </c>
      <c r="C14">
        <f t="shared" si="0"/>
        <v>0.65279831295375468</v>
      </c>
      <c r="D14">
        <f t="shared" si="1"/>
        <v>-1.5111224760668285E-2</v>
      </c>
      <c r="E14">
        <f t="shared" si="2"/>
        <v>2.2834911376743425E-4</v>
      </c>
    </row>
    <row r="15" spans="1:8" x14ac:dyDescent="0.25">
      <c r="A15">
        <v>1.0510506794250001</v>
      </c>
      <c r="B15">
        <v>0.4752486013898985</v>
      </c>
      <c r="C15">
        <f t="shared" si="0"/>
        <v>0.62285476448456401</v>
      </c>
      <c r="D15">
        <f t="shared" si="1"/>
        <v>-0.14760616309466551</v>
      </c>
      <c r="E15">
        <f t="shared" si="2"/>
        <v>2.1787579383528995E-2</v>
      </c>
    </row>
    <row r="16" spans="1:8" x14ac:dyDescent="0.25">
      <c r="A16">
        <v>1.1187519860750001</v>
      </c>
      <c r="B16">
        <v>0.48545902056038459</v>
      </c>
      <c r="C16">
        <f t="shared" si="0"/>
        <v>0.58924711534404761</v>
      </c>
      <c r="D16">
        <f t="shared" si="1"/>
        <v>-0.10378809478366302</v>
      </c>
      <c r="E16">
        <f t="shared" si="2"/>
        <v>1.077196861882262E-2</v>
      </c>
    </row>
    <row r="17" spans="1:5" x14ac:dyDescent="0.25">
      <c r="A17">
        <v>1.186453292725</v>
      </c>
      <c r="B17">
        <v>0.44276090402926088</v>
      </c>
      <c r="C17">
        <f t="shared" si="0"/>
        <v>0.55297878249698729</v>
      </c>
      <c r="D17">
        <f t="shared" si="1"/>
        <v>-0.1102178784677264</v>
      </c>
      <c r="E17">
        <f t="shared" si="2"/>
        <v>1.2147980733926507E-2</v>
      </c>
    </row>
    <row r="18" spans="1:5" x14ac:dyDescent="0.25">
      <c r="A18">
        <v>1.2541545993750001</v>
      </c>
      <c r="B18">
        <v>0.43997624425549198</v>
      </c>
      <c r="C18">
        <f t="shared" si="0"/>
        <v>0.51497617207429414</v>
      </c>
      <c r="D18">
        <f t="shared" si="1"/>
        <v>-7.4999927818802159E-2</v>
      </c>
      <c r="E18">
        <f t="shared" si="2"/>
        <v>5.6249891728255338E-3</v>
      </c>
    </row>
    <row r="19" spans="1:5" x14ac:dyDescent="0.25">
      <c r="A19">
        <v>1.3218559060250001</v>
      </c>
      <c r="B19">
        <v>0.38892414840306144</v>
      </c>
      <c r="C19">
        <f t="shared" si="0"/>
        <v>0.47607663216283003</v>
      </c>
      <c r="D19">
        <f t="shared" si="1"/>
        <v>-8.7152483759768584E-2</v>
      </c>
      <c r="E19">
        <f t="shared" si="2"/>
        <v>7.5955554254967268E-3</v>
      </c>
    </row>
    <row r="20" spans="1:5" x14ac:dyDescent="0.25">
      <c r="A20">
        <v>1.389557212675</v>
      </c>
      <c r="B20">
        <v>0.36014933074078243</v>
      </c>
      <c r="C20">
        <f t="shared" si="0"/>
        <v>0.43702044670976503</v>
      </c>
      <c r="D20">
        <f t="shared" si="1"/>
        <v>-7.6871115968982606E-2</v>
      </c>
      <c r="E20">
        <f t="shared" si="2"/>
        <v>5.9091684703167727E-3</v>
      </c>
    </row>
    <row r="21" spans="1:5" x14ac:dyDescent="0.25">
      <c r="A21">
        <v>1.4572585193250001</v>
      </c>
      <c r="B21">
        <v>0.30259969541622445</v>
      </c>
      <c r="C21">
        <f t="shared" si="0"/>
        <v>0.39844662473523218</v>
      </c>
      <c r="D21">
        <f t="shared" si="1"/>
        <v>-9.5846929319007734E-2</v>
      </c>
      <c r="E21">
        <f t="shared" si="2"/>
        <v>9.1866338598828642E-3</v>
      </c>
    </row>
    <row r="22" spans="1:5" x14ac:dyDescent="0.25">
      <c r="A22">
        <v>1.5249598259750001</v>
      </c>
      <c r="B22">
        <v>0.32394875368178627</v>
      </c>
      <c r="C22">
        <f t="shared" si="0"/>
        <v>0.36089211494782086</v>
      </c>
      <c r="D22">
        <f t="shared" si="1"/>
        <v>-3.6943361266034591E-2</v>
      </c>
      <c r="E22">
        <f t="shared" si="2"/>
        <v>1.3648119416327449E-3</v>
      </c>
    </row>
    <row r="23" spans="1:5" x14ac:dyDescent="0.25">
      <c r="A23">
        <v>1.592661132625</v>
      </c>
      <c r="B23">
        <v>0.31466655443588981</v>
      </c>
      <c r="C23">
        <f t="shared" si="0"/>
        <v>0.32479399135332621</v>
      </c>
      <c r="D23">
        <f t="shared" si="1"/>
        <v>-1.0127436917436394E-2</v>
      </c>
      <c r="E23">
        <f t="shared" si="2"/>
        <v>1.0256497851665357E-4</v>
      </c>
    </row>
    <row r="24" spans="1:5" x14ac:dyDescent="0.25">
      <c r="A24">
        <v>1.6603624392749998</v>
      </c>
      <c r="B24">
        <v>0.2719684379047661</v>
      </c>
      <c r="C24">
        <f t="shared" si="0"/>
        <v>0.29049410633806994</v>
      </c>
      <c r="D24">
        <f t="shared" si="1"/>
        <v>-1.8525668433303832E-2</v>
      </c>
      <c r="E24">
        <f t="shared" si="2"/>
        <v>3.4320039090071007E-4</v>
      </c>
    </row>
    <row r="25" spans="1:5" x14ac:dyDescent="0.25">
      <c r="A25">
        <v>1.7280637459249999</v>
      </c>
      <c r="B25">
        <v>0.22184456197692526</v>
      </c>
      <c r="C25">
        <f t="shared" si="0"/>
        <v>0.25824568944766979</v>
      </c>
      <c r="D25">
        <f t="shared" si="1"/>
        <v>-3.6401127470744532E-2</v>
      </c>
      <c r="E25">
        <f t="shared" si="2"/>
        <v>1.3250420811413922E-3</v>
      </c>
    </row>
    <row r="26" spans="1:5" x14ac:dyDescent="0.25">
      <c r="A26">
        <v>1.795765052575</v>
      </c>
      <c r="B26">
        <v>0.22277278190151492</v>
      </c>
      <c r="C26">
        <f t="shared" si="0"/>
        <v>0.22822137777437407</v>
      </c>
      <c r="D26">
        <f t="shared" si="1"/>
        <v>-5.4485958728591466E-3</v>
      </c>
      <c r="E26">
        <f t="shared" si="2"/>
        <v>2.9687196985737725E-5</v>
      </c>
    </row>
    <row r="27" spans="1:5" x14ac:dyDescent="0.25">
      <c r="A27">
        <v>1.863466359225</v>
      </c>
      <c r="B27">
        <v>0.18564398491792911</v>
      </c>
      <c r="C27">
        <f t="shared" si="0"/>
        <v>0.20052219241159372</v>
      </c>
      <c r="D27">
        <f t="shared" si="1"/>
        <v>-1.4878207493664614E-2</v>
      </c>
      <c r="E27">
        <f t="shared" si="2"/>
        <v>2.2136105822453787E-4</v>
      </c>
    </row>
    <row r="28" spans="1:5" x14ac:dyDescent="0.25">
      <c r="A28">
        <v>1.9311676658749999</v>
      </c>
      <c r="B28">
        <v>0.24783471986543534</v>
      </c>
      <c r="C28">
        <f t="shared" si="0"/>
        <v>0.17518701973465101</v>
      </c>
      <c r="D28">
        <f t="shared" si="1"/>
        <v>7.2647700130784337E-2</v>
      </c>
      <c r="E28">
        <f t="shared" si="2"/>
        <v>5.2776883342923629E-3</v>
      </c>
    </row>
    <row r="29" spans="1:5" x14ac:dyDescent="0.25">
      <c r="A29">
        <v>1.998868972525</v>
      </c>
      <c r="B29">
        <v>0.16615136650154655</v>
      </c>
      <c r="C29">
        <f t="shared" si="0"/>
        <v>0.15220221143355156</v>
      </c>
      <c r="D29">
        <f t="shared" si="1"/>
        <v>1.3949155067994989E-2</v>
      </c>
      <c r="E29">
        <f t="shared" si="2"/>
        <v>1.9457892711097029E-4</v>
      </c>
    </row>
    <row r="30" spans="1:5" x14ac:dyDescent="0.25">
      <c r="A30">
        <v>2.066570279175</v>
      </c>
      <c r="B30">
        <v>0.13552010899008823</v>
      </c>
      <c r="C30">
        <f t="shared" si="0"/>
        <v>0.13151097876205453</v>
      </c>
      <c r="D30">
        <f t="shared" si="1"/>
        <v>4.0091302280337027E-3</v>
      </c>
      <c r="E30">
        <f t="shared" si="2"/>
        <v>1.6073125185333569E-5</v>
      </c>
    </row>
    <row r="31" spans="1:5" x14ac:dyDescent="0.25">
      <c r="A31">
        <v>2.1342715858250001</v>
      </c>
      <c r="B31">
        <v>0.13552010899008823</v>
      </c>
      <c r="C31">
        <f t="shared" si="0"/>
        <v>0.11302232041879072</v>
      </c>
      <c r="D31">
        <f t="shared" si="1"/>
        <v>2.2497788571297514E-2</v>
      </c>
      <c r="E31">
        <f t="shared" si="2"/>
        <v>5.0615049059880499E-4</v>
      </c>
    </row>
    <row r="32" spans="1:5" x14ac:dyDescent="0.25">
      <c r="A32">
        <v>2.2019728924750002</v>
      </c>
      <c r="B32">
        <v>0.13923298868844683</v>
      </c>
      <c r="C32">
        <f t="shared" si="0"/>
        <v>9.6619286512801258E-2</v>
      </c>
      <c r="D32">
        <f t="shared" si="1"/>
        <v>4.2613702175645571E-2</v>
      </c>
      <c r="E32">
        <f t="shared" si="2"/>
        <v>1.81592761311462E-3</v>
      </c>
    </row>
    <row r="33" spans="1:5" x14ac:dyDescent="0.25">
      <c r="A33">
        <v>2.2696741991250002</v>
      </c>
      <c r="B33">
        <v>0.15222806763270186</v>
      </c>
      <c r="C33">
        <f t="shared" si="0"/>
        <v>8.2166440537486576E-2</v>
      </c>
      <c r="D33">
        <f t="shared" si="1"/>
        <v>7.0061627095215281E-2</v>
      </c>
      <c r="E33">
        <f t="shared" si="2"/>
        <v>4.9086315912290042E-3</v>
      </c>
    </row>
    <row r="34" spans="1:5" x14ac:dyDescent="0.25">
      <c r="A34">
        <v>2.3373755057749999</v>
      </c>
      <c r="B34">
        <v>6.5903614645864833E-2</v>
      </c>
      <c r="C34">
        <f t="shared" si="0"/>
        <v>6.9516435214807062E-2</v>
      </c>
      <c r="D34">
        <f t="shared" si="1"/>
        <v>-3.6128205689422294E-3</v>
      </c>
      <c r="E34">
        <f t="shared" si="2"/>
        <v>1.3052472463372053E-5</v>
      </c>
    </row>
    <row r="35" spans="1:5" x14ac:dyDescent="0.25">
      <c r="A35">
        <v>2.4050768124249999</v>
      </c>
      <c r="B35">
        <v>8.0755133439299159E-2</v>
      </c>
      <c r="C35">
        <f t="shared" si="0"/>
        <v>5.851566515532055E-2</v>
      </c>
      <c r="D35">
        <f t="shared" si="1"/>
        <v>2.223946828397861E-2</v>
      </c>
      <c r="E35">
        <f t="shared" si="2"/>
        <v>4.9459394955409051E-4</v>
      </c>
    </row>
    <row r="36" spans="1:5" x14ac:dyDescent="0.25">
      <c r="A36">
        <v>2.472778119075</v>
      </c>
      <c r="B36">
        <v>9.0037332685195606E-2</v>
      </c>
      <c r="C36">
        <f t="shared" si="0"/>
        <v>4.9008998776468728E-2</v>
      </c>
      <c r="D36">
        <f t="shared" si="1"/>
        <v>4.1028333908726879E-2</v>
      </c>
      <c r="E36">
        <f t="shared" si="2"/>
        <v>1.6833241833259878E-3</v>
      </c>
    </row>
    <row r="37" spans="1:5" x14ac:dyDescent="0.25">
      <c r="A37">
        <v>2.5404794257250001</v>
      </c>
      <c r="B37">
        <v>9.3750212383554188E-2</v>
      </c>
      <c r="C37">
        <f t="shared" si="0"/>
        <v>4.084362360566688E-2</v>
      </c>
      <c r="D37">
        <f t="shared" si="1"/>
        <v>5.2906588777887308E-2</v>
      </c>
      <c r="E37">
        <f t="shared" si="2"/>
        <v>2.799107136112471E-3</v>
      </c>
    </row>
    <row r="38" spans="1:5" x14ac:dyDescent="0.25">
      <c r="A38">
        <v>2.6081807323749997</v>
      </c>
      <c r="B38">
        <v>2.8774817662279011E-2</v>
      </c>
      <c r="C38">
        <f t="shared" si="0"/>
        <v>3.387206315606444E-2</v>
      </c>
      <c r="D38">
        <f t="shared" si="1"/>
        <v>-5.0972454937854295E-3</v>
      </c>
      <c r="E38">
        <f t="shared" si="2"/>
        <v>2.5981911623915866E-5</v>
      </c>
    </row>
    <row r="39" spans="1:5" x14ac:dyDescent="0.25">
      <c r="A39">
        <v>2.6758820390249998</v>
      </c>
      <c r="B39">
        <v>4.3626336455713337E-2</v>
      </c>
      <c r="C39">
        <f t="shared" si="0"/>
        <v>2.7954440511606261E-2</v>
      </c>
      <c r="D39">
        <f t="shared" si="1"/>
        <v>1.5671895944107075E-2</v>
      </c>
      <c r="E39">
        <f t="shared" si="2"/>
        <v>2.4560832248291979E-4</v>
      </c>
    </row>
    <row r="40" spans="1:5" x14ac:dyDescent="0.25">
      <c r="A40">
        <v>2.7435833456749998</v>
      </c>
      <c r="B40">
        <v>2.7846597737689365E-2</v>
      </c>
      <c r="C40">
        <f t="shared" si="0"/>
        <v>2.2960074332331031E-2</v>
      </c>
      <c r="D40">
        <f t="shared" si="1"/>
        <v>4.886523405358334E-3</v>
      </c>
      <c r="E40">
        <f t="shared" si="2"/>
        <v>2.3878110991114808E-5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0E1D-C3B6-4ED5-9307-4BA3FB9D793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0.1194274425875</v>
      </c>
      <c r="B1">
        <v>0.10567695761325525</v>
      </c>
      <c r="C1">
        <f>$H$3*(1+$H$1)*(A1^($H$1))*EXP(-$H$3*(A1^(1+$H$1)))</f>
        <v>0.2257732656912754</v>
      </c>
      <c r="D1">
        <f>B1-C1</f>
        <v>-0.12009630807802014</v>
      </c>
      <c r="E1">
        <f>D1^2</f>
        <v>1.4423123213970726E-2</v>
      </c>
      <c r="G1" t="s">
        <v>0</v>
      </c>
      <c r="H1">
        <v>0.88626911541679754</v>
      </c>
    </row>
    <row r="2" spans="1:8" x14ac:dyDescent="0.25">
      <c r="A2">
        <v>0.18424521976250002</v>
      </c>
      <c r="B2">
        <v>0.19584170126493175</v>
      </c>
      <c r="C2">
        <f t="shared" ref="C2:C40" si="0">$H$3*(1+$H$1)*(A2^($H$1))*EXP(-$H$3*(A2^(1+$H$1)))</f>
        <v>0.32552077024029591</v>
      </c>
      <c r="D2">
        <f t="shared" ref="D2:D40" si="1">B2-C2</f>
        <v>-0.12967906897536416</v>
      </c>
      <c r="E2">
        <f t="shared" ref="E2:E40" si="2">D2^2</f>
        <v>1.6816660930317254E-2</v>
      </c>
    </row>
    <row r="3" spans="1:8" x14ac:dyDescent="0.25">
      <c r="A3">
        <v>0.2490629969375</v>
      </c>
      <c r="B3">
        <v>0.44500663802279045</v>
      </c>
      <c r="C3">
        <f t="shared" si="0"/>
        <v>0.41464371151609747</v>
      </c>
      <c r="D3">
        <f t="shared" si="1"/>
        <v>3.0362926506692978E-2</v>
      </c>
      <c r="E3">
        <f t="shared" si="2"/>
        <v>9.2190730605083899E-4</v>
      </c>
      <c r="G3" t="s">
        <v>1</v>
      </c>
      <c r="H3">
        <f>(_xlfn.GAMMA((2+$H$1)/(1+$H$1)))^(1+$H$1)</f>
        <v>0.79854931203089718</v>
      </c>
    </row>
    <row r="4" spans="1:8" x14ac:dyDescent="0.25">
      <c r="A4">
        <v>0.31388077411250004</v>
      </c>
      <c r="B4">
        <v>0.55747018924423641</v>
      </c>
      <c r="C4">
        <f t="shared" si="0"/>
        <v>0.49308622600699226</v>
      </c>
      <c r="D4">
        <f t="shared" si="1"/>
        <v>6.4383963237244157E-2</v>
      </c>
      <c r="E4">
        <f t="shared" si="2"/>
        <v>4.1452947221348076E-3</v>
      </c>
    </row>
    <row r="5" spans="1:8" x14ac:dyDescent="0.25">
      <c r="A5">
        <v>0.37869855128750007</v>
      </c>
      <c r="B5">
        <v>0.5661958095976245</v>
      </c>
      <c r="C5">
        <f t="shared" si="0"/>
        <v>0.56055267524566976</v>
      </c>
      <c r="D5">
        <f t="shared" si="1"/>
        <v>5.6431343519547372E-3</v>
      </c>
      <c r="E5">
        <f t="shared" si="2"/>
        <v>3.184496531421161E-5</v>
      </c>
      <c r="G5" t="s">
        <v>2</v>
      </c>
      <c r="H5">
        <f>SUM(E1:E40)</f>
        <v>0.40871145896809202</v>
      </c>
    </row>
    <row r="6" spans="1:8" x14ac:dyDescent="0.25">
      <c r="A6">
        <v>0.4435163284625</v>
      </c>
      <c r="B6">
        <v>0.60497634450157134</v>
      </c>
      <c r="C6">
        <f t="shared" si="0"/>
        <v>0.61680027835018569</v>
      </c>
      <c r="D6">
        <f t="shared" si="1"/>
        <v>-1.1823933848614354E-2</v>
      </c>
      <c r="E6">
        <f t="shared" si="2"/>
        <v>1.3980541165640824E-4</v>
      </c>
    </row>
    <row r="7" spans="1:8" x14ac:dyDescent="0.25">
      <c r="A7">
        <v>0.50833410563749992</v>
      </c>
      <c r="B7">
        <v>0.65054347301370896</v>
      </c>
      <c r="C7">
        <f t="shared" si="0"/>
        <v>0.66174451565973824</v>
      </c>
      <c r="D7">
        <f t="shared" si="1"/>
        <v>-1.120104264602928E-2</v>
      </c>
      <c r="E7">
        <f t="shared" si="2"/>
        <v>1.2546335635816661E-4</v>
      </c>
    </row>
    <row r="8" spans="1:8" x14ac:dyDescent="0.25">
      <c r="A8">
        <v>0.57315188281249996</v>
      </c>
      <c r="B8">
        <v>0.70774476199703051</v>
      </c>
      <c r="C8">
        <f t="shared" si="0"/>
        <v>0.69549745060974433</v>
      </c>
      <c r="D8">
        <f t="shared" si="1"/>
        <v>1.2247311387286186E-2</v>
      </c>
      <c r="E8">
        <f t="shared" si="2"/>
        <v>1.4999663621714988E-4</v>
      </c>
    </row>
    <row r="9" spans="1:8" x14ac:dyDescent="0.25">
      <c r="A9">
        <v>0.63796965998749999</v>
      </c>
      <c r="B9">
        <v>0.83475101380745664</v>
      </c>
      <c r="C9">
        <f t="shared" si="0"/>
        <v>0.7183746439147991</v>
      </c>
      <c r="D9">
        <f t="shared" si="1"/>
        <v>0.11637636989265754</v>
      </c>
      <c r="E9">
        <f t="shared" si="2"/>
        <v>1.3543459469392649E-2</v>
      </c>
    </row>
    <row r="10" spans="1:8" x14ac:dyDescent="0.25">
      <c r="A10">
        <v>0.70278743716250003</v>
      </c>
      <c r="B10">
        <v>1.1624465337458076</v>
      </c>
      <c r="C10">
        <f t="shared" si="0"/>
        <v>0.73088454265103087</v>
      </c>
      <c r="D10">
        <f t="shared" si="1"/>
        <v>0.43156199109477678</v>
      </c>
      <c r="E10">
        <f t="shared" si="2"/>
        <v>0.18624575215768818</v>
      </c>
    </row>
    <row r="11" spans="1:8" x14ac:dyDescent="0.25">
      <c r="A11">
        <v>0.76760521433750006</v>
      </c>
      <c r="B11">
        <v>0.92782429757692908</v>
      </c>
      <c r="C11">
        <f t="shared" si="0"/>
        <v>0.73370712240040292</v>
      </c>
      <c r="D11">
        <f t="shared" si="1"/>
        <v>0.19411717517652616</v>
      </c>
      <c r="E11">
        <f t="shared" si="2"/>
        <v>3.768147769851414E-2</v>
      </c>
    </row>
    <row r="12" spans="1:8" x14ac:dyDescent="0.25">
      <c r="A12">
        <v>0.8324229915125001</v>
      </c>
      <c r="B12">
        <v>0.88516570918258752</v>
      </c>
      <c r="C12">
        <f t="shared" si="0"/>
        <v>0.72766583664453188</v>
      </c>
      <c r="D12">
        <f t="shared" si="1"/>
        <v>0.15749987253805564</v>
      </c>
      <c r="E12">
        <f t="shared" si="2"/>
        <v>2.4806209849503772E-2</v>
      </c>
    </row>
    <row r="13" spans="1:8" x14ac:dyDescent="0.25">
      <c r="A13">
        <v>0.89724076868750002</v>
      </c>
      <c r="B13">
        <v>0.78045826494193093</v>
      </c>
      <c r="C13">
        <f t="shared" si="0"/>
        <v>0.71369571740376159</v>
      </c>
      <c r="D13">
        <f t="shared" si="1"/>
        <v>6.6762547538169348E-2</v>
      </c>
      <c r="E13">
        <f t="shared" si="2"/>
        <v>4.4572377537863217E-3</v>
      </c>
    </row>
    <row r="14" spans="1:8" x14ac:dyDescent="0.25">
      <c r="A14">
        <v>0.96205854586249995</v>
      </c>
      <c r="B14">
        <v>0.65151298638630761</v>
      </c>
      <c r="C14">
        <f t="shared" si="0"/>
        <v>0.69280982993893692</v>
      </c>
      <c r="D14">
        <f t="shared" si="1"/>
        <v>-4.1296843552629303E-2</v>
      </c>
      <c r="E14">
        <f t="shared" si="2"/>
        <v>1.7054292874103404E-3</v>
      </c>
    </row>
    <row r="15" spans="1:8" x14ac:dyDescent="0.25">
      <c r="A15">
        <v>1.0268763230375</v>
      </c>
      <c r="B15">
        <v>0.55940921598943372</v>
      </c>
      <c r="C15">
        <f t="shared" si="0"/>
        <v>0.66606586381123511</v>
      </c>
      <c r="D15">
        <f t="shared" si="1"/>
        <v>-0.1066566478218014</v>
      </c>
      <c r="E15">
        <f t="shared" si="2"/>
        <v>1.1375640524583773E-2</v>
      </c>
    </row>
    <row r="16" spans="1:8" x14ac:dyDescent="0.25">
      <c r="A16">
        <v>1.0916941002125002</v>
      </c>
      <c r="B16">
        <v>0.54001894853746035</v>
      </c>
      <c r="C16">
        <f t="shared" si="0"/>
        <v>0.63453430645079789</v>
      </c>
      <c r="D16">
        <f t="shared" si="1"/>
        <v>-9.4515357913337539E-2</v>
      </c>
      <c r="E16">
        <f t="shared" si="2"/>
        <v>8.9331528814862969E-3</v>
      </c>
    </row>
    <row r="17" spans="1:5" x14ac:dyDescent="0.25">
      <c r="A17">
        <v>1.1565118773875001</v>
      </c>
      <c r="B17">
        <v>0.47021398571035594</v>
      </c>
      <c r="C17">
        <f t="shared" si="0"/>
        <v>0.59926934098334061</v>
      </c>
      <c r="D17">
        <f t="shared" si="1"/>
        <v>-0.12905535527298467</v>
      </c>
      <c r="E17">
        <f t="shared" si="2"/>
        <v>1.6655284724636291E-2</v>
      </c>
    </row>
    <row r="18" spans="1:5" x14ac:dyDescent="0.25">
      <c r="A18">
        <v>1.2213296545625001</v>
      </c>
      <c r="B18">
        <v>0.46827495896515858</v>
      </c>
      <c r="C18">
        <f t="shared" si="0"/>
        <v>0.56128332023407423</v>
      </c>
      <c r="D18">
        <f t="shared" si="1"/>
        <v>-9.3008361268915651E-2</v>
      </c>
      <c r="E18">
        <f t="shared" si="2"/>
        <v>8.6505552659291284E-3</v>
      </c>
    </row>
    <row r="19" spans="1:5" x14ac:dyDescent="0.25">
      <c r="A19">
        <v>1.2861474317375001</v>
      </c>
      <c r="B19">
        <v>0.42658588394341568</v>
      </c>
      <c r="C19">
        <f t="shared" si="0"/>
        <v>0.52152539187270097</v>
      </c>
      <c r="D19">
        <f t="shared" si="1"/>
        <v>-9.4939507929285294E-2</v>
      </c>
      <c r="E19">
        <f t="shared" si="2"/>
        <v>9.0135101658548253E-3</v>
      </c>
    </row>
    <row r="20" spans="1:5" x14ac:dyDescent="0.25">
      <c r="A20">
        <v>1.3509652089125002</v>
      </c>
      <c r="B20">
        <v>0.37229313507789003</v>
      </c>
      <c r="C20">
        <f t="shared" si="0"/>
        <v>0.48086459028199863</v>
      </c>
      <c r="D20">
        <f t="shared" si="1"/>
        <v>-0.1085714552041086</v>
      </c>
      <c r="E20">
        <f t="shared" si="2"/>
        <v>1.1787760885137761E-2</v>
      </c>
    </row>
    <row r="21" spans="1:5" x14ac:dyDescent="0.25">
      <c r="A21">
        <v>1.4157829860875002</v>
      </c>
      <c r="B21">
        <v>0.36841508158749536</v>
      </c>
      <c r="C21">
        <f t="shared" si="0"/>
        <v>0.44007747557730892</v>
      </c>
      <c r="D21">
        <f t="shared" si="1"/>
        <v>-7.1662393989813555E-2</v>
      </c>
      <c r="E21">
        <f t="shared" si="2"/>
        <v>5.1354987123512661E-3</v>
      </c>
    </row>
    <row r="22" spans="1:5" x14ac:dyDescent="0.25">
      <c r="A22">
        <v>1.4806007632625002</v>
      </c>
      <c r="B22">
        <v>0.29182352515220028</v>
      </c>
      <c r="C22">
        <f t="shared" si="0"/>
        <v>0.39984019559395484</v>
      </c>
      <c r="D22">
        <f t="shared" si="1"/>
        <v>-0.10801667044175456</v>
      </c>
      <c r="E22">
        <f t="shared" si="2"/>
        <v>1.1667601093322613E-2</v>
      </c>
    </row>
    <row r="23" spans="1:5" x14ac:dyDescent="0.25">
      <c r="A23">
        <v>1.5454185404375003</v>
      </c>
      <c r="B23">
        <v>0.34805530076292324</v>
      </c>
      <c r="C23">
        <f t="shared" si="0"/>
        <v>0.3607246774150234</v>
      </c>
      <c r="D23">
        <f t="shared" si="1"/>
        <v>-1.2669376652100162E-2</v>
      </c>
      <c r="E23">
        <f t="shared" si="2"/>
        <v>1.6051310475278071E-4</v>
      </c>
    </row>
    <row r="24" spans="1:5" x14ac:dyDescent="0.25">
      <c r="A24">
        <v>1.6102363176125001</v>
      </c>
      <c r="B24">
        <v>0.30442719899598303</v>
      </c>
      <c r="C24">
        <f t="shared" si="0"/>
        <v>0.32319852393176501</v>
      </c>
      <c r="D24">
        <f t="shared" si="1"/>
        <v>-1.8771324935781986E-2</v>
      </c>
      <c r="E24">
        <f t="shared" si="2"/>
        <v>3.5236263984471058E-4</v>
      </c>
    </row>
    <row r="25" spans="1:5" x14ac:dyDescent="0.25">
      <c r="A25">
        <v>1.6750540947875001</v>
      </c>
      <c r="B25">
        <v>0.25207347687565473</v>
      </c>
      <c r="C25">
        <f t="shared" si="0"/>
        <v>0.287628098664863</v>
      </c>
      <c r="D25">
        <f t="shared" si="1"/>
        <v>-3.5554621789208263E-2</v>
      </c>
      <c r="E25">
        <f t="shared" si="2"/>
        <v>1.264131130573643E-3</v>
      </c>
    </row>
    <row r="26" spans="1:5" x14ac:dyDescent="0.25">
      <c r="A26">
        <v>1.7398718719625001</v>
      </c>
      <c r="B26">
        <v>0.2220185623250959</v>
      </c>
      <c r="C26">
        <f t="shared" si="0"/>
        <v>0.25428422726573058</v>
      </c>
      <c r="D26">
        <f t="shared" si="1"/>
        <v>-3.2265664940634681E-2</v>
      </c>
      <c r="E26">
        <f t="shared" si="2"/>
        <v>1.041073134061302E-3</v>
      </c>
    </row>
    <row r="27" spans="1:5" x14ac:dyDescent="0.25">
      <c r="A27">
        <v>1.8046896491375002</v>
      </c>
      <c r="B27">
        <v>0.20359780824572113</v>
      </c>
      <c r="C27">
        <f t="shared" si="0"/>
        <v>0.22334992368715317</v>
      </c>
      <c r="D27">
        <f t="shared" si="1"/>
        <v>-1.9752115441432044E-2</v>
      </c>
      <c r="E27">
        <f t="shared" si="2"/>
        <v>3.9014606441165821E-4</v>
      </c>
    </row>
    <row r="28" spans="1:5" x14ac:dyDescent="0.25">
      <c r="A28">
        <v>1.8695074263125</v>
      </c>
      <c r="B28">
        <v>0.24140882977706932</v>
      </c>
      <c r="C28">
        <f t="shared" si="0"/>
        <v>0.19492955856654079</v>
      </c>
      <c r="D28">
        <f t="shared" si="1"/>
        <v>4.6479271210528528E-2</v>
      </c>
      <c r="E28">
        <f t="shared" si="2"/>
        <v>2.1603226522618662E-3</v>
      </c>
    </row>
    <row r="29" spans="1:5" x14ac:dyDescent="0.25">
      <c r="A29">
        <v>1.9343252034875</v>
      </c>
      <c r="B29">
        <v>0.20747586173611582</v>
      </c>
      <c r="C29">
        <f t="shared" si="0"/>
        <v>0.16905892162252198</v>
      </c>
      <c r="D29">
        <f t="shared" si="1"/>
        <v>3.8416940113593839E-2</v>
      </c>
      <c r="E29">
        <f t="shared" si="2"/>
        <v>1.4758612876914555E-3</v>
      </c>
    </row>
    <row r="30" spans="1:5" x14ac:dyDescent="0.25">
      <c r="A30">
        <v>1.9991429806625001</v>
      </c>
      <c r="B30">
        <v>0.14348797914460346</v>
      </c>
      <c r="C30">
        <f t="shared" si="0"/>
        <v>0.14571568309438385</v>
      </c>
      <c r="D30">
        <f t="shared" si="1"/>
        <v>-2.2277039497803908E-3</v>
      </c>
      <c r="E30">
        <f t="shared" si="2"/>
        <v>4.9626648878671535E-6</v>
      </c>
    </row>
    <row r="31" spans="1:5" x14ac:dyDescent="0.25">
      <c r="A31">
        <v>2.0639607578375001</v>
      </c>
      <c r="B31">
        <v>0.14445749251720214</v>
      </c>
      <c r="C31">
        <f t="shared" si="0"/>
        <v>0.12482982566695332</v>
      </c>
      <c r="D31">
        <f t="shared" si="1"/>
        <v>1.9627666850248818E-2</v>
      </c>
      <c r="E31">
        <f t="shared" si="2"/>
        <v>3.8524530598435633E-4</v>
      </c>
    </row>
    <row r="32" spans="1:5" x14ac:dyDescent="0.25">
      <c r="A32">
        <v>2.1287785350125006</v>
      </c>
      <c r="B32">
        <v>0.13088430530082071</v>
      </c>
      <c r="C32">
        <f t="shared" si="0"/>
        <v>0.1062936924176444</v>
      </c>
      <c r="D32">
        <f t="shared" si="1"/>
        <v>2.4590612883176308E-2</v>
      </c>
      <c r="E32">
        <f t="shared" si="2"/>
        <v>6.0469824197023658E-4</v>
      </c>
    </row>
    <row r="33" spans="1:5" x14ac:dyDescent="0.25">
      <c r="A33">
        <v>2.1935963121875002</v>
      </c>
      <c r="B33">
        <v>0.1764514338129583</v>
      </c>
      <c r="C33">
        <f t="shared" si="0"/>
        <v>8.9971373143412178E-2</v>
      </c>
      <c r="D33">
        <f t="shared" si="1"/>
        <v>8.6480060669546124E-2</v>
      </c>
      <c r="E33">
        <f t="shared" si="2"/>
        <v>7.4788008934083784E-3</v>
      </c>
    </row>
    <row r="34" spans="1:5" x14ac:dyDescent="0.25">
      <c r="A34">
        <v>2.2584140893624998</v>
      </c>
      <c r="B34">
        <v>9.0164743651676496E-2</v>
      </c>
      <c r="C34">
        <f t="shared" si="0"/>
        <v>7.5707226754700624E-2</v>
      </c>
      <c r="D34">
        <f t="shared" si="1"/>
        <v>1.4457516896975872E-2</v>
      </c>
      <c r="E34">
        <f t="shared" si="2"/>
        <v>2.0901979482634286E-4</v>
      </c>
    </row>
    <row r="35" spans="1:5" x14ac:dyDescent="0.25">
      <c r="A35">
        <v>2.3232318665375002</v>
      </c>
      <c r="B35">
        <v>8.1439123298288452E-2</v>
      </c>
      <c r="C35">
        <f t="shared" si="0"/>
        <v>6.33334078867131E-2</v>
      </c>
      <c r="D35">
        <f t="shared" si="1"/>
        <v>1.8105715411575352E-2</v>
      </c>
      <c r="E35">
        <f t="shared" si="2"/>
        <v>3.2781693056495721E-4</v>
      </c>
    </row>
    <row r="36" spans="1:5" x14ac:dyDescent="0.25">
      <c r="A36">
        <v>2.3880496437124998</v>
      </c>
      <c r="B36">
        <v>0.10082939075026189</v>
      </c>
      <c r="C36">
        <f t="shared" si="0"/>
        <v>5.267632898230417E-2</v>
      </c>
      <c r="D36">
        <f t="shared" si="1"/>
        <v>4.8153061767957715E-2</v>
      </c>
      <c r="E36">
        <f t="shared" si="2"/>
        <v>2.3187173576287509E-3</v>
      </c>
    </row>
    <row r="37" spans="1:5" x14ac:dyDescent="0.25">
      <c r="A37">
        <v>2.4528674208875003</v>
      </c>
      <c r="B37">
        <v>8.1439123298288452E-2</v>
      </c>
      <c r="C37">
        <f t="shared" si="0"/>
        <v>4.3562043209971785E-2</v>
      </c>
      <c r="D37">
        <f t="shared" si="1"/>
        <v>3.7877080088316667E-2</v>
      </c>
      <c r="E37">
        <f t="shared" si="2"/>
        <v>1.4346731960167549E-3</v>
      </c>
    </row>
    <row r="38" spans="1:5" x14ac:dyDescent="0.25">
      <c r="A38">
        <v>2.5176851980624999</v>
      </c>
      <c r="B38">
        <v>5.1384208747729615E-2</v>
      </c>
      <c r="C38">
        <f t="shared" si="0"/>
        <v>3.5820577845369114E-2</v>
      </c>
      <c r="D38">
        <f t="shared" si="1"/>
        <v>1.5563630902360501E-2</v>
      </c>
      <c r="E38">
        <f t="shared" si="2"/>
        <v>2.4222660686491074E-4</v>
      </c>
    </row>
    <row r="39" spans="1:5" x14ac:dyDescent="0.25">
      <c r="A39">
        <v>2.5825029752375004</v>
      </c>
      <c r="B39">
        <v>5.0414695375130943E-2</v>
      </c>
      <c r="C39">
        <f t="shared" si="0"/>
        <v>2.9289281996497833E-2</v>
      </c>
      <c r="D39">
        <f t="shared" si="1"/>
        <v>2.112541337863311E-2</v>
      </c>
      <c r="E39">
        <f t="shared" si="2"/>
        <v>4.4628309041813078E-4</v>
      </c>
    </row>
    <row r="40" spans="1:5" x14ac:dyDescent="0.25">
      <c r="A40">
        <v>2.6473207524125</v>
      </c>
      <c r="B40">
        <v>2.5207347687565471E-2</v>
      </c>
      <c r="C40">
        <f t="shared" si="0"/>
        <v>2.3815277176773373E-2</v>
      </c>
      <c r="D40">
        <f t="shared" si="1"/>
        <v>1.3920705107920983E-3</v>
      </c>
      <c r="E40">
        <f t="shared" si="2"/>
        <v>1.9378603070169735E-6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7E9D-43E9-405C-8C15-DC5F4A799FF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0.13584470608749999</v>
      </c>
      <c r="B1">
        <v>9.930900000036616E-2</v>
      </c>
      <c r="C1">
        <f>$H$3*(1+$H$1)*(A1^($H$1))*EXP(-$H$3*(A1^(1+$H$1)))</f>
        <v>0.21406490319411151</v>
      </c>
      <c r="D1">
        <f>B1-C1</f>
        <v>-0.11475590319374535</v>
      </c>
      <c r="E1">
        <f>D1^2</f>
        <v>1.3168917317812253E-2</v>
      </c>
      <c r="G1" t="s">
        <v>0</v>
      </c>
      <c r="H1">
        <v>0.98897352379483128</v>
      </c>
    </row>
    <row r="2" spans="1:8" x14ac:dyDescent="0.25">
      <c r="A2">
        <v>0.19785808626250001</v>
      </c>
      <c r="B2">
        <v>0.18949778571498441</v>
      </c>
      <c r="C2">
        <f t="shared" ref="C2:C40" si="0">$H$3*(1+$H$1)*(A2^($H$1))*EXP(-$H$3*(A2^(1+$H$1)))</f>
        <v>0.30541161426961239</v>
      </c>
      <c r="D2">
        <f t="shared" ref="D2:D40" si="1">B2-C2</f>
        <v>-0.11591382855462798</v>
      </c>
      <c r="E2">
        <f t="shared" ref="E2:E40" si="2">D2^2</f>
        <v>1.3436015650191689E-2</v>
      </c>
    </row>
    <row r="3" spans="1:8" x14ac:dyDescent="0.25">
      <c r="A3">
        <v>0.25987146643750003</v>
      </c>
      <c r="B3">
        <v>0.34555478571555981</v>
      </c>
      <c r="C3">
        <f t="shared" si="0"/>
        <v>0.39100603278260726</v>
      </c>
      <c r="D3">
        <f t="shared" si="1"/>
        <v>-4.5451247067047451E-2</v>
      </c>
      <c r="E3">
        <f t="shared" si="2"/>
        <v>2.0658158599497897E-3</v>
      </c>
      <c r="G3" t="s">
        <v>1</v>
      </c>
      <c r="H3">
        <f>(_xlfn.GAMMA((2+$H$1)/(1+$H$1)))^(1+$H$1)</f>
        <v>0.78660870074711398</v>
      </c>
    </row>
    <row r="4" spans="1:8" x14ac:dyDescent="0.25">
      <c r="A4">
        <v>0.32188484661250005</v>
      </c>
      <c r="B4">
        <v>0.57761357143070113</v>
      </c>
      <c r="C4">
        <f t="shared" si="0"/>
        <v>0.46954394131161109</v>
      </c>
      <c r="D4">
        <f t="shared" si="1"/>
        <v>0.10806963011909004</v>
      </c>
      <c r="E4">
        <f t="shared" si="2"/>
        <v>1.1679044954076933E-2</v>
      </c>
    </row>
    <row r="5" spans="1:8" x14ac:dyDescent="0.25">
      <c r="A5">
        <v>0.38389822678749996</v>
      </c>
      <c r="B5">
        <v>0.5796402857164229</v>
      </c>
      <c r="C5">
        <f t="shared" si="0"/>
        <v>0.53989211641994483</v>
      </c>
      <c r="D5">
        <f t="shared" si="1"/>
        <v>3.9748169296478064E-2</v>
      </c>
      <c r="E5">
        <f t="shared" si="2"/>
        <v>1.5799169624214815E-3</v>
      </c>
      <c r="G5" t="s">
        <v>2</v>
      </c>
      <c r="H5">
        <f>SUM(E1:E40)</f>
        <v>0.41852496470318429</v>
      </c>
    </row>
    <row r="6" spans="1:8" x14ac:dyDescent="0.25">
      <c r="A6">
        <v>0.44591160696249998</v>
      </c>
      <c r="B6">
        <v>0.61814785714513631</v>
      </c>
      <c r="C6">
        <f t="shared" si="0"/>
        <v>0.60113186056128987</v>
      </c>
      <c r="D6">
        <f t="shared" si="1"/>
        <v>1.7015996583846449E-2</v>
      </c>
      <c r="E6">
        <f t="shared" si="2"/>
        <v>2.8954413974147401E-4</v>
      </c>
    </row>
    <row r="7" spans="1:8" x14ac:dyDescent="0.25">
      <c r="A7">
        <v>0.50792498713750001</v>
      </c>
      <c r="B7">
        <v>0.64044171428807561</v>
      </c>
      <c r="C7">
        <f t="shared" si="0"/>
        <v>0.65258455538968918</v>
      </c>
      <c r="D7">
        <f t="shared" si="1"/>
        <v>-1.2142841101613566E-2</v>
      </c>
      <c r="E7">
        <f t="shared" si="2"/>
        <v>1.4744859001903577E-4</v>
      </c>
    </row>
    <row r="8" spans="1:8" x14ac:dyDescent="0.25">
      <c r="A8">
        <v>0.56993836731249992</v>
      </c>
      <c r="B8">
        <v>0.67590921428820638</v>
      </c>
      <c r="C8">
        <f t="shared" si="0"/>
        <v>0.69382453061345306</v>
      </c>
      <c r="D8">
        <f t="shared" si="1"/>
        <v>-1.7915316325246677E-2</v>
      </c>
      <c r="E8">
        <f t="shared" si="2"/>
        <v>3.2095855903365009E-4</v>
      </c>
    </row>
    <row r="9" spans="1:8" x14ac:dyDescent="0.25">
      <c r="A9">
        <v>0.63195174748749994</v>
      </c>
      <c r="B9">
        <v>0.79953878571723369</v>
      </c>
      <c r="C9">
        <f t="shared" si="0"/>
        <v>0.72468111552629311</v>
      </c>
      <c r="D9">
        <f t="shared" si="1"/>
        <v>7.4857670190940584E-2</v>
      </c>
      <c r="E9">
        <f t="shared" si="2"/>
        <v>5.6036707864156347E-3</v>
      </c>
    </row>
    <row r="10" spans="1:8" x14ac:dyDescent="0.25">
      <c r="A10">
        <v>0.69396512766249996</v>
      </c>
      <c r="B10">
        <v>0.89986114286046071</v>
      </c>
      <c r="C10">
        <f t="shared" si="0"/>
        <v>0.74523103923526213</v>
      </c>
      <c r="D10">
        <f t="shared" si="1"/>
        <v>0.15463010362519858</v>
      </c>
      <c r="E10">
        <f t="shared" si="2"/>
        <v>2.3910468947139652E-2</v>
      </c>
    </row>
    <row r="11" spans="1:8" x14ac:dyDescent="0.25">
      <c r="A11">
        <v>0.75597850783749998</v>
      </c>
      <c r="B11">
        <v>1.157253857147124</v>
      </c>
      <c r="C11">
        <f t="shared" si="0"/>
        <v>0.75578233017714258</v>
      </c>
      <c r="D11">
        <f t="shared" si="1"/>
        <v>0.40147152696998145</v>
      </c>
      <c r="E11">
        <f t="shared" si="2"/>
        <v>0.16117938696760856</v>
      </c>
    </row>
    <row r="12" spans="1:8" x14ac:dyDescent="0.25">
      <c r="A12">
        <v>0.8179918880125</v>
      </c>
      <c r="B12">
        <v>0.95863585714639166</v>
      </c>
      <c r="C12">
        <f t="shared" si="0"/>
        <v>0.75685102562527629</v>
      </c>
      <c r="D12">
        <f t="shared" si="1"/>
        <v>0.20178483152111537</v>
      </c>
      <c r="E12">
        <f t="shared" si="2"/>
        <v>4.0717118232004919E-2</v>
      </c>
    </row>
    <row r="13" spans="1:8" x14ac:dyDescent="0.25">
      <c r="A13">
        <v>0.88000526818750002</v>
      </c>
      <c r="B13">
        <v>0.90796800000334765</v>
      </c>
      <c r="C13">
        <f t="shared" si="0"/>
        <v>0.74913217415902134</v>
      </c>
      <c r="D13">
        <f t="shared" si="1"/>
        <v>0.15883582584432632</v>
      </c>
      <c r="E13">
        <f t="shared" si="2"/>
        <v>2.5228819571649162E-2</v>
      </c>
    </row>
    <row r="14" spans="1:8" x14ac:dyDescent="0.25">
      <c r="A14">
        <v>0.94201864836249993</v>
      </c>
      <c r="B14">
        <v>0.76609800000282458</v>
      </c>
      <c r="C14">
        <f t="shared" si="0"/>
        <v>0.73346673692901965</v>
      </c>
      <c r="D14">
        <f t="shared" si="1"/>
        <v>3.2631263073804928E-2</v>
      </c>
      <c r="E14">
        <f t="shared" si="2"/>
        <v>1.064799329791865E-3</v>
      </c>
    </row>
    <row r="15" spans="1:8" x14ac:dyDescent="0.25">
      <c r="A15">
        <v>1.0040320285375</v>
      </c>
      <c r="B15">
        <v>0.63436157143091032</v>
      </c>
      <c r="C15">
        <f t="shared" si="0"/>
        <v>0.71080604314570239</v>
      </c>
      <c r="D15">
        <f t="shared" si="1"/>
        <v>-7.6444471714792073E-2</v>
      </c>
      <c r="E15">
        <f t="shared" si="2"/>
        <v>5.8437572557536455E-3</v>
      </c>
    </row>
    <row r="16" spans="1:8" x14ac:dyDescent="0.25">
      <c r="A16">
        <v>1.0660454087125</v>
      </c>
      <c r="B16">
        <v>0.6191612142879972</v>
      </c>
      <c r="C16">
        <f t="shared" si="0"/>
        <v>0.68217542532288689</v>
      </c>
      <c r="D16">
        <f t="shared" si="1"/>
        <v>-6.3014211034889689E-2</v>
      </c>
      <c r="E16">
        <f t="shared" si="2"/>
        <v>3.9707907923496131E-3</v>
      </c>
    </row>
    <row r="17" spans="1:5" x14ac:dyDescent="0.25">
      <c r="A17">
        <v>1.1280587888875</v>
      </c>
      <c r="B17">
        <v>0.50566521428757871</v>
      </c>
      <c r="C17">
        <f t="shared" si="0"/>
        <v>0.64863855426480266</v>
      </c>
      <c r="D17">
        <f t="shared" si="1"/>
        <v>-0.14297333997722395</v>
      </c>
      <c r="E17">
        <f t="shared" si="2"/>
        <v>2.0441375944242862E-2</v>
      </c>
    </row>
    <row r="18" spans="1:5" x14ac:dyDescent="0.25">
      <c r="A18">
        <v>1.1900721690625</v>
      </c>
      <c r="B18">
        <v>0.4752645000017523</v>
      </c>
      <c r="C18">
        <f t="shared" si="0"/>
        <v>0.61126382286141934</v>
      </c>
      <c r="D18">
        <f t="shared" si="1"/>
        <v>-0.13599932285966704</v>
      </c>
      <c r="E18">
        <f t="shared" si="2"/>
        <v>1.8495815818287954E-2</v>
      </c>
    </row>
    <row r="19" spans="1:5" x14ac:dyDescent="0.25">
      <c r="A19">
        <v>1.2520855492375</v>
      </c>
      <c r="B19">
        <v>0.452970642858813</v>
      </c>
      <c r="C19">
        <f t="shared" si="0"/>
        <v>0.57109390583304021</v>
      </c>
      <c r="D19">
        <f t="shared" si="1"/>
        <v>-0.11812326297422721</v>
      </c>
      <c r="E19">
        <f t="shared" si="2"/>
        <v>1.3953105255678435E-2</v>
      </c>
    </row>
    <row r="20" spans="1:5" x14ac:dyDescent="0.25">
      <c r="A20">
        <v>1.3140989294124998</v>
      </c>
      <c r="B20">
        <v>0.43169014285873453</v>
      </c>
      <c r="C20">
        <f t="shared" si="0"/>
        <v>0.52911936631399514</v>
      </c>
      <c r="D20">
        <f t="shared" si="1"/>
        <v>-9.7429223455260616E-2</v>
      </c>
      <c r="E20">
        <f t="shared" si="2"/>
        <v>9.4924535830951048E-3</v>
      </c>
    </row>
    <row r="21" spans="1:5" x14ac:dyDescent="0.25">
      <c r="A21">
        <v>1.3761123095875001</v>
      </c>
      <c r="B21">
        <v>0.39419592857288199</v>
      </c>
      <c r="C21">
        <f t="shared" si="0"/>
        <v>0.48625690699085478</v>
      </c>
      <c r="D21">
        <f t="shared" si="1"/>
        <v>-9.2060978417972783E-2</v>
      </c>
      <c r="E21">
        <f t="shared" si="2"/>
        <v>8.4752237472744511E-3</v>
      </c>
    </row>
    <row r="22" spans="1:5" x14ac:dyDescent="0.25">
      <c r="A22">
        <v>1.4381256897625001</v>
      </c>
      <c r="B22">
        <v>0.33035442857264657</v>
      </c>
      <c r="C22">
        <f t="shared" si="0"/>
        <v>0.44333259019870896</v>
      </c>
      <c r="D22">
        <f t="shared" si="1"/>
        <v>-0.11297816162606239</v>
      </c>
      <c r="E22">
        <f t="shared" si="2"/>
        <v>1.2764065004404676E-2</v>
      </c>
    </row>
    <row r="23" spans="1:5" x14ac:dyDescent="0.25">
      <c r="A23">
        <v>1.5001390699374999</v>
      </c>
      <c r="B23">
        <v>0.35163492857272505</v>
      </c>
      <c r="C23">
        <f t="shared" si="0"/>
        <v>0.40107009298647717</v>
      </c>
      <c r="D23">
        <f t="shared" si="1"/>
        <v>-4.943516441375212E-2</v>
      </c>
      <c r="E23">
        <f t="shared" si="2"/>
        <v>2.443835480614704E-3</v>
      </c>
    </row>
    <row r="24" spans="1:5" x14ac:dyDescent="0.25">
      <c r="A24">
        <v>1.5621524501124999</v>
      </c>
      <c r="B24">
        <v>0.30502050000112463</v>
      </c>
      <c r="C24">
        <f t="shared" si="0"/>
        <v>0.36008383217721718</v>
      </c>
      <c r="D24">
        <f t="shared" si="1"/>
        <v>-5.506333217609255E-2</v>
      </c>
      <c r="E24">
        <f t="shared" si="2"/>
        <v>3.0319705503347089E-3</v>
      </c>
    </row>
    <row r="25" spans="1:5" x14ac:dyDescent="0.25">
      <c r="A25">
        <v>1.6241658302874999</v>
      </c>
      <c r="B25">
        <v>0.31110064285828992</v>
      </c>
      <c r="C25">
        <f t="shared" si="0"/>
        <v>0.32087660024551323</v>
      </c>
      <c r="D25">
        <f t="shared" si="1"/>
        <v>-9.7759573872233108E-3</v>
      </c>
      <c r="E25">
        <f t="shared" si="2"/>
        <v>9.5569342836806015E-5</v>
      </c>
    </row>
    <row r="26" spans="1:5" x14ac:dyDescent="0.25">
      <c r="A26">
        <v>1.6861792104625</v>
      </c>
      <c r="B26">
        <v>0.23205878571514132</v>
      </c>
      <c r="C26">
        <f t="shared" si="0"/>
        <v>0.28384120141881558</v>
      </c>
      <c r="D26">
        <f t="shared" si="1"/>
        <v>-5.1782415703674256E-2</v>
      </c>
      <c r="E26">
        <f t="shared" si="2"/>
        <v>2.68141857610813E-3</v>
      </c>
    </row>
    <row r="27" spans="1:5" x14ac:dyDescent="0.25">
      <c r="A27">
        <v>1.7481925906375002</v>
      </c>
      <c r="B27">
        <v>0.21584507142936726</v>
      </c>
      <c r="C27">
        <f t="shared" si="0"/>
        <v>0.24926547144831296</v>
      </c>
      <c r="D27">
        <f t="shared" si="1"/>
        <v>-3.3420400018945695E-2</v>
      </c>
      <c r="E27">
        <f t="shared" si="2"/>
        <v>1.1169231374263454E-3</v>
      </c>
    </row>
    <row r="28" spans="1:5" x14ac:dyDescent="0.25">
      <c r="A28">
        <v>1.8102059708125</v>
      </c>
      <c r="B28">
        <v>0.25029921428663715</v>
      </c>
      <c r="C28">
        <f t="shared" si="0"/>
        <v>0.21734000357090452</v>
      </c>
      <c r="D28">
        <f t="shared" si="1"/>
        <v>3.2959210715732629E-2</v>
      </c>
      <c r="E28">
        <f t="shared" si="2"/>
        <v>1.0863095710040645E-3</v>
      </c>
    </row>
    <row r="29" spans="1:5" x14ac:dyDescent="0.25">
      <c r="A29">
        <v>1.8722193509874998</v>
      </c>
      <c r="B29">
        <v>0.22192521428653253</v>
      </c>
      <c r="C29">
        <f t="shared" si="0"/>
        <v>0.1881678842439243</v>
      </c>
      <c r="D29">
        <f t="shared" si="1"/>
        <v>3.3757330042608225E-2</v>
      </c>
      <c r="E29">
        <f t="shared" si="2"/>
        <v>1.1395573316055798E-3</v>
      </c>
    </row>
    <row r="30" spans="1:5" x14ac:dyDescent="0.25">
      <c r="A30">
        <v>1.9342327311625001</v>
      </c>
      <c r="B30">
        <v>0.17125735714348858</v>
      </c>
      <c r="C30">
        <f t="shared" si="0"/>
        <v>0.16177576015904541</v>
      </c>
      <c r="D30">
        <f t="shared" si="1"/>
        <v>9.4815969844431747E-3</v>
      </c>
      <c r="E30">
        <f t="shared" si="2"/>
        <v>8.9900681375401905E-5</v>
      </c>
    </row>
    <row r="31" spans="1:5" x14ac:dyDescent="0.25">
      <c r="A31">
        <v>1.9962461113375001</v>
      </c>
      <c r="B31">
        <v>0.1601104285720189</v>
      </c>
      <c r="C31">
        <f t="shared" si="0"/>
        <v>0.13812560627993872</v>
      </c>
      <c r="D31">
        <f t="shared" si="1"/>
        <v>2.1984822292080181E-2</v>
      </c>
      <c r="E31">
        <f t="shared" si="2"/>
        <v>4.8333241121434567E-4</v>
      </c>
    </row>
    <row r="32" spans="1:5" x14ac:dyDescent="0.25">
      <c r="A32">
        <v>2.0582594915124997</v>
      </c>
      <c r="B32">
        <v>0.1408566428576622</v>
      </c>
      <c r="C32">
        <f t="shared" si="0"/>
        <v>0.11712663585721377</v>
      </c>
      <c r="D32">
        <f t="shared" si="1"/>
        <v>2.373000700044843E-2</v>
      </c>
      <c r="E32">
        <f t="shared" si="2"/>
        <v>5.6311323224133149E-4</v>
      </c>
    </row>
    <row r="33" spans="1:5" x14ac:dyDescent="0.25">
      <c r="A33">
        <v>2.1202728716874999</v>
      </c>
      <c r="B33">
        <v>0.17328407142921035</v>
      </c>
      <c r="C33">
        <f t="shared" si="0"/>
        <v>9.8646880017710284E-2</v>
      </c>
      <c r="D33">
        <f t="shared" si="1"/>
        <v>7.4637191411500062E-2</v>
      </c>
      <c r="E33">
        <f t="shared" si="2"/>
        <v>5.5707103417968985E-3</v>
      </c>
    </row>
    <row r="34" spans="1:5" x14ac:dyDescent="0.25">
      <c r="A34">
        <v>2.1822862518625001</v>
      </c>
      <c r="B34">
        <v>0.10336242857180968</v>
      </c>
      <c r="C34">
        <f t="shared" si="0"/>
        <v>8.2524059389853063E-2</v>
      </c>
      <c r="D34">
        <f t="shared" si="1"/>
        <v>2.0838369181956612E-2</v>
      </c>
      <c r="E34">
        <f t="shared" si="2"/>
        <v>4.342376301635191E-4</v>
      </c>
    </row>
    <row r="35" spans="1:5" x14ac:dyDescent="0.25">
      <c r="A35">
        <v>2.2442996320374999</v>
      </c>
      <c r="B35">
        <v>9.8295642857505278E-2</v>
      </c>
      <c r="C35">
        <f t="shared" si="0"/>
        <v>6.8575466831203538E-2</v>
      </c>
      <c r="D35">
        <f t="shared" si="1"/>
        <v>2.9720176026301739E-2</v>
      </c>
      <c r="E35">
        <f t="shared" si="2"/>
        <v>8.8328886303436064E-4</v>
      </c>
    </row>
    <row r="36" spans="1:5" x14ac:dyDescent="0.25">
      <c r="A36">
        <v>2.3063130122124997</v>
      </c>
      <c r="B36">
        <v>0.10437578571467056</v>
      </c>
      <c r="C36">
        <f t="shared" si="0"/>
        <v>5.6606673209091032E-2</v>
      </c>
      <c r="D36">
        <f t="shared" si="1"/>
        <v>4.7769112505579525E-2</v>
      </c>
      <c r="E36">
        <f t="shared" si="2"/>
        <v>2.2818881095707142E-3</v>
      </c>
    </row>
    <row r="37" spans="1:5" x14ac:dyDescent="0.25">
      <c r="A37">
        <v>2.3683263923875</v>
      </c>
      <c r="B37">
        <v>8.4108642857452967E-2</v>
      </c>
      <c r="C37">
        <f t="shared" si="0"/>
        <v>4.6418953081444357E-2</v>
      </c>
      <c r="D37">
        <f t="shared" si="1"/>
        <v>3.768968977600861E-2</v>
      </c>
      <c r="E37">
        <f t="shared" si="2"/>
        <v>1.4205127154117679E-3</v>
      </c>
    </row>
    <row r="38" spans="1:5" x14ac:dyDescent="0.25">
      <c r="A38">
        <v>2.4303397725625002</v>
      </c>
      <c r="B38">
        <v>6.5868214285957141E-2</v>
      </c>
      <c r="C38">
        <f t="shared" si="0"/>
        <v>3.7815401011108786E-2</v>
      </c>
      <c r="D38">
        <f t="shared" si="1"/>
        <v>2.8052813274848355E-2</v>
      </c>
      <c r="E38">
        <f t="shared" si="2"/>
        <v>7.8696033263350815E-4</v>
      </c>
    </row>
    <row r="39" spans="1:5" x14ac:dyDescent="0.25">
      <c r="A39">
        <v>2.4923531527374996</v>
      </c>
      <c r="B39">
        <v>5.4721285714487471E-2</v>
      </c>
      <c r="C39">
        <f t="shared" si="0"/>
        <v>3.0605770309233574E-2</v>
      </c>
      <c r="D39">
        <f t="shared" si="1"/>
        <v>2.4115515405253897E-2</v>
      </c>
      <c r="E39">
        <f t="shared" si="2"/>
        <v>5.8155808326103807E-4</v>
      </c>
    </row>
    <row r="40" spans="1:5" x14ac:dyDescent="0.25">
      <c r="A40">
        <v>2.5543665329124998</v>
      </c>
      <c r="B40">
        <v>2.2293857142939341E-2</v>
      </c>
      <c r="C40">
        <f t="shared" si="0"/>
        <v>2.4610113520819758E-2</v>
      </c>
      <c r="D40">
        <f t="shared" si="1"/>
        <v>-2.3162563778804171E-3</v>
      </c>
      <c r="E40">
        <f t="shared" si="2"/>
        <v>5.3650436080717099E-6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66F9-A276-4527-909A-0D889FAE619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0.15690279041249999</v>
      </c>
      <c r="B1">
        <v>9.6674986361452747E-2</v>
      </c>
      <c r="C1">
        <f>$H$3*(1+$H$1)*(A1^($H$1))*EXP(-$H$3*(A1^(1+$H$1)))</f>
        <v>0.20947885035865554</v>
      </c>
      <c r="D1">
        <f>B1-C1</f>
        <v>-0.1128038639972028</v>
      </c>
      <c r="E1">
        <f>D1^2</f>
        <v>1.2724711732699425E-2</v>
      </c>
      <c r="G1" t="s">
        <v>0</v>
      </c>
      <c r="H1">
        <v>1.0979407840646631</v>
      </c>
    </row>
    <row r="2" spans="1:8" x14ac:dyDescent="0.25">
      <c r="A2">
        <v>0.21605557723750002</v>
      </c>
      <c r="B2">
        <v>0.17847689789806662</v>
      </c>
      <c r="C2">
        <f t="shared" ref="C2:C40" si="0">$H$3*(1+$H$1)*(A2^($H$1))*EXP(-$H$3*(A2^(1+$H$1)))</f>
        <v>0.29313660591377355</v>
      </c>
      <c r="D2">
        <f t="shared" ref="D2:D40" si="1">B2-C2</f>
        <v>-0.11465970801570693</v>
      </c>
      <c r="E2">
        <f t="shared" ref="E2:E40" si="2">D2^2</f>
        <v>1.314684864224717E-2</v>
      </c>
    </row>
    <row r="3" spans="1:8" x14ac:dyDescent="0.25">
      <c r="A3">
        <v>0.27520836406250004</v>
      </c>
      <c r="B3">
        <v>0.28471314664691577</v>
      </c>
      <c r="C3">
        <f t="shared" si="0"/>
        <v>0.37455282511117916</v>
      </c>
      <c r="D3">
        <f t="shared" si="1"/>
        <v>-8.9839678464263384E-2</v>
      </c>
      <c r="E3">
        <f t="shared" si="2"/>
        <v>8.0711678265622307E-3</v>
      </c>
      <c r="G3" t="s">
        <v>1</v>
      </c>
      <c r="H3">
        <f>(_xlfn.GAMMA((2+$H$1)/(1+$H$1)))^(1+$H$1)</f>
        <v>0.77519325881695733</v>
      </c>
    </row>
    <row r="4" spans="1:8" x14ac:dyDescent="0.25">
      <c r="A4">
        <v>0.33436115088750001</v>
      </c>
      <c r="B4">
        <v>0.55349085598150416</v>
      </c>
      <c r="C4">
        <f t="shared" si="0"/>
        <v>0.45186816298055438</v>
      </c>
      <c r="D4">
        <f t="shared" si="1"/>
        <v>0.10162269300094978</v>
      </c>
      <c r="E4">
        <f t="shared" si="2"/>
        <v>1.0327171732765287E-2</v>
      </c>
    </row>
    <row r="5" spans="1:8" x14ac:dyDescent="0.25">
      <c r="A5">
        <v>0.39351393771250004</v>
      </c>
      <c r="B5">
        <v>0.60767134284341728</v>
      </c>
      <c r="C5">
        <f t="shared" si="0"/>
        <v>0.52349338506941789</v>
      </c>
      <c r="D5">
        <f t="shared" si="1"/>
        <v>8.417795777399939E-2</v>
      </c>
      <c r="E5">
        <f t="shared" si="2"/>
        <v>7.0859285750012246E-3</v>
      </c>
      <c r="G5" t="s">
        <v>2</v>
      </c>
      <c r="H5">
        <f>SUM(E1:E40)</f>
        <v>0.44424913655153747</v>
      </c>
    </row>
    <row r="6" spans="1:8" x14ac:dyDescent="0.25">
      <c r="A6">
        <v>0.45266672453750001</v>
      </c>
      <c r="B6">
        <v>0.63741749249309498</v>
      </c>
      <c r="C6">
        <f t="shared" si="0"/>
        <v>0.5880801431939997</v>
      </c>
      <c r="D6">
        <f t="shared" si="1"/>
        <v>4.9337349299095279E-2</v>
      </c>
      <c r="E6">
        <f t="shared" si="2"/>
        <v>2.4341740358609374E-3</v>
      </c>
    </row>
    <row r="7" spans="1:8" x14ac:dyDescent="0.25">
      <c r="A7">
        <v>0.51181951136250003</v>
      </c>
      <c r="B7">
        <v>0.65760237975537639</v>
      </c>
      <c r="C7">
        <f t="shared" si="0"/>
        <v>0.64452326616327249</v>
      </c>
      <c r="D7">
        <f t="shared" si="1"/>
        <v>1.3079113592103897E-2</v>
      </c>
      <c r="E7">
        <f t="shared" si="2"/>
        <v>1.7106321235515689E-4</v>
      </c>
    </row>
    <row r="8" spans="1:8" x14ac:dyDescent="0.25">
      <c r="A8">
        <v>0.57097229818750006</v>
      </c>
      <c r="B8">
        <v>0.69903451676742756</v>
      </c>
      <c r="C8">
        <f t="shared" si="0"/>
        <v>0.69197077416149033</v>
      </c>
      <c r="D8">
        <f t="shared" si="1"/>
        <v>7.0637426059372288E-3</v>
      </c>
      <c r="E8">
        <f t="shared" si="2"/>
        <v>4.9896459602932872E-5</v>
      </c>
    </row>
    <row r="9" spans="1:8" x14ac:dyDescent="0.25">
      <c r="A9">
        <v>0.63012508501250009</v>
      </c>
      <c r="B9">
        <v>0.74046665377947873</v>
      </c>
      <c r="C9">
        <f t="shared" si="0"/>
        <v>0.7298324054516917</v>
      </c>
      <c r="D9">
        <f t="shared" si="1"/>
        <v>1.0634248327787033E-2</v>
      </c>
      <c r="E9">
        <f t="shared" si="2"/>
        <v>1.130872374970413E-4</v>
      </c>
    </row>
    <row r="10" spans="1:8" x14ac:dyDescent="0.25">
      <c r="A10">
        <v>0.68927787183750011</v>
      </c>
      <c r="B10">
        <v>0.87113723974056323</v>
      </c>
      <c r="C10">
        <f t="shared" si="0"/>
        <v>0.7577825836469757</v>
      </c>
      <c r="D10">
        <f t="shared" si="1"/>
        <v>0.11335465609358752</v>
      </c>
      <c r="E10">
        <f t="shared" si="2"/>
        <v>1.2849278058095499E-2</v>
      </c>
    </row>
    <row r="11" spans="1:8" x14ac:dyDescent="0.25">
      <c r="A11">
        <v>0.74843065866250003</v>
      </c>
      <c r="B11">
        <v>0.94975206381471156</v>
      </c>
      <c r="C11">
        <f t="shared" si="0"/>
        <v>0.77575605206145237</v>
      </c>
      <c r="D11">
        <f t="shared" si="1"/>
        <v>0.17399601175325918</v>
      </c>
      <c r="E11">
        <f t="shared" si="2"/>
        <v>3.0274612106040308E-2</v>
      </c>
    </row>
    <row r="12" spans="1:8" x14ac:dyDescent="0.25">
      <c r="A12">
        <v>0.80758344548750005</v>
      </c>
      <c r="B12">
        <v>1.1824094485746912</v>
      </c>
      <c r="C12">
        <f t="shared" si="0"/>
        <v>0.78393566692289929</v>
      </c>
      <c r="D12">
        <f t="shared" si="1"/>
        <v>0.39847378165179193</v>
      </c>
      <c r="E12">
        <f t="shared" si="2"/>
        <v>0.15878135466387994</v>
      </c>
    </row>
    <row r="13" spans="1:8" x14ac:dyDescent="0.25">
      <c r="A13">
        <v>0.86673623231250008</v>
      </c>
      <c r="B13">
        <v>0.96887458858950448</v>
      </c>
      <c r="C13">
        <f t="shared" si="0"/>
        <v>0.78273265556705562</v>
      </c>
      <c r="D13">
        <f t="shared" si="1"/>
        <v>0.18614193302244886</v>
      </c>
      <c r="E13">
        <f t="shared" si="2"/>
        <v>3.4648819229333834E-2</v>
      </c>
    </row>
    <row r="14" spans="1:8" x14ac:dyDescent="0.25">
      <c r="A14">
        <v>0.92588901913749999</v>
      </c>
      <c r="B14">
        <v>0.92425536411498777</v>
      </c>
      <c r="C14">
        <f t="shared" si="0"/>
        <v>0.7727602149433267</v>
      </c>
      <c r="D14">
        <f t="shared" si="1"/>
        <v>0.15149514917166107</v>
      </c>
      <c r="E14">
        <f t="shared" si="2"/>
        <v>2.2950780222543838E-2</v>
      </c>
    </row>
    <row r="15" spans="1:8" x14ac:dyDescent="0.25">
      <c r="A15">
        <v>0.98504180596250002</v>
      </c>
      <c r="B15">
        <v>0.73409247885454776</v>
      </c>
      <c r="C15">
        <f t="shared" si="0"/>
        <v>0.7548017260665737</v>
      </c>
      <c r="D15">
        <f t="shared" si="1"/>
        <v>-2.0709247212025939E-2</v>
      </c>
      <c r="E15">
        <f t="shared" si="2"/>
        <v>4.2887292008880409E-4</v>
      </c>
    </row>
    <row r="16" spans="1:8" x14ac:dyDescent="0.25">
      <c r="A16">
        <v>1.0441945927875</v>
      </c>
      <c r="B16">
        <v>0.67035072960523823</v>
      </c>
      <c r="C16">
        <f t="shared" si="0"/>
        <v>0.72977512092581953</v>
      </c>
      <c r="D16">
        <f t="shared" si="1"/>
        <v>-5.9424391320581305E-2</v>
      </c>
      <c r="E16">
        <f t="shared" si="2"/>
        <v>3.5312582838215789E-3</v>
      </c>
    </row>
    <row r="17" spans="1:5" x14ac:dyDescent="0.25">
      <c r="A17">
        <v>1.1033473796125002</v>
      </c>
      <c r="B17">
        <v>0.58111228065620502</v>
      </c>
      <c r="C17">
        <f t="shared" si="0"/>
        <v>0.69869507359458971</v>
      </c>
      <c r="D17">
        <f t="shared" si="1"/>
        <v>-0.11758279293838469</v>
      </c>
      <c r="E17">
        <f t="shared" si="2"/>
        <v>1.3825713195191049E-2</v>
      </c>
    </row>
    <row r="18" spans="1:5" x14ac:dyDescent="0.25">
      <c r="A18">
        <v>1.1625001664375001</v>
      </c>
      <c r="B18">
        <v>0.4961232816571256</v>
      </c>
      <c r="C18">
        <f t="shared" si="0"/>
        <v>0.66263470745227782</v>
      </c>
      <c r="D18">
        <f t="shared" si="1"/>
        <v>-0.16651142579515221</v>
      </c>
      <c r="E18">
        <f t="shared" si="2"/>
        <v>2.7726054920334482E-2</v>
      </c>
    </row>
    <row r="19" spans="1:5" x14ac:dyDescent="0.25">
      <c r="A19">
        <v>1.2216529532625002</v>
      </c>
      <c r="B19">
        <v>0.51205871896945299</v>
      </c>
      <c r="C19">
        <f t="shared" si="0"/>
        <v>0.62268842785456091</v>
      </c>
      <c r="D19">
        <f t="shared" si="1"/>
        <v>-0.11062970888510792</v>
      </c>
      <c r="E19">
        <f t="shared" si="2"/>
        <v>1.2238932488003727E-2</v>
      </c>
    </row>
    <row r="20" spans="1:5" x14ac:dyDescent="0.25">
      <c r="A20">
        <v>1.2808057400875001</v>
      </c>
      <c r="B20">
        <v>0.45894059459502839</v>
      </c>
      <c r="C20">
        <f t="shared" si="0"/>
        <v>0.57993731995919773</v>
      </c>
      <c r="D20">
        <f t="shared" si="1"/>
        <v>-0.12099672536416933</v>
      </c>
      <c r="E20">
        <f t="shared" si="2"/>
        <v>1.4640207548852218E-2</v>
      </c>
    </row>
    <row r="21" spans="1:5" x14ac:dyDescent="0.25">
      <c r="A21">
        <v>1.3399585269125001</v>
      </c>
      <c r="B21">
        <v>0.42494499499539667</v>
      </c>
      <c r="C21">
        <f t="shared" si="0"/>
        <v>0.53541831363899228</v>
      </c>
      <c r="D21">
        <f t="shared" si="1"/>
        <v>-0.11047331864359561</v>
      </c>
      <c r="E21">
        <f t="shared" si="2"/>
        <v>1.2204354132129409E-2</v>
      </c>
    </row>
    <row r="22" spans="1:5" x14ac:dyDescent="0.25">
      <c r="A22">
        <v>1.3991113137375002</v>
      </c>
      <c r="B22">
        <v>0.38245049549585702</v>
      </c>
      <c r="C22">
        <f t="shared" si="0"/>
        <v>0.49009803268636359</v>
      </c>
      <c r="D22">
        <f t="shared" si="1"/>
        <v>-0.10764753719050657</v>
      </c>
      <c r="E22">
        <f t="shared" si="2"/>
        <v>1.1587992263181496E-2</v>
      </c>
    </row>
    <row r="23" spans="1:5" x14ac:dyDescent="0.25">
      <c r="A23">
        <v>1.4582641005625003</v>
      </c>
      <c r="B23">
        <v>0.36226560823357568</v>
      </c>
      <c r="C23">
        <f t="shared" si="0"/>
        <v>0.44485193591655842</v>
      </c>
      <c r="D23">
        <f t="shared" si="1"/>
        <v>-8.2586327682982741E-2</v>
      </c>
      <c r="E23">
        <f t="shared" si="2"/>
        <v>6.8205015201610016E-3</v>
      </c>
    </row>
    <row r="24" spans="1:5" x14ac:dyDescent="0.25">
      <c r="A24">
        <v>1.5174168873875</v>
      </c>
      <c r="B24">
        <v>0.31870874624654749</v>
      </c>
      <c r="C24">
        <f t="shared" si="0"/>
        <v>0.40044904479030818</v>
      </c>
      <c r="D24">
        <f t="shared" si="1"/>
        <v>-8.1740298543760692E-2</v>
      </c>
      <c r="E24">
        <f t="shared" si="2"/>
        <v>6.6814764060231261E-3</v>
      </c>
    </row>
    <row r="25" spans="1:5" x14ac:dyDescent="0.25">
      <c r="A25">
        <v>1.5765696742125002</v>
      </c>
      <c r="B25">
        <v>0.31445929629659353</v>
      </c>
      <c r="C25">
        <f t="shared" si="0"/>
        <v>0.35754225528301831</v>
      </c>
      <c r="D25">
        <f t="shared" si="1"/>
        <v>-4.308295898642478E-2</v>
      </c>
      <c r="E25">
        <f t="shared" si="2"/>
        <v>1.8561413550259598E-3</v>
      </c>
    </row>
    <row r="26" spans="1:5" x14ac:dyDescent="0.25">
      <c r="A26">
        <v>1.6357224610375001</v>
      </c>
      <c r="B26">
        <v>0.27408952177203089</v>
      </c>
      <c r="C26">
        <f t="shared" si="0"/>
        <v>0.31666396725243789</v>
      </c>
      <c r="D26">
        <f t="shared" si="1"/>
        <v>-4.2574445480407008E-2</v>
      </c>
      <c r="E26">
        <f t="shared" si="2"/>
        <v>1.8125834079641488E-3</v>
      </c>
    </row>
    <row r="27" spans="1:5" x14ac:dyDescent="0.25">
      <c r="A27">
        <v>1.6948752478625002</v>
      </c>
      <c r="B27">
        <v>0.24221864714737612</v>
      </c>
      <c r="C27">
        <f t="shared" si="0"/>
        <v>0.2782265448534289</v>
      </c>
      <c r="D27">
        <f t="shared" si="1"/>
        <v>-3.6007897706052783E-2</v>
      </c>
      <c r="E27">
        <f t="shared" si="2"/>
        <v>1.2965686972095612E-3</v>
      </c>
    </row>
    <row r="28" spans="1:5" x14ac:dyDescent="0.25">
      <c r="A28">
        <v>1.7540280346874999</v>
      </c>
      <c r="B28">
        <v>0.26240353440965747</v>
      </c>
      <c r="C28">
        <f t="shared" si="0"/>
        <v>0.242526954563761</v>
      </c>
      <c r="D28">
        <f t="shared" si="1"/>
        <v>1.9876579845896469E-2</v>
      </c>
      <c r="E28">
        <f t="shared" si="2"/>
        <v>3.9507842637029773E-4</v>
      </c>
    </row>
    <row r="29" spans="1:5" x14ac:dyDescent="0.25">
      <c r="A29">
        <v>1.8131808215125</v>
      </c>
      <c r="B29">
        <v>0.22628320983504874</v>
      </c>
      <c r="C29">
        <f t="shared" si="0"/>
        <v>0.20975481661012713</v>
      </c>
      <c r="D29">
        <f t="shared" si="1"/>
        <v>1.6528393224921611E-2</v>
      </c>
      <c r="E29">
        <f t="shared" si="2"/>
        <v>2.7318778259763463E-4</v>
      </c>
    </row>
    <row r="30" spans="1:5" x14ac:dyDescent="0.25">
      <c r="A30">
        <v>1.8723336083375002</v>
      </c>
      <c r="B30">
        <v>0.18697579779797455</v>
      </c>
      <c r="C30">
        <f t="shared" si="0"/>
        <v>0.18000305035538247</v>
      </c>
      <c r="D30">
        <f t="shared" si="1"/>
        <v>6.9727474425920755E-3</v>
      </c>
      <c r="E30">
        <f t="shared" si="2"/>
        <v>4.861920689817433E-5</v>
      </c>
    </row>
    <row r="31" spans="1:5" x14ac:dyDescent="0.25">
      <c r="A31">
        <v>1.9314863951625001</v>
      </c>
      <c r="B31">
        <v>0.19016288526044001</v>
      </c>
      <c r="C31">
        <f t="shared" si="0"/>
        <v>0.15328029029206244</v>
      </c>
      <c r="D31">
        <f t="shared" si="1"/>
        <v>3.6882594968377563E-2</v>
      </c>
      <c r="E31">
        <f t="shared" si="2"/>
        <v>1.3603258116013899E-3</v>
      </c>
    </row>
    <row r="32" spans="1:5" x14ac:dyDescent="0.25">
      <c r="A32">
        <v>1.9906391819875002</v>
      </c>
      <c r="B32">
        <v>0.15085547322336582</v>
      </c>
      <c r="C32">
        <f t="shared" si="0"/>
        <v>0.12952428966330251</v>
      </c>
      <c r="D32">
        <f t="shared" si="1"/>
        <v>2.1331183560063305E-2</v>
      </c>
      <c r="E32">
        <f t="shared" si="2"/>
        <v>4.55019392073115E-4</v>
      </c>
    </row>
    <row r="33" spans="1:5" x14ac:dyDescent="0.25">
      <c r="A33">
        <v>2.0497919688125004</v>
      </c>
      <c r="B33">
        <v>0.17422744794811265</v>
      </c>
      <c r="C33">
        <f t="shared" si="0"/>
        <v>0.10861560448757578</v>
      </c>
      <c r="D33">
        <f t="shared" si="1"/>
        <v>6.5611843460536876E-2</v>
      </c>
      <c r="E33">
        <f t="shared" si="2"/>
        <v>4.3049140022899954E-3</v>
      </c>
    </row>
    <row r="34" spans="1:5" x14ac:dyDescent="0.25">
      <c r="A34">
        <v>2.1089447556375003</v>
      </c>
      <c r="B34">
        <v>0.11261042367378012</v>
      </c>
      <c r="C34">
        <f t="shared" si="0"/>
        <v>9.039095200603528E-2</v>
      </c>
      <c r="D34">
        <f t="shared" si="1"/>
        <v>2.2219471667744836E-2</v>
      </c>
      <c r="E34">
        <f t="shared" si="2"/>
        <v>4.9370492119371547E-4</v>
      </c>
    </row>
    <row r="35" spans="1:5" x14ac:dyDescent="0.25">
      <c r="A35">
        <v>2.1680975424625002</v>
      </c>
      <c r="B35">
        <v>0.12429641103615353</v>
      </c>
      <c r="C35">
        <f t="shared" si="0"/>
        <v>7.4655754283008455E-2</v>
      </c>
      <c r="D35">
        <f t="shared" si="1"/>
        <v>4.9640656753145079E-2</v>
      </c>
      <c r="E35">
        <f t="shared" si="2"/>
        <v>2.4641948028835681E-3</v>
      </c>
    </row>
    <row r="36" spans="1:5" x14ac:dyDescent="0.25">
      <c r="A36">
        <v>2.2272503292875001</v>
      </c>
      <c r="B36">
        <v>0.10836097372382615</v>
      </c>
      <c r="C36">
        <f t="shared" si="0"/>
        <v>6.119550046046629E-2</v>
      </c>
      <c r="D36">
        <f t="shared" si="1"/>
        <v>4.7165473263359861E-2</v>
      </c>
      <c r="E36">
        <f t="shared" si="2"/>
        <v>2.2245818681567138E-3</v>
      </c>
    </row>
    <row r="37" spans="1:5" x14ac:dyDescent="0.25">
      <c r="A37">
        <v>2.2864031161125</v>
      </c>
      <c r="B37">
        <v>8.9238448949033308E-2</v>
      </c>
      <c r="C37">
        <f t="shared" si="0"/>
        <v>4.9785681761020793E-2</v>
      </c>
      <c r="D37">
        <f t="shared" si="1"/>
        <v>3.9452767188012515E-2</v>
      </c>
      <c r="E37">
        <f t="shared" si="2"/>
        <v>1.556520838791517E-3</v>
      </c>
    </row>
    <row r="38" spans="1:5" x14ac:dyDescent="0.25">
      <c r="A38">
        <v>2.3455559029375004</v>
      </c>
      <c r="B38">
        <v>7.4365374124194417E-2</v>
      </c>
      <c r="C38">
        <f t="shared" si="0"/>
        <v>4.0200165076601367E-2</v>
      </c>
      <c r="D38">
        <f t="shared" si="1"/>
        <v>3.4165209047593049E-2</v>
      </c>
      <c r="E38">
        <f t="shared" si="2"/>
        <v>1.1672615092657339E-3</v>
      </c>
    </row>
    <row r="39" spans="1:5" x14ac:dyDescent="0.25">
      <c r="A39">
        <v>2.4047086897624999</v>
      </c>
      <c r="B39">
        <v>6.5866474224286486E-2</v>
      </c>
      <c r="C39">
        <f t="shared" si="0"/>
        <v>3.2217968956567686E-2</v>
      </c>
      <c r="D39">
        <f t="shared" si="1"/>
        <v>3.3648505267718801E-2</v>
      </c>
      <c r="E39">
        <f t="shared" si="2"/>
        <v>1.1322219067516999E-3</v>
      </c>
    </row>
    <row r="40" spans="1:5" x14ac:dyDescent="0.25">
      <c r="A40">
        <v>2.4638614765874998</v>
      </c>
      <c r="B40">
        <v>1.5935437312327376E-2</v>
      </c>
      <c r="C40">
        <f t="shared" si="0"/>
        <v>2.5628486893983581E-2</v>
      </c>
      <c r="D40">
        <f t="shared" si="1"/>
        <v>-9.6930495816562046E-3</v>
      </c>
      <c r="E40">
        <f t="shared" si="2"/>
        <v>9.3955210192445525E-5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35F3-CFFA-443C-A8BF-31B941C04E3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0.1825886343125</v>
      </c>
      <c r="B1">
        <v>8.83045087515405E-2</v>
      </c>
      <c r="C1">
        <f>$H$3*(1+$H$1)*(A1^($H$1))*EXP(-$H$3*(A1^(1+$H$1)))</f>
        <v>0.21019378112519541</v>
      </c>
      <c r="D1">
        <f>B1-C1</f>
        <v>-0.12188927237365491</v>
      </c>
      <c r="E1">
        <f>D1^2</f>
        <v>1.4856994719779033E-2</v>
      </c>
      <c r="G1" t="s">
        <v>0</v>
      </c>
      <c r="H1">
        <v>1.2166423601983829</v>
      </c>
    </row>
    <row r="2" spans="1:8" x14ac:dyDescent="0.25">
      <c r="A2">
        <v>0.23880527093749998</v>
      </c>
      <c r="B2">
        <v>0.17549123891128934</v>
      </c>
      <c r="C2">
        <f t="shared" ref="C2:C40" si="0">$H$3*(1+$H$1)*(A2^($H$1))*EXP(-$H$3*(A2^(1+$H$1)))</f>
        <v>0.28722499835373516</v>
      </c>
      <c r="D2">
        <f t="shared" ref="D2:D40" si="1">B2-C2</f>
        <v>-0.11173375944244582</v>
      </c>
      <c r="E2">
        <f t="shared" ref="E2:E40" si="2">D2^2</f>
        <v>1.2484432999142351E-2</v>
      </c>
    </row>
    <row r="3" spans="1:8" x14ac:dyDescent="0.25">
      <c r="A3">
        <v>0.29502190756250002</v>
      </c>
      <c r="B3">
        <v>0.26938464062178813</v>
      </c>
      <c r="C3">
        <f t="shared" si="0"/>
        <v>0.3644423100448162</v>
      </c>
      <c r="D3">
        <f t="shared" si="1"/>
        <v>-9.5057669423028068E-2</v>
      </c>
      <c r="E3">
        <f t="shared" si="2"/>
        <v>9.0359605161376855E-3</v>
      </c>
      <c r="G3" t="s">
        <v>1</v>
      </c>
      <c r="H3">
        <f>(_xlfn.GAMMA((2+$H$1)/(1+$H$1)))^(1+$H$1)</f>
        <v>0.76401103272742477</v>
      </c>
    </row>
    <row r="4" spans="1:8" x14ac:dyDescent="0.25">
      <c r="A4">
        <v>0.3512385441875</v>
      </c>
      <c r="B4">
        <v>0.47840923728682699</v>
      </c>
      <c r="C4">
        <f t="shared" si="0"/>
        <v>0.43986904488757789</v>
      </c>
      <c r="D4">
        <f t="shared" si="1"/>
        <v>3.8540192399249107E-2</v>
      </c>
      <c r="E4">
        <f t="shared" si="2"/>
        <v>1.4853464301711385E-3</v>
      </c>
    </row>
    <row r="5" spans="1:8" x14ac:dyDescent="0.25">
      <c r="A5">
        <v>0.40745518081250004</v>
      </c>
      <c r="B5">
        <v>0.65613603338169968</v>
      </c>
      <c r="C5">
        <f t="shared" si="0"/>
        <v>0.51174381065074925</v>
      </c>
      <c r="D5">
        <f t="shared" si="1"/>
        <v>0.14439222273095043</v>
      </c>
      <c r="E5">
        <f t="shared" si="2"/>
        <v>2.0849113985184398E-2</v>
      </c>
      <c r="G5" t="s">
        <v>2</v>
      </c>
      <c r="H5">
        <f>SUM(E1:E40)</f>
        <v>0.4459313417346642</v>
      </c>
    </row>
    <row r="6" spans="1:8" x14ac:dyDescent="0.25">
      <c r="A6">
        <v>0.46367181743750002</v>
      </c>
      <c r="B6">
        <v>0.65390047619811631</v>
      </c>
      <c r="C6">
        <f t="shared" si="0"/>
        <v>0.57849451410432295</v>
      </c>
      <c r="D6">
        <f t="shared" si="1"/>
        <v>7.5405962093793355E-2</v>
      </c>
      <c r="E6">
        <f t="shared" si="2"/>
        <v>5.6860591192906002E-3</v>
      </c>
    </row>
    <row r="7" spans="1:8" x14ac:dyDescent="0.25">
      <c r="A7">
        <v>0.51988845406249995</v>
      </c>
      <c r="B7">
        <v>0.67625604803394934</v>
      </c>
      <c r="C7">
        <f t="shared" si="0"/>
        <v>0.63874498510320599</v>
      </c>
      <c r="D7">
        <f t="shared" si="1"/>
        <v>3.7511062930743355E-2</v>
      </c>
      <c r="E7">
        <f t="shared" si="2"/>
        <v>1.4070798421941882E-3</v>
      </c>
    </row>
    <row r="8" spans="1:8" x14ac:dyDescent="0.25">
      <c r="A8">
        <v>0.57610509068750004</v>
      </c>
      <c r="B8">
        <v>0.71649607733844889</v>
      </c>
      <c r="C8">
        <f t="shared" si="0"/>
        <v>0.69133309731435233</v>
      </c>
      <c r="D8">
        <f t="shared" si="1"/>
        <v>2.516298002409656E-2</v>
      </c>
      <c r="E8">
        <f t="shared" si="2"/>
        <v>6.3317556369308248E-4</v>
      </c>
    </row>
    <row r="9" spans="1:8" x14ac:dyDescent="0.25">
      <c r="A9">
        <v>0.63232172731250003</v>
      </c>
      <c r="B9">
        <v>0.76456055678548984</v>
      </c>
      <c r="C9">
        <f t="shared" si="0"/>
        <v>0.73533071411420903</v>
      </c>
      <c r="D9">
        <f t="shared" si="1"/>
        <v>2.9229842671280815E-2</v>
      </c>
      <c r="E9">
        <f t="shared" si="2"/>
        <v>8.5438370258782874E-4</v>
      </c>
    </row>
    <row r="10" spans="1:8" x14ac:dyDescent="0.25">
      <c r="A10">
        <v>0.68853836393750001</v>
      </c>
      <c r="B10">
        <v>0.82156726496686416</v>
      </c>
      <c r="C10">
        <f t="shared" si="0"/>
        <v>0.7700603095343167</v>
      </c>
      <c r="D10">
        <f t="shared" si="1"/>
        <v>5.1506955432547463E-2</v>
      </c>
      <c r="E10">
        <f t="shared" si="2"/>
        <v>2.6529664579304306E-3</v>
      </c>
    </row>
    <row r="11" spans="1:8" x14ac:dyDescent="0.25">
      <c r="A11">
        <v>0.7447550005625001</v>
      </c>
      <c r="B11">
        <v>0.9501118030229041</v>
      </c>
      <c r="C11">
        <f t="shared" si="0"/>
        <v>0.79510531055760469</v>
      </c>
      <c r="D11">
        <f t="shared" si="1"/>
        <v>0.15500649246529941</v>
      </c>
      <c r="E11">
        <f t="shared" si="2"/>
        <v>2.4027012706394922E-2</v>
      </c>
    </row>
    <row r="12" spans="1:8" x14ac:dyDescent="0.25">
      <c r="A12">
        <v>0.80097163718749997</v>
      </c>
      <c r="B12">
        <v>1.0551829906513195</v>
      </c>
      <c r="C12">
        <f t="shared" si="0"/>
        <v>0.81031251582549091</v>
      </c>
      <c r="D12">
        <f t="shared" si="1"/>
        <v>0.24487047482582858</v>
      </c>
      <c r="E12">
        <f t="shared" si="2"/>
        <v>5.9961549441426745E-2</v>
      </c>
    </row>
    <row r="13" spans="1:8" x14ac:dyDescent="0.25">
      <c r="A13">
        <v>0.85718827381250007</v>
      </c>
      <c r="B13">
        <v>1.1501941709536099</v>
      </c>
      <c r="C13">
        <f t="shared" si="0"/>
        <v>0.81578587355667198</v>
      </c>
      <c r="D13">
        <f t="shared" si="1"/>
        <v>0.33440829739693789</v>
      </c>
      <c r="E13">
        <f t="shared" si="2"/>
        <v>0.11182890936791885</v>
      </c>
    </row>
    <row r="14" spans="1:8" x14ac:dyDescent="0.25">
      <c r="A14">
        <v>0.91340491043750005</v>
      </c>
      <c r="B14">
        <v>0.95905403175723736</v>
      </c>
      <c r="C14">
        <f t="shared" si="0"/>
        <v>0.81187163514734684</v>
      </c>
      <c r="D14">
        <f t="shared" si="1"/>
        <v>0.14718239660989052</v>
      </c>
      <c r="E14">
        <f t="shared" si="2"/>
        <v>2.1662657871831113E-2</v>
      </c>
    </row>
    <row r="15" spans="1:8" x14ac:dyDescent="0.25">
      <c r="A15">
        <v>0.96962154706250003</v>
      </c>
      <c r="B15">
        <v>0.90092954498407141</v>
      </c>
      <c r="C15">
        <f t="shared" si="0"/>
        <v>0.79913550551579504</v>
      </c>
      <c r="D15">
        <f t="shared" si="1"/>
        <v>0.10179403946827636</v>
      </c>
      <c r="E15">
        <f t="shared" si="2"/>
        <v>1.0362026471269006E-2</v>
      </c>
    </row>
    <row r="16" spans="1:8" x14ac:dyDescent="0.25">
      <c r="A16">
        <v>1.0258381836875001</v>
      </c>
      <c r="B16">
        <v>0.7556183280511567</v>
      </c>
      <c r="C16">
        <f t="shared" si="0"/>
        <v>0.77833290295712421</v>
      </c>
      <c r="D16">
        <f t="shared" si="1"/>
        <v>-2.2714574905967511E-2</v>
      </c>
      <c r="E16">
        <f t="shared" si="2"/>
        <v>5.1595191315880894E-4</v>
      </c>
    </row>
    <row r="17" spans="1:5" x14ac:dyDescent="0.25">
      <c r="A17">
        <v>1.0820548203125</v>
      </c>
      <c r="B17">
        <v>0.67625604803394934</v>
      </c>
      <c r="C17">
        <f t="shared" si="0"/>
        <v>0.750373817882941</v>
      </c>
      <c r="D17">
        <f t="shared" si="1"/>
        <v>-7.4117769848991655E-2</v>
      </c>
      <c r="E17">
        <f t="shared" si="2"/>
        <v>5.4934438073880962E-3</v>
      </c>
    </row>
    <row r="18" spans="1:5" x14ac:dyDescent="0.25">
      <c r="A18">
        <v>1.1382714569374999</v>
      </c>
      <c r="B18">
        <v>0.55330040293686766</v>
      </c>
      <c r="C18">
        <f t="shared" si="0"/>
        <v>0.71628401474592007</v>
      </c>
      <c r="D18">
        <f t="shared" si="1"/>
        <v>-0.16298361180905241</v>
      </c>
      <c r="E18">
        <f t="shared" si="2"/>
        <v>2.6563657718323887E-2</v>
      </c>
    </row>
    <row r="19" spans="1:5" x14ac:dyDescent="0.25">
      <c r="A19">
        <v>1.1944880935625</v>
      </c>
      <c r="B19">
        <v>0.52535593814207637</v>
      </c>
      <c r="C19">
        <f t="shared" si="0"/>
        <v>0.67716445058888808</v>
      </c>
      <c r="D19">
        <f t="shared" si="1"/>
        <v>-0.15180851244681171</v>
      </c>
      <c r="E19">
        <f t="shared" si="2"/>
        <v>2.3045824451313784E-2</v>
      </c>
    </row>
    <row r="20" spans="1:5" x14ac:dyDescent="0.25">
      <c r="A20">
        <v>1.2507047301875001</v>
      </c>
      <c r="B20">
        <v>0.50747148067340997</v>
      </c>
      <c r="C20">
        <f t="shared" si="0"/>
        <v>0.63415078869803188</v>
      </c>
      <c r="D20">
        <f t="shared" si="1"/>
        <v>-0.12667930802462191</v>
      </c>
      <c r="E20">
        <f t="shared" si="2"/>
        <v>1.6047647081597036E-2</v>
      </c>
    </row>
    <row r="21" spans="1:5" x14ac:dyDescent="0.25">
      <c r="A21">
        <v>1.3069213668124999</v>
      </c>
      <c r="B21">
        <v>0.46946700855249379</v>
      </c>
      <c r="C21">
        <f t="shared" si="0"/>
        <v>0.58837477546393635</v>
      </c>
      <c r="D21">
        <f t="shared" si="1"/>
        <v>-0.11890776691144256</v>
      </c>
      <c r="E21">
        <f t="shared" si="2"/>
        <v>1.4139057031865954E-2</v>
      </c>
    </row>
    <row r="22" spans="1:5" x14ac:dyDescent="0.25">
      <c r="A22">
        <v>1.3631380034375</v>
      </c>
      <c r="B22">
        <v>0.43705142939053587</v>
      </c>
      <c r="C22">
        <f t="shared" si="0"/>
        <v>0.54092903827467509</v>
      </c>
      <c r="D22">
        <f t="shared" si="1"/>
        <v>-0.10387760888413922</v>
      </c>
      <c r="E22">
        <f t="shared" si="2"/>
        <v>1.0790557627486199E-2</v>
      </c>
    </row>
    <row r="23" spans="1:5" x14ac:dyDescent="0.25">
      <c r="A23">
        <v>1.4193546400625001</v>
      </c>
      <c r="B23">
        <v>0.36998471388303678</v>
      </c>
      <c r="C23">
        <f t="shared" si="0"/>
        <v>0.49283657329781128</v>
      </c>
      <c r="D23">
        <f t="shared" si="1"/>
        <v>-0.1228518594147745</v>
      </c>
      <c r="E23">
        <f t="shared" si="2"/>
        <v>1.5092579361667517E-2</v>
      </c>
    </row>
    <row r="24" spans="1:5" x14ac:dyDescent="0.25">
      <c r="A24">
        <v>1.4755712766875</v>
      </c>
      <c r="B24">
        <v>0.3409224704964538</v>
      </c>
      <c r="C24">
        <f t="shared" si="0"/>
        <v>0.44502584951376734</v>
      </c>
      <c r="D24">
        <f t="shared" si="1"/>
        <v>-0.10410337901731354</v>
      </c>
      <c r="E24">
        <f t="shared" si="2"/>
        <v>1.0837513522822436E-2</v>
      </c>
    </row>
    <row r="25" spans="1:5" x14ac:dyDescent="0.25">
      <c r="A25">
        <v>1.5317879133125001</v>
      </c>
      <c r="B25">
        <v>0.33868691331287054</v>
      </c>
      <c r="C25">
        <f t="shared" si="0"/>
        <v>0.39831208634282517</v>
      </c>
      <c r="D25">
        <f t="shared" si="1"/>
        <v>-5.9625173029954626E-2</v>
      </c>
      <c r="E25">
        <f t="shared" si="2"/>
        <v>3.5551612588520286E-3</v>
      </c>
    </row>
    <row r="26" spans="1:5" x14ac:dyDescent="0.25">
      <c r="A26">
        <v>1.5880045499375002</v>
      </c>
      <c r="B26">
        <v>0.29621132682478774</v>
      </c>
      <c r="C26">
        <f t="shared" si="0"/>
        <v>0.35338489331698025</v>
      </c>
      <c r="D26">
        <f t="shared" si="1"/>
        <v>-5.7173566492192518E-2</v>
      </c>
      <c r="E26">
        <f t="shared" si="2"/>
        <v>3.2688167054371591E-3</v>
      </c>
    </row>
    <row r="27" spans="1:5" x14ac:dyDescent="0.25">
      <c r="A27">
        <v>1.6442211865625</v>
      </c>
      <c r="B27">
        <v>0.29174021245762116</v>
      </c>
      <c r="C27">
        <f t="shared" si="0"/>
        <v>0.31080211576202349</v>
      </c>
      <c r="D27">
        <f t="shared" si="1"/>
        <v>-1.9061903304402328E-2</v>
      </c>
      <c r="E27">
        <f t="shared" si="2"/>
        <v>3.6335615758638438E-4</v>
      </c>
    </row>
    <row r="28" spans="1:5" x14ac:dyDescent="0.25">
      <c r="A28">
        <v>1.7004378231875001</v>
      </c>
      <c r="B28">
        <v>0.26267796907103819</v>
      </c>
      <c r="C28">
        <f t="shared" si="0"/>
        <v>0.27098943058605957</v>
      </c>
      <c r="D28">
        <f t="shared" si="1"/>
        <v>-8.3114615150213789E-3</v>
      </c>
      <c r="E28">
        <f t="shared" si="2"/>
        <v>6.908039251568148E-5</v>
      </c>
    </row>
    <row r="29" spans="1:5" x14ac:dyDescent="0.25">
      <c r="A29">
        <v>1.7566544598125</v>
      </c>
      <c r="B29">
        <v>0.23249794709266358</v>
      </c>
      <c r="C29">
        <f t="shared" si="0"/>
        <v>0.2342449959642785</v>
      </c>
      <c r="D29">
        <f t="shared" si="1"/>
        <v>-1.7470488716149202E-3</v>
      </c>
      <c r="E29">
        <f t="shared" si="2"/>
        <v>3.052179759810966E-6</v>
      </c>
    </row>
    <row r="30" spans="1:5" x14ac:dyDescent="0.25">
      <c r="A30">
        <v>1.8128710964375001</v>
      </c>
      <c r="B30">
        <v>0.19896458933891403</v>
      </c>
      <c r="C30">
        <f t="shared" si="0"/>
        <v>0.20074828700516936</v>
      </c>
      <c r="D30">
        <f t="shared" si="1"/>
        <v>-1.7836976662553294E-3</v>
      </c>
      <c r="E30">
        <f t="shared" si="2"/>
        <v>3.1815773646047085E-6</v>
      </c>
    </row>
    <row r="31" spans="1:5" x14ac:dyDescent="0.25">
      <c r="A31">
        <v>1.8690877330625</v>
      </c>
      <c r="B31">
        <v>0.22132016117474707</v>
      </c>
      <c r="C31">
        <f t="shared" si="0"/>
        <v>0.17057214943939922</v>
      </c>
      <c r="D31">
        <f t="shared" si="1"/>
        <v>5.0748011735347848E-2</v>
      </c>
      <c r="E31">
        <f t="shared" si="2"/>
        <v>2.575360695091003E-3</v>
      </c>
    </row>
    <row r="32" spans="1:5" x14ac:dyDescent="0.25">
      <c r="A32">
        <v>1.9253043696875001</v>
      </c>
      <c r="B32">
        <v>0.18666902482920586</v>
      </c>
      <c r="C32">
        <f t="shared" si="0"/>
        <v>0.14369707251411051</v>
      </c>
      <c r="D32">
        <f t="shared" si="1"/>
        <v>4.2971952315095346E-2</v>
      </c>
      <c r="E32">
        <f t="shared" si="2"/>
        <v>1.8465886857708283E-3</v>
      </c>
    </row>
    <row r="33" spans="1:5" x14ac:dyDescent="0.25">
      <c r="A33">
        <v>1.9815210063125002</v>
      </c>
      <c r="B33">
        <v>0.16319567440158117</v>
      </c>
      <c r="C33">
        <f t="shared" si="0"/>
        <v>0.12002671346161926</v>
      </c>
      <c r="D33">
        <f t="shared" si="1"/>
        <v>4.3168960939961906E-2</v>
      </c>
      <c r="E33">
        <f t="shared" si="2"/>
        <v>1.8635591886359568E-3</v>
      </c>
    </row>
    <row r="34" spans="1:5" x14ac:dyDescent="0.25">
      <c r="A34">
        <v>2.0377376429375</v>
      </c>
      <c r="B34">
        <v>0.12183786650529005</v>
      </c>
      <c r="C34">
        <f t="shared" si="0"/>
        <v>9.9403788497133119E-2</v>
      </c>
      <c r="D34">
        <f t="shared" si="1"/>
        <v>2.243407800815693E-2</v>
      </c>
      <c r="E34">
        <f t="shared" si="2"/>
        <v>5.0328785607607043E-4</v>
      </c>
    </row>
    <row r="35" spans="1:5" x14ac:dyDescent="0.25">
      <c r="A35">
        <v>2.0939542795625004</v>
      </c>
      <c r="B35">
        <v>0.13860454538216482</v>
      </c>
      <c r="C35">
        <f t="shared" si="0"/>
        <v>8.1625566446573525E-2</v>
      </c>
      <c r="D35">
        <f t="shared" si="1"/>
        <v>5.6978978935591298E-2</v>
      </c>
      <c r="E35">
        <f t="shared" si="2"/>
        <v>3.2466040405425569E-3</v>
      </c>
    </row>
    <row r="36" spans="1:5" x14ac:dyDescent="0.25">
      <c r="A36">
        <v>2.1501709161875002</v>
      </c>
      <c r="B36">
        <v>0.13413343101499822</v>
      </c>
      <c r="C36">
        <f t="shared" si="0"/>
        <v>6.6458347100935816E-2</v>
      </c>
      <c r="D36">
        <f t="shared" si="1"/>
        <v>6.7675083914062406E-2</v>
      </c>
      <c r="E36">
        <f t="shared" si="2"/>
        <v>4.5799169827753878E-3</v>
      </c>
    </row>
    <row r="37" spans="1:5" x14ac:dyDescent="0.25">
      <c r="A37">
        <v>2.2063875528125001</v>
      </c>
      <c r="B37">
        <v>8.83045087515405E-2</v>
      </c>
      <c r="C37">
        <f t="shared" si="0"/>
        <v>5.36504638585618E-2</v>
      </c>
      <c r="D37">
        <f t="shared" si="1"/>
        <v>3.46540448929787E-2</v>
      </c>
      <c r="E37">
        <f t="shared" si="2"/>
        <v>1.2009028274445831E-3</v>
      </c>
    </row>
    <row r="38" spans="1:5" x14ac:dyDescent="0.25">
      <c r="A38">
        <v>2.2626041894375</v>
      </c>
      <c r="B38">
        <v>7.6008944241832327E-2</v>
      </c>
      <c r="C38">
        <f t="shared" si="0"/>
        <v>4.294350710153693E-2</v>
      </c>
      <c r="D38">
        <f t="shared" si="1"/>
        <v>3.3065437140295396E-2</v>
      </c>
      <c r="E38">
        <f t="shared" si="2"/>
        <v>1.0933231332788261E-3</v>
      </c>
    </row>
    <row r="39" spans="1:5" x14ac:dyDescent="0.25">
      <c r="A39">
        <v>2.3188208260624998</v>
      </c>
      <c r="B39">
        <v>7.0420051282874069E-2</v>
      </c>
      <c r="C39">
        <f t="shared" si="0"/>
        <v>3.4081611064616338E-2</v>
      </c>
      <c r="D39">
        <f t="shared" si="1"/>
        <v>3.6338440218257731E-2</v>
      </c>
      <c r="E39">
        <f t="shared" si="2"/>
        <v>1.320482237495891E-3</v>
      </c>
    </row>
    <row r="40" spans="1:5" x14ac:dyDescent="0.25">
      <c r="A40">
        <v>2.3750374626875002</v>
      </c>
      <c r="B40">
        <v>1.5648900285083128E-2</v>
      </c>
      <c r="C40">
        <f t="shared" si="0"/>
        <v>2.6818775193177595E-2</v>
      </c>
      <c r="D40">
        <f t="shared" si="1"/>
        <v>-1.1169874908094467E-2</v>
      </c>
      <c r="E40">
        <f t="shared" si="2"/>
        <v>1.2476610546247838E-4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5189-FE77-41AA-ABEF-F2297871C99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0.21109314607499999</v>
      </c>
      <c r="B1">
        <v>9.0892987733148634E-2</v>
      </c>
      <c r="C1">
        <f>$H$3*(1+$H$1)*(A1^($H$1))*EXP(-$H$3*(A1^(1+$H$1)))</f>
        <v>0.21133818745538765</v>
      </c>
      <c r="D1">
        <f>B1-C1</f>
        <v>-0.12044519972223902</v>
      </c>
      <c r="E1">
        <f>D1^2</f>
        <v>1.4507046136130047E-2</v>
      </c>
      <c r="G1" t="s">
        <v>0</v>
      </c>
      <c r="H1">
        <v>1.3544776796339488</v>
      </c>
    </row>
    <row r="2" spans="1:8" x14ac:dyDescent="0.25">
      <c r="A2">
        <v>0.264326152225</v>
      </c>
      <c r="B2">
        <v>0.16644040610875269</v>
      </c>
      <c r="C2">
        <f t="shared" ref="C2:C40" si="0">$H$3*(1+$H$1)*(A2^($H$1))*EXP(-$H$3*(A2^(1+$H$1)))</f>
        <v>0.282753577310142</v>
      </c>
      <c r="D2">
        <f t="shared" ref="D2:D40" si="1">B2-C2</f>
        <v>-0.11631317120138931</v>
      </c>
      <c r="E2">
        <f t="shared" ref="E2:E40" si="2">D2^2</f>
        <v>1.3528753794923701E-2</v>
      </c>
    </row>
    <row r="3" spans="1:8" x14ac:dyDescent="0.25">
      <c r="A3">
        <v>0.31755915837499998</v>
      </c>
      <c r="B3">
        <v>0.26087467907825779</v>
      </c>
      <c r="C3">
        <f t="shared" si="0"/>
        <v>0.35615704318485053</v>
      </c>
      <c r="D3">
        <f t="shared" si="1"/>
        <v>-9.5282364106592743E-2</v>
      </c>
      <c r="E3">
        <f t="shared" si="2"/>
        <v>9.078728909741313E-3</v>
      </c>
      <c r="G3" t="s">
        <v>1</v>
      </c>
      <c r="H3">
        <f>(_xlfn.GAMMA((2+$H$1)/(1+$H$1)))^(1+$H$1)</f>
        <v>0.75241512460869919</v>
      </c>
    </row>
    <row r="4" spans="1:8" x14ac:dyDescent="0.25">
      <c r="A4">
        <v>0.37079216452499997</v>
      </c>
      <c r="B4">
        <v>0.43203679883548574</v>
      </c>
      <c r="C4">
        <f t="shared" si="0"/>
        <v>0.42967793768825552</v>
      </c>
      <c r="D4">
        <f t="shared" si="1"/>
        <v>2.3588611472302179E-3</v>
      </c>
      <c r="E4">
        <f t="shared" si="2"/>
        <v>5.5642259119122601E-6</v>
      </c>
    </row>
    <row r="5" spans="1:8" x14ac:dyDescent="0.25">
      <c r="A5">
        <v>0.42402517067500001</v>
      </c>
      <c r="B5">
        <v>0.64097262778051567</v>
      </c>
      <c r="C5">
        <f t="shared" si="0"/>
        <v>0.50155309025197381</v>
      </c>
      <c r="D5">
        <f t="shared" si="1"/>
        <v>0.13941953752854186</v>
      </c>
      <c r="E5">
        <f t="shared" si="2"/>
        <v>1.9437807444672491E-2</v>
      </c>
      <c r="G5" t="s">
        <v>2</v>
      </c>
      <c r="H5">
        <f>SUM(E1:E40)</f>
        <v>0.4959379009990631</v>
      </c>
    </row>
    <row r="6" spans="1:8" x14ac:dyDescent="0.25">
      <c r="A6">
        <v>0.47725817682499999</v>
      </c>
      <c r="B6">
        <v>0.65867905396229787</v>
      </c>
      <c r="C6">
        <f t="shared" si="0"/>
        <v>0.57012193554088142</v>
      </c>
      <c r="D6">
        <f t="shared" si="1"/>
        <v>8.8557118421416448E-2</v>
      </c>
      <c r="E6">
        <f t="shared" si="2"/>
        <v>7.8423632231047757E-3</v>
      </c>
    </row>
    <row r="7" spans="1:8" x14ac:dyDescent="0.25">
      <c r="A7">
        <v>0.53049118297499998</v>
      </c>
      <c r="B7">
        <v>0.74366989963485242</v>
      </c>
      <c r="C7">
        <f t="shared" si="0"/>
        <v>0.63384486105877247</v>
      </c>
      <c r="D7">
        <f t="shared" si="1"/>
        <v>0.10982503857607995</v>
      </c>
      <c r="E7">
        <f t="shared" si="2"/>
        <v>1.2061539098237449E-2</v>
      </c>
    </row>
    <row r="8" spans="1:8" x14ac:dyDescent="0.25">
      <c r="A8">
        <v>0.58372418912500001</v>
      </c>
      <c r="B8">
        <v>0.7354069007500208</v>
      </c>
      <c r="C8">
        <f t="shared" si="0"/>
        <v>0.69133197011552827</v>
      </c>
      <c r="D8">
        <f t="shared" si="1"/>
        <v>4.4074930634492526E-2</v>
      </c>
      <c r="E8">
        <f t="shared" si="2"/>
        <v>1.9425995104353278E-3</v>
      </c>
    </row>
    <row r="9" spans="1:8" x14ac:dyDescent="0.25">
      <c r="A9">
        <v>0.63695719527499994</v>
      </c>
      <c r="B9">
        <v>0.7660980394651099</v>
      </c>
      <c r="C9">
        <f t="shared" si="0"/>
        <v>0.74137514167837959</v>
      </c>
      <c r="D9">
        <f t="shared" si="1"/>
        <v>2.4722897786730313E-2</v>
      </c>
      <c r="E9">
        <f t="shared" si="2"/>
        <v>6.1122167497311463E-4</v>
      </c>
    </row>
    <row r="10" spans="1:8" x14ac:dyDescent="0.25">
      <c r="A10">
        <v>0.69019020142499998</v>
      </c>
      <c r="B10">
        <v>0.88532130908911011</v>
      </c>
      <c r="C10">
        <f t="shared" si="0"/>
        <v>0.78297876099011954</v>
      </c>
      <c r="D10">
        <f t="shared" si="1"/>
        <v>0.10234254809899057</v>
      </c>
      <c r="E10">
        <f t="shared" si="2"/>
        <v>1.0473997151394198E-2</v>
      </c>
    </row>
    <row r="11" spans="1:8" x14ac:dyDescent="0.25">
      <c r="A11">
        <v>0.74342320757500002</v>
      </c>
      <c r="B11">
        <v>0.85463017037402089</v>
      </c>
      <c r="C11">
        <f t="shared" si="0"/>
        <v>0.81538582488322275</v>
      </c>
      <c r="D11">
        <f t="shared" si="1"/>
        <v>3.9244345490798138E-2</v>
      </c>
      <c r="E11">
        <f t="shared" si="2"/>
        <v>1.5401186530011283E-3</v>
      </c>
    </row>
    <row r="12" spans="1:8" x14ac:dyDescent="0.25">
      <c r="A12">
        <v>0.79665621372499995</v>
      </c>
      <c r="B12">
        <v>1.0458595731372686</v>
      </c>
      <c r="C12">
        <f t="shared" si="0"/>
        <v>0.83809701939895986</v>
      </c>
      <c r="D12">
        <f t="shared" si="1"/>
        <v>0.20776255373830876</v>
      </c>
      <c r="E12">
        <f t="shared" si="2"/>
        <v>4.3165278735863635E-2</v>
      </c>
    </row>
    <row r="13" spans="1:8" x14ac:dyDescent="0.25">
      <c r="A13">
        <v>0.84988921987499988</v>
      </c>
      <c r="B13">
        <v>1.0765507118523578</v>
      </c>
      <c r="C13">
        <f t="shared" si="0"/>
        <v>0.85088110511977244</v>
      </c>
      <c r="D13">
        <f t="shared" si="1"/>
        <v>0.2256696067325854</v>
      </c>
      <c r="E13">
        <f t="shared" si="2"/>
        <v>5.0926771402839757E-2</v>
      </c>
    </row>
    <row r="14" spans="1:8" x14ac:dyDescent="0.25">
      <c r="A14">
        <v>0.90312222602499992</v>
      </c>
      <c r="B14">
        <v>1.2146608360702591</v>
      </c>
      <c r="C14">
        <f t="shared" si="0"/>
        <v>0.85377563342989349</v>
      </c>
      <c r="D14">
        <f t="shared" si="1"/>
        <v>0.36088520264036561</v>
      </c>
      <c r="E14">
        <f t="shared" si="2"/>
        <v>0.13023812948477775</v>
      </c>
    </row>
    <row r="15" spans="1:8" x14ac:dyDescent="0.25">
      <c r="A15">
        <v>0.95635523217499996</v>
      </c>
      <c r="B15">
        <v>0.92899716033750612</v>
      </c>
      <c r="C15">
        <f t="shared" si="0"/>
        <v>0.84707768404658768</v>
      </c>
      <c r="D15">
        <f t="shared" si="1"/>
        <v>8.1919476290918447E-2</v>
      </c>
      <c r="E15">
        <f t="shared" si="2"/>
        <v>6.7108005957783497E-3</v>
      </c>
    </row>
    <row r="16" spans="1:8" x14ac:dyDescent="0.25">
      <c r="A16">
        <v>1.0095882383249999</v>
      </c>
      <c r="B16">
        <v>0.86879531131944665</v>
      </c>
      <c r="C16">
        <f t="shared" si="0"/>
        <v>0.8313249538163846</v>
      </c>
      <c r="D16">
        <f t="shared" si="1"/>
        <v>3.7470357503062046E-2</v>
      </c>
      <c r="E16">
        <f t="shared" si="2"/>
        <v>1.4040276914072782E-3</v>
      </c>
    </row>
    <row r="17" spans="1:5" x14ac:dyDescent="0.25">
      <c r="A17">
        <v>1.0628212444749998</v>
      </c>
      <c r="B17">
        <v>0.77081975311358519</v>
      </c>
      <c r="C17">
        <f t="shared" si="0"/>
        <v>0.80726811537628118</v>
      </c>
      <c r="D17">
        <f t="shared" si="1"/>
        <v>-3.6448362262695988E-2</v>
      </c>
      <c r="E17">
        <f t="shared" si="2"/>
        <v>1.328483111632721E-3</v>
      </c>
    </row>
    <row r="18" spans="1:5" x14ac:dyDescent="0.25">
      <c r="A18">
        <v>1.116054250625</v>
      </c>
      <c r="B18">
        <v>0.69409190632586226</v>
      </c>
      <c r="C18">
        <f t="shared" si="0"/>
        <v>0.77583587232603179</v>
      </c>
      <c r="D18">
        <f t="shared" si="1"/>
        <v>-8.1743966000169532E-2</v>
      </c>
      <c r="E18">
        <f t="shared" si="2"/>
        <v>6.6820759774368728E-3</v>
      </c>
    </row>
    <row r="19" spans="1:5" x14ac:dyDescent="0.25">
      <c r="A19">
        <v>1.1692872567749999</v>
      </c>
      <c r="B19">
        <v>0.55952306734431756</v>
      </c>
      <c r="C19">
        <f t="shared" si="0"/>
        <v>0.73809453654676016</v>
      </c>
      <c r="D19">
        <f t="shared" si="1"/>
        <v>-0.1785714692024426</v>
      </c>
      <c r="E19">
        <f t="shared" si="2"/>
        <v>3.1887769613118906E-2</v>
      </c>
    </row>
    <row r="20" spans="1:5" x14ac:dyDescent="0.25">
      <c r="A20">
        <v>1.2225202629249998</v>
      </c>
      <c r="B20">
        <v>0.54299706957465421</v>
      </c>
      <c r="C20">
        <f t="shared" si="0"/>
        <v>0.69520422053481323</v>
      </c>
      <c r="D20">
        <f t="shared" si="1"/>
        <v>-0.15220715096015902</v>
      </c>
      <c r="E20">
        <f t="shared" si="2"/>
        <v>2.3167016803408637E-2</v>
      </c>
    </row>
    <row r="21" spans="1:5" x14ac:dyDescent="0.25">
      <c r="A21">
        <v>1.275753269075</v>
      </c>
      <c r="B21">
        <v>0.48987779102930756</v>
      </c>
      <c r="C21">
        <f t="shared" si="0"/>
        <v>0.6483738593953069</v>
      </c>
      <c r="D21">
        <f t="shared" si="1"/>
        <v>-0.15849606836599933</v>
      </c>
      <c r="E21">
        <f t="shared" si="2"/>
        <v>2.5121003687479534E-2</v>
      </c>
    </row>
    <row r="22" spans="1:5" x14ac:dyDescent="0.25">
      <c r="A22">
        <v>1.3289862752250001</v>
      </c>
      <c r="B22">
        <v>0.50994507403532741</v>
      </c>
      <c r="C22">
        <f t="shared" si="0"/>
        <v>0.59881725053773993</v>
      </c>
      <c r="D22">
        <f t="shared" si="1"/>
        <v>-8.8872176502412525E-2</v>
      </c>
      <c r="E22">
        <f t="shared" si="2"/>
        <v>7.8982637562759646E-3</v>
      </c>
    </row>
    <row r="23" spans="1:5" x14ac:dyDescent="0.25">
      <c r="A23">
        <v>1.3822192813749998</v>
      </c>
      <c r="B23">
        <v>0.42023251471429757</v>
      </c>
      <c r="C23">
        <f t="shared" si="0"/>
        <v>0.54771213245065609</v>
      </c>
      <c r="D23">
        <f t="shared" si="1"/>
        <v>-0.12747961773635852</v>
      </c>
      <c r="E23">
        <f t="shared" si="2"/>
        <v>1.6251052938208093E-2</v>
      </c>
    </row>
    <row r="24" spans="1:5" x14ac:dyDescent="0.25">
      <c r="A24">
        <v>1.4354522875249998</v>
      </c>
      <c r="B24">
        <v>0.36003066569623809</v>
      </c>
      <c r="C24">
        <f t="shared" si="0"/>
        <v>0.49616403595973824</v>
      </c>
      <c r="D24">
        <f t="shared" si="1"/>
        <v>-0.13613337026350014</v>
      </c>
      <c r="E24">
        <f t="shared" si="2"/>
        <v>1.8532294499299225E-2</v>
      </c>
    </row>
    <row r="25" spans="1:5" x14ac:dyDescent="0.25">
      <c r="A25">
        <v>1.4886852936749997</v>
      </c>
      <c r="B25">
        <v>0.34822638157504998</v>
      </c>
      <c r="C25">
        <f t="shared" si="0"/>
        <v>0.44517625943101202</v>
      </c>
      <c r="D25">
        <f t="shared" si="1"/>
        <v>-9.6949877855962041E-2</v>
      </c>
      <c r="E25">
        <f t="shared" si="2"/>
        <v>9.3992788162859595E-3</v>
      </c>
    </row>
    <row r="26" spans="1:5" x14ac:dyDescent="0.25">
      <c r="A26">
        <v>1.5419182998249998</v>
      </c>
      <c r="B26">
        <v>0.31635481444784197</v>
      </c>
      <c r="C26">
        <f t="shared" si="0"/>
        <v>0.39562687671390789</v>
      </c>
      <c r="D26">
        <f t="shared" si="1"/>
        <v>-7.9272062266065924E-2</v>
      </c>
      <c r="E26">
        <f t="shared" si="2"/>
        <v>6.2840598559150331E-3</v>
      </c>
    </row>
    <row r="27" spans="1:5" x14ac:dyDescent="0.25">
      <c r="A27">
        <v>1.595151305975</v>
      </c>
      <c r="B27">
        <v>0.35176766681140642</v>
      </c>
      <c r="C27">
        <f t="shared" si="0"/>
        <v>0.34825321922619618</v>
      </c>
      <c r="D27">
        <f t="shared" si="1"/>
        <v>3.5144475852102453E-3</v>
      </c>
      <c r="E27">
        <f t="shared" si="2"/>
        <v>1.2351341829190124E-5</v>
      </c>
    </row>
    <row r="28" spans="1:5" x14ac:dyDescent="0.25">
      <c r="A28">
        <v>1.6483843121249999</v>
      </c>
      <c r="B28">
        <v>0.27503982002368355</v>
      </c>
      <c r="C28">
        <f t="shared" si="0"/>
        <v>0.30364381693501907</v>
      </c>
      <c r="D28">
        <f t="shared" si="1"/>
        <v>-2.8603996911335527E-2</v>
      </c>
      <c r="E28">
        <f t="shared" si="2"/>
        <v>8.1818863930369242E-4</v>
      </c>
    </row>
    <row r="29" spans="1:5" x14ac:dyDescent="0.25">
      <c r="A29">
        <v>1.7016173182749998</v>
      </c>
      <c r="B29">
        <v>0.23372482559952507</v>
      </c>
      <c r="C29">
        <f t="shared" si="0"/>
        <v>0.2622373689796707</v>
      </c>
      <c r="D29">
        <f t="shared" si="1"/>
        <v>-2.8512543380145638E-2</v>
      </c>
      <c r="E29">
        <f t="shared" si="2"/>
        <v>8.1296513000468683E-4</v>
      </c>
    </row>
    <row r="30" spans="1:5" x14ac:dyDescent="0.25">
      <c r="A30">
        <v>1.7548503244249998</v>
      </c>
      <c r="B30">
        <v>0.22664225512681219</v>
      </c>
      <c r="C30">
        <f t="shared" si="0"/>
        <v>0.2243279691202249</v>
      </c>
      <c r="D30">
        <f t="shared" si="1"/>
        <v>2.314286006587285E-3</v>
      </c>
      <c r="E30">
        <f t="shared" si="2"/>
        <v>5.3559197202857231E-6</v>
      </c>
    </row>
    <row r="31" spans="1:5" x14ac:dyDescent="0.25">
      <c r="A31">
        <v>1.8080833305749999</v>
      </c>
      <c r="B31">
        <v>0.22310096989045575</v>
      </c>
      <c r="C31">
        <f t="shared" si="0"/>
        <v>0.19007555205949386</v>
      </c>
      <c r="D31">
        <f t="shared" si="1"/>
        <v>3.3025417830961884E-2</v>
      </c>
      <c r="E31">
        <f t="shared" si="2"/>
        <v>1.0906782229096151E-3</v>
      </c>
    </row>
    <row r="32" spans="1:5" x14ac:dyDescent="0.25">
      <c r="A32">
        <v>1.8613163367249999</v>
      </c>
      <c r="B32">
        <v>0.24552910972071318</v>
      </c>
      <c r="C32">
        <f t="shared" si="0"/>
        <v>0.15952036327042102</v>
      </c>
      <c r="D32">
        <f t="shared" si="1"/>
        <v>8.6008746450292162E-2</v>
      </c>
      <c r="E32">
        <f t="shared" si="2"/>
        <v>7.3975044659506444E-3</v>
      </c>
    </row>
    <row r="33" spans="1:5" x14ac:dyDescent="0.25">
      <c r="A33">
        <v>1.9145493428749998</v>
      </c>
      <c r="B33">
        <v>0.15345569357544575</v>
      </c>
      <c r="C33">
        <f t="shared" si="0"/>
        <v>0.13260018793680062</v>
      </c>
      <c r="D33">
        <f t="shared" si="1"/>
        <v>2.0855505638645133E-2</v>
      </c>
      <c r="E33">
        <f t="shared" si="2"/>
        <v>4.3495211544355896E-4</v>
      </c>
    </row>
    <row r="34" spans="1:5" x14ac:dyDescent="0.25">
      <c r="A34">
        <v>1.9677823490249997</v>
      </c>
      <c r="B34">
        <v>0.13338841056942591</v>
      </c>
      <c r="C34">
        <f t="shared" si="0"/>
        <v>0.10916909689921091</v>
      </c>
      <c r="D34">
        <f t="shared" si="1"/>
        <v>2.4219313670215001E-2</v>
      </c>
      <c r="E34">
        <f t="shared" si="2"/>
        <v>5.8657515465626326E-4</v>
      </c>
    </row>
    <row r="35" spans="1:5" x14ac:dyDescent="0.25">
      <c r="A35">
        <v>2.0210153551749999</v>
      </c>
      <c r="B35">
        <v>0.14519269469061405</v>
      </c>
      <c r="C35">
        <f t="shared" si="0"/>
        <v>8.9016565774473769E-2</v>
      </c>
      <c r="D35">
        <f t="shared" si="1"/>
        <v>5.617612891614028E-2</v>
      </c>
      <c r="E35">
        <f t="shared" si="2"/>
        <v>3.1557574600028122E-3</v>
      </c>
    </row>
    <row r="36" spans="1:5" x14ac:dyDescent="0.25">
      <c r="A36">
        <v>2.074248361325</v>
      </c>
      <c r="B36">
        <v>0.15935783563603981</v>
      </c>
      <c r="C36">
        <f t="shared" si="0"/>
        <v>7.1885980075993769E-2</v>
      </c>
      <c r="D36">
        <f t="shared" si="1"/>
        <v>8.7471855560046038E-2</v>
      </c>
      <c r="E36">
        <f t="shared" si="2"/>
        <v>7.6513255151175567E-3</v>
      </c>
    </row>
    <row r="37" spans="1:5" x14ac:dyDescent="0.25">
      <c r="A37">
        <v>2.1274813674750002</v>
      </c>
      <c r="B37">
        <v>8.2629988848316932E-2</v>
      </c>
      <c r="C37">
        <f t="shared" si="0"/>
        <v>5.7491734408135056E-2</v>
      </c>
      <c r="D37">
        <f t="shared" si="1"/>
        <v>2.5138254440181876E-2</v>
      </c>
      <c r="E37">
        <f t="shared" si="2"/>
        <v>6.3193183629932381E-4</v>
      </c>
    </row>
    <row r="38" spans="1:5" x14ac:dyDescent="0.25">
      <c r="A38">
        <v>2.1807143736249994</v>
      </c>
      <c r="B38">
        <v>9.0892987733148634E-2</v>
      </c>
      <c r="C38">
        <f t="shared" si="0"/>
        <v>4.5534347696196839E-2</v>
      </c>
      <c r="D38">
        <f t="shared" si="1"/>
        <v>4.5358640036951794E-2</v>
      </c>
      <c r="E38">
        <f t="shared" si="2"/>
        <v>2.0574062260017663E-3</v>
      </c>
    </row>
    <row r="39" spans="1:5" x14ac:dyDescent="0.25">
      <c r="A39">
        <v>2.2339473797749996</v>
      </c>
      <c r="B39">
        <v>6.8464847902891174E-2</v>
      </c>
      <c r="C39">
        <f t="shared" si="0"/>
        <v>3.5713230617646037E-2</v>
      </c>
      <c r="D39">
        <f t="shared" si="1"/>
        <v>3.2751617285245137E-2</v>
      </c>
      <c r="E39">
        <f t="shared" si="2"/>
        <v>1.072668434799168E-3</v>
      </c>
    </row>
    <row r="40" spans="1:5" x14ac:dyDescent="0.25">
      <c r="A40">
        <v>2.2871803859249997</v>
      </c>
      <c r="B40">
        <v>1.4165140945425762E-2</v>
      </c>
      <c r="C40">
        <f t="shared" si="0"/>
        <v>2.7736940559750664E-2</v>
      </c>
      <c r="D40">
        <f t="shared" si="1"/>
        <v>-1.3571799614324902E-2</v>
      </c>
      <c r="E40">
        <f t="shared" si="2"/>
        <v>1.8419374477138958E-4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3B68-3C06-4E4A-92AB-316D5D6F7B5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0.24258057561249999</v>
      </c>
      <c r="B1">
        <v>9.0160852469786334E-2</v>
      </c>
      <c r="C1">
        <f>$H$3*(1+$H$1)*(A1^($H$1))*EXP(-$H$3*(A1^(1+$H$1)))</f>
        <v>0.21412136949353286</v>
      </c>
      <c r="D1">
        <f>B1-C1</f>
        <v>-0.12396051702374652</v>
      </c>
      <c r="E1">
        <f>D1^2</f>
        <v>1.5366209780794553E-2</v>
      </c>
      <c r="G1" t="s">
        <v>0</v>
      </c>
      <c r="H1">
        <v>1.5114342378693837</v>
      </c>
    </row>
    <row r="2" spans="1:8" x14ac:dyDescent="0.25">
      <c r="A2">
        <v>0.29276109283749996</v>
      </c>
      <c r="B2">
        <v>0.17906947087749231</v>
      </c>
      <c r="C2">
        <f t="shared" ref="C2:C40" si="0">$H$3*(1+$H$1)*(A2^($H$1))*EXP(-$H$3*(A2^(1+$H$1)))</f>
        <v>0.28089435171000343</v>
      </c>
      <c r="D2">
        <f t="shared" ref="D2:D40" si="1">B2-C2</f>
        <v>-0.10182488083251112</v>
      </c>
      <c r="E2">
        <f t="shared" ref="E2:E40" si="2">D2^2</f>
        <v>1.0368306356555092E-2</v>
      </c>
    </row>
    <row r="3" spans="1:8" x14ac:dyDescent="0.25">
      <c r="A3">
        <v>0.34294161006250001</v>
      </c>
      <c r="B3">
        <v>0.23667223773318913</v>
      </c>
      <c r="C3">
        <f t="shared" si="0"/>
        <v>0.35092364120910802</v>
      </c>
      <c r="D3">
        <f t="shared" si="1"/>
        <v>-0.11425140347591889</v>
      </c>
      <c r="E3">
        <f t="shared" si="2"/>
        <v>1.3053383196217211E-2</v>
      </c>
      <c r="G3" t="s">
        <v>1</v>
      </c>
      <c r="H3">
        <f>(_xlfn.GAMMA((2+$H$1)/(1+$H$1)))^(1+$H$1)</f>
        <v>0.7407330752209822</v>
      </c>
    </row>
    <row r="4" spans="1:8" x14ac:dyDescent="0.25">
      <c r="A4">
        <v>0.39312212728750001</v>
      </c>
      <c r="B4">
        <v>0.37191351643786863</v>
      </c>
      <c r="C4">
        <f t="shared" si="0"/>
        <v>0.42256887855663522</v>
      </c>
      <c r="D4">
        <f t="shared" si="1"/>
        <v>-5.0655362118766589E-2</v>
      </c>
      <c r="E4">
        <f t="shared" si="2"/>
        <v>2.5659657113833731E-3</v>
      </c>
    </row>
    <row r="5" spans="1:8" x14ac:dyDescent="0.25">
      <c r="A5">
        <v>0.44330264451250001</v>
      </c>
      <c r="B5">
        <v>0.63237820135058465</v>
      </c>
      <c r="C5">
        <f t="shared" si="0"/>
        <v>0.4941881116687773</v>
      </c>
      <c r="D5">
        <f t="shared" si="1"/>
        <v>0.13819008968180735</v>
      </c>
      <c r="E5">
        <f t="shared" si="2"/>
        <v>1.9096500886265959E-2</v>
      </c>
      <c r="G5" t="s">
        <v>2</v>
      </c>
      <c r="H5">
        <f>SUM(E1:E40)</f>
        <v>0.55450872390025263</v>
      </c>
    </row>
    <row r="6" spans="1:8" x14ac:dyDescent="0.25">
      <c r="A6">
        <v>0.49348316173750001</v>
      </c>
      <c r="B6">
        <v>0.73380916037909427</v>
      </c>
      <c r="C6">
        <f t="shared" si="0"/>
        <v>0.56414926749585825</v>
      </c>
      <c r="D6">
        <f t="shared" si="1"/>
        <v>0.16965989288323602</v>
      </c>
      <c r="E6">
        <f t="shared" si="2"/>
        <v>2.878447925315112E-2</v>
      </c>
    </row>
    <row r="7" spans="1:8" x14ac:dyDescent="0.25">
      <c r="A7">
        <v>0.54366367896250001</v>
      </c>
      <c r="B7">
        <v>0.73881809662741582</v>
      </c>
      <c r="C7">
        <f t="shared" si="0"/>
        <v>0.63085693621035965</v>
      </c>
      <c r="D7">
        <f t="shared" si="1"/>
        <v>0.10796116041705617</v>
      </c>
      <c r="E7">
        <f t="shared" si="2"/>
        <v>1.1655612158597336E-2</v>
      </c>
    </row>
    <row r="8" spans="1:8" x14ac:dyDescent="0.25">
      <c r="A8">
        <v>0.59384419618750006</v>
      </c>
      <c r="B8">
        <v>0.78264628880022857</v>
      </c>
      <c r="C8">
        <f t="shared" si="0"/>
        <v>0.6927882320052442</v>
      </c>
      <c r="D8">
        <f t="shared" si="1"/>
        <v>8.9858056794984376E-2</v>
      </c>
      <c r="E8">
        <f t="shared" si="2"/>
        <v>8.0744703709706381E-3</v>
      </c>
    </row>
    <row r="9" spans="1:8" x14ac:dyDescent="0.25">
      <c r="A9">
        <v>0.64402471341250012</v>
      </c>
      <c r="B9">
        <v>0.77888958661398744</v>
      </c>
      <c r="C9">
        <f t="shared" si="0"/>
        <v>0.74853335327275983</v>
      </c>
      <c r="D9">
        <f t="shared" si="1"/>
        <v>3.0356233341227612E-2</v>
      </c>
      <c r="E9">
        <f t="shared" si="2"/>
        <v>9.2150090266705895E-4</v>
      </c>
    </row>
    <row r="10" spans="1:8" x14ac:dyDescent="0.25">
      <c r="A10">
        <v>0.69420523063750006</v>
      </c>
      <c r="B10">
        <v>0.86905043908377377</v>
      </c>
      <c r="C10">
        <f t="shared" si="0"/>
        <v>0.79683727518609504</v>
      </c>
      <c r="D10">
        <f t="shared" si="1"/>
        <v>7.2213163897678734E-2</v>
      </c>
      <c r="E10">
        <f t="shared" si="2"/>
        <v>5.2147410401130112E-3</v>
      </c>
    </row>
    <row r="11" spans="1:8" x14ac:dyDescent="0.25">
      <c r="A11">
        <v>0.74438574786250011</v>
      </c>
      <c r="B11">
        <v>0.91663533344282766</v>
      </c>
      <c r="C11">
        <f t="shared" si="0"/>
        <v>0.83663944096952225</v>
      </c>
      <c r="D11">
        <f t="shared" si="1"/>
        <v>7.9995892473305408E-2</v>
      </c>
      <c r="E11">
        <f t="shared" si="2"/>
        <v>6.399342812600641E-3</v>
      </c>
    </row>
    <row r="12" spans="1:8" x14ac:dyDescent="0.25">
      <c r="A12">
        <v>0.79456626508750006</v>
      </c>
      <c r="B12">
        <v>1.0506243780854267</v>
      </c>
      <c r="C12">
        <f t="shared" si="0"/>
        <v>0.86710865743224963</v>
      </c>
      <c r="D12">
        <f t="shared" si="1"/>
        <v>0.18351572065317712</v>
      </c>
      <c r="E12">
        <f t="shared" si="2"/>
        <v>3.3678019726854941E-2</v>
      </c>
    </row>
    <row r="13" spans="1:8" x14ac:dyDescent="0.25">
      <c r="A13">
        <v>0.84474678231250011</v>
      </c>
      <c r="B13">
        <v>1.0168140584092569</v>
      </c>
      <c r="C13">
        <f t="shared" si="0"/>
        <v>0.88767077269878925</v>
      </c>
      <c r="D13">
        <f t="shared" si="1"/>
        <v>0.12914328571046763</v>
      </c>
      <c r="E13">
        <f t="shared" si="2"/>
        <v>1.6677988244095471E-2</v>
      </c>
    </row>
    <row r="14" spans="1:8" x14ac:dyDescent="0.25">
      <c r="A14">
        <v>0.89492729953750005</v>
      </c>
      <c r="B14">
        <v>1.1758477842934634</v>
      </c>
      <c r="C14">
        <f t="shared" si="0"/>
        <v>0.89802717289264444</v>
      </c>
      <c r="D14">
        <f t="shared" si="1"/>
        <v>0.27782061140081893</v>
      </c>
      <c r="E14">
        <f t="shared" si="2"/>
        <v>7.7184292119124837E-2</v>
      </c>
    </row>
    <row r="15" spans="1:8" x14ac:dyDescent="0.25">
      <c r="A15">
        <v>0.9451078167625</v>
      </c>
      <c r="B15">
        <v>1.2246849127145978</v>
      </c>
      <c r="C15">
        <f t="shared" si="0"/>
        <v>0.89816269212034228</v>
      </c>
      <c r="D15">
        <f t="shared" si="1"/>
        <v>0.32652222059425551</v>
      </c>
      <c r="E15">
        <f t="shared" si="2"/>
        <v>0.10661676054180366</v>
      </c>
    </row>
    <row r="16" spans="1:8" x14ac:dyDescent="0.25">
      <c r="A16">
        <v>0.99528833398750016</v>
      </c>
      <c r="B16">
        <v>0.88282501376665778</v>
      </c>
      <c r="C16">
        <f t="shared" si="0"/>
        <v>0.88834217247184655</v>
      </c>
      <c r="D16">
        <f t="shared" si="1"/>
        <v>-5.5171587051887627E-3</v>
      </c>
      <c r="E16">
        <f t="shared" si="2"/>
        <v>3.0439040178240144E-5</v>
      </c>
    </row>
    <row r="17" spans="1:5" x14ac:dyDescent="0.25">
      <c r="A17">
        <v>1.0454688512125001</v>
      </c>
      <c r="B17">
        <v>0.88532948189081861</v>
      </c>
      <c r="C17">
        <f t="shared" si="0"/>
        <v>0.86909560606514069</v>
      </c>
      <c r="D17">
        <f t="shared" si="1"/>
        <v>1.6233875825677924E-2</v>
      </c>
      <c r="E17">
        <f t="shared" si="2"/>
        <v>2.6353872432353009E-4</v>
      </c>
    </row>
    <row r="18" spans="1:5" x14ac:dyDescent="0.25">
      <c r="A18">
        <v>1.0956493684374999</v>
      </c>
      <c r="B18">
        <v>0.83273565128344318</v>
      </c>
      <c r="C18">
        <f t="shared" si="0"/>
        <v>0.84119249607339963</v>
      </c>
      <c r="D18">
        <f t="shared" si="1"/>
        <v>-8.4568447899564525E-3</v>
      </c>
      <c r="E18">
        <f t="shared" si="2"/>
        <v>7.1518223801413601E-5</v>
      </c>
    </row>
    <row r="19" spans="1:5" x14ac:dyDescent="0.25">
      <c r="A19">
        <v>1.1458298856625002</v>
      </c>
      <c r="B19">
        <v>0.64490054197138835</v>
      </c>
      <c r="C19">
        <f t="shared" si="0"/>
        <v>0.80560673913381087</v>
      </c>
      <c r="D19">
        <f t="shared" si="1"/>
        <v>-0.16070619716242251</v>
      </c>
      <c r="E19">
        <f t="shared" si="2"/>
        <v>2.5826481806407418E-2</v>
      </c>
    </row>
    <row r="20" spans="1:5" x14ac:dyDescent="0.25">
      <c r="A20">
        <v>1.1960104028875</v>
      </c>
      <c r="B20">
        <v>0.5772799026190486</v>
      </c>
      <c r="C20">
        <f t="shared" si="0"/>
        <v>0.76347390845744789</v>
      </c>
      <c r="D20">
        <f t="shared" si="1"/>
        <v>-0.18619400583839929</v>
      </c>
      <c r="E20">
        <f t="shared" si="2"/>
        <v>3.466820781014987E-2</v>
      </c>
    </row>
    <row r="21" spans="1:5" x14ac:dyDescent="0.25">
      <c r="A21">
        <v>1.2461909201124999</v>
      </c>
      <c r="B21">
        <v>0.56475756199824489</v>
      </c>
      <c r="C21">
        <f t="shared" si="0"/>
        <v>0.71604326159628584</v>
      </c>
      <c r="D21">
        <f t="shared" si="1"/>
        <v>-0.15128569959804095</v>
      </c>
      <c r="E21">
        <f t="shared" si="2"/>
        <v>2.2887362902868687E-2</v>
      </c>
    </row>
    <row r="22" spans="1:5" x14ac:dyDescent="0.25">
      <c r="A22">
        <v>1.2963714373375002</v>
      </c>
      <c r="B22">
        <v>0.50465032701838741</v>
      </c>
      <c r="C22">
        <f t="shared" si="0"/>
        <v>0.66462707552010225</v>
      </c>
      <c r="D22">
        <f t="shared" si="1"/>
        <v>-0.15997674850171484</v>
      </c>
      <c r="E22">
        <f t="shared" si="2"/>
        <v>2.5592560061180922E-2</v>
      </c>
    </row>
    <row r="23" spans="1:5" x14ac:dyDescent="0.25">
      <c r="A23">
        <v>1.3465519545625002</v>
      </c>
      <c r="B23">
        <v>0.52468607201167328</v>
      </c>
      <c r="C23">
        <f t="shared" si="0"/>
        <v>0.61055000449697261</v>
      </c>
      <c r="D23">
        <f t="shared" si="1"/>
        <v>-8.5863932485299332E-2</v>
      </c>
      <c r="E23">
        <f t="shared" si="2"/>
        <v>7.3726149018400423E-3</v>
      </c>
    </row>
    <row r="24" spans="1:5" x14ac:dyDescent="0.25">
      <c r="A24">
        <v>1.3967324717875</v>
      </c>
      <c r="B24">
        <v>0.38819255924491336</v>
      </c>
      <c r="C24">
        <f t="shared" si="0"/>
        <v>0.55510105926610553</v>
      </c>
      <c r="D24">
        <f t="shared" si="1"/>
        <v>-0.16690850002119217</v>
      </c>
      <c r="E24">
        <f t="shared" si="2"/>
        <v>2.785844737932431E-2</v>
      </c>
    </row>
    <row r="25" spans="1:5" x14ac:dyDescent="0.25">
      <c r="A25">
        <v>1.4469129890125001</v>
      </c>
      <c r="B25">
        <v>0.36940904831370791</v>
      </c>
      <c r="C25">
        <f t="shared" si="0"/>
        <v>0.49949053154605794</v>
      </c>
      <c r="D25">
        <f t="shared" si="1"/>
        <v>-0.13008148323235003</v>
      </c>
      <c r="E25">
        <f t="shared" si="2"/>
        <v>1.6921192279928162E-2</v>
      </c>
    </row>
    <row r="26" spans="1:5" x14ac:dyDescent="0.25">
      <c r="A26">
        <v>1.4970935062375001</v>
      </c>
      <c r="B26">
        <v>0.35187777144458277</v>
      </c>
      <c r="C26">
        <f t="shared" si="0"/>
        <v>0.44481376353797286</v>
      </c>
      <c r="D26">
        <f t="shared" si="1"/>
        <v>-9.2935992093390096E-2</v>
      </c>
      <c r="E26">
        <f t="shared" si="2"/>
        <v>8.6370986263826673E-3</v>
      </c>
    </row>
    <row r="27" spans="1:5" x14ac:dyDescent="0.25">
      <c r="A27">
        <v>1.5472740234625002</v>
      </c>
      <c r="B27">
        <v>0.36815681425162755</v>
      </c>
      <c r="C27">
        <f t="shared" si="0"/>
        <v>0.39202312745511386</v>
      </c>
      <c r="D27">
        <f t="shared" si="1"/>
        <v>-2.3866313203486311E-2</v>
      </c>
      <c r="E27">
        <f t="shared" si="2"/>
        <v>5.6960090592690507E-4</v>
      </c>
    </row>
    <row r="28" spans="1:5" x14ac:dyDescent="0.25">
      <c r="A28">
        <v>1.5974545406875</v>
      </c>
      <c r="B28">
        <v>0.30554511114760924</v>
      </c>
      <c r="C28">
        <f t="shared" si="0"/>
        <v>0.34190898295481248</v>
      </c>
      <c r="D28">
        <f t="shared" si="1"/>
        <v>-3.6363871807203241E-2</v>
      </c>
      <c r="E28">
        <f t="shared" si="2"/>
        <v>1.3223311728107108E-3</v>
      </c>
    </row>
    <row r="29" spans="1:5" x14ac:dyDescent="0.25">
      <c r="A29">
        <v>1.6476350579124999</v>
      </c>
      <c r="B29">
        <v>0.27298702553351972</v>
      </c>
      <c r="C29">
        <f t="shared" si="0"/>
        <v>0.29508977149754351</v>
      </c>
      <c r="D29">
        <f t="shared" si="1"/>
        <v>-2.2102745964023784E-2</v>
      </c>
      <c r="E29">
        <f t="shared" si="2"/>
        <v>4.8853137915016965E-4</v>
      </c>
    </row>
    <row r="30" spans="1:5" x14ac:dyDescent="0.25">
      <c r="A30">
        <v>1.6978155751375001</v>
      </c>
      <c r="B30">
        <v>0.23416776960902838</v>
      </c>
      <c r="C30">
        <f t="shared" si="0"/>
        <v>0.25201083498279414</v>
      </c>
      <c r="D30">
        <f t="shared" si="1"/>
        <v>-1.784306537376576E-2</v>
      </c>
      <c r="E30">
        <f t="shared" si="2"/>
        <v>3.1837498193247864E-4</v>
      </c>
    </row>
    <row r="31" spans="1:5" x14ac:dyDescent="0.25">
      <c r="A31">
        <v>1.7479960923625002</v>
      </c>
      <c r="B31">
        <v>0.23542000367110877</v>
      </c>
      <c r="C31">
        <f t="shared" si="0"/>
        <v>0.21295105379558213</v>
      </c>
      <c r="D31">
        <f t="shared" si="1"/>
        <v>2.2468949875526639E-2</v>
      </c>
      <c r="E31">
        <f t="shared" si="2"/>
        <v>5.048537085089286E-4</v>
      </c>
    </row>
    <row r="32" spans="1:5" x14ac:dyDescent="0.25">
      <c r="A32">
        <v>1.7981766095875003</v>
      </c>
      <c r="B32">
        <v>0.26046468491271607</v>
      </c>
      <c r="C32">
        <f t="shared" si="0"/>
        <v>0.17803601866035448</v>
      </c>
      <c r="D32">
        <f t="shared" si="1"/>
        <v>8.2428666252361588E-2</v>
      </c>
      <c r="E32">
        <f t="shared" si="2"/>
        <v>6.7944850201432138E-3</v>
      </c>
    </row>
    <row r="33" spans="1:5" x14ac:dyDescent="0.25">
      <c r="A33">
        <v>1.8483571268125001</v>
      </c>
      <c r="B33">
        <v>0.16779936431876902</v>
      </c>
      <c r="C33">
        <f t="shared" si="0"/>
        <v>0.14725620085628405</v>
      </c>
      <c r="D33">
        <f t="shared" si="1"/>
        <v>2.054316346248497E-2</v>
      </c>
      <c r="E33">
        <f t="shared" si="2"/>
        <v>4.2202156504637749E-4</v>
      </c>
    </row>
    <row r="34" spans="1:5" x14ac:dyDescent="0.25">
      <c r="A34">
        <v>1.8985376440374999</v>
      </c>
      <c r="B34">
        <v>0.1715560665050101</v>
      </c>
      <c r="C34">
        <f t="shared" si="0"/>
        <v>0.12048847239220509</v>
      </c>
      <c r="D34">
        <f t="shared" si="1"/>
        <v>5.1067594112805009E-2</v>
      </c>
      <c r="E34">
        <f t="shared" si="2"/>
        <v>2.6078991684701969E-3</v>
      </c>
    </row>
    <row r="35" spans="1:5" x14ac:dyDescent="0.25">
      <c r="A35">
        <v>1.9487181612625002</v>
      </c>
      <c r="B35">
        <v>0.14400691713924205</v>
      </c>
      <c r="C35">
        <f t="shared" si="0"/>
        <v>9.7519344924413956E-2</v>
      </c>
      <c r="D35">
        <f t="shared" si="1"/>
        <v>4.6487572214828091E-2</v>
      </c>
      <c r="E35">
        <f t="shared" si="2"/>
        <v>2.1610943704288565E-3</v>
      </c>
    </row>
    <row r="36" spans="1:5" x14ac:dyDescent="0.25">
      <c r="A36">
        <v>1.9988986784875002</v>
      </c>
      <c r="B36">
        <v>0.17406053462917084</v>
      </c>
      <c r="C36">
        <f t="shared" si="0"/>
        <v>7.8068426024836754E-2</v>
      </c>
      <c r="D36">
        <f t="shared" si="1"/>
        <v>9.5992108604334089E-2</v>
      </c>
      <c r="E36">
        <f t="shared" si="2"/>
        <v>9.2144849143062715E-3</v>
      </c>
    </row>
    <row r="37" spans="1:5" x14ac:dyDescent="0.25">
      <c r="A37">
        <v>2.0490791957125003</v>
      </c>
      <c r="B37">
        <v>9.3917554656027427E-2</v>
      </c>
      <c r="C37">
        <f t="shared" si="0"/>
        <v>6.181080854443205E-2</v>
      </c>
      <c r="D37">
        <f t="shared" si="1"/>
        <v>3.2106746111595377E-2</v>
      </c>
      <c r="E37">
        <f t="shared" si="2"/>
        <v>1.0308431458744449E-3</v>
      </c>
    </row>
    <row r="38" spans="1:5" x14ac:dyDescent="0.25">
      <c r="A38">
        <v>2.0992597129375001</v>
      </c>
      <c r="B38">
        <v>9.2665320593947068E-2</v>
      </c>
      <c r="C38">
        <f t="shared" si="0"/>
        <v>4.8397383554691344E-2</v>
      </c>
      <c r="D38">
        <f t="shared" si="1"/>
        <v>4.4267937039255724E-2</v>
      </c>
      <c r="E38">
        <f t="shared" si="2"/>
        <v>1.9596502497115087E-3</v>
      </c>
    </row>
    <row r="39" spans="1:5" x14ac:dyDescent="0.25">
      <c r="A39">
        <v>2.1494402301625</v>
      </c>
      <c r="B39">
        <v>7.0125107476500484E-2</v>
      </c>
      <c r="C39">
        <f t="shared" si="0"/>
        <v>3.7472369078599299E-2</v>
      </c>
      <c r="D39">
        <f t="shared" si="1"/>
        <v>3.2652738397901185E-2</v>
      </c>
      <c r="E39">
        <f t="shared" si="2"/>
        <v>1.0662013248817705E-3</v>
      </c>
    </row>
    <row r="40" spans="1:5" x14ac:dyDescent="0.25">
      <c r="A40">
        <v>2.1996207473875002</v>
      </c>
      <c r="B40">
        <v>1.2522340620803657E-2</v>
      </c>
      <c r="C40">
        <f t="shared" si="0"/>
        <v>2.8687647159205951E-2</v>
      </c>
      <c r="D40">
        <f t="shared" si="1"/>
        <v>-1.6165306538402292E-2</v>
      </c>
      <c r="E40">
        <f t="shared" si="2"/>
        <v>2.6131713548051191E-4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7A0A-7198-49A9-A010-78F43E55DA4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0.27851410163750001</v>
      </c>
      <c r="B1">
        <v>9.491715665621786E-2</v>
      </c>
      <c r="C1">
        <f>$H$3*(1+$H$1)*(A1^($H$1))*EXP(-$H$3*(A1^(1+$H$1)))</f>
        <v>0.21906870670335823</v>
      </c>
      <c r="D1">
        <f>B1-C1</f>
        <v>-0.12415155004714037</v>
      </c>
      <c r="E1">
        <f>D1^2</f>
        <v>1.5413607379107601E-2</v>
      </c>
      <c r="G1" t="s">
        <v>0</v>
      </c>
      <c r="H1">
        <v>1.6985655183115047</v>
      </c>
    </row>
    <row r="2" spans="1:8" x14ac:dyDescent="0.25">
      <c r="A2">
        <v>0.32551804291249997</v>
      </c>
      <c r="B2">
        <v>0.1630970860853321</v>
      </c>
      <c r="C2">
        <f t="shared" ref="C2:C40" si="0">$H$3*(1+$H$1)*(A2^($H$1))*EXP(-$H$3*(A2^(1+$H$1)))</f>
        <v>0.2820736296732041</v>
      </c>
      <c r="D2">
        <f t="shared" ref="D2:D40" si="1">B2-C2</f>
        <v>-0.11897654358787199</v>
      </c>
      <c r="E2">
        <f t="shared" ref="E2:E40" si="2">D2^2</f>
        <v>1.4155417924116804E-2</v>
      </c>
    </row>
    <row r="3" spans="1:8" x14ac:dyDescent="0.25">
      <c r="A3">
        <v>0.37252198418749999</v>
      </c>
      <c r="B3">
        <v>0.2566773813801948</v>
      </c>
      <c r="C3">
        <f t="shared" si="0"/>
        <v>0.34925174329519609</v>
      </c>
      <c r="D3">
        <f t="shared" si="1"/>
        <v>-9.2574361915001291E-2</v>
      </c>
      <c r="E3">
        <f t="shared" si="2"/>
        <v>8.5700124839696423E-3</v>
      </c>
      <c r="G3" t="s">
        <v>1</v>
      </c>
      <c r="H3">
        <f>(_xlfn.GAMMA((2+$H$1)/(1+$H$1)))^(1+$H$1)</f>
        <v>0.72855093307377061</v>
      </c>
    </row>
    <row r="4" spans="1:8" x14ac:dyDescent="0.25">
      <c r="A4">
        <v>0.4195259254625</v>
      </c>
      <c r="B4">
        <v>0.34758395395234709</v>
      </c>
      <c r="C4">
        <f t="shared" si="0"/>
        <v>0.41924580410767964</v>
      </c>
      <c r="D4">
        <f t="shared" si="1"/>
        <v>-7.1661850155332552E-2</v>
      </c>
      <c r="E4">
        <f t="shared" si="2"/>
        <v>5.1354207676853362E-3</v>
      </c>
    </row>
    <row r="5" spans="1:8" x14ac:dyDescent="0.25">
      <c r="A5">
        <v>0.46652986673750002</v>
      </c>
      <c r="B5">
        <v>0.56549235585324165</v>
      </c>
      <c r="C5">
        <f t="shared" si="0"/>
        <v>0.49060714820651247</v>
      </c>
      <c r="D5">
        <f t="shared" si="1"/>
        <v>7.4885207646729179E-2</v>
      </c>
      <c r="E5">
        <f t="shared" si="2"/>
        <v>5.6077943242937465E-3</v>
      </c>
      <c r="G5" t="s">
        <v>2</v>
      </c>
      <c r="H5">
        <f>SUM(E1:E40)</f>
        <v>0.60213896920578258</v>
      </c>
    </row>
    <row r="6" spans="1:8" x14ac:dyDescent="0.25">
      <c r="A6">
        <v>0.51353380801250004</v>
      </c>
      <c r="B6">
        <v>0.7834007577541362</v>
      </c>
      <c r="C6">
        <f t="shared" si="0"/>
        <v>0.56181299359215142</v>
      </c>
      <c r="D6">
        <f t="shared" si="1"/>
        <v>0.22158776416198478</v>
      </c>
      <c r="E6">
        <f t="shared" si="2"/>
        <v>4.9101137226307386E-2</v>
      </c>
    </row>
    <row r="7" spans="1:8" x14ac:dyDescent="0.25">
      <c r="A7">
        <v>0.56053774928749989</v>
      </c>
      <c r="B7">
        <v>0.72992630329992891</v>
      </c>
      <c r="C7">
        <f t="shared" si="0"/>
        <v>0.63129482223542288</v>
      </c>
      <c r="D7">
        <f t="shared" si="1"/>
        <v>9.8631481064506032E-2</v>
      </c>
      <c r="E7">
        <f t="shared" si="2"/>
        <v>9.7281690569780126E-3</v>
      </c>
    </row>
    <row r="8" spans="1:8" x14ac:dyDescent="0.25">
      <c r="A8">
        <v>0.60754169056249996</v>
      </c>
      <c r="B8">
        <v>0.85291754854460555</v>
      </c>
      <c r="C8">
        <f t="shared" si="0"/>
        <v>0.69747555768045433</v>
      </c>
      <c r="D8">
        <f t="shared" si="1"/>
        <v>0.15544199086415122</v>
      </c>
      <c r="E8">
        <f t="shared" si="2"/>
        <v>2.4162212523810872E-2</v>
      </c>
    </row>
    <row r="9" spans="1:8" x14ac:dyDescent="0.25">
      <c r="A9">
        <v>0.65454563183750003</v>
      </c>
      <c r="B9">
        <v>0.84489638037647452</v>
      </c>
      <c r="C9">
        <f t="shared" si="0"/>
        <v>0.7588133105000473</v>
      </c>
      <c r="D9">
        <f t="shared" si="1"/>
        <v>8.6083069876427221E-2</v>
      </c>
      <c r="E9">
        <f t="shared" si="2"/>
        <v>7.4102949193498519E-3</v>
      </c>
    </row>
    <row r="10" spans="1:8" x14ac:dyDescent="0.25">
      <c r="A10">
        <v>0.7015495731125001</v>
      </c>
      <c r="B10">
        <v>0.90906572572152322</v>
      </c>
      <c r="C10">
        <f t="shared" si="0"/>
        <v>0.81384928970142645</v>
      </c>
      <c r="D10">
        <f t="shared" si="1"/>
        <v>9.5216436020096773E-2</v>
      </c>
      <c r="E10">
        <f t="shared" si="2"/>
        <v>9.0661696883691818E-3</v>
      </c>
    </row>
    <row r="11" spans="1:8" x14ac:dyDescent="0.25">
      <c r="A11">
        <v>0.74855351438750006</v>
      </c>
      <c r="B11">
        <v>0.97590879378928219</v>
      </c>
      <c r="C11">
        <f t="shared" si="0"/>
        <v>0.86125724791327773</v>
      </c>
      <c r="D11">
        <f t="shared" si="1"/>
        <v>0.11465154587600446</v>
      </c>
      <c r="E11">
        <f t="shared" si="2"/>
        <v>1.3144976971757554E-2</v>
      </c>
    </row>
    <row r="12" spans="1:8" x14ac:dyDescent="0.25">
      <c r="A12">
        <v>0.79555745566250002</v>
      </c>
      <c r="B12">
        <v>0.95986645745302002</v>
      </c>
      <c r="C12">
        <f t="shared" si="0"/>
        <v>0.89989164524409315</v>
      </c>
      <c r="D12">
        <f t="shared" si="1"/>
        <v>5.9974812208926864E-2</v>
      </c>
      <c r="E12">
        <f t="shared" si="2"/>
        <v>3.5969780994960427E-3</v>
      </c>
    </row>
    <row r="13" spans="1:8" x14ac:dyDescent="0.25">
      <c r="A13">
        <v>0.8425613969375001</v>
      </c>
      <c r="B13">
        <v>1.1042474844793797</v>
      </c>
      <c r="C13">
        <f t="shared" si="0"/>
        <v>0.92883164911595428</v>
      </c>
      <c r="D13">
        <f t="shared" si="1"/>
        <v>0.17541583536342542</v>
      </c>
      <c r="E13">
        <f t="shared" si="2"/>
        <v>3.0770715296248374E-2</v>
      </c>
    </row>
    <row r="14" spans="1:8" x14ac:dyDescent="0.25">
      <c r="A14">
        <v>0.88956533821250006</v>
      </c>
      <c r="B14">
        <v>1.1724274139084938</v>
      </c>
      <c r="C14">
        <f t="shared" si="0"/>
        <v>0.94741817975505926</v>
      </c>
      <c r="D14">
        <f t="shared" si="1"/>
        <v>0.22500923415343455</v>
      </c>
      <c r="E14">
        <f t="shared" si="2"/>
        <v>5.0629155454315136E-2</v>
      </c>
    </row>
    <row r="15" spans="1:8" x14ac:dyDescent="0.25">
      <c r="A15">
        <v>0.93656927948750002</v>
      </c>
      <c r="B15">
        <v>1.2232281456399907</v>
      </c>
      <c r="C15">
        <f t="shared" si="0"/>
        <v>0.9552814876201422</v>
      </c>
      <c r="D15">
        <f t="shared" si="1"/>
        <v>0.26794665801984852</v>
      </c>
      <c r="E15">
        <f t="shared" si="2"/>
        <v>7.179541154400565E-2</v>
      </c>
    </row>
    <row r="16" spans="1:8" x14ac:dyDescent="0.25">
      <c r="A16">
        <v>0.98357322076250009</v>
      </c>
      <c r="B16">
        <v>1.1563850775722317</v>
      </c>
      <c r="C16">
        <f t="shared" si="0"/>
        <v>0.95235721390703132</v>
      </c>
      <c r="D16">
        <f t="shared" si="1"/>
        <v>0.20402786366520043</v>
      </c>
      <c r="E16">
        <f t="shared" si="2"/>
        <v>4.1627369151785609E-2</v>
      </c>
    </row>
    <row r="17" spans="1:5" x14ac:dyDescent="0.25">
      <c r="A17">
        <v>1.0305771620375002</v>
      </c>
      <c r="B17">
        <v>0.89302338938526105</v>
      </c>
      <c r="C17">
        <f t="shared" si="0"/>
        <v>0.93888952202381437</v>
      </c>
      <c r="D17">
        <f t="shared" si="1"/>
        <v>-4.5866132638553325E-2</v>
      </c>
      <c r="E17">
        <f t="shared" si="2"/>
        <v>2.1037021232173667E-3</v>
      </c>
    </row>
    <row r="18" spans="1:5" x14ac:dyDescent="0.25">
      <c r="A18">
        <v>1.0775811033125002</v>
      </c>
      <c r="B18">
        <v>1.0120040505458721</v>
      </c>
      <c r="C18">
        <f t="shared" si="0"/>
        <v>0.91542066071122019</v>
      </c>
      <c r="D18">
        <f t="shared" si="1"/>
        <v>9.6583389834651867E-2</v>
      </c>
      <c r="E18">
        <f t="shared" si="2"/>
        <v>9.3283511919523329E-3</v>
      </c>
    </row>
    <row r="19" spans="1:5" x14ac:dyDescent="0.25">
      <c r="A19">
        <v>1.1245850445875001</v>
      </c>
      <c r="B19">
        <v>0.71121024424095636</v>
      </c>
      <c r="C19">
        <f t="shared" si="0"/>
        <v>0.88276717546408234</v>
      </c>
      <c r="D19">
        <f t="shared" si="1"/>
        <v>-0.17155693122312599</v>
      </c>
      <c r="E19">
        <f t="shared" si="2"/>
        <v>2.943178065069638E-2</v>
      </c>
    </row>
    <row r="20" spans="1:5" x14ac:dyDescent="0.25">
      <c r="A20">
        <v>1.1715889858624999</v>
      </c>
      <c r="B20">
        <v>0.7058627987955356</v>
      </c>
      <c r="C20">
        <f t="shared" si="0"/>
        <v>0.84198385876915283</v>
      </c>
      <c r="D20">
        <f t="shared" si="1"/>
        <v>-0.13612105997361723</v>
      </c>
      <c r="E20">
        <f t="shared" si="2"/>
        <v>1.8528942968341098E-2</v>
      </c>
    </row>
    <row r="21" spans="1:5" x14ac:dyDescent="0.25">
      <c r="A21">
        <v>1.2185929271375002</v>
      </c>
      <c r="B21">
        <v>0.61629308758473855</v>
      </c>
      <c r="C21">
        <f t="shared" si="0"/>
        <v>0.79431734971293277</v>
      </c>
      <c r="D21">
        <f t="shared" si="1"/>
        <v>-0.17802426212819422</v>
      </c>
      <c r="E21">
        <f t="shared" si="2"/>
        <v>3.1692637906288006E-2</v>
      </c>
    </row>
    <row r="22" spans="1:5" x14ac:dyDescent="0.25">
      <c r="A22">
        <v>1.2655968684125001</v>
      </c>
      <c r="B22">
        <v>0.57217666266001754</v>
      </c>
      <c r="C22">
        <f t="shared" si="0"/>
        <v>0.74115198892764178</v>
      </c>
      <c r="D22">
        <f t="shared" si="1"/>
        <v>-0.16897532626762424</v>
      </c>
      <c r="E22">
        <f t="shared" si="2"/>
        <v>2.8552660887250062E-2</v>
      </c>
    </row>
    <row r="23" spans="1:5" x14ac:dyDescent="0.25">
      <c r="A23">
        <v>1.3126008096874999</v>
      </c>
      <c r="B23">
        <v>0.55078688087833461</v>
      </c>
      <c r="C23">
        <f t="shared" si="0"/>
        <v>0.68395104336935109</v>
      </c>
      <c r="D23">
        <f t="shared" si="1"/>
        <v>-0.13316416249101648</v>
      </c>
      <c r="E23">
        <f t="shared" si="2"/>
        <v>1.7732694171933839E-2</v>
      </c>
    </row>
    <row r="24" spans="1:5" x14ac:dyDescent="0.25">
      <c r="A24">
        <v>1.3596047509624998</v>
      </c>
      <c r="B24">
        <v>0.45052227877669604</v>
      </c>
      <c r="C24">
        <f t="shared" si="0"/>
        <v>0.62419669042328052</v>
      </c>
      <c r="D24">
        <f t="shared" si="1"/>
        <v>-0.17367441164658448</v>
      </c>
      <c r="E24">
        <f t="shared" si="2"/>
        <v>3.016280126078728E-2</v>
      </c>
    </row>
    <row r="25" spans="1:5" x14ac:dyDescent="0.25">
      <c r="A25">
        <v>1.4066086922375001</v>
      </c>
      <c r="B25">
        <v>0.39036351751571291</v>
      </c>
      <c r="C25">
        <f t="shared" si="0"/>
        <v>0.56333216690639898</v>
      </c>
      <c r="D25">
        <f t="shared" si="1"/>
        <v>-0.17296864939068607</v>
      </c>
      <c r="E25">
        <f t="shared" si="2"/>
        <v>2.9918153672038084E-2</v>
      </c>
    </row>
    <row r="26" spans="1:5" x14ac:dyDescent="0.25">
      <c r="A26">
        <v>1.4536126335125004</v>
      </c>
      <c r="B26">
        <v>0.40239526976790951</v>
      </c>
      <c r="C26">
        <f t="shared" si="0"/>
        <v>0.50270924485002388</v>
      </c>
      <c r="D26">
        <f t="shared" si="1"/>
        <v>-0.10031397508211437</v>
      </c>
      <c r="E26">
        <f t="shared" si="2"/>
        <v>1.0062893596775063E-2</v>
      </c>
    </row>
    <row r="27" spans="1:5" x14ac:dyDescent="0.25">
      <c r="A27">
        <v>1.5006165747875002</v>
      </c>
      <c r="B27">
        <v>0.39303724023842324</v>
      </c>
      <c r="C27">
        <f t="shared" si="0"/>
        <v>0.44354371674549536</v>
      </c>
      <c r="D27">
        <f t="shared" si="1"/>
        <v>-5.0506476507072129E-2</v>
      </c>
      <c r="E27">
        <f t="shared" si="2"/>
        <v>2.5509041691594288E-3</v>
      </c>
    </row>
    <row r="28" spans="1:5" x14ac:dyDescent="0.25">
      <c r="A28">
        <v>1.5476205160625001</v>
      </c>
      <c r="B28">
        <v>0.30881497447304684</v>
      </c>
      <c r="C28">
        <f t="shared" si="0"/>
        <v>0.38688090511836265</v>
      </c>
      <c r="D28">
        <f t="shared" si="1"/>
        <v>-7.8065930645315806E-2</v>
      </c>
      <c r="E28">
        <f t="shared" si="2"/>
        <v>6.0942895275192576E-3</v>
      </c>
    </row>
    <row r="29" spans="1:5" x14ac:dyDescent="0.25">
      <c r="A29">
        <v>1.5946244573374999</v>
      </c>
      <c r="B29">
        <v>0.339562785784216</v>
      </c>
      <c r="C29">
        <f t="shared" si="0"/>
        <v>0.33357241923826148</v>
      </c>
      <c r="D29">
        <f t="shared" si="1"/>
        <v>5.9903665459545286E-3</v>
      </c>
      <c r="E29">
        <f t="shared" si="2"/>
        <v>3.5884491354891186E-5</v>
      </c>
    </row>
    <row r="30" spans="1:5" x14ac:dyDescent="0.25">
      <c r="A30">
        <v>1.6416283986125002</v>
      </c>
      <c r="B30">
        <v>0.2473193518507085</v>
      </c>
      <c r="C30">
        <f t="shared" si="0"/>
        <v>0.28426454009571234</v>
      </c>
      <c r="D30">
        <f t="shared" si="1"/>
        <v>-3.694518824500384E-2</v>
      </c>
      <c r="E30">
        <f t="shared" si="2"/>
        <v>1.36494693445877E-3</v>
      </c>
    </row>
    <row r="31" spans="1:5" x14ac:dyDescent="0.25">
      <c r="A31">
        <v>1.6886323398875001</v>
      </c>
      <c r="B31">
        <v>0.28074088588458807</v>
      </c>
      <c r="C31">
        <f t="shared" si="0"/>
        <v>0.23939779997885119</v>
      </c>
      <c r="D31">
        <f t="shared" si="1"/>
        <v>4.1343085905736876E-2</v>
      </c>
      <c r="E31">
        <f t="shared" si="2"/>
        <v>1.7092507522091392E-3</v>
      </c>
    </row>
    <row r="32" spans="1:5" x14ac:dyDescent="0.25">
      <c r="A32">
        <v>1.7356362811625003</v>
      </c>
      <c r="B32">
        <v>0.25801424274154994</v>
      </c>
      <c r="C32">
        <f t="shared" si="0"/>
        <v>0.19921660502909425</v>
      </c>
      <c r="D32">
        <f t="shared" si="1"/>
        <v>5.8797637712455691E-2</v>
      </c>
      <c r="E32">
        <f t="shared" si="2"/>
        <v>3.4571622005651918E-3</v>
      </c>
    </row>
    <row r="33" spans="1:5" x14ac:dyDescent="0.25">
      <c r="A33">
        <v>1.7826402224375002</v>
      </c>
      <c r="B33">
        <v>0.20186606556463235</v>
      </c>
      <c r="C33">
        <f t="shared" si="0"/>
        <v>0.16378718415467899</v>
      </c>
      <c r="D33">
        <f t="shared" si="1"/>
        <v>3.8078881409953358E-2</v>
      </c>
      <c r="E33">
        <f t="shared" si="2"/>
        <v>1.4500012094332915E-3</v>
      </c>
    </row>
    <row r="34" spans="1:5" x14ac:dyDescent="0.25">
      <c r="A34">
        <v>1.8296441637125</v>
      </c>
      <c r="B34">
        <v>0.19250803603514607</v>
      </c>
      <c r="C34">
        <f t="shared" si="0"/>
        <v>0.13302177256158718</v>
      </c>
      <c r="D34">
        <f t="shared" si="1"/>
        <v>5.9486263473558898E-2</v>
      </c>
      <c r="E34">
        <f t="shared" si="2"/>
        <v>3.5386155420456676E-3</v>
      </c>
    </row>
    <row r="35" spans="1:5" x14ac:dyDescent="0.25">
      <c r="A35">
        <v>1.8766481049874999</v>
      </c>
      <c r="B35">
        <v>0.16176022472397691</v>
      </c>
      <c r="C35">
        <f t="shared" si="0"/>
        <v>0.10670676795535078</v>
      </c>
      <c r="D35">
        <f t="shared" si="1"/>
        <v>5.5053456768626136E-2</v>
      </c>
      <c r="E35">
        <f t="shared" si="2"/>
        <v>3.0308831021749871E-3</v>
      </c>
    </row>
    <row r="36" spans="1:5" x14ac:dyDescent="0.25">
      <c r="A36">
        <v>1.9236520462625002</v>
      </c>
      <c r="B36">
        <v>0.15507591791720102</v>
      </c>
      <c r="C36">
        <f t="shared" si="0"/>
        <v>8.453262543205764E-2</v>
      </c>
      <c r="D36">
        <f t="shared" si="1"/>
        <v>7.0543292485143377E-2</v>
      </c>
      <c r="E36">
        <f t="shared" si="2"/>
        <v>4.9763561146444861E-3</v>
      </c>
    </row>
    <row r="37" spans="1:5" x14ac:dyDescent="0.25">
      <c r="A37">
        <v>1.9706559875375005</v>
      </c>
      <c r="B37">
        <v>0.11630693843790076</v>
      </c>
      <c r="C37">
        <f t="shared" si="0"/>
        <v>6.6123457440173519E-2</v>
      </c>
      <c r="D37">
        <f t="shared" si="1"/>
        <v>5.0183480997727237E-2</v>
      </c>
      <c r="E37">
        <f t="shared" si="2"/>
        <v>2.5183817650492506E-3</v>
      </c>
    </row>
    <row r="38" spans="1:5" x14ac:dyDescent="0.25">
      <c r="A38">
        <v>2.0176599288125003</v>
      </c>
      <c r="B38">
        <v>0.10160146346299377</v>
      </c>
      <c r="C38">
        <f t="shared" si="0"/>
        <v>5.1064637959860569E-2</v>
      </c>
      <c r="D38">
        <f t="shared" si="1"/>
        <v>5.0536825503133202E-2</v>
      </c>
      <c r="E38">
        <f t="shared" si="2"/>
        <v>2.5539707319341344E-3</v>
      </c>
    </row>
    <row r="39" spans="1:5" x14ac:dyDescent="0.25">
      <c r="A39">
        <v>2.0646638700875002</v>
      </c>
      <c r="B39">
        <v>6.8179929429114244E-2</v>
      </c>
      <c r="C39">
        <f t="shared" si="0"/>
        <v>3.89271270388723E-2</v>
      </c>
      <c r="D39">
        <f t="shared" si="1"/>
        <v>2.9252802390241944E-2</v>
      </c>
      <c r="E39">
        <f t="shared" si="2"/>
        <v>8.557264476825448E-4</v>
      </c>
    </row>
    <row r="40" spans="1:5" x14ac:dyDescent="0.25">
      <c r="A40">
        <v>2.1116678113625005</v>
      </c>
      <c r="B40">
        <v>5.3474454454207248E-3</v>
      </c>
      <c r="C40">
        <f t="shared" si="0"/>
        <v>2.9287683052326E-2</v>
      </c>
      <c r="D40">
        <f t="shared" si="1"/>
        <v>-2.3940237606905276E-2</v>
      </c>
      <c r="E40">
        <f t="shared" si="2"/>
        <v>5.7313497667508162E-4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FE1C-14DE-4B61-9929-BD7A8208312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0.31968352165000002</v>
      </c>
      <c r="B1">
        <v>9.4985702287037316E-2</v>
      </c>
      <c r="C1">
        <f>$H$3*(1+$H$1)*(A1^($H$1))*EXP(-$H$3*(A1^(1+$H$1)))</f>
        <v>0.22682091104601321</v>
      </c>
      <c r="D1">
        <f>B1-C1</f>
        <v>-0.13183520875897589</v>
      </c>
      <c r="E1">
        <f>D1^2</f>
        <v>1.7380522268522755E-2</v>
      </c>
      <c r="G1" t="s">
        <v>0</v>
      </c>
      <c r="H1">
        <v>1.9271751281571285</v>
      </c>
    </row>
    <row r="2" spans="1:8" x14ac:dyDescent="0.25">
      <c r="A2">
        <v>0.36334579495000002</v>
      </c>
      <c r="B2">
        <v>0.17270127688552239</v>
      </c>
      <c r="C2">
        <f t="shared" ref="C2:C40" si="0">$H$3*(1+$H$1)*(A2^($H$1))*EXP(-$H$3*(A2^(1+$H$1)))</f>
        <v>0.2869571308235262</v>
      </c>
      <c r="D2">
        <f t="shared" ref="D2:D40" si="1">B2-C2</f>
        <v>-0.1142558539380038</v>
      </c>
      <c r="E2">
        <f t="shared" ref="E2:E40" si="2">D2^2</f>
        <v>1.3054400159102459E-2</v>
      </c>
    </row>
    <row r="3" spans="1:8" x14ac:dyDescent="0.25">
      <c r="A3">
        <v>0.40700806825000002</v>
      </c>
      <c r="B3">
        <v>0.25761273802090423</v>
      </c>
      <c r="C3">
        <f t="shared" si="0"/>
        <v>0.35194070754906009</v>
      </c>
      <c r="D3">
        <f t="shared" si="1"/>
        <v>-9.4327969528155864E-2</v>
      </c>
      <c r="E3">
        <f t="shared" si="2"/>
        <v>8.8977658353047006E-3</v>
      </c>
      <c r="G3" t="s">
        <v>1</v>
      </c>
      <c r="H3">
        <f>(_xlfn.GAMMA((2+$H$1)/(1+$H$1)))^(1+$H$1)</f>
        <v>0.71574816003061381</v>
      </c>
    </row>
    <row r="4" spans="1:8" x14ac:dyDescent="0.25">
      <c r="A4">
        <v>0.45067034155000002</v>
      </c>
      <c r="B4">
        <v>0.34252419915628607</v>
      </c>
      <c r="C4">
        <f t="shared" si="0"/>
        <v>0.42070887478560537</v>
      </c>
      <c r="D4">
        <f t="shared" si="1"/>
        <v>-7.81846756293193E-2</v>
      </c>
      <c r="E4">
        <f t="shared" si="2"/>
        <v>6.1128435032618755E-3</v>
      </c>
    </row>
    <row r="5" spans="1:8" x14ac:dyDescent="0.25">
      <c r="A5">
        <v>0.49433261485000002</v>
      </c>
      <c r="B5">
        <v>0.54256984488201621</v>
      </c>
      <c r="C5">
        <f t="shared" si="0"/>
        <v>0.49204435999631441</v>
      </c>
      <c r="D5">
        <f t="shared" si="1"/>
        <v>5.0525484885701799E-2</v>
      </c>
      <c r="E5">
        <f t="shared" si="2"/>
        <v>2.552824622935281E-3</v>
      </c>
      <c r="G5" t="s">
        <v>2</v>
      </c>
      <c r="H5">
        <f>SUM(E1:E40)</f>
        <v>0.64722324182620339</v>
      </c>
    </row>
    <row r="6" spans="1:8" x14ac:dyDescent="0.25">
      <c r="A6">
        <v>0.53799488814999996</v>
      </c>
      <c r="B6">
        <v>0.78435163252174755</v>
      </c>
      <c r="C6">
        <f t="shared" si="0"/>
        <v>0.56458885441231976</v>
      </c>
      <c r="D6">
        <f t="shared" si="1"/>
        <v>0.21976277810942779</v>
      </c>
      <c r="E6">
        <f t="shared" si="2"/>
        <v>4.8295678642373593E-2</v>
      </c>
    </row>
    <row r="7" spans="1:8" x14ac:dyDescent="0.25">
      <c r="A7">
        <v>0.5816571614499999</v>
      </c>
      <c r="B7">
        <v>0.76420315021843654</v>
      </c>
      <c r="C7">
        <f t="shared" si="0"/>
        <v>0.63686587444205367</v>
      </c>
      <c r="D7">
        <f t="shared" si="1"/>
        <v>0.12733727577638287</v>
      </c>
      <c r="E7">
        <f t="shared" si="2"/>
        <v>1.6214781802150583E-2</v>
      </c>
    </row>
    <row r="8" spans="1:8" x14ac:dyDescent="0.25">
      <c r="A8">
        <v>0.62531943474999996</v>
      </c>
      <c r="B8">
        <v>0.91963429941540675</v>
      </c>
      <c r="C8">
        <f t="shared" si="0"/>
        <v>0.70731288307256546</v>
      </c>
      <c r="D8">
        <f t="shared" si="1"/>
        <v>0.2123214163428413</v>
      </c>
      <c r="E8">
        <f t="shared" si="2"/>
        <v>4.5080383837830154E-2</v>
      </c>
    </row>
    <row r="9" spans="1:8" x14ac:dyDescent="0.25">
      <c r="A9">
        <v>0.66898170805000001</v>
      </c>
      <c r="B9">
        <v>0.91819512210802734</v>
      </c>
      <c r="C9">
        <f t="shared" si="0"/>
        <v>0.77432204337339394</v>
      </c>
      <c r="D9">
        <f t="shared" si="1"/>
        <v>0.1438730787346334</v>
      </c>
      <c r="E9">
        <f t="shared" si="2"/>
        <v>2.0699462784582019E-2</v>
      </c>
    </row>
    <row r="10" spans="1:8" x14ac:dyDescent="0.25">
      <c r="A10">
        <v>0.71264398135000007</v>
      </c>
      <c r="B10">
        <v>0.88653322134568158</v>
      </c>
      <c r="C10">
        <f t="shared" si="0"/>
        <v>0.83628840110319702</v>
      </c>
      <c r="D10">
        <f t="shared" si="1"/>
        <v>5.0244820242484556E-2</v>
      </c>
      <c r="E10">
        <f t="shared" si="2"/>
        <v>2.5245419611995856E-3</v>
      </c>
    </row>
    <row r="11" spans="1:8" x14ac:dyDescent="0.25">
      <c r="A11">
        <v>0.75630625465000001</v>
      </c>
      <c r="B11">
        <v>1.0261334201614789</v>
      </c>
      <c r="C11">
        <f t="shared" si="0"/>
        <v>0.89166368798771001</v>
      </c>
      <c r="D11">
        <f t="shared" si="1"/>
        <v>0.1344697321737689</v>
      </c>
      <c r="E11">
        <f t="shared" si="2"/>
        <v>1.8082108870885138E-2</v>
      </c>
    </row>
    <row r="12" spans="1:8" x14ac:dyDescent="0.25">
      <c r="A12">
        <v>0.79996852794999995</v>
      </c>
      <c r="B12">
        <v>1.0908963989935498</v>
      </c>
      <c r="C12">
        <f t="shared" si="0"/>
        <v>0.93901335599405078</v>
      </c>
      <c r="D12">
        <f t="shared" si="1"/>
        <v>0.15188304299949906</v>
      </c>
      <c r="E12">
        <f t="shared" si="2"/>
        <v>2.3068458750787682E-2</v>
      </c>
    </row>
    <row r="13" spans="1:8" x14ac:dyDescent="0.25">
      <c r="A13">
        <v>0.84363080125000001</v>
      </c>
      <c r="B13">
        <v>1.0635520301533421</v>
      </c>
      <c r="C13">
        <f t="shared" si="0"/>
        <v>0.97707395508064987</v>
      </c>
      <c r="D13">
        <f t="shared" si="1"/>
        <v>8.6478075072692229E-2</v>
      </c>
      <c r="E13">
        <f t="shared" si="2"/>
        <v>7.4784574682781931E-3</v>
      </c>
    </row>
    <row r="14" spans="1:8" x14ac:dyDescent="0.25">
      <c r="A14">
        <v>0.88729307455000006</v>
      </c>
      <c r="B14">
        <v>1.2189831793503121</v>
      </c>
      <c r="C14">
        <f t="shared" si="0"/>
        <v>1.0048076123999508</v>
      </c>
      <c r="D14">
        <f t="shared" si="1"/>
        <v>0.21417556695036133</v>
      </c>
      <c r="E14">
        <f t="shared" si="2"/>
        <v>4.5871173478508706E-2</v>
      </c>
    </row>
    <row r="15" spans="1:8" x14ac:dyDescent="0.25">
      <c r="A15">
        <v>0.93095534785</v>
      </c>
      <c r="B15">
        <v>1.2117872928134155</v>
      </c>
      <c r="C15">
        <f t="shared" si="0"/>
        <v>1.0214502147726989</v>
      </c>
      <c r="D15">
        <f t="shared" si="1"/>
        <v>0.19033707804071653</v>
      </c>
      <c r="E15">
        <f t="shared" si="2"/>
        <v>3.622820327707782E-2</v>
      </c>
    </row>
    <row r="16" spans="1:8" x14ac:dyDescent="0.25">
      <c r="A16">
        <v>0.97461762115000006</v>
      </c>
      <c r="B16">
        <v>1.324043122789005</v>
      </c>
      <c r="C16">
        <f t="shared" si="0"/>
        <v>1.0265499818928245</v>
      </c>
      <c r="D16">
        <f t="shared" si="1"/>
        <v>0.29749314089618051</v>
      </c>
      <c r="E16">
        <f t="shared" si="2"/>
        <v>8.8502168880274706E-2</v>
      </c>
    </row>
    <row r="17" spans="1:5" x14ac:dyDescent="0.25">
      <c r="A17">
        <v>1.01827989445</v>
      </c>
      <c r="B17">
        <v>1.0908963989935498</v>
      </c>
      <c r="C17">
        <f t="shared" si="0"/>
        <v>1.0199934704465858</v>
      </c>
      <c r="D17">
        <f t="shared" si="1"/>
        <v>7.0902928546964006E-2</v>
      </c>
      <c r="E17">
        <f t="shared" si="2"/>
        <v>5.0272252765358834E-3</v>
      </c>
    </row>
    <row r="18" spans="1:5" x14ac:dyDescent="0.25">
      <c r="A18">
        <v>1.0619421677500001</v>
      </c>
      <c r="B18">
        <v>1.0088632924729266</v>
      </c>
      <c r="C18">
        <f t="shared" si="0"/>
        <v>1.0020166706059237</v>
      </c>
      <c r="D18">
        <f t="shared" si="1"/>
        <v>6.8466218670029111E-3</v>
      </c>
      <c r="E18">
        <f t="shared" si="2"/>
        <v>4.6876230989722429E-5</v>
      </c>
    </row>
    <row r="19" spans="1:5" x14ac:dyDescent="0.25">
      <c r="A19">
        <v>1.1056044410500001</v>
      </c>
      <c r="B19">
        <v>0.91099923557113061</v>
      </c>
      <c r="C19">
        <f t="shared" si="0"/>
        <v>0.97319972016865663</v>
      </c>
      <c r="D19">
        <f t="shared" si="1"/>
        <v>-6.2200484597526029E-2</v>
      </c>
      <c r="E19">
        <f t="shared" si="2"/>
        <v>3.8689002841670729E-3</v>
      </c>
    </row>
    <row r="20" spans="1:5" x14ac:dyDescent="0.25">
      <c r="A20">
        <v>1.1492667143499999</v>
      </c>
      <c r="B20">
        <v>0.78579080982912686</v>
      </c>
      <c r="C20">
        <f t="shared" si="0"/>
        <v>0.93444481368057319</v>
      </c>
      <c r="D20">
        <f t="shared" si="1"/>
        <v>-0.14865400385144634</v>
      </c>
      <c r="E20">
        <f t="shared" si="2"/>
        <v>2.2098012861065823E-2</v>
      </c>
    </row>
    <row r="21" spans="1:5" x14ac:dyDescent="0.25">
      <c r="A21">
        <v>1.19292898765</v>
      </c>
      <c r="B21">
        <v>0.7339804267634702</v>
      </c>
      <c r="C21">
        <f t="shared" si="0"/>
        <v>0.88693804431834022</v>
      </c>
      <c r="D21">
        <f t="shared" si="1"/>
        <v>-0.15295761755487003</v>
      </c>
      <c r="E21">
        <f t="shared" si="2"/>
        <v>2.3396032768061886E-2</v>
      </c>
    </row>
    <row r="22" spans="1:5" x14ac:dyDescent="0.25">
      <c r="A22">
        <v>1.23659126095</v>
      </c>
      <c r="B22">
        <v>0.66058238408712311</v>
      </c>
      <c r="C22">
        <f t="shared" si="0"/>
        <v>0.83209708602201593</v>
      </c>
      <c r="D22">
        <f t="shared" si="1"/>
        <v>-0.17151470193489282</v>
      </c>
      <c r="E22">
        <f t="shared" si="2"/>
        <v>2.9417292979815126E-2</v>
      </c>
    </row>
    <row r="23" spans="1:5" x14ac:dyDescent="0.25">
      <c r="A23">
        <v>1.2802535342500001</v>
      </c>
      <c r="B23">
        <v>0.60445446909932832</v>
      </c>
      <c r="C23">
        <f t="shared" si="0"/>
        <v>0.77150769358646365</v>
      </c>
      <c r="D23">
        <f t="shared" si="1"/>
        <v>-0.16705322448713533</v>
      </c>
      <c r="E23">
        <f t="shared" si="2"/>
        <v>2.790677981154923E-2</v>
      </c>
    </row>
    <row r="24" spans="1:5" x14ac:dyDescent="0.25">
      <c r="A24">
        <v>1.3239158075499999</v>
      </c>
      <c r="B24">
        <v>0.48932028450898007</v>
      </c>
      <c r="C24">
        <f t="shared" si="0"/>
        <v>0.70685286269597347</v>
      </c>
      <c r="D24">
        <f t="shared" si="1"/>
        <v>-0.2175325781869934</v>
      </c>
      <c r="E24">
        <f t="shared" si="2"/>
        <v>4.7320422572680397E-2</v>
      </c>
    </row>
    <row r="25" spans="1:5" x14ac:dyDescent="0.25">
      <c r="A25">
        <v>1.36757808085</v>
      </c>
      <c r="B25">
        <v>0.4835635752794627</v>
      </c>
      <c r="C25">
        <f t="shared" si="0"/>
        <v>0.63983905889497084</v>
      </c>
      <c r="D25">
        <f t="shared" si="1"/>
        <v>-0.15627548361550814</v>
      </c>
      <c r="E25">
        <f t="shared" si="2"/>
        <v>2.4422026779260954E-2</v>
      </c>
    </row>
    <row r="26" spans="1:5" x14ac:dyDescent="0.25">
      <c r="A26">
        <v>1.41124035415</v>
      </c>
      <c r="B26">
        <v>0.47348933412780719</v>
      </c>
      <c r="C26">
        <f t="shared" si="0"/>
        <v>0.57212413002047835</v>
      </c>
      <c r="D26">
        <f t="shared" si="1"/>
        <v>-9.8634795892671157E-2</v>
      </c>
      <c r="E26">
        <f t="shared" si="2"/>
        <v>9.7288229607888996E-3</v>
      </c>
    </row>
    <row r="27" spans="1:5" x14ac:dyDescent="0.25">
      <c r="A27">
        <v>1.4549026274500001</v>
      </c>
      <c r="B27">
        <v>0.38857787299242535</v>
      </c>
      <c r="C27">
        <f t="shared" si="0"/>
        <v>0.50525133287849766</v>
      </c>
      <c r="D27">
        <f t="shared" si="1"/>
        <v>-0.11667345988607231</v>
      </c>
      <c r="E27">
        <f t="shared" si="2"/>
        <v>1.3612696241786924E-2</v>
      </c>
    </row>
    <row r="28" spans="1:5" x14ac:dyDescent="0.25">
      <c r="A28">
        <v>1.4985649007499999</v>
      </c>
      <c r="B28">
        <v>0.34108502184890671</v>
      </c>
      <c r="C28">
        <f t="shared" si="0"/>
        <v>0.44059334557850716</v>
      </c>
      <c r="D28">
        <f t="shared" si="1"/>
        <v>-9.9508323729600445E-2</v>
      </c>
      <c r="E28">
        <f t="shared" si="2"/>
        <v>9.9019064914749634E-3</v>
      </c>
    </row>
    <row r="29" spans="1:5" x14ac:dyDescent="0.25">
      <c r="A29">
        <v>1.54222717405</v>
      </c>
      <c r="B29">
        <v>0.35835514953745895</v>
      </c>
      <c r="C29">
        <f t="shared" si="0"/>
        <v>0.37930925680621608</v>
      </c>
      <c r="D29">
        <f t="shared" si="1"/>
        <v>-2.0954107268757127E-2</v>
      </c>
      <c r="E29">
        <f t="shared" si="2"/>
        <v>4.3907461143058028E-4</v>
      </c>
    </row>
    <row r="30" spans="1:5" x14ac:dyDescent="0.25">
      <c r="A30">
        <v>1.58588944735</v>
      </c>
      <c r="B30">
        <v>0.29503134801276742</v>
      </c>
      <c r="C30">
        <f t="shared" si="0"/>
        <v>0.32231641268249178</v>
      </c>
      <c r="D30">
        <f t="shared" si="1"/>
        <v>-2.7285064669724357E-2</v>
      </c>
      <c r="E30">
        <f t="shared" si="2"/>
        <v>7.4447475403104037E-4</v>
      </c>
    </row>
    <row r="31" spans="1:5" x14ac:dyDescent="0.25">
      <c r="A31">
        <v>1.6295517206499999</v>
      </c>
      <c r="B31">
        <v>0.32669324877511319</v>
      </c>
      <c r="C31">
        <f t="shared" si="0"/>
        <v>0.27027777566794037</v>
      </c>
      <c r="D31">
        <f t="shared" si="1"/>
        <v>5.641547310717282E-2</v>
      </c>
      <c r="E31">
        <f t="shared" si="2"/>
        <v>3.1827056059061396E-3</v>
      </c>
    </row>
    <row r="32" spans="1:5" x14ac:dyDescent="0.25">
      <c r="A32">
        <v>1.6732139939500001</v>
      </c>
      <c r="B32">
        <v>0.24322096494711071</v>
      </c>
      <c r="C32">
        <f t="shared" si="0"/>
        <v>0.22360423361220852</v>
      </c>
      <c r="D32">
        <f t="shared" si="1"/>
        <v>1.9616731334902188E-2</v>
      </c>
      <c r="E32">
        <f t="shared" si="2"/>
        <v>3.8481614826573336E-4</v>
      </c>
    </row>
    <row r="33" spans="1:5" x14ac:dyDescent="0.25">
      <c r="A33">
        <v>1.71687626725</v>
      </c>
      <c r="B33">
        <v>0.22882919187331716</v>
      </c>
      <c r="C33">
        <f t="shared" si="0"/>
        <v>0.18247021067306451</v>
      </c>
      <c r="D33">
        <f t="shared" si="1"/>
        <v>4.6358981200252641E-2</v>
      </c>
      <c r="E33">
        <f t="shared" si="2"/>
        <v>2.149155137925378E-3</v>
      </c>
    </row>
    <row r="34" spans="1:5" x14ac:dyDescent="0.25">
      <c r="A34">
        <v>1.7605385405499998</v>
      </c>
      <c r="B34">
        <v>0.23458590110283459</v>
      </c>
      <c r="C34">
        <f t="shared" si="0"/>
        <v>0.14684007560816004</v>
      </c>
      <c r="D34">
        <f t="shared" si="1"/>
        <v>8.7745825494674551E-2</v>
      </c>
      <c r="E34">
        <f t="shared" si="2"/>
        <v>7.6993298917418787E-3</v>
      </c>
    </row>
    <row r="35" spans="1:5" x14ac:dyDescent="0.25">
      <c r="A35">
        <v>1.8042008138500001</v>
      </c>
      <c r="B35">
        <v>0.17270127688552239</v>
      </c>
      <c r="C35">
        <f t="shared" si="0"/>
        <v>0.1165022853914266</v>
      </c>
      <c r="D35">
        <f t="shared" si="1"/>
        <v>5.6198991494095796E-2</v>
      </c>
      <c r="E35">
        <f t="shared" si="2"/>
        <v>3.1583266449534517E-3</v>
      </c>
    </row>
    <row r="36" spans="1:5" x14ac:dyDescent="0.25">
      <c r="A36">
        <v>1.8478630871500001</v>
      </c>
      <c r="B36">
        <v>0.15111361727483208</v>
      </c>
      <c r="C36">
        <f t="shared" si="0"/>
        <v>9.1107973248559848E-2</v>
      </c>
      <c r="D36">
        <f t="shared" si="1"/>
        <v>6.0005644026272231E-2</v>
      </c>
      <c r="E36">
        <f t="shared" si="2"/>
        <v>3.6006773150077005E-3</v>
      </c>
    </row>
    <row r="37" spans="1:5" x14ac:dyDescent="0.25">
      <c r="A37">
        <v>1.8915253604500002</v>
      </c>
      <c r="B37">
        <v>0.14679608535269403</v>
      </c>
      <c r="C37">
        <f t="shared" si="0"/>
        <v>7.0210780389672447E-2</v>
      </c>
      <c r="D37">
        <f t="shared" si="1"/>
        <v>7.6585304963021586E-2</v>
      </c>
      <c r="E37">
        <f t="shared" si="2"/>
        <v>5.8653089362790184E-3</v>
      </c>
    </row>
    <row r="38" spans="1:5" x14ac:dyDescent="0.25">
      <c r="A38">
        <v>1.93518763375</v>
      </c>
      <c r="B38">
        <v>0.10074241151655473</v>
      </c>
      <c r="C38">
        <f t="shared" si="0"/>
        <v>5.3305095015834962E-2</v>
      </c>
      <c r="D38">
        <f t="shared" si="1"/>
        <v>4.7437316500719771E-2</v>
      </c>
      <c r="E38">
        <f t="shared" si="2"/>
        <v>2.2502989967894604E-3</v>
      </c>
    </row>
    <row r="39" spans="1:5" x14ac:dyDescent="0.25">
      <c r="A39">
        <v>1.9788499070500001</v>
      </c>
      <c r="B39">
        <v>5.3249560373036069E-2</v>
      </c>
      <c r="C39">
        <f t="shared" si="0"/>
        <v>3.9860429358080054E-2</v>
      </c>
      <c r="D39">
        <f t="shared" si="1"/>
        <v>1.3389131014956014E-2</v>
      </c>
      <c r="E39">
        <f t="shared" si="2"/>
        <v>1.7926882933565707E-4</v>
      </c>
    </row>
    <row r="40" spans="1:5" x14ac:dyDescent="0.25">
      <c r="A40">
        <v>2.0225121803500001</v>
      </c>
      <c r="B40">
        <v>1.4391773073793533E-3</v>
      </c>
      <c r="C40">
        <f t="shared" si="0"/>
        <v>2.9350349860415816E-2</v>
      </c>
      <c r="D40">
        <f t="shared" si="1"/>
        <v>-2.7911172553036462E-2</v>
      </c>
      <c r="E40">
        <f t="shared" si="2"/>
        <v>7.790335532853759E-4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BA66-1241-43EE-A04B-861F1AAE218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0.36727311634999998</v>
      </c>
      <c r="B1">
        <v>8.3054854912782805E-2</v>
      </c>
      <c r="C1">
        <f>$H$3*(1+$H$1)*(A1^($H$1))*EXP(-$H$3*(A1^(1+$H$1)))</f>
        <v>0.23799813139212941</v>
      </c>
      <c r="D1">
        <f>B1-C1</f>
        <v>-0.15494327647934661</v>
      </c>
      <c r="E1">
        <f>D1^2</f>
        <v>2.4007418926155245E-2</v>
      </c>
      <c r="G1" t="s">
        <v>0</v>
      </c>
      <c r="H1">
        <v>2.2192261100764106</v>
      </c>
    </row>
    <row r="2" spans="1:8" x14ac:dyDescent="0.25">
      <c r="A2">
        <v>0.40737192705000003</v>
      </c>
      <c r="B2">
        <v>0.2037194554464484</v>
      </c>
      <c r="C2">
        <f t="shared" ref="C2:C40" si="0">$H$3*(1+$H$1)*(A2^($H$1))*EXP(-$H$3*(A2^(1+$H$1)))</f>
        <v>0.29623861502885646</v>
      </c>
      <c r="D2">
        <f t="shared" ref="D2:D40" si="1">B2-C2</f>
        <v>-9.2519159582408056E-2</v>
      </c>
      <c r="E2">
        <f t="shared" ref="E2:E40" si="2">D2^2</f>
        <v>8.5597948898350883E-3</v>
      </c>
    </row>
    <row r="3" spans="1:8" x14ac:dyDescent="0.25">
      <c r="A3">
        <v>0.44747073775000001</v>
      </c>
      <c r="B3">
        <v>0.28520723762502775</v>
      </c>
      <c r="C3">
        <f t="shared" si="0"/>
        <v>0.35987692419394873</v>
      </c>
      <c r="D3">
        <f t="shared" si="1"/>
        <v>-7.4669686568920979E-2</v>
      </c>
      <c r="E3">
        <f t="shared" si="2"/>
        <v>5.5755620923008979E-3</v>
      </c>
      <c r="G3" t="s">
        <v>1</v>
      </c>
      <c r="H3">
        <f>(_xlfn.GAMMA((2+$H$1)/(1+$H$1)))^(1+$H$1)</f>
        <v>0.70199761713164943</v>
      </c>
    </row>
    <row r="4" spans="1:8" x14ac:dyDescent="0.25">
      <c r="A4">
        <v>0.48756954845</v>
      </c>
      <c r="B4">
        <v>0.32438405598011399</v>
      </c>
      <c r="C4">
        <f t="shared" si="0"/>
        <v>0.42813566211716308</v>
      </c>
      <c r="D4">
        <f t="shared" si="1"/>
        <v>-0.10375160613704909</v>
      </c>
      <c r="E4">
        <f t="shared" si="2"/>
        <v>1.0764395776017363E-2</v>
      </c>
    </row>
    <row r="5" spans="1:8" x14ac:dyDescent="0.25">
      <c r="A5">
        <v>0.52766835914999999</v>
      </c>
      <c r="B5">
        <v>0.50459742041351063</v>
      </c>
      <c r="C5">
        <f t="shared" si="0"/>
        <v>0.50004463066045013</v>
      </c>
      <c r="D5">
        <f t="shared" si="1"/>
        <v>4.5527897530605044E-3</v>
      </c>
      <c r="E5">
        <f t="shared" si="2"/>
        <v>2.0727894535572728E-5</v>
      </c>
      <c r="G5" t="s">
        <v>2</v>
      </c>
      <c r="H5">
        <f>SUM(E1:E40)</f>
        <v>0.85002551591037923</v>
      </c>
    </row>
    <row r="6" spans="1:8" x14ac:dyDescent="0.25">
      <c r="A6">
        <v>0.56776716984999998</v>
      </c>
      <c r="B6">
        <v>0.74279247601243492</v>
      </c>
      <c r="C6">
        <f t="shared" si="0"/>
        <v>0.574443984934629</v>
      </c>
      <c r="D6">
        <f t="shared" si="1"/>
        <v>0.16834849107780592</v>
      </c>
      <c r="E6">
        <f t="shared" si="2"/>
        <v>2.8341214448174099E-2</v>
      </c>
    </row>
    <row r="7" spans="1:8" x14ac:dyDescent="0.25">
      <c r="A7">
        <v>0.60786598054999996</v>
      </c>
      <c r="B7">
        <v>0.92457291318003509</v>
      </c>
      <c r="C7">
        <f t="shared" si="0"/>
        <v>0.64999593343986262</v>
      </c>
      <c r="D7">
        <f t="shared" si="1"/>
        <v>0.27457697974017248</v>
      </c>
      <c r="E7">
        <f t="shared" si="2"/>
        <v>7.5392517803235082E-2</v>
      </c>
    </row>
    <row r="8" spans="1:8" x14ac:dyDescent="0.25">
      <c r="A8">
        <v>0.64796479124999995</v>
      </c>
      <c r="B8">
        <v>0.8885302402933557</v>
      </c>
      <c r="C8">
        <f t="shared" si="0"/>
        <v>0.72520612098282689</v>
      </c>
      <c r="D8">
        <f t="shared" si="1"/>
        <v>0.16332411931052881</v>
      </c>
      <c r="E8">
        <f t="shared" si="2"/>
        <v>2.6674767948559851E-2</v>
      </c>
    </row>
    <row r="9" spans="1:8" x14ac:dyDescent="0.25">
      <c r="A9">
        <v>0.68806360194999994</v>
      </c>
      <c r="B9">
        <v>1.078146041131973</v>
      </c>
      <c r="C9">
        <f t="shared" si="0"/>
        <v>0.7984553699982837</v>
      </c>
      <c r="D9">
        <f t="shared" si="1"/>
        <v>0.27969067113368928</v>
      </c>
      <c r="E9">
        <f t="shared" si="2"/>
        <v>7.8226871519213537E-2</v>
      </c>
    </row>
    <row r="10" spans="1:8" x14ac:dyDescent="0.25">
      <c r="A10">
        <v>0.72816241264999992</v>
      </c>
      <c r="B10">
        <v>0.90576804036959369</v>
      </c>
      <c r="C10">
        <f t="shared" si="0"/>
        <v>0.86804185888839824</v>
      </c>
      <c r="D10">
        <f t="shared" si="1"/>
        <v>3.7726181481195442E-2</v>
      </c>
      <c r="E10">
        <f t="shared" si="2"/>
        <v>1.4232647691520938E-3</v>
      </c>
    </row>
    <row r="11" spans="1:8" x14ac:dyDescent="0.25">
      <c r="A11">
        <v>0.76826122334999991</v>
      </c>
      <c r="B11">
        <v>1.1047862776134316</v>
      </c>
      <c r="C11">
        <f t="shared" si="0"/>
        <v>0.93223309691788736</v>
      </c>
      <c r="D11">
        <f t="shared" si="1"/>
        <v>0.17255318069554426</v>
      </c>
      <c r="E11">
        <f t="shared" si="2"/>
        <v>2.9774600168149149E-2</v>
      </c>
    </row>
    <row r="12" spans="1:8" x14ac:dyDescent="0.25">
      <c r="A12">
        <v>0.80836003405000001</v>
      </c>
      <c r="B12">
        <v>1.1533655323737386</v>
      </c>
      <c r="C12">
        <f t="shared" si="0"/>
        <v>0.98932624694461591</v>
      </c>
      <c r="D12">
        <f t="shared" si="1"/>
        <v>0.16403928542912272</v>
      </c>
      <c r="E12">
        <f t="shared" si="2"/>
        <v>2.6908887164097194E-2</v>
      </c>
    </row>
    <row r="13" spans="1:8" x14ac:dyDescent="0.25">
      <c r="A13">
        <v>0.84845884475</v>
      </c>
      <c r="B13">
        <v>1.112621641284449</v>
      </c>
      <c r="C13">
        <f t="shared" si="0"/>
        <v>1.0377145022358705</v>
      </c>
      <c r="D13">
        <f t="shared" si="1"/>
        <v>7.4907139048578486E-2</v>
      </c>
      <c r="E13">
        <f t="shared" si="2"/>
        <v>5.6110794804430722E-3</v>
      </c>
    </row>
    <row r="14" spans="1:8" x14ac:dyDescent="0.25">
      <c r="A14">
        <v>0.88855765544999998</v>
      </c>
      <c r="B14">
        <v>1.248956969160149</v>
      </c>
      <c r="C14">
        <f t="shared" si="0"/>
        <v>1.0759564118368159</v>
      </c>
      <c r="D14">
        <f t="shared" si="1"/>
        <v>0.17300055732333308</v>
      </c>
      <c r="E14">
        <f t="shared" si="2"/>
        <v>2.9929192834183854E-2</v>
      </c>
    </row>
    <row r="15" spans="1:8" x14ac:dyDescent="0.25">
      <c r="A15">
        <v>0.92865646614999997</v>
      </c>
      <c r="B15">
        <v>1.3790240060990353</v>
      </c>
      <c r="C15">
        <f t="shared" si="0"/>
        <v>1.1028443535577142</v>
      </c>
      <c r="D15">
        <f t="shared" si="1"/>
        <v>0.27617965254132115</v>
      </c>
      <c r="E15">
        <f t="shared" si="2"/>
        <v>7.6275200477844876E-2</v>
      </c>
    </row>
    <row r="16" spans="1:8" x14ac:dyDescent="0.25">
      <c r="A16">
        <v>0.96875527685000007</v>
      </c>
      <c r="B16">
        <v>1.2113472235392662</v>
      </c>
      <c r="C16">
        <f t="shared" si="0"/>
        <v>1.1174678636127506</v>
      </c>
      <c r="D16">
        <f t="shared" si="1"/>
        <v>9.3879359926515527E-2</v>
      </c>
      <c r="E16">
        <f t="shared" si="2"/>
        <v>8.8133342202122485E-3</v>
      </c>
    </row>
    <row r="17" spans="1:5" x14ac:dyDescent="0.25">
      <c r="A17">
        <v>1.0088540875500001</v>
      </c>
      <c r="B17">
        <v>1.4417069154671733</v>
      </c>
      <c r="C17">
        <f t="shared" si="0"/>
        <v>1.1192673322621844</v>
      </c>
      <c r="D17">
        <f t="shared" si="1"/>
        <v>0.32243958320498889</v>
      </c>
      <c r="E17">
        <f t="shared" si="2"/>
        <v>0.10396728481740695</v>
      </c>
    </row>
    <row r="18" spans="1:5" x14ac:dyDescent="0.25">
      <c r="A18">
        <v>1.04895289825</v>
      </c>
      <c r="B18">
        <v>1.1298594413606868</v>
      </c>
      <c r="C18">
        <f t="shared" si="0"/>
        <v>1.1080737348374017</v>
      </c>
      <c r="D18">
        <f t="shared" si="1"/>
        <v>2.1785706523285153E-2</v>
      </c>
      <c r="E18">
        <f t="shared" si="2"/>
        <v>4.7461700871870928E-4</v>
      </c>
    </row>
    <row r="19" spans="1:5" x14ac:dyDescent="0.25">
      <c r="A19">
        <v>1.08905170895</v>
      </c>
      <c r="B19">
        <v>1.0091948408270213</v>
      </c>
      <c r="C19">
        <f t="shared" si="0"/>
        <v>1.0841306288749271</v>
      </c>
      <c r="D19">
        <f t="shared" si="1"/>
        <v>-7.4935788047905794E-2</v>
      </c>
      <c r="E19">
        <f t="shared" si="2"/>
        <v>5.6153723303606611E-3</v>
      </c>
    </row>
    <row r="20" spans="1:5" x14ac:dyDescent="0.25">
      <c r="A20">
        <v>1.12915051965</v>
      </c>
      <c r="B20">
        <v>0.93397534958525574</v>
      </c>
      <c r="C20">
        <f t="shared" si="0"/>
        <v>1.0480956137719961</v>
      </c>
      <c r="D20">
        <f t="shared" si="1"/>
        <v>-0.11412026418674037</v>
      </c>
      <c r="E20">
        <f t="shared" si="2"/>
        <v>1.3023434698051417E-2</v>
      </c>
    </row>
    <row r="21" spans="1:5" x14ac:dyDescent="0.25">
      <c r="A21">
        <v>1.16924933035</v>
      </c>
      <c r="B21">
        <v>0.86189000381189707</v>
      </c>
      <c r="C21">
        <f t="shared" si="0"/>
        <v>1.0010197762663275</v>
      </c>
      <c r="D21">
        <f t="shared" si="1"/>
        <v>-0.13912977245443048</v>
      </c>
      <c r="E21">
        <f t="shared" si="2"/>
        <v>1.9357093583221602E-2</v>
      </c>
    </row>
    <row r="22" spans="1:5" x14ac:dyDescent="0.25">
      <c r="A22">
        <v>1.20934814105</v>
      </c>
      <c r="B22">
        <v>0.76629856702548671</v>
      </c>
      <c r="C22">
        <f t="shared" si="0"/>
        <v>0.94430524146291772</v>
      </c>
      <c r="D22">
        <f t="shared" si="1"/>
        <v>-0.17800667443743101</v>
      </c>
      <c r="E22">
        <f t="shared" si="2"/>
        <v>3.1686376144273554E-2</v>
      </c>
    </row>
    <row r="23" spans="1:5" x14ac:dyDescent="0.25">
      <c r="A23">
        <v>1.24944695175</v>
      </c>
      <c r="B23">
        <v>0.67540834844168662</v>
      </c>
      <c r="C23">
        <f t="shared" si="0"/>
        <v>0.87964267913740501</v>
      </c>
      <c r="D23">
        <f t="shared" si="1"/>
        <v>-0.20423433069571839</v>
      </c>
      <c r="E23">
        <f t="shared" si="2"/>
        <v>4.1711661834728062E-2</v>
      </c>
    </row>
    <row r="24" spans="1:5" x14ac:dyDescent="0.25">
      <c r="A24">
        <v>1.28954576245</v>
      </c>
      <c r="B24">
        <v>0.51870107502134166</v>
      </c>
      <c r="C24">
        <f t="shared" si="0"/>
        <v>0.80893230993540299</v>
      </c>
      <c r="D24">
        <f t="shared" si="1"/>
        <v>-0.29023123491406133</v>
      </c>
      <c r="E24">
        <f t="shared" si="2"/>
        <v>8.4234169719741056E-2</v>
      </c>
    </row>
    <row r="25" spans="1:5" x14ac:dyDescent="0.25">
      <c r="A25">
        <v>1.32964457315</v>
      </c>
      <c r="B25">
        <v>0.60175592993412452</v>
      </c>
      <c r="C25">
        <f t="shared" si="0"/>
        <v>0.73419343258178371</v>
      </c>
      <c r="D25">
        <f t="shared" si="1"/>
        <v>-0.13243750264765919</v>
      </c>
      <c r="E25">
        <f t="shared" si="2"/>
        <v>1.7539692107548736E-2</v>
      </c>
    </row>
    <row r="26" spans="1:5" x14ac:dyDescent="0.25">
      <c r="A26">
        <v>1.3697433838499999</v>
      </c>
      <c r="B26">
        <v>0.52340229322395204</v>
      </c>
      <c r="C26">
        <f t="shared" si="0"/>
        <v>0.65746857644373968</v>
      </c>
      <c r="D26">
        <f t="shared" si="1"/>
        <v>-0.13406628321978764</v>
      </c>
      <c r="E26">
        <f t="shared" si="2"/>
        <v>1.7973768296368313E-2</v>
      </c>
    </row>
    <row r="27" spans="1:5" x14ac:dyDescent="0.25">
      <c r="A27">
        <v>1.4098421945499999</v>
      </c>
      <c r="B27">
        <v>0.40900598362710028</v>
      </c>
      <c r="C27">
        <f t="shared" si="0"/>
        <v>0.58072893200679165</v>
      </c>
      <c r="D27">
        <f t="shared" si="1"/>
        <v>-0.17172294837969138</v>
      </c>
      <c r="E27">
        <f t="shared" si="2"/>
        <v>2.9488771000214149E-2</v>
      </c>
    </row>
    <row r="28" spans="1:5" x14ac:dyDescent="0.25">
      <c r="A28">
        <v>1.4499410052499999</v>
      </c>
      <c r="B28">
        <v>0.3980364744876761</v>
      </c>
      <c r="C28">
        <f t="shared" si="0"/>
        <v>0.50578763894746714</v>
      </c>
      <c r="D28">
        <f t="shared" si="1"/>
        <v>-0.10775116445979105</v>
      </c>
      <c r="E28">
        <f t="shared" si="2"/>
        <v>1.1610313442440937E-2</v>
      </c>
    </row>
    <row r="29" spans="1:5" x14ac:dyDescent="0.25">
      <c r="A29">
        <v>1.4900398159499999</v>
      </c>
      <c r="B29">
        <v>0.37609745620882784</v>
      </c>
      <c r="C29">
        <f t="shared" si="0"/>
        <v>0.43422680345658288</v>
      </c>
      <c r="D29">
        <f t="shared" si="1"/>
        <v>-5.8129347247755037E-2</v>
      </c>
      <c r="E29">
        <f t="shared" si="2"/>
        <v>3.379021011450086E-3</v>
      </c>
    </row>
    <row r="30" spans="1:5" x14ac:dyDescent="0.25">
      <c r="A30">
        <v>1.5301386266499999</v>
      </c>
      <c r="B30">
        <v>0.38079867441143816</v>
      </c>
      <c r="C30">
        <f t="shared" si="0"/>
        <v>0.36734283790973227</v>
      </c>
      <c r="D30">
        <f t="shared" si="1"/>
        <v>1.3455836501705898E-2</v>
      </c>
      <c r="E30">
        <f t="shared" si="2"/>
        <v>1.8105953596064082E-4</v>
      </c>
    </row>
    <row r="31" spans="1:5" x14ac:dyDescent="0.25">
      <c r="A31">
        <v>1.5702374373499999</v>
      </c>
      <c r="B31">
        <v>0.3306523469169278</v>
      </c>
      <c r="C31">
        <f t="shared" si="0"/>
        <v>0.30611300517539175</v>
      </c>
      <c r="D31">
        <f t="shared" si="1"/>
        <v>2.4539341741536047E-2</v>
      </c>
      <c r="E31">
        <f t="shared" si="2"/>
        <v>6.0217929310789342E-4</v>
      </c>
    </row>
    <row r="32" spans="1:5" x14ac:dyDescent="0.25">
      <c r="A32">
        <v>1.6103362480500001</v>
      </c>
      <c r="B32">
        <v>0.26640236481458635</v>
      </c>
      <c r="C32">
        <f t="shared" si="0"/>
        <v>0.25118410189730256</v>
      </c>
      <c r="D32">
        <f t="shared" si="1"/>
        <v>1.5218262917283787E-2</v>
      </c>
      <c r="E32">
        <f t="shared" si="2"/>
        <v>2.3159552621957483E-4</v>
      </c>
    </row>
    <row r="33" spans="1:5" x14ac:dyDescent="0.25">
      <c r="A33">
        <v>1.6504350587499999</v>
      </c>
      <c r="B33">
        <v>0.2632682193461795</v>
      </c>
      <c r="C33">
        <f t="shared" si="0"/>
        <v>0.20288225542841964</v>
      </c>
      <c r="D33">
        <f t="shared" si="1"/>
        <v>6.0385963917759855E-2</v>
      </c>
      <c r="E33">
        <f t="shared" si="2"/>
        <v>3.6464646382769949E-3</v>
      </c>
    </row>
    <row r="34" spans="1:5" x14ac:dyDescent="0.25">
      <c r="A34">
        <v>1.6905338694499998</v>
      </c>
      <c r="B34">
        <v>0.26483529208038292</v>
      </c>
      <c r="C34">
        <f t="shared" si="0"/>
        <v>0.16124106148917108</v>
      </c>
      <c r="D34">
        <f t="shared" si="1"/>
        <v>0.10359423059121184</v>
      </c>
      <c r="E34">
        <f t="shared" si="2"/>
        <v>1.0731764611785171E-2</v>
      </c>
    </row>
    <row r="35" spans="1:5" x14ac:dyDescent="0.25">
      <c r="A35">
        <v>1.7306326801499998</v>
      </c>
      <c r="B35">
        <v>0.20215238271224495</v>
      </c>
      <c r="C35">
        <f t="shared" si="0"/>
        <v>0.1260439439856462</v>
      </c>
      <c r="D35">
        <f t="shared" si="1"/>
        <v>7.6108438726598754E-2</v>
      </c>
      <c r="E35">
        <f t="shared" si="2"/>
        <v>5.7924944454004366E-3</v>
      </c>
    </row>
    <row r="36" spans="1:5" x14ac:dyDescent="0.25">
      <c r="A36">
        <v>1.77073149085</v>
      </c>
      <c r="B36">
        <v>0.13790240060990352</v>
      </c>
      <c r="C36">
        <f t="shared" si="0"/>
        <v>9.6875804141103902E-2</v>
      </c>
      <c r="D36">
        <f t="shared" si="1"/>
        <v>4.1026596468799623E-2</v>
      </c>
      <c r="E36">
        <f t="shared" si="2"/>
        <v>1.6831816178137216E-3</v>
      </c>
    </row>
    <row r="37" spans="1:5" x14ac:dyDescent="0.25">
      <c r="A37">
        <v>1.81083030155</v>
      </c>
      <c r="B37">
        <v>0.16297556435715871</v>
      </c>
      <c r="C37">
        <f t="shared" si="0"/>
        <v>7.3178795555081264E-2</v>
      </c>
      <c r="D37">
        <f t="shared" si="1"/>
        <v>8.9796768802077445E-2</v>
      </c>
      <c r="E37">
        <f t="shared" si="2"/>
        <v>8.0634596872937499E-3</v>
      </c>
    </row>
    <row r="38" spans="1:5" x14ac:dyDescent="0.25">
      <c r="A38">
        <v>1.8509291122499998</v>
      </c>
      <c r="B38">
        <v>9.8725582254817298E-2</v>
      </c>
      <c r="C38">
        <f t="shared" si="0"/>
        <v>5.4307386904316628E-2</v>
      </c>
      <c r="D38">
        <f t="shared" si="1"/>
        <v>4.4418195350500671E-2</v>
      </c>
      <c r="E38">
        <f t="shared" si="2"/>
        <v>1.9729760781952393E-3</v>
      </c>
    </row>
    <row r="39" spans="1:5" x14ac:dyDescent="0.25">
      <c r="A39">
        <v>1.8910279229499998</v>
      </c>
      <c r="B39">
        <v>3.2908527418272437E-2</v>
      </c>
      <c r="C39">
        <f t="shared" si="0"/>
        <v>3.9578655872060033E-2</v>
      </c>
      <c r="D39">
        <f t="shared" si="1"/>
        <v>-6.6701284537875952E-3</v>
      </c>
      <c r="E39">
        <f t="shared" si="2"/>
        <v>4.4490613590026894E-5</v>
      </c>
    </row>
    <row r="40" spans="1:5" x14ac:dyDescent="0.25">
      <c r="A40">
        <v>1.93112673365</v>
      </c>
      <c r="B40">
        <v>1.5670727342034492E-3</v>
      </c>
      <c r="C40">
        <f t="shared" si="0"/>
        <v>2.8314847522068826E-2</v>
      </c>
      <c r="D40">
        <f t="shared" si="1"/>
        <v>-2.6747774787865376E-2</v>
      </c>
      <c r="E40">
        <f t="shared" si="2"/>
        <v>7.1544345610236666E-4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79BE-3EEC-4318-B02D-B109D6C1C08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0.42312167337499995</v>
      </c>
      <c r="B1">
        <v>0.10059803069600909</v>
      </c>
      <c r="C1">
        <f>$H$3*(1+$H$1)*(A1^($H$1))*EXP(-$H$3*(A1^(1+$H$1)))</f>
        <v>0.25481722643650534</v>
      </c>
      <c r="D1">
        <f>B1-C1</f>
        <v>-0.15421919574049625</v>
      </c>
      <c r="E1">
        <f>D1^2</f>
        <v>2.3783560334845497E-2</v>
      </c>
      <c r="G1" t="s">
        <v>0</v>
      </c>
      <c r="H1">
        <v>2.6098225670019453</v>
      </c>
    </row>
    <row r="2" spans="1:8" x14ac:dyDescent="0.25">
      <c r="A2">
        <v>0.45935090812499996</v>
      </c>
      <c r="B2">
        <v>0.21507165183284702</v>
      </c>
      <c r="C2">
        <f t="shared" ref="C2:C40" si="0">$H$3*(1+$H$1)*(A2^($H$1))*EXP(-$H$3*(A2^(1+$H$1)))</f>
        <v>0.3124116427665744</v>
      </c>
      <c r="D2">
        <f t="shared" ref="D2:D40" si="1">B2-C2</f>
        <v>-9.7339990933727388E-2</v>
      </c>
      <c r="E2">
        <f t="shared" ref="E2:E40" si="2">D2^2</f>
        <v>9.4750738349781306E-3</v>
      </c>
    </row>
    <row r="3" spans="1:8" x14ac:dyDescent="0.25">
      <c r="A3">
        <v>0.49558014287499996</v>
      </c>
      <c r="B3">
        <v>0.28098070642678402</v>
      </c>
      <c r="C3">
        <f t="shared" si="0"/>
        <v>0.37592213266065388</v>
      </c>
      <c r="D3">
        <f t="shared" si="1"/>
        <v>-9.4941426233869863E-2</v>
      </c>
      <c r="E3">
        <f t="shared" si="2"/>
        <v>9.0138744153213535E-3</v>
      </c>
      <c r="G3" t="s">
        <v>1</v>
      </c>
      <c r="H3">
        <f>(_xlfn.GAMMA((2+$H$1)/(1+$H$1)))^(1+$H$1)</f>
        <v>0.68703622301643585</v>
      </c>
    </row>
    <row r="4" spans="1:8" x14ac:dyDescent="0.25">
      <c r="A4">
        <v>0.53180937762499991</v>
      </c>
      <c r="B4">
        <v>0.37290649309727508</v>
      </c>
      <c r="C4">
        <f t="shared" si="0"/>
        <v>0.44483886392112654</v>
      </c>
      <c r="D4">
        <f t="shared" si="1"/>
        <v>-7.1932370823851455E-2</v>
      </c>
      <c r="E4">
        <f t="shared" si="2"/>
        <v>5.1742659723400756E-3</v>
      </c>
    </row>
    <row r="5" spans="1:8" x14ac:dyDescent="0.25">
      <c r="A5">
        <v>0.56803861237499997</v>
      </c>
      <c r="B5">
        <v>0.51339684631066707</v>
      </c>
      <c r="C5">
        <f t="shared" si="0"/>
        <v>0.51844126865407292</v>
      </c>
      <c r="D5">
        <f t="shared" si="1"/>
        <v>-5.0444223434058522E-3</v>
      </c>
      <c r="E5">
        <f t="shared" si="2"/>
        <v>2.544619677865219E-5</v>
      </c>
      <c r="G5" t="s">
        <v>2</v>
      </c>
      <c r="H5">
        <f>SUM(E1:E40)</f>
        <v>1.0065047192538941</v>
      </c>
    </row>
    <row r="6" spans="1:8" x14ac:dyDescent="0.25">
      <c r="A6">
        <v>0.60426784712500003</v>
      </c>
      <c r="B6">
        <v>0.7093895612873744</v>
      </c>
      <c r="C6">
        <f t="shared" si="0"/>
        <v>0.59578756671653321</v>
      </c>
      <c r="D6">
        <f t="shared" si="1"/>
        <v>0.11360199457084119</v>
      </c>
      <c r="E6">
        <f t="shared" si="2"/>
        <v>1.2905413170473432E-2</v>
      </c>
    </row>
    <row r="7" spans="1:8" x14ac:dyDescent="0.25">
      <c r="A7">
        <v>0.64049708187499999</v>
      </c>
      <c r="B7">
        <v>1.0389348342570595</v>
      </c>
      <c r="C7">
        <f t="shared" si="0"/>
        <v>0.67571155281494422</v>
      </c>
      <c r="D7">
        <f t="shared" si="1"/>
        <v>0.36322328144211524</v>
      </c>
      <c r="E7">
        <f t="shared" si="2"/>
        <v>0.13193115218157805</v>
      </c>
    </row>
    <row r="8" spans="1:8" x14ac:dyDescent="0.25">
      <c r="A8">
        <v>0.67672631662499994</v>
      </c>
      <c r="B8">
        <v>0.87416219777221693</v>
      </c>
      <c r="C8">
        <f t="shared" si="0"/>
        <v>0.75682865877308003</v>
      </c>
      <c r="D8">
        <f t="shared" si="1"/>
        <v>0.1173335389991369</v>
      </c>
      <c r="E8">
        <f t="shared" si="2"/>
        <v>1.376715937406198E-2</v>
      </c>
    </row>
    <row r="9" spans="1:8" x14ac:dyDescent="0.25">
      <c r="A9">
        <v>0.71295555137500011</v>
      </c>
      <c r="B9">
        <v>1.2054419195470054</v>
      </c>
      <c r="C9">
        <f t="shared" si="0"/>
        <v>0.83755312677761284</v>
      </c>
      <c r="D9">
        <f t="shared" si="1"/>
        <v>0.36788879276939257</v>
      </c>
      <c r="E9">
        <f t="shared" si="2"/>
        <v>0.13534216384532108</v>
      </c>
    </row>
    <row r="10" spans="1:8" x14ac:dyDescent="0.25">
      <c r="A10">
        <v>0.74918478612500006</v>
      </c>
      <c r="B10">
        <v>1.0788271567744423</v>
      </c>
      <c r="C10">
        <f t="shared" si="0"/>
        <v>0.91612776005261332</v>
      </c>
      <c r="D10">
        <f t="shared" si="1"/>
        <v>0.16269939672182898</v>
      </c>
      <c r="E10">
        <f t="shared" si="2"/>
        <v>2.6471093693647096E-2</v>
      </c>
    </row>
    <row r="11" spans="1:8" x14ac:dyDescent="0.25">
      <c r="A11">
        <v>0.78541402087500001</v>
      </c>
      <c r="B11">
        <v>1.1395328649530685</v>
      </c>
      <c r="C11">
        <f t="shared" si="0"/>
        <v>0.99066713024269848</v>
      </c>
      <c r="D11">
        <f t="shared" si="1"/>
        <v>0.14886573471037001</v>
      </c>
      <c r="E11">
        <f t="shared" si="2"/>
        <v>2.2161006970858262E-2</v>
      </c>
    </row>
    <row r="12" spans="1:8" x14ac:dyDescent="0.25">
      <c r="A12">
        <v>0.82164325562499996</v>
      </c>
      <c r="B12">
        <v>1.2366619980388702</v>
      </c>
      <c r="C12">
        <f t="shared" si="0"/>
        <v>1.0592143093912645</v>
      </c>
      <c r="D12">
        <f t="shared" si="1"/>
        <v>0.17744768864760574</v>
      </c>
      <c r="E12">
        <f t="shared" si="2"/>
        <v>3.1487682206377626E-2</v>
      </c>
    </row>
    <row r="13" spans="1:8" x14ac:dyDescent="0.25">
      <c r="A13">
        <v>0.85787249037499991</v>
      </c>
      <c r="B13">
        <v>1.3251188870991542</v>
      </c>
      <c r="C13">
        <f t="shared" si="0"/>
        <v>1.1198101768207471</v>
      </c>
      <c r="D13">
        <f t="shared" si="1"/>
        <v>0.20530871027840703</v>
      </c>
      <c r="E13">
        <f t="shared" si="2"/>
        <v>4.2151666516182872E-2</v>
      </c>
    </row>
    <row r="14" spans="1:8" x14ac:dyDescent="0.25">
      <c r="A14">
        <v>0.89410172512499997</v>
      </c>
      <c r="B14">
        <v>1.273085422946046</v>
      </c>
      <c r="C14">
        <f t="shared" si="0"/>
        <v>1.1705731755482776</v>
      </c>
      <c r="D14">
        <f t="shared" si="1"/>
        <v>0.10251224739776843</v>
      </c>
      <c r="E14">
        <f t="shared" si="2"/>
        <v>1.050876086654128E-2</v>
      </c>
    </row>
    <row r="15" spans="1:8" x14ac:dyDescent="0.25">
      <c r="A15">
        <v>0.93033095987500003</v>
      </c>
      <c r="B15">
        <v>1.4465303034564065</v>
      </c>
      <c r="C15">
        <f t="shared" si="0"/>
        <v>1.2097861404147192</v>
      </c>
      <c r="D15">
        <f t="shared" si="1"/>
        <v>0.23674416304168733</v>
      </c>
      <c r="E15">
        <f t="shared" si="2"/>
        <v>5.6047798734309033E-2</v>
      </c>
    </row>
    <row r="16" spans="1:8" x14ac:dyDescent="0.25">
      <c r="A16">
        <v>0.96656019462499998</v>
      </c>
      <c r="B16">
        <v>1.3702145560318479</v>
      </c>
      <c r="C16">
        <f t="shared" si="0"/>
        <v>1.2359856046397204</v>
      </c>
      <c r="D16">
        <f t="shared" si="1"/>
        <v>0.13422895139212754</v>
      </c>
      <c r="E16">
        <f t="shared" si="2"/>
        <v>1.8017411391830138E-2</v>
      </c>
    </row>
    <row r="17" spans="1:5" x14ac:dyDescent="0.25">
      <c r="A17">
        <v>1.0027894293749999</v>
      </c>
      <c r="B17">
        <v>1.5002982164146184</v>
      </c>
      <c r="C17">
        <f t="shared" si="0"/>
        <v>1.2480479532779658</v>
      </c>
      <c r="D17">
        <f t="shared" si="1"/>
        <v>0.25225026313665255</v>
      </c>
      <c r="E17">
        <f t="shared" si="2"/>
        <v>6.3630195252510457E-2</v>
      </c>
    </row>
    <row r="18" spans="1:5" x14ac:dyDescent="0.25">
      <c r="A18">
        <v>1.0390186641249999</v>
      </c>
      <c r="B18">
        <v>1.356338965591019</v>
      </c>
      <c r="C18">
        <f t="shared" si="0"/>
        <v>1.2452660857115498</v>
      </c>
      <c r="D18">
        <f t="shared" si="1"/>
        <v>0.11107287987946912</v>
      </c>
      <c r="E18">
        <f t="shared" si="2"/>
        <v>1.2337184644718977E-2</v>
      </c>
    </row>
    <row r="19" spans="1:5" x14ac:dyDescent="0.25">
      <c r="A19">
        <v>1.0752478988750001</v>
      </c>
      <c r="B19">
        <v>1.1794251874704513</v>
      </c>
      <c r="C19">
        <f t="shared" si="0"/>
        <v>1.2274100259491056</v>
      </c>
      <c r="D19">
        <f t="shared" si="1"/>
        <v>-4.7984838478654313E-2</v>
      </c>
      <c r="E19">
        <f t="shared" si="2"/>
        <v>2.3025447238225437E-3</v>
      </c>
    </row>
    <row r="20" spans="1:5" x14ac:dyDescent="0.25">
      <c r="A20">
        <v>1.111477133625</v>
      </c>
      <c r="B20">
        <v>1.1152505816816181</v>
      </c>
      <c r="C20">
        <f t="shared" si="0"/>
        <v>1.1947653038362211</v>
      </c>
      <c r="D20">
        <f t="shared" si="1"/>
        <v>-7.951472215460309E-2</v>
      </c>
      <c r="E20">
        <f t="shared" si="2"/>
        <v>6.3225910393237272E-3</v>
      </c>
    </row>
    <row r="21" spans="1:5" x14ac:dyDescent="0.25">
      <c r="A21">
        <v>1.1477063683750002</v>
      </c>
      <c r="B21">
        <v>1.0094492045702981</v>
      </c>
      <c r="C21">
        <f t="shared" si="0"/>
        <v>1.1481439957698689</v>
      </c>
      <c r="D21">
        <f t="shared" si="1"/>
        <v>-0.13869479119957084</v>
      </c>
      <c r="E21">
        <f t="shared" si="2"/>
        <v>1.9236245105892554E-2</v>
      </c>
    </row>
    <row r="22" spans="1:5" x14ac:dyDescent="0.25">
      <c r="A22">
        <v>1.1839356031250001</v>
      </c>
      <c r="B22">
        <v>0.92446121312022145</v>
      </c>
      <c r="C22">
        <f t="shared" si="0"/>
        <v>1.0888650591765294</v>
      </c>
      <c r="D22">
        <f t="shared" si="1"/>
        <v>-0.16440384605630798</v>
      </c>
      <c r="E22">
        <f t="shared" si="2"/>
        <v>2.7028624598106211E-2</v>
      </c>
    </row>
    <row r="23" spans="1:5" x14ac:dyDescent="0.25">
      <c r="A23">
        <v>1.2201648378750001</v>
      </c>
      <c r="B23">
        <v>0.78743975751703665</v>
      </c>
      <c r="C23">
        <f t="shared" si="0"/>
        <v>1.0187029287859291</v>
      </c>
      <c r="D23">
        <f t="shared" si="1"/>
        <v>-0.2312631712688924</v>
      </c>
      <c r="E23">
        <f t="shared" si="2"/>
        <v>5.3482654385345059E-2</v>
      </c>
    </row>
    <row r="24" spans="1:5" x14ac:dyDescent="0.25">
      <c r="A24">
        <v>1.256394072625</v>
      </c>
      <c r="B24">
        <v>0.60532263298115807</v>
      </c>
      <c r="C24">
        <f t="shared" si="0"/>
        <v>0.93980607613063016</v>
      </c>
      <c r="D24">
        <f t="shared" si="1"/>
        <v>-0.33448344314947209</v>
      </c>
      <c r="E24">
        <f t="shared" si="2"/>
        <v>0.11187917374112613</v>
      </c>
    </row>
    <row r="25" spans="1:5" x14ac:dyDescent="0.25">
      <c r="A25">
        <v>1.292623307375</v>
      </c>
      <c r="B25">
        <v>0.68510727801592397</v>
      </c>
      <c r="C25">
        <f t="shared" si="0"/>
        <v>0.85459009178832746</v>
      </c>
      <c r="D25">
        <f t="shared" si="1"/>
        <v>-0.16948281377240348</v>
      </c>
      <c r="E25">
        <f t="shared" si="2"/>
        <v>2.8724424164211199E-2</v>
      </c>
    </row>
    <row r="26" spans="1:5" x14ac:dyDescent="0.25">
      <c r="A26">
        <v>1.3288525421249999</v>
      </c>
      <c r="B26">
        <v>0.57236810568418961</v>
      </c>
      <c r="C26">
        <f t="shared" si="0"/>
        <v>0.76561249823260191</v>
      </c>
      <c r="D26">
        <f t="shared" si="1"/>
        <v>-0.1932443925484123</v>
      </c>
      <c r="E26">
        <f t="shared" si="2"/>
        <v>3.7343395251404871E-2</v>
      </c>
    </row>
    <row r="27" spans="1:5" x14ac:dyDescent="0.25">
      <c r="A27">
        <v>1.3650817768750001</v>
      </c>
      <c r="B27">
        <v>0.4995212558698382</v>
      </c>
      <c r="C27">
        <f t="shared" si="0"/>
        <v>0.67543858847550931</v>
      </c>
      <c r="D27">
        <f t="shared" si="1"/>
        <v>-0.17591733260567111</v>
      </c>
      <c r="E27">
        <f t="shared" si="2"/>
        <v>3.0946907911094314E-2</v>
      </c>
    </row>
    <row r="28" spans="1:5" x14ac:dyDescent="0.25">
      <c r="A28">
        <v>1.401311011625</v>
      </c>
      <c r="B28">
        <v>0.46830117737797333</v>
      </c>
      <c r="C28">
        <f t="shared" si="0"/>
        <v>0.58650879705533698</v>
      </c>
      <c r="D28">
        <f t="shared" si="1"/>
        <v>-0.11820761967736365</v>
      </c>
      <c r="E28">
        <f t="shared" si="2"/>
        <v>1.3973041349788251E-2</v>
      </c>
    </row>
    <row r="29" spans="1:5" x14ac:dyDescent="0.25">
      <c r="A29">
        <v>1.437540246375</v>
      </c>
      <c r="B29">
        <v>0.40412657158913995</v>
      </c>
      <c r="C29">
        <f t="shared" si="0"/>
        <v>0.50101822225869463</v>
      </c>
      <c r="D29">
        <f t="shared" si="1"/>
        <v>-9.6891650669554685E-2</v>
      </c>
      <c r="E29">
        <f t="shared" si="2"/>
        <v>9.3879919694710174E-3</v>
      </c>
    </row>
    <row r="30" spans="1:5" x14ac:dyDescent="0.25">
      <c r="A30">
        <v>1.4737694811249999</v>
      </c>
      <c r="B30">
        <v>0.4596289333524553</v>
      </c>
      <c r="C30">
        <f t="shared" si="0"/>
        <v>0.42081784756904572</v>
      </c>
      <c r="D30">
        <f t="shared" si="1"/>
        <v>3.8811085783409582E-2</v>
      </c>
      <c r="E30">
        <f t="shared" si="2"/>
        <v>1.5063003796871774E-3</v>
      </c>
    </row>
    <row r="31" spans="1:5" x14ac:dyDescent="0.25">
      <c r="A31">
        <v>1.5099987158750001</v>
      </c>
      <c r="B31">
        <v>0.35382755624113543</v>
      </c>
      <c r="C31">
        <f t="shared" si="0"/>
        <v>0.34734483882318096</v>
      </c>
      <c r="D31">
        <f t="shared" si="1"/>
        <v>6.4827174179544755E-3</v>
      </c>
      <c r="E31">
        <f t="shared" si="2"/>
        <v>4.202562512105034E-5</v>
      </c>
    </row>
    <row r="32" spans="1:5" x14ac:dyDescent="0.25">
      <c r="A32">
        <v>1.5462279506250001</v>
      </c>
      <c r="B32">
        <v>0.28271515523188762</v>
      </c>
      <c r="C32">
        <f t="shared" si="0"/>
        <v>0.28158627136398257</v>
      </c>
      <c r="D32">
        <f t="shared" si="1"/>
        <v>1.1288838679050506E-3</v>
      </c>
      <c r="E32">
        <f t="shared" si="2"/>
        <v>1.2743787872162677E-6</v>
      </c>
    </row>
    <row r="33" spans="1:5" x14ac:dyDescent="0.25">
      <c r="A33">
        <v>1.582457185375</v>
      </c>
      <c r="B33">
        <v>0.31046633611354529</v>
      </c>
      <c r="C33">
        <f t="shared" si="0"/>
        <v>0.22407715545542362</v>
      </c>
      <c r="D33">
        <f t="shared" si="1"/>
        <v>8.6389180658121678E-2</v>
      </c>
      <c r="E33">
        <f t="shared" si="2"/>
        <v>7.4630905347815848E-3</v>
      </c>
    </row>
    <row r="34" spans="1:5" x14ac:dyDescent="0.25">
      <c r="A34">
        <v>1.618686420125</v>
      </c>
      <c r="B34">
        <v>0.28965295045230205</v>
      </c>
      <c r="C34">
        <f t="shared" si="0"/>
        <v>0.17493014391030801</v>
      </c>
      <c r="D34">
        <f t="shared" si="1"/>
        <v>0.11472280654199404</v>
      </c>
      <c r="E34">
        <f t="shared" si="2"/>
        <v>1.316132234087179E-2</v>
      </c>
    </row>
    <row r="35" spans="1:5" x14ac:dyDescent="0.25">
      <c r="A35">
        <v>1.6549156548749999</v>
      </c>
      <c r="B35">
        <v>0.19078936856139656</v>
      </c>
      <c r="C35">
        <f t="shared" si="0"/>
        <v>0.13389129106914854</v>
      </c>
      <c r="D35">
        <f t="shared" si="1"/>
        <v>5.6898077492248011E-2</v>
      </c>
      <c r="E35">
        <f t="shared" si="2"/>
        <v>3.2373912223138596E-3</v>
      </c>
    </row>
    <row r="36" spans="1:5" x14ac:dyDescent="0.25">
      <c r="A36">
        <v>1.6911448896250001</v>
      </c>
      <c r="B36">
        <v>0.18038267573077491</v>
      </c>
      <c r="C36">
        <f t="shared" si="0"/>
        <v>0.10041407712119918</v>
      </c>
      <c r="D36">
        <f t="shared" si="1"/>
        <v>7.9968598609575725E-2</v>
      </c>
      <c r="E36">
        <f t="shared" si="2"/>
        <v>6.3949767635794368E-3</v>
      </c>
    </row>
    <row r="37" spans="1:5" x14ac:dyDescent="0.25">
      <c r="A37">
        <v>1.7273741243750003</v>
      </c>
      <c r="B37">
        <v>0.15436594365422085</v>
      </c>
      <c r="C37">
        <f t="shared" si="0"/>
        <v>7.3742862026455358E-2</v>
      </c>
      <c r="D37">
        <f t="shared" si="1"/>
        <v>8.0623081627765492E-2</v>
      </c>
      <c r="E37">
        <f t="shared" si="2"/>
        <v>6.5000812911573374E-3</v>
      </c>
    </row>
    <row r="38" spans="1:5" x14ac:dyDescent="0.25">
      <c r="A38">
        <v>1.7636033591250002</v>
      </c>
      <c r="B38">
        <v>9.0191337865387453E-2</v>
      </c>
      <c r="C38">
        <f t="shared" si="0"/>
        <v>5.2997051132817288E-2</v>
      </c>
      <c r="D38">
        <f t="shared" si="1"/>
        <v>3.7194286732570164E-2</v>
      </c>
      <c r="E38">
        <f t="shared" si="2"/>
        <v>1.383414965544645E-3</v>
      </c>
    </row>
    <row r="39" spans="1:5" x14ac:dyDescent="0.25">
      <c r="A39">
        <v>1.7998325938750002</v>
      </c>
      <c r="B39">
        <v>0</v>
      </c>
      <c r="C39">
        <f t="shared" si="0"/>
        <v>3.724841550381202E-2</v>
      </c>
      <c r="D39">
        <f t="shared" si="1"/>
        <v>-3.724841550381202E-2</v>
      </c>
      <c r="E39">
        <f t="shared" si="2"/>
        <v>1.3874444575446235E-3</v>
      </c>
    </row>
    <row r="40" spans="1:5" x14ac:dyDescent="0.25">
      <c r="A40">
        <v>1.8360618286250001</v>
      </c>
      <c r="B40">
        <v>1.7344488051036049E-3</v>
      </c>
      <c r="C40">
        <f t="shared" si="0"/>
        <v>2.5585936227187283E-2</v>
      </c>
      <c r="D40">
        <f t="shared" si="1"/>
        <v>-2.3851487422083678E-2</v>
      </c>
      <c r="E40">
        <f t="shared" si="2"/>
        <v>5.6889345224581589E-4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F091-9F7B-4998-B302-C36CDC8BC5B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0.48981785546250001</v>
      </c>
      <c r="B1">
        <v>0.11021575822776282</v>
      </c>
      <c r="C1">
        <f>$H$3*(1+$H$1)*(A1^($H$1))*EXP(-$H$3*(A1^(1+$H$1)))</f>
        <v>0.27984962858136753</v>
      </c>
      <c r="D1">
        <f>B1-C1</f>
        <v>-0.16963387035360472</v>
      </c>
      <c r="E1">
        <f>D1^2</f>
        <v>2.8775649971143576E-2</v>
      </c>
      <c r="G1" t="s">
        <v>0</v>
      </c>
      <c r="H1">
        <v>3.1800094196437048</v>
      </c>
    </row>
    <row r="2" spans="1:8" x14ac:dyDescent="0.25">
      <c r="A2">
        <v>0.52174536038749997</v>
      </c>
      <c r="B2">
        <v>0.2440491789329034</v>
      </c>
      <c r="C2">
        <f t="shared" ref="C2:C40" si="0">$H$3*(1+$H$1)*(A2^($H$1))*EXP(-$H$3*(A2^(1+$H$1)))</f>
        <v>0.33859680528418579</v>
      </c>
      <c r="D2">
        <f t="shared" ref="D2:D40" si="1">B2-C2</f>
        <v>-9.4547626351282388E-2</v>
      </c>
      <c r="E2">
        <f t="shared" ref="E2:E40" si="2">D2^2</f>
        <v>8.9392536486617071E-3</v>
      </c>
    </row>
    <row r="3" spans="1:8" x14ac:dyDescent="0.25">
      <c r="A3">
        <v>0.55367286531250004</v>
      </c>
      <c r="B3">
        <v>0.31490216636503665</v>
      </c>
      <c r="C3">
        <f t="shared" si="0"/>
        <v>0.40392805008034083</v>
      </c>
      <c r="D3">
        <f t="shared" si="1"/>
        <v>-8.9025883715304177E-2</v>
      </c>
      <c r="E3">
        <f t="shared" si="2"/>
        <v>7.9256079712908614E-3</v>
      </c>
      <c r="G3" t="s">
        <v>1</v>
      </c>
      <c r="H3">
        <f>(_xlfn.GAMMA((2+$H$1)/(1+$H$1)))^(1+$H$1)</f>
        <v>0.67015245758776931</v>
      </c>
    </row>
    <row r="4" spans="1:8" x14ac:dyDescent="0.25">
      <c r="A4">
        <v>0.58560037023750011</v>
      </c>
      <c r="B4">
        <v>0.4211816475132365</v>
      </c>
      <c r="C4">
        <f t="shared" si="0"/>
        <v>0.47559523629895079</v>
      </c>
      <c r="D4">
        <f t="shared" si="1"/>
        <v>-5.4413588785714284E-2</v>
      </c>
      <c r="E4">
        <f t="shared" si="2"/>
        <v>2.9608386445408113E-3</v>
      </c>
    </row>
    <row r="5" spans="1:8" x14ac:dyDescent="0.25">
      <c r="A5">
        <v>0.61752787516249996</v>
      </c>
      <c r="B5">
        <v>0.53926995990012527</v>
      </c>
      <c r="C5">
        <f t="shared" si="0"/>
        <v>0.55313437413251265</v>
      </c>
      <c r="D5">
        <f t="shared" si="1"/>
        <v>-1.3864414232387379E-2</v>
      </c>
      <c r="E5">
        <f t="shared" si="2"/>
        <v>1.9222198200722571E-4</v>
      </c>
      <c r="G5" t="s">
        <v>2</v>
      </c>
      <c r="H5">
        <f>SUM(E1:E40)</f>
        <v>1.3175979115965779</v>
      </c>
    </row>
    <row r="6" spans="1:8" x14ac:dyDescent="0.25">
      <c r="A6">
        <v>0.64945538008750003</v>
      </c>
      <c r="B6">
        <v>0.71049801286111391</v>
      </c>
      <c r="C6">
        <f t="shared" si="0"/>
        <v>0.63583945325003877</v>
      </c>
      <c r="D6">
        <f t="shared" si="1"/>
        <v>7.4658559611075148E-2</v>
      </c>
      <c r="E6">
        <f t="shared" si="2"/>
        <v>5.5739005232004618E-3</v>
      </c>
    </row>
    <row r="7" spans="1:8" x14ac:dyDescent="0.25">
      <c r="A7">
        <v>0.68138288501249999</v>
      </c>
      <c r="B7">
        <v>1.0234320406863691</v>
      </c>
      <c r="C7">
        <f t="shared" si="0"/>
        <v>0.72274108927189873</v>
      </c>
      <c r="D7">
        <f t="shared" si="1"/>
        <v>0.30069095141447033</v>
      </c>
      <c r="E7">
        <f t="shared" si="2"/>
        <v>9.0415048262539363E-2</v>
      </c>
    </row>
    <row r="8" spans="1:8" x14ac:dyDescent="0.25">
      <c r="A8">
        <v>0.71331038993749996</v>
      </c>
      <c r="B8">
        <v>1.1198708291356616</v>
      </c>
      <c r="C8">
        <f t="shared" si="0"/>
        <v>0.81259265127374791</v>
      </c>
      <c r="D8">
        <f t="shared" si="1"/>
        <v>0.30727817786191369</v>
      </c>
      <c r="E8">
        <f t="shared" si="2"/>
        <v>9.4419878590137868E-2</v>
      </c>
    </row>
    <row r="9" spans="1:8" x14ac:dyDescent="0.25">
      <c r="A9">
        <v>0.74523789486250003</v>
      </c>
      <c r="B9">
        <v>1.2182777561247355</v>
      </c>
      <c r="C9">
        <f t="shared" si="0"/>
        <v>0.90386680358064297</v>
      </c>
      <c r="D9">
        <f t="shared" si="1"/>
        <v>0.31441095254409257</v>
      </c>
      <c r="E9">
        <f t="shared" si="2"/>
        <v>9.8854247079683627E-2</v>
      </c>
    </row>
    <row r="10" spans="1:8" x14ac:dyDescent="0.25">
      <c r="A10">
        <v>0.7771653997875001</v>
      </c>
      <c r="B10">
        <v>1.3717925622276907</v>
      </c>
      <c r="C10">
        <f t="shared" si="0"/>
        <v>0.99476546879837213</v>
      </c>
      <c r="D10">
        <f t="shared" si="1"/>
        <v>0.37702709342931862</v>
      </c>
      <c r="E10">
        <f t="shared" si="2"/>
        <v>0.14214942917976015</v>
      </c>
    </row>
    <row r="11" spans="1:8" x14ac:dyDescent="0.25">
      <c r="A11">
        <v>0.80909290471250006</v>
      </c>
      <c r="B11">
        <v>1.3068439904149021</v>
      </c>
      <c r="C11">
        <f t="shared" si="0"/>
        <v>1.083246035422649</v>
      </c>
      <c r="D11">
        <f t="shared" si="1"/>
        <v>0.2235979549922531</v>
      </c>
      <c r="E11">
        <f t="shared" si="2"/>
        <v>4.999604547671764E-2</v>
      </c>
    </row>
    <row r="12" spans="1:8" x14ac:dyDescent="0.25">
      <c r="A12">
        <v>0.84102040963750002</v>
      </c>
      <c r="B12">
        <v>1.3147165445740279</v>
      </c>
      <c r="C12">
        <f t="shared" si="0"/>
        <v>1.1670661202263448</v>
      </c>
      <c r="D12">
        <f t="shared" si="1"/>
        <v>0.14765042434768305</v>
      </c>
      <c r="E12">
        <f t="shared" si="2"/>
        <v>2.1800647810050876E-2</v>
      </c>
    </row>
    <row r="13" spans="1:8" x14ac:dyDescent="0.25">
      <c r="A13">
        <v>0.87294791456250009</v>
      </c>
      <c r="B13">
        <v>1.4859445975350167</v>
      </c>
      <c r="C13">
        <f t="shared" si="0"/>
        <v>1.2438482950756793</v>
      </c>
      <c r="D13">
        <f t="shared" si="1"/>
        <v>0.24209630245933744</v>
      </c>
      <c r="E13">
        <f t="shared" si="2"/>
        <v>5.8610619664482999E-2</v>
      </c>
    </row>
    <row r="14" spans="1:8" x14ac:dyDescent="0.25">
      <c r="A14">
        <v>0.90487541948749994</v>
      </c>
      <c r="B14">
        <v>1.4898808746145795</v>
      </c>
      <c r="C14">
        <f t="shared" si="0"/>
        <v>1.3111648710428281</v>
      </c>
      <c r="D14">
        <f t="shared" si="1"/>
        <v>0.17871600357175144</v>
      </c>
      <c r="E14">
        <f t="shared" si="2"/>
        <v>3.1939409932658272E-2</v>
      </c>
    </row>
    <row r="15" spans="1:8" x14ac:dyDescent="0.25">
      <c r="A15">
        <v>0.93680292441250002</v>
      </c>
      <c r="B15">
        <v>1.5607338620467128</v>
      </c>
      <c r="C15">
        <f t="shared" si="0"/>
        <v>1.366641116190447</v>
      </c>
      <c r="D15">
        <f t="shared" si="1"/>
        <v>0.19409274585626579</v>
      </c>
      <c r="E15">
        <f t="shared" si="2"/>
        <v>3.7671993994024981E-2</v>
      </c>
    </row>
    <row r="16" spans="1:8" x14ac:dyDescent="0.25">
      <c r="A16">
        <v>0.96873042933750009</v>
      </c>
      <c r="B16">
        <v>1.6866947285927274</v>
      </c>
      <c r="C16">
        <f t="shared" si="0"/>
        <v>1.4080732446308502</v>
      </c>
      <c r="D16">
        <f t="shared" si="1"/>
        <v>0.27862148396187725</v>
      </c>
      <c r="E16">
        <f t="shared" si="2"/>
        <v>7.7629931325118626E-2</v>
      </c>
    </row>
    <row r="17" spans="1:5" x14ac:dyDescent="0.25">
      <c r="A17">
        <v>1.0006579342625002</v>
      </c>
      <c r="B17">
        <v>1.4701994892167649</v>
      </c>
      <c r="C17">
        <f t="shared" si="0"/>
        <v>1.4335553031380139</v>
      </c>
      <c r="D17">
        <f t="shared" si="1"/>
        <v>3.6644186078750973E-2</v>
      </c>
      <c r="E17">
        <f t="shared" si="2"/>
        <v>1.3427963733741266E-3</v>
      </c>
    </row>
    <row r="18" spans="1:5" x14ac:dyDescent="0.25">
      <c r="A18">
        <v>1.0325854391875</v>
      </c>
      <c r="B18">
        <v>1.651268234876661</v>
      </c>
      <c r="C18">
        <f t="shared" si="0"/>
        <v>1.4416069228323971</v>
      </c>
      <c r="D18">
        <f t="shared" si="1"/>
        <v>0.20966131204426386</v>
      </c>
      <c r="E18">
        <f t="shared" si="2"/>
        <v>4.3957865768122183E-2</v>
      </c>
    </row>
    <row r="19" spans="1:5" x14ac:dyDescent="0.25">
      <c r="A19">
        <v>1.0645129441124999</v>
      </c>
      <c r="B19">
        <v>1.3540793153696575</v>
      </c>
      <c r="C19">
        <f t="shared" si="0"/>
        <v>1.4312920882642248</v>
      </c>
      <c r="D19">
        <f t="shared" si="1"/>
        <v>-7.7212772894567294E-2</v>
      </c>
      <c r="E19">
        <f t="shared" si="2"/>
        <v>5.9618122980680255E-3</v>
      </c>
    </row>
    <row r="20" spans="1:5" x14ac:dyDescent="0.25">
      <c r="A20">
        <v>1.0964404490374999</v>
      </c>
      <c r="B20">
        <v>1.4603587965178575</v>
      </c>
      <c r="C20">
        <f t="shared" si="0"/>
        <v>1.4023179359449849</v>
      </c>
      <c r="D20">
        <f t="shared" si="1"/>
        <v>5.804086057287261E-2</v>
      </c>
      <c r="E20">
        <f t="shared" si="2"/>
        <v>3.3687414960396384E-3</v>
      </c>
    </row>
    <row r="21" spans="1:5" x14ac:dyDescent="0.25">
      <c r="A21">
        <v>1.1283679539625</v>
      </c>
      <c r="B21">
        <v>1.1493929072323836</v>
      </c>
      <c r="C21">
        <f t="shared" si="0"/>
        <v>1.3551024579537261</v>
      </c>
      <c r="D21">
        <f t="shared" si="1"/>
        <v>-0.20570955072134245</v>
      </c>
      <c r="E21">
        <f t="shared" si="2"/>
        <v>4.2316419257976565E-2</v>
      </c>
    </row>
    <row r="22" spans="1:5" x14ac:dyDescent="0.25">
      <c r="A22">
        <v>1.1602954588875001</v>
      </c>
      <c r="B22">
        <v>1.0588585344024357</v>
      </c>
      <c r="C22">
        <f t="shared" si="0"/>
        <v>1.2908011224339535</v>
      </c>
      <c r="D22">
        <f t="shared" si="1"/>
        <v>-0.23194258803151779</v>
      </c>
      <c r="E22">
        <f t="shared" si="2"/>
        <v>5.3797364142758382E-2</v>
      </c>
    </row>
    <row r="23" spans="1:5" x14ac:dyDescent="0.25">
      <c r="A23">
        <v>1.1922229638125001</v>
      </c>
      <c r="B23">
        <v>0.97226043865205058</v>
      </c>
      <c r="C23">
        <f t="shared" si="0"/>
        <v>1.2112849742747491</v>
      </c>
      <c r="D23">
        <f t="shared" si="1"/>
        <v>-0.23902453562269854</v>
      </c>
      <c r="E23">
        <f t="shared" si="2"/>
        <v>5.7132728629646683E-2</v>
      </c>
    </row>
    <row r="24" spans="1:5" x14ac:dyDescent="0.25">
      <c r="A24">
        <v>1.2241504687375</v>
      </c>
      <c r="B24">
        <v>0.80103238569106194</v>
      </c>
      <c r="C24">
        <f t="shared" si="0"/>
        <v>1.1190667001419432</v>
      </c>
      <c r="D24">
        <f t="shared" si="1"/>
        <v>-0.31803431445088126</v>
      </c>
      <c r="E24">
        <f t="shared" si="2"/>
        <v>0.10114582516824203</v>
      </c>
    </row>
    <row r="25" spans="1:5" x14ac:dyDescent="0.25">
      <c r="A25">
        <v>1.2560779736625001</v>
      </c>
      <c r="B25">
        <v>0.75773333781586938</v>
      </c>
      <c r="C25">
        <f t="shared" si="0"/>
        <v>1.0171761539913826</v>
      </c>
      <c r="D25">
        <f t="shared" si="1"/>
        <v>-0.25944281617551324</v>
      </c>
      <c r="E25">
        <f t="shared" si="2"/>
        <v>6.7310574865081158E-2</v>
      </c>
    </row>
    <row r="26" spans="1:5" x14ac:dyDescent="0.25">
      <c r="A26">
        <v>1.2880054785874999</v>
      </c>
      <c r="B26">
        <v>0.65145385666766953</v>
      </c>
      <c r="C26">
        <f t="shared" si="0"/>
        <v>0.90899242258612378</v>
      </c>
      <c r="D26">
        <f t="shared" si="1"/>
        <v>-0.25753856591845425</v>
      </c>
      <c r="E26">
        <f t="shared" si="2"/>
        <v>6.6326112935334011E-2</v>
      </c>
    </row>
    <row r="27" spans="1:5" x14ac:dyDescent="0.25">
      <c r="A27">
        <v>1.3199329835125</v>
      </c>
      <c r="B27">
        <v>0.62389991711072879</v>
      </c>
      <c r="C27">
        <f t="shared" si="0"/>
        <v>0.79804494330751785</v>
      </c>
      <c r="D27">
        <f t="shared" si="1"/>
        <v>-0.17414502619678907</v>
      </c>
      <c r="E27">
        <f t="shared" si="2"/>
        <v>3.032649014908035E-2</v>
      </c>
    </row>
    <row r="28" spans="1:5" x14ac:dyDescent="0.25">
      <c r="A28">
        <v>1.3518604884375001</v>
      </c>
      <c r="B28">
        <v>0.51171602034318453</v>
      </c>
      <c r="C28">
        <f t="shared" si="0"/>
        <v>0.68780063635041766</v>
      </c>
      <c r="D28">
        <f t="shared" si="1"/>
        <v>-0.17608461600723313</v>
      </c>
      <c r="E28">
        <f t="shared" si="2"/>
        <v>3.1005791994414743E-2</v>
      </c>
    </row>
    <row r="29" spans="1:5" x14ac:dyDescent="0.25">
      <c r="A29">
        <v>1.3837879933625001</v>
      </c>
      <c r="B29">
        <v>0.49990718910449566</v>
      </c>
      <c r="C29">
        <f t="shared" si="0"/>
        <v>0.58145667560123304</v>
      </c>
      <c r="D29">
        <f t="shared" si="1"/>
        <v>-8.1549486496737378E-2</v>
      </c>
      <c r="E29">
        <f t="shared" si="2"/>
        <v>6.6503187478815515E-3</v>
      </c>
    </row>
    <row r="30" spans="1:5" x14ac:dyDescent="0.25">
      <c r="A30">
        <v>1.4157154982875002</v>
      </c>
      <c r="B30">
        <v>0.47825766516689938</v>
      </c>
      <c r="C30">
        <f t="shared" si="0"/>
        <v>0.48175878281410989</v>
      </c>
      <c r="D30">
        <f t="shared" si="1"/>
        <v>-3.5011176472105054E-3</v>
      </c>
      <c r="E30">
        <f t="shared" si="2"/>
        <v>1.2257824779608825E-5</v>
      </c>
    </row>
    <row r="31" spans="1:5" x14ac:dyDescent="0.25">
      <c r="A31">
        <v>1.4476430032125001</v>
      </c>
      <c r="B31">
        <v>0.39953212357564022</v>
      </c>
      <c r="C31">
        <f t="shared" si="0"/>
        <v>0.39086251751415013</v>
      </c>
      <c r="D31">
        <f t="shared" si="1"/>
        <v>8.6696060614900872E-3</v>
      </c>
      <c r="E31">
        <f t="shared" si="2"/>
        <v>7.5162069261425665E-5</v>
      </c>
    </row>
    <row r="32" spans="1:5" x14ac:dyDescent="0.25">
      <c r="A32">
        <v>1.4795705081375001</v>
      </c>
      <c r="B32">
        <v>0.37591446109826249</v>
      </c>
      <c r="C32">
        <f t="shared" si="0"/>
        <v>0.31025012772584171</v>
      </c>
      <c r="D32">
        <f t="shared" si="1"/>
        <v>6.566433337242078E-2</v>
      </c>
      <c r="E32">
        <f t="shared" si="2"/>
        <v>4.3118046772444131E-3</v>
      </c>
    </row>
    <row r="33" spans="1:5" x14ac:dyDescent="0.25">
      <c r="A33">
        <v>1.5114980130625</v>
      </c>
      <c r="B33">
        <v>0.32867913614350697</v>
      </c>
      <c r="C33">
        <f t="shared" si="0"/>
        <v>0.24070876907410782</v>
      </c>
      <c r="D33">
        <f t="shared" si="1"/>
        <v>8.7970367069399147E-2</v>
      </c>
      <c r="E33">
        <f t="shared" si="2"/>
        <v>7.7387854823248257E-3</v>
      </c>
    </row>
    <row r="34" spans="1:5" x14ac:dyDescent="0.25">
      <c r="A34">
        <v>1.5434255179875001</v>
      </c>
      <c r="B34">
        <v>0.29915705804678483</v>
      </c>
      <c r="C34">
        <f t="shared" si="0"/>
        <v>0.18236831988925653</v>
      </c>
      <c r="D34">
        <f t="shared" si="1"/>
        <v>0.1167887381575283</v>
      </c>
      <c r="E34">
        <f t="shared" si="2"/>
        <v>1.3639609360427707E-2</v>
      </c>
    </row>
    <row r="35" spans="1:5" x14ac:dyDescent="0.25">
      <c r="A35">
        <v>1.5753530229125001</v>
      </c>
      <c r="B35">
        <v>0.22043151645552564</v>
      </c>
      <c r="C35">
        <f t="shared" si="0"/>
        <v>0.13478984558294393</v>
      </c>
      <c r="D35">
        <f t="shared" si="1"/>
        <v>8.5641670872581704E-2</v>
      </c>
      <c r="E35">
        <f t="shared" si="2"/>
        <v>7.3344957898476091E-3</v>
      </c>
    </row>
    <row r="36" spans="1:5" x14ac:dyDescent="0.25">
      <c r="A36">
        <v>1.6072805278375002</v>
      </c>
      <c r="B36">
        <v>0.19681385397814791</v>
      </c>
      <c r="C36">
        <f t="shared" si="0"/>
        <v>9.7090178356022142E-2</v>
      </c>
      <c r="D36">
        <f t="shared" si="1"/>
        <v>9.9723675622125765E-2</v>
      </c>
      <c r="E36">
        <f t="shared" si="2"/>
        <v>9.94481147958696E-3</v>
      </c>
    </row>
    <row r="37" spans="1:5" x14ac:dyDescent="0.25">
      <c r="A37">
        <v>1.6392080327625</v>
      </c>
      <c r="B37">
        <v>0.12792900508579613</v>
      </c>
      <c r="C37">
        <f t="shared" si="0"/>
        <v>6.808496126278181E-2</v>
      </c>
      <c r="D37">
        <f t="shared" si="1"/>
        <v>5.9844043823014323E-2</v>
      </c>
      <c r="E37">
        <f t="shared" si="2"/>
        <v>3.5813095810908586E-3</v>
      </c>
    </row>
    <row r="38" spans="1:5" x14ac:dyDescent="0.25">
      <c r="A38">
        <v>1.6711355376874999</v>
      </c>
      <c r="B38">
        <v>1.1808831238688875E-2</v>
      </c>
      <c r="C38">
        <f t="shared" si="0"/>
        <v>4.6432250781835181E-2</v>
      </c>
      <c r="D38">
        <f t="shared" si="1"/>
        <v>-3.4623419543146308E-2</v>
      </c>
      <c r="E38">
        <f t="shared" si="2"/>
        <v>1.1987811808607258E-3</v>
      </c>
    </row>
    <row r="39" spans="1:5" x14ac:dyDescent="0.25">
      <c r="A39">
        <v>1.7030630426125</v>
      </c>
      <c r="B39">
        <v>0</v>
      </c>
      <c r="C39">
        <f t="shared" si="0"/>
        <v>3.0761201881178608E-2</v>
      </c>
      <c r="D39">
        <f t="shared" si="1"/>
        <v>-3.0761201881178608E-2</v>
      </c>
      <c r="E39">
        <f t="shared" si="2"/>
        <v>9.4625154117462633E-4</v>
      </c>
    </row>
    <row r="40" spans="1:5" x14ac:dyDescent="0.25">
      <c r="A40">
        <v>1.7349905475375</v>
      </c>
      <c r="B40">
        <v>1.968138539781479E-3</v>
      </c>
      <c r="C40">
        <f t="shared" si="0"/>
        <v>1.9774786959432682E-2</v>
      </c>
      <c r="D40">
        <f t="shared" si="1"/>
        <v>-1.7806648419651204E-2</v>
      </c>
      <c r="E40">
        <f t="shared" si="2"/>
        <v>3.170767279410667E-4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0F6B-F98D-4438-8AD0-78BEA16494D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0.57403385444999999</v>
      </c>
      <c r="B1">
        <v>0.14010829011971071</v>
      </c>
      <c r="C1">
        <f>$H$3*(1+$H$1)*(A1^($H$1))*EXP(-$H$3*(A1^(1+$H$1)))</f>
        <v>0.32372941578325964</v>
      </c>
      <c r="D1">
        <f>B1-C1</f>
        <v>-0.18362112566354893</v>
      </c>
      <c r="E1">
        <f>D1^2</f>
        <v>3.3716717789948829E-2</v>
      </c>
      <c r="G1" t="s">
        <v>0</v>
      </c>
      <c r="H1">
        <v>4.1367119392526357</v>
      </c>
    </row>
    <row r="2" spans="1:8" x14ac:dyDescent="0.25">
      <c r="A2">
        <v>0.60094350534999996</v>
      </c>
      <c r="B2">
        <v>0.28955713291406882</v>
      </c>
      <c r="C2">
        <f t="shared" ref="C2:C40" si="0">$H$3*(1+$H$1)*(A2^($H$1))*EXP(-$H$3*(A2^(1+$H$1)))</f>
        <v>0.38739909411345103</v>
      </c>
      <c r="D2">
        <f t="shared" ref="D2:D40" si="1">B2-C2</f>
        <v>-9.784196119938221E-2</v>
      </c>
      <c r="E2">
        <f t="shared" ref="E2:E40" si="2">D2^2</f>
        <v>9.5730493713414144E-3</v>
      </c>
    </row>
    <row r="3" spans="1:8" x14ac:dyDescent="0.25">
      <c r="A3">
        <v>0.62785315625000004</v>
      </c>
      <c r="B3">
        <v>0.38996807416652818</v>
      </c>
      <c r="C3">
        <f t="shared" si="0"/>
        <v>0.45882660698170896</v>
      </c>
      <c r="D3">
        <f t="shared" si="1"/>
        <v>-6.8858532815180784E-2</v>
      </c>
      <c r="E3">
        <f t="shared" si="2"/>
        <v>4.7414975414593287E-3</v>
      </c>
      <c r="G3" t="s">
        <v>1</v>
      </c>
      <c r="H3">
        <f>(_xlfn.GAMMA((2+$H$1)/(1+$H$1)))^(1+$H$1)</f>
        <v>0.65015359311836673</v>
      </c>
    </row>
    <row r="4" spans="1:8" x14ac:dyDescent="0.25">
      <c r="A4">
        <v>0.65476280715000001</v>
      </c>
      <c r="B4">
        <v>0.45068166655173614</v>
      </c>
      <c r="C4">
        <f t="shared" si="0"/>
        <v>0.53805331568362258</v>
      </c>
      <c r="D4">
        <f t="shared" si="1"/>
        <v>-8.7371649131886442E-2</v>
      </c>
      <c r="E4">
        <f t="shared" si="2"/>
        <v>7.6338050720254728E-3</v>
      </c>
    </row>
    <row r="5" spans="1:8" x14ac:dyDescent="0.25">
      <c r="A5">
        <v>0.68167245804999999</v>
      </c>
      <c r="B5">
        <v>0.68186034524925887</v>
      </c>
      <c r="C5">
        <f t="shared" si="0"/>
        <v>0.62490341866586996</v>
      </c>
      <c r="D5">
        <f t="shared" si="1"/>
        <v>5.6956926583388912E-2</v>
      </c>
      <c r="E5">
        <f t="shared" si="2"/>
        <v>3.2440914858255544E-3</v>
      </c>
      <c r="G5" t="s">
        <v>2</v>
      </c>
      <c r="H5">
        <f>SUM(E1:E40)</f>
        <v>1.9313854376643396</v>
      </c>
    </row>
    <row r="6" spans="1:8" x14ac:dyDescent="0.25">
      <c r="A6">
        <v>0.70858210894999996</v>
      </c>
      <c r="B6">
        <v>0.82196863536896958</v>
      </c>
      <c r="C6">
        <f t="shared" si="0"/>
        <v>0.71893818244073304</v>
      </c>
      <c r="D6">
        <f t="shared" si="1"/>
        <v>0.10303045292823654</v>
      </c>
      <c r="E6">
        <f t="shared" si="2"/>
        <v>1.0615274230597565E-2</v>
      </c>
    </row>
    <row r="7" spans="1:8" x14ac:dyDescent="0.25">
      <c r="A7">
        <v>0.73549175984999993</v>
      </c>
      <c r="B7">
        <v>1.0741635575844488</v>
      </c>
      <c r="C7">
        <f t="shared" si="0"/>
        <v>0.81941044112912165</v>
      </c>
      <c r="D7">
        <f t="shared" si="1"/>
        <v>0.25475311645532717</v>
      </c>
      <c r="E7">
        <f t="shared" si="2"/>
        <v>6.4899150343701487E-2</v>
      </c>
    </row>
    <row r="8" spans="1:8" x14ac:dyDescent="0.25">
      <c r="A8">
        <v>0.76240141075000001</v>
      </c>
      <c r="B8">
        <v>1.3613855523298557</v>
      </c>
      <c r="C8">
        <f t="shared" si="0"/>
        <v>0.92522249688661307</v>
      </c>
      <c r="D8">
        <f t="shared" si="1"/>
        <v>0.43616305544324263</v>
      </c>
      <c r="E8">
        <f t="shared" si="2"/>
        <v>0.19023821093358514</v>
      </c>
    </row>
    <row r="9" spans="1:8" x14ac:dyDescent="0.25">
      <c r="A9">
        <v>0.78931106165000009</v>
      </c>
      <c r="B9">
        <v>1.4314396973897112</v>
      </c>
      <c r="C9">
        <f t="shared" si="0"/>
        <v>1.034891449637513</v>
      </c>
      <c r="D9">
        <f t="shared" si="1"/>
        <v>0.39654824775219821</v>
      </c>
      <c r="E9">
        <f t="shared" si="2"/>
        <v>0.15725051279533878</v>
      </c>
    </row>
    <row r="10" spans="1:8" x14ac:dyDescent="0.25">
      <c r="A10">
        <v>0.81622071255000006</v>
      </c>
      <c r="B10">
        <v>1.6159156127139969</v>
      </c>
      <c r="C10">
        <f t="shared" si="0"/>
        <v>1.1465268359279597</v>
      </c>
      <c r="D10">
        <f t="shared" si="1"/>
        <v>0.46938877678603719</v>
      </c>
      <c r="E10">
        <f t="shared" si="2"/>
        <v>0.22032582377269225</v>
      </c>
    </row>
    <row r="11" spans="1:8" x14ac:dyDescent="0.25">
      <c r="A11">
        <v>0.84313036345000003</v>
      </c>
      <c r="B11">
        <v>1.6089101982080114</v>
      </c>
      <c r="C11">
        <f t="shared" si="0"/>
        <v>1.257826136872189</v>
      </c>
      <c r="D11">
        <f t="shared" si="1"/>
        <v>0.35108406133582237</v>
      </c>
      <c r="E11">
        <f t="shared" si="2"/>
        <v>0.12326001812405549</v>
      </c>
    </row>
    <row r="12" spans="1:8" x14ac:dyDescent="0.25">
      <c r="A12">
        <v>0.87004001435</v>
      </c>
      <c r="B12">
        <v>1.5738831256780836</v>
      </c>
      <c r="C12">
        <f t="shared" si="0"/>
        <v>1.366094059733697</v>
      </c>
      <c r="D12">
        <f t="shared" si="1"/>
        <v>0.20778906594438662</v>
      </c>
      <c r="E12">
        <f t="shared" si="2"/>
        <v>4.317629592604065E-2</v>
      </c>
    </row>
    <row r="13" spans="1:8" x14ac:dyDescent="0.25">
      <c r="A13">
        <v>0.89694966524999997</v>
      </c>
      <c r="B13">
        <v>1.8470942914115196</v>
      </c>
      <c r="C13">
        <f t="shared" si="0"/>
        <v>1.4682913120498822</v>
      </c>
      <c r="D13">
        <f t="shared" si="1"/>
        <v>0.37880297936163743</v>
      </c>
      <c r="E13">
        <f t="shared" si="2"/>
        <v>0.14349169717325311</v>
      </c>
    </row>
    <row r="14" spans="1:8" x14ac:dyDescent="0.25">
      <c r="A14">
        <v>0.92385931615000005</v>
      </c>
      <c r="B14">
        <v>1.8214077715562393</v>
      </c>
      <c r="C14">
        <f t="shared" si="0"/>
        <v>1.5611176647147087</v>
      </c>
      <c r="D14">
        <f t="shared" si="1"/>
        <v>0.26029010684153064</v>
      </c>
      <c r="E14">
        <f t="shared" si="2"/>
        <v>6.7750939719575437E-2</v>
      </c>
    </row>
    <row r="15" spans="1:8" x14ac:dyDescent="0.25">
      <c r="A15">
        <v>0.95076896705000002</v>
      </c>
      <c r="B15">
        <v>1.749018488327722</v>
      </c>
      <c r="C15">
        <f t="shared" si="0"/>
        <v>1.6411322534269583</v>
      </c>
      <c r="D15">
        <f t="shared" si="1"/>
        <v>0.10788623490076366</v>
      </c>
      <c r="E15">
        <f t="shared" si="2"/>
        <v>1.1639439681062754E-2</v>
      </c>
    </row>
    <row r="16" spans="1:8" x14ac:dyDescent="0.25">
      <c r="A16">
        <v>0.97767861795000011</v>
      </c>
      <c r="B16">
        <v>2.0035485487118634</v>
      </c>
      <c r="C16">
        <f t="shared" si="0"/>
        <v>1.7049111723903931</v>
      </c>
      <c r="D16">
        <f t="shared" si="1"/>
        <v>0.29863737632147025</v>
      </c>
      <c r="E16">
        <f t="shared" si="2"/>
        <v>8.9184282536171444E-2</v>
      </c>
    </row>
    <row r="17" spans="1:5" x14ac:dyDescent="0.25">
      <c r="A17">
        <v>1.0045882688500001</v>
      </c>
      <c r="B17">
        <v>1.8167374952189157</v>
      </c>
      <c r="C17">
        <f t="shared" si="0"/>
        <v>1.749238465560033</v>
      </c>
      <c r="D17">
        <f t="shared" si="1"/>
        <v>6.7499029658882659E-2</v>
      </c>
      <c r="E17">
        <f t="shared" si="2"/>
        <v>4.5561190048907206E-3</v>
      </c>
    </row>
    <row r="18" spans="1:5" x14ac:dyDescent="0.25">
      <c r="A18">
        <v>1.03149791975</v>
      </c>
      <c r="B18">
        <v>1.9288241273146842</v>
      </c>
      <c r="C18">
        <f t="shared" si="0"/>
        <v>1.7713217938998871</v>
      </c>
      <c r="D18">
        <f t="shared" si="1"/>
        <v>0.15750233341479714</v>
      </c>
      <c r="E18">
        <f t="shared" si="2"/>
        <v>2.4806985031105924E-2</v>
      </c>
    </row>
    <row r="19" spans="1:5" x14ac:dyDescent="0.25">
      <c r="A19">
        <v>1.05840757065</v>
      </c>
      <c r="B19">
        <v>1.6812994814365285</v>
      </c>
      <c r="C19">
        <f t="shared" si="0"/>
        <v>1.769018757802836</v>
      </c>
      <c r="D19">
        <f t="shared" si="1"/>
        <v>-8.7719276366307497E-2</v>
      </c>
      <c r="E19">
        <f t="shared" si="2"/>
        <v>7.6946714462286332E-3</v>
      </c>
    </row>
    <row r="20" spans="1:5" x14ac:dyDescent="0.25">
      <c r="A20">
        <v>1.08531722155</v>
      </c>
      <c r="B20">
        <v>1.6953103104484997</v>
      </c>
      <c r="C20">
        <f t="shared" si="0"/>
        <v>1.7410547438280701</v>
      </c>
      <c r="D20">
        <f t="shared" si="1"/>
        <v>-4.5744433379570459E-2</v>
      </c>
      <c r="E20">
        <f t="shared" si="2"/>
        <v>2.0925531852179599E-3</v>
      </c>
    </row>
    <row r="21" spans="1:5" x14ac:dyDescent="0.25">
      <c r="A21">
        <v>1.11222687245</v>
      </c>
      <c r="B21">
        <v>1.5411911913168179</v>
      </c>
      <c r="C21">
        <f t="shared" si="0"/>
        <v>1.6872091396331683</v>
      </c>
      <c r="D21">
        <f t="shared" si="1"/>
        <v>-0.1460179483163504</v>
      </c>
      <c r="E21">
        <f t="shared" si="2"/>
        <v>2.1321241230516375E-2</v>
      </c>
    </row>
    <row r="22" spans="1:5" x14ac:dyDescent="0.25">
      <c r="A22">
        <v>1.1391365233499999</v>
      </c>
      <c r="B22">
        <v>1.2773205782580292</v>
      </c>
      <c r="C22">
        <f t="shared" si="0"/>
        <v>1.6084448597081649</v>
      </c>
      <c r="D22">
        <f t="shared" si="1"/>
        <v>-0.33112428145013562</v>
      </c>
      <c r="E22">
        <f t="shared" si="2"/>
        <v>0.10964328976586862</v>
      </c>
    </row>
    <row r="23" spans="1:5" x14ac:dyDescent="0.25">
      <c r="A23">
        <v>1.1660461742499999</v>
      </c>
      <c r="B23">
        <v>1.2773205782580292</v>
      </c>
      <c r="C23">
        <f t="shared" si="0"/>
        <v>1.5069573629261535</v>
      </c>
      <c r="D23">
        <f t="shared" si="1"/>
        <v>-0.22963678466812421</v>
      </c>
      <c r="E23">
        <f t="shared" si="2"/>
        <v>5.2733052872714445E-2</v>
      </c>
    </row>
    <row r="24" spans="1:5" x14ac:dyDescent="0.25">
      <c r="A24">
        <v>1.1929558251499999</v>
      </c>
      <c r="B24">
        <v>1.0274607942112119</v>
      </c>
      <c r="C24">
        <f t="shared" si="0"/>
        <v>1.3861244752747803</v>
      </c>
      <c r="D24">
        <f t="shared" si="1"/>
        <v>-0.35866368106356838</v>
      </c>
      <c r="E24">
        <f t="shared" si="2"/>
        <v>0.12863963611406909</v>
      </c>
    </row>
    <row r="25" spans="1:5" x14ac:dyDescent="0.25">
      <c r="A25">
        <v>1.2198654760500001</v>
      </c>
      <c r="B25">
        <v>0.82196863536896958</v>
      </c>
      <c r="C25">
        <f t="shared" si="0"/>
        <v>1.2503475759898597</v>
      </c>
      <c r="D25">
        <f t="shared" si="1"/>
        <v>-0.4283789406208901</v>
      </c>
      <c r="E25">
        <f t="shared" si="2"/>
        <v>0.18350851676747609</v>
      </c>
    </row>
    <row r="26" spans="1:5" x14ac:dyDescent="0.25">
      <c r="A26">
        <v>1.24677512695</v>
      </c>
      <c r="B26">
        <v>0.85933084606755905</v>
      </c>
      <c r="C26">
        <f t="shared" si="0"/>
        <v>1.1047874976326173</v>
      </c>
      <c r="D26">
        <f t="shared" si="1"/>
        <v>-0.24545665156505825</v>
      </c>
      <c r="E26">
        <f t="shared" si="2"/>
        <v>6.024896779753041E-2</v>
      </c>
    </row>
    <row r="27" spans="1:5" x14ac:dyDescent="0.25">
      <c r="A27">
        <v>1.27368477785</v>
      </c>
      <c r="B27">
        <v>0.75658476664643781</v>
      </c>
      <c r="C27">
        <f t="shared" si="0"/>
        <v>0.95501334568586338</v>
      </c>
      <c r="D27">
        <f t="shared" si="1"/>
        <v>-0.19842857903942557</v>
      </c>
      <c r="E27">
        <f t="shared" si="2"/>
        <v>3.937390097960556E-2</v>
      </c>
    </row>
    <row r="28" spans="1:5" x14ac:dyDescent="0.25">
      <c r="A28">
        <v>1.30059442875</v>
      </c>
      <c r="B28">
        <v>0.61180620018940346</v>
      </c>
      <c r="C28">
        <f t="shared" si="0"/>
        <v>0.80659702070616901</v>
      </c>
      <c r="D28">
        <f t="shared" si="1"/>
        <v>-0.19479082051676555</v>
      </c>
      <c r="E28">
        <f t="shared" si="2"/>
        <v>3.7943463757594768E-2</v>
      </c>
    </row>
    <row r="29" spans="1:5" x14ac:dyDescent="0.25">
      <c r="A29">
        <v>1.3275040796499999</v>
      </c>
      <c r="B29">
        <v>0.54875746963553362</v>
      </c>
      <c r="C29">
        <f t="shared" si="0"/>
        <v>0.66469765465284036</v>
      </c>
      <c r="D29">
        <f t="shared" si="1"/>
        <v>-0.11594018501730674</v>
      </c>
      <c r="E29">
        <f t="shared" si="2"/>
        <v>1.3442126501847318E-2</v>
      </c>
    </row>
    <row r="30" spans="1:5" x14ac:dyDescent="0.25">
      <c r="A30">
        <v>1.3544137305500001</v>
      </c>
      <c r="B30">
        <v>0.54408719329820998</v>
      </c>
      <c r="C30">
        <f t="shared" si="0"/>
        <v>0.53368563071696518</v>
      </c>
      <c r="D30">
        <f t="shared" si="1"/>
        <v>1.0401562581244805E-2</v>
      </c>
      <c r="E30">
        <f t="shared" si="2"/>
        <v>1.0819250413155209E-4</v>
      </c>
    </row>
    <row r="31" spans="1:5" x14ac:dyDescent="0.25">
      <c r="A31">
        <v>1.3813233814500001</v>
      </c>
      <c r="B31">
        <v>0.51373039710560597</v>
      </c>
      <c r="C31">
        <f t="shared" si="0"/>
        <v>0.41685330988277752</v>
      </c>
      <c r="D31">
        <f t="shared" si="1"/>
        <v>9.6877087222828451E-2</v>
      </c>
      <c r="E31">
        <f t="shared" si="2"/>
        <v>9.3851700287795117E-3</v>
      </c>
    </row>
    <row r="32" spans="1:5" x14ac:dyDescent="0.25">
      <c r="A32">
        <v>1.4082330323500001</v>
      </c>
      <c r="B32">
        <v>0.38996807416652818</v>
      </c>
      <c r="C32">
        <f t="shared" si="0"/>
        <v>0.31624850398152649</v>
      </c>
      <c r="D32">
        <f t="shared" si="1"/>
        <v>7.3719570185001693E-2</v>
      </c>
      <c r="E32">
        <f t="shared" si="2"/>
        <v>5.4345750282613903E-3</v>
      </c>
    </row>
    <row r="33" spans="1:5" x14ac:dyDescent="0.25">
      <c r="A33">
        <v>1.4351426832500001</v>
      </c>
      <c r="B33">
        <v>0.36194641614258599</v>
      </c>
      <c r="C33">
        <f t="shared" si="0"/>
        <v>0.23264851769448033</v>
      </c>
      <c r="D33">
        <f t="shared" si="1"/>
        <v>0.12929789844810566</v>
      </c>
      <c r="E33">
        <f t="shared" si="2"/>
        <v>1.6717946543096645E-2</v>
      </c>
    </row>
    <row r="34" spans="1:5" x14ac:dyDescent="0.25">
      <c r="A34">
        <v>1.46205233415</v>
      </c>
      <c r="B34">
        <v>0.29189227108273064</v>
      </c>
      <c r="C34">
        <f t="shared" si="0"/>
        <v>0.1656705186319376</v>
      </c>
      <c r="D34">
        <f t="shared" si="1"/>
        <v>0.12622175245079303</v>
      </c>
      <c r="E34">
        <f t="shared" si="2"/>
        <v>1.5931930791749278E-2</v>
      </c>
    </row>
    <row r="35" spans="1:5" x14ac:dyDescent="0.25">
      <c r="A35">
        <v>1.48896198505</v>
      </c>
      <c r="B35">
        <v>0.21950298785421346</v>
      </c>
      <c r="C35">
        <f t="shared" si="0"/>
        <v>0.11399261734827398</v>
      </c>
      <c r="D35">
        <f t="shared" si="1"/>
        <v>0.10551037050593948</v>
      </c>
      <c r="E35">
        <f t="shared" si="2"/>
        <v>1.1132438284300623E-2</v>
      </c>
    </row>
    <row r="36" spans="1:5" x14ac:dyDescent="0.25">
      <c r="A36">
        <v>1.51587163595</v>
      </c>
      <c r="B36">
        <v>0.12843259927640149</v>
      </c>
      <c r="C36">
        <f t="shared" si="0"/>
        <v>7.564399892657811E-2</v>
      </c>
      <c r="D36">
        <f t="shared" si="1"/>
        <v>5.2788600349823384E-2</v>
      </c>
      <c r="E36">
        <f t="shared" si="2"/>
        <v>2.7866363268933734E-3</v>
      </c>
    </row>
    <row r="37" spans="1:5" x14ac:dyDescent="0.25">
      <c r="A37">
        <v>1.5427812868499999</v>
      </c>
      <c r="B37">
        <v>4.6702763373236908E-3</v>
      </c>
      <c r="C37">
        <f t="shared" si="0"/>
        <v>4.8315213175940078E-2</v>
      </c>
      <c r="D37">
        <f t="shared" si="1"/>
        <v>-4.3644936838616387E-2</v>
      </c>
      <c r="E37">
        <f t="shared" si="2"/>
        <v>1.9048805116468137E-3</v>
      </c>
    </row>
    <row r="38" spans="1:5" x14ac:dyDescent="0.25">
      <c r="A38">
        <v>1.5696909377499999</v>
      </c>
      <c r="B38">
        <v>0</v>
      </c>
      <c r="C38">
        <f t="shared" si="0"/>
        <v>2.9642544847364956E-2</v>
      </c>
      <c r="D38">
        <f t="shared" si="1"/>
        <v>-2.9642544847364956E-2</v>
      </c>
      <c r="E38">
        <f t="shared" si="2"/>
        <v>8.7868046502804272E-4</v>
      </c>
    </row>
    <row r="39" spans="1:5" x14ac:dyDescent="0.25">
      <c r="A39">
        <v>1.5966005886500001</v>
      </c>
      <c r="B39">
        <v>0</v>
      </c>
      <c r="C39">
        <f t="shared" si="0"/>
        <v>1.7431879656251474E-2</v>
      </c>
      <c r="D39">
        <f t="shared" si="1"/>
        <v>-1.7431879656251474E-2</v>
      </c>
      <c r="E39">
        <f t="shared" si="2"/>
        <v>3.0387042835003402E-4</v>
      </c>
    </row>
    <row r="40" spans="1:5" x14ac:dyDescent="0.25">
      <c r="A40">
        <v>1.6235102395500001</v>
      </c>
      <c r="B40">
        <v>2.3351381686618454E-3</v>
      </c>
      <c r="C40">
        <f t="shared" si="0"/>
        <v>9.8041274417500629E-3</v>
      </c>
      <c r="D40">
        <f t="shared" si="1"/>
        <v>-7.4689892730882175E-3</v>
      </c>
      <c r="E40">
        <f t="shared" si="2"/>
        <v>5.5785800761506862E-5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53BF-11B1-41BB-BF62-1FCCFD53DF5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0.62676640296249997</v>
      </c>
      <c r="B1">
        <v>0.16001634687107852</v>
      </c>
      <c r="C1">
        <f>$H$3*(1+$H$1)*(A1^($H$1))*EXP(-$H$3*(A1^(1+$H$1)))</f>
        <v>0.36239488886229682</v>
      </c>
      <c r="D1">
        <f>B1-C1</f>
        <v>-0.2023785419912183</v>
      </c>
      <c r="E1">
        <f>D1^2</f>
        <v>4.0957074258491308E-2</v>
      </c>
      <c r="G1" t="s">
        <v>0</v>
      </c>
      <c r="H1">
        <v>4.9403154299181189</v>
      </c>
    </row>
    <row r="2" spans="1:8" x14ac:dyDescent="0.25">
      <c r="A2">
        <v>0.65072084888750004</v>
      </c>
      <c r="B2">
        <v>0.32527913134448749</v>
      </c>
      <c r="C2">
        <f t="shared" ref="C2:C40" si="0">$H$3*(1+$H$1)*(A2^($H$1))*EXP(-$H$3*(A2^(1+$H$1)))</f>
        <v>0.43185932803689003</v>
      </c>
      <c r="D2">
        <f t="shared" ref="D2:D40" si="1">B2-C2</f>
        <v>-0.10658019669240254</v>
      </c>
      <c r="E2">
        <f t="shared" ref="E2:E40" si="2">D2^2</f>
        <v>1.1359338326991214E-2</v>
      </c>
    </row>
    <row r="3" spans="1:8" x14ac:dyDescent="0.25">
      <c r="A3">
        <v>0.67467529481249999</v>
      </c>
      <c r="B3">
        <v>0.47217938420973987</v>
      </c>
      <c r="C3">
        <f t="shared" si="0"/>
        <v>0.51019149723383772</v>
      </c>
      <c r="D3">
        <f t="shared" si="1"/>
        <v>-3.8012113024097849E-2</v>
      </c>
      <c r="E3">
        <f t="shared" si="2"/>
        <v>1.4449207365567892E-3</v>
      </c>
      <c r="G3" t="s">
        <v>1</v>
      </c>
      <c r="H3">
        <f>(_xlfn.GAMMA((2+$H$1)/(1+$H$1)))^(1+$H$1)</f>
        <v>0.63828451380565732</v>
      </c>
    </row>
    <row r="4" spans="1:8" x14ac:dyDescent="0.25">
      <c r="A4">
        <v>0.69862974073750006</v>
      </c>
      <c r="B4">
        <v>0.52989019783537472</v>
      </c>
      <c r="C4">
        <f t="shared" si="0"/>
        <v>0.59762164653600136</v>
      </c>
      <c r="D4">
        <f t="shared" si="1"/>
        <v>-6.773144870062664E-2</v>
      </c>
      <c r="E4">
        <f t="shared" si="2"/>
        <v>4.5875491430856178E-3</v>
      </c>
    </row>
    <row r="5" spans="1:8" x14ac:dyDescent="0.25">
      <c r="A5">
        <v>0.72258418666250002</v>
      </c>
      <c r="B5">
        <v>0.758110233536749</v>
      </c>
      <c r="C5">
        <f t="shared" si="0"/>
        <v>0.69415766527242029</v>
      </c>
      <c r="D5">
        <f t="shared" si="1"/>
        <v>6.3952568264328713E-2</v>
      </c>
      <c r="E5">
        <f t="shared" si="2"/>
        <v>4.0899309876036242E-3</v>
      </c>
      <c r="G5" t="s">
        <v>2</v>
      </c>
      <c r="H5">
        <f>SUM(E1:E40)</f>
        <v>2.612053693744206</v>
      </c>
    </row>
    <row r="6" spans="1:8" x14ac:dyDescent="0.25">
      <c r="A6">
        <v>0.74653863258750008</v>
      </c>
      <c r="B6">
        <v>0.94435876841947974</v>
      </c>
      <c r="C6">
        <f t="shared" si="0"/>
        <v>0.79952453339660134</v>
      </c>
      <c r="D6">
        <f t="shared" si="1"/>
        <v>0.1448342350228784</v>
      </c>
      <c r="E6">
        <f t="shared" si="2"/>
        <v>2.0976955634662377E-2</v>
      </c>
    </row>
    <row r="7" spans="1:8" x14ac:dyDescent="0.25">
      <c r="A7">
        <v>0.77049307851249993</v>
      </c>
      <c r="B7">
        <v>1.1411001785068713</v>
      </c>
      <c r="C7">
        <f t="shared" si="0"/>
        <v>0.91310005035559771</v>
      </c>
      <c r="D7">
        <f t="shared" si="1"/>
        <v>0.22800012815127357</v>
      </c>
      <c r="E7">
        <f t="shared" si="2"/>
        <v>5.1984058436997174E-2</v>
      </c>
    </row>
    <row r="8" spans="1:8" x14ac:dyDescent="0.25">
      <c r="A8">
        <v>0.7944475244375</v>
      </c>
      <c r="B8">
        <v>1.5555687490909764</v>
      </c>
      <c r="C8">
        <f t="shared" si="0"/>
        <v>1.0338501029957541</v>
      </c>
      <c r="D8">
        <f t="shared" si="1"/>
        <v>0.52171864609522234</v>
      </c>
      <c r="E8">
        <f t="shared" si="2"/>
        <v>0.27219034568343187</v>
      </c>
    </row>
    <row r="9" spans="1:8" x14ac:dyDescent="0.25">
      <c r="A9">
        <v>0.81840197036250006</v>
      </c>
      <c r="B9">
        <v>1.7155850959620549</v>
      </c>
      <c r="C9">
        <f t="shared" si="0"/>
        <v>1.1602681530772911</v>
      </c>
      <c r="D9">
        <f t="shared" si="1"/>
        <v>0.55531694288476374</v>
      </c>
      <c r="E9">
        <f t="shared" si="2"/>
        <v>0.30837690705487997</v>
      </c>
    </row>
    <row r="10" spans="1:8" x14ac:dyDescent="0.25">
      <c r="A10">
        <v>0.84235641628750013</v>
      </c>
      <c r="B10">
        <v>1.7365708463713767</v>
      </c>
      <c r="C10">
        <f t="shared" si="0"/>
        <v>1.2903251780035201</v>
      </c>
      <c r="D10">
        <f t="shared" si="1"/>
        <v>0.44624566836785662</v>
      </c>
      <c r="E10">
        <f t="shared" si="2"/>
        <v>0.19913519653707507</v>
      </c>
    </row>
    <row r="11" spans="1:8" x14ac:dyDescent="0.25">
      <c r="A11">
        <v>0.86631086221250009</v>
      </c>
      <c r="B11">
        <v>1.8939639744412899</v>
      </c>
      <c r="C11">
        <f t="shared" si="0"/>
        <v>1.4214378409880579</v>
      </c>
      <c r="D11">
        <f t="shared" si="1"/>
        <v>0.47252613345323202</v>
      </c>
      <c r="E11">
        <f t="shared" si="2"/>
        <v>0.22328094679626165</v>
      </c>
    </row>
    <row r="12" spans="1:8" x14ac:dyDescent="0.25">
      <c r="A12">
        <v>0.89026530813750004</v>
      </c>
      <c r="B12">
        <v>1.8152674104063333</v>
      </c>
      <c r="C12">
        <f t="shared" si="0"/>
        <v>1.5504639743649493</v>
      </c>
      <c r="D12">
        <f t="shared" si="1"/>
        <v>0.26480343604138401</v>
      </c>
      <c r="E12">
        <f t="shared" si="2"/>
        <v>7.0120859739323346E-2</v>
      </c>
    </row>
    <row r="13" spans="1:8" x14ac:dyDescent="0.25">
      <c r="A13">
        <v>0.91421975406250011</v>
      </c>
      <c r="B13">
        <v>2.1641555109613075</v>
      </c>
      <c r="C13">
        <f t="shared" si="0"/>
        <v>1.6737352207269942</v>
      </c>
      <c r="D13">
        <f t="shared" si="1"/>
        <v>0.49042029023431333</v>
      </c>
      <c r="E13">
        <f t="shared" si="2"/>
        <v>0.24051206107350812</v>
      </c>
    </row>
    <row r="14" spans="1:8" x14ac:dyDescent="0.25">
      <c r="A14">
        <v>0.93817419998750007</v>
      </c>
      <c r="B14">
        <v>1.9752837572774118</v>
      </c>
      <c r="C14">
        <f t="shared" si="0"/>
        <v>1.7871365018452023</v>
      </c>
      <c r="D14">
        <f t="shared" si="1"/>
        <v>0.18814725543220945</v>
      </c>
      <c r="E14">
        <f t="shared" si="2"/>
        <v>3.5399389726673065E-2</v>
      </c>
    </row>
    <row r="15" spans="1:8" x14ac:dyDescent="0.25">
      <c r="A15">
        <v>0.96212864591250002</v>
      </c>
      <c r="B15">
        <v>2.169401948563638</v>
      </c>
      <c r="C15">
        <f t="shared" si="0"/>
        <v>1.8862404403869968</v>
      </c>
      <c r="D15">
        <f t="shared" si="1"/>
        <v>0.28316150817664121</v>
      </c>
      <c r="E15">
        <f t="shared" si="2"/>
        <v>8.0180439712870047E-2</v>
      </c>
    </row>
    <row r="16" spans="1:8" x14ac:dyDescent="0.25">
      <c r="A16">
        <v>0.98608309183750009</v>
      </c>
      <c r="B16">
        <v>2.1798948237682989</v>
      </c>
      <c r="C16">
        <f t="shared" si="0"/>
        <v>1.966501529153053</v>
      </c>
      <c r="D16">
        <f t="shared" si="1"/>
        <v>0.21339329461524592</v>
      </c>
      <c r="E16">
        <f t="shared" si="2"/>
        <v>4.5536698186749144E-2</v>
      </c>
    </row>
    <row r="17" spans="1:5" x14ac:dyDescent="0.25">
      <c r="A17">
        <v>1.0100375377624999</v>
      </c>
      <c r="B17">
        <v>2.1431697605519862</v>
      </c>
      <c r="C17">
        <f t="shared" si="0"/>
        <v>2.0235094325929608</v>
      </c>
      <c r="D17">
        <f t="shared" si="1"/>
        <v>0.11966032795902537</v>
      </c>
      <c r="E17">
        <f t="shared" si="2"/>
        <v>1.4318594087261509E-2</v>
      </c>
    </row>
    <row r="18" spans="1:5" x14ac:dyDescent="0.25">
      <c r="A18">
        <v>1.0339919836875002</v>
      </c>
      <c r="B18">
        <v>2.1746483861659685</v>
      </c>
      <c r="C18">
        <f t="shared" si="0"/>
        <v>2.053293277805309</v>
      </c>
      <c r="D18">
        <f t="shared" si="1"/>
        <v>0.12135510836065944</v>
      </c>
      <c r="E18">
        <f t="shared" si="2"/>
        <v>1.4727062325227394E-2</v>
      </c>
    </row>
    <row r="19" spans="1:5" x14ac:dyDescent="0.25">
      <c r="A19">
        <v>1.0579464296125001</v>
      </c>
      <c r="B19">
        <v>1.9123265060494465</v>
      </c>
      <c r="C19">
        <f t="shared" si="0"/>
        <v>2.0526595190093446</v>
      </c>
      <c r="D19">
        <f t="shared" si="1"/>
        <v>-0.14033301295989808</v>
      </c>
      <c r="E19">
        <f t="shared" si="2"/>
        <v>1.9693354526402924E-2</v>
      </c>
    </row>
    <row r="20" spans="1:5" x14ac:dyDescent="0.25">
      <c r="A20">
        <v>1.0819008755374999</v>
      </c>
      <c r="B20">
        <v>1.9097032872482813</v>
      </c>
      <c r="C20">
        <f t="shared" si="0"/>
        <v>2.0195358603346367</v>
      </c>
      <c r="D20">
        <f t="shared" si="1"/>
        <v>-0.10983257308635541</v>
      </c>
      <c r="E20">
        <f t="shared" si="2"/>
        <v>1.2063194110769603E-2</v>
      </c>
    </row>
    <row r="21" spans="1:5" x14ac:dyDescent="0.25">
      <c r="A21">
        <v>1.1058553214625002</v>
      </c>
      <c r="B21">
        <v>1.705092220757394</v>
      </c>
      <c r="C21">
        <f t="shared" si="0"/>
        <v>1.9532843344150288</v>
      </c>
      <c r="D21">
        <f t="shared" si="1"/>
        <v>-0.24819211365763483</v>
      </c>
      <c r="E21">
        <f t="shared" si="2"/>
        <v>6.1599325281844322E-2</v>
      </c>
    </row>
    <row r="22" spans="1:5" x14ac:dyDescent="0.25">
      <c r="A22">
        <v>1.1298097673875001</v>
      </c>
      <c r="B22">
        <v>1.5398294362839851</v>
      </c>
      <c r="C22">
        <f t="shared" si="0"/>
        <v>1.8549400514654093</v>
      </c>
      <c r="D22">
        <f t="shared" si="1"/>
        <v>-0.31511061518142425</v>
      </c>
      <c r="E22">
        <f t="shared" si="2"/>
        <v>9.9294699800015637E-2</v>
      </c>
    </row>
    <row r="23" spans="1:5" x14ac:dyDescent="0.25">
      <c r="A23">
        <v>1.1537642133125001</v>
      </c>
      <c r="B23">
        <v>1.4086684962257239</v>
      </c>
      <c r="C23">
        <f t="shared" si="0"/>
        <v>1.7273307447514075</v>
      </c>
      <c r="D23">
        <f t="shared" si="1"/>
        <v>-0.31866224852568359</v>
      </c>
      <c r="E23">
        <f t="shared" si="2"/>
        <v>0.10154562863544453</v>
      </c>
    </row>
    <row r="24" spans="1:5" x14ac:dyDescent="0.25">
      <c r="A24">
        <v>1.1777186592375002</v>
      </c>
      <c r="B24">
        <v>1.0860125836824017</v>
      </c>
      <c r="C24">
        <f t="shared" si="0"/>
        <v>1.5750382434841947</v>
      </c>
      <c r="D24">
        <f t="shared" si="1"/>
        <v>-0.48902565980179302</v>
      </c>
      <c r="E24">
        <f t="shared" si="2"/>
        <v>0.239146095944579</v>
      </c>
    </row>
    <row r="25" spans="1:5" x14ac:dyDescent="0.25">
      <c r="A25">
        <v>1.2016731051625</v>
      </c>
      <c r="B25">
        <v>1.0073160196474451</v>
      </c>
      <c r="C25">
        <f t="shared" si="0"/>
        <v>1.4041777307550747</v>
      </c>
      <c r="D25">
        <f t="shared" si="1"/>
        <v>-0.39686171110762958</v>
      </c>
      <c r="E25">
        <f t="shared" si="2"/>
        <v>0.15749921774327563</v>
      </c>
    </row>
    <row r="26" spans="1:5" x14ac:dyDescent="0.25">
      <c r="A26">
        <v>1.2256275510875001</v>
      </c>
      <c r="B26">
        <v>0.85516932917986221</v>
      </c>
      <c r="C26">
        <f t="shared" si="0"/>
        <v>1.2219937949132111</v>
      </c>
      <c r="D26">
        <f t="shared" si="1"/>
        <v>-0.36682446573334893</v>
      </c>
      <c r="E26">
        <f t="shared" si="2"/>
        <v>0.13456018866055688</v>
      </c>
    </row>
    <row r="27" spans="1:5" x14ac:dyDescent="0.25">
      <c r="A27">
        <v>1.2495819970125002</v>
      </c>
      <c r="B27">
        <v>0.87353186078801881</v>
      </c>
      <c r="C27">
        <f t="shared" si="0"/>
        <v>1.036301342293853</v>
      </c>
      <c r="D27">
        <f t="shared" si="1"/>
        <v>-0.16276948150583415</v>
      </c>
      <c r="E27">
        <f t="shared" si="2"/>
        <v>2.6493904109678085E-2</v>
      </c>
    </row>
    <row r="28" spans="1:5" x14ac:dyDescent="0.25">
      <c r="A28">
        <v>1.2735364429375</v>
      </c>
      <c r="B28">
        <v>0.66629757549596624</v>
      </c>
      <c r="C28">
        <f t="shared" si="0"/>
        <v>0.85482953534726125</v>
      </c>
      <c r="D28">
        <f t="shared" si="1"/>
        <v>-0.18853195985129501</v>
      </c>
      <c r="E28">
        <f t="shared" si="2"/>
        <v>3.5544299885370313E-2</v>
      </c>
    </row>
    <row r="29" spans="1:5" x14ac:dyDescent="0.25">
      <c r="A29">
        <v>1.2974908888625001</v>
      </c>
      <c r="B29">
        <v>0.63481894988198362</v>
      </c>
      <c r="C29">
        <f t="shared" si="0"/>
        <v>0.68455141161338751</v>
      </c>
      <c r="D29">
        <f t="shared" si="1"/>
        <v>-4.9732461731403887E-2</v>
      </c>
      <c r="E29">
        <f t="shared" si="2"/>
        <v>2.4733177498655521E-3</v>
      </c>
    </row>
    <row r="30" spans="1:5" x14ac:dyDescent="0.25">
      <c r="A30">
        <v>1.3214453347875001</v>
      </c>
      <c r="B30">
        <v>0.66105113789363579</v>
      </c>
      <c r="C30">
        <f t="shared" si="0"/>
        <v>0.53109373470511345</v>
      </c>
      <c r="D30">
        <f t="shared" si="1"/>
        <v>0.12995740318852234</v>
      </c>
      <c r="E30">
        <f t="shared" si="2"/>
        <v>1.6888926643504155E-2</v>
      </c>
    </row>
    <row r="31" spans="1:5" x14ac:dyDescent="0.25">
      <c r="A31">
        <v>1.3453997807125</v>
      </c>
      <c r="B31">
        <v>0.44332397739692242</v>
      </c>
      <c r="C31">
        <f t="shared" si="0"/>
        <v>0.39831564479311088</v>
      </c>
      <c r="D31">
        <f t="shared" si="1"/>
        <v>4.5008332603811541E-2</v>
      </c>
      <c r="E31">
        <f t="shared" si="2"/>
        <v>2.0257500037753249E-3</v>
      </c>
    </row>
    <row r="32" spans="1:5" x14ac:dyDescent="0.25">
      <c r="A32">
        <v>1.3693542266375003</v>
      </c>
      <c r="B32">
        <v>0.41971500818643542</v>
      </c>
      <c r="C32">
        <f t="shared" si="0"/>
        <v>0.28811937114000191</v>
      </c>
      <c r="D32">
        <f t="shared" si="1"/>
        <v>0.13159563704643351</v>
      </c>
      <c r="E32">
        <f t="shared" si="2"/>
        <v>1.7317411689656663E-2</v>
      </c>
    </row>
    <row r="33" spans="1:5" x14ac:dyDescent="0.25">
      <c r="A33">
        <v>1.3933086725625001</v>
      </c>
      <c r="B33">
        <v>0.36200419456080057</v>
      </c>
      <c r="C33">
        <f t="shared" si="0"/>
        <v>0.20051543016957221</v>
      </c>
      <c r="D33">
        <f t="shared" si="1"/>
        <v>0.16148876439122836</v>
      </c>
      <c r="E33">
        <f t="shared" si="2"/>
        <v>2.6078621024605664E-2</v>
      </c>
    </row>
    <row r="34" spans="1:5" x14ac:dyDescent="0.25">
      <c r="A34">
        <v>1.4172631184875</v>
      </c>
      <c r="B34">
        <v>0.23871291090603516</v>
      </c>
      <c r="C34">
        <f t="shared" si="0"/>
        <v>0.13391721289177891</v>
      </c>
      <c r="D34">
        <f t="shared" si="1"/>
        <v>0.10479569801425626</v>
      </c>
      <c r="E34">
        <f t="shared" si="2"/>
        <v>1.0982138322295193E-2</v>
      </c>
    </row>
    <row r="35" spans="1:5" x14ac:dyDescent="0.25">
      <c r="A35">
        <v>1.4412175644125003</v>
      </c>
      <c r="B35">
        <v>0.16263956567224375</v>
      </c>
      <c r="C35">
        <f t="shared" si="0"/>
        <v>8.5597501993982777E-2</v>
      </c>
      <c r="D35">
        <f t="shared" si="1"/>
        <v>7.7042063678260969E-2</v>
      </c>
      <c r="E35">
        <f t="shared" si="2"/>
        <v>5.9354795758052182E-3</v>
      </c>
    </row>
    <row r="36" spans="1:5" x14ac:dyDescent="0.25">
      <c r="A36">
        <v>1.4651720103375001</v>
      </c>
      <c r="B36">
        <v>2.6232188011652215E-3</v>
      </c>
      <c r="C36">
        <f t="shared" si="0"/>
        <v>5.2213472497018056E-2</v>
      </c>
      <c r="D36">
        <f t="shared" si="1"/>
        <v>-4.9590253695852834E-2</v>
      </c>
      <c r="E36">
        <f t="shared" si="2"/>
        <v>2.4591932616190456E-3</v>
      </c>
    </row>
    <row r="37" spans="1:5" x14ac:dyDescent="0.25">
      <c r="A37">
        <v>1.4891264562625</v>
      </c>
      <c r="B37">
        <v>0</v>
      </c>
      <c r="C37">
        <f t="shared" si="0"/>
        <v>3.0303829699787437E-2</v>
      </c>
      <c r="D37">
        <f t="shared" si="1"/>
        <v>-3.0303829699787437E-2</v>
      </c>
      <c r="E37">
        <f t="shared" si="2"/>
        <v>9.1832209447371917E-4</v>
      </c>
    </row>
    <row r="38" spans="1:5" x14ac:dyDescent="0.25">
      <c r="A38">
        <v>1.5130809021875002</v>
      </c>
      <c r="B38">
        <v>0</v>
      </c>
      <c r="C38">
        <f t="shared" si="0"/>
        <v>1.6681554520498597E-2</v>
      </c>
      <c r="D38">
        <f t="shared" si="1"/>
        <v>-1.6681554520498597E-2</v>
      </c>
      <c r="E38">
        <f t="shared" si="2"/>
        <v>2.7827426122036718E-4</v>
      </c>
    </row>
    <row r="39" spans="1:5" x14ac:dyDescent="0.25">
      <c r="A39">
        <v>1.5370353481125001</v>
      </c>
      <c r="B39">
        <v>0</v>
      </c>
      <c r="C39">
        <f t="shared" si="0"/>
        <v>8.6808474858976799E-3</v>
      </c>
      <c r="D39">
        <f t="shared" si="1"/>
        <v>-8.6808474858976799E-3</v>
      </c>
      <c r="E39">
        <f t="shared" si="2"/>
        <v>7.5357113073416072E-5</v>
      </c>
    </row>
    <row r="40" spans="1:5" x14ac:dyDescent="0.25">
      <c r="A40">
        <v>1.5609897940374999</v>
      </c>
      <c r="B40">
        <v>2.6232188011652215E-3</v>
      </c>
      <c r="C40">
        <f t="shared" si="0"/>
        <v>4.2556583026611841E-3</v>
      </c>
      <c r="D40">
        <f t="shared" si="1"/>
        <v>-1.6324395014959627E-3</v>
      </c>
      <c r="E40">
        <f t="shared" si="2"/>
        <v>2.6648587260443872E-6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6175-AB86-4761-9D08-8330ABA9642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0.69148650598749994</v>
      </c>
      <c r="B1">
        <v>0.22088151184336882</v>
      </c>
      <c r="C1">
        <f>$H$3*(1+$H$1)*(A1^($H$1))*EXP(-$H$3*(A1^(1+$H$1)))</f>
        <v>0.42715887520203161</v>
      </c>
      <c r="D1">
        <f>B1-C1</f>
        <v>-0.20627736335866279</v>
      </c>
      <c r="E1">
        <f>D1^2</f>
        <v>4.2550350634201796E-2</v>
      </c>
      <c r="G1" t="s">
        <v>0</v>
      </c>
      <c r="H1">
        <v>6.3028621867568972</v>
      </c>
    </row>
    <row r="2" spans="1:8" x14ac:dyDescent="0.25">
      <c r="A2">
        <v>0.71196951596249991</v>
      </c>
      <c r="B2">
        <v>0.3926782432771001</v>
      </c>
      <c r="C2">
        <f t="shared" ref="C2:C40" si="0">$H$3*(1+$H$1)*(A2^($H$1))*EXP(-$H$3*(A2^(1+$H$1)))</f>
        <v>0.50832509849542817</v>
      </c>
      <c r="D2">
        <f t="shared" ref="D2:D40" si="1">B2-C2</f>
        <v>-0.11564685521832807</v>
      </c>
      <c r="E2">
        <f t="shared" ref="E2:E40" si="2">D2^2</f>
        <v>1.3374195121888935E-2</v>
      </c>
    </row>
    <row r="3" spans="1:8" x14ac:dyDescent="0.25">
      <c r="A3">
        <v>0.73245252593749988</v>
      </c>
      <c r="B3">
        <v>0.54913598083281967</v>
      </c>
      <c r="C3">
        <f t="shared" si="0"/>
        <v>0.60056753336915825</v>
      </c>
      <c r="D3">
        <f t="shared" si="1"/>
        <v>-5.1431552536338576E-2</v>
      </c>
      <c r="E3">
        <f t="shared" si="2"/>
        <v>2.6452045962981549E-3</v>
      </c>
      <c r="G3" t="s">
        <v>1</v>
      </c>
      <c r="H3">
        <f>(_xlfn.GAMMA((2+$H$1)/(1+$H$1)))^(1+$H$1)</f>
        <v>0.62407979421475579</v>
      </c>
    </row>
    <row r="4" spans="1:8" x14ac:dyDescent="0.25">
      <c r="A4">
        <v>0.75293553591250006</v>
      </c>
      <c r="B4">
        <v>0.73013610859335798</v>
      </c>
      <c r="C4">
        <f t="shared" si="0"/>
        <v>0.70442541803107728</v>
      </c>
      <c r="D4">
        <f t="shared" si="1"/>
        <v>2.5710690562280702E-2</v>
      </c>
      <c r="E4">
        <f t="shared" si="2"/>
        <v>6.6103960918934999E-4</v>
      </c>
    </row>
    <row r="5" spans="1:8" x14ac:dyDescent="0.25">
      <c r="A5">
        <v>0.77341854588750003</v>
      </c>
      <c r="B5">
        <v>0.91420403512949866</v>
      </c>
      <c r="C5">
        <f t="shared" si="0"/>
        <v>0.82019618214727796</v>
      </c>
      <c r="D5">
        <f t="shared" si="1"/>
        <v>9.4007852982220697E-2</v>
      </c>
      <c r="E5">
        <f t="shared" si="2"/>
        <v>8.8374764223268214E-3</v>
      </c>
      <c r="G5" t="s">
        <v>2</v>
      </c>
      <c r="H5">
        <f>SUM(E1:E40)</f>
        <v>3.898052159495355</v>
      </c>
    </row>
    <row r="6" spans="1:8" x14ac:dyDescent="0.25">
      <c r="A6">
        <v>0.7939015558625</v>
      </c>
      <c r="B6">
        <v>1.1534923396264816</v>
      </c>
      <c r="C6">
        <f t="shared" si="0"/>
        <v>0.94784658457650295</v>
      </c>
      <c r="D6">
        <f t="shared" si="1"/>
        <v>0.20564575504997862</v>
      </c>
      <c r="E6">
        <f t="shared" si="2"/>
        <v>4.2290176570075805E-2</v>
      </c>
    </row>
    <row r="7" spans="1:8" x14ac:dyDescent="0.25">
      <c r="A7">
        <v>0.81438456583749996</v>
      </c>
      <c r="B7">
        <v>1.362102656367441</v>
      </c>
      <c r="C7">
        <f t="shared" si="0"/>
        <v>1.0869120333914739</v>
      </c>
      <c r="D7">
        <f t="shared" si="1"/>
        <v>0.27519062297596708</v>
      </c>
      <c r="E7">
        <f t="shared" si="2"/>
        <v>7.5729878973900863E-2</v>
      </c>
    </row>
    <row r="8" spans="1:8" x14ac:dyDescent="0.25">
      <c r="A8">
        <v>0.83486757581249993</v>
      </c>
      <c r="B8">
        <v>1.8498826616882138</v>
      </c>
      <c r="C8">
        <f t="shared" si="0"/>
        <v>1.2363873491550124</v>
      </c>
      <c r="D8">
        <f t="shared" si="1"/>
        <v>0.61349531253320144</v>
      </c>
      <c r="E8">
        <f t="shared" si="2"/>
        <v>0.37637649850021049</v>
      </c>
    </row>
    <row r="9" spans="1:8" x14ac:dyDescent="0.25">
      <c r="A9">
        <v>0.8553505857874999</v>
      </c>
      <c r="B9">
        <v>2.1229167527168227</v>
      </c>
      <c r="C9">
        <f t="shared" si="0"/>
        <v>1.3946147203807164</v>
      </c>
      <c r="D9">
        <f t="shared" si="1"/>
        <v>0.72830203233610624</v>
      </c>
      <c r="E9">
        <f t="shared" si="2"/>
        <v>0.53042385030490269</v>
      </c>
    </row>
    <row r="10" spans="1:8" x14ac:dyDescent="0.25">
      <c r="A10">
        <v>0.87583359576249997</v>
      </c>
      <c r="B10">
        <v>2.1229167527168227</v>
      </c>
      <c r="C10">
        <f t="shared" si="0"/>
        <v>1.559177688769888</v>
      </c>
      <c r="D10">
        <f t="shared" si="1"/>
        <v>0.56373906394693463</v>
      </c>
      <c r="E10">
        <f t="shared" si="2"/>
        <v>0.31780173221976604</v>
      </c>
    </row>
    <row r="11" spans="1:8" x14ac:dyDescent="0.25">
      <c r="A11">
        <v>0.89631660573750005</v>
      </c>
      <c r="B11">
        <v>2.2732388927213374</v>
      </c>
      <c r="C11">
        <f t="shared" si="0"/>
        <v>1.7268135579834767</v>
      </c>
      <c r="D11">
        <f t="shared" si="1"/>
        <v>0.5464253347378607</v>
      </c>
      <c r="E11">
        <f t="shared" si="2"/>
        <v>0.29858064644338311</v>
      </c>
    </row>
    <row r="12" spans="1:8" x14ac:dyDescent="0.25">
      <c r="A12">
        <v>0.91679961571250002</v>
      </c>
      <c r="B12">
        <v>2.3100524780285654</v>
      </c>
      <c r="C12">
        <f t="shared" si="0"/>
        <v>1.8933603306167437</v>
      </c>
      <c r="D12">
        <f t="shared" si="1"/>
        <v>0.4166921474118217</v>
      </c>
      <c r="E12">
        <f t="shared" si="2"/>
        <v>0.17363234571467534</v>
      </c>
    </row>
    <row r="13" spans="1:8" x14ac:dyDescent="0.25">
      <c r="A13">
        <v>0.93728262568749998</v>
      </c>
      <c r="B13">
        <v>2.6045611604863907</v>
      </c>
      <c r="C13">
        <f t="shared" si="0"/>
        <v>2.0537575917156397</v>
      </c>
      <c r="D13">
        <f t="shared" si="1"/>
        <v>0.5508035687707511</v>
      </c>
      <c r="E13">
        <f t="shared" si="2"/>
        <v>0.30338457137059555</v>
      </c>
    </row>
    <row r="14" spans="1:8" x14ac:dyDescent="0.25">
      <c r="A14">
        <v>0.95776563566249995</v>
      </c>
      <c r="B14">
        <v>2.3806118498674196</v>
      </c>
      <c r="C14">
        <f t="shared" si="0"/>
        <v>2.2021228396136938</v>
      </c>
      <c r="D14">
        <f t="shared" si="1"/>
        <v>0.17848901025372577</v>
      </c>
      <c r="E14">
        <f t="shared" si="2"/>
        <v>3.1858326781354619E-2</v>
      </c>
    </row>
    <row r="15" spans="1:8" x14ac:dyDescent="0.25">
      <c r="A15">
        <v>0.97824864563749991</v>
      </c>
      <c r="B15">
        <v>2.76101889804211</v>
      </c>
      <c r="C15">
        <f t="shared" si="0"/>
        <v>2.3319245020032362</v>
      </c>
      <c r="D15">
        <f t="shared" si="1"/>
        <v>0.42909439603887378</v>
      </c>
      <c r="E15">
        <f t="shared" si="2"/>
        <v>0.18412200071196586</v>
      </c>
    </row>
    <row r="16" spans="1:8" x14ac:dyDescent="0.25">
      <c r="A16">
        <v>0.99873165561249999</v>
      </c>
      <c r="B16">
        <v>2.6383069470180165</v>
      </c>
      <c r="C16">
        <f t="shared" si="0"/>
        <v>2.4362689571892613</v>
      </c>
      <c r="D16">
        <f t="shared" si="1"/>
        <v>0.2020379898287552</v>
      </c>
      <c r="E16">
        <f t="shared" si="2"/>
        <v>4.0819349334044193E-2</v>
      </c>
    </row>
    <row r="17" spans="1:5" x14ac:dyDescent="0.25">
      <c r="A17">
        <v>1.0192146655875001</v>
      </c>
      <c r="B17">
        <v>2.5493407825255483</v>
      </c>
      <c r="C17">
        <f t="shared" si="0"/>
        <v>2.5083100104564235</v>
      </c>
      <c r="D17">
        <f t="shared" si="1"/>
        <v>4.1030772069124755E-2</v>
      </c>
      <c r="E17">
        <f t="shared" si="2"/>
        <v>1.6835242565884682E-3</v>
      </c>
    </row>
    <row r="18" spans="1:5" x14ac:dyDescent="0.25">
      <c r="A18">
        <v>1.0396976755625</v>
      </c>
      <c r="B18">
        <v>2.5401373861987415</v>
      </c>
      <c r="C18">
        <f t="shared" si="0"/>
        <v>2.5417745342753646</v>
      </c>
      <c r="D18">
        <f t="shared" si="1"/>
        <v>-1.6371480766230739E-3</v>
      </c>
      <c r="E18">
        <f t="shared" si="2"/>
        <v>2.6802538247906305E-6</v>
      </c>
    </row>
    <row r="19" spans="1:5" x14ac:dyDescent="0.25">
      <c r="A19">
        <v>1.0601806855375</v>
      </c>
      <c r="B19">
        <v>2.2394931061897116</v>
      </c>
      <c r="C19">
        <f t="shared" si="0"/>
        <v>2.5315773478432475</v>
      </c>
      <c r="D19">
        <f t="shared" si="1"/>
        <v>-0.29208424165353586</v>
      </c>
      <c r="E19">
        <f t="shared" si="2"/>
        <v>8.5313204222321137E-2</v>
      </c>
    </row>
    <row r="20" spans="1:5" x14ac:dyDescent="0.25">
      <c r="A20">
        <v>1.0806636955125</v>
      </c>
      <c r="B20">
        <v>2.2947134841505537</v>
      </c>
      <c r="C20">
        <f t="shared" si="0"/>
        <v>2.4744733739852927</v>
      </c>
      <c r="D20">
        <f t="shared" si="1"/>
        <v>-0.17975988983473901</v>
      </c>
      <c r="E20">
        <f t="shared" si="2"/>
        <v>3.2313617993397506E-2</v>
      </c>
    </row>
    <row r="21" spans="1:5" x14ac:dyDescent="0.25">
      <c r="A21">
        <v>1.1011467054874999</v>
      </c>
      <c r="B21">
        <v>2.0247471918975473</v>
      </c>
      <c r="C21">
        <f t="shared" si="0"/>
        <v>2.3696692049244961</v>
      </c>
      <c r="D21">
        <f t="shared" si="1"/>
        <v>-0.3449220130269488</v>
      </c>
      <c r="E21">
        <f t="shared" si="2"/>
        <v>0.11897119507056264</v>
      </c>
    </row>
    <row r="22" spans="1:5" x14ac:dyDescent="0.25">
      <c r="A22">
        <v>1.1216297154624999</v>
      </c>
      <c r="B22">
        <v>1.7977300825029741</v>
      </c>
      <c r="C22">
        <f t="shared" si="0"/>
        <v>2.2192952134525892</v>
      </c>
      <c r="D22">
        <f t="shared" si="1"/>
        <v>-0.42156513094961512</v>
      </c>
      <c r="E22">
        <f t="shared" si="2"/>
        <v>0.17771715963256615</v>
      </c>
    </row>
    <row r="23" spans="1:5" x14ac:dyDescent="0.25">
      <c r="A23">
        <v>1.1421127254374999</v>
      </c>
      <c r="B23">
        <v>1.4970858024939442</v>
      </c>
      <c r="C23">
        <f t="shared" si="0"/>
        <v>2.0286308038614522</v>
      </c>
      <c r="D23">
        <f t="shared" si="1"/>
        <v>-0.53154500136750804</v>
      </c>
      <c r="E23">
        <f t="shared" si="2"/>
        <v>0.28254008847878415</v>
      </c>
    </row>
    <row r="24" spans="1:5" x14ac:dyDescent="0.25">
      <c r="A24">
        <v>1.1625957354124998</v>
      </c>
      <c r="B24">
        <v>1.2363229065677448</v>
      </c>
      <c r="C24">
        <f t="shared" si="0"/>
        <v>1.8059871370685314</v>
      </c>
      <c r="D24">
        <f t="shared" si="1"/>
        <v>-0.56966423050078663</v>
      </c>
      <c r="E24">
        <f t="shared" si="2"/>
        <v>0.32451733551205336</v>
      </c>
    </row>
    <row r="25" spans="1:5" x14ac:dyDescent="0.25">
      <c r="A25">
        <v>1.1830787453874998</v>
      </c>
      <c r="B25">
        <v>1.1688313335044933</v>
      </c>
      <c r="C25">
        <f t="shared" si="0"/>
        <v>1.5621892697763318</v>
      </c>
      <c r="D25">
        <f t="shared" si="1"/>
        <v>-0.39335793627183846</v>
      </c>
      <c r="E25">
        <f t="shared" si="2"/>
        <v>0.15473046602803972</v>
      </c>
    </row>
    <row r="26" spans="1:5" x14ac:dyDescent="0.25">
      <c r="A26">
        <v>1.2035617553625</v>
      </c>
      <c r="B26">
        <v>1.0215769922755809</v>
      </c>
      <c r="C26">
        <f t="shared" si="0"/>
        <v>1.3096632505697838</v>
      </c>
      <c r="D26">
        <f t="shared" si="1"/>
        <v>-0.28808625829420298</v>
      </c>
      <c r="E26">
        <f t="shared" si="2"/>
        <v>8.2993692217954232E-2</v>
      </c>
    </row>
    <row r="27" spans="1:5" x14ac:dyDescent="0.25">
      <c r="A27">
        <v>1.2240447653375</v>
      </c>
      <c r="B27">
        <v>0.82217007186142832</v>
      </c>
      <c r="C27">
        <f t="shared" si="0"/>
        <v>1.0612151463622856</v>
      </c>
      <c r="D27">
        <f t="shared" si="1"/>
        <v>-0.23904507450085732</v>
      </c>
      <c r="E27">
        <f t="shared" si="2"/>
        <v>5.7142547643120427E-2</v>
      </c>
    </row>
    <row r="28" spans="1:5" x14ac:dyDescent="0.25">
      <c r="A28">
        <v>1.2445277753124999</v>
      </c>
      <c r="B28">
        <v>0.77615309022739321</v>
      </c>
      <c r="C28">
        <f t="shared" si="0"/>
        <v>0.82867082193332509</v>
      </c>
      <c r="D28">
        <f t="shared" si="1"/>
        <v>-5.251773170593188E-2</v>
      </c>
      <c r="E28">
        <f t="shared" si="2"/>
        <v>2.7581121435362429E-3</v>
      </c>
    </row>
    <row r="29" spans="1:5" x14ac:dyDescent="0.25">
      <c r="A29">
        <v>1.2650107852875001</v>
      </c>
      <c r="B29">
        <v>0.78535648655420021</v>
      </c>
      <c r="C29">
        <f t="shared" si="0"/>
        <v>0.62160348981162128</v>
      </c>
      <c r="D29">
        <f t="shared" si="1"/>
        <v>0.16375299674257893</v>
      </c>
      <c r="E29">
        <f t="shared" si="2"/>
        <v>2.6815043942175064E-2</v>
      </c>
    </row>
    <row r="30" spans="1:5" x14ac:dyDescent="0.25">
      <c r="A30">
        <v>1.2854937952625001</v>
      </c>
      <c r="B30">
        <v>0.48471220654517044</v>
      </c>
      <c r="C30">
        <f t="shared" si="0"/>
        <v>0.44638661892840986</v>
      </c>
      <c r="D30">
        <f t="shared" si="1"/>
        <v>3.8325587616760581E-2</v>
      </c>
      <c r="E30">
        <f t="shared" si="2"/>
        <v>1.4688506661699921E-3</v>
      </c>
    </row>
    <row r="31" spans="1:5" x14ac:dyDescent="0.25">
      <c r="A31">
        <v>1.3059768052375</v>
      </c>
      <c r="B31">
        <v>0.5276613894036033</v>
      </c>
      <c r="C31">
        <f t="shared" si="0"/>
        <v>0.30575859268008143</v>
      </c>
      <c r="D31">
        <f t="shared" si="1"/>
        <v>0.22190279672352187</v>
      </c>
      <c r="E31">
        <f t="shared" si="2"/>
        <v>4.9240851193720667E-2</v>
      </c>
    </row>
    <row r="32" spans="1:5" x14ac:dyDescent="0.25">
      <c r="A32">
        <v>1.3264598152125</v>
      </c>
      <c r="B32">
        <v>0.33132226776505325</v>
      </c>
      <c r="C32">
        <f t="shared" si="0"/>
        <v>0.19897726515822664</v>
      </c>
      <c r="D32">
        <f t="shared" si="1"/>
        <v>0.13234500260682661</v>
      </c>
      <c r="E32">
        <f t="shared" si="2"/>
        <v>1.7515199715000943E-2</v>
      </c>
    </row>
    <row r="33" spans="1:5" x14ac:dyDescent="0.25">
      <c r="A33">
        <v>1.3469428251875</v>
      </c>
      <c r="B33">
        <v>0.30984767633583682</v>
      </c>
      <c r="C33">
        <f t="shared" si="0"/>
        <v>0.12250420319394764</v>
      </c>
      <c r="D33">
        <f t="shared" si="1"/>
        <v>0.18734347314188918</v>
      </c>
      <c r="E33">
        <f t="shared" si="2"/>
        <v>3.5097576928865754E-2</v>
      </c>
    </row>
    <row r="34" spans="1:5" x14ac:dyDescent="0.25">
      <c r="A34">
        <v>1.3674258351624999</v>
      </c>
      <c r="B34">
        <v>2.4542390204818756E-2</v>
      </c>
      <c r="C34">
        <f t="shared" si="0"/>
        <v>7.103270708746165E-2</v>
      </c>
      <c r="D34">
        <f t="shared" si="1"/>
        <v>-4.6490316882642893E-2</v>
      </c>
      <c r="E34">
        <f t="shared" si="2"/>
        <v>2.1613495638485507E-3</v>
      </c>
    </row>
    <row r="35" spans="1:5" x14ac:dyDescent="0.25">
      <c r="A35">
        <v>1.3879088451374999</v>
      </c>
      <c r="B35">
        <v>0</v>
      </c>
      <c r="C35">
        <f t="shared" si="0"/>
        <v>3.8603595922321689E-2</v>
      </c>
      <c r="D35">
        <f t="shared" si="1"/>
        <v>-3.8603595922321689E-2</v>
      </c>
      <c r="E35">
        <f t="shared" si="2"/>
        <v>1.4902376181338917E-3</v>
      </c>
    </row>
    <row r="36" spans="1:5" x14ac:dyDescent="0.25">
      <c r="A36">
        <v>1.4083918551124999</v>
      </c>
      <c r="B36">
        <v>0</v>
      </c>
      <c r="C36">
        <f t="shared" si="0"/>
        <v>1.9562287069310909E-2</v>
      </c>
      <c r="D36">
        <f t="shared" si="1"/>
        <v>-1.9562287069310909E-2</v>
      </c>
      <c r="E36">
        <f t="shared" si="2"/>
        <v>3.826830753821288E-4</v>
      </c>
    </row>
    <row r="37" spans="1:5" x14ac:dyDescent="0.25">
      <c r="A37">
        <v>1.4288748650874998</v>
      </c>
      <c r="B37">
        <v>0</v>
      </c>
      <c r="C37">
        <f t="shared" si="0"/>
        <v>9.1927543481825132E-3</v>
      </c>
      <c r="D37">
        <f t="shared" si="1"/>
        <v>-9.1927543481825132E-3</v>
      </c>
      <c r="E37">
        <f t="shared" si="2"/>
        <v>8.450673250602851E-5</v>
      </c>
    </row>
    <row r="38" spans="1:5" x14ac:dyDescent="0.25">
      <c r="A38">
        <v>1.4493578750625</v>
      </c>
      <c r="B38">
        <v>0</v>
      </c>
      <c r="C38">
        <f t="shared" si="0"/>
        <v>3.9825521908771339E-3</v>
      </c>
      <c r="D38">
        <f t="shared" si="1"/>
        <v>-3.9825521908771339E-3</v>
      </c>
      <c r="E38">
        <f t="shared" si="2"/>
        <v>1.5860721953060259E-5</v>
      </c>
    </row>
    <row r="39" spans="1:5" x14ac:dyDescent="0.25">
      <c r="A39">
        <v>1.4698408850374998</v>
      </c>
      <c r="B39">
        <v>0</v>
      </c>
      <c r="C39">
        <f t="shared" si="0"/>
        <v>1.580735200267935E-3</v>
      </c>
      <c r="D39">
        <f t="shared" si="1"/>
        <v>-1.580735200267935E-3</v>
      </c>
      <c r="E39">
        <f t="shared" si="2"/>
        <v>2.4987237733661089E-6</v>
      </c>
    </row>
    <row r="40" spans="1:5" x14ac:dyDescent="0.25">
      <c r="A40">
        <v>1.4903238950124997</v>
      </c>
      <c r="B40">
        <v>3.0677987756023446E-3</v>
      </c>
      <c r="C40">
        <f t="shared" si="0"/>
        <v>5.7103040487169578E-4</v>
      </c>
      <c r="D40">
        <f t="shared" si="1"/>
        <v>2.4967683707306488E-3</v>
      </c>
      <c r="E40">
        <f t="shared" si="2"/>
        <v>6.2338522970809787E-6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78B6-7BA0-4D0E-9D96-779E359450E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0.77891511880000008</v>
      </c>
      <c r="B1">
        <v>0.34134486903142325</v>
      </c>
      <c r="C1">
        <f>$H$3*(1+$H$1)*(A1^($H$1))*EXP(-$H$3*(A1^(1+$H$1)))</f>
        <v>0.57689181683910484</v>
      </c>
      <c r="D1">
        <f>B1-C1</f>
        <v>-0.23554694780768159</v>
      </c>
      <c r="E1">
        <f>D1^2</f>
        <v>5.5482364621514679E-2</v>
      </c>
      <c r="G1" t="s">
        <v>0</v>
      </c>
      <c r="H1">
        <v>9.37736438541822</v>
      </c>
    </row>
    <row r="2" spans="1:8" x14ac:dyDescent="0.25">
      <c r="A2">
        <v>0.79492983439999998</v>
      </c>
      <c r="B2">
        <v>0.5296730726349671</v>
      </c>
      <c r="C2">
        <f t="shared" ref="C2:C40" si="0">$H$3*(1+$H$1)*(A2^($H$1))*EXP(-$H$3*(A2^(1+$H$1)))</f>
        <v>0.69079719930535877</v>
      </c>
      <c r="D2">
        <f t="shared" ref="D2:D40" si="1">B2-C2</f>
        <v>-0.16112412667039167</v>
      </c>
      <c r="E2">
        <f t="shared" ref="E2:E40" si="2">D2^2</f>
        <v>2.5960984195296417E-2</v>
      </c>
    </row>
    <row r="3" spans="1:8" x14ac:dyDescent="0.25">
      <c r="A3">
        <v>0.81094454999999999</v>
      </c>
      <c r="B3">
        <v>0.92594700105075722</v>
      </c>
      <c r="C3">
        <f t="shared" si="0"/>
        <v>0.82222676416391249</v>
      </c>
      <c r="D3">
        <f t="shared" si="1"/>
        <v>0.10372023688684473</v>
      </c>
      <c r="E3">
        <f t="shared" si="2"/>
        <v>1.0757887539863186E-2</v>
      </c>
      <c r="G3" t="s">
        <v>1</v>
      </c>
      <c r="H3">
        <f>(_xlfn.GAMMA((2+$H$1)/(1+$H$1)))^(1+$H$1)</f>
        <v>0.60564880189121328</v>
      </c>
    </row>
    <row r="4" spans="1:8" x14ac:dyDescent="0.25">
      <c r="A4">
        <v>0.82695926559999999</v>
      </c>
      <c r="B4">
        <v>1.0044170858855672</v>
      </c>
      <c r="C4">
        <f t="shared" si="0"/>
        <v>0.97253966086230947</v>
      </c>
      <c r="D4">
        <f t="shared" si="1"/>
        <v>3.1877425023257744E-2</v>
      </c>
      <c r="E4">
        <f t="shared" si="2"/>
        <v>1.0161702261134191E-3</v>
      </c>
    </row>
    <row r="5" spans="1:8" x14ac:dyDescent="0.25">
      <c r="A5">
        <v>0.8429739812</v>
      </c>
      <c r="B5">
        <v>1.3810734930926549</v>
      </c>
      <c r="C5">
        <f t="shared" si="0"/>
        <v>1.1427635949417423</v>
      </c>
      <c r="D5">
        <f t="shared" si="1"/>
        <v>0.23830989815091264</v>
      </c>
      <c r="E5">
        <f t="shared" si="2"/>
        <v>5.6791607556698355E-2</v>
      </c>
      <c r="G5" t="s">
        <v>2</v>
      </c>
      <c r="H5">
        <f>SUM(E1:E40)</f>
        <v>7.4207636305200451</v>
      </c>
    </row>
    <row r="6" spans="1:8" x14ac:dyDescent="0.25">
      <c r="A6">
        <v>0.85898869680000001</v>
      </c>
      <c r="B6">
        <v>1.6949538324318947</v>
      </c>
      <c r="C6">
        <f t="shared" si="0"/>
        <v>1.3334079644341734</v>
      </c>
      <c r="D6">
        <f t="shared" si="1"/>
        <v>0.36154586799772126</v>
      </c>
      <c r="E6">
        <f t="shared" si="2"/>
        <v>0.13071541466622569</v>
      </c>
    </row>
    <row r="7" spans="1:8" x14ac:dyDescent="0.25">
      <c r="A7">
        <v>0.8750034123999999</v>
      </c>
      <c r="B7">
        <v>2.0951512650894255</v>
      </c>
      <c r="C7">
        <f t="shared" si="0"/>
        <v>1.5442343534775198</v>
      </c>
      <c r="D7">
        <f t="shared" si="1"/>
        <v>0.5509169116119057</v>
      </c>
      <c r="E7">
        <f t="shared" si="2"/>
        <v>0.30350944350000031</v>
      </c>
    </row>
    <row r="8" spans="1:8" x14ac:dyDescent="0.25">
      <c r="A8">
        <v>0.89101812800000002</v>
      </c>
      <c r="B8">
        <v>2.7503764734600882</v>
      </c>
      <c r="C8">
        <f t="shared" si="0"/>
        <v>1.7739865807320274</v>
      </c>
      <c r="D8">
        <f t="shared" si="1"/>
        <v>0.97638989272806076</v>
      </c>
      <c r="E8">
        <f t="shared" si="2"/>
        <v>0.95333722262151399</v>
      </c>
    </row>
    <row r="9" spans="1:8" x14ac:dyDescent="0.25">
      <c r="A9">
        <v>0.90703284360000014</v>
      </c>
      <c r="B9">
        <v>2.8563110879870814</v>
      </c>
      <c r="C9">
        <f t="shared" si="0"/>
        <v>2.0200894975301309</v>
      </c>
      <c r="D9">
        <f t="shared" si="1"/>
        <v>0.83622159045695055</v>
      </c>
      <c r="E9">
        <f t="shared" si="2"/>
        <v>0.69926654834635193</v>
      </c>
    </row>
    <row r="10" spans="1:8" x14ac:dyDescent="0.25">
      <c r="A10">
        <v>0.92304755920000003</v>
      </c>
      <c r="B10">
        <v>3.3114375800289793</v>
      </c>
      <c r="C10">
        <f t="shared" si="0"/>
        <v>2.2783359341319409</v>
      </c>
      <c r="D10">
        <f t="shared" si="1"/>
        <v>1.0331016458970383</v>
      </c>
      <c r="E10">
        <f t="shared" si="2"/>
        <v>1.0672990107551696</v>
      </c>
    </row>
    <row r="11" spans="1:8" x14ac:dyDescent="0.25">
      <c r="A11">
        <v>0.93906227480000004</v>
      </c>
      <c r="B11">
        <v>3.0760273255245494</v>
      </c>
      <c r="C11">
        <f t="shared" si="0"/>
        <v>2.5425948471364666</v>
      </c>
      <c r="D11">
        <f t="shared" si="1"/>
        <v>0.53343247838808283</v>
      </c>
      <c r="E11">
        <f t="shared" si="2"/>
        <v>0.28455020899925243</v>
      </c>
    </row>
    <row r="12" spans="1:8" x14ac:dyDescent="0.25">
      <c r="A12">
        <v>0.95507699040000005</v>
      </c>
      <c r="B12">
        <v>3.5390008260499282</v>
      </c>
      <c r="C12">
        <f t="shared" si="0"/>
        <v>2.804590359117817</v>
      </c>
      <c r="D12">
        <f t="shared" si="1"/>
        <v>0.73441046693211121</v>
      </c>
      <c r="E12">
        <f t="shared" si="2"/>
        <v>0.53935873393944156</v>
      </c>
    </row>
    <row r="13" spans="1:8" x14ac:dyDescent="0.25">
      <c r="A13">
        <v>0.97109170600000005</v>
      </c>
      <c r="B13">
        <v>3.4919187751490424</v>
      </c>
      <c r="C13">
        <f t="shared" si="0"/>
        <v>3.0538192923494796</v>
      </c>
      <c r="D13">
        <f t="shared" si="1"/>
        <v>0.43809948279956279</v>
      </c>
      <c r="E13">
        <f t="shared" si="2"/>
        <v>0.19193115682924441</v>
      </c>
    </row>
    <row r="14" spans="1:8" x14ac:dyDescent="0.25">
      <c r="A14">
        <v>0.98710642160000006</v>
      </c>
      <c r="B14">
        <v>3.7312525338952125</v>
      </c>
      <c r="C14">
        <f t="shared" si="0"/>
        <v>3.2776904199146668</v>
      </c>
      <c r="D14">
        <f t="shared" si="1"/>
        <v>0.45356211398054569</v>
      </c>
      <c r="E14">
        <f t="shared" si="2"/>
        <v>0.20571859123850153</v>
      </c>
    </row>
    <row r="15" spans="1:8" x14ac:dyDescent="0.25">
      <c r="A15">
        <v>1.0031211372</v>
      </c>
      <c r="B15">
        <v>3.8018756102465412</v>
      </c>
      <c r="C15">
        <f t="shared" si="0"/>
        <v>3.4619760711275815</v>
      </c>
      <c r="D15">
        <f t="shared" si="1"/>
        <v>0.33989953911895965</v>
      </c>
      <c r="E15">
        <f t="shared" si="2"/>
        <v>0.11553169669328119</v>
      </c>
    </row>
    <row r="16" spans="1:8" x14ac:dyDescent="0.25">
      <c r="A16">
        <v>1.0191358528000001</v>
      </c>
      <c r="B16">
        <v>3.468377749698599</v>
      </c>
      <c r="C16">
        <f t="shared" si="0"/>
        <v>3.5916576154561057</v>
      </c>
      <c r="D16">
        <f t="shared" si="1"/>
        <v>-0.12327986575750671</v>
      </c>
      <c r="E16">
        <f t="shared" si="2"/>
        <v>1.5197925301188877E-2</v>
      </c>
    </row>
    <row r="17" spans="1:5" x14ac:dyDescent="0.25">
      <c r="A17">
        <v>1.0351505684</v>
      </c>
      <c r="B17">
        <v>3.5076127921160043</v>
      </c>
      <c r="C17">
        <f t="shared" si="0"/>
        <v>3.6522109553527833</v>
      </c>
      <c r="D17">
        <f t="shared" si="1"/>
        <v>-0.14459816323677899</v>
      </c>
      <c r="E17">
        <f t="shared" si="2"/>
        <v>2.0908628811450183E-2</v>
      </c>
    </row>
    <row r="18" spans="1:5" x14ac:dyDescent="0.25">
      <c r="A18">
        <v>1.0511652840000001</v>
      </c>
      <c r="B18">
        <v>3.2604320248863528</v>
      </c>
      <c r="C18">
        <f t="shared" si="0"/>
        <v>3.6313079093982625</v>
      </c>
      <c r="D18">
        <f t="shared" si="1"/>
        <v>-0.37087588451190978</v>
      </c>
      <c r="E18">
        <f t="shared" si="2"/>
        <v>0.13754892171249145</v>
      </c>
    </row>
    <row r="19" spans="1:5" x14ac:dyDescent="0.25">
      <c r="A19">
        <v>1.0671799996</v>
      </c>
      <c r="B19">
        <v>3.0877978382497711</v>
      </c>
      <c r="C19">
        <f t="shared" si="0"/>
        <v>3.5208015858116668</v>
      </c>
      <c r="D19">
        <f t="shared" si="1"/>
        <v>-0.43300374756189575</v>
      </c>
      <c r="E19">
        <f t="shared" si="2"/>
        <v>0.18749224540264595</v>
      </c>
    </row>
    <row r="20" spans="1:5" x14ac:dyDescent="0.25">
      <c r="A20">
        <v>1.0831947151999999</v>
      </c>
      <c r="B20">
        <v>2.7111414310426833</v>
      </c>
      <c r="C20">
        <f t="shared" si="0"/>
        <v>3.3187282482148497</v>
      </c>
      <c r="D20">
        <f t="shared" si="1"/>
        <v>-0.60758681717216634</v>
      </c>
      <c r="E20">
        <f t="shared" si="2"/>
        <v>0.36916174040140348</v>
      </c>
    </row>
    <row r="21" spans="1:5" x14ac:dyDescent="0.25">
      <c r="A21">
        <v>1.0992094308</v>
      </c>
      <c r="B21">
        <v>2.1853918626494568</v>
      </c>
      <c r="C21">
        <f t="shared" si="0"/>
        <v>3.0309232813218689</v>
      </c>
      <c r="D21">
        <f t="shared" si="1"/>
        <v>-0.84553141867241211</v>
      </c>
      <c r="E21">
        <f t="shared" si="2"/>
        <v>0.7149233799621818</v>
      </c>
    </row>
    <row r="22" spans="1:5" x14ac:dyDescent="0.25">
      <c r="A22">
        <v>1.1152241464000001</v>
      </c>
      <c r="B22">
        <v>1.9303640869363243</v>
      </c>
      <c r="C22">
        <f t="shared" si="0"/>
        <v>2.6717643359557139</v>
      </c>
      <c r="D22">
        <f t="shared" si="1"/>
        <v>-0.74140024901938961</v>
      </c>
      <c r="E22">
        <f t="shared" si="2"/>
        <v>0.54967432924601289</v>
      </c>
    </row>
    <row r="23" spans="1:5" x14ac:dyDescent="0.25">
      <c r="A23">
        <v>1.131238862</v>
      </c>
      <c r="B23">
        <v>1.7028008409153756</v>
      </c>
      <c r="C23">
        <f t="shared" si="0"/>
        <v>2.2635839255653707</v>
      </c>
      <c r="D23">
        <f t="shared" si="1"/>
        <v>-0.56078308464999505</v>
      </c>
      <c r="E23">
        <f t="shared" si="2"/>
        <v>0.31447766802956351</v>
      </c>
    </row>
    <row r="24" spans="1:5" x14ac:dyDescent="0.25">
      <c r="A24">
        <v>1.1472535775999999</v>
      </c>
      <c r="B24">
        <v>1.3575324676422118</v>
      </c>
      <c r="C24">
        <f t="shared" si="0"/>
        <v>1.8344915528023804</v>
      </c>
      <c r="D24">
        <f t="shared" si="1"/>
        <v>-0.47695908516016861</v>
      </c>
      <c r="E24">
        <f t="shared" si="2"/>
        <v>0.22748996891682496</v>
      </c>
    </row>
    <row r="25" spans="1:5" x14ac:dyDescent="0.25">
      <c r="A25">
        <v>1.1632682931999998</v>
      </c>
      <c r="B25">
        <v>1.1770512725221491</v>
      </c>
      <c r="C25">
        <f t="shared" si="0"/>
        <v>1.4147223430916118</v>
      </c>
      <c r="D25">
        <f t="shared" si="1"/>
        <v>-0.23767107056946268</v>
      </c>
      <c r="E25">
        <f t="shared" si="2"/>
        <v>5.6487537785634513E-2</v>
      </c>
    </row>
    <row r="26" spans="1:5" x14ac:dyDescent="0.25">
      <c r="A26">
        <v>1.1792830088000001</v>
      </c>
      <c r="B26">
        <v>1.1142752046543012</v>
      </c>
      <c r="C26">
        <f t="shared" si="0"/>
        <v>1.0321141296335847</v>
      </c>
      <c r="D26">
        <f t="shared" si="1"/>
        <v>8.2161075020716456E-2</v>
      </c>
      <c r="E26">
        <f t="shared" si="2"/>
        <v>6.7504422485597975E-3</v>
      </c>
    </row>
    <row r="27" spans="1:5" x14ac:dyDescent="0.25">
      <c r="A27">
        <v>1.1952977244</v>
      </c>
      <c r="B27">
        <v>0.8317828992489853</v>
      </c>
      <c r="C27">
        <f t="shared" si="0"/>
        <v>0.70774324673358224</v>
      </c>
      <c r="D27">
        <f t="shared" si="1"/>
        <v>0.12403965251540305</v>
      </c>
      <c r="E27">
        <f t="shared" si="2"/>
        <v>1.5385835396141936E-2</v>
      </c>
    </row>
    <row r="28" spans="1:5" x14ac:dyDescent="0.25">
      <c r="A28">
        <v>1.2113124399999999</v>
      </c>
      <c r="B28">
        <v>0.72584828472199192</v>
      </c>
      <c r="C28">
        <f t="shared" si="0"/>
        <v>0.45290460451599196</v>
      </c>
      <c r="D28">
        <f t="shared" si="1"/>
        <v>0.27294368020599996</v>
      </c>
      <c r="E28">
        <f t="shared" si="2"/>
        <v>7.449825256439517E-2</v>
      </c>
    </row>
    <row r="29" spans="1:5" x14ac:dyDescent="0.25">
      <c r="A29">
        <v>1.2273271555999998</v>
      </c>
      <c r="B29">
        <v>0.4786675174923406</v>
      </c>
      <c r="C29">
        <f t="shared" si="0"/>
        <v>0.26834066902503362</v>
      </c>
      <c r="D29">
        <f t="shared" si="1"/>
        <v>0.21032684846730698</v>
      </c>
      <c r="E29">
        <f t="shared" si="2"/>
        <v>4.4237383186189513E-2</v>
      </c>
    </row>
    <row r="30" spans="1:5" x14ac:dyDescent="0.25">
      <c r="A30">
        <v>1.2433418711999999</v>
      </c>
      <c r="B30">
        <v>0.34919187751490421</v>
      </c>
      <c r="C30">
        <f t="shared" si="0"/>
        <v>0.14592386778255678</v>
      </c>
      <c r="D30">
        <f t="shared" si="1"/>
        <v>0.20326800973234743</v>
      </c>
      <c r="E30">
        <f t="shared" si="2"/>
        <v>4.1317883780549687E-2</v>
      </c>
    </row>
    <row r="31" spans="1:5" x14ac:dyDescent="0.25">
      <c r="A31">
        <v>1.2593565868000001</v>
      </c>
      <c r="B31">
        <v>1.9617521208702485E-2</v>
      </c>
      <c r="C31">
        <f t="shared" si="0"/>
        <v>7.2136030019848141E-2</v>
      </c>
      <c r="D31">
        <f t="shared" si="1"/>
        <v>-5.2518508811145656E-2</v>
      </c>
      <c r="E31">
        <f t="shared" si="2"/>
        <v>2.7581937677463838E-3</v>
      </c>
    </row>
    <row r="32" spans="1:5" x14ac:dyDescent="0.25">
      <c r="A32">
        <v>1.2753713024</v>
      </c>
      <c r="B32">
        <v>0</v>
      </c>
      <c r="C32">
        <f t="shared" si="0"/>
        <v>3.2075379025910178E-2</v>
      </c>
      <c r="D32">
        <f t="shared" si="1"/>
        <v>-3.2075379025910178E-2</v>
      </c>
      <c r="E32">
        <f t="shared" si="2"/>
        <v>1.0288299396557985E-3</v>
      </c>
    </row>
    <row r="33" spans="1:5" x14ac:dyDescent="0.25">
      <c r="A33">
        <v>1.2913860179999999</v>
      </c>
      <c r="B33">
        <v>0</v>
      </c>
      <c r="C33">
        <f t="shared" si="0"/>
        <v>1.2680567732020222E-2</v>
      </c>
      <c r="D33">
        <f t="shared" si="1"/>
        <v>-1.2680567732020222E-2</v>
      </c>
      <c r="E33">
        <f t="shared" si="2"/>
        <v>1.6079679800635248E-4</v>
      </c>
    </row>
    <row r="34" spans="1:5" x14ac:dyDescent="0.25">
      <c r="A34">
        <v>1.3074007336</v>
      </c>
      <c r="B34">
        <v>0</v>
      </c>
      <c r="C34">
        <f t="shared" si="0"/>
        <v>4.400628785155924E-3</v>
      </c>
      <c r="D34">
        <f t="shared" si="1"/>
        <v>-4.400628785155924E-3</v>
      </c>
      <c r="E34">
        <f t="shared" si="2"/>
        <v>1.9365533704742904E-5</v>
      </c>
    </row>
    <row r="35" spans="1:5" x14ac:dyDescent="0.25">
      <c r="A35">
        <v>1.3234154492000001</v>
      </c>
      <c r="B35">
        <v>0</v>
      </c>
      <c r="C35">
        <f t="shared" si="0"/>
        <v>1.3219930036116887E-3</v>
      </c>
      <c r="D35">
        <f t="shared" si="1"/>
        <v>-1.3219930036116887E-3</v>
      </c>
      <c r="E35">
        <f t="shared" si="2"/>
        <v>1.7476655015982544E-6</v>
      </c>
    </row>
    <row r="36" spans="1:5" x14ac:dyDescent="0.25">
      <c r="A36">
        <v>1.3394301648</v>
      </c>
      <c r="B36">
        <v>0</v>
      </c>
      <c r="C36">
        <f t="shared" si="0"/>
        <v>3.3855965635430055E-4</v>
      </c>
      <c r="D36">
        <f t="shared" si="1"/>
        <v>-3.3855965635430055E-4</v>
      </c>
      <c r="E36">
        <f t="shared" si="2"/>
        <v>1.1462264091074208E-7</v>
      </c>
    </row>
    <row r="37" spans="1:5" x14ac:dyDescent="0.25">
      <c r="A37">
        <v>1.3554448803999999</v>
      </c>
      <c r="B37">
        <v>0</v>
      </c>
      <c r="C37">
        <f t="shared" si="0"/>
        <v>7.2688163338276369E-5</v>
      </c>
      <c r="D37">
        <f t="shared" si="1"/>
        <v>-7.2688163338276369E-5</v>
      </c>
      <c r="E37">
        <f t="shared" si="2"/>
        <v>5.2835690894919445E-9</v>
      </c>
    </row>
    <row r="38" spans="1:5" x14ac:dyDescent="0.25">
      <c r="A38">
        <v>1.371459596</v>
      </c>
      <c r="B38">
        <v>0</v>
      </c>
      <c r="C38">
        <f t="shared" si="0"/>
        <v>1.2846164200067736E-5</v>
      </c>
      <c r="D38">
        <f t="shared" si="1"/>
        <v>-1.2846164200067736E-5</v>
      </c>
      <c r="E38">
        <f t="shared" si="2"/>
        <v>1.6502393465510194E-10</v>
      </c>
    </row>
    <row r="39" spans="1:5" x14ac:dyDescent="0.25">
      <c r="A39">
        <v>1.3874743116000001</v>
      </c>
      <c r="B39">
        <v>0</v>
      </c>
      <c r="C39">
        <f t="shared" si="0"/>
        <v>1.8318864756945274E-6</v>
      </c>
      <c r="D39">
        <f t="shared" si="1"/>
        <v>-1.8318864756945274E-6</v>
      </c>
      <c r="E39">
        <f t="shared" si="2"/>
        <v>3.3558080598325163E-12</v>
      </c>
    </row>
    <row r="40" spans="1:5" x14ac:dyDescent="0.25">
      <c r="A40">
        <v>1.4034890272</v>
      </c>
      <c r="B40">
        <v>3.9235042417404969E-3</v>
      </c>
      <c r="C40">
        <f t="shared" si="0"/>
        <v>2.0624900972383395E-7</v>
      </c>
      <c r="D40">
        <f t="shared" si="1"/>
        <v>3.9232979927307735E-3</v>
      </c>
      <c r="E40">
        <f t="shared" si="2"/>
        <v>1.5392267139765317E-5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DC7A-D56C-48F7-96C1-296361E3196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0.85824827922500002</v>
      </c>
      <c r="B1">
        <v>0.54426414112684618</v>
      </c>
      <c r="C1">
        <f>$H$3*(1+$H$1)*(A1^($H$1))*EXP(-$H$3*(A1^(1+$H$1)))</f>
        <v>0.87135957960751187</v>
      </c>
      <c r="D1">
        <f>B1-C1</f>
        <v>-0.32709543848066569</v>
      </c>
      <c r="E1">
        <f>D1^2</f>
        <v>0.10699142587485895</v>
      </c>
      <c r="G1" t="s">
        <v>0</v>
      </c>
      <c r="H1">
        <v>15.44987324812789</v>
      </c>
    </row>
    <row r="2" spans="1:8" x14ac:dyDescent="0.25">
      <c r="A2">
        <v>0.8703702416750001</v>
      </c>
      <c r="B2">
        <v>0.96930851800685935</v>
      </c>
      <c r="C2">
        <f t="shared" ref="C2:C40" si="0">$H$3*(1+$H$1)*(A2^($H$1))*EXP(-$H$3*(A2^(1+$H$1)))</f>
        <v>1.0688833078018627</v>
      </c>
      <c r="D2">
        <f t="shared" ref="D2:D40" si="1">B2-C2</f>
        <v>-9.9574789795003338E-2</v>
      </c>
      <c r="E2">
        <f t="shared" ref="E2:E40" si="2">D2^2</f>
        <v>9.9151387627191001E-3</v>
      </c>
    </row>
    <row r="3" spans="1:8" x14ac:dyDescent="0.25">
      <c r="A3">
        <v>0.88249220412500007</v>
      </c>
      <c r="B3">
        <v>1.5239395951551691</v>
      </c>
      <c r="C3">
        <f t="shared" si="0"/>
        <v>1.3033820399909777</v>
      </c>
      <c r="D3">
        <f t="shared" si="1"/>
        <v>0.2205575551641914</v>
      </c>
      <c r="E3">
        <f t="shared" si="2"/>
        <v>4.8645635140005333E-2</v>
      </c>
      <c r="G3" t="s">
        <v>1</v>
      </c>
      <c r="H3">
        <f>(_xlfn.GAMMA((2+$H$1)/(1+$H$1)))^(1+$H$1)</f>
        <v>0.58940605548350622</v>
      </c>
    </row>
    <row r="4" spans="1:8" x14ac:dyDescent="0.25">
      <c r="A4">
        <v>0.89461416657500004</v>
      </c>
      <c r="B4">
        <v>1.7364617835951757</v>
      </c>
      <c r="C4">
        <f t="shared" si="0"/>
        <v>1.5789632635865718</v>
      </c>
      <c r="D4">
        <f t="shared" si="1"/>
        <v>0.15749852000860387</v>
      </c>
      <c r="E4">
        <f t="shared" si="2"/>
        <v>2.4805783804900595E-2</v>
      </c>
    </row>
    <row r="5" spans="1:8" x14ac:dyDescent="0.25">
      <c r="A5">
        <v>0.906736129025</v>
      </c>
      <c r="B5">
        <v>2.5036150491834923</v>
      </c>
      <c r="C5">
        <f t="shared" si="0"/>
        <v>1.8989879407382564</v>
      </c>
      <c r="D5">
        <f t="shared" si="1"/>
        <v>0.60462710844523593</v>
      </c>
      <c r="E5">
        <f t="shared" si="2"/>
        <v>0.36557394026684709</v>
      </c>
      <c r="G5" t="s">
        <v>2</v>
      </c>
      <c r="H5">
        <f>SUM(E1:E40)</f>
        <v>17.434865158180514</v>
      </c>
    </row>
    <row r="6" spans="1:8" x14ac:dyDescent="0.25">
      <c r="A6">
        <v>0.91885809147499997</v>
      </c>
      <c r="B6">
        <v>2.7887057897737448</v>
      </c>
      <c r="C6">
        <f t="shared" si="0"/>
        <v>2.2653922590171058</v>
      </c>
      <c r="D6">
        <f t="shared" si="1"/>
        <v>0.523313530756639</v>
      </c>
      <c r="E6">
        <f t="shared" si="2"/>
        <v>0.27385705147297973</v>
      </c>
    </row>
    <row r="7" spans="1:8" x14ac:dyDescent="0.25">
      <c r="A7">
        <v>0.93098005392500005</v>
      </c>
      <c r="B7">
        <v>4.3230123209503777</v>
      </c>
      <c r="C7">
        <f t="shared" si="0"/>
        <v>2.6777773376302241</v>
      </c>
      <c r="D7">
        <f t="shared" si="1"/>
        <v>1.6452349833201536</v>
      </c>
      <c r="E7">
        <f t="shared" si="2"/>
        <v>2.7067981503404663</v>
      </c>
    </row>
    <row r="8" spans="1:8" x14ac:dyDescent="0.25">
      <c r="A8">
        <v>0.94310201637500002</v>
      </c>
      <c r="B8">
        <v>4.4577824892294062</v>
      </c>
      <c r="C8">
        <f t="shared" si="0"/>
        <v>3.1322568491944782</v>
      </c>
      <c r="D8">
        <f t="shared" si="1"/>
        <v>1.325525640034928</v>
      </c>
      <c r="E8">
        <f t="shared" si="2"/>
        <v>1.7570182223900055</v>
      </c>
    </row>
    <row r="9" spans="1:8" x14ac:dyDescent="0.25">
      <c r="A9">
        <v>0.9552239788250001</v>
      </c>
      <c r="B9">
        <v>5.323421647021628</v>
      </c>
      <c r="C9">
        <f t="shared" si="0"/>
        <v>3.6200991571562624</v>
      </c>
      <c r="D9">
        <f t="shared" si="1"/>
        <v>1.7033224898653656</v>
      </c>
      <c r="E9">
        <f t="shared" si="2"/>
        <v>2.9013075044811485</v>
      </c>
    </row>
    <row r="10" spans="1:8" x14ac:dyDescent="0.25">
      <c r="A10">
        <v>0.96734594127500007</v>
      </c>
      <c r="B10">
        <v>5.1160829265923535</v>
      </c>
      <c r="C10">
        <f t="shared" si="0"/>
        <v>4.126281270289482</v>
      </c>
      <c r="D10">
        <f t="shared" si="1"/>
        <v>0.98980165630287154</v>
      </c>
      <c r="E10">
        <f t="shared" si="2"/>
        <v>0.9797073188199078</v>
      </c>
    </row>
    <row r="11" spans="1:8" x14ac:dyDescent="0.25">
      <c r="A11">
        <v>0.97946790372500003</v>
      </c>
      <c r="B11">
        <v>5.7121817478265182</v>
      </c>
      <c r="C11">
        <f t="shared" si="0"/>
        <v>4.6281939571334112</v>
      </c>
      <c r="D11">
        <f t="shared" si="1"/>
        <v>1.083987790693107</v>
      </c>
      <c r="E11">
        <f t="shared" si="2"/>
        <v>1.1750295303717233</v>
      </c>
    </row>
    <row r="12" spans="1:8" x14ac:dyDescent="0.25">
      <c r="A12">
        <v>0.991589866175</v>
      </c>
      <c r="B12">
        <v>5.6603470677191998</v>
      </c>
      <c r="C12">
        <f t="shared" si="0"/>
        <v>5.09489793450979</v>
      </c>
      <c r="D12">
        <f t="shared" si="1"/>
        <v>0.56544913320940982</v>
      </c>
      <c r="E12">
        <f t="shared" si="2"/>
        <v>0.31973272224727289</v>
      </c>
    </row>
    <row r="13" spans="1:8" x14ac:dyDescent="0.25">
      <c r="A13">
        <v>1.0037118286250002</v>
      </c>
      <c r="B13">
        <v>5.9143370002450615</v>
      </c>
      <c r="C13">
        <f t="shared" si="0"/>
        <v>5.4875049415573027</v>
      </c>
      <c r="D13">
        <f t="shared" si="1"/>
        <v>0.42683205868775875</v>
      </c>
      <c r="E13">
        <f t="shared" si="2"/>
        <v>0.18218560632363034</v>
      </c>
    </row>
    <row r="14" spans="1:8" x14ac:dyDescent="0.25">
      <c r="A14">
        <v>1.0158337910749999</v>
      </c>
      <c r="B14">
        <v>5.5825950475582218</v>
      </c>
      <c r="C14">
        <f t="shared" si="0"/>
        <v>5.7613813044232085</v>
      </c>
      <c r="D14">
        <f t="shared" si="1"/>
        <v>-0.17878625686498673</v>
      </c>
      <c r="E14">
        <f t="shared" si="2"/>
        <v>3.1964525643793013E-2</v>
      </c>
    </row>
    <row r="15" spans="1:8" x14ac:dyDescent="0.25">
      <c r="A15">
        <v>1.0279557535250001</v>
      </c>
      <c r="B15">
        <v>5.0279639704099122</v>
      </c>
      <c r="C15">
        <f t="shared" si="0"/>
        <v>5.8708312536029394</v>
      </c>
      <c r="D15">
        <f t="shared" si="1"/>
        <v>-0.84286728319302728</v>
      </c>
      <c r="E15">
        <f t="shared" si="2"/>
        <v>0.71042525707719484</v>
      </c>
    </row>
    <row r="16" spans="1:8" x14ac:dyDescent="0.25">
      <c r="A16">
        <v>1.0400777159750001</v>
      </c>
      <c r="B16">
        <v>5.1834680107318682</v>
      </c>
      <c r="C16">
        <f t="shared" si="0"/>
        <v>5.7765557908845038</v>
      </c>
      <c r="D16">
        <f t="shared" si="1"/>
        <v>-0.59308778015263552</v>
      </c>
      <c r="E16">
        <f t="shared" si="2"/>
        <v>0.35175311496638095</v>
      </c>
    </row>
    <row r="17" spans="1:5" x14ac:dyDescent="0.25">
      <c r="A17">
        <v>1.0521996784250001</v>
      </c>
      <c r="B17">
        <v>4.5199841053581888</v>
      </c>
      <c r="C17">
        <f t="shared" si="0"/>
        <v>5.4553547734240802</v>
      </c>
      <c r="D17">
        <f t="shared" si="1"/>
        <v>-0.93537066806589131</v>
      </c>
      <c r="E17">
        <f t="shared" si="2"/>
        <v>0.87491828667803184</v>
      </c>
    </row>
    <row r="18" spans="1:5" x14ac:dyDescent="0.25">
      <c r="A18">
        <v>1.064321640875</v>
      </c>
      <c r="B18">
        <v>3.5558590553620615</v>
      </c>
      <c r="C18">
        <f t="shared" si="0"/>
        <v>4.9102372691132956</v>
      </c>
      <c r="D18">
        <f t="shared" si="1"/>
        <v>-1.3543782137512341</v>
      </c>
      <c r="E18">
        <f t="shared" si="2"/>
        <v>1.8343403458839835</v>
      </c>
    </row>
    <row r="19" spans="1:5" x14ac:dyDescent="0.25">
      <c r="A19">
        <v>1.076443603325</v>
      </c>
      <c r="B19">
        <v>3.0375122542888748</v>
      </c>
      <c r="C19">
        <f t="shared" si="0"/>
        <v>4.1776447144149973</v>
      </c>
      <c r="D19">
        <f t="shared" si="1"/>
        <v>-1.1401324601261225</v>
      </c>
      <c r="E19">
        <f t="shared" si="2"/>
        <v>1.2999020266332442</v>
      </c>
    </row>
    <row r="20" spans="1:5" x14ac:dyDescent="0.25">
      <c r="A20">
        <v>1.0885655657750002</v>
      </c>
      <c r="B20">
        <v>2.436229965043978</v>
      </c>
      <c r="C20">
        <f t="shared" si="0"/>
        <v>3.327656115607585</v>
      </c>
      <c r="D20">
        <f t="shared" si="1"/>
        <v>-0.89142615056360697</v>
      </c>
      <c r="E20">
        <f t="shared" si="2"/>
        <v>0.7946405819086505</v>
      </c>
    </row>
    <row r="21" spans="1:5" x14ac:dyDescent="0.25">
      <c r="A21">
        <v>1.1006875282249999</v>
      </c>
      <c r="B21">
        <v>1.9489839720351823</v>
      </c>
      <c r="C21">
        <f t="shared" si="0"/>
        <v>2.4539511012428559</v>
      </c>
      <c r="D21">
        <f t="shared" si="1"/>
        <v>-0.50496712920767362</v>
      </c>
      <c r="E21">
        <f t="shared" si="2"/>
        <v>0.25499180158023932</v>
      </c>
    </row>
    <row r="22" spans="1:5" x14ac:dyDescent="0.25">
      <c r="A22">
        <v>1.1128094906750001</v>
      </c>
      <c r="B22">
        <v>1.7831129956917626</v>
      </c>
      <c r="C22">
        <f t="shared" si="0"/>
        <v>1.6537442716602568</v>
      </c>
      <c r="D22">
        <f t="shared" si="1"/>
        <v>0.12936872403150579</v>
      </c>
      <c r="E22">
        <f t="shared" si="2"/>
        <v>1.6736266757539902E-2</v>
      </c>
    </row>
    <row r="23" spans="1:5" x14ac:dyDescent="0.25">
      <c r="A23">
        <v>1.1249314531249999</v>
      </c>
      <c r="B23">
        <v>1.1818307064468658</v>
      </c>
      <c r="C23">
        <f t="shared" si="0"/>
        <v>1.0032189816877413</v>
      </c>
      <c r="D23">
        <f t="shared" si="1"/>
        <v>0.17861172475912457</v>
      </c>
      <c r="E23">
        <f t="shared" si="2"/>
        <v>3.1902148221429269E-2</v>
      </c>
    </row>
    <row r="24" spans="1:5" x14ac:dyDescent="0.25">
      <c r="A24">
        <v>1.1370534155750001</v>
      </c>
      <c r="B24">
        <v>1.0677944102107648</v>
      </c>
      <c r="C24">
        <f t="shared" si="0"/>
        <v>0.53834608420335861</v>
      </c>
      <c r="D24">
        <f t="shared" si="1"/>
        <v>0.52944832600740621</v>
      </c>
      <c r="E24">
        <f t="shared" si="2"/>
        <v>0.28031552991204467</v>
      </c>
    </row>
    <row r="25" spans="1:5" x14ac:dyDescent="0.25">
      <c r="A25">
        <v>1.1491753780250002</v>
      </c>
      <c r="B25">
        <v>0.55981454515904172</v>
      </c>
      <c r="C25">
        <f t="shared" si="0"/>
        <v>0.25043402707839274</v>
      </c>
      <c r="D25">
        <f t="shared" si="1"/>
        <v>0.30938051808064898</v>
      </c>
      <c r="E25">
        <f t="shared" si="2"/>
        <v>9.5716304967850774E-2</v>
      </c>
    </row>
    <row r="26" spans="1:5" x14ac:dyDescent="0.25">
      <c r="A26">
        <v>1.161297340475</v>
      </c>
      <c r="B26">
        <v>3.1100808064391208E-2</v>
      </c>
      <c r="C26">
        <f t="shared" si="0"/>
        <v>9.8665093407111756E-2</v>
      </c>
      <c r="D26">
        <f t="shared" si="1"/>
        <v>-6.7564285342720548E-2</v>
      </c>
      <c r="E26">
        <f t="shared" si="2"/>
        <v>4.5649326538725627E-3</v>
      </c>
    </row>
    <row r="27" spans="1:5" x14ac:dyDescent="0.25">
      <c r="A27">
        <v>1.1734193029250002</v>
      </c>
      <c r="B27">
        <v>0</v>
      </c>
      <c r="C27">
        <f t="shared" si="0"/>
        <v>3.2047816969715433E-2</v>
      </c>
      <c r="D27">
        <f t="shared" si="1"/>
        <v>-3.2047816969715433E-2</v>
      </c>
      <c r="E27">
        <f t="shared" si="2"/>
        <v>1.0270625725243804E-3</v>
      </c>
    </row>
    <row r="28" spans="1:5" x14ac:dyDescent="0.25">
      <c r="A28">
        <v>1.1855412653749999</v>
      </c>
      <c r="B28">
        <v>0</v>
      </c>
      <c r="C28">
        <f t="shared" si="0"/>
        <v>8.320753921979767E-3</v>
      </c>
      <c r="D28">
        <f t="shared" si="1"/>
        <v>-8.320753921979767E-3</v>
      </c>
      <c r="E28">
        <f t="shared" si="2"/>
        <v>6.9234945830141674E-5</v>
      </c>
    </row>
    <row r="29" spans="1:5" x14ac:dyDescent="0.25">
      <c r="A29">
        <v>1.1976632278250001</v>
      </c>
      <c r="B29">
        <v>0</v>
      </c>
      <c r="C29">
        <f t="shared" si="0"/>
        <v>1.6665414348405348E-3</v>
      </c>
      <c r="D29">
        <f t="shared" si="1"/>
        <v>-1.6665414348405348E-3</v>
      </c>
      <c r="E29">
        <f t="shared" si="2"/>
        <v>2.7773603540403487E-6</v>
      </c>
    </row>
    <row r="30" spans="1:5" x14ac:dyDescent="0.25">
      <c r="A30">
        <v>1.2097851902749999</v>
      </c>
      <c r="B30">
        <v>0</v>
      </c>
      <c r="C30">
        <f t="shared" si="0"/>
        <v>2.4719549575340536E-4</v>
      </c>
      <c r="D30">
        <f t="shared" si="1"/>
        <v>-2.4719549575340536E-4</v>
      </c>
      <c r="E30">
        <f t="shared" si="2"/>
        <v>6.1105613120771854E-8</v>
      </c>
    </row>
    <row r="31" spans="1:5" x14ac:dyDescent="0.25">
      <c r="A31">
        <v>1.2219071527250001</v>
      </c>
      <c r="B31">
        <v>0</v>
      </c>
      <c r="C31">
        <f t="shared" si="0"/>
        <v>2.5913869960222259E-5</v>
      </c>
      <c r="D31">
        <f t="shared" si="1"/>
        <v>-2.5913869960222259E-5</v>
      </c>
      <c r="E31">
        <f t="shared" si="2"/>
        <v>6.7152865631530957E-10</v>
      </c>
    </row>
    <row r="32" spans="1:5" x14ac:dyDescent="0.25">
      <c r="A32">
        <v>1.2340291151750002</v>
      </c>
      <c r="B32">
        <v>0</v>
      </c>
      <c r="C32">
        <f t="shared" si="0"/>
        <v>1.8199393752337605E-6</v>
      </c>
      <c r="D32">
        <f t="shared" si="1"/>
        <v>-1.8199393752337605E-6</v>
      </c>
      <c r="E32">
        <f t="shared" si="2"/>
        <v>3.3121793295262505E-12</v>
      </c>
    </row>
    <row r="33" spans="1:5" x14ac:dyDescent="0.25">
      <c r="A33">
        <v>1.246151077625</v>
      </c>
      <c r="B33">
        <v>0</v>
      </c>
      <c r="C33">
        <f t="shared" si="0"/>
        <v>8.054941682416134E-8</v>
      </c>
      <c r="D33">
        <f t="shared" si="1"/>
        <v>-8.054941682416134E-8</v>
      </c>
      <c r="E33">
        <f t="shared" si="2"/>
        <v>6.4882085507124858E-15</v>
      </c>
    </row>
    <row r="34" spans="1:5" x14ac:dyDescent="0.25">
      <c r="A34">
        <v>1.258273040075</v>
      </c>
      <c r="B34">
        <v>0</v>
      </c>
      <c r="C34">
        <f t="shared" si="0"/>
        <v>2.0952954126811935E-9</v>
      </c>
      <c r="D34">
        <f t="shared" si="1"/>
        <v>-2.0952954126811935E-9</v>
      </c>
      <c r="E34">
        <f t="shared" si="2"/>
        <v>4.3902628664028528E-18</v>
      </c>
    </row>
    <row r="35" spans="1:5" x14ac:dyDescent="0.25">
      <c r="A35">
        <v>1.2703950025249999</v>
      </c>
      <c r="B35">
        <v>0</v>
      </c>
      <c r="C35">
        <f t="shared" si="0"/>
        <v>2.958458400432744E-11</v>
      </c>
      <c r="D35">
        <f t="shared" si="1"/>
        <v>-2.958458400432744E-11</v>
      </c>
      <c r="E35">
        <f t="shared" si="2"/>
        <v>8.7524761070910695E-22</v>
      </c>
    </row>
    <row r="36" spans="1:5" x14ac:dyDescent="0.25">
      <c r="A36">
        <v>1.2825169649750001</v>
      </c>
      <c r="B36">
        <v>0</v>
      </c>
      <c r="C36">
        <f t="shared" si="0"/>
        <v>2.0711140288221632E-13</v>
      </c>
      <c r="D36">
        <f t="shared" si="1"/>
        <v>-2.0711140288221632E-13</v>
      </c>
      <c r="E36">
        <f t="shared" si="2"/>
        <v>4.2895133203839724E-26</v>
      </c>
    </row>
    <row r="37" spans="1:5" x14ac:dyDescent="0.25">
      <c r="A37">
        <v>1.2946389274250003</v>
      </c>
      <c r="B37">
        <v>0</v>
      </c>
      <c r="C37">
        <f t="shared" si="0"/>
        <v>6.485706917405203E-16</v>
      </c>
      <c r="D37">
        <f t="shared" si="1"/>
        <v>-6.485706917405203E-16</v>
      </c>
      <c r="E37">
        <f t="shared" si="2"/>
        <v>4.2064394218477698E-31</v>
      </c>
    </row>
    <row r="38" spans="1:5" x14ac:dyDescent="0.25">
      <c r="A38">
        <v>1.3067608898750001</v>
      </c>
      <c r="B38">
        <v>0</v>
      </c>
      <c r="C38">
        <f t="shared" si="0"/>
        <v>8.0827986692197503E-19</v>
      </c>
      <c r="D38">
        <f t="shared" si="1"/>
        <v>-8.0827986692197503E-19</v>
      </c>
      <c r="E38">
        <f t="shared" si="2"/>
        <v>6.5331634327140569E-37</v>
      </c>
    </row>
    <row r="39" spans="1:5" x14ac:dyDescent="0.25">
      <c r="A39">
        <v>1.3188828523250002</v>
      </c>
      <c r="B39">
        <v>0</v>
      </c>
      <c r="C39">
        <f t="shared" si="0"/>
        <v>3.5110820381986954E-22</v>
      </c>
      <c r="D39">
        <f t="shared" si="1"/>
        <v>-3.5110820381986954E-22</v>
      </c>
      <c r="E39">
        <f t="shared" si="2"/>
        <v>1.2327697078961504E-43</v>
      </c>
    </row>
    <row r="40" spans="1:5" x14ac:dyDescent="0.25">
      <c r="A40">
        <v>1.331004814775</v>
      </c>
      <c r="B40">
        <v>5.1834680107318678E-3</v>
      </c>
      <c r="C40">
        <f t="shared" si="0"/>
        <v>4.5747574369475044E-26</v>
      </c>
      <c r="D40">
        <f t="shared" si="1"/>
        <v>5.1834680107318678E-3</v>
      </c>
      <c r="E40">
        <f t="shared" si="2"/>
        <v>2.6868340618280588E-5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0B82-B0F7-4F23-8818-584CD4A5C54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0.89953932155000005</v>
      </c>
      <c r="B1">
        <v>0.85917271466974721</v>
      </c>
      <c r="C1">
        <f>$H$3*(1+$H$1)*(A1^($H$1))*EXP(-$H$3*(A1^(1+$H$1)))</f>
        <v>1.2140670542404408</v>
      </c>
      <c r="D1">
        <f>B1-C1</f>
        <v>-0.35489433957069361</v>
      </c>
      <c r="E1">
        <f>D1^2</f>
        <v>0.12594999225931877</v>
      </c>
      <c r="G1" t="s">
        <v>0</v>
      </c>
      <c r="H1">
        <v>22.32651587028111</v>
      </c>
    </row>
    <row r="2" spans="1:8" x14ac:dyDescent="0.25">
      <c r="A2">
        <v>0.90970479665000004</v>
      </c>
      <c r="B2">
        <v>1.4463770880051861</v>
      </c>
      <c r="C2">
        <f t="shared" ref="C2:C40" si="0">$H$3*(1+$H$1)*(A2^($H$1))*EXP(-$H$3*(A2^(1+$H$1)))</f>
        <v>1.5374560331465372</v>
      </c>
      <c r="D2">
        <f t="shared" ref="D2:D40" si="1">B2-C2</f>
        <v>-9.1078945141351175E-2</v>
      </c>
      <c r="E2">
        <f t="shared" ref="E2:E40" si="2">D2^2</f>
        <v>8.2953742480612568E-3</v>
      </c>
    </row>
    <row r="3" spans="1:8" x14ac:dyDescent="0.25">
      <c r="A3">
        <v>0.91987027175000002</v>
      </c>
      <c r="B3">
        <v>2.3302741973416885</v>
      </c>
      <c r="C3">
        <f t="shared" si="0"/>
        <v>1.9334749853728475</v>
      </c>
      <c r="D3">
        <f t="shared" si="1"/>
        <v>0.39679921196884105</v>
      </c>
      <c r="E3">
        <f t="shared" si="2"/>
        <v>0.15744961461909324</v>
      </c>
      <c r="G3" t="s">
        <v>1</v>
      </c>
      <c r="H3">
        <f>(_xlfn.GAMMA((2+$H$1)/(1+$H$1)))^(1+$H$1)</f>
        <v>0.58119292637161868</v>
      </c>
    </row>
    <row r="4" spans="1:8" x14ac:dyDescent="0.25">
      <c r="A4">
        <v>0.93003574685000001</v>
      </c>
      <c r="B4">
        <v>2.9854706560107043</v>
      </c>
      <c r="C4">
        <f t="shared" si="0"/>
        <v>2.4120823710961163</v>
      </c>
      <c r="D4">
        <f t="shared" si="1"/>
        <v>0.57338828491458793</v>
      </c>
      <c r="E4">
        <f t="shared" si="2"/>
        <v>0.32877412527729266</v>
      </c>
    </row>
    <row r="5" spans="1:8" x14ac:dyDescent="0.25">
      <c r="A5">
        <v>0.94020122195</v>
      </c>
      <c r="B5">
        <v>3.80137568001363</v>
      </c>
      <c r="C5">
        <f t="shared" si="0"/>
        <v>2.9811406805006113</v>
      </c>
      <c r="D5">
        <f t="shared" si="1"/>
        <v>0.8202349995130187</v>
      </c>
      <c r="E5">
        <f t="shared" si="2"/>
        <v>0.67278545442612181</v>
      </c>
      <c r="G5" t="s">
        <v>2</v>
      </c>
      <c r="H5">
        <f>SUM(E1:E40)</f>
        <v>29.541328327090664</v>
      </c>
    </row>
    <row r="6" spans="1:8" x14ac:dyDescent="0.25">
      <c r="A6">
        <v>0.95036669704999999</v>
      </c>
      <c r="B6">
        <v>5.6742485760203456</v>
      </c>
      <c r="C6">
        <f t="shared" si="0"/>
        <v>3.6439878829906043</v>
      </c>
      <c r="D6">
        <f t="shared" si="1"/>
        <v>2.0302606930297413</v>
      </c>
      <c r="E6">
        <f t="shared" si="2"/>
        <v>4.1219584816616059</v>
      </c>
    </row>
    <row r="7" spans="1:8" x14ac:dyDescent="0.25">
      <c r="A7">
        <v>0.96053217214999997</v>
      </c>
      <c r="B7">
        <v>6.3232639360226726</v>
      </c>
      <c r="C7">
        <f t="shared" si="0"/>
        <v>4.3959826537268434</v>
      </c>
      <c r="D7">
        <f t="shared" si="1"/>
        <v>1.9272812822958292</v>
      </c>
      <c r="E7">
        <f t="shared" si="2"/>
        <v>3.7144131410878556</v>
      </c>
    </row>
    <row r="8" spans="1:8" x14ac:dyDescent="0.25">
      <c r="A8">
        <v>0.97069764725000007</v>
      </c>
      <c r="B8">
        <v>7.4791293866934829</v>
      </c>
      <c r="C8">
        <f t="shared" si="0"/>
        <v>5.2199973347803246</v>
      </c>
      <c r="D8">
        <f t="shared" si="1"/>
        <v>2.2591320519131584</v>
      </c>
      <c r="E8">
        <f t="shared" si="2"/>
        <v>5.1036776279813569</v>
      </c>
    </row>
    <row r="9" spans="1:8" x14ac:dyDescent="0.25">
      <c r="A9">
        <v>0.98086312235000017</v>
      </c>
      <c r="B9">
        <v>7.5223970773603055</v>
      </c>
      <c r="C9">
        <f t="shared" si="0"/>
        <v>6.081189130202211</v>
      </c>
      <c r="D9">
        <f t="shared" si="1"/>
        <v>1.4412079471580945</v>
      </c>
      <c r="E9">
        <f t="shared" si="2"/>
        <v>2.0770803469516488</v>
      </c>
    </row>
    <row r="10" spans="1:8" x14ac:dyDescent="0.25">
      <c r="A10">
        <v>0.99102859744999994</v>
      </c>
      <c r="B10">
        <v>8.1281447466958099</v>
      </c>
      <c r="C10">
        <f t="shared" si="0"/>
        <v>6.9220367188028096</v>
      </c>
      <c r="D10">
        <f t="shared" si="1"/>
        <v>1.2061080278930003</v>
      </c>
      <c r="E10">
        <f t="shared" si="2"/>
        <v>1.4546965749479424</v>
      </c>
    </row>
    <row r="11" spans="1:8" x14ac:dyDescent="0.25">
      <c r="A11">
        <v>1.0011940725500001</v>
      </c>
      <c r="B11">
        <v>8.2826722133630319</v>
      </c>
      <c r="C11">
        <f t="shared" si="0"/>
        <v>7.6596244020695439</v>
      </c>
      <c r="D11">
        <f t="shared" si="1"/>
        <v>0.62304781129348807</v>
      </c>
      <c r="E11">
        <f t="shared" si="2"/>
        <v>0.38818857515760591</v>
      </c>
    </row>
    <row r="12" spans="1:8" x14ac:dyDescent="0.25">
      <c r="A12">
        <v>1.0113595476500001</v>
      </c>
      <c r="B12">
        <v>7.7943654186946132</v>
      </c>
      <c r="C12">
        <f t="shared" si="0"/>
        <v>8.1883272955991959</v>
      </c>
      <c r="D12">
        <f t="shared" si="1"/>
        <v>-0.39396187690458273</v>
      </c>
      <c r="E12">
        <f t="shared" si="2"/>
        <v>0.15520596045418159</v>
      </c>
    </row>
    <row r="13" spans="1:8" x14ac:dyDescent="0.25">
      <c r="A13">
        <v>1.0215250227500001</v>
      </c>
      <c r="B13">
        <v>7.3431452160263291</v>
      </c>
      <c r="C13">
        <f t="shared" si="0"/>
        <v>8.3918147542349182</v>
      </c>
      <c r="D13">
        <f t="shared" si="1"/>
        <v>-1.0486695382085891</v>
      </c>
      <c r="E13">
        <f t="shared" si="2"/>
        <v>1.0997078003666154</v>
      </c>
    </row>
    <row r="14" spans="1:8" x14ac:dyDescent="0.25">
      <c r="A14">
        <v>1.0316904978500001</v>
      </c>
      <c r="B14">
        <v>7.0340902826918876</v>
      </c>
      <c r="C14">
        <f t="shared" si="0"/>
        <v>8.1674466291834253</v>
      </c>
      <c r="D14">
        <f t="shared" si="1"/>
        <v>-1.1333563464915377</v>
      </c>
      <c r="E14">
        <f t="shared" si="2"/>
        <v>1.2844966081326465</v>
      </c>
    </row>
    <row r="15" spans="1:8" x14ac:dyDescent="0.25">
      <c r="A15">
        <v>1.0418559729500001</v>
      </c>
      <c r="B15">
        <v>5.7113351680204785</v>
      </c>
      <c r="C15">
        <f t="shared" si="0"/>
        <v>7.4620621962324609</v>
      </c>
      <c r="D15">
        <f t="shared" si="1"/>
        <v>-1.7507270282119825</v>
      </c>
      <c r="E15">
        <f t="shared" si="2"/>
        <v>3.0650451273119597</v>
      </c>
    </row>
    <row r="16" spans="1:8" x14ac:dyDescent="0.25">
      <c r="A16">
        <v>1.0520214480500001</v>
      </c>
      <c r="B16">
        <v>4.5863752106831113</v>
      </c>
      <c r="C16">
        <f t="shared" si="0"/>
        <v>6.3099654527358062</v>
      </c>
      <c r="D16">
        <f t="shared" si="1"/>
        <v>-1.723590242052695</v>
      </c>
      <c r="E16">
        <f t="shared" si="2"/>
        <v>2.9707633224992676</v>
      </c>
    </row>
    <row r="17" spans="1:5" x14ac:dyDescent="0.25">
      <c r="A17">
        <v>1.0621869231500001</v>
      </c>
      <c r="B17">
        <v>3.5046829440125662</v>
      </c>
      <c r="C17">
        <f t="shared" si="0"/>
        <v>4.8539118049001937</v>
      </c>
      <c r="D17">
        <f t="shared" si="1"/>
        <v>-1.3492288608876275</v>
      </c>
      <c r="E17">
        <f t="shared" si="2"/>
        <v>1.8204185190521249</v>
      </c>
    </row>
    <row r="18" spans="1:5" x14ac:dyDescent="0.25">
      <c r="A18">
        <v>1.0723523982500001</v>
      </c>
      <c r="B18">
        <v>2.7691322026765954</v>
      </c>
      <c r="C18">
        <f t="shared" si="0"/>
        <v>3.3260117977063719</v>
      </c>
      <c r="D18">
        <f t="shared" si="1"/>
        <v>-0.55687959502977646</v>
      </c>
      <c r="E18">
        <f t="shared" si="2"/>
        <v>0.31011488336052784</v>
      </c>
    </row>
    <row r="19" spans="1:5" x14ac:dyDescent="0.25">
      <c r="A19">
        <v>1.08251787335</v>
      </c>
      <c r="B19">
        <v>2.249919914674734</v>
      </c>
      <c r="C19">
        <f t="shared" si="0"/>
        <v>1.9789240231334633</v>
      </c>
      <c r="D19">
        <f t="shared" si="1"/>
        <v>0.27099589154127068</v>
      </c>
      <c r="E19">
        <f t="shared" si="2"/>
        <v>7.343877323224815E-2</v>
      </c>
    </row>
    <row r="20" spans="1:5" x14ac:dyDescent="0.25">
      <c r="A20">
        <v>1.09268334845</v>
      </c>
      <c r="B20">
        <v>1.5390935680055184</v>
      </c>
      <c r="C20">
        <f t="shared" si="0"/>
        <v>0.99118327055541378</v>
      </c>
      <c r="D20">
        <f t="shared" si="1"/>
        <v>0.54791029745010467</v>
      </c>
      <c r="E20">
        <f t="shared" si="2"/>
        <v>0.30020569405186215</v>
      </c>
    </row>
    <row r="21" spans="1:5" x14ac:dyDescent="0.25">
      <c r="A21">
        <v>1.10284882355</v>
      </c>
      <c r="B21">
        <v>0.95188919467007971</v>
      </c>
      <c r="C21">
        <f t="shared" si="0"/>
        <v>0.40254301622371225</v>
      </c>
      <c r="D21">
        <f t="shared" si="1"/>
        <v>0.54934617844636746</v>
      </c>
      <c r="E21">
        <f t="shared" si="2"/>
        <v>0.3017812237736282</v>
      </c>
    </row>
    <row r="22" spans="1:5" x14ac:dyDescent="0.25">
      <c r="A22">
        <v>1.11301429865</v>
      </c>
      <c r="B22">
        <v>4.9448789333510636E-2</v>
      </c>
      <c r="C22">
        <f t="shared" si="0"/>
        <v>0.12668515650260767</v>
      </c>
      <c r="D22">
        <f t="shared" si="1"/>
        <v>-7.7236367169097042E-2</v>
      </c>
      <c r="E22">
        <f t="shared" si="2"/>
        <v>5.9654564134795718E-3</v>
      </c>
    </row>
    <row r="23" spans="1:5" x14ac:dyDescent="0.25">
      <c r="A23">
        <v>1.12317977375</v>
      </c>
      <c r="B23">
        <v>0</v>
      </c>
      <c r="C23">
        <f t="shared" si="0"/>
        <v>2.9252241461760035E-2</v>
      </c>
      <c r="D23">
        <f t="shared" si="1"/>
        <v>-2.9252241461760035E-2</v>
      </c>
      <c r="E23">
        <f t="shared" si="2"/>
        <v>8.556936305371129E-4</v>
      </c>
    </row>
    <row r="24" spans="1:5" x14ac:dyDescent="0.25">
      <c r="A24">
        <v>1.13334524885</v>
      </c>
      <c r="B24">
        <v>0</v>
      </c>
      <c r="C24">
        <f t="shared" si="0"/>
        <v>4.6401727029071844E-3</v>
      </c>
      <c r="D24">
        <f t="shared" si="1"/>
        <v>-4.6401727029071844E-3</v>
      </c>
      <c r="E24">
        <f t="shared" si="2"/>
        <v>2.1531202712804965E-5</v>
      </c>
    </row>
    <row r="25" spans="1:5" x14ac:dyDescent="0.25">
      <c r="A25">
        <v>1.14351072395</v>
      </c>
      <c r="B25">
        <v>0</v>
      </c>
      <c r="C25">
        <f t="shared" si="0"/>
        <v>4.6719615436050774E-4</v>
      </c>
      <c r="D25">
        <f t="shared" si="1"/>
        <v>-4.6719615436050774E-4</v>
      </c>
      <c r="E25">
        <f t="shared" si="2"/>
        <v>2.1827224664924737E-7</v>
      </c>
    </row>
    <row r="26" spans="1:5" x14ac:dyDescent="0.25">
      <c r="A26">
        <v>1.15367619905</v>
      </c>
      <c r="B26">
        <v>0</v>
      </c>
      <c r="C26">
        <f t="shared" si="0"/>
        <v>2.7153921863613717E-5</v>
      </c>
      <c r="D26">
        <f t="shared" si="1"/>
        <v>-2.7153921863613717E-5</v>
      </c>
      <c r="E26">
        <f t="shared" si="2"/>
        <v>7.3733547257523901E-10</v>
      </c>
    </row>
    <row r="27" spans="1:5" x14ac:dyDescent="0.25">
      <c r="A27">
        <v>1.1638416741499999</v>
      </c>
      <c r="B27">
        <v>0</v>
      </c>
      <c r="C27">
        <f t="shared" si="0"/>
        <v>8.131081213779349E-7</v>
      </c>
      <c r="D27">
        <f t="shared" si="1"/>
        <v>-8.131081213779349E-7</v>
      </c>
      <c r="E27">
        <f t="shared" si="2"/>
        <v>6.6114481705075454E-13</v>
      </c>
    </row>
    <row r="28" spans="1:5" x14ac:dyDescent="0.25">
      <c r="A28">
        <v>1.1740071492499999</v>
      </c>
      <c r="B28">
        <v>0</v>
      </c>
      <c r="C28">
        <f t="shared" si="0"/>
        <v>1.0949008728731193E-8</v>
      </c>
      <c r="D28">
        <f t="shared" si="1"/>
        <v>-1.0949008728731193E-8</v>
      </c>
      <c r="E28">
        <f t="shared" si="2"/>
        <v>1.1988079214183185E-16</v>
      </c>
    </row>
    <row r="29" spans="1:5" x14ac:dyDescent="0.25">
      <c r="A29">
        <v>1.1841726243499999</v>
      </c>
      <c r="B29">
        <v>0</v>
      </c>
      <c r="C29">
        <f t="shared" si="0"/>
        <v>5.635933385507732E-11</v>
      </c>
      <c r="D29">
        <f t="shared" si="1"/>
        <v>-5.635933385507732E-11</v>
      </c>
      <c r="E29">
        <f t="shared" si="2"/>
        <v>3.1763745125880645E-21</v>
      </c>
    </row>
    <row r="30" spans="1:5" x14ac:dyDescent="0.25">
      <c r="A30">
        <v>1.1943380994499999</v>
      </c>
      <c r="B30">
        <v>0</v>
      </c>
      <c r="C30">
        <f t="shared" si="0"/>
        <v>9.1369591798164514E-14</v>
      </c>
      <c r="D30">
        <f t="shared" si="1"/>
        <v>-9.1369591798164514E-14</v>
      </c>
      <c r="E30">
        <f t="shared" si="2"/>
        <v>8.3484023053632115E-27</v>
      </c>
    </row>
    <row r="31" spans="1:5" x14ac:dyDescent="0.25">
      <c r="A31">
        <v>1.2045035745499999</v>
      </c>
      <c r="B31">
        <v>0</v>
      </c>
      <c r="C31">
        <f t="shared" si="0"/>
        <v>3.7044971658653768E-17</v>
      </c>
      <c r="D31">
        <f t="shared" si="1"/>
        <v>-3.7044971658653768E-17</v>
      </c>
      <c r="E31">
        <f t="shared" si="2"/>
        <v>1.3723299251904608E-33</v>
      </c>
    </row>
    <row r="32" spans="1:5" x14ac:dyDescent="0.25">
      <c r="A32">
        <v>1.2146690496499999</v>
      </c>
      <c r="B32">
        <v>0</v>
      </c>
      <c r="C32">
        <f t="shared" si="0"/>
        <v>2.855510210922205E-21</v>
      </c>
      <c r="D32">
        <f t="shared" si="1"/>
        <v>-2.855510210922205E-21</v>
      </c>
      <c r="E32">
        <f t="shared" si="2"/>
        <v>8.1539385646809761E-42</v>
      </c>
    </row>
    <row r="33" spans="1:5" x14ac:dyDescent="0.25">
      <c r="A33">
        <v>1.2248345247499999</v>
      </c>
      <c r="B33">
        <v>0</v>
      </c>
      <c r="C33">
        <f t="shared" si="0"/>
        <v>3.0222061370310429E-26</v>
      </c>
      <c r="D33">
        <f t="shared" si="1"/>
        <v>-3.0222061370310429E-26</v>
      </c>
      <c r="E33">
        <f t="shared" si="2"/>
        <v>9.1337299347080988E-52</v>
      </c>
    </row>
    <row r="34" spans="1:5" x14ac:dyDescent="0.25">
      <c r="A34">
        <v>1.2349999998499999</v>
      </c>
      <c r="B34">
        <v>0</v>
      </c>
      <c r="C34">
        <f t="shared" si="0"/>
        <v>2.9861160474701661E-32</v>
      </c>
      <c r="D34">
        <f t="shared" si="1"/>
        <v>-2.9861160474701661E-32</v>
      </c>
      <c r="E34">
        <f t="shared" si="2"/>
        <v>8.916889048958848E-64</v>
      </c>
    </row>
    <row r="35" spans="1:5" x14ac:dyDescent="0.25">
      <c r="A35">
        <v>1.2451654749500001</v>
      </c>
      <c r="B35">
        <v>0</v>
      </c>
      <c r="C35">
        <f t="shared" si="0"/>
        <v>1.7446483767914629E-39</v>
      </c>
      <c r="D35">
        <f t="shared" si="1"/>
        <v>-1.7446483767914629E-39</v>
      </c>
      <c r="E35">
        <f t="shared" si="2"/>
        <v>3.0437979586410865E-78</v>
      </c>
    </row>
    <row r="36" spans="1:5" x14ac:dyDescent="0.25">
      <c r="A36">
        <v>1.2553309500500001</v>
      </c>
      <c r="B36">
        <v>0</v>
      </c>
      <c r="C36">
        <f t="shared" si="0"/>
        <v>3.5131405814169866E-48</v>
      </c>
      <c r="D36">
        <f t="shared" si="1"/>
        <v>-3.5131405814169866E-48</v>
      </c>
      <c r="E36">
        <f t="shared" si="2"/>
        <v>1.2342156744798882E-95</v>
      </c>
    </row>
    <row r="37" spans="1:5" x14ac:dyDescent="0.25">
      <c r="A37">
        <v>1.26549642515</v>
      </c>
      <c r="B37">
        <v>0</v>
      </c>
      <c r="C37">
        <f t="shared" si="0"/>
        <v>1.2892369877241583E-58</v>
      </c>
      <c r="D37">
        <f t="shared" si="1"/>
        <v>-1.2892369877241583E-58</v>
      </c>
      <c r="E37">
        <f t="shared" si="2"/>
        <v>1.6621320105160616E-116</v>
      </c>
    </row>
    <row r="38" spans="1:5" x14ac:dyDescent="0.25">
      <c r="A38">
        <v>1.27566190025</v>
      </c>
      <c r="B38">
        <v>0</v>
      </c>
      <c r="C38">
        <f t="shared" si="0"/>
        <v>4.0680187120785755E-71</v>
      </c>
      <c r="D38">
        <f t="shared" si="1"/>
        <v>-4.0680187120785755E-71</v>
      </c>
      <c r="E38">
        <f t="shared" si="2"/>
        <v>1.6548776241821433E-141</v>
      </c>
    </row>
    <row r="39" spans="1:5" x14ac:dyDescent="0.25">
      <c r="A39">
        <v>1.28582737535</v>
      </c>
      <c r="B39">
        <v>0</v>
      </c>
      <c r="C39">
        <f t="shared" si="0"/>
        <v>4.5578881901388205E-86</v>
      </c>
      <c r="D39">
        <f t="shared" si="1"/>
        <v>-4.5578881901388205E-86</v>
      </c>
      <c r="E39">
        <f t="shared" si="2"/>
        <v>2.0774344753806932E-171</v>
      </c>
    </row>
    <row r="40" spans="1:5" x14ac:dyDescent="0.25">
      <c r="A40">
        <v>1.29599285045</v>
      </c>
      <c r="B40">
        <v>6.1810986666888295E-3</v>
      </c>
      <c r="C40">
        <f t="shared" si="0"/>
        <v>6.4102925172211317E-104</v>
      </c>
      <c r="D40">
        <f t="shared" si="1"/>
        <v>6.1810986666888295E-3</v>
      </c>
      <c r="E40">
        <f t="shared" si="2"/>
        <v>3.8205980727342426E-5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51A5-72F2-40BE-AA3E-08F8EABFEF0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0.95597484207500005</v>
      </c>
      <c r="B1">
        <v>2.3193015742689238</v>
      </c>
      <c r="C1">
        <f>$H$3*(1+$H$1)*(A1^($H$1))*EXP(-$H$3*(A1^(1+$H$1)))</f>
        <v>2.8252028249555248</v>
      </c>
      <c r="D1">
        <f>B1-C1</f>
        <v>-0.50590125068660097</v>
      </c>
      <c r="E1">
        <f>D1^2</f>
        <v>0.25593607544626706</v>
      </c>
      <c r="G1" t="s">
        <v>0</v>
      </c>
      <c r="H1">
        <v>51.0016881724735</v>
      </c>
    </row>
    <row r="2" spans="1:8" x14ac:dyDescent="0.25">
      <c r="A2">
        <v>0.96353342422499999</v>
      </c>
      <c r="B2">
        <v>4.8879904145882698</v>
      </c>
      <c r="C2">
        <f t="shared" ref="C2:C40" si="0">$H$3*(1+$H$1)*(A2^($H$1))*EXP(-$H$3*(A2^(1+$H$1)))</f>
        <v>4.1061198809527104</v>
      </c>
      <c r="D2">
        <f t="shared" ref="D2:D40" si="1">B2-C2</f>
        <v>0.78187053363555936</v>
      </c>
      <c r="E2">
        <f t="shared" ref="E2:E40" si="2">D2^2</f>
        <v>0.6113215313675544</v>
      </c>
    </row>
    <row r="3" spans="1:8" x14ac:dyDescent="0.25">
      <c r="A3">
        <v>0.97109200637499993</v>
      </c>
      <c r="B3">
        <v>7.6977536120896897</v>
      </c>
      <c r="C3">
        <f t="shared" si="0"/>
        <v>5.8683931620733532</v>
      </c>
      <c r="D3">
        <f t="shared" si="1"/>
        <v>1.8293604500163365</v>
      </c>
      <c r="E3">
        <f t="shared" si="2"/>
        <v>3.3465596560839734</v>
      </c>
      <c r="G3" t="s">
        <v>1</v>
      </c>
      <c r="H3">
        <f>(_xlfn.GAMMA((2+$H$1)/(1+$H$1)))^(1+$H$1)</f>
        <v>0.57032678162387895</v>
      </c>
    </row>
    <row r="4" spans="1:8" x14ac:dyDescent="0.25">
      <c r="A4">
        <v>0.97865058852499998</v>
      </c>
      <c r="B4">
        <v>12.427798758179359</v>
      </c>
      <c r="C4">
        <f t="shared" si="0"/>
        <v>8.1940727604680568</v>
      </c>
      <c r="D4">
        <f t="shared" si="1"/>
        <v>4.2337259977113018</v>
      </c>
      <c r="E4">
        <f t="shared" si="2"/>
        <v>17.924435823696559</v>
      </c>
    </row>
    <row r="5" spans="1:8" x14ac:dyDescent="0.25">
      <c r="A5">
        <v>0.98620917067500002</v>
      </c>
      <c r="B5">
        <v>15.661520307966496</v>
      </c>
      <c r="C5">
        <f t="shared" si="0"/>
        <v>11.072501685739597</v>
      </c>
      <c r="D5">
        <f t="shared" si="1"/>
        <v>4.5890186222268987</v>
      </c>
      <c r="E5">
        <f t="shared" si="2"/>
        <v>21.059091915145263</v>
      </c>
      <c r="G5" t="s">
        <v>2</v>
      </c>
      <c r="H5">
        <f>SUM(E1:E40)</f>
        <v>92.252677498016709</v>
      </c>
    </row>
    <row r="6" spans="1:8" x14ac:dyDescent="0.25">
      <c r="A6">
        <v>0.99376775282499996</v>
      </c>
      <c r="B6">
        <v>17.606740983159785</v>
      </c>
      <c r="C6">
        <f t="shared" si="0"/>
        <v>14.279797581161985</v>
      </c>
      <c r="D6">
        <f t="shared" si="1"/>
        <v>3.3269434019978004</v>
      </c>
      <c r="E6">
        <f t="shared" si="2"/>
        <v>11.068552400096697</v>
      </c>
    </row>
    <row r="7" spans="1:8" x14ac:dyDescent="0.25">
      <c r="A7">
        <v>1.0013263349749999</v>
      </c>
      <c r="B7">
        <v>18.205270421680797</v>
      </c>
      <c r="C7">
        <f t="shared" si="0"/>
        <v>17.224062380439857</v>
      </c>
      <c r="D7">
        <f t="shared" si="1"/>
        <v>0.98120804124094008</v>
      </c>
      <c r="E7">
        <f t="shared" si="2"/>
        <v>0.9627692201958824</v>
      </c>
    </row>
    <row r="8" spans="1:8" x14ac:dyDescent="0.25">
      <c r="A8">
        <v>1.0088849171249998</v>
      </c>
      <c r="B8">
        <v>16.492811194801234</v>
      </c>
      <c r="C8">
        <f t="shared" si="0"/>
        <v>18.867558400611667</v>
      </c>
      <c r="D8">
        <f t="shared" si="1"/>
        <v>-2.3747472058104329</v>
      </c>
      <c r="E8">
        <f t="shared" si="2"/>
        <v>5.6394242915044588</v>
      </c>
    </row>
    <row r="9" spans="1:8" x14ac:dyDescent="0.25">
      <c r="A9">
        <v>1.016443499275</v>
      </c>
      <c r="B9">
        <v>14.72216160584324</v>
      </c>
      <c r="C9">
        <f t="shared" si="0"/>
        <v>17.987525134470051</v>
      </c>
      <c r="D9">
        <f t="shared" si="1"/>
        <v>-3.2653635286268106</v>
      </c>
      <c r="E9">
        <f t="shared" si="2"/>
        <v>10.662598974086135</v>
      </c>
    </row>
    <row r="10" spans="1:8" x14ac:dyDescent="0.25">
      <c r="A10">
        <v>1.0240020814249999</v>
      </c>
      <c r="B10">
        <v>9.9838035508852236</v>
      </c>
      <c r="C10">
        <f t="shared" si="0"/>
        <v>14.034838043345237</v>
      </c>
      <c r="D10">
        <f t="shared" si="1"/>
        <v>-4.0510344924600137</v>
      </c>
      <c r="E10">
        <f t="shared" si="2"/>
        <v>16.41088045910076</v>
      </c>
    </row>
    <row r="11" spans="1:8" x14ac:dyDescent="0.25">
      <c r="A11">
        <v>1.0315606635750001</v>
      </c>
      <c r="B11">
        <v>6.6004496414678329</v>
      </c>
      <c r="C11">
        <f t="shared" si="0"/>
        <v>8.203379319472031</v>
      </c>
      <c r="D11">
        <f t="shared" si="1"/>
        <v>-1.6029296780041982</v>
      </c>
      <c r="E11">
        <f t="shared" si="2"/>
        <v>2.5693835526266424</v>
      </c>
    </row>
    <row r="12" spans="1:8" x14ac:dyDescent="0.25">
      <c r="A12">
        <v>1.0391192457249998</v>
      </c>
      <c r="B12">
        <v>4.1980189785154352</v>
      </c>
      <c r="C12">
        <f t="shared" si="0"/>
        <v>3.1634015356918739</v>
      </c>
      <c r="D12">
        <f t="shared" si="1"/>
        <v>1.0346174428235613</v>
      </c>
      <c r="E12">
        <f t="shared" si="2"/>
        <v>1.0704332529947651</v>
      </c>
    </row>
    <row r="13" spans="1:8" x14ac:dyDescent="0.25">
      <c r="A13">
        <v>1.046677827875</v>
      </c>
      <c r="B13">
        <v>1.4880106874341841</v>
      </c>
      <c r="C13">
        <f t="shared" si="0"/>
        <v>0.6709584376940011</v>
      </c>
      <c r="D13">
        <f t="shared" si="1"/>
        <v>0.81705224974018298</v>
      </c>
      <c r="E13">
        <f t="shared" si="2"/>
        <v>0.66757437880549431</v>
      </c>
    </row>
    <row r="14" spans="1:8" x14ac:dyDescent="0.25">
      <c r="A14">
        <v>1.0542364100250001</v>
      </c>
      <c r="B14">
        <v>0</v>
      </c>
      <c r="C14">
        <f t="shared" si="0"/>
        <v>6.0368280879001979E-2</v>
      </c>
      <c r="D14">
        <f t="shared" si="1"/>
        <v>-6.0368280879001979E-2</v>
      </c>
      <c r="E14">
        <f t="shared" si="2"/>
        <v>3.6443293362860758E-3</v>
      </c>
    </row>
    <row r="15" spans="1:8" x14ac:dyDescent="0.25">
      <c r="A15">
        <v>1.0617949921749998</v>
      </c>
      <c r="B15">
        <v>0</v>
      </c>
      <c r="C15">
        <f t="shared" si="0"/>
        <v>1.5915474482302387E-3</v>
      </c>
      <c r="D15">
        <f t="shared" si="1"/>
        <v>-1.5915474482302387E-3</v>
      </c>
      <c r="E15">
        <f t="shared" si="2"/>
        <v>2.5330232799681845E-6</v>
      </c>
    </row>
    <row r="16" spans="1:8" x14ac:dyDescent="0.25">
      <c r="A16">
        <v>1.069353574325</v>
      </c>
      <c r="B16">
        <v>0</v>
      </c>
      <c r="C16">
        <f t="shared" si="0"/>
        <v>7.2687354267284813E-6</v>
      </c>
      <c r="D16">
        <f t="shared" si="1"/>
        <v>-7.2687354267284813E-6</v>
      </c>
      <c r="E16">
        <f t="shared" si="2"/>
        <v>5.2834514703777674E-11</v>
      </c>
    </row>
    <row r="17" spans="1:5" x14ac:dyDescent="0.25">
      <c r="A17">
        <v>1.0769121564749999</v>
      </c>
      <c r="B17">
        <v>0</v>
      </c>
      <c r="C17">
        <f t="shared" si="0"/>
        <v>2.7304724375110513E-9</v>
      </c>
      <c r="D17">
        <f t="shared" si="1"/>
        <v>-2.7304724375110513E-9</v>
      </c>
      <c r="E17">
        <f t="shared" si="2"/>
        <v>7.4554797320075422E-18</v>
      </c>
    </row>
    <row r="18" spans="1:5" x14ac:dyDescent="0.25">
      <c r="A18">
        <v>1.0844707386250001</v>
      </c>
      <c r="B18">
        <v>0</v>
      </c>
      <c r="C18">
        <f t="shared" si="0"/>
        <v>2.9434599629796601E-14</v>
      </c>
      <c r="D18">
        <f t="shared" si="1"/>
        <v>-2.9434599629796601E-14</v>
      </c>
      <c r="E18">
        <f t="shared" si="2"/>
        <v>8.6639565536642218E-28</v>
      </c>
    </row>
    <row r="19" spans="1:5" x14ac:dyDescent="0.25">
      <c r="A19">
        <v>1.092029320775</v>
      </c>
      <c r="B19">
        <v>0</v>
      </c>
      <c r="C19">
        <f t="shared" si="0"/>
        <v>2.0626830306527861E-21</v>
      </c>
      <c r="D19">
        <f t="shared" si="1"/>
        <v>-2.0626830306527861E-21</v>
      </c>
      <c r="E19">
        <f t="shared" si="2"/>
        <v>4.254661284942962E-42</v>
      </c>
    </row>
    <row r="20" spans="1:5" x14ac:dyDescent="0.25">
      <c r="A20">
        <v>1.099587902925</v>
      </c>
      <c r="B20">
        <v>0</v>
      </c>
      <c r="C20">
        <f t="shared" si="0"/>
        <v>1.1633481110745771E-31</v>
      </c>
      <c r="D20">
        <f t="shared" si="1"/>
        <v>-1.1633481110745771E-31</v>
      </c>
      <c r="E20">
        <f t="shared" si="2"/>
        <v>1.3533788275407866E-62</v>
      </c>
    </row>
    <row r="21" spans="1:5" x14ac:dyDescent="0.25">
      <c r="A21">
        <v>1.1071464850749999</v>
      </c>
      <c r="B21">
        <v>0</v>
      </c>
      <c r="C21">
        <f t="shared" si="0"/>
        <v>2.8141470639088549E-46</v>
      </c>
      <c r="D21">
        <f t="shared" si="1"/>
        <v>-2.8141470639088549E-46</v>
      </c>
      <c r="E21">
        <f t="shared" si="2"/>
        <v>7.9194236973068291E-92</v>
      </c>
    </row>
    <row r="22" spans="1:5" x14ac:dyDescent="0.25">
      <c r="A22">
        <v>1.1147050672250001</v>
      </c>
      <c r="B22">
        <v>0</v>
      </c>
      <c r="C22">
        <f t="shared" si="0"/>
        <v>4.8121839840564643E-67</v>
      </c>
      <c r="D22">
        <f t="shared" si="1"/>
        <v>-4.8121839840564643E-67</v>
      </c>
      <c r="E22">
        <f t="shared" si="2"/>
        <v>2.3157114696409548E-133</v>
      </c>
    </row>
    <row r="23" spans="1:5" x14ac:dyDescent="0.25">
      <c r="A23">
        <v>1.122263649375</v>
      </c>
      <c r="B23">
        <v>0</v>
      </c>
      <c r="C23">
        <f t="shared" si="0"/>
        <v>1.8783279960729421E-96</v>
      </c>
      <c r="D23">
        <f t="shared" si="1"/>
        <v>-1.8783279960729421E-96</v>
      </c>
      <c r="E23">
        <f t="shared" si="2"/>
        <v>3.5281160608313945E-192</v>
      </c>
    </row>
    <row r="24" spans="1:5" x14ac:dyDescent="0.25">
      <c r="A24">
        <v>1.1298222315249999</v>
      </c>
      <c r="B24">
        <v>0</v>
      </c>
      <c r="C24">
        <f t="shared" si="0"/>
        <v>5.6440087294968437E-138</v>
      </c>
      <c r="D24">
        <f t="shared" si="1"/>
        <v>-5.6440087294968437E-138</v>
      </c>
      <c r="E24">
        <f t="shared" si="2"/>
        <v>3.1854834538636573E-275</v>
      </c>
    </row>
    <row r="25" spans="1:5" x14ac:dyDescent="0.25">
      <c r="A25">
        <v>1.1373808136750001</v>
      </c>
      <c r="B25">
        <v>0</v>
      </c>
      <c r="C25">
        <f t="shared" si="0"/>
        <v>1.9363422060835328E-196</v>
      </c>
      <c r="D25">
        <f t="shared" si="1"/>
        <v>-1.9363422060835328E-196</v>
      </c>
      <c r="E25">
        <f t="shared" si="2"/>
        <v>0</v>
      </c>
    </row>
    <row r="26" spans="1:5" x14ac:dyDescent="0.25">
      <c r="A26">
        <v>1.1449393958249998</v>
      </c>
      <c r="B26">
        <v>0</v>
      </c>
      <c r="C26">
        <f t="shared" si="0"/>
        <v>1.5100655455239333E-278</v>
      </c>
      <c r="D26">
        <f t="shared" si="1"/>
        <v>-1.5100655455239333E-278</v>
      </c>
      <c r="E26">
        <f t="shared" si="2"/>
        <v>0</v>
      </c>
    </row>
    <row r="27" spans="1:5" x14ac:dyDescent="0.25">
      <c r="A27">
        <v>1.152497977975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1.1600565601249999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1.1676151422749999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1.175173724425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1.1827323065749999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1.1902908887249999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1.197849470875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1.205408053025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1.2129666351749999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1.2205252173249999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1.2280837994749998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1.235642381625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1.2432009637749997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1.2507595459249998</v>
      </c>
      <c r="B40">
        <v>8.3129088683473965E-3</v>
      </c>
      <c r="C40">
        <f t="shared" si="0"/>
        <v>0</v>
      </c>
      <c r="D40">
        <f t="shared" si="1"/>
        <v>8.3129088683473965E-3</v>
      </c>
      <c r="E40">
        <f t="shared" si="2"/>
        <v>6.9104453853448795E-5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6FCD-F819-4A7B-B21E-526D16400743}">
  <dimension ref="A1:H40"/>
  <sheetViews>
    <sheetView tabSelected="1" workbookViewId="0">
      <selection activeCell="K18" sqref="K18"/>
    </sheetView>
  </sheetViews>
  <sheetFormatPr defaultColWidth="11" defaultRowHeight="15.75" x14ac:dyDescent="0.25"/>
  <sheetData>
    <row r="1" spans="1:8" x14ac:dyDescent="0.25">
      <c r="A1">
        <v>0.98783723833750003</v>
      </c>
      <c r="B1">
        <v>13.54663188592906</v>
      </c>
      <c r="C1">
        <f>$H$3*(1+$H$1)*(A1^($H$1))*EXP(-$H$3*(A1^(1+$H$1)))</f>
        <v>12.139418866322062</v>
      </c>
      <c r="D1">
        <f>B1-C1</f>
        <v>1.4072130196069974</v>
      </c>
      <c r="E1">
        <f>D1^2</f>
        <v>1.9802484825514437</v>
      </c>
      <c r="G1" t="s">
        <v>0</v>
      </c>
      <c r="H1">
        <v>155.2047135911892</v>
      </c>
    </row>
    <row r="2" spans="1:8" x14ac:dyDescent="0.25">
      <c r="A2">
        <v>0.9939552010124999</v>
      </c>
      <c r="B2">
        <v>40.855573648389537</v>
      </c>
      <c r="C2">
        <f t="shared" ref="C2:C40" si="0">$H$3*(1+$H$1)*(A2^($H$1))*EXP(-$H$3*(A2^(1+$H$1)))</f>
        <v>27.639734899473929</v>
      </c>
      <c r="D2">
        <f t="shared" ref="D2:D40" si="1">B2-C2</f>
        <v>13.215838748915608</v>
      </c>
      <c r="E2">
        <f t="shared" ref="E2:E40" si="2">D2^2</f>
        <v>174.65839383733928</v>
      </c>
    </row>
    <row r="3" spans="1:8" x14ac:dyDescent="0.25">
      <c r="A3">
        <v>1.0000731636875</v>
      </c>
      <c r="B3">
        <v>55.79897728298149</v>
      </c>
      <c r="C3">
        <f t="shared" si="0"/>
        <v>50.383017127046394</v>
      </c>
      <c r="D3">
        <f t="shared" si="1"/>
        <v>5.4159601559350961</v>
      </c>
      <c r="E3">
        <f t="shared" si="2"/>
        <v>29.332624410676509</v>
      </c>
      <c r="G3" t="s">
        <v>1</v>
      </c>
      <c r="H3">
        <f>(_xlfn.GAMMA((2+$H$1)/(1+$H$1)))^(1+$H$1)</f>
        <v>0.56441431236258532</v>
      </c>
    </row>
    <row r="4" spans="1:8" x14ac:dyDescent="0.25">
      <c r="A4">
        <v>1.0061911263624999</v>
      </c>
      <c r="B4">
        <v>40.09556549102885</v>
      </c>
      <c r="C4">
        <f t="shared" si="0"/>
        <v>52.299814920404835</v>
      </c>
      <c r="D4">
        <f t="shared" si="1"/>
        <v>-12.204249429375984</v>
      </c>
      <c r="E4">
        <f t="shared" si="2"/>
        <v>148.94370413442405</v>
      </c>
    </row>
    <row r="5" spans="1:8" x14ac:dyDescent="0.25">
      <c r="A5">
        <v>1.0123090890374999</v>
      </c>
      <c r="B5">
        <v>13.146087046238966</v>
      </c>
      <c r="C5">
        <f t="shared" si="0"/>
        <v>12.969653732008007</v>
      </c>
      <c r="D5">
        <f t="shared" si="1"/>
        <v>0.17643331423095887</v>
      </c>
      <c r="E5">
        <f t="shared" si="2"/>
        <v>3.1128714370520272E-2</v>
      </c>
      <c r="G5" t="s">
        <v>2</v>
      </c>
      <c r="H5">
        <f>SUM(E1:E40)</f>
        <v>354.95342053630964</v>
      </c>
    </row>
    <row r="6" spans="1:8" x14ac:dyDescent="0.25">
      <c r="A6">
        <v>1.0184270517125</v>
      </c>
      <c r="B6">
        <v>0</v>
      </c>
      <c r="C6">
        <f t="shared" si="0"/>
        <v>8.4943959361828553E-2</v>
      </c>
      <c r="D6">
        <f t="shared" si="1"/>
        <v>-8.4943959361828553E-2</v>
      </c>
      <c r="E6">
        <f t="shared" si="2"/>
        <v>7.2154762320639802E-3</v>
      </c>
    </row>
    <row r="7" spans="1:8" x14ac:dyDescent="0.25">
      <c r="A7">
        <v>1.0245450143874999</v>
      </c>
      <c r="B7">
        <v>0</v>
      </c>
      <c r="C7">
        <f t="shared" si="0"/>
        <v>5.7006805642399134E-8</v>
      </c>
      <c r="D7">
        <f t="shared" si="1"/>
        <v>-5.7006805642399134E-8</v>
      </c>
      <c r="E7">
        <f t="shared" si="2"/>
        <v>3.2497758895502697E-15</v>
      </c>
    </row>
    <row r="8" spans="1:8" x14ac:dyDescent="0.25">
      <c r="A8">
        <v>1.0306629770625</v>
      </c>
      <c r="B8">
        <v>0</v>
      </c>
      <c r="C8">
        <f t="shared" si="0"/>
        <v>3.5345892603481767E-24</v>
      </c>
      <c r="D8">
        <f t="shared" si="1"/>
        <v>-3.5345892603481767E-24</v>
      </c>
      <c r="E8">
        <f t="shared" si="2"/>
        <v>1.249332123936867E-47</v>
      </c>
    </row>
    <row r="9" spans="1:8" x14ac:dyDescent="0.25">
      <c r="A9">
        <v>1.0367809397375001</v>
      </c>
      <c r="B9">
        <v>0</v>
      </c>
      <c r="C9">
        <f t="shared" si="0"/>
        <v>1.7143470841874383E-65</v>
      </c>
      <c r="D9">
        <f t="shared" si="1"/>
        <v>-1.7143470841874383E-65</v>
      </c>
      <c r="E9">
        <f t="shared" si="2"/>
        <v>2.9389859250619715E-130</v>
      </c>
    </row>
    <row r="10" spans="1:8" x14ac:dyDescent="0.25">
      <c r="A10">
        <v>1.0428989024124999</v>
      </c>
      <c r="B10">
        <v>0</v>
      </c>
      <c r="C10">
        <f t="shared" si="0"/>
        <v>2.7255684830387796E-169</v>
      </c>
      <c r="D10">
        <f t="shared" si="1"/>
        <v>-2.7255684830387796E-169</v>
      </c>
      <c r="E10">
        <f t="shared" si="2"/>
        <v>0</v>
      </c>
    </row>
    <row r="11" spans="1:8" x14ac:dyDescent="0.25">
      <c r="A11">
        <v>1.0490168650875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</row>
    <row r="12" spans="1:8" x14ac:dyDescent="0.25">
      <c r="A12">
        <v>1.0551348277625001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1.0612527904375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1.0673707531125001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1.0734887157875002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1.0796066784625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1.0857246411374999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1.0918426038125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1.0979605664875001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1.1040785291624999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1.1101964918375002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1.1163144545125001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1.1224324171875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1.1285503798624998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1.1346683425375002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1.1407863052125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1.1469042678875001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1.1530222305625002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1.1591401932375001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1.1652581559124999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1.1713761185875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1.1774940812625001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1.1836120439375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1.1897300066124998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1.1958479692875001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1.2019659319625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1.2080838946375001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1.2142018573125002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1.2203198199875001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1.2264377826624999</v>
      </c>
      <c r="B40">
        <v>1.0270380504874192E-2</v>
      </c>
      <c r="C40">
        <f t="shared" si="0"/>
        <v>0</v>
      </c>
      <c r="D40">
        <f t="shared" si="1"/>
        <v>1.0270380504874192E-2</v>
      </c>
      <c r="E40">
        <f t="shared" si="2"/>
        <v>1.0548071571489986E-4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2024-10-03T00:12:19Z</dcterms:modified>
</cp:coreProperties>
</file>