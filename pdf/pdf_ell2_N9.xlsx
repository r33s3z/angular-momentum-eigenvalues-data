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pdf/"/>
    </mc:Choice>
  </mc:AlternateContent>
  <xr:revisionPtr revIDLastSave="2665" documentId="115_{5C54AC55-1B4D-4288-B729-7A8A0743F753}" xr6:coauthVersionLast="47" xr6:coauthVersionMax="47" xr10:uidLastSave="{D790D66D-E540-44AD-A8CC-3F06ABBCC7D4}"/>
  <bookViews>
    <workbookView xWindow="-120" yWindow="-120" windowWidth="29040" windowHeight="15720" tabRatio="1000" activeTab="1" xr2:uid="{52D9C27D-0EF6-DD41-9728-0267E68F7539}"/>
  </bookViews>
  <sheets>
    <sheet name="Brody" sheetId="33" r:id="rId1"/>
    <sheet name="0.0001" sheetId="2" r:id="rId2"/>
    <sheet name="0.001" sheetId="3" r:id="rId3"/>
    <sheet name="0.005" sheetId="4" r:id="rId4"/>
    <sheet name="0.01" sheetId="5" r:id="rId5"/>
    <sheet name="0.025" sheetId="6" r:id="rId6"/>
    <sheet name="0.05" sheetId="7" r:id="rId7"/>
    <sheet name="0.075" sheetId="8" r:id="rId8"/>
    <sheet name="0.1" sheetId="9" r:id="rId9"/>
    <sheet name="0.15" sheetId="10" r:id="rId10"/>
    <sheet name="0.2" sheetId="11" r:id="rId11"/>
    <sheet name="0.25" sheetId="12" r:id="rId12"/>
    <sheet name="0.3" sheetId="13" r:id="rId13"/>
    <sheet name="0.35" sheetId="14" r:id="rId14"/>
    <sheet name="0.4" sheetId="15" r:id="rId15"/>
    <sheet name="0.45" sheetId="16" r:id="rId16"/>
    <sheet name="0.5" sheetId="17" r:id="rId17"/>
    <sheet name="0.55" sheetId="18" r:id="rId18"/>
    <sheet name="0.6" sheetId="19" r:id="rId19"/>
    <sheet name="0.65" sheetId="20" r:id="rId20"/>
    <sheet name="0.7" sheetId="21" r:id="rId21"/>
    <sheet name="0.75" sheetId="22" r:id="rId22"/>
    <sheet name="0.8" sheetId="23" r:id="rId23"/>
    <sheet name="0.85" sheetId="24" r:id="rId24"/>
    <sheet name="0.9" sheetId="25" r:id="rId25"/>
    <sheet name="0.925" sheetId="26" r:id="rId26"/>
    <sheet name="0.95" sheetId="27" r:id="rId27"/>
    <sheet name="0.975" sheetId="28" r:id="rId28"/>
    <sheet name="0.99" sheetId="29" r:id="rId29"/>
    <sheet name="0.995" sheetId="30" r:id="rId30"/>
    <sheet name="0.999" sheetId="31" r:id="rId31"/>
    <sheet name="0.9999" sheetId="32" r:id="rId32"/>
  </sheets>
  <definedNames>
    <definedName name="solver_adj" localSheetId="1" hidden="1">'0.0001'!$H$1</definedName>
    <definedName name="solver_adj" localSheetId="2" hidden="1">'0.001'!$H$1</definedName>
    <definedName name="solver_adj" localSheetId="3" hidden="1">'0.005'!$H$1</definedName>
    <definedName name="solver_adj" localSheetId="4" hidden="1">'0.01'!$H$1</definedName>
    <definedName name="solver_adj" localSheetId="5" hidden="1">'0.025'!$H$1</definedName>
    <definedName name="solver_adj" localSheetId="6" hidden="1">'0.05'!$H$1</definedName>
    <definedName name="solver_adj" localSheetId="7" hidden="1">'0.075'!$H$1</definedName>
    <definedName name="solver_adj" localSheetId="8" hidden="1">'0.1'!$H$1</definedName>
    <definedName name="solver_adj" localSheetId="9" hidden="1">'0.15'!$H$1</definedName>
    <definedName name="solver_adj" localSheetId="10" hidden="1">'0.2'!$H$1</definedName>
    <definedName name="solver_adj" localSheetId="11" hidden="1">'0.25'!$H$1</definedName>
    <definedName name="solver_adj" localSheetId="12" hidden="1">'0.3'!$H$1</definedName>
    <definedName name="solver_adj" localSheetId="13" hidden="1">'0.35'!$H$1</definedName>
    <definedName name="solver_adj" localSheetId="14" hidden="1">'0.4'!$H$1</definedName>
    <definedName name="solver_adj" localSheetId="15" hidden="1">'0.45'!$H$1</definedName>
    <definedName name="solver_adj" localSheetId="16" hidden="1">'0.5'!$H$1</definedName>
    <definedName name="solver_adj" localSheetId="17" hidden="1">'0.55'!$H$1</definedName>
    <definedName name="solver_adj" localSheetId="18" hidden="1">'0.6'!$H$1</definedName>
    <definedName name="solver_adj" localSheetId="19" hidden="1">'0.65'!$H$1</definedName>
    <definedName name="solver_adj" localSheetId="20" hidden="1">'0.7'!$H$1</definedName>
    <definedName name="solver_adj" localSheetId="21" hidden="1">'0.75'!$H$1</definedName>
    <definedName name="solver_adj" localSheetId="22" hidden="1">'0.8'!$H$1</definedName>
    <definedName name="solver_adj" localSheetId="23" hidden="1">'0.85'!$H$1</definedName>
    <definedName name="solver_adj" localSheetId="24" hidden="1">'0.9'!$H$1</definedName>
    <definedName name="solver_adj" localSheetId="25" hidden="1">'0.925'!$H$1</definedName>
    <definedName name="solver_adj" localSheetId="26" hidden="1">'0.95'!$H$1</definedName>
    <definedName name="solver_adj" localSheetId="27" hidden="1">'0.975'!$H$1</definedName>
    <definedName name="solver_adj" localSheetId="28" hidden="1">'0.99'!$H$1</definedName>
    <definedName name="solver_adj" localSheetId="29" hidden="1">'0.995'!$H$1</definedName>
    <definedName name="solver_adj" localSheetId="30" hidden="1">'0.999'!$H$1</definedName>
    <definedName name="solver_adj" localSheetId="31" hidden="1">'0.9999'!$H$1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cvg" localSheetId="18" hidden="1">0.0001</definedName>
    <definedName name="solver_cvg" localSheetId="19" hidden="1">0.0001</definedName>
    <definedName name="solver_cvg" localSheetId="20" hidden="1">0.0001</definedName>
    <definedName name="solver_cvg" localSheetId="21" hidden="1">0.0001</definedName>
    <definedName name="solver_cvg" localSheetId="22" hidden="1">0.0001</definedName>
    <definedName name="solver_cvg" localSheetId="23" hidden="1">0.0001</definedName>
    <definedName name="solver_cvg" localSheetId="24" hidden="1">0.0001</definedName>
    <definedName name="solver_cvg" localSheetId="25" hidden="1">0.0001</definedName>
    <definedName name="solver_cvg" localSheetId="26" hidden="1">0.0001</definedName>
    <definedName name="solver_cvg" localSheetId="27" hidden="1">0.0001</definedName>
    <definedName name="solver_cvg" localSheetId="28" hidden="1">0.0001</definedName>
    <definedName name="solver_cvg" localSheetId="29" hidden="1">0.0001</definedName>
    <definedName name="solver_cvg" localSheetId="30" hidden="1">0.0001</definedName>
    <definedName name="solver_cvg" localSheetId="31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6" hidden="1">1</definedName>
    <definedName name="solver_drv" localSheetId="17" hidden="1">1</definedName>
    <definedName name="solver_drv" localSheetId="18" hidden="1">1</definedName>
    <definedName name="solver_drv" localSheetId="19" hidden="1">1</definedName>
    <definedName name="solver_drv" localSheetId="20" hidden="1">1</definedName>
    <definedName name="solver_drv" localSheetId="21" hidden="1">1</definedName>
    <definedName name="solver_drv" localSheetId="22" hidden="1">1</definedName>
    <definedName name="solver_drv" localSheetId="23" hidden="1">1</definedName>
    <definedName name="solver_drv" localSheetId="24" hidden="1">1</definedName>
    <definedName name="solver_drv" localSheetId="25" hidden="1">1</definedName>
    <definedName name="solver_drv" localSheetId="26" hidden="1">1</definedName>
    <definedName name="solver_drv" localSheetId="27" hidden="1">1</definedName>
    <definedName name="solver_drv" localSheetId="28" hidden="1">1</definedName>
    <definedName name="solver_drv" localSheetId="29" hidden="1">1</definedName>
    <definedName name="solver_drv" localSheetId="30" hidden="1">1</definedName>
    <definedName name="solver_drv" localSheetId="31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ng" localSheetId="14" hidden="1">1</definedName>
    <definedName name="solver_eng" localSheetId="15" hidden="1">1</definedName>
    <definedName name="solver_eng" localSheetId="16" hidden="1">1</definedName>
    <definedName name="solver_eng" localSheetId="17" hidden="1">1</definedName>
    <definedName name="solver_eng" localSheetId="18" hidden="1">1</definedName>
    <definedName name="solver_eng" localSheetId="19" hidden="1">1</definedName>
    <definedName name="solver_eng" localSheetId="20" hidden="1">1</definedName>
    <definedName name="solver_eng" localSheetId="21" hidden="1">1</definedName>
    <definedName name="solver_eng" localSheetId="22" hidden="1">1</definedName>
    <definedName name="solver_eng" localSheetId="23" hidden="1">1</definedName>
    <definedName name="solver_eng" localSheetId="24" hidden="1">1</definedName>
    <definedName name="solver_eng" localSheetId="25" hidden="1">1</definedName>
    <definedName name="solver_eng" localSheetId="26" hidden="1">1</definedName>
    <definedName name="solver_eng" localSheetId="27" hidden="1">1</definedName>
    <definedName name="solver_eng" localSheetId="28" hidden="1">1</definedName>
    <definedName name="solver_eng" localSheetId="29" hidden="1">1</definedName>
    <definedName name="solver_eng" localSheetId="30" hidden="1">1</definedName>
    <definedName name="solver_eng" localSheetId="31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est" localSheetId="18" hidden="1">1</definedName>
    <definedName name="solver_est" localSheetId="19" hidden="1">1</definedName>
    <definedName name="solver_est" localSheetId="20" hidden="1">1</definedName>
    <definedName name="solver_est" localSheetId="21" hidden="1">1</definedName>
    <definedName name="solver_est" localSheetId="22" hidden="1">1</definedName>
    <definedName name="solver_est" localSheetId="23" hidden="1">1</definedName>
    <definedName name="solver_est" localSheetId="24" hidden="1">1</definedName>
    <definedName name="solver_est" localSheetId="25" hidden="1">1</definedName>
    <definedName name="solver_est" localSheetId="26" hidden="1">1</definedName>
    <definedName name="solver_est" localSheetId="27" hidden="1">1</definedName>
    <definedName name="solver_est" localSheetId="28" hidden="1">1</definedName>
    <definedName name="solver_est" localSheetId="29" hidden="1">1</definedName>
    <definedName name="solver_est" localSheetId="30" hidden="1">1</definedName>
    <definedName name="solver_est" localSheetId="31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itr" localSheetId="18" hidden="1">2147483647</definedName>
    <definedName name="solver_itr" localSheetId="19" hidden="1">2147483647</definedName>
    <definedName name="solver_itr" localSheetId="20" hidden="1">2147483647</definedName>
    <definedName name="solver_itr" localSheetId="21" hidden="1">2147483647</definedName>
    <definedName name="solver_itr" localSheetId="22" hidden="1">2147483647</definedName>
    <definedName name="solver_itr" localSheetId="23" hidden="1">2147483647</definedName>
    <definedName name="solver_itr" localSheetId="24" hidden="1">2147483647</definedName>
    <definedName name="solver_itr" localSheetId="25" hidden="1">2147483647</definedName>
    <definedName name="solver_itr" localSheetId="26" hidden="1">2147483647</definedName>
    <definedName name="solver_itr" localSheetId="27" hidden="1">2147483647</definedName>
    <definedName name="solver_itr" localSheetId="28" hidden="1">2147483647</definedName>
    <definedName name="solver_itr" localSheetId="29" hidden="1">2147483647</definedName>
    <definedName name="solver_itr" localSheetId="30" hidden="1">2147483647</definedName>
    <definedName name="solver_itr" localSheetId="31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ip" localSheetId="18" hidden="1">2147483647</definedName>
    <definedName name="solver_mip" localSheetId="19" hidden="1">2147483647</definedName>
    <definedName name="solver_mip" localSheetId="20" hidden="1">2147483647</definedName>
    <definedName name="solver_mip" localSheetId="21" hidden="1">2147483647</definedName>
    <definedName name="solver_mip" localSheetId="22" hidden="1">2147483647</definedName>
    <definedName name="solver_mip" localSheetId="23" hidden="1">2147483647</definedName>
    <definedName name="solver_mip" localSheetId="24" hidden="1">2147483647</definedName>
    <definedName name="solver_mip" localSheetId="25" hidden="1">2147483647</definedName>
    <definedName name="solver_mip" localSheetId="26" hidden="1">2147483647</definedName>
    <definedName name="solver_mip" localSheetId="27" hidden="1">2147483647</definedName>
    <definedName name="solver_mip" localSheetId="28" hidden="1">2147483647</definedName>
    <definedName name="solver_mip" localSheetId="29" hidden="1">2147483647</definedName>
    <definedName name="solver_mip" localSheetId="30" hidden="1">2147483647</definedName>
    <definedName name="solver_mip" localSheetId="31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ni" localSheetId="18" hidden="1">30</definedName>
    <definedName name="solver_mni" localSheetId="19" hidden="1">30</definedName>
    <definedName name="solver_mni" localSheetId="20" hidden="1">30</definedName>
    <definedName name="solver_mni" localSheetId="21" hidden="1">30</definedName>
    <definedName name="solver_mni" localSheetId="22" hidden="1">30</definedName>
    <definedName name="solver_mni" localSheetId="23" hidden="1">30</definedName>
    <definedName name="solver_mni" localSheetId="24" hidden="1">30</definedName>
    <definedName name="solver_mni" localSheetId="25" hidden="1">30</definedName>
    <definedName name="solver_mni" localSheetId="26" hidden="1">30</definedName>
    <definedName name="solver_mni" localSheetId="27" hidden="1">30</definedName>
    <definedName name="solver_mni" localSheetId="28" hidden="1">30</definedName>
    <definedName name="solver_mni" localSheetId="29" hidden="1">30</definedName>
    <definedName name="solver_mni" localSheetId="30" hidden="1">30</definedName>
    <definedName name="solver_mni" localSheetId="31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rt" localSheetId="18" hidden="1">0.075</definedName>
    <definedName name="solver_mrt" localSheetId="19" hidden="1">0.075</definedName>
    <definedName name="solver_mrt" localSheetId="20" hidden="1">0.075</definedName>
    <definedName name="solver_mrt" localSheetId="21" hidden="1">0.075</definedName>
    <definedName name="solver_mrt" localSheetId="22" hidden="1">0.075</definedName>
    <definedName name="solver_mrt" localSheetId="23" hidden="1">0.075</definedName>
    <definedName name="solver_mrt" localSheetId="24" hidden="1">0.075</definedName>
    <definedName name="solver_mrt" localSheetId="25" hidden="1">0.075</definedName>
    <definedName name="solver_mrt" localSheetId="26" hidden="1">0.075</definedName>
    <definedName name="solver_mrt" localSheetId="27" hidden="1">0.075</definedName>
    <definedName name="solver_mrt" localSheetId="28" hidden="1">0.075</definedName>
    <definedName name="solver_mrt" localSheetId="29" hidden="1">0.075</definedName>
    <definedName name="solver_mrt" localSheetId="30" hidden="1">0.075</definedName>
    <definedName name="solver_mrt" localSheetId="31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msl" localSheetId="18" hidden="1">2</definedName>
    <definedName name="solver_msl" localSheetId="19" hidden="1">2</definedName>
    <definedName name="solver_msl" localSheetId="20" hidden="1">2</definedName>
    <definedName name="solver_msl" localSheetId="21" hidden="1">2</definedName>
    <definedName name="solver_msl" localSheetId="22" hidden="1">2</definedName>
    <definedName name="solver_msl" localSheetId="23" hidden="1">2</definedName>
    <definedName name="solver_msl" localSheetId="24" hidden="1">2</definedName>
    <definedName name="solver_msl" localSheetId="25" hidden="1">2</definedName>
    <definedName name="solver_msl" localSheetId="26" hidden="1">2</definedName>
    <definedName name="solver_msl" localSheetId="27" hidden="1">2</definedName>
    <definedName name="solver_msl" localSheetId="28" hidden="1">2</definedName>
    <definedName name="solver_msl" localSheetId="29" hidden="1">2</definedName>
    <definedName name="solver_msl" localSheetId="30" hidden="1">2</definedName>
    <definedName name="solver_msl" localSheetId="31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6" hidden="1">1</definedName>
    <definedName name="solver_neg" localSheetId="17" hidden="1">1</definedName>
    <definedName name="solver_neg" localSheetId="18" hidden="1">1</definedName>
    <definedName name="solver_neg" localSheetId="19" hidden="1">1</definedName>
    <definedName name="solver_neg" localSheetId="20" hidden="1">1</definedName>
    <definedName name="solver_neg" localSheetId="21" hidden="1">1</definedName>
    <definedName name="solver_neg" localSheetId="22" hidden="1">1</definedName>
    <definedName name="solver_neg" localSheetId="23" hidden="1">1</definedName>
    <definedName name="solver_neg" localSheetId="24" hidden="1">1</definedName>
    <definedName name="solver_neg" localSheetId="25" hidden="1">1</definedName>
    <definedName name="solver_neg" localSheetId="26" hidden="1">1</definedName>
    <definedName name="solver_neg" localSheetId="27" hidden="1">1</definedName>
    <definedName name="solver_neg" localSheetId="28" hidden="1">1</definedName>
    <definedName name="solver_neg" localSheetId="29" hidden="1">1</definedName>
    <definedName name="solver_neg" localSheetId="30" hidden="1">1</definedName>
    <definedName name="solver_neg" localSheetId="31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od" localSheetId="18" hidden="1">2147483647</definedName>
    <definedName name="solver_nod" localSheetId="19" hidden="1">2147483647</definedName>
    <definedName name="solver_nod" localSheetId="20" hidden="1">2147483647</definedName>
    <definedName name="solver_nod" localSheetId="21" hidden="1">2147483647</definedName>
    <definedName name="solver_nod" localSheetId="22" hidden="1">2147483647</definedName>
    <definedName name="solver_nod" localSheetId="23" hidden="1">2147483647</definedName>
    <definedName name="solver_nod" localSheetId="24" hidden="1">2147483647</definedName>
    <definedName name="solver_nod" localSheetId="25" hidden="1">2147483647</definedName>
    <definedName name="solver_nod" localSheetId="26" hidden="1">2147483647</definedName>
    <definedName name="solver_nod" localSheetId="27" hidden="1">2147483647</definedName>
    <definedName name="solver_nod" localSheetId="28" hidden="1">2147483647</definedName>
    <definedName name="solver_nod" localSheetId="29" hidden="1">2147483647</definedName>
    <definedName name="solver_nod" localSheetId="30" hidden="1">2147483647</definedName>
    <definedName name="solver_nod" localSheetId="31" hidden="1">2147483647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9" hidden="1">0</definedName>
    <definedName name="solver_num" localSheetId="10" hidden="1">0</definedName>
    <definedName name="solver_num" localSheetId="11" hidden="1">0</definedName>
    <definedName name="solver_num" localSheetId="12" hidden="1">0</definedName>
    <definedName name="solver_num" localSheetId="13" hidden="1">0</definedName>
    <definedName name="solver_num" localSheetId="14" hidden="1">0</definedName>
    <definedName name="solver_num" localSheetId="15" hidden="1">0</definedName>
    <definedName name="solver_num" localSheetId="16" hidden="1">0</definedName>
    <definedName name="solver_num" localSheetId="17" hidden="1">0</definedName>
    <definedName name="solver_num" localSheetId="18" hidden="1">0</definedName>
    <definedName name="solver_num" localSheetId="19" hidden="1">0</definedName>
    <definedName name="solver_num" localSheetId="20" hidden="1">0</definedName>
    <definedName name="solver_num" localSheetId="21" hidden="1">0</definedName>
    <definedName name="solver_num" localSheetId="22" hidden="1">0</definedName>
    <definedName name="solver_num" localSheetId="23" hidden="1">0</definedName>
    <definedName name="solver_num" localSheetId="24" hidden="1">0</definedName>
    <definedName name="solver_num" localSheetId="25" hidden="1">0</definedName>
    <definedName name="solver_num" localSheetId="26" hidden="1">0</definedName>
    <definedName name="solver_num" localSheetId="27" hidden="1">0</definedName>
    <definedName name="solver_num" localSheetId="28" hidden="1">0</definedName>
    <definedName name="solver_num" localSheetId="29" hidden="1">0</definedName>
    <definedName name="solver_num" localSheetId="30" hidden="1">0</definedName>
    <definedName name="solver_num" localSheetId="31" hidden="1">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nwt" localSheetId="18" hidden="1">1</definedName>
    <definedName name="solver_nwt" localSheetId="19" hidden="1">1</definedName>
    <definedName name="solver_nwt" localSheetId="20" hidden="1">1</definedName>
    <definedName name="solver_nwt" localSheetId="21" hidden="1">1</definedName>
    <definedName name="solver_nwt" localSheetId="22" hidden="1">1</definedName>
    <definedName name="solver_nwt" localSheetId="23" hidden="1">1</definedName>
    <definedName name="solver_nwt" localSheetId="24" hidden="1">1</definedName>
    <definedName name="solver_nwt" localSheetId="25" hidden="1">1</definedName>
    <definedName name="solver_nwt" localSheetId="26" hidden="1">1</definedName>
    <definedName name="solver_nwt" localSheetId="27" hidden="1">1</definedName>
    <definedName name="solver_nwt" localSheetId="28" hidden="1">1</definedName>
    <definedName name="solver_nwt" localSheetId="29" hidden="1">1</definedName>
    <definedName name="solver_nwt" localSheetId="30" hidden="1">1</definedName>
    <definedName name="solver_nwt" localSheetId="31" hidden="1">1</definedName>
    <definedName name="solver_opt" localSheetId="1" hidden="1">'0.0001'!$H$5</definedName>
    <definedName name="solver_opt" localSheetId="2" hidden="1">'0.001'!$H$5</definedName>
    <definedName name="solver_opt" localSheetId="3" hidden="1">'0.005'!$H$5</definedName>
    <definedName name="solver_opt" localSheetId="4" hidden="1">'0.01'!$H$5</definedName>
    <definedName name="solver_opt" localSheetId="5" hidden="1">'0.025'!$H$5</definedName>
    <definedName name="solver_opt" localSheetId="6" hidden="1">'0.05'!$H$5</definedName>
    <definedName name="solver_opt" localSheetId="7" hidden="1">'0.075'!$H$5</definedName>
    <definedName name="solver_opt" localSheetId="8" hidden="1">'0.1'!$H$5</definedName>
    <definedName name="solver_opt" localSheetId="9" hidden="1">'0.15'!$H$5</definedName>
    <definedName name="solver_opt" localSheetId="10" hidden="1">'0.2'!$H$5</definedName>
    <definedName name="solver_opt" localSheetId="11" hidden="1">'0.25'!$H$5</definedName>
    <definedName name="solver_opt" localSheetId="12" hidden="1">'0.3'!$H$5</definedName>
    <definedName name="solver_opt" localSheetId="13" hidden="1">'0.35'!$H$5</definedName>
    <definedName name="solver_opt" localSheetId="14" hidden="1">'0.4'!$H$5</definedName>
    <definedName name="solver_opt" localSheetId="15" hidden="1">'0.45'!$H$5</definedName>
    <definedName name="solver_opt" localSheetId="16" hidden="1">'0.5'!$H$5</definedName>
    <definedName name="solver_opt" localSheetId="17" hidden="1">'0.55'!$H$5</definedName>
    <definedName name="solver_opt" localSheetId="18" hidden="1">'0.6'!$H$5</definedName>
    <definedName name="solver_opt" localSheetId="19" hidden="1">'0.65'!$H$5</definedName>
    <definedName name="solver_opt" localSheetId="20" hidden="1">'0.7'!$H$5</definedName>
    <definedName name="solver_opt" localSheetId="21" hidden="1">'0.75'!$H$5</definedName>
    <definedName name="solver_opt" localSheetId="22" hidden="1">'0.8'!$H$5</definedName>
    <definedName name="solver_opt" localSheetId="23" hidden="1">'0.85'!$H$5</definedName>
    <definedName name="solver_opt" localSheetId="24" hidden="1">'0.9'!$H$5</definedName>
    <definedName name="solver_opt" localSheetId="25" hidden="1">'0.925'!$H$5</definedName>
    <definedName name="solver_opt" localSheetId="26" hidden="1">'0.95'!$H$5</definedName>
    <definedName name="solver_opt" localSheetId="27" hidden="1">'0.975'!$H$5</definedName>
    <definedName name="solver_opt" localSheetId="28" hidden="1">'0.99'!$H$5</definedName>
    <definedName name="solver_opt" localSheetId="29" hidden="1">'0.995'!$H$5</definedName>
    <definedName name="solver_opt" localSheetId="30" hidden="1">'0.999'!$H$5</definedName>
    <definedName name="solver_opt" localSheetId="31" hidden="1">'0.9999'!$H$5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pre" localSheetId="18" hidden="1">0.000001</definedName>
    <definedName name="solver_pre" localSheetId="19" hidden="1">0.000001</definedName>
    <definedName name="solver_pre" localSheetId="20" hidden="1">0.000001</definedName>
    <definedName name="solver_pre" localSheetId="21" hidden="1">0.000001</definedName>
    <definedName name="solver_pre" localSheetId="22" hidden="1">0.000001</definedName>
    <definedName name="solver_pre" localSheetId="23" hidden="1">0.000001</definedName>
    <definedName name="solver_pre" localSheetId="24" hidden="1">0.000001</definedName>
    <definedName name="solver_pre" localSheetId="25" hidden="1">0.000001</definedName>
    <definedName name="solver_pre" localSheetId="26" hidden="1">0.000001</definedName>
    <definedName name="solver_pre" localSheetId="27" hidden="1">0.000001</definedName>
    <definedName name="solver_pre" localSheetId="28" hidden="1">0.000001</definedName>
    <definedName name="solver_pre" localSheetId="29" hidden="1">0.000001</definedName>
    <definedName name="solver_pre" localSheetId="30" hidden="1">0.000001</definedName>
    <definedName name="solver_pre" localSheetId="31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6" hidden="1">1</definedName>
    <definedName name="solver_rbv" localSheetId="17" hidden="1">1</definedName>
    <definedName name="solver_rbv" localSheetId="18" hidden="1">1</definedName>
    <definedName name="solver_rbv" localSheetId="19" hidden="1">1</definedName>
    <definedName name="solver_rbv" localSheetId="20" hidden="1">1</definedName>
    <definedName name="solver_rbv" localSheetId="21" hidden="1">1</definedName>
    <definedName name="solver_rbv" localSheetId="22" hidden="1">1</definedName>
    <definedName name="solver_rbv" localSheetId="23" hidden="1">1</definedName>
    <definedName name="solver_rbv" localSheetId="24" hidden="1">1</definedName>
    <definedName name="solver_rbv" localSheetId="25" hidden="1">1</definedName>
    <definedName name="solver_rbv" localSheetId="26" hidden="1">1</definedName>
    <definedName name="solver_rbv" localSheetId="27" hidden="1">1</definedName>
    <definedName name="solver_rbv" localSheetId="28" hidden="1">1</definedName>
    <definedName name="solver_rbv" localSheetId="29" hidden="1">1</definedName>
    <definedName name="solver_rbv" localSheetId="30" hidden="1">1</definedName>
    <definedName name="solver_rbv" localSheetId="31" hidden="1">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lx" localSheetId="18" hidden="1">2</definedName>
    <definedName name="solver_rlx" localSheetId="19" hidden="1">2</definedName>
    <definedName name="solver_rlx" localSheetId="20" hidden="1">2</definedName>
    <definedName name="solver_rlx" localSheetId="21" hidden="1">2</definedName>
    <definedName name="solver_rlx" localSheetId="22" hidden="1">2</definedName>
    <definedName name="solver_rlx" localSheetId="23" hidden="1">2</definedName>
    <definedName name="solver_rlx" localSheetId="24" hidden="1">2</definedName>
    <definedName name="solver_rlx" localSheetId="25" hidden="1">2</definedName>
    <definedName name="solver_rlx" localSheetId="26" hidden="1">2</definedName>
    <definedName name="solver_rlx" localSheetId="27" hidden="1">2</definedName>
    <definedName name="solver_rlx" localSheetId="28" hidden="1">2</definedName>
    <definedName name="solver_rlx" localSheetId="29" hidden="1">2</definedName>
    <definedName name="solver_rlx" localSheetId="30" hidden="1">2</definedName>
    <definedName name="solver_rlx" localSheetId="31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rsd" localSheetId="18" hidden="1">0</definedName>
    <definedName name="solver_rsd" localSheetId="19" hidden="1">0</definedName>
    <definedName name="solver_rsd" localSheetId="20" hidden="1">0</definedName>
    <definedName name="solver_rsd" localSheetId="21" hidden="1">0</definedName>
    <definedName name="solver_rsd" localSheetId="22" hidden="1">0</definedName>
    <definedName name="solver_rsd" localSheetId="23" hidden="1">0</definedName>
    <definedName name="solver_rsd" localSheetId="24" hidden="1">0</definedName>
    <definedName name="solver_rsd" localSheetId="25" hidden="1">0</definedName>
    <definedName name="solver_rsd" localSheetId="26" hidden="1">0</definedName>
    <definedName name="solver_rsd" localSheetId="27" hidden="1">0</definedName>
    <definedName name="solver_rsd" localSheetId="28" hidden="1">0</definedName>
    <definedName name="solver_rsd" localSheetId="29" hidden="1">0</definedName>
    <definedName name="solver_rsd" localSheetId="30" hidden="1">0</definedName>
    <definedName name="solver_rsd" localSheetId="31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cl" localSheetId="18" hidden="1">1</definedName>
    <definedName name="solver_scl" localSheetId="19" hidden="1">1</definedName>
    <definedName name="solver_scl" localSheetId="20" hidden="1">1</definedName>
    <definedName name="solver_scl" localSheetId="21" hidden="1">1</definedName>
    <definedName name="solver_scl" localSheetId="22" hidden="1">1</definedName>
    <definedName name="solver_scl" localSheetId="23" hidden="1">1</definedName>
    <definedName name="solver_scl" localSheetId="24" hidden="1">1</definedName>
    <definedName name="solver_scl" localSheetId="25" hidden="1">1</definedName>
    <definedName name="solver_scl" localSheetId="26" hidden="1">1</definedName>
    <definedName name="solver_scl" localSheetId="27" hidden="1">1</definedName>
    <definedName name="solver_scl" localSheetId="28" hidden="1">1</definedName>
    <definedName name="solver_scl" localSheetId="29" hidden="1">1</definedName>
    <definedName name="solver_scl" localSheetId="30" hidden="1">1</definedName>
    <definedName name="solver_scl" localSheetId="31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ho" localSheetId="18" hidden="1">2</definedName>
    <definedName name="solver_sho" localSheetId="19" hidden="1">2</definedName>
    <definedName name="solver_sho" localSheetId="20" hidden="1">2</definedName>
    <definedName name="solver_sho" localSheetId="21" hidden="1">2</definedName>
    <definedName name="solver_sho" localSheetId="22" hidden="1">2</definedName>
    <definedName name="solver_sho" localSheetId="23" hidden="1">2</definedName>
    <definedName name="solver_sho" localSheetId="24" hidden="1">2</definedName>
    <definedName name="solver_sho" localSheetId="25" hidden="1">2</definedName>
    <definedName name="solver_sho" localSheetId="26" hidden="1">2</definedName>
    <definedName name="solver_sho" localSheetId="27" hidden="1">2</definedName>
    <definedName name="solver_sho" localSheetId="28" hidden="1">2</definedName>
    <definedName name="solver_sho" localSheetId="29" hidden="1">2</definedName>
    <definedName name="solver_sho" localSheetId="30" hidden="1">2</definedName>
    <definedName name="solver_sho" localSheetId="31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ssz" localSheetId="18" hidden="1">100</definedName>
    <definedName name="solver_ssz" localSheetId="19" hidden="1">100</definedName>
    <definedName name="solver_ssz" localSheetId="20" hidden="1">100</definedName>
    <definedName name="solver_ssz" localSheetId="21" hidden="1">100</definedName>
    <definedName name="solver_ssz" localSheetId="22" hidden="1">100</definedName>
    <definedName name="solver_ssz" localSheetId="23" hidden="1">100</definedName>
    <definedName name="solver_ssz" localSheetId="24" hidden="1">100</definedName>
    <definedName name="solver_ssz" localSheetId="25" hidden="1">100</definedName>
    <definedName name="solver_ssz" localSheetId="26" hidden="1">100</definedName>
    <definedName name="solver_ssz" localSheetId="27" hidden="1">100</definedName>
    <definedName name="solver_ssz" localSheetId="28" hidden="1">100</definedName>
    <definedName name="solver_ssz" localSheetId="29" hidden="1">100</definedName>
    <definedName name="solver_ssz" localSheetId="30" hidden="1">100</definedName>
    <definedName name="solver_ssz" localSheetId="31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im" localSheetId="18" hidden="1">2147483647</definedName>
    <definedName name="solver_tim" localSheetId="19" hidden="1">2147483647</definedName>
    <definedName name="solver_tim" localSheetId="20" hidden="1">2147483647</definedName>
    <definedName name="solver_tim" localSheetId="21" hidden="1">2147483647</definedName>
    <definedName name="solver_tim" localSheetId="22" hidden="1">2147483647</definedName>
    <definedName name="solver_tim" localSheetId="23" hidden="1">2147483647</definedName>
    <definedName name="solver_tim" localSheetId="24" hidden="1">2147483647</definedName>
    <definedName name="solver_tim" localSheetId="25" hidden="1">2147483647</definedName>
    <definedName name="solver_tim" localSheetId="26" hidden="1">2147483647</definedName>
    <definedName name="solver_tim" localSheetId="27" hidden="1">2147483647</definedName>
    <definedName name="solver_tim" localSheetId="28" hidden="1">2147483647</definedName>
    <definedName name="solver_tim" localSheetId="29" hidden="1">2147483647</definedName>
    <definedName name="solver_tim" localSheetId="30" hidden="1">2147483647</definedName>
    <definedName name="solver_tim" localSheetId="31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16" hidden="1">0.01</definedName>
    <definedName name="solver_tol" localSheetId="17" hidden="1">0.01</definedName>
    <definedName name="solver_tol" localSheetId="18" hidden="1">0.01</definedName>
    <definedName name="solver_tol" localSheetId="19" hidden="1">0.01</definedName>
    <definedName name="solver_tol" localSheetId="20" hidden="1">0.01</definedName>
    <definedName name="solver_tol" localSheetId="21" hidden="1">0.01</definedName>
    <definedName name="solver_tol" localSheetId="22" hidden="1">0.01</definedName>
    <definedName name="solver_tol" localSheetId="23" hidden="1">0.01</definedName>
    <definedName name="solver_tol" localSheetId="24" hidden="1">0.01</definedName>
    <definedName name="solver_tol" localSheetId="25" hidden="1">0.01</definedName>
    <definedName name="solver_tol" localSheetId="26" hidden="1">0.01</definedName>
    <definedName name="solver_tol" localSheetId="27" hidden="1">0.01</definedName>
    <definedName name="solver_tol" localSheetId="28" hidden="1">0.01</definedName>
    <definedName name="solver_tol" localSheetId="29" hidden="1">0.01</definedName>
    <definedName name="solver_tol" localSheetId="30" hidden="1">0.01</definedName>
    <definedName name="solver_tol" localSheetId="31" hidden="1">0.01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16" hidden="1">2</definedName>
    <definedName name="solver_typ" localSheetId="17" hidden="1">2</definedName>
    <definedName name="solver_typ" localSheetId="18" hidden="1">2</definedName>
    <definedName name="solver_typ" localSheetId="19" hidden="1">2</definedName>
    <definedName name="solver_typ" localSheetId="20" hidden="1">2</definedName>
    <definedName name="solver_typ" localSheetId="21" hidden="1">2</definedName>
    <definedName name="solver_typ" localSheetId="22" hidden="1">2</definedName>
    <definedName name="solver_typ" localSheetId="23" hidden="1">2</definedName>
    <definedName name="solver_typ" localSheetId="24" hidden="1">2</definedName>
    <definedName name="solver_typ" localSheetId="25" hidden="1">2</definedName>
    <definedName name="solver_typ" localSheetId="26" hidden="1">2</definedName>
    <definedName name="solver_typ" localSheetId="27" hidden="1">2</definedName>
    <definedName name="solver_typ" localSheetId="28" hidden="1">2</definedName>
    <definedName name="solver_typ" localSheetId="29" hidden="1">2</definedName>
    <definedName name="solver_typ" localSheetId="30" hidden="1">2</definedName>
    <definedName name="solver_typ" localSheetId="31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6" hidden="1">0</definedName>
    <definedName name="solver_val" localSheetId="17" hidden="1">0</definedName>
    <definedName name="solver_val" localSheetId="18" hidden="1">0</definedName>
    <definedName name="solver_val" localSheetId="19" hidden="1">0</definedName>
    <definedName name="solver_val" localSheetId="20" hidden="1">0</definedName>
    <definedName name="solver_val" localSheetId="21" hidden="1">0</definedName>
    <definedName name="solver_val" localSheetId="22" hidden="1">0</definedName>
    <definedName name="solver_val" localSheetId="23" hidden="1">0</definedName>
    <definedName name="solver_val" localSheetId="24" hidden="1">0</definedName>
    <definedName name="solver_val" localSheetId="25" hidden="1">0</definedName>
    <definedName name="solver_val" localSheetId="26" hidden="1">0</definedName>
    <definedName name="solver_val" localSheetId="27" hidden="1">0</definedName>
    <definedName name="solver_val" localSheetId="28" hidden="1">0</definedName>
    <definedName name="solver_val" localSheetId="29" hidden="1">0</definedName>
    <definedName name="solver_val" localSheetId="30" hidden="1">0</definedName>
    <definedName name="solver_val" localSheetId="31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6" hidden="1">3</definedName>
    <definedName name="solver_ver" localSheetId="17" hidden="1">3</definedName>
    <definedName name="solver_ver" localSheetId="18" hidden="1">3</definedName>
    <definedName name="solver_ver" localSheetId="19" hidden="1">3</definedName>
    <definedName name="solver_ver" localSheetId="20" hidden="1">3</definedName>
    <definedName name="solver_ver" localSheetId="21" hidden="1">3</definedName>
    <definedName name="solver_ver" localSheetId="22" hidden="1">3</definedName>
    <definedName name="solver_ver" localSheetId="23" hidden="1">3</definedName>
    <definedName name="solver_ver" localSheetId="24" hidden="1">3</definedName>
    <definedName name="solver_ver" localSheetId="25" hidden="1">3</definedName>
    <definedName name="solver_ver" localSheetId="26" hidden="1">3</definedName>
    <definedName name="solver_ver" localSheetId="27" hidden="1">3</definedName>
    <definedName name="solver_ver" localSheetId="28" hidden="1">3</definedName>
    <definedName name="solver_ver" localSheetId="29" hidden="1">3</definedName>
    <definedName name="solver_ver" localSheetId="30" hidden="1">3</definedName>
    <definedName name="solver_ver" localSheetId="3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3" l="1"/>
  <c r="H3" i="32"/>
  <c r="C5" i="32" s="1"/>
  <c r="D5" i="32" s="1"/>
  <c r="E5" i="32" s="1"/>
  <c r="H3" i="31"/>
  <c r="C5" i="31" s="1"/>
  <c r="D5" i="31" s="1"/>
  <c r="E5" i="31" s="1"/>
  <c r="H3" i="30"/>
  <c r="C5" i="30" s="1"/>
  <c r="D5" i="30" s="1"/>
  <c r="E5" i="30" s="1"/>
  <c r="H3" i="29"/>
  <c r="C5" i="29" s="1"/>
  <c r="D5" i="29" s="1"/>
  <c r="E5" i="29" s="1"/>
  <c r="H3" i="28"/>
  <c r="C5" i="28" s="1"/>
  <c r="D5" i="28" s="1"/>
  <c r="E5" i="28" s="1"/>
  <c r="H3" i="27"/>
  <c r="C5" i="27" s="1"/>
  <c r="D5" i="27" s="1"/>
  <c r="E5" i="27" s="1"/>
  <c r="H3" i="26"/>
  <c r="C5" i="26" s="1"/>
  <c r="D5" i="26" s="1"/>
  <c r="E5" i="26" s="1"/>
  <c r="H3" i="25"/>
  <c r="C5" i="25" s="1"/>
  <c r="D5" i="25" s="1"/>
  <c r="E5" i="25" s="1"/>
  <c r="H3" i="24"/>
  <c r="C5" i="24" s="1"/>
  <c r="D5" i="24" s="1"/>
  <c r="E5" i="24" s="1"/>
  <c r="H3" i="23"/>
  <c r="C5" i="23" s="1"/>
  <c r="D5" i="23" s="1"/>
  <c r="E5" i="23" s="1"/>
  <c r="H3" i="22"/>
  <c r="C5" i="22" s="1"/>
  <c r="D5" i="22" s="1"/>
  <c r="E5" i="22" s="1"/>
  <c r="H3" i="21"/>
  <c r="C5" i="21" s="1"/>
  <c r="D5" i="21" s="1"/>
  <c r="E5" i="21" s="1"/>
  <c r="H3" i="20"/>
  <c r="C5" i="20" s="1"/>
  <c r="D5" i="20" s="1"/>
  <c r="E5" i="20" s="1"/>
  <c r="H3" i="19"/>
  <c r="C5" i="19" s="1"/>
  <c r="D5" i="19" s="1"/>
  <c r="E5" i="19" s="1"/>
  <c r="H3" i="18"/>
  <c r="C5" i="18" s="1"/>
  <c r="D5" i="18" s="1"/>
  <c r="E5" i="18" s="1"/>
  <c r="H3" i="17"/>
  <c r="C5" i="17" s="1"/>
  <c r="D5" i="17" s="1"/>
  <c r="E5" i="17" s="1"/>
  <c r="H3" i="16"/>
  <c r="C5" i="16" s="1"/>
  <c r="D5" i="16" s="1"/>
  <c r="E5" i="16" s="1"/>
  <c r="H3" i="15"/>
  <c r="C5" i="15" s="1"/>
  <c r="D5" i="15" s="1"/>
  <c r="E5" i="15" s="1"/>
  <c r="H3" i="14"/>
  <c r="C5" i="14" s="1"/>
  <c r="D5" i="14" s="1"/>
  <c r="E5" i="14" s="1"/>
  <c r="H3" i="13"/>
  <c r="C5" i="13" s="1"/>
  <c r="D5" i="13" s="1"/>
  <c r="E5" i="13" s="1"/>
  <c r="H3" i="12"/>
  <c r="C4" i="12" s="1"/>
  <c r="D4" i="12" s="1"/>
  <c r="E4" i="12" s="1"/>
  <c r="H3" i="11"/>
  <c r="C5" i="11" s="1"/>
  <c r="D5" i="11" s="1"/>
  <c r="E5" i="11" s="1"/>
  <c r="H3" i="10"/>
  <c r="C5" i="10" s="1"/>
  <c r="D5" i="10" s="1"/>
  <c r="E5" i="10" s="1"/>
  <c r="H3" i="9"/>
  <c r="C5" i="9" s="1"/>
  <c r="D5" i="9" s="1"/>
  <c r="E5" i="9" s="1"/>
  <c r="H3" i="8"/>
  <c r="C5" i="8" s="1"/>
  <c r="D5" i="8" s="1"/>
  <c r="E5" i="8" s="1"/>
  <c r="H3" i="7"/>
  <c r="C5" i="7" s="1"/>
  <c r="D5" i="7" s="1"/>
  <c r="E5" i="7" s="1"/>
  <c r="H3" i="6"/>
  <c r="C5" i="6" s="1"/>
  <c r="D5" i="6" s="1"/>
  <c r="E5" i="6" s="1"/>
  <c r="H3" i="5"/>
  <c r="C5" i="5" s="1"/>
  <c r="D5" i="5" s="1"/>
  <c r="E5" i="5" s="1"/>
  <c r="H3" i="4"/>
  <c r="C1" i="4" s="1"/>
  <c r="D1" i="4" s="1"/>
  <c r="E1" i="4" s="1"/>
  <c r="H3" i="3"/>
  <c r="C5" i="3" s="1"/>
  <c r="D5" i="3" s="1"/>
  <c r="E5" i="3" s="1"/>
  <c r="H3" i="2"/>
  <c r="C5" i="2" s="1"/>
  <c r="D5" i="2" s="1"/>
  <c r="E5" i="2" s="1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C6" i="31" l="1"/>
  <c r="D6" i="31" s="1"/>
  <c r="E6" i="31" s="1"/>
  <c r="C9" i="31"/>
  <c r="D9" i="31" s="1"/>
  <c r="E9" i="31" s="1"/>
  <c r="C17" i="31"/>
  <c r="D17" i="31" s="1"/>
  <c r="E17" i="31" s="1"/>
  <c r="C21" i="31"/>
  <c r="D21" i="31" s="1"/>
  <c r="E21" i="31" s="1"/>
  <c r="C22" i="31"/>
  <c r="D22" i="31" s="1"/>
  <c r="E22" i="31" s="1"/>
  <c r="C25" i="31"/>
  <c r="D25" i="31" s="1"/>
  <c r="E25" i="31" s="1"/>
  <c r="C26" i="31"/>
  <c r="D26" i="31" s="1"/>
  <c r="E26" i="31" s="1"/>
  <c r="C30" i="31"/>
  <c r="D30" i="31" s="1"/>
  <c r="E30" i="31" s="1"/>
  <c r="C33" i="31"/>
  <c r="D33" i="31" s="1"/>
  <c r="E33" i="31" s="1"/>
  <c r="C18" i="31"/>
  <c r="D18" i="31" s="1"/>
  <c r="E18" i="31" s="1"/>
  <c r="C29" i="31"/>
  <c r="D29" i="31" s="1"/>
  <c r="E29" i="31" s="1"/>
  <c r="C10" i="31"/>
  <c r="D10" i="31" s="1"/>
  <c r="E10" i="31" s="1"/>
  <c r="C34" i="31"/>
  <c r="D34" i="31" s="1"/>
  <c r="E34" i="31" s="1"/>
  <c r="C13" i="31"/>
  <c r="D13" i="31" s="1"/>
  <c r="E13" i="31" s="1"/>
  <c r="C37" i="31"/>
  <c r="D37" i="31" s="1"/>
  <c r="E37" i="31" s="1"/>
  <c r="C14" i="31"/>
  <c r="D14" i="31" s="1"/>
  <c r="E14" i="31" s="1"/>
  <c r="C38" i="31"/>
  <c r="D38" i="31" s="1"/>
  <c r="E38" i="31" s="1"/>
  <c r="C30" i="30"/>
  <c r="D30" i="30" s="1"/>
  <c r="E30" i="30" s="1"/>
  <c r="C25" i="30"/>
  <c r="D25" i="30" s="1"/>
  <c r="E25" i="30" s="1"/>
  <c r="C26" i="30"/>
  <c r="D26" i="30" s="1"/>
  <c r="E26" i="30" s="1"/>
  <c r="C34" i="30"/>
  <c r="D34" i="30" s="1"/>
  <c r="E34" i="30" s="1"/>
  <c r="C38" i="30"/>
  <c r="D38" i="30" s="1"/>
  <c r="E38" i="30" s="1"/>
  <c r="C6" i="30"/>
  <c r="D6" i="30" s="1"/>
  <c r="E6" i="30" s="1"/>
  <c r="C10" i="30"/>
  <c r="D10" i="30" s="1"/>
  <c r="E10" i="30" s="1"/>
  <c r="C14" i="30"/>
  <c r="D14" i="30" s="1"/>
  <c r="E14" i="30" s="1"/>
  <c r="C17" i="30"/>
  <c r="D17" i="30" s="1"/>
  <c r="E17" i="30" s="1"/>
  <c r="C21" i="30"/>
  <c r="D21" i="30" s="1"/>
  <c r="E21" i="30" s="1"/>
  <c r="C22" i="30"/>
  <c r="D22" i="30" s="1"/>
  <c r="E22" i="30" s="1"/>
  <c r="C9" i="30"/>
  <c r="D9" i="30" s="1"/>
  <c r="E9" i="30" s="1"/>
  <c r="C33" i="30"/>
  <c r="D33" i="30" s="1"/>
  <c r="E33" i="30" s="1"/>
  <c r="C13" i="30"/>
  <c r="D13" i="30" s="1"/>
  <c r="E13" i="30" s="1"/>
  <c r="C37" i="30"/>
  <c r="D37" i="30" s="1"/>
  <c r="E37" i="30" s="1"/>
  <c r="C18" i="30"/>
  <c r="D18" i="30" s="1"/>
  <c r="E18" i="30" s="1"/>
  <c r="C29" i="30"/>
  <c r="D29" i="30" s="1"/>
  <c r="E29" i="30" s="1"/>
  <c r="C10" i="29"/>
  <c r="D10" i="29" s="1"/>
  <c r="E10" i="29" s="1"/>
  <c r="C26" i="29"/>
  <c r="D26" i="29" s="1"/>
  <c r="E26" i="29" s="1"/>
  <c r="C9" i="29"/>
  <c r="D9" i="29" s="1"/>
  <c r="E9" i="29" s="1"/>
  <c r="C12" i="29"/>
  <c r="D12" i="29" s="1"/>
  <c r="E12" i="29" s="1"/>
  <c r="C28" i="29"/>
  <c r="D28" i="29" s="1"/>
  <c r="E28" i="29" s="1"/>
  <c r="C13" i="29"/>
  <c r="D13" i="29" s="1"/>
  <c r="E13" i="29" s="1"/>
  <c r="C29" i="29"/>
  <c r="D29" i="29" s="1"/>
  <c r="E29" i="29" s="1"/>
  <c r="C14" i="29"/>
  <c r="D14" i="29" s="1"/>
  <c r="E14" i="29" s="1"/>
  <c r="C30" i="29"/>
  <c r="D30" i="29" s="1"/>
  <c r="E30" i="29" s="1"/>
  <c r="C16" i="29"/>
  <c r="D16" i="29" s="1"/>
  <c r="E16" i="29" s="1"/>
  <c r="C32" i="29"/>
  <c r="D32" i="29" s="1"/>
  <c r="E32" i="29" s="1"/>
  <c r="C17" i="29"/>
  <c r="D17" i="29" s="1"/>
  <c r="E17" i="29" s="1"/>
  <c r="C33" i="29"/>
  <c r="D33" i="29" s="1"/>
  <c r="E33" i="29" s="1"/>
  <c r="C18" i="29"/>
  <c r="D18" i="29" s="1"/>
  <c r="E18" i="29" s="1"/>
  <c r="C34" i="29"/>
  <c r="D34" i="29" s="1"/>
  <c r="E34" i="29" s="1"/>
  <c r="C3" i="29"/>
  <c r="D3" i="29" s="1"/>
  <c r="E3" i="29" s="1"/>
  <c r="C20" i="29"/>
  <c r="D20" i="29" s="1"/>
  <c r="E20" i="29" s="1"/>
  <c r="C36" i="29"/>
  <c r="D36" i="29" s="1"/>
  <c r="E36" i="29" s="1"/>
  <c r="C21" i="29"/>
  <c r="D21" i="29" s="1"/>
  <c r="E21" i="29" s="1"/>
  <c r="C37" i="29"/>
  <c r="D37" i="29" s="1"/>
  <c r="E37" i="29" s="1"/>
  <c r="C6" i="29"/>
  <c r="D6" i="29" s="1"/>
  <c r="E6" i="29" s="1"/>
  <c r="C22" i="29"/>
  <c r="D22" i="29" s="1"/>
  <c r="E22" i="29" s="1"/>
  <c r="C38" i="29"/>
  <c r="D38" i="29" s="1"/>
  <c r="E38" i="29" s="1"/>
  <c r="C8" i="29"/>
  <c r="D8" i="29" s="1"/>
  <c r="E8" i="29" s="1"/>
  <c r="C24" i="29"/>
  <c r="D24" i="29" s="1"/>
  <c r="E24" i="29" s="1"/>
  <c r="C40" i="29"/>
  <c r="D40" i="29" s="1"/>
  <c r="E40" i="29" s="1"/>
  <c r="C25" i="29"/>
  <c r="D25" i="29" s="1"/>
  <c r="E25" i="29" s="1"/>
  <c r="C3" i="28"/>
  <c r="D3" i="28" s="1"/>
  <c r="E3" i="28" s="1"/>
  <c r="C16" i="28"/>
  <c r="D16" i="28" s="1"/>
  <c r="E16" i="28" s="1"/>
  <c r="C21" i="28"/>
  <c r="D21" i="28" s="1"/>
  <c r="E21" i="28" s="1"/>
  <c r="C20" i="28"/>
  <c r="D20" i="28" s="1"/>
  <c r="E20" i="28" s="1"/>
  <c r="C24" i="28"/>
  <c r="D24" i="28" s="1"/>
  <c r="E24" i="28" s="1"/>
  <c r="C25" i="28"/>
  <c r="D25" i="28" s="1"/>
  <c r="E25" i="28" s="1"/>
  <c r="C29" i="28"/>
  <c r="D29" i="28" s="1"/>
  <c r="E29" i="28" s="1"/>
  <c r="C37" i="28"/>
  <c r="D37" i="28" s="1"/>
  <c r="E37" i="28" s="1"/>
  <c r="C8" i="28"/>
  <c r="D8" i="28" s="1"/>
  <c r="E8" i="28" s="1"/>
  <c r="C12" i="28"/>
  <c r="D12" i="28" s="1"/>
  <c r="E12" i="28" s="1"/>
  <c r="C33" i="28"/>
  <c r="D33" i="28" s="1"/>
  <c r="E33" i="28" s="1"/>
  <c r="C9" i="28"/>
  <c r="D9" i="28" s="1"/>
  <c r="E9" i="28" s="1"/>
  <c r="C13" i="28"/>
  <c r="D13" i="28" s="1"/>
  <c r="E13" i="28" s="1"/>
  <c r="C17" i="28"/>
  <c r="D17" i="28" s="1"/>
  <c r="E17" i="28" s="1"/>
  <c r="C33" i="27"/>
  <c r="D33" i="27" s="1"/>
  <c r="E33" i="27" s="1"/>
  <c r="C10" i="27"/>
  <c r="D10" i="27" s="1"/>
  <c r="E10" i="27" s="1"/>
  <c r="C9" i="27"/>
  <c r="D9" i="27" s="1"/>
  <c r="E9" i="27" s="1"/>
  <c r="C34" i="27"/>
  <c r="D34" i="27" s="1"/>
  <c r="E34" i="27" s="1"/>
  <c r="C13" i="27"/>
  <c r="D13" i="27" s="1"/>
  <c r="E13" i="27" s="1"/>
  <c r="C37" i="27"/>
  <c r="D37" i="27" s="1"/>
  <c r="E37" i="27" s="1"/>
  <c r="C14" i="27"/>
  <c r="D14" i="27" s="1"/>
  <c r="E14" i="27" s="1"/>
  <c r="C38" i="27"/>
  <c r="D38" i="27" s="1"/>
  <c r="E38" i="27" s="1"/>
  <c r="C17" i="27"/>
  <c r="D17" i="27" s="1"/>
  <c r="E17" i="27" s="1"/>
  <c r="C18" i="27"/>
  <c r="D18" i="27" s="1"/>
  <c r="E18" i="27" s="1"/>
  <c r="C21" i="27"/>
  <c r="D21" i="27" s="1"/>
  <c r="E21" i="27" s="1"/>
  <c r="C22" i="27"/>
  <c r="D22" i="27" s="1"/>
  <c r="E22" i="27" s="1"/>
  <c r="C25" i="27"/>
  <c r="D25" i="27" s="1"/>
  <c r="E25" i="27" s="1"/>
  <c r="C26" i="27"/>
  <c r="D26" i="27" s="1"/>
  <c r="E26" i="27" s="1"/>
  <c r="C4" i="27"/>
  <c r="D4" i="27" s="1"/>
  <c r="E4" i="27" s="1"/>
  <c r="C29" i="27"/>
  <c r="D29" i="27" s="1"/>
  <c r="E29" i="27" s="1"/>
  <c r="C6" i="27"/>
  <c r="D6" i="27" s="1"/>
  <c r="E6" i="27" s="1"/>
  <c r="C30" i="27"/>
  <c r="D30" i="27" s="1"/>
  <c r="E30" i="27" s="1"/>
  <c r="C9" i="26"/>
  <c r="D9" i="26" s="1"/>
  <c r="E9" i="26" s="1"/>
  <c r="C13" i="26"/>
  <c r="D13" i="26" s="1"/>
  <c r="E13" i="26" s="1"/>
  <c r="C17" i="26"/>
  <c r="D17" i="26" s="1"/>
  <c r="E17" i="26" s="1"/>
  <c r="C21" i="26"/>
  <c r="D21" i="26" s="1"/>
  <c r="E21" i="26" s="1"/>
  <c r="C25" i="26"/>
  <c r="D25" i="26" s="1"/>
  <c r="E25" i="26" s="1"/>
  <c r="C29" i="26"/>
  <c r="D29" i="26" s="1"/>
  <c r="E29" i="26" s="1"/>
  <c r="C33" i="26"/>
  <c r="D33" i="26" s="1"/>
  <c r="E33" i="26" s="1"/>
  <c r="C37" i="26"/>
  <c r="D37" i="26" s="1"/>
  <c r="E37" i="26" s="1"/>
  <c r="C1" i="26"/>
  <c r="D1" i="26" s="1"/>
  <c r="E1" i="26" s="1"/>
  <c r="C2" i="25"/>
  <c r="D2" i="25" s="1"/>
  <c r="E2" i="25" s="1"/>
  <c r="C9" i="25"/>
  <c r="D9" i="25" s="1"/>
  <c r="E9" i="25" s="1"/>
  <c r="C13" i="25"/>
  <c r="D13" i="25" s="1"/>
  <c r="E13" i="25" s="1"/>
  <c r="C17" i="25"/>
  <c r="D17" i="25" s="1"/>
  <c r="E17" i="25" s="1"/>
  <c r="C21" i="25"/>
  <c r="D21" i="25" s="1"/>
  <c r="E21" i="25" s="1"/>
  <c r="C25" i="25"/>
  <c r="D25" i="25" s="1"/>
  <c r="E25" i="25" s="1"/>
  <c r="C29" i="25"/>
  <c r="D29" i="25" s="1"/>
  <c r="E29" i="25" s="1"/>
  <c r="C33" i="25"/>
  <c r="D33" i="25" s="1"/>
  <c r="E33" i="25" s="1"/>
  <c r="C37" i="25"/>
  <c r="D37" i="25" s="1"/>
  <c r="E37" i="25" s="1"/>
  <c r="C12" i="24"/>
  <c r="D12" i="24" s="1"/>
  <c r="E12" i="24" s="1"/>
  <c r="C20" i="24"/>
  <c r="D20" i="24" s="1"/>
  <c r="E20" i="24" s="1"/>
  <c r="C9" i="24"/>
  <c r="D9" i="24" s="1"/>
  <c r="E9" i="24" s="1"/>
  <c r="C25" i="24"/>
  <c r="D25" i="24" s="1"/>
  <c r="E25" i="24" s="1"/>
  <c r="C28" i="24"/>
  <c r="D28" i="24" s="1"/>
  <c r="E28" i="24" s="1"/>
  <c r="C36" i="24"/>
  <c r="D36" i="24" s="1"/>
  <c r="E36" i="24" s="1"/>
  <c r="C10" i="24"/>
  <c r="D10" i="24" s="1"/>
  <c r="E10" i="24" s="1"/>
  <c r="C26" i="24"/>
  <c r="D26" i="24" s="1"/>
  <c r="E26" i="24" s="1"/>
  <c r="C13" i="24"/>
  <c r="D13" i="24" s="1"/>
  <c r="E13" i="24" s="1"/>
  <c r="C29" i="24"/>
  <c r="D29" i="24" s="1"/>
  <c r="E29" i="24" s="1"/>
  <c r="C14" i="24"/>
  <c r="D14" i="24" s="1"/>
  <c r="E14" i="24" s="1"/>
  <c r="C30" i="24"/>
  <c r="D30" i="24" s="1"/>
  <c r="E30" i="24" s="1"/>
  <c r="C16" i="24"/>
  <c r="D16" i="24" s="1"/>
  <c r="E16" i="24" s="1"/>
  <c r="C32" i="24"/>
  <c r="D32" i="24" s="1"/>
  <c r="E32" i="24" s="1"/>
  <c r="C17" i="24"/>
  <c r="D17" i="24" s="1"/>
  <c r="E17" i="24" s="1"/>
  <c r="C33" i="24"/>
  <c r="D33" i="24" s="1"/>
  <c r="E33" i="24" s="1"/>
  <c r="C18" i="24"/>
  <c r="D18" i="24" s="1"/>
  <c r="E18" i="24" s="1"/>
  <c r="C34" i="24"/>
  <c r="D34" i="24" s="1"/>
  <c r="E34" i="24" s="1"/>
  <c r="C21" i="24"/>
  <c r="D21" i="24" s="1"/>
  <c r="E21" i="24" s="1"/>
  <c r="C37" i="24"/>
  <c r="D37" i="24" s="1"/>
  <c r="E37" i="24" s="1"/>
  <c r="C6" i="24"/>
  <c r="D6" i="24" s="1"/>
  <c r="E6" i="24" s="1"/>
  <c r="C22" i="24"/>
  <c r="D22" i="24" s="1"/>
  <c r="E22" i="24" s="1"/>
  <c r="C38" i="24"/>
  <c r="D38" i="24" s="1"/>
  <c r="E38" i="24" s="1"/>
  <c r="C8" i="24"/>
  <c r="D8" i="24" s="1"/>
  <c r="E8" i="24" s="1"/>
  <c r="C24" i="24"/>
  <c r="D24" i="24" s="1"/>
  <c r="E24" i="24" s="1"/>
  <c r="C40" i="24"/>
  <c r="D40" i="24" s="1"/>
  <c r="E40" i="24" s="1"/>
  <c r="C9" i="23"/>
  <c r="D9" i="23" s="1"/>
  <c r="E9" i="23" s="1"/>
  <c r="C13" i="23"/>
  <c r="D13" i="23" s="1"/>
  <c r="E13" i="23" s="1"/>
  <c r="C17" i="23"/>
  <c r="D17" i="23" s="1"/>
  <c r="E17" i="23" s="1"/>
  <c r="C21" i="23"/>
  <c r="D21" i="23" s="1"/>
  <c r="E21" i="23" s="1"/>
  <c r="C33" i="23"/>
  <c r="D33" i="23" s="1"/>
  <c r="E33" i="23" s="1"/>
  <c r="C37" i="23"/>
  <c r="D37" i="23" s="1"/>
  <c r="E37" i="23" s="1"/>
  <c r="C25" i="23"/>
  <c r="D25" i="23" s="1"/>
  <c r="E25" i="23" s="1"/>
  <c r="C29" i="23"/>
  <c r="D29" i="23" s="1"/>
  <c r="E29" i="23" s="1"/>
  <c r="C21" i="22"/>
  <c r="D21" i="22" s="1"/>
  <c r="E21" i="22" s="1"/>
  <c r="C2" i="22"/>
  <c r="D2" i="22" s="1"/>
  <c r="E2" i="22" s="1"/>
  <c r="C17" i="22"/>
  <c r="D17" i="22" s="1"/>
  <c r="E17" i="22" s="1"/>
  <c r="C18" i="22"/>
  <c r="D18" i="22" s="1"/>
  <c r="E18" i="22" s="1"/>
  <c r="C22" i="22"/>
  <c r="D22" i="22" s="1"/>
  <c r="E22" i="22" s="1"/>
  <c r="C25" i="22"/>
  <c r="D25" i="22" s="1"/>
  <c r="E25" i="22" s="1"/>
  <c r="C3" i="22"/>
  <c r="D3" i="22" s="1"/>
  <c r="E3" i="22" s="1"/>
  <c r="C26" i="22"/>
  <c r="D26" i="22" s="1"/>
  <c r="E26" i="22" s="1"/>
  <c r="C29" i="22"/>
  <c r="D29" i="22" s="1"/>
  <c r="E29" i="22" s="1"/>
  <c r="C6" i="22"/>
  <c r="D6" i="22" s="1"/>
  <c r="E6" i="22" s="1"/>
  <c r="C30" i="22"/>
  <c r="D30" i="22" s="1"/>
  <c r="E30" i="22" s="1"/>
  <c r="C9" i="22"/>
  <c r="D9" i="22" s="1"/>
  <c r="E9" i="22" s="1"/>
  <c r="C33" i="22"/>
  <c r="D33" i="22" s="1"/>
  <c r="E33" i="22" s="1"/>
  <c r="C10" i="22"/>
  <c r="D10" i="22" s="1"/>
  <c r="E10" i="22" s="1"/>
  <c r="C34" i="22"/>
  <c r="D34" i="22" s="1"/>
  <c r="E34" i="22" s="1"/>
  <c r="C13" i="22"/>
  <c r="D13" i="22" s="1"/>
  <c r="E13" i="22" s="1"/>
  <c r="C37" i="22"/>
  <c r="D37" i="22" s="1"/>
  <c r="E37" i="22" s="1"/>
  <c r="C14" i="22"/>
  <c r="D14" i="22" s="1"/>
  <c r="E14" i="22" s="1"/>
  <c r="C38" i="22"/>
  <c r="D38" i="22" s="1"/>
  <c r="E38" i="22" s="1"/>
  <c r="C33" i="21"/>
  <c r="D33" i="21" s="1"/>
  <c r="E33" i="21" s="1"/>
  <c r="C40" i="21"/>
  <c r="D40" i="21" s="1"/>
  <c r="E40" i="21" s="1"/>
  <c r="C36" i="21"/>
  <c r="D36" i="21" s="1"/>
  <c r="E36" i="21" s="1"/>
  <c r="C9" i="21"/>
  <c r="D9" i="21" s="1"/>
  <c r="E9" i="21" s="1"/>
  <c r="C12" i="21"/>
  <c r="D12" i="21" s="1"/>
  <c r="E12" i="21" s="1"/>
  <c r="C16" i="21"/>
  <c r="D16" i="21" s="1"/>
  <c r="E16" i="21" s="1"/>
  <c r="C21" i="21"/>
  <c r="D21" i="21" s="1"/>
  <c r="E21" i="21" s="1"/>
  <c r="C13" i="21"/>
  <c r="D13" i="21" s="1"/>
  <c r="E13" i="21" s="1"/>
  <c r="C37" i="21"/>
  <c r="D37" i="21" s="1"/>
  <c r="E37" i="21" s="1"/>
  <c r="C17" i="21"/>
  <c r="D17" i="21" s="1"/>
  <c r="E17" i="21" s="1"/>
  <c r="C20" i="21"/>
  <c r="D20" i="21" s="1"/>
  <c r="E20" i="21" s="1"/>
  <c r="C24" i="21"/>
  <c r="D24" i="21" s="1"/>
  <c r="E24" i="21" s="1"/>
  <c r="C25" i="21"/>
  <c r="D25" i="21" s="1"/>
  <c r="E25" i="21" s="1"/>
  <c r="C28" i="21"/>
  <c r="D28" i="21" s="1"/>
  <c r="E28" i="21" s="1"/>
  <c r="C29" i="21"/>
  <c r="D29" i="21" s="1"/>
  <c r="E29" i="21" s="1"/>
  <c r="C8" i="21"/>
  <c r="D8" i="21" s="1"/>
  <c r="E8" i="21" s="1"/>
  <c r="C32" i="21"/>
  <c r="D32" i="21" s="1"/>
  <c r="E32" i="21" s="1"/>
  <c r="C9" i="20"/>
  <c r="D9" i="20" s="1"/>
  <c r="E9" i="20" s="1"/>
  <c r="C13" i="20"/>
  <c r="D13" i="20" s="1"/>
  <c r="E13" i="20" s="1"/>
  <c r="C17" i="20"/>
  <c r="D17" i="20" s="1"/>
  <c r="E17" i="20" s="1"/>
  <c r="C21" i="20"/>
  <c r="D21" i="20" s="1"/>
  <c r="E21" i="20" s="1"/>
  <c r="C25" i="20"/>
  <c r="D25" i="20" s="1"/>
  <c r="E25" i="20" s="1"/>
  <c r="C29" i="20"/>
  <c r="D29" i="20" s="1"/>
  <c r="E29" i="20" s="1"/>
  <c r="C33" i="20"/>
  <c r="D33" i="20" s="1"/>
  <c r="E33" i="20" s="1"/>
  <c r="C37" i="20"/>
  <c r="D37" i="20" s="1"/>
  <c r="E37" i="20" s="1"/>
  <c r="C1" i="20"/>
  <c r="D1" i="20" s="1"/>
  <c r="E1" i="20" s="1"/>
  <c r="C3" i="20"/>
  <c r="D3" i="20" s="1"/>
  <c r="E3" i="20" s="1"/>
  <c r="C6" i="19"/>
  <c r="D6" i="19" s="1"/>
  <c r="E6" i="19" s="1"/>
  <c r="C9" i="19"/>
  <c r="D9" i="19" s="1"/>
  <c r="E9" i="19" s="1"/>
  <c r="C18" i="19"/>
  <c r="D18" i="19" s="1"/>
  <c r="E18" i="19" s="1"/>
  <c r="C21" i="19"/>
  <c r="D21" i="19" s="1"/>
  <c r="E21" i="19" s="1"/>
  <c r="C30" i="19"/>
  <c r="D30" i="19" s="1"/>
  <c r="E30" i="19" s="1"/>
  <c r="C33" i="19"/>
  <c r="D33" i="19" s="1"/>
  <c r="E33" i="19" s="1"/>
  <c r="C8" i="19"/>
  <c r="D8" i="19" s="1"/>
  <c r="E8" i="19" s="1"/>
  <c r="C20" i="19"/>
  <c r="D20" i="19" s="1"/>
  <c r="E20" i="19" s="1"/>
  <c r="C32" i="19"/>
  <c r="D32" i="19" s="1"/>
  <c r="E32" i="19" s="1"/>
  <c r="C10" i="19"/>
  <c r="D10" i="19" s="1"/>
  <c r="E10" i="19" s="1"/>
  <c r="C22" i="19"/>
  <c r="D22" i="19" s="1"/>
  <c r="E22" i="19" s="1"/>
  <c r="C34" i="19"/>
  <c r="D34" i="19" s="1"/>
  <c r="E34" i="19" s="1"/>
  <c r="C12" i="19"/>
  <c r="D12" i="19" s="1"/>
  <c r="E12" i="19" s="1"/>
  <c r="C24" i="19"/>
  <c r="D24" i="19" s="1"/>
  <c r="E24" i="19" s="1"/>
  <c r="C36" i="19"/>
  <c r="D36" i="19" s="1"/>
  <c r="E36" i="19" s="1"/>
  <c r="C13" i="19"/>
  <c r="D13" i="19" s="1"/>
  <c r="E13" i="19" s="1"/>
  <c r="C25" i="19"/>
  <c r="D25" i="19" s="1"/>
  <c r="E25" i="19" s="1"/>
  <c r="C37" i="19"/>
  <c r="D37" i="19" s="1"/>
  <c r="E37" i="19" s="1"/>
  <c r="C14" i="19"/>
  <c r="D14" i="19" s="1"/>
  <c r="E14" i="19" s="1"/>
  <c r="C26" i="19"/>
  <c r="D26" i="19" s="1"/>
  <c r="E26" i="19" s="1"/>
  <c r="C38" i="19"/>
  <c r="D38" i="19" s="1"/>
  <c r="E38" i="19" s="1"/>
  <c r="C2" i="19"/>
  <c r="D2" i="19" s="1"/>
  <c r="E2" i="19" s="1"/>
  <c r="C3" i="19"/>
  <c r="D3" i="19" s="1"/>
  <c r="E3" i="19" s="1"/>
  <c r="C16" i="19"/>
  <c r="D16" i="19" s="1"/>
  <c r="E16" i="19" s="1"/>
  <c r="C28" i="19"/>
  <c r="D28" i="19" s="1"/>
  <c r="E28" i="19" s="1"/>
  <c r="C40" i="19"/>
  <c r="D40" i="19" s="1"/>
  <c r="E40" i="19" s="1"/>
  <c r="C17" i="19"/>
  <c r="D17" i="19" s="1"/>
  <c r="E17" i="19" s="1"/>
  <c r="C29" i="19"/>
  <c r="D29" i="19" s="1"/>
  <c r="E29" i="19" s="1"/>
  <c r="C4" i="18"/>
  <c r="D4" i="18" s="1"/>
  <c r="E4" i="18" s="1"/>
  <c r="C17" i="18"/>
  <c r="D17" i="18" s="1"/>
  <c r="E17" i="18" s="1"/>
  <c r="C21" i="18"/>
  <c r="D21" i="18" s="1"/>
  <c r="E21" i="18" s="1"/>
  <c r="C26" i="18"/>
  <c r="D26" i="18" s="1"/>
  <c r="E26" i="18" s="1"/>
  <c r="C11" i="18"/>
  <c r="D11" i="18" s="1"/>
  <c r="E11" i="18" s="1"/>
  <c r="C23" i="18"/>
  <c r="D23" i="18" s="1"/>
  <c r="E23" i="18" s="1"/>
  <c r="C29" i="18"/>
  <c r="D29" i="18" s="1"/>
  <c r="E29" i="18" s="1"/>
  <c r="C33" i="18"/>
  <c r="D33" i="18" s="1"/>
  <c r="E33" i="18" s="1"/>
  <c r="C1" i="18"/>
  <c r="D1" i="18" s="1"/>
  <c r="E1" i="18" s="1"/>
  <c r="C30" i="18"/>
  <c r="D30" i="18" s="1"/>
  <c r="E30" i="18" s="1"/>
  <c r="C6" i="18"/>
  <c r="D6" i="18" s="1"/>
  <c r="E6" i="18" s="1"/>
  <c r="C35" i="18"/>
  <c r="D35" i="18" s="1"/>
  <c r="E35" i="18" s="1"/>
  <c r="C9" i="18"/>
  <c r="D9" i="18" s="1"/>
  <c r="E9" i="18" s="1"/>
  <c r="C38" i="18"/>
  <c r="D38" i="18" s="1"/>
  <c r="E38" i="18" s="1"/>
  <c r="C14" i="18"/>
  <c r="D14" i="18" s="1"/>
  <c r="E14" i="18" s="1"/>
  <c r="C18" i="18"/>
  <c r="D18" i="18" s="1"/>
  <c r="E18" i="18" s="1"/>
  <c r="C10" i="18"/>
  <c r="D10" i="18" s="1"/>
  <c r="E10" i="18" s="1"/>
  <c r="C22" i="18"/>
  <c r="D22" i="18" s="1"/>
  <c r="E22" i="18" s="1"/>
  <c r="C34" i="18"/>
  <c r="D34" i="18" s="1"/>
  <c r="E34" i="18" s="1"/>
  <c r="C12" i="18"/>
  <c r="D12" i="18" s="1"/>
  <c r="E12" i="18" s="1"/>
  <c r="C24" i="18"/>
  <c r="D24" i="18" s="1"/>
  <c r="E24" i="18" s="1"/>
  <c r="C36" i="18"/>
  <c r="D36" i="18" s="1"/>
  <c r="E36" i="18" s="1"/>
  <c r="C13" i="18"/>
  <c r="D13" i="18" s="1"/>
  <c r="E13" i="18" s="1"/>
  <c r="C25" i="18"/>
  <c r="D25" i="18" s="1"/>
  <c r="E25" i="18" s="1"/>
  <c r="C37" i="18"/>
  <c r="D37" i="18" s="1"/>
  <c r="E37" i="18" s="1"/>
  <c r="C3" i="18"/>
  <c r="D3" i="18" s="1"/>
  <c r="E3" i="18" s="1"/>
  <c r="C15" i="18"/>
  <c r="D15" i="18" s="1"/>
  <c r="E15" i="18" s="1"/>
  <c r="C27" i="18"/>
  <c r="D27" i="18" s="1"/>
  <c r="E27" i="18" s="1"/>
  <c r="C39" i="18"/>
  <c r="D39" i="18" s="1"/>
  <c r="E39" i="18" s="1"/>
  <c r="C16" i="18"/>
  <c r="D16" i="18" s="1"/>
  <c r="E16" i="18" s="1"/>
  <c r="C28" i="18"/>
  <c r="D28" i="18" s="1"/>
  <c r="E28" i="18" s="1"/>
  <c r="C40" i="18"/>
  <c r="D40" i="18" s="1"/>
  <c r="E40" i="18" s="1"/>
  <c r="C7" i="18"/>
  <c r="D7" i="18" s="1"/>
  <c r="E7" i="18" s="1"/>
  <c r="C19" i="18"/>
  <c r="D19" i="18" s="1"/>
  <c r="E19" i="18" s="1"/>
  <c r="C31" i="18"/>
  <c r="D31" i="18" s="1"/>
  <c r="E31" i="18" s="1"/>
  <c r="C8" i="18"/>
  <c r="D8" i="18" s="1"/>
  <c r="E8" i="18" s="1"/>
  <c r="C20" i="18"/>
  <c r="D20" i="18" s="1"/>
  <c r="E20" i="18" s="1"/>
  <c r="C32" i="18"/>
  <c r="D32" i="18" s="1"/>
  <c r="E32" i="18" s="1"/>
  <c r="C25" i="17"/>
  <c r="D25" i="17" s="1"/>
  <c r="E25" i="17" s="1"/>
  <c r="C7" i="17"/>
  <c r="D7" i="17" s="1"/>
  <c r="E7" i="17" s="1"/>
  <c r="C31" i="17"/>
  <c r="D31" i="17" s="1"/>
  <c r="E31" i="17" s="1"/>
  <c r="C9" i="17"/>
  <c r="D9" i="17" s="1"/>
  <c r="E9" i="17" s="1"/>
  <c r="C33" i="17"/>
  <c r="D33" i="17" s="1"/>
  <c r="E33" i="17" s="1"/>
  <c r="C11" i="17"/>
  <c r="D11" i="17" s="1"/>
  <c r="E11" i="17" s="1"/>
  <c r="C35" i="17"/>
  <c r="D35" i="17" s="1"/>
  <c r="E35" i="17" s="1"/>
  <c r="C13" i="17"/>
  <c r="D13" i="17" s="1"/>
  <c r="E13" i="17" s="1"/>
  <c r="C37" i="17"/>
  <c r="D37" i="17" s="1"/>
  <c r="E37" i="17" s="1"/>
  <c r="C15" i="17"/>
  <c r="D15" i="17" s="1"/>
  <c r="E15" i="17" s="1"/>
  <c r="C39" i="17"/>
  <c r="D39" i="17" s="1"/>
  <c r="E39" i="17" s="1"/>
  <c r="C17" i="17"/>
  <c r="D17" i="17" s="1"/>
  <c r="E17" i="17" s="1"/>
  <c r="C19" i="17"/>
  <c r="D19" i="17" s="1"/>
  <c r="E19" i="17" s="1"/>
  <c r="C21" i="17"/>
  <c r="D21" i="17" s="1"/>
  <c r="E21" i="17" s="1"/>
  <c r="C23" i="17"/>
  <c r="D23" i="17" s="1"/>
  <c r="E23" i="17" s="1"/>
  <c r="C1" i="17"/>
  <c r="D1" i="17" s="1"/>
  <c r="E1" i="17" s="1"/>
  <c r="C27" i="17"/>
  <c r="D27" i="17" s="1"/>
  <c r="E27" i="17" s="1"/>
  <c r="C29" i="17"/>
  <c r="D29" i="17" s="1"/>
  <c r="E29" i="17" s="1"/>
  <c r="C12" i="16"/>
  <c r="D12" i="16" s="1"/>
  <c r="E12" i="16" s="1"/>
  <c r="C28" i="16"/>
  <c r="D28" i="16" s="1"/>
  <c r="E28" i="16" s="1"/>
  <c r="C13" i="16"/>
  <c r="D13" i="16" s="1"/>
  <c r="E13" i="16" s="1"/>
  <c r="C29" i="16"/>
  <c r="D29" i="16" s="1"/>
  <c r="E29" i="16" s="1"/>
  <c r="C14" i="16"/>
  <c r="D14" i="16" s="1"/>
  <c r="E14" i="16" s="1"/>
  <c r="C30" i="16"/>
  <c r="D30" i="16" s="1"/>
  <c r="E30" i="16" s="1"/>
  <c r="C16" i="16"/>
  <c r="D16" i="16" s="1"/>
  <c r="E16" i="16" s="1"/>
  <c r="C32" i="16"/>
  <c r="D32" i="16" s="1"/>
  <c r="E32" i="16" s="1"/>
  <c r="C17" i="16"/>
  <c r="D17" i="16" s="1"/>
  <c r="E17" i="16" s="1"/>
  <c r="C33" i="16"/>
  <c r="D33" i="16" s="1"/>
  <c r="E33" i="16" s="1"/>
  <c r="C18" i="16"/>
  <c r="D18" i="16" s="1"/>
  <c r="E18" i="16" s="1"/>
  <c r="C34" i="16"/>
  <c r="D34" i="16" s="1"/>
  <c r="E34" i="16" s="1"/>
  <c r="C3" i="16"/>
  <c r="D3" i="16" s="1"/>
  <c r="E3" i="16" s="1"/>
  <c r="C20" i="16"/>
  <c r="D20" i="16" s="1"/>
  <c r="E20" i="16" s="1"/>
  <c r="C36" i="16"/>
  <c r="D36" i="16" s="1"/>
  <c r="E36" i="16" s="1"/>
  <c r="C21" i="16"/>
  <c r="D21" i="16" s="1"/>
  <c r="E21" i="16" s="1"/>
  <c r="C37" i="16"/>
  <c r="D37" i="16" s="1"/>
  <c r="E37" i="16" s="1"/>
  <c r="C6" i="16"/>
  <c r="D6" i="16" s="1"/>
  <c r="E6" i="16" s="1"/>
  <c r="C22" i="16"/>
  <c r="D22" i="16" s="1"/>
  <c r="E22" i="16" s="1"/>
  <c r="C38" i="16"/>
  <c r="D38" i="16" s="1"/>
  <c r="E38" i="16" s="1"/>
  <c r="C8" i="16"/>
  <c r="D8" i="16" s="1"/>
  <c r="E8" i="16" s="1"/>
  <c r="C24" i="16"/>
  <c r="D24" i="16" s="1"/>
  <c r="E24" i="16" s="1"/>
  <c r="C40" i="16"/>
  <c r="D40" i="16" s="1"/>
  <c r="E40" i="16" s="1"/>
  <c r="C9" i="16"/>
  <c r="D9" i="16" s="1"/>
  <c r="E9" i="16" s="1"/>
  <c r="C25" i="16"/>
  <c r="D25" i="16" s="1"/>
  <c r="E25" i="16" s="1"/>
  <c r="C10" i="16"/>
  <c r="D10" i="16" s="1"/>
  <c r="E10" i="16" s="1"/>
  <c r="C26" i="16"/>
  <c r="D26" i="16" s="1"/>
  <c r="E26" i="16" s="1"/>
  <c r="C9" i="15"/>
  <c r="D9" i="15" s="1"/>
  <c r="E9" i="15" s="1"/>
  <c r="C15" i="15"/>
  <c r="D15" i="15" s="1"/>
  <c r="E15" i="15" s="1"/>
  <c r="C23" i="15"/>
  <c r="D23" i="15" s="1"/>
  <c r="E23" i="15" s="1"/>
  <c r="C29" i="15"/>
  <c r="D29" i="15" s="1"/>
  <c r="E29" i="15" s="1"/>
  <c r="C33" i="15"/>
  <c r="D33" i="15" s="1"/>
  <c r="E33" i="15" s="1"/>
  <c r="C1" i="15"/>
  <c r="D1" i="15" s="1"/>
  <c r="E1" i="15" s="1"/>
  <c r="C39" i="15"/>
  <c r="D39" i="15" s="1"/>
  <c r="E39" i="15" s="1"/>
  <c r="C4" i="15"/>
  <c r="D4" i="15" s="1"/>
  <c r="E4" i="15" s="1"/>
  <c r="C7" i="15"/>
  <c r="D7" i="15" s="1"/>
  <c r="E7" i="15" s="1"/>
  <c r="C31" i="15"/>
  <c r="D31" i="15" s="1"/>
  <c r="E31" i="15" s="1"/>
  <c r="C11" i="15"/>
  <c r="D11" i="15" s="1"/>
  <c r="E11" i="15" s="1"/>
  <c r="C35" i="15"/>
  <c r="D35" i="15" s="1"/>
  <c r="E35" i="15" s="1"/>
  <c r="C13" i="15"/>
  <c r="D13" i="15" s="1"/>
  <c r="E13" i="15" s="1"/>
  <c r="C37" i="15"/>
  <c r="D37" i="15" s="1"/>
  <c r="E37" i="15" s="1"/>
  <c r="C17" i="15"/>
  <c r="D17" i="15" s="1"/>
  <c r="E17" i="15" s="1"/>
  <c r="C19" i="15"/>
  <c r="D19" i="15" s="1"/>
  <c r="E19" i="15" s="1"/>
  <c r="C21" i="15"/>
  <c r="D21" i="15" s="1"/>
  <c r="E21" i="15" s="1"/>
  <c r="C3" i="15"/>
  <c r="D3" i="15" s="1"/>
  <c r="E3" i="15" s="1"/>
  <c r="C25" i="15"/>
  <c r="D25" i="15" s="1"/>
  <c r="E25" i="15" s="1"/>
  <c r="C27" i="15"/>
  <c r="D27" i="15" s="1"/>
  <c r="E27" i="15" s="1"/>
  <c r="C4" i="14"/>
  <c r="D4" i="14" s="1"/>
  <c r="E4" i="14" s="1"/>
  <c r="C9" i="14"/>
  <c r="D9" i="14" s="1"/>
  <c r="E9" i="14" s="1"/>
  <c r="C13" i="14"/>
  <c r="D13" i="14" s="1"/>
  <c r="E13" i="14" s="1"/>
  <c r="C17" i="14"/>
  <c r="D17" i="14" s="1"/>
  <c r="E17" i="14" s="1"/>
  <c r="C21" i="14"/>
  <c r="D21" i="14" s="1"/>
  <c r="E21" i="14" s="1"/>
  <c r="C25" i="14"/>
  <c r="D25" i="14" s="1"/>
  <c r="E25" i="14" s="1"/>
  <c r="C29" i="14"/>
  <c r="D29" i="14" s="1"/>
  <c r="E29" i="14" s="1"/>
  <c r="C33" i="14"/>
  <c r="D33" i="14" s="1"/>
  <c r="E33" i="14" s="1"/>
  <c r="C37" i="14"/>
  <c r="D37" i="14" s="1"/>
  <c r="E37" i="14" s="1"/>
  <c r="C2" i="14"/>
  <c r="D2" i="14" s="1"/>
  <c r="E2" i="14" s="1"/>
  <c r="C9" i="13"/>
  <c r="D9" i="13" s="1"/>
  <c r="E9" i="13" s="1"/>
  <c r="C13" i="13"/>
  <c r="D13" i="13" s="1"/>
  <c r="E13" i="13" s="1"/>
  <c r="C17" i="13"/>
  <c r="D17" i="13" s="1"/>
  <c r="E17" i="13" s="1"/>
  <c r="C21" i="13"/>
  <c r="D21" i="13" s="1"/>
  <c r="E21" i="13" s="1"/>
  <c r="C25" i="13"/>
  <c r="D25" i="13" s="1"/>
  <c r="E25" i="13" s="1"/>
  <c r="C29" i="13"/>
  <c r="D29" i="13" s="1"/>
  <c r="E29" i="13" s="1"/>
  <c r="C33" i="13"/>
  <c r="D33" i="13" s="1"/>
  <c r="E33" i="13" s="1"/>
  <c r="C37" i="13"/>
  <c r="D37" i="13" s="1"/>
  <c r="E37" i="13" s="1"/>
  <c r="C2" i="13"/>
  <c r="D2" i="13" s="1"/>
  <c r="E2" i="13" s="1"/>
  <c r="C3" i="13"/>
  <c r="D3" i="13" s="1"/>
  <c r="E3" i="13" s="1"/>
  <c r="C10" i="12"/>
  <c r="D10" i="12" s="1"/>
  <c r="E10" i="12" s="1"/>
  <c r="C40" i="12"/>
  <c r="D40" i="12" s="1"/>
  <c r="E40" i="12" s="1"/>
  <c r="C5" i="12"/>
  <c r="D5" i="12" s="1"/>
  <c r="E5" i="12" s="1"/>
  <c r="C22" i="12"/>
  <c r="D22" i="12" s="1"/>
  <c r="E22" i="12" s="1"/>
  <c r="C16" i="12"/>
  <c r="D16" i="12" s="1"/>
  <c r="E16" i="12" s="1"/>
  <c r="C12" i="12"/>
  <c r="D12" i="12" s="1"/>
  <c r="E12" i="12" s="1"/>
  <c r="C20" i="12"/>
  <c r="D20" i="12" s="1"/>
  <c r="E20" i="12" s="1"/>
  <c r="C28" i="12"/>
  <c r="D28" i="12" s="1"/>
  <c r="E28" i="12" s="1"/>
  <c r="C32" i="12"/>
  <c r="D32" i="12" s="1"/>
  <c r="E32" i="12" s="1"/>
  <c r="C34" i="12"/>
  <c r="D34" i="12" s="1"/>
  <c r="E34" i="12" s="1"/>
  <c r="C8" i="12"/>
  <c r="D8" i="12" s="1"/>
  <c r="E8" i="12" s="1"/>
  <c r="C9" i="12"/>
  <c r="D9" i="12" s="1"/>
  <c r="E9" i="12" s="1"/>
  <c r="C21" i="12"/>
  <c r="D21" i="12" s="1"/>
  <c r="E21" i="12" s="1"/>
  <c r="C33" i="12"/>
  <c r="D33" i="12" s="1"/>
  <c r="E33" i="12" s="1"/>
  <c r="C1" i="12"/>
  <c r="D1" i="12" s="1"/>
  <c r="E1" i="12" s="1"/>
  <c r="C11" i="12"/>
  <c r="D11" i="12" s="1"/>
  <c r="E11" i="12" s="1"/>
  <c r="C23" i="12"/>
  <c r="D23" i="12" s="1"/>
  <c r="E23" i="12" s="1"/>
  <c r="C35" i="12"/>
  <c r="D35" i="12" s="1"/>
  <c r="E35" i="12" s="1"/>
  <c r="C24" i="12"/>
  <c r="D24" i="12" s="1"/>
  <c r="E24" i="12" s="1"/>
  <c r="C36" i="12"/>
  <c r="D36" i="12" s="1"/>
  <c r="E36" i="12" s="1"/>
  <c r="C13" i="12"/>
  <c r="D13" i="12" s="1"/>
  <c r="E13" i="12" s="1"/>
  <c r="C25" i="12"/>
  <c r="D25" i="12" s="1"/>
  <c r="E25" i="12" s="1"/>
  <c r="C37" i="12"/>
  <c r="D37" i="12" s="1"/>
  <c r="E37" i="12" s="1"/>
  <c r="C3" i="12"/>
  <c r="D3" i="12" s="1"/>
  <c r="E3" i="12" s="1"/>
  <c r="C14" i="12"/>
  <c r="D14" i="12" s="1"/>
  <c r="E14" i="12" s="1"/>
  <c r="C26" i="12"/>
  <c r="D26" i="12" s="1"/>
  <c r="E26" i="12" s="1"/>
  <c r="C38" i="12"/>
  <c r="D38" i="12" s="1"/>
  <c r="E38" i="12" s="1"/>
  <c r="C15" i="12"/>
  <c r="D15" i="12" s="1"/>
  <c r="E15" i="12" s="1"/>
  <c r="C27" i="12"/>
  <c r="D27" i="12" s="1"/>
  <c r="E27" i="12" s="1"/>
  <c r="C39" i="12"/>
  <c r="D39" i="12" s="1"/>
  <c r="E39" i="12" s="1"/>
  <c r="C17" i="12"/>
  <c r="D17" i="12" s="1"/>
  <c r="E17" i="12" s="1"/>
  <c r="C29" i="12"/>
  <c r="D29" i="12" s="1"/>
  <c r="E29" i="12" s="1"/>
  <c r="C6" i="12"/>
  <c r="D6" i="12" s="1"/>
  <c r="E6" i="12" s="1"/>
  <c r="C18" i="12"/>
  <c r="D18" i="12" s="1"/>
  <c r="E18" i="12" s="1"/>
  <c r="C30" i="12"/>
  <c r="D30" i="12" s="1"/>
  <c r="E30" i="12" s="1"/>
  <c r="C7" i="12"/>
  <c r="D7" i="12" s="1"/>
  <c r="E7" i="12" s="1"/>
  <c r="C19" i="12"/>
  <c r="D19" i="12" s="1"/>
  <c r="E19" i="12" s="1"/>
  <c r="C31" i="12"/>
  <c r="D31" i="12" s="1"/>
  <c r="E31" i="12" s="1"/>
  <c r="C29" i="11"/>
  <c r="D29" i="11" s="1"/>
  <c r="E29" i="11" s="1"/>
  <c r="C33" i="11"/>
  <c r="D33" i="11" s="1"/>
  <c r="E33" i="11" s="1"/>
  <c r="C37" i="11"/>
  <c r="D37" i="11" s="1"/>
  <c r="E37" i="11" s="1"/>
  <c r="C9" i="11"/>
  <c r="D9" i="11" s="1"/>
  <c r="E9" i="11" s="1"/>
  <c r="C13" i="11"/>
  <c r="D13" i="11" s="1"/>
  <c r="E13" i="11" s="1"/>
  <c r="C17" i="11"/>
  <c r="D17" i="11" s="1"/>
  <c r="E17" i="11" s="1"/>
  <c r="C21" i="11"/>
  <c r="D21" i="11" s="1"/>
  <c r="E21" i="11" s="1"/>
  <c r="C25" i="11"/>
  <c r="D25" i="11" s="1"/>
  <c r="E25" i="11" s="1"/>
  <c r="C7" i="10"/>
  <c r="D7" i="10" s="1"/>
  <c r="E7" i="10" s="1"/>
  <c r="C31" i="10"/>
  <c r="D31" i="10" s="1"/>
  <c r="E31" i="10" s="1"/>
  <c r="C9" i="10"/>
  <c r="D9" i="10" s="1"/>
  <c r="E9" i="10" s="1"/>
  <c r="C33" i="10"/>
  <c r="D33" i="10" s="1"/>
  <c r="E33" i="10" s="1"/>
  <c r="C11" i="10"/>
  <c r="D11" i="10" s="1"/>
  <c r="E11" i="10" s="1"/>
  <c r="C35" i="10"/>
  <c r="D35" i="10" s="1"/>
  <c r="E35" i="10" s="1"/>
  <c r="C13" i="10"/>
  <c r="D13" i="10" s="1"/>
  <c r="E13" i="10" s="1"/>
  <c r="C37" i="10"/>
  <c r="D37" i="10" s="1"/>
  <c r="E37" i="10" s="1"/>
  <c r="C15" i="10"/>
  <c r="D15" i="10" s="1"/>
  <c r="E15" i="10" s="1"/>
  <c r="C39" i="10"/>
  <c r="D39" i="10" s="1"/>
  <c r="E39" i="10" s="1"/>
  <c r="C17" i="10"/>
  <c r="D17" i="10" s="1"/>
  <c r="E17" i="10" s="1"/>
  <c r="C19" i="10"/>
  <c r="D19" i="10" s="1"/>
  <c r="E19" i="10" s="1"/>
  <c r="C29" i="10"/>
  <c r="D29" i="10" s="1"/>
  <c r="E29" i="10" s="1"/>
  <c r="C21" i="10"/>
  <c r="D21" i="10" s="1"/>
  <c r="E21" i="10" s="1"/>
  <c r="C23" i="10"/>
  <c r="D23" i="10" s="1"/>
  <c r="E23" i="10" s="1"/>
  <c r="C25" i="10"/>
  <c r="D25" i="10" s="1"/>
  <c r="E25" i="10" s="1"/>
  <c r="C1" i="10"/>
  <c r="D1" i="10" s="1"/>
  <c r="E1" i="10" s="1"/>
  <c r="C27" i="10"/>
  <c r="D27" i="10" s="1"/>
  <c r="E27" i="10" s="1"/>
  <c r="C9" i="9"/>
  <c r="D9" i="9" s="1"/>
  <c r="E9" i="9" s="1"/>
  <c r="C17" i="9"/>
  <c r="D17" i="9" s="1"/>
  <c r="E17" i="9" s="1"/>
  <c r="C21" i="9"/>
  <c r="D21" i="9" s="1"/>
  <c r="E21" i="9" s="1"/>
  <c r="C13" i="9"/>
  <c r="D13" i="9" s="1"/>
  <c r="E13" i="9" s="1"/>
  <c r="C25" i="9"/>
  <c r="D25" i="9" s="1"/>
  <c r="E25" i="9" s="1"/>
  <c r="C29" i="9"/>
  <c r="D29" i="9" s="1"/>
  <c r="E29" i="9" s="1"/>
  <c r="C33" i="9"/>
  <c r="D33" i="9" s="1"/>
  <c r="E33" i="9" s="1"/>
  <c r="C37" i="9"/>
  <c r="D37" i="9" s="1"/>
  <c r="E37" i="9" s="1"/>
  <c r="C10" i="8"/>
  <c r="D10" i="8" s="1"/>
  <c r="E10" i="8" s="1"/>
  <c r="C30" i="8"/>
  <c r="D30" i="8" s="1"/>
  <c r="E30" i="8" s="1"/>
  <c r="C6" i="8"/>
  <c r="D6" i="8" s="1"/>
  <c r="E6" i="8" s="1"/>
  <c r="C34" i="8"/>
  <c r="D34" i="8" s="1"/>
  <c r="E34" i="8" s="1"/>
  <c r="C18" i="8"/>
  <c r="D18" i="8" s="1"/>
  <c r="E18" i="8" s="1"/>
  <c r="C22" i="8"/>
  <c r="D22" i="8" s="1"/>
  <c r="E22" i="8" s="1"/>
  <c r="C13" i="8"/>
  <c r="D13" i="8" s="1"/>
  <c r="E13" i="8" s="1"/>
  <c r="C37" i="8"/>
  <c r="D37" i="8" s="1"/>
  <c r="E37" i="8" s="1"/>
  <c r="C14" i="8"/>
  <c r="D14" i="8" s="1"/>
  <c r="E14" i="8" s="1"/>
  <c r="C38" i="8"/>
  <c r="D38" i="8" s="1"/>
  <c r="E38" i="8" s="1"/>
  <c r="C17" i="8"/>
  <c r="D17" i="8" s="1"/>
  <c r="E17" i="8" s="1"/>
  <c r="C21" i="8"/>
  <c r="D21" i="8" s="1"/>
  <c r="E21" i="8" s="1"/>
  <c r="C25" i="8"/>
  <c r="D25" i="8" s="1"/>
  <c r="E25" i="8" s="1"/>
  <c r="C26" i="8"/>
  <c r="D26" i="8" s="1"/>
  <c r="E26" i="8" s="1"/>
  <c r="C29" i="8"/>
  <c r="D29" i="8" s="1"/>
  <c r="E29" i="8" s="1"/>
  <c r="C9" i="8"/>
  <c r="D9" i="8" s="1"/>
  <c r="E9" i="8" s="1"/>
  <c r="C33" i="8"/>
  <c r="D33" i="8" s="1"/>
  <c r="E33" i="8" s="1"/>
  <c r="C29" i="7"/>
  <c r="D29" i="7" s="1"/>
  <c r="E29" i="7" s="1"/>
  <c r="C6" i="7"/>
  <c r="D6" i="7" s="1"/>
  <c r="E6" i="7" s="1"/>
  <c r="C18" i="7"/>
  <c r="D18" i="7" s="1"/>
  <c r="E18" i="7" s="1"/>
  <c r="C30" i="7"/>
  <c r="D30" i="7" s="1"/>
  <c r="E30" i="7" s="1"/>
  <c r="C8" i="7"/>
  <c r="D8" i="7" s="1"/>
  <c r="E8" i="7" s="1"/>
  <c r="C20" i="7"/>
  <c r="D20" i="7" s="1"/>
  <c r="E20" i="7" s="1"/>
  <c r="C32" i="7"/>
  <c r="D32" i="7" s="1"/>
  <c r="E32" i="7" s="1"/>
  <c r="C9" i="7"/>
  <c r="D9" i="7" s="1"/>
  <c r="E9" i="7" s="1"/>
  <c r="C21" i="7"/>
  <c r="D21" i="7" s="1"/>
  <c r="E21" i="7" s="1"/>
  <c r="C33" i="7"/>
  <c r="D33" i="7" s="1"/>
  <c r="E33" i="7" s="1"/>
  <c r="C10" i="7"/>
  <c r="D10" i="7" s="1"/>
  <c r="E10" i="7" s="1"/>
  <c r="C22" i="7"/>
  <c r="D22" i="7" s="1"/>
  <c r="E22" i="7" s="1"/>
  <c r="C36" i="7"/>
  <c r="D36" i="7" s="1"/>
  <c r="E36" i="7" s="1"/>
  <c r="C17" i="7"/>
  <c r="D17" i="7" s="1"/>
  <c r="E17" i="7" s="1"/>
  <c r="C37" i="7"/>
  <c r="D37" i="7" s="1"/>
  <c r="E37" i="7" s="1"/>
  <c r="C12" i="7"/>
  <c r="D12" i="7" s="1"/>
  <c r="E12" i="7" s="1"/>
  <c r="C24" i="7"/>
  <c r="D24" i="7" s="1"/>
  <c r="E24" i="7" s="1"/>
  <c r="C40" i="7"/>
  <c r="D40" i="7" s="1"/>
  <c r="E40" i="7" s="1"/>
  <c r="C13" i="7"/>
  <c r="D13" i="7" s="1"/>
  <c r="E13" i="7" s="1"/>
  <c r="C25" i="7"/>
  <c r="D25" i="7" s="1"/>
  <c r="E25" i="7" s="1"/>
  <c r="C14" i="7"/>
  <c r="D14" i="7" s="1"/>
  <c r="E14" i="7" s="1"/>
  <c r="C26" i="7"/>
  <c r="D26" i="7" s="1"/>
  <c r="E26" i="7" s="1"/>
  <c r="C3" i="7"/>
  <c r="D3" i="7" s="1"/>
  <c r="E3" i="7" s="1"/>
  <c r="C16" i="7"/>
  <c r="D16" i="7" s="1"/>
  <c r="E16" i="7" s="1"/>
  <c r="C28" i="7"/>
  <c r="D28" i="7" s="1"/>
  <c r="E28" i="7" s="1"/>
  <c r="C14" i="6"/>
  <c r="D14" i="6" s="1"/>
  <c r="E14" i="6" s="1"/>
  <c r="C26" i="6"/>
  <c r="D26" i="6" s="1"/>
  <c r="E26" i="6" s="1"/>
  <c r="C15" i="6"/>
  <c r="D15" i="6" s="1"/>
  <c r="E15" i="6" s="1"/>
  <c r="C27" i="6"/>
  <c r="D27" i="6" s="1"/>
  <c r="E27" i="6" s="1"/>
  <c r="C16" i="6"/>
  <c r="D16" i="6" s="1"/>
  <c r="E16" i="6" s="1"/>
  <c r="C28" i="6"/>
  <c r="D28" i="6" s="1"/>
  <c r="E28" i="6" s="1"/>
  <c r="C4" i="6"/>
  <c r="D4" i="6" s="1"/>
  <c r="E4" i="6" s="1"/>
  <c r="C17" i="6"/>
  <c r="D17" i="6" s="1"/>
  <c r="E17" i="6" s="1"/>
  <c r="C29" i="6"/>
  <c r="D29" i="6" s="1"/>
  <c r="E29" i="6" s="1"/>
  <c r="C6" i="6"/>
  <c r="D6" i="6" s="1"/>
  <c r="E6" i="6" s="1"/>
  <c r="C18" i="6"/>
  <c r="D18" i="6" s="1"/>
  <c r="E18" i="6" s="1"/>
  <c r="C30" i="6"/>
  <c r="D30" i="6" s="1"/>
  <c r="E30" i="6" s="1"/>
  <c r="C7" i="6"/>
  <c r="D7" i="6" s="1"/>
  <c r="E7" i="6" s="1"/>
  <c r="C19" i="6"/>
  <c r="D19" i="6" s="1"/>
  <c r="E19" i="6" s="1"/>
  <c r="C31" i="6"/>
  <c r="D31" i="6" s="1"/>
  <c r="E31" i="6" s="1"/>
  <c r="C8" i="6"/>
  <c r="D8" i="6" s="1"/>
  <c r="E8" i="6" s="1"/>
  <c r="C20" i="6"/>
  <c r="D20" i="6" s="1"/>
  <c r="E20" i="6" s="1"/>
  <c r="C32" i="6"/>
  <c r="D32" i="6" s="1"/>
  <c r="E32" i="6" s="1"/>
  <c r="C9" i="6"/>
  <c r="D9" i="6" s="1"/>
  <c r="E9" i="6" s="1"/>
  <c r="C21" i="6"/>
  <c r="D21" i="6" s="1"/>
  <c r="E21" i="6" s="1"/>
  <c r="C33" i="6"/>
  <c r="D33" i="6" s="1"/>
  <c r="E33" i="6" s="1"/>
  <c r="C10" i="6"/>
  <c r="D10" i="6" s="1"/>
  <c r="E10" i="6" s="1"/>
  <c r="C22" i="6"/>
  <c r="D22" i="6" s="1"/>
  <c r="E22" i="6" s="1"/>
  <c r="C34" i="6"/>
  <c r="D34" i="6" s="1"/>
  <c r="E34" i="6" s="1"/>
  <c r="C11" i="6"/>
  <c r="D11" i="6" s="1"/>
  <c r="E11" i="6" s="1"/>
  <c r="C23" i="6"/>
  <c r="D23" i="6" s="1"/>
  <c r="E23" i="6" s="1"/>
  <c r="C37" i="6"/>
  <c r="D37" i="6" s="1"/>
  <c r="E37" i="6" s="1"/>
  <c r="C12" i="6"/>
  <c r="D12" i="6" s="1"/>
  <c r="E12" i="6" s="1"/>
  <c r="C24" i="6"/>
  <c r="D24" i="6" s="1"/>
  <c r="E24" i="6" s="1"/>
  <c r="C38" i="6"/>
  <c r="D38" i="6" s="1"/>
  <c r="E38" i="6" s="1"/>
  <c r="C13" i="6"/>
  <c r="D13" i="6" s="1"/>
  <c r="E13" i="6" s="1"/>
  <c r="C25" i="6"/>
  <c r="D25" i="6" s="1"/>
  <c r="E25" i="6" s="1"/>
  <c r="C29" i="5"/>
  <c r="D29" i="5" s="1"/>
  <c r="E29" i="5" s="1"/>
  <c r="C33" i="5"/>
  <c r="D33" i="5" s="1"/>
  <c r="E33" i="5" s="1"/>
  <c r="C37" i="5"/>
  <c r="D37" i="5" s="1"/>
  <c r="E37" i="5" s="1"/>
  <c r="C2" i="5"/>
  <c r="D2" i="5" s="1"/>
  <c r="E2" i="5" s="1"/>
  <c r="C3" i="5"/>
  <c r="D3" i="5" s="1"/>
  <c r="E3" i="5" s="1"/>
  <c r="C9" i="5"/>
  <c r="D9" i="5" s="1"/>
  <c r="E9" i="5" s="1"/>
  <c r="C13" i="5"/>
  <c r="D13" i="5" s="1"/>
  <c r="E13" i="5" s="1"/>
  <c r="C17" i="5"/>
  <c r="D17" i="5" s="1"/>
  <c r="E17" i="5" s="1"/>
  <c r="C21" i="5"/>
  <c r="D21" i="5" s="1"/>
  <c r="E21" i="5" s="1"/>
  <c r="C25" i="5"/>
  <c r="D25" i="5" s="1"/>
  <c r="E25" i="5" s="1"/>
  <c r="C10" i="4"/>
  <c r="D10" i="4" s="1"/>
  <c r="E10" i="4" s="1"/>
  <c r="C26" i="4"/>
  <c r="D26" i="4" s="1"/>
  <c r="E26" i="4" s="1"/>
  <c r="C6" i="4"/>
  <c r="D6" i="4" s="1"/>
  <c r="E6" i="4" s="1"/>
  <c r="C22" i="4"/>
  <c r="D22" i="4" s="1"/>
  <c r="E22" i="4" s="1"/>
  <c r="C38" i="4"/>
  <c r="D38" i="4" s="1"/>
  <c r="E38" i="4" s="1"/>
  <c r="C9" i="4"/>
  <c r="D9" i="4" s="1"/>
  <c r="E9" i="4" s="1"/>
  <c r="C25" i="4"/>
  <c r="D25" i="4" s="1"/>
  <c r="E25" i="4" s="1"/>
  <c r="C13" i="4"/>
  <c r="D13" i="4" s="1"/>
  <c r="E13" i="4" s="1"/>
  <c r="C29" i="4"/>
  <c r="D29" i="4" s="1"/>
  <c r="E29" i="4" s="1"/>
  <c r="C14" i="4"/>
  <c r="D14" i="4" s="1"/>
  <c r="E14" i="4" s="1"/>
  <c r="C30" i="4"/>
  <c r="D30" i="4" s="1"/>
  <c r="E30" i="4" s="1"/>
  <c r="C3" i="4"/>
  <c r="D3" i="4" s="1"/>
  <c r="E3" i="4" s="1"/>
  <c r="C17" i="4"/>
  <c r="D17" i="4" s="1"/>
  <c r="E17" i="4" s="1"/>
  <c r="C33" i="4"/>
  <c r="D33" i="4" s="1"/>
  <c r="E33" i="4" s="1"/>
  <c r="C18" i="4"/>
  <c r="D18" i="4" s="1"/>
  <c r="E18" i="4" s="1"/>
  <c r="C34" i="4"/>
  <c r="D34" i="4" s="1"/>
  <c r="E34" i="4" s="1"/>
  <c r="C5" i="4"/>
  <c r="D5" i="4" s="1"/>
  <c r="E5" i="4" s="1"/>
  <c r="C21" i="4"/>
  <c r="D21" i="4" s="1"/>
  <c r="E21" i="4" s="1"/>
  <c r="C37" i="4"/>
  <c r="D37" i="4" s="1"/>
  <c r="E37" i="4" s="1"/>
  <c r="C4" i="3"/>
  <c r="D4" i="3" s="1"/>
  <c r="E4" i="3" s="1"/>
  <c r="C28" i="3"/>
  <c r="D28" i="3" s="1"/>
  <c r="E28" i="3" s="1"/>
  <c r="C6" i="3"/>
  <c r="D6" i="3" s="1"/>
  <c r="E6" i="3" s="1"/>
  <c r="C30" i="3"/>
  <c r="D30" i="3" s="1"/>
  <c r="E30" i="3" s="1"/>
  <c r="C8" i="3"/>
  <c r="D8" i="3" s="1"/>
  <c r="E8" i="3" s="1"/>
  <c r="C32" i="3"/>
  <c r="D32" i="3" s="1"/>
  <c r="E32" i="3" s="1"/>
  <c r="C9" i="3"/>
  <c r="D9" i="3" s="1"/>
  <c r="E9" i="3" s="1"/>
  <c r="C33" i="3"/>
  <c r="D33" i="3" s="1"/>
  <c r="E33" i="3" s="1"/>
  <c r="C12" i="3"/>
  <c r="D12" i="3" s="1"/>
  <c r="E12" i="3" s="1"/>
  <c r="C36" i="3"/>
  <c r="D36" i="3" s="1"/>
  <c r="E36" i="3" s="1"/>
  <c r="C14" i="3"/>
  <c r="D14" i="3" s="1"/>
  <c r="E14" i="3" s="1"/>
  <c r="C38" i="3"/>
  <c r="D38" i="3" s="1"/>
  <c r="E38" i="3" s="1"/>
  <c r="C16" i="3"/>
  <c r="D16" i="3" s="1"/>
  <c r="E16" i="3" s="1"/>
  <c r="C40" i="3"/>
  <c r="D40" i="3" s="1"/>
  <c r="E40" i="3" s="1"/>
  <c r="C17" i="3"/>
  <c r="D17" i="3" s="1"/>
  <c r="E17" i="3" s="1"/>
  <c r="C20" i="3"/>
  <c r="D20" i="3" s="1"/>
  <c r="E20" i="3" s="1"/>
  <c r="C25" i="3"/>
  <c r="D25" i="3" s="1"/>
  <c r="E25" i="3" s="1"/>
  <c r="C22" i="3"/>
  <c r="D22" i="3" s="1"/>
  <c r="E22" i="3" s="1"/>
  <c r="C3" i="3"/>
  <c r="D3" i="3" s="1"/>
  <c r="E3" i="3" s="1"/>
  <c r="C24" i="3"/>
  <c r="D24" i="3" s="1"/>
  <c r="E24" i="3" s="1"/>
  <c r="C18" i="3"/>
  <c r="D18" i="3" s="1"/>
  <c r="E18" i="3" s="1"/>
  <c r="C34" i="3"/>
  <c r="D34" i="3" s="1"/>
  <c r="E34" i="3" s="1"/>
  <c r="C21" i="3"/>
  <c r="D21" i="3" s="1"/>
  <c r="E21" i="3" s="1"/>
  <c r="C37" i="3"/>
  <c r="D37" i="3" s="1"/>
  <c r="E37" i="3" s="1"/>
  <c r="C10" i="3"/>
  <c r="D10" i="3" s="1"/>
  <c r="E10" i="3" s="1"/>
  <c r="C26" i="3"/>
  <c r="D26" i="3" s="1"/>
  <c r="E26" i="3" s="1"/>
  <c r="C13" i="3"/>
  <c r="D13" i="3" s="1"/>
  <c r="E13" i="3" s="1"/>
  <c r="C29" i="3"/>
  <c r="D29" i="3" s="1"/>
  <c r="E29" i="3" s="1"/>
  <c r="C14" i="2"/>
  <c r="D14" i="2" s="1"/>
  <c r="E14" i="2" s="1"/>
  <c r="C38" i="2"/>
  <c r="D38" i="2" s="1"/>
  <c r="E38" i="2" s="1"/>
  <c r="C16" i="2"/>
  <c r="D16" i="2" s="1"/>
  <c r="E16" i="2" s="1"/>
  <c r="C40" i="2"/>
  <c r="D40" i="2" s="1"/>
  <c r="E40" i="2" s="1"/>
  <c r="C21" i="2"/>
  <c r="D21" i="2" s="1"/>
  <c r="E21" i="2" s="1"/>
  <c r="C22" i="2"/>
  <c r="D22" i="2" s="1"/>
  <c r="E22" i="2" s="1"/>
  <c r="C24" i="2"/>
  <c r="D24" i="2" s="1"/>
  <c r="E24" i="2" s="1"/>
  <c r="C25" i="2"/>
  <c r="D25" i="2" s="1"/>
  <c r="E25" i="2" s="1"/>
  <c r="C1" i="2"/>
  <c r="D1" i="2" s="1"/>
  <c r="E1" i="2" s="1"/>
  <c r="C26" i="2"/>
  <c r="D26" i="2" s="1"/>
  <c r="E26" i="2" s="1"/>
  <c r="C28" i="2"/>
  <c r="D28" i="2" s="1"/>
  <c r="E28" i="2" s="1"/>
  <c r="C9" i="2"/>
  <c r="D9" i="2" s="1"/>
  <c r="E9" i="2" s="1"/>
  <c r="C33" i="2"/>
  <c r="D33" i="2" s="1"/>
  <c r="E33" i="2" s="1"/>
  <c r="C10" i="2"/>
  <c r="D10" i="2" s="1"/>
  <c r="E10" i="2" s="1"/>
  <c r="C34" i="2"/>
  <c r="D34" i="2" s="1"/>
  <c r="E34" i="2" s="1"/>
  <c r="C12" i="2"/>
  <c r="D12" i="2" s="1"/>
  <c r="E12" i="2" s="1"/>
  <c r="C36" i="2"/>
  <c r="D36" i="2" s="1"/>
  <c r="E36" i="2" s="1"/>
  <c r="C13" i="2"/>
  <c r="D13" i="2" s="1"/>
  <c r="E13" i="2" s="1"/>
  <c r="C37" i="2"/>
  <c r="D37" i="2" s="1"/>
  <c r="E37" i="2" s="1"/>
  <c r="C15" i="2"/>
  <c r="D15" i="2" s="1"/>
  <c r="E15" i="2" s="1"/>
  <c r="C27" i="2"/>
  <c r="D27" i="2" s="1"/>
  <c r="E27" i="2" s="1"/>
  <c r="C39" i="2"/>
  <c r="D39" i="2" s="1"/>
  <c r="E39" i="2" s="1"/>
  <c r="C17" i="2"/>
  <c r="D17" i="2" s="1"/>
  <c r="E17" i="2" s="1"/>
  <c r="C29" i="2"/>
  <c r="D29" i="2" s="1"/>
  <c r="E29" i="2" s="1"/>
  <c r="C6" i="2"/>
  <c r="D6" i="2" s="1"/>
  <c r="E6" i="2" s="1"/>
  <c r="C18" i="2"/>
  <c r="D18" i="2" s="1"/>
  <c r="E18" i="2" s="1"/>
  <c r="C30" i="2"/>
  <c r="D30" i="2" s="1"/>
  <c r="E30" i="2" s="1"/>
  <c r="C7" i="2"/>
  <c r="D7" i="2" s="1"/>
  <c r="E7" i="2" s="1"/>
  <c r="C19" i="2"/>
  <c r="D19" i="2" s="1"/>
  <c r="E19" i="2" s="1"/>
  <c r="C31" i="2"/>
  <c r="D31" i="2" s="1"/>
  <c r="E31" i="2" s="1"/>
  <c r="C8" i="2"/>
  <c r="D8" i="2" s="1"/>
  <c r="E8" i="2" s="1"/>
  <c r="C20" i="2"/>
  <c r="D20" i="2" s="1"/>
  <c r="E20" i="2" s="1"/>
  <c r="C32" i="2"/>
  <c r="D32" i="2" s="1"/>
  <c r="E32" i="2" s="1"/>
  <c r="C11" i="2"/>
  <c r="D11" i="2" s="1"/>
  <c r="E11" i="2" s="1"/>
  <c r="C23" i="2"/>
  <c r="D23" i="2" s="1"/>
  <c r="E23" i="2" s="1"/>
  <c r="C35" i="2"/>
  <c r="D35" i="2" s="1"/>
  <c r="E35" i="2" s="1"/>
  <c r="C26" i="32"/>
  <c r="D26" i="32" s="1"/>
  <c r="E26" i="32" s="1"/>
  <c r="C1" i="32"/>
  <c r="D1" i="32" s="1"/>
  <c r="E1" i="32" s="1"/>
  <c r="C14" i="32"/>
  <c r="D14" i="32" s="1"/>
  <c r="E14" i="32" s="1"/>
  <c r="C3" i="32"/>
  <c r="D3" i="32" s="1"/>
  <c r="E3" i="32" s="1"/>
  <c r="C15" i="32"/>
  <c r="D15" i="32" s="1"/>
  <c r="E15" i="32" s="1"/>
  <c r="C27" i="32"/>
  <c r="D27" i="32" s="1"/>
  <c r="E27" i="32" s="1"/>
  <c r="C16" i="32"/>
  <c r="D16" i="32" s="1"/>
  <c r="E16" i="32" s="1"/>
  <c r="C28" i="32"/>
  <c r="D28" i="32" s="1"/>
  <c r="E28" i="32" s="1"/>
  <c r="C4" i="32"/>
  <c r="D4" i="32" s="1"/>
  <c r="E4" i="32" s="1"/>
  <c r="C17" i="32"/>
  <c r="D17" i="32" s="1"/>
  <c r="E17" i="32" s="1"/>
  <c r="C29" i="32"/>
  <c r="D29" i="32" s="1"/>
  <c r="E29" i="32" s="1"/>
  <c r="C6" i="32"/>
  <c r="D6" i="32" s="1"/>
  <c r="E6" i="32" s="1"/>
  <c r="C18" i="32"/>
  <c r="D18" i="32" s="1"/>
  <c r="E18" i="32" s="1"/>
  <c r="C30" i="32"/>
  <c r="D30" i="32" s="1"/>
  <c r="E30" i="32" s="1"/>
  <c r="C7" i="32"/>
  <c r="D7" i="32" s="1"/>
  <c r="E7" i="32" s="1"/>
  <c r="C19" i="32"/>
  <c r="D19" i="32" s="1"/>
  <c r="E19" i="32" s="1"/>
  <c r="C31" i="32"/>
  <c r="D31" i="32" s="1"/>
  <c r="E31" i="32" s="1"/>
  <c r="C8" i="32"/>
  <c r="D8" i="32" s="1"/>
  <c r="E8" i="32" s="1"/>
  <c r="C20" i="32"/>
  <c r="D20" i="32" s="1"/>
  <c r="E20" i="32" s="1"/>
  <c r="C32" i="32"/>
  <c r="D32" i="32" s="1"/>
  <c r="E32" i="32" s="1"/>
  <c r="C9" i="32"/>
  <c r="D9" i="32" s="1"/>
  <c r="E9" i="32" s="1"/>
  <c r="C21" i="32"/>
  <c r="D21" i="32" s="1"/>
  <c r="E21" i="32" s="1"/>
  <c r="C33" i="32"/>
  <c r="D33" i="32" s="1"/>
  <c r="E33" i="32" s="1"/>
  <c r="C10" i="32"/>
  <c r="D10" i="32" s="1"/>
  <c r="E10" i="32" s="1"/>
  <c r="C22" i="32"/>
  <c r="D22" i="32" s="1"/>
  <c r="E22" i="32" s="1"/>
  <c r="C34" i="32"/>
  <c r="D34" i="32" s="1"/>
  <c r="E34" i="32" s="1"/>
  <c r="C11" i="32"/>
  <c r="D11" i="32" s="1"/>
  <c r="E11" i="32" s="1"/>
  <c r="C23" i="32"/>
  <c r="D23" i="32" s="1"/>
  <c r="E23" i="32" s="1"/>
  <c r="C36" i="32"/>
  <c r="D36" i="32" s="1"/>
  <c r="E36" i="32" s="1"/>
  <c r="C12" i="32"/>
  <c r="D12" i="32" s="1"/>
  <c r="E12" i="32" s="1"/>
  <c r="C24" i="32"/>
  <c r="D24" i="32" s="1"/>
  <c r="E24" i="32" s="1"/>
  <c r="C37" i="32"/>
  <c r="D37" i="32" s="1"/>
  <c r="E37" i="32" s="1"/>
  <c r="C13" i="32"/>
  <c r="D13" i="32" s="1"/>
  <c r="E13" i="32" s="1"/>
  <c r="C25" i="32"/>
  <c r="D25" i="32" s="1"/>
  <c r="E25" i="32" s="1"/>
  <c r="C38" i="32"/>
  <c r="D38" i="32" s="1"/>
  <c r="E38" i="32" s="1"/>
  <c r="C2" i="32"/>
  <c r="D2" i="32" s="1"/>
  <c r="E2" i="32" s="1"/>
  <c r="C35" i="32"/>
  <c r="D35" i="32" s="1"/>
  <c r="E35" i="32" s="1"/>
  <c r="C39" i="32"/>
  <c r="D39" i="32" s="1"/>
  <c r="E39" i="32" s="1"/>
  <c r="C40" i="32"/>
  <c r="D40" i="32" s="1"/>
  <c r="E40" i="32" s="1"/>
  <c r="C2" i="31"/>
  <c r="D2" i="31" s="1"/>
  <c r="E2" i="31" s="1"/>
  <c r="C3" i="31"/>
  <c r="D3" i="31" s="1"/>
  <c r="E3" i="31" s="1"/>
  <c r="C7" i="31"/>
  <c r="D7" i="31" s="1"/>
  <c r="E7" i="31" s="1"/>
  <c r="C11" i="31"/>
  <c r="D11" i="31" s="1"/>
  <c r="E11" i="31" s="1"/>
  <c r="C15" i="31"/>
  <c r="D15" i="31" s="1"/>
  <c r="E15" i="31" s="1"/>
  <c r="C19" i="31"/>
  <c r="D19" i="31" s="1"/>
  <c r="E19" i="31" s="1"/>
  <c r="C23" i="31"/>
  <c r="D23" i="31" s="1"/>
  <c r="E23" i="31" s="1"/>
  <c r="C27" i="31"/>
  <c r="D27" i="31" s="1"/>
  <c r="E27" i="31" s="1"/>
  <c r="C31" i="31"/>
  <c r="D31" i="31" s="1"/>
  <c r="E31" i="31" s="1"/>
  <c r="C35" i="31"/>
  <c r="D35" i="31" s="1"/>
  <c r="E35" i="31" s="1"/>
  <c r="C39" i="31"/>
  <c r="D39" i="31" s="1"/>
  <c r="E39" i="31" s="1"/>
  <c r="C4" i="31"/>
  <c r="D4" i="31" s="1"/>
  <c r="E4" i="31" s="1"/>
  <c r="C8" i="31"/>
  <c r="D8" i="31" s="1"/>
  <c r="E8" i="31" s="1"/>
  <c r="C12" i="31"/>
  <c r="D12" i="31" s="1"/>
  <c r="E12" i="31" s="1"/>
  <c r="C16" i="31"/>
  <c r="D16" i="31" s="1"/>
  <c r="E16" i="31" s="1"/>
  <c r="C20" i="31"/>
  <c r="D20" i="31" s="1"/>
  <c r="E20" i="31" s="1"/>
  <c r="C24" i="31"/>
  <c r="D24" i="31" s="1"/>
  <c r="E24" i="31" s="1"/>
  <c r="C28" i="31"/>
  <c r="D28" i="31" s="1"/>
  <c r="E28" i="31" s="1"/>
  <c r="C32" i="31"/>
  <c r="D32" i="31" s="1"/>
  <c r="E32" i="31" s="1"/>
  <c r="C36" i="31"/>
  <c r="D36" i="31" s="1"/>
  <c r="E36" i="31" s="1"/>
  <c r="C40" i="31"/>
  <c r="D40" i="31" s="1"/>
  <c r="E40" i="31" s="1"/>
  <c r="C1" i="31"/>
  <c r="D1" i="31" s="1"/>
  <c r="E1" i="31" s="1"/>
  <c r="C2" i="30"/>
  <c r="D2" i="30" s="1"/>
  <c r="E2" i="30" s="1"/>
  <c r="C3" i="30"/>
  <c r="D3" i="30" s="1"/>
  <c r="E3" i="30" s="1"/>
  <c r="C7" i="30"/>
  <c r="D7" i="30" s="1"/>
  <c r="E7" i="30" s="1"/>
  <c r="C11" i="30"/>
  <c r="D11" i="30" s="1"/>
  <c r="E11" i="30" s="1"/>
  <c r="C15" i="30"/>
  <c r="D15" i="30" s="1"/>
  <c r="E15" i="30" s="1"/>
  <c r="C19" i="30"/>
  <c r="D19" i="30" s="1"/>
  <c r="E19" i="30" s="1"/>
  <c r="C23" i="30"/>
  <c r="D23" i="30" s="1"/>
  <c r="E23" i="30" s="1"/>
  <c r="C27" i="30"/>
  <c r="D27" i="30" s="1"/>
  <c r="E27" i="30" s="1"/>
  <c r="C31" i="30"/>
  <c r="D31" i="30" s="1"/>
  <c r="E31" i="30" s="1"/>
  <c r="C35" i="30"/>
  <c r="D35" i="30" s="1"/>
  <c r="E35" i="30" s="1"/>
  <c r="C39" i="30"/>
  <c r="D39" i="30" s="1"/>
  <c r="E39" i="30" s="1"/>
  <c r="C4" i="30"/>
  <c r="D4" i="30" s="1"/>
  <c r="E4" i="30" s="1"/>
  <c r="C8" i="30"/>
  <c r="D8" i="30" s="1"/>
  <c r="E8" i="30" s="1"/>
  <c r="C12" i="30"/>
  <c r="D12" i="30" s="1"/>
  <c r="E12" i="30" s="1"/>
  <c r="C16" i="30"/>
  <c r="D16" i="30" s="1"/>
  <c r="E16" i="30" s="1"/>
  <c r="C20" i="30"/>
  <c r="D20" i="30" s="1"/>
  <c r="E20" i="30" s="1"/>
  <c r="C24" i="30"/>
  <c r="D24" i="30" s="1"/>
  <c r="E24" i="30" s="1"/>
  <c r="C28" i="30"/>
  <c r="D28" i="30" s="1"/>
  <c r="E28" i="30" s="1"/>
  <c r="C32" i="30"/>
  <c r="D32" i="30" s="1"/>
  <c r="E32" i="30" s="1"/>
  <c r="C36" i="30"/>
  <c r="D36" i="30" s="1"/>
  <c r="E36" i="30" s="1"/>
  <c r="C40" i="30"/>
  <c r="D40" i="30" s="1"/>
  <c r="E40" i="30" s="1"/>
  <c r="C1" i="30"/>
  <c r="D1" i="30" s="1"/>
  <c r="E1" i="30" s="1"/>
  <c r="C2" i="29"/>
  <c r="D2" i="29" s="1"/>
  <c r="E2" i="29" s="1"/>
  <c r="C7" i="29"/>
  <c r="D7" i="29" s="1"/>
  <c r="E7" i="29" s="1"/>
  <c r="C11" i="29"/>
  <c r="D11" i="29" s="1"/>
  <c r="E11" i="29" s="1"/>
  <c r="C15" i="29"/>
  <c r="D15" i="29" s="1"/>
  <c r="E15" i="29" s="1"/>
  <c r="C19" i="29"/>
  <c r="D19" i="29" s="1"/>
  <c r="E19" i="29" s="1"/>
  <c r="C23" i="29"/>
  <c r="D23" i="29" s="1"/>
  <c r="E23" i="29" s="1"/>
  <c r="C27" i="29"/>
  <c r="D27" i="29" s="1"/>
  <c r="E27" i="29" s="1"/>
  <c r="C31" i="29"/>
  <c r="D31" i="29" s="1"/>
  <c r="E31" i="29" s="1"/>
  <c r="C35" i="29"/>
  <c r="D35" i="29" s="1"/>
  <c r="E35" i="29" s="1"/>
  <c r="C39" i="29"/>
  <c r="D39" i="29" s="1"/>
  <c r="E39" i="29" s="1"/>
  <c r="C4" i="29"/>
  <c r="D4" i="29" s="1"/>
  <c r="E4" i="29" s="1"/>
  <c r="C1" i="29"/>
  <c r="D1" i="29" s="1"/>
  <c r="E1" i="29" s="1"/>
  <c r="C2" i="28"/>
  <c r="D2" i="28" s="1"/>
  <c r="E2" i="28" s="1"/>
  <c r="C6" i="28"/>
  <c r="D6" i="28" s="1"/>
  <c r="E6" i="28" s="1"/>
  <c r="C10" i="28"/>
  <c r="D10" i="28" s="1"/>
  <c r="E10" i="28" s="1"/>
  <c r="C14" i="28"/>
  <c r="D14" i="28" s="1"/>
  <c r="E14" i="28" s="1"/>
  <c r="C18" i="28"/>
  <c r="D18" i="28" s="1"/>
  <c r="E18" i="28" s="1"/>
  <c r="C22" i="28"/>
  <c r="D22" i="28" s="1"/>
  <c r="E22" i="28" s="1"/>
  <c r="C26" i="28"/>
  <c r="D26" i="28" s="1"/>
  <c r="E26" i="28" s="1"/>
  <c r="C30" i="28"/>
  <c r="D30" i="28" s="1"/>
  <c r="E30" i="28" s="1"/>
  <c r="C34" i="28"/>
  <c r="D34" i="28" s="1"/>
  <c r="E34" i="28" s="1"/>
  <c r="C38" i="28"/>
  <c r="D38" i="28" s="1"/>
  <c r="E38" i="28" s="1"/>
  <c r="C7" i="28"/>
  <c r="D7" i="28" s="1"/>
  <c r="E7" i="28" s="1"/>
  <c r="C11" i="28"/>
  <c r="D11" i="28" s="1"/>
  <c r="E11" i="28" s="1"/>
  <c r="C15" i="28"/>
  <c r="D15" i="28" s="1"/>
  <c r="E15" i="28" s="1"/>
  <c r="C19" i="28"/>
  <c r="D19" i="28" s="1"/>
  <c r="E19" i="28" s="1"/>
  <c r="C23" i="28"/>
  <c r="D23" i="28" s="1"/>
  <c r="E23" i="28" s="1"/>
  <c r="C27" i="28"/>
  <c r="D27" i="28" s="1"/>
  <c r="E27" i="28" s="1"/>
  <c r="C31" i="28"/>
  <c r="D31" i="28" s="1"/>
  <c r="E31" i="28" s="1"/>
  <c r="C35" i="28"/>
  <c r="D35" i="28" s="1"/>
  <c r="E35" i="28" s="1"/>
  <c r="C39" i="28"/>
  <c r="D39" i="28" s="1"/>
  <c r="E39" i="28" s="1"/>
  <c r="C4" i="28"/>
  <c r="D4" i="28" s="1"/>
  <c r="E4" i="28" s="1"/>
  <c r="C28" i="28"/>
  <c r="D28" i="28" s="1"/>
  <c r="E28" i="28" s="1"/>
  <c r="C32" i="28"/>
  <c r="D32" i="28" s="1"/>
  <c r="E32" i="28" s="1"/>
  <c r="C36" i="28"/>
  <c r="D36" i="28" s="1"/>
  <c r="E36" i="28" s="1"/>
  <c r="C40" i="28"/>
  <c r="D40" i="28" s="1"/>
  <c r="E40" i="28" s="1"/>
  <c r="C1" i="28"/>
  <c r="D1" i="28" s="1"/>
  <c r="E1" i="28" s="1"/>
  <c r="C2" i="27"/>
  <c r="D2" i="27" s="1"/>
  <c r="E2" i="27" s="1"/>
  <c r="C3" i="27"/>
  <c r="D3" i="27" s="1"/>
  <c r="E3" i="27" s="1"/>
  <c r="C7" i="27"/>
  <c r="D7" i="27" s="1"/>
  <c r="E7" i="27" s="1"/>
  <c r="C11" i="27"/>
  <c r="D11" i="27" s="1"/>
  <c r="E11" i="27" s="1"/>
  <c r="C15" i="27"/>
  <c r="D15" i="27" s="1"/>
  <c r="E15" i="27" s="1"/>
  <c r="C19" i="27"/>
  <c r="D19" i="27" s="1"/>
  <c r="E19" i="27" s="1"/>
  <c r="C23" i="27"/>
  <c r="D23" i="27" s="1"/>
  <c r="E23" i="27" s="1"/>
  <c r="C27" i="27"/>
  <c r="D27" i="27" s="1"/>
  <c r="E27" i="27" s="1"/>
  <c r="C31" i="27"/>
  <c r="D31" i="27" s="1"/>
  <c r="E31" i="27" s="1"/>
  <c r="C35" i="27"/>
  <c r="D35" i="27" s="1"/>
  <c r="E35" i="27" s="1"/>
  <c r="C39" i="27"/>
  <c r="D39" i="27" s="1"/>
  <c r="E39" i="27" s="1"/>
  <c r="C8" i="27"/>
  <c r="D8" i="27" s="1"/>
  <c r="E8" i="27" s="1"/>
  <c r="C12" i="27"/>
  <c r="D12" i="27" s="1"/>
  <c r="E12" i="27" s="1"/>
  <c r="C16" i="27"/>
  <c r="D16" i="27" s="1"/>
  <c r="E16" i="27" s="1"/>
  <c r="C20" i="27"/>
  <c r="D20" i="27" s="1"/>
  <c r="E20" i="27" s="1"/>
  <c r="C24" i="27"/>
  <c r="D24" i="27" s="1"/>
  <c r="E24" i="27" s="1"/>
  <c r="C28" i="27"/>
  <c r="D28" i="27" s="1"/>
  <c r="E28" i="27" s="1"/>
  <c r="C32" i="27"/>
  <c r="D32" i="27" s="1"/>
  <c r="E32" i="27" s="1"/>
  <c r="C36" i="27"/>
  <c r="D36" i="27" s="1"/>
  <c r="E36" i="27" s="1"/>
  <c r="C40" i="27"/>
  <c r="D40" i="27" s="1"/>
  <c r="E40" i="27" s="1"/>
  <c r="C1" i="27"/>
  <c r="D1" i="27" s="1"/>
  <c r="E1" i="27" s="1"/>
  <c r="C2" i="26"/>
  <c r="D2" i="26" s="1"/>
  <c r="E2" i="26" s="1"/>
  <c r="C6" i="26"/>
  <c r="D6" i="26" s="1"/>
  <c r="E6" i="26" s="1"/>
  <c r="C10" i="26"/>
  <c r="D10" i="26" s="1"/>
  <c r="E10" i="26" s="1"/>
  <c r="C14" i="26"/>
  <c r="D14" i="26" s="1"/>
  <c r="E14" i="26" s="1"/>
  <c r="C18" i="26"/>
  <c r="D18" i="26" s="1"/>
  <c r="E18" i="26" s="1"/>
  <c r="C22" i="26"/>
  <c r="D22" i="26" s="1"/>
  <c r="E22" i="26" s="1"/>
  <c r="C26" i="26"/>
  <c r="D26" i="26" s="1"/>
  <c r="E26" i="26" s="1"/>
  <c r="C30" i="26"/>
  <c r="D30" i="26" s="1"/>
  <c r="E30" i="26" s="1"/>
  <c r="C34" i="26"/>
  <c r="D34" i="26" s="1"/>
  <c r="E34" i="26" s="1"/>
  <c r="C38" i="26"/>
  <c r="D38" i="26" s="1"/>
  <c r="E38" i="26" s="1"/>
  <c r="C3" i="26"/>
  <c r="D3" i="26" s="1"/>
  <c r="E3" i="26" s="1"/>
  <c r="C7" i="26"/>
  <c r="D7" i="26" s="1"/>
  <c r="E7" i="26" s="1"/>
  <c r="C11" i="26"/>
  <c r="D11" i="26" s="1"/>
  <c r="E11" i="26" s="1"/>
  <c r="C15" i="26"/>
  <c r="D15" i="26" s="1"/>
  <c r="E15" i="26" s="1"/>
  <c r="C19" i="26"/>
  <c r="D19" i="26" s="1"/>
  <c r="E19" i="26" s="1"/>
  <c r="C23" i="26"/>
  <c r="D23" i="26" s="1"/>
  <c r="E23" i="26" s="1"/>
  <c r="C27" i="26"/>
  <c r="D27" i="26" s="1"/>
  <c r="E27" i="26" s="1"/>
  <c r="C31" i="26"/>
  <c r="D31" i="26" s="1"/>
  <c r="E31" i="26" s="1"/>
  <c r="C35" i="26"/>
  <c r="D35" i="26" s="1"/>
  <c r="E35" i="26" s="1"/>
  <c r="C39" i="26"/>
  <c r="D39" i="26" s="1"/>
  <c r="E39" i="26" s="1"/>
  <c r="C4" i="26"/>
  <c r="D4" i="26" s="1"/>
  <c r="E4" i="26" s="1"/>
  <c r="C8" i="26"/>
  <c r="D8" i="26" s="1"/>
  <c r="E8" i="26" s="1"/>
  <c r="C12" i="26"/>
  <c r="D12" i="26" s="1"/>
  <c r="E12" i="26" s="1"/>
  <c r="C16" i="26"/>
  <c r="D16" i="26" s="1"/>
  <c r="E16" i="26" s="1"/>
  <c r="C20" i="26"/>
  <c r="D20" i="26" s="1"/>
  <c r="E20" i="26" s="1"/>
  <c r="C24" i="26"/>
  <c r="D24" i="26" s="1"/>
  <c r="E24" i="26" s="1"/>
  <c r="C28" i="26"/>
  <c r="D28" i="26" s="1"/>
  <c r="E28" i="26" s="1"/>
  <c r="C32" i="26"/>
  <c r="D32" i="26" s="1"/>
  <c r="E32" i="26" s="1"/>
  <c r="C36" i="26"/>
  <c r="D36" i="26" s="1"/>
  <c r="E36" i="26" s="1"/>
  <c r="C40" i="26"/>
  <c r="D40" i="26" s="1"/>
  <c r="E40" i="26" s="1"/>
  <c r="C6" i="25"/>
  <c r="D6" i="25" s="1"/>
  <c r="E6" i="25" s="1"/>
  <c r="C10" i="25"/>
  <c r="D10" i="25" s="1"/>
  <c r="E10" i="25" s="1"/>
  <c r="C14" i="25"/>
  <c r="D14" i="25" s="1"/>
  <c r="E14" i="25" s="1"/>
  <c r="C18" i="25"/>
  <c r="D18" i="25" s="1"/>
  <c r="E18" i="25" s="1"/>
  <c r="C22" i="25"/>
  <c r="D22" i="25" s="1"/>
  <c r="E22" i="25" s="1"/>
  <c r="C26" i="25"/>
  <c r="D26" i="25" s="1"/>
  <c r="E26" i="25" s="1"/>
  <c r="C30" i="25"/>
  <c r="D30" i="25" s="1"/>
  <c r="E30" i="25" s="1"/>
  <c r="C34" i="25"/>
  <c r="D34" i="25" s="1"/>
  <c r="E34" i="25" s="1"/>
  <c r="C38" i="25"/>
  <c r="D38" i="25" s="1"/>
  <c r="E38" i="25" s="1"/>
  <c r="C3" i="25"/>
  <c r="D3" i="25" s="1"/>
  <c r="E3" i="25" s="1"/>
  <c r="C7" i="25"/>
  <c r="D7" i="25" s="1"/>
  <c r="E7" i="25" s="1"/>
  <c r="C11" i="25"/>
  <c r="D11" i="25" s="1"/>
  <c r="E11" i="25" s="1"/>
  <c r="C15" i="25"/>
  <c r="D15" i="25" s="1"/>
  <c r="E15" i="25" s="1"/>
  <c r="C19" i="25"/>
  <c r="D19" i="25" s="1"/>
  <c r="E19" i="25" s="1"/>
  <c r="C23" i="25"/>
  <c r="D23" i="25" s="1"/>
  <c r="E23" i="25" s="1"/>
  <c r="C27" i="25"/>
  <c r="D27" i="25" s="1"/>
  <c r="E27" i="25" s="1"/>
  <c r="C31" i="25"/>
  <c r="D31" i="25" s="1"/>
  <c r="E31" i="25" s="1"/>
  <c r="C35" i="25"/>
  <c r="D35" i="25" s="1"/>
  <c r="E35" i="25" s="1"/>
  <c r="C39" i="25"/>
  <c r="D39" i="25" s="1"/>
  <c r="E39" i="25" s="1"/>
  <c r="C4" i="25"/>
  <c r="D4" i="25" s="1"/>
  <c r="E4" i="25" s="1"/>
  <c r="C8" i="25"/>
  <c r="D8" i="25" s="1"/>
  <c r="E8" i="25" s="1"/>
  <c r="C12" i="25"/>
  <c r="D12" i="25" s="1"/>
  <c r="E12" i="25" s="1"/>
  <c r="C16" i="25"/>
  <c r="D16" i="25" s="1"/>
  <c r="E16" i="25" s="1"/>
  <c r="C20" i="25"/>
  <c r="D20" i="25" s="1"/>
  <c r="E20" i="25" s="1"/>
  <c r="C24" i="25"/>
  <c r="D24" i="25" s="1"/>
  <c r="E24" i="25" s="1"/>
  <c r="C28" i="25"/>
  <c r="D28" i="25" s="1"/>
  <c r="E28" i="25" s="1"/>
  <c r="C32" i="25"/>
  <c r="D32" i="25" s="1"/>
  <c r="E32" i="25" s="1"/>
  <c r="C36" i="25"/>
  <c r="D36" i="25" s="1"/>
  <c r="E36" i="25" s="1"/>
  <c r="C40" i="25"/>
  <c r="D40" i="25" s="1"/>
  <c r="E40" i="25" s="1"/>
  <c r="C1" i="25"/>
  <c r="D1" i="25" s="1"/>
  <c r="E1" i="25" s="1"/>
  <c r="C2" i="24"/>
  <c r="D2" i="24" s="1"/>
  <c r="E2" i="24" s="1"/>
  <c r="C3" i="24"/>
  <c r="D3" i="24" s="1"/>
  <c r="E3" i="24" s="1"/>
  <c r="C7" i="24"/>
  <c r="D7" i="24" s="1"/>
  <c r="E7" i="24" s="1"/>
  <c r="C11" i="24"/>
  <c r="D11" i="24" s="1"/>
  <c r="E11" i="24" s="1"/>
  <c r="C15" i="24"/>
  <c r="D15" i="24" s="1"/>
  <c r="E15" i="24" s="1"/>
  <c r="C19" i="24"/>
  <c r="D19" i="24" s="1"/>
  <c r="E19" i="24" s="1"/>
  <c r="C23" i="24"/>
  <c r="D23" i="24" s="1"/>
  <c r="E23" i="24" s="1"/>
  <c r="C27" i="24"/>
  <c r="D27" i="24" s="1"/>
  <c r="E27" i="24" s="1"/>
  <c r="C31" i="24"/>
  <c r="D31" i="24" s="1"/>
  <c r="E31" i="24" s="1"/>
  <c r="C35" i="24"/>
  <c r="D35" i="24" s="1"/>
  <c r="E35" i="24" s="1"/>
  <c r="C39" i="24"/>
  <c r="D39" i="24" s="1"/>
  <c r="E39" i="24" s="1"/>
  <c r="C4" i="24"/>
  <c r="D4" i="24" s="1"/>
  <c r="E4" i="24" s="1"/>
  <c r="C1" i="24"/>
  <c r="D1" i="24" s="1"/>
  <c r="E1" i="24" s="1"/>
  <c r="C2" i="23"/>
  <c r="D2" i="23" s="1"/>
  <c r="E2" i="23" s="1"/>
  <c r="C6" i="23"/>
  <c r="D6" i="23" s="1"/>
  <c r="E6" i="23" s="1"/>
  <c r="C10" i="23"/>
  <c r="D10" i="23" s="1"/>
  <c r="E10" i="23" s="1"/>
  <c r="C14" i="23"/>
  <c r="D14" i="23" s="1"/>
  <c r="E14" i="23" s="1"/>
  <c r="C18" i="23"/>
  <c r="D18" i="23" s="1"/>
  <c r="E18" i="23" s="1"/>
  <c r="C22" i="23"/>
  <c r="D22" i="23" s="1"/>
  <c r="E22" i="23" s="1"/>
  <c r="C26" i="23"/>
  <c r="D26" i="23" s="1"/>
  <c r="E26" i="23" s="1"/>
  <c r="C30" i="23"/>
  <c r="D30" i="23" s="1"/>
  <c r="E30" i="23" s="1"/>
  <c r="C34" i="23"/>
  <c r="D34" i="23" s="1"/>
  <c r="E34" i="23" s="1"/>
  <c r="C38" i="23"/>
  <c r="D38" i="23" s="1"/>
  <c r="E38" i="23" s="1"/>
  <c r="C3" i="23"/>
  <c r="D3" i="23" s="1"/>
  <c r="E3" i="23" s="1"/>
  <c r="C7" i="23"/>
  <c r="D7" i="23" s="1"/>
  <c r="E7" i="23" s="1"/>
  <c r="C11" i="23"/>
  <c r="D11" i="23" s="1"/>
  <c r="E11" i="23" s="1"/>
  <c r="C15" i="23"/>
  <c r="D15" i="23" s="1"/>
  <c r="E15" i="23" s="1"/>
  <c r="C19" i="23"/>
  <c r="D19" i="23" s="1"/>
  <c r="E19" i="23" s="1"/>
  <c r="C23" i="23"/>
  <c r="D23" i="23" s="1"/>
  <c r="E23" i="23" s="1"/>
  <c r="C27" i="23"/>
  <c r="D27" i="23" s="1"/>
  <c r="E27" i="23" s="1"/>
  <c r="C31" i="23"/>
  <c r="D31" i="23" s="1"/>
  <c r="E31" i="23" s="1"/>
  <c r="C35" i="23"/>
  <c r="D35" i="23" s="1"/>
  <c r="E35" i="23" s="1"/>
  <c r="C39" i="23"/>
  <c r="D39" i="23" s="1"/>
  <c r="E39" i="23" s="1"/>
  <c r="C4" i="23"/>
  <c r="D4" i="23" s="1"/>
  <c r="E4" i="23" s="1"/>
  <c r="C8" i="23"/>
  <c r="D8" i="23" s="1"/>
  <c r="E8" i="23" s="1"/>
  <c r="C12" i="23"/>
  <c r="D12" i="23" s="1"/>
  <c r="E12" i="23" s="1"/>
  <c r="C16" i="23"/>
  <c r="D16" i="23" s="1"/>
  <c r="E16" i="23" s="1"/>
  <c r="C20" i="23"/>
  <c r="D20" i="23" s="1"/>
  <c r="E20" i="23" s="1"/>
  <c r="C24" i="23"/>
  <c r="D24" i="23" s="1"/>
  <c r="E24" i="23" s="1"/>
  <c r="C28" i="23"/>
  <c r="D28" i="23" s="1"/>
  <c r="E28" i="23" s="1"/>
  <c r="C32" i="23"/>
  <c r="D32" i="23" s="1"/>
  <c r="E32" i="23" s="1"/>
  <c r="C36" i="23"/>
  <c r="D36" i="23" s="1"/>
  <c r="E36" i="23" s="1"/>
  <c r="C40" i="23"/>
  <c r="D40" i="23" s="1"/>
  <c r="E40" i="23" s="1"/>
  <c r="C1" i="23"/>
  <c r="D1" i="23" s="1"/>
  <c r="E1" i="23" s="1"/>
  <c r="C7" i="22"/>
  <c r="D7" i="22" s="1"/>
  <c r="E7" i="22" s="1"/>
  <c r="C11" i="22"/>
  <c r="D11" i="22" s="1"/>
  <c r="E11" i="22" s="1"/>
  <c r="C15" i="22"/>
  <c r="D15" i="22" s="1"/>
  <c r="E15" i="22" s="1"/>
  <c r="C19" i="22"/>
  <c r="D19" i="22" s="1"/>
  <c r="E19" i="22" s="1"/>
  <c r="C23" i="22"/>
  <c r="D23" i="22" s="1"/>
  <c r="E23" i="22" s="1"/>
  <c r="C27" i="22"/>
  <c r="D27" i="22" s="1"/>
  <c r="E27" i="22" s="1"/>
  <c r="C31" i="22"/>
  <c r="D31" i="22" s="1"/>
  <c r="E31" i="22" s="1"/>
  <c r="C35" i="22"/>
  <c r="D35" i="22" s="1"/>
  <c r="E35" i="22" s="1"/>
  <c r="C39" i="22"/>
  <c r="D39" i="22" s="1"/>
  <c r="E39" i="22" s="1"/>
  <c r="C4" i="22"/>
  <c r="D4" i="22" s="1"/>
  <c r="E4" i="22" s="1"/>
  <c r="C8" i="22"/>
  <c r="D8" i="22" s="1"/>
  <c r="E8" i="22" s="1"/>
  <c r="C12" i="22"/>
  <c r="D12" i="22" s="1"/>
  <c r="E12" i="22" s="1"/>
  <c r="C16" i="22"/>
  <c r="D16" i="22" s="1"/>
  <c r="E16" i="22" s="1"/>
  <c r="C20" i="22"/>
  <c r="D20" i="22" s="1"/>
  <c r="E20" i="22" s="1"/>
  <c r="C24" i="22"/>
  <c r="D24" i="22" s="1"/>
  <c r="E24" i="22" s="1"/>
  <c r="C28" i="22"/>
  <c r="D28" i="22" s="1"/>
  <c r="E28" i="22" s="1"/>
  <c r="C32" i="22"/>
  <c r="D32" i="22" s="1"/>
  <c r="E32" i="22" s="1"/>
  <c r="C36" i="22"/>
  <c r="D36" i="22" s="1"/>
  <c r="E36" i="22" s="1"/>
  <c r="C40" i="22"/>
  <c r="D40" i="22" s="1"/>
  <c r="E40" i="22" s="1"/>
  <c r="C1" i="22"/>
  <c r="D1" i="22" s="1"/>
  <c r="E1" i="22" s="1"/>
  <c r="C2" i="21"/>
  <c r="D2" i="21" s="1"/>
  <c r="E2" i="21" s="1"/>
  <c r="C6" i="21"/>
  <c r="D6" i="21" s="1"/>
  <c r="E6" i="21" s="1"/>
  <c r="C10" i="21"/>
  <c r="D10" i="21" s="1"/>
  <c r="E10" i="21" s="1"/>
  <c r="C14" i="21"/>
  <c r="D14" i="21" s="1"/>
  <c r="E14" i="21" s="1"/>
  <c r="C18" i="21"/>
  <c r="D18" i="21" s="1"/>
  <c r="E18" i="21" s="1"/>
  <c r="C22" i="21"/>
  <c r="D22" i="21" s="1"/>
  <c r="E22" i="21" s="1"/>
  <c r="C26" i="21"/>
  <c r="D26" i="21" s="1"/>
  <c r="E26" i="21" s="1"/>
  <c r="C30" i="21"/>
  <c r="D30" i="21" s="1"/>
  <c r="E30" i="21" s="1"/>
  <c r="C34" i="21"/>
  <c r="D34" i="21" s="1"/>
  <c r="E34" i="21" s="1"/>
  <c r="C38" i="21"/>
  <c r="D38" i="21" s="1"/>
  <c r="E38" i="21" s="1"/>
  <c r="C3" i="21"/>
  <c r="D3" i="21" s="1"/>
  <c r="E3" i="21" s="1"/>
  <c r="C7" i="21"/>
  <c r="D7" i="21" s="1"/>
  <c r="E7" i="21" s="1"/>
  <c r="C11" i="21"/>
  <c r="D11" i="21" s="1"/>
  <c r="E11" i="21" s="1"/>
  <c r="C15" i="21"/>
  <c r="D15" i="21" s="1"/>
  <c r="E15" i="21" s="1"/>
  <c r="C19" i="21"/>
  <c r="D19" i="21" s="1"/>
  <c r="E19" i="21" s="1"/>
  <c r="C23" i="21"/>
  <c r="D23" i="21" s="1"/>
  <c r="E23" i="21" s="1"/>
  <c r="C27" i="21"/>
  <c r="D27" i="21" s="1"/>
  <c r="E27" i="21" s="1"/>
  <c r="C31" i="21"/>
  <c r="D31" i="21" s="1"/>
  <c r="E31" i="21" s="1"/>
  <c r="C35" i="21"/>
  <c r="D35" i="21" s="1"/>
  <c r="E35" i="21" s="1"/>
  <c r="C39" i="21"/>
  <c r="D39" i="21" s="1"/>
  <c r="E39" i="21" s="1"/>
  <c r="C4" i="21"/>
  <c r="D4" i="21" s="1"/>
  <c r="E4" i="21" s="1"/>
  <c r="C1" i="21"/>
  <c r="D1" i="21" s="1"/>
  <c r="E1" i="21" s="1"/>
  <c r="C2" i="20"/>
  <c r="D2" i="20" s="1"/>
  <c r="E2" i="20" s="1"/>
  <c r="C6" i="20"/>
  <c r="D6" i="20" s="1"/>
  <c r="E6" i="20" s="1"/>
  <c r="C10" i="20"/>
  <c r="D10" i="20" s="1"/>
  <c r="E10" i="20" s="1"/>
  <c r="C14" i="20"/>
  <c r="D14" i="20" s="1"/>
  <c r="E14" i="20" s="1"/>
  <c r="C18" i="20"/>
  <c r="D18" i="20" s="1"/>
  <c r="E18" i="20" s="1"/>
  <c r="C22" i="20"/>
  <c r="D22" i="20" s="1"/>
  <c r="E22" i="20" s="1"/>
  <c r="C26" i="20"/>
  <c r="D26" i="20" s="1"/>
  <c r="E26" i="20" s="1"/>
  <c r="C30" i="20"/>
  <c r="D30" i="20" s="1"/>
  <c r="E30" i="20" s="1"/>
  <c r="C34" i="20"/>
  <c r="D34" i="20" s="1"/>
  <c r="E34" i="20" s="1"/>
  <c r="C38" i="20"/>
  <c r="D38" i="20" s="1"/>
  <c r="E38" i="20" s="1"/>
  <c r="C7" i="20"/>
  <c r="D7" i="20" s="1"/>
  <c r="E7" i="20" s="1"/>
  <c r="C11" i="20"/>
  <c r="D11" i="20" s="1"/>
  <c r="E11" i="20" s="1"/>
  <c r="C15" i="20"/>
  <c r="D15" i="20" s="1"/>
  <c r="E15" i="20" s="1"/>
  <c r="C19" i="20"/>
  <c r="D19" i="20" s="1"/>
  <c r="E19" i="20" s="1"/>
  <c r="C23" i="20"/>
  <c r="D23" i="20" s="1"/>
  <c r="E23" i="20" s="1"/>
  <c r="C27" i="20"/>
  <c r="D27" i="20" s="1"/>
  <c r="E27" i="20" s="1"/>
  <c r="C31" i="20"/>
  <c r="D31" i="20" s="1"/>
  <c r="E31" i="20" s="1"/>
  <c r="C35" i="20"/>
  <c r="D35" i="20" s="1"/>
  <c r="E35" i="20" s="1"/>
  <c r="C39" i="20"/>
  <c r="D39" i="20" s="1"/>
  <c r="E39" i="20" s="1"/>
  <c r="C4" i="20"/>
  <c r="D4" i="20" s="1"/>
  <c r="E4" i="20" s="1"/>
  <c r="C8" i="20"/>
  <c r="D8" i="20" s="1"/>
  <c r="E8" i="20" s="1"/>
  <c r="C12" i="20"/>
  <c r="D12" i="20" s="1"/>
  <c r="E12" i="20" s="1"/>
  <c r="C16" i="20"/>
  <c r="D16" i="20" s="1"/>
  <c r="E16" i="20" s="1"/>
  <c r="C20" i="20"/>
  <c r="D20" i="20" s="1"/>
  <c r="E20" i="20" s="1"/>
  <c r="C24" i="20"/>
  <c r="D24" i="20" s="1"/>
  <c r="E24" i="20" s="1"/>
  <c r="C28" i="20"/>
  <c r="D28" i="20" s="1"/>
  <c r="E28" i="20" s="1"/>
  <c r="C32" i="20"/>
  <c r="D32" i="20" s="1"/>
  <c r="E32" i="20" s="1"/>
  <c r="C36" i="20"/>
  <c r="D36" i="20" s="1"/>
  <c r="E36" i="20" s="1"/>
  <c r="C40" i="20"/>
  <c r="D40" i="20" s="1"/>
  <c r="E40" i="20" s="1"/>
  <c r="C7" i="19"/>
  <c r="D7" i="19" s="1"/>
  <c r="E7" i="19" s="1"/>
  <c r="C11" i="19"/>
  <c r="D11" i="19" s="1"/>
  <c r="E11" i="19" s="1"/>
  <c r="C15" i="19"/>
  <c r="D15" i="19" s="1"/>
  <c r="E15" i="19" s="1"/>
  <c r="C19" i="19"/>
  <c r="D19" i="19" s="1"/>
  <c r="E19" i="19" s="1"/>
  <c r="C23" i="19"/>
  <c r="D23" i="19" s="1"/>
  <c r="E23" i="19" s="1"/>
  <c r="C27" i="19"/>
  <c r="D27" i="19" s="1"/>
  <c r="E27" i="19" s="1"/>
  <c r="C31" i="19"/>
  <c r="D31" i="19" s="1"/>
  <c r="E31" i="19" s="1"/>
  <c r="C35" i="19"/>
  <c r="D35" i="19" s="1"/>
  <c r="E35" i="19" s="1"/>
  <c r="C39" i="19"/>
  <c r="D39" i="19" s="1"/>
  <c r="E39" i="19" s="1"/>
  <c r="C4" i="19"/>
  <c r="D4" i="19" s="1"/>
  <c r="E4" i="19" s="1"/>
  <c r="C1" i="19"/>
  <c r="D1" i="19" s="1"/>
  <c r="E1" i="19" s="1"/>
  <c r="C2" i="18"/>
  <c r="D2" i="18" s="1"/>
  <c r="E2" i="18" s="1"/>
  <c r="C2" i="17"/>
  <c r="D2" i="17" s="1"/>
  <c r="E2" i="17" s="1"/>
  <c r="C6" i="17"/>
  <c r="D6" i="17" s="1"/>
  <c r="E6" i="17" s="1"/>
  <c r="C10" i="17"/>
  <c r="D10" i="17" s="1"/>
  <c r="E10" i="17" s="1"/>
  <c r="C14" i="17"/>
  <c r="D14" i="17" s="1"/>
  <c r="E14" i="17" s="1"/>
  <c r="C18" i="17"/>
  <c r="D18" i="17" s="1"/>
  <c r="E18" i="17" s="1"/>
  <c r="C22" i="17"/>
  <c r="D22" i="17" s="1"/>
  <c r="E22" i="17" s="1"/>
  <c r="C26" i="17"/>
  <c r="D26" i="17" s="1"/>
  <c r="E26" i="17" s="1"/>
  <c r="C30" i="17"/>
  <c r="D30" i="17" s="1"/>
  <c r="E30" i="17" s="1"/>
  <c r="C34" i="17"/>
  <c r="D34" i="17" s="1"/>
  <c r="E34" i="17" s="1"/>
  <c r="C38" i="17"/>
  <c r="D38" i="17" s="1"/>
  <c r="E38" i="17" s="1"/>
  <c r="C3" i="17"/>
  <c r="D3" i="17" s="1"/>
  <c r="E3" i="17" s="1"/>
  <c r="C4" i="17"/>
  <c r="D4" i="17" s="1"/>
  <c r="E4" i="17" s="1"/>
  <c r="C8" i="17"/>
  <c r="D8" i="17" s="1"/>
  <c r="E8" i="17" s="1"/>
  <c r="C12" i="17"/>
  <c r="D12" i="17" s="1"/>
  <c r="E12" i="17" s="1"/>
  <c r="C16" i="17"/>
  <c r="D16" i="17" s="1"/>
  <c r="E16" i="17" s="1"/>
  <c r="C20" i="17"/>
  <c r="D20" i="17" s="1"/>
  <c r="E20" i="17" s="1"/>
  <c r="C24" i="17"/>
  <c r="D24" i="17" s="1"/>
  <c r="E24" i="17" s="1"/>
  <c r="C28" i="17"/>
  <c r="D28" i="17" s="1"/>
  <c r="E28" i="17" s="1"/>
  <c r="C32" i="17"/>
  <c r="D32" i="17" s="1"/>
  <c r="E32" i="17" s="1"/>
  <c r="C36" i="17"/>
  <c r="D36" i="17" s="1"/>
  <c r="E36" i="17" s="1"/>
  <c r="C40" i="17"/>
  <c r="D40" i="17" s="1"/>
  <c r="E40" i="17" s="1"/>
  <c r="C2" i="16"/>
  <c r="D2" i="16" s="1"/>
  <c r="E2" i="16" s="1"/>
  <c r="C7" i="16"/>
  <c r="D7" i="16" s="1"/>
  <c r="E7" i="16" s="1"/>
  <c r="C11" i="16"/>
  <c r="D11" i="16" s="1"/>
  <c r="E11" i="16" s="1"/>
  <c r="C15" i="16"/>
  <c r="D15" i="16" s="1"/>
  <c r="E15" i="16" s="1"/>
  <c r="C19" i="16"/>
  <c r="D19" i="16" s="1"/>
  <c r="E19" i="16" s="1"/>
  <c r="C23" i="16"/>
  <c r="D23" i="16" s="1"/>
  <c r="E23" i="16" s="1"/>
  <c r="C27" i="16"/>
  <c r="D27" i="16" s="1"/>
  <c r="E27" i="16" s="1"/>
  <c r="C31" i="16"/>
  <c r="D31" i="16" s="1"/>
  <c r="E31" i="16" s="1"/>
  <c r="C35" i="16"/>
  <c r="D35" i="16" s="1"/>
  <c r="E35" i="16" s="1"/>
  <c r="C39" i="16"/>
  <c r="D39" i="16" s="1"/>
  <c r="E39" i="16" s="1"/>
  <c r="C4" i="16"/>
  <c r="D4" i="16" s="1"/>
  <c r="E4" i="16" s="1"/>
  <c r="C1" i="16"/>
  <c r="D1" i="16" s="1"/>
  <c r="E1" i="16" s="1"/>
  <c r="C2" i="15"/>
  <c r="D2" i="15" s="1"/>
  <c r="E2" i="15" s="1"/>
  <c r="C6" i="15"/>
  <c r="D6" i="15" s="1"/>
  <c r="E6" i="15" s="1"/>
  <c r="C10" i="15"/>
  <c r="D10" i="15" s="1"/>
  <c r="E10" i="15" s="1"/>
  <c r="C14" i="15"/>
  <c r="D14" i="15" s="1"/>
  <c r="E14" i="15" s="1"/>
  <c r="C18" i="15"/>
  <c r="D18" i="15" s="1"/>
  <c r="E18" i="15" s="1"/>
  <c r="C22" i="15"/>
  <c r="D22" i="15" s="1"/>
  <c r="E22" i="15" s="1"/>
  <c r="C26" i="15"/>
  <c r="D26" i="15" s="1"/>
  <c r="E26" i="15" s="1"/>
  <c r="C30" i="15"/>
  <c r="D30" i="15" s="1"/>
  <c r="E30" i="15" s="1"/>
  <c r="C34" i="15"/>
  <c r="D34" i="15" s="1"/>
  <c r="E34" i="15" s="1"/>
  <c r="C38" i="15"/>
  <c r="D38" i="15" s="1"/>
  <c r="E38" i="15" s="1"/>
  <c r="C8" i="15"/>
  <c r="D8" i="15" s="1"/>
  <c r="E8" i="15" s="1"/>
  <c r="C12" i="15"/>
  <c r="D12" i="15" s="1"/>
  <c r="E12" i="15" s="1"/>
  <c r="C16" i="15"/>
  <c r="D16" i="15" s="1"/>
  <c r="E16" i="15" s="1"/>
  <c r="C20" i="15"/>
  <c r="D20" i="15" s="1"/>
  <c r="E20" i="15" s="1"/>
  <c r="C24" i="15"/>
  <c r="D24" i="15" s="1"/>
  <c r="E24" i="15" s="1"/>
  <c r="C28" i="15"/>
  <c r="D28" i="15" s="1"/>
  <c r="E28" i="15" s="1"/>
  <c r="C32" i="15"/>
  <c r="D32" i="15" s="1"/>
  <c r="E32" i="15" s="1"/>
  <c r="C36" i="15"/>
  <c r="D36" i="15" s="1"/>
  <c r="E36" i="15" s="1"/>
  <c r="C40" i="15"/>
  <c r="D40" i="15" s="1"/>
  <c r="E40" i="15" s="1"/>
  <c r="C6" i="14"/>
  <c r="D6" i="14" s="1"/>
  <c r="E6" i="14" s="1"/>
  <c r="C10" i="14"/>
  <c r="D10" i="14" s="1"/>
  <c r="E10" i="14" s="1"/>
  <c r="C14" i="14"/>
  <c r="D14" i="14" s="1"/>
  <c r="E14" i="14" s="1"/>
  <c r="C18" i="14"/>
  <c r="D18" i="14" s="1"/>
  <c r="E18" i="14" s="1"/>
  <c r="C22" i="14"/>
  <c r="D22" i="14" s="1"/>
  <c r="E22" i="14" s="1"/>
  <c r="C26" i="14"/>
  <c r="D26" i="14" s="1"/>
  <c r="E26" i="14" s="1"/>
  <c r="C30" i="14"/>
  <c r="D30" i="14" s="1"/>
  <c r="E30" i="14" s="1"/>
  <c r="C34" i="14"/>
  <c r="D34" i="14" s="1"/>
  <c r="E34" i="14" s="1"/>
  <c r="C38" i="14"/>
  <c r="D38" i="14" s="1"/>
  <c r="E38" i="14" s="1"/>
  <c r="C3" i="14"/>
  <c r="D3" i="14" s="1"/>
  <c r="E3" i="14" s="1"/>
  <c r="C7" i="14"/>
  <c r="D7" i="14" s="1"/>
  <c r="E7" i="14" s="1"/>
  <c r="C11" i="14"/>
  <c r="D11" i="14" s="1"/>
  <c r="E11" i="14" s="1"/>
  <c r="C15" i="14"/>
  <c r="D15" i="14" s="1"/>
  <c r="E15" i="14" s="1"/>
  <c r="C19" i="14"/>
  <c r="D19" i="14" s="1"/>
  <c r="E19" i="14" s="1"/>
  <c r="C23" i="14"/>
  <c r="D23" i="14" s="1"/>
  <c r="E23" i="14" s="1"/>
  <c r="C27" i="14"/>
  <c r="D27" i="14" s="1"/>
  <c r="E27" i="14" s="1"/>
  <c r="C31" i="14"/>
  <c r="D31" i="14" s="1"/>
  <c r="E31" i="14" s="1"/>
  <c r="C35" i="14"/>
  <c r="D35" i="14" s="1"/>
  <c r="E35" i="14" s="1"/>
  <c r="C39" i="14"/>
  <c r="D39" i="14" s="1"/>
  <c r="E39" i="14" s="1"/>
  <c r="C8" i="14"/>
  <c r="D8" i="14" s="1"/>
  <c r="E8" i="14" s="1"/>
  <c r="C12" i="14"/>
  <c r="D12" i="14" s="1"/>
  <c r="E12" i="14" s="1"/>
  <c r="C16" i="14"/>
  <c r="D16" i="14" s="1"/>
  <c r="E16" i="14" s="1"/>
  <c r="C20" i="14"/>
  <c r="D20" i="14" s="1"/>
  <c r="E20" i="14" s="1"/>
  <c r="C24" i="14"/>
  <c r="D24" i="14" s="1"/>
  <c r="E24" i="14" s="1"/>
  <c r="C28" i="14"/>
  <c r="D28" i="14" s="1"/>
  <c r="E28" i="14" s="1"/>
  <c r="C32" i="14"/>
  <c r="D32" i="14" s="1"/>
  <c r="E32" i="14" s="1"/>
  <c r="C36" i="14"/>
  <c r="D36" i="14" s="1"/>
  <c r="E36" i="14" s="1"/>
  <c r="C40" i="14"/>
  <c r="D40" i="14" s="1"/>
  <c r="E40" i="14" s="1"/>
  <c r="C1" i="14"/>
  <c r="D1" i="14" s="1"/>
  <c r="E1" i="14" s="1"/>
  <c r="C6" i="13"/>
  <c r="D6" i="13" s="1"/>
  <c r="E6" i="13" s="1"/>
  <c r="C10" i="13"/>
  <c r="D10" i="13" s="1"/>
  <c r="E10" i="13" s="1"/>
  <c r="C14" i="13"/>
  <c r="D14" i="13" s="1"/>
  <c r="E14" i="13" s="1"/>
  <c r="C18" i="13"/>
  <c r="D18" i="13" s="1"/>
  <c r="E18" i="13" s="1"/>
  <c r="C22" i="13"/>
  <c r="D22" i="13" s="1"/>
  <c r="E22" i="13" s="1"/>
  <c r="C26" i="13"/>
  <c r="D26" i="13" s="1"/>
  <c r="E26" i="13" s="1"/>
  <c r="C30" i="13"/>
  <c r="D30" i="13" s="1"/>
  <c r="E30" i="13" s="1"/>
  <c r="C34" i="13"/>
  <c r="D34" i="13" s="1"/>
  <c r="E34" i="13" s="1"/>
  <c r="C38" i="13"/>
  <c r="D38" i="13" s="1"/>
  <c r="E38" i="13" s="1"/>
  <c r="C7" i="13"/>
  <c r="D7" i="13" s="1"/>
  <c r="E7" i="13" s="1"/>
  <c r="C11" i="13"/>
  <c r="D11" i="13" s="1"/>
  <c r="E11" i="13" s="1"/>
  <c r="C15" i="13"/>
  <c r="D15" i="13" s="1"/>
  <c r="E15" i="13" s="1"/>
  <c r="C19" i="13"/>
  <c r="D19" i="13" s="1"/>
  <c r="E19" i="13" s="1"/>
  <c r="C23" i="13"/>
  <c r="D23" i="13" s="1"/>
  <c r="E23" i="13" s="1"/>
  <c r="C27" i="13"/>
  <c r="D27" i="13" s="1"/>
  <c r="E27" i="13" s="1"/>
  <c r="C31" i="13"/>
  <c r="D31" i="13" s="1"/>
  <c r="E31" i="13" s="1"/>
  <c r="C35" i="13"/>
  <c r="D35" i="13" s="1"/>
  <c r="E35" i="13" s="1"/>
  <c r="C39" i="13"/>
  <c r="D39" i="13" s="1"/>
  <c r="E39" i="13" s="1"/>
  <c r="C4" i="13"/>
  <c r="D4" i="13" s="1"/>
  <c r="E4" i="13" s="1"/>
  <c r="C8" i="13"/>
  <c r="D8" i="13" s="1"/>
  <c r="E8" i="13" s="1"/>
  <c r="C12" i="13"/>
  <c r="D12" i="13" s="1"/>
  <c r="E12" i="13" s="1"/>
  <c r="C16" i="13"/>
  <c r="D16" i="13" s="1"/>
  <c r="E16" i="13" s="1"/>
  <c r="C20" i="13"/>
  <c r="D20" i="13" s="1"/>
  <c r="E20" i="13" s="1"/>
  <c r="C24" i="13"/>
  <c r="D24" i="13" s="1"/>
  <c r="E24" i="13" s="1"/>
  <c r="C28" i="13"/>
  <c r="D28" i="13" s="1"/>
  <c r="E28" i="13" s="1"/>
  <c r="C32" i="13"/>
  <c r="D32" i="13" s="1"/>
  <c r="E32" i="13" s="1"/>
  <c r="C36" i="13"/>
  <c r="D36" i="13" s="1"/>
  <c r="E36" i="13" s="1"/>
  <c r="C40" i="13"/>
  <c r="D40" i="13" s="1"/>
  <c r="E40" i="13" s="1"/>
  <c r="C1" i="13"/>
  <c r="D1" i="13" s="1"/>
  <c r="E1" i="13" s="1"/>
  <c r="C2" i="12"/>
  <c r="D2" i="12" s="1"/>
  <c r="E2" i="12" s="1"/>
  <c r="C2" i="11"/>
  <c r="D2" i="11" s="1"/>
  <c r="E2" i="11" s="1"/>
  <c r="C6" i="11"/>
  <c r="D6" i="11" s="1"/>
  <c r="E6" i="11" s="1"/>
  <c r="C10" i="11"/>
  <c r="D10" i="11" s="1"/>
  <c r="E10" i="11" s="1"/>
  <c r="C14" i="11"/>
  <c r="D14" i="11" s="1"/>
  <c r="E14" i="11" s="1"/>
  <c r="C18" i="11"/>
  <c r="D18" i="11" s="1"/>
  <c r="E18" i="11" s="1"/>
  <c r="C22" i="11"/>
  <c r="D22" i="11" s="1"/>
  <c r="E22" i="11" s="1"/>
  <c r="C26" i="11"/>
  <c r="D26" i="11" s="1"/>
  <c r="E26" i="11" s="1"/>
  <c r="C30" i="11"/>
  <c r="D30" i="11" s="1"/>
  <c r="E30" i="11" s="1"/>
  <c r="C34" i="11"/>
  <c r="D34" i="11" s="1"/>
  <c r="E34" i="11" s="1"/>
  <c r="C38" i="11"/>
  <c r="D38" i="11" s="1"/>
  <c r="E38" i="11" s="1"/>
  <c r="C3" i="11"/>
  <c r="D3" i="11" s="1"/>
  <c r="E3" i="11" s="1"/>
  <c r="C7" i="11"/>
  <c r="D7" i="11" s="1"/>
  <c r="E7" i="11" s="1"/>
  <c r="C11" i="11"/>
  <c r="D11" i="11" s="1"/>
  <c r="E11" i="11" s="1"/>
  <c r="C15" i="11"/>
  <c r="D15" i="11" s="1"/>
  <c r="E15" i="11" s="1"/>
  <c r="C19" i="11"/>
  <c r="D19" i="11" s="1"/>
  <c r="E19" i="11" s="1"/>
  <c r="C23" i="11"/>
  <c r="D23" i="11" s="1"/>
  <c r="E23" i="11" s="1"/>
  <c r="C27" i="11"/>
  <c r="D27" i="11" s="1"/>
  <c r="E27" i="11" s="1"/>
  <c r="C31" i="11"/>
  <c r="D31" i="11" s="1"/>
  <c r="E31" i="11" s="1"/>
  <c r="C35" i="11"/>
  <c r="D35" i="11" s="1"/>
  <c r="E35" i="11" s="1"/>
  <c r="C39" i="11"/>
  <c r="D39" i="11" s="1"/>
  <c r="E39" i="11" s="1"/>
  <c r="C4" i="11"/>
  <c r="D4" i="11" s="1"/>
  <c r="E4" i="11" s="1"/>
  <c r="C8" i="11"/>
  <c r="D8" i="11" s="1"/>
  <c r="E8" i="11" s="1"/>
  <c r="C12" i="11"/>
  <c r="D12" i="11" s="1"/>
  <c r="E12" i="11" s="1"/>
  <c r="C16" i="11"/>
  <c r="D16" i="11" s="1"/>
  <c r="E16" i="11" s="1"/>
  <c r="C20" i="11"/>
  <c r="D20" i="11" s="1"/>
  <c r="E20" i="11" s="1"/>
  <c r="C24" i="11"/>
  <c r="D24" i="11" s="1"/>
  <c r="E24" i="11" s="1"/>
  <c r="C28" i="11"/>
  <c r="D28" i="11" s="1"/>
  <c r="E28" i="11" s="1"/>
  <c r="C32" i="11"/>
  <c r="D32" i="11" s="1"/>
  <c r="E32" i="11" s="1"/>
  <c r="C36" i="11"/>
  <c r="D36" i="11" s="1"/>
  <c r="E36" i="11" s="1"/>
  <c r="C40" i="11"/>
  <c r="D40" i="11" s="1"/>
  <c r="E40" i="11" s="1"/>
  <c r="C1" i="11"/>
  <c r="D1" i="11" s="1"/>
  <c r="E1" i="11" s="1"/>
  <c r="C2" i="10"/>
  <c r="D2" i="10" s="1"/>
  <c r="E2" i="10" s="1"/>
  <c r="C6" i="10"/>
  <c r="D6" i="10" s="1"/>
  <c r="E6" i="10" s="1"/>
  <c r="C10" i="10"/>
  <c r="D10" i="10" s="1"/>
  <c r="E10" i="10" s="1"/>
  <c r="C14" i="10"/>
  <c r="D14" i="10" s="1"/>
  <c r="E14" i="10" s="1"/>
  <c r="C18" i="10"/>
  <c r="D18" i="10" s="1"/>
  <c r="E18" i="10" s="1"/>
  <c r="C22" i="10"/>
  <c r="D22" i="10" s="1"/>
  <c r="E22" i="10" s="1"/>
  <c r="C26" i="10"/>
  <c r="D26" i="10" s="1"/>
  <c r="E26" i="10" s="1"/>
  <c r="C30" i="10"/>
  <c r="D30" i="10" s="1"/>
  <c r="E30" i="10" s="1"/>
  <c r="C34" i="10"/>
  <c r="D34" i="10" s="1"/>
  <c r="E34" i="10" s="1"/>
  <c r="C38" i="10"/>
  <c r="D38" i="10" s="1"/>
  <c r="E38" i="10" s="1"/>
  <c r="C3" i="10"/>
  <c r="D3" i="10" s="1"/>
  <c r="E3" i="10" s="1"/>
  <c r="C4" i="10"/>
  <c r="D4" i="10" s="1"/>
  <c r="E4" i="10" s="1"/>
  <c r="C8" i="10"/>
  <c r="D8" i="10" s="1"/>
  <c r="E8" i="10" s="1"/>
  <c r="C12" i="10"/>
  <c r="D12" i="10" s="1"/>
  <c r="E12" i="10" s="1"/>
  <c r="C16" i="10"/>
  <c r="D16" i="10" s="1"/>
  <c r="E16" i="10" s="1"/>
  <c r="C20" i="10"/>
  <c r="D20" i="10" s="1"/>
  <c r="E20" i="10" s="1"/>
  <c r="C24" i="10"/>
  <c r="D24" i="10" s="1"/>
  <c r="E24" i="10" s="1"/>
  <c r="C28" i="10"/>
  <c r="D28" i="10" s="1"/>
  <c r="E28" i="10" s="1"/>
  <c r="C32" i="10"/>
  <c r="D32" i="10" s="1"/>
  <c r="E32" i="10" s="1"/>
  <c r="C36" i="10"/>
  <c r="D36" i="10" s="1"/>
  <c r="E36" i="10" s="1"/>
  <c r="C40" i="10"/>
  <c r="D40" i="10" s="1"/>
  <c r="E40" i="10" s="1"/>
  <c r="C2" i="9"/>
  <c r="D2" i="9" s="1"/>
  <c r="E2" i="9" s="1"/>
  <c r="C6" i="9"/>
  <c r="D6" i="9" s="1"/>
  <c r="E6" i="9" s="1"/>
  <c r="C10" i="9"/>
  <c r="D10" i="9" s="1"/>
  <c r="E10" i="9" s="1"/>
  <c r="C14" i="9"/>
  <c r="D14" i="9" s="1"/>
  <c r="E14" i="9" s="1"/>
  <c r="C18" i="9"/>
  <c r="D18" i="9" s="1"/>
  <c r="E18" i="9" s="1"/>
  <c r="C22" i="9"/>
  <c r="D22" i="9" s="1"/>
  <c r="E22" i="9" s="1"/>
  <c r="C26" i="9"/>
  <c r="D26" i="9" s="1"/>
  <c r="E26" i="9" s="1"/>
  <c r="C30" i="9"/>
  <c r="D30" i="9" s="1"/>
  <c r="E30" i="9" s="1"/>
  <c r="C34" i="9"/>
  <c r="D34" i="9" s="1"/>
  <c r="E34" i="9" s="1"/>
  <c r="C38" i="9"/>
  <c r="D38" i="9" s="1"/>
  <c r="E38" i="9" s="1"/>
  <c r="C3" i="9"/>
  <c r="D3" i="9" s="1"/>
  <c r="E3" i="9" s="1"/>
  <c r="C7" i="9"/>
  <c r="D7" i="9" s="1"/>
  <c r="E7" i="9" s="1"/>
  <c r="C11" i="9"/>
  <c r="D11" i="9" s="1"/>
  <c r="E11" i="9" s="1"/>
  <c r="C15" i="9"/>
  <c r="D15" i="9" s="1"/>
  <c r="E15" i="9" s="1"/>
  <c r="C19" i="9"/>
  <c r="D19" i="9" s="1"/>
  <c r="E19" i="9" s="1"/>
  <c r="C23" i="9"/>
  <c r="D23" i="9" s="1"/>
  <c r="E23" i="9" s="1"/>
  <c r="C27" i="9"/>
  <c r="D27" i="9" s="1"/>
  <c r="E27" i="9" s="1"/>
  <c r="C31" i="9"/>
  <c r="D31" i="9" s="1"/>
  <c r="E31" i="9" s="1"/>
  <c r="C35" i="9"/>
  <c r="D35" i="9" s="1"/>
  <c r="E35" i="9" s="1"/>
  <c r="C39" i="9"/>
  <c r="D39" i="9" s="1"/>
  <c r="E39" i="9" s="1"/>
  <c r="C4" i="9"/>
  <c r="D4" i="9" s="1"/>
  <c r="E4" i="9" s="1"/>
  <c r="C8" i="9"/>
  <c r="D8" i="9" s="1"/>
  <c r="E8" i="9" s="1"/>
  <c r="C12" i="9"/>
  <c r="D12" i="9" s="1"/>
  <c r="E12" i="9" s="1"/>
  <c r="C16" i="9"/>
  <c r="D16" i="9" s="1"/>
  <c r="E16" i="9" s="1"/>
  <c r="C20" i="9"/>
  <c r="D20" i="9" s="1"/>
  <c r="E20" i="9" s="1"/>
  <c r="C24" i="9"/>
  <c r="D24" i="9" s="1"/>
  <c r="E24" i="9" s="1"/>
  <c r="C28" i="9"/>
  <c r="D28" i="9" s="1"/>
  <c r="E28" i="9" s="1"/>
  <c r="C32" i="9"/>
  <c r="D32" i="9" s="1"/>
  <c r="E32" i="9" s="1"/>
  <c r="C36" i="9"/>
  <c r="D36" i="9" s="1"/>
  <c r="E36" i="9" s="1"/>
  <c r="C40" i="9"/>
  <c r="D40" i="9" s="1"/>
  <c r="E40" i="9" s="1"/>
  <c r="C1" i="9"/>
  <c r="D1" i="9" s="1"/>
  <c r="E1" i="9" s="1"/>
  <c r="C2" i="8"/>
  <c r="D2" i="8" s="1"/>
  <c r="E2" i="8" s="1"/>
  <c r="C3" i="8"/>
  <c r="D3" i="8" s="1"/>
  <c r="E3" i="8" s="1"/>
  <c r="C7" i="8"/>
  <c r="D7" i="8" s="1"/>
  <c r="E7" i="8" s="1"/>
  <c r="C11" i="8"/>
  <c r="D11" i="8" s="1"/>
  <c r="E11" i="8" s="1"/>
  <c r="C15" i="8"/>
  <c r="D15" i="8" s="1"/>
  <c r="E15" i="8" s="1"/>
  <c r="C19" i="8"/>
  <c r="D19" i="8" s="1"/>
  <c r="E19" i="8" s="1"/>
  <c r="C23" i="8"/>
  <c r="D23" i="8" s="1"/>
  <c r="E23" i="8" s="1"/>
  <c r="C27" i="8"/>
  <c r="D27" i="8" s="1"/>
  <c r="E27" i="8" s="1"/>
  <c r="C31" i="8"/>
  <c r="D31" i="8" s="1"/>
  <c r="E31" i="8" s="1"/>
  <c r="C35" i="8"/>
  <c r="D35" i="8" s="1"/>
  <c r="E35" i="8" s="1"/>
  <c r="C39" i="8"/>
  <c r="D39" i="8" s="1"/>
  <c r="E39" i="8" s="1"/>
  <c r="C4" i="8"/>
  <c r="D4" i="8" s="1"/>
  <c r="E4" i="8" s="1"/>
  <c r="C8" i="8"/>
  <c r="D8" i="8" s="1"/>
  <c r="E8" i="8" s="1"/>
  <c r="C12" i="8"/>
  <c r="D12" i="8" s="1"/>
  <c r="E12" i="8" s="1"/>
  <c r="C16" i="8"/>
  <c r="D16" i="8" s="1"/>
  <c r="E16" i="8" s="1"/>
  <c r="C20" i="8"/>
  <c r="D20" i="8" s="1"/>
  <c r="E20" i="8" s="1"/>
  <c r="C24" i="8"/>
  <c r="D24" i="8" s="1"/>
  <c r="E24" i="8" s="1"/>
  <c r="C28" i="8"/>
  <c r="D28" i="8" s="1"/>
  <c r="E28" i="8" s="1"/>
  <c r="C32" i="8"/>
  <c r="D32" i="8" s="1"/>
  <c r="E32" i="8" s="1"/>
  <c r="C36" i="8"/>
  <c r="D36" i="8" s="1"/>
  <c r="E36" i="8" s="1"/>
  <c r="C40" i="8"/>
  <c r="D40" i="8" s="1"/>
  <c r="E40" i="8" s="1"/>
  <c r="C1" i="8"/>
  <c r="D1" i="8" s="1"/>
  <c r="E1" i="8" s="1"/>
  <c r="C2" i="7"/>
  <c r="D2" i="7" s="1"/>
  <c r="E2" i="7" s="1"/>
  <c r="C34" i="7"/>
  <c r="D34" i="7" s="1"/>
  <c r="E34" i="7" s="1"/>
  <c r="C38" i="7"/>
  <c r="D38" i="7" s="1"/>
  <c r="E38" i="7" s="1"/>
  <c r="C7" i="7"/>
  <c r="D7" i="7" s="1"/>
  <c r="E7" i="7" s="1"/>
  <c r="C11" i="7"/>
  <c r="D11" i="7" s="1"/>
  <c r="E11" i="7" s="1"/>
  <c r="C15" i="7"/>
  <c r="D15" i="7" s="1"/>
  <c r="E15" i="7" s="1"/>
  <c r="C19" i="7"/>
  <c r="D19" i="7" s="1"/>
  <c r="E19" i="7" s="1"/>
  <c r="C23" i="7"/>
  <c r="D23" i="7" s="1"/>
  <c r="E23" i="7" s="1"/>
  <c r="C27" i="7"/>
  <c r="D27" i="7" s="1"/>
  <c r="E27" i="7" s="1"/>
  <c r="C31" i="7"/>
  <c r="D31" i="7" s="1"/>
  <c r="E31" i="7" s="1"/>
  <c r="C35" i="7"/>
  <c r="D35" i="7" s="1"/>
  <c r="E35" i="7" s="1"/>
  <c r="C39" i="7"/>
  <c r="D39" i="7" s="1"/>
  <c r="E39" i="7" s="1"/>
  <c r="C4" i="7"/>
  <c r="D4" i="7" s="1"/>
  <c r="E4" i="7" s="1"/>
  <c r="C1" i="7"/>
  <c r="D1" i="7" s="1"/>
  <c r="E1" i="7" s="1"/>
  <c r="C2" i="6"/>
  <c r="D2" i="6" s="1"/>
  <c r="E2" i="6" s="1"/>
  <c r="C3" i="6"/>
  <c r="D3" i="6" s="1"/>
  <c r="E3" i="6" s="1"/>
  <c r="C35" i="6"/>
  <c r="D35" i="6" s="1"/>
  <c r="E35" i="6" s="1"/>
  <c r="C39" i="6"/>
  <c r="D39" i="6" s="1"/>
  <c r="E39" i="6" s="1"/>
  <c r="C36" i="6"/>
  <c r="D36" i="6" s="1"/>
  <c r="E36" i="6" s="1"/>
  <c r="C40" i="6"/>
  <c r="D40" i="6" s="1"/>
  <c r="E40" i="6" s="1"/>
  <c r="C1" i="6"/>
  <c r="D1" i="6" s="1"/>
  <c r="E1" i="6" s="1"/>
  <c r="C6" i="5"/>
  <c r="D6" i="5" s="1"/>
  <c r="E6" i="5" s="1"/>
  <c r="C10" i="5"/>
  <c r="D10" i="5" s="1"/>
  <c r="E10" i="5" s="1"/>
  <c r="C14" i="5"/>
  <c r="D14" i="5" s="1"/>
  <c r="E14" i="5" s="1"/>
  <c r="C18" i="5"/>
  <c r="D18" i="5" s="1"/>
  <c r="E18" i="5" s="1"/>
  <c r="C22" i="5"/>
  <c r="D22" i="5" s="1"/>
  <c r="E22" i="5" s="1"/>
  <c r="C26" i="5"/>
  <c r="D26" i="5" s="1"/>
  <c r="E26" i="5" s="1"/>
  <c r="C30" i="5"/>
  <c r="D30" i="5" s="1"/>
  <c r="E30" i="5" s="1"/>
  <c r="C34" i="5"/>
  <c r="D34" i="5" s="1"/>
  <c r="E34" i="5" s="1"/>
  <c r="C38" i="5"/>
  <c r="D38" i="5" s="1"/>
  <c r="E38" i="5" s="1"/>
  <c r="C7" i="5"/>
  <c r="D7" i="5" s="1"/>
  <c r="E7" i="5" s="1"/>
  <c r="C11" i="5"/>
  <c r="D11" i="5" s="1"/>
  <c r="E11" i="5" s="1"/>
  <c r="C15" i="5"/>
  <c r="D15" i="5" s="1"/>
  <c r="E15" i="5" s="1"/>
  <c r="C19" i="5"/>
  <c r="D19" i="5" s="1"/>
  <c r="E19" i="5" s="1"/>
  <c r="C23" i="5"/>
  <c r="D23" i="5" s="1"/>
  <c r="E23" i="5" s="1"/>
  <c r="C27" i="5"/>
  <c r="D27" i="5" s="1"/>
  <c r="E27" i="5" s="1"/>
  <c r="C31" i="5"/>
  <c r="D31" i="5" s="1"/>
  <c r="E31" i="5" s="1"/>
  <c r="C35" i="5"/>
  <c r="D35" i="5" s="1"/>
  <c r="E35" i="5" s="1"/>
  <c r="C39" i="5"/>
  <c r="D39" i="5" s="1"/>
  <c r="E39" i="5" s="1"/>
  <c r="C4" i="5"/>
  <c r="D4" i="5" s="1"/>
  <c r="E4" i="5" s="1"/>
  <c r="C8" i="5"/>
  <c r="D8" i="5" s="1"/>
  <c r="E8" i="5" s="1"/>
  <c r="C12" i="5"/>
  <c r="D12" i="5" s="1"/>
  <c r="E12" i="5" s="1"/>
  <c r="C16" i="5"/>
  <c r="D16" i="5" s="1"/>
  <c r="E16" i="5" s="1"/>
  <c r="C20" i="5"/>
  <c r="D20" i="5" s="1"/>
  <c r="E20" i="5" s="1"/>
  <c r="C24" i="5"/>
  <c r="D24" i="5" s="1"/>
  <c r="E24" i="5" s="1"/>
  <c r="C28" i="5"/>
  <c r="D28" i="5" s="1"/>
  <c r="E28" i="5" s="1"/>
  <c r="C32" i="5"/>
  <c r="D32" i="5" s="1"/>
  <c r="E32" i="5" s="1"/>
  <c r="C36" i="5"/>
  <c r="D36" i="5" s="1"/>
  <c r="E36" i="5" s="1"/>
  <c r="C40" i="5"/>
  <c r="D40" i="5" s="1"/>
  <c r="E40" i="5" s="1"/>
  <c r="C1" i="5"/>
  <c r="D1" i="5" s="1"/>
  <c r="E1" i="5" s="1"/>
  <c r="C2" i="4"/>
  <c r="D2" i="4" s="1"/>
  <c r="E2" i="4" s="1"/>
  <c r="C7" i="4"/>
  <c r="D7" i="4" s="1"/>
  <c r="E7" i="4" s="1"/>
  <c r="C11" i="4"/>
  <c r="D11" i="4" s="1"/>
  <c r="E11" i="4" s="1"/>
  <c r="C15" i="4"/>
  <c r="D15" i="4" s="1"/>
  <c r="E15" i="4" s="1"/>
  <c r="C19" i="4"/>
  <c r="D19" i="4" s="1"/>
  <c r="E19" i="4" s="1"/>
  <c r="C23" i="4"/>
  <c r="D23" i="4" s="1"/>
  <c r="E23" i="4" s="1"/>
  <c r="C27" i="4"/>
  <c r="D27" i="4" s="1"/>
  <c r="E27" i="4" s="1"/>
  <c r="C31" i="4"/>
  <c r="D31" i="4" s="1"/>
  <c r="E31" i="4" s="1"/>
  <c r="C35" i="4"/>
  <c r="D35" i="4" s="1"/>
  <c r="E35" i="4" s="1"/>
  <c r="C39" i="4"/>
  <c r="D39" i="4" s="1"/>
  <c r="E39" i="4" s="1"/>
  <c r="C4" i="4"/>
  <c r="D4" i="4" s="1"/>
  <c r="E4" i="4" s="1"/>
  <c r="C8" i="4"/>
  <c r="D8" i="4" s="1"/>
  <c r="E8" i="4" s="1"/>
  <c r="C12" i="4"/>
  <c r="D12" i="4" s="1"/>
  <c r="E12" i="4" s="1"/>
  <c r="C16" i="4"/>
  <c r="D16" i="4" s="1"/>
  <c r="E16" i="4" s="1"/>
  <c r="C20" i="4"/>
  <c r="D20" i="4" s="1"/>
  <c r="E20" i="4" s="1"/>
  <c r="C24" i="4"/>
  <c r="D24" i="4" s="1"/>
  <c r="E24" i="4" s="1"/>
  <c r="C28" i="4"/>
  <c r="D28" i="4" s="1"/>
  <c r="E28" i="4" s="1"/>
  <c r="C32" i="4"/>
  <c r="D32" i="4" s="1"/>
  <c r="E32" i="4" s="1"/>
  <c r="C36" i="4"/>
  <c r="D36" i="4" s="1"/>
  <c r="E36" i="4" s="1"/>
  <c r="C40" i="4"/>
  <c r="D40" i="4" s="1"/>
  <c r="E40" i="4" s="1"/>
  <c r="C2" i="3"/>
  <c r="D2" i="3" s="1"/>
  <c r="E2" i="3" s="1"/>
  <c r="C7" i="3"/>
  <c r="D7" i="3" s="1"/>
  <c r="E7" i="3" s="1"/>
  <c r="C11" i="3"/>
  <c r="D11" i="3" s="1"/>
  <c r="E11" i="3" s="1"/>
  <c r="C15" i="3"/>
  <c r="D15" i="3" s="1"/>
  <c r="E15" i="3" s="1"/>
  <c r="C19" i="3"/>
  <c r="D19" i="3" s="1"/>
  <c r="E19" i="3" s="1"/>
  <c r="C23" i="3"/>
  <c r="D23" i="3" s="1"/>
  <c r="E23" i="3" s="1"/>
  <c r="C27" i="3"/>
  <c r="D27" i="3" s="1"/>
  <c r="E27" i="3" s="1"/>
  <c r="C31" i="3"/>
  <c r="D31" i="3" s="1"/>
  <c r="E31" i="3" s="1"/>
  <c r="C35" i="3"/>
  <c r="D35" i="3" s="1"/>
  <c r="E35" i="3" s="1"/>
  <c r="C39" i="3"/>
  <c r="D39" i="3" s="1"/>
  <c r="E39" i="3" s="1"/>
  <c r="C1" i="3"/>
  <c r="D1" i="3" s="1"/>
  <c r="E1" i="3" s="1"/>
  <c r="C2" i="2"/>
  <c r="D2" i="2" s="1"/>
  <c r="E2" i="2" s="1"/>
  <c r="C3" i="2"/>
  <c r="D3" i="2" s="1"/>
  <c r="E3" i="2" s="1"/>
  <c r="C4" i="2"/>
  <c r="D4" i="2" s="1"/>
  <c r="E4" i="2" s="1"/>
  <c r="H5" i="29" l="1"/>
  <c r="H5" i="26"/>
  <c r="H5" i="20"/>
  <c r="H5" i="19"/>
  <c r="H5" i="18"/>
  <c r="H5" i="17"/>
  <c r="H5" i="16"/>
  <c r="H5" i="15"/>
  <c r="H5" i="12"/>
  <c r="H5" i="10"/>
  <c r="H5" i="8"/>
  <c r="H5" i="4"/>
  <c r="H5" i="3"/>
  <c r="H5" i="2"/>
  <c r="H5" i="32"/>
  <c r="H5" i="31"/>
  <c r="H5" i="30"/>
  <c r="H5" i="28"/>
  <c r="H5" i="27"/>
  <c r="H5" i="25"/>
  <c r="H5" i="24"/>
  <c r="H5" i="23"/>
  <c r="H5" i="22"/>
  <c r="H5" i="21"/>
  <c r="H5" i="14"/>
  <c r="H5" i="13"/>
  <c r="H5" i="11"/>
  <c r="H5" i="9"/>
  <c r="H5" i="7"/>
  <c r="H5" i="6"/>
  <c r="H5" i="5"/>
</calcChain>
</file>

<file path=xl/sharedStrings.xml><?xml version="1.0" encoding="utf-8"?>
<sst xmlns="http://schemas.openxmlformats.org/spreadsheetml/2006/main" count="93" uniqueCount="3">
  <si>
    <t>b</t>
  </si>
  <si>
    <t>a_b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</si>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</sst>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DAFB-85FC-47D5-A314-902310C5CA3A}">
  <dimension ref="A1:B31"/>
  <sheetViews>
    <sheetView workbookViewId="0">
      <selection activeCell="B1" sqref="B1:B31"/>
    </sheetView>
  </sheetViews>
  <sheetFormatPr defaultRowHeight="15.75" x14ac:dyDescent="0.25"/>
  <sheetData>
    <row r="1" spans="1:2" x14ac:dyDescent="0.25">
      <c r="A1">
        <v>1E-4</v>
      </c>
      <c r="B1">
        <f>'0.0001'!$H$1</f>
        <v>6.5164392887831366E-2</v>
      </c>
    </row>
    <row r="2" spans="1:2" x14ac:dyDescent="0.25">
      <c r="A2">
        <v>1E-3</v>
      </c>
      <c r="B2">
        <f>'0.001'!$H$1</f>
        <v>6.9849316016434404E-2</v>
      </c>
    </row>
    <row r="3" spans="1:2" x14ac:dyDescent="0.25">
      <c r="A3">
        <v>5.0000000000000001E-3</v>
      </c>
      <c r="B3">
        <f>'0.005'!$H$1</f>
        <v>0.12634099858575415</v>
      </c>
    </row>
    <row r="4" spans="1:2" x14ac:dyDescent="0.25">
      <c r="A4">
        <v>0.01</v>
      </c>
      <c r="B4">
        <f>'0.01'!$H$1</f>
        <v>0.1504580835402381</v>
      </c>
    </row>
    <row r="5" spans="1:2" x14ac:dyDescent="0.25">
      <c r="A5">
        <v>2.5000000000000001E-2</v>
      </c>
      <c r="B5">
        <f>'0.025'!$H$1</f>
        <v>0.19075613922184242</v>
      </c>
    </row>
    <row r="6" spans="1:2" x14ac:dyDescent="0.25">
      <c r="A6">
        <v>0.05</v>
      </c>
      <c r="B6">
        <f>'0.05'!$H$1</f>
        <v>0.22638138242275033</v>
      </c>
    </row>
    <row r="7" spans="1:2" x14ac:dyDescent="0.25">
      <c r="A7">
        <v>7.4999999999999997E-2</v>
      </c>
      <c r="B7">
        <f>'0.075'!$H$1</f>
        <v>0.25888714956727438</v>
      </c>
    </row>
    <row r="8" spans="1:2" x14ac:dyDescent="0.25">
      <c r="A8">
        <v>0.1</v>
      </c>
      <c r="B8">
        <f>'0.1'!$H$1</f>
        <v>0.28143351228849472</v>
      </c>
    </row>
    <row r="9" spans="1:2" x14ac:dyDescent="0.25">
      <c r="A9">
        <v>0.15</v>
      </c>
      <c r="B9">
        <f>'0.15'!$H$1</f>
        <v>0.326896544390679</v>
      </c>
    </row>
    <row r="10" spans="1:2" x14ac:dyDescent="0.25">
      <c r="A10">
        <v>0.2</v>
      </c>
      <c r="B10">
        <f>'0.2'!$H$1</f>
        <v>0.3735538113893942</v>
      </c>
    </row>
    <row r="11" spans="1:2" x14ac:dyDescent="0.25">
      <c r="A11">
        <v>0.25</v>
      </c>
      <c r="B11">
        <f>'0.25'!$H$1</f>
        <v>0.42625863773940137</v>
      </c>
    </row>
    <row r="12" spans="1:2" x14ac:dyDescent="0.25">
      <c r="A12">
        <v>0.3</v>
      </c>
      <c r="B12">
        <f>'0.3'!$H$1</f>
        <v>0.47756691927778999</v>
      </c>
    </row>
    <row r="13" spans="1:2" x14ac:dyDescent="0.25">
      <c r="A13">
        <v>0.35</v>
      </c>
      <c r="B13">
        <f>'0.35'!$H$1</f>
        <v>0.52886076099895007</v>
      </c>
    </row>
    <row r="14" spans="1:2" x14ac:dyDescent="0.25">
      <c r="A14">
        <v>0.4</v>
      </c>
      <c r="B14">
        <f>'0.4'!$H$1</f>
        <v>0.58643825529396854</v>
      </c>
    </row>
    <row r="15" spans="1:2" x14ac:dyDescent="0.25">
      <c r="A15">
        <v>0.45</v>
      </c>
      <c r="B15">
        <f>'0.45'!$H$1</f>
        <v>0.64669554420784658</v>
      </c>
    </row>
    <row r="16" spans="1:2" x14ac:dyDescent="0.25">
      <c r="A16">
        <v>0.5</v>
      </c>
      <c r="B16">
        <f>'0.5'!$H$1</f>
        <v>0.724000624200272</v>
      </c>
    </row>
    <row r="17" spans="1:2" x14ac:dyDescent="0.25">
      <c r="A17">
        <v>0.55000000000000004</v>
      </c>
      <c r="B17">
        <f>'0.55'!$H$1</f>
        <v>0.80601649379384555</v>
      </c>
    </row>
    <row r="18" spans="1:2" x14ac:dyDescent="0.25">
      <c r="A18">
        <v>0.6</v>
      </c>
      <c r="B18">
        <f>'0.6'!$H$1</f>
        <v>0.90529445525708074</v>
      </c>
    </row>
    <row r="19" spans="1:2" x14ac:dyDescent="0.25">
      <c r="A19">
        <v>0.65</v>
      </c>
      <c r="B19">
        <f>'0.65'!$H$1</f>
        <v>1.0264701530623386</v>
      </c>
    </row>
    <row r="20" spans="1:2" x14ac:dyDescent="0.25">
      <c r="A20">
        <v>0.7</v>
      </c>
      <c r="B20">
        <f>'0.7'!$H$1</f>
        <v>1.1664205143661481</v>
      </c>
    </row>
    <row r="21" spans="1:2" x14ac:dyDescent="0.25">
      <c r="A21">
        <v>0.75</v>
      </c>
      <c r="B21">
        <f>'0.75'!$H$1</f>
        <v>1.3470518624254197</v>
      </c>
    </row>
    <row r="22" spans="1:2" x14ac:dyDescent="0.25">
      <c r="A22">
        <v>0.8</v>
      </c>
      <c r="B22">
        <f>'0.8'!$H$1</f>
        <v>1.5936394297039973</v>
      </c>
    </row>
    <row r="23" spans="1:2" x14ac:dyDescent="0.25">
      <c r="A23">
        <v>0.85</v>
      </c>
      <c r="B23">
        <f>'0.85'!$H$1</f>
        <v>1.9650638674328744</v>
      </c>
    </row>
    <row r="24" spans="1:2" x14ac:dyDescent="0.25">
      <c r="A24">
        <v>0.9</v>
      </c>
      <c r="B24">
        <f>'0.9'!$H$1</f>
        <v>2.584689987899893</v>
      </c>
    </row>
    <row r="25" spans="1:2" x14ac:dyDescent="0.25">
      <c r="A25">
        <v>0.92500000000000004</v>
      </c>
      <c r="B25">
        <f>'0.925'!$H$1</f>
        <v>3.1093904913438157</v>
      </c>
    </row>
    <row r="26" spans="1:2" x14ac:dyDescent="0.25">
      <c r="A26">
        <v>0.95</v>
      </c>
      <c r="B26">
        <f>'0.95'!$H$1</f>
        <v>3.9959196459363819</v>
      </c>
    </row>
    <row r="27" spans="1:2" x14ac:dyDescent="0.25">
      <c r="A27">
        <v>0.97499999999999998</v>
      </c>
      <c r="B27">
        <f>'0.975'!$H$1</f>
        <v>6.0454476393928278</v>
      </c>
    </row>
    <row r="28" spans="1:2" x14ac:dyDescent="0.25">
      <c r="A28">
        <v>0.99</v>
      </c>
      <c r="B28">
        <f>'0.99'!$H$1</f>
        <v>10.082728320934537</v>
      </c>
    </row>
    <row r="29" spans="1:2" x14ac:dyDescent="0.25">
      <c r="A29">
        <v>0.995</v>
      </c>
      <c r="B29">
        <f>'0.995'!$H$1</f>
        <v>14.597327287342324</v>
      </c>
    </row>
    <row r="30" spans="1:2" x14ac:dyDescent="0.25">
      <c r="A30">
        <v>0.999</v>
      </c>
      <c r="B30">
        <f>'0.999'!$H$1</f>
        <v>33.642244260738231</v>
      </c>
    </row>
    <row r="31" spans="1:2" x14ac:dyDescent="0.25">
      <c r="A31">
        <v>0.99990000000000001</v>
      </c>
      <c r="B31">
        <f>'0.9999'!$H$1</f>
        <v>156.94104008930259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47C5-A6E0-460A-AD41-4DF9D6E6534F}">
  <dimension ref="A1:H40"/>
  <sheetViews>
    <sheetView tabSelected="1" workbookViewId="0">
      <selection activeCell="C1" sqref="C1:H40"/>
    </sheetView>
  </sheetViews>
  <sheetFormatPr defaultColWidth="11" defaultRowHeight="15.75" x14ac:dyDescent="0.25"/>
  <sheetData>
    <row r="1" spans="1:8" x14ac:dyDescent="0.25">
      <c r="A1">
        <v>9.1813851225000007E-2</v>
      </c>
      <c r="B1">
        <v>0.81766000859773857</v>
      </c>
      <c r="C1">
        <f>$H$3*(1+$H$1)*(A1^($H$1))*EXP(-$H$3*(A1^(1+$H$1)))</f>
        <v>0.82260598458624978</v>
      </c>
      <c r="D1">
        <f>B1-C1</f>
        <v>-4.9459759885112087E-3</v>
      </c>
      <c r="E1">
        <f>D1^2</f>
        <v>2.4462678478929429E-5</v>
      </c>
      <c r="G1" t="s">
        <v>0</v>
      </c>
      <c r="H1">
        <v>6.5164392887831366E-2</v>
      </c>
    </row>
    <row r="2" spans="1:8" x14ac:dyDescent="0.25">
      <c r="A2">
        <v>0.27424340967500005</v>
      </c>
      <c r="B2">
        <v>0.73202669688648891</v>
      </c>
      <c r="C2">
        <f t="shared" ref="C2:C40" si="0">$H$3*(1+$H$1)*(A2^($H$1))*EXP(-$H$3*(A2^(1+$H$1)))</f>
        <v>0.74604800154544926</v>
      </c>
      <c r="D2">
        <f t="shared" ref="D2:D40" si="1">B2-C2</f>
        <v>-1.4021304658960343E-2</v>
      </c>
      <c r="E2">
        <f t="shared" ref="E2:E40" si="2">D2^2</f>
        <v>1.9659698433938301E-4</v>
      </c>
    </row>
    <row r="3" spans="1:8" x14ac:dyDescent="0.25">
      <c r="A3">
        <v>0.45667296812500002</v>
      </c>
      <c r="B3">
        <v>0.62463976163568802</v>
      </c>
      <c r="C3">
        <f t="shared" si="0"/>
        <v>0.6460448755034488</v>
      </c>
      <c r="D3">
        <f t="shared" si="1"/>
        <v>-2.1405113867760783E-2</v>
      </c>
      <c r="E3">
        <f t="shared" si="2"/>
        <v>4.58178899691805E-4</v>
      </c>
      <c r="G3" t="s">
        <v>1</v>
      </c>
      <c r="H3">
        <f>(_xlfn.GAMMA((2+$H$1)/(1+$H$1)))^(1+$H$1)</f>
        <v>0.9740932968547672</v>
      </c>
    </row>
    <row r="4" spans="1:8" x14ac:dyDescent="0.25">
      <c r="A4">
        <v>0.63910252657500011</v>
      </c>
      <c r="B4">
        <v>0.54142351920661069</v>
      </c>
      <c r="C4">
        <f t="shared" si="0"/>
        <v>0.55049436676027885</v>
      </c>
      <c r="D4">
        <f t="shared" si="1"/>
        <v>-9.0708475536681599E-3</v>
      </c>
      <c r="E4">
        <f t="shared" si="2"/>
        <v>8.2280275341887641E-5</v>
      </c>
    </row>
    <row r="5" spans="1:8" x14ac:dyDescent="0.25">
      <c r="A5">
        <v>0.82153208502500008</v>
      </c>
      <c r="B5">
        <v>0.45579020749536103</v>
      </c>
      <c r="C5">
        <f t="shared" si="0"/>
        <v>0.46487245744101557</v>
      </c>
      <c r="D5">
        <f t="shared" si="1"/>
        <v>-9.0822499456545414E-3</v>
      </c>
      <c r="E5">
        <f t="shared" si="2"/>
        <v>8.2487264075341914E-5</v>
      </c>
      <c r="G5" t="s">
        <v>2</v>
      </c>
      <c r="H5">
        <f>SUM(E1:E40)</f>
        <v>2.7693490793255231E-3</v>
      </c>
    </row>
    <row r="6" spans="1:8" x14ac:dyDescent="0.25">
      <c r="A6">
        <v>1.0039616434750001</v>
      </c>
      <c r="B6">
        <v>0.36359627916107212</v>
      </c>
      <c r="C6">
        <f t="shared" si="0"/>
        <v>0.39021176308201144</v>
      </c>
      <c r="D6">
        <f t="shared" si="1"/>
        <v>-2.661548392093932E-2</v>
      </c>
      <c r="E6">
        <f t="shared" si="2"/>
        <v>7.0838398434577951E-4</v>
      </c>
    </row>
    <row r="7" spans="1:8" x14ac:dyDescent="0.25">
      <c r="A7">
        <v>1.186391201925</v>
      </c>
      <c r="B7">
        <v>0.32699494431674764</v>
      </c>
      <c r="C7">
        <f t="shared" si="0"/>
        <v>0.32609049447978278</v>
      </c>
      <c r="D7">
        <f t="shared" si="1"/>
        <v>9.0444983696486014E-4</v>
      </c>
      <c r="E7">
        <f t="shared" si="2"/>
        <v>8.1802950758576207E-7</v>
      </c>
    </row>
    <row r="8" spans="1:8" x14ac:dyDescent="0.25">
      <c r="A8">
        <v>1.368820760375</v>
      </c>
      <c r="B8">
        <v>0.2865953577432952</v>
      </c>
      <c r="C8">
        <f t="shared" si="0"/>
        <v>0.27155811984850264</v>
      </c>
      <c r="D8">
        <f t="shared" si="1"/>
        <v>1.5037237894792554E-2</v>
      </c>
      <c r="E8">
        <f t="shared" si="2"/>
        <v>2.2611852350458523E-4</v>
      </c>
    </row>
    <row r="9" spans="1:8" x14ac:dyDescent="0.25">
      <c r="A9">
        <v>1.551250318825</v>
      </c>
      <c r="B9">
        <v>0.23583690281767544</v>
      </c>
      <c r="C9">
        <f t="shared" si="0"/>
        <v>0.22550158456833877</v>
      </c>
      <c r="D9">
        <f t="shared" si="1"/>
        <v>1.0335318249336672E-2</v>
      </c>
      <c r="E9">
        <f t="shared" si="2"/>
        <v>1.0681880331507165E-4</v>
      </c>
    </row>
    <row r="10" spans="1:8" x14ac:dyDescent="0.25">
      <c r="A10">
        <v>1.7336798772749999</v>
      </c>
      <c r="B10">
        <v>0.19440142940900626</v>
      </c>
      <c r="C10">
        <f t="shared" si="0"/>
        <v>0.18680678951201352</v>
      </c>
      <c r="D10">
        <f t="shared" si="1"/>
        <v>7.5946398969927442E-3</v>
      </c>
      <c r="E10">
        <f t="shared" si="2"/>
        <v>5.7678555164993958E-5</v>
      </c>
    </row>
    <row r="11" spans="1:8" x14ac:dyDescent="0.25">
      <c r="A11">
        <v>1.9161094357250001</v>
      </c>
      <c r="B11">
        <v>0.16781366730511021</v>
      </c>
      <c r="C11">
        <f t="shared" si="0"/>
        <v>0.15443131385509454</v>
      </c>
      <c r="D11">
        <f t="shared" si="1"/>
        <v>1.3382353450015677E-2</v>
      </c>
      <c r="E11">
        <f t="shared" si="2"/>
        <v>1.7908738386114648E-4</v>
      </c>
    </row>
    <row r="12" spans="1:8" x14ac:dyDescent="0.25">
      <c r="A12">
        <v>2.0985389941750001</v>
      </c>
      <c r="B12">
        <v>0.13362940174295812</v>
      </c>
      <c r="C12">
        <f t="shared" si="0"/>
        <v>0.12743465636074722</v>
      </c>
      <c r="D12">
        <f t="shared" si="1"/>
        <v>6.1947453822109033E-3</v>
      </c>
      <c r="E12">
        <f t="shared" si="2"/>
        <v>3.8374870350423313E-5</v>
      </c>
    </row>
    <row r="13" spans="1:8" x14ac:dyDescent="0.25">
      <c r="A13">
        <v>2.2809685526250001</v>
      </c>
      <c r="B13">
        <v>0.12050816849687955</v>
      </c>
      <c r="C13">
        <f t="shared" si="0"/>
        <v>0.10498705995591311</v>
      </c>
      <c r="D13">
        <f t="shared" si="1"/>
        <v>1.5521108540966444E-2</v>
      </c>
      <c r="E13">
        <f t="shared" si="2"/>
        <v>2.4090481034046149E-4</v>
      </c>
    </row>
    <row r="14" spans="1:8" x14ac:dyDescent="0.25">
      <c r="A14">
        <v>2.4633981110750001</v>
      </c>
      <c r="B14">
        <v>8.9431563440377657E-2</v>
      </c>
      <c r="C14">
        <f t="shared" si="0"/>
        <v>8.6367403724455546E-2</v>
      </c>
      <c r="D14">
        <f t="shared" si="1"/>
        <v>3.0641597159221101E-3</v>
      </c>
      <c r="E14">
        <f t="shared" si="2"/>
        <v>9.3890747646798659E-6</v>
      </c>
    </row>
    <row r="15" spans="1:8" x14ac:dyDescent="0.25">
      <c r="A15">
        <v>2.645827669525</v>
      </c>
      <c r="B15">
        <v>8.1144468758643826E-2</v>
      </c>
      <c r="C15">
        <f t="shared" si="0"/>
        <v>7.0955695583472159E-2</v>
      </c>
      <c r="D15">
        <f t="shared" si="1"/>
        <v>1.0188773175171667E-2</v>
      </c>
      <c r="E15">
        <f t="shared" si="2"/>
        <v>1.0381109881509773E-4</v>
      </c>
    </row>
    <row r="16" spans="1:8" x14ac:dyDescent="0.25">
      <c r="A16">
        <v>2.828257227975</v>
      </c>
      <c r="B16">
        <v>6.0426732054309228E-2</v>
      </c>
      <c r="C16">
        <f t="shared" si="0"/>
        <v>5.8223188278476619E-2</v>
      </c>
      <c r="D16">
        <f t="shared" si="1"/>
        <v>2.2035437758326087E-3</v>
      </c>
      <c r="E16">
        <f t="shared" si="2"/>
        <v>4.8556051720106305E-6</v>
      </c>
    </row>
    <row r="17" spans="1:5" x14ac:dyDescent="0.25">
      <c r="A17">
        <v>3.010686786425</v>
      </c>
      <c r="B17">
        <v>5.9736140830831411E-2</v>
      </c>
      <c r="C17">
        <f t="shared" si="0"/>
        <v>4.772179081171786E-2</v>
      </c>
      <c r="D17">
        <f t="shared" si="1"/>
        <v>1.2014350019113551E-2</v>
      </c>
      <c r="E17">
        <f t="shared" si="2"/>
        <v>1.4434460638177379E-4</v>
      </c>
    </row>
    <row r="18" spans="1:5" x14ac:dyDescent="0.25">
      <c r="A18">
        <v>3.193116344875</v>
      </c>
      <c r="B18">
        <v>4.4197838302580464E-2</v>
      </c>
      <c r="C18">
        <f t="shared" si="0"/>
        <v>3.9073689991904845E-2</v>
      </c>
      <c r="D18">
        <f t="shared" si="1"/>
        <v>5.1241483106756192E-3</v>
      </c>
      <c r="E18">
        <f t="shared" si="2"/>
        <v>2.6256895909799802E-5</v>
      </c>
    </row>
    <row r="19" spans="1:5" x14ac:dyDescent="0.25">
      <c r="A19">
        <v>3.3755459033249999</v>
      </c>
      <c r="B19">
        <v>3.0040718221285161E-2</v>
      </c>
      <c r="C19">
        <f t="shared" si="0"/>
        <v>3.1961660368648163E-2</v>
      </c>
      <c r="D19">
        <f t="shared" si="1"/>
        <v>-1.9209421473630021E-3</v>
      </c>
      <c r="E19">
        <f t="shared" si="2"/>
        <v>3.6900187335155817E-6</v>
      </c>
    </row>
    <row r="20" spans="1:5" x14ac:dyDescent="0.25">
      <c r="A20">
        <v>3.5579754617749999</v>
      </c>
      <c r="B20">
        <v>2.6933057715634971E-2</v>
      </c>
      <c r="C20">
        <f t="shared" si="0"/>
        <v>2.612028594659278E-2</v>
      </c>
      <c r="D20">
        <f t="shared" si="1"/>
        <v>8.1277176904219137E-4</v>
      </c>
      <c r="E20">
        <f t="shared" si="2"/>
        <v>6.605979485519733E-7</v>
      </c>
    </row>
    <row r="21" spans="1:5" x14ac:dyDescent="0.25">
      <c r="A21">
        <v>3.7404050202249999</v>
      </c>
      <c r="B21">
        <v>2.486128404520151E-2</v>
      </c>
      <c r="C21">
        <f t="shared" si="0"/>
        <v>2.1328168331242518E-2</v>
      </c>
      <c r="D21">
        <f t="shared" si="1"/>
        <v>3.5331157139589925E-3</v>
      </c>
      <c r="E21">
        <f t="shared" si="2"/>
        <v>1.2482906648223961E-5</v>
      </c>
    </row>
    <row r="22" spans="1:5" x14ac:dyDescent="0.25">
      <c r="A22">
        <v>3.9228345786750003</v>
      </c>
      <c r="B22">
        <v>1.7264780586945493E-2</v>
      </c>
      <c r="C22">
        <f t="shared" si="0"/>
        <v>1.7401110697694028E-2</v>
      </c>
      <c r="D22">
        <f t="shared" si="1"/>
        <v>-1.3633011074853582E-4</v>
      </c>
      <c r="E22">
        <f t="shared" si="2"/>
        <v>1.8585899096708041E-8</v>
      </c>
    </row>
    <row r="23" spans="1:5" x14ac:dyDescent="0.25">
      <c r="A23">
        <v>4.1052641371250003</v>
      </c>
      <c r="B23">
        <v>1.0358868352167297E-2</v>
      </c>
      <c r="C23">
        <f t="shared" si="0"/>
        <v>1.4186220218791059E-2</v>
      </c>
      <c r="D23">
        <f t="shared" si="1"/>
        <v>-3.827351866623762E-3</v>
      </c>
      <c r="E23">
        <f t="shared" si="2"/>
        <v>1.4648622310948394E-5</v>
      </c>
    </row>
    <row r="24" spans="1:5" x14ac:dyDescent="0.25">
      <c r="A24">
        <v>4.2876936955750002</v>
      </c>
      <c r="B24">
        <v>1.1049459575645116E-2</v>
      </c>
      <c r="C24">
        <f t="shared" si="0"/>
        <v>1.1556848301546276E-2</v>
      </c>
      <c r="D24">
        <f t="shared" si="1"/>
        <v>-5.073887259011596E-4</v>
      </c>
      <c r="E24">
        <f t="shared" si="2"/>
        <v>2.5744331917160208E-7</v>
      </c>
    </row>
    <row r="25" spans="1:5" x14ac:dyDescent="0.25">
      <c r="A25">
        <v>4.4701232540250002</v>
      </c>
      <c r="B25">
        <v>5.8700253995614682E-3</v>
      </c>
      <c r="C25">
        <f t="shared" si="0"/>
        <v>9.4082789156341232E-3</v>
      </c>
      <c r="D25">
        <f t="shared" si="1"/>
        <v>-3.538253516072655E-3</v>
      </c>
      <c r="E25">
        <f t="shared" si="2"/>
        <v>1.2519237944000506E-5</v>
      </c>
    </row>
    <row r="26" spans="1:5" x14ac:dyDescent="0.25">
      <c r="A26">
        <v>4.6525528124750002</v>
      </c>
      <c r="B26">
        <v>5.524729787822558E-3</v>
      </c>
      <c r="C26">
        <f t="shared" si="0"/>
        <v>7.6540746923843394E-3</v>
      </c>
      <c r="D26">
        <f t="shared" si="1"/>
        <v>-2.1293449045617814E-3</v>
      </c>
      <c r="E26">
        <f t="shared" si="2"/>
        <v>4.5341097225832218E-6</v>
      </c>
    </row>
    <row r="27" spans="1:5" x14ac:dyDescent="0.25">
      <c r="A27">
        <v>4.8349823709250002</v>
      </c>
      <c r="B27">
        <v>3.7982517291280087E-3</v>
      </c>
      <c r="C27">
        <f t="shared" si="0"/>
        <v>6.2229947070328367E-3</v>
      </c>
      <c r="D27">
        <f t="shared" si="1"/>
        <v>-2.424742977904828E-3</v>
      </c>
      <c r="E27">
        <f t="shared" si="2"/>
        <v>5.8793785088987735E-6</v>
      </c>
    </row>
    <row r="28" spans="1:5" x14ac:dyDescent="0.25">
      <c r="A28">
        <v>5.0174119293750001</v>
      </c>
      <c r="B28">
        <v>3.1076605056501888E-3</v>
      </c>
      <c r="C28">
        <f t="shared" si="0"/>
        <v>5.0564046553279582E-3</v>
      </c>
      <c r="D28">
        <f t="shared" si="1"/>
        <v>-1.9487441496777694E-3</v>
      </c>
      <c r="E28">
        <f t="shared" si="2"/>
        <v>3.7976037609033326E-6</v>
      </c>
    </row>
    <row r="29" spans="1:5" x14ac:dyDescent="0.25">
      <c r="A29">
        <v>5.1998414878250001</v>
      </c>
      <c r="B29">
        <v>2.4170692821723692E-3</v>
      </c>
      <c r="C29">
        <f t="shared" si="0"/>
        <v>4.1061080774064049E-3</v>
      </c>
      <c r="D29">
        <f t="shared" si="1"/>
        <v>-1.6890387952340357E-3</v>
      </c>
      <c r="E29">
        <f t="shared" si="2"/>
        <v>2.8528520518056427E-6</v>
      </c>
    </row>
    <row r="30" spans="1:5" x14ac:dyDescent="0.25">
      <c r="A30">
        <v>5.3822710462750001</v>
      </c>
      <c r="B30">
        <v>1.3811824469556395E-3</v>
      </c>
      <c r="C30">
        <f t="shared" si="0"/>
        <v>3.3325354955976621E-3</v>
      </c>
      <c r="D30">
        <f t="shared" si="1"/>
        <v>-1.9513530486420226E-3</v>
      </c>
      <c r="E30">
        <f t="shared" si="2"/>
        <v>3.8077787204445158E-6</v>
      </c>
    </row>
    <row r="31" spans="1:5" x14ac:dyDescent="0.25">
      <c r="A31">
        <v>5.5647006047250001</v>
      </c>
      <c r="B31">
        <v>0</v>
      </c>
      <c r="C31">
        <f t="shared" si="0"/>
        <v>2.703236300896326E-3</v>
      </c>
      <c r="D31">
        <f t="shared" si="1"/>
        <v>-2.703236300896326E-3</v>
      </c>
      <c r="E31">
        <f t="shared" si="2"/>
        <v>7.3074864984836523E-6</v>
      </c>
    </row>
    <row r="32" spans="1:5" x14ac:dyDescent="0.25">
      <c r="A32">
        <v>5.747130163175</v>
      </c>
      <c r="B32">
        <v>1.3811824469556395E-3</v>
      </c>
      <c r="C32">
        <f t="shared" si="0"/>
        <v>2.1916256556666369E-3</v>
      </c>
      <c r="D32">
        <f t="shared" si="1"/>
        <v>-8.1044320871099737E-4</v>
      </c>
      <c r="E32">
        <f t="shared" si="2"/>
        <v>6.5681819454577725E-7</v>
      </c>
    </row>
    <row r="33" spans="1:5" x14ac:dyDescent="0.25">
      <c r="A33">
        <v>5.929559721625</v>
      </c>
      <c r="B33">
        <v>1.0358868352167297E-3</v>
      </c>
      <c r="C33">
        <f t="shared" si="0"/>
        <v>1.7759454339312073E-3</v>
      </c>
      <c r="D33">
        <f t="shared" si="1"/>
        <v>-7.4005859871447755E-4</v>
      </c>
      <c r="E33">
        <f t="shared" si="2"/>
        <v>5.4768672953123608E-7</v>
      </c>
    </row>
    <row r="34" spans="1:5" x14ac:dyDescent="0.25">
      <c r="A34">
        <v>6.111989280075</v>
      </c>
      <c r="B34">
        <v>0</v>
      </c>
      <c r="C34">
        <f t="shared" si="0"/>
        <v>1.4384042434324926E-3</v>
      </c>
      <c r="D34">
        <f t="shared" si="1"/>
        <v>-1.4384042434324926E-3</v>
      </c>
      <c r="E34">
        <f t="shared" si="2"/>
        <v>2.0690067675246015E-6</v>
      </c>
    </row>
    <row r="35" spans="1:5" x14ac:dyDescent="0.25">
      <c r="A35">
        <v>6.2944188385249999</v>
      </c>
      <c r="B35">
        <v>3.4529561173890987E-4</v>
      </c>
      <c r="C35">
        <f t="shared" si="0"/>
        <v>1.1644668699794377E-3</v>
      </c>
      <c r="D35">
        <f t="shared" si="1"/>
        <v>-8.1917125824052786E-4</v>
      </c>
      <c r="E35">
        <f t="shared" si="2"/>
        <v>6.7104155032736962E-7</v>
      </c>
    </row>
    <row r="36" spans="1:5" x14ac:dyDescent="0.25">
      <c r="A36">
        <v>6.4768483969749999</v>
      </c>
      <c r="B36">
        <v>0</v>
      </c>
      <c r="C36">
        <f t="shared" si="0"/>
        <v>9.4226809186298522E-4</v>
      </c>
      <c r="D36">
        <f t="shared" si="1"/>
        <v>-9.4226809186298522E-4</v>
      </c>
      <c r="E36">
        <f t="shared" si="2"/>
        <v>8.8786915694311118E-7</v>
      </c>
    </row>
    <row r="37" spans="1:5" x14ac:dyDescent="0.25">
      <c r="A37">
        <v>6.6592779554249999</v>
      </c>
      <c r="B37">
        <v>0</v>
      </c>
      <c r="C37">
        <f t="shared" si="0"/>
        <v>7.6212978559353202E-4</v>
      </c>
      <c r="D37">
        <f t="shared" si="1"/>
        <v>-7.6212978559353202E-4</v>
      </c>
      <c r="E37">
        <f t="shared" si="2"/>
        <v>5.8084181008884312E-7</v>
      </c>
    </row>
    <row r="38" spans="1:5" x14ac:dyDescent="0.25">
      <c r="A38">
        <v>6.8417075138749999</v>
      </c>
      <c r="B38">
        <v>0</v>
      </c>
      <c r="C38">
        <f t="shared" si="0"/>
        <v>6.1616364710489753E-4</v>
      </c>
      <c r="D38">
        <f t="shared" si="1"/>
        <v>-6.1616364710489753E-4</v>
      </c>
      <c r="E38">
        <f t="shared" si="2"/>
        <v>3.7965764001360871E-7</v>
      </c>
    </row>
    <row r="39" spans="1:5" x14ac:dyDescent="0.25">
      <c r="A39">
        <v>7.0241370723249998</v>
      </c>
      <c r="B39">
        <v>0</v>
      </c>
      <c r="C39">
        <f t="shared" si="0"/>
        <v>4.9794474988935173E-4</v>
      </c>
      <c r="D39">
        <f t="shared" si="1"/>
        <v>-4.9794474988935173E-4</v>
      </c>
      <c r="E39">
        <f t="shared" si="2"/>
        <v>2.4794897394236907E-7</v>
      </c>
    </row>
    <row r="40" spans="1:5" x14ac:dyDescent="0.25">
      <c r="A40">
        <v>7.2065666307749998</v>
      </c>
      <c r="B40">
        <v>3.4529561173890987E-4</v>
      </c>
      <c r="C40">
        <f t="shared" si="0"/>
        <v>4.0224361629457461E-4</v>
      </c>
      <c r="D40">
        <f t="shared" si="1"/>
        <v>-5.6948004555664735E-5</v>
      </c>
      <c r="E40">
        <f t="shared" si="2"/>
        <v>3.2430752228720113E-9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4B8B-B70E-44E2-8734-AFCC41177E1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9.1401971600000007E-2</v>
      </c>
      <c r="B1">
        <v>0.80951213497757746</v>
      </c>
      <c r="C1">
        <f>$H$3*(1+$H$1)*(A1^($H$1))*EXP(-$H$3*(A1^(1+$H$1)))</f>
        <v>0.81641444493657334</v>
      </c>
      <c r="D1">
        <f>B1-C1</f>
        <v>-6.9023099589958781E-3</v>
      </c>
      <c r="E1">
        <f>D1^2</f>
        <v>4.7641882770053678E-5</v>
      </c>
      <c r="G1" t="s">
        <v>0</v>
      </c>
      <c r="H1">
        <v>6.9849316016434404E-2</v>
      </c>
    </row>
    <row r="2" spans="1:8" x14ac:dyDescent="0.25">
      <c r="A2">
        <v>0.27315008680000002</v>
      </c>
      <c r="B2">
        <v>0.73333905127566679</v>
      </c>
      <c r="C2">
        <f t="shared" ref="C2:C40" si="0">$H$3*(1+$H$1)*(A2^($H$1))*EXP(-$H$3*(A2^(1+$H$1)))</f>
        <v>0.74546349727956107</v>
      </c>
      <c r="D2">
        <f t="shared" ref="D2:D40" si="1">B2-C2</f>
        <v>-1.2124446003894285E-2</v>
      </c>
      <c r="E2">
        <f t="shared" ref="E2:E40" si="2">D2^2</f>
        <v>1.4700219090134809E-4</v>
      </c>
    </row>
    <row r="3" spans="1:8" x14ac:dyDescent="0.25">
      <c r="A3">
        <v>0.45489820199999997</v>
      </c>
      <c r="B3">
        <v>0.63985390309604928</v>
      </c>
      <c r="C3">
        <f t="shared" si="0"/>
        <v>0.64779390936694992</v>
      </c>
      <c r="D3">
        <f t="shared" si="1"/>
        <v>-7.9400062709006347E-3</v>
      </c>
      <c r="E3">
        <f t="shared" si="2"/>
        <v>6.3043699581941408E-5</v>
      </c>
      <c r="G3" t="s">
        <v>1</v>
      </c>
      <c r="H3">
        <f>(_xlfn.GAMMA((2+$H$1)/(1+$H$1)))^(1+$H$1)</f>
        <v>0.97234931764194343</v>
      </c>
    </row>
    <row r="4" spans="1:8" x14ac:dyDescent="0.25">
      <c r="A4">
        <v>0.63664631720000009</v>
      </c>
      <c r="B4">
        <v>0.54463754846866097</v>
      </c>
      <c r="C4">
        <f t="shared" si="0"/>
        <v>0.55328337416209006</v>
      </c>
      <c r="D4">
        <f t="shared" si="1"/>
        <v>-8.6458256934290878E-3</v>
      </c>
      <c r="E4">
        <f t="shared" si="2"/>
        <v>7.4750301921158567E-5</v>
      </c>
    </row>
    <row r="5" spans="1:8" x14ac:dyDescent="0.25">
      <c r="A5">
        <v>0.81839443240000009</v>
      </c>
      <c r="B5">
        <v>0.44699750481439371</v>
      </c>
      <c r="C5">
        <f t="shared" si="0"/>
        <v>0.46802937717840121</v>
      </c>
      <c r="D5">
        <f t="shared" si="1"/>
        <v>-2.1031872364007498E-2</v>
      </c>
      <c r="E5">
        <f t="shared" si="2"/>
        <v>4.4233965513590232E-4</v>
      </c>
      <c r="G5" t="s">
        <v>2</v>
      </c>
      <c r="H5">
        <f>SUM(E1:E40)</f>
        <v>2.4566177987295499E-3</v>
      </c>
    </row>
    <row r="6" spans="1:8" x14ac:dyDescent="0.25">
      <c r="A6">
        <v>1.0001425475999999</v>
      </c>
      <c r="B6">
        <v>0.37047817982292897</v>
      </c>
      <c r="C6">
        <f t="shared" si="0"/>
        <v>0.39336789074370898</v>
      </c>
      <c r="D6">
        <f t="shared" si="1"/>
        <v>-2.2889710920780015E-2</v>
      </c>
      <c r="E6">
        <f t="shared" si="2"/>
        <v>5.2393886603687594E-4</v>
      </c>
    </row>
    <row r="7" spans="1:8" x14ac:dyDescent="0.25">
      <c r="A7">
        <v>1.1818906627999999</v>
      </c>
      <c r="B7">
        <v>0.32996794894509468</v>
      </c>
      <c r="C7">
        <f t="shared" si="0"/>
        <v>0.32904747263226897</v>
      </c>
      <c r="D7">
        <f t="shared" si="1"/>
        <v>9.2047631282571318E-4</v>
      </c>
      <c r="E7">
        <f t="shared" si="2"/>
        <v>8.4727664247322015E-7</v>
      </c>
    </row>
    <row r="8" spans="1:8" x14ac:dyDescent="0.25">
      <c r="A8">
        <v>1.3636387779999999</v>
      </c>
      <c r="B8">
        <v>0.28668778775082726</v>
      </c>
      <c r="C8">
        <f t="shared" si="0"/>
        <v>0.27421848752325828</v>
      </c>
      <c r="D8">
        <f t="shared" si="1"/>
        <v>1.246930022756898E-2</v>
      </c>
      <c r="E8">
        <f t="shared" si="2"/>
        <v>1.5548344816525183E-4</v>
      </c>
    </row>
    <row r="9" spans="1:8" x14ac:dyDescent="0.25">
      <c r="A9">
        <v>1.5453868932000001</v>
      </c>
      <c r="B9">
        <v>0.23682904205503122</v>
      </c>
      <c r="C9">
        <f t="shared" si="0"/>
        <v>0.22782843834011404</v>
      </c>
      <c r="D9">
        <f t="shared" si="1"/>
        <v>9.0006037149171769E-3</v>
      </c>
      <c r="E9">
        <f t="shared" si="2"/>
        <v>8.1010867232980888E-5</v>
      </c>
    </row>
    <row r="10" spans="1:8" x14ac:dyDescent="0.25">
      <c r="A10">
        <v>1.7271350084000001</v>
      </c>
      <c r="B10">
        <v>0.19320263957120967</v>
      </c>
      <c r="C10">
        <f t="shared" si="0"/>
        <v>0.1887990660155266</v>
      </c>
      <c r="D10">
        <f t="shared" si="1"/>
        <v>4.4035735556830768E-3</v>
      </c>
      <c r="E10">
        <f t="shared" si="2"/>
        <v>1.9391460060311297E-5</v>
      </c>
    </row>
    <row r="11" spans="1:8" x14ac:dyDescent="0.25">
      <c r="A11">
        <v>1.9088831236000003</v>
      </c>
      <c r="B11">
        <v>0.17035071446063649</v>
      </c>
      <c r="C11">
        <f t="shared" si="0"/>
        <v>0.15610826376078837</v>
      </c>
      <c r="D11">
        <f t="shared" si="1"/>
        <v>1.4242450699848114E-2</v>
      </c>
      <c r="E11">
        <f t="shared" si="2"/>
        <v>2.0284740193760403E-4</v>
      </c>
    </row>
    <row r="12" spans="1:8" x14ac:dyDescent="0.25">
      <c r="A12">
        <v>2.0906312387999999</v>
      </c>
      <c r="B12">
        <v>0.13364913776789772</v>
      </c>
      <c r="C12">
        <f t="shared" si="0"/>
        <v>0.12882602816338223</v>
      </c>
      <c r="D12">
        <f t="shared" si="1"/>
        <v>4.8231096045154853E-3</v>
      </c>
      <c r="E12">
        <f t="shared" si="2"/>
        <v>2.3262386257169521E-5</v>
      </c>
    </row>
    <row r="13" spans="1:8" x14ac:dyDescent="0.25">
      <c r="A13">
        <v>2.2723793539999999</v>
      </c>
      <c r="B13">
        <v>0.1201457274752863</v>
      </c>
      <c r="C13">
        <f t="shared" si="0"/>
        <v>0.10612694308229395</v>
      </c>
      <c r="D13">
        <f t="shared" si="1"/>
        <v>1.4018784392992353E-2</v>
      </c>
      <c r="E13">
        <f t="shared" si="2"/>
        <v>1.9652631585720599E-4</v>
      </c>
    </row>
    <row r="14" spans="1:8" x14ac:dyDescent="0.25">
      <c r="A14">
        <v>2.4541274691999999</v>
      </c>
      <c r="B14">
        <v>8.5175357230318244E-2</v>
      </c>
      <c r="C14">
        <f t="shared" si="0"/>
        <v>8.7290454770362305E-2</v>
      </c>
      <c r="D14">
        <f t="shared" si="1"/>
        <v>-2.1150975400440614E-3</v>
      </c>
      <c r="E14">
        <f t="shared" si="2"/>
        <v>4.47363760390044E-6</v>
      </c>
    </row>
    <row r="15" spans="1:8" x14ac:dyDescent="0.25">
      <c r="A15">
        <v>2.6358755843999999</v>
      </c>
      <c r="B15">
        <v>8.6906563678088938E-2</v>
      </c>
      <c r="C15">
        <f t="shared" si="0"/>
        <v>7.1694924525277801E-2</v>
      </c>
      <c r="D15">
        <f t="shared" si="1"/>
        <v>1.5211639152811138E-2</v>
      </c>
      <c r="E15">
        <f t="shared" si="2"/>
        <v>2.3139396571533676E-4</v>
      </c>
    </row>
    <row r="16" spans="1:8" x14ac:dyDescent="0.25">
      <c r="A16">
        <v>2.8176236996000004</v>
      </c>
      <c r="B16">
        <v>6.4747121146624023E-2</v>
      </c>
      <c r="C16">
        <f t="shared" si="0"/>
        <v>5.8808761803836394E-2</v>
      </c>
      <c r="D16">
        <f t="shared" si="1"/>
        <v>5.9383593427876288E-3</v>
      </c>
      <c r="E16">
        <f t="shared" si="2"/>
        <v>3.5264111684073122E-5</v>
      </c>
    </row>
    <row r="17" spans="1:5" x14ac:dyDescent="0.25">
      <c r="A17">
        <v>2.9993718147999999</v>
      </c>
      <c r="B17">
        <v>5.6437330197324692E-2</v>
      </c>
      <c r="C17">
        <f t="shared" si="0"/>
        <v>4.8180490280903376E-2</v>
      </c>
      <c r="D17">
        <f t="shared" si="1"/>
        <v>8.2568399164213158E-3</v>
      </c>
      <c r="E17">
        <f t="shared" si="2"/>
        <v>6.8175405405408358E-5</v>
      </c>
    </row>
    <row r="18" spans="1:5" x14ac:dyDescent="0.25">
      <c r="A18">
        <v>3.1811199300000004</v>
      </c>
      <c r="B18">
        <v>4.5357608931592235E-2</v>
      </c>
      <c r="C18">
        <f t="shared" si="0"/>
        <v>3.9428780772488015E-2</v>
      </c>
      <c r="D18">
        <f t="shared" si="1"/>
        <v>5.92882815910422E-3</v>
      </c>
      <c r="E18">
        <f t="shared" si="2"/>
        <v>3.5151003340187132E-5</v>
      </c>
    </row>
    <row r="19" spans="1:5" x14ac:dyDescent="0.25">
      <c r="A19">
        <v>3.3628680451999999</v>
      </c>
      <c r="B19">
        <v>3.4277887665859784E-2</v>
      </c>
      <c r="C19">
        <f t="shared" si="0"/>
        <v>3.2233009514298118E-2</v>
      </c>
      <c r="D19">
        <f t="shared" si="1"/>
        <v>2.044878151561666E-3</v>
      </c>
      <c r="E19">
        <f t="shared" si="2"/>
        <v>4.1815266547342556E-6</v>
      </c>
    </row>
    <row r="20" spans="1:5" x14ac:dyDescent="0.25">
      <c r="A20">
        <v>3.5446161604000004</v>
      </c>
      <c r="B20">
        <v>2.5275614137452163E-2</v>
      </c>
      <c r="C20">
        <f t="shared" si="0"/>
        <v>2.6324619757126532E-2</v>
      </c>
      <c r="D20">
        <f t="shared" si="1"/>
        <v>-1.0490056196743695E-3</v>
      </c>
      <c r="E20">
        <f t="shared" si="2"/>
        <v>1.100412790108408E-6</v>
      </c>
    </row>
    <row r="21" spans="1:5" x14ac:dyDescent="0.25">
      <c r="A21">
        <v>3.7263642755999999</v>
      </c>
      <c r="B21">
        <v>2.7006820585222857E-2</v>
      </c>
      <c r="C21">
        <f t="shared" si="0"/>
        <v>2.1479398636374887E-2</v>
      </c>
      <c r="D21">
        <f t="shared" si="1"/>
        <v>5.5274219488479701E-3</v>
      </c>
      <c r="E21">
        <f t="shared" si="2"/>
        <v>3.0552393400606289E-5</v>
      </c>
    </row>
    <row r="22" spans="1:5" x14ac:dyDescent="0.25">
      <c r="A22">
        <v>3.9081123908000004</v>
      </c>
      <c r="B22">
        <v>1.5927099319490403E-2</v>
      </c>
      <c r="C22">
        <f t="shared" si="0"/>
        <v>1.7510684223186225E-2</v>
      </c>
      <c r="D22">
        <f t="shared" si="1"/>
        <v>-1.583584903695822E-3</v>
      </c>
      <c r="E22">
        <f t="shared" si="2"/>
        <v>2.5077411472133058E-6</v>
      </c>
    </row>
    <row r="23" spans="1:5" x14ac:dyDescent="0.25">
      <c r="A23">
        <v>4.089860506</v>
      </c>
      <c r="B23">
        <v>1.0387238686624176E-2</v>
      </c>
      <c r="C23">
        <f t="shared" si="0"/>
        <v>1.4263462778516358E-2</v>
      </c>
      <c r="D23">
        <f t="shared" si="1"/>
        <v>-3.8762240918921824E-3</v>
      </c>
      <c r="E23">
        <f t="shared" si="2"/>
        <v>1.5025113210565374E-5</v>
      </c>
    </row>
    <row r="24" spans="1:5" x14ac:dyDescent="0.25">
      <c r="A24">
        <v>4.2716086211999995</v>
      </c>
      <c r="B24">
        <v>9.0022735284076196E-3</v>
      </c>
      <c r="C24">
        <f t="shared" si="0"/>
        <v>1.1609287304517968E-2</v>
      </c>
      <c r="D24">
        <f t="shared" si="1"/>
        <v>-2.6070137761103479E-3</v>
      </c>
      <c r="E24">
        <f t="shared" si="2"/>
        <v>6.7965208288291349E-6</v>
      </c>
    </row>
    <row r="25" spans="1:5" x14ac:dyDescent="0.25">
      <c r="A25">
        <v>4.4533567364</v>
      </c>
      <c r="B25">
        <v>6.5785845015286443E-3</v>
      </c>
      <c r="C25">
        <f t="shared" si="0"/>
        <v>9.4419355048794909E-3</v>
      </c>
      <c r="D25">
        <f t="shared" si="1"/>
        <v>-2.8633510033508466E-3</v>
      </c>
      <c r="E25">
        <f t="shared" si="2"/>
        <v>8.1987789683903002E-6</v>
      </c>
    </row>
    <row r="26" spans="1:5" x14ac:dyDescent="0.25">
      <c r="A26">
        <v>4.6351048516000004</v>
      </c>
      <c r="B26">
        <v>5.193619343312088E-3</v>
      </c>
      <c r="C26">
        <f t="shared" si="0"/>
        <v>7.6737219432151428E-3</v>
      </c>
      <c r="D26">
        <f t="shared" si="1"/>
        <v>-2.4801025999030548E-3</v>
      </c>
      <c r="E26">
        <f t="shared" si="2"/>
        <v>6.150908906045892E-6</v>
      </c>
    </row>
    <row r="27" spans="1:5" x14ac:dyDescent="0.25">
      <c r="A27">
        <v>4.8168529668000009</v>
      </c>
      <c r="B27">
        <v>3.1161716059872526E-3</v>
      </c>
      <c r="C27">
        <f t="shared" si="0"/>
        <v>6.2323815477324032E-3</v>
      </c>
      <c r="D27">
        <f t="shared" si="1"/>
        <v>-3.1162099417451506E-3</v>
      </c>
      <c r="E27">
        <f t="shared" si="2"/>
        <v>9.710764401031315E-6</v>
      </c>
    </row>
    <row r="28" spans="1:5" x14ac:dyDescent="0.25">
      <c r="A28">
        <v>4.9986010820000004</v>
      </c>
      <c r="B28">
        <v>3.8086541850955312E-3</v>
      </c>
      <c r="C28">
        <f t="shared" si="0"/>
        <v>5.0584471256351557E-3</v>
      </c>
      <c r="D28">
        <f t="shared" si="1"/>
        <v>-1.2497929405396245E-3</v>
      </c>
      <c r="E28">
        <f t="shared" si="2"/>
        <v>1.5619823942226813E-6</v>
      </c>
    </row>
    <row r="29" spans="1:5" x14ac:dyDescent="0.25">
      <c r="A29">
        <v>5.1803491972</v>
      </c>
      <c r="B29">
        <v>2.4236890268789744E-3</v>
      </c>
      <c r="C29">
        <f t="shared" si="0"/>
        <v>4.1030506257539916E-3</v>
      </c>
      <c r="D29">
        <f t="shared" si="1"/>
        <v>-1.6793615988750172E-3</v>
      </c>
      <c r="E29">
        <f t="shared" si="2"/>
        <v>2.8202553797760541E-6</v>
      </c>
    </row>
    <row r="30" spans="1:5" x14ac:dyDescent="0.25">
      <c r="A30">
        <v>5.3620973124000004</v>
      </c>
      <c r="B30">
        <v>1.7312064477706961E-3</v>
      </c>
      <c r="C30">
        <f t="shared" si="0"/>
        <v>3.326085526804641E-3</v>
      </c>
      <c r="D30">
        <f t="shared" si="1"/>
        <v>-1.594879079033945E-3</v>
      </c>
      <c r="E30">
        <f t="shared" si="2"/>
        <v>2.5436392767401643E-6</v>
      </c>
    </row>
    <row r="31" spans="1:5" x14ac:dyDescent="0.25">
      <c r="A31">
        <v>5.5438454276000009</v>
      </c>
      <c r="B31">
        <v>0</v>
      </c>
      <c r="C31">
        <f t="shared" si="0"/>
        <v>2.694675325563947E-3</v>
      </c>
      <c r="D31">
        <f t="shared" si="1"/>
        <v>-2.694675325563947E-3</v>
      </c>
      <c r="E31">
        <f t="shared" si="2"/>
        <v>7.2612751102031634E-6</v>
      </c>
    </row>
    <row r="32" spans="1:5" x14ac:dyDescent="0.25">
      <c r="A32">
        <v>5.7255935428000004</v>
      </c>
      <c r="B32">
        <v>1.3849651582165568E-3</v>
      </c>
      <c r="C32">
        <f t="shared" si="0"/>
        <v>2.1819003017543876E-3</v>
      </c>
      <c r="D32">
        <f t="shared" si="1"/>
        <v>-7.9693514353783084E-4</v>
      </c>
      <c r="E32">
        <f t="shared" si="2"/>
        <v>6.3510562300566308E-7</v>
      </c>
    </row>
    <row r="33" spans="1:5" x14ac:dyDescent="0.25">
      <c r="A33">
        <v>5.907341658</v>
      </c>
      <c r="B33">
        <v>6.9248257910827838E-4</v>
      </c>
      <c r="C33">
        <f t="shared" si="0"/>
        <v>1.7657413561977401E-3</v>
      </c>
      <c r="D33">
        <f t="shared" si="1"/>
        <v>-1.0732587770894617E-3</v>
      </c>
      <c r="E33">
        <f t="shared" si="2"/>
        <v>1.1518844025995669E-6</v>
      </c>
    </row>
    <row r="34" spans="1:5" x14ac:dyDescent="0.25">
      <c r="A34">
        <v>6.0890897731999996</v>
      </c>
      <c r="B34">
        <v>3.4624128955413919E-4</v>
      </c>
      <c r="C34">
        <f t="shared" si="0"/>
        <v>1.4282056723806621E-3</v>
      </c>
      <c r="D34">
        <f t="shared" si="1"/>
        <v>-1.081964382826523E-3</v>
      </c>
      <c r="E34">
        <f t="shared" si="2"/>
        <v>1.1706469257051788E-6</v>
      </c>
    </row>
    <row r="35" spans="1:5" x14ac:dyDescent="0.25">
      <c r="A35">
        <v>6.2708378884000009</v>
      </c>
      <c r="B35">
        <v>3.4624128955413919E-4</v>
      </c>
      <c r="C35">
        <f t="shared" si="0"/>
        <v>1.154604221203922E-3</v>
      </c>
      <c r="D35">
        <f t="shared" si="1"/>
        <v>-8.0836293164978279E-4</v>
      </c>
      <c r="E35">
        <f t="shared" si="2"/>
        <v>6.5345062926543135E-7</v>
      </c>
    </row>
    <row r="36" spans="1:5" x14ac:dyDescent="0.25">
      <c r="A36">
        <v>6.4525860036000005</v>
      </c>
      <c r="B36">
        <v>0</v>
      </c>
      <c r="C36">
        <f t="shared" si="0"/>
        <v>9.3295573631635756E-4</v>
      </c>
      <c r="D36">
        <f t="shared" si="1"/>
        <v>-9.3295573631635756E-4</v>
      </c>
      <c r="E36">
        <f t="shared" si="2"/>
        <v>8.7040640592559695E-7</v>
      </c>
    </row>
    <row r="37" spans="1:5" x14ac:dyDescent="0.25">
      <c r="A37">
        <v>6.6343341188</v>
      </c>
      <c r="B37">
        <v>0</v>
      </c>
      <c r="C37">
        <f t="shared" si="0"/>
        <v>7.5349577759955481E-4</v>
      </c>
      <c r="D37">
        <f t="shared" si="1"/>
        <v>-7.5349577759955481E-4</v>
      </c>
      <c r="E37">
        <f t="shared" si="2"/>
        <v>5.6775588686035778E-7</v>
      </c>
    </row>
    <row r="38" spans="1:5" x14ac:dyDescent="0.25">
      <c r="A38">
        <v>6.8160822340000005</v>
      </c>
      <c r="B38">
        <v>0</v>
      </c>
      <c r="C38">
        <f t="shared" si="0"/>
        <v>6.0827292899784564E-4</v>
      </c>
      <c r="D38">
        <f t="shared" si="1"/>
        <v>-6.0827292899784564E-4</v>
      </c>
      <c r="E38">
        <f t="shared" si="2"/>
        <v>3.6999595615161816E-7</v>
      </c>
    </row>
    <row r="39" spans="1:5" x14ac:dyDescent="0.25">
      <c r="A39">
        <v>6.9978303492000009</v>
      </c>
      <c r="B39">
        <v>0</v>
      </c>
      <c r="C39">
        <f t="shared" si="0"/>
        <v>4.9081710411692716E-4</v>
      </c>
      <c r="D39">
        <f t="shared" si="1"/>
        <v>-4.9081710411692716E-4</v>
      </c>
      <c r="E39">
        <f t="shared" si="2"/>
        <v>2.4090142969372654E-7</v>
      </c>
    </row>
    <row r="40" spans="1:5" x14ac:dyDescent="0.25">
      <c r="A40">
        <v>7.1795784644000005</v>
      </c>
      <c r="B40">
        <v>3.4624128955413919E-4</v>
      </c>
      <c r="C40">
        <f t="shared" si="0"/>
        <v>3.9586741870067059E-4</v>
      </c>
      <c r="D40">
        <f t="shared" si="1"/>
        <v>-4.9626129146531403E-5</v>
      </c>
      <c r="E40">
        <f t="shared" si="2"/>
        <v>2.4627526940682134E-9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5CFBE-6B3F-48BB-AAAE-FDBEA64DF20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9.0436803150000009E-2</v>
      </c>
      <c r="B1">
        <v>0.68876567417215584</v>
      </c>
      <c r="C1">
        <f>$H$3*(1+$H$1)*(A1^($H$1))*EXP(-$H$3*(A1^(1+$H$1)))</f>
        <v>0.74308046215631318</v>
      </c>
      <c r="D1">
        <f>B1-C1</f>
        <v>-5.4314787984157342E-2</v>
      </c>
      <c r="E1">
        <f>D1^2</f>
        <v>2.9500961937639629E-3</v>
      </c>
      <c r="G1" t="s">
        <v>0</v>
      </c>
      <c r="H1">
        <v>0.12634099858575415</v>
      </c>
    </row>
    <row r="2" spans="1:8" x14ac:dyDescent="0.25">
      <c r="A2">
        <v>0.27076812545000001</v>
      </c>
      <c r="B2">
        <v>0.82756503534710169</v>
      </c>
      <c r="C2">
        <f t="shared" ref="C2:C40" si="0">$H$3*(1+$H$1)*(A2^($H$1))*EXP(-$H$3*(A2^(1+$H$1)))</f>
        <v>0.73090492688801767</v>
      </c>
      <c r="D2">
        <f t="shared" ref="D2:D40" si="1">B2-C2</f>
        <v>9.6660108459084015E-2</v>
      </c>
      <c r="E2">
        <f t="shared" ref="E2:E40" si="2">D2^2</f>
        <v>9.3431765673218856E-3</v>
      </c>
    </row>
    <row r="3" spans="1:8" x14ac:dyDescent="0.25">
      <c r="A3">
        <v>0.45109944774999999</v>
      </c>
      <c r="B3">
        <v>0.66191253143227935</v>
      </c>
      <c r="C3">
        <f t="shared" si="0"/>
        <v>0.65779057004236741</v>
      </c>
      <c r="D3">
        <f t="shared" si="1"/>
        <v>4.1219613899119434E-3</v>
      </c>
      <c r="E3">
        <f t="shared" si="2"/>
        <v>1.6990565699924799E-5</v>
      </c>
      <c r="G3" t="s">
        <v>1</v>
      </c>
      <c r="H3">
        <f>(_xlfn.GAMMA((2+$H$1)/(1+$H$1)))^(1+$H$1)</f>
        <v>0.95243422040307824</v>
      </c>
    </row>
    <row r="4" spans="1:8" x14ac:dyDescent="0.25">
      <c r="A4">
        <v>0.63143077004999992</v>
      </c>
      <c r="B4">
        <v>0.5520587656782393</v>
      </c>
      <c r="C4">
        <f t="shared" si="0"/>
        <v>0.573897034432999</v>
      </c>
      <c r="D4">
        <f t="shared" si="1"/>
        <v>-2.1838268754759693E-2</v>
      </c>
      <c r="E4">
        <f t="shared" si="2"/>
        <v>4.7690998220511349E-4</v>
      </c>
    </row>
    <row r="5" spans="1:8" x14ac:dyDescent="0.25">
      <c r="A5">
        <v>0.81176209234999996</v>
      </c>
      <c r="B5">
        <v>0.46766317421005621</v>
      </c>
      <c r="C5">
        <f t="shared" si="0"/>
        <v>0.49206078962505478</v>
      </c>
      <c r="D5">
        <f t="shared" si="1"/>
        <v>-2.4397615414998575E-2</v>
      </c>
      <c r="E5">
        <f t="shared" si="2"/>
        <v>5.952436379381761E-4</v>
      </c>
      <c r="G5" t="s">
        <v>2</v>
      </c>
      <c r="H5">
        <f>SUM(E1:E40)</f>
        <v>1.5856021384080484E-2</v>
      </c>
    </row>
    <row r="6" spans="1:8" x14ac:dyDescent="0.25">
      <c r="A6">
        <v>0.99209341465000001</v>
      </c>
      <c r="B6">
        <v>0.38326758274187306</v>
      </c>
      <c r="C6">
        <f t="shared" si="0"/>
        <v>0.41697902483930088</v>
      </c>
      <c r="D6">
        <f t="shared" si="1"/>
        <v>-3.3711442097427824E-2</v>
      </c>
      <c r="E6">
        <f t="shared" si="2"/>
        <v>1.1364613282882289E-3</v>
      </c>
    </row>
    <row r="7" spans="1:8" x14ac:dyDescent="0.25">
      <c r="A7">
        <v>1.17242473695</v>
      </c>
      <c r="B7">
        <v>0.32293519710552726</v>
      </c>
      <c r="C7">
        <f t="shared" si="0"/>
        <v>0.35029174462370255</v>
      </c>
      <c r="D7">
        <f t="shared" si="1"/>
        <v>-2.7356547518175289E-2</v>
      </c>
      <c r="E7">
        <f t="shared" si="2"/>
        <v>7.4838069211418258E-4</v>
      </c>
    </row>
    <row r="8" spans="1:8" x14ac:dyDescent="0.25">
      <c r="A8">
        <v>1.3527560592500001</v>
      </c>
      <c r="B8">
        <v>0.28457356461998945</v>
      </c>
      <c r="C8">
        <f t="shared" si="0"/>
        <v>0.29225416298765994</v>
      </c>
      <c r="D8">
        <f t="shared" si="1"/>
        <v>-7.6805983676704881E-3</v>
      </c>
      <c r="E8">
        <f t="shared" si="2"/>
        <v>5.8991591285462566E-5</v>
      </c>
    </row>
    <row r="9" spans="1:8" x14ac:dyDescent="0.25">
      <c r="A9">
        <v>1.5330873815500001</v>
      </c>
      <c r="B9">
        <v>0.24237576888589787</v>
      </c>
      <c r="C9">
        <f t="shared" si="0"/>
        <v>0.24245661327811449</v>
      </c>
      <c r="D9">
        <f t="shared" si="1"/>
        <v>-8.0844392216616878E-5</v>
      </c>
      <c r="E9">
        <f t="shared" si="2"/>
        <v>6.5358157528741836E-9</v>
      </c>
    </row>
    <row r="10" spans="1:8" x14ac:dyDescent="0.25">
      <c r="A10">
        <v>1.7134187038499999</v>
      </c>
      <c r="B10">
        <v>0.19494684144923297</v>
      </c>
      <c r="C10">
        <f t="shared" si="0"/>
        <v>0.20018087475318677</v>
      </c>
      <c r="D10">
        <f t="shared" si="1"/>
        <v>-5.2340333039538056E-3</v>
      </c>
      <c r="E10">
        <f t="shared" si="2"/>
        <v>2.7395104626897591E-5</v>
      </c>
    </row>
    <row r="11" spans="1:8" x14ac:dyDescent="0.25">
      <c r="A11">
        <v>1.89375002615</v>
      </c>
      <c r="B11">
        <v>0.16495501968781251</v>
      </c>
      <c r="C11">
        <f t="shared" si="0"/>
        <v>0.16458958414537092</v>
      </c>
      <c r="D11">
        <f t="shared" si="1"/>
        <v>3.6543554244158893E-4</v>
      </c>
      <c r="E11">
        <f t="shared" si="2"/>
        <v>1.3354313567957835E-7</v>
      </c>
    </row>
    <row r="12" spans="1:8" x14ac:dyDescent="0.25">
      <c r="A12">
        <v>2.07408134845</v>
      </c>
      <c r="B12">
        <v>0.14507671921803383</v>
      </c>
      <c r="C12">
        <f t="shared" si="0"/>
        <v>0.13482960110829983</v>
      </c>
      <c r="D12">
        <f t="shared" si="1"/>
        <v>1.0247118109733999E-2</v>
      </c>
      <c r="E12">
        <f t="shared" si="2"/>
        <v>1.0500342955483849E-4</v>
      </c>
    </row>
    <row r="13" spans="1:8" x14ac:dyDescent="0.25">
      <c r="A13">
        <v>2.2544126707499998</v>
      </c>
      <c r="B13">
        <v>0.11438741322960361</v>
      </c>
      <c r="C13">
        <f t="shared" si="0"/>
        <v>0.11008768856077096</v>
      </c>
      <c r="D13">
        <f t="shared" si="1"/>
        <v>4.2997246688326468E-3</v>
      </c>
      <c r="E13">
        <f t="shared" si="2"/>
        <v>1.8487632227768013E-5</v>
      </c>
    </row>
    <row r="14" spans="1:8" x14ac:dyDescent="0.25">
      <c r="A14">
        <v>2.4347439930499997</v>
      </c>
      <c r="B14">
        <v>9.1719175851785809E-2</v>
      </c>
      <c r="C14">
        <f t="shared" si="0"/>
        <v>8.9618634800540262E-2</v>
      </c>
      <c r="D14">
        <f t="shared" si="1"/>
        <v>2.1005410512455469E-3</v>
      </c>
      <c r="E14">
        <f t="shared" si="2"/>
        <v>4.4122727079677473E-6</v>
      </c>
    </row>
    <row r="15" spans="1:8" x14ac:dyDescent="0.25">
      <c r="A15">
        <v>2.6150753153499995</v>
      </c>
      <c r="B15">
        <v>8.4744333581688036E-2</v>
      </c>
      <c r="C15">
        <f t="shared" si="0"/>
        <v>7.2757150475977805E-2</v>
      </c>
      <c r="D15">
        <f t="shared" si="1"/>
        <v>1.1987183105710231E-2</v>
      </c>
      <c r="E15">
        <f t="shared" si="2"/>
        <v>1.4369255880982478E-4</v>
      </c>
    </row>
    <row r="16" spans="1:8" x14ac:dyDescent="0.25">
      <c r="A16">
        <v>2.7954066376500002</v>
      </c>
      <c r="B16">
        <v>6.7307227906443584E-2</v>
      </c>
      <c r="C16">
        <f t="shared" si="0"/>
        <v>5.8920235508127861E-2</v>
      </c>
      <c r="D16">
        <f t="shared" si="1"/>
        <v>8.3869923983157235E-3</v>
      </c>
      <c r="E16">
        <f t="shared" si="2"/>
        <v>7.0341641489405726E-5</v>
      </c>
    </row>
    <row r="17" spans="1:5" x14ac:dyDescent="0.25">
      <c r="A17">
        <v>2.97573795995</v>
      </c>
      <c r="B17">
        <v>5.5101253933772465E-2</v>
      </c>
      <c r="C17">
        <f t="shared" si="0"/>
        <v>4.7604092853863182E-2</v>
      </c>
      <c r="D17">
        <f t="shared" si="1"/>
        <v>7.4971610799092828E-3</v>
      </c>
      <c r="E17">
        <f t="shared" si="2"/>
        <v>5.6207424258106523E-5</v>
      </c>
    </row>
    <row r="18" spans="1:5" x14ac:dyDescent="0.25">
      <c r="A18">
        <v>3.1560692822499998</v>
      </c>
      <c r="B18">
        <v>4.2197795734091575E-2</v>
      </c>
      <c r="C18">
        <f t="shared" si="0"/>
        <v>3.8378111324920958E-2</v>
      </c>
      <c r="D18">
        <f t="shared" si="1"/>
        <v>3.8196844091706178E-3</v>
      </c>
      <c r="E18">
        <f t="shared" si="2"/>
        <v>1.4589988985661092E-5</v>
      </c>
    </row>
    <row r="19" spans="1:5" x14ac:dyDescent="0.25">
      <c r="A19">
        <v>3.3364006045499996</v>
      </c>
      <c r="B19">
        <v>3.836163248553779E-2</v>
      </c>
      <c r="C19">
        <f t="shared" si="0"/>
        <v>3.0877482369927052E-2</v>
      </c>
      <c r="D19">
        <f t="shared" si="1"/>
        <v>7.4841501156107382E-3</v>
      </c>
      <c r="E19">
        <f t="shared" si="2"/>
        <v>5.6012502952996225E-5</v>
      </c>
    </row>
    <row r="20" spans="1:5" x14ac:dyDescent="0.25">
      <c r="A20">
        <v>3.5167319268499995</v>
      </c>
      <c r="B20">
        <v>2.6853142739876455E-2</v>
      </c>
      <c r="C20">
        <f t="shared" si="0"/>
        <v>2.4795411615655422E-2</v>
      </c>
      <c r="D20">
        <f t="shared" si="1"/>
        <v>2.0577311242210329E-3</v>
      </c>
      <c r="E20">
        <f t="shared" si="2"/>
        <v>4.234257379587956E-6</v>
      </c>
    </row>
    <row r="21" spans="1:5" x14ac:dyDescent="0.25">
      <c r="A21">
        <v>3.6970632491500002</v>
      </c>
      <c r="B21">
        <v>2.2668237377817788E-2</v>
      </c>
      <c r="C21">
        <f t="shared" si="0"/>
        <v>1.9875499155586167E-2</v>
      </c>
      <c r="D21">
        <f t="shared" si="1"/>
        <v>2.7927382222316215E-3</v>
      </c>
      <c r="E21">
        <f t="shared" si="2"/>
        <v>7.7993867779134378E-6</v>
      </c>
    </row>
    <row r="22" spans="1:5" x14ac:dyDescent="0.25">
      <c r="A22">
        <v>3.87739457145</v>
      </c>
      <c r="B22">
        <v>1.8134589902254229E-2</v>
      </c>
      <c r="C22">
        <f t="shared" si="0"/>
        <v>1.5904613505028965E-2</v>
      </c>
      <c r="D22">
        <f t="shared" si="1"/>
        <v>2.2299763972252647E-3</v>
      </c>
      <c r="E22">
        <f t="shared" si="2"/>
        <v>4.9727947321817716E-6</v>
      </c>
    </row>
    <row r="23" spans="1:5" x14ac:dyDescent="0.25">
      <c r="A23">
        <v>4.0577258937499998</v>
      </c>
      <c r="B23">
        <v>1.2903458199680895E-2</v>
      </c>
      <c r="C23">
        <f t="shared" si="0"/>
        <v>1.2706424253463416E-2</v>
      </c>
      <c r="D23">
        <f t="shared" si="1"/>
        <v>1.9703394621747861E-4</v>
      </c>
      <c r="E23">
        <f t="shared" si="2"/>
        <v>3.8822375962032254E-8</v>
      </c>
    </row>
    <row r="24" spans="1:5" x14ac:dyDescent="0.25">
      <c r="A24">
        <v>4.2380572160499987</v>
      </c>
      <c r="B24">
        <v>8.021068610612447E-3</v>
      </c>
      <c r="C24">
        <f t="shared" si="0"/>
        <v>1.013565709757871E-2</v>
      </c>
      <c r="D24">
        <f t="shared" si="1"/>
        <v>-2.114588486966263E-3</v>
      </c>
      <c r="E24">
        <f t="shared" si="2"/>
        <v>4.4714844692102698E-6</v>
      </c>
    </row>
    <row r="25" spans="1:5" x14ac:dyDescent="0.25">
      <c r="A25">
        <v>4.4183885383499995</v>
      </c>
      <c r="B25">
        <v>7.3235843836026698E-3</v>
      </c>
      <c r="C25">
        <f t="shared" si="0"/>
        <v>8.0730722961868048E-3</v>
      </c>
      <c r="D25">
        <f t="shared" si="1"/>
        <v>-7.4948791258413507E-4</v>
      </c>
      <c r="E25">
        <f t="shared" si="2"/>
        <v>5.6173213110972405E-7</v>
      </c>
    </row>
    <row r="26" spans="1:5" x14ac:dyDescent="0.25">
      <c r="A26">
        <v>4.5987198606500002</v>
      </c>
      <c r="B26">
        <v>4.1849053620586687E-3</v>
      </c>
      <c r="C26">
        <f t="shared" si="0"/>
        <v>6.421130559508696E-3</v>
      </c>
      <c r="D26">
        <f t="shared" si="1"/>
        <v>-2.2362251974500274E-3</v>
      </c>
      <c r="E26">
        <f t="shared" si="2"/>
        <v>5.0007031337104138E-6</v>
      </c>
    </row>
    <row r="27" spans="1:5" x14ac:dyDescent="0.25">
      <c r="A27">
        <v>4.77905118295</v>
      </c>
      <c r="B27">
        <v>3.8361632485537792E-3</v>
      </c>
      <c r="C27">
        <f t="shared" si="0"/>
        <v>5.1002902150481602E-3</v>
      </c>
      <c r="D27">
        <f t="shared" si="1"/>
        <v>-1.264126966494381E-3</v>
      </c>
      <c r="E27">
        <f t="shared" si="2"/>
        <v>1.5980169874182859E-6</v>
      </c>
    </row>
    <row r="28" spans="1:5" x14ac:dyDescent="0.25">
      <c r="A28">
        <v>4.9593825052499998</v>
      </c>
      <c r="B28">
        <v>3.4874211350488901E-3</v>
      </c>
      <c r="C28">
        <f t="shared" si="0"/>
        <v>4.0458702775650075E-3</v>
      </c>
      <c r="D28">
        <f t="shared" si="1"/>
        <v>-5.5844914251611732E-4</v>
      </c>
      <c r="E28">
        <f t="shared" si="2"/>
        <v>3.118654447769867E-7</v>
      </c>
    </row>
    <row r="29" spans="1:5" x14ac:dyDescent="0.25">
      <c r="A29">
        <v>5.1397138275499996</v>
      </c>
      <c r="B29">
        <v>2.4411947945342234E-3</v>
      </c>
      <c r="C29">
        <f t="shared" si="0"/>
        <v>3.205411798859783E-3</v>
      </c>
      <c r="D29">
        <f t="shared" si="1"/>
        <v>-7.6421700432555964E-4</v>
      </c>
      <c r="E29">
        <f t="shared" si="2"/>
        <v>5.8402762970033245E-7</v>
      </c>
    </row>
    <row r="30" spans="1:5" x14ac:dyDescent="0.25">
      <c r="A30">
        <v>5.3200451498499994</v>
      </c>
      <c r="B30">
        <v>1.394968454019556E-3</v>
      </c>
      <c r="C30">
        <f t="shared" si="0"/>
        <v>2.536471887335696E-3</v>
      </c>
      <c r="D30">
        <f t="shared" si="1"/>
        <v>-1.14150343331614E-3</v>
      </c>
      <c r="E30">
        <f t="shared" si="2"/>
        <v>1.3030300882725353E-6</v>
      </c>
    </row>
    <row r="31" spans="1:5" x14ac:dyDescent="0.25">
      <c r="A31">
        <v>5.5003764721500001</v>
      </c>
      <c r="B31">
        <v>1.0462263405146672E-3</v>
      </c>
      <c r="C31">
        <f t="shared" si="0"/>
        <v>2.0047892574899125E-3</v>
      </c>
      <c r="D31">
        <f t="shared" si="1"/>
        <v>-9.5856291697524534E-4</v>
      </c>
      <c r="E31">
        <f t="shared" si="2"/>
        <v>9.1884286580009107E-7</v>
      </c>
    </row>
    <row r="32" spans="1:5" x14ac:dyDescent="0.25">
      <c r="A32">
        <v>5.6807077944500008</v>
      </c>
      <c r="B32">
        <v>1.0462263405146672E-3</v>
      </c>
      <c r="C32">
        <f t="shared" si="0"/>
        <v>1.582765895156933E-3</v>
      </c>
      <c r="D32">
        <f t="shared" si="1"/>
        <v>-5.3653955464226587E-4</v>
      </c>
      <c r="E32">
        <f t="shared" si="2"/>
        <v>2.8787469369572102E-7</v>
      </c>
    </row>
    <row r="33" spans="1:5" x14ac:dyDescent="0.25">
      <c r="A33">
        <v>5.8610391167499998</v>
      </c>
      <c r="B33">
        <v>6.9748422700977801E-4</v>
      </c>
      <c r="C33">
        <f t="shared" si="0"/>
        <v>1.2482156246440962E-3</v>
      </c>
      <c r="D33">
        <f t="shared" si="1"/>
        <v>-5.5073139763431821E-4</v>
      </c>
      <c r="E33">
        <f t="shared" si="2"/>
        <v>3.0330507234024953E-7</v>
      </c>
    </row>
    <row r="34" spans="1:5" x14ac:dyDescent="0.25">
      <c r="A34">
        <v>6.0413704390499996</v>
      </c>
      <c r="B34">
        <v>6.9748422700977801E-4</v>
      </c>
      <c r="C34">
        <f t="shared" si="0"/>
        <v>9.8333654607940177E-4</v>
      </c>
      <c r="D34">
        <f t="shared" si="1"/>
        <v>-2.8585231906962376E-4</v>
      </c>
      <c r="E34">
        <f t="shared" si="2"/>
        <v>8.171154831748199E-8</v>
      </c>
    </row>
    <row r="35" spans="1:5" x14ac:dyDescent="0.25">
      <c r="A35">
        <v>6.2217017613499994</v>
      </c>
      <c r="B35">
        <v>3.48742113504889E-4</v>
      </c>
      <c r="C35">
        <f t="shared" si="0"/>
        <v>7.7387017900260242E-4</v>
      </c>
      <c r="D35">
        <f t="shared" si="1"/>
        <v>-4.2512806549771341E-4</v>
      </c>
      <c r="E35">
        <f t="shared" si="2"/>
        <v>1.807338720738281E-7</v>
      </c>
    </row>
    <row r="36" spans="1:5" x14ac:dyDescent="0.25">
      <c r="A36">
        <v>6.4020330836500001</v>
      </c>
      <c r="B36">
        <v>0</v>
      </c>
      <c r="C36">
        <f t="shared" si="0"/>
        <v>6.0841553765380641E-4</v>
      </c>
      <c r="D36">
        <f t="shared" si="1"/>
        <v>-6.0841553765380641E-4</v>
      </c>
      <c r="E36">
        <f t="shared" si="2"/>
        <v>3.701694664585703E-7</v>
      </c>
    </row>
    <row r="37" spans="1:5" x14ac:dyDescent="0.25">
      <c r="A37">
        <v>6.5823644059499999</v>
      </c>
      <c r="B37">
        <v>0</v>
      </c>
      <c r="C37">
        <f t="shared" si="0"/>
        <v>4.7787119861722878E-4</v>
      </c>
      <c r="D37">
        <f t="shared" si="1"/>
        <v>-4.7787119861722878E-4</v>
      </c>
      <c r="E37">
        <f t="shared" si="2"/>
        <v>2.2836088246786692E-7</v>
      </c>
    </row>
    <row r="38" spans="1:5" x14ac:dyDescent="0.25">
      <c r="A38">
        <v>6.7626957282499998</v>
      </c>
      <c r="B38">
        <v>0</v>
      </c>
      <c r="C38">
        <f t="shared" si="0"/>
        <v>3.7498268337429996E-4</v>
      </c>
      <c r="D38">
        <f t="shared" si="1"/>
        <v>-3.7498268337429996E-4</v>
      </c>
      <c r="E38">
        <f t="shared" si="2"/>
        <v>1.4061201283059051E-7</v>
      </c>
    </row>
    <row r="39" spans="1:5" x14ac:dyDescent="0.25">
      <c r="A39">
        <v>6.9430270505499996</v>
      </c>
      <c r="B39">
        <v>0</v>
      </c>
      <c r="C39">
        <f t="shared" si="0"/>
        <v>2.9397618321066511E-4</v>
      </c>
      <c r="D39">
        <f t="shared" si="1"/>
        <v>-2.9397618321066511E-4</v>
      </c>
      <c r="E39">
        <f t="shared" si="2"/>
        <v>8.6421996295110544E-8</v>
      </c>
    </row>
    <row r="40" spans="1:5" x14ac:dyDescent="0.25">
      <c r="A40">
        <v>7.1233583728499994</v>
      </c>
      <c r="B40">
        <v>3.48742113504889E-4</v>
      </c>
      <c r="C40">
        <f t="shared" si="0"/>
        <v>2.3026283881168481E-4</v>
      </c>
      <c r="D40">
        <f t="shared" si="1"/>
        <v>1.1847927469320419E-4</v>
      </c>
      <c r="E40">
        <f t="shared" si="2"/>
        <v>1.4037338531827735E-8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26D20-6955-40D7-92AE-C2FCAA2A252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9.0332415037500016E-2</v>
      </c>
      <c r="B1">
        <v>0.6691535331513665</v>
      </c>
      <c r="C1">
        <f>$H$3*(1+$H$1)*(A1^($H$1))*EXP(-$H$3*(A1^(1+$H$1)))</f>
        <v>0.71313261494590885</v>
      </c>
      <c r="D1">
        <f>B1-C1</f>
        <v>-4.3979081794542352E-2</v>
      </c>
      <c r="E1">
        <f>D1^2</f>
        <v>1.9341596354910465E-3</v>
      </c>
      <c r="G1" t="s">
        <v>0</v>
      </c>
      <c r="H1">
        <v>0.1504580835402381</v>
      </c>
    </row>
    <row r="2" spans="1:8" x14ac:dyDescent="0.25">
      <c r="A2">
        <v>0.26939275111250005</v>
      </c>
      <c r="B2">
        <v>0.77101942533713885</v>
      </c>
      <c r="C2">
        <f t="shared" ref="C2:C40" si="0">$H$3*(1+$H$1)*(A2^($H$1))*EXP(-$H$3*(A2^(1+$H$1)))</f>
        <v>0.72387175862473152</v>
      </c>
      <c r="D2">
        <f t="shared" ref="D2:D40" si="1">B2-C2</f>
        <v>4.7147666712407332E-2</v>
      </c>
      <c r="E2">
        <f t="shared" ref="E2:E40" si="2">D2^2</f>
        <v>2.2229024764242426E-3</v>
      </c>
    </row>
    <row r="3" spans="1:8" x14ac:dyDescent="0.25">
      <c r="A3">
        <v>0.44845308718750004</v>
      </c>
      <c r="B3">
        <v>0.71692512396952179</v>
      </c>
      <c r="C3">
        <f t="shared" si="0"/>
        <v>0.6616554734423542</v>
      </c>
      <c r="D3">
        <f t="shared" si="1"/>
        <v>5.5269650527167591E-2</v>
      </c>
      <c r="E3">
        <f t="shared" si="2"/>
        <v>3.0547342693952369E-3</v>
      </c>
      <c r="G3" t="s">
        <v>1</v>
      </c>
      <c r="H3">
        <f>(_xlfn.GAMMA((2+$H$1)/(1+$H$1)))^(1+$H$1)</f>
        <v>0.94451328696154713</v>
      </c>
    </row>
    <row r="4" spans="1:8" x14ac:dyDescent="0.25">
      <c r="A4">
        <v>0.62751342326250004</v>
      </c>
      <c r="B4">
        <v>0.57852801527574838</v>
      </c>
      <c r="C4">
        <f t="shared" si="0"/>
        <v>0.58298118144617472</v>
      </c>
      <c r="D4">
        <f t="shared" si="1"/>
        <v>-4.4531661704263481E-3</v>
      </c>
      <c r="E4">
        <f t="shared" si="2"/>
        <v>1.9830688941429667E-5</v>
      </c>
    </row>
    <row r="5" spans="1:8" x14ac:dyDescent="0.25">
      <c r="A5">
        <v>0.80657375933749997</v>
      </c>
      <c r="B5">
        <v>0.47736464648436067</v>
      </c>
      <c r="C5">
        <f t="shared" si="0"/>
        <v>0.50316230697782338</v>
      </c>
      <c r="D5">
        <f t="shared" si="1"/>
        <v>-2.5797660493462715E-2</v>
      </c>
      <c r="E5">
        <f t="shared" si="2"/>
        <v>6.655192869359669E-4</v>
      </c>
      <c r="G5" t="s">
        <v>2</v>
      </c>
      <c r="H5">
        <f>SUM(E1:E40)</f>
        <v>1.1743110410437076E-2</v>
      </c>
    </row>
    <row r="6" spans="1:8" x14ac:dyDescent="0.25">
      <c r="A6">
        <v>0.98563409541250002</v>
      </c>
      <c r="B6">
        <v>0.39165679236943501</v>
      </c>
      <c r="C6">
        <f t="shared" si="0"/>
        <v>0.42826103458304116</v>
      </c>
      <c r="D6">
        <f t="shared" si="1"/>
        <v>-3.6604242213606142E-2</v>
      </c>
      <c r="E6">
        <f t="shared" si="2"/>
        <v>1.3398705480323458E-3</v>
      </c>
    </row>
    <row r="7" spans="1:8" x14ac:dyDescent="0.25">
      <c r="A7">
        <v>1.1646944314875001</v>
      </c>
      <c r="B7">
        <v>0.32456580820570219</v>
      </c>
      <c r="C7">
        <f t="shared" si="0"/>
        <v>0.36074577465800395</v>
      </c>
      <c r="D7">
        <f t="shared" si="1"/>
        <v>-3.6179966452301759E-2</v>
      </c>
      <c r="E7">
        <f t="shared" si="2"/>
        <v>1.3089899724896808E-3</v>
      </c>
    </row>
    <row r="8" spans="1:8" x14ac:dyDescent="0.25">
      <c r="A8">
        <v>1.3437547675625001</v>
      </c>
      <c r="B8">
        <v>0.27925304926789313</v>
      </c>
      <c r="C8">
        <f t="shared" si="0"/>
        <v>0.30138713719349075</v>
      </c>
      <c r="D8">
        <f t="shared" si="1"/>
        <v>-2.2134087925597623E-2</v>
      </c>
      <c r="E8">
        <f t="shared" si="2"/>
        <v>4.8991784829808648E-4</v>
      </c>
    </row>
    <row r="9" spans="1:8" x14ac:dyDescent="0.25">
      <c r="A9">
        <v>1.5228151036375002</v>
      </c>
      <c r="B9">
        <v>0.24904454330935374</v>
      </c>
      <c r="C9">
        <f t="shared" si="0"/>
        <v>0.25009335266862653</v>
      </c>
      <c r="D9">
        <f t="shared" si="1"/>
        <v>-1.0488093592727898E-3</v>
      </c>
      <c r="E9">
        <f t="shared" si="2"/>
        <v>1.1000010720982001E-6</v>
      </c>
    </row>
    <row r="10" spans="1:8" x14ac:dyDescent="0.25">
      <c r="A10">
        <v>1.7018754397125</v>
      </c>
      <c r="B10">
        <v>0.19459898024454439</v>
      </c>
      <c r="C10">
        <f t="shared" si="0"/>
        <v>0.20633567158319041</v>
      </c>
      <c r="D10">
        <f t="shared" si="1"/>
        <v>-1.1736691338646021E-2</v>
      </c>
      <c r="E10">
        <f t="shared" si="2"/>
        <v>1.3774992357864854E-4</v>
      </c>
    </row>
    <row r="11" spans="1:8" x14ac:dyDescent="0.25">
      <c r="A11">
        <v>1.8809357757875</v>
      </c>
      <c r="B11">
        <v>0.17036192313827442</v>
      </c>
      <c r="C11">
        <f t="shared" si="0"/>
        <v>0.16938225563306034</v>
      </c>
      <c r="D11">
        <f t="shared" si="1"/>
        <v>9.7966750521408241E-4</v>
      </c>
      <c r="E11">
        <f t="shared" si="2"/>
        <v>9.5974842077238413E-7</v>
      </c>
    </row>
    <row r="12" spans="1:8" x14ac:dyDescent="0.25">
      <c r="A12">
        <v>2.0599961118625005</v>
      </c>
      <c r="B12">
        <v>0.14471981924323518</v>
      </c>
      <c r="C12">
        <f t="shared" si="0"/>
        <v>0.13843121340541084</v>
      </c>
      <c r="D12">
        <f t="shared" si="1"/>
        <v>6.2886058378243403E-3</v>
      </c>
      <c r="E12">
        <f t="shared" si="2"/>
        <v>3.9546563383518376E-5</v>
      </c>
    </row>
    <row r="13" spans="1:8" x14ac:dyDescent="0.25">
      <c r="A13">
        <v>2.2390564479375001</v>
      </c>
      <c r="B13">
        <v>0.11732140686223434</v>
      </c>
      <c r="C13">
        <f t="shared" si="0"/>
        <v>0.11268633937423568</v>
      </c>
      <c r="D13">
        <f t="shared" si="1"/>
        <v>4.635067487998662E-3</v>
      </c>
      <c r="E13">
        <f t="shared" si="2"/>
        <v>2.1483850618302226E-5</v>
      </c>
    </row>
    <row r="14" spans="1:8" x14ac:dyDescent="0.25">
      <c r="A14">
        <v>2.4181167840124997</v>
      </c>
      <c r="B14">
        <v>9.1679302967195092E-2</v>
      </c>
      <c r="C14">
        <f t="shared" si="0"/>
        <v>9.1398795272092465E-2</v>
      </c>
      <c r="D14">
        <f t="shared" si="1"/>
        <v>2.8050769510262752E-4</v>
      </c>
      <c r="E14">
        <f t="shared" si="2"/>
        <v>7.8684567011788644E-8</v>
      </c>
    </row>
    <row r="15" spans="1:8" x14ac:dyDescent="0.25">
      <c r="A15">
        <v>2.5971771200875002</v>
      </c>
      <c r="B15">
        <v>9.0274256178425827E-2</v>
      </c>
      <c r="C15">
        <f t="shared" si="0"/>
        <v>7.3888082141960493E-2</v>
      </c>
      <c r="D15">
        <f t="shared" si="1"/>
        <v>1.6386174036465334E-2</v>
      </c>
      <c r="E15">
        <f t="shared" si="2"/>
        <v>2.6850669955333063E-4</v>
      </c>
    </row>
    <row r="16" spans="1:8" x14ac:dyDescent="0.25">
      <c r="A16">
        <v>2.7762374561625003</v>
      </c>
      <c r="B16">
        <v>6.49834139805789E-2</v>
      </c>
      <c r="C16">
        <f t="shared" si="0"/>
        <v>5.9550366896525438E-2</v>
      </c>
      <c r="D16">
        <f t="shared" si="1"/>
        <v>5.433047084053462E-3</v>
      </c>
      <c r="E16">
        <f t="shared" si="2"/>
        <v>2.9518000617541826E-5</v>
      </c>
    </row>
    <row r="17" spans="1:5" x14ac:dyDescent="0.25">
      <c r="A17">
        <v>2.9552977922375003</v>
      </c>
      <c r="B17">
        <v>5.4445563064809348E-2</v>
      </c>
      <c r="C17">
        <f t="shared" si="0"/>
        <v>4.785919524919003E-2</v>
      </c>
      <c r="D17">
        <f t="shared" si="1"/>
        <v>6.5863678156193178E-3</v>
      </c>
      <c r="E17">
        <f t="shared" si="2"/>
        <v>4.3380241002625986E-5</v>
      </c>
    </row>
    <row r="18" spans="1:5" x14ac:dyDescent="0.25">
      <c r="A18">
        <v>3.1343581283124999</v>
      </c>
      <c r="B18">
        <v>4.2151403663078207E-2</v>
      </c>
      <c r="C18">
        <f t="shared" si="0"/>
        <v>3.8361788306248035E-2</v>
      </c>
      <c r="D18">
        <f t="shared" si="1"/>
        <v>3.7896153568301727E-3</v>
      </c>
      <c r="E18">
        <f t="shared" si="2"/>
        <v>1.4361184552723078E-5</v>
      </c>
    </row>
    <row r="19" spans="1:5" x14ac:dyDescent="0.25">
      <c r="A19">
        <v>3.3134184643875</v>
      </c>
      <c r="B19">
        <v>4.0395095177116612E-2</v>
      </c>
      <c r="C19">
        <f t="shared" si="0"/>
        <v>3.067296682252011E-2</v>
      </c>
      <c r="D19">
        <f t="shared" si="1"/>
        <v>9.7221283545965015E-3</v>
      </c>
      <c r="E19">
        <f t="shared" si="2"/>
        <v>9.4519779743249278E-5</v>
      </c>
    </row>
    <row r="20" spans="1:5" x14ac:dyDescent="0.25">
      <c r="A20">
        <v>3.4924788004625</v>
      </c>
      <c r="B20">
        <v>2.4939580500654604E-2</v>
      </c>
      <c r="C20">
        <f t="shared" si="0"/>
        <v>2.4468003086314173E-2</v>
      </c>
      <c r="D20">
        <f t="shared" si="1"/>
        <v>4.7157741434043082E-4</v>
      </c>
      <c r="E20">
        <f t="shared" si="2"/>
        <v>2.2238525771600637E-7</v>
      </c>
    </row>
    <row r="21" spans="1:5" x14ac:dyDescent="0.25">
      <c r="A21">
        <v>3.6715391365375005</v>
      </c>
      <c r="B21">
        <v>2.5642103895039244E-2</v>
      </c>
      <c r="C21">
        <f t="shared" si="0"/>
        <v>1.9475212753909579E-2</v>
      </c>
      <c r="D21">
        <f t="shared" si="1"/>
        <v>6.1668911411296642E-3</v>
      </c>
      <c r="E21">
        <f t="shared" si="2"/>
        <v>3.8030546346543534E-5</v>
      </c>
    </row>
    <row r="22" spans="1:5" x14ac:dyDescent="0.25">
      <c r="A22">
        <v>3.8505994726125006</v>
      </c>
      <c r="B22">
        <v>1.8265608254000556E-2</v>
      </c>
      <c r="C22">
        <f t="shared" si="0"/>
        <v>1.5468777049286923E-2</v>
      </c>
      <c r="D22">
        <f t="shared" si="1"/>
        <v>2.7968312047136328E-3</v>
      </c>
      <c r="E22">
        <f t="shared" si="2"/>
        <v>7.8222647876599114E-6</v>
      </c>
    </row>
    <row r="23" spans="1:5" x14ac:dyDescent="0.25">
      <c r="A23">
        <v>4.0296598086874997</v>
      </c>
      <c r="B23">
        <v>1.1591636007346506E-2</v>
      </c>
      <c r="C23">
        <f t="shared" si="0"/>
        <v>1.2262073387801036E-2</v>
      </c>
      <c r="D23">
        <f t="shared" si="1"/>
        <v>-6.7043738045453015E-4</v>
      </c>
      <c r="E23">
        <f t="shared" si="2"/>
        <v>4.494862811107324E-7</v>
      </c>
    </row>
    <row r="24" spans="1:5" x14ac:dyDescent="0.25">
      <c r="A24">
        <v>4.2087201447625002</v>
      </c>
      <c r="B24">
        <v>9.484065824192596E-3</v>
      </c>
      <c r="C24">
        <f t="shared" si="0"/>
        <v>9.7016535853038811E-3</v>
      </c>
      <c r="D24">
        <f t="shared" si="1"/>
        <v>-2.175877611112851E-4</v>
      </c>
      <c r="E24">
        <f t="shared" si="2"/>
        <v>4.7344433785421669E-8</v>
      </c>
    </row>
    <row r="25" spans="1:5" x14ac:dyDescent="0.25">
      <c r="A25">
        <v>4.3877804808375007</v>
      </c>
      <c r="B25">
        <v>6.3227105494617309E-3</v>
      </c>
      <c r="C25">
        <f t="shared" si="0"/>
        <v>7.6619195633441444E-3</v>
      </c>
      <c r="D25">
        <f t="shared" si="1"/>
        <v>-1.3392090138824135E-3</v>
      </c>
      <c r="E25">
        <f t="shared" si="2"/>
        <v>1.7934807828639065E-6</v>
      </c>
    </row>
    <row r="26" spans="1:5" x14ac:dyDescent="0.25">
      <c r="A26">
        <v>4.5668408169125003</v>
      </c>
      <c r="B26">
        <v>4.566402063500139E-3</v>
      </c>
      <c r="C26">
        <f t="shared" si="0"/>
        <v>6.0404908262199283E-3</v>
      </c>
      <c r="D26">
        <f t="shared" si="1"/>
        <v>-1.4740887627197894E-3</v>
      </c>
      <c r="E26">
        <f t="shared" si="2"/>
        <v>2.1729376803767593E-6</v>
      </c>
    </row>
    <row r="27" spans="1:5" x14ac:dyDescent="0.25">
      <c r="A27">
        <v>4.7459011529875008</v>
      </c>
      <c r="B27">
        <v>3.1613552747308655E-3</v>
      </c>
      <c r="C27">
        <f t="shared" si="0"/>
        <v>4.7542250275987106E-3</v>
      </c>
      <c r="D27">
        <f t="shared" si="1"/>
        <v>-1.5928697528678451E-3</v>
      </c>
      <c r="E27">
        <f t="shared" si="2"/>
        <v>2.5372340496012699E-6</v>
      </c>
    </row>
    <row r="28" spans="1:5" x14ac:dyDescent="0.25">
      <c r="A28">
        <v>4.9249614890625004</v>
      </c>
      <c r="B28">
        <v>4.2151403663078209E-3</v>
      </c>
      <c r="C28">
        <f t="shared" si="0"/>
        <v>3.7358351364227401E-3</v>
      </c>
      <c r="D28">
        <f t="shared" si="1"/>
        <v>4.7930522988508077E-4</v>
      </c>
      <c r="E28">
        <f t="shared" si="2"/>
        <v>2.2973350339519014E-7</v>
      </c>
    </row>
    <row r="29" spans="1:5" x14ac:dyDescent="0.25">
      <c r="A29">
        <v>5.1040218251374991</v>
      </c>
      <c r="B29">
        <v>2.4588318803462285E-3</v>
      </c>
      <c r="C29">
        <f t="shared" si="0"/>
        <v>2.9310388571938788E-3</v>
      </c>
      <c r="D29">
        <f t="shared" si="1"/>
        <v>-4.7220697684765027E-4</v>
      </c>
      <c r="E29">
        <f t="shared" si="2"/>
        <v>2.2297942898359731E-7</v>
      </c>
    </row>
    <row r="30" spans="1:5" x14ac:dyDescent="0.25">
      <c r="A30">
        <v>5.2830821612124996</v>
      </c>
      <c r="B30">
        <v>1.4050467887692735E-3</v>
      </c>
      <c r="C30">
        <f t="shared" si="0"/>
        <v>2.2961744738093539E-3</v>
      </c>
      <c r="D30">
        <f t="shared" si="1"/>
        <v>-8.9112768504008046E-4</v>
      </c>
      <c r="E30">
        <f t="shared" si="2"/>
        <v>7.9410855104489279E-7</v>
      </c>
    </row>
    <row r="31" spans="1:5" x14ac:dyDescent="0.25">
      <c r="A31">
        <v>5.4621424972875001</v>
      </c>
      <c r="B31">
        <v>1.0537850915769552E-3</v>
      </c>
      <c r="C31">
        <f t="shared" si="0"/>
        <v>1.7962197090740986E-3</v>
      </c>
      <c r="D31">
        <f t="shared" si="1"/>
        <v>-7.4243461749714341E-4</v>
      </c>
      <c r="E31">
        <f t="shared" si="2"/>
        <v>5.5120916125812969E-7</v>
      </c>
    </row>
    <row r="32" spans="1:5" x14ac:dyDescent="0.25">
      <c r="A32">
        <v>5.6412028333625006</v>
      </c>
      <c r="B32">
        <v>1.0537850915769552E-3</v>
      </c>
      <c r="C32">
        <f t="shared" si="0"/>
        <v>1.4031548524825437E-3</v>
      </c>
      <c r="D32">
        <f t="shared" si="1"/>
        <v>-3.4936976090558852E-4</v>
      </c>
      <c r="E32">
        <f t="shared" si="2"/>
        <v>1.2205922983522809E-7</v>
      </c>
    </row>
    <row r="33" spans="1:5" x14ac:dyDescent="0.25">
      <c r="A33">
        <v>5.8202631694375011</v>
      </c>
      <c r="B33">
        <v>7.0252339438463675E-4</v>
      </c>
      <c r="C33">
        <f t="shared" si="0"/>
        <v>1.0946171886303522E-3</v>
      </c>
      <c r="D33">
        <f t="shared" si="1"/>
        <v>-3.9209379424571546E-4</v>
      </c>
      <c r="E33">
        <f t="shared" si="2"/>
        <v>1.5373754348600144E-7</v>
      </c>
    </row>
    <row r="34" spans="1:5" x14ac:dyDescent="0.25">
      <c r="A34">
        <v>5.9993235055124998</v>
      </c>
      <c r="B34">
        <v>7.0252339438463675E-4</v>
      </c>
      <c r="C34">
        <f t="shared" si="0"/>
        <v>8.5279992657410944E-4</v>
      </c>
      <c r="D34">
        <f t="shared" si="1"/>
        <v>-1.5027653218947269E-4</v>
      </c>
      <c r="E34">
        <f t="shared" si="2"/>
        <v>2.2583036126893621E-8</v>
      </c>
    </row>
    <row r="35" spans="1:5" x14ac:dyDescent="0.25">
      <c r="A35">
        <v>6.1783838415875003</v>
      </c>
      <c r="B35">
        <v>0</v>
      </c>
      <c r="C35">
        <f t="shared" si="0"/>
        <v>6.6355492478489808E-4</v>
      </c>
      <c r="D35">
        <f t="shared" si="1"/>
        <v>-6.6355492478489808E-4</v>
      </c>
      <c r="E35">
        <f t="shared" si="2"/>
        <v>4.4030513820629175E-7</v>
      </c>
    </row>
    <row r="36" spans="1:5" x14ac:dyDescent="0.25">
      <c r="A36">
        <v>6.3574441776625008</v>
      </c>
      <c r="B36">
        <v>3.5126169719231837E-4</v>
      </c>
      <c r="C36">
        <f t="shared" si="0"/>
        <v>5.156642507586352E-4</v>
      </c>
      <c r="D36">
        <f t="shared" si="1"/>
        <v>-1.6440255356631682E-4</v>
      </c>
      <c r="E36">
        <f t="shared" si="2"/>
        <v>2.7028199619125673E-8</v>
      </c>
    </row>
    <row r="37" spans="1:5" x14ac:dyDescent="0.25">
      <c r="A37">
        <v>6.5365045137375004</v>
      </c>
      <c r="B37">
        <v>0</v>
      </c>
      <c r="C37">
        <f t="shared" si="0"/>
        <v>4.0025085860044698E-4</v>
      </c>
      <c r="D37">
        <f t="shared" si="1"/>
        <v>-4.0025085860044698E-4</v>
      </c>
      <c r="E37">
        <f t="shared" si="2"/>
        <v>1.60200749810395E-7</v>
      </c>
    </row>
    <row r="38" spans="1:5" x14ac:dyDescent="0.25">
      <c r="A38">
        <v>6.7155648498125</v>
      </c>
      <c r="B38">
        <v>0</v>
      </c>
      <c r="C38">
        <f t="shared" si="0"/>
        <v>3.1030334564474433E-4</v>
      </c>
      <c r="D38">
        <f t="shared" si="1"/>
        <v>-3.1030334564474433E-4</v>
      </c>
      <c r="E38">
        <f t="shared" si="2"/>
        <v>9.6288166318321667E-8</v>
      </c>
    </row>
    <row r="39" spans="1:5" x14ac:dyDescent="0.25">
      <c r="A39">
        <v>6.8946251858874996</v>
      </c>
      <c r="B39">
        <v>0</v>
      </c>
      <c r="C39">
        <f t="shared" si="0"/>
        <v>2.4029384831909687E-4</v>
      </c>
      <c r="D39">
        <f t="shared" si="1"/>
        <v>-2.4029384831909687E-4</v>
      </c>
      <c r="E39">
        <f t="shared" si="2"/>
        <v>5.7741133540001133E-8</v>
      </c>
    </row>
    <row r="40" spans="1:5" x14ac:dyDescent="0.25">
      <c r="A40">
        <v>7.0736855219625001</v>
      </c>
      <c r="B40">
        <v>3.5126169719231837E-4</v>
      </c>
      <c r="C40">
        <f t="shared" si="0"/>
        <v>1.858716795195162E-4</v>
      </c>
      <c r="D40">
        <f t="shared" si="1"/>
        <v>1.6539001767280217E-4</v>
      </c>
      <c r="E40">
        <f t="shared" si="2"/>
        <v>2.7353857945809816E-8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C1CB-FD48-4F87-9E3D-0B1444BFC76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8.8507632562499994E-2</v>
      </c>
      <c r="B1">
        <v>0.6638497839126144</v>
      </c>
      <c r="C1">
        <f>$H$3*(1+$H$1)*(A1^($H$1))*EXP(-$H$3*(A1^(1+$H$1)))</f>
        <v>0.66343734703417012</v>
      </c>
      <c r="D1">
        <f>B1-C1</f>
        <v>4.1243687844427779E-4</v>
      </c>
      <c r="E1">
        <f>D1^2</f>
        <v>1.7010417870085998E-7</v>
      </c>
      <c r="G1" t="s">
        <v>0</v>
      </c>
      <c r="H1">
        <v>0.19075613922184242</v>
      </c>
    </row>
    <row r="2" spans="1:8" x14ac:dyDescent="0.25">
      <c r="A2">
        <v>0.2644950236875</v>
      </c>
      <c r="B2">
        <v>0.64383061972354261</v>
      </c>
      <c r="C2">
        <f t="shared" ref="C2:C40" si="0">$H$3*(1+$H$1)*(A2^($H$1))*EXP(-$H$3*(A2^(1+$H$1)))</f>
        <v>0.71118602629543592</v>
      </c>
      <c r="D2">
        <f t="shared" ref="D2:D40" si="1">B2-C2</f>
        <v>-6.7355406571893317E-2</v>
      </c>
      <c r="E2">
        <f t="shared" ref="E2:E40" si="2">D2^2</f>
        <v>4.5367507944650493E-3</v>
      </c>
    </row>
    <row r="3" spans="1:8" x14ac:dyDescent="0.25">
      <c r="A3">
        <v>0.44048241481249995</v>
      </c>
      <c r="B3">
        <v>0.7503611720153891</v>
      </c>
      <c r="C3">
        <f t="shared" si="0"/>
        <v>0.66808426004835642</v>
      </c>
      <c r="D3">
        <f t="shared" si="1"/>
        <v>8.2276911967032684E-2</v>
      </c>
      <c r="E3">
        <f t="shared" si="2"/>
        <v>6.7694902428308461E-3</v>
      </c>
      <c r="G3" t="s">
        <v>1</v>
      </c>
      <c r="H3">
        <f>(_xlfn.GAMMA((2+$H$1)/(1+$H$1)))^(1+$H$1)</f>
        <v>0.93197647974552256</v>
      </c>
    </row>
    <row r="4" spans="1:8" x14ac:dyDescent="0.25">
      <c r="A4">
        <v>0.6164698059375</v>
      </c>
      <c r="B4">
        <v>0.64347313464873768</v>
      </c>
      <c r="C4">
        <f t="shared" si="0"/>
        <v>0.59927903907515123</v>
      </c>
      <c r="D4">
        <f t="shared" si="1"/>
        <v>4.4194095573586445E-2</v>
      </c>
      <c r="E4">
        <f t="shared" si="2"/>
        <v>1.9531180835672931E-3</v>
      </c>
    </row>
    <row r="5" spans="1:8" x14ac:dyDescent="0.25">
      <c r="A5">
        <v>0.79245719706249995</v>
      </c>
      <c r="B5">
        <v>0.53086533608520858</v>
      </c>
      <c r="C5">
        <f t="shared" si="0"/>
        <v>0.52375650561125375</v>
      </c>
      <c r="D5">
        <f t="shared" si="1"/>
        <v>7.1088304739548303E-3</v>
      </c>
      <c r="E5">
        <f t="shared" si="2"/>
        <v>5.0535470707428855E-5</v>
      </c>
      <c r="G5" t="s">
        <v>2</v>
      </c>
      <c r="H5">
        <f>SUM(E1:E40)</f>
        <v>1.8353101908633176E-2</v>
      </c>
    </row>
    <row r="6" spans="1:8" x14ac:dyDescent="0.25">
      <c r="A6">
        <v>0.9684445881874999</v>
      </c>
      <c r="B6">
        <v>0.41754256737206979</v>
      </c>
      <c r="C6">
        <f t="shared" si="0"/>
        <v>0.44976073063133643</v>
      </c>
      <c r="D6">
        <f t="shared" si="1"/>
        <v>-3.221816325926663E-2</v>
      </c>
      <c r="E6">
        <f t="shared" si="2"/>
        <v>1.0380100438007582E-3</v>
      </c>
    </row>
    <row r="7" spans="1:8" x14ac:dyDescent="0.25">
      <c r="A7">
        <v>1.1444319793125</v>
      </c>
      <c r="B7">
        <v>0.34247070166305038</v>
      </c>
      <c r="C7">
        <f t="shared" si="0"/>
        <v>0.38116893251555428</v>
      </c>
      <c r="D7">
        <f t="shared" si="1"/>
        <v>-3.8698230852503901E-2</v>
      </c>
      <c r="E7">
        <f t="shared" si="2"/>
        <v>1.4975530711136848E-3</v>
      </c>
    </row>
    <row r="8" spans="1:8" x14ac:dyDescent="0.25">
      <c r="A8">
        <v>1.3204193704375</v>
      </c>
      <c r="B8">
        <v>0.2816982389462252</v>
      </c>
      <c r="C8">
        <f t="shared" si="0"/>
        <v>0.31967634792968241</v>
      </c>
      <c r="D8">
        <f t="shared" si="1"/>
        <v>-3.7978108983457215E-2</v>
      </c>
      <c r="E8">
        <f t="shared" si="2"/>
        <v>1.4423367619593537E-3</v>
      </c>
    </row>
    <row r="9" spans="1:8" x14ac:dyDescent="0.25">
      <c r="A9">
        <v>1.4964067615625001</v>
      </c>
      <c r="B9">
        <v>0.24845212698937372</v>
      </c>
      <c r="C9">
        <f t="shared" si="0"/>
        <v>0.26579071173215979</v>
      </c>
      <c r="D9">
        <f t="shared" si="1"/>
        <v>-1.7338584742786073E-2</v>
      </c>
      <c r="E9">
        <f t="shared" si="2"/>
        <v>3.00626520882774E-4</v>
      </c>
    </row>
    <row r="10" spans="1:8" x14ac:dyDescent="0.25">
      <c r="A10">
        <v>1.6723941526874999</v>
      </c>
      <c r="B10">
        <v>0.2080563135364252</v>
      </c>
      <c r="C10">
        <f t="shared" si="0"/>
        <v>0.21935969851840004</v>
      </c>
      <c r="D10">
        <f t="shared" si="1"/>
        <v>-1.1303384981974834E-2</v>
      </c>
      <c r="E10">
        <f t="shared" si="2"/>
        <v>1.2776651205073422E-4</v>
      </c>
    </row>
    <row r="11" spans="1:8" x14ac:dyDescent="0.25">
      <c r="A11">
        <v>1.8483815438125002</v>
      </c>
      <c r="B11">
        <v>0.1705203806819155</v>
      </c>
      <c r="C11">
        <f t="shared" si="0"/>
        <v>0.17987497203757952</v>
      </c>
      <c r="D11">
        <f t="shared" si="1"/>
        <v>-9.3545913556640214E-3</v>
      </c>
      <c r="E11">
        <f t="shared" si="2"/>
        <v>8.7508379431464034E-5</v>
      </c>
    </row>
    <row r="12" spans="1:8" x14ac:dyDescent="0.25">
      <c r="A12">
        <v>2.0243689349374998</v>
      </c>
      <c r="B12">
        <v>0.13906169409908831</v>
      </c>
      <c r="C12">
        <f t="shared" si="0"/>
        <v>0.14665479309599783</v>
      </c>
      <c r="D12">
        <f t="shared" si="1"/>
        <v>-7.5930989969095197E-3</v>
      </c>
      <c r="E12">
        <f t="shared" si="2"/>
        <v>5.7655152376868355E-5</v>
      </c>
    </row>
    <row r="13" spans="1:8" x14ac:dyDescent="0.25">
      <c r="A13">
        <v>2.2003563260624999</v>
      </c>
      <c r="B13">
        <v>0.12654971648091842</v>
      </c>
      <c r="C13">
        <f t="shared" si="0"/>
        <v>0.11895499562360849</v>
      </c>
      <c r="D13">
        <f t="shared" si="1"/>
        <v>7.5947208573099306E-3</v>
      </c>
      <c r="E13">
        <f t="shared" si="2"/>
        <v>5.7679784900458486E-5</v>
      </c>
    </row>
    <row r="14" spans="1:8" x14ac:dyDescent="0.25">
      <c r="A14">
        <v>2.3763437171874999</v>
      </c>
      <c r="B14">
        <v>9.5091029898091234E-2</v>
      </c>
      <c r="C14">
        <f t="shared" si="0"/>
        <v>9.6035569561494269E-2</v>
      </c>
      <c r="D14">
        <f t="shared" si="1"/>
        <v>-9.4453966340303508E-4</v>
      </c>
      <c r="E14">
        <f t="shared" si="2"/>
        <v>8.9215517574151883E-7</v>
      </c>
    </row>
    <row r="15" spans="1:8" x14ac:dyDescent="0.25">
      <c r="A15">
        <v>2.5523311083125</v>
      </c>
      <c r="B15">
        <v>8.9371268701213577E-2</v>
      </c>
      <c r="C15">
        <f t="shared" si="0"/>
        <v>7.7198991320956839E-2</v>
      </c>
      <c r="D15">
        <f t="shared" si="1"/>
        <v>1.2172277380256738E-2</v>
      </c>
      <c r="E15">
        <f t="shared" si="2"/>
        <v>1.4816433662190984E-4</v>
      </c>
    </row>
    <row r="16" spans="1:8" x14ac:dyDescent="0.25">
      <c r="A16">
        <v>2.7283184994375</v>
      </c>
      <c r="B16">
        <v>7.0782044811361147E-2</v>
      </c>
      <c r="C16">
        <f t="shared" si="0"/>
        <v>6.1810405540218598E-2</v>
      </c>
      <c r="D16">
        <f t="shared" si="1"/>
        <v>8.9716392711425494E-3</v>
      </c>
      <c r="E16">
        <f t="shared" si="2"/>
        <v>8.0490311211507218E-5</v>
      </c>
    </row>
    <row r="17" spans="1:5" x14ac:dyDescent="0.25">
      <c r="A17">
        <v>2.9043058905625001</v>
      </c>
      <c r="B17">
        <v>5.6482641819166977E-2</v>
      </c>
      <c r="C17">
        <f t="shared" si="0"/>
        <v>4.9306209380907746E-2</v>
      </c>
      <c r="D17">
        <f t="shared" si="1"/>
        <v>7.1764324382592309E-3</v>
      </c>
      <c r="E17">
        <f t="shared" si="2"/>
        <v>5.1501182540899328E-5</v>
      </c>
    </row>
    <row r="18" spans="1:5" x14ac:dyDescent="0.25">
      <c r="A18">
        <v>3.0802932816874997</v>
      </c>
      <c r="B18">
        <v>4.2540723901777662E-2</v>
      </c>
      <c r="C18">
        <f t="shared" si="0"/>
        <v>3.9195373600638961E-2</v>
      </c>
      <c r="D18">
        <f t="shared" si="1"/>
        <v>3.3453503011387012E-3</v>
      </c>
      <c r="E18">
        <f t="shared" si="2"/>
        <v>1.1191368637328799E-5</v>
      </c>
    </row>
    <row r="19" spans="1:5" x14ac:dyDescent="0.25">
      <c r="A19">
        <v>3.2562806728124998</v>
      </c>
      <c r="B19">
        <v>3.6820962704899991E-2</v>
      </c>
      <c r="C19">
        <f t="shared" si="0"/>
        <v>3.1056391973777117E-2</v>
      </c>
      <c r="D19">
        <f t="shared" si="1"/>
        <v>5.7645707311228742E-3</v>
      </c>
      <c r="E19">
        <f t="shared" si="2"/>
        <v>3.3230275714118507E-5</v>
      </c>
    </row>
    <row r="20" spans="1:5" x14ac:dyDescent="0.25">
      <c r="A20">
        <v>3.4322680639374998</v>
      </c>
      <c r="B20">
        <v>3.1101201508022324E-2</v>
      </c>
      <c r="C20">
        <f t="shared" si="0"/>
        <v>2.4531785289628055E-2</v>
      </c>
      <c r="D20">
        <f t="shared" si="1"/>
        <v>6.5694162183942695E-3</v>
      </c>
      <c r="E20">
        <f t="shared" si="2"/>
        <v>4.3157229450501663E-5</v>
      </c>
    </row>
    <row r="21" spans="1:5" x14ac:dyDescent="0.25">
      <c r="A21">
        <v>3.6082554550624999</v>
      </c>
      <c r="B21">
        <v>2.3594014937120385E-2</v>
      </c>
      <c r="C21">
        <f t="shared" si="0"/>
        <v>1.9321429279076093E-2</v>
      </c>
      <c r="D21">
        <f t="shared" si="1"/>
        <v>4.2725856580442916E-3</v>
      </c>
      <c r="E21">
        <f t="shared" si="2"/>
        <v>1.8254988205325771E-5</v>
      </c>
    </row>
    <row r="22" spans="1:5" x14ac:dyDescent="0.25">
      <c r="A22">
        <v>3.7842428461875004</v>
      </c>
      <c r="B22">
        <v>1.751676866543786E-2</v>
      </c>
      <c r="C22">
        <f t="shared" si="0"/>
        <v>1.5175525299358578E-2</v>
      </c>
      <c r="D22">
        <f t="shared" si="1"/>
        <v>2.3412433660792813E-3</v>
      </c>
      <c r="E22">
        <f t="shared" si="2"/>
        <v>5.4814204992102434E-6</v>
      </c>
    </row>
    <row r="23" spans="1:5" x14ac:dyDescent="0.25">
      <c r="A23">
        <v>3.9602302373125</v>
      </c>
      <c r="B23">
        <v>1.751676866543786E-2</v>
      </c>
      <c r="C23">
        <f t="shared" si="0"/>
        <v>1.188772345225818E-2</v>
      </c>
      <c r="D23">
        <f t="shared" si="1"/>
        <v>5.6290452131796797E-3</v>
      </c>
      <c r="E23">
        <f t="shared" si="2"/>
        <v>3.1686150012021063E-5</v>
      </c>
    </row>
    <row r="24" spans="1:5" x14ac:dyDescent="0.25">
      <c r="A24">
        <v>4.1362176284374996</v>
      </c>
      <c r="B24">
        <v>7.5071865709019402E-3</v>
      </c>
      <c r="C24">
        <f t="shared" si="0"/>
        <v>9.2886969501132163E-3</v>
      </c>
      <c r="D24">
        <f t="shared" si="1"/>
        <v>-1.7815103792112761E-3</v>
      </c>
      <c r="E24">
        <f t="shared" si="2"/>
        <v>3.1737792312375048E-6</v>
      </c>
    </row>
    <row r="25" spans="1:5" x14ac:dyDescent="0.25">
      <c r="A25">
        <v>4.3122050195624997</v>
      </c>
      <c r="B25">
        <v>5.3622761220728146E-3</v>
      </c>
      <c r="C25">
        <f t="shared" si="0"/>
        <v>7.2403245514267153E-3</v>
      </c>
      <c r="D25">
        <f t="shared" si="1"/>
        <v>-1.8780484293539007E-3</v>
      </c>
      <c r="E25">
        <f t="shared" si="2"/>
        <v>3.5270659029986534E-6</v>
      </c>
    </row>
    <row r="26" spans="1:5" x14ac:dyDescent="0.25">
      <c r="A26">
        <v>4.4881924106874997</v>
      </c>
      <c r="B26">
        <v>6.7922164212922314E-3</v>
      </c>
      <c r="C26">
        <f t="shared" si="0"/>
        <v>5.6305442297273659E-3</v>
      </c>
      <c r="D26">
        <f t="shared" si="1"/>
        <v>1.1616721915648654E-3</v>
      </c>
      <c r="E26">
        <f t="shared" si="2"/>
        <v>1.3494822806551174E-6</v>
      </c>
    </row>
    <row r="27" spans="1:5" x14ac:dyDescent="0.25">
      <c r="A27">
        <v>4.6641798018124998</v>
      </c>
      <c r="B27">
        <v>3.5748507480485429E-3</v>
      </c>
      <c r="C27">
        <f t="shared" si="0"/>
        <v>4.3688813889134377E-3</v>
      </c>
      <c r="D27">
        <f t="shared" si="1"/>
        <v>-7.9403064086489483E-4</v>
      </c>
      <c r="E27">
        <f t="shared" si="2"/>
        <v>6.3048465863231558E-7</v>
      </c>
    </row>
    <row r="28" spans="1:5" x14ac:dyDescent="0.25">
      <c r="A28">
        <v>4.8401671929374999</v>
      </c>
      <c r="B28">
        <v>2.8598805984388345E-3</v>
      </c>
      <c r="C28">
        <f t="shared" si="0"/>
        <v>3.3826185409293356E-3</v>
      </c>
      <c r="D28">
        <f t="shared" si="1"/>
        <v>-5.2273794249050112E-4</v>
      </c>
      <c r="E28">
        <f t="shared" si="2"/>
        <v>2.7325495651920247E-7</v>
      </c>
    </row>
    <row r="29" spans="1:5" x14ac:dyDescent="0.25">
      <c r="A29">
        <v>5.0161545840624999</v>
      </c>
      <c r="B29">
        <v>2.1449104488291256E-3</v>
      </c>
      <c r="C29">
        <f t="shared" si="0"/>
        <v>2.6135530182639457E-3</v>
      </c>
      <c r="D29">
        <f t="shared" si="1"/>
        <v>-4.6864256943482006E-4</v>
      </c>
      <c r="E29">
        <f t="shared" si="2"/>
        <v>2.1962585788647013E-7</v>
      </c>
    </row>
    <row r="30" spans="1:5" x14ac:dyDescent="0.25">
      <c r="A30">
        <v>5.1921419751875</v>
      </c>
      <c r="B30">
        <v>1.4299402992194172E-3</v>
      </c>
      <c r="C30">
        <f t="shared" si="0"/>
        <v>2.0152797268059952E-3</v>
      </c>
      <c r="D30">
        <f t="shared" si="1"/>
        <v>-5.8533942758657795E-4</v>
      </c>
      <c r="E30">
        <f t="shared" si="2"/>
        <v>3.4262224548738273E-7</v>
      </c>
    </row>
    <row r="31" spans="1:5" x14ac:dyDescent="0.25">
      <c r="A31">
        <v>5.3681293663125</v>
      </c>
      <c r="B31">
        <v>1.4299402992194172E-3</v>
      </c>
      <c r="C31">
        <f t="shared" si="0"/>
        <v>1.5509334105260639E-3</v>
      </c>
      <c r="D31">
        <f t="shared" si="1"/>
        <v>-1.2099311130664664E-4</v>
      </c>
      <c r="E31">
        <f t="shared" si="2"/>
        <v>1.4639332983662582E-8</v>
      </c>
    </row>
    <row r="32" spans="1:5" x14ac:dyDescent="0.25">
      <c r="A32">
        <v>5.5441167574375001</v>
      </c>
      <c r="B32">
        <v>1.0724552244145628E-3</v>
      </c>
      <c r="C32">
        <f t="shared" si="0"/>
        <v>1.1913267674752842E-3</v>
      </c>
      <c r="D32">
        <f t="shared" si="1"/>
        <v>-1.1887154306072139E-4</v>
      </c>
      <c r="E32">
        <f t="shared" si="2"/>
        <v>1.4130443749636939E-8</v>
      </c>
    </row>
    <row r="33" spans="1:5" x14ac:dyDescent="0.25">
      <c r="A33">
        <v>5.7201041485625002</v>
      </c>
      <c r="B33">
        <v>7.1497014960970862E-4</v>
      </c>
      <c r="C33">
        <f t="shared" si="0"/>
        <v>9.1342520238193558E-4</v>
      </c>
      <c r="D33">
        <f t="shared" si="1"/>
        <v>-1.9845505277222696E-4</v>
      </c>
      <c r="E33">
        <f t="shared" si="2"/>
        <v>3.9384407970827386E-8</v>
      </c>
    </row>
    <row r="34" spans="1:5" x14ac:dyDescent="0.25">
      <c r="A34">
        <v>5.8960915396874993</v>
      </c>
      <c r="B34">
        <v>7.1497014960970862E-4</v>
      </c>
      <c r="C34">
        <f t="shared" si="0"/>
        <v>6.9910478262256667E-4</v>
      </c>
      <c r="D34">
        <f t="shared" si="1"/>
        <v>1.5865366987141954E-5</v>
      </c>
      <c r="E34">
        <f t="shared" si="2"/>
        <v>2.5170986963669374E-10</v>
      </c>
    </row>
    <row r="35" spans="1:5" x14ac:dyDescent="0.25">
      <c r="A35">
        <v>6.0720789308125003</v>
      </c>
      <c r="B35">
        <v>3.5748507480485431E-4</v>
      </c>
      <c r="C35">
        <f t="shared" si="0"/>
        <v>5.341462569636358E-4</v>
      </c>
      <c r="D35">
        <f t="shared" si="1"/>
        <v>-1.7666118215878149E-4</v>
      </c>
      <c r="E35">
        <f t="shared" si="2"/>
        <v>3.1209173281738177E-8</v>
      </c>
    </row>
    <row r="36" spans="1:5" x14ac:dyDescent="0.25">
      <c r="A36">
        <v>6.2480663219375003</v>
      </c>
      <c r="B36">
        <v>3.5748507480485431E-4</v>
      </c>
      <c r="C36">
        <f t="shared" si="0"/>
        <v>4.0742427206455169E-4</v>
      </c>
      <c r="D36">
        <f t="shared" si="1"/>
        <v>-4.9939197259697384E-5</v>
      </c>
      <c r="E36">
        <f t="shared" si="2"/>
        <v>2.4939234229429667E-9</v>
      </c>
    </row>
    <row r="37" spans="1:5" x14ac:dyDescent="0.25">
      <c r="A37">
        <v>6.4240537130625004</v>
      </c>
      <c r="B37">
        <v>0</v>
      </c>
      <c r="C37">
        <f t="shared" si="0"/>
        <v>3.1025685988905294E-4</v>
      </c>
      <c r="D37">
        <f t="shared" si="1"/>
        <v>-3.1025685988905294E-4</v>
      </c>
      <c r="E37">
        <f t="shared" si="2"/>
        <v>9.6259319108215428E-8</v>
      </c>
    </row>
    <row r="38" spans="1:5" x14ac:dyDescent="0.25">
      <c r="A38">
        <v>6.6000411041875005</v>
      </c>
      <c r="B38">
        <v>0</v>
      </c>
      <c r="C38">
        <f t="shared" si="0"/>
        <v>2.3588569257152958E-4</v>
      </c>
      <c r="D38">
        <f t="shared" si="1"/>
        <v>-2.3588569257152958E-4</v>
      </c>
      <c r="E38">
        <f t="shared" si="2"/>
        <v>5.5642059959950167E-8</v>
      </c>
    </row>
    <row r="39" spans="1:5" x14ac:dyDescent="0.25">
      <c r="A39">
        <v>6.7760284953124996</v>
      </c>
      <c r="B39">
        <v>0</v>
      </c>
      <c r="C39">
        <f t="shared" si="0"/>
        <v>1.7906242895549893E-4</v>
      </c>
      <c r="D39">
        <f t="shared" si="1"/>
        <v>-1.7906242895549893E-4</v>
      </c>
      <c r="E39">
        <f t="shared" si="2"/>
        <v>3.2063353463443103E-8</v>
      </c>
    </row>
    <row r="40" spans="1:5" x14ac:dyDescent="0.25">
      <c r="A40">
        <v>6.9520158864374997</v>
      </c>
      <c r="B40">
        <v>3.5748507480485431E-4</v>
      </c>
      <c r="C40">
        <f t="shared" si="0"/>
        <v>1.3572069086197013E-4</v>
      </c>
      <c r="D40">
        <f t="shared" si="1"/>
        <v>2.2176438394288419E-4</v>
      </c>
      <c r="E40">
        <f t="shared" si="2"/>
        <v>4.9179441985566951E-8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FA2D-42F1-413B-B7F0-2A41B62D3EF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8.6615549350000015E-2</v>
      </c>
      <c r="B1">
        <v>0.63843107427468271</v>
      </c>
      <c r="C1">
        <f>$H$3*(1+$H$1)*(A1^($H$1))*EXP(-$H$3*(A1^(1+$H$1)))</f>
        <v>0.62046476293843589</v>
      </c>
      <c r="D1">
        <f>B1-C1</f>
        <v>1.7966311336246821E-2</v>
      </c>
      <c r="E1">
        <f>D1^2</f>
        <v>3.2278834303095104E-4</v>
      </c>
      <c r="G1" t="s">
        <v>0</v>
      </c>
      <c r="H1">
        <v>0.22638138242275033</v>
      </c>
    </row>
    <row r="2" spans="1:8" x14ac:dyDescent="0.25">
      <c r="A2">
        <v>0.25812626205</v>
      </c>
      <c r="B2">
        <v>0.65638923882087075</v>
      </c>
      <c r="C2">
        <f t="shared" ref="C2:C40" si="0">$H$3*(1+$H$1)*(A2^($H$1))*EXP(-$H$3*(A2^(1+$H$1)))</f>
        <v>0.69818292183574426</v>
      </c>
      <c r="D2">
        <f t="shared" ref="D2:D40" si="1">B2-C2</f>
        <v>-4.1793683014873517E-2</v>
      </c>
      <c r="E2">
        <f t="shared" ref="E2:E40" si="2">D2^2</f>
        <v>1.746711939947727E-3</v>
      </c>
    </row>
    <row r="3" spans="1:8" x14ac:dyDescent="0.25">
      <c r="A3">
        <v>0.42963697474999996</v>
      </c>
      <c r="B3">
        <v>0.62377134811452928</v>
      </c>
      <c r="C3">
        <f t="shared" si="0"/>
        <v>0.67308635462385957</v>
      </c>
      <c r="D3">
        <f t="shared" si="1"/>
        <v>-4.9315006509330295E-2</v>
      </c>
      <c r="E3">
        <f t="shared" si="2"/>
        <v>2.4319698670152894E-3</v>
      </c>
      <c r="G3" t="s">
        <v>1</v>
      </c>
      <c r="H3">
        <f>(_xlfn.GAMMA((2+$H$1)/(1+$H$1)))^(1+$H$1)</f>
        <v>0.92156296709820751</v>
      </c>
    </row>
    <row r="4" spans="1:8" x14ac:dyDescent="0.25">
      <c r="A4">
        <v>0.60114768745000002</v>
      </c>
      <c r="B4">
        <v>0.68864063637320827</v>
      </c>
      <c r="C4">
        <f t="shared" si="0"/>
        <v>0.61475295407348574</v>
      </c>
      <c r="D4">
        <f t="shared" si="1"/>
        <v>7.3887682299722535E-2</v>
      </c>
      <c r="E4">
        <f t="shared" si="2"/>
        <v>5.4593895956247303E-3</v>
      </c>
    </row>
    <row r="5" spans="1:8" x14ac:dyDescent="0.25">
      <c r="A5">
        <v>0.77265840015000009</v>
      </c>
      <c r="B5">
        <v>0.59078696425418398</v>
      </c>
      <c r="C5">
        <f t="shared" si="0"/>
        <v>0.54461686376027008</v>
      </c>
      <c r="D5">
        <f t="shared" si="1"/>
        <v>4.6170100493913901E-2</v>
      </c>
      <c r="E5">
        <f t="shared" si="2"/>
        <v>2.1316781796181087E-3</v>
      </c>
      <c r="G5" t="s">
        <v>2</v>
      </c>
      <c r="H5">
        <f>SUM(E1:E40)</f>
        <v>1.5743706478673618E-2</v>
      </c>
    </row>
    <row r="6" spans="1:8" x14ac:dyDescent="0.25">
      <c r="A6">
        <v>0.94416911285000005</v>
      </c>
      <c r="B6">
        <v>0.48047252489902931</v>
      </c>
      <c r="C6">
        <f t="shared" si="0"/>
        <v>0.47260745223490475</v>
      </c>
      <c r="D6">
        <f t="shared" si="1"/>
        <v>7.8650726641245616E-3</v>
      </c>
      <c r="E6">
        <f t="shared" si="2"/>
        <v>6.1859368011959426E-5</v>
      </c>
    </row>
    <row r="7" spans="1:8" x14ac:dyDescent="0.25">
      <c r="A7">
        <v>1.11567982555</v>
      </c>
      <c r="B7">
        <v>0.37785444177795519</v>
      </c>
      <c r="C7">
        <f t="shared" si="0"/>
        <v>0.4038136065625893</v>
      </c>
      <c r="D7">
        <f t="shared" si="1"/>
        <v>-2.5959164784634114E-2</v>
      </c>
      <c r="E7">
        <f t="shared" si="2"/>
        <v>6.7387823631578794E-4</v>
      </c>
    </row>
    <row r="8" spans="1:8" x14ac:dyDescent="0.25">
      <c r="A8">
        <v>1.28719053825</v>
      </c>
      <c r="B8">
        <v>0.30748775620921859</v>
      </c>
      <c r="C8">
        <f t="shared" si="0"/>
        <v>0.3407992706607097</v>
      </c>
      <c r="D8">
        <f t="shared" si="1"/>
        <v>-3.3311514451491109E-2</v>
      </c>
      <c r="E8">
        <f t="shared" si="2"/>
        <v>1.109656995051901E-3</v>
      </c>
    </row>
    <row r="9" spans="1:8" x14ac:dyDescent="0.25">
      <c r="A9">
        <v>1.4587012509500001</v>
      </c>
      <c r="B9">
        <v>0.26021013934272375</v>
      </c>
      <c r="C9">
        <f t="shared" si="0"/>
        <v>0.28468266391183844</v>
      </c>
      <c r="D9">
        <f t="shared" si="1"/>
        <v>-2.4472524569114695E-2</v>
      </c>
      <c r="E9">
        <f t="shared" si="2"/>
        <v>5.9890445878592238E-4</v>
      </c>
    </row>
    <row r="10" spans="1:8" x14ac:dyDescent="0.25">
      <c r="A10">
        <v>1.6302119636500001</v>
      </c>
      <c r="B10">
        <v>0.21439849509224421</v>
      </c>
      <c r="C10">
        <f t="shared" si="0"/>
        <v>0.23572745860084207</v>
      </c>
      <c r="D10">
        <f t="shared" si="1"/>
        <v>-2.1328963508597865E-2</v>
      </c>
      <c r="E10">
        <f t="shared" si="2"/>
        <v>4.5492468435109933E-4</v>
      </c>
    </row>
    <row r="11" spans="1:8" x14ac:dyDescent="0.25">
      <c r="A11">
        <v>1.8017226763500003</v>
      </c>
      <c r="B11">
        <v>0.17481723445982988</v>
      </c>
      <c r="C11">
        <f t="shared" si="0"/>
        <v>0.19369688233535282</v>
      </c>
      <c r="D11">
        <f t="shared" si="1"/>
        <v>-1.8879647875522931E-2</v>
      </c>
      <c r="E11">
        <f t="shared" si="2"/>
        <v>3.5644110390373754E-4</v>
      </c>
    </row>
    <row r="12" spans="1:8" x14ac:dyDescent="0.25">
      <c r="A12">
        <v>1.97323338905</v>
      </c>
      <c r="B12">
        <v>0.14769674106354599</v>
      </c>
      <c r="C12">
        <f t="shared" si="0"/>
        <v>0.15807572646637577</v>
      </c>
      <c r="D12">
        <f t="shared" si="1"/>
        <v>-1.0378985402829777E-2</v>
      </c>
      <c r="E12">
        <f t="shared" si="2"/>
        <v>1.0772333799215358E-4</v>
      </c>
    </row>
    <row r="13" spans="1:8" x14ac:dyDescent="0.25">
      <c r="A13">
        <v>2.1447441017499997</v>
      </c>
      <c r="B13">
        <v>0.12863909705534651</v>
      </c>
      <c r="C13">
        <f t="shared" si="0"/>
        <v>0.12821195006286226</v>
      </c>
      <c r="D13">
        <f t="shared" si="1"/>
        <v>4.2714699248425081E-4</v>
      </c>
      <c r="E13">
        <f t="shared" si="2"/>
        <v>1.8245455318834063E-7</v>
      </c>
    </row>
    <row r="14" spans="1:8" x14ac:dyDescent="0.25">
      <c r="A14">
        <v>2.3162548144500001</v>
      </c>
      <c r="B14">
        <v>0.10738249412312402</v>
      </c>
      <c r="C14">
        <f t="shared" si="0"/>
        <v>0.10340663846509035</v>
      </c>
      <c r="D14">
        <f t="shared" si="1"/>
        <v>3.9758556580336696E-3</v>
      </c>
      <c r="E14">
        <f t="shared" si="2"/>
        <v>1.5807428213518345E-5</v>
      </c>
    </row>
    <row r="15" spans="1:8" x14ac:dyDescent="0.25">
      <c r="A15">
        <v>2.4877655271500001</v>
      </c>
      <c r="B15">
        <v>8.7225370652913026E-2</v>
      </c>
      <c r="C15">
        <f t="shared" si="0"/>
        <v>8.2969799505146033E-2</v>
      </c>
      <c r="D15">
        <f t="shared" si="1"/>
        <v>4.2555711477669927E-3</v>
      </c>
      <c r="E15">
        <f t="shared" si="2"/>
        <v>1.810988579370688E-5</v>
      </c>
    </row>
    <row r="16" spans="1:8" x14ac:dyDescent="0.25">
      <c r="A16">
        <v>2.6592762398500005</v>
      </c>
      <c r="B16">
        <v>7.1832658184751902E-2</v>
      </c>
      <c r="C16">
        <f t="shared" si="0"/>
        <v>6.6253290078420929E-2</v>
      </c>
      <c r="D16">
        <f t="shared" si="1"/>
        <v>5.579368106330973E-3</v>
      </c>
      <c r="E16">
        <f t="shared" si="2"/>
        <v>3.1129348465943268E-5</v>
      </c>
    </row>
    <row r="17" spans="1:5" x14ac:dyDescent="0.25">
      <c r="A17">
        <v>2.8307869525500005</v>
      </c>
      <c r="B17">
        <v>6.0837863564636815E-2</v>
      </c>
      <c r="C17">
        <f t="shared" si="0"/>
        <v>5.2668454022873241E-2</v>
      </c>
      <c r="D17">
        <f t="shared" si="1"/>
        <v>8.169409541763574E-3</v>
      </c>
      <c r="E17">
        <f t="shared" si="2"/>
        <v>6.6739252261057731E-5</v>
      </c>
    </row>
    <row r="18" spans="1:5" x14ac:dyDescent="0.25">
      <c r="A18">
        <v>3.00229766525</v>
      </c>
      <c r="B18">
        <v>4.2513205864445007E-2</v>
      </c>
      <c r="C18">
        <f t="shared" si="0"/>
        <v>4.1693673203877735E-2</v>
      </c>
      <c r="D18">
        <f t="shared" si="1"/>
        <v>8.1953266056727231E-4</v>
      </c>
      <c r="E18">
        <f t="shared" si="2"/>
        <v>6.7163378173647195E-7</v>
      </c>
    </row>
    <row r="19" spans="1:5" x14ac:dyDescent="0.25">
      <c r="A19">
        <v>3.1738083779499999</v>
      </c>
      <c r="B19">
        <v>4.1047233248429661E-2</v>
      </c>
      <c r="C19">
        <f t="shared" si="0"/>
        <v>3.2875435245573952E-2</v>
      </c>
      <c r="D19">
        <f t="shared" si="1"/>
        <v>8.1717980028557097E-3</v>
      </c>
      <c r="E19">
        <f t="shared" si="2"/>
        <v>6.6778282599476565E-5</v>
      </c>
    </row>
    <row r="20" spans="1:5" x14ac:dyDescent="0.25">
      <c r="A20">
        <v>3.3453190906500003</v>
      </c>
      <c r="B20">
        <v>2.8586466012299225E-2</v>
      </c>
      <c r="C20">
        <f t="shared" si="0"/>
        <v>2.5825413854269254E-2</v>
      </c>
      <c r="D20">
        <f t="shared" si="1"/>
        <v>2.761052158029971E-3</v>
      </c>
      <c r="E20">
        <f t="shared" si="2"/>
        <v>7.6234090193619596E-6</v>
      </c>
    </row>
    <row r="21" spans="1:5" x14ac:dyDescent="0.25">
      <c r="A21">
        <v>3.5168298033500003</v>
      </c>
      <c r="B21">
        <v>2.6754000242280047E-2</v>
      </c>
      <c r="C21">
        <f t="shared" si="0"/>
        <v>2.0215276518506107E-2</v>
      </c>
      <c r="D21">
        <f t="shared" si="1"/>
        <v>6.5387237237739398E-3</v>
      </c>
      <c r="E21">
        <f t="shared" si="2"/>
        <v>4.275490793584414E-5</v>
      </c>
    </row>
    <row r="22" spans="1:5" x14ac:dyDescent="0.25">
      <c r="A22">
        <v>3.6883405160500002</v>
      </c>
      <c r="B22">
        <v>2.0157123470210994E-2</v>
      </c>
      <c r="C22">
        <f t="shared" si="0"/>
        <v>1.5770378920837946E-2</v>
      </c>
      <c r="D22">
        <f t="shared" si="1"/>
        <v>4.3867445493730485E-3</v>
      </c>
      <c r="E22">
        <f t="shared" si="2"/>
        <v>1.924352774145415E-5</v>
      </c>
    </row>
    <row r="23" spans="1:5" x14ac:dyDescent="0.25">
      <c r="A23">
        <v>3.8598512287500002</v>
      </c>
      <c r="B23">
        <v>1.6125698776168793E-2</v>
      </c>
      <c r="C23">
        <f t="shared" si="0"/>
        <v>1.226311022351349E-2</v>
      </c>
      <c r="D23">
        <f t="shared" si="1"/>
        <v>3.8625885526553036E-3</v>
      </c>
      <c r="E23">
        <f t="shared" si="2"/>
        <v>1.4919590327103793E-5</v>
      </c>
    </row>
    <row r="24" spans="1:5" x14ac:dyDescent="0.25">
      <c r="A24">
        <v>4.0313619414500002</v>
      </c>
      <c r="B24">
        <v>1.0261808312107415E-2</v>
      </c>
      <c r="C24">
        <f t="shared" si="0"/>
        <v>9.5063738060338718E-3</v>
      </c>
      <c r="D24">
        <f t="shared" si="1"/>
        <v>7.5543450607354345E-4</v>
      </c>
      <c r="E24">
        <f t="shared" si="2"/>
        <v>5.7068129296657852E-7</v>
      </c>
    </row>
    <row r="25" spans="1:5" x14ac:dyDescent="0.25">
      <c r="A25">
        <v>4.202872654150001</v>
      </c>
      <c r="B25">
        <v>5.8638904640613797E-3</v>
      </c>
      <c r="C25">
        <f t="shared" si="0"/>
        <v>7.3474924088648402E-3</v>
      </c>
      <c r="D25">
        <f t="shared" si="1"/>
        <v>-1.4836019448034605E-3</v>
      </c>
      <c r="E25">
        <f t="shared" si="2"/>
        <v>2.2010747306246101E-6</v>
      </c>
    </row>
    <row r="26" spans="1:5" x14ac:dyDescent="0.25">
      <c r="A26">
        <v>4.374383366850001</v>
      </c>
      <c r="B26">
        <v>5.4973973100575432E-3</v>
      </c>
      <c r="C26">
        <f t="shared" si="0"/>
        <v>5.6626920512727408E-3</v>
      </c>
      <c r="D26">
        <f t="shared" si="1"/>
        <v>-1.6529474121519758E-4</v>
      </c>
      <c r="E26">
        <f t="shared" si="2"/>
        <v>2.7322351473399138E-8</v>
      </c>
    </row>
    <row r="27" spans="1:5" x14ac:dyDescent="0.25">
      <c r="A27">
        <v>4.54589407955</v>
      </c>
      <c r="B27">
        <v>4.3979178480460348E-3</v>
      </c>
      <c r="C27">
        <f t="shared" si="0"/>
        <v>4.3522286931132331E-3</v>
      </c>
      <c r="D27">
        <f t="shared" si="1"/>
        <v>4.568915493280163E-5</v>
      </c>
      <c r="E27">
        <f t="shared" si="2"/>
        <v>2.0874988784735516E-9</v>
      </c>
    </row>
    <row r="28" spans="1:5" x14ac:dyDescent="0.25">
      <c r="A28">
        <v>4.71740479225</v>
      </c>
      <c r="B28">
        <v>2.9319452320306898E-3</v>
      </c>
      <c r="C28">
        <f t="shared" si="0"/>
        <v>3.336162934354106E-3</v>
      </c>
      <c r="D28">
        <f t="shared" si="1"/>
        <v>-4.0421770232341612E-4</v>
      </c>
      <c r="E28">
        <f t="shared" si="2"/>
        <v>1.6339195087162185E-7</v>
      </c>
    </row>
    <row r="29" spans="1:5" x14ac:dyDescent="0.25">
      <c r="A29">
        <v>4.8889155049499999</v>
      </c>
      <c r="B29">
        <v>2.5654520780268538E-3</v>
      </c>
      <c r="C29">
        <f t="shared" si="0"/>
        <v>2.5507518606985636E-3</v>
      </c>
      <c r="D29">
        <f t="shared" si="1"/>
        <v>1.4700217328290216E-5</v>
      </c>
      <c r="E29">
        <f t="shared" si="2"/>
        <v>2.1609638949896394E-10</v>
      </c>
    </row>
    <row r="30" spans="1:5" x14ac:dyDescent="0.25">
      <c r="A30">
        <v>5.0604262176500008</v>
      </c>
      <c r="B30">
        <v>1.4659726160153449E-3</v>
      </c>
      <c r="C30">
        <f t="shared" si="0"/>
        <v>1.9454066362209991E-3</v>
      </c>
      <c r="D30">
        <f t="shared" si="1"/>
        <v>-4.7943402020565414E-4</v>
      </c>
      <c r="E30">
        <f t="shared" si="2"/>
        <v>2.2985697973055559E-7</v>
      </c>
    </row>
    <row r="31" spans="1:5" x14ac:dyDescent="0.25">
      <c r="A31">
        <v>5.2319369303500007</v>
      </c>
      <c r="B31">
        <v>1.4659726160153449E-3</v>
      </c>
      <c r="C31">
        <f t="shared" si="0"/>
        <v>1.4801546215307245E-3</v>
      </c>
      <c r="D31">
        <f t="shared" si="1"/>
        <v>-1.4182005515379556E-5</v>
      </c>
      <c r="E31">
        <f t="shared" si="2"/>
        <v>2.0112928043825614E-10</v>
      </c>
    </row>
    <row r="32" spans="1:5" x14ac:dyDescent="0.25">
      <c r="A32">
        <v>5.4034476430500007</v>
      </c>
      <c r="B32">
        <v>1.0994794620115087E-3</v>
      </c>
      <c r="C32">
        <f t="shared" si="0"/>
        <v>1.1235420359523231E-3</v>
      </c>
      <c r="D32">
        <f t="shared" si="1"/>
        <v>-2.4062573940814404E-5</v>
      </c>
      <c r="E32">
        <f t="shared" si="2"/>
        <v>5.7900746465716044E-10</v>
      </c>
    </row>
    <row r="33" spans="1:5" x14ac:dyDescent="0.25">
      <c r="A33">
        <v>5.5749583557500006</v>
      </c>
      <c r="B33">
        <v>1.0994794620115087E-3</v>
      </c>
      <c r="C33">
        <f t="shared" si="0"/>
        <v>8.5091489035803972E-4</v>
      </c>
      <c r="D33">
        <f t="shared" si="1"/>
        <v>2.4856457165346897E-4</v>
      </c>
      <c r="E33">
        <f t="shared" si="2"/>
        <v>6.1784346281272514E-8</v>
      </c>
    </row>
    <row r="34" spans="1:5" x14ac:dyDescent="0.25">
      <c r="A34">
        <v>5.7464690684499997</v>
      </c>
      <c r="B34">
        <v>3.6649315400383623E-4</v>
      </c>
      <c r="C34">
        <f t="shared" si="0"/>
        <v>6.4302026665943087E-4</v>
      </c>
      <c r="D34">
        <f t="shared" si="1"/>
        <v>-2.7652711265559464E-4</v>
      </c>
      <c r="E34">
        <f t="shared" si="2"/>
        <v>7.6467244033639931E-8</v>
      </c>
    </row>
    <row r="35" spans="1:5" x14ac:dyDescent="0.25">
      <c r="A35">
        <v>5.9179797811500006</v>
      </c>
      <c r="B35">
        <v>3.6649315400383623E-4</v>
      </c>
      <c r="C35">
        <f t="shared" si="0"/>
        <v>4.8487575102601135E-4</v>
      </c>
      <c r="D35">
        <f t="shared" si="1"/>
        <v>-1.1838259702217513E-4</v>
      </c>
      <c r="E35">
        <f t="shared" si="2"/>
        <v>1.4014439277714707E-8</v>
      </c>
    </row>
    <row r="36" spans="1:5" x14ac:dyDescent="0.25">
      <c r="A36">
        <v>6.0894904938500005</v>
      </c>
      <c r="B36">
        <v>0</v>
      </c>
      <c r="C36">
        <f t="shared" si="0"/>
        <v>3.6486109614164197E-4</v>
      </c>
      <c r="D36">
        <f t="shared" si="1"/>
        <v>-3.6486109614164197E-4</v>
      </c>
      <c r="E36">
        <f t="shared" si="2"/>
        <v>1.3312361947768051E-7</v>
      </c>
    </row>
    <row r="37" spans="1:5" x14ac:dyDescent="0.25">
      <c r="A37">
        <v>6.2610012065500005</v>
      </c>
      <c r="B37">
        <v>7.3298630800767246E-4</v>
      </c>
      <c r="C37">
        <f t="shared" si="0"/>
        <v>2.7399244824313258E-4</v>
      </c>
      <c r="D37">
        <f t="shared" si="1"/>
        <v>4.5899385976453988E-4</v>
      </c>
      <c r="E37">
        <f t="shared" si="2"/>
        <v>2.106753633015501E-7</v>
      </c>
    </row>
    <row r="38" spans="1:5" x14ac:dyDescent="0.25">
      <c r="A38">
        <v>6.4325119192500004</v>
      </c>
      <c r="B38">
        <v>0</v>
      </c>
      <c r="C38">
        <f t="shared" si="0"/>
        <v>2.0534539496213744E-4</v>
      </c>
      <c r="D38">
        <f t="shared" si="1"/>
        <v>-2.0534539496213744E-4</v>
      </c>
      <c r="E38">
        <f t="shared" si="2"/>
        <v>4.2166731232156219E-8</v>
      </c>
    </row>
    <row r="39" spans="1:5" x14ac:dyDescent="0.25">
      <c r="A39">
        <v>6.6040226319500004</v>
      </c>
      <c r="B39">
        <v>0</v>
      </c>
      <c r="C39">
        <f t="shared" si="0"/>
        <v>1.5359848572075156E-4</v>
      </c>
      <c r="D39">
        <f t="shared" si="1"/>
        <v>-1.5359848572075156E-4</v>
      </c>
      <c r="E39">
        <f t="shared" si="2"/>
        <v>2.3592494815707921E-8</v>
      </c>
    </row>
    <row r="40" spans="1:5" x14ac:dyDescent="0.25">
      <c r="A40">
        <v>6.7755333446500003</v>
      </c>
      <c r="B40">
        <v>3.6649315400383623E-4</v>
      </c>
      <c r="C40">
        <f t="shared" si="0"/>
        <v>1.1467366356928928E-4</v>
      </c>
      <c r="D40">
        <f t="shared" si="1"/>
        <v>2.5181949043454695E-4</v>
      </c>
      <c r="E40">
        <f t="shared" si="2"/>
        <v>6.3413055762714882E-8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8333-D2E9-484B-9DD1-391F89AFE52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8.4564946687500003E-2</v>
      </c>
      <c r="B1">
        <v>0.587603418393848</v>
      </c>
      <c r="C1">
        <f>$H$3*(1+$H$1)*(A1^($H$1))*EXP(-$H$3*(A1^(1+$H$1)))</f>
        <v>0.58187855303586367</v>
      </c>
      <c r="D1">
        <f>B1-C1</f>
        <v>5.7248653579843323E-3</v>
      </c>
      <c r="E1">
        <f>D1^2</f>
        <v>3.2774083367049078E-5</v>
      </c>
      <c r="G1" t="s">
        <v>0</v>
      </c>
      <c r="H1">
        <v>0.25888714956727438</v>
      </c>
    </row>
    <row r="2" spans="1:8" x14ac:dyDescent="0.25">
      <c r="A2">
        <v>0.2519982120625</v>
      </c>
      <c r="B2">
        <v>0.69198281156540697</v>
      </c>
      <c r="C2">
        <f t="shared" ref="C2:C40" si="0">$H$3*(1+$H$1)*(A2^($H$1))*EXP(-$H$3*(A2^(1+$H$1)))</f>
        <v>0.68450986422587989</v>
      </c>
      <c r="D2">
        <f t="shared" ref="D2:D40" si="1">B2-C2</f>
        <v>7.4729473395270807E-3</v>
      </c>
      <c r="E2">
        <f t="shared" ref="E2:E40" si="2">D2^2</f>
        <v>5.5844941939344871E-5</v>
      </c>
    </row>
    <row r="3" spans="1:8" x14ac:dyDescent="0.25">
      <c r="A3">
        <v>0.41943147743749998</v>
      </c>
      <c r="B3">
        <v>0.61050681042070087</v>
      </c>
      <c r="C3">
        <f t="shared" si="0"/>
        <v>0.67579651692520804</v>
      </c>
      <c r="D3">
        <f t="shared" si="1"/>
        <v>-6.5289706504507161E-2</v>
      </c>
      <c r="E3">
        <f t="shared" si="2"/>
        <v>4.2627457754446851E-3</v>
      </c>
      <c r="G3" t="s">
        <v>1</v>
      </c>
      <c r="H3">
        <f>(_xlfn.GAMMA((2+$H$1)/(1+$H$1)))^(1+$H$1)</f>
        <v>0.91256317080402038</v>
      </c>
    </row>
    <row r="4" spans="1:8" x14ac:dyDescent="0.25">
      <c r="A4">
        <v>0.58686474281250001</v>
      </c>
      <c r="B4">
        <v>0.61576332662358513</v>
      </c>
      <c r="C4">
        <f t="shared" si="0"/>
        <v>0.62764827305909821</v>
      </c>
      <c r="D4">
        <f t="shared" si="1"/>
        <v>-1.1884946435513077E-2</v>
      </c>
      <c r="E4">
        <f t="shared" si="2"/>
        <v>1.4125195177501501E-4</v>
      </c>
    </row>
    <row r="5" spans="1:8" x14ac:dyDescent="0.25">
      <c r="A5">
        <v>0.75429800818750004</v>
      </c>
      <c r="B5">
        <v>0.64279683852413272</v>
      </c>
      <c r="C5">
        <f t="shared" si="0"/>
        <v>0.56318068818340372</v>
      </c>
      <c r="D5">
        <f t="shared" si="1"/>
        <v>7.9616150340728997E-2</v>
      </c>
      <c r="E5">
        <f t="shared" si="2"/>
        <v>6.338731395077562E-3</v>
      </c>
      <c r="G5" t="s">
        <v>2</v>
      </c>
      <c r="H5">
        <f>SUM(E1:E40)</f>
        <v>1.3935341705471886E-2</v>
      </c>
    </row>
    <row r="6" spans="1:8" x14ac:dyDescent="0.25">
      <c r="A6">
        <v>0.92173127356249995</v>
      </c>
      <c r="B6">
        <v>0.51588951876878408</v>
      </c>
      <c r="C6">
        <f t="shared" si="0"/>
        <v>0.49364150047939714</v>
      </c>
      <c r="D6">
        <f t="shared" si="1"/>
        <v>2.2248018289386939E-2</v>
      </c>
      <c r="E6">
        <f t="shared" si="2"/>
        <v>4.949743178048957E-4</v>
      </c>
    </row>
    <row r="7" spans="1:8" x14ac:dyDescent="0.25">
      <c r="A7">
        <v>1.0891645389375</v>
      </c>
      <c r="B7">
        <v>0.41826850357236206</v>
      </c>
      <c r="C7">
        <f t="shared" si="0"/>
        <v>0.42515056887355257</v>
      </c>
      <c r="D7">
        <f t="shared" si="1"/>
        <v>-6.8820653011905097E-3</v>
      </c>
      <c r="E7">
        <f t="shared" si="2"/>
        <v>4.7362822809850424E-5</v>
      </c>
    </row>
    <row r="8" spans="1:8" x14ac:dyDescent="0.25">
      <c r="A8">
        <v>1.2565978043125001</v>
      </c>
      <c r="B8">
        <v>0.34392634584585607</v>
      </c>
      <c r="C8">
        <f t="shared" si="0"/>
        <v>0.36105832843666774</v>
      </c>
      <c r="D8">
        <f t="shared" si="1"/>
        <v>-1.7131982590811667E-2</v>
      </c>
      <c r="E8">
        <f t="shared" si="2"/>
        <v>2.9350482749187405E-4</v>
      </c>
    </row>
    <row r="9" spans="1:8" x14ac:dyDescent="0.25">
      <c r="A9">
        <v>1.4240310696875</v>
      </c>
      <c r="B9">
        <v>0.27671803153755015</v>
      </c>
      <c r="C9">
        <f t="shared" si="0"/>
        <v>0.30306440480240748</v>
      </c>
      <c r="D9">
        <f t="shared" si="1"/>
        <v>-2.6346373264857337E-2</v>
      </c>
      <c r="E9">
        <f t="shared" si="2"/>
        <v>6.9413138421118941E-4</v>
      </c>
    </row>
    <row r="10" spans="1:8" x14ac:dyDescent="0.25">
      <c r="A10">
        <v>1.5914643350625</v>
      </c>
      <c r="B10">
        <v>0.23278857469916023</v>
      </c>
      <c r="C10">
        <f t="shared" si="0"/>
        <v>0.25184696019974984</v>
      </c>
      <c r="D10">
        <f t="shared" si="1"/>
        <v>-1.9058385500589609E-2</v>
      </c>
      <c r="E10">
        <f t="shared" si="2"/>
        <v>3.6322205788908422E-4</v>
      </c>
    </row>
    <row r="11" spans="1:8" x14ac:dyDescent="0.25">
      <c r="A11">
        <v>1.7588976004375001</v>
      </c>
      <c r="B11">
        <v>0.18360260165788606</v>
      </c>
      <c r="C11">
        <f t="shared" si="0"/>
        <v>0.20745214039899026</v>
      </c>
      <c r="D11">
        <f t="shared" si="1"/>
        <v>-2.3849538741104209E-2</v>
      </c>
      <c r="E11">
        <f t="shared" si="2"/>
        <v>5.6880049816343059E-4</v>
      </c>
    </row>
    <row r="12" spans="1:8" x14ac:dyDescent="0.25">
      <c r="A12">
        <v>1.9263308658125</v>
      </c>
      <c r="B12">
        <v>0.15018617722526467</v>
      </c>
      <c r="C12">
        <f t="shared" si="0"/>
        <v>0.16954718825885953</v>
      </c>
      <c r="D12">
        <f t="shared" si="1"/>
        <v>-1.936101103359486E-2</v>
      </c>
      <c r="E12">
        <f t="shared" si="2"/>
        <v>3.7484874824298195E-4</v>
      </c>
    </row>
    <row r="13" spans="1:8" x14ac:dyDescent="0.25">
      <c r="A13">
        <v>2.0937641311875002</v>
      </c>
      <c r="B13">
        <v>0.13141290507210657</v>
      </c>
      <c r="C13">
        <f t="shared" si="0"/>
        <v>0.13758825236697642</v>
      </c>
      <c r="D13">
        <f t="shared" si="1"/>
        <v>-6.1753472948698485E-3</v>
      </c>
      <c r="E13">
        <f t="shared" si="2"/>
        <v>3.8134914212256358E-5</v>
      </c>
    </row>
    <row r="14" spans="1:8" x14ac:dyDescent="0.25">
      <c r="A14">
        <v>2.2611973965625003</v>
      </c>
      <c r="B14">
        <v>0.11564335646345379</v>
      </c>
      <c r="C14">
        <f t="shared" si="0"/>
        <v>0.11093161557732913</v>
      </c>
      <c r="D14">
        <f t="shared" si="1"/>
        <v>4.7117408861246657E-3</v>
      </c>
      <c r="E14">
        <f t="shared" si="2"/>
        <v>2.2200502177978848E-5</v>
      </c>
    </row>
    <row r="15" spans="1:8" x14ac:dyDescent="0.25">
      <c r="A15">
        <v>2.4286306619375</v>
      </c>
      <c r="B15">
        <v>9.3866360765790413E-2</v>
      </c>
      <c r="C15">
        <f t="shared" si="0"/>
        <v>8.8906193424015734E-2</v>
      </c>
      <c r="D15">
        <f t="shared" si="1"/>
        <v>4.9601673417746794E-3</v>
      </c>
      <c r="E15">
        <f t="shared" si="2"/>
        <v>2.4603260058408088E-5</v>
      </c>
    </row>
    <row r="16" spans="1:8" x14ac:dyDescent="0.25">
      <c r="A16">
        <v>2.5960639273125001</v>
      </c>
      <c r="B16">
        <v>7.4717623169569175E-2</v>
      </c>
      <c r="C16">
        <f t="shared" si="0"/>
        <v>7.085917283405585E-2</v>
      </c>
      <c r="D16">
        <f t="shared" si="1"/>
        <v>3.8584503355133248E-3</v>
      </c>
      <c r="E16">
        <f t="shared" si="2"/>
        <v>1.4887638991622889E-5</v>
      </c>
    </row>
    <row r="17" spans="1:5" x14ac:dyDescent="0.25">
      <c r="A17">
        <v>2.7634971926874998</v>
      </c>
      <c r="B17">
        <v>5.8572609117853218E-2</v>
      </c>
      <c r="C17">
        <f t="shared" si="0"/>
        <v>5.6183026507831982E-2</v>
      </c>
      <c r="D17">
        <f t="shared" si="1"/>
        <v>2.3895826100212361E-3</v>
      </c>
      <c r="E17">
        <f t="shared" si="2"/>
        <v>5.710105050115903E-6</v>
      </c>
    </row>
    <row r="18" spans="1:5" x14ac:dyDescent="0.25">
      <c r="A18">
        <v>2.9309304580625</v>
      </c>
      <c r="B18">
        <v>4.9185973041274179E-2</v>
      </c>
      <c r="C18">
        <f t="shared" si="0"/>
        <v>4.4329750707563231E-2</v>
      </c>
      <c r="D18">
        <f t="shared" si="1"/>
        <v>4.8562223337109481E-3</v>
      </c>
      <c r="E18">
        <f t="shared" si="2"/>
        <v>2.3582895354433006E-5</v>
      </c>
    </row>
    <row r="19" spans="1:5" x14ac:dyDescent="0.25">
      <c r="A19">
        <v>3.0983637234375001</v>
      </c>
      <c r="B19">
        <v>4.0925733293884617E-2</v>
      </c>
      <c r="C19">
        <f t="shared" si="0"/>
        <v>3.4816518578565318E-2</v>
      </c>
      <c r="D19">
        <f t="shared" si="1"/>
        <v>6.1092147153192985E-3</v>
      </c>
      <c r="E19">
        <f t="shared" si="2"/>
        <v>3.7322504437873856E-5</v>
      </c>
    </row>
    <row r="20" spans="1:5" x14ac:dyDescent="0.25">
      <c r="A20">
        <v>3.2657969888124998</v>
      </c>
      <c r="B20">
        <v>3.22900281034319E-2</v>
      </c>
      <c r="C20">
        <f t="shared" si="0"/>
        <v>2.7225753259155064E-2</v>
      </c>
      <c r="D20">
        <f t="shared" si="1"/>
        <v>5.0642748442768365E-3</v>
      </c>
      <c r="E20">
        <f t="shared" si="2"/>
        <v>2.5646879698375178E-5</v>
      </c>
    </row>
    <row r="21" spans="1:5" x14ac:dyDescent="0.25">
      <c r="A21">
        <v>3.4332302541875004</v>
      </c>
      <c r="B21">
        <v>2.703351190054764E-2</v>
      </c>
      <c r="C21">
        <f t="shared" si="0"/>
        <v>2.120175676881083E-2</v>
      </c>
      <c r="D21">
        <f t="shared" si="1"/>
        <v>5.8317551317368099E-3</v>
      </c>
      <c r="E21">
        <f t="shared" si="2"/>
        <v>3.4009367916538617E-5</v>
      </c>
    </row>
    <row r="22" spans="1:5" x14ac:dyDescent="0.25">
      <c r="A22">
        <v>3.6006635195625005</v>
      </c>
      <c r="B22">
        <v>2.0275133925410728E-2</v>
      </c>
      <c r="C22">
        <f t="shared" si="0"/>
        <v>1.6445391337040316E-2</v>
      </c>
      <c r="D22">
        <f t="shared" si="1"/>
        <v>3.829742588370412E-3</v>
      </c>
      <c r="E22">
        <f t="shared" si="2"/>
        <v>1.4666928293178103E-5</v>
      </c>
    </row>
    <row r="23" spans="1:5" x14ac:dyDescent="0.25">
      <c r="A23">
        <v>3.7680967849374998</v>
      </c>
      <c r="B23">
        <v>1.6895944937842276E-2</v>
      </c>
      <c r="C23">
        <f t="shared" si="0"/>
        <v>1.2707839418605959E-2</v>
      </c>
      <c r="D23">
        <f t="shared" si="1"/>
        <v>4.1881055192363164E-3</v>
      </c>
      <c r="E23">
        <f t="shared" si="2"/>
        <v>1.7540227840257696E-5</v>
      </c>
    </row>
    <row r="24" spans="1:5" x14ac:dyDescent="0.25">
      <c r="A24">
        <v>3.9355300503124995</v>
      </c>
      <c r="B24">
        <v>1.1639428734958011E-2</v>
      </c>
      <c r="C24">
        <f t="shared" si="0"/>
        <v>9.7841248177763587E-3</v>
      </c>
      <c r="D24">
        <f t="shared" si="1"/>
        <v>1.8553039171816527E-3</v>
      </c>
      <c r="E24">
        <f t="shared" si="2"/>
        <v>3.4421526251095847E-6</v>
      </c>
    </row>
    <row r="25" spans="1:5" x14ac:dyDescent="0.25">
      <c r="A25">
        <v>4.1029633156875001</v>
      </c>
      <c r="B25">
        <v>6.7583779751369099E-3</v>
      </c>
      <c r="C25">
        <f t="shared" si="0"/>
        <v>7.5068289423392753E-3</v>
      </c>
      <c r="D25">
        <f t="shared" si="1"/>
        <v>-7.484509672023654E-4</v>
      </c>
      <c r="E25">
        <f t="shared" si="2"/>
        <v>5.6017885030615624E-7</v>
      </c>
    </row>
    <row r="26" spans="1:5" x14ac:dyDescent="0.25">
      <c r="A26">
        <v>4.2703965810625002</v>
      </c>
      <c r="B26">
        <v>6.382912532073748E-3</v>
      </c>
      <c r="C26">
        <f t="shared" si="0"/>
        <v>5.7402596353735682E-3</v>
      </c>
      <c r="D26">
        <f t="shared" si="1"/>
        <v>6.4265289670017989E-4</v>
      </c>
      <c r="E26">
        <f t="shared" si="2"/>
        <v>4.1300274563713211E-7</v>
      </c>
    </row>
    <row r="27" spans="1:5" x14ac:dyDescent="0.25">
      <c r="A27">
        <v>4.4378298464375003</v>
      </c>
      <c r="B27">
        <v>3.0037235445052931E-3</v>
      </c>
      <c r="C27">
        <f t="shared" si="0"/>
        <v>4.375207188341639E-3</v>
      </c>
      <c r="D27">
        <f t="shared" si="1"/>
        <v>-1.3714836438363459E-3</v>
      </c>
      <c r="E27">
        <f t="shared" si="2"/>
        <v>1.880967385310621E-6</v>
      </c>
    </row>
    <row r="28" spans="1:5" x14ac:dyDescent="0.25">
      <c r="A28">
        <v>4.6052631118124996</v>
      </c>
      <c r="B28">
        <v>3.3791889875684549E-3</v>
      </c>
      <c r="C28">
        <f t="shared" si="0"/>
        <v>3.3243390759058219E-3</v>
      </c>
      <c r="D28">
        <f t="shared" si="1"/>
        <v>5.4849911662633016E-5</v>
      </c>
      <c r="E28">
        <f t="shared" si="2"/>
        <v>3.0085128093986454E-9</v>
      </c>
    </row>
    <row r="29" spans="1:5" x14ac:dyDescent="0.25">
      <c r="A29">
        <v>4.7726963771875006</v>
      </c>
      <c r="B29">
        <v>3.3791889875684549E-3</v>
      </c>
      <c r="C29">
        <f t="shared" si="0"/>
        <v>2.5182309482815884E-3</v>
      </c>
      <c r="D29">
        <f t="shared" si="1"/>
        <v>8.609580392868665E-4</v>
      </c>
      <c r="E29">
        <f t="shared" si="2"/>
        <v>7.4124874541268557E-7</v>
      </c>
    </row>
    <row r="30" spans="1:5" x14ac:dyDescent="0.25">
      <c r="A30">
        <v>4.9401296425624999</v>
      </c>
      <c r="B30">
        <v>1.1263963291894849E-3</v>
      </c>
      <c r="C30">
        <f t="shared" si="0"/>
        <v>1.9019982814442553E-3</v>
      </c>
      <c r="D30">
        <f t="shared" si="1"/>
        <v>-7.7560195225477037E-4</v>
      </c>
      <c r="E30">
        <f t="shared" si="2"/>
        <v>6.0155838834141105E-7</v>
      </c>
    </row>
    <row r="31" spans="1:5" x14ac:dyDescent="0.25">
      <c r="A31">
        <v>5.1075629079375</v>
      </c>
      <c r="B31">
        <v>1.5018617722526465E-3</v>
      </c>
      <c r="C31">
        <f t="shared" si="0"/>
        <v>1.432474625238999E-3</v>
      </c>
      <c r="D31">
        <f t="shared" si="1"/>
        <v>6.9387147013647531E-5</v>
      </c>
      <c r="E31">
        <f t="shared" si="2"/>
        <v>4.8145761706935354E-9</v>
      </c>
    </row>
    <row r="32" spans="1:5" x14ac:dyDescent="0.25">
      <c r="A32">
        <v>5.2749961733125001</v>
      </c>
      <c r="B32">
        <v>7.5093088612632327E-4</v>
      </c>
      <c r="C32">
        <f t="shared" si="0"/>
        <v>1.0758739771579429E-3</v>
      </c>
      <c r="D32">
        <f t="shared" si="1"/>
        <v>-3.2494309103161959E-4</v>
      </c>
      <c r="E32">
        <f t="shared" si="2"/>
        <v>1.0558801240918341E-7</v>
      </c>
    </row>
    <row r="33" spans="1:5" x14ac:dyDescent="0.25">
      <c r="A33">
        <v>5.4424294386874994</v>
      </c>
      <c r="B33">
        <v>1.5018617722526465E-3</v>
      </c>
      <c r="C33">
        <f t="shared" si="0"/>
        <v>8.0587303869157992E-4</v>
      </c>
      <c r="D33">
        <f t="shared" si="1"/>
        <v>6.9598873356106663E-4</v>
      </c>
      <c r="E33">
        <f t="shared" si="2"/>
        <v>4.844003172439374E-7</v>
      </c>
    </row>
    <row r="34" spans="1:5" x14ac:dyDescent="0.25">
      <c r="A34">
        <v>5.6098627040624995</v>
      </c>
      <c r="B34">
        <v>7.5093088612632327E-4</v>
      </c>
      <c r="C34">
        <f t="shared" si="0"/>
        <v>6.0205151679626793E-4</v>
      </c>
      <c r="D34">
        <f t="shared" si="1"/>
        <v>1.4887936933005534E-4</v>
      </c>
      <c r="E34">
        <f t="shared" si="2"/>
        <v>2.2165066612115025E-8</v>
      </c>
    </row>
    <row r="35" spans="1:5" x14ac:dyDescent="0.25">
      <c r="A35">
        <v>5.7772959694374997</v>
      </c>
      <c r="B35">
        <v>0</v>
      </c>
      <c r="C35">
        <f t="shared" si="0"/>
        <v>4.4863346785035745E-4</v>
      </c>
      <c r="D35">
        <f t="shared" si="1"/>
        <v>-4.4863346785035745E-4</v>
      </c>
      <c r="E35">
        <f t="shared" si="2"/>
        <v>2.0127198847543773E-7</v>
      </c>
    </row>
    <row r="36" spans="1:5" x14ac:dyDescent="0.25">
      <c r="A36">
        <v>5.9447292348124998</v>
      </c>
      <c r="B36">
        <v>3.7546544306316164E-4</v>
      </c>
      <c r="C36">
        <f t="shared" si="0"/>
        <v>3.3347873772991736E-4</v>
      </c>
      <c r="D36">
        <f t="shared" si="1"/>
        <v>4.1986705333244272E-5</v>
      </c>
      <c r="E36">
        <f t="shared" si="2"/>
        <v>1.7628834247406831E-9</v>
      </c>
    </row>
    <row r="37" spans="1:5" x14ac:dyDescent="0.25">
      <c r="A37">
        <v>6.1121625001875</v>
      </c>
      <c r="B37">
        <v>7.5093088612632327E-4</v>
      </c>
      <c r="C37">
        <f t="shared" si="0"/>
        <v>2.4728002098982132E-4</v>
      </c>
      <c r="D37">
        <f t="shared" si="1"/>
        <v>5.0365086513650195E-4</v>
      </c>
      <c r="E37">
        <f t="shared" si="2"/>
        <v>2.5366419395274687E-7</v>
      </c>
    </row>
    <row r="38" spans="1:5" x14ac:dyDescent="0.25">
      <c r="A38">
        <v>6.2795957655625001</v>
      </c>
      <c r="B38">
        <v>0</v>
      </c>
      <c r="C38">
        <f t="shared" si="0"/>
        <v>1.8292742688177886E-4</v>
      </c>
      <c r="D38">
        <f t="shared" si="1"/>
        <v>-1.8292742688177886E-4</v>
      </c>
      <c r="E38">
        <f t="shared" si="2"/>
        <v>3.3462443505588551E-8</v>
      </c>
    </row>
    <row r="39" spans="1:5" x14ac:dyDescent="0.25">
      <c r="A39">
        <v>6.4470290309375002</v>
      </c>
      <c r="B39">
        <v>0</v>
      </c>
      <c r="C39">
        <f t="shared" si="0"/>
        <v>1.3500838962562982E-4</v>
      </c>
      <c r="D39">
        <f t="shared" si="1"/>
        <v>-1.3500838962562982E-4</v>
      </c>
      <c r="E39">
        <f t="shared" si="2"/>
        <v>1.822726526930587E-8</v>
      </c>
    </row>
    <row r="40" spans="1:5" x14ac:dyDescent="0.25">
      <c r="A40">
        <v>6.6144622963124995</v>
      </c>
      <c r="B40">
        <v>3.7546544306316164E-4</v>
      </c>
      <c r="C40">
        <f t="shared" si="0"/>
        <v>9.9416128815103954E-5</v>
      </c>
      <c r="D40">
        <f t="shared" si="1"/>
        <v>2.760493142480577E-4</v>
      </c>
      <c r="E40">
        <f t="shared" si="2"/>
        <v>7.6203223896822906E-8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AF75-75E8-4271-8F46-27A57A60B6B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8.3110330087500017E-2</v>
      </c>
      <c r="B1">
        <v>0.55334159346137146</v>
      </c>
      <c r="C1">
        <f>$H$3*(1+$H$1)*(A1^($H$1))*EXP(-$H$3*(A1^(1+$H$1)))</f>
        <v>0.55566122402780327</v>
      </c>
      <c r="D1">
        <f>B1-C1</f>
        <v>-2.3196305664318073E-3</v>
      </c>
      <c r="E1">
        <f>D1^2</f>
        <v>5.3806859647247471E-6</v>
      </c>
      <c r="G1" t="s">
        <v>0</v>
      </c>
      <c r="H1">
        <v>0.28143351228849472</v>
      </c>
    </row>
    <row r="2" spans="1:8" x14ac:dyDescent="0.25">
      <c r="A2">
        <v>0.24672999626250006</v>
      </c>
      <c r="B2">
        <v>0.70512626666778933</v>
      </c>
      <c r="C2">
        <f t="shared" ref="C2:C40" si="0">$H$3*(1+$H$1)*(A2^($H$1))*EXP(-$H$3*(A2^(1+$H$1)))</f>
        <v>0.67380733897983824</v>
      </c>
      <c r="D2">
        <f t="shared" ref="D2:D40" si="1">B2-C2</f>
        <v>3.1318927687951081E-2</v>
      </c>
      <c r="E2">
        <f t="shared" ref="E2:E40" si="2">D2^2</f>
        <v>9.8087523152310882E-4</v>
      </c>
    </row>
    <row r="3" spans="1:8" x14ac:dyDescent="0.25">
      <c r="A3">
        <v>0.41034966243750004</v>
      </c>
      <c r="B3">
        <v>0.61636105271669439</v>
      </c>
      <c r="C3">
        <f t="shared" si="0"/>
        <v>0.67684896685712026</v>
      </c>
      <c r="D3">
        <f t="shared" si="1"/>
        <v>-6.0487914140425869E-2</v>
      </c>
      <c r="E3">
        <f t="shared" si="2"/>
        <v>3.658787757059532E-3</v>
      </c>
      <c r="G3" t="s">
        <v>1</v>
      </c>
      <c r="H3">
        <f>(_xlfn.GAMMA((2+$H$1)/(1+$H$1)))^(1+$H$1)</f>
        <v>0.90658254858797394</v>
      </c>
    </row>
    <row r="4" spans="1:8" x14ac:dyDescent="0.25">
      <c r="A4">
        <v>0.57396932861250005</v>
      </c>
      <c r="B4">
        <v>0.59368941798459651</v>
      </c>
      <c r="C4">
        <f t="shared" si="0"/>
        <v>0.63672268835820689</v>
      </c>
      <c r="D4">
        <f t="shared" si="1"/>
        <v>-4.3033270373610377E-2</v>
      </c>
      <c r="E4">
        <f t="shared" si="2"/>
        <v>1.8518623590482526E-3</v>
      </c>
    </row>
    <row r="5" spans="1:8" x14ac:dyDescent="0.25">
      <c r="A5">
        <v>0.73758899478750006</v>
      </c>
      <c r="B5">
        <v>0.61866664268945004</v>
      </c>
      <c r="C5">
        <f t="shared" si="0"/>
        <v>0.57721292925243095</v>
      </c>
      <c r="D5">
        <f t="shared" si="1"/>
        <v>4.1453713437019091E-2</v>
      </c>
      <c r="E5">
        <f t="shared" si="2"/>
        <v>1.718410357718497E-3</v>
      </c>
      <c r="G5" t="s">
        <v>2</v>
      </c>
      <c r="H5">
        <f>SUM(E1:E40)</f>
        <v>1.1705450998786959E-2</v>
      </c>
    </row>
    <row r="6" spans="1:8" x14ac:dyDescent="0.25">
      <c r="A6">
        <v>0.90120866096250007</v>
      </c>
      <c r="B6">
        <v>0.55026747349769722</v>
      </c>
      <c r="C6">
        <f t="shared" si="0"/>
        <v>0.51026904484818814</v>
      </c>
      <c r="D6">
        <f t="shared" si="1"/>
        <v>3.9998428649509088E-2</v>
      </c>
      <c r="E6">
        <f t="shared" si="2"/>
        <v>1.5998742944298694E-3</v>
      </c>
    </row>
    <row r="7" spans="1:8" x14ac:dyDescent="0.25">
      <c r="A7">
        <v>1.0648283271375001</v>
      </c>
      <c r="B7">
        <v>0.45727534459655006</v>
      </c>
      <c r="C7">
        <f t="shared" si="0"/>
        <v>0.44264469866331541</v>
      </c>
      <c r="D7">
        <f t="shared" si="1"/>
        <v>1.4630645933234654E-2</v>
      </c>
      <c r="E7">
        <f t="shared" si="2"/>
        <v>2.1405580042367571E-4</v>
      </c>
    </row>
    <row r="8" spans="1:8" x14ac:dyDescent="0.25">
      <c r="A8">
        <v>1.2284479933125001</v>
      </c>
      <c r="B8">
        <v>0.36774160065453648</v>
      </c>
      <c r="C8">
        <f t="shared" si="0"/>
        <v>0.37822340428003309</v>
      </c>
      <c r="D8">
        <f t="shared" si="1"/>
        <v>-1.0481803625496611E-2</v>
      </c>
      <c r="E8">
        <f t="shared" si="2"/>
        <v>1.0986820724347389E-4</v>
      </c>
    </row>
    <row r="9" spans="1:8" x14ac:dyDescent="0.25">
      <c r="A9">
        <v>1.3920676594875001</v>
      </c>
      <c r="B9">
        <v>0.30933332134472502</v>
      </c>
      <c r="C9">
        <f t="shared" si="0"/>
        <v>0.31913091162777718</v>
      </c>
      <c r="D9">
        <f t="shared" si="1"/>
        <v>-9.79759028305216E-3</v>
      </c>
      <c r="E9">
        <f t="shared" si="2"/>
        <v>9.5992775354558104E-5</v>
      </c>
    </row>
    <row r="10" spans="1:8" x14ac:dyDescent="0.25">
      <c r="A10">
        <v>1.5556873256624999</v>
      </c>
      <c r="B10">
        <v>0.25015651204399503</v>
      </c>
      <c r="C10">
        <f t="shared" si="0"/>
        <v>0.26637142286432774</v>
      </c>
      <c r="D10">
        <f t="shared" si="1"/>
        <v>-1.6214910820332717E-2</v>
      </c>
      <c r="E10">
        <f t="shared" si="2"/>
        <v>2.6292333291134305E-4</v>
      </c>
    </row>
    <row r="11" spans="1:8" x14ac:dyDescent="0.25">
      <c r="A11">
        <v>1.7193069918375001</v>
      </c>
      <c r="B11">
        <v>0.19751220766607289</v>
      </c>
      <c r="C11">
        <f t="shared" si="0"/>
        <v>0.22023003996474436</v>
      </c>
      <c r="D11">
        <f t="shared" si="1"/>
        <v>-2.271783229867147E-2</v>
      </c>
      <c r="E11">
        <f t="shared" si="2"/>
        <v>5.1609990435056059E-4</v>
      </c>
    </row>
    <row r="12" spans="1:8" x14ac:dyDescent="0.25">
      <c r="A12">
        <v>1.8829266580125001</v>
      </c>
      <c r="B12">
        <v>0.16023850310652216</v>
      </c>
      <c r="C12">
        <f t="shared" si="0"/>
        <v>0.18054100474942744</v>
      </c>
      <c r="D12">
        <f t="shared" si="1"/>
        <v>-2.0302501642905285E-2</v>
      </c>
      <c r="E12">
        <f t="shared" si="2"/>
        <v>4.1219157296017178E-4</v>
      </c>
    </row>
    <row r="13" spans="1:8" x14ac:dyDescent="0.25">
      <c r="A13">
        <v>2.0465463241875002</v>
      </c>
      <c r="B13">
        <v>0.13641407338804645</v>
      </c>
      <c r="C13">
        <f t="shared" si="0"/>
        <v>0.14687046001408396</v>
      </c>
      <c r="D13">
        <f t="shared" si="1"/>
        <v>-1.0456386626037512E-2</v>
      </c>
      <c r="E13">
        <f t="shared" si="2"/>
        <v>1.0933602127317613E-4</v>
      </c>
    </row>
    <row r="14" spans="1:8" x14ac:dyDescent="0.25">
      <c r="A14">
        <v>2.2101659903625004</v>
      </c>
      <c r="B14">
        <v>0.11720082361508216</v>
      </c>
      <c r="C14">
        <f t="shared" si="0"/>
        <v>0.118641222300772</v>
      </c>
      <c r="D14">
        <f t="shared" si="1"/>
        <v>-1.4403986856898338E-3</v>
      </c>
      <c r="E14">
        <f t="shared" si="2"/>
        <v>2.0747483737370007E-6</v>
      </c>
    </row>
    <row r="15" spans="1:8" x14ac:dyDescent="0.25">
      <c r="A15">
        <v>2.3737856565374997</v>
      </c>
      <c r="B15">
        <v>9.7219043851199297E-2</v>
      </c>
      <c r="C15">
        <f t="shared" si="0"/>
        <v>9.5216855996194449E-2</v>
      </c>
      <c r="D15">
        <f t="shared" si="1"/>
        <v>2.0021878550048472E-3</v>
      </c>
      <c r="E15">
        <f t="shared" si="2"/>
        <v>4.008756206728911E-6</v>
      </c>
    </row>
    <row r="16" spans="1:8" x14ac:dyDescent="0.25">
      <c r="A16">
        <v>2.5374053227125</v>
      </c>
      <c r="B16">
        <v>8.1848444032827872E-2</v>
      </c>
      <c r="C16">
        <f t="shared" si="0"/>
        <v>7.5956774961691981E-2</v>
      </c>
      <c r="D16">
        <f t="shared" si="1"/>
        <v>5.891669071135891E-3</v>
      </c>
      <c r="E16">
        <f t="shared" si="2"/>
        <v>3.4711764443779254E-5</v>
      </c>
    </row>
    <row r="17" spans="1:5" x14ac:dyDescent="0.25">
      <c r="A17">
        <v>2.7010249888875002</v>
      </c>
      <c r="B17">
        <v>6.1098134278026434E-2</v>
      </c>
      <c r="C17">
        <f t="shared" si="0"/>
        <v>6.025070575738832E-2</v>
      </c>
      <c r="D17">
        <f t="shared" si="1"/>
        <v>8.4742852063811325E-4</v>
      </c>
      <c r="E17">
        <f t="shared" si="2"/>
        <v>7.1813509759090109E-7</v>
      </c>
    </row>
    <row r="18" spans="1:5" x14ac:dyDescent="0.25">
      <c r="A18">
        <v>2.8646446550625</v>
      </c>
      <c r="B18">
        <v>5.2644304377922148E-2</v>
      </c>
      <c r="C18">
        <f t="shared" si="0"/>
        <v>4.7538586502857541E-2</v>
      </c>
      <c r="D18">
        <f t="shared" si="1"/>
        <v>5.1057178750646068E-3</v>
      </c>
      <c r="E18">
        <f t="shared" si="2"/>
        <v>2.6068355019754244E-5</v>
      </c>
    </row>
    <row r="19" spans="1:5" x14ac:dyDescent="0.25">
      <c r="A19">
        <v>3.0282643212375002</v>
      </c>
      <c r="B19">
        <v>4.1116354514143576E-2</v>
      </c>
      <c r="C19">
        <f t="shared" si="0"/>
        <v>3.7320372666639491E-2</v>
      </c>
      <c r="D19">
        <f t="shared" si="1"/>
        <v>3.7959818475040846E-3</v>
      </c>
      <c r="E19">
        <f t="shared" si="2"/>
        <v>1.4409478186580524E-5</v>
      </c>
    </row>
    <row r="20" spans="1:5" x14ac:dyDescent="0.25">
      <c r="A20">
        <v>3.1918839874125</v>
      </c>
      <c r="B20">
        <v>3.1893994623120717E-2</v>
      </c>
      <c r="C20">
        <f t="shared" si="0"/>
        <v>2.9159039779706259E-2</v>
      </c>
      <c r="D20">
        <f t="shared" si="1"/>
        <v>2.7349548434144576E-3</v>
      </c>
      <c r="E20">
        <f t="shared" si="2"/>
        <v>7.4799779955162E-6</v>
      </c>
    </row>
    <row r="21" spans="1:5" x14ac:dyDescent="0.25">
      <c r="A21">
        <v>3.3555036535875002</v>
      </c>
      <c r="B21">
        <v>2.8435609663987147E-2</v>
      </c>
      <c r="C21">
        <f t="shared" si="0"/>
        <v>2.2679184736952844E-2</v>
      </c>
      <c r="D21">
        <f t="shared" si="1"/>
        <v>5.7564249270343031E-3</v>
      </c>
      <c r="E21">
        <f t="shared" si="2"/>
        <v>3.3136427940581879E-5</v>
      </c>
    </row>
    <row r="22" spans="1:5" x14ac:dyDescent="0.25">
      <c r="A22">
        <v>3.5191233197625005</v>
      </c>
      <c r="B22">
        <v>2.0366044759342145E-2</v>
      </c>
      <c r="C22">
        <f t="shared" si="0"/>
        <v>1.756295455141943E-2</v>
      </c>
      <c r="D22">
        <f t="shared" si="1"/>
        <v>2.8030902079227149E-3</v>
      </c>
      <c r="E22">
        <f t="shared" si="2"/>
        <v>7.8573147137522098E-6</v>
      </c>
    </row>
    <row r="23" spans="1:5" x14ac:dyDescent="0.25">
      <c r="A23">
        <v>3.6827429859375003</v>
      </c>
      <c r="B23">
        <v>1.8828984777505001E-2</v>
      </c>
      <c r="C23">
        <f t="shared" si="0"/>
        <v>1.3544522696719961E-2</v>
      </c>
      <c r="D23">
        <f t="shared" si="1"/>
        <v>5.2844620807850403E-3</v>
      </c>
      <c r="E23">
        <f t="shared" si="2"/>
        <v>2.7925539483254958E-5</v>
      </c>
    </row>
    <row r="24" spans="1:5" x14ac:dyDescent="0.25">
      <c r="A24">
        <v>3.8463626521125001</v>
      </c>
      <c r="B24">
        <v>1.3065009845615715E-2</v>
      </c>
      <c r="C24">
        <f t="shared" si="0"/>
        <v>1.0403951444793566E-2</v>
      </c>
      <c r="D24">
        <f t="shared" si="1"/>
        <v>2.6610584008221489E-3</v>
      </c>
      <c r="E24">
        <f t="shared" si="2"/>
        <v>7.0812318125861322E-6</v>
      </c>
    </row>
    <row r="25" spans="1:5" x14ac:dyDescent="0.25">
      <c r="A25">
        <v>4.0099823182875003</v>
      </c>
      <c r="B25">
        <v>6.9167699182671434E-3</v>
      </c>
      <c r="C25">
        <f t="shared" si="0"/>
        <v>7.960995648986096E-3</v>
      </c>
      <c r="D25">
        <f t="shared" si="1"/>
        <v>-1.0442257307189525E-3</v>
      </c>
      <c r="E25">
        <f t="shared" si="2"/>
        <v>1.0904073766955303E-6</v>
      </c>
    </row>
    <row r="26" spans="1:5" x14ac:dyDescent="0.25">
      <c r="A26">
        <v>4.1736019844625005</v>
      </c>
      <c r="B26">
        <v>6.1482399273485719E-3</v>
      </c>
      <c r="C26">
        <f t="shared" si="0"/>
        <v>6.069197041943003E-3</v>
      </c>
      <c r="D26">
        <f t="shared" si="1"/>
        <v>7.9042885405568829E-5</v>
      </c>
      <c r="E26">
        <f t="shared" si="2"/>
        <v>6.2477777332378857E-9</v>
      </c>
    </row>
    <row r="27" spans="1:5" x14ac:dyDescent="0.25">
      <c r="A27">
        <v>4.3372216506375008</v>
      </c>
      <c r="B27">
        <v>3.8426499545928575E-3</v>
      </c>
      <c r="C27">
        <f t="shared" si="0"/>
        <v>4.6104706185581164E-3</v>
      </c>
      <c r="D27">
        <f t="shared" si="1"/>
        <v>-7.6782066396525886E-4</v>
      </c>
      <c r="E27">
        <f t="shared" si="2"/>
        <v>5.8954857201205099E-7</v>
      </c>
    </row>
    <row r="28" spans="1:5" x14ac:dyDescent="0.25">
      <c r="A28">
        <v>4.5008413168125001</v>
      </c>
      <c r="B28">
        <v>4.2269149500521437E-3</v>
      </c>
      <c r="C28">
        <f t="shared" si="0"/>
        <v>3.4902819183550132E-3</v>
      </c>
      <c r="D28">
        <f t="shared" si="1"/>
        <v>7.3663303169713059E-4</v>
      </c>
      <c r="E28">
        <f t="shared" si="2"/>
        <v>5.4262822338730581E-7</v>
      </c>
    </row>
    <row r="29" spans="1:5" x14ac:dyDescent="0.25">
      <c r="A29">
        <v>4.6644609829875003</v>
      </c>
      <c r="B29">
        <v>2.6898549682150001E-3</v>
      </c>
      <c r="C29">
        <f t="shared" si="0"/>
        <v>2.6334447721125878E-3</v>
      </c>
      <c r="D29">
        <f t="shared" si="1"/>
        <v>5.6410196102412314E-5</v>
      </c>
      <c r="E29">
        <f t="shared" si="2"/>
        <v>3.1821102243126133E-9</v>
      </c>
    </row>
    <row r="30" spans="1:5" x14ac:dyDescent="0.25">
      <c r="A30">
        <v>4.8280806491624997</v>
      </c>
      <c r="B30">
        <v>2.3055899727557148E-3</v>
      </c>
      <c r="C30">
        <f t="shared" si="0"/>
        <v>1.9805244885220171E-3</v>
      </c>
      <c r="D30">
        <f t="shared" si="1"/>
        <v>3.2506548423369766E-4</v>
      </c>
      <c r="E30">
        <f t="shared" si="2"/>
        <v>1.0566756904008834E-7</v>
      </c>
    </row>
    <row r="31" spans="1:5" x14ac:dyDescent="0.25">
      <c r="A31">
        <v>4.9917003153374999</v>
      </c>
      <c r="B31">
        <v>7.6852999091857148E-4</v>
      </c>
      <c r="C31">
        <f t="shared" si="0"/>
        <v>1.4848046508916582E-3</v>
      </c>
      <c r="D31">
        <f t="shared" si="1"/>
        <v>-7.1627465997308674E-4</v>
      </c>
      <c r="E31">
        <f t="shared" si="2"/>
        <v>5.1304938851956102E-7</v>
      </c>
    </row>
    <row r="32" spans="1:5" x14ac:dyDescent="0.25">
      <c r="A32">
        <v>5.155319981512501</v>
      </c>
      <c r="B32">
        <v>1.1527949863778574E-3</v>
      </c>
      <c r="C32">
        <f t="shared" si="0"/>
        <v>1.1097614010490092E-3</v>
      </c>
      <c r="D32">
        <f t="shared" si="1"/>
        <v>4.3033585328848155E-5</v>
      </c>
      <c r="E32">
        <f t="shared" si="2"/>
        <v>1.8518894662552552E-9</v>
      </c>
    </row>
    <row r="33" spans="1:5" x14ac:dyDescent="0.25">
      <c r="A33">
        <v>5.3189396476875004</v>
      </c>
      <c r="B33">
        <v>7.6852999091857148E-4</v>
      </c>
      <c r="C33">
        <f t="shared" si="0"/>
        <v>8.269833333401543E-4</v>
      </c>
      <c r="D33">
        <f t="shared" si="1"/>
        <v>-5.8453342421582819E-5</v>
      </c>
      <c r="E33">
        <f t="shared" si="2"/>
        <v>3.4167932402548135E-9</v>
      </c>
    </row>
    <row r="34" spans="1:5" x14ac:dyDescent="0.25">
      <c r="A34">
        <v>5.4825593138624997</v>
      </c>
      <c r="B34">
        <v>1.537059981837143E-3</v>
      </c>
      <c r="C34">
        <f t="shared" si="0"/>
        <v>6.1447496246072803E-4</v>
      </c>
      <c r="D34">
        <f t="shared" si="1"/>
        <v>9.2258501937641493E-4</v>
      </c>
      <c r="E34">
        <f t="shared" si="2"/>
        <v>8.5116311797777993E-7</v>
      </c>
    </row>
    <row r="35" spans="1:5" x14ac:dyDescent="0.25">
      <c r="A35">
        <v>5.6461789800375008</v>
      </c>
      <c r="B35">
        <v>0</v>
      </c>
      <c r="C35">
        <f t="shared" si="0"/>
        <v>4.552850285496971E-4</v>
      </c>
      <c r="D35">
        <f t="shared" si="1"/>
        <v>-4.552850285496971E-4</v>
      </c>
      <c r="E35">
        <f t="shared" si="2"/>
        <v>2.0728445722149852E-7</v>
      </c>
    </row>
    <row r="36" spans="1:5" x14ac:dyDescent="0.25">
      <c r="A36">
        <v>5.8097986462125011</v>
      </c>
      <c r="B36">
        <v>3.8426499545928574E-4</v>
      </c>
      <c r="C36">
        <f t="shared" si="0"/>
        <v>3.3640614752278829E-4</v>
      </c>
      <c r="D36">
        <f t="shared" si="1"/>
        <v>4.7858847936497453E-5</v>
      </c>
      <c r="E36">
        <f t="shared" si="2"/>
        <v>2.2904693258087866E-9</v>
      </c>
    </row>
    <row r="37" spans="1:5" x14ac:dyDescent="0.25">
      <c r="A37">
        <v>5.9734183123875004</v>
      </c>
      <c r="B37">
        <v>7.6852999091857148E-4</v>
      </c>
      <c r="C37">
        <f t="shared" si="0"/>
        <v>2.4789846139567972E-4</v>
      </c>
      <c r="D37">
        <f t="shared" si="1"/>
        <v>5.2063152952289181E-4</v>
      </c>
      <c r="E37">
        <f t="shared" si="2"/>
        <v>2.7105718953334574E-7</v>
      </c>
    </row>
    <row r="38" spans="1:5" x14ac:dyDescent="0.25">
      <c r="A38">
        <v>6.1370379785624998</v>
      </c>
      <c r="B38">
        <v>0</v>
      </c>
      <c r="C38">
        <f t="shared" si="0"/>
        <v>1.8219630036937407E-4</v>
      </c>
      <c r="D38">
        <f t="shared" si="1"/>
        <v>-1.8219630036937407E-4</v>
      </c>
      <c r="E38">
        <f t="shared" si="2"/>
        <v>3.3195491868287176E-8</v>
      </c>
    </row>
    <row r="39" spans="1:5" x14ac:dyDescent="0.25">
      <c r="A39">
        <v>6.3006576447375</v>
      </c>
      <c r="B39">
        <v>0</v>
      </c>
      <c r="C39">
        <f t="shared" si="0"/>
        <v>1.3356299934733348E-4</v>
      </c>
      <c r="D39">
        <f t="shared" si="1"/>
        <v>-1.3356299934733348E-4</v>
      </c>
      <c r="E39">
        <f t="shared" si="2"/>
        <v>1.7839074794655804E-8</v>
      </c>
    </row>
    <row r="40" spans="1:5" x14ac:dyDescent="0.25">
      <c r="A40">
        <v>6.4642773109125002</v>
      </c>
      <c r="B40">
        <v>3.8426499545928574E-4</v>
      </c>
      <c r="C40">
        <f t="shared" si="0"/>
        <v>9.7664662040428804E-5</v>
      </c>
      <c r="D40">
        <f t="shared" si="1"/>
        <v>2.8660033341885695E-4</v>
      </c>
      <c r="E40">
        <f t="shared" si="2"/>
        <v>8.2139751115799968E-8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78917-4EC4-474C-8E87-5F667C24199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8.0681503424999995E-2</v>
      </c>
      <c r="B1">
        <v>0.50217612920643107</v>
      </c>
      <c r="C1">
        <f>$H$3*(1+$H$1)*(A1^($H$1))*EXP(-$H$3*(A1^(1+$H$1)))</f>
        <v>0.50533032158277003</v>
      </c>
      <c r="D1">
        <f>B1-C1</f>
        <v>-3.1541923763389601E-3</v>
      </c>
      <c r="E1">
        <f>D1^2</f>
        <v>9.9489295469548153E-6</v>
      </c>
      <c r="G1" t="s">
        <v>0</v>
      </c>
      <c r="H1">
        <v>0.326896544390679</v>
      </c>
    </row>
    <row r="2" spans="1:8" x14ac:dyDescent="0.25">
      <c r="A2">
        <v>0.23726946227500001</v>
      </c>
      <c r="B2">
        <v>0.65030002343278837</v>
      </c>
      <c r="C2">
        <f t="shared" ref="C2:C40" si="0">$H$3*(1+$H$1)*(A2^($H$1))*EXP(-$H$3*(A2^(1+$H$1)))</f>
        <v>0.64991439143525187</v>
      </c>
      <c r="D2">
        <f t="shared" ref="D2:D40" si="1">B2-C2</f>
        <v>3.8563199753649524E-4</v>
      </c>
      <c r="E2">
        <f t="shared" ref="E2:E40" si="2">D2^2</f>
        <v>1.4871203752398746E-7</v>
      </c>
    </row>
    <row r="3" spans="1:8" x14ac:dyDescent="0.25">
      <c r="A3">
        <v>0.393857421125</v>
      </c>
      <c r="B3">
        <v>0.69285051879320536</v>
      </c>
      <c r="C3">
        <f t="shared" si="0"/>
        <v>0.67535330402708682</v>
      </c>
      <c r="D3">
        <f t="shared" si="1"/>
        <v>1.7497214766118541E-2</v>
      </c>
      <c r="E3">
        <f t="shared" si="2"/>
        <v>3.061525245716767E-4</v>
      </c>
      <c r="G3" t="s">
        <v>1</v>
      </c>
      <c r="H3">
        <f>(_xlfn.GAMMA((2+$H$1)/(1+$H$1)))^(1+$H$1)</f>
        <v>0.89512656662188517</v>
      </c>
    </row>
    <row r="4" spans="1:8" x14ac:dyDescent="0.25">
      <c r="A4">
        <v>0.55044537997499998</v>
      </c>
      <c r="B4">
        <v>0.6089537873750247</v>
      </c>
      <c r="C4">
        <f t="shared" si="0"/>
        <v>0.65150390149075199</v>
      </c>
      <c r="D4">
        <f t="shared" si="1"/>
        <v>-4.2550114115727289E-2</v>
      </c>
      <c r="E4">
        <f t="shared" si="2"/>
        <v>1.8105122112614146E-3</v>
      </c>
    </row>
    <row r="5" spans="1:8" x14ac:dyDescent="0.25">
      <c r="A5">
        <v>0.70703333882500008</v>
      </c>
      <c r="B5">
        <v>0.55757205712848334</v>
      </c>
      <c r="C5">
        <f t="shared" si="0"/>
        <v>0.60269085242852449</v>
      </c>
      <c r="D5">
        <f t="shared" si="1"/>
        <v>-4.5118795300041148E-2</v>
      </c>
      <c r="E5">
        <f t="shared" si="2"/>
        <v>2.0357056893270152E-3</v>
      </c>
      <c r="G5" t="s">
        <v>2</v>
      </c>
      <c r="H5">
        <f>SUM(E1:E40)</f>
        <v>7.6399560037621952E-3</v>
      </c>
    </row>
    <row r="6" spans="1:8" x14ac:dyDescent="0.25">
      <c r="A6">
        <v>0.86362129767499995</v>
      </c>
      <c r="B6">
        <v>0.55957915596623886</v>
      </c>
      <c r="C6">
        <f t="shared" si="0"/>
        <v>0.54185906737309564</v>
      </c>
      <c r="D6">
        <f t="shared" si="1"/>
        <v>1.7720088593143224E-2</v>
      </c>
      <c r="E6">
        <f t="shared" si="2"/>
        <v>3.1400153974884458E-4</v>
      </c>
    </row>
    <row r="7" spans="1:8" x14ac:dyDescent="0.25">
      <c r="A7">
        <v>1.0202092565250001</v>
      </c>
      <c r="B7">
        <v>0.52505705595684393</v>
      </c>
      <c r="C7">
        <f t="shared" si="0"/>
        <v>0.47682022578345601</v>
      </c>
      <c r="D7">
        <f t="shared" si="1"/>
        <v>4.8236830173387923E-2</v>
      </c>
      <c r="E7">
        <f t="shared" si="2"/>
        <v>2.3267917851762677E-3</v>
      </c>
    </row>
    <row r="8" spans="1:8" x14ac:dyDescent="0.25">
      <c r="A8">
        <v>1.1767972153749999</v>
      </c>
      <c r="B8">
        <v>0.4182793977882503</v>
      </c>
      <c r="C8">
        <f t="shared" si="0"/>
        <v>0.41242984103775754</v>
      </c>
      <c r="D8">
        <f t="shared" si="1"/>
        <v>5.849556750492757E-3</v>
      </c>
      <c r="E8">
        <f t="shared" si="2"/>
        <v>3.4217314177235383E-5</v>
      </c>
    </row>
    <row r="9" spans="1:8" x14ac:dyDescent="0.25">
      <c r="A9">
        <v>1.333385174225</v>
      </c>
      <c r="B9">
        <v>0.3452210000939494</v>
      </c>
      <c r="C9">
        <f t="shared" si="0"/>
        <v>0.35163948911113579</v>
      </c>
      <c r="D9">
        <f t="shared" si="1"/>
        <v>-6.4184890171863906E-3</v>
      </c>
      <c r="E9">
        <f t="shared" si="2"/>
        <v>4.1197001263742317E-5</v>
      </c>
    </row>
    <row r="10" spans="1:8" x14ac:dyDescent="0.25">
      <c r="A10">
        <v>1.4899731330749999</v>
      </c>
      <c r="B10">
        <v>0.28982507217189701</v>
      </c>
      <c r="C10">
        <f t="shared" si="0"/>
        <v>0.29611647574633487</v>
      </c>
      <c r="D10">
        <f t="shared" si="1"/>
        <v>-6.2914035744378594E-3</v>
      </c>
      <c r="E10">
        <f t="shared" si="2"/>
        <v>3.9581758936449472E-5</v>
      </c>
    </row>
    <row r="11" spans="1:8" x14ac:dyDescent="0.25">
      <c r="A11">
        <v>1.6465610919250002</v>
      </c>
      <c r="B11">
        <v>0.2452674779737245</v>
      </c>
      <c r="C11">
        <f t="shared" si="0"/>
        <v>0.24665286225395891</v>
      </c>
      <c r="D11">
        <f t="shared" si="1"/>
        <v>-1.3853842802344085E-3</v>
      </c>
      <c r="E11">
        <f t="shared" si="2"/>
        <v>1.9192896039206101E-6</v>
      </c>
    </row>
    <row r="12" spans="1:8" x14ac:dyDescent="0.25">
      <c r="A12">
        <v>1.8031490507750001</v>
      </c>
      <c r="B12">
        <v>0.18906871051656995</v>
      </c>
      <c r="C12">
        <f t="shared" si="0"/>
        <v>0.20345190628576079</v>
      </c>
      <c r="D12">
        <f t="shared" si="1"/>
        <v>-1.4383195769190837E-2</v>
      </c>
      <c r="E12">
        <f t="shared" si="2"/>
        <v>2.068763205348692E-4</v>
      </c>
    </row>
    <row r="13" spans="1:8" x14ac:dyDescent="0.25">
      <c r="A13">
        <v>1.959737009625</v>
      </c>
      <c r="B13">
        <v>0.14852531399390845</v>
      </c>
      <c r="C13">
        <f t="shared" si="0"/>
        <v>0.16633373927680886</v>
      </c>
      <c r="D13">
        <f t="shared" si="1"/>
        <v>-1.7808425282900414E-2</v>
      </c>
      <c r="E13">
        <f t="shared" si="2"/>
        <v>3.1714001105664669E-4</v>
      </c>
    </row>
    <row r="14" spans="1:8" x14ac:dyDescent="0.25">
      <c r="A14">
        <v>2.1163249684750003</v>
      </c>
      <c r="B14">
        <v>0.13286994305941541</v>
      </c>
      <c r="C14">
        <f t="shared" si="0"/>
        <v>0.13488364297179548</v>
      </c>
      <c r="D14">
        <f t="shared" si="1"/>
        <v>-2.0136999123800681E-3</v>
      </c>
      <c r="E14">
        <f t="shared" si="2"/>
        <v>4.0549873371194937E-6</v>
      </c>
    </row>
    <row r="15" spans="1:8" x14ac:dyDescent="0.25">
      <c r="A15">
        <v>2.2729129273250002</v>
      </c>
      <c r="B15">
        <v>0.1015592011904293</v>
      </c>
      <c r="C15">
        <f t="shared" si="0"/>
        <v>0.10855788202827273</v>
      </c>
      <c r="D15">
        <f t="shared" si="1"/>
        <v>-6.9986808378434268E-3</v>
      </c>
      <c r="E15">
        <f t="shared" si="2"/>
        <v>4.8981533469996772E-5</v>
      </c>
    </row>
    <row r="16" spans="1:8" x14ac:dyDescent="0.25">
      <c r="A16">
        <v>2.429500886175</v>
      </c>
      <c r="B16">
        <v>8.6305250023487351E-2</v>
      </c>
      <c r="C16">
        <f t="shared" si="0"/>
        <v>8.6757660240075835E-2</v>
      </c>
      <c r="D16">
        <f t="shared" si="1"/>
        <v>-4.5241021658848357E-4</v>
      </c>
      <c r="E16">
        <f t="shared" si="2"/>
        <v>2.0467500407363862E-7</v>
      </c>
    </row>
    <row r="17" spans="1:5" x14ac:dyDescent="0.25">
      <c r="A17">
        <v>2.5860888450249995</v>
      </c>
      <c r="B17">
        <v>6.9445619786340979E-2</v>
      </c>
      <c r="C17">
        <f t="shared" si="0"/>
        <v>6.8879127660391087E-2</v>
      </c>
      <c r="D17">
        <f t="shared" si="1"/>
        <v>5.6649212594989118E-4</v>
      </c>
      <c r="E17">
        <f t="shared" si="2"/>
        <v>3.2091332876322738E-7</v>
      </c>
    </row>
    <row r="18" spans="1:5" x14ac:dyDescent="0.25">
      <c r="A18">
        <v>2.7426768038749998</v>
      </c>
      <c r="B18">
        <v>6.3424323273074415E-2</v>
      </c>
      <c r="C18">
        <f t="shared" si="0"/>
        <v>5.4345564602554096E-2</v>
      </c>
      <c r="D18">
        <f t="shared" si="1"/>
        <v>9.0787586705203191E-3</v>
      </c>
      <c r="E18">
        <f t="shared" si="2"/>
        <v>8.2423858997547877E-5</v>
      </c>
    </row>
    <row r="19" spans="1:5" x14ac:dyDescent="0.25">
      <c r="A19">
        <v>2.8992647627250001</v>
      </c>
      <c r="B19">
        <v>4.2951915127968122E-2</v>
      </c>
      <c r="C19">
        <f t="shared" si="0"/>
        <v>4.2626522271078118E-2</v>
      </c>
      <c r="D19">
        <f t="shared" si="1"/>
        <v>3.2539285689000413E-4</v>
      </c>
      <c r="E19">
        <f t="shared" si="2"/>
        <v>1.058805113150387E-7</v>
      </c>
    </row>
    <row r="20" spans="1:5" x14ac:dyDescent="0.25">
      <c r="A20">
        <v>3.055852721575</v>
      </c>
      <c r="B20">
        <v>3.4923519776946042E-2</v>
      </c>
      <c r="C20">
        <f t="shared" si="0"/>
        <v>3.3247639054441266E-2</v>
      </c>
      <c r="D20">
        <f t="shared" si="1"/>
        <v>1.6758807225047759E-3</v>
      </c>
      <c r="E20">
        <f t="shared" si="2"/>
        <v>2.8085761960631295E-6</v>
      </c>
    </row>
    <row r="21" spans="1:5" x14ac:dyDescent="0.25">
      <c r="A21">
        <v>3.2124406804249999</v>
      </c>
      <c r="B21">
        <v>2.7296544193475068E-2</v>
      </c>
      <c r="C21">
        <f t="shared" si="0"/>
        <v>2.5793996124153E-2</v>
      </c>
      <c r="D21">
        <f t="shared" si="1"/>
        <v>1.5025480693220683E-3</v>
      </c>
      <c r="E21">
        <f t="shared" si="2"/>
        <v>2.257650700623475E-6</v>
      </c>
    </row>
    <row r="22" spans="1:5" x14ac:dyDescent="0.25">
      <c r="A22">
        <v>3.3690286392750002</v>
      </c>
      <c r="B22">
        <v>2.3282346517964028E-2</v>
      </c>
      <c r="C22">
        <f t="shared" si="0"/>
        <v>1.9909183180383868E-2</v>
      </c>
      <c r="D22">
        <f t="shared" si="1"/>
        <v>3.3731633375801602E-3</v>
      </c>
      <c r="E22">
        <f t="shared" si="2"/>
        <v>1.1378230901994926E-5</v>
      </c>
    </row>
    <row r="23" spans="1:5" x14ac:dyDescent="0.25">
      <c r="A23">
        <v>3.5256165981250001</v>
      </c>
      <c r="B23">
        <v>1.9669568610004091E-2</v>
      </c>
      <c r="C23">
        <f t="shared" si="0"/>
        <v>1.5291687725826212E-2</v>
      </c>
      <c r="D23">
        <f t="shared" si="1"/>
        <v>4.3778808841778791E-3</v>
      </c>
      <c r="E23">
        <f t="shared" si="2"/>
        <v>1.9165841036050089E-5</v>
      </c>
    </row>
    <row r="24" spans="1:5" x14ac:dyDescent="0.25">
      <c r="A24">
        <v>3.6822045569749999</v>
      </c>
      <c r="B24">
        <v>1.5655370934493054E-2</v>
      </c>
      <c r="C24">
        <f t="shared" si="0"/>
        <v>1.1689778356237813E-2</v>
      </c>
      <c r="D24">
        <f t="shared" si="1"/>
        <v>3.965592578255241E-3</v>
      </c>
      <c r="E24">
        <f t="shared" si="2"/>
        <v>1.572592449671305E-5</v>
      </c>
    </row>
    <row r="25" spans="1:5" x14ac:dyDescent="0.25">
      <c r="A25">
        <v>3.8387925158249998</v>
      </c>
      <c r="B25">
        <v>8.0283953510220784E-3</v>
      </c>
      <c r="C25">
        <f t="shared" si="0"/>
        <v>8.8957063975780917E-3</v>
      </c>
      <c r="D25">
        <f t="shared" si="1"/>
        <v>-8.6731104655601333E-4</v>
      </c>
      <c r="E25">
        <f t="shared" si="2"/>
        <v>7.5222845147808715E-7</v>
      </c>
    </row>
    <row r="26" spans="1:5" x14ac:dyDescent="0.25">
      <c r="A26">
        <v>3.9953804746750001</v>
      </c>
      <c r="B26">
        <v>7.6269755834709749E-3</v>
      </c>
      <c r="C26">
        <f t="shared" si="0"/>
        <v>6.7397847526090918E-3</v>
      </c>
      <c r="D26">
        <f t="shared" si="1"/>
        <v>8.8719083086188314E-4</v>
      </c>
      <c r="E26">
        <f t="shared" si="2"/>
        <v>7.8710757036539856E-7</v>
      </c>
    </row>
    <row r="27" spans="1:5" x14ac:dyDescent="0.25">
      <c r="A27">
        <v>4.1519684335250009</v>
      </c>
      <c r="B27">
        <v>5.6198767457154549E-3</v>
      </c>
      <c r="C27">
        <f t="shared" si="0"/>
        <v>5.0847035446745939E-3</v>
      </c>
      <c r="D27">
        <f t="shared" si="1"/>
        <v>5.3517320104086094E-4</v>
      </c>
      <c r="E27">
        <f t="shared" si="2"/>
        <v>2.8641035511232176E-7</v>
      </c>
    </row>
    <row r="28" spans="1:5" x14ac:dyDescent="0.25">
      <c r="A28">
        <v>4.3085563923749994</v>
      </c>
      <c r="B28">
        <v>2.8099383728577274E-3</v>
      </c>
      <c r="C28">
        <f t="shared" si="0"/>
        <v>3.8202961531075786E-3</v>
      </c>
      <c r="D28">
        <f t="shared" si="1"/>
        <v>-1.0103577802498512E-3</v>
      </c>
      <c r="E28">
        <f t="shared" si="2"/>
        <v>1.0208228441114065E-6</v>
      </c>
    </row>
    <row r="29" spans="1:5" x14ac:dyDescent="0.25">
      <c r="A29">
        <v>4.4651443512249998</v>
      </c>
      <c r="B29">
        <v>2.8099383728577274E-3</v>
      </c>
      <c r="C29">
        <f t="shared" si="0"/>
        <v>2.8588652794691721E-3</v>
      </c>
      <c r="D29">
        <f t="shared" si="1"/>
        <v>-4.8926906611444689E-5</v>
      </c>
      <c r="E29">
        <f t="shared" si="2"/>
        <v>2.3938421905650302E-9</v>
      </c>
    </row>
    <row r="30" spans="1:5" x14ac:dyDescent="0.25">
      <c r="A30">
        <v>4.6217323100750001</v>
      </c>
      <c r="B30">
        <v>2.8099383728577274E-3</v>
      </c>
      <c r="C30">
        <f t="shared" si="0"/>
        <v>2.1311072045393752E-3</v>
      </c>
      <c r="D30">
        <f t="shared" si="1"/>
        <v>6.7883116831835228E-4</v>
      </c>
      <c r="E30">
        <f t="shared" si="2"/>
        <v>4.608117550804591E-7</v>
      </c>
    </row>
    <row r="31" spans="1:5" x14ac:dyDescent="0.25">
      <c r="A31">
        <v>4.7783202689250004</v>
      </c>
      <c r="B31">
        <v>1.2042593026533118E-3</v>
      </c>
      <c r="C31">
        <f t="shared" si="0"/>
        <v>1.5826254512815237E-3</v>
      </c>
      <c r="D31">
        <f t="shared" si="1"/>
        <v>-3.7836614862821194E-4</v>
      </c>
      <c r="E31">
        <f t="shared" si="2"/>
        <v>1.4316094242774618E-7</v>
      </c>
    </row>
    <row r="32" spans="1:5" x14ac:dyDescent="0.25">
      <c r="A32">
        <v>4.9349082277750007</v>
      </c>
      <c r="B32">
        <v>0</v>
      </c>
      <c r="C32">
        <f t="shared" si="0"/>
        <v>1.1709962137323141E-3</v>
      </c>
      <c r="D32">
        <f t="shared" si="1"/>
        <v>-1.1709962137323141E-3</v>
      </c>
      <c r="E32">
        <f t="shared" si="2"/>
        <v>1.3712321325754153E-6</v>
      </c>
    </row>
    <row r="33" spans="1:5" x14ac:dyDescent="0.25">
      <c r="A33">
        <v>5.0914961866249993</v>
      </c>
      <c r="B33">
        <v>2.4085186053066235E-3</v>
      </c>
      <c r="C33">
        <f t="shared" si="0"/>
        <v>8.6333203156769265E-4</v>
      </c>
      <c r="D33">
        <f t="shared" si="1"/>
        <v>1.545186573738931E-3</v>
      </c>
      <c r="E33">
        <f t="shared" si="2"/>
        <v>2.3876015476630566E-6</v>
      </c>
    </row>
    <row r="34" spans="1:5" x14ac:dyDescent="0.25">
      <c r="A34">
        <v>5.2480841454749996</v>
      </c>
      <c r="B34">
        <v>4.0141976755110392E-4</v>
      </c>
      <c r="C34">
        <f t="shared" si="0"/>
        <v>6.3428331658623533E-4</v>
      </c>
      <c r="D34">
        <f t="shared" si="1"/>
        <v>-2.3286354903513141E-4</v>
      </c>
      <c r="E34">
        <f t="shared" si="2"/>
        <v>5.4225432469237052E-8</v>
      </c>
    </row>
    <row r="35" spans="1:5" x14ac:dyDescent="0.25">
      <c r="A35">
        <v>5.4046721043249999</v>
      </c>
      <c r="B35">
        <v>4.0141976755110392E-4</v>
      </c>
      <c r="C35">
        <f t="shared" si="0"/>
        <v>4.6441646117498784E-4</v>
      </c>
      <c r="D35">
        <f t="shared" si="1"/>
        <v>-6.299669362388392E-5</v>
      </c>
      <c r="E35">
        <f t="shared" si="2"/>
        <v>3.9685834075414968E-9</v>
      </c>
    </row>
    <row r="36" spans="1:5" x14ac:dyDescent="0.25">
      <c r="A36">
        <v>5.5612600631750002</v>
      </c>
      <c r="B36">
        <v>4.0141976755110392E-4</v>
      </c>
      <c r="C36">
        <f t="shared" si="0"/>
        <v>3.3891015263640259E-4</v>
      </c>
      <c r="D36">
        <f t="shared" si="1"/>
        <v>6.2509614914701332E-5</v>
      </c>
      <c r="E36">
        <f t="shared" si="2"/>
        <v>3.9074519567842516E-9</v>
      </c>
    </row>
    <row r="37" spans="1:5" x14ac:dyDescent="0.25">
      <c r="A37">
        <v>5.7178480220250005</v>
      </c>
      <c r="B37">
        <v>1.2042593026533118E-3</v>
      </c>
      <c r="C37">
        <f t="shared" si="0"/>
        <v>2.4651657616734898E-4</v>
      </c>
      <c r="D37">
        <f t="shared" si="1"/>
        <v>9.5774272648596278E-4</v>
      </c>
      <c r="E37">
        <f t="shared" si="2"/>
        <v>9.1727113013676573E-7</v>
      </c>
    </row>
    <row r="38" spans="1:5" x14ac:dyDescent="0.25">
      <c r="A38">
        <v>5.874435980875</v>
      </c>
      <c r="B38">
        <v>0</v>
      </c>
      <c r="C38">
        <f t="shared" si="0"/>
        <v>1.7874029240987958E-4</v>
      </c>
      <c r="D38">
        <f t="shared" si="1"/>
        <v>-1.7874029240987958E-4</v>
      </c>
      <c r="E38">
        <f t="shared" si="2"/>
        <v>3.1948092130769253E-8</v>
      </c>
    </row>
    <row r="39" spans="1:5" x14ac:dyDescent="0.25">
      <c r="A39">
        <v>6.0310239397249994</v>
      </c>
      <c r="B39">
        <v>0</v>
      </c>
      <c r="C39">
        <f t="shared" si="0"/>
        <v>1.2919396965254136E-4</v>
      </c>
      <c r="D39">
        <f t="shared" si="1"/>
        <v>-1.2919396965254136E-4</v>
      </c>
      <c r="E39">
        <f t="shared" si="2"/>
        <v>1.6691081794581778E-8</v>
      </c>
    </row>
    <row r="40" spans="1:5" x14ac:dyDescent="0.25">
      <c r="A40">
        <v>6.1876118985749997</v>
      </c>
      <c r="B40">
        <v>4.0141976755110392E-4</v>
      </c>
      <c r="C40">
        <f t="shared" si="0"/>
        <v>9.3096355412536889E-5</v>
      </c>
      <c r="D40">
        <f t="shared" si="1"/>
        <v>3.0832341213856703E-4</v>
      </c>
      <c r="E40">
        <f t="shared" si="2"/>
        <v>9.5063326472768661E-8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C896-E3FD-4D5B-A217-EF3BA379C0F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7.8050589000000004E-2</v>
      </c>
      <c r="B1">
        <v>0.43418727538652713</v>
      </c>
      <c r="C1">
        <f>$H$3*(1+$H$1)*(A1^($H$1))*EXP(-$H$3*(A1^(1+$H$1)))</f>
        <v>0.45608984746660619</v>
      </c>
      <c r="D1">
        <f>B1-C1</f>
        <v>-2.1902572080079064E-2</v>
      </c>
      <c r="E1">
        <f>D1^2</f>
        <v>4.7972266372305891E-4</v>
      </c>
      <c r="G1" t="s">
        <v>0</v>
      </c>
      <c r="H1">
        <v>0.3735538113893942</v>
      </c>
    </row>
    <row r="2" spans="1:8" x14ac:dyDescent="0.25">
      <c r="A2">
        <v>0.22817758100000002</v>
      </c>
      <c r="B2">
        <v>0.638092003557442</v>
      </c>
      <c r="C2">
        <f t="shared" ref="C2:C40" si="0">$H$3*(1+$H$1)*(A2^($H$1))*EXP(-$H$3*(A2^(1+$H$1)))</f>
        <v>0.62258310037504261</v>
      </c>
      <c r="D2">
        <f t="shared" ref="D2:D40" si="1">B2-C2</f>
        <v>1.5508903182399392E-2</v>
      </c>
      <c r="E2">
        <f t="shared" ref="E2:E40" si="2">D2^2</f>
        <v>2.4052607792103797E-4</v>
      </c>
    </row>
    <row r="3" spans="1:8" x14ac:dyDescent="0.25">
      <c r="A3">
        <v>0.37830457300000003</v>
      </c>
      <c r="B3">
        <v>0.69796546583350116</v>
      </c>
      <c r="C3">
        <f t="shared" si="0"/>
        <v>0.66932691125625388</v>
      </c>
      <c r="D3">
        <f t="shared" si="1"/>
        <v>2.8638554577247288E-2</v>
      </c>
      <c r="E3">
        <f t="shared" si="2"/>
        <v>8.2016680827397162E-4</v>
      </c>
      <c r="G3" t="s">
        <v>1</v>
      </c>
      <c r="H3">
        <f>(_xlfn.GAMMA((2+$H$1)/(1+$H$1)))^(1+$H$1)</f>
        <v>0.88413978302350449</v>
      </c>
    </row>
    <row r="4" spans="1:8" x14ac:dyDescent="0.25">
      <c r="A4">
        <v>0.52843156499999999</v>
      </c>
      <c r="B4">
        <v>0.65149026084998674</v>
      </c>
      <c r="C4">
        <f t="shared" si="0"/>
        <v>0.6622167794882039</v>
      </c>
      <c r="D4">
        <f t="shared" si="1"/>
        <v>-1.0726518638217164E-2</v>
      </c>
      <c r="E4">
        <f t="shared" si="2"/>
        <v>1.150582020960202E-4</v>
      </c>
    </row>
    <row r="5" spans="1:8" x14ac:dyDescent="0.25">
      <c r="A5">
        <v>0.67855855700000012</v>
      </c>
      <c r="B5">
        <v>0.58659245208922328</v>
      </c>
      <c r="C5">
        <f t="shared" si="0"/>
        <v>0.62523194531175641</v>
      </c>
      <c r="D5">
        <f t="shared" si="1"/>
        <v>-3.8639493222533128E-2</v>
      </c>
      <c r="E5">
        <f t="shared" si="2"/>
        <v>1.4930104364941836E-3</v>
      </c>
      <c r="G5" t="s">
        <v>2</v>
      </c>
      <c r="H5">
        <f>SUM(E1:E40)</f>
        <v>7.0729654690618446E-3</v>
      </c>
    </row>
    <row r="6" spans="1:8" x14ac:dyDescent="0.25">
      <c r="A6">
        <v>0.82868554900000002</v>
      </c>
      <c r="B6">
        <v>0.52755638089394818</v>
      </c>
      <c r="C6">
        <f t="shared" si="0"/>
        <v>0.5718140346910402</v>
      </c>
      <c r="D6">
        <f t="shared" si="1"/>
        <v>-4.4257653797092011E-2</v>
      </c>
      <c r="E6">
        <f t="shared" si="2"/>
        <v>1.9587399196232531E-3</v>
      </c>
    </row>
    <row r="7" spans="1:8" x14ac:dyDescent="0.25">
      <c r="A7">
        <v>0.97881254100000004</v>
      </c>
      <c r="B7">
        <v>0.53090594521708434</v>
      </c>
      <c r="C7">
        <f t="shared" si="0"/>
        <v>0.51055846265419114</v>
      </c>
      <c r="D7">
        <f t="shared" si="1"/>
        <v>2.0347482562893204E-2</v>
      </c>
      <c r="E7">
        <f t="shared" si="2"/>
        <v>4.14020046647243E-4</v>
      </c>
    </row>
    <row r="8" spans="1:8" x14ac:dyDescent="0.25">
      <c r="A8">
        <v>1.1289395330000001</v>
      </c>
      <c r="B8">
        <v>0.47103248294102512</v>
      </c>
      <c r="C8">
        <f t="shared" si="0"/>
        <v>0.44716180390773386</v>
      </c>
      <c r="D8">
        <f t="shared" si="1"/>
        <v>2.3870679033291264E-2</v>
      </c>
      <c r="E8">
        <f t="shared" si="2"/>
        <v>5.698093175104112E-4</v>
      </c>
    </row>
    <row r="9" spans="1:8" x14ac:dyDescent="0.25">
      <c r="A9">
        <v>1.2790665250000002</v>
      </c>
      <c r="B9">
        <v>0.39901684999359727</v>
      </c>
      <c r="C9">
        <f t="shared" si="0"/>
        <v>0.38536086858913282</v>
      </c>
      <c r="D9">
        <f t="shared" si="1"/>
        <v>1.3655981404464446E-2</v>
      </c>
      <c r="E9">
        <f t="shared" si="2"/>
        <v>1.8648582811907872E-4</v>
      </c>
    </row>
    <row r="10" spans="1:8" x14ac:dyDescent="0.25">
      <c r="A10">
        <v>1.4291935170000003</v>
      </c>
      <c r="B10">
        <v>0.33495643231361788</v>
      </c>
      <c r="C10">
        <f t="shared" si="0"/>
        <v>0.32749875092677361</v>
      </c>
      <c r="D10">
        <f t="shared" si="1"/>
        <v>7.4576813868442726E-3</v>
      </c>
      <c r="E10">
        <f t="shared" si="2"/>
        <v>5.5617011667683515E-5</v>
      </c>
    </row>
    <row r="11" spans="1:8" x14ac:dyDescent="0.25">
      <c r="A11">
        <v>1.5793205090000002</v>
      </c>
      <c r="B11">
        <v>0.27633905665873476</v>
      </c>
      <c r="C11">
        <f t="shared" si="0"/>
        <v>0.27491473058794658</v>
      </c>
      <c r="D11">
        <f t="shared" si="1"/>
        <v>1.4243260707881844E-3</v>
      </c>
      <c r="E11">
        <f t="shared" si="2"/>
        <v>2.0287047559269083E-6</v>
      </c>
    </row>
    <row r="12" spans="1:8" x14ac:dyDescent="0.25">
      <c r="A12">
        <v>1.7294475010000001</v>
      </c>
      <c r="B12">
        <v>0.21520950776149947</v>
      </c>
      <c r="C12">
        <f t="shared" si="0"/>
        <v>0.22823184962521603</v>
      </c>
      <c r="D12">
        <f t="shared" si="1"/>
        <v>-1.3022341863716563E-2</v>
      </c>
      <c r="E12">
        <f t="shared" si="2"/>
        <v>1.6958138761550499E-4</v>
      </c>
    </row>
    <row r="13" spans="1:8" x14ac:dyDescent="0.25">
      <c r="A13">
        <v>1.8795744930000002</v>
      </c>
      <c r="B13">
        <v>0.17543343142425735</v>
      </c>
      <c r="C13">
        <f t="shared" si="0"/>
        <v>0.18757494147599998</v>
      </c>
      <c r="D13">
        <f t="shared" si="1"/>
        <v>-1.2141510051742632E-2</v>
      </c>
      <c r="E13">
        <f t="shared" si="2"/>
        <v>1.4741626633656737E-4</v>
      </c>
    </row>
    <row r="14" spans="1:8" x14ac:dyDescent="0.25">
      <c r="A14">
        <v>2.0297014849999999</v>
      </c>
      <c r="B14">
        <v>0.14905561237955994</v>
      </c>
      <c r="C14">
        <f t="shared" si="0"/>
        <v>0.15273655837641056</v>
      </c>
      <c r="D14">
        <f t="shared" si="1"/>
        <v>-3.6809459968506208E-3</v>
      </c>
      <c r="E14">
        <f t="shared" si="2"/>
        <v>1.3549363431730611E-5</v>
      </c>
    </row>
    <row r="15" spans="1:8" x14ac:dyDescent="0.25">
      <c r="A15">
        <v>2.179828477</v>
      </c>
      <c r="B15">
        <v>0.11807214239055029</v>
      </c>
      <c r="C15">
        <f t="shared" si="0"/>
        <v>0.12330195353332273</v>
      </c>
      <c r="D15">
        <f t="shared" si="1"/>
        <v>-5.2298111427724336E-3</v>
      </c>
      <c r="E15">
        <f t="shared" si="2"/>
        <v>2.7350924589066707E-5</v>
      </c>
    </row>
    <row r="16" spans="1:8" x14ac:dyDescent="0.25">
      <c r="A16">
        <v>2.3299554690000002</v>
      </c>
      <c r="B16">
        <v>8.4995194699580529E-2</v>
      </c>
      <c r="C16">
        <f t="shared" si="0"/>
        <v>9.8741371759785271E-2</v>
      </c>
      <c r="D16">
        <f t="shared" si="1"/>
        <v>-1.3746177060204742E-2</v>
      </c>
      <c r="E16">
        <f t="shared" si="2"/>
        <v>1.8895738377049909E-4</v>
      </c>
    </row>
    <row r="17" spans="1:5" x14ac:dyDescent="0.25">
      <c r="A17">
        <v>2.4800824610000003</v>
      </c>
      <c r="B17">
        <v>7.8296066053308175E-2</v>
      </c>
      <c r="C17">
        <f t="shared" si="0"/>
        <v>7.8476304014166637E-2</v>
      </c>
      <c r="D17">
        <f t="shared" si="1"/>
        <v>-1.80237960858462E-4</v>
      </c>
      <c r="E17">
        <f t="shared" si="2"/>
        <v>3.248572253441648E-8</v>
      </c>
    </row>
    <row r="18" spans="1:5" x14ac:dyDescent="0.25">
      <c r="A18">
        <v>2.630209453</v>
      </c>
      <c r="B18">
        <v>7.0759546326251768E-2</v>
      </c>
      <c r="C18">
        <f t="shared" si="0"/>
        <v>6.1925270355118613E-2</v>
      </c>
      <c r="D18">
        <f t="shared" si="1"/>
        <v>8.8342759711331556E-3</v>
      </c>
      <c r="E18">
        <f t="shared" si="2"/>
        <v>7.8044431934140663E-5</v>
      </c>
    </row>
    <row r="19" spans="1:5" x14ac:dyDescent="0.25">
      <c r="A19">
        <v>2.7803364450000001</v>
      </c>
      <c r="B19">
        <v>5.1080855927826727E-2</v>
      </c>
      <c r="C19">
        <f t="shared" si="0"/>
        <v>4.8533811253812183E-2</v>
      </c>
      <c r="D19">
        <f t="shared" si="1"/>
        <v>2.5470446740145439E-3</v>
      </c>
      <c r="E19">
        <f t="shared" si="2"/>
        <v>6.487436571425854E-6</v>
      </c>
    </row>
    <row r="20" spans="1:5" x14ac:dyDescent="0.25">
      <c r="A20">
        <v>2.9304634370000002</v>
      </c>
      <c r="B20">
        <v>3.2658252150577743E-2</v>
      </c>
      <c r="C20">
        <f t="shared" si="0"/>
        <v>3.7792584951151738E-2</v>
      </c>
      <c r="D20">
        <f t="shared" si="1"/>
        <v>-5.1343328005739944E-3</v>
      </c>
      <c r="E20">
        <f t="shared" si="2"/>
        <v>2.6361373307049997E-5</v>
      </c>
    </row>
    <row r="21" spans="1:5" x14ac:dyDescent="0.25">
      <c r="A21">
        <v>3.0805904290000004</v>
      </c>
      <c r="B21">
        <v>3.0983469989009652E-2</v>
      </c>
      <c r="C21">
        <f t="shared" si="0"/>
        <v>2.9246760986173133E-2</v>
      </c>
      <c r="D21">
        <f t="shared" si="1"/>
        <v>1.7367090028365187E-3</v>
      </c>
      <c r="E21">
        <f t="shared" si="2"/>
        <v>3.0161581605334151E-6</v>
      </c>
    </row>
    <row r="22" spans="1:5" x14ac:dyDescent="0.25">
      <c r="A22">
        <v>3.2307174210000005</v>
      </c>
      <c r="B22">
        <v>2.5540427963913363E-2</v>
      </c>
      <c r="C22">
        <f t="shared" si="0"/>
        <v>2.2499265899822672E-2</v>
      </c>
      <c r="D22">
        <f t="shared" si="1"/>
        <v>3.0411620640906911E-3</v>
      </c>
      <c r="E22">
        <f t="shared" si="2"/>
        <v>9.2486667000643525E-6</v>
      </c>
    </row>
    <row r="23" spans="1:5" x14ac:dyDescent="0.25">
      <c r="A23">
        <v>3.3808444130000002</v>
      </c>
      <c r="B23">
        <v>2.4703036883129317E-2</v>
      </c>
      <c r="C23">
        <f t="shared" si="0"/>
        <v>1.7209881047161337E-2</v>
      </c>
      <c r="D23">
        <f t="shared" si="1"/>
        <v>7.4931558359679802E-3</v>
      </c>
      <c r="E23">
        <f t="shared" si="2"/>
        <v>5.6147384382101001E-5</v>
      </c>
    </row>
    <row r="24" spans="1:5" x14ac:dyDescent="0.25">
      <c r="A24">
        <v>3.5309714049999998</v>
      </c>
      <c r="B24">
        <v>1.5073039454112805E-2</v>
      </c>
      <c r="C24">
        <f t="shared" si="0"/>
        <v>1.3091717229113271E-2</v>
      </c>
      <c r="D24">
        <f t="shared" si="1"/>
        <v>1.9813222249995335E-3</v>
      </c>
      <c r="E24">
        <f t="shared" si="2"/>
        <v>3.9256377592771022E-6</v>
      </c>
    </row>
    <row r="25" spans="1:5" x14ac:dyDescent="0.25">
      <c r="A25">
        <v>3.6810983970000004</v>
      </c>
      <c r="B25">
        <v>9.6299974290165128E-3</v>
      </c>
      <c r="C25">
        <f t="shared" si="0"/>
        <v>9.9061953809133733E-3</v>
      </c>
      <c r="D25">
        <f t="shared" si="1"/>
        <v>-2.7619795189686054E-4</v>
      </c>
      <c r="E25">
        <f t="shared" si="2"/>
        <v>7.6285308632020493E-8</v>
      </c>
    </row>
    <row r="26" spans="1:5" x14ac:dyDescent="0.25">
      <c r="A26">
        <v>3.8312253890000001</v>
      </c>
      <c r="B26">
        <v>8.7926063482324686E-3</v>
      </c>
      <c r="C26">
        <f t="shared" si="0"/>
        <v>7.4573420568285909E-3</v>
      </c>
      <c r="D26">
        <f t="shared" si="1"/>
        <v>1.3352642914038777E-3</v>
      </c>
      <c r="E26">
        <f t="shared" si="2"/>
        <v>1.7829307278982995E-6</v>
      </c>
    </row>
    <row r="27" spans="1:5" x14ac:dyDescent="0.25">
      <c r="A27">
        <v>3.9813523810000007</v>
      </c>
      <c r="B27">
        <v>6.2804331058803351E-3</v>
      </c>
      <c r="C27">
        <f t="shared" si="0"/>
        <v>5.5859555239924988E-3</v>
      </c>
      <c r="D27">
        <f t="shared" si="1"/>
        <v>6.9447758188783629E-4</v>
      </c>
      <c r="E27">
        <f t="shared" si="2"/>
        <v>4.8229911174477635E-7</v>
      </c>
    </row>
    <row r="28" spans="1:5" x14ac:dyDescent="0.25">
      <c r="A28">
        <v>4.1314793730000003</v>
      </c>
      <c r="B28">
        <v>4.1869554039202237E-3</v>
      </c>
      <c r="C28">
        <f t="shared" si="0"/>
        <v>4.1640040423230745E-3</v>
      </c>
      <c r="D28">
        <f t="shared" si="1"/>
        <v>2.2951361597149146E-5</v>
      </c>
      <c r="E28">
        <f t="shared" si="2"/>
        <v>5.2676499916309256E-10</v>
      </c>
    </row>
    <row r="29" spans="1:5" x14ac:dyDescent="0.25">
      <c r="A29">
        <v>4.281606365</v>
      </c>
      <c r="B29">
        <v>2.0934777019601118E-3</v>
      </c>
      <c r="C29">
        <f t="shared" si="0"/>
        <v>3.0894730053180638E-3</v>
      </c>
      <c r="D29">
        <f t="shared" si="1"/>
        <v>-9.9599530335795199E-4</v>
      </c>
      <c r="E29">
        <f t="shared" si="2"/>
        <v>9.9200664431109885E-7</v>
      </c>
    </row>
    <row r="30" spans="1:5" x14ac:dyDescent="0.25">
      <c r="A30">
        <v>4.4317333570000006</v>
      </c>
      <c r="B30">
        <v>2.5121732423521339E-3</v>
      </c>
      <c r="C30">
        <f t="shared" si="0"/>
        <v>2.2817729566942092E-3</v>
      </c>
      <c r="D30">
        <f t="shared" si="1"/>
        <v>2.3040028565792479E-4</v>
      </c>
      <c r="E30">
        <f t="shared" si="2"/>
        <v>5.3084291631253346E-8</v>
      </c>
    </row>
    <row r="31" spans="1:5" x14ac:dyDescent="0.25">
      <c r="A31">
        <v>4.5818603490000012</v>
      </c>
      <c r="B31">
        <v>1.256086621176067E-3</v>
      </c>
      <c r="C31">
        <f t="shared" si="0"/>
        <v>1.6777477432582586E-3</v>
      </c>
      <c r="D31">
        <f t="shared" si="1"/>
        <v>-4.2166112208219162E-4</v>
      </c>
      <c r="E31">
        <f t="shared" si="2"/>
        <v>1.7779810187561291E-7</v>
      </c>
    </row>
    <row r="32" spans="1:5" x14ac:dyDescent="0.25">
      <c r="A32">
        <v>4.731987341</v>
      </c>
      <c r="B32">
        <v>8.3739108078404465E-4</v>
      </c>
      <c r="C32">
        <f t="shared" si="0"/>
        <v>1.2282739045064394E-3</v>
      </c>
      <c r="D32">
        <f t="shared" si="1"/>
        <v>-3.9088282372239471E-4</v>
      </c>
      <c r="E32">
        <f t="shared" si="2"/>
        <v>1.5278938188119269E-7</v>
      </c>
    </row>
    <row r="33" spans="1:5" x14ac:dyDescent="0.25">
      <c r="A33">
        <v>4.8821143330000005</v>
      </c>
      <c r="B33">
        <v>2.0934777019601118E-3</v>
      </c>
      <c r="C33">
        <f t="shared" si="0"/>
        <v>8.954126569889248E-4</v>
      </c>
      <c r="D33">
        <f t="shared" si="1"/>
        <v>1.198065044971187E-3</v>
      </c>
      <c r="E33">
        <f t="shared" si="2"/>
        <v>1.4353598519818124E-6</v>
      </c>
    </row>
    <row r="34" spans="1:5" x14ac:dyDescent="0.25">
      <c r="A34">
        <v>5.0322413250000002</v>
      </c>
      <c r="B34">
        <v>4.1869554039202232E-4</v>
      </c>
      <c r="C34">
        <f t="shared" si="0"/>
        <v>6.5005945308248421E-4</v>
      </c>
      <c r="D34">
        <f t="shared" si="1"/>
        <v>-2.3136391269046189E-4</v>
      </c>
      <c r="E34">
        <f t="shared" si="2"/>
        <v>5.3529260095439675E-8</v>
      </c>
    </row>
    <row r="35" spans="1:5" x14ac:dyDescent="0.25">
      <c r="A35">
        <v>5.1823683169999999</v>
      </c>
      <c r="B35">
        <v>8.3739108078404465E-4</v>
      </c>
      <c r="C35">
        <f t="shared" si="0"/>
        <v>4.7002906661298624E-4</v>
      </c>
      <c r="D35">
        <f t="shared" si="1"/>
        <v>3.6736201417105841E-4</v>
      </c>
      <c r="E35">
        <f t="shared" si="2"/>
        <v>1.3495484945581692E-7</v>
      </c>
    </row>
    <row r="36" spans="1:5" x14ac:dyDescent="0.25">
      <c r="A36">
        <v>5.3324953090000005</v>
      </c>
      <c r="B36">
        <v>0</v>
      </c>
      <c r="C36">
        <f t="shared" si="0"/>
        <v>3.3851338508842244E-4</v>
      </c>
      <c r="D36">
        <f t="shared" si="1"/>
        <v>-3.3851338508842244E-4</v>
      </c>
      <c r="E36">
        <f t="shared" si="2"/>
        <v>1.1459131188402258E-7</v>
      </c>
    </row>
    <row r="37" spans="1:5" x14ac:dyDescent="0.25">
      <c r="A37">
        <v>5.482622301000001</v>
      </c>
      <c r="B37">
        <v>1.6747821615680893E-3</v>
      </c>
      <c r="C37">
        <f t="shared" si="0"/>
        <v>2.4285224873620576E-4</v>
      </c>
      <c r="D37">
        <f t="shared" si="1"/>
        <v>1.4319299128318836E-3</v>
      </c>
      <c r="E37">
        <f t="shared" si="2"/>
        <v>2.0504232752627256E-6</v>
      </c>
    </row>
    <row r="38" spans="1:5" x14ac:dyDescent="0.25">
      <c r="A38">
        <v>5.6327492929999998</v>
      </c>
      <c r="B38">
        <v>0</v>
      </c>
      <c r="C38">
        <f t="shared" si="0"/>
        <v>1.7356308283454286E-4</v>
      </c>
      <c r="D38">
        <f t="shared" si="1"/>
        <v>-1.7356308283454286E-4</v>
      </c>
      <c r="E38">
        <f t="shared" si="2"/>
        <v>3.0124143723030389E-8</v>
      </c>
    </row>
    <row r="39" spans="1:5" x14ac:dyDescent="0.25">
      <c r="A39">
        <v>5.7828762850000004</v>
      </c>
      <c r="B39">
        <v>0</v>
      </c>
      <c r="C39">
        <f t="shared" si="0"/>
        <v>1.2358153787867348E-4</v>
      </c>
      <c r="D39">
        <f t="shared" si="1"/>
        <v>-1.2358153787867348E-4</v>
      </c>
      <c r="E39">
        <f t="shared" si="2"/>
        <v>1.5272396504458009E-8</v>
      </c>
    </row>
    <row r="40" spans="1:5" x14ac:dyDescent="0.25">
      <c r="A40">
        <v>5.933003277000001</v>
      </c>
      <c r="B40">
        <v>4.1869554039202232E-4</v>
      </c>
      <c r="C40">
        <f t="shared" si="0"/>
        <v>8.7672085630369681E-5</v>
      </c>
      <c r="D40">
        <f t="shared" si="1"/>
        <v>3.3102345476165266E-4</v>
      </c>
      <c r="E40">
        <f t="shared" si="2"/>
        <v>1.0957652760233991E-7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B09A-0604-4EF2-9DCB-FEC0F375F49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7.5201812899999998E-2</v>
      </c>
      <c r="B1">
        <v>0.37182833128147807</v>
      </c>
      <c r="C1">
        <f>$H$3*(1+$H$1)*(A1^($H$1))*EXP(-$H$3*(A1^(1+$H$1)))</f>
        <v>0.40413367750741469</v>
      </c>
      <c r="D1">
        <f>B1-C1</f>
        <v>-3.2305346225936615E-2</v>
      </c>
      <c r="E1">
        <f>D1^2</f>
        <v>1.043635394777637E-3</v>
      </c>
      <c r="G1" t="s">
        <v>0</v>
      </c>
      <c r="H1">
        <v>0.42625863773940137</v>
      </c>
    </row>
    <row r="2" spans="1:8" x14ac:dyDescent="0.25">
      <c r="A2">
        <v>0.21925034470000002</v>
      </c>
      <c r="B2">
        <v>0.59789297400894947</v>
      </c>
      <c r="C2">
        <f t="shared" ref="C2:C40" si="0">$H$3*(1+$H$1)*(A2^($H$1))*EXP(-$H$3*(A2^(1+$H$1)))</f>
        <v>0.58960304768252569</v>
      </c>
      <c r="D2">
        <f t="shared" ref="D2:D40" si="1">B2-C2</f>
        <v>8.2899263264237799E-3</v>
      </c>
      <c r="E2">
        <f t="shared" ref="E2:E40" si="2">D2^2</f>
        <v>6.872287849753406E-5</v>
      </c>
    </row>
    <row r="3" spans="1:8" x14ac:dyDescent="0.25">
      <c r="A3">
        <v>0.36329887649999998</v>
      </c>
      <c r="B3">
        <v>0.70612469485144547</v>
      </c>
      <c r="C3">
        <f t="shared" si="0"/>
        <v>0.6578765145194444</v>
      </c>
      <c r="D3">
        <f t="shared" si="1"/>
        <v>4.8248180332001067E-2</v>
      </c>
      <c r="E3">
        <f t="shared" si="2"/>
        <v>2.3278869053492946E-3</v>
      </c>
      <c r="G3" t="s">
        <v>1</v>
      </c>
      <c r="H3">
        <f>(_xlfn.GAMMA((2+$H$1)/(1+$H$1)))^(1+$H$1)</f>
        <v>0.87257366557211591</v>
      </c>
    </row>
    <row r="4" spans="1:8" x14ac:dyDescent="0.25">
      <c r="A4">
        <v>0.50734740830000002</v>
      </c>
      <c r="B4">
        <v>0.67993960109922869</v>
      </c>
      <c r="C4">
        <f t="shared" si="0"/>
        <v>0.66897986315810376</v>
      </c>
      <c r="D4">
        <f t="shared" si="1"/>
        <v>1.0959737941124925E-2</v>
      </c>
      <c r="E4">
        <f t="shared" si="2"/>
        <v>1.2011585573813321E-4</v>
      </c>
    </row>
    <row r="5" spans="1:8" x14ac:dyDescent="0.25">
      <c r="A5">
        <v>0.65139594010000001</v>
      </c>
      <c r="B5">
        <v>0.60269357453018924</v>
      </c>
      <c r="C5">
        <f t="shared" si="0"/>
        <v>0.64568794988326728</v>
      </c>
      <c r="D5">
        <f t="shared" si="1"/>
        <v>-4.299437535307804E-2</v>
      </c>
      <c r="E5">
        <f t="shared" si="2"/>
        <v>1.8485163120013645E-3</v>
      </c>
      <c r="G5" t="s">
        <v>2</v>
      </c>
      <c r="H5">
        <f>SUM(E1:E40)</f>
        <v>9.7661691768390589E-3</v>
      </c>
    </row>
    <row r="6" spans="1:8" x14ac:dyDescent="0.25">
      <c r="A6">
        <v>0.79544447189999989</v>
      </c>
      <c r="B6">
        <v>0.57563564431956527</v>
      </c>
      <c r="C6">
        <f t="shared" si="0"/>
        <v>0.60147062836558163</v>
      </c>
      <c r="D6">
        <f t="shared" si="1"/>
        <v>-2.5834984046016363E-2</v>
      </c>
      <c r="E6">
        <f t="shared" si="2"/>
        <v>6.6744640065791996E-4</v>
      </c>
    </row>
    <row r="7" spans="1:8" x14ac:dyDescent="0.25">
      <c r="A7">
        <v>0.93949300369999988</v>
      </c>
      <c r="B7">
        <v>0.51584634691867026</v>
      </c>
      <c r="C7">
        <f t="shared" si="0"/>
        <v>0.54546711339722675</v>
      </c>
      <c r="D7">
        <f t="shared" si="1"/>
        <v>-2.9620766478556493E-2</v>
      </c>
      <c r="E7">
        <f t="shared" si="2"/>
        <v>8.77389806777176E-4</v>
      </c>
    </row>
    <row r="8" spans="1:8" x14ac:dyDescent="0.25">
      <c r="A8">
        <v>1.0835415355</v>
      </c>
      <c r="B8">
        <v>0.4879155802496391</v>
      </c>
      <c r="C8">
        <f t="shared" si="0"/>
        <v>0.48412232513812603</v>
      </c>
      <c r="D8">
        <f t="shared" si="1"/>
        <v>3.7932551115130719E-3</v>
      </c>
      <c r="E8">
        <f t="shared" si="2"/>
        <v>1.4388784341020048E-5</v>
      </c>
    </row>
    <row r="9" spans="1:8" x14ac:dyDescent="0.25">
      <c r="A9">
        <v>1.2275900673</v>
      </c>
      <c r="B9">
        <v>0.45692988597618256</v>
      </c>
      <c r="C9">
        <f t="shared" si="0"/>
        <v>0.42195784094052385</v>
      </c>
      <c r="D9">
        <f t="shared" si="1"/>
        <v>3.4972045035658705E-2</v>
      </c>
      <c r="E9">
        <f t="shared" si="2"/>
        <v>1.2230439339761406E-3</v>
      </c>
    </row>
    <row r="10" spans="1:8" x14ac:dyDescent="0.25">
      <c r="A10">
        <v>1.3716385990999997</v>
      </c>
      <c r="B10">
        <v>0.38972147867882623</v>
      </c>
      <c r="C10">
        <f t="shared" si="0"/>
        <v>0.3620445008818281</v>
      </c>
      <c r="D10">
        <f t="shared" si="1"/>
        <v>2.7676977796998126E-2</v>
      </c>
      <c r="E10">
        <f t="shared" si="2"/>
        <v>7.660150999755272E-4</v>
      </c>
    </row>
    <row r="11" spans="1:8" x14ac:dyDescent="0.25">
      <c r="A11">
        <v>1.5156871309</v>
      </c>
      <c r="B11">
        <v>0.29196379533721695</v>
      </c>
      <c r="C11">
        <f t="shared" si="0"/>
        <v>0.30634489573033707</v>
      </c>
      <c r="D11">
        <f t="shared" si="1"/>
        <v>-1.4381100393120128E-2</v>
      </c>
      <c r="E11">
        <f t="shared" si="2"/>
        <v>2.068160485169999E-4</v>
      </c>
    </row>
    <row r="12" spans="1:8" x14ac:dyDescent="0.25">
      <c r="A12">
        <v>1.6597356626999997</v>
      </c>
      <c r="B12">
        <v>0.25312257293809542</v>
      </c>
      <c r="C12">
        <f t="shared" si="0"/>
        <v>0.25598312957031327</v>
      </c>
      <c r="D12">
        <f t="shared" si="1"/>
        <v>-2.8605566322178477E-3</v>
      </c>
      <c r="E12">
        <f t="shared" si="2"/>
        <v>8.1827842461255147E-6</v>
      </c>
    </row>
    <row r="13" spans="1:8" x14ac:dyDescent="0.25">
      <c r="A13">
        <v>1.8037841944999999</v>
      </c>
      <c r="B13">
        <v>0.2020616401212727</v>
      </c>
      <c r="C13">
        <f t="shared" si="0"/>
        <v>0.21146362705682648</v>
      </c>
      <c r="D13">
        <f t="shared" si="1"/>
        <v>-9.4019869355537744E-3</v>
      </c>
      <c r="E13">
        <f t="shared" si="2"/>
        <v>8.8397358336323858E-5</v>
      </c>
    </row>
    <row r="14" spans="1:8" x14ac:dyDescent="0.25">
      <c r="A14">
        <v>1.9478327262999997</v>
      </c>
      <c r="B14">
        <v>0.1640932541805584</v>
      </c>
      <c r="C14">
        <f t="shared" si="0"/>
        <v>0.17284866998054543</v>
      </c>
      <c r="D14">
        <f t="shared" si="1"/>
        <v>-8.7554157999870375E-3</v>
      </c>
      <c r="E14">
        <f t="shared" si="2"/>
        <v>7.6657305830662656E-5</v>
      </c>
    </row>
    <row r="15" spans="1:8" x14ac:dyDescent="0.25">
      <c r="A15">
        <v>2.0918812580999995</v>
      </c>
      <c r="B15">
        <v>0.14096308803276691</v>
      </c>
      <c r="C15">
        <f t="shared" si="0"/>
        <v>0.13990036927758612</v>
      </c>
      <c r="D15">
        <f t="shared" si="1"/>
        <v>1.0627187551807971E-3</v>
      </c>
      <c r="E15">
        <f t="shared" si="2"/>
        <v>1.1293711526130228E-6</v>
      </c>
    </row>
    <row r="16" spans="1:8" x14ac:dyDescent="0.25">
      <c r="A16">
        <v>2.2359297899000001</v>
      </c>
      <c r="B16">
        <v>0.10386753855045984</v>
      </c>
      <c r="C16">
        <f t="shared" si="0"/>
        <v>0.11219163460071904</v>
      </c>
      <c r="D16">
        <f t="shared" si="1"/>
        <v>-8.3240960502592026E-3</v>
      </c>
      <c r="E16">
        <f t="shared" si="2"/>
        <v>6.9290575053940862E-5</v>
      </c>
    </row>
    <row r="17" spans="1:5" x14ac:dyDescent="0.25">
      <c r="A17">
        <v>2.3799783216999999</v>
      </c>
      <c r="B17">
        <v>7.6809608339835841E-2</v>
      </c>
      <c r="C17">
        <f t="shared" si="0"/>
        <v>8.9190449680741579E-2</v>
      </c>
      <c r="D17">
        <f t="shared" si="1"/>
        <v>-1.2380841340905738E-2</v>
      </c>
      <c r="E17">
        <f t="shared" si="2"/>
        <v>1.5328523230868059E-4</v>
      </c>
    </row>
    <row r="18" spans="1:5" x14ac:dyDescent="0.25">
      <c r="A18">
        <v>2.5240268534999997</v>
      </c>
      <c r="B18">
        <v>7.2009007818596107E-2</v>
      </c>
      <c r="C18">
        <f t="shared" si="0"/>
        <v>7.0321673269542292E-2</v>
      </c>
      <c r="D18">
        <f t="shared" si="1"/>
        <v>1.687334549053815E-3</v>
      </c>
      <c r="E18">
        <f t="shared" si="2"/>
        <v>2.847097880430641E-6</v>
      </c>
    </row>
    <row r="19" spans="1:5" x14ac:dyDescent="0.25">
      <c r="A19">
        <v>2.6680753852999999</v>
      </c>
      <c r="B19">
        <v>6.5462734380541912E-2</v>
      </c>
      <c r="C19">
        <f t="shared" si="0"/>
        <v>5.5010418040704223E-2</v>
      </c>
      <c r="D19">
        <f t="shared" si="1"/>
        <v>1.0452316339837689E-2</v>
      </c>
      <c r="E19">
        <f t="shared" si="2"/>
        <v>1.0925091686803794E-4</v>
      </c>
    </row>
    <row r="20" spans="1:5" x14ac:dyDescent="0.25">
      <c r="A20">
        <v>2.8121239170999996</v>
      </c>
      <c r="B20">
        <v>3.8404804169917921E-2</v>
      </c>
      <c r="C20">
        <f t="shared" si="0"/>
        <v>4.2710762454969499E-2</v>
      </c>
      <c r="D20">
        <f t="shared" si="1"/>
        <v>-4.3059582850515782E-3</v>
      </c>
      <c r="E20">
        <f t="shared" si="2"/>
        <v>1.8541276752604328E-5</v>
      </c>
    </row>
    <row r="21" spans="1:5" x14ac:dyDescent="0.25">
      <c r="A21">
        <v>2.9561724488999999</v>
      </c>
      <c r="B21">
        <v>3.0985694273456505E-2</v>
      </c>
      <c r="C21">
        <f t="shared" si="0"/>
        <v>3.292314607514598E-2</v>
      </c>
      <c r="D21">
        <f t="shared" si="1"/>
        <v>-1.937451801689475E-3</v>
      </c>
      <c r="E21">
        <f t="shared" si="2"/>
        <v>3.7537194838697925E-6</v>
      </c>
    </row>
    <row r="22" spans="1:5" x14ac:dyDescent="0.25">
      <c r="A22">
        <v>3.1002209806999996</v>
      </c>
      <c r="B22">
        <v>2.9676439585845669E-2</v>
      </c>
      <c r="C22">
        <f t="shared" si="0"/>
        <v>2.5203331781240151E-2</v>
      </c>
      <c r="D22">
        <f t="shared" si="1"/>
        <v>4.4731078046055181E-3</v>
      </c>
      <c r="E22">
        <f t="shared" si="2"/>
        <v>2.0008693431622797E-5</v>
      </c>
    </row>
    <row r="23" spans="1:5" x14ac:dyDescent="0.25">
      <c r="A23">
        <v>3.2442695124999998</v>
      </c>
      <c r="B23">
        <v>2.3566584376995089E-2</v>
      </c>
      <c r="C23">
        <f t="shared" si="0"/>
        <v>1.9165333006736743E-2</v>
      </c>
      <c r="D23">
        <f t="shared" si="1"/>
        <v>4.4012513702583467E-3</v>
      </c>
      <c r="E23">
        <f t="shared" si="2"/>
        <v>1.9371013624200975E-5</v>
      </c>
    </row>
    <row r="24" spans="1:5" x14ac:dyDescent="0.25">
      <c r="A24">
        <v>3.3883180442999992</v>
      </c>
      <c r="B24">
        <v>1.8329565626551737E-2</v>
      </c>
      <c r="C24">
        <f t="shared" si="0"/>
        <v>1.4480235701383003E-2</v>
      </c>
      <c r="D24">
        <f t="shared" si="1"/>
        <v>3.8493299251687336E-3</v>
      </c>
      <c r="E24">
        <f t="shared" si="2"/>
        <v>1.4817340872799528E-5</v>
      </c>
    </row>
    <row r="25" spans="1:5" x14ac:dyDescent="0.25">
      <c r="A25">
        <v>3.5323665760999994</v>
      </c>
      <c r="B25">
        <v>1.0910455730090319E-2</v>
      </c>
      <c r="C25">
        <f t="shared" si="0"/>
        <v>1.0872417308760769E-2</v>
      </c>
      <c r="D25">
        <f t="shared" si="1"/>
        <v>3.8038421329550029E-5</v>
      </c>
      <c r="E25">
        <f t="shared" si="2"/>
        <v>1.4469214972443666E-9</v>
      </c>
    </row>
    <row r="26" spans="1:5" x14ac:dyDescent="0.25">
      <c r="A26">
        <v>3.6764151079</v>
      </c>
      <c r="B26">
        <v>9.6012010424794802E-3</v>
      </c>
      <c r="C26">
        <f t="shared" si="0"/>
        <v>8.1142924108207615E-3</v>
      </c>
      <c r="D26">
        <f t="shared" si="1"/>
        <v>1.4869086316587187E-3</v>
      </c>
      <c r="E26">
        <f t="shared" si="2"/>
        <v>2.2108972789012032E-6</v>
      </c>
    </row>
    <row r="27" spans="1:5" x14ac:dyDescent="0.25">
      <c r="A27">
        <v>3.8204636396999998</v>
      </c>
      <c r="B27">
        <v>8.2919463548686428E-3</v>
      </c>
      <c r="C27">
        <f t="shared" si="0"/>
        <v>6.0204023130797568E-3</v>
      </c>
      <c r="D27">
        <f t="shared" si="1"/>
        <v>2.2715440417888861E-3</v>
      </c>
      <c r="E27">
        <f t="shared" si="2"/>
        <v>5.1599123337865888E-6</v>
      </c>
    </row>
    <row r="28" spans="1:5" x14ac:dyDescent="0.25">
      <c r="A28">
        <v>3.9645121714999991</v>
      </c>
      <c r="B28">
        <v>3.9277640628325146E-3</v>
      </c>
      <c r="C28">
        <f t="shared" si="0"/>
        <v>4.4414131559089064E-3</v>
      </c>
      <c r="D28">
        <f t="shared" si="1"/>
        <v>-5.1364909307639178E-4</v>
      </c>
      <c r="E28">
        <f t="shared" si="2"/>
        <v>2.6383539081819981E-7</v>
      </c>
    </row>
    <row r="29" spans="1:5" x14ac:dyDescent="0.25">
      <c r="A29">
        <v>4.1085607032999985</v>
      </c>
      <c r="B29">
        <v>3.9277640628325146E-3</v>
      </c>
      <c r="C29">
        <f t="shared" si="0"/>
        <v>3.2583896117937276E-3</v>
      </c>
      <c r="D29">
        <f t="shared" si="1"/>
        <v>6.6937445103878697E-4</v>
      </c>
      <c r="E29">
        <f t="shared" si="2"/>
        <v>4.4806215570347742E-7</v>
      </c>
    </row>
    <row r="30" spans="1:5" x14ac:dyDescent="0.25">
      <c r="A30">
        <v>4.2526092350999996</v>
      </c>
      <c r="B30">
        <v>1.3092546876108382E-3</v>
      </c>
      <c r="C30">
        <f t="shared" si="0"/>
        <v>2.3775620954929865E-3</v>
      </c>
      <c r="D30">
        <f t="shared" si="1"/>
        <v>-1.0683074078821483E-3</v>
      </c>
      <c r="E30">
        <f t="shared" si="2"/>
        <v>1.1412807177358747E-6</v>
      </c>
    </row>
    <row r="31" spans="1:5" x14ac:dyDescent="0.25">
      <c r="A31">
        <v>4.3966577668999998</v>
      </c>
      <c r="B31">
        <v>1.3092546876108382E-3</v>
      </c>
      <c r="C31">
        <f t="shared" si="0"/>
        <v>1.725696963034831E-3</v>
      </c>
      <c r="D31">
        <f t="shared" si="1"/>
        <v>-4.164422754239928E-4</v>
      </c>
      <c r="E31">
        <f t="shared" si="2"/>
        <v>1.7342416876031269E-7</v>
      </c>
    </row>
    <row r="32" spans="1:5" x14ac:dyDescent="0.25">
      <c r="A32">
        <v>4.5407062987</v>
      </c>
      <c r="B32">
        <v>4.3641822920361279E-4</v>
      </c>
      <c r="C32">
        <f t="shared" si="0"/>
        <v>1.2461036676254035E-3</v>
      </c>
      <c r="D32">
        <f t="shared" si="1"/>
        <v>-8.0968543842179072E-4</v>
      </c>
      <c r="E32">
        <f t="shared" si="2"/>
        <v>6.5559050919228749E-7</v>
      </c>
    </row>
    <row r="33" spans="1:5" x14ac:dyDescent="0.25">
      <c r="A33">
        <v>4.6847548304999993</v>
      </c>
      <c r="B33">
        <v>3.0549276044252896E-3</v>
      </c>
      <c r="C33">
        <f t="shared" si="0"/>
        <v>8.9526309123860541E-4</v>
      </c>
      <c r="D33">
        <f t="shared" si="1"/>
        <v>2.1596645131866841E-3</v>
      </c>
      <c r="E33">
        <f t="shared" si="2"/>
        <v>4.6641508095178767E-6</v>
      </c>
    </row>
    <row r="34" spans="1:5" x14ac:dyDescent="0.25">
      <c r="A34">
        <v>4.8288033622999986</v>
      </c>
      <c r="B34">
        <v>4.3641822920361279E-4</v>
      </c>
      <c r="C34">
        <f t="shared" si="0"/>
        <v>6.4003097344467544E-4</v>
      </c>
      <c r="D34">
        <f t="shared" si="1"/>
        <v>-2.0361274424106265E-4</v>
      </c>
      <c r="E34">
        <f t="shared" si="2"/>
        <v>4.1458149617376392E-8</v>
      </c>
    </row>
    <row r="35" spans="1:5" x14ac:dyDescent="0.25">
      <c r="A35">
        <v>4.9728518940999997</v>
      </c>
      <c r="B35">
        <v>0</v>
      </c>
      <c r="C35">
        <f t="shared" si="0"/>
        <v>4.5535421991961273E-4</v>
      </c>
      <c r="D35">
        <f t="shared" si="1"/>
        <v>-4.5535421991961273E-4</v>
      </c>
      <c r="E35">
        <f t="shared" si="2"/>
        <v>2.0734746559859903E-7</v>
      </c>
    </row>
    <row r="36" spans="1:5" x14ac:dyDescent="0.25">
      <c r="A36">
        <v>5.116900425899999</v>
      </c>
      <c r="B36">
        <v>8.7283645840722558E-4</v>
      </c>
      <c r="C36">
        <f t="shared" si="0"/>
        <v>3.2243161566010295E-4</v>
      </c>
      <c r="D36">
        <f t="shared" si="1"/>
        <v>5.5040484274712263E-4</v>
      </c>
      <c r="E36">
        <f t="shared" si="2"/>
        <v>3.029454909194848E-7</v>
      </c>
    </row>
    <row r="37" spans="1:5" x14ac:dyDescent="0.25">
      <c r="A37">
        <v>5.2609489577000002</v>
      </c>
      <c r="B37">
        <v>1.3092546876108382E-3</v>
      </c>
      <c r="C37">
        <f t="shared" si="0"/>
        <v>2.272507581379673E-4</v>
      </c>
      <c r="D37">
        <f t="shared" si="1"/>
        <v>1.0820039294728708E-3</v>
      </c>
      <c r="E37">
        <f t="shared" si="2"/>
        <v>1.1707325033947334E-6</v>
      </c>
    </row>
    <row r="38" spans="1:5" x14ac:dyDescent="0.25">
      <c r="A38">
        <v>5.4049974894999995</v>
      </c>
      <c r="B38">
        <v>4.3641822920361279E-4</v>
      </c>
      <c r="C38">
        <f t="shared" si="0"/>
        <v>1.5943735300541351E-4</v>
      </c>
      <c r="D38">
        <f t="shared" si="1"/>
        <v>2.769808761981993E-4</v>
      </c>
      <c r="E38">
        <f t="shared" si="2"/>
        <v>7.671840577952221E-8</v>
      </c>
    </row>
    <row r="39" spans="1:5" x14ac:dyDescent="0.25">
      <c r="A39">
        <v>5.5490460212999988</v>
      </c>
      <c r="B39">
        <v>0</v>
      </c>
      <c r="C39">
        <f t="shared" si="0"/>
        <v>1.1135955691454854E-4</v>
      </c>
      <c r="D39">
        <f t="shared" si="1"/>
        <v>-1.1135955691454854E-4</v>
      </c>
      <c r="E39">
        <f t="shared" si="2"/>
        <v>1.2400950916204575E-8</v>
      </c>
    </row>
    <row r="40" spans="1:5" x14ac:dyDescent="0.25">
      <c r="A40">
        <v>5.6930945530999999</v>
      </c>
      <c r="B40">
        <v>4.3641822920361279E-4</v>
      </c>
      <c r="C40">
        <f t="shared" si="0"/>
        <v>7.7437538552328517E-5</v>
      </c>
      <c r="D40">
        <f t="shared" si="1"/>
        <v>3.5898069065128427E-4</v>
      </c>
      <c r="E40">
        <f t="shared" si="2"/>
        <v>1.2886713626047306E-7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BBB0-1661-46F6-83B3-0E6A4E1BCE3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7.2736710249999989E-2</v>
      </c>
      <c r="B1">
        <v>0.31698021278107175</v>
      </c>
      <c r="C1">
        <f>$H$3*(1+$H$1)*(A1^($H$1))*EXP(-$H$3*(A1^(1+$H$1)))</f>
        <v>0.35786640141614706</v>
      </c>
      <c r="D1">
        <f>B1-C1</f>
        <v>-4.0886188635075316E-2</v>
      </c>
      <c r="E1">
        <f>D1^2</f>
        <v>1.671680421102962E-3</v>
      </c>
      <c r="G1" t="s">
        <v>0</v>
      </c>
      <c r="H1">
        <v>0.47756691927778999</v>
      </c>
    </row>
    <row r="2" spans="1:8" x14ac:dyDescent="0.25">
      <c r="A2">
        <v>0.21095252674999998</v>
      </c>
      <c r="B2">
        <v>0.58666352150298784</v>
      </c>
      <c r="C2">
        <f t="shared" ref="C2:C40" si="0">$H$3*(1+$H$1)*(A2^($H$1))*EXP(-$H$3*(A2^(1+$H$1)))</f>
        <v>0.55563280121016645</v>
      </c>
      <c r="D2">
        <f t="shared" ref="D2:D40" si="1">B2-C2</f>
        <v>3.103072029282139E-2</v>
      </c>
      <c r="E2">
        <f t="shared" ref="E2:E40" si="2">D2^2</f>
        <v>9.6290560189131718E-4</v>
      </c>
    </row>
    <row r="3" spans="1:8" x14ac:dyDescent="0.25">
      <c r="A3">
        <v>0.34916834325000001</v>
      </c>
      <c r="B3">
        <v>0.63441520348578917</v>
      </c>
      <c r="C3">
        <f t="shared" si="0"/>
        <v>0.64235387524575527</v>
      </c>
      <c r="D3">
        <f t="shared" si="1"/>
        <v>-7.9386717599660983E-3</v>
      </c>
      <c r="E3">
        <f t="shared" si="2"/>
        <v>6.3022509312483227E-5</v>
      </c>
      <c r="G3" t="s">
        <v>1</v>
      </c>
      <c r="H3">
        <f>(_xlfn.GAMMA((2+$H$1)/(1+$H$1)))^(1+$H$1)</f>
        <v>0.86208862532449182</v>
      </c>
    </row>
    <row r="4" spans="1:8" x14ac:dyDescent="0.25">
      <c r="A4">
        <v>0.48738415974999999</v>
      </c>
      <c r="B4">
        <v>0.71854911936024868</v>
      </c>
      <c r="C4">
        <f t="shared" si="0"/>
        <v>0.67077038553789381</v>
      </c>
      <c r="D4">
        <f t="shared" si="1"/>
        <v>4.7778733822354869E-2</v>
      </c>
      <c r="E4">
        <f t="shared" si="2"/>
        <v>2.2828074056674371E-3</v>
      </c>
    </row>
    <row r="5" spans="1:8" x14ac:dyDescent="0.25">
      <c r="A5">
        <v>0.62559997624999997</v>
      </c>
      <c r="B5">
        <v>0.66397576852276141</v>
      </c>
      <c r="C5">
        <f t="shared" si="0"/>
        <v>0.66160329792910633</v>
      </c>
      <c r="D5">
        <f t="shared" si="1"/>
        <v>2.3724705936550849E-3</v>
      </c>
      <c r="E5">
        <f t="shared" si="2"/>
        <v>5.6286167177581116E-6</v>
      </c>
      <c r="G5" t="s">
        <v>2</v>
      </c>
      <c r="H5">
        <f>SUM(E1:E40)</f>
        <v>1.030282219947707E-2</v>
      </c>
    </row>
    <row r="6" spans="1:8" x14ac:dyDescent="0.25">
      <c r="A6">
        <v>0.76381579275</v>
      </c>
      <c r="B6">
        <v>0.58939218904486224</v>
      </c>
      <c r="C6">
        <f t="shared" si="0"/>
        <v>0.6277297052451527</v>
      </c>
      <c r="D6">
        <f t="shared" si="1"/>
        <v>-3.8337516200290467E-2</v>
      </c>
      <c r="E6">
        <f t="shared" si="2"/>
        <v>1.4697651484075339E-3</v>
      </c>
    </row>
    <row r="7" spans="1:8" x14ac:dyDescent="0.25">
      <c r="A7">
        <v>0.90203160925000003</v>
      </c>
      <c r="B7">
        <v>0.56074117985518146</v>
      </c>
      <c r="C7">
        <f t="shared" si="0"/>
        <v>0.57838909245384984</v>
      </c>
      <c r="D7">
        <f t="shared" si="1"/>
        <v>-1.764791259866838E-2</v>
      </c>
      <c r="E7">
        <f t="shared" si="2"/>
        <v>3.1144881909023816E-4</v>
      </c>
    </row>
    <row r="8" spans="1:8" x14ac:dyDescent="0.25">
      <c r="A8">
        <v>1.0402474257500001</v>
      </c>
      <c r="B8">
        <v>0.47842637567530483</v>
      </c>
      <c r="C8">
        <f t="shared" si="0"/>
        <v>0.52048138543750222</v>
      </c>
      <c r="D8">
        <f t="shared" si="1"/>
        <v>-4.2055009762197393E-2</v>
      </c>
      <c r="E8">
        <f t="shared" si="2"/>
        <v>1.7686238460985181E-3</v>
      </c>
    </row>
    <row r="9" spans="1:8" x14ac:dyDescent="0.25">
      <c r="A9">
        <v>1.1784632422499999</v>
      </c>
      <c r="B9">
        <v>0.47524293020978475</v>
      </c>
      <c r="C9">
        <f t="shared" si="0"/>
        <v>0.45914118698923811</v>
      </c>
      <c r="D9">
        <f t="shared" si="1"/>
        <v>1.6101743220546638E-2</v>
      </c>
      <c r="E9">
        <f t="shared" si="2"/>
        <v>2.5926613474041963E-4</v>
      </c>
    </row>
    <row r="10" spans="1:8" x14ac:dyDescent="0.25">
      <c r="A10">
        <v>1.3166790587500001</v>
      </c>
      <c r="B10">
        <v>0.42203391314323468</v>
      </c>
      <c r="C10">
        <f t="shared" si="0"/>
        <v>0.39808717447174763</v>
      </c>
      <c r="D10">
        <f t="shared" si="1"/>
        <v>2.3946738671487056E-2</v>
      </c>
      <c r="E10">
        <f t="shared" si="2"/>
        <v>5.7344629300049368E-4</v>
      </c>
    </row>
    <row r="11" spans="1:8" x14ac:dyDescent="0.25">
      <c r="A11">
        <v>1.4548948752499999</v>
      </c>
      <c r="B11">
        <v>0.36063889345106154</v>
      </c>
      <c r="C11">
        <f t="shared" si="0"/>
        <v>0.33988926251597718</v>
      </c>
      <c r="D11">
        <f t="shared" si="1"/>
        <v>2.0749630935084362E-2</v>
      </c>
      <c r="E11">
        <f t="shared" si="2"/>
        <v>4.3054718394220992E-4</v>
      </c>
    </row>
    <row r="12" spans="1:8" x14ac:dyDescent="0.25">
      <c r="A12">
        <v>1.5931106917500002</v>
      </c>
      <c r="B12">
        <v>0.28696486982045377</v>
      </c>
      <c r="C12">
        <f t="shared" si="0"/>
        <v>0.28619673003061319</v>
      </c>
      <c r="D12">
        <f t="shared" si="1"/>
        <v>7.6813978984058284E-4</v>
      </c>
      <c r="E12">
        <f t="shared" si="2"/>
        <v>5.9003873673633482E-7</v>
      </c>
    </row>
    <row r="13" spans="1:8" x14ac:dyDescent="0.25">
      <c r="A13">
        <v>1.73132650825</v>
      </c>
      <c r="B13">
        <v>0.22420551635734343</v>
      </c>
      <c r="C13">
        <f t="shared" si="0"/>
        <v>0.23793909239481437</v>
      </c>
      <c r="D13">
        <f t="shared" si="1"/>
        <v>-1.373357603747094E-2</v>
      </c>
      <c r="E13">
        <f t="shared" si="2"/>
        <v>1.8861111077699602E-4</v>
      </c>
    </row>
    <row r="14" spans="1:8" x14ac:dyDescent="0.25">
      <c r="A14">
        <v>1.86954232475</v>
      </c>
      <c r="B14">
        <v>0.19146150585485108</v>
      </c>
      <c r="C14">
        <f t="shared" si="0"/>
        <v>0.19550169094227976</v>
      </c>
      <c r="D14">
        <f t="shared" si="1"/>
        <v>-4.0401850874286771E-3</v>
      </c>
      <c r="E14">
        <f t="shared" si="2"/>
        <v>1.6323095540681069E-5</v>
      </c>
    </row>
    <row r="15" spans="1:8" x14ac:dyDescent="0.25">
      <c r="A15">
        <v>2.0077581412500001</v>
      </c>
      <c r="B15">
        <v>0.15735316158142154</v>
      </c>
      <c r="C15">
        <f t="shared" si="0"/>
        <v>0.15887569466765836</v>
      </c>
      <c r="D15">
        <f t="shared" si="1"/>
        <v>-1.5225330862368158E-3</v>
      </c>
      <c r="E15">
        <f t="shared" si="2"/>
        <v>2.3181069986858033E-6</v>
      </c>
    </row>
    <row r="16" spans="1:8" x14ac:dyDescent="0.25">
      <c r="A16">
        <v>2.1459739577499999</v>
      </c>
      <c r="B16">
        <v>0.11960659391882621</v>
      </c>
      <c r="C16">
        <f t="shared" si="0"/>
        <v>0.12778252324978351</v>
      </c>
      <c r="D16">
        <f t="shared" si="1"/>
        <v>-8.1759293309573017E-3</v>
      </c>
      <c r="E16">
        <f t="shared" si="2"/>
        <v>6.6845820424807912E-5</v>
      </c>
    </row>
    <row r="17" spans="1:5" x14ac:dyDescent="0.25">
      <c r="A17">
        <v>2.2841897742499997</v>
      </c>
      <c r="B17">
        <v>9.1865140576436854E-2</v>
      </c>
      <c r="C17">
        <f t="shared" si="0"/>
        <v>0.10177371504009385</v>
      </c>
      <c r="D17">
        <f t="shared" si="1"/>
        <v>-9.9085744636569911E-3</v>
      </c>
      <c r="E17">
        <f t="shared" si="2"/>
        <v>9.8179847901835423E-5</v>
      </c>
    </row>
    <row r="18" spans="1:5" x14ac:dyDescent="0.25">
      <c r="A18">
        <v>2.4224055907499999</v>
      </c>
      <c r="B18">
        <v>7.73122470197736E-2</v>
      </c>
      <c r="C18">
        <f t="shared" si="0"/>
        <v>8.0308243583076921E-2</v>
      </c>
      <c r="D18">
        <f t="shared" si="1"/>
        <v>-2.9959965633033214E-3</v>
      </c>
      <c r="E18">
        <f t="shared" si="2"/>
        <v>8.9759954073253132E-6</v>
      </c>
    </row>
    <row r="19" spans="1:5" x14ac:dyDescent="0.25">
      <c r="A19">
        <v>2.5606214072500002</v>
      </c>
      <c r="B19">
        <v>6.8216688546859056E-2</v>
      </c>
      <c r="C19">
        <f t="shared" si="0"/>
        <v>6.2809976660791536E-2</v>
      </c>
      <c r="D19">
        <f t="shared" si="1"/>
        <v>5.4067118860675195E-3</v>
      </c>
      <c r="E19">
        <f t="shared" si="2"/>
        <v>2.9232533418943795E-5</v>
      </c>
    </row>
    <row r="20" spans="1:5" x14ac:dyDescent="0.25">
      <c r="A20">
        <v>2.69883722375</v>
      </c>
      <c r="B20">
        <v>4.7296904059155612E-2</v>
      </c>
      <c r="C20">
        <f t="shared" si="0"/>
        <v>4.8708326575556363E-2</v>
      </c>
      <c r="D20">
        <f t="shared" si="1"/>
        <v>-1.411422516400751E-3</v>
      </c>
      <c r="E20">
        <f t="shared" si="2"/>
        <v>1.9921135198030283E-6</v>
      </c>
    </row>
    <row r="21" spans="1:5" x14ac:dyDescent="0.25">
      <c r="A21">
        <v>2.8370530402499998</v>
      </c>
      <c r="B21">
        <v>3.4108344273429528E-2</v>
      </c>
      <c r="C21">
        <f t="shared" si="0"/>
        <v>3.7465201469336844E-2</v>
      </c>
      <c r="D21">
        <f t="shared" si="1"/>
        <v>-3.356857195907316E-3</v>
      </c>
      <c r="E21">
        <f t="shared" si="2"/>
        <v>1.1268490233714728E-5</v>
      </c>
    </row>
    <row r="22" spans="1:5" x14ac:dyDescent="0.25">
      <c r="A22">
        <v>2.9752688567500001</v>
      </c>
      <c r="B22">
        <v>3.0015342960617985E-2</v>
      </c>
      <c r="C22">
        <f t="shared" si="0"/>
        <v>2.8591208120364951E-2</v>
      </c>
      <c r="D22">
        <f t="shared" si="1"/>
        <v>1.4241348402530343E-3</v>
      </c>
      <c r="E22">
        <f t="shared" si="2"/>
        <v>2.0281600432225358E-6</v>
      </c>
    </row>
    <row r="23" spans="1:5" x14ac:dyDescent="0.25">
      <c r="A23">
        <v>3.1134846732499999</v>
      </c>
      <c r="B23">
        <v>2.8196231266035075E-2</v>
      </c>
      <c r="C23">
        <f t="shared" si="0"/>
        <v>2.1653753402335239E-2</v>
      </c>
      <c r="D23">
        <f t="shared" si="1"/>
        <v>6.5424778636998353E-3</v>
      </c>
      <c r="E23">
        <f t="shared" si="2"/>
        <v>4.2804016597002363E-5</v>
      </c>
    </row>
    <row r="24" spans="1:5" x14ac:dyDescent="0.25">
      <c r="A24">
        <v>3.2517004897500001</v>
      </c>
      <c r="B24">
        <v>1.8191116945829082E-2</v>
      </c>
      <c r="C24">
        <f t="shared" si="0"/>
        <v>1.627931143125106E-2</v>
      </c>
      <c r="D24">
        <f t="shared" si="1"/>
        <v>1.9118055145780216E-3</v>
      </c>
      <c r="E24">
        <f t="shared" si="2"/>
        <v>3.655000325570934E-6</v>
      </c>
    </row>
    <row r="25" spans="1:5" x14ac:dyDescent="0.25">
      <c r="A25">
        <v>3.38991630625</v>
      </c>
      <c r="B25">
        <v>1.227900393843463E-2</v>
      </c>
      <c r="C25">
        <f t="shared" si="0"/>
        <v>1.215171885468392E-2</v>
      </c>
      <c r="D25">
        <f t="shared" si="1"/>
        <v>1.2728508375071078E-4</v>
      </c>
      <c r="E25">
        <f t="shared" si="2"/>
        <v>1.6201492545425458E-8</v>
      </c>
    </row>
    <row r="26" spans="1:5" x14ac:dyDescent="0.25">
      <c r="A26">
        <v>3.5281321227500002</v>
      </c>
      <c r="B26">
        <v>1.1824226014788903E-2</v>
      </c>
      <c r="C26">
        <f t="shared" si="0"/>
        <v>9.0079691131515552E-3</v>
      </c>
      <c r="D26">
        <f t="shared" si="1"/>
        <v>2.8162569016373477E-3</v>
      </c>
      <c r="E26">
        <f t="shared" si="2"/>
        <v>7.9313029360199945E-6</v>
      </c>
    </row>
    <row r="27" spans="1:5" x14ac:dyDescent="0.25">
      <c r="A27">
        <v>3.6663479392500005</v>
      </c>
      <c r="B27">
        <v>1.0459892243851722E-2</v>
      </c>
      <c r="C27">
        <f t="shared" si="0"/>
        <v>6.6326216060797177E-3</v>
      </c>
      <c r="D27">
        <f t="shared" si="1"/>
        <v>3.8272706377720043E-3</v>
      </c>
      <c r="E27">
        <f t="shared" si="2"/>
        <v>1.4648000534751725E-5</v>
      </c>
    </row>
    <row r="28" spans="1:5" x14ac:dyDescent="0.25">
      <c r="A28">
        <v>3.8045637557500003</v>
      </c>
      <c r="B28">
        <v>5.4573350837487239E-3</v>
      </c>
      <c r="C28">
        <f t="shared" si="0"/>
        <v>4.8516362661648023E-3</v>
      </c>
      <c r="D28">
        <f t="shared" si="1"/>
        <v>6.0569881758392157E-4</v>
      </c>
      <c r="E28">
        <f t="shared" si="2"/>
        <v>3.6687105762256072E-7</v>
      </c>
    </row>
    <row r="29" spans="1:5" x14ac:dyDescent="0.25">
      <c r="A29">
        <v>3.9427795722499996</v>
      </c>
      <c r="B29">
        <v>3.1834454655200891E-3</v>
      </c>
      <c r="C29">
        <f t="shared" si="0"/>
        <v>3.5261925400757775E-3</v>
      </c>
      <c r="D29">
        <f t="shared" si="1"/>
        <v>-3.4274707455568846E-4</v>
      </c>
      <c r="E29">
        <f t="shared" si="2"/>
        <v>1.1747555711648267E-7</v>
      </c>
    </row>
    <row r="30" spans="1:5" x14ac:dyDescent="0.25">
      <c r="A30">
        <v>4.0809953887499999</v>
      </c>
      <c r="B30">
        <v>4.5477792364572703E-4</v>
      </c>
      <c r="C30">
        <f t="shared" si="0"/>
        <v>2.5468529198419895E-3</v>
      </c>
      <c r="D30">
        <f t="shared" si="1"/>
        <v>-2.0920749961962624E-3</v>
      </c>
      <c r="E30">
        <f t="shared" si="2"/>
        <v>4.3767777897095917E-6</v>
      </c>
    </row>
    <row r="31" spans="1:5" x14ac:dyDescent="0.25">
      <c r="A31">
        <v>4.2192112052499997</v>
      </c>
      <c r="B31">
        <v>1.364333770937181E-3</v>
      </c>
      <c r="C31">
        <f t="shared" si="0"/>
        <v>1.8282801350471235E-3</v>
      </c>
      <c r="D31">
        <f t="shared" si="1"/>
        <v>-4.6394636410994252E-4</v>
      </c>
      <c r="E31">
        <f t="shared" si="2"/>
        <v>2.1524622877083537E-7</v>
      </c>
    </row>
    <row r="32" spans="1:5" x14ac:dyDescent="0.25">
      <c r="A32">
        <v>4.3574270217500004</v>
      </c>
      <c r="B32">
        <v>1.8191116945829081E-3</v>
      </c>
      <c r="C32">
        <f t="shared" si="0"/>
        <v>1.3046071968366324E-3</v>
      </c>
      <c r="D32">
        <f t="shared" si="1"/>
        <v>5.1450449774627567E-4</v>
      </c>
      <c r="E32">
        <f t="shared" si="2"/>
        <v>2.6471487820114741E-7</v>
      </c>
    </row>
    <row r="33" spans="1:5" x14ac:dyDescent="0.25">
      <c r="A33">
        <v>4.4956428382499993</v>
      </c>
      <c r="B33">
        <v>1.8191116945829081E-3</v>
      </c>
      <c r="C33">
        <f t="shared" si="0"/>
        <v>9.2548333645879285E-4</v>
      </c>
      <c r="D33">
        <f t="shared" si="1"/>
        <v>8.9362835812411526E-4</v>
      </c>
      <c r="E33">
        <f t="shared" si="2"/>
        <v>7.9857164244360196E-7</v>
      </c>
    </row>
    <row r="34" spans="1:5" x14ac:dyDescent="0.25">
      <c r="A34">
        <v>4.63385865475</v>
      </c>
      <c r="B34">
        <v>9.0955584729145405E-4</v>
      </c>
      <c r="C34">
        <f t="shared" si="0"/>
        <v>6.5276934714544074E-4</v>
      </c>
      <c r="D34">
        <f t="shared" si="1"/>
        <v>2.5678650014601331E-4</v>
      </c>
      <c r="E34">
        <f t="shared" si="2"/>
        <v>6.593930665723849E-8</v>
      </c>
    </row>
    <row r="35" spans="1:5" x14ac:dyDescent="0.25">
      <c r="A35">
        <v>4.7720744712500007</v>
      </c>
      <c r="B35">
        <v>4.5477792364572703E-4</v>
      </c>
      <c r="C35">
        <f t="shared" si="0"/>
        <v>4.5782645057183721E-4</v>
      </c>
      <c r="D35">
        <f t="shared" si="1"/>
        <v>-3.0485269261101822E-6</v>
      </c>
      <c r="E35">
        <f t="shared" si="2"/>
        <v>9.2935164192187969E-12</v>
      </c>
    </row>
    <row r="36" spans="1:5" x14ac:dyDescent="0.25">
      <c r="A36">
        <v>4.9102902877499996</v>
      </c>
      <c r="B36">
        <v>4.5477792364572703E-4</v>
      </c>
      <c r="C36">
        <f t="shared" si="0"/>
        <v>3.1932804082443283E-4</v>
      </c>
      <c r="D36">
        <f t="shared" si="1"/>
        <v>1.354498828212942E-4</v>
      </c>
      <c r="E36">
        <f t="shared" si="2"/>
        <v>1.8346670756302331E-8</v>
      </c>
    </row>
    <row r="37" spans="1:5" x14ac:dyDescent="0.25">
      <c r="A37">
        <v>5.0485061042500003</v>
      </c>
      <c r="B37">
        <v>1.364333770937181E-3</v>
      </c>
      <c r="C37">
        <f t="shared" si="0"/>
        <v>2.215190006403192E-4</v>
      </c>
      <c r="D37">
        <f t="shared" si="1"/>
        <v>1.1428147702968617E-3</v>
      </c>
      <c r="E37">
        <f t="shared" si="2"/>
        <v>1.3060255992086688E-6</v>
      </c>
    </row>
    <row r="38" spans="1:5" x14ac:dyDescent="0.25">
      <c r="A38">
        <v>5.1867219207500002</v>
      </c>
      <c r="B38">
        <v>9.0955584729145405E-4</v>
      </c>
      <c r="C38">
        <f t="shared" si="0"/>
        <v>1.5284920808794137E-4</v>
      </c>
      <c r="D38">
        <f t="shared" si="1"/>
        <v>7.5670663920351271E-4</v>
      </c>
      <c r="E38">
        <f t="shared" si="2"/>
        <v>5.7260493781467517E-7</v>
      </c>
    </row>
    <row r="39" spans="1:5" x14ac:dyDescent="0.25">
      <c r="A39">
        <v>5.32493773725</v>
      </c>
      <c r="B39">
        <v>0</v>
      </c>
      <c r="C39">
        <f t="shared" si="0"/>
        <v>1.0491370475728315E-4</v>
      </c>
      <c r="D39">
        <f t="shared" si="1"/>
        <v>-1.0491370475728315E-4</v>
      </c>
      <c r="E39">
        <f t="shared" si="2"/>
        <v>1.1006885445898377E-8</v>
      </c>
    </row>
    <row r="40" spans="1:5" x14ac:dyDescent="0.25">
      <c r="A40">
        <v>5.4631535537500007</v>
      </c>
      <c r="B40">
        <v>4.5477792364572703E-4</v>
      </c>
      <c r="C40">
        <f t="shared" si="0"/>
        <v>7.1639867853956935E-5</v>
      </c>
      <c r="D40">
        <f t="shared" si="1"/>
        <v>3.8313805579177007E-4</v>
      </c>
      <c r="E40">
        <f t="shared" si="2"/>
        <v>1.4679476979589751E-7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CED23-7C23-49DA-A070-B468343F01C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6.7764614637499998E-2</v>
      </c>
      <c r="B1">
        <v>0.27111561173475079</v>
      </c>
      <c r="C1">
        <f>$H$3*(1+$H$1)*(A1^($H$1))*EXP(-$H$3*(A1^(1+$H$1)))</f>
        <v>0.30951333285467925</v>
      </c>
      <c r="D1">
        <f>B1-C1</f>
        <v>-3.8397721119928452E-2</v>
      </c>
      <c r="E1">
        <f>D1^2</f>
        <v>1.4743849872037994E-3</v>
      </c>
      <c r="G1" t="s">
        <v>0</v>
      </c>
      <c r="H1">
        <v>0.52886076099895007</v>
      </c>
    </row>
    <row r="2" spans="1:8" x14ac:dyDescent="0.25">
      <c r="A2">
        <v>0.20038143791250002</v>
      </c>
      <c r="B2">
        <v>0.5194802630442078</v>
      </c>
      <c r="C2">
        <f t="shared" ref="C2:C40" si="0">$H$3*(1+$H$1)*(A2^($H$1))*EXP(-$H$3*(A2^(1+$H$1)))</f>
        <v>0.51765544578427347</v>
      </c>
      <c r="D2">
        <f t="shared" ref="D2:D40" si="1">B2-C2</f>
        <v>1.8248172599343304E-3</v>
      </c>
      <c r="E2">
        <f t="shared" ref="E2:E40" si="2">D2^2</f>
        <v>3.3299580321542376E-6</v>
      </c>
    </row>
    <row r="3" spans="1:8" x14ac:dyDescent="0.25">
      <c r="A3">
        <v>0.33299826118749998</v>
      </c>
      <c r="B3">
        <v>0.64508452372551717</v>
      </c>
      <c r="C3">
        <f t="shared" si="0"/>
        <v>0.62157024597462596</v>
      </c>
      <c r="D3">
        <f t="shared" si="1"/>
        <v>2.351427775089121E-2</v>
      </c>
      <c r="E3">
        <f t="shared" si="2"/>
        <v>5.5292125814605743E-4</v>
      </c>
      <c r="G3" t="s">
        <v>1</v>
      </c>
      <c r="H3">
        <f>(_xlfn.GAMMA((2+$H$1)/(1+$H$1)))^(1+$H$1)</f>
        <v>0.85229417501409088</v>
      </c>
    </row>
    <row r="4" spans="1:8" x14ac:dyDescent="0.25">
      <c r="A4">
        <v>0.4656150844625</v>
      </c>
      <c r="B4">
        <v>0.7057537515263006</v>
      </c>
      <c r="C4">
        <f t="shared" si="0"/>
        <v>0.6673506401297562</v>
      </c>
      <c r="D4">
        <f t="shared" si="1"/>
        <v>3.8403111396544398E-2</v>
      </c>
      <c r="E4">
        <f t="shared" si="2"/>
        <v>1.4747989649353983E-3</v>
      </c>
    </row>
    <row r="5" spans="1:8" x14ac:dyDescent="0.25">
      <c r="A5">
        <v>0.59823190773750001</v>
      </c>
      <c r="B5">
        <v>0.68063289939003868</v>
      </c>
      <c r="C5">
        <f t="shared" si="0"/>
        <v>0.6732937581421593</v>
      </c>
      <c r="D5">
        <f t="shared" si="1"/>
        <v>7.3391412478793772E-3</v>
      </c>
      <c r="E5">
        <f t="shared" si="2"/>
        <v>5.3862994256324461E-5</v>
      </c>
      <c r="G5" t="s">
        <v>2</v>
      </c>
      <c r="H5">
        <f>SUM(E1:E40)</f>
        <v>8.2670067772513817E-3</v>
      </c>
    </row>
    <row r="6" spans="1:8" x14ac:dyDescent="0.25">
      <c r="A6">
        <v>0.73084873101250003</v>
      </c>
      <c r="B6">
        <v>0.63655291356603205</v>
      </c>
      <c r="C6">
        <f t="shared" si="0"/>
        <v>0.6512635475022035</v>
      </c>
      <c r="D6">
        <f t="shared" si="1"/>
        <v>-1.4710633936171447E-2</v>
      </c>
      <c r="E6">
        <f t="shared" si="2"/>
        <v>2.1640275080403904E-4</v>
      </c>
    </row>
    <row r="7" spans="1:8" x14ac:dyDescent="0.25">
      <c r="A7">
        <v>0.86346555428749994</v>
      </c>
      <c r="B7">
        <v>0.57920153416060394</v>
      </c>
      <c r="C7">
        <f t="shared" si="0"/>
        <v>0.61024733249243523</v>
      </c>
      <c r="D7">
        <f t="shared" si="1"/>
        <v>-3.1045798331831298E-2</v>
      </c>
      <c r="E7">
        <f t="shared" si="2"/>
        <v>9.6384159406073897E-4</v>
      </c>
    </row>
    <row r="8" spans="1:8" x14ac:dyDescent="0.25">
      <c r="A8">
        <v>0.99608237756250007</v>
      </c>
      <c r="B8">
        <v>0.54412713683827607</v>
      </c>
      <c r="C8">
        <f t="shared" si="0"/>
        <v>0.55734475790049853</v>
      </c>
      <c r="D8">
        <f t="shared" si="1"/>
        <v>-1.3217621062222462E-2</v>
      </c>
      <c r="E8">
        <f t="shared" si="2"/>
        <v>1.7470550654450685E-4</v>
      </c>
    </row>
    <row r="9" spans="1:8" x14ac:dyDescent="0.25">
      <c r="A9">
        <v>1.1286992008375001</v>
      </c>
      <c r="B9">
        <v>0.46260286198097339</v>
      </c>
      <c r="C9">
        <f t="shared" si="0"/>
        <v>0.49814457331703083</v>
      </c>
      <c r="D9">
        <f t="shared" si="1"/>
        <v>-3.5541711336057435E-2</v>
      </c>
      <c r="E9">
        <f t="shared" si="2"/>
        <v>1.2632132446956336E-3</v>
      </c>
    </row>
    <row r="10" spans="1:8" x14ac:dyDescent="0.25">
      <c r="A10">
        <v>1.2613160241124999</v>
      </c>
      <c r="B10">
        <v>0.46023297027000526</v>
      </c>
      <c r="C10">
        <f t="shared" si="0"/>
        <v>0.43693646468367237</v>
      </c>
      <c r="D10">
        <f t="shared" si="1"/>
        <v>2.3296505586332894E-2</v>
      </c>
      <c r="E10">
        <f t="shared" si="2"/>
        <v>5.4272717253403969E-4</v>
      </c>
    </row>
    <row r="11" spans="1:8" x14ac:dyDescent="0.25">
      <c r="A11">
        <v>1.3939328473875001</v>
      </c>
      <c r="B11">
        <v>0.38676632722999416</v>
      </c>
      <c r="C11">
        <f t="shared" si="0"/>
        <v>0.37688315192754024</v>
      </c>
      <c r="D11">
        <f t="shared" si="1"/>
        <v>9.8831753024539171E-3</v>
      </c>
      <c r="E11">
        <f t="shared" si="2"/>
        <v>9.7677154059035081E-5</v>
      </c>
    </row>
    <row r="12" spans="1:8" x14ac:dyDescent="0.25">
      <c r="A12">
        <v>1.5265496706624999</v>
      </c>
      <c r="B12">
        <v>0.34790010317011727</v>
      </c>
      <c r="C12">
        <f t="shared" si="0"/>
        <v>0.320186683777611</v>
      </c>
      <c r="D12">
        <f t="shared" si="1"/>
        <v>2.7713419392506267E-2</v>
      </c>
      <c r="E12">
        <f t="shared" si="2"/>
        <v>7.6803361442494245E-4</v>
      </c>
    </row>
    <row r="13" spans="1:8" x14ac:dyDescent="0.25">
      <c r="A13">
        <v>1.6591664939374999</v>
      </c>
      <c r="B13">
        <v>0.2545263697579741</v>
      </c>
      <c r="C13">
        <f t="shared" si="0"/>
        <v>0.26825354115685773</v>
      </c>
      <c r="D13">
        <f t="shared" si="1"/>
        <v>-1.3727171398883631E-2</v>
      </c>
      <c r="E13">
        <f t="shared" si="2"/>
        <v>1.8843523461432879E-4</v>
      </c>
    </row>
    <row r="14" spans="1:8" x14ac:dyDescent="0.25">
      <c r="A14">
        <v>1.7917833172124999</v>
      </c>
      <c r="B14">
        <v>0.22182186414661428</v>
      </c>
      <c r="C14">
        <f t="shared" si="0"/>
        <v>0.22185414168525575</v>
      </c>
      <c r="D14">
        <f t="shared" si="1"/>
        <v>-3.2277538641461989E-5</v>
      </c>
      <c r="E14">
        <f t="shared" si="2"/>
        <v>1.041839500751072E-9</v>
      </c>
    </row>
    <row r="15" spans="1:8" x14ac:dyDescent="0.25">
      <c r="A15">
        <v>1.9244001404875</v>
      </c>
      <c r="B15">
        <v>0.17679392163822036</v>
      </c>
      <c r="C15">
        <f t="shared" si="0"/>
        <v>0.18127074513512428</v>
      </c>
      <c r="D15">
        <f t="shared" si="1"/>
        <v>-4.4768234969039256E-3</v>
      </c>
      <c r="E15">
        <f t="shared" si="2"/>
        <v>2.0041948622431092E-5</v>
      </c>
    </row>
    <row r="16" spans="1:8" x14ac:dyDescent="0.25">
      <c r="A16">
        <v>2.0570169637625</v>
      </c>
      <c r="B16">
        <v>0.13603178420956902</v>
      </c>
      <c r="C16">
        <f t="shared" si="0"/>
        <v>0.14642889892214778</v>
      </c>
      <c r="D16">
        <f t="shared" si="1"/>
        <v>-1.0397114712578759E-2</v>
      </c>
      <c r="E16">
        <f t="shared" si="2"/>
        <v>1.0809999434652169E-4</v>
      </c>
    </row>
    <row r="17" spans="1:5" x14ac:dyDescent="0.25">
      <c r="A17">
        <v>2.1896337870375002</v>
      </c>
      <c r="B17">
        <v>0.11185888875769438</v>
      </c>
      <c r="C17">
        <f t="shared" si="0"/>
        <v>0.11700951288243519</v>
      </c>
      <c r="D17">
        <f t="shared" si="1"/>
        <v>-5.1506241247408074E-3</v>
      </c>
      <c r="E17">
        <f t="shared" si="2"/>
        <v>2.6528928874362007E-5</v>
      </c>
    </row>
    <row r="18" spans="1:5" x14ac:dyDescent="0.25">
      <c r="A18">
        <v>2.3222506103125</v>
      </c>
      <c r="B18">
        <v>8.105029651510906E-2</v>
      </c>
      <c r="C18">
        <f t="shared" si="0"/>
        <v>9.2540585428753888E-2</v>
      </c>
      <c r="D18">
        <f t="shared" si="1"/>
        <v>-1.1490288913644828E-2</v>
      </c>
      <c r="E18">
        <f t="shared" si="2"/>
        <v>1.3202673931902924E-4</v>
      </c>
    </row>
    <row r="19" spans="1:5" x14ac:dyDescent="0.25">
      <c r="A19">
        <v>2.4548674335874998</v>
      </c>
      <c r="B19">
        <v>8.057631817291544E-2</v>
      </c>
      <c r="C19">
        <f t="shared" si="0"/>
        <v>7.2469178273048343E-2</v>
      </c>
      <c r="D19">
        <f t="shared" si="1"/>
        <v>8.1071398998670968E-3</v>
      </c>
      <c r="E19">
        <f t="shared" si="2"/>
        <v>6.5725717356017075E-5</v>
      </c>
    </row>
    <row r="20" spans="1:5" x14ac:dyDescent="0.25">
      <c r="A20">
        <v>2.5874842568625001</v>
      </c>
      <c r="B20">
        <v>5.6403422721040812E-2</v>
      </c>
      <c r="C20">
        <f t="shared" si="0"/>
        <v>5.6215350902033036E-2</v>
      </c>
      <c r="D20">
        <f t="shared" si="1"/>
        <v>1.8807181900777625E-4</v>
      </c>
      <c r="E20">
        <f t="shared" si="2"/>
        <v>3.5371009104893747E-8</v>
      </c>
    </row>
    <row r="21" spans="1:5" x14ac:dyDescent="0.25">
      <c r="A21">
        <v>2.7201010801374998</v>
      </c>
      <c r="B21">
        <v>3.6970310691102383E-2</v>
      </c>
      <c r="C21">
        <f t="shared" si="0"/>
        <v>4.321043377683894E-2</v>
      </c>
      <c r="D21">
        <f t="shared" si="1"/>
        <v>-6.2401230857365569E-3</v>
      </c>
      <c r="E21">
        <f t="shared" si="2"/>
        <v>3.8939136125142328E-5</v>
      </c>
    </row>
    <row r="22" spans="1:5" x14ac:dyDescent="0.25">
      <c r="A22">
        <v>2.8527179034125005</v>
      </c>
      <c r="B22">
        <v>3.1756548926972557E-2</v>
      </c>
      <c r="C22">
        <f t="shared" si="0"/>
        <v>3.2922311034837629E-2</v>
      </c>
      <c r="D22">
        <f t="shared" si="1"/>
        <v>-1.1657621078650718E-3</v>
      </c>
      <c r="E22">
        <f t="shared" si="2"/>
        <v>1.3590012921340153E-6</v>
      </c>
    </row>
    <row r="23" spans="1:5" x14ac:dyDescent="0.25">
      <c r="A23">
        <v>2.9853347266874999</v>
      </c>
      <c r="B23">
        <v>3.1756548926972557E-2</v>
      </c>
      <c r="C23">
        <f t="shared" si="0"/>
        <v>2.4870389434673359E-2</v>
      </c>
      <c r="D23">
        <f t="shared" si="1"/>
        <v>6.8861594922991973E-3</v>
      </c>
      <c r="E23">
        <f t="shared" si="2"/>
        <v>4.7419192553382338E-5</v>
      </c>
    </row>
    <row r="24" spans="1:5" x14ac:dyDescent="0.25">
      <c r="A24">
        <v>3.1179515499624992</v>
      </c>
      <c r="B24">
        <v>1.8011177003357571E-2</v>
      </c>
      <c r="C24">
        <f t="shared" si="0"/>
        <v>1.8632740281081646E-2</v>
      </c>
      <c r="D24">
        <f t="shared" si="1"/>
        <v>-6.2156327772407496E-4</v>
      </c>
      <c r="E24">
        <f t="shared" si="2"/>
        <v>3.8634090821509556E-7</v>
      </c>
    </row>
    <row r="25" spans="1:5" x14ac:dyDescent="0.25">
      <c r="A25">
        <v>3.2505683732374999</v>
      </c>
      <c r="B25">
        <v>1.6589241976776709E-2</v>
      </c>
      <c r="C25">
        <f t="shared" si="0"/>
        <v>1.3847593969561508E-2</v>
      </c>
      <c r="D25">
        <f t="shared" si="1"/>
        <v>2.7416480072152017E-3</v>
      </c>
      <c r="E25">
        <f t="shared" si="2"/>
        <v>7.516633795467087E-6</v>
      </c>
    </row>
    <row r="26" spans="1:5" x14ac:dyDescent="0.25">
      <c r="A26">
        <v>3.3831851965124997</v>
      </c>
      <c r="B26">
        <v>1.4219350265808608E-2</v>
      </c>
      <c r="C26">
        <f t="shared" si="0"/>
        <v>1.0211005744786459E-2</v>
      </c>
      <c r="D26">
        <f t="shared" si="1"/>
        <v>4.0083445210221495E-3</v>
      </c>
      <c r="E26">
        <f t="shared" si="2"/>
        <v>1.6066825799208286E-5</v>
      </c>
    </row>
    <row r="27" spans="1:5" x14ac:dyDescent="0.25">
      <c r="A27">
        <v>3.5158020197875004</v>
      </c>
      <c r="B27">
        <v>9.9535451860660248E-3</v>
      </c>
      <c r="C27">
        <f t="shared" si="0"/>
        <v>7.4721427507566081E-3</v>
      </c>
      <c r="D27">
        <f t="shared" si="1"/>
        <v>2.4814024353094167E-3</v>
      </c>
      <c r="E27">
        <f t="shared" si="2"/>
        <v>6.1573580459595044E-6</v>
      </c>
    </row>
    <row r="28" spans="1:5" x14ac:dyDescent="0.25">
      <c r="A28">
        <v>3.6484188430625002</v>
      </c>
      <c r="B28">
        <v>9.0055885016787855E-3</v>
      </c>
      <c r="C28">
        <f t="shared" si="0"/>
        <v>5.4272976086462473E-3</v>
      </c>
      <c r="D28">
        <f t="shared" si="1"/>
        <v>3.5782908930325381E-3</v>
      </c>
      <c r="E28">
        <f t="shared" si="2"/>
        <v>1.28041657151596E-5</v>
      </c>
    </row>
    <row r="29" spans="1:5" x14ac:dyDescent="0.25">
      <c r="A29">
        <v>3.7810356663375</v>
      </c>
      <c r="B29">
        <v>2.3698917109681015E-3</v>
      </c>
      <c r="C29">
        <f t="shared" si="0"/>
        <v>3.9134308849500237E-3</v>
      </c>
      <c r="D29">
        <f t="shared" si="1"/>
        <v>-1.5435391739819222E-3</v>
      </c>
      <c r="E29">
        <f t="shared" si="2"/>
        <v>2.3825131816167949E-6</v>
      </c>
    </row>
    <row r="30" spans="1:5" x14ac:dyDescent="0.25">
      <c r="A30">
        <v>3.9136524896124998</v>
      </c>
      <c r="B30">
        <v>1.4219350265808608E-3</v>
      </c>
      <c r="C30">
        <f t="shared" si="0"/>
        <v>2.8017922526360427E-3</v>
      </c>
      <c r="D30">
        <f t="shared" si="1"/>
        <v>-1.3798572260551819E-3</v>
      </c>
      <c r="E30">
        <f t="shared" si="2"/>
        <v>1.9040059642967014E-6</v>
      </c>
    </row>
    <row r="31" spans="1:5" x14ac:dyDescent="0.25">
      <c r="A31">
        <v>4.0462693128874996</v>
      </c>
      <c r="B31">
        <v>1.4219350265808608E-3</v>
      </c>
      <c r="C31">
        <f t="shared" si="0"/>
        <v>1.9919691230191922E-3</v>
      </c>
      <c r="D31">
        <f t="shared" si="1"/>
        <v>-5.7003409643833136E-4</v>
      </c>
      <c r="E31">
        <f t="shared" si="2"/>
        <v>3.2493887110226486E-7</v>
      </c>
    </row>
    <row r="32" spans="1:5" x14ac:dyDescent="0.25">
      <c r="A32">
        <v>4.1788861361625003</v>
      </c>
      <c r="B32">
        <v>2.8438700531617216E-3</v>
      </c>
      <c r="C32">
        <f t="shared" si="0"/>
        <v>1.4065586120291589E-3</v>
      </c>
      <c r="D32">
        <f t="shared" si="1"/>
        <v>1.4373114411325627E-3</v>
      </c>
      <c r="E32">
        <f t="shared" si="2"/>
        <v>2.0658641788105642E-6</v>
      </c>
    </row>
    <row r="33" spans="1:5" x14ac:dyDescent="0.25">
      <c r="A33">
        <v>4.3115029594375001</v>
      </c>
      <c r="B33">
        <v>4.7397834219362029E-4</v>
      </c>
      <c r="C33">
        <f t="shared" si="0"/>
        <v>9.8654783466505186E-4</v>
      </c>
      <c r="D33">
        <f t="shared" si="1"/>
        <v>-5.1256949247143152E-4</v>
      </c>
      <c r="E33">
        <f t="shared" si="2"/>
        <v>2.6272748461242092E-7</v>
      </c>
    </row>
    <row r="34" spans="1:5" x14ac:dyDescent="0.25">
      <c r="A34">
        <v>4.4441197827124999</v>
      </c>
      <c r="B34">
        <v>9.4795668438724058E-4</v>
      </c>
      <c r="C34">
        <f t="shared" si="0"/>
        <v>6.87411489310561E-4</v>
      </c>
      <c r="D34">
        <f t="shared" si="1"/>
        <v>2.6054519507667958E-4</v>
      </c>
      <c r="E34">
        <f t="shared" si="2"/>
        <v>6.7883798677545012E-8</v>
      </c>
    </row>
    <row r="35" spans="1:5" x14ac:dyDescent="0.25">
      <c r="A35">
        <v>4.5767366059874997</v>
      </c>
      <c r="B35">
        <v>9.4795668438724058E-4</v>
      </c>
      <c r="C35">
        <f t="shared" si="0"/>
        <v>4.7588719693523589E-4</v>
      </c>
      <c r="D35">
        <f t="shared" si="1"/>
        <v>4.7206948745200469E-4</v>
      </c>
      <c r="E35">
        <f t="shared" si="2"/>
        <v>2.2284960098319841E-7</v>
      </c>
    </row>
    <row r="36" spans="1:5" x14ac:dyDescent="0.25">
      <c r="A36">
        <v>4.7093534292624994</v>
      </c>
      <c r="B36">
        <v>4.7397834219362029E-4</v>
      </c>
      <c r="C36">
        <f t="shared" si="0"/>
        <v>3.2736135800400478E-4</v>
      </c>
      <c r="D36">
        <f t="shared" si="1"/>
        <v>1.4661698418961551E-4</v>
      </c>
      <c r="E36">
        <f t="shared" si="2"/>
        <v>2.1496540052857966E-8</v>
      </c>
    </row>
    <row r="37" spans="1:5" x14ac:dyDescent="0.25">
      <c r="A37">
        <v>4.8419702525375001</v>
      </c>
      <c r="B37">
        <v>9.4795668438724058E-4</v>
      </c>
      <c r="C37">
        <f t="shared" si="0"/>
        <v>2.2378555796783391E-4</v>
      </c>
      <c r="D37">
        <f t="shared" si="1"/>
        <v>7.2417112641940664E-4</v>
      </c>
      <c r="E37">
        <f t="shared" si="2"/>
        <v>5.2442382033955224E-7</v>
      </c>
    </row>
    <row r="38" spans="1:5" x14ac:dyDescent="0.25">
      <c r="A38">
        <v>4.974587075812499</v>
      </c>
      <c r="B38">
        <v>1.4219350265808608E-3</v>
      </c>
      <c r="C38">
        <f t="shared" si="0"/>
        <v>1.5204101978286497E-4</v>
      </c>
      <c r="D38">
        <f t="shared" si="1"/>
        <v>1.2698940067979959E-3</v>
      </c>
      <c r="E38">
        <f t="shared" si="2"/>
        <v>1.6126307885014684E-6</v>
      </c>
    </row>
    <row r="39" spans="1:5" x14ac:dyDescent="0.25">
      <c r="A39">
        <v>5.1072038990874997</v>
      </c>
      <c r="B39">
        <v>0</v>
      </c>
      <c r="C39">
        <f t="shared" si="0"/>
        <v>1.0267254177805632E-4</v>
      </c>
      <c r="D39">
        <f t="shared" si="1"/>
        <v>-1.0267254177805632E-4</v>
      </c>
      <c r="E39">
        <f t="shared" si="2"/>
        <v>1.0541650835166721E-8</v>
      </c>
    </row>
    <row r="40" spans="1:5" x14ac:dyDescent="0.25">
      <c r="A40">
        <v>5.2398207223625004</v>
      </c>
      <c r="B40">
        <v>4.7397834219362029E-4</v>
      </c>
      <c r="C40">
        <f t="shared" si="0"/>
        <v>6.8920989566437945E-5</v>
      </c>
      <c r="D40">
        <f t="shared" si="1"/>
        <v>4.0505735262718234E-4</v>
      </c>
      <c r="E40">
        <f t="shared" si="2"/>
        <v>1.6407145891734153E-7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C428-ED92-4D4F-AEF7-1632FAD0E33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6.859592199999999E-2</v>
      </c>
      <c r="B1">
        <v>0.23016123537363764</v>
      </c>
      <c r="C1">
        <f>$H$3*(1+$H$1)*(A1^($H$1))*EXP(-$H$3*(A1^(1+$H$1)))</f>
        <v>0.27422297825152958</v>
      </c>
      <c r="D1">
        <f>B1-C1</f>
        <v>-4.4061742877891941E-2</v>
      </c>
      <c r="E1">
        <f>D1^2</f>
        <v>1.9414371854374612E-3</v>
      </c>
      <c r="G1" t="s">
        <v>0</v>
      </c>
      <c r="H1">
        <v>0.58643825529396854</v>
      </c>
    </row>
    <row r="2" spans="1:8" x14ac:dyDescent="0.25">
      <c r="A2">
        <v>0.19557240599999998</v>
      </c>
      <c r="B2">
        <v>0.50684968822065579</v>
      </c>
      <c r="C2">
        <f t="shared" ref="C2:C40" si="0">$H$3*(1+$H$1)*(A2^($H$1))*EXP(-$H$3*(A2^(1+$H$1)))</f>
        <v>0.48159596904335694</v>
      </c>
      <c r="D2">
        <f t="shared" ref="D2:D40" si="1">B2-C2</f>
        <v>2.525371917729885E-2</v>
      </c>
      <c r="E2">
        <f t="shared" ref="E2:E40" si="2">D2^2</f>
        <v>6.3775033228587175E-4</v>
      </c>
    </row>
    <row r="3" spans="1:8" x14ac:dyDescent="0.25">
      <c r="A3">
        <v>0.32254888999999998</v>
      </c>
      <c r="B3">
        <v>0.62019790951218912</v>
      </c>
      <c r="C3">
        <f t="shared" si="0"/>
        <v>0.59817488526825247</v>
      </c>
      <c r="D3">
        <f t="shared" si="1"/>
        <v>2.2023024243936651E-2</v>
      </c>
      <c r="E3">
        <f t="shared" si="2"/>
        <v>4.850135968490215E-4</v>
      </c>
      <c r="G3" t="s">
        <v>1</v>
      </c>
      <c r="H3">
        <f>(_xlfn.GAMMA((2+$H$1)/(1+$H$1)))^(1+$H$1)</f>
        <v>0.84203765184151469</v>
      </c>
    </row>
    <row r="4" spans="1:8" x14ac:dyDescent="0.25">
      <c r="A4">
        <v>0.44952537399999998</v>
      </c>
      <c r="B4">
        <v>0.64593637024214434</v>
      </c>
      <c r="C4">
        <f t="shared" si="0"/>
        <v>0.65956857022577298</v>
      </c>
      <c r="D4">
        <f t="shared" si="1"/>
        <v>-1.3632199983628634E-2</v>
      </c>
      <c r="E4">
        <f t="shared" si="2"/>
        <v>1.8583687639364455E-4</v>
      </c>
    </row>
    <row r="5" spans="1:8" x14ac:dyDescent="0.25">
      <c r="A5">
        <v>0.57650185799999998</v>
      </c>
      <c r="B5">
        <v>0.69543341010744275</v>
      </c>
      <c r="C5">
        <f t="shared" si="0"/>
        <v>0.68053225575266207</v>
      </c>
      <c r="D5">
        <f t="shared" si="1"/>
        <v>1.4901154354780677E-2</v>
      </c>
      <c r="E5">
        <f t="shared" si="2"/>
        <v>2.2204440110499914E-4</v>
      </c>
      <c r="G5" t="s">
        <v>2</v>
      </c>
      <c r="H5">
        <f>SUM(E1:E40)</f>
        <v>6.1946098643252219E-3</v>
      </c>
    </row>
    <row r="6" spans="1:8" x14ac:dyDescent="0.25">
      <c r="A6">
        <v>0.70347834199999992</v>
      </c>
      <c r="B6">
        <v>0.69642335090474872</v>
      </c>
      <c r="C6">
        <f t="shared" si="0"/>
        <v>0.67122382587735163</v>
      </c>
      <c r="D6">
        <f t="shared" si="1"/>
        <v>2.5199525027397085E-2</v>
      </c>
      <c r="E6">
        <f t="shared" si="2"/>
        <v>6.350160616064121E-4</v>
      </c>
    </row>
    <row r="7" spans="1:8" x14ac:dyDescent="0.25">
      <c r="A7">
        <v>0.83045482599999998</v>
      </c>
      <c r="B7">
        <v>0.63801684386369661</v>
      </c>
      <c r="C7">
        <f t="shared" si="0"/>
        <v>0.63987605493205379</v>
      </c>
      <c r="D7">
        <f t="shared" si="1"/>
        <v>-1.8592110683571805E-3</v>
      </c>
      <c r="E7">
        <f t="shared" si="2"/>
        <v>3.4566657967018484E-6</v>
      </c>
    </row>
    <row r="8" spans="1:8" x14ac:dyDescent="0.25">
      <c r="A8">
        <v>0.95743130999999981</v>
      </c>
      <c r="B8">
        <v>0.56476122486305491</v>
      </c>
      <c r="C8">
        <f t="shared" si="0"/>
        <v>0.59342963046720387</v>
      </c>
      <c r="D8">
        <f t="shared" si="1"/>
        <v>-2.8668405604148961E-2</v>
      </c>
      <c r="E8">
        <f t="shared" si="2"/>
        <v>8.2187747988399955E-4</v>
      </c>
    </row>
    <row r="9" spans="1:8" x14ac:dyDescent="0.25">
      <c r="A9">
        <v>1.0844077939999999</v>
      </c>
      <c r="B9">
        <v>0.52219377057889826</v>
      </c>
      <c r="C9">
        <f t="shared" si="0"/>
        <v>0.53769173993141128</v>
      </c>
      <c r="D9">
        <f t="shared" si="1"/>
        <v>-1.5497969352513019E-2</v>
      </c>
      <c r="E9">
        <f t="shared" si="2"/>
        <v>2.4018705405143281E-4</v>
      </c>
    </row>
    <row r="10" spans="1:8" x14ac:dyDescent="0.25">
      <c r="A10">
        <v>1.2113842779999999</v>
      </c>
      <c r="B10">
        <v>0.46725205632841704</v>
      </c>
      <c r="C10">
        <f t="shared" si="0"/>
        <v>0.47738989901586265</v>
      </c>
      <c r="D10">
        <f t="shared" si="1"/>
        <v>-1.0137842687445608E-2</v>
      </c>
      <c r="E10">
        <f t="shared" si="2"/>
        <v>1.0277585435539439E-4</v>
      </c>
    </row>
    <row r="11" spans="1:8" x14ac:dyDescent="0.25">
      <c r="A11">
        <v>1.338360762</v>
      </c>
      <c r="B11">
        <v>0.41923992765907758</v>
      </c>
      <c r="C11">
        <f t="shared" si="0"/>
        <v>0.41622622452561542</v>
      </c>
      <c r="D11">
        <f t="shared" si="1"/>
        <v>3.0137031334621645E-3</v>
      </c>
      <c r="E11">
        <f t="shared" si="2"/>
        <v>9.0824065766396689E-6</v>
      </c>
    </row>
    <row r="12" spans="1:8" x14ac:dyDescent="0.25">
      <c r="A12">
        <v>1.4653372459999998</v>
      </c>
      <c r="B12">
        <v>0.36677306540186128</v>
      </c>
      <c r="C12">
        <f t="shared" si="0"/>
        <v>0.35695882416358704</v>
      </c>
      <c r="D12">
        <f t="shared" si="1"/>
        <v>9.814241238274235E-3</v>
      </c>
      <c r="E12">
        <f t="shared" si="2"/>
        <v>9.6319331083042584E-5</v>
      </c>
    </row>
    <row r="13" spans="1:8" x14ac:dyDescent="0.25">
      <c r="A13">
        <v>1.5923137299999999</v>
      </c>
      <c r="B13">
        <v>0.29747720959044349</v>
      </c>
      <c r="C13">
        <f t="shared" si="0"/>
        <v>0.30151008751570058</v>
      </c>
      <c r="D13">
        <f t="shared" si="1"/>
        <v>-4.0328779252570834E-3</v>
      </c>
      <c r="E13">
        <f t="shared" si="2"/>
        <v>1.6264104360025879E-5</v>
      </c>
    </row>
    <row r="14" spans="1:8" x14ac:dyDescent="0.25">
      <c r="A14">
        <v>1.7192902139999999</v>
      </c>
      <c r="B14">
        <v>0.26728401527261147</v>
      </c>
      <c r="C14">
        <f t="shared" si="0"/>
        <v>0.25109267525207196</v>
      </c>
      <c r="D14">
        <f t="shared" si="1"/>
        <v>1.6191340020539513E-2</v>
      </c>
      <c r="E14">
        <f t="shared" si="2"/>
        <v>2.6215949166072448E-4</v>
      </c>
    </row>
    <row r="15" spans="1:8" x14ac:dyDescent="0.25">
      <c r="A15">
        <v>1.8462666979999998</v>
      </c>
      <c r="B15">
        <v>0.20194792265041753</v>
      </c>
      <c r="C15">
        <f t="shared" si="0"/>
        <v>0.20634219403258877</v>
      </c>
      <c r="D15">
        <f t="shared" si="1"/>
        <v>-4.3942713821712442E-3</v>
      </c>
      <c r="E15">
        <f t="shared" si="2"/>
        <v>1.9309620980169176E-5</v>
      </c>
    </row>
    <row r="16" spans="1:8" x14ac:dyDescent="0.25">
      <c r="A16">
        <v>1.9732431819999996</v>
      </c>
      <c r="B16">
        <v>0.14849111959589525</v>
      </c>
      <c r="C16">
        <f t="shared" si="0"/>
        <v>0.16744677565120838</v>
      </c>
      <c r="D16">
        <f t="shared" si="1"/>
        <v>-1.895565605531313E-2</v>
      </c>
      <c r="E16">
        <f t="shared" si="2"/>
        <v>3.5931689648732935E-4</v>
      </c>
    </row>
    <row r="17" spans="1:5" x14ac:dyDescent="0.25">
      <c r="A17">
        <v>2.1002196659999997</v>
      </c>
      <c r="B17">
        <v>0.12720739245381693</v>
      </c>
      <c r="C17">
        <f t="shared" si="0"/>
        <v>0.13426618168204066</v>
      </c>
      <c r="D17">
        <f t="shared" si="1"/>
        <v>-7.0587892282237275E-3</v>
      </c>
      <c r="E17">
        <f t="shared" si="2"/>
        <v>4.9826505368487327E-5</v>
      </c>
    </row>
    <row r="18" spans="1:5" x14ac:dyDescent="0.25">
      <c r="A18">
        <v>2.2271961499999997</v>
      </c>
      <c r="B18">
        <v>0.10790354690635055</v>
      </c>
      <c r="C18">
        <f t="shared" si="0"/>
        <v>0.10643569510214204</v>
      </c>
      <c r="D18">
        <f t="shared" si="1"/>
        <v>1.4678518042085115E-3</v>
      </c>
      <c r="E18">
        <f t="shared" si="2"/>
        <v>2.1545889191181821E-6</v>
      </c>
    </row>
    <row r="19" spans="1:5" x14ac:dyDescent="0.25">
      <c r="A19">
        <v>2.3541726339999998</v>
      </c>
      <c r="B19">
        <v>8.068017498043642E-2</v>
      </c>
      <c r="C19">
        <f t="shared" si="0"/>
        <v>8.3452461090556471E-2</v>
      </c>
      <c r="D19">
        <f t="shared" si="1"/>
        <v>-2.7722861101200508E-3</v>
      </c>
      <c r="E19">
        <f t="shared" si="2"/>
        <v>7.6855702763645629E-6</v>
      </c>
    </row>
    <row r="20" spans="1:5" x14ac:dyDescent="0.25">
      <c r="A20">
        <v>2.4811491179999998</v>
      </c>
      <c r="B20">
        <v>6.4841122223540923E-2</v>
      </c>
      <c r="C20">
        <f t="shared" si="0"/>
        <v>6.474387912813491E-2</v>
      </c>
      <c r="D20">
        <f t="shared" si="1"/>
        <v>9.724309540601328E-5</v>
      </c>
      <c r="E20">
        <f t="shared" si="2"/>
        <v>9.4562196041430012E-9</v>
      </c>
    </row>
    <row r="21" spans="1:5" x14ac:dyDescent="0.25">
      <c r="A21">
        <v>2.6081256019999999</v>
      </c>
      <c r="B21">
        <v>4.4547335878768572E-2</v>
      </c>
      <c r="C21">
        <f t="shared" si="0"/>
        <v>4.9719059435151688E-2</v>
      </c>
      <c r="D21">
        <f t="shared" si="1"/>
        <v>-5.1717235563831163E-3</v>
      </c>
      <c r="E21">
        <f t="shared" si="2"/>
        <v>2.6746724543648027E-5</v>
      </c>
    </row>
    <row r="22" spans="1:5" x14ac:dyDescent="0.25">
      <c r="A22">
        <v>2.7351020859999999</v>
      </c>
      <c r="B22">
        <v>3.811272069627978E-2</v>
      </c>
      <c r="C22">
        <f t="shared" si="0"/>
        <v>3.7805261804261026E-2</v>
      </c>
      <c r="D22">
        <f t="shared" si="1"/>
        <v>3.0745889201875404E-4</v>
      </c>
      <c r="E22">
        <f t="shared" si="2"/>
        <v>9.4530970281399855E-8</v>
      </c>
    </row>
    <row r="23" spans="1:5" x14ac:dyDescent="0.25">
      <c r="A23">
        <v>2.8620785699999995</v>
      </c>
      <c r="B23">
        <v>2.9698223919179052E-2</v>
      </c>
      <c r="C23">
        <f t="shared" si="0"/>
        <v>2.8471707195053472E-2</v>
      </c>
      <c r="D23">
        <f t="shared" si="1"/>
        <v>1.2265167241255794E-3</v>
      </c>
      <c r="E23">
        <f t="shared" si="2"/>
        <v>1.5043432745597425E-6</v>
      </c>
    </row>
    <row r="24" spans="1:5" x14ac:dyDescent="0.25">
      <c r="A24">
        <v>2.9890550539999996</v>
      </c>
      <c r="B24">
        <v>2.3263608736690256E-2</v>
      </c>
      <c r="C24">
        <f t="shared" si="0"/>
        <v>2.1243286857785294E-2</v>
      </c>
      <c r="D24">
        <f t="shared" si="1"/>
        <v>2.0203218789049612E-3</v>
      </c>
      <c r="E24">
        <f t="shared" si="2"/>
        <v>4.0817004943820725E-6</v>
      </c>
    </row>
    <row r="25" spans="1:5" x14ac:dyDescent="0.25">
      <c r="A25">
        <v>3.1160315379999997</v>
      </c>
      <c r="B25">
        <v>1.7323963952854446E-2</v>
      </c>
      <c r="C25">
        <f t="shared" si="0"/>
        <v>1.5706587631235717E-2</v>
      </c>
      <c r="D25">
        <f t="shared" si="1"/>
        <v>1.6173763216187284E-3</v>
      </c>
      <c r="E25">
        <f t="shared" si="2"/>
        <v>2.6159061657329283E-6</v>
      </c>
    </row>
    <row r="26" spans="1:5" x14ac:dyDescent="0.25">
      <c r="A26">
        <v>3.2430080219999997</v>
      </c>
      <c r="B26">
        <v>1.6334023155548476E-2</v>
      </c>
      <c r="C26">
        <f t="shared" si="0"/>
        <v>1.1510393605701925E-2</v>
      </c>
      <c r="D26">
        <f t="shared" si="1"/>
        <v>4.8236295498465514E-3</v>
      </c>
      <c r="E26">
        <f t="shared" si="2"/>
        <v>2.3267402034152845E-5</v>
      </c>
    </row>
    <row r="27" spans="1:5" x14ac:dyDescent="0.25">
      <c r="A27">
        <v>3.3699845059999998</v>
      </c>
      <c r="B27">
        <v>1.3364200763630572E-2</v>
      </c>
      <c r="C27">
        <f t="shared" si="0"/>
        <v>8.3624863645221752E-3</v>
      </c>
      <c r="D27">
        <f t="shared" si="1"/>
        <v>5.0017143991083965E-3</v>
      </c>
      <c r="E27">
        <f t="shared" si="2"/>
        <v>2.5017146930248267E-5</v>
      </c>
    </row>
    <row r="28" spans="1:5" x14ac:dyDescent="0.25">
      <c r="A28">
        <v>3.4969609899999998</v>
      </c>
      <c r="B28">
        <v>7.4245559797947629E-3</v>
      </c>
      <c r="C28">
        <f t="shared" si="0"/>
        <v>6.0242038067651838E-3</v>
      </c>
      <c r="D28">
        <f t="shared" si="1"/>
        <v>1.4003521730295791E-3</v>
      </c>
      <c r="E28">
        <f t="shared" si="2"/>
        <v>1.9609862085086639E-6</v>
      </c>
    </row>
    <row r="29" spans="1:5" x14ac:dyDescent="0.25">
      <c r="A29">
        <v>3.6239374739999994</v>
      </c>
      <c r="B29">
        <v>3.4647927905708891E-3</v>
      </c>
      <c r="C29">
        <f t="shared" si="0"/>
        <v>4.3038694795278923E-3</v>
      </c>
      <c r="D29">
        <f t="shared" si="1"/>
        <v>-8.3907668895700322E-4</v>
      </c>
      <c r="E29">
        <f t="shared" si="2"/>
        <v>7.0404968995104753E-7</v>
      </c>
    </row>
    <row r="30" spans="1:5" x14ac:dyDescent="0.25">
      <c r="A30">
        <v>3.7509139579999995</v>
      </c>
      <c r="B30">
        <v>9.8994079730596834E-4</v>
      </c>
      <c r="C30">
        <f t="shared" si="0"/>
        <v>3.0498940716549607E-3</v>
      </c>
      <c r="D30">
        <f t="shared" si="1"/>
        <v>-2.0599532743489921E-3</v>
      </c>
      <c r="E30">
        <f t="shared" si="2"/>
        <v>4.2434074925011339E-6</v>
      </c>
    </row>
    <row r="31" spans="1:5" x14ac:dyDescent="0.25">
      <c r="A31">
        <v>3.877890442</v>
      </c>
      <c r="B31">
        <v>2.474851993264921E-3</v>
      </c>
      <c r="C31">
        <f t="shared" si="0"/>
        <v>2.1440901583089163E-3</v>
      </c>
      <c r="D31">
        <f t="shared" si="1"/>
        <v>3.3076183495600467E-4</v>
      </c>
      <c r="E31">
        <f t="shared" si="2"/>
        <v>1.0940339146346327E-7</v>
      </c>
    </row>
    <row r="32" spans="1:5" x14ac:dyDescent="0.25">
      <c r="A32">
        <v>4.004866926</v>
      </c>
      <c r="B32">
        <v>2.474851993264921E-3</v>
      </c>
      <c r="C32">
        <f t="shared" si="0"/>
        <v>1.49553371051509E-3</v>
      </c>
      <c r="D32">
        <f t="shared" si="1"/>
        <v>9.79318282749831E-4</v>
      </c>
      <c r="E32">
        <f t="shared" si="2"/>
        <v>9.5906429892807784E-7</v>
      </c>
    </row>
    <row r="33" spans="1:5" x14ac:dyDescent="0.25">
      <c r="A33">
        <v>4.1318434099999992</v>
      </c>
      <c r="B33">
        <v>4.9497039865298417E-4</v>
      </c>
      <c r="C33">
        <f t="shared" si="0"/>
        <v>1.0351487673187331E-3</v>
      </c>
      <c r="D33">
        <f t="shared" si="1"/>
        <v>-5.4017836866574896E-4</v>
      </c>
      <c r="E33">
        <f t="shared" si="2"/>
        <v>2.9179266997438979E-7</v>
      </c>
    </row>
    <row r="34" spans="1:5" x14ac:dyDescent="0.25">
      <c r="A34">
        <v>4.2588198939999993</v>
      </c>
      <c r="B34">
        <v>1.9798815946119367E-3</v>
      </c>
      <c r="C34">
        <f t="shared" si="0"/>
        <v>7.1107905396591928E-4</v>
      </c>
      <c r="D34">
        <f t="shared" si="1"/>
        <v>1.2688025406460174E-3</v>
      </c>
      <c r="E34">
        <f t="shared" si="2"/>
        <v>1.6098598871497886E-6</v>
      </c>
    </row>
    <row r="35" spans="1:5" x14ac:dyDescent="0.25">
      <c r="A35">
        <v>4.3857963780000002</v>
      </c>
      <c r="B35">
        <v>4.9497039865298417E-4</v>
      </c>
      <c r="C35">
        <f t="shared" si="0"/>
        <v>4.8483465894321029E-4</v>
      </c>
      <c r="D35">
        <f t="shared" si="1"/>
        <v>1.0135739709773886E-5</v>
      </c>
      <c r="E35">
        <f t="shared" si="2"/>
        <v>1.0273321946428722E-10</v>
      </c>
    </row>
    <row r="36" spans="1:5" x14ac:dyDescent="0.25">
      <c r="A36">
        <v>4.5127728620000003</v>
      </c>
      <c r="B36">
        <v>1.9798815946119367E-3</v>
      </c>
      <c r="C36">
        <f t="shared" si="0"/>
        <v>3.2815528964270826E-4</v>
      </c>
      <c r="D36">
        <f t="shared" si="1"/>
        <v>1.6517263049692283E-3</v>
      </c>
      <c r="E36">
        <f t="shared" si="2"/>
        <v>2.7281997865273003E-6</v>
      </c>
    </row>
    <row r="37" spans="1:5" x14ac:dyDescent="0.25">
      <c r="A37">
        <v>4.6397493460000003</v>
      </c>
      <c r="B37">
        <v>0</v>
      </c>
      <c r="C37">
        <f t="shared" si="0"/>
        <v>2.2050676849244118E-4</v>
      </c>
      <c r="D37">
        <f t="shared" si="1"/>
        <v>-2.2050676849244118E-4</v>
      </c>
      <c r="E37">
        <f t="shared" si="2"/>
        <v>4.862323495097905E-8</v>
      </c>
    </row>
    <row r="38" spans="1:5" x14ac:dyDescent="0.25">
      <c r="A38">
        <v>4.7667258300000004</v>
      </c>
      <c r="B38">
        <v>4.9497039865298417E-4</v>
      </c>
      <c r="C38">
        <f t="shared" si="0"/>
        <v>1.4711795111631407E-4</v>
      </c>
      <c r="D38">
        <f t="shared" si="1"/>
        <v>3.4785244753667011E-4</v>
      </c>
      <c r="E38">
        <f t="shared" si="2"/>
        <v>1.2100132525725182E-7</v>
      </c>
    </row>
    <row r="39" spans="1:5" x14ac:dyDescent="0.25">
      <c r="A39">
        <v>4.8937023139999996</v>
      </c>
      <c r="B39">
        <v>9.8994079730596834E-4</v>
      </c>
      <c r="C39">
        <f t="shared" si="0"/>
        <v>9.7465960698628305E-5</v>
      </c>
      <c r="D39">
        <f t="shared" si="1"/>
        <v>8.9247483660734003E-4</v>
      </c>
      <c r="E39">
        <f t="shared" si="2"/>
        <v>7.965113339772983E-7</v>
      </c>
    </row>
    <row r="40" spans="1:5" x14ac:dyDescent="0.25">
      <c r="A40">
        <v>5.0206787979999996</v>
      </c>
      <c r="B40">
        <v>4.9497039865298417E-4</v>
      </c>
      <c r="C40">
        <f t="shared" si="0"/>
        <v>6.412452904080121E-5</v>
      </c>
      <c r="D40">
        <f t="shared" si="1"/>
        <v>4.3084586961218295E-4</v>
      </c>
      <c r="E40">
        <f t="shared" si="2"/>
        <v>1.8562816336187816E-7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7A24D-35D7-414E-8F42-CEF854C2896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7.1120001574999994E-2</v>
      </c>
      <c r="B1">
        <v>0.19992385833728599</v>
      </c>
      <c r="C1">
        <f>$H$3*(1+$H$1)*(A1^($H$1))*EXP(-$H$3*(A1^(1+$H$1)))</f>
        <v>0.24530302295114309</v>
      </c>
      <c r="D1">
        <f>B1-C1</f>
        <v>-4.5379164613857104E-2</v>
      </c>
      <c r="E1">
        <f>D1^2</f>
        <v>2.0592685810515406E-3</v>
      </c>
      <c r="G1" t="s">
        <v>0</v>
      </c>
      <c r="H1">
        <v>0.64669554420784658</v>
      </c>
    </row>
    <row r="2" spans="1:8" x14ac:dyDescent="0.25">
      <c r="A2">
        <v>0.19246592872500001</v>
      </c>
      <c r="B2">
        <v>0.46096433658078889</v>
      </c>
      <c r="C2">
        <f t="shared" ref="C2:C40" si="0">$H$3*(1+$H$1)*(A2^($H$1))*EXP(-$H$3*(A2^(1+$H$1)))</f>
        <v>0.44668392047877148</v>
      </c>
      <c r="D2">
        <f t="shared" ref="D2:D40" si="1">B2-C2</f>
        <v>1.4280416102017413E-2</v>
      </c>
      <c r="E2">
        <f t="shared" ref="E2:E40" si="2">D2^2</f>
        <v>2.0393028404675818E-4</v>
      </c>
    </row>
    <row r="3" spans="1:8" x14ac:dyDescent="0.25">
      <c r="A3">
        <v>0.31381185587500005</v>
      </c>
      <c r="B3">
        <v>0.59511013790036682</v>
      </c>
      <c r="C3">
        <f t="shared" si="0"/>
        <v>0.57236253601125742</v>
      </c>
      <c r="D3">
        <f t="shared" si="1"/>
        <v>2.2747601889109403E-2</v>
      </c>
      <c r="E3">
        <f t="shared" si="2"/>
        <v>5.1745339170541373E-4</v>
      </c>
      <c r="G3" t="s">
        <v>1</v>
      </c>
      <c r="H3">
        <f>(_xlfn.GAMMA((2+$H$1)/(1+$H$1)))^(1+$H$1)</f>
        <v>0.83205509374997821</v>
      </c>
    </row>
    <row r="4" spans="1:8" x14ac:dyDescent="0.25">
      <c r="A4">
        <v>0.43515778302500002</v>
      </c>
      <c r="B4">
        <v>0.65829850763391318</v>
      </c>
      <c r="C4">
        <f t="shared" si="0"/>
        <v>0.64754245567245483</v>
      </c>
      <c r="D4">
        <f t="shared" si="1"/>
        <v>1.0756051961458346E-2</v>
      </c>
      <c r="E4">
        <f t="shared" si="2"/>
        <v>1.1569265379759193E-4</v>
      </c>
    </row>
    <row r="5" spans="1:8" x14ac:dyDescent="0.25">
      <c r="A5">
        <v>0.556503710175</v>
      </c>
      <c r="B5">
        <v>0.66710344440006308</v>
      </c>
      <c r="C5">
        <f t="shared" si="0"/>
        <v>0.6831298348479341</v>
      </c>
      <c r="D5">
        <f t="shared" si="1"/>
        <v>-1.602639044787102E-2</v>
      </c>
      <c r="E5">
        <f t="shared" si="2"/>
        <v>2.5684519078761147E-4</v>
      </c>
      <c r="G5" t="s">
        <v>2</v>
      </c>
      <c r="H5">
        <f>SUM(E1:E40)</f>
        <v>1.0373019644879336E-2</v>
      </c>
    </row>
    <row r="6" spans="1:8" x14ac:dyDescent="0.25">
      <c r="A6">
        <v>0.67784963732500003</v>
      </c>
      <c r="B6">
        <v>0.75618868697522679</v>
      </c>
      <c r="C6">
        <f t="shared" si="0"/>
        <v>0.68718469839179164</v>
      </c>
      <c r="D6">
        <f t="shared" si="1"/>
        <v>6.900398858343515E-2</v>
      </c>
      <c r="E6">
        <f t="shared" si="2"/>
        <v>4.7615504404228482E-3</v>
      </c>
    </row>
    <row r="7" spans="1:8" x14ac:dyDescent="0.25">
      <c r="A7">
        <v>0.79919556447499995</v>
      </c>
      <c r="B7">
        <v>0.65933438254757781</v>
      </c>
      <c r="C7">
        <f t="shared" si="0"/>
        <v>0.66678637584265432</v>
      </c>
      <c r="D7">
        <f t="shared" si="1"/>
        <v>-7.4519932950765089E-3</v>
      </c>
      <c r="E7">
        <f t="shared" si="2"/>
        <v>5.5532204069865244E-5</v>
      </c>
    </row>
    <row r="8" spans="1:8" x14ac:dyDescent="0.25">
      <c r="A8">
        <v>0.9205414916250001</v>
      </c>
      <c r="B8">
        <v>0.61479176125999602</v>
      </c>
      <c r="C8">
        <f t="shared" si="0"/>
        <v>0.62836265843664363</v>
      </c>
      <c r="D8">
        <f t="shared" si="1"/>
        <v>-1.3570897176647612E-2</v>
      </c>
      <c r="E8">
        <f t="shared" si="2"/>
        <v>1.8416925017914211E-4</v>
      </c>
    </row>
    <row r="9" spans="1:8" x14ac:dyDescent="0.25">
      <c r="A9">
        <v>1.041887418775</v>
      </c>
      <c r="B9">
        <v>0.54487020458762914</v>
      </c>
      <c r="C9">
        <f t="shared" si="0"/>
        <v>0.57765993539126015</v>
      </c>
      <c r="D9">
        <f t="shared" si="1"/>
        <v>-3.2789730803631012E-2</v>
      </c>
      <c r="E9">
        <f t="shared" si="2"/>
        <v>1.0751664461745884E-3</v>
      </c>
    </row>
    <row r="10" spans="1:8" x14ac:dyDescent="0.25">
      <c r="A10">
        <v>1.1632333459250002</v>
      </c>
      <c r="B10">
        <v>0.50239933312737661</v>
      </c>
      <c r="C10">
        <f t="shared" si="0"/>
        <v>0.51964954537299213</v>
      </c>
      <c r="D10">
        <f t="shared" si="1"/>
        <v>-1.7250212245615515E-2</v>
      </c>
      <c r="E10">
        <f t="shared" si="2"/>
        <v>2.9756982251878347E-4</v>
      </c>
    </row>
    <row r="11" spans="1:8" x14ac:dyDescent="0.25">
      <c r="A11">
        <v>1.2845792730750001</v>
      </c>
      <c r="B11">
        <v>0.45837464929662719</v>
      </c>
      <c r="C11">
        <f t="shared" si="0"/>
        <v>0.4584604586238813</v>
      </c>
      <c r="D11">
        <f t="shared" si="1"/>
        <v>-8.580932725410495E-5</v>
      </c>
      <c r="E11">
        <f t="shared" si="2"/>
        <v>7.3632406438020789E-9</v>
      </c>
    </row>
    <row r="12" spans="1:8" x14ac:dyDescent="0.25">
      <c r="A12">
        <v>1.405925200225</v>
      </c>
      <c r="B12">
        <v>0.40140152904506898</v>
      </c>
      <c r="C12">
        <f t="shared" si="0"/>
        <v>0.39736301175110539</v>
      </c>
      <c r="D12">
        <f t="shared" si="1"/>
        <v>4.0385172939635949E-3</v>
      </c>
      <c r="E12">
        <f t="shared" si="2"/>
        <v>1.6309621933643036E-5</v>
      </c>
    </row>
    <row r="13" spans="1:8" x14ac:dyDescent="0.25">
      <c r="A13">
        <v>1.5272711273750001</v>
      </c>
      <c r="B13">
        <v>0.33251584728636685</v>
      </c>
      <c r="C13">
        <f t="shared" si="0"/>
        <v>0.33880337399397031</v>
      </c>
      <c r="D13">
        <f t="shared" si="1"/>
        <v>-6.2875267076034635E-3</v>
      </c>
      <c r="E13">
        <f t="shared" si="2"/>
        <v>3.9532992098826851E-5</v>
      </c>
    </row>
    <row r="14" spans="1:8" x14ac:dyDescent="0.25">
      <c r="A14">
        <v>1.6486170545250003</v>
      </c>
      <c r="B14">
        <v>0.30247547479009068</v>
      </c>
      <c r="C14">
        <f t="shared" si="0"/>
        <v>0.28447839920854784</v>
      </c>
      <c r="D14">
        <f t="shared" si="1"/>
        <v>1.7997075581542843E-2</v>
      </c>
      <c r="E14">
        <f t="shared" si="2"/>
        <v>3.2389472948776568E-4</v>
      </c>
    </row>
    <row r="15" spans="1:8" x14ac:dyDescent="0.25">
      <c r="A15">
        <v>1.769962981675</v>
      </c>
      <c r="B15">
        <v>0.23669741777238262</v>
      </c>
      <c r="C15">
        <f t="shared" si="0"/>
        <v>0.23543728823582727</v>
      </c>
      <c r="D15">
        <f t="shared" si="1"/>
        <v>1.2601295365553544E-3</v>
      </c>
      <c r="E15">
        <f t="shared" si="2"/>
        <v>1.5879264488992124E-6</v>
      </c>
    </row>
    <row r="16" spans="1:8" x14ac:dyDescent="0.25">
      <c r="A16">
        <v>1.8913089088249999</v>
      </c>
      <c r="B16">
        <v>0.17972429752082444</v>
      </c>
      <c r="C16">
        <f t="shared" si="0"/>
        <v>0.19219669884352239</v>
      </c>
      <c r="D16">
        <f t="shared" si="1"/>
        <v>-1.2472401322697946E-2</v>
      </c>
      <c r="E16">
        <f t="shared" si="2"/>
        <v>1.5556079475443748E-4</v>
      </c>
    </row>
    <row r="17" spans="1:5" x14ac:dyDescent="0.25">
      <c r="A17">
        <v>2.0126548359750003</v>
      </c>
      <c r="B17">
        <v>0.15279154976554238</v>
      </c>
      <c r="C17">
        <f t="shared" si="0"/>
        <v>0.15485790375028646</v>
      </c>
      <c r="D17">
        <f t="shared" si="1"/>
        <v>-2.0663539847440848E-3</v>
      </c>
      <c r="E17">
        <f t="shared" si="2"/>
        <v>4.2698187902677572E-6</v>
      </c>
    </row>
    <row r="18" spans="1:5" x14ac:dyDescent="0.25">
      <c r="A18">
        <v>2.134000763125</v>
      </c>
      <c r="B18">
        <v>0.12378705218293096</v>
      </c>
      <c r="C18">
        <f t="shared" si="0"/>
        <v>0.12321731694295972</v>
      </c>
      <c r="D18">
        <f t="shared" si="1"/>
        <v>5.6973523997123909E-4</v>
      </c>
      <c r="E18">
        <f t="shared" si="2"/>
        <v>3.2459824366508541E-7</v>
      </c>
    </row>
    <row r="19" spans="1:5" x14ac:dyDescent="0.25">
      <c r="A19">
        <v>2.2553466902750001</v>
      </c>
      <c r="B19">
        <v>8.3387930550007885E-2</v>
      </c>
      <c r="C19">
        <f t="shared" si="0"/>
        <v>9.6864561089376466E-2</v>
      </c>
      <c r="D19">
        <f t="shared" si="1"/>
        <v>-1.3476630539368581E-2</v>
      </c>
      <c r="E19">
        <f t="shared" si="2"/>
        <v>1.8161957069464188E-4</v>
      </c>
    </row>
    <row r="20" spans="1:5" x14ac:dyDescent="0.25">
      <c r="A20">
        <v>2.3766926174249998</v>
      </c>
      <c r="B20">
        <v>7.5100931240690325E-2</v>
      </c>
      <c r="C20">
        <f t="shared" si="0"/>
        <v>7.5264852156643747E-2</v>
      </c>
      <c r="D20">
        <f t="shared" si="1"/>
        <v>-1.6392091595342217E-4</v>
      </c>
      <c r="E20">
        <f t="shared" si="2"/>
        <v>2.6870066687008895E-8</v>
      </c>
    </row>
    <row r="21" spans="1:5" x14ac:dyDescent="0.25">
      <c r="A21">
        <v>2.498038544575</v>
      </c>
      <c r="B21">
        <v>5.2829620596899406E-2</v>
      </c>
      <c r="C21">
        <f t="shared" si="0"/>
        <v>5.7824623177828771E-2</v>
      </c>
      <c r="D21">
        <f t="shared" si="1"/>
        <v>-4.9950025809293655E-3</v>
      </c>
      <c r="E21">
        <f t="shared" si="2"/>
        <v>2.4950050783491023E-5</v>
      </c>
    </row>
    <row r="22" spans="1:5" x14ac:dyDescent="0.25">
      <c r="A22">
        <v>2.6193844717250001</v>
      </c>
      <c r="B22">
        <v>4.4542621287581852E-2</v>
      </c>
      <c r="C22">
        <f t="shared" si="0"/>
        <v>4.3940916330361207E-2</v>
      </c>
      <c r="D22">
        <f t="shared" si="1"/>
        <v>6.0170495722064454E-4</v>
      </c>
      <c r="E22">
        <f t="shared" si="2"/>
        <v>3.6204885554389766E-7</v>
      </c>
    </row>
    <row r="23" spans="1:5" x14ac:dyDescent="0.25">
      <c r="A23">
        <v>2.7407303988749998</v>
      </c>
      <c r="B23">
        <v>3.0040372496276131E-2</v>
      </c>
      <c r="C23">
        <f t="shared" si="0"/>
        <v>3.3036148382203812E-2</v>
      </c>
      <c r="D23">
        <f t="shared" si="1"/>
        <v>-2.995775885927681E-3</v>
      </c>
      <c r="E23">
        <f t="shared" si="2"/>
        <v>8.9746731587057818E-6</v>
      </c>
    </row>
    <row r="24" spans="1:5" x14ac:dyDescent="0.25">
      <c r="A24">
        <v>2.862076326025</v>
      </c>
      <c r="B24">
        <v>2.4860997927952658E-2</v>
      </c>
      <c r="C24">
        <f t="shared" si="0"/>
        <v>2.4580462046351056E-2</v>
      </c>
      <c r="D24">
        <f t="shared" si="1"/>
        <v>2.8053588160160264E-4</v>
      </c>
      <c r="E24">
        <f t="shared" si="2"/>
        <v>7.8700380865988418E-8</v>
      </c>
    </row>
    <row r="25" spans="1:5" x14ac:dyDescent="0.25">
      <c r="A25">
        <v>2.9834222531750001</v>
      </c>
      <c r="B25">
        <v>2.3307185557455617E-2</v>
      </c>
      <c r="C25">
        <f t="shared" si="0"/>
        <v>1.8104106646630595E-2</v>
      </c>
      <c r="D25">
        <f t="shared" si="1"/>
        <v>5.2030789108250229E-3</v>
      </c>
      <c r="E25">
        <f t="shared" si="2"/>
        <v>2.7072030152272105E-5</v>
      </c>
    </row>
    <row r="26" spans="1:5" x14ac:dyDescent="0.25">
      <c r="A26">
        <v>3.1047681803250002</v>
      </c>
      <c r="B26">
        <v>1.8645748445964495E-2</v>
      </c>
      <c r="C26">
        <f t="shared" si="0"/>
        <v>1.3202246042809836E-2</v>
      </c>
      <c r="D26">
        <f t="shared" si="1"/>
        <v>5.4435024031546583E-3</v>
      </c>
      <c r="E26">
        <f t="shared" si="2"/>
        <v>2.9631718413150541E-5</v>
      </c>
    </row>
    <row r="27" spans="1:5" x14ac:dyDescent="0.25">
      <c r="A27">
        <v>3.2261141074750004</v>
      </c>
      <c r="B27">
        <v>1.2948436420808677E-2</v>
      </c>
      <c r="C27">
        <f t="shared" si="0"/>
        <v>9.5343647761186329E-3</v>
      </c>
      <c r="D27">
        <f t="shared" si="1"/>
        <v>3.4140716446900438E-3</v>
      </c>
      <c r="E27">
        <f t="shared" si="2"/>
        <v>1.1655885195076581E-5</v>
      </c>
    </row>
    <row r="28" spans="1:5" x14ac:dyDescent="0.25">
      <c r="A28">
        <v>3.3474600346250005</v>
      </c>
      <c r="B28">
        <v>8.8049367661498998E-3</v>
      </c>
      <c r="C28">
        <f t="shared" si="0"/>
        <v>6.8201157443186014E-3</v>
      </c>
      <c r="D28">
        <f t="shared" si="1"/>
        <v>1.9848210218312984E-3</v>
      </c>
      <c r="E28">
        <f t="shared" si="2"/>
        <v>3.9395144887034399E-6</v>
      </c>
    </row>
    <row r="29" spans="1:5" x14ac:dyDescent="0.25">
      <c r="A29">
        <v>3.4688059617750002</v>
      </c>
      <c r="B29">
        <v>5.1793745683234712E-3</v>
      </c>
      <c r="C29">
        <f t="shared" si="0"/>
        <v>4.8330875302889089E-3</v>
      </c>
      <c r="D29">
        <f t="shared" si="1"/>
        <v>3.4628703803456229E-4</v>
      </c>
      <c r="E29">
        <f t="shared" si="2"/>
        <v>1.1991471271075039E-7</v>
      </c>
    </row>
    <row r="30" spans="1:5" x14ac:dyDescent="0.25">
      <c r="A30">
        <v>3.5901518889249999</v>
      </c>
      <c r="B30">
        <v>1.0358749136646942E-3</v>
      </c>
      <c r="C30">
        <f t="shared" si="0"/>
        <v>3.3936117418432972E-3</v>
      </c>
      <c r="D30">
        <f t="shared" si="1"/>
        <v>-2.357736828178603E-3</v>
      </c>
      <c r="E30">
        <f t="shared" si="2"/>
        <v>5.5589229509496991E-6</v>
      </c>
    </row>
    <row r="31" spans="1:5" x14ac:dyDescent="0.25">
      <c r="A31">
        <v>3.7114978160750001</v>
      </c>
      <c r="B31">
        <v>2.5896872841617356E-3</v>
      </c>
      <c r="C31">
        <f t="shared" si="0"/>
        <v>2.3614088966132396E-3</v>
      </c>
      <c r="D31">
        <f t="shared" si="1"/>
        <v>2.2827838754849606E-4</v>
      </c>
      <c r="E31">
        <f t="shared" si="2"/>
        <v>5.2111022221741363E-8</v>
      </c>
    </row>
    <row r="32" spans="1:5" x14ac:dyDescent="0.25">
      <c r="A32">
        <v>3.8328437432250002</v>
      </c>
      <c r="B32">
        <v>3.6255621978264294E-3</v>
      </c>
      <c r="C32">
        <f t="shared" si="0"/>
        <v>1.6286005365986217E-3</v>
      </c>
      <c r="D32">
        <f t="shared" si="1"/>
        <v>1.996961661227808E-3</v>
      </c>
      <c r="E32">
        <f t="shared" si="2"/>
        <v>3.9878558764137265E-6</v>
      </c>
    </row>
    <row r="33" spans="1:5" x14ac:dyDescent="0.25">
      <c r="A33">
        <v>3.9541896703750004</v>
      </c>
      <c r="B33">
        <v>5.1793745683234712E-4</v>
      </c>
      <c r="C33">
        <f t="shared" si="0"/>
        <v>1.113400267324402E-3</v>
      </c>
      <c r="D33">
        <f t="shared" si="1"/>
        <v>-5.9546281049205492E-4</v>
      </c>
      <c r="E33">
        <f t="shared" si="2"/>
        <v>3.545759586790969E-7</v>
      </c>
    </row>
    <row r="34" spans="1:5" x14ac:dyDescent="0.25">
      <c r="A34">
        <v>4.0755355975250005</v>
      </c>
      <c r="B34">
        <v>2.0717498273293885E-3</v>
      </c>
      <c r="C34">
        <f t="shared" si="0"/>
        <v>7.5463523673484172E-4</v>
      </c>
      <c r="D34">
        <f t="shared" si="1"/>
        <v>1.3171145905945467E-3</v>
      </c>
      <c r="E34">
        <f t="shared" si="2"/>
        <v>1.7347908447570403E-6</v>
      </c>
    </row>
    <row r="35" spans="1:5" x14ac:dyDescent="0.25">
      <c r="A35">
        <v>4.1968815246749998</v>
      </c>
      <c r="B35">
        <v>5.1793745683234712E-4</v>
      </c>
      <c r="C35">
        <f t="shared" si="0"/>
        <v>5.0713597721249932E-4</v>
      </c>
      <c r="D35">
        <f t="shared" si="1"/>
        <v>1.0801479619847805E-5</v>
      </c>
      <c r="E35">
        <f t="shared" si="2"/>
        <v>1.1667196197798749E-10</v>
      </c>
    </row>
    <row r="36" spans="1:5" x14ac:dyDescent="0.25">
      <c r="A36">
        <v>4.3182274518250008</v>
      </c>
      <c r="B36">
        <v>2.0717498273293885E-3</v>
      </c>
      <c r="C36">
        <f t="shared" si="0"/>
        <v>3.3795830540775276E-4</v>
      </c>
      <c r="D36">
        <f t="shared" si="1"/>
        <v>1.7337915219216358E-3</v>
      </c>
      <c r="E36">
        <f t="shared" si="2"/>
        <v>3.0060330414873421E-6</v>
      </c>
    </row>
    <row r="37" spans="1:5" x14ac:dyDescent="0.25">
      <c r="A37">
        <v>4.439573378975</v>
      </c>
      <c r="B37">
        <v>0</v>
      </c>
      <c r="C37">
        <f t="shared" si="0"/>
        <v>2.233574381317803E-4</v>
      </c>
      <c r="D37">
        <f t="shared" si="1"/>
        <v>-2.233574381317803E-4</v>
      </c>
      <c r="E37">
        <f t="shared" si="2"/>
        <v>4.9888545168792062E-8</v>
      </c>
    </row>
    <row r="38" spans="1:5" x14ac:dyDescent="0.25">
      <c r="A38">
        <v>4.5609193061250002</v>
      </c>
      <c r="B38">
        <v>1.0358749136646942E-3</v>
      </c>
      <c r="C38">
        <f t="shared" si="0"/>
        <v>1.464135295976479E-4</v>
      </c>
      <c r="D38">
        <f t="shared" si="1"/>
        <v>8.8946138406704631E-4</v>
      </c>
      <c r="E38">
        <f t="shared" si="2"/>
        <v>7.9114155374646568E-7</v>
      </c>
    </row>
    <row r="39" spans="1:5" x14ac:dyDescent="0.25">
      <c r="A39">
        <v>4.6822652332750003</v>
      </c>
      <c r="B39">
        <v>5.1793745683234712E-4</v>
      </c>
      <c r="C39">
        <f t="shared" si="0"/>
        <v>9.5202479069851119E-5</v>
      </c>
      <c r="D39">
        <f t="shared" si="1"/>
        <v>4.2273497776249599E-4</v>
      </c>
      <c r="E39">
        <f t="shared" si="2"/>
        <v>1.7870486142385797E-7</v>
      </c>
    </row>
    <row r="40" spans="1:5" x14ac:dyDescent="0.25">
      <c r="A40">
        <v>4.8036111604250005</v>
      </c>
      <c r="B40">
        <v>5.1793745683234712E-4</v>
      </c>
      <c r="C40">
        <f t="shared" si="0"/>
        <v>6.1410460492595129E-5</v>
      </c>
      <c r="D40">
        <f t="shared" si="1"/>
        <v>4.5652699633975198E-4</v>
      </c>
      <c r="E40">
        <f t="shared" si="2"/>
        <v>2.0841689838699591E-7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F50F7-C108-4905-B736-A921E81DB714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7.0386222274999993E-2</v>
      </c>
      <c r="B1">
        <v>0.14816376780828991</v>
      </c>
      <c r="C1">
        <f>$H$3*(1+$H$1)*(A1^($H$1))*EXP(-$H$3*(A1^(1+$H$1)))</f>
        <v>0.20530145067765365</v>
      </c>
      <c r="D1">
        <f>B1-C1</f>
        <v>-5.7137682869363743E-2</v>
      </c>
      <c r="E1">
        <f>D1^2</f>
        <v>3.264714803679983E-3</v>
      </c>
      <c r="G1" t="s">
        <v>0</v>
      </c>
      <c r="H1">
        <v>0.724000624200272</v>
      </c>
    </row>
    <row r="2" spans="1:8" x14ac:dyDescent="0.25">
      <c r="A2">
        <v>0.186190114825</v>
      </c>
      <c r="B2">
        <v>0.41626963336614781</v>
      </c>
      <c r="C2">
        <f t="shared" ref="C2:C40" si="0">$H$3*(1+$H$1)*(A2^($H$1))*EXP(-$H$3*(A2^(1+$H$1)))</f>
        <v>0.40021304667529162</v>
      </c>
      <c r="D2">
        <f t="shared" ref="D2:D40" si="1">B2-C2</f>
        <v>1.6056586690856189E-2</v>
      </c>
      <c r="E2">
        <f t="shared" ref="E2:E40" si="2">D2^2</f>
        <v>2.5781397616098014E-4</v>
      </c>
    </row>
    <row r="3" spans="1:8" x14ac:dyDescent="0.25">
      <c r="A3">
        <v>0.30199400737499998</v>
      </c>
      <c r="B3">
        <v>0.55683525923555099</v>
      </c>
      <c r="C3">
        <f t="shared" si="0"/>
        <v>0.53553764474126442</v>
      </c>
      <c r="D3">
        <f t="shared" si="1"/>
        <v>2.1297614494286576E-2</v>
      </c>
      <c r="E3">
        <f t="shared" si="2"/>
        <v>4.5358838314724564E-4</v>
      </c>
      <c r="G3" t="s">
        <v>1</v>
      </c>
      <c r="H3">
        <f>(_xlfn.GAMMA((2+$H$1)/(1+$H$1)))^(1+$H$1)</f>
        <v>0.82024835442333532</v>
      </c>
    </row>
    <row r="4" spans="1:8" x14ac:dyDescent="0.25">
      <c r="A4">
        <v>0.41779789992500005</v>
      </c>
      <c r="B4">
        <v>0.6518120334716343</v>
      </c>
      <c r="C4">
        <f t="shared" si="0"/>
        <v>0.62653324991994463</v>
      </c>
      <c r="D4">
        <f t="shared" si="1"/>
        <v>2.5278783551689665E-2</v>
      </c>
      <c r="E4">
        <f t="shared" si="2"/>
        <v>6.3901689785317599E-4</v>
      </c>
    </row>
    <row r="5" spans="1:8" x14ac:dyDescent="0.25">
      <c r="A5">
        <v>0.53360179247500006</v>
      </c>
      <c r="B5">
        <v>0.67514918371250054</v>
      </c>
      <c r="C5">
        <f t="shared" si="0"/>
        <v>0.67976503740480487</v>
      </c>
      <c r="D5">
        <f t="shared" si="1"/>
        <v>-4.6158536923043281E-3</v>
      </c>
      <c r="E5">
        <f t="shared" si="2"/>
        <v>2.1306105308759497E-5</v>
      </c>
      <c r="G5" t="s">
        <v>2</v>
      </c>
      <c r="H5">
        <f>SUM(E1:E40)</f>
        <v>9.3955969701109802E-3</v>
      </c>
    </row>
    <row r="6" spans="1:8" x14ac:dyDescent="0.25">
      <c r="A6">
        <v>0.64940568502499996</v>
      </c>
      <c r="B6">
        <v>0.71965258649740804</v>
      </c>
      <c r="C6">
        <f t="shared" si="0"/>
        <v>0.70065245618075944</v>
      </c>
      <c r="D6">
        <f t="shared" si="1"/>
        <v>1.90001303166486E-2</v>
      </c>
      <c r="E6">
        <f t="shared" si="2"/>
        <v>3.6100495204962924E-4</v>
      </c>
    </row>
    <row r="7" spans="1:8" x14ac:dyDescent="0.25">
      <c r="A7">
        <v>0.76520957757499986</v>
      </c>
      <c r="B7">
        <v>0.74516063443509906</v>
      </c>
      <c r="C7">
        <f t="shared" si="0"/>
        <v>0.6946432568621107</v>
      </c>
      <c r="D7">
        <f t="shared" si="1"/>
        <v>5.0517377572988353E-2</v>
      </c>
      <c r="E7">
        <f t="shared" si="2"/>
        <v>2.5520054368518667E-3</v>
      </c>
    </row>
    <row r="8" spans="1:8" x14ac:dyDescent="0.25">
      <c r="A8">
        <v>0.88101347012499998</v>
      </c>
      <c r="B8">
        <v>0.66049562425893338</v>
      </c>
      <c r="C8">
        <f t="shared" si="0"/>
        <v>0.66728558125279402</v>
      </c>
      <c r="D8">
        <f t="shared" si="1"/>
        <v>-6.7899569938606463E-3</v>
      </c>
      <c r="E8">
        <f t="shared" si="2"/>
        <v>4.6103515978477103E-5</v>
      </c>
    </row>
    <row r="9" spans="1:8" x14ac:dyDescent="0.25">
      <c r="A9">
        <v>0.9968173626750001</v>
      </c>
      <c r="B9">
        <v>0.60350955971728337</v>
      </c>
      <c r="C9">
        <f t="shared" si="0"/>
        <v>0.62402713180631342</v>
      </c>
      <c r="D9">
        <f t="shared" si="1"/>
        <v>-2.0517572089030045E-2</v>
      </c>
      <c r="E9">
        <f t="shared" si="2"/>
        <v>4.2097076442854472E-4</v>
      </c>
    </row>
    <row r="10" spans="1:8" x14ac:dyDescent="0.25">
      <c r="A10">
        <v>1.1126212552250001</v>
      </c>
      <c r="B10">
        <v>0.54543804632722104</v>
      </c>
      <c r="C10">
        <f t="shared" si="0"/>
        <v>0.56997029164809943</v>
      </c>
      <c r="D10">
        <f t="shared" si="1"/>
        <v>-2.4532245320878387E-2</v>
      </c>
      <c r="E10">
        <f t="shared" si="2"/>
        <v>6.0183106048375954E-4</v>
      </c>
    </row>
    <row r="11" spans="1:8" x14ac:dyDescent="0.25">
      <c r="A11">
        <v>1.2284251477749999</v>
      </c>
      <c r="B11">
        <v>0.50527643893596297</v>
      </c>
      <c r="C11">
        <f t="shared" si="0"/>
        <v>0.50966468299478285</v>
      </c>
      <c r="D11">
        <f t="shared" si="1"/>
        <v>-4.388244058819879E-3</v>
      </c>
      <c r="E11">
        <f t="shared" si="2"/>
        <v>1.9256685919767965E-5</v>
      </c>
    </row>
    <row r="12" spans="1:8" x14ac:dyDescent="0.25">
      <c r="A12">
        <v>1.3442290403249999</v>
      </c>
      <c r="B12">
        <v>0.43417953936495207</v>
      </c>
      <c r="C12">
        <f t="shared" si="0"/>
        <v>0.44696644817913939</v>
      </c>
      <c r="D12">
        <f t="shared" si="1"/>
        <v>-1.2786908814187314E-2</v>
      </c>
      <c r="E12">
        <f t="shared" si="2"/>
        <v>1.6350503702234123E-4</v>
      </c>
    </row>
    <row r="13" spans="1:8" x14ac:dyDescent="0.25">
      <c r="A13">
        <v>1.4600329328749999</v>
      </c>
      <c r="B13">
        <v>0.37502257712647735</v>
      </c>
      <c r="C13">
        <f t="shared" si="0"/>
        <v>0.38496965091212543</v>
      </c>
      <c r="D13">
        <f t="shared" si="1"/>
        <v>-9.9470737856480751E-3</v>
      </c>
      <c r="E13">
        <f t="shared" si="2"/>
        <v>9.8944276897127128E-5</v>
      </c>
    </row>
    <row r="14" spans="1:8" x14ac:dyDescent="0.25">
      <c r="A14">
        <v>1.5758368254249999</v>
      </c>
      <c r="B14">
        <v>0.32346375682688933</v>
      </c>
      <c r="C14">
        <f t="shared" si="0"/>
        <v>0.32600279875832588</v>
      </c>
      <c r="D14">
        <f t="shared" si="1"/>
        <v>-2.5390419314365587E-3</v>
      </c>
      <c r="E14">
        <f t="shared" si="2"/>
        <v>6.4467339295930901E-6</v>
      </c>
    </row>
    <row r="15" spans="1:8" x14ac:dyDescent="0.25">
      <c r="A15">
        <v>1.6916407179749999</v>
      </c>
      <c r="B15">
        <v>0.28167397616301265</v>
      </c>
      <c r="C15">
        <f t="shared" si="0"/>
        <v>0.27167723742276922</v>
      </c>
      <c r="D15">
        <f t="shared" si="1"/>
        <v>9.9967387402434271E-3</v>
      </c>
      <c r="E15">
        <f t="shared" si="2"/>
        <v>9.9934785440683747E-5</v>
      </c>
    </row>
    <row r="16" spans="1:8" x14ac:dyDescent="0.25">
      <c r="A16">
        <v>1.8074446105249999</v>
      </c>
      <c r="B16">
        <v>0.21546159640985746</v>
      </c>
      <c r="C16">
        <f t="shared" si="0"/>
        <v>0.22297182543195362</v>
      </c>
      <c r="D16">
        <f t="shared" si="1"/>
        <v>-7.5102290220961654E-3</v>
      </c>
      <c r="E16">
        <f t="shared" si="2"/>
        <v>5.6403539964335528E-5</v>
      </c>
    </row>
    <row r="17" spans="1:5" x14ac:dyDescent="0.25">
      <c r="A17">
        <v>1.9232485030749999</v>
      </c>
      <c r="B17">
        <v>0.17801361113963035</v>
      </c>
      <c r="C17">
        <f t="shared" si="0"/>
        <v>0.18033856648274996</v>
      </c>
      <c r="D17">
        <f t="shared" si="1"/>
        <v>-2.3249553431196057E-3</v>
      </c>
      <c r="E17">
        <f t="shared" si="2"/>
        <v>5.4054173475004036E-6</v>
      </c>
    </row>
    <row r="18" spans="1:5" x14ac:dyDescent="0.25">
      <c r="A18">
        <v>2.0390523956249997</v>
      </c>
      <c r="B18">
        <v>0.13893745259678467</v>
      </c>
      <c r="C18">
        <f t="shared" si="0"/>
        <v>0.14381580178650566</v>
      </c>
      <c r="D18">
        <f t="shared" si="1"/>
        <v>-4.878349189720993E-3</v>
      </c>
      <c r="E18">
        <f t="shared" si="2"/>
        <v>2.3798290816851467E-5</v>
      </c>
    </row>
    <row r="19" spans="1:5" x14ac:dyDescent="0.25">
      <c r="A19">
        <v>2.1548562881749995</v>
      </c>
      <c r="B19">
        <v>0.10474581387179469</v>
      </c>
      <c r="C19">
        <f t="shared" si="0"/>
        <v>0.11313838289965385</v>
      </c>
      <c r="D19">
        <f t="shared" si="1"/>
        <v>-8.3925690278591619E-3</v>
      </c>
      <c r="E19">
        <f t="shared" si="2"/>
        <v>7.0435214887380878E-5</v>
      </c>
    </row>
    <row r="20" spans="1:5" x14ac:dyDescent="0.25">
      <c r="A20">
        <v>2.2706601807249998</v>
      </c>
      <c r="B20">
        <v>8.5750459024578035E-2</v>
      </c>
      <c r="C20">
        <f t="shared" si="0"/>
        <v>8.7837357791346923E-2</v>
      </c>
      <c r="D20">
        <f t="shared" si="1"/>
        <v>-2.0868987667688882E-3</v>
      </c>
      <c r="E20">
        <f t="shared" si="2"/>
        <v>4.3551464627415064E-6</v>
      </c>
    </row>
    <row r="21" spans="1:5" x14ac:dyDescent="0.25">
      <c r="A21">
        <v>2.3864640732750004</v>
      </c>
      <c r="B21">
        <v>5.8614237814268534E-2</v>
      </c>
      <c r="C21">
        <f t="shared" si="0"/>
        <v>6.7324672963596552E-2</v>
      </c>
      <c r="D21">
        <f t="shared" si="1"/>
        <v>-8.7104351493280177E-3</v>
      </c>
      <c r="E21">
        <f t="shared" si="2"/>
        <v>7.5871680490649011E-5</v>
      </c>
    </row>
    <row r="22" spans="1:5" x14ac:dyDescent="0.25">
      <c r="A22">
        <v>2.5022679658250002</v>
      </c>
      <c r="B22">
        <v>5.3186993572206631E-2</v>
      </c>
      <c r="C22">
        <f t="shared" si="0"/>
        <v>5.0960941855991371E-2</v>
      </c>
      <c r="D22">
        <f t="shared" si="1"/>
        <v>2.2260517162152604E-3</v>
      </c>
      <c r="E22">
        <f t="shared" si="2"/>
        <v>4.9553062432649067E-6</v>
      </c>
    </row>
    <row r="23" spans="1:5" x14ac:dyDescent="0.25">
      <c r="A23">
        <v>2.618071858375</v>
      </c>
      <c r="B23">
        <v>3.5277087573402359E-2</v>
      </c>
      <c r="C23">
        <f t="shared" si="0"/>
        <v>3.8106311381827518E-2</v>
      </c>
      <c r="D23">
        <f t="shared" si="1"/>
        <v>-2.8292238084251589E-3</v>
      </c>
      <c r="E23">
        <f t="shared" si="2"/>
        <v>8.0045073581597606E-6</v>
      </c>
    </row>
    <row r="24" spans="1:5" x14ac:dyDescent="0.25">
      <c r="A24">
        <v>2.7338757509249998</v>
      </c>
      <c r="B24">
        <v>2.7136221210309504E-2</v>
      </c>
      <c r="C24">
        <f t="shared" si="0"/>
        <v>2.8155840773297497E-2</v>
      </c>
      <c r="D24">
        <f t="shared" si="1"/>
        <v>-1.0196195629879924E-3</v>
      </c>
      <c r="E24">
        <f t="shared" si="2"/>
        <v>1.0396240532278246E-6</v>
      </c>
    </row>
    <row r="25" spans="1:5" x14ac:dyDescent="0.25">
      <c r="A25">
        <v>2.8496796434749996</v>
      </c>
      <c r="B25">
        <v>2.9307118907134267E-2</v>
      </c>
      <c r="C25">
        <f t="shared" si="0"/>
        <v>2.0561634506332516E-2</v>
      </c>
      <c r="D25">
        <f t="shared" si="1"/>
        <v>8.7454844008017507E-3</v>
      </c>
      <c r="E25">
        <f t="shared" si="2"/>
        <v>7.648349740466675E-5</v>
      </c>
    </row>
    <row r="26" spans="1:5" x14ac:dyDescent="0.25">
      <c r="A26">
        <v>2.9654835360249998</v>
      </c>
      <c r="B26">
        <v>1.5196283877773322E-2</v>
      </c>
      <c r="C26">
        <f t="shared" si="0"/>
        <v>1.4844335715638975E-2</v>
      </c>
      <c r="D26">
        <f t="shared" si="1"/>
        <v>3.5194816213434711E-4</v>
      </c>
      <c r="E26">
        <f t="shared" si="2"/>
        <v>1.2386750882974468E-7</v>
      </c>
    </row>
    <row r="27" spans="1:5" x14ac:dyDescent="0.25">
      <c r="A27">
        <v>3.081287428575</v>
      </c>
      <c r="B27">
        <v>1.6824457150391894E-2</v>
      </c>
      <c r="C27">
        <f t="shared" si="0"/>
        <v>1.0596600812558836E-2</v>
      </c>
      <c r="D27">
        <f t="shared" si="1"/>
        <v>6.2278563378330588E-3</v>
      </c>
      <c r="E27">
        <f t="shared" si="2"/>
        <v>3.8786194564687398E-5</v>
      </c>
    </row>
    <row r="28" spans="1:5" x14ac:dyDescent="0.25">
      <c r="A28">
        <v>3.1970913211249998</v>
      </c>
      <c r="B28">
        <v>1.1397212908329991E-2</v>
      </c>
      <c r="C28">
        <f t="shared" si="0"/>
        <v>7.4809533090993471E-3</v>
      </c>
      <c r="D28">
        <f t="shared" si="1"/>
        <v>3.9162595992306443E-3</v>
      </c>
      <c r="E28">
        <f t="shared" si="2"/>
        <v>1.5337089248566168E-5</v>
      </c>
    </row>
    <row r="29" spans="1:5" x14ac:dyDescent="0.25">
      <c r="A29">
        <v>3.3128952136749996</v>
      </c>
      <c r="B29">
        <v>4.8845198178557106E-3</v>
      </c>
      <c r="C29">
        <f t="shared" si="0"/>
        <v>5.2240558023748575E-3</v>
      </c>
      <c r="D29">
        <f t="shared" si="1"/>
        <v>-3.3953598451914695E-4</v>
      </c>
      <c r="E29">
        <f t="shared" si="2"/>
        <v>1.152846847833864E-7</v>
      </c>
    </row>
    <row r="30" spans="1:5" x14ac:dyDescent="0.25">
      <c r="A30">
        <v>3.4286991062249998</v>
      </c>
      <c r="B30">
        <v>3.7990709694433306E-3</v>
      </c>
      <c r="C30">
        <f t="shared" si="0"/>
        <v>3.6090244919191193E-3</v>
      </c>
      <c r="D30">
        <f t="shared" si="1"/>
        <v>1.9004647752421128E-4</v>
      </c>
      <c r="E30">
        <f t="shared" si="2"/>
        <v>3.6117663619360544E-8</v>
      </c>
    </row>
    <row r="31" spans="1:5" x14ac:dyDescent="0.25">
      <c r="A31">
        <v>3.5445029987750001</v>
      </c>
      <c r="B31">
        <v>3.7990709694433306E-3</v>
      </c>
      <c r="C31">
        <f t="shared" si="0"/>
        <v>2.4669991575081819E-3</v>
      </c>
      <c r="D31">
        <f t="shared" si="1"/>
        <v>1.3320718119351487E-3</v>
      </c>
      <c r="E31">
        <f t="shared" si="2"/>
        <v>1.77441531215219E-6</v>
      </c>
    </row>
    <row r="32" spans="1:5" x14ac:dyDescent="0.25">
      <c r="A32">
        <v>3.6603068913249999</v>
      </c>
      <c r="B32">
        <v>2.7136221210309506E-3</v>
      </c>
      <c r="C32">
        <f t="shared" si="0"/>
        <v>1.668810955851007E-3</v>
      </c>
      <c r="D32">
        <f t="shared" si="1"/>
        <v>1.0448111651799436E-3</v>
      </c>
      <c r="E32">
        <f t="shared" si="2"/>
        <v>1.0916303708846714E-6</v>
      </c>
    </row>
    <row r="33" spans="1:5" x14ac:dyDescent="0.25">
      <c r="A33">
        <v>3.7761107838749997</v>
      </c>
      <c r="B33">
        <v>1.6281732726185704E-3</v>
      </c>
      <c r="C33">
        <f t="shared" si="0"/>
        <v>1.1172807901906577E-3</v>
      </c>
      <c r="D33">
        <f t="shared" si="1"/>
        <v>5.1089248242791271E-4</v>
      </c>
      <c r="E33">
        <f t="shared" si="2"/>
        <v>2.6101112860135511E-7</v>
      </c>
    </row>
    <row r="34" spans="1:5" x14ac:dyDescent="0.25">
      <c r="A34">
        <v>3.8919146764249994</v>
      </c>
      <c r="B34">
        <v>5.427244242061901E-4</v>
      </c>
      <c r="C34">
        <f t="shared" si="0"/>
        <v>7.4043899326467033E-4</v>
      </c>
      <c r="D34">
        <f t="shared" si="1"/>
        <v>-1.9771456905848023E-4</v>
      </c>
      <c r="E34">
        <f t="shared" si="2"/>
        <v>3.9091050817980549E-8</v>
      </c>
    </row>
    <row r="35" spans="1:5" x14ac:dyDescent="0.25">
      <c r="A35">
        <v>4.0077185689750001</v>
      </c>
      <c r="B35">
        <v>2.1708976968247604E-3</v>
      </c>
      <c r="C35">
        <f t="shared" si="0"/>
        <v>4.8578003197368303E-4</v>
      </c>
      <c r="D35">
        <f t="shared" si="1"/>
        <v>1.6851176648510773E-3</v>
      </c>
      <c r="E35">
        <f t="shared" si="2"/>
        <v>2.8396215443931475E-6</v>
      </c>
    </row>
    <row r="36" spans="1:5" x14ac:dyDescent="0.25">
      <c r="A36">
        <v>4.1235224615249999</v>
      </c>
      <c r="B36">
        <v>1.0854488484123802E-3</v>
      </c>
      <c r="C36">
        <f t="shared" si="0"/>
        <v>3.1554577485319092E-4</v>
      </c>
      <c r="D36">
        <f t="shared" si="1"/>
        <v>7.6990307355918929E-4</v>
      </c>
      <c r="E36">
        <f t="shared" si="2"/>
        <v>5.9275074267588645E-7</v>
      </c>
    </row>
    <row r="37" spans="1:5" x14ac:dyDescent="0.25">
      <c r="A37">
        <v>4.2393263540750006</v>
      </c>
      <c r="B37">
        <v>1.0854488484123802E-3</v>
      </c>
      <c r="C37">
        <f t="shared" si="0"/>
        <v>2.0295689128412158E-4</v>
      </c>
      <c r="D37">
        <f t="shared" si="1"/>
        <v>8.824919571282586E-4</v>
      </c>
      <c r="E37">
        <f t="shared" si="2"/>
        <v>7.7879205439606418E-7</v>
      </c>
    </row>
    <row r="38" spans="1:5" x14ac:dyDescent="0.25">
      <c r="A38">
        <v>4.3551302466250004</v>
      </c>
      <c r="B38">
        <v>5.427244242061901E-4</v>
      </c>
      <c r="C38">
        <f t="shared" si="0"/>
        <v>1.292730660075758E-4</v>
      </c>
      <c r="D38">
        <f t="shared" si="1"/>
        <v>4.1345135819861433E-4</v>
      </c>
      <c r="E38">
        <f t="shared" si="2"/>
        <v>1.7094202559627891E-7</v>
      </c>
    </row>
    <row r="39" spans="1:5" x14ac:dyDescent="0.25">
      <c r="A39">
        <v>4.4709341391750002</v>
      </c>
      <c r="B39">
        <v>5.427244242061901E-4</v>
      </c>
      <c r="C39">
        <f t="shared" si="0"/>
        <v>8.1548710224437339E-5</v>
      </c>
      <c r="D39">
        <f t="shared" si="1"/>
        <v>4.6117571398175276E-4</v>
      </c>
      <c r="E39">
        <f t="shared" si="2"/>
        <v>2.1268303916657944E-7</v>
      </c>
    </row>
    <row r="40" spans="1:5" x14ac:dyDescent="0.25">
      <c r="A40">
        <v>4.5867380317249999</v>
      </c>
      <c r="B40">
        <v>5.427244242061901E-4</v>
      </c>
      <c r="C40">
        <f t="shared" si="0"/>
        <v>5.0953144950514216E-5</v>
      </c>
      <c r="D40">
        <f t="shared" si="1"/>
        <v>4.9177127925567588E-4</v>
      </c>
      <c r="E40">
        <f t="shared" si="2"/>
        <v>2.4183899110076393E-7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1E44-0FDB-42F3-9065-6AF7D0CF697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7.3952029975000014E-2</v>
      </c>
      <c r="B1">
        <v>0.11586489125987637</v>
      </c>
      <c r="C1">
        <f>$H$3*(1+$H$1)*(A1^($H$1))*EXP(-$H$3*(A1^(1+$H$1)))</f>
        <v>0.17772005766316715</v>
      </c>
      <c r="D1">
        <f>B1-C1</f>
        <v>-6.1855166403290779E-2</v>
      </c>
      <c r="E1">
        <f>D1^2</f>
        <v>3.8260616107787925E-3</v>
      </c>
      <c r="G1" t="s">
        <v>0</v>
      </c>
      <c r="H1">
        <v>0.80601649379384555</v>
      </c>
    </row>
    <row r="2" spans="1:8" x14ac:dyDescent="0.25">
      <c r="A2">
        <v>0.18406708592500001</v>
      </c>
      <c r="B2">
        <v>0.35615611894661503</v>
      </c>
      <c r="C2">
        <f t="shared" ref="C2:C40" si="0">$H$3*(1+$H$1)*(A2^($H$1))*EXP(-$H$3*(A2^(1+$H$1)))</f>
        <v>0.3594163850596323</v>
      </c>
      <c r="D2">
        <f t="shared" ref="D2:D40" si="1">B2-C2</f>
        <v>-3.2602661130172739E-3</v>
      </c>
      <c r="E2">
        <f t="shared" ref="E2:E40" si="2">D2^2</f>
        <v>1.0629335127688764E-5</v>
      </c>
    </row>
    <row r="3" spans="1:8" x14ac:dyDescent="0.25">
      <c r="A3">
        <v>0.29418214187500002</v>
      </c>
      <c r="B3">
        <v>0.51425747303028868</v>
      </c>
      <c r="C3">
        <f t="shared" si="0"/>
        <v>0.49856122754172666</v>
      </c>
      <c r="D3">
        <f t="shared" si="1"/>
        <v>1.5696245488562022E-2</v>
      </c>
      <c r="E3">
        <f t="shared" si="2"/>
        <v>2.4637212243720362E-4</v>
      </c>
      <c r="G3" t="s">
        <v>1</v>
      </c>
      <c r="H3">
        <f>(_xlfn.GAMMA((2+$H$1)/(1+$H$1)))^(1+$H$1)</f>
        <v>0.80880404254107352</v>
      </c>
    </row>
    <row r="4" spans="1:8" x14ac:dyDescent="0.25">
      <c r="A4">
        <v>0.40429719782500001</v>
      </c>
      <c r="B4">
        <v>0.64096686150168058</v>
      </c>
      <c r="C4">
        <f t="shared" si="0"/>
        <v>0.60133617840907483</v>
      </c>
      <c r="D4">
        <f t="shared" si="1"/>
        <v>3.9630683092605756E-2</v>
      </c>
      <c r="E4">
        <f t="shared" si="2"/>
        <v>1.5705910423865477E-3</v>
      </c>
    </row>
    <row r="5" spans="1:8" x14ac:dyDescent="0.25">
      <c r="A5">
        <v>0.51441225377499999</v>
      </c>
      <c r="B5">
        <v>0.69975545164831732</v>
      </c>
      <c r="C5">
        <f t="shared" si="0"/>
        <v>0.67009180896790044</v>
      </c>
      <c r="D5">
        <f t="shared" si="1"/>
        <v>2.966364268041688E-2</v>
      </c>
      <c r="E5">
        <f t="shared" si="2"/>
        <v>8.7993169707144996E-4</v>
      </c>
      <c r="G5" t="s">
        <v>2</v>
      </c>
      <c r="H5">
        <f>SUM(E1:E40)</f>
        <v>1.5010497606609706E-2</v>
      </c>
    </row>
    <row r="6" spans="1:8" x14ac:dyDescent="0.25">
      <c r="A6">
        <v>0.62452730972499992</v>
      </c>
      <c r="B6">
        <v>0.71059994885983291</v>
      </c>
      <c r="C6">
        <f t="shared" si="0"/>
        <v>0.70741268501794896</v>
      </c>
      <c r="D6">
        <f t="shared" si="1"/>
        <v>3.1872638418839472E-3</v>
      </c>
      <c r="E6">
        <f t="shared" si="2"/>
        <v>1.0158650797780819E-5</v>
      </c>
    </row>
    <row r="7" spans="1:8" x14ac:dyDescent="0.25">
      <c r="A7">
        <v>0.73464236567499996</v>
      </c>
      <c r="B7">
        <v>0.76824701298420484</v>
      </c>
      <c r="C7">
        <f t="shared" si="0"/>
        <v>0.71673649064433942</v>
      </c>
      <c r="D7">
        <f t="shared" si="1"/>
        <v>5.1510522339865417E-2</v>
      </c>
      <c r="E7">
        <f t="shared" si="2"/>
        <v>2.6533339117257742E-3</v>
      </c>
    </row>
    <row r="8" spans="1:8" x14ac:dyDescent="0.25">
      <c r="A8">
        <v>0.844757421625</v>
      </c>
      <c r="B8">
        <v>0.73571352134965828</v>
      </c>
      <c r="C8">
        <f t="shared" si="0"/>
        <v>0.70227471986306989</v>
      </c>
      <c r="D8">
        <f t="shared" si="1"/>
        <v>3.3438801486588399E-2</v>
      </c>
      <c r="E8">
        <f t="shared" si="2"/>
        <v>1.1181534448594665E-3</v>
      </c>
    </row>
    <row r="9" spans="1:8" x14ac:dyDescent="0.25">
      <c r="A9">
        <v>0.95487247757500004</v>
      </c>
      <c r="B9">
        <v>0.64895754365753411</v>
      </c>
      <c r="C9">
        <f t="shared" si="0"/>
        <v>0.66872465060781783</v>
      </c>
      <c r="D9">
        <f t="shared" si="1"/>
        <v>-1.9767106950283719E-2</v>
      </c>
      <c r="E9">
        <f t="shared" si="2"/>
        <v>3.9073851718395491E-4</v>
      </c>
    </row>
    <row r="10" spans="1:8" x14ac:dyDescent="0.25">
      <c r="A10">
        <v>1.0649875335250001</v>
      </c>
      <c r="B10">
        <v>0.5827490343661762</v>
      </c>
      <c r="C10">
        <f t="shared" si="0"/>
        <v>0.6209318741316413</v>
      </c>
      <c r="D10">
        <f t="shared" si="1"/>
        <v>-3.8182839765465104E-2</v>
      </c>
      <c r="E10">
        <f t="shared" si="2"/>
        <v>1.4579292525551833E-3</v>
      </c>
    </row>
    <row r="11" spans="1:8" x14ac:dyDescent="0.25">
      <c r="A11">
        <v>1.1751025894750002</v>
      </c>
      <c r="B11">
        <v>0.53195112637539299</v>
      </c>
      <c r="C11">
        <f t="shared" si="0"/>
        <v>0.56357568634438582</v>
      </c>
      <c r="D11">
        <f t="shared" si="1"/>
        <v>-3.1624559968992827E-2</v>
      </c>
      <c r="E11">
        <f t="shared" si="2"/>
        <v>1.0001127932324236E-3</v>
      </c>
    </row>
    <row r="12" spans="1:8" x14ac:dyDescent="0.25">
      <c r="A12">
        <v>1.2852176454250002</v>
      </c>
      <c r="B12">
        <v>0.49827610871858163</v>
      </c>
      <c r="C12">
        <f t="shared" si="0"/>
        <v>0.50091416464321459</v>
      </c>
      <c r="D12">
        <f t="shared" si="1"/>
        <v>-2.6380559246329538E-3</v>
      </c>
      <c r="E12">
        <f t="shared" si="2"/>
        <v>6.959339061491029E-6</v>
      </c>
    </row>
    <row r="13" spans="1:8" x14ac:dyDescent="0.25">
      <c r="A13">
        <v>1.3953327013750001</v>
      </c>
      <c r="B13">
        <v>0.44519514868326882</v>
      </c>
      <c r="C13">
        <f t="shared" si="0"/>
        <v>0.43660537300461405</v>
      </c>
      <c r="D13">
        <f t="shared" si="1"/>
        <v>8.5897756786547652E-3</v>
      </c>
      <c r="E13">
        <f t="shared" si="2"/>
        <v>7.3784246209608931E-5</v>
      </c>
    </row>
    <row r="14" spans="1:8" x14ac:dyDescent="0.25">
      <c r="A14">
        <v>1.505447757325</v>
      </c>
      <c r="B14">
        <v>0.34245780667943754</v>
      </c>
      <c r="C14">
        <f t="shared" si="0"/>
        <v>0.37360727862078275</v>
      </c>
      <c r="D14">
        <f t="shared" si="1"/>
        <v>-3.1149471941345208E-2</v>
      </c>
      <c r="E14">
        <f t="shared" si="2"/>
        <v>9.7028960222465246E-4</v>
      </c>
    </row>
    <row r="15" spans="1:8" x14ac:dyDescent="0.25">
      <c r="A15">
        <v>1.615562813275</v>
      </c>
      <c r="B15">
        <v>0.31734423418961211</v>
      </c>
      <c r="C15">
        <f t="shared" si="0"/>
        <v>0.31414939555644861</v>
      </c>
      <c r="D15">
        <f t="shared" si="1"/>
        <v>3.1948386331634993E-3</v>
      </c>
      <c r="E15">
        <f t="shared" si="2"/>
        <v>1.0206993891954016E-5</v>
      </c>
    </row>
    <row r="16" spans="1:8" x14ac:dyDescent="0.25">
      <c r="A16">
        <v>1.7256778692250001</v>
      </c>
      <c r="B16">
        <v>0.25912640705410772</v>
      </c>
      <c r="C16">
        <f t="shared" si="0"/>
        <v>0.25976317501265422</v>
      </c>
      <c r="D16">
        <f t="shared" si="1"/>
        <v>-6.3676795854650248E-4</v>
      </c>
      <c r="E16">
        <f t="shared" si="2"/>
        <v>4.054734330314803E-7</v>
      </c>
    </row>
    <row r="17" spans="1:5" x14ac:dyDescent="0.25">
      <c r="A17">
        <v>1.835792925175</v>
      </c>
      <c r="B17">
        <v>0.21289460315238368</v>
      </c>
      <c r="C17">
        <f t="shared" si="0"/>
        <v>0.21135525529361529</v>
      </c>
      <c r="D17">
        <f t="shared" si="1"/>
        <v>1.5393478587683862E-3</v>
      </c>
      <c r="E17">
        <f t="shared" si="2"/>
        <v>2.3695918302948153E-6</v>
      </c>
    </row>
    <row r="18" spans="1:5" x14ac:dyDescent="0.25">
      <c r="A18">
        <v>1.945907981125</v>
      </c>
      <c r="B18">
        <v>0.14668609386102574</v>
      </c>
      <c r="C18">
        <f t="shared" si="0"/>
        <v>0.16930730702875602</v>
      </c>
      <c r="D18">
        <f t="shared" si="1"/>
        <v>-2.2621213167730275E-2</v>
      </c>
      <c r="E18">
        <f t="shared" si="2"/>
        <v>5.1171928517989359E-4</v>
      </c>
    </row>
    <row r="19" spans="1:5" x14ac:dyDescent="0.25">
      <c r="A19">
        <v>2.0560230370750001</v>
      </c>
      <c r="B19">
        <v>0.1409784637497018</v>
      </c>
      <c r="C19">
        <f t="shared" si="0"/>
        <v>0.13358770242861476</v>
      </c>
      <c r="D19">
        <f t="shared" si="1"/>
        <v>7.3907613210870415E-3</v>
      </c>
      <c r="E19">
        <f t="shared" si="2"/>
        <v>5.4623352905276273E-5</v>
      </c>
    </row>
    <row r="20" spans="1:5" x14ac:dyDescent="0.25">
      <c r="A20">
        <v>2.1661380930250003</v>
      </c>
      <c r="B20">
        <v>9.9883526948169279E-2</v>
      </c>
      <c r="C20">
        <f t="shared" si="0"/>
        <v>0.10386291439686793</v>
      </c>
      <c r="D20">
        <f t="shared" si="1"/>
        <v>-3.9793874486986486E-3</v>
      </c>
      <c r="E20">
        <f t="shared" si="2"/>
        <v>1.5835524466860339E-5</v>
      </c>
    </row>
    <row r="21" spans="1:5" x14ac:dyDescent="0.25">
      <c r="A21">
        <v>2.276253148975</v>
      </c>
      <c r="B21">
        <v>7.6482243491741056E-2</v>
      </c>
      <c r="C21">
        <f t="shared" si="0"/>
        <v>7.9599777213915549E-2</v>
      </c>
      <c r="D21">
        <f t="shared" si="1"/>
        <v>-3.1175337221744925E-3</v>
      </c>
      <c r="E21">
        <f t="shared" si="2"/>
        <v>9.7190165088951467E-6</v>
      </c>
    </row>
    <row r="22" spans="1:5" x14ac:dyDescent="0.25">
      <c r="A22">
        <v>2.3863682049250006</v>
      </c>
      <c r="B22">
        <v>5.1368671001915632E-2</v>
      </c>
      <c r="C22">
        <f t="shared" si="0"/>
        <v>6.0152994112178643E-2</v>
      </c>
      <c r="D22">
        <f t="shared" si="1"/>
        <v>-8.7843231102630107E-3</v>
      </c>
      <c r="E22">
        <f t="shared" si="2"/>
        <v>7.7164332505500816E-5</v>
      </c>
    </row>
    <row r="23" spans="1:5" x14ac:dyDescent="0.25">
      <c r="A23">
        <v>2.4964832608750003</v>
      </c>
      <c r="B23">
        <v>4.2236462823797297E-2</v>
      </c>
      <c r="C23">
        <f t="shared" si="0"/>
        <v>4.4835184012458111E-2</v>
      </c>
      <c r="D23">
        <f t="shared" si="1"/>
        <v>-2.5987211886608144E-3</v>
      </c>
      <c r="E23">
        <f t="shared" si="2"/>
        <v>6.753351816394676E-6</v>
      </c>
    </row>
    <row r="24" spans="1:5" x14ac:dyDescent="0.25">
      <c r="A24">
        <v>2.606598316825</v>
      </c>
      <c r="B24">
        <v>3.4816543679076148E-2</v>
      </c>
      <c r="C24">
        <f t="shared" si="0"/>
        <v>3.2969097283644923E-2</v>
      </c>
      <c r="D24">
        <f t="shared" si="1"/>
        <v>1.8474463954312251E-3</v>
      </c>
      <c r="E24">
        <f t="shared" si="2"/>
        <v>3.4130581839918265E-6</v>
      </c>
    </row>
    <row r="25" spans="1:5" x14ac:dyDescent="0.25">
      <c r="A25">
        <v>2.7167133727749997</v>
      </c>
      <c r="B25">
        <v>2.6825861523222607E-2</v>
      </c>
      <c r="C25">
        <f t="shared" si="0"/>
        <v>2.3923310838574057E-2</v>
      </c>
      <c r="D25">
        <f t="shared" si="1"/>
        <v>2.9025506846485499E-3</v>
      </c>
      <c r="E25">
        <f t="shared" si="2"/>
        <v>8.4248004769537657E-6</v>
      </c>
    </row>
    <row r="26" spans="1:5" x14ac:dyDescent="0.25">
      <c r="A26">
        <v>2.8268284287250003</v>
      </c>
      <c r="B26">
        <v>2.1688994423031044E-2</v>
      </c>
      <c r="C26">
        <f t="shared" si="0"/>
        <v>1.7133753389759976E-2</v>
      </c>
      <c r="D26">
        <f t="shared" si="1"/>
        <v>4.555241033271068E-3</v>
      </c>
      <c r="E26">
        <f t="shared" si="2"/>
        <v>2.0750220871196468E-5</v>
      </c>
    </row>
    <row r="27" spans="1:5" x14ac:dyDescent="0.25">
      <c r="A27">
        <v>2.936943484675</v>
      </c>
      <c r="B27">
        <v>1.8264416356236667E-2</v>
      </c>
      <c r="C27">
        <f t="shared" si="0"/>
        <v>1.2113899556846674E-2</v>
      </c>
      <c r="D27">
        <f t="shared" si="1"/>
        <v>6.1505167993899934E-3</v>
      </c>
      <c r="E27">
        <f t="shared" si="2"/>
        <v>3.7828856899578527E-5</v>
      </c>
    </row>
    <row r="28" spans="1:5" x14ac:dyDescent="0.25">
      <c r="A28">
        <v>3.0470585406250001</v>
      </c>
      <c r="B28">
        <v>1.0844497211515522E-2</v>
      </c>
      <c r="C28">
        <f t="shared" si="0"/>
        <v>8.4565308026576247E-3</v>
      </c>
      <c r="D28">
        <f t="shared" si="1"/>
        <v>2.3879664088578972E-3</v>
      </c>
      <c r="E28">
        <f t="shared" si="2"/>
        <v>5.7023835698336818E-6</v>
      </c>
    </row>
    <row r="29" spans="1:5" x14ac:dyDescent="0.25">
      <c r="A29">
        <v>3.1571735965750003</v>
      </c>
      <c r="B29">
        <v>9.7029711892507309E-3</v>
      </c>
      <c r="C29">
        <f t="shared" si="0"/>
        <v>5.8297251983775097E-3</v>
      </c>
      <c r="D29">
        <f t="shared" si="1"/>
        <v>3.8732459908732211E-3</v>
      </c>
      <c r="E29">
        <f t="shared" si="2"/>
        <v>1.500203450581548E-5</v>
      </c>
    </row>
    <row r="30" spans="1:5" x14ac:dyDescent="0.25">
      <c r="A30">
        <v>3.267288652525</v>
      </c>
      <c r="B30">
        <v>3.9953410779267713E-3</v>
      </c>
      <c r="C30">
        <f t="shared" si="0"/>
        <v>3.9693297024406202E-3</v>
      </c>
      <c r="D30">
        <f t="shared" si="1"/>
        <v>2.6011375486151116E-5</v>
      </c>
      <c r="E30">
        <f t="shared" si="2"/>
        <v>6.7659165468154319E-10</v>
      </c>
    </row>
    <row r="31" spans="1:5" x14ac:dyDescent="0.25">
      <c r="A31">
        <v>3.3774037084749997</v>
      </c>
      <c r="B31">
        <v>4.5661040890591668E-3</v>
      </c>
      <c r="C31">
        <f t="shared" si="0"/>
        <v>2.6696888462617516E-3</v>
      </c>
      <c r="D31">
        <f t="shared" si="1"/>
        <v>1.8964152427974152E-3</v>
      </c>
      <c r="E31">
        <f t="shared" si="2"/>
        <v>3.5963907731143794E-6</v>
      </c>
    </row>
    <row r="32" spans="1:5" x14ac:dyDescent="0.25">
      <c r="A32">
        <v>3.4875187644250003</v>
      </c>
      <c r="B32">
        <v>3.9953410779267713E-3</v>
      </c>
      <c r="C32">
        <f t="shared" si="0"/>
        <v>1.7739265140213417E-3</v>
      </c>
      <c r="D32">
        <f t="shared" si="1"/>
        <v>2.2214145639054298E-3</v>
      </c>
      <c r="E32">
        <f t="shared" si="2"/>
        <v>4.9346826647311514E-6</v>
      </c>
    </row>
    <row r="33" spans="1:5" x14ac:dyDescent="0.25">
      <c r="A33">
        <v>3.597633820375</v>
      </c>
      <c r="B33">
        <v>1.1415260222647917E-3</v>
      </c>
      <c r="C33">
        <f t="shared" si="0"/>
        <v>1.1646505643651914E-3</v>
      </c>
      <c r="D33">
        <f t="shared" si="1"/>
        <v>-2.3124542100399744E-5</v>
      </c>
      <c r="E33">
        <f t="shared" si="2"/>
        <v>5.3474444735316021E-10</v>
      </c>
    </row>
    <row r="34" spans="1:5" x14ac:dyDescent="0.25">
      <c r="A34">
        <v>3.7077488763249997</v>
      </c>
      <c r="B34">
        <v>1.1415260222647917E-3</v>
      </c>
      <c r="C34">
        <f t="shared" si="0"/>
        <v>7.5559836797170021E-4</v>
      </c>
      <c r="D34">
        <f t="shared" si="1"/>
        <v>3.8592765429309149E-4</v>
      </c>
      <c r="E34">
        <f t="shared" si="2"/>
        <v>1.4894015434816793E-7</v>
      </c>
    </row>
    <row r="35" spans="1:5" x14ac:dyDescent="0.25">
      <c r="A35">
        <v>3.8178639322749994</v>
      </c>
      <c r="B35">
        <v>1.7122890333971877E-3</v>
      </c>
      <c r="C35">
        <f t="shared" si="0"/>
        <v>4.8447252097985366E-4</v>
      </c>
      <c r="D35">
        <f t="shared" si="1"/>
        <v>1.2278165124173339E-3</v>
      </c>
      <c r="E35">
        <f t="shared" si="2"/>
        <v>1.5075333881646651E-6</v>
      </c>
    </row>
    <row r="36" spans="1:5" x14ac:dyDescent="0.25">
      <c r="A36">
        <v>3.927978988225</v>
      </c>
      <c r="B36">
        <v>2.2830520445295834E-3</v>
      </c>
      <c r="C36">
        <f t="shared" si="0"/>
        <v>3.0702578343377591E-4</v>
      </c>
      <c r="D36">
        <f t="shared" si="1"/>
        <v>1.9760262610958074E-3</v>
      </c>
      <c r="E36">
        <f t="shared" si="2"/>
        <v>3.9046797845402762E-6</v>
      </c>
    </row>
    <row r="37" spans="1:5" x14ac:dyDescent="0.25">
      <c r="A37">
        <v>4.0380940441750006</v>
      </c>
      <c r="B37">
        <v>1.1415260222647917E-3</v>
      </c>
      <c r="C37">
        <f t="shared" si="0"/>
        <v>1.923315457247592E-4</v>
      </c>
      <c r="D37">
        <f t="shared" si="1"/>
        <v>9.4919447654003247E-4</v>
      </c>
      <c r="E37">
        <f t="shared" si="2"/>
        <v>9.0097015429410623E-7</v>
      </c>
    </row>
    <row r="38" spans="1:5" x14ac:dyDescent="0.25">
      <c r="A38">
        <v>4.1482091001249994</v>
      </c>
      <c r="B38">
        <v>0</v>
      </c>
      <c r="C38">
        <f t="shared" si="0"/>
        <v>1.1910676165882678E-4</v>
      </c>
      <c r="D38">
        <f t="shared" si="1"/>
        <v>-1.1910676165882678E-4</v>
      </c>
      <c r="E38">
        <f t="shared" si="2"/>
        <v>1.418642067285257E-8</v>
      </c>
    </row>
    <row r="39" spans="1:5" x14ac:dyDescent="0.25">
      <c r="A39">
        <v>4.258324156075</v>
      </c>
      <c r="B39">
        <v>5.7076301113239585E-4</v>
      </c>
      <c r="C39">
        <f t="shared" si="0"/>
        <v>7.292405341284001E-5</v>
      </c>
      <c r="D39">
        <f t="shared" si="1"/>
        <v>4.978389577195558E-4</v>
      </c>
      <c r="E39">
        <f t="shared" si="2"/>
        <v>2.4784362782329369E-7</v>
      </c>
    </row>
    <row r="40" spans="1:5" x14ac:dyDescent="0.25">
      <c r="A40">
        <v>4.3684392120250006</v>
      </c>
      <c r="B40">
        <v>5.7076301113239585E-4</v>
      </c>
      <c r="C40">
        <f t="shared" si="0"/>
        <v>4.4145874666548931E-5</v>
      </c>
      <c r="D40">
        <f t="shared" si="1"/>
        <v>5.2661713646584693E-4</v>
      </c>
      <c r="E40">
        <f t="shared" si="2"/>
        <v>2.7732560841948842E-7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58B42-B846-4E8B-A978-D7017484032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8.8522985274999993E-2</v>
      </c>
      <c r="B1">
        <v>0.10809926565492715</v>
      </c>
      <c r="C1">
        <f>$H$3*(1+$H$1)*(A1^($H$1))*EXP(-$H$3*(A1^(1+$H$1)))</f>
        <v>0.16763849632801386</v>
      </c>
      <c r="D1">
        <f>B1-C1</f>
        <v>-5.953923067308671E-2</v>
      </c>
      <c r="E1">
        <f>D1^2</f>
        <v>3.5449199891430293E-3</v>
      </c>
      <c r="G1" t="s">
        <v>0</v>
      </c>
      <c r="H1">
        <v>0.90529445525708074</v>
      </c>
    </row>
    <row r="2" spans="1:8" x14ac:dyDescent="0.25">
      <c r="A2">
        <v>0.19258818382499998</v>
      </c>
      <c r="B2">
        <v>0.30678450811565916</v>
      </c>
      <c r="C2">
        <f t="shared" ref="C2:C40" si="0">$H$3*(1+$H$1)*(A2^($H$1))*EXP(-$H$3*(A2^(1+$H$1)))</f>
        <v>0.32990982833417437</v>
      </c>
      <c r="D2">
        <f t="shared" ref="D2:D40" si="1">B2-C2</f>
        <v>-2.3125320218515211E-2</v>
      </c>
      <c r="E2">
        <f t="shared" ref="E2:E40" si="2">D2^2</f>
        <v>5.347804352088684E-4</v>
      </c>
    </row>
    <row r="3" spans="1:8" x14ac:dyDescent="0.25">
      <c r="A3">
        <v>0.296653382375</v>
      </c>
      <c r="B3">
        <v>0.48191739660688193</v>
      </c>
      <c r="C3">
        <f t="shared" si="0"/>
        <v>0.46676037925051506</v>
      </c>
      <c r="D3">
        <f t="shared" si="1"/>
        <v>1.5157017356366875E-2</v>
      </c>
      <c r="E3">
        <f t="shared" si="2"/>
        <v>2.2973517514120669E-4</v>
      </c>
      <c r="G3" t="s">
        <v>1</v>
      </c>
      <c r="H3">
        <f>(_xlfn.GAMMA((2+$H$1)/(1+$H$1)))^(1+$H$1)</f>
        <v>0.79624229105940592</v>
      </c>
    </row>
    <row r="4" spans="1:8" x14ac:dyDescent="0.25">
      <c r="A4">
        <v>0.40071858092500001</v>
      </c>
      <c r="B4">
        <v>0.62081589437578277</v>
      </c>
      <c r="C4">
        <f t="shared" si="0"/>
        <v>0.57664570153335559</v>
      </c>
      <c r="D4">
        <f t="shared" si="1"/>
        <v>4.4170192842427181E-2</v>
      </c>
      <c r="E4">
        <f t="shared" si="2"/>
        <v>1.9510059357372054E-3</v>
      </c>
    </row>
    <row r="5" spans="1:8" x14ac:dyDescent="0.25">
      <c r="A5">
        <v>0.50478377947499997</v>
      </c>
      <c r="B5">
        <v>0.69147295628431049</v>
      </c>
      <c r="C5">
        <f t="shared" si="0"/>
        <v>0.6579968241257047</v>
      </c>
      <c r="D5">
        <f t="shared" si="1"/>
        <v>3.3476132158605787E-2</v>
      </c>
      <c r="E5">
        <f t="shared" si="2"/>
        <v>1.1206514243004406E-3</v>
      </c>
      <c r="G5" t="s">
        <v>2</v>
      </c>
      <c r="H5">
        <f>SUM(E1:E40)</f>
        <v>1.852038631615362E-2</v>
      </c>
    </row>
    <row r="6" spans="1:8" x14ac:dyDescent="0.25">
      <c r="A6">
        <v>0.60884897802499993</v>
      </c>
      <c r="B6">
        <v>0.74340891631963868</v>
      </c>
      <c r="C6">
        <f t="shared" si="0"/>
        <v>0.71050825672496043</v>
      </c>
      <c r="D6">
        <f t="shared" si="1"/>
        <v>3.290065959467825E-2</v>
      </c>
      <c r="E6">
        <f t="shared" si="2"/>
        <v>1.0824534017648941E-3</v>
      </c>
    </row>
    <row r="7" spans="1:8" x14ac:dyDescent="0.25">
      <c r="A7">
        <v>0.71291417657499989</v>
      </c>
      <c r="B7">
        <v>0.76514955075303182</v>
      </c>
      <c r="C7">
        <f t="shared" si="0"/>
        <v>0.7353354625237134</v>
      </c>
      <c r="D7">
        <f t="shared" si="1"/>
        <v>2.9814088229318414E-2</v>
      </c>
      <c r="E7">
        <f t="shared" si="2"/>
        <v>8.8887985694558283E-4</v>
      </c>
    </row>
    <row r="8" spans="1:8" x14ac:dyDescent="0.25">
      <c r="A8">
        <v>0.81697937512499996</v>
      </c>
      <c r="B8">
        <v>0.80259175449943121</v>
      </c>
      <c r="C8">
        <f t="shared" si="0"/>
        <v>0.73495867877953547</v>
      </c>
      <c r="D8">
        <f t="shared" si="1"/>
        <v>6.7633075719895741E-2</v>
      </c>
      <c r="E8">
        <f t="shared" si="2"/>
        <v>4.5742329313331505E-3</v>
      </c>
    </row>
    <row r="9" spans="1:8" x14ac:dyDescent="0.25">
      <c r="A9">
        <v>0.92104457367500003</v>
      </c>
      <c r="B9">
        <v>0.70717452559731675</v>
      </c>
      <c r="C9">
        <f t="shared" si="0"/>
        <v>0.71289190295548399</v>
      </c>
      <c r="D9">
        <f t="shared" si="1"/>
        <v>-5.7173773581672416E-3</v>
      </c>
      <c r="E9">
        <f t="shared" si="2"/>
        <v>3.2688403855683429E-5</v>
      </c>
    </row>
    <row r="10" spans="1:8" x14ac:dyDescent="0.25">
      <c r="A10">
        <v>1.025109772225</v>
      </c>
      <c r="B10">
        <v>0.63470574415267278</v>
      </c>
      <c r="C10">
        <f t="shared" si="0"/>
        <v>0.67332139780112688</v>
      </c>
      <c r="D10">
        <f t="shared" si="1"/>
        <v>-3.8615653648454096E-2</v>
      </c>
      <c r="E10">
        <f t="shared" si="2"/>
        <v>1.4911687066973662E-3</v>
      </c>
    </row>
    <row r="11" spans="1:8" x14ac:dyDescent="0.25">
      <c r="A11">
        <v>1.1291749707749998</v>
      </c>
      <c r="B11">
        <v>0.58639322318957687</v>
      </c>
      <c r="C11">
        <f t="shared" si="0"/>
        <v>0.62073114136151852</v>
      </c>
      <c r="D11">
        <f t="shared" si="1"/>
        <v>-3.433791817194165E-2</v>
      </c>
      <c r="E11">
        <f t="shared" si="2"/>
        <v>1.1790926243829606E-3</v>
      </c>
    </row>
    <row r="12" spans="1:8" x14ac:dyDescent="0.25">
      <c r="A12">
        <v>1.2332401693249999</v>
      </c>
      <c r="B12">
        <v>0.54411976734686796</v>
      </c>
      <c r="C12">
        <f t="shared" si="0"/>
        <v>0.55955792534193094</v>
      </c>
      <c r="D12">
        <f t="shared" si="1"/>
        <v>-1.5438157995062984E-2</v>
      </c>
      <c r="E12">
        <f t="shared" si="2"/>
        <v>2.3833672228052715E-4</v>
      </c>
    </row>
    <row r="13" spans="1:8" x14ac:dyDescent="0.25">
      <c r="A13">
        <v>1.337305367875</v>
      </c>
      <c r="B13">
        <v>0.47708614451057235</v>
      </c>
      <c r="C13">
        <f t="shared" si="0"/>
        <v>0.49390586257260288</v>
      </c>
      <c r="D13">
        <f t="shared" si="1"/>
        <v>-1.6819718062030531E-2</v>
      </c>
      <c r="E13">
        <f t="shared" si="2"/>
        <v>2.8290291568619605E-4</v>
      </c>
    </row>
    <row r="14" spans="1:8" x14ac:dyDescent="0.25">
      <c r="A14">
        <v>1.4413705664250001</v>
      </c>
      <c r="B14">
        <v>0.42756581052339898</v>
      </c>
      <c r="C14">
        <f t="shared" si="0"/>
        <v>0.42733741084205162</v>
      </c>
      <c r="D14">
        <f t="shared" si="1"/>
        <v>2.2839968134735766E-4</v>
      </c>
      <c r="E14">
        <f t="shared" si="2"/>
        <v>5.2166414439574523E-8</v>
      </c>
    </row>
    <row r="15" spans="1:8" x14ac:dyDescent="0.25">
      <c r="A15">
        <v>1.5454357649749999</v>
      </c>
      <c r="B15">
        <v>0.33939545976574892</v>
      </c>
      <c r="C15">
        <f t="shared" si="0"/>
        <v>0.36274629764508487</v>
      </c>
      <c r="D15">
        <f t="shared" si="1"/>
        <v>-2.3350837879335951E-2</v>
      </c>
      <c r="E15">
        <f t="shared" si="2"/>
        <v>5.4526162966703066E-4</v>
      </c>
    </row>
    <row r="16" spans="1:8" x14ac:dyDescent="0.25">
      <c r="A16">
        <v>1.649500963525</v>
      </c>
      <c r="B16">
        <v>0.29410247136284651</v>
      </c>
      <c r="C16">
        <f t="shared" si="0"/>
        <v>0.3023079162421935</v>
      </c>
      <c r="D16">
        <f t="shared" si="1"/>
        <v>-8.2054448793469903E-3</v>
      </c>
      <c r="E16">
        <f t="shared" si="2"/>
        <v>6.732932566800174E-5</v>
      </c>
    </row>
    <row r="17" spans="1:5" x14ac:dyDescent="0.25">
      <c r="A17">
        <v>1.7535661620749998</v>
      </c>
      <c r="B17">
        <v>0.25364073505625367</v>
      </c>
      <c r="C17">
        <f t="shared" si="0"/>
        <v>0.2474955827366522</v>
      </c>
      <c r="D17">
        <f t="shared" si="1"/>
        <v>6.1451523196014712E-3</v>
      </c>
      <c r="E17">
        <f t="shared" si="2"/>
        <v>3.7762897031103344E-5</v>
      </c>
    </row>
    <row r="18" spans="1:5" x14ac:dyDescent="0.25">
      <c r="A18">
        <v>1.8576313606249999</v>
      </c>
      <c r="B18">
        <v>0.17754851453937756</v>
      </c>
      <c r="C18">
        <f t="shared" si="0"/>
        <v>0.19914678663067426</v>
      </c>
      <c r="D18">
        <f t="shared" si="1"/>
        <v>-2.1598272091296694E-2</v>
      </c>
      <c r="E18">
        <f t="shared" si="2"/>
        <v>4.6648535732968569E-4</v>
      </c>
    </row>
    <row r="19" spans="1:5" x14ac:dyDescent="0.25">
      <c r="A19">
        <v>1.961696559175</v>
      </c>
      <c r="B19">
        <v>0.1521844410337522</v>
      </c>
      <c r="C19">
        <f t="shared" si="0"/>
        <v>0.15756209233530949</v>
      </c>
      <c r="D19">
        <f t="shared" si="1"/>
        <v>-5.3776513015572902E-3</v>
      </c>
      <c r="E19">
        <f t="shared" si="2"/>
        <v>2.8919133521140818E-5</v>
      </c>
    </row>
    <row r="20" spans="1:5" x14ac:dyDescent="0.25">
      <c r="A20">
        <v>2.0657617577249998</v>
      </c>
      <c r="B20">
        <v>0.12078130240773984</v>
      </c>
      <c r="C20">
        <f t="shared" si="0"/>
        <v>0.12262018296017566</v>
      </c>
      <c r="D20">
        <f t="shared" si="1"/>
        <v>-1.8388805524358204E-3</v>
      </c>
      <c r="E20">
        <f t="shared" si="2"/>
        <v>3.3814816861266678E-6</v>
      </c>
    </row>
    <row r="21" spans="1:5" x14ac:dyDescent="0.25">
      <c r="A21">
        <v>2.1698269562750001</v>
      </c>
      <c r="B21">
        <v>9.6625041926191868E-2</v>
      </c>
      <c r="C21">
        <f t="shared" si="0"/>
        <v>9.3895014085038933E-2</v>
      </c>
      <c r="D21">
        <f t="shared" si="1"/>
        <v>2.730027841152935E-3</v>
      </c>
      <c r="E21">
        <f t="shared" si="2"/>
        <v>7.4530520134701543E-6</v>
      </c>
    </row>
    <row r="22" spans="1:5" x14ac:dyDescent="0.25">
      <c r="A22">
        <v>2.273892154825</v>
      </c>
      <c r="B22">
        <v>6.4014090276102109E-2</v>
      </c>
      <c r="C22">
        <f t="shared" si="0"/>
        <v>7.0764445547331731E-2</v>
      </c>
      <c r="D22">
        <f t="shared" si="1"/>
        <v>-6.7503552712296216E-3</v>
      </c>
      <c r="E22">
        <f t="shared" si="2"/>
        <v>4.5567296287817536E-5</v>
      </c>
    </row>
    <row r="23" spans="1:5" x14ac:dyDescent="0.25">
      <c r="A23">
        <v>2.3779573533749998</v>
      </c>
      <c r="B23">
        <v>5.6163305619599022E-2</v>
      </c>
      <c r="C23">
        <f t="shared" si="0"/>
        <v>5.2503388356762278E-2</v>
      </c>
      <c r="D23">
        <f t="shared" si="1"/>
        <v>3.6599172628367441E-3</v>
      </c>
      <c r="E23">
        <f t="shared" si="2"/>
        <v>1.3394994370810404E-5</v>
      </c>
    </row>
    <row r="24" spans="1:5" x14ac:dyDescent="0.25">
      <c r="A24">
        <v>2.4820225519249997</v>
      </c>
      <c r="B24">
        <v>3.8650016770476747E-2</v>
      </c>
      <c r="C24">
        <f t="shared" si="0"/>
        <v>3.8357926495325739E-2</v>
      </c>
      <c r="D24">
        <f t="shared" si="1"/>
        <v>2.9209027515100794E-4</v>
      </c>
      <c r="E24">
        <f t="shared" si="2"/>
        <v>8.5316728837791528E-8</v>
      </c>
    </row>
    <row r="25" spans="1:5" x14ac:dyDescent="0.25">
      <c r="A25">
        <v>2.5860877504749995</v>
      </c>
      <c r="B25">
        <v>2.4760166993586664E-2</v>
      </c>
      <c r="C25">
        <f t="shared" si="0"/>
        <v>2.759970934598675E-2</v>
      </c>
      <c r="D25">
        <f t="shared" si="1"/>
        <v>-2.8395423524000853E-3</v>
      </c>
      <c r="E25">
        <f t="shared" si="2"/>
        <v>8.0630007710738097E-6</v>
      </c>
    </row>
    <row r="26" spans="1:5" x14ac:dyDescent="0.25">
      <c r="A26">
        <v>2.6901529490250002</v>
      </c>
      <c r="B26">
        <v>2.5364073505625365E-2</v>
      </c>
      <c r="C26">
        <f t="shared" si="0"/>
        <v>1.9561993167669139E-2</v>
      </c>
      <c r="D26">
        <f t="shared" si="1"/>
        <v>5.8020803379562266E-3</v>
      </c>
      <c r="E26">
        <f t="shared" si="2"/>
        <v>3.3664136248098241E-5</v>
      </c>
    </row>
    <row r="27" spans="1:5" x14ac:dyDescent="0.25">
      <c r="A27">
        <v>2.7942181475750001</v>
      </c>
      <c r="B27">
        <v>2.0532821409315772E-2</v>
      </c>
      <c r="C27">
        <f t="shared" si="0"/>
        <v>1.3660019113642096E-2</v>
      </c>
      <c r="D27">
        <f t="shared" si="1"/>
        <v>6.8728022956736756E-3</v>
      </c>
      <c r="E27">
        <f t="shared" si="2"/>
        <v>4.7235411395417343E-5</v>
      </c>
    </row>
    <row r="28" spans="1:5" x14ac:dyDescent="0.25">
      <c r="A28">
        <v>2.8982833461249999</v>
      </c>
      <c r="B28">
        <v>1.2682036752812683E-2</v>
      </c>
      <c r="C28">
        <f t="shared" si="0"/>
        <v>9.3990357033768117E-3</v>
      </c>
      <c r="D28">
        <f t="shared" si="1"/>
        <v>3.283001049435871E-3</v>
      </c>
      <c r="E28">
        <f t="shared" si="2"/>
        <v>1.077809589059703E-5</v>
      </c>
    </row>
    <row r="29" spans="1:5" x14ac:dyDescent="0.25">
      <c r="A29">
        <v>3.0023485446749998</v>
      </c>
      <c r="B29">
        <v>8.4546911685417885E-3</v>
      </c>
      <c r="C29">
        <f t="shared" si="0"/>
        <v>6.3733512579989687E-3</v>
      </c>
      <c r="D29">
        <f t="shared" si="1"/>
        <v>2.0813399105428197E-3</v>
      </c>
      <c r="E29">
        <f t="shared" si="2"/>
        <v>4.3319758232183925E-6</v>
      </c>
    </row>
    <row r="30" spans="1:5" x14ac:dyDescent="0.25">
      <c r="A30">
        <v>3.1064137432249996</v>
      </c>
      <c r="B30">
        <v>9.0585976805804876E-3</v>
      </c>
      <c r="C30">
        <f t="shared" si="0"/>
        <v>4.2595039800605809E-3</v>
      </c>
      <c r="D30">
        <f t="shared" si="1"/>
        <v>4.7990937005199068E-3</v>
      </c>
      <c r="E30">
        <f t="shared" si="2"/>
        <v>2.3031300346369852E-5</v>
      </c>
    </row>
    <row r="31" spans="1:5" x14ac:dyDescent="0.25">
      <c r="A31">
        <v>3.2104789417749999</v>
      </c>
      <c r="B31">
        <v>3.6234390722321951E-3</v>
      </c>
      <c r="C31">
        <f t="shared" si="0"/>
        <v>2.8061231807582619E-3</v>
      </c>
      <c r="D31">
        <f t="shared" si="1"/>
        <v>8.1731589147393318E-4</v>
      </c>
      <c r="E31">
        <f t="shared" si="2"/>
        <v>6.6800526645583008E-7</v>
      </c>
    </row>
    <row r="32" spans="1:5" x14ac:dyDescent="0.25">
      <c r="A32">
        <v>3.3145441403250002</v>
      </c>
      <c r="B32">
        <v>6.0390651203869918E-3</v>
      </c>
      <c r="C32">
        <f t="shared" si="0"/>
        <v>1.8224566908269207E-3</v>
      </c>
      <c r="D32">
        <f t="shared" si="1"/>
        <v>4.2166084295600708E-3</v>
      </c>
      <c r="E32">
        <f t="shared" si="2"/>
        <v>1.7779786648237046E-5</v>
      </c>
    </row>
    <row r="33" spans="1:5" x14ac:dyDescent="0.25">
      <c r="A33">
        <v>3.4186093388750001</v>
      </c>
      <c r="B33">
        <v>6.0390651203869918E-4</v>
      </c>
      <c r="C33">
        <f t="shared" si="0"/>
        <v>1.1669533425824447E-3</v>
      </c>
      <c r="D33">
        <f t="shared" si="1"/>
        <v>-5.6304683054374553E-4</v>
      </c>
      <c r="E33">
        <f t="shared" si="2"/>
        <v>3.1702173338535727E-7</v>
      </c>
    </row>
    <row r="34" spans="1:5" x14ac:dyDescent="0.25">
      <c r="A34">
        <v>3.5226745374249995</v>
      </c>
      <c r="B34">
        <v>1.8117195361160975E-3</v>
      </c>
      <c r="C34">
        <f t="shared" si="0"/>
        <v>7.3677635193134623E-4</v>
      </c>
      <c r="D34">
        <f t="shared" si="1"/>
        <v>1.0749431841847513E-3</v>
      </c>
      <c r="E34">
        <f t="shared" si="2"/>
        <v>1.1555028492252522E-6</v>
      </c>
    </row>
    <row r="35" spans="1:5" x14ac:dyDescent="0.25">
      <c r="A35">
        <v>3.6267397359749998</v>
      </c>
      <c r="B35">
        <v>1.2078130240773984E-3</v>
      </c>
      <c r="C35">
        <f t="shared" si="0"/>
        <v>4.5871327409014026E-4</v>
      </c>
      <c r="D35">
        <f t="shared" si="1"/>
        <v>7.4909974998725809E-4</v>
      </c>
      <c r="E35">
        <f t="shared" si="2"/>
        <v>5.611504354309726E-7</v>
      </c>
    </row>
    <row r="36" spans="1:5" x14ac:dyDescent="0.25">
      <c r="A36">
        <v>3.7308049345250001</v>
      </c>
      <c r="B36">
        <v>2.4156260481547967E-3</v>
      </c>
      <c r="C36">
        <f t="shared" si="0"/>
        <v>2.816473016816953E-4</v>
      </c>
      <c r="D36">
        <f t="shared" si="1"/>
        <v>2.1339787464731016E-3</v>
      </c>
      <c r="E36">
        <f t="shared" si="2"/>
        <v>4.55386529039891E-6</v>
      </c>
    </row>
    <row r="37" spans="1:5" x14ac:dyDescent="0.25">
      <c r="A37">
        <v>3.8348701330750004</v>
      </c>
      <c r="B37">
        <v>1.2078130240773984E-3</v>
      </c>
      <c r="C37">
        <f t="shared" si="0"/>
        <v>1.7055390221574828E-4</v>
      </c>
      <c r="D37">
        <f t="shared" si="1"/>
        <v>1.0372591218616501E-3</v>
      </c>
      <c r="E37">
        <f t="shared" si="2"/>
        <v>1.0759064858852016E-6</v>
      </c>
    </row>
    <row r="38" spans="1:5" x14ac:dyDescent="0.25">
      <c r="A38">
        <v>3.9389353316250002</v>
      </c>
      <c r="B38">
        <v>0</v>
      </c>
      <c r="C38">
        <f t="shared" si="0"/>
        <v>1.0186869285509802E-4</v>
      </c>
      <c r="D38">
        <f t="shared" si="1"/>
        <v>-1.0186869285509802E-4</v>
      </c>
      <c r="E38">
        <f t="shared" si="2"/>
        <v>1.0377230584006299E-8</v>
      </c>
    </row>
    <row r="39" spans="1:5" x14ac:dyDescent="0.25">
      <c r="A39">
        <v>4.0430005301749992</v>
      </c>
      <c r="B39">
        <v>6.0390651203869918E-4</v>
      </c>
      <c r="C39">
        <f t="shared" si="0"/>
        <v>6.0016729593791092E-5</v>
      </c>
      <c r="D39">
        <f t="shared" si="1"/>
        <v>5.4388978244490811E-4</v>
      </c>
      <c r="E39">
        <f t="shared" si="2"/>
        <v>2.9581609544796945E-7</v>
      </c>
    </row>
    <row r="40" spans="1:5" x14ac:dyDescent="0.25">
      <c r="A40">
        <v>4.1470657287249999</v>
      </c>
      <c r="B40">
        <v>6.0390651203869918E-4</v>
      </c>
      <c r="C40">
        <f t="shared" si="0"/>
        <v>3.4880635459662658E-5</v>
      </c>
      <c r="D40">
        <f t="shared" si="1"/>
        <v>5.6902587657903648E-4</v>
      </c>
      <c r="E40">
        <f t="shared" si="2"/>
        <v>3.2379044821654085E-7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A39C-DEA0-4B5A-BBC4-CF9D5DF7AA7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8.8209706274999994E-2</v>
      </c>
      <c r="B1">
        <v>7.0353094701256835E-2</v>
      </c>
      <c r="C1">
        <f>$H$3*(1+$H$1)*(A1^($H$1))*EXP(-$H$3*(A1^(1+$H$1)))</f>
        <v>0.13042885652961558</v>
      </c>
      <c r="D1">
        <f>B1-C1</f>
        <v>-6.0075761828358748E-2</v>
      </c>
      <c r="E1">
        <f>D1^2</f>
        <v>3.6090971592576859E-3</v>
      </c>
      <c r="G1" t="s">
        <v>0</v>
      </c>
      <c r="H1">
        <v>1.0264701530623386</v>
      </c>
    </row>
    <row r="2" spans="1:8" x14ac:dyDescent="0.25">
      <c r="A2">
        <v>0.18647150482500002</v>
      </c>
      <c r="B2">
        <v>0.23664222763150028</v>
      </c>
      <c r="C2">
        <f t="shared" ref="C2:C40" si="0">$H$3*(1+$H$1)*(A2^($H$1))*EXP(-$H$3*(A2^(1+$H$1)))</f>
        <v>0.27558238364655069</v>
      </c>
      <c r="D2">
        <f t="shared" ref="D2:D40" si="1">B2-C2</f>
        <v>-3.8940156015050409E-2</v>
      </c>
      <c r="E2">
        <f t="shared" ref="E2:E40" si="2">D2^2</f>
        <v>1.5163357504764665E-3</v>
      </c>
    </row>
    <row r="3" spans="1:8" x14ac:dyDescent="0.25">
      <c r="A3">
        <v>0.28473330337500002</v>
      </c>
      <c r="B3">
        <v>0.39589605109161802</v>
      </c>
      <c r="C3">
        <f t="shared" si="0"/>
        <v>0.41076615589556914</v>
      </c>
      <c r="D3">
        <f t="shared" si="1"/>
        <v>-1.4870104803951123E-2</v>
      </c>
      <c r="E3">
        <f t="shared" si="2"/>
        <v>2.2112001688049028E-4</v>
      </c>
      <c r="G3" t="s">
        <v>1</v>
      </c>
      <c r="H3">
        <f>(_xlfn.GAMMA((2+$H$1)/(1+$H$1)))^(1+$H$1)</f>
        <v>0.78254483034993749</v>
      </c>
    </row>
    <row r="4" spans="1:8" x14ac:dyDescent="0.25">
      <c r="A4">
        <v>0.38299510192500003</v>
      </c>
      <c r="B4">
        <v>0.56730177272740745</v>
      </c>
      <c r="C4">
        <f t="shared" si="0"/>
        <v>0.52942995972541562</v>
      </c>
      <c r="D4">
        <f t="shared" si="1"/>
        <v>3.7871813001991828E-2</v>
      </c>
      <c r="E4">
        <f t="shared" si="2"/>
        <v>1.4342742200578373E-3</v>
      </c>
    </row>
    <row r="5" spans="1:8" x14ac:dyDescent="0.25">
      <c r="A5">
        <v>0.48125690047500003</v>
      </c>
      <c r="B5">
        <v>0.67794800348483863</v>
      </c>
      <c r="C5">
        <f t="shared" si="0"/>
        <v>0.62663529397289264</v>
      </c>
      <c r="D5">
        <f t="shared" si="1"/>
        <v>5.1312709511945997E-2</v>
      </c>
      <c r="E5">
        <f t="shared" si="2"/>
        <v>2.6329941574573532E-3</v>
      </c>
      <c r="G5" t="s">
        <v>2</v>
      </c>
      <c r="H5">
        <f>SUM(E1:E40)</f>
        <v>2.4946343419200372E-2</v>
      </c>
    </row>
    <row r="6" spans="1:8" x14ac:dyDescent="0.25">
      <c r="A6">
        <v>0.57951869902500008</v>
      </c>
      <c r="B6">
        <v>0.7687674530082792</v>
      </c>
      <c r="C6">
        <f t="shared" si="0"/>
        <v>0.69910779095752784</v>
      </c>
      <c r="D6">
        <f t="shared" si="1"/>
        <v>6.9659662050751359E-2</v>
      </c>
      <c r="E6">
        <f t="shared" si="2"/>
        <v>4.8524685170248886E-3</v>
      </c>
    </row>
    <row r="7" spans="1:8" x14ac:dyDescent="0.25">
      <c r="A7">
        <v>0.67778049757500003</v>
      </c>
      <c r="B7">
        <v>0.7796402040075644</v>
      </c>
      <c r="C7">
        <f t="shared" si="0"/>
        <v>0.74531825654114636</v>
      </c>
      <c r="D7">
        <f t="shared" si="1"/>
        <v>3.4321947466418035E-2</v>
      </c>
      <c r="E7">
        <f t="shared" si="2"/>
        <v>1.1779960778875594E-3</v>
      </c>
    </row>
    <row r="8" spans="1:8" x14ac:dyDescent="0.25">
      <c r="A8">
        <v>0.77604229612500009</v>
      </c>
      <c r="B8">
        <v>0.82185206082831852</v>
      </c>
      <c r="C8">
        <f t="shared" si="0"/>
        <v>0.76544567246971795</v>
      </c>
      <c r="D8">
        <f t="shared" si="1"/>
        <v>5.6406388358600568E-2</v>
      </c>
      <c r="E8">
        <f t="shared" si="2"/>
        <v>3.1816806476612698E-3</v>
      </c>
    </row>
    <row r="9" spans="1:8" x14ac:dyDescent="0.25">
      <c r="A9">
        <v>0.87430409467500003</v>
      </c>
      <c r="B9">
        <v>0.78603593988949683</v>
      </c>
      <c r="C9">
        <f t="shared" si="0"/>
        <v>0.76120588533126454</v>
      </c>
      <c r="D9">
        <f t="shared" si="1"/>
        <v>2.4830054558232284E-2</v>
      </c>
      <c r="E9">
        <f t="shared" si="2"/>
        <v>6.1653160936479183E-4</v>
      </c>
    </row>
    <row r="10" spans="1:8" x14ac:dyDescent="0.25">
      <c r="A10">
        <v>0.97256589322499998</v>
      </c>
      <c r="B10">
        <v>0.72783474336391163</v>
      </c>
      <c r="C10">
        <f t="shared" si="0"/>
        <v>0.73556634436208534</v>
      </c>
      <c r="D10">
        <f t="shared" si="1"/>
        <v>-7.7316009981737155E-3</v>
      </c>
      <c r="E10">
        <f t="shared" si="2"/>
        <v>5.9777653994960794E-5</v>
      </c>
    </row>
    <row r="11" spans="1:8" x14ac:dyDescent="0.25">
      <c r="A11">
        <v>1.0708276917750001</v>
      </c>
      <c r="B11">
        <v>0.65684207507446157</v>
      </c>
      <c r="C11">
        <f t="shared" si="0"/>
        <v>0.69238409938558765</v>
      </c>
      <c r="D11">
        <f t="shared" si="1"/>
        <v>-3.5542024311126075E-2</v>
      </c>
      <c r="E11">
        <f t="shared" si="2"/>
        <v>1.263235492132677E-3</v>
      </c>
    </row>
    <row r="12" spans="1:8" x14ac:dyDescent="0.25">
      <c r="A12">
        <v>1.1690894903250002</v>
      </c>
      <c r="B12">
        <v>0.60439704084261558</v>
      </c>
      <c r="C12">
        <f t="shared" si="0"/>
        <v>0.63601115015836052</v>
      </c>
      <c r="D12">
        <f t="shared" si="1"/>
        <v>-3.1614109315744932E-2</v>
      </c>
      <c r="E12">
        <f t="shared" si="2"/>
        <v>9.9945190782787055E-4</v>
      </c>
    </row>
    <row r="13" spans="1:8" x14ac:dyDescent="0.25">
      <c r="A13">
        <v>1.267351288875</v>
      </c>
      <c r="B13">
        <v>0.5327647989649722</v>
      </c>
      <c r="C13">
        <f t="shared" si="0"/>
        <v>0.57091052409226928</v>
      </c>
      <c r="D13">
        <f t="shared" si="1"/>
        <v>-3.8145725127297081E-2</v>
      </c>
      <c r="E13">
        <f t="shared" si="2"/>
        <v>1.4550963454873038E-3</v>
      </c>
    </row>
    <row r="14" spans="1:8" x14ac:dyDescent="0.25">
      <c r="A14">
        <v>1.3656130874249999</v>
      </c>
      <c r="B14">
        <v>0.49439038367337756</v>
      </c>
      <c r="C14">
        <f t="shared" si="0"/>
        <v>0.50131981258054015</v>
      </c>
      <c r="D14">
        <f t="shared" si="1"/>
        <v>-6.9294289071625825E-3</v>
      </c>
      <c r="E14">
        <f t="shared" si="2"/>
        <v>4.8016984979420423E-5</v>
      </c>
    </row>
    <row r="15" spans="1:8" x14ac:dyDescent="0.25">
      <c r="A15">
        <v>1.4638748859750002</v>
      </c>
      <c r="B15">
        <v>0.40165221338535723</v>
      </c>
      <c r="C15">
        <f t="shared" si="0"/>
        <v>0.43098827285748487</v>
      </c>
      <c r="D15">
        <f t="shared" si="1"/>
        <v>-2.933605947212764E-2</v>
      </c>
      <c r="E15">
        <f t="shared" si="2"/>
        <v>8.6060438535220983E-4</v>
      </c>
    </row>
    <row r="16" spans="1:8" x14ac:dyDescent="0.25">
      <c r="A16">
        <v>1.562136684525</v>
      </c>
      <c r="B16">
        <v>0.3594403565646031</v>
      </c>
      <c r="C16">
        <f t="shared" si="0"/>
        <v>0.36300117709401886</v>
      </c>
      <c r="D16">
        <f t="shared" si="1"/>
        <v>-3.5608205294157536E-3</v>
      </c>
      <c r="E16">
        <f t="shared" si="2"/>
        <v>1.2679442842708687E-5</v>
      </c>
    </row>
    <row r="17" spans="1:5" x14ac:dyDescent="0.25">
      <c r="A17">
        <v>1.660398483075</v>
      </c>
      <c r="B17">
        <v>0.27693536368767463</v>
      </c>
      <c r="C17">
        <f t="shared" si="0"/>
        <v>0.29969294254154538</v>
      </c>
      <c r="D17">
        <f t="shared" si="1"/>
        <v>-2.2757578853870752E-2</v>
      </c>
      <c r="E17">
        <f t="shared" si="2"/>
        <v>5.1790739529014519E-4</v>
      </c>
    </row>
    <row r="18" spans="1:5" x14ac:dyDescent="0.25">
      <c r="A18">
        <v>1.7586602816250001</v>
      </c>
      <c r="B18">
        <v>0.23280478610234082</v>
      </c>
      <c r="C18">
        <f t="shared" si="0"/>
        <v>0.2426403823097471</v>
      </c>
      <c r="D18">
        <f t="shared" si="1"/>
        <v>-9.8355962074062886E-3</v>
      </c>
      <c r="E18">
        <f t="shared" si="2"/>
        <v>9.6738952755144969E-5</v>
      </c>
    </row>
    <row r="19" spans="1:5" x14ac:dyDescent="0.25">
      <c r="A19">
        <v>1.8569220801749999</v>
      </c>
      <c r="B19">
        <v>0.18355761981146101</v>
      </c>
      <c r="C19">
        <f t="shared" si="0"/>
        <v>0.19272024671509438</v>
      </c>
      <c r="D19">
        <f t="shared" si="1"/>
        <v>-9.1626269036333696E-3</v>
      </c>
      <c r="E19">
        <f t="shared" si="2"/>
        <v>8.3953731775186034E-5</v>
      </c>
    </row>
    <row r="20" spans="1:5" x14ac:dyDescent="0.25">
      <c r="A20">
        <v>1.955183878725</v>
      </c>
      <c r="B20">
        <v>0.14454363093167313</v>
      </c>
      <c r="C20">
        <f t="shared" si="0"/>
        <v>0.15021148187361599</v>
      </c>
      <c r="D20">
        <f t="shared" si="1"/>
        <v>-5.6678509419428591E-3</v>
      </c>
      <c r="E20">
        <f t="shared" si="2"/>
        <v>3.2124534300082557E-5</v>
      </c>
    </row>
    <row r="21" spans="1:5" x14ac:dyDescent="0.25">
      <c r="A21">
        <v>2.053445677275</v>
      </c>
      <c r="B21">
        <v>0.11320452511020418</v>
      </c>
      <c r="C21">
        <f t="shared" si="0"/>
        <v>0.1149221142467482</v>
      </c>
      <c r="D21">
        <f t="shared" si="1"/>
        <v>-1.7175891365440177E-3</v>
      </c>
      <c r="E21">
        <f t="shared" si="2"/>
        <v>2.9501124419740244E-6</v>
      </c>
    </row>
    <row r="22" spans="1:5" x14ac:dyDescent="0.25">
      <c r="A22">
        <v>2.1517074758250003</v>
      </c>
      <c r="B22">
        <v>8.6982007994281185E-2</v>
      </c>
      <c r="C22">
        <f t="shared" si="0"/>
        <v>8.6322732776243263E-2</v>
      </c>
      <c r="D22">
        <f t="shared" si="1"/>
        <v>6.5927521803792188E-4</v>
      </c>
      <c r="E22">
        <f t="shared" si="2"/>
        <v>4.3464381311894947E-7</v>
      </c>
    </row>
    <row r="23" spans="1:5" x14ac:dyDescent="0.25">
      <c r="A23">
        <v>2.2499692743750002</v>
      </c>
      <c r="B23">
        <v>7.2271815465836567E-2</v>
      </c>
      <c r="C23">
        <f t="shared" si="0"/>
        <v>6.3672299972614907E-2</v>
      </c>
      <c r="D23">
        <f t="shared" si="1"/>
        <v>8.59951549322166E-3</v>
      </c>
      <c r="E23">
        <f t="shared" si="2"/>
        <v>7.395166671815937E-5</v>
      </c>
    </row>
    <row r="24" spans="1:5" x14ac:dyDescent="0.25">
      <c r="A24">
        <v>2.348231072925</v>
      </c>
      <c r="B24">
        <v>4.3491003997140593E-2</v>
      </c>
      <c r="C24">
        <f t="shared" si="0"/>
        <v>4.6126555637817757E-2</v>
      </c>
      <c r="D24">
        <f t="shared" si="1"/>
        <v>-2.635551640677164E-3</v>
      </c>
      <c r="E24">
        <f t="shared" si="2"/>
        <v>6.9461324506760907E-6</v>
      </c>
    </row>
    <row r="25" spans="1:5" x14ac:dyDescent="0.25">
      <c r="A25">
        <v>2.4464928714750003</v>
      </c>
      <c r="B25">
        <v>3.5816120938821659E-2</v>
      </c>
      <c r="C25">
        <f t="shared" si="0"/>
        <v>3.2823776344289492E-2</v>
      </c>
      <c r="D25">
        <f t="shared" si="1"/>
        <v>2.9923445945321675E-3</v>
      </c>
      <c r="E25">
        <f t="shared" si="2"/>
        <v>8.9541261724258814E-6</v>
      </c>
    </row>
    <row r="26" spans="1:5" x14ac:dyDescent="0.25">
      <c r="A26">
        <v>2.5447546700250001</v>
      </c>
      <c r="B26">
        <v>2.7501664292309491E-2</v>
      </c>
      <c r="C26">
        <f t="shared" si="0"/>
        <v>2.2946532037716346E-2</v>
      </c>
      <c r="D26">
        <f t="shared" si="1"/>
        <v>4.5551322545931451E-3</v>
      </c>
      <c r="E26">
        <f t="shared" si="2"/>
        <v>2.074922985683483E-5</v>
      </c>
    </row>
    <row r="27" spans="1:5" x14ac:dyDescent="0.25">
      <c r="A27">
        <v>2.6430164685750004</v>
      </c>
      <c r="B27">
        <v>1.6628913293024343E-2</v>
      </c>
      <c r="C27">
        <f t="shared" si="0"/>
        <v>1.5761002098856131E-2</v>
      </c>
      <c r="D27">
        <f t="shared" si="1"/>
        <v>8.6791119416821175E-4</v>
      </c>
      <c r="E27">
        <f t="shared" si="2"/>
        <v>7.532698409624914E-7</v>
      </c>
    </row>
    <row r="28" spans="1:5" x14ac:dyDescent="0.25">
      <c r="A28">
        <v>2.7412782671250007</v>
      </c>
      <c r="B28">
        <v>1.918720764579732E-2</v>
      </c>
      <c r="C28">
        <f t="shared" si="0"/>
        <v>1.0637275325212171E-2</v>
      </c>
      <c r="D28">
        <f t="shared" si="1"/>
        <v>8.5499323205851484E-3</v>
      </c>
      <c r="E28">
        <f t="shared" si="2"/>
        <v>7.3101342686586536E-5</v>
      </c>
    </row>
    <row r="29" spans="1:5" x14ac:dyDescent="0.25">
      <c r="A29">
        <v>2.8395400656750001</v>
      </c>
      <c r="B29">
        <v>1.0233177411091903E-2</v>
      </c>
      <c r="C29">
        <f t="shared" si="0"/>
        <v>7.054941985843729E-3</v>
      </c>
      <c r="D29">
        <f t="shared" si="1"/>
        <v>3.1782354252481741E-3</v>
      </c>
      <c r="E29">
        <f t="shared" si="2"/>
        <v>1.0101180418302441E-5</v>
      </c>
    </row>
    <row r="30" spans="1:5" x14ac:dyDescent="0.25">
      <c r="A30">
        <v>2.9378018642249999</v>
      </c>
      <c r="B30">
        <v>1.0872750999285148E-2</v>
      </c>
      <c r="C30">
        <f t="shared" si="0"/>
        <v>4.5983860816770014E-3</v>
      </c>
      <c r="D30">
        <f t="shared" si="1"/>
        <v>6.2743649176081467E-3</v>
      </c>
      <c r="E30">
        <f t="shared" si="2"/>
        <v>3.9367655119311885E-5</v>
      </c>
    </row>
    <row r="31" spans="1:5" x14ac:dyDescent="0.25">
      <c r="A31">
        <v>3.0360636627749997</v>
      </c>
      <c r="B31">
        <v>6.3957358819324399E-3</v>
      </c>
      <c r="C31">
        <f t="shared" si="0"/>
        <v>2.9457452555338264E-3</v>
      </c>
      <c r="D31">
        <f t="shared" si="1"/>
        <v>3.4499906263986135E-3</v>
      </c>
      <c r="E31">
        <f t="shared" si="2"/>
        <v>1.1902435322238298E-5</v>
      </c>
    </row>
    <row r="32" spans="1:5" x14ac:dyDescent="0.25">
      <c r="A32">
        <v>3.134325461325</v>
      </c>
      <c r="B32">
        <v>5.1165887055459516E-3</v>
      </c>
      <c r="C32">
        <f t="shared" si="0"/>
        <v>1.8547628365285706E-3</v>
      </c>
      <c r="D32">
        <f t="shared" si="1"/>
        <v>3.2618258690173809E-3</v>
      </c>
      <c r="E32">
        <f t="shared" si="2"/>
        <v>1.0639507999790992E-5</v>
      </c>
    </row>
    <row r="33" spans="1:5" x14ac:dyDescent="0.25">
      <c r="A33">
        <v>3.2325872598750003</v>
      </c>
      <c r="B33">
        <v>6.3957358819324395E-4</v>
      </c>
      <c r="C33">
        <f t="shared" si="0"/>
        <v>1.1479102831456003E-3</v>
      </c>
      <c r="D33">
        <f t="shared" si="1"/>
        <v>-5.0833669495235637E-4</v>
      </c>
      <c r="E33">
        <f t="shared" si="2"/>
        <v>2.58406195435085E-7</v>
      </c>
    </row>
    <row r="34" spans="1:5" x14ac:dyDescent="0.25">
      <c r="A34">
        <v>3.3308490584249997</v>
      </c>
      <c r="B34">
        <v>2.5582943527729758E-3</v>
      </c>
      <c r="C34">
        <f t="shared" si="0"/>
        <v>6.9835198914595736E-4</v>
      </c>
      <c r="D34">
        <f t="shared" si="1"/>
        <v>1.8599423636270185E-3</v>
      </c>
      <c r="E34">
        <f t="shared" si="2"/>
        <v>3.4593855960144603E-6</v>
      </c>
    </row>
    <row r="35" spans="1:5" x14ac:dyDescent="0.25">
      <c r="A35">
        <v>3.429110856975</v>
      </c>
      <c r="B35">
        <v>2.5582943527729758E-3</v>
      </c>
      <c r="C35">
        <f t="shared" si="0"/>
        <v>4.1764381273021325E-4</v>
      </c>
      <c r="D35">
        <f t="shared" si="1"/>
        <v>2.1406505400427627E-3</v>
      </c>
      <c r="E35">
        <f t="shared" si="2"/>
        <v>4.5823847345853712E-6</v>
      </c>
    </row>
    <row r="36" spans="1:5" x14ac:dyDescent="0.25">
      <c r="A36">
        <v>3.5273726555250002</v>
      </c>
      <c r="B36">
        <v>2.5582943527729758E-3</v>
      </c>
      <c r="C36">
        <f t="shared" si="0"/>
        <v>2.4553843693803123E-4</v>
      </c>
      <c r="D36">
        <f t="shared" si="1"/>
        <v>2.3127559158349444E-3</v>
      </c>
      <c r="E36">
        <f t="shared" si="2"/>
        <v>5.3488399262295329E-6</v>
      </c>
    </row>
    <row r="37" spans="1:5" x14ac:dyDescent="0.25">
      <c r="A37">
        <v>3.6256344540750001</v>
      </c>
      <c r="B37">
        <v>0</v>
      </c>
      <c r="C37">
        <f t="shared" si="0"/>
        <v>1.419154010970117E-4</v>
      </c>
      <c r="D37">
        <f t="shared" si="1"/>
        <v>-1.419154010970117E-4</v>
      </c>
      <c r="E37">
        <f t="shared" si="2"/>
        <v>2.0139981068525707E-8</v>
      </c>
    </row>
    <row r="38" spans="1:5" x14ac:dyDescent="0.25">
      <c r="A38">
        <v>3.7238962526249999</v>
      </c>
      <c r="B38">
        <v>0</v>
      </c>
      <c r="C38">
        <f t="shared" si="0"/>
        <v>8.0639820806919013E-5</v>
      </c>
      <c r="D38">
        <f t="shared" si="1"/>
        <v>-8.0639820806919013E-5</v>
      </c>
      <c r="E38">
        <f t="shared" si="2"/>
        <v>6.5027806997720083E-9</v>
      </c>
    </row>
    <row r="39" spans="1:5" x14ac:dyDescent="0.25">
      <c r="A39">
        <v>3.8221580511750002</v>
      </c>
      <c r="B39">
        <v>6.3957358819324395E-4</v>
      </c>
      <c r="C39">
        <f t="shared" si="0"/>
        <v>4.5049671137022782E-5</v>
      </c>
      <c r="D39">
        <f t="shared" si="1"/>
        <v>5.9452391705622112E-4</v>
      </c>
      <c r="E39">
        <f t="shared" si="2"/>
        <v>3.5345868795187248E-7</v>
      </c>
    </row>
    <row r="40" spans="1:5" x14ac:dyDescent="0.25">
      <c r="A40">
        <v>3.920419849725</v>
      </c>
      <c r="B40">
        <v>6.3957358819324395E-4</v>
      </c>
      <c r="C40">
        <f t="shared" si="0"/>
        <v>2.4743813405702484E-5</v>
      </c>
      <c r="D40">
        <f t="shared" si="1"/>
        <v>6.1482977478754142E-4</v>
      </c>
      <c r="E40">
        <f t="shared" si="2"/>
        <v>3.7801565196529891E-7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E9C5-2127-455B-9A0D-58D5DA3F47AA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0.10550631504999999</v>
      </c>
      <c r="B1">
        <v>5.0641771751452229E-2</v>
      </c>
      <c r="C1">
        <f>$H$3*(1+$H$1)*(A1^($H$1))*EXP(-$H$3*(A1^(1+$H$1)))</f>
        <v>0.12012045818397898</v>
      </c>
      <c r="D1">
        <f>B1-C1</f>
        <v>-6.9478686432526748E-2</v>
      </c>
      <c r="E1">
        <f>D1^2</f>
        <v>4.8272878683893765E-3</v>
      </c>
      <c r="G1" t="s">
        <v>0</v>
      </c>
      <c r="H1">
        <v>1.1664205143661481</v>
      </c>
    </row>
    <row r="2" spans="1:8" x14ac:dyDescent="0.25">
      <c r="A2">
        <v>0.19733339314999998</v>
      </c>
      <c r="B2">
        <v>0.19230186300213617</v>
      </c>
      <c r="C2">
        <f t="shared" ref="C2:C40" si="0">$H$3*(1+$H$1)*(A2^($H$1))*EXP(-$H$3*(A2^(1+$H$1)))</f>
        <v>0.24514685850162901</v>
      </c>
      <c r="D2">
        <f t="shared" ref="D2:D40" si="1">B2-C2</f>
        <v>-5.2844995499492842E-2</v>
      </c>
      <c r="E2">
        <f t="shared" ref="E2:E40" si="2">D2^2</f>
        <v>2.7925935493414186E-3</v>
      </c>
    </row>
    <row r="3" spans="1:8" x14ac:dyDescent="0.25">
      <c r="A3">
        <v>0.28916047125</v>
      </c>
      <c r="B3">
        <v>0.35586109879398864</v>
      </c>
      <c r="C3">
        <f t="shared" si="0"/>
        <v>0.37170555499098978</v>
      </c>
      <c r="D3">
        <f t="shared" si="1"/>
        <v>-1.5844456197001144E-2</v>
      </c>
      <c r="E3">
        <f t="shared" si="2"/>
        <v>2.5104679217868798E-4</v>
      </c>
      <c r="G3" t="s">
        <v>1</v>
      </c>
      <c r="H3">
        <f>(_xlfn.GAMMA((2+$H$1)/(1+$H$1)))^(1+$H$1)</f>
        <v>0.76859555028252768</v>
      </c>
    </row>
    <row r="4" spans="1:8" x14ac:dyDescent="0.25">
      <c r="A4">
        <v>0.38098754935000001</v>
      </c>
      <c r="B4">
        <v>0.50025858311231863</v>
      </c>
      <c r="C4">
        <f t="shared" si="0"/>
        <v>0.49129638087109023</v>
      </c>
      <c r="D4">
        <f t="shared" si="1"/>
        <v>8.9622022412284008E-3</v>
      </c>
      <c r="E4">
        <f t="shared" si="2"/>
        <v>8.0321069012679366E-5</v>
      </c>
    </row>
    <row r="5" spans="1:8" x14ac:dyDescent="0.25">
      <c r="A5">
        <v>0.47281462744999997</v>
      </c>
      <c r="B5">
        <v>0.67339869464093227</v>
      </c>
      <c r="C5">
        <f t="shared" si="0"/>
        <v>0.59719701149760629</v>
      </c>
      <c r="D5">
        <f t="shared" si="1"/>
        <v>7.6201683143325982E-2</v>
      </c>
      <c r="E5">
        <f t="shared" si="2"/>
        <v>5.8066965138758508E-3</v>
      </c>
      <c r="G5" t="s">
        <v>2</v>
      </c>
      <c r="H5">
        <f>SUM(E1:E40)</f>
        <v>3.7510582827012688E-2</v>
      </c>
    </row>
    <row r="6" spans="1:8" x14ac:dyDescent="0.25">
      <c r="A6">
        <v>0.56464170554999993</v>
      </c>
      <c r="B6">
        <v>0.77194484507619066</v>
      </c>
      <c r="C6">
        <f t="shared" si="0"/>
        <v>0.68412989741611263</v>
      </c>
      <c r="D6">
        <f t="shared" si="1"/>
        <v>8.7814947660078024E-2</v>
      </c>
      <c r="E6">
        <f t="shared" si="2"/>
        <v>7.711465032542243E-3</v>
      </c>
    </row>
    <row r="7" spans="1:8" x14ac:dyDescent="0.25">
      <c r="A7">
        <v>0.65646878364999994</v>
      </c>
      <c r="B7">
        <v>0.81848052722617382</v>
      </c>
      <c r="C7">
        <f t="shared" si="0"/>
        <v>0.74836964035726306</v>
      </c>
      <c r="D7">
        <f t="shared" si="1"/>
        <v>7.011088686891076E-2</v>
      </c>
      <c r="E7">
        <f t="shared" si="2"/>
        <v>4.915536457545203E-3</v>
      </c>
    </row>
    <row r="8" spans="1:8" x14ac:dyDescent="0.25">
      <c r="A8">
        <v>0.74829586174999996</v>
      </c>
      <c r="B8">
        <v>0.83285184083131569</v>
      </c>
      <c r="C8">
        <f t="shared" si="0"/>
        <v>0.78786868858418047</v>
      </c>
      <c r="D8">
        <f t="shared" si="1"/>
        <v>4.4983152247135227E-2</v>
      </c>
      <c r="E8">
        <f t="shared" si="2"/>
        <v>2.023483986088947E-3</v>
      </c>
    </row>
    <row r="9" spans="1:8" x14ac:dyDescent="0.25">
      <c r="A9">
        <v>0.84012293985000008</v>
      </c>
      <c r="B9">
        <v>0.84448576136881148</v>
      </c>
      <c r="C9">
        <f t="shared" si="0"/>
        <v>0.80228531217512722</v>
      </c>
      <c r="D9">
        <f t="shared" si="1"/>
        <v>4.2200449193684264E-2</v>
      </c>
      <c r="E9">
        <f t="shared" si="2"/>
        <v>1.7808779121487269E-3</v>
      </c>
    </row>
    <row r="10" spans="1:8" x14ac:dyDescent="0.25">
      <c r="A10">
        <v>0.93195001794999999</v>
      </c>
      <c r="B10">
        <v>0.77605093467765984</v>
      </c>
      <c r="C10">
        <f t="shared" si="0"/>
        <v>0.79287944625658413</v>
      </c>
      <c r="D10">
        <f t="shared" si="1"/>
        <v>-1.6828511578924288E-2</v>
      </c>
      <c r="E10">
        <f t="shared" si="2"/>
        <v>2.8319880196198881E-4</v>
      </c>
    </row>
    <row r="11" spans="1:8" x14ac:dyDescent="0.25">
      <c r="A11">
        <v>1.0237770960500001</v>
      </c>
      <c r="B11">
        <v>0.76099527280560642</v>
      </c>
      <c r="C11">
        <f t="shared" si="0"/>
        <v>0.76228013248152693</v>
      </c>
      <c r="D11">
        <f t="shared" si="1"/>
        <v>-1.2848596759205133E-3</v>
      </c>
      <c r="E11">
        <f t="shared" si="2"/>
        <v>1.6508643868065665E-6</v>
      </c>
    </row>
    <row r="12" spans="1:8" x14ac:dyDescent="0.25">
      <c r="A12">
        <v>1.11560417415</v>
      </c>
      <c r="B12">
        <v>0.67887348077622445</v>
      </c>
      <c r="C12">
        <f t="shared" si="0"/>
        <v>0.71415168815975183</v>
      </c>
      <c r="D12">
        <f t="shared" si="1"/>
        <v>-3.5278207383527382E-2</v>
      </c>
      <c r="E12">
        <f t="shared" si="2"/>
        <v>1.2445519161951659E-3</v>
      </c>
    </row>
    <row r="13" spans="1:8" x14ac:dyDescent="0.25">
      <c r="A13">
        <v>1.2074312522499999</v>
      </c>
      <c r="B13">
        <v>0.6296004055585952</v>
      </c>
      <c r="C13">
        <f t="shared" si="0"/>
        <v>0.65279970956005318</v>
      </c>
      <c r="D13">
        <f t="shared" si="1"/>
        <v>-2.3199304001457977E-2</v>
      </c>
      <c r="E13">
        <f t="shared" si="2"/>
        <v>5.3820770615206409E-4</v>
      </c>
    </row>
    <row r="14" spans="1:8" x14ac:dyDescent="0.25">
      <c r="A14">
        <v>1.2992583303499998</v>
      </c>
      <c r="B14">
        <v>0.54131947912700962</v>
      </c>
      <c r="C14">
        <f t="shared" si="0"/>
        <v>0.58276352283412902</v>
      </c>
      <c r="D14">
        <f t="shared" si="1"/>
        <v>-4.1444043707119405E-2</v>
      </c>
      <c r="E14">
        <f t="shared" si="2"/>
        <v>1.7176087587976235E-3</v>
      </c>
    </row>
    <row r="15" spans="1:8" x14ac:dyDescent="0.25">
      <c r="A15">
        <v>1.3910854084499999</v>
      </c>
      <c r="B15">
        <v>0.4872559660409998</v>
      </c>
      <c r="C15">
        <f t="shared" si="0"/>
        <v>0.50843944609505087</v>
      </c>
      <c r="D15">
        <f t="shared" si="1"/>
        <v>-2.1183480054051074E-2</v>
      </c>
      <c r="E15">
        <f t="shared" si="2"/>
        <v>4.4873982720037967E-4</v>
      </c>
    </row>
    <row r="16" spans="1:8" x14ac:dyDescent="0.25">
      <c r="A16">
        <v>1.4829124865499999</v>
      </c>
      <c r="B16">
        <v>0.42498027375205177</v>
      </c>
      <c r="C16">
        <f t="shared" si="0"/>
        <v>0.4337706662790875</v>
      </c>
      <c r="D16">
        <f t="shared" si="1"/>
        <v>-8.7903925270357286E-3</v>
      </c>
      <c r="E16">
        <f t="shared" si="2"/>
        <v>7.7271000779365585E-5</v>
      </c>
    </row>
    <row r="17" spans="1:5" x14ac:dyDescent="0.25">
      <c r="A17">
        <v>1.57473956465</v>
      </c>
      <c r="B17">
        <v>0.32711847158370494</v>
      </c>
      <c r="C17">
        <f t="shared" si="0"/>
        <v>0.36202685080558672</v>
      </c>
      <c r="D17">
        <f t="shared" si="1"/>
        <v>-3.490837922188178E-2</v>
      </c>
      <c r="E17">
        <f t="shared" si="2"/>
        <v>1.2185949398987076E-3</v>
      </c>
    </row>
    <row r="18" spans="1:5" x14ac:dyDescent="0.25">
      <c r="A18">
        <v>1.6665666427499999</v>
      </c>
      <c r="B18">
        <v>0.26894886889622599</v>
      </c>
      <c r="C18">
        <f t="shared" si="0"/>
        <v>0.295682366497031</v>
      </c>
      <c r="D18">
        <f t="shared" si="1"/>
        <v>-2.6733497600805012E-2</v>
      </c>
      <c r="E18">
        <f t="shared" si="2"/>
        <v>7.1467989397224732E-4</v>
      </c>
    </row>
    <row r="19" spans="1:5" x14ac:dyDescent="0.25">
      <c r="A19">
        <v>1.75839372085</v>
      </c>
      <c r="B19">
        <v>0.22925666941535805</v>
      </c>
      <c r="C19">
        <f t="shared" si="0"/>
        <v>0.23638862338983588</v>
      </c>
      <c r="D19">
        <f t="shared" si="1"/>
        <v>-7.1319539744778282E-3</v>
      </c>
      <c r="E19">
        <f t="shared" si="2"/>
        <v>5.0864767494070087E-5</v>
      </c>
    </row>
    <row r="20" spans="1:5" x14ac:dyDescent="0.25">
      <c r="A20">
        <v>1.8502207989499999</v>
      </c>
      <c r="B20">
        <v>0.16561228059258701</v>
      </c>
      <c r="C20">
        <f t="shared" si="0"/>
        <v>0.18502552836940661</v>
      </c>
      <c r="D20">
        <f t="shared" si="1"/>
        <v>-1.9413247776819603E-2</v>
      </c>
      <c r="E20">
        <f t="shared" si="2"/>
        <v>3.7687418924419125E-4</v>
      </c>
    </row>
    <row r="21" spans="1:5" x14ac:dyDescent="0.25">
      <c r="A21">
        <v>1.9420478770499998</v>
      </c>
      <c r="B21">
        <v>0.13686965338230331</v>
      </c>
      <c r="C21">
        <f t="shared" si="0"/>
        <v>0.14181045570707984</v>
      </c>
      <c r="D21">
        <f t="shared" si="1"/>
        <v>-4.9408023247765331E-3</v>
      </c>
      <c r="E21">
        <f t="shared" si="2"/>
        <v>2.4411527612517194E-5</v>
      </c>
    </row>
    <row r="22" spans="1:5" x14ac:dyDescent="0.25">
      <c r="A22">
        <v>2.0338749551499999</v>
      </c>
      <c r="B22">
        <v>0.11018007097275417</v>
      </c>
      <c r="C22">
        <f t="shared" si="0"/>
        <v>0.10644078224165472</v>
      </c>
      <c r="D22">
        <f t="shared" si="1"/>
        <v>3.7392887310994521E-3</v>
      </c>
      <c r="E22">
        <f t="shared" si="2"/>
        <v>1.398228021452735E-5</v>
      </c>
    </row>
    <row r="23" spans="1:5" x14ac:dyDescent="0.25">
      <c r="A23">
        <v>2.1257020332499996</v>
      </c>
      <c r="B23">
        <v>9.6493105634523832E-2</v>
      </c>
      <c r="C23">
        <f t="shared" si="0"/>
        <v>7.8247400210932613E-2</v>
      </c>
      <c r="D23">
        <f t="shared" si="1"/>
        <v>1.8245705423591219E-2</v>
      </c>
      <c r="E23">
        <f t="shared" si="2"/>
        <v>3.3290576640446603E-4</v>
      </c>
    </row>
    <row r="24" spans="1:5" x14ac:dyDescent="0.25">
      <c r="A24">
        <v>2.2175291113499997</v>
      </c>
      <c r="B24">
        <v>5.0641771751452229E-2</v>
      </c>
      <c r="C24">
        <f t="shared" si="0"/>
        <v>5.634069911050138E-2</v>
      </c>
      <c r="D24">
        <f t="shared" si="1"/>
        <v>-5.698927359049151E-3</v>
      </c>
      <c r="E24">
        <f t="shared" si="2"/>
        <v>3.247777304371893E-5</v>
      </c>
    </row>
    <row r="25" spans="1:5" x14ac:dyDescent="0.25">
      <c r="A25">
        <v>2.3093561894499999</v>
      </c>
      <c r="B25">
        <v>4.3798289082337058E-2</v>
      </c>
      <c r="C25">
        <f t="shared" si="0"/>
        <v>3.9736063687364404E-2</v>
      </c>
      <c r="D25">
        <f t="shared" si="1"/>
        <v>4.0622253949726544E-3</v>
      </c>
      <c r="E25">
        <f t="shared" si="2"/>
        <v>1.6501675159560739E-5</v>
      </c>
    </row>
    <row r="26" spans="1:5" x14ac:dyDescent="0.25">
      <c r="A26">
        <v>2.4011832675499996</v>
      </c>
      <c r="B26">
        <v>2.9426975477195211E-2</v>
      </c>
      <c r="C26">
        <f t="shared" si="0"/>
        <v>2.7451781808003319E-2</v>
      </c>
      <c r="D26">
        <f t="shared" si="1"/>
        <v>1.975193669191893E-3</v>
      </c>
      <c r="E26">
        <f t="shared" si="2"/>
        <v>3.9013900308157335E-6</v>
      </c>
    </row>
    <row r="27" spans="1:5" x14ac:dyDescent="0.25">
      <c r="A27">
        <v>2.4930103456500001</v>
      </c>
      <c r="B27">
        <v>2.3952189341903081E-2</v>
      </c>
      <c r="C27">
        <f t="shared" si="0"/>
        <v>1.8577456890480813E-2</v>
      </c>
      <c r="D27">
        <f t="shared" si="1"/>
        <v>5.3747324514222677E-3</v>
      </c>
      <c r="E27">
        <f t="shared" si="2"/>
        <v>2.8887748924371618E-5</v>
      </c>
    </row>
    <row r="28" spans="1:5" x14ac:dyDescent="0.25">
      <c r="A28">
        <v>2.5848374237499998</v>
      </c>
      <c r="B28">
        <v>1.7108706672787913E-2</v>
      </c>
      <c r="C28">
        <f t="shared" si="0"/>
        <v>1.2314990974609825E-2</v>
      </c>
      <c r="D28">
        <f t="shared" si="1"/>
        <v>4.7937156981780887E-3</v>
      </c>
      <c r="E28">
        <f t="shared" si="2"/>
        <v>2.2979710194959039E-5</v>
      </c>
    </row>
    <row r="29" spans="1:5" x14ac:dyDescent="0.25">
      <c r="A29">
        <v>2.6766645018499995</v>
      </c>
      <c r="B29">
        <v>1.5055661872053365E-2</v>
      </c>
      <c r="C29">
        <f t="shared" si="0"/>
        <v>7.9967233017678926E-3</v>
      </c>
      <c r="D29">
        <f t="shared" si="1"/>
        <v>7.0589385702854723E-3</v>
      </c>
      <c r="E29">
        <f t="shared" si="2"/>
        <v>4.9828613739063909E-5</v>
      </c>
    </row>
    <row r="30" spans="1:5" x14ac:dyDescent="0.25">
      <c r="A30">
        <v>2.7684915799500001</v>
      </c>
      <c r="B30">
        <v>1.3002617071318815E-2</v>
      </c>
      <c r="C30">
        <f t="shared" si="0"/>
        <v>5.0864502114861213E-3</v>
      </c>
      <c r="D30">
        <f t="shared" si="1"/>
        <v>7.9161668598326934E-3</v>
      </c>
      <c r="E30">
        <f t="shared" si="2"/>
        <v>6.2665697752713407E-5</v>
      </c>
    </row>
    <row r="31" spans="1:5" x14ac:dyDescent="0.25">
      <c r="A31">
        <v>2.8603186580499997</v>
      </c>
      <c r="B31">
        <v>9.5808757367612327E-3</v>
      </c>
      <c r="C31">
        <f t="shared" si="0"/>
        <v>3.1690861747965702E-3</v>
      </c>
      <c r="D31">
        <f t="shared" si="1"/>
        <v>6.4117895619646625E-3</v>
      </c>
      <c r="E31">
        <f t="shared" si="2"/>
        <v>4.1111045386919002E-5</v>
      </c>
    </row>
    <row r="32" spans="1:5" x14ac:dyDescent="0.25">
      <c r="A32">
        <v>2.9521457361499999</v>
      </c>
      <c r="B32">
        <v>2.7373930676460661E-3</v>
      </c>
      <c r="C32">
        <f t="shared" si="0"/>
        <v>1.9340120775884369E-3</v>
      </c>
      <c r="D32">
        <f t="shared" si="1"/>
        <v>8.0338099005762922E-4</v>
      </c>
      <c r="E32">
        <f t="shared" si="2"/>
        <v>6.4542101518597656E-7</v>
      </c>
    </row>
    <row r="33" spans="1:5" x14ac:dyDescent="0.25">
      <c r="A33">
        <v>3.04397281425</v>
      </c>
      <c r="B33">
        <v>2.0530448007345498E-3</v>
      </c>
      <c r="C33">
        <f t="shared" si="0"/>
        <v>1.1560524252951703E-3</v>
      </c>
      <c r="D33">
        <f t="shared" si="1"/>
        <v>8.9699237543937956E-4</v>
      </c>
      <c r="E33">
        <f t="shared" si="2"/>
        <v>8.0459532159638082E-7</v>
      </c>
    </row>
    <row r="34" spans="1:5" x14ac:dyDescent="0.25">
      <c r="A34">
        <v>3.1357998923499997</v>
      </c>
      <c r="B34">
        <v>2.0530448007345498E-3</v>
      </c>
      <c r="C34">
        <f t="shared" si="0"/>
        <v>6.7682238284260527E-4</v>
      </c>
      <c r="D34">
        <f t="shared" si="1"/>
        <v>1.3762224178919444E-3</v>
      </c>
      <c r="E34">
        <f t="shared" si="2"/>
        <v>1.8939881435083497E-6</v>
      </c>
    </row>
    <row r="35" spans="1:5" x14ac:dyDescent="0.25">
      <c r="A35">
        <v>3.2276269704499998</v>
      </c>
      <c r="B35">
        <v>4.1060896014690996E-3</v>
      </c>
      <c r="C35">
        <f t="shared" si="0"/>
        <v>3.8809219688124176E-4</v>
      </c>
      <c r="D35">
        <f t="shared" si="1"/>
        <v>3.7179974045878578E-3</v>
      </c>
      <c r="E35">
        <f t="shared" si="2"/>
        <v>1.3823504700522046E-5</v>
      </c>
    </row>
    <row r="36" spans="1:5" x14ac:dyDescent="0.25">
      <c r="A36">
        <v>3.3194540485499999</v>
      </c>
      <c r="B36">
        <v>1.3686965338230331E-3</v>
      </c>
      <c r="C36">
        <f t="shared" si="0"/>
        <v>2.1794207671785762E-4</v>
      </c>
      <c r="D36">
        <f t="shared" si="1"/>
        <v>1.1507544571051755E-3</v>
      </c>
      <c r="E36">
        <f t="shared" si="2"/>
        <v>1.3242358205474271E-6</v>
      </c>
    </row>
    <row r="37" spans="1:5" x14ac:dyDescent="0.25">
      <c r="A37">
        <v>3.4112811266500001</v>
      </c>
      <c r="B37">
        <v>0</v>
      </c>
      <c r="C37">
        <f t="shared" si="0"/>
        <v>1.1986024767838774E-4</v>
      </c>
      <c r="D37">
        <f t="shared" si="1"/>
        <v>-1.1986024767838774E-4</v>
      </c>
      <c r="E37">
        <f t="shared" si="2"/>
        <v>1.4366478973524453E-8</v>
      </c>
    </row>
    <row r="38" spans="1:5" x14ac:dyDescent="0.25">
      <c r="A38">
        <v>3.5031082047499997</v>
      </c>
      <c r="B38">
        <v>0</v>
      </c>
      <c r="C38">
        <f t="shared" si="0"/>
        <v>6.4553269355343616E-5</v>
      </c>
      <c r="D38">
        <f t="shared" si="1"/>
        <v>-6.4553269355343616E-5</v>
      </c>
      <c r="E38">
        <f t="shared" si="2"/>
        <v>4.1671245844635449E-9</v>
      </c>
    </row>
    <row r="39" spans="1:5" x14ac:dyDescent="0.25">
      <c r="A39">
        <v>3.5949352828499999</v>
      </c>
      <c r="B39">
        <v>6.8434826691151653E-4</v>
      </c>
      <c r="C39">
        <f t="shared" si="0"/>
        <v>3.4044789341860159E-5</v>
      </c>
      <c r="D39">
        <f t="shared" si="1"/>
        <v>6.5030347756965643E-4</v>
      </c>
      <c r="E39">
        <f t="shared" si="2"/>
        <v>4.2289461293918865E-7</v>
      </c>
    </row>
    <row r="40" spans="1:5" x14ac:dyDescent="0.25">
      <c r="A40">
        <v>3.6867623609499995</v>
      </c>
      <c r="B40">
        <v>6.8434826691151653E-4</v>
      </c>
      <c r="C40">
        <f t="shared" si="0"/>
        <v>1.7581347034189833E-5</v>
      </c>
      <c r="D40">
        <f t="shared" si="1"/>
        <v>6.6676691987732671E-4</v>
      </c>
      <c r="E40">
        <f t="shared" si="2"/>
        <v>4.4457812544269743E-7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CC01F-7FF3-4FC4-A632-E22D52188B8A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8.8507549374999994E-2</v>
      </c>
      <c r="B1">
        <v>1.1690492398951745E-2</v>
      </c>
      <c r="C1">
        <f>$H$3*(1+$H$1)*(A1^($H$1))*EXP(-$H$3*(A1^(1+$H$1)))</f>
        <v>6.725809535854041E-2</v>
      </c>
      <c r="D1">
        <f>B1-C1</f>
        <v>-5.5567602959588666E-2</v>
      </c>
      <c r="E1">
        <f>D1^2</f>
        <v>3.087758498674487E-3</v>
      </c>
      <c r="G1" t="s">
        <v>0</v>
      </c>
      <c r="H1">
        <v>1.3470518624254197</v>
      </c>
    </row>
    <row r="2" spans="1:8" x14ac:dyDescent="0.25">
      <c r="A2">
        <v>0.17451481012499998</v>
      </c>
      <c r="B2">
        <v>7.8910823692924278E-2</v>
      </c>
      <c r="C2">
        <f t="shared" ref="C2:C40" si="0">$H$3*(1+$H$1)*(A2^($H$1))*EXP(-$H$3*(A2^(1+$H$1)))</f>
        <v>0.16618649290809231</v>
      </c>
      <c r="D2">
        <f t="shared" ref="D2:D40" si="1">B2-C2</f>
        <v>-8.7275669215168036E-2</v>
      </c>
      <c r="E2">
        <f t="shared" ref="E2:E40" si="2">D2^2</f>
        <v>7.6170424369554294E-3</v>
      </c>
    </row>
    <row r="3" spans="1:8" x14ac:dyDescent="0.25">
      <c r="A3">
        <v>0.26052207087500001</v>
      </c>
      <c r="B3">
        <v>0.24038574995344528</v>
      </c>
      <c r="C3">
        <f t="shared" si="0"/>
        <v>0.27958667834685413</v>
      </c>
      <c r="D3">
        <f t="shared" si="1"/>
        <v>-3.9200928393408857E-2</v>
      </c>
      <c r="E3">
        <f t="shared" si="2"/>
        <v>1.5367127869051688E-3</v>
      </c>
      <c r="G3" t="s">
        <v>1</v>
      </c>
      <c r="H3">
        <f>(_xlfn.GAMMA((2+$H$1)/(1+$H$1)))^(1+$H$1)</f>
        <v>0.7530057878905233</v>
      </c>
    </row>
    <row r="4" spans="1:8" x14ac:dyDescent="0.25">
      <c r="A4">
        <v>0.34652933162499999</v>
      </c>
      <c r="B4">
        <v>0.40916723396331112</v>
      </c>
      <c r="C4">
        <f t="shared" si="0"/>
        <v>0.3982373246616262</v>
      </c>
      <c r="D4">
        <f t="shared" si="1"/>
        <v>1.0929909301684915E-2</v>
      </c>
      <c r="E4">
        <f t="shared" si="2"/>
        <v>1.1946291734305842E-4</v>
      </c>
    </row>
    <row r="5" spans="1:8" x14ac:dyDescent="0.25">
      <c r="A5">
        <v>0.43253659237499997</v>
      </c>
      <c r="B5">
        <v>0.52022691175335267</v>
      </c>
      <c r="C5">
        <f t="shared" si="0"/>
        <v>0.51437933850629192</v>
      </c>
      <c r="D5">
        <f t="shared" si="1"/>
        <v>5.8475732470607555E-3</v>
      </c>
      <c r="E5">
        <f t="shared" si="2"/>
        <v>3.4194112879740668E-5</v>
      </c>
      <c r="G5" t="s">
        <v>2</v>
      </c>
      <c r="H5">
        <f>SUM(E1:E40)</f>
        <v>5.623287185329047E-2</v>
      </c>
    </row>
    <row r="6" spans="1:8" x14ac:dyDescent="0.25">
      <c r="A6">
        <v>0.51854385312499995</v>
      </c>
      <c r="B6">
        <v>0.72188790563527028</v>
      </c>
      <c r="C6">
        <f t="shared" si="0"/>
        <v>0.62102740415304525</v>
      </c>
      <c r="D6">
        <f t="shared" si="1"/>
        <v>0.10086050148222503</v>
      </c>
      <c r="E6">
        <f t="shared" si="2"/>
        <v>1.0172840759245917E-2</v>
      </c>
    </row>
    <row r="7" spans="1:8" x14ac:dyDescent="0.25">
      <c r="A7">
        <v>0.60455111387499993</v>
      </c>
      <c r="B7">
        <v>0.8161425006018187</v>
      </c>
      <c r="C7">
        <f t="shared" si="0"/>
        <v>0.71208543913680244</v>
      </c>
      <c r="D7">
        <f t="shared" si="1"/>
        <v>0.10405706146501625</v>
      </c>
      <c r="E7">
        <f t="shared" si="2"/>
        <v>1.082787204073417E-2</v>
      </c>
    </row>
    <row r="8" spans="1:8" x14ac:dyDescent="0.25">
      <c r="A8">
        <v>0.69055837462499992</v>
      </c>
      <c r="B8">
        <v>0.87532561837151202</v>
      </c>
      <c r="C8">
        <f t="shared" si="0"/>
        <v>0.78265676073438961</v>
      </c>
      <c r="D8">
        <f t="shared" si="1"/>
        <v>9.2668857637122404E-2</v>
      </c>
      <c r="E8">
        <f t="shared" si="2"/>
        <v>8.5875171757692596E-3</v>
      </c>
    </row>
    <row r="9" spans="1:8" x14ac:dyDescent="0.25">
      <c r="A9">
        <v>0.77656563537500001</v>
      </c>
      <c r="B9">
        <v>0.87897889724618439</v>
      </c>
      <c r="C9">
        <f t="shared" si="0"/>
        <v>0.82935535472529687</v>
      </c>
      <c r="D9">
        <f t="shared" si="1"/>
        <v>4.962354252088752E-2</v>
      </c>
      <c r="E9">
        <f t="shared" si="2"/>
        <v>2.4624959723223319E-3</v>
      </c>
    </row>
    <row r="10" spans="1:8" x14ac:dyDescent="0.25">
      <c r="A10">
        <v>0.86257289612499999</v>
      </c>
      <c r="B10">
        <v>0.87459496259657743</v>
      </c>
      <c r="C10">
        <f t="shared" si="0"/>
        <v>0.85052210182835486</v>
      </c>
      <c r="D10">
        <f t="shared" si="1"/>
        <v>2.407286076822257E-2</v>
      </c>
      <c r="E10">
        <f t="shared" si="2"/>
        <v>5.7950262556622932E-4</v>
      </c>
    </row>
    <row r="11" spans="1:8" x14ac:dyDescent="0.25">
      <c r="A11">
        <v>0.94858015687500008</v>
      </c>
      <c r="B11">
        <v>0.85705922399814982</v>
      </c>
      <c r="C11">
        <f t="shared" si="0"/>
        <v>0.84629310929187007</v>
      </c>
      <c r="D11">
        <f t="shared" si="1"/>
        <v>1.076611470627975E-2</v>
      </c>
      <c r="E11">
        <f t="shared" si="2"/>
        <v>1.1590922586877311E-4</v>
      </c>
    </row>
    <row r="12" spans="1:8" x14ac:dyDescent="0.25">
      <c r="A12">
        <v>1.0345874176250001</v>
      </c>
      <c r="B12">
        <v>0.79860676200339109</v>
      </c>
      <c r="C12">
        <f t="shared" si="0"/>
        <v>0.81849970776618508</v>
      </c>
      <c r="D12">
        <f t="shared" si="1"/>
        <v>-1.989294576279399E-2</v>
      </c>
      <c r="E12">
        <f t="shared" si="2"/>
        <v>3.9572929112146335E-4</v>
      </c>
    </row>
    <row r="13" spans="1:8" x14ac:dyDescent="0.25">
      <c r="A13">
        <v>1.120594678375</v>
      </c>
      <c r="B13">
        <v>0.73796233268382894</v>
      </c>
      <c r="C13">
        <f t="shared" si="0"/>
        <v>0.77040877664435181</v>
      </c>
      <c r="D13">
        <f t="shared" si="1"/>
        <v>-3.2446443960522875E-2</v>
      </c>
      <c r="E13">
        <f t="shared" si="2"/>
        <v>1.0527717256833514E-3</v>
      </c>
    </row>
    <row r="14" spans="1:8" x14ac:dyDescent="0.25">
      <c r="A14">
        <v>1.206601939125</v>
      </c>
      <c r="B14">
        <v>0.69120036308802202</v>
      </c>
      <c r="C14">
        <f t="shared" si="0"/>
        <v>0.7063369377939156</v>
      </c>
      <c r="D14">
        <f t="shared" si="1"/>
        <v>-1.513657470589358E-2</v>
      </c>
      <c r="E14">
        <f t="shared" si="2"/>
        <v>2.291158938270973E-4</v>
      </c>
    </row>
    <row r="15" spans="1:8" x14ac:dyDescent="0.25">
      <c r="A15">
        <v>1.292609199875</v>
      </c>
      <c r="B15">
        <v>0.58890855459719416</v>
      </c>
      <c r="C15">
        <f t="shared" si="0"/>
        <v>0.63118995310252235</v>
      </c>
      <c r="D15">
        <f t="shared" si="1"/>
        <v>-4.2281398505328194E-2</v>
      </c>
      <c r="E15">
        <f t="shared" si="2"/>
        <v>1.7877166595663691E-3</v>
      </c>
    </row>
    <row r="16" spans="1:8" x14ac:dyDescent="0.25">
      <c r="A16">
        <v>1.378616460625</v>
      </c>
      <c r="B16">
        <v>0.49830723850531816</v>
      </c>
      <c r="C16">
        <f t="shared" si="0"/>
        <v>0.54998699101100756</v>
      </c>
      <c r="D16">
        <f t="shared" si="1"/>
        <v>-5.1679752505689402E-2</v>
      </c>
      <c r="E16">
        <f t="shared" si="2"/>
        <v>2.6707968190493102E-3</v>
      </c>
    </row>
    <row r="17" spans="1:5" x14ac:dyDescent="0.25">
      <c r="A17">
        <v>1.4646237213749997</v>
      </c>
      <c r="B17">
        <v>0.44058543228549391</v>
      </c>
      <c r="C17">
        <f t="shared" si="0"/>
        <v>0.4674274792231064</v>
      </c>
      <c r="D17">
        <f t="shared" si="1"/>
        <v>-2.6842046937612496E-2</v>
      </c>
      <c r="E17">
        <f t="shared" si="2"/>
        <v>7.2049548380099236E-4</v>
      </c>
    </row>
    <row r="18" spans="1:5" x14ac:dyDescent="0.25">
      <c r="A18">
        <v>1.5506309821249999</v>
      </c>
      <c r="B18">
        <v>0.35436805084322481</v>
      </c>
      <c r="C18">
        <f t="shared" si="0"/>
        <v>0.3875471441237569</v>
      </c>
      <c r="D18">
        <f t="shared" si="1"/>
        <v>-3.317909328053209E-2</v>
      </c>
      <c r="E18">
        <f t="shared" si="2"/>
        <v>1.1008522309182496E-3</v>
      </c>
    </row>
    <row r="19" spans="1:5" x14ac:dyDescent="0.25">
      <c r="A19">
        <v>1.6366382428749997</v>
      </c>
      <c r="B19">
        <v>0.26449739052628324</v>
      </c>
      <c r="C19">
        <f t="shared" si="0"/>
        <v>0.31349233607165183</v>
      </c>
      <c r="D19">
        <f t="shared" si="1"/>
        <v>-4.8994945545368596E-2</v>
      </c>
      <c r="E19">
        <f t="shared" si="2"/>
        <v>2.4005046889936342E-3</v>
      </c>
    </row>
    <row r="20" spans="1:5" x14ac:dyDescent="0.25">
      <c r="A20">
        <v>1.7226455036249999</v>
      </c>
      <c r="B20">
        <v>0.2389244384035763</v>
      </c>
      <c r="C20">
        <f t="shared" si="0"/>
        <v>0.24742163222465599</v>
      </c>
      <c r="D20">
        <f t="shared" si="1"/>
        <v>-8.4971938210796905E-3</v>
      </c>
      <c r="E20">
        <f t="shared" si="2"/>
        <v>7.2202302832994871E-5</v>
      </c>
    </row>
    <row r="21" spans="1:5" x14ac:dyDescent="0.25">
      <c r="A21">
        <v>1.8086527643750001</v>
      </c>
      <c r="B21">
        <v>0.18631722260829345</v>
      </c>
      <c r="C21">
        <f t="shared" si="0"/>
        <v>0.19052487985925878</v>
      </c>
      <c r="D21">
        <f t="shared" si="1"/>
        <v>-4.2076572509653354E-3</v>
      </c>
      <c r="E21">
        <f t="shared" si="2"/>
        <v>1.7704379541601163E-5</v>
      </c>
    </row>
    <row r="22" spans="1:5" x14ac:dyDescent="0.25">
      <c r="A22">
        <v>1.8946600251250001</v>
      </c>
      <c r="B22">
        <v>0.14540049921196233</v>
      </c>
      <c r="C22">
        <f t="shared" si="0"/>
        <v>0.14313544266342837</v>
      </c>
      <c r="D22">
        <f t="shared" si="1"/>
        <v>2.2650565485339558E-3</v>
      </c>
      <c r="E22">
        <f t="shared" si="2"/>
        <v>5.1304811680565561E-6</v>
      </c>
    </row>
    <row r="23" spans="1:5" x14ac:dyDescent="0.25">
      <c r="A23">
        <v>1.9806672858749999</v>
      </c>
      <c r="B23">
        <v>0.10375312004069674</v>
      </c>
      <c r="C23">
        <f t="shared" si="0"/>
        <v>0.10490327388764925</v>
      </c>
      <c r="D23">
        <f t="shared" si="1"/>
        <v>-1.1501538469525091E-3</v>
      </c>
      <c r="E23">
        <f t="shared" si="2"/>
        <v>1.3228538716596558E-6</v>
      </c>
    </row>
    <row r="24" spans="1:5" x14ac:dyDescent="0.25">
      <c r="A24">
        <v>2.0666745466249994</v>
      </c>
      <c r="B24">
        <v>9.133197186681051E-2</v>
      </c>
      <c r="C24">
        <f t="shared" si="0"/>
        <v>7.4994882806129162E-2</v>
      </c>
      <c r="D24">
        <f t="shared" si="1"/>
        <v>1.6337089060681348E-2</v>
      </c>
      <c r="E24">
        <f t="shared" si="2"/>
        <v>2.6690047897663416E-4</v>
      </c>
    </row>
    <row r="25" spans="1:5" x14ac:dyDescent="0.25">
      <c r="A25">
        <v>2.152681807375</v>
      </c>
      <c r="B25">
        <v>5.2607215795282859E-2</v>
      </c>
      <c r="C25">
        <f t="shared" si="0"/>
        <v>5.2290272523811694E-2</v>
      </c>
      <c r="D25">
        <f t="shared" si="1"/>
        <v>3.1694327147116508E-4</v>
      </c>
      <c r="E25">
        <f t="shared" si="2"/>
        <v>1.0045303733084465E-7</v>
      </c>
    </row>
    <row r="26" spans="1:5" x14ac:dyDescent="0.25">
      <c r="A26">
        <v>2.2386890681249998</v>
      </c>
      <c r="B26">
        <v>3.5071477196855237E-2</v>
      </c>
      <c r="C26">
        <f t="shared" si="0"/>
        <v>3.5554624493929252E-2</v>
      </c>
      <c r="D26">
        <f t="shared" si="1"/>
        <v>-4.8314729707401444E-4</v>
      </c>
      <c r="E26">
        <f t="shared" si="2"/>
        <v>2.3343131066992596E-7</v>
      </c>
    </row>
    <row r="27" spans="1:5" x14ac:dyDescent="0.25">
      <c r="A27">
        <v>2.324696328875</v>
      </c>
      <c r="B27">
        <v>3.2148854097117298E-2</v>
      </c>
      <c r="C27">
        <f t="shared" si="0"/>
        <v>2.357170822017501E-2</v>
      </c>
      <c r="D27">
        <f t="shared" si="1"/>
        <v>8.5771458769422874E-3</v>
      </c>
      <c r="E27">
        <f t="shared" si="2"/>
        <v>7.3567431394348082E-5</v>
      </c>
    </row>
    <row r="28" spans="1:5" x14ac:dyDescent="0.25">
      <c r="A28">
        <v>2.4107035896250002</v>
      </c>
      <c r="B28">
        <v>2.1919673248034524E-2</v>
      </c>
      <c r="C28">
        <f t="shared" si="0"/>
        <v>1.5234750344484078E-2</v>
      </c>
      <c r="D28">
        <f t="shared" si="1"/>
        <v>6.6849229035504457E-3</v>
      </c>
      <c r="E28">
        <f t="shared" si="2"/>
        <v>4.4688194226413323E-5</v>
      </c>
    </row>
    <row r="29" spans="1:5" x14ac:dyDescent="0.25">
      <c r="A29">
        <v>2.496710850375</v>
      </c>
      <c r="B29">
        <v>1.6805082823493134E-2</v>
      </c>
      <c r="C29">
        <f t="shared" si="0"/>
        <v>9.5974328647313624E-3</v>
      </c>
      <c r="D29">
        <f t="shared" si="1"/>
        <v>7.2076499587617714E-3</v>
      </c>
      <c r="E29">
        <f t="shared" si="2"/>
        <v>5.1950217928038566E-5</v>
      </c>
    </row>
    <row r="30" spans="1:5" x14ac:dyDescent="0.25">
      <c r="A30">
        <v>2.5827181111249997</v>
      </c>
      <c r="B30">
        <v>1.7535738598427619E-2</v>
      </c>
      <c r="C30">
        <f t="shared" si="0"/>
        <v>5.8921486731188955E-3</v>
      </c>
      <c r="D30">
        <f t="shared" si="1"/>
        <v>1.1643589925308723E-2</v>
      </c>
      <c r="E30">
        <f t="shared" si="2"/>
        <v>1.355731863487508E-4</v>
      </c>
    </row>
    <row r="31" spans="1:5" x14ac:dyDescent="0.25">
      <c r="A31">
        <v>2.6687253718749999</v>
      </c>
      <c r="B31">
        <v>9.4985250741482941E-3</v>
      </c>
      <c r="C31">
        <f t="shared" si="0"/>
        <v>3.5246213277852355E-3</v>
      </c>
      <c r="D31">
        <f t="shared" si="1"/>
        <v>5.9739037463630591E-3</v>
      </c>
      <c r="E31">
        <f t="shared" si="2"/>
        <v>3.5687525970810592E-5</v>
      </c>
    </row>
    <row r="32" spans="1:5" x14ac:dyDescent="0.25">
      <c r="A32">
        <v>2.7547326326250001</v>
      </c>
      <c r="B32">
        <v>5.1145904245413886E-3</v>
      </c>
      <c r="C32">
        <f t="shared" si="0"/>
        <v>2.0539554067734575E-3</v>
      </c>
      <c r="D32">
        <f t="shared" si="1"/>
        <v>3.0606350177679311E-3</v>
      </c>
      <c r="E32">
        <f t="shared" si="2"/>
        <v>9.3674867119873044E-6</v>
      </c>
    </row>
    <row r="33" spans="1:5" x14ac:dyDescent="0.25">
      <c r="A33">
        <v>2.8407398933749999</v>
      </c>
      <c r="B33">
        <v>3.6532788746724207E-3</v>
      </c>
      <c r="C33">
        <f t="shared" si="0"/>
        <v>1.1658097662083909E-3</v>
      </c>
      <c r="D33">
        <f t="shared" si="1"/>
        <v>2.4874691084640298E-3</v>
      </c>
      <c r="E33">
        <f t="shared" si="2"/>
        <v>6.1875025655628351E-6</v>
      </c>
    </row>
    <row r="34" spans="1:5" x14ac:dyDescent="0.25">
      <c r="A34">
        <v>2.9267471541249996</v>
      </c>
      <c r="B34">
        <v>3.6532788746724207E-3</v>
      </c>
      <c r="C34">
        <f t="shared" si="0"/>
        <v>6.4437682667034567E-4</v>
      </c>
      <c r="D34">
        <f t="shared" si="1"/>
        <v>3.0089020480020749E-3</v>
      </c>
      <c r="E34">
        <f t="shared" si="2"/>
        <v>9.0534915344710806E-6</v>
      </c>
    </row>
    <row r="35" spans="1:5" x14ac:dyDescent="0.25">
      <c r="A35">
        <v>3.0127544148749998</v>
      </c>
      <c r="B35">
        <v>1.4613115498689681E-3</v>
      </c>
      <c r="C35">
        <f t="shared" si="0"/>
        <v>3.4677231880355915E-4</v>
      </c>
      <c r="D35">
        <f t="shared" si="1"/>
        <v>1.1145392310654089E-3</v>
      </c>
      <c r="E35">
        <f t="shared" si="2"/>
        <v>1.2421976975838729E-6</v>
      </c>
    </row>
    <row r="36" spans="1:5" x14ac:dyDescent="0.25">
      <c r="A36">
        <v>3.098761675625</v>
      </c>
      <c r="B36">
        <v>1.4613115498689681E-3</v>
      </c>
      <c r="C36">
        <f t="shared" si="0"/>
        <v>1.8165924400067554E-4</v>
      </c>
      <c r="D36">
        <f t="shared" si="1"/>
        <v>1.2796523058682925E-3</v>
      </c>
      <c r="E36">
        <f t="shared" si="2"/>
        <v>1.6375100239140382E-6</v>
      </c>
    </row>
    <row r="37" spans="1:5" x14ac:dyDescent="0.25">
      <c r="A37">
        <v>3.1847689363749998</v>
      </c>
      <c r="B37">
        <v>0</v>
      </c>
      <c r="C37">
        <f t="shared" si="0"/>
        <v>9.261795240370283E-5</v>
      </c>
      <c r="D37">
        <f t="shared" si="1"/>
        <v>-9.261795240370283E-5</v>
      </c>
      <c r="E37">
        <f t="shared" si="2"/>
        <v>8.578085107454563E-9</v>
      </c>
    </row>
    <row r="38" spans="1:5" x14ac:dyDescent="0.25">
      <c r="A38">
        <v>3.2707761971249996</v>
      </c>
      <c r="B38">
        <v>0</v>
      </c>
      <c r="C38">
        <f t="shared" si="0"/>
        <v>4.5948713108775746E-5</v>
      </c>
      <c r="D38">
        <f t="shared" si="1"/>
        <v>-4.5948713108775746E-5</v>
      </c>
      <c r="E38">
        <f t="shared" si="2"/>
        <v>2.1112842363525802E-9</v>
      </c>
    </row>
    <row r="39" spans="1:5" x14ac:dyDescent="0.25">
      <c r="A39">
        <v>3.3567834578749998</v>
      </c>
      <c r="B39">
        <v>7.3065577493448407E-4</v>
      </c>
      <c r="C39">
        <f t="shared" si="0"/>
        <v>2.2177263889337517E-5</v>
      </c>
      <c r="D39">
        <f t="shared" si="1"/>
        <v>7.0847851104514654E-4</v>
      </c>
      <c r="E39">
        <f t="shared" si="2"/>
        <v>5.0194180061274779E-7</v>
      </c>
    </row>
    <row r="40" spans="1:5" x14ac:dyDescent="0.25">
      <c r="A40">
        <v>3.442790718625</v>
      </c>
      <c r="B40">
        <v>7.3065577493448407E-4</v>
      </c>
      <c r="C40">
        <f t="shared" si="0"/>
        <v>1.0411542289226086E-5</v>
      </c>
      <c r="D40">
        <f t="shared" si="1"/>
        <v>7.2024423264525797E-4</v>
      </c>
      <c r="E40">
        <f t="shared" si="2"/>
        <v>5.1875175465875649E-7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E78D-481D-4B89-ACAF-0BAF9AFC78B4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0.1506648535125</v>
      </c>
      <c r="B1">
        <v>2.0183012226289907E-2</v>
      </c>
      <c r="C1">
        <f>$H$3*(1+$H$1)*(A1^($H$1))*EXP(-$H$3*(A1^(1+$H$1)))</f>
        <v>9.2894047975428801E-2</v>
      </c>
      <c r="D1">
        <f>B1-C1</f>
        <v>-7.2711035749138897E-2</v>
      </c>
      <c r="E1">
        <f>D1^2</f>
        <v>5.2868947197125546E-3</v>
      </c>
      <c r="G1" t="s">
        <v>0</v>
      </c>
      <c r="H1">
        <v>1.5936394297039973</v>
      </c>
    </row>
    <row r="2" spans="1:8" x14ac:dyDescent="0.25">
      <c r="A2">
        <v>0.22850469853750002</v>
      </c>
      <c r="B2">
        <v>8.1539369394211234E-2</v>
      </c>
      <c r="C2">
        <f t="shared" ref="C2:C40" si="0">$H$3*(1+$H$1)*(A2^($H$1))*EXP(-$H$3*(A2^(1+$H$1)))</f>
        <v>0.17851161744672803</v>
      </c>
      <c r="D2">
        <f t="shared" ref="D2:D40" si="1">B2-C2</f>
        <v>-9.6972248052516793E-2</v>
      </c>
      <c r="E2">
        <f t="shared" ref="E2:E40" si="2">D2^2</f>
        <v>9.4036168923588466E-3</v>
      </c>
    </row>
    <row r="3" spans="1:8" x14ac:dyDescent="0.25">
      <c r="A3">
        <v>0.30634454356250002</v>
      </c>
      <c r="B3">
        <v>0.23412294182496293</v>
      </c>
      <c r="C3">
        <f t="shared" si="0"/>
        <v>0.27967638244982179</v>
      </c>
      <c r="D3">
        <f t="shared" si="1"/>
        <v>-4.555344062485886E-2</v>
      </c>
      <c r="E3">
        <f t="shared" si="2"/>
        <v>2.0751159527625414E-3</v>
      </c>
      <c r="G3" t="s">
        <v>1</v>
      </c>
      <c r="H3">
        <f>(_xlfn.GAMMA((2+$H$1)/(1+$H$1)))^(1+$H$1)</f>
        <v>0.73516894139466615</v>
      </c>
    </row>
    <row r="4" spans="1:8" x14ac:dyDescent="0.25">
      <c r="A4">
        <v>0.38418438858750004</v>
      </c>
      <c r="B4">
        <v>0.38912847572286946</v>
      </c>
      <c r="C4">
        <f t="shared" si="0"/>
        <v>0.39038789055243067</v>
      </c>
      <c r="D4">
        <f t="shared" si="1"/>
        <v>-1.2594148295612118E-3</v>
      </c>
      <c r="E4">
        <f t="shared" si="2"/>
        <v>1.586125712918696E-6</v>
      </c>
    </row>
    <row r="5" spans="1:8" x14ac:dyDescent="0.25">
      <c r="A5">
        <v>0.4620242336125</v>
      </c>
      <c r="B5">
        <v>0.57400486771568504</v>
      </c>
      <c r="C5">
        <f t="shared" si="0"/>
        <v>0.50442627571538712</v>
      </c>
      <c r="D5">
        <f t="shared" si="1"/>
        <v>6.9578592000297923E-2</v>
      </c>
      <c r="E5">
        <f t="shared" si="2"/>
        <v>4.8411804647439218E-3</v>
      </c>
      <c r="G5" t="s">
        <v>2</v>
      </c>
      <c r="H5">
        <f>SUM(E1:E40)</f>
        <v>8.704770041509062E-2</v>
      </c>
    </row>
    <row r="6" spans="1:8" x14ac:dyDescent="0.25">
      <c r="A6">
        <v>0.53986407863749997</v>
      </c>
      <c r="B6">
        <v>0.66846136493472175</v>
      </c>
      <c r="C6">
        <f t="shared" si="0"/>
        <v>0.61534250748235853</v>
      </c>
      <c r="D6">
        <f t="shared" si="1"/>
        <v>5.3118857452363222E-2</v>
      </c>
      <c r="E6">
        <f t="shared" si="2"/>
        <v>2.8216130170444836E-3</v>
      </c>
    </row>
    <row r="7" spans="1:8" x14ac:dyDescent="0.25">
      <c r="A7">
        <v>0.61770392366249993</v>
      </c>
      <c r="B7">
        <v>0.83719134714650545</v>
      </c>
      <c r="C7">
        <f t="shared" si="0"/>
        <v>0.71672555904398805</v>
      </c>
      <c r="D7">
        <f t="shared" si="1"/>
        <v>0.1204657881025174</v>
      </c>
      <c r="E7">
        <f t="shared" si="2"/>
        <v>1.4512006103160623E-2</v>
      </c>
    </row>
    <row r="8" spans="1:8" x14ac:dyDescent="0.25">
      <c r="A8">
        <v>0.69554376868750001</v>
      </c>
      <c r="B8">
        <v>0.90823555018304591</v>
      </c>
      <c r="C8">
        <f t="shared" si="0"/>
        <v>0.80261054266407028</v>
      </c>
      <c r="D8">
        <f t="shared" si="1"/>
        <v>0.10562500751897563</v>
      </c>
      <c r="E8">
        <f t="shared" si="2"/>
        <v>1.1156642213383659E-2</v>
      </c>
    </row>
    <row r="9" spans="1:8" x14ac:dyDescent="0.25">
      <c r="A9">
        <v>0.77338361371250008</v>
      </c>
      <c r="B9">
        <v>0.98977491957725716</v>
      </c>
      <c r="C9">
        <f t="shared" si="0"/>
        <v>0.8679401265039578</v>
      </c>
      <c r="D9">
        <f t="shared" si="1"/>
        <v>0.12183479307329936</v>
      </c>
      <c r="E9">
        <f t="shared" si="2"/>
        <v>1.4843716803213674E-2</v>
      </c>
    </row>
    <row r="10" spans="1:8" x14ac:dyDescent="0.25">
      <c r="A10">
        <v>0.85122345873750005</v>
      </c>
      <c r="B10">
        <v>0.93729908778890336</v>
      </c>
      <c r="C10">
        <f t="shared" si="0"/>
        <v>0.90900124718219411</v>
      </c>
      <c r="D10">
        <f t="shared" si="1"/>
        <v>2.8297840606709257E-2</v>
      </c>
      <c r="E10">
        <f t="shared" si="2"/>
        <v>8.0076778300272329E-4</v>
      </c>
    </row>
    <row r="11" spans="1:8" x14ac:dyDescent="0.25">
      <c r="A11">
        <v>0.92906330376250001</v>
      </c>
      <c r="B11">
        <v>0.92841856240933585</v>
      </c>
      <c r="C11">
        <f t="shared" si="0"/>
        <v>0.92376547942405007</v>
      </c>
      <c r="D11">
        <f t="shared" si="1"/>
        <v>4.6530829852857725E-3</v>
      </c>
      <c r="E11">
        <f t="shared" si="2"/>
        <v>2.1651181267955957E-5</v>
      </c>
    </row>
    <row r="12" spans="1:8" x14ac:dyDescent="0.25">
      <c r="A12">
        <v>1.0069031487875</v>
      </c>
      <c r="B12">
        <v>0.93972104925605815</v>
      </c>
      <c r="C12">
        <f t="shared" si="0"/>
        <v>0.91207444974893448</v>
      </c>
      <c r="D12">
        <f t="shared" si="1"/>
        <v>2.764659950712367E-2</v>
      </c>
      <c r="E12">
        <f t="shared" si="2"/>
        <v>7.6433446430729073E-4</v>
      </c>
    </row>
    <row r="13" spans="1:8" x14ac:dyDescent="0.25">
      <c r="A13">
        <v>1.0847429938124999</v>
      </c>
      <c r="B13">
        <v>0.83799866763555697</v>
      </c>
      <c r="C13">
        <f t="shared" si="0"/>
        <v>0.87563362486300778</v>
      </c>
      <c r="D13">
        <f t="shared" si="1"/>
        <v>-3.7634957227450805E-2</v>
      </c>
      <c r="E13">
        <f t="shared" si="2"/>
        <v>1.4163900055120515E-3</v>
      </c>
    </row>
    <row r="14" spans="1:8" x14ac:dyDescent="0.25">
      <c r="A14">
        <v>1.1625828388374999</v>
      </c>
      <c r="B14">
        <v>0.78471551535815165</v>
      </c>
      <c r="C14">
        <f t="shared" si="0"/>
        <v>0.81780678130246565</v>
      </c>
      <c r="D14">
        <f t="shared" si="1"/>
        <v>-3.3091265944313997E-2</v>
      </c>
      <c r="E14">
        <f t="shared" si="2"/>
        <v>1.0950318817973153E-3</v>
      </c>
    </row>
    <row r="15" spans="1:8" x14ac:dyDescent="0.25">
      <c r="A15">
        <v>1.2404226838624999</v>
      </c>
      <c r="B15">
        <v>0.71447863281066282</v>
      </c>
      <c r="C15">
        <f t="shared" si="0"/>
        <v>0.74323491156353572</v>
      </c>
      <c r="D15">
        <f t="shared" si="1"/>
        <v>-2.8756278752872899E-2</v>
      </c>
      <c r="E15">
        <f t="shared" si="2"/>
        <v>8.2692356771292932E-4</v>
      </c>
    </row>
    <row r="16" spans="1:8" x14ac:dyDescent="0.25">
      <c r="A16">
        <v>1.3182625288875001</v>
      </c>
      <c r="B16">
        <v>0.57400486771568504</v>
      </c>
      <c r="C16">
        <f t="shared" si="0"/>
        <v>0.6573313648598218</v>
      </c>
      <c r="D16">
        <f t="shared" si="1"/>
        <v>-8.3326497144136757E-2</v>
      </c>
      <c r="E16">
        <f t="shared" si="2"/>
        <v>6.9433051263118311E-3</v>
      </c>
    </row>
    <row r="17" spans="1:5" x14ac:dyDescent="0.25">
      <c r="A17">
        <v>1.3961023739125</v>
      </c>
      <c r="B17">
        <v>0.5094192285915573</v>
      </c>
      <c r="C17">
        <f t="shared" si="0"/>
        <v>0.56572401217730661</v>
      </c>
      <c r="D17">
        <f t="shared" si="1"/>
        <v>-5.6304783585749307E-2</v>
      </c>
      <c r="E17">
        <f t="shared" si="2"/>
        <v>3.1702286546380644E-3</v>
      </c>
    </row>
    <row r="18" spans="1:5" x14ac:dyDescent="0.25">
      <c r="A18">
        <v>1.4739422189375002</v>
      </c>
      <c r="B18">
        <v>0.42142129528493327</v>
      </c>
      <c r="C18">
        <f t="shared" si="0"/>
        <v>0.47372126769797496</v>
      </c>
      <c r="D18">
        <f t="shared" si="1"/>
        <v>-5.2299972413041684E-2</v>
      </c>
      <c r="E18">
        <f t="shared" si="2"/>
        <v>2.7352871144049212E-3</v>
      </c>
    </row>
    <row r="19" spans="1:5" x14ac:dyDescent="0.25">
      <c r="A19">
        <v>1.5517820639625</v>
      </c>
      <c r="B19">
        <v>0.33019408002210293</v>
      </c>
      <c r="C19">
        <f t="shared" si="0"/>
        <v>0.38587082865897937</v>
      </c>
      <c r="D19">
        <f t="shared" si="1"/>
        <v>-5.5676748636876439E-2</v>
      </c>
      <c r="E19">
        <f t="shared" si="2"/>
        <v>3.0999003387739222E-3</v>
      </c>
    </row>
    <row r="20" spans="1:5" x14ac:dyDescent="0.25">
      <c r="A20">
        <v>1.6296219089874999</v>
      </c>
      <c r="B20">
        <v>0.29144269654762628</v>
      </c>
      <c r="C20">
        <f t="shared" si="0"/>
        <v>0.30566011324379555</v>
      </c>
      <c r="D20">
        <f t="shared" si="1"/>
        <v>-1.4217416696169272E-2</v>
      </c>
      <c r="E20">
        <f t="shared" si="2"/>
        <v>2.0213493751251277E-4</v>
      </c>
    </row>
    <row r="21" spans="1:5" x14ac:dyDescent="0.25">
      <c r="A21">
        <v>1.7074617540124999</v>
      </c>
      <c r="B21">
        <v>0.222013134489189</v>
      </c>
      <c r="C21">
        <f t="shared" si="0"/>
        <v>0.23538029690286452</v>
      </c>
      <c r="D21">
        <f t="shared" si="1"/>
        <v>-1.3367162413675526E-2</v>
      </c>
      <c r="E21">
        <f t="shared" si="2"/>
        <v>1.7868103099357972E-4</v>
      </c>
    </row>
    <row r="22" spans="1:5" x14ac:dyDescent="0.25">
      <c r="A22">
        <v>1.7853015990375001</v>
      </c>
      <c r="B22">
        <v>0.1751885461241964</v>
      </c>
      <c r="C22">
        <f t="shared" si="0"/>
        <v>0.17614763702050609</v>
      </c>
      <c r="D22">
        <f t="shared" si="1"/>
        <v>-9.5909089630968891E-4</v>
      </c>
      <c r="E22">
        <f t="shared" si="2"/>
        <v>9.1985534738412244E-7</v>
      </c>
    </row>
    <row r="23" spans="1:5" x14ac:dyDescent="0.25">
      <c r="A23">
        <v>1.8631414440624998</v>
      </c>
      <c r="B23">
        <v>0.12997859873730702</v>
      </c>
      <c r="C23">
        <f t="shared" si="0"/>
        <v>0.12805225537313339</v>
      </c>
      <c r="D23">
        <f t="shared" si="1"/>
        <v>1.9263433641736327E-3</v>
      </c>
      <c r="E23">
        <f t="shared" si="2"/>
        <v>3.7107987566957891E-6</v>
      </c>
    </row>
    <row r="24" spans="1:5" x14ac:dyDescent="0.25">
      <c r="A24">
        <v>1.9409812890874998</v>
      </c>
      <c r="B24">
        <v>0.10172238162050114</v>
      </c>
      <c r="C24">
        <f t="shared" si="0"/>
        <v>9.0389863403132473E-2</v>
      </c>
      <c r="D24">
        <f t="shared" si="1"/>
        <v>1.1332518217368664E-2</v>
      </c>
      <c r="E24">
        <f t="shared" si="2"/>
        <v>1.2842596914699266E-4</v>
      </c>
    </row>
    <row r="25" spans="1:5" x14ac:dyDescent="0.25">
      <c r="A25">
        <v>2.0188211341125002</v>
      </c>
      <c r="B25">
        <v>6.7007600591282496E-2</v>
      </c>
      <c r="C25">
        <f t="shared" si="0"/>
        <v>6.192768686468799E-2</v>
      </c>
      <c r="D25">
        <f t="shared" si="1"/>
        <v>5.0799137265945052E-3</v>
      </c>
      <c r="E25">
        <f t="shared" si="2"/>
        <v>2.5805523469643274E-5</v>
      </c>
    </row>
    <row r="26" spans="1:5" x14ac:dyDescent="0.25">
      <c r="A26">
        <v>2.0966609791374999</v>
      </c>
      <c r="B26">
        <v>4.9246549832147379E-2</v>
      </c>
      <c r="C26">
        <f t="shared" si="0"/>
        <v>4.1161099203903914E-2</v>
      </c>
      <c r="D26">
        <f t="shared" si="1"/>
        <v>8.0854506282434652E-3</v>
      </c>
      <c r="E26">
        <f t="shared" si="2"/>
        <v>6.5374511861762639E-5</v>
      </c>
    </row>
    <row r="27" spans="1:5" x14ac:dyDescent="0.25">
      <c r="A27">
        <v>2.1745008241625001</v>
      </c>
      <c r="B27">
        <v>3.4714781029218642E-2</v>
      </c>
      <c r="C27">
        <f t="shared" si="0"/>
        <v>2.6529283775744959E-2</v>
      </c>
      <c r="D27">
        <f t="shared" si="1"/>
        <v>8.1854972534736829E-3</v>
      </c>
      <c r="E27">
        <f t="shared" si="2"/>
        <v>6.70023652866252E-5</v>
      </c>
    </row>
    <row r="28" spans="1:5" x14ac:dyDescent="0.25">
      <c r="A28">
        <v>2.2523406691874999</v>
      </c>
      <c r="B28">
        <v>2.9870858094909063E-2</v>
      </c>
      <c r="C28">
        <f t="shared" si="0"/>
        <v>1.6572812786427395E-2</v>
      </c>
      <c r="D28">
        <f t="shared" si="1"/>
        <v>1.3298045308481669E-2</v>
      </c>
      <c r="E28">
        <f t="shared" si="2"/>
        <v>1.7683800902643131E-4</v>
      </c>
    </row>
    <row r="29" spans="1:5" x14ac:dyDescent="0.25">
      <c r="A29">
        <v>2.3301805142124996</v>
      </c>
      <c r="B29">
        <v>1.8568371248186714E-2</v>
      </c>
      <c r="C29">
        <f t="shared" si="0"/>
        <v>1.0029789502912723E-2</v>
      </c>
      <c r="D29">
        <f t="shared" si="1"/>
        <v>8.5385817452739918E-3</v>
      </c>
      <c r="E29">
        <f t="shared" si="2"/>
        <v>7.2907378220726248E-5</v>
      </c>
    </row>
    <row r="30" spans="1:5" x14ac:dyDescent="0.25">
      <c r="A30">
        <v>2.4080203592374998</v>
      </c>
      <c r="B30">
        <v>2.0990332715341505E-2</v>
      </c>
      <c r="C30">
        <f t="shared" si="0"/>
        <v>5.8776382121017868E-3</v>
      </c>
      <c r="D30">
        <f t="shared" si="1"/>
        <v>1.5112694503239718E-2</v>
      </c>
      <c r="E30">
        <f t="shared" si="2"/>
        <v>2.2839353514825201E-4</v>
      </c>
    </row>
    <row r="31" spans="1:5" x14ac:dyDescent="0.25">
      <c r="A31">
        <v>2.4858602042625</v>
      </c>
      <c r="B31">
        <v>7.2658844014643672E-3</v>
      </c>
      <c r="C31">
        <f t="shared" si="0"/>
        <v>3.3336364121787578E-3</v>
      </c>
      <c r="D31">
        <f t="shared" si="1"/>
        <v>3.9322479892856099E-3</v>
      </c>
      <c r="E31">
        <f t="shared" si="2"/>
        <v>1.5462574249240721E-5</v>
      </c>
    </row>
    <row r="32" spans="1:5" x14ac:dyDescent="0.25">
      <c r="A32">
        <v>2.5637000492875002</v>
      </c>
      <c r="B32">
        <v>8.8805253795675599E-3</v>
      </c>
      <c r="C32">
        <f t="shared" si="0"/>
        <v>1.8290505998820178E-3</v>
      </c>
      <c r="D32">
        <f t="shared" si="1"/>
        <v>7.0514747796855421E-3</v>
      </c>
      <c r="E32">
        <f t="shared" si="2"/>
        <v>4.9723296568541262E-5</v>
      </c>
    </row>
    <row r="33" spans="1:5" x14ac:dyDescent="0.25">
      <c r="A33">
        <v>2.6415398943124999</v>
      </c>
      <c r="B33">
        <v>3.2292819562063854E-3</v>
      </c>
      <c r="C33">
        <f t="shared" si="0"/>
        <v>9.703140513756932E-4</v>
      </c>
      <c r="D33">
        <f t="shared" si="1"/>
        <v>2.2589679048306923E-3</v>
      </c>
      <c r="E33">
        <f t="shared" si="2"/>
        <v>5.1029359950551682E-6</v>
      </c>
    </row>
    <row r="34" spans="1:5" x14ac:dyDescent="0.25">
      <c r="A34">
        <v>2.7193797393374997</v>
      </c>
      <c r="B34">
        <v>3.2292819562063854E-3</v>
      </c>
      <c r="C34">
        <f t="shared" si="0"/>
        <v>4.9746737768511314E-4</v>
      </c>
      <c r="D34">
        <f t="shared" si="1"/>
        <v>2.7318145785212725E-3</v>
      </c>
      <c r="E34">
        <f t="shared" si="2"/>
        <v>7.462810891421358E-6</v>
      </c>
    </row>
    <row r="35" spans="1:5" x14ac:dyDescent="0.25">
      <c r="A35">
        <v>2.7972195843624998</v>
      </c>
      <c r="B35">
        <v>0</v>
      </c>
      <c r="C35">
        <f t="shared" si="0"/>
        <v>2.4635931878404802E-4</v>
      </c>
      <c r="D35">
        <f t="shared" si="1"/>
        <v>-2.4635931878404802E-4</v>
      </c>
      <c r="E35">
        <f t="shared" si="2"/>
        <v>6.0692913951740197E-8</v>
      </c>
    </row>
    <row r="36" spans="1:5" x14ac:dyDescent="0.25">
      <c r="A36">
        <v>2.8750594293875</v>
      </c>
      <c r="B36">
        <v>1.6146409781031927E-3</v>
      </c>
      <c r="C36">
        <f t="shared" si="0"/>
        <v>1.1779096236032952E-4</v>
      </c>
      <c r="D36">
        <f t="shared" si="1"/>
        <v>1.4968500157428633E-3</v>
      </c>
      <c r="E36">
        <f t="shared" si="2"/>
        <v>2.24055996962941E-6</v>
      </c>
    </row>
    <row r="37" spans="1:5" x14ac:dyDescent="0.25">
      <c r="A37">
        <v>2.9528992744125002</v>
      </c>
      <c r="B37">
        <v>0</v>
      </c>
      <c r="C37">
        <f t="shared" si="0"/>
        <v>5.4347587838513557E-5</v>
      </c>
      <c r="D37">
        <f t="shared" si="1"/>
        <v>-5.4347587838513557E-5</v>
      </c>
      <c r="E37">
        <f t="shared" si="2"/>
        <v>2.9536603038649468E-9</v>
      </c>
    </row>
    <row r="38" spans="1:5" x14ac:dyDescent="0.25">
      <c r="A38">
        <v>3.0307391194375</v>
      </c>
      <c r="B38">
        <v>8.0732048905159635E-4</v>
      </c>
      <c r="C38">
        <f t="shared" si="0"/>
        <v>2.4185833303935068E-5</v>
      </c>
      <c r="D38">
        <f t="shared" si="1"/>
        <v>7.8313465574766125E-4</v>
      </c>
      <c r="E38">
        <f t="shared" si="2"/>
        <v>6.1329988903300786E-7</v>
      </c>
    </row>
    <row r="39" spans="1:5" x14ac:dyDescent="0.25">
      <c r="A39">
        <v>3.1085789644624997</v>
      </c>
      <c r="B39">
        <v>0</v>
      </c>
      <c r="C39">
        <f t="shared" si="0"/>
        <v>1.0376287776113476E-5</v>
      </c>
      <c r="D39">
        <f t="shared" si="1"/>
        <v>-1.0376287776113476E-5</v>
      </c>
      <c r="E39">
        <f t="shared" si="2"/>
        <v>1.0766734801272194E-10</v>
      </c>
    </row>
    <row r="40" spans="1:5" x14ac:dyDescent="0.25">
      <c r="A40">
        <v>3.1864188094874999</v>
      </c>
      <c r="B40">
        <v>8.0732048905159635E-4</v>
      </c>
      <c r="C40">
        <f t="shared" si="0"/>
        <v>4.2895473914728018E-6</v>
      </c>
      <c r="D40">
        <f t="shared" si="1"/>
        <v>8.0303094166012351E-4</v>
      </c>
      <c r="E40">
        <f t="shared" si="2"/>
        <v>6.4485869326354471E-7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444C5-5B9B-473B-8DA7-8D2D585CB4F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0.20342520756249999</v>
      </c>
      <c r="B1">
        <v>1.0860855149093058E-2</v>
      </c>
      <c r="C1">
        <f>$H$3*(1+$H$1)*(A1^($H$1))*EXP(-$H$3*(A1^(1+$H$1)))</f>
        <v>9.2009206702068566E-2</v>
      </c>
      <c r="D1">
        <f>B1-C1</f>
        <v>-8.1148351552975506E-2</v>
      </c>
      <c r="E1">
        <f>D1^2</f>
        <v>6.5850549597653019E-3</v>
      </c>
      <c r="G1" t="s">
        <v>0</v>
      </c>
      <c r="H1">
        <v>1.9650638674328744</v>
      </c>
    </row>
    <row r="2" spans="1:8" x14ac:dyDescent="0.25">
      <c r="A2">
        <v>0.2728580846875</v>
      </c>
      <c r="B2">
        <v>6.33549883697095E-2</v>
      </c>
      <c r="C2">
        <f t="shared" ref="C2:C40" si="0">$H$3*(1+$H$1)*(A2^($H$1))*EXP(-$H$3*(A2^(1+$H$1)))</f>
        <v>0.16240854556610784</v>
      </c>
      <c r="D2">
        <f t="shared" ref="D2:D40" si="1">B2-C2</f>
        <v>-9.9053557196398342E-2</v>
      </c>
      <c r="E2">
        <f t="shared" ref="E2:E40" si="2">D2^2</f>
        <v>9.8116071932601578E-3</v>
      </c>
    </row>
    <row r="3" spans="1:8" x14ac:dyDescent="0.25">
      <c r="A3">
        <v>0.34229096181250002</v>
      </c>
      <c r="B3">
        <v>0.19549539268367505</v>
      </c>
      <c r="C3">
        <f t="shared" si="0"/>
        <v>0.24990182698946034</v>
      </c>
      <c r="D3">
        <f t="shared" si="1"/>
        <v>-5.4406434305785289E-2</v>
      </c>
      <c r="E3">
        <f t="shared" si="2"/>
        <v>2.9600600938697306E-3</v>
      </c>
      <c r="G3" t="s">
        <v>1</v>
      </c>
      <c r="H3">
        <f>(_xlfn.GAMMA((2+$H$1)/(1+$H$1)))^(1+$H$1)</f>
        <v>0.7138138900665818</v>
      </c>
    </row>
    <row r="4" spans="1:8" x14ac:dyDescent="0.25">
      <c r="A4">
        <v>0.41172383893750003</v>
      </c>
      <c r="B4">
        <v>0.31586987058612309</v>
      </c>
      <c r="C4">
        <f t="shared" si="0"/>
        <v>0.35154218060631992</v>
      </c>
      <c r="D4">
        <f t="shared" si="1"/>
        <v>-3.5672310020196829E-2</v>
      </c>
      <c r="E4">
        <f t="shared" si="2"/>
        <v>1.2725137021770351E-3</v>
      </c>
    </row>
    <row r="5" spans="1:8" x14ac:dyDescent="0.25">
      <c r="A5">
        <v>0.48115671606249999</v>
      </c>
      <c r="B5">
        <v>0.48783341044676315</v>
      </c>
      <c r="C5">
        <f t="shared" si="0"/>
        <v>0.4633031984404295</v>
      </c>
      <c r="D5">
        <f t="shared" si="1"/>
        <v>2.4530212006333652E-2</v>
      </c>
      <c r="E5">
        <f t="shared" si="2"/>
        <v>6.0173130107567566E-4</v>
      </c>
      <c r="G5" t="s">
        <v>2</v>
      </c>
      <c r="H5">
        <f>SUM(E1:E40)</f>
        <v>0.15856956000736583</v>
      </c>
    </row>
    <row r="6" spans="1:8" x14ac:dyDescent="0.25">
      <c r="A6">
        <v>0.5505895931875</v>
      </c>
      <c r="B6">
        <v>0.64893609515831019</v>
      </c>
      <c r="C6">
        <f t="shared" si="0"/>
        <v>0.58009110702590039</v>
      </c>
      <c r="D6">
        <f t="shared" si="1"/>
        <v>6.8844988132409801E-2</v>
      </c>
      <c r="E6">
        <f t="shared" si="2"/>
        <v>4.7396323909516466E-3</v>
      </c>
    </row>
    <row r="7" spans="1:8" x14ac:dyDescent="0.25">
      <c r="A7">
        <v>0.62002247031249991</v>
      </c>
      <c r="B7">
        <v>0.81003877986985717</v>
      </c>
      <c r="C7">
        <f t="shared" si="0"/>
        <v>0.69590679688532431</v>
      </c>
      <c r="D7">
        <f t="shared" si="1"/>
        <v>0.11413198298453286</v>
      </c>
      <c r="E7">
        <f t="shared" si="2"/>
        <v>1.3026109539981699E-2</v>
      </c>
    </row>
    <row r="8" spans="1:8" x14ac:dyDescent="0.25">
      <c r="A8">
        <v>0.68945534743750003</v>
      </c>
      <c r="B8">
        <v>0.95937553816988674</v>
      </c>
      <c r="C8">
        <f t="shared" si="0"/>
        <v>0.8041669363274152</v>
      </c>
      <c r="D8">
        <f t="shared" si="1"/>
        <v>0.15520860184247154</v>
      </c>
      <c r="E8">
        <f t="shared" si="2"/>
        <v>2.4089710085894861E-2</v>
      </c>
    </row>
    <row r="9" spans="1:8" x14ac:dyDescent="0.25">
      <c r="A9">
        <v>0.75888822456249994</v>
      </c>
      <c r="B9">
        <v>1.0344964529511138</v>
      </c>
      <c r="C9">
        <f t="shared" si="0"/>
        <v>0.89817285414658132</v>
      </c>
      <c r="D9">
        <f t="shared" si="1"/>
        <v>0.13632359880453249</v>
      </c>
      <c r="E9">
        <f t="shared" si="2"/>
        <v>1.858412359101913E-2</v>
      </c>
    </row>
    <row r="10" spans="1:8" x14ac:dyDescent="0.25">
      <c r="A10">
        <v>0.82832110168750006</v>
      </c>
      <c r="B10">
        <v>1.1358644343426489</v>
      </c>
      <c r="C10">
        <f t="shared" si="0"/>
        <v>0.97168956790144989</v>
      </c>
      <c r="D10">
        <f t="shared" si="1"/>
        <v>0.16417486644119905</v>
      </c>
      <c r="E10">
        <f t="shared" si="2"/>
        <v>2.6953386770985546E-2</v>
      </c>
    </row>
    <row r="11" spans="1:8" x14ac:dyDescent="0.25">
      <c r="A11">
        <v>0.89775397881249996</v>
      </c>
      <c r="B11">
        <v>1.0535029494620265</v>
      </c>
      <c r="C11">
        <f t="shared" si="0"/>
        <v>1.0195703130772082</v>
      </c>
      <c r="D11">
        <f t="shared" si="1"/>
        <v>3.3932636384818249E-2</v>
      </c>
      <c r="E11">
        <f t="shared" si="2"/>
        <v>1.1514238120242913E-3</v>
      </c>
    </row>
    <row r="12" spans="1:8" x14ac:dyDescent="0.25">
      <c r="A12">
        <v>0.96718685593749998</v>
      </c>
      <c r="B12">
        <v>1.0498826644123289</v>
      </c>
      <c r="C12">
        <f t="shared" si="0"/>
        <v>1.0383406140013482</v>
      </c>
      <c r="D12">
        <f t="shared" si="1"/>
        <v>1.1542050410980664E-2</v>
      </c>
      <c r="E12">
        <f t="shared" si="2"/>
        <v>1.3321892768961891E-4</v>
      </c>
    </row>
    <row r="13" spans="1:8" x14ac:dyDescent="0.25">
      <c r="A13">
        <v>1.0366197330625</v>
      </c>
      <c r="B13">
        <v>1.0679840896608173</v>
      </c>
      <c r="C13">
        <f t="shared" si="0"/>
        <v>1.0266470583676255</v>
      </c>
      <c r="D13">
        <f t="shared" si="1"/>
        <v>4.1337031293191773E-2</v>
      </c>
      <c r="E13">
        <f t="shared" si="2"/>
        <v>1.708750156134316E-3</v>
      </c>
    </row>
    <row r="14" spans="1:8" x14ac:dyDescent="0.25">
      <c r="A14">
        <v>1.1060526101875001</v>
      </c>
      <c r="B14">
        <v>0.89873576358745055</v>
      </c>
      <c r="C14">
        <f t="shared" si="0"/>
        <v>0.98548473397104019</v>
      </c>
      <c r="D14">
        <f t="shared" si="1"/>
        <v>-8.6748970383589641E-2</v>
      </c>
      <c r="E14">
        <f t="shared" si="2"/>
        <v>7.5253838626129126E-3</v>
      </c>
    </row>
    <row r="15" spans="1:8" x14ac:dyDescent="0.25">
      <c r="A15">
        <v>1.1754854873124998</v>
      </c>
      <c r="B15">
        <v>0.8806343383389621</v>
      </c>
      <c r="C15">
        <f t="shared" si="0"/>
        <v>0.91814553647804253</v>
      </c>
      <c r="D15">
        <f t="shared" si="1"/>
        <v>-3.7511198139080437E-2</v>
      </c>
      <c r="E15">
        <f t="shared" si="2"/>
        <v>1.4070899858293516E-3</v>
      </c>
    </row>
    <row r="16" spans="1:8" x14ac:dyDescent="0.25">
      <c r="A16">
        <v>1.2449183644374999</v>
      </c>
      <c r="B16">
        <v>0.7213417961522639</v>
      </c>
      <c r="C16">
        <f t="shared" si="0"/>
        <v>0.82987413714032388</v>
      </c>
      <c r="D16">
        <f t="shared" si="1"/>
        <v>-0.10853234098805997</v>
      </c>
      <c r="E16">
        <f t="shared" si="2"/>
        <v>1.1779269040348523E-2</v>
      </c>
    </row>
    <row r="17" spans="1:5" x14ac:dyDescent="0.25">
      <c r="A17">
        <v>1.3143512415625001</v>
      </c>
      <c r="B17">
        <v>0.63083466990982173</v>
      </c>
      <c r="C17">
        <f t="shared" si="0"/>
        <v>0.72727109788472433</v>
      </c>
      <c r="D17">
        <f t="shared" si="1"/>
        <v>-9.6436427974902594E-2</v>
      </c>
      <c r="E17">
        <f t="shared" si="2"/>
        <v>9.2999846405585757E-3</v>
      </c>
    </row>
    <row r="18" spans="1:5" x14ac:dyDescent="0.25">
      <c r="A18">
        <v>1.3837841186875</v>
      </c>
      <c r="B18">
        <v>0.53761232988010632</v>
      </c>
      <c r="C18">
        <f t="shared" si="0"/>
        <v>0.61753163030605118</v>
      </c>
      <c r="D18">
        <f t="shared" si="1"/>
        <v>-7.9919300425944861E-2</v>
      </c>
      <c r="E18">
        <f t="shared" si="2"/>
        <v>6.3870945805724307E-3</v>
      </c>
    </row>
    <row r="19" spans="1:5" x14ac:dyDescent="0.25">
      <c r="A19">
        <v>1.4532169958124999</v>
      </c>
      <c r="B19">
        <v>0.43986463353826882</v>
      </c>
      <c r="C19">
        <f t="shared" si="0"/>
        <v>0.50764143761247182</v>
      </c>
      <c r="D19">
        <f t="shared" si="1"/>
        <v>-6.7776804074203001E-2</v>
      </c>
      <c r="E19">
        <f t="shared" si="2"/>
        <v>4.5936951705129007E-3</v>
      </c>
    </row>
    <row r="20" spans="1:5" x14ac:dyDescent="0.25">
      <c r="A20">
        <v>1.5226498729375</v>
      </c>
      <c r="B20">
        <v>0.34030679467158248</v>
      </c>
      <c r="C20">
        <f t="shared" si="0"/>
        <v>0.4036587621515384</v>
      </c>
      <c r="D20">
        <f t="shared" si="1"/>
        <v>-6.3351967479955917E-2</v>
      </c>
      <c r="E20">
        <f t="shared" si="2"/>
        <v>4.0134717835813918E-3</v>
      </c>
    </row>
    <row r="21" spans="1:5" x14ac:dyDescent="0.25">
      <c r="A21">
        <v>1.5920827500625001</v>
      </c>
      <c r="B21">
        <v>0.294148160287937</v>
      </c>
      <c r="C21">
        <f t="shared" si="0"/>
        <v>0.31019137522853391</v>
      </c>
      <c r="D21">
        <f t="shared" si="1"/>
        <v>-1.6043214940596906E-2</v>
      </c>
      <c r="E21">
        <f t="shared" si="2"/>
        <v>2.573847456301918E-4</v>
      </c>
    </row>
    <row r="22" spans="1:5" x14ac:dyDescent="0.25">
      <c r="A22">
        <v>1.6615156271875</v>
      </c>
      <c r="B22">
        <v>0.22807795813095422</v>
      </c>
      <c r="C22">
        <f t="shared" si="0"/>
        <v>0.23013371324716173</v>
      </c>
      <c r="D22">
        <f t="shared" si="1"/>
        <v>-2.0557551162075083E-3</v>
      </c>
      <c r="E22">
        <f t="shared" si="2"/>
        <v>4.2261290978133457E-6</v>
      </c>
    </row>
    <row r="23" spans="1:5" x14ac:dyDescent="0.25">
      <c r="A23">
        <v>1.7309485043124999</v>
      </c>
      <c r="B23">
        <v>0.17377368238548893</v>
      </c>
      <c r="C23">
        <f t="shared" si="0"/>
        <v>0.16467412918939067</v>
      </c>
      <c r="D23">
        <f t="shared" si="1"/>
        <v>9.099553196098259E-3</v>
      </c>
      <c r="E23">
        <f t="shared" si="2"/>
        <v>8.280186836862204E-5</v>
      </c>
    </row>
    <row r="24" spans="1:5" x14ac:dyDescent="0.25">
      <c r="A24">
        <v>1.8003813814374998</v>
      </c>
      <c r="B24">
        <v>0.12399476295214575</v>
      </c>
      <c r="C24">
        <f t="shared" si="0"/>
        <v>0.11352974224775263</v>
      </c>
      <c r="D24">
        <f t="shared" si="1"/>
        <v>1.0465020704393119E-2</v>
      </c>
      <c r="E24">
        <f t="shared" si="2"/>
        <v>1.0951665834337664E-4</v>
      </c>
    </row>
    <row r="25" spans="1:5" x14ac:dyDescent="0.25">
      <c r="A25">
        <v>1.8698142585624999</v>
      </c>
      <c r="B25">
        <v>8.960205498001772E-2</v>
      </c>
      <c r="C25">
        <f t="shared" si="0"/>
        <v>7.5329500929672805E-2</v>
      </c>
      <c r="D25">
        <f t="shared" si="1"/>
        <v>1.4272554050344916E-2</v>
      </c>
      <c r="E25">
        <f t="shared" si="2"/>
        <v>2.0370579912001705E-4</v>
      </c>
    </row>
    <row r="26" spans="1:5" x14ac:dyDescent="0.25">
      <c r="A26">
        <v>1.9392471356874998</v>
      </c>
      <c r="B26">
        <v>5.7924560795162977E-2</v>
      </c>
      <c r="C26">
        <f t="shared" si="0"/>
        <v>4.8052179851687055E-2</v>
      </c>
      <c r="D26">
        <f t="shared" si="1"/>
        <v>9.8723809434759224E-3</v>
      </c>
      <c r="E26">
        <f t="shared" si="2"/>
        <v>9.7463905493106546E-5</v>
      </c>
    </row>
    <row r="27" spans="1:5" x14ac:dyDescent="0.25">
      <c r="A27">
        <v>2.0086800128125</v>
      </c>
      <c r="B27">
        <v>4.4348491858796656E-2</v>
      </c>
      <c r="C27">
        <f t="shared" si="0"/>
        <v>2.9435134628838629E-2</v>
      </c>
      <c r="D27">
        <f t="shared" si="1"/>
        <v>1.4913357229958027E-2</v>
      </c>
      <c r="E27">
        <f t="shared" si="2"/>
        <v>2.2240822386834135E-4</v>
      </c>
    </row>
    <row r="28" spans="1:5" x14ac:dyDescent="0.25">
      <c r="A28">
        <v>2.0781128899374997</v>
      </c>
      <c r="B28">
        <v>3.8918064284250126E-2</v>
      </c>
      <c r="C28">
        <f t="shared" si="0"/>
        <v>1.7295316507666629E-2</v>
      </c>
      <c r="D28">
        <f t="shared" si="1"/>
        <v>2.1622747776583497E-2</v>
      </c>
      <c r="E28">
        <f t="shared" si="2"/>
        <v>4.6754322140974655E-4</v>
      </c>
    </row>
    <row r="29" spans="1:5" x14ac:dyDescent="0.25">
      <c r="A29">
        <v>2.1475457670624998</v>
      </c>
      <c r="B29">
        <v>2.4436924085459381E-2</v>
      </c>
      <c r="C29">
        <f t="shared" si="0"/>
        <v>9.7364027714418183E-3</v>
      </c>
      <c r="D29">
        <f t="shared" si="1"/>
        <v>1.4700521314017563E-2</v>
      </c>
      <c r="E29">
        <f t="shared" si="2"/>
        <v>2.1610532690388465E-4</v>
      </c>
    </row>
    <row r="30" spans="1:5" x14ac:dyDescent="0.25">
      <c r="A30">
        <v>2.2169786441874999</v>
      </c>
      <c r="B30">
        <v>1.8101425248488429E-2</v>
      </c>
      <c r="C30">
        <f t="shared" si="0"/>
        <v>5.2452755991908226E-3</v>
      </c>
      <c r="D30">
        <f t="shared" si="1"/>
        <v>1.2856149649297606E-2</v>
      </c>
      <c r="E30">
        <f t="shared" si="2"/>
        <v>1.6528058380513495E-4</v>
      </c>
    </row>
    <row r="31" spans="1:5" x14ac:dyDescent="0.25">
      <c r="A31">
        <v>2.2864115213125</v>
      </c>
      <c r="B31">
        <v>1.0860855149093058E-2</v>
      </c>
      <c r="C31">
        <f t="shared" si="0"/>
        <v>2.7010033158035769E-3</v>
      </c>
      <c r="D31">
        <f t="shared" si="1"/>
        <v>8.1598518332894818E-3</v>
      </c>
      <c r="E31">
        <f t="shared" si="2"/>
        <v>6.658318194123772E-5</v>
      </c>
    </row>
    <row r="32" spans="1:5" x14ac:dyDescent="0.25">
      <c r="A32">
        <v>2.3558443984375002</v>
      </c>
      <c r="B32">
        <v>7.2405700993953721E-3</v>
      </c>
      <c r="C32">
        <f t="shared" si="0"/>
        <v>1.3278587726550562E-3</v>
      </c>
      <c r="D32">
        <f t="shared" si="1"/>
        <v>5.9127113267403164E-3</v>
      </c>
      <c r="E32">
        <f t="shared" si="2"/>
        <v>3.496015523336323E-5</v>
      </c>
    </row>
    <row r="33" spans="1:5" x14ac:dyDescent="0.25">
      <c r="A33">
        <v>2.4252772755624998</v>
      </c>
      <c r="B33">
        <v>4.5253563121221071E-3</v>
      </c>
      <c r="C33">
        <f t="shared" si="0"/>
        <v>6.2248342906871042E-4</v>
      </c>
      <c r="D33">
        <f t="shared" si="1"/>
        <v>3.9028728830533968E-3</v>
      </c>
      <c r="E33">
        <f t="shared" si="2"/>
        <v>1.5232416741273534E-5</v>
      </c>
    </row>
    <row r="34" spans="1:5" x14ac:dyDescent="0.25">
      <c r="A34">
        <v>2.4947101526874995</v>
      </c>
      <c r="B34">
        <v>0</v>
      </c>
      <c r="C34">
        <f t="shared" si="0"/>
        <v>2.7792570873326131E-4</v>
      </c>
      <c r="D34">
        <f t="shared" si="1"/>
        <v>-2.7792570873326131E-4</v>
      </c>
      <c r="E34">
        <f t="shared" si="2"/>
        <v>7.7242699574885595E-8</v>
      </c>
    </row>
    <row r="35" spans="1:5" x14ac:dyDescent="0.25">
      <c r="A35">
        <v>2.5641430298124996</v>
      </c>
      <c r="B35">
        <v>9.0507126242442152E-4</v>
      </c>
      <c r="C35">
        <f t="shared" si="0"/>
        <v>1.1803958312753909E-4</v>
      </c>
      <c r="D35">
        <f t="shared" si="1"/>
        <v>7.8703167929688241E-4</v>
      </c>
      <c r="E35">
        <f t="shared" si="2"/>
        <v>6.194188642168708E-7</v>
      </c>
    </row>
    <row r="36" spans="1:5" x14ac:dyDescent="0.25">
      <c r="A36">
        <v>2.6335759069374998</v>
      </c>
      <c r="B36">
        <v>9.0507126242442152E-4</v>
      </c>
      <c r="C36">
        <f t="shared" si="0"/>
        <v>4.7631592105125508E-5</v>
      </c>
      <c r="D36">
        <f t="shared" si="1"/>
        <v>8.5743967031929604E-4</v>
      </c>
      <c r="E36">
        <f t="shared" si="2"/>
        <v>7.3520278823726305E-7</v>
      </c>
    </row>
    <row r="37" spans="1:5" x14ac:dyDescent="0.25">
      <c r="A37">
        <v>2.7030087840624999</v>
      </c>
      <c r="B37">
        <v>9.0507126242442152E-4</v>
      </c>
      <c r="C37">
        <f t="shared" si="0"/>
        <v>1.8238925845831981E-5</v>
      </c>
      <c r="D37">
        <f t="shared" si="1"/>
        <v>8.8683233657858949E-4</v>
      </c>
      <c r="E37">
        <f t="shared" si="2"/>
        <v>7.8647159320144062E-7</v>
      </c>
    </row>
    <row r="38" spans="1:5" x14ac:dyDescent="0.25">
      <c r="A38">
        <v>2.7724416611875</v>
      </c>
      <c r="B38">
        <v>0</v>
      </c>
      <c r="C38">
        <f t="shared" si="0"/>
        <v>6.6192140835060501E-6</v>
      </c>
      <c r="D38">
        <f t="shared" si="1"/>
        <v>-6.6192140835060501E-6</v>
      </c>
      <c r="E38">
        <f t="shared" si="2"/>
        <v>4.3813995083284836E-11</v>
      </c>
    </row>
    <row r="39" spans="1:5" x14ac:dyDescent="0.25">
      <c r="A39">
        <v>2.8418745383124997</v>
      </c>
      <c r="B39">
        <v>0</v>
      </c>
      <c r="C39">
        <f t="shared" si="0"/>
        <v>2.2739513137028612E-6</v>
      </c>
      <c r="D39">
        <f t="shared" si="1"/>
        <v>-2.2739513137028612E-6</v>
      </c>
      <c r="E39">
        <f t="shared" si="2"/>
        <v>5.1708545770909685E-12</v>
      </c>
    </row>
    <row r="40" spans="1:5" x14ac:dyDescent="0.25">
      <c r="A40">
        <v>2.9113074154374998</v>
      </c>
      <c r="B40">
        <v>9.0507126242442152E-4</v>
      </c>
      <c r="C40">
        <f t="shared" si="0"/>
        <v>7.3856120104034744E-7</v>
      </c>
      <c r="D40">
        <f t="shared" si="1"/>
        <v>9.0433270122338121E-4</v>
      </c>
      <c r="E40">
        <f t="shared" si="2"/>
        <v>8.1781763450197729E-7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8B9-0176-4F5C-9D95-0BC0126635E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0.28348348717499999</v>
      </c>
      <c r="B1">
        <v>8.4318992472194893E-3</v>
      </c>
      <c r="C1">
        <f>$H$3*(1+$H$1)*(A1^($H$1))*EXP(-$H$3*(A1^(1+$H$1)))</f>
        <v>9.4118602958655775E-2</v>
      </c>
      <c r="D1">
        <f>B1-C1</f>
        <v>-8.5686703711436288E-2</v>
      </c>
      <c r="E1">
        <f>D1^2</f>
        <v>7.3422111929314689E-3</v>
      </c>
      <c r="G1" t="s">
        <v>0</v>
      </c>
      <c r="H1">
        <v>2.584689987899893</v>
      </c>
    </row>
    <row r="2" spans="1:8" x14ac:dyDescent="0.25">
      <c r="A2">
        <v>0.34310630752499999</v>
      </c>
      <c r="B2">
        <v>5.6915319918731555E-2</v>
      </c>
      <c r="C2">
        <f t="shared" ref="C2:C40" si="0">$H$3*(1+$H$1)*(A2^($H$1))*EXP(-$H$3*(A2^(1+$H$1)))</f>
        <v>0.15302044211258159</v>
      </c>
      <c r="D2">
        <f t="shared" ref="D2:D40" si="1">B2-C2</f>
        <v>-9.6105122193850034E-2</v>
      </c>
      <c r="E2">
        <f t="shared" ref="E2:E40" si="2">D2^2</f>
        <v>9.2361945118948456E-3</v>
      </c>
    </row>
    <row r="3" spans="1:8" x14ac:dyDescent="0.25">
      <c r="A3">
        <v>0.40272912787500004</v>
      </c>
      <c r="B3">
        <v>0.12437051389648747</v>
      </c>
      <c r="C3">
        <f t="shared" si="0"/>
        <v>0.22887250691908612</v>
      </c>
      <c r="D3">
        <f t="shared" si="1"/>
        <v>-0.10450199302259865</v>
      </c>
      <c r="E3">
        <f t="shared" si="2"/>
        <v>1.0920666545695255E-2</v>
      </c>
      <c r="G3" t="s">
        <v>1</v>
      </c>
      <c r="H3">
        <f>(_xlfn.GAMMA((2+$H$1)/(1+$H$1)))^(1+$H$1)</f>
        <v>0.68790217488052896</v>
      </c>
    </row>
    <row r="4" spans="1:8" x14ac:dyDescent="0.25">
      <c r="A4">
        <v>0.46235194822500003</v>
      </c>
      <c r="B4">
        <v>0.26876678850512126</v>
      </c>
      <c r="C4">
        <f t="shared" si="0"/>
        <v>0.32153524517401771</v>
      </c>
      <c r="D4">
        <f t="shared" si="1"/>
        <v>-5.2768456668896457E-2</v>
      </c>
      <c r="E4">
        <f t="shared" si="2"/>
        <v>2.7845100192172029E-3</v>
      </c>
    </row>
    <row r="5" spans="1:8" x14ac:dyDescent="0.25">
      <c r="A5">
        <v>0.52197476857500003</v>
      </c>
      <c r="B5">
        <v>0.41000110089604769</v>
      </c>
      <c r="C5">
        <f t="shared" si="0"/>
        <v>0.42967300622279897</v>
      </c>
      <c r="D5">
        <f t="shared" si="1"/>
        <v>-1.9671905326751282E-2</v>
      </c>
      <c r="E5">
        <f t="shared" si="2"/>
        <v>3.8698385918466545E-4</v>
      </c>
      <c r="G5" t="s">
        <v>2</v>
      </c>
      <c r="H5">
        <f>SUM(E1:E40)</f>
        <v>0.30682706096148821</v>
      </c>
    </row>
    <row r="6" spans="1:8" x14ac:dyDescent="0.25">
      <c r="A6">
        <v>0.58159758892500002</v>
      </c>
      <c r="B6">
        <v>0.59761085914668133</v>
      </c>
      <c r="C6">
        <f t="shared" si="0"/>
        <v>0.55054092746513694</v>
      </c>
      <c r="D6">
        <f t="shared" si="1"/>
        <v>4.7069931681544386E-2</v>
      </c>
      <c r="E6">
        <f t="shared" si="2"/>
        <v>2.215578468505256E-3</v>
      </c>
    </row>
    <row r="7" spans="1:8" x14ac:dyDescent="0.25">
      <c r="A7">
        <v>0.64122040927500001</v>
      </c>
      <c r="B7">
        <v>0.78732859220911988</v>
      </c>
      <c r="C7">
        <f t="shared" si="0"/>
        <v>0.67984460642463573</v>
      </c>
      <c r="D7">
        <f t="shared" si="1"/>
        <v>0.10748398578448415</v>
      </c>
      <c r="E7">
        <f t="shared" si="2"/>
        <v>1.155280720011919E-2</v>
      </c>
    </row>
    <row r="8" spans="1:8" x14ac:dyDescent="0.25">
      <c r="A8">
        <v>0.70084322962500001</v>
      </c>
      <c r="B8">
        <v>0.98758619933058278</v>
      </c>
      <c r="C8">
        <f t="shared" si="0"/>
        <v>0.81173298284556594</v>
      </c>
      <c r="D8">
        <f t="shared" si="1"/>
        <v>0.17585321648501684</v>
      </c>
      <c r="E8">
        <f t="shared" si="2"/>
        <v>3.0924353748126198E-2</v>
      </c>
    </row>
    <row r="9" spans="1:8" x14ac:dyDescent="0.25">
      <c r="A9">
        <v>0.760466049975</v>
      </c>
      <c r="B9">
        <v>1.1551701968690702</v>
      </c>
      <c r="C9">
        <f t="shared" si="0"/>
        <v>0.93898318270236492</v>
      </c>
      <c r="D9">
        <f t="shared" si="1"/>
        <v>0.21618701416670527</v>
      </c>
      <c r="E9">
        <f t="shared" si="2"/>
        <v>4.6736825094315225E-2</v>
      </c>
    </row>
    <row r="10" spans="1:8" x14ac:dyDescent="0.25">
      <c r="A10">
        <v>0.820088870325</v>
      </c>
      <c r="B10">
        <v>1.2637308996770211</v>
      </c>
      <c r="C10">
        <f t="shared" si="0"/>
        <v>1.0534211315034403</v>
      </c>
      <c r="D10">
        <f t="shared" si="1"/>
        <v>0.21030976817358082</v>
      </c>
      <c r="E10">
        <f t="shared" si="2"/>
        <v>4.4230198589225313E-2</v>
      </c>
    </row>
    <row r="11" spans="1:8" x14ac:dyDescent="0.25">
      <c r="A11">
        <v>0.87971169067499999</v>
      </c>
      <c r="B11">
        <v>1.3491038795551185</v>
      </c>
      <c r="C11">
        <f t="shared" si="0"/>
        <v>1.146590101507843</v>
      </c>
      <c r="D11">
        <f t="shared" si="1"/>
        <v>0.20251377804727544</v>
      </c>
      <c r="E11">
        <f t="shared" si="2"/>
        <v>4.1011830298981138E-2</v>
      </c>
    </row>
    <row r="12" spans="1:8" x14ac:dyDescent="0.25">
      <c r="A12">
        <v>0.93933451102499999</v>
      </c>
      <c r="B12">
        <v>1.2795407107655576</v>
      </c>
      <c r="C12">
        <f t="shared" si="0"/>
        <v>1.2106313237639101</v>
      </c>
      <c r="D12">
        <f t="shared" si="1"/>
        <v>6.8909387001647504E-2</v>
      </c>
      <c r="E12">
        <f t="shared" si="2"/>
        <v>4.7485036169428261E-3</v>
      </c>
    </row>
    <row r="13" spans="1:8" x14ac:dyDescent="0.25">
      <c r="A13">
        <v>0.99895733137499998</v>
      </c>
      <c r="B13">
        <v>1.2795407107655576</v>
      </c>
      <c r="C13">
        <f t="shared" si="0"/>
        <v>1.2392823614593163</v>
      </c>
      <c r="D13">
        <f t="shared" si="1"/>
        <v>4.0258349306241392E-2</v>
      </c>
      <c r="E13">
        <f t="shared" si="2"/>
        <v>1.6207346888633468E-3</v>
      </c>
    </row>
    <row r="14" spans="1:8" x14ac:dyDescent="0.25">
      <c r="A14">
        <v>1.0585801517249998</v>
      </c>
      <c r="B14">
        <v>1.164656083522192</v>
      </c>
      <c r="C14">
        <f t="shared" si="0"/>
        <v>1.2288426412062599</v>
      </c>
      <c r="D14">
        <f t="shared" si="1"/>
        <v>-6.4186557684067891E-2</v>
      </c>
      <c r="E14">
        <f t="shared" si="2"/>
        <v>4.1199141873301745E-3</v>
      </c>
    </row>
    <row r="15" spans="1:8" x14ac:dyDescent="0.25">
      <c r="A15">
        <v>1.1182029720749997</v>
      </c>
      <c r="B15">
        <v>1.0624193051496558</v>
      </c>
      <c r="C15">
        <f t="shared" si="0"/>
        <v>1.1789190582730389</v>
      </c>
      <c r="D15">
        <f t="shared" si="1"/>
        <v>-0.11649975312338312</v>
      </c>
      <c r="E15">
        <f t="shared" si="2"/>
        <v>1.3572192477809214E-2</v>
      </c>
    </row>
    <row r="16" spans="1:8" x14ac:dyDescent="0.25">
      <c r="A16">
        <v>1.177825792425</v>
      </c>
      <c r="B16">
        <v>0.9918021489541925</v>
      </c>
      <c r="C16">
        <f t="shared" si="0"/>
        <v>1.0927663565775425</v>
      </c>
      <c r="D16">
        <f t="shared" si="1"/>
        <v>-0.10096420762335001</v>
      </c>
      <c r="E16">
        <f t="shared" si="2"/>
        <v>1.0193771221010929E-2</v>
      </c>
    </row>
    <row r="17" spans="1:5" x14ac:dyDescent="0.25">
      <c r="A17">
        <v>1.2374486127749997</v>
      </c>
      <c r="B17">
        <v>0.85583777359277824</v>
      </c>
      <c r="C17">
        <f t="shared" si="0"/>
        <v>0.97708927447970706</v>
      </c>
      <c r="D17">
        <f t="shared" si="1"/>
        <v>-0.12125150088692882</v>
      </c>
      <c r="E17">
        <f t="shared" si="2"/>
        <v>1.47019264673329E-2</v>
      </c>
    </row>
    <row r="18" spans="1:5" x14ac:dyDescent="0.25">
      <c r="A18">
        <v>1.2970714331249997</v>
      </c>
      <c r="B18">
        <v>0.69457770048970546</v>
      </c>
      <c r="C18">
        <f t="shared" si="0"/>
        <v>0.84127479222505508</v>
      </c>
      <c r="D18">
        <f t="shared" si="1"/>
        <v>-0.14669709173534962</v>
      </c>
      <c r="E18">
        <f t="shared" si="2"/>
        <v>2.1520036723609581E-2</v>
      </c>
    </row>
    <row r="19" spans="1:5" x14ac:dyDescent="0.25">
      <c r="A19">
        <v>1.3566942534749997</v>
      </c>
      <c r="B19">
        <v>0.56809921178141309</v>
      </c>
      <c r="C19">
        <f t="shared" si="0"/>
        <v>0.69615355926316425</v>
      </c>
      <c r="D19">
        <f t="shared" si="1"/>
        <v>-0.12805434748175115</v>
      </c>
      <c r="E19">
        <f t="shared" si="2"/>
        <v>1.6397915908977066E-2</v>
      </c>
    </row>
    <row r="20" spans="1:5" x14ac:dyDescent="0.25">
      <c r="A20">
        <v>1.4163170738249997</v>
      </c>
      <c r="B20">
        <v>0.46480844600297438</v>
      </c>
      <c r="C20">
        <f t="shared" si="0"/>
        <v>0.55251391781700943</v>
      </c>
      <c r="D20">
        <f t="shared" si="1"/>
        <v>-8.7705471814035041E-2</v>
      </c>
      <c r="E20">
        <f t="shared" si="2"/>
        <v>7.6922497861224952E-3</v>
      </c>
    </row>
    <row r="21" spans="1:5" x14ac:dyDescent="0.25">
      <c r="A21">
        <v>1.4759398941749999</v>
      </c>
      <c r="B21">
        <v>0.38470540315438922</v>
      </c>
      <c r="C21">
        <f t="shared" si="0"/>
        <v>0.41966815430143367</v>
      </c>
      <c r="D21">
        <f t="shared" si="1"/>
        <v>-3.4962751147044446E-2</v>
      </c>
      <c r="E21">
        <f t="shared" si="2"/>
        <v>1.2223939677701579E-3</v>
      </c>
    </row>
    <row r="22" spans="1:5" x14ac:dyDescent="0.25">
      <c r="A22">
        <v>1.5355627145250001</v>
      </c>
      <c r="B22">
        <v>0.29933242327629189</v>
      </c>
      <c r="C22">
        <f t="shared" si="0"/>
        <v>0.30436710234805198</v>
      </c>
      <c r="D22">
        <f t="shared" si="1"/>
        <v>-5.0346790717600842E-3</v>
      </c>
      <c r="E22">
        <f t="shared" si="2"/>
        <v>2.5347993355618983E-5</v>
      </c>
    </row>
    <row r="23" spans="1:5" x14ac:dyDescent="0.25">
      <c r="A23">
        <v>1.5951855348749999</v>
      </c>
      <c r="B23">
        <v>0.22660729226902379</v>
      </c>
      <c r="C23">
        <f t="shared" si="0"/>
        <v>0.21026983821203021</v>
      </c>
      <c r="D23">
        <f t="shared" si="1"/>
        <v>1.6337454056993578E-2</v>
      </c>
      <c r="E23">
        <f t="shared" si="2"/>
        <v>2.6691240506437593E-4</v>
      </c>
    </row>
    <row r="24" spans="1:5" x14ac:dyDescent="0.25">
      <c r="A24">
        <v>1.6548083552249997</v>
      </c>
      <c r="B24">
        <v>0.16020608569717029</v>
      </c>
      <c r="C24">
        <f t="shared" si="0"/>
        <v>0.13802570967457375</v>
      </c>
      <c r="D24">
        <f t="shared" si="1"/>
        <v>2.2180376022596537E-2</v>
      </c>
      <c r="E24">
        <f t="shared" si="2"/>
        <v>4.9196908050377539E-4</v>
      </c>
    </row>
    <row r="25" spans="1:5" x14ac:dyDescent="0.25">
      <c r="A25">
        <v>1.7144311755749999</v>
      </c>
      <c r="B25">
        <v>9.9074816154829007E-2</v>
      </c>
      <c r="C25">
        <f t="shared" si="0"/>
        <v>8.5866347400638351E-2</v>
      </c>
      <c r="D25">
        <f t="shared" si="1"/>
        <v>1.3208468754190655E-2</v>
      </c>
      <c r="E25">
        <f t="shared" si="2"/>
        <v>1.7446364683043085E-4</v>
      </c>
    </row>
    <row r="26" spans="1:5" x14ac:dyDescent="0.25">
      <c r="A26">
        <v>1.7740539959249999</v>
      </c>
      <c r="B26">
        <v>7.1671143601365658E-2</v>
      </c>
      <c r="C26">
        <f t="shared" si="0"/>
        <v>5.0489903475322707E-2</v>
      </c>
      <c r="D26">
        <f t="shared" si="1"/>
        <v>2.1181240126042951E-2</v>
      </c>
      <c r="E26">
        <f t="shared" si="2"/>
        <v>4.48644933277092E-4</v>
      </c>
    </row>
    <row r="27" spans="1:5" x14ac:dyDescent="0.25">
      <c r="A27">
        <v>1.8336768162749999</v>
      </c>
      <c r="B27">
        <v>5.6915319918731555E-2</v>
      </c>
      <c r="C27">
        <f t="shared" si="0"/>
        <v>2.798384567009754E-2</v>
      </c>
      <c r="D27">
        <f t="shared" si="1"/>
        <v>2.8931474248634015E-2</v>
      </c>
      <c r="E27">
        <f t="shared" si="2"/>
        <v>8.3703020219937313E-4</v>
      </c>
    </row>
    <row r="28" spans="1:5" x14ac:dyDescent="0.25">
      <c r="A28">
        <v>1.8932996366249997</v>
      </c>
      <c r="B28">
        <v>3.6889559206585265E-2</v>
      </c>
      <c r="C28">
        <f t="shared" si="0"/>
        <v>1.4578073694372678E-2</v>
      </c>
      <c r="D28">
        <f t="shared" si="1"/>
        <v>2.2311485512212587E-2</v>
      </c>
      <c r="E28">
        <f t="shared" si="2"/>
        <v>4.9780238576167216E-4</v>
      </c>
    </row>
    <row r="29" spans="1:5" x14ac:dyDescent="0.25">
      <c r="A29">
        <v>1.9529224569749997</v>
      </c>
      <c r="B29">
        <v>3.4781584394780393E-2</v>
      </c>
      <c r="C29">
        <f t="shared" si="0"/>
        <v>7.1173545733487723E-3</v>
      </c>
      <c r="D29">
        <f t="shared" si="1"/>
        <v>2.7664229821431623E-2</v>
      </c>
      <c r="E29">
        <f t="shared" si="2"/>
        <v>7.6530961161298675E-4</v>
      </c>
    </row>
    <row r="30" spans="1:5" x14ac:dyDescent="0.25">
      <c r="A30">
        <v>2.0125452773249997</v>
      </c>
      <c r="B30">
        <v>1.3701836276731671E-2</v>
      </c>
      <c r="C30">
        <f t="shared" si="0"/>
        <v>3.2468864182439317E-3</v>
      </c>
      <c r="D30">
        <f t="shared" si="1"/>
        <v>1.0454949858487739E-2</v>
      </c>
      <c r="E30">
        <f t="shared" si="2"/>
        <v>1.093059765434928E-4</v>
      </c>
    </row>
    <row r="31" spans="1:5" x14ac:dyDescent="0.25">
      <c r="A31">
        <v>2.0721680976750001</v>
      </c>
      <c r="B31">
        <v>8.4318992472194893E-3</v>
      </c>
      <c r="C31">
        <f t="shared" si="0"/>
        <v>1.379810751537235E-3</v>
      </c>
      <c r="D31">
        <f t="shared" si="1"/>
        <v>7.0520884956822546E-3</v>
      </c>
      <c r="E31">
        <f t="shared" si="2"/>
        <v>4.9731952150934007E-5</v>
      </c>
    </row>
    <row r="32" spans="1:5" x14ac:dyDescent="0.25">
      <c r="A32">
        <v>2.1317909180249996</v>
      </c>
      <c r="B32">
        <v>5.2699370295121815E-3</v>
      </c>
      <c r="C32">
        <f t="shared" si="0"/>
        <v>5.4452815586127079E-4</v>
      </c>
      <c r="D32">
        <f t="shared" si="1"/>
        <v>4.7254088736509107E-3</v>
      </c>
      <c r="E32">
        <f t="shared" si="2"/>
        <v>2.2329489023178769E-5</v>
      </c>
    </row>
    <row r="33" spans="1:5" x14ac:dyDescent="0.25">
      <c r="A33">
        <v>2.1914137383749996</v>
      </c>
      <c r="B33">
        <v>0</v>
      </c>
      <c r="C33">
        <f t="shared" si="0"/>
        <v>1.9892319192416039E-4</v>
      </c>
      <c r="D33">
        <f t="shared" si="1"/>
        <v>-1.9892319192416039E-4</v>
      </c>
      <c r="E33">
        <f t="shared" si="2"/>
        <v>3.957043628529635E-8</v>
      </c>
    </row>
    <row r="34" spans="1:5" x14ac:dyDescent="0.25">
      <c r="A34">
        <v>2.2510365587249996</v>
      </c>
      <c r="B34">
        <v>2.1079748118048723E-3</v>
      </c>
      <c r="C34">
        <f t="shared" si="0"/>
        <v>6.7050625492740424E-5</v>
      </c>
      <c r="D34">
        <f t="shared" si="1"/>
        <v>2.0409241863121319E-3</v>
      </c>
      <c r="E34">
        <f t="shared" si="2"/>
        <v>4.1653715342738375E-6</v>
      </c>
    </row>
    <row r="35" spans="1:5" x14ac:dyDescent="0.25">
      <c r="A35">
        <v>2.3106593790750001</v>
      </c>
      <c r="B35">
        <v>0</v>
      </c>
      <c r="C35">
        <f t="shared" si="0"/>
        <v>2.0784211678755327E-5</v>
      </c>
      <c r="D35">
        <f t="shared" si="1"/>
        <v>-2.0784211678755327E-5</v>
      </c>
      <c r="E35">
        <f t="shared" si="2"/>
        <v>4.3198345510730934E-10</v>
      </c>
    </row>
    <row r="36" spans="1:5" x14ac:dyDescent="0.25">
      <c r="A36">
        <v>2.3702821994249996</v>
      </c>
      <c r="B36">
        <v>1.0539874059024362E-3</v>
      </c>
      <c r="C36">
        <f t="shared" si="0"/>
        <v>5.9048939103910685E-6</v>
      </c>
      <c r="D36">
        <f t="shared" si="1"/>
        <v>1.048082511992045E-3</v>
      </c>
      <c r="E36">
        <f t="shared" si="2"/>
        <v>1.0984769519435552E-6</v>
      </c>
    </row>
    <row r="37" spans="1:5" x14ac:dyDescent="0.25">
      <c r="A37">
        <v>2.4299050197750001</v>
      </c>
      <c r="B37">
        <v>0</v>
      </c>
      <c r="C37">
        <f t="shared" si="0"/>
        <v>1.5323115961422275E-6</v>
      </c>
      <c r="D37">
        <f t="shared" si="1"/>
        <v>-1.5323115961422275E-6</v>
      </c>
      <c r="E37">
        <f t="shared" si="2"/>
        <v>2.3479788276719408E-12</v>
      </c>
    </row>
    <row r="38" spans="1:5" x14ac:dyDescent="0.25">
      <c r="A38">
        <v>2.4895278401249996</v>
      </c>
      <c r="B38">
        <v>0</v>
      </c>
      <c r="C38">
        <f t="shared" si="0"/>
        <v>3.6192768016157218E-7</v>
      </c>
      <c r="D38">
        <f t="shared" si="1"/>
        <v>-3.6192768016157218E-7</v>
      </c>
      <c r="E38">
        <f t="shared" si="2"/>
        <v>1.309916456671373E-13</v>
      </c>
    </row>
    <row r="39" spans="1:5" x14ac:dyDescent="0.25">
      <c r="A39">
        <v>2.5491506604750001</v>
      </c>
      <c r="B39">
        <v>0</v>
      </c>
      <c r="C39">
        <f t="shared" si="0"/>
        <v>7.7534438181017186E-8</v>
      </c>
      <c r="D39">
        <f t="shared" si="1"/>
        <v>-7.7534438181017186E-8</v>
      </c>
      <c r="E39">
        <f t="shared" si="2"/>
        <v>6.0115891040459758E-15</v>
      </c>
    </row>
    <row r="40" spans="1:5" x14ac:dyDescent="0.25">
      <c r="A40">
        <v>2.6087734808249996</v>
      </c>
      <c r="B40">
        <v>1.0539874059024362E-3</v>
      </c>
      <c r="C40">
        <f t="shared" si="0"/>
        <v>1.5010654315233353E-8</v>
      </c>
      <c r="D40">
        <f t="shared" si="1"/>
        <v>1.0539723952481209E-3</v>
      </c>
      <c r="E40">
        <f t="shared" si="2"/>
        <v>1.1108578099450613E-6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0D834-BA3F-4EA3-A011-7211A62453F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0.33719631543749995</v>
      </c>
      <c r="B1">
        <v>5.8230769460657006E-3</v>
      </c>
      <c r="C1">
        <f>$H$3*(1+$H$1)*(A1^($H$1))*EXP(-$H$3*(A1^(1+$H$1)))</f>
        <v>9.3281467216385916E-2</v>
      </c>
      <c r="D1">
        <f>B1-C1</f>
        <v>-8.7458390270320222E-2</v>
      </c>
      <c r="E1">
        <f>D1^2</f>
        <v>7.6489700286756432E-3</v>
      </c>
      <c r="G1" t="s">
        <v>0</v>
      </c>
      <c r="H1">
        <v>3.1093904913438157</v>
      </c>
    </row>
    <row r="2" spans="1:8" x14ac:dyDescent="0.25">
      <c r="A2">
        <v>0.39115550431249996</v>
      </c>
      <c r="B2">
        <v>3.4938461676394202E-2</v>
      </c>
      <c r="C2">
        <f t="shared" ref="C2:C40" si="0">$H$3*(1+$H$1)*(A2^($H$1))*EXP(-$H$3*(A2^(1+$H$1)))</f>
        <v>0.14703878819397587</v>
      </c>
      <c r="D2">
        <f t="shared" ref="D2:D40" si="1">B2-C2</f>
        <v>-0.11210032651758167</v>
      </c>
      <c r="E2">
        <f t="shared" ref="E2:E40" si="2">D2^2</f>
        <v>1.2566483205348424E-2</v>
      </c>
    </row>
    <row r="3" spans="1:8" x14ac:dyDescent="0.25">
      <c r="A3">
        <v>0.44511469318749997</v>
      </c>
      <c r="B3">
        <v>9.6663077304690634E-2</v>
      </c>
      <c r="C3">
        <f t="shared" si="0"/>
        <v>0.21757980315236089</v>
      </c>
      <c r="D3">
        <f t="shared" si="1"/>
        <v>-0.12091672584767026</v>
      </c>
      <c r="E3">
        <f t="shared" si="2"/>
        <v>1.4620854589720648E-2</v>
      </c>
      <c r="G3" t="s">
        <v>1</v>
      </c>
      <c r="H3">
        <f>(_xlfn.GAMMA((2+$H$1)/(1+$H$1)))^(1+$H$1)</f>
        <v>0.67199269219864843</v>
      </c>
    </row>
    <row r="4" spans="1:8" x14ac:dyDescent="0.25">
      <c r="A4">
        <v>0.49907388206249997</v>
      </c>
      <c r="B4">
        <v>0.2294292316749886</v>
      </c>
      <c r="C4">
        <f t="shared" si="0"/>
        <v>0.30608261013932669</v>
      </c>
      <c r="D4">
        <f t="shared" si="1"/>
        <v>-7.665337846433809E-2</v>
      </c>
      <c r="E4">
        <f t="shared" si="2"/>
        <v>5.8757404299970501E-3</v>
      </c>
    </row>
    <row r="5" spans="1:8" x14ac:dyDescent="0.25">
      <c r="A5">
        <v>0.55303307093749998</v>
      </c>
      <c r="B5">
        <v>0.38781692460797568</v>
      </c>
      <c r="C5">
        <f t="shared" si="0"/>
        <v>0.41273194095494575</v>
      </c>
      <c r="D5">
        <f t="shared" si="1"/>
        <v>-2.4915016346970076E-2</v>
      </c>
      <c r="E5">
        <f t="shared" si="2"/>
        <v>6.2075803956978615E-4</v>
      </c>
      <c r="G5" t="s">
        <v>2</v>
      </c>
      <c r="H5">
        <f>SUM(E1:E40)</f>
        <v>0.4598758157597681</v>
      </c>
    </row>
    <row r="6" spans="1:8" x14ac:dyDescent="0.25">
      <c r="A6">
        <v>0.60699225981249993</v>
      </c>
      <c r="B6">
        <v>0.53455846364883131</v>
      </c>
      <c r="C6">
        <f t="shared" si="0"/>
        <v>0.53636727994920486</v>
      </c>
      <c r="D6">
        <f t="shared" si="1"/>
        <v>-1.8088163003735502E-3</v>
      </c>
      <c r="E6">
        <f t="shared" si="2"/>
        <v>3.2718164084970575E-6</v>
      </c>
    </row>
    <row r="7" spans="1:8" x14ac:dyDescent="0.25">
      <c r="A7">
        <v>0.66095144868749989</v>
      </c>
      <c r="B7">
        <v>0.81523077244919806</v>
      </c>
      <c r="C7">
        <f t="shared" si="0"/>
        <v>0.6741383504645464</v>
      </c>
      <c r="D7">
        <f t="shared" si="1"/>
        <v>0.14109242198465166</v>
      </c>
      <c r="E7">
        <f t="shared" si="2"/>
        <v>1.9907071541495014E-2</v>
      </c>
    </row>
    <row r="8" spans="1:8" x14ac:dyDescent="0.25">
      <c r="A8">
        <v>0.71491063756250006</v>
      </c>
      <c r="B8">
        <v>1.0120507732262187</v>
      </c>
      <c r="C8">
        <f t="shared" si="0"/>
        <v>0.8212330992103456</v>
      </c>
      <c r="D8">
        <f t="shared" si="1"/>
        <v>0.19081767401587313</v>
      </c>
      <c r="E8">
        <f t="shared" si="2"/>
        <v>3.6411384716828026E-2</v>
      </c>
    </row>
    <row r="9" spans="1:8" x14ac:dyDescent="0.25">
      <c r="A9">
        <v>0.76886982643750001</v>
      </c>
      <c r="B9">
        <v>1.213529235560092</v>
      </c>
      <c r="C9">
        <f t="shared" si="0"/>
        <v>0.97076437528269877</v>
      </c>
      <c r="D9">
        <f t="shared" si="1"/>
        <v>0.24276486027739319</v>
      </c>
      <c r="E9">
        <f t="shared" si="2"/>
        <v>5.8934777385502235E-2</v>
      </c>
    </row>
    <row r="10" spans="1:8" x14ac:dyDescent="0.25">
      <c r="A10">
        <v>0.82282901531249997</v>
      </c>
      <c r="B10">
        <v>1.3521184668764556</v>
      </c>
      <c r="C10">
        <f t="shared" si="0"/>
        <v>1.1139127533851894</v>
      </c>
      <c r="D10">
        <f t="shared" si="1"/>
        <v>0.23820571349126629</v>
      </c>
      <c r="E10">
        <f t="shared" si="2"/>
        <v>5.6741961939883241E-2</v>
      </c>
    </row>
    <row r="11" spans="1:8" x14ac:dyDescent="0.25">
      <c r="A11">
        <v>0.87678820418750003</v>
      </c>
      <c r="B11">
        <v>1.5000246213065245</v>
      </c>
      <c r="C11">
        <f t="shared" si="0"/>
        <v>1.2404143177956546</v>
      </c>
      <c r="D11">
        <f t="shared" si="1"/>
        <v>0.25961030351086989</v>
      </c>
      <c r="E11">
        <f t="shared" si="2"/>
        <v>6.7397509689005985E-2</v>
      </c>
    </row>
    <row r="12" spans="1:8" x14ac:dyDescent="0.25">
      <c r="A12">
        <v>0.93074739306250009</v>
      </c>
      <c r="B12">
        <v>1.4883784674143932</v>
      </c>
      <c r="C12">
        <f t="shared" si="0"/>
        <v>1.339443717281005</v>
      </c>
      <c r="D12">
        <f t="shared" si="1"/>
        <v>0.14893475013338819</v>
      </c>
      <c r="E12">
        <f t="shared" si="2"/>
        <v>2.2181559797294775E-2</v>
      </c>
    </row>
    <row r="13" spans="1:8" x14ac:dyDescent="0.25">
      <c r="A13">
        <v>0.98470658193750005</v>
      </c>
      <c r="B13">
        <v>1.479061544300688</v>
      </c>
      <c r="C13">
        <f t="shared" si="0"/>
        <v>1.4008689317150054</v>
      </c>
      <c r="D13">
        <f t="shared" si="1"/>
        <v>7.8192612585682664E-2</v>
      </c>
      <c r="E13">
        <f t="shared" si="2"/>
        <v>6.1140846629746592E-3</v>
      </c>
    </row>
    <row r="14" spans="1:8" x14ac:dyDescent="0.25">
      <c r="A14">
        <v>1.0386657708125</v>
      </c>
      <c r="B14">
        <v>1.3346492360382587</v>
      </c>
      <c r="C14">
        <f t="shared" si="0"/>
        <v>1.4167497517699734</v>
      </c>
      <c r="D14">
        <f t="shared" si="1"/>
        <v>-8.2100515731714729E-2</v>
      </c>
      <c r="E14">
        <f t="shared" si="2"/>
        <v>6.7404946834135381E-3</v>
      </c>
    </row>
    <row r="15" spans="1:8" x14ac:dyDescent="0.25">
      <c r="A15">
        <v>1.0926249596875</v>
      </c>
      <c r="B15">
        <v>1.2973815435834382</v>
      </c>
      <c r="C15">
        <f t="shared" si="0"/>
        <v>1.3828371036780247</v>
      </c>
      <c r="D15">
        <f t="shared" si="1"/>
        <v>-8.5455560094586547E-2</v>
      </c>
      <c r="E15">
        <f t="shared" si="2"/>
        <v>7.3026527510794926E-3</v>
      </c>
    </row>
    <row r="16" spans="1:8" x14ac:dyDescent="0.25">
      <c r="A16">
        <v>1.1465841485625001</v>
      </c>
      <c r="B16">
        <v>1.1424876968180906</v>
      </c>
      <c r="C16">
        <f t="shared" si="0"/>
        <v>1.2997413476551514</v>
      </c>
      <c r="D16">
        <f t="shared" si="1"/>
        <v>-0.15725365083706078</v>
      </c>
      <c r="E16">
        <f t="shared" si="2"/>
        <v>2.4728710701584226E-2</v>
      </c>
    </row>
    <row r="17" spans="1:5" x14ac:dyDescent="0.25">
      <c r="A17">
        <v>1.2005433374375001</v>
      </c>
      <c r="B17">
        <v>1.0563061580163182</v>
      </c>
      <c r="C17">
        <f t="shared" si="0"/>
        <v>1.173419741223219</v>
      </c>
      <c r="D17">
        <f t="shared" si="1"/>
        <v>-0.1171135832069008</v>
      </c>
      <c r="E17">
        <f t="shared" si="2"/>
        <v>1.3715591371559676E-2</v>
      </c>
    </row>
    <row r="18" spans="1:5" x14ac:dyDescent="0.25">
      <c r="A18">
        <v>1.2545025263125</v>
      </c>
      <c r="B18">
        <v>0.77097538765909879</v>
      </c>
      <c r="C18">
        <f t="shared" si="0"/>
        <v>1.0147236279840117</v>
      </c>
      <c r="D18">
        <f t="shared" si="1"/>
        <v>-0.24374824032491293</v>
      </c>
      <c r="E18">
        <f t="shared" si="2"/>
        <v>5.9413204661491512E-2</v>
      </c>
    </row>
    <row r="19" spans="1:5" x14ac:dyDescent="0.25">
      <c r="A19">
        <v>1.3084617151875</v>
      </c>
      <c r="B19">
        <v>0.72089692592293375</v>
      </c>
      <c r="C19">
        <f t="shared" si="0"/>
        <v>0.8379511631131219</v>
      </c>
      <c r="D19">
        <f t="shared" si="1"/>
        <v>-0.11705423719018815</v>
      </c>
      <c r="E19">
        <f t="shared" si="2"/>
        <v>1.3701694444176826E-2</v>
      </c>
    </row>
    <row r="20" spans="1:5" x14ac:dyDescent="0.25">
      <c r="A20">
        <v>1.3624209040625002</v>
      </c>
      <c r="B20">
        <v>0.53455846364883131</v>
      </c>
      <c r="C20">
        <f t="shared" si="0"/>
        <v>0.65862935320595994</v>
      </c>
      <c r="D20">
        <f t="shared" si="1"/>
        <v>-0.12407088955712864</v>
      </c>
      <c r="E20">
        <f t="shared" si="2"/>
        <v>1.5393585635497212E-2</v>
      </c>
    </row>
    <row r="21" spans="1:5" x14ac:dyDescent="0.25">
      <c r="A21">
        <v>1.4163800929375001</v>
      </c>
      <c r="B21">
        <v>0.42741384784122244</v>
      </c>
      <c r="C21">
        <f t="shared" si="0"/>
        <v>0.49100965357895354</v>
      </c>
      <c r="D21">
        <f t="shared" si="1"/>
        <v>-6.3595805737731104E-2</v>
      </c>
      <c r="E21">
        <f t="shared" si="2"/>
        <v>4.0444265074312327E-3</v>
      </c>
    </row>
    <row r="22" spans="1:5" x14ac:dyDescent="0.25">
      <c r="A22">
        <v>1.4703392818125001</v>
      </c>
      <c r="B22">
        <v>0.35637230909922091</v>
      </c>
      <c r="C22">
        <f t="shared" si="0"/>
        <v>0.34589487538007913</v>
      </c>
      <c r="D22">
        <f t="shared" si="1"/>
        <v>1.0477433719141782E-2</v>
      </c>
      <c r="E22">
        <f t="shared" si="2"/>
        <v>1.0977661733900919E-4</v>
      </c>
    </row>
    <row r="23" spans="1:5" x14ac:dyDescent="0.25">
      <c r="A23">
        <v>1.5242984706875</v>
      </c>
      <c r="B23">
        <v>0.23292307784262803</v>
      </c>
      <c r="C23">
        <f t="shared" si="0"/>
        <v>0.22934429904293943</v>
      </c>
      <c r="D23">
        <f t="shared" si="1"/>
        <v>3.5787787996885978E-3</v>
      </c>
      <c r="E23">
        <f t="shared" si="2"/>
        <v>1.280765769710056E-5</v>
      </c>
    </row>
    <row r="24" spans="1:5" x14ac:dyDescent="0.25">
      <c r="A24">
        <v>1.5782576595625</v>
      </c>
      <c r="B24">
        <v>0.1711984622143316</v>
      </c>
      <c r="C24">
        <f t="shared" si="0"/>
        <v>0.14253257961645147</v>
      </c>
      <c r="D24">
        <f t="shared" si="1"/>
        <v>2.8665882597880138E-2</v>
      </c>
      <c r="E24">
        <f t="shared" si="2"/>
        <v>8.2173282511544736E-4</v>
      </c>
    </row>
    <row r="25" spans="1:5" x14ac:dyDescent="0.25">
      <c r="A25">
        <v>1.6322168484374999</v>
      </c>
      <c r="B25">
        <v>0.11762615431052716</v>
      </c>
      <c r="C25">
        <f t="shared" si="0"/>
        <v>8.2665657158492278E-2</v>
      </c>
      <c r="D25">
        <f t="shared" si="1"/>
        <v>3.4960497152034878E-2</v>
      </c>
      <c r="E25">
        <f t="shared" si="2"/>
        <v>1.2222363611174387E-3</v>
      </c>
    </row>
    <row r="26" spans="1:5" x14ac:dyDescent="0.25">
      <c r="A26">
        <v>1.6861760373124999</v>
      </c>
      <c r="B26">
        <v>7.1041538742001545E-2</v>
      </c>
      <c r="C26">
        <f t="shared" si="0"/>
        <v>4.4538379369072033E-2</v>
      </c>
      <c r="D26">
        <f t="shared" si="1"/>
        <v>2.6503159372929512E-2</v>
      </c>
      <c r="E26">
        <f t="shared" si="2"/>
        <v>7.0241745674690147E-4</v>
      </c>
    </row>
    <row r="27" spans="1:5" x14ac:dyDescent="0.25">
      <c r="A27">
        <v>1.7401352261875001</v>
      </c>
      <c r="B27">
        <v>5.8230769460657007E-2</v>
      </c>
      <c r="C27">
        <f t="shared" si="0"/>
        <v>2.2185426111577797E-2</v>
      </c>
      <c r="D27">
        <f t="shared" si="1"/>
        <v>3.6045343349079211E-2</v>
      </c>
      <c r="E27">
        <f t="shared" si="2"/>
        <v>1.2992667771530089E-3</v>
      </c>
    </row>
    <row r="28" spans="1:5" x14ac:dyDescent="0.25">
      <c r="A28">
        <v>1.7940944150625</v>
      </c>
      <c r="B28">
        <v>4.4255384790099328E-2</v>
      </c>
      <c r="C28">
        <f t="shared" si="0"/>
        <v>1.0166328243837163E-2</v>
      </c>
      <c r="D28">
        <f t="shared" si="1"/>
        <v>3.4089056546262167E-2</v>
      </c>
      <c r="E28">
        <f t="shared" si="2"/>
        <v>1.1620637762142596E-3</v>
      </c>
    </row>
    <row r="29" spans="1:5" x14ac:dyDescent="0.25">
      <c r="A29">
        <v>1.8480536039375002</v>
      </c>
      <c r="B29">
        <v>2.2127692395049664E-2</v>
      </c>
      <c r="C29">
        <f t="shared" si="0"/>
        <v>4.2635981819254057E-3</v>
      </c>
      <c r="D29">
        <f t="shared" si="1"/>
        <v>1.7864094213124258E-2</v>
      </c>
      <c r="E29">
        <f t="shared" si="2"/>
        <v>3.1912586205537963E-4</v>
      </c>
    </row>
    <row r="30" spans="1:5" x14ac:dyDescent="0.25">
      <c r="A30">
        <v>1.9020127928125001</v>
      </c>
      <c r="B30">
        <v>1.2810769281344541E-2</v>
      </c>
      <c r="C30">
        <f t="shared" si="0"/>
        <v>1.6276892044135756E-3</v>
      </c>
      <c r="D30">
        <f t="shared" si="1"/>
        <v>1.1183080076930965E-2</v>
      </c>
      <c r="E30">
        <f t="shared" si="2"/>
        <v>1.2506128000705028E-4</v>
      </c>
    </row>
    <row r="31" spans="1:5" x14ac:dyDescent="0.25">
      <c r="A31">
        <v>1.9559719816875001</v>
      </c>
      <c r="B31">
        <v>5.8230769460657006E-3</v>
      </c>
      <c r="C31">
        <f t="shared" si="0"/>
        <v>5.6251231591554864E-4</v>
      </c>
      <c r="D31">
        <f t="shared" si="1"/>
        <v>5.2605646301501522E-3</v>
      </c>
      <c r="E31">
        <f t="shared" si="2"/>
        <v>2.7673540227986807E-5</v>
      </c>
    </row>
    <row r="32" spans="1:5" x14ac:dyDescent="0.25">
      <c r="A32">
        <v>2.0099311705625</v>
      </c>
      <c r="B32">
        <v>1.1646153892131402E-3</v>
      </c>
      <c r="C32">
        <f t="shared" si="0"/>
        <v>1.7496676398016416E-4</v>
      </c>
      <c r="D32">
        <f t="shared" si="1"/>
        <v>9.8964862523297594E-4</v>
      </c>
      <c r="E32">
        <f t="shared" si="2"/>
        <v>9.7940440142551936E-7</v>
      </c>
    </row>
    <row r="33" spans="1:5" x14ac:dyDescent="0.25">
      <c r="A33">
        <v>2.0638903594375</v>
      </c>
      <c r="B33">
        <v>2.3292307784262803E-3</v>
      </c>
      <c r="C33">
        <f t="shared" si="0"/>
        <v>4.8691748892472875E-5</v>
      </c>
      <c r="D33">
        <f t="shared" si="1"/>
        <v>2.2805390295338075E-3</v>
      </c>
      <c r="E33">
        <f t="shared" si="2"/>
        <v>5.2008582652270008E-6</v>
      </c>
    </row>
    <row r="34" spans="1:5" x14ac:dyDescent="0.25">
      <c r="A34">
        <v>2.1178495483124999</v>
      </c>
      <c r="B34">
        <v>1.1646153892131402E-3</v>
      </c>
      <c r="C34">
        <f t="shared" si="0"/>
        <v>1.2049269807400228E-5</v>
      </c>
      <c r="D34">
        <f t="shared" si="1"/>
        <v>1.1525661194057399E-3</v>
      </c>
      <c r="E34">
        <f t="shared" si="2"/>
        <v>1.3284086596020062E-6</v>
      </c>
    </row>
    <row r="35" spans="1:5" x14ac:dyDescent="0.25">
      <c r="A35">
        <v>2.1718087371874999</v>
      </c>
      <c r="B35">
        <v>0</v>
      </c>
      <c r="C35">
        <f t="shared" si="0"/>
        <v>2.6346140510764748E-6</v>
      </c>
      <c r="D35">
        <f t="shared" si="1"/>
        <v>-2.6346140510764748E-6</v>
      </c>
      <c r="E35">
        <f t="shared" si="2"/>
        <v>6.9411911981295937E-12</v>
      </c>
    </row>
    <row r="36" spans="1:5" x14ac:dyDescent="0.25">
      <c r="A36">
        <v>2.2257679260624998</v>
      </c>
      <c r="B36">
        <v>0</v>
      </c>
      <c r="C36">
        <f t="shared" si="0"/>
        <v>5.0569172446875177E-7</v>
      </c>
      <c r="D36">
        <f t="shared" si="1"/>
        <v>-5.0569172446875177E-7</v>
      </c>
      <c r="E36">
        <f t="shared" si="2"/>
        <v>2.5572412019617995E-13</v>
      </c>
    </row>
    <row r="37" spans="1:5" x14ac:dyDescent="0.25">
      <c r="A37">
        <v>2.2797271149375002</v>
      </c>
      <c r="B37">
        <v>0</v>
      </c>
      <c r="C37">
        <f t="shared" si="0"/>
        <v>8.4634081594500561E-8</v>
      </c>
      <c r="D37">
        <f t="shared" si="1"/>
        <v>-8.4634081594500561E-8</v>
      </c>
      <c r="E37">
        <f t="shared" si="2"/>
        <v>7.1629277673445785E-15</v>
      </c>
    </row>
    <row r="38" spans="1:5" x14ac:dyDescent="0.25">
      <c r="A38">
        <v>2.3336863038124998</v>
      </c>
      <c r="B38">
        <v>0</v>
      </c>
      <c r="C38">
        <f t="shared" si="0"/>
        <v>1.226562834315988E-8</v>
      </c>
      <c r="D38">
        <f t="shared" si="1"/>
        <v>-1.226562834315988E-8</v>
      </c>
      <c r="E38">
        <f t="shared" si="2"/>
        <v>1.5044563865252697E-16</v>
      </c>
    </row>
    <row r="39" spans="1:5" x14ac:dyDescent="0.25">
      <c r="A39">
        <v>2.3876454926874997</v>
      </c>
      <c r="B39">
        <v>0</v>
      </c>
      <c r="C39">
        <f t="shared" si="0"/>
        <v>1.5283765592386032E-9</v>
      </c>
      <c r="D39">
        <f t="shared" si="1"/>
        <v>-1.5283765592386032E-9</v>
      </c>
      <c r="E39">
        <f t="shared" si="2"/>
        <v>2.3359349068300315E-18</v>
      </c>
    </row>
    <row r="40" spans="1:5" x14ac:dyDescent="0.25">
      <c r="A40">
        <v>2.4416046815625001</v>
      </c>
      <c r="B40">
        <v>1.1646153892131402E-3</v>
      </c>
      <c r="C40">
        <f t="shared" si="0"/>
        <v>1.6255280929790177E-10</v>
      </c>
      <c r="D40">
        <f t="shared" si="1"/>
        <v>1.1646152266603308E-3</v>
      </c>
      <c r="E40">
        <f t="shared" si="2"/>
        <v>1.3563286261690937E-6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C004-5062-48B4-9CBE-163EF20C6C7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0.4199310047625</v>
      </c>
      <c r="B1">
        <v>4.0017954945440245E-3</v>
      </c>
      <c r="C1">
        <f>$H$3*(1+$H$1)*(A1^($H$1))*EXP(-$H$3*(A1^(1+$H$1)))</f>
        <v>0.10088158927524717</v>
      </c>
      <c r="D1">
        <f>B1-C1</f>
        <v>-9.6879793780703147E-2</v>
      </c>
      <c r="E1">
        <f>D1^2</f>
        <v>9.3856944429915688E-3</v>
      </c>
      <c r="G1" t="s">
        <v>0</v>
      </c>
      <c r="H1">
        <v>3.9959196459363819</v>
      </c>
    </row>
    <row r="2" spans="1:8" x14ac:dyDescent="0.25">
      <c r="A2">
        <v>0.46703817428749994</v>
      </c>
      <c r="B2">
        <v>3.0680432124837519E-2</v>
      </c>
      <c r="C2">
        <f t="shared" ref="C2:C40" si="0">$H$3*(1+$H$1)*(A2^($H$1))*EXP(-$H$3*(A2^(1+$H$1)))</f>
        <v>0.15336203441576007</v>
      </c>
      <c r="D2">
        <f t="shared" ref="D2:D40" si="1">B2-C2</f>
        <v>-0.12268160229092255</v>
      </c>
      <c r="E2">
        <f t="shared" ref="E2:E40" si="2">D2^2</f>
        <v>1.5050775540668093E-2</v>
      </c>
    </row>
    <row r="3" spans="1:8" x14ac:dyDescent="0.25">
      <c r="A3">
        <v>0.51414534381249999</v>
      </c>
      <c r="B3">
        <v>7.203231890179243E-2</v>
      </c>
      <c r="C3">
        <f t="shared" si="0"/>
        <v>0.223145782274425</v>
      </c>
      <c r="D3">
        <f t="shared" si="1"/>
        <v>-0.15111346337263257</v>
      </c>
      <c r="E3">
        <f t="shared" si="2"/>
        <v>2.2835278812471965E-2</v>
      </c>
      <c r="G3" t="s">
        <v>1</v>
      </c>
      <c r="H3">
        <f>(_xlfn.GAMMA((2+$H$1)/(1+$H$1)))^(1+$H$1)</f>
        <v>0.65262154187582033</v>
      </c>
    </row>
    <row r="4" spans="1:8" x14ac:dyDescent="0.25">
      <c r="A4">
        <v>0.56125251333750004</v>
      </c>
      <c r="B4">
        <v>0.20542550205325991</v>
      </c>
      <c r="C4">
        <f t="shared" si="0"/>
        <v>0.31268827122332254</v>
      </c>
      <c r="D4">
        <f t="shared" si="1"/>
        <v>-0.10726276917006264</v>
      </c>
      <c r="E4">
        <f t="shared" si="2"/>
        <v>1.150530165003014E-2</v>
      </c>
    </row>
    <row r="5" spans="1:8" x14ac:dyDescent="0.25">
      <c r="A5">
        <v>0.60835968286249997</v>
      </c>
      <c r="B5">
        <v>0.35215800351987414</v>
      </c>
      <c r="C5">
        <f t="shared" si="0"/>
        <v>0.42377277284760334</v>
      </c>
      <c r="D5">
        <f t="shared" si="1"/>
        <v>-7.16147693277292E-2</v>
      </c>
      <c r="E5">
        <f t="shared" si="2"/>
        <v>5.1286751858638626E-3</v>
      </c>
      <c r="G5" t="s">
        <v>2</v>
      </c>
      <c r="H5">
        <f>SUM(E1:E40)</f>
        <v>0.77670664782064969</v>
      </c>
    </row>
    <row r="6" spans="1:8" x14ac:dyDescent="0.25">
      <c r="A6">
        <v>0.65546685238750002</v>
      </c>
      <c r="B6">
        <v>0.60160325601311826</v>
      </c>
      <c r="C6">
        <f t="shared" si="0"/>
        <v>0.55702751428443154</v>
      </c>
      <c r="D6">
        <f t="shared" si="1"/>
        <v>4.4575741728686724E-2</v>
      </c>
      <c r="E6">
        <f t="shared" si="2"/>
        <v>1.9869967506625829E-3</v>
      </c>
    </row>
    <row r="7" spans="1:8" x14ac:dyDescent="0.25">
      <c r="A7">
        <v>0.70257402191249996</v>
      </c>
      <c r="B7">
        <v>0.8096966217294076</v>
      </c>
      <c r="C7">
        <f t="shared" si="0"/>
        <v>0.71134854901425681</v>
      </c>
      <c r="D7">
        <f t="shared" si="1"/>
        <v>9.8348072715150781E-2</v>
      </c>
      <c r="E7">
        <f t="shared" si="2"/>
        <v>9.6723434067845851E-3</v>
      </c>
    </row>
    <row r="8" spans="1:8" x14ac:dyDescent="0.25">
      <c r="A8">
        <v>0.74968119143750001</v>
      </c>
      <c r="B8">
        <v>1.1485153069341349</v>
      </c>
      <c r="C8">
        <f t="shared" si="0"/>
        <v>0.88328018774346617</v>
      </c>
      <c r="D8">
        <f t="shared" si="1"/>
        <v>0.26523511919066878</v>
      </c>
      <c r="E8">
        <f t="shared" si="2"/>
        <v>7.0349668452088274E-2</v>
      </c>
    </row>
    <row r="9" spans="1:8" x14ac:dyDescent="0.25">
      <c r="A9">
        <v>0.79678836096250005</v>
      </c>
      <c r="B9">
        <v>1.3512729453243655</v>
      </c>
      <c r="C9">
        <f t="shared" si="0"/>
        <v>1.0664535217656657</v>
      </c>
      <c r="D9">
        <f t="shared" si="1"/>
        <v>0.28481942355869982</v>
      </c>
      <c r="E9">
        <f t="shared" si="2"/>
        <v>8.1122104036310053E-2</v>
      </c>
    </row>
    <row r="10" spans="1:8" x14ac:dyDescent="0.25">
      <c r="A10">
        <v>0.84389553048749999</v>
      </c>
      <c r="B10">
        <v>1.5220162197582439</v>
      </c>
      <c r="C10">
        <f t="shared" si="0"/>
        <v>1.2512393854905153</v>
      </c>
      <c r="D10">
        <f t="shared" si="1"/>
        <v>0.27077683426772858</v>
      </c>
      <c r="E10">
        <f t="shared" si="2"/>
        <v>7.332009397605295E-2</v>
      </c>
    </row>
    <row r="11" spans="1:8" x14ac:dyDescent="0.25">
      <c r="A11">
        <v>0.89100270001250004</v>
      </c>
      <c r="B11">
        <v>1.7661257449254293</v>
      </c>
      <c r="C11">
        <f t="shared" si="0"/>
        <v>1.4248198257938989</v>
      </c>
      <c r="D11">
        <f t="shared" si="1"/>
        <v>0.34130591913153041</v>
      </c>
      <c r="E11">
        <f t="shared" si="2"/>
        <v>0.11648973043421877</v>
      </c>
    </row>
    <row r="12" spans="1:8" x14ac:dyDescent="0.25">
      <c r="A12">
        <v>0.93810986953749997</v>
      </c>
      <c r="B12">
        <v>1.8488295184793391</v>
      </c>
      <c r="C12">
        <f t="shared" si="0"/>
        <v>1.5718957692147317</v>
      </c>
      <c r="D12">
        <f t="shared" si="1"/>
        <v>0.27693374926460734</v>
      </c>
      <c r="E12">
        <f t="shared" si="2"/>
        <v>7.6692301481752406E-2</v>
      </c>
    </row>
    <row r="13" spans="1:8" x14ac:dyDescent="0.25">
      <c r="A13">
        <v>0.98521703906250002</v>
      </c>
      <c r="B13">
        <v>1.8168151545229869</v>
      </c>
      <c r="C13">
        <f t="shared" si="0"/>
        <v>1.6761942121273217</v>
      </c>
      <c r="D13">
        <f t="shared" si="1"/>
        <v>0.14062094239566525</v>
      </c>
      <c r="E13">
        <f t="shared" si="2"/>
        <v>1.9774249440245004E-2</v>
      </c>
    </row>
    <row r="14" spans="1:8" x14ac:dyDescent="0.25">
      <c r="A14">
        <v>1.0323242085875002</v>
      </c>
      <c r="B14">
        <v>1.5953824704915509</v>
      </c>
      <c r="C14">
        <f t="shared" si="0"/>
        <v>1.7227853302560157</v>
      </c>
      <c r="D14">
        <f t="shared" si="1"/>
        <v>-0.12740285976446475</v>
      </c>
      <c r="E14">
        <f t="shared" si="2"/>
        <v>1.623148867616387E-2</v>
      </c>
    </row>
    <row r="15" spans="1:8" x14ac:dyDescent="0.25">
      <c r="A15">
        <v>1.0794313781125</v>
      </c>
      <c r="B15">
        <v>1.5566984473776253</v>
      </c>
      <c r="C15">
        <f t="shared" si="0"/>
        <v>1.7009622487856819</v>
      </c>
      <c r="D15">
        <f t="shared" si="1"/>
        <v>-0.14426380140805661</v>
      </c>
      <c r="E15">
        <f t="shared" si="2"/>
        <v>2.0812044396703196E-2</v>
      </c>
    </row>
    <row r="16" spans="1:8" x14ac:dyDescent="0.25">
      <c r="A16">
        <v>1.1265385476374998</v>
      </c>
      <c r="B16">
        <v>1.4446481735303927</v>
      </c>
      <c r="C16">
        <f t="shared" si="0"/>
        <v>1.6071184101187523</v>
      </c>
      <c r="D16">
        <f t="shared" si="1"/>
        <v>-0.16247023658835968</v>
      </c>
      <c r="E16">
        <f t="shared" si="2"/>
        <v>2.639657777707757E-2</v>
      </c>
    </row>
    <row r="17" spans="1:5" x14ac:dyDescent="0.25">
      <c r="A17">
        <v>1.1736457171625001</v>
      </c>
      <c r="B17">
        <v>1.1992047165316926</v>
      </c>
      <c r="C17">
        <f t="shared" si="0"/>
        <v>1.4467916120369595</v>
      </c>
      <c r="D17">
        <f t="shared" si="1"/>
        <v>-0.24758689550526691</v>
      </c>
      <c r="E17">
        <f t="shared" si="2"/>
        <v>6.1299270825935954E-2</v>
      </c>
    </row>
    <row r="18" spans="1:5" x14ac:dyDescent="0.25">
      <c r="A18">
        <v>1.2207528866874999</v>
      </c>
      <c r="B18">
        <v>0.96443271418510979</v>
      </c>
      <c r="C18">
        <f t="shared" si="0"/>
        <v>1.234993251053524</v>
      </c>
      <c r="D18">
        <f t="shared" si="1"/>
        <v>-0.27056053686841419</v>
      </c>
      <c r="E18">
        <f t="shared" si="2"/>
        <v>7.3203004110524522E-2</v>
      </c>
    </row>
    <row r="19" spans="1:5" x14ac:dyDescent="0.25">
      <c r="A19">
        <v>1.2678600562125</v>
      </c>
      <c r="B19">
        <v>0.81103055356092224</v>
      </c>
      <c r="C19">
        <f t="shared" si="0"/>
        <v>0.99425249842238717</v>
      </c>
      <c r="D19">
        <f t="shared" si="1"/>
        <v>-0.18322194486146492</v>
      </c>
      <c r="E19">
        <f t="shared" si="2"/>
        <v>3.3570281078817696E-2</v>
      </c>
    </row>
    <row r="20" spans="1:5" x14ac:dyDescent="0.25">
      <c r="A20">
        <v>1.3149672257375</v>
      </c>
      <c r="B20">
        <v>0.60560505150766231</v>
      </c>
      <c r="C20">
        <f t="shared" si="0"/>
        <v>0.75049686874151067</v>
      </c>
      <c r="D20">
        <f t="shared" si="1"/>
        <v>-0.14489181723384836</v>
      </c>
      <c r="E20">
        <f t="shared" si="2"/>
        <v>2.0993638701326919E-2</v>
      </c>
    </row>
    <row r="21" spans="1:5" x14ac:dyDescent="0.25">
      <c r="A21">
        <v>1.3620743952624998</v>
      </c>
      <c r="B21">
        <v>0.50022443681800299</v>
      </c>
      <c r="C21">
        <f t="shared" si="0"/>
        <v>0.52776037514508789</v>
      </c>
      <c r="D21">
        <f t="shared" si="1"/>
        <v>-2.7535938327084897E-2</v>
      </c>
      <c r="E21">
        <f t="shared" si="2"/>
        <v>7.5822789955302299E-4</v>
      </c>
    </row>
    <row r="22" spans="1:5" x14ac:dyDescent="0.25">
      <c r="A22">
        <v>1.4091815647875001</v>
      </c>
      <c r="B22">
        <v>0.35482586718290349</v>
      </c>
      <c r="C22">
        <f t="shared" si="0"/>
        <v>0.34335227359874709</v>
      </c>
      <c r="D22">
        <f t="shared" si="1"/>
        <v>1.1473593584156394E-2</v>
      </c>
      <c r="E22">
        <f t="shared" si="2"/>
        <v>1.3164334973439476E-4</v>
      </c>
    </row>
    <row r="23" spans="1:5" x14ac:dyDescent="0.25">
      <c r="A23">
        <v>1.4562887343124999</v>
      </c>
      <c r="B23">
        <v>0.24277559333567081</v>
      </c>
      <c r="C23">
        <f t="shared" si="0"/>
        <v>0.20511445822267049</v>
      </c>
      <c r="D23">
        <f t="shared" si="1"/>
        <v>3.7661135113000316E-2</v>
      </c>
      <c r="E23">
        <f t="shared" si="2"/>
        <v>1.4183610979996654E-3</v>
      </c>
    </row>
    <row r="24" spans="1:5" x14ac:dyDescent="0.25">
      <c r="A24">
        <v>1.5033959038375</v>
      </c>
      <c r="B24">
        <v>0.1534021606241876</v>
      </c>
      <c r="C24">
        <f t="shared" si="0"/>
        <v>0.111608240312507</v>
      </c>
      <c r="D24">
        <f t="shared" si="1"/>
        <v>4.1793920311680596E-2</v>
      </c>
      <c r="E24">
        <f t="shared" si="2"/>
        <v>1.746731775019108E-3</v>
      </c>
    </row>
    <row r="25" spans="1:5" x14ac:dyDescent="0.25">
      <c r="A25">
        <v>1.5505030733625</v>
      </c>
      <c r="B25">
        <v>0.10137881919511528</v>
      </c>
      <c r="C25">
        <f t="shared" si="0"/>
        <v>5.4837371407043929E-2</v>
      </c>
      <c r="D25">
        <f t="shared" si="1"/>
        <v>4.6541447788071351E-2</v>
      </c>
      <c r="E25">
        <f t="shared" si="2"/>
        <v>2.1661063622097718E-3</v>
      </c>
    </row>
    <row r="26" spans="1:5" x14ac:dyDescent="0.25">
      <c r="A26">
        <v>1.5976102428874999</v>
      </c>
      <c r="B26">
        <v>7.6034114396336464E-2</v>
      </c>
      <c r="C26">
        <f t="shared" si="0"/>
        <v>2.410538028699109E-2</v>
      </c>
      <c r="D26">
        <f t="shared" si="1"/>
        <v>5.192873410934537E-2</v>
      </c>
      <c r="E26">
        <f t="shared" si="2"/>
        <v>2.6965934261990892E-3</v>
      </c>
    </row>
    <row r="27" spans="1:5" x14ac:dyDescent="0.25">
      <c r="A27">
        <v>1.6447174124125001</v>
      </c>
      <c r="B27">
        <v>4.6687614103013614E-2</v>
      </c>
      <c r="C27">
        <f t="shared" si="0"/>
        <v>9.3868132786512938E-3</v>
      </c>
      <c r="D27">
        <f t="shared" si="1"/>
        <v>3.7300800824362323E-2</v>
      </c>
      <c r="E27">
        <f t="shared" si="2"/>
        <v>1.391349742138749E-3</v>
      </c>
    </row>
    <row r="28" spans="1:5" x14ac:dyDescent="0.25">
      <c r="A28">
        <v>1.6918245819375</v>
      </c>
      <c r="B28">
        <v>1.8675045641205448E-2</v>
      </c>
      <c r="C28">
        <f t="shared" si="0"/>
        <v>3.2042433050829618E-3</v>
      </c>
      <c r="D28">
        <f t="shared" si="1"/>
        <v>1.5470802336122486E-2</v>
      </c>
      <c r="E28">
        <f t="shared" si="2"/>
        <v>2.3934572492337298E-4</v>
      </c>
    </row>
    <row r="29" spans="1:5" x14ac:dyDescent="0.25">
      <c r="A29">
        <v>1.7389317514625002</v>
      </c>
      <c r="B29">
        <v>1.8675045641205448E-2</v>
      </c>
      <c r="C29">
        <f t="shared" si="0"/>
        <v>9.4818197031668668E-4</v>
      </c>
      <c r="D29">
        <f t="shared" si="1"/>
        <v>1.772686367088876E-2</v>
      </c>
      <c r="E29">
        <f t="shared" si="2"/>
        <v>3.1424169560627575E-4</v>
      </c>
    </row>
    <row r="30" spans="1:5" x14ac:dyDescent="0.25">
      <c r="A30">
        <v>1.7860389209875001</v>
      </c>
      <c r="B30">
        <v>4.0017954945440245E-3</v>
      </c>
      <c r="C30">
        <f t="shared" si="0"/>
        <v>2.4037264527286125E-4</v>
      </c>
      <c r="D30">
        <f t="shared" si="1"/>
        <v>3.7614228492711633E-3</v>
      </c>
      <c r="E30">
        <f t="shared" si="2"/>
        <v>1.4148301851019197E-5</v>
      </c>
    </row>
    <row r="31" spans="1:5" x14ac:dyDescent="0.25">
      <c r="A31">
        <v>1.8331460905124999</v>
      </c>
      <c r="B31">
        <v>2.6678636630293492E-3</v>
      </c>
      <c r="C31">
        <f t="shared" si="0"/>
        <v>5.1555984809363293E-5</v>
      </c>
      <c r="D31">
        <f t="shared" si="1"/>
        <v>2.6163076782199858E-3</v>
      </c>
      <c r="E31">
        <f t="shared" si="2"/>
        <v>6.8450658671128526E-6</v>
      </c>
    </row>
    <row r="32" spans="1:5" x14ac:dyDescent="0.25">
      <c r="A32">
        <v>1.8802532600375002</v>
      </c>
      <c r="B32">
        <v>1.3339318315146746E-3</v>
      </c>
      <c r="C32">
        <f t="shared" si="0"/>
        <v>9.2330557868369228E-6</v>
      </c>
      <c r="D32">
        <f t="shared" si="1"/>
        <v>1.3246987757278377E-3</v>
      </c>
      <c r="E32">
        <f t="shared" si="2"/>
        <v>1.7548268464148319E-6</v>
      </c>
    </row>
    <row r="33" spans="1:5" x14ac:dyDescent="0.25">
      <c r="A33">
        <v>1.9273604295625</v>
      </c>
      <c r="B33">
        <v>0</v>
      </c>
      <c r="C33">
        <f t="shared" si="0"/>
        <v>1.3615907090001595E-6</v>
      </c>
      <c r="D33">
        <f t="shared" si="1"/>
        <v>-1.3615907090001595E-6</v>
      </c>
      <c r="E33">
        <f t="shared" si="2"/>
        <v>1.8539292588355571E-12</v>
      </c>
    </row>
    <row r="34" spans="1:5" x14ac:dyDescent="0.25">
      <c r="A34">
        <v>1.9744675990874998</v>
      </c>
      <c r="B34">
        <v>0</v>
      </c>
      <c r="C34">
        <f t="shared" si="0"/>
        <v>1.6294021777919455E-7</v>
      </c>
      <c r="D34">
        <f t="shared" si="1"/>
        <v>-1.6294021777919455E-7</v>
      </c>
      <c r="E34">
        <f t="shared" si="2"/>
        <v>2.6549514569931349E-14</v>
      </c>
    </row>
    <row r="35" spans="1:5" x14ac:dyDescent="0.25">
      <c r="A35">
        <v>2.0215747686125001</v>
      </c>
      <c r="B35">
        <v>0</v>
      </c>
      <c r="C35">
        <f t="shared" si="0"/>
        <v>1.5581614838882693E-8</v>
      </c>
      <c r="D35">
        <f t="shared" si="1"/>
        <v>-1.5581614838882693E-8</v>
      </c>
      <c r="E35">
        <f t="shared" si="2"/>
        <v>2.4278672098728935E-16</v>
      </c>
    </row>
    <row r="36" spans="1:5" x14ac:dyDescent="0.25">
      <c r="A36">
        <v>2.0686819381374999</v>
      </c>
      <c r="B36">
        <v>0</v>
      </c>
      <c r="C36">
        <f t="shared" si="0"/>
        <v>1.1716274269133676E-9</v>
      </c>
      <c r="D36">
        <f t="shared" si="1"/>
        <v>-1.1716274269133676E-9</v>
      </c>
      <c r="E36">
        <f t="shared" si="2"/>
        <v>1.3727108274956386E-18</v>
      </c>
    </row>
    <row r="37" spans="1:5" x14ac:dyDescent="0.25">
      <c r="A37">
        <v>2.1157891076625002</v>
      </c>
      <c r="B37">
        <v>0</v>
      </c>
      <c r="C37">
        <f t="shared" si="0"/>
        <v>6.8110018357956202E-11</v>
      </c>
      <c r="D37">
        <f t="shared" si="1"/>
        <v>-6.8110018357956202E-11</v>
      </c>
      <c r="E37">
        <f t="shared" si="2"/>
        <v>4.6389746007211308E-21</v>
      </c>
    </row>
    <row r="38" spans="1:5" x14ac:dyDescent="0.25">
      <c r="A38">
        <v>2.1628962771875</v>
      </c>
      <c r="B38">
        <v>0</v>
      </c>
      <c r="C38">
        <f t="shared" si="0"/>
        <v>3.0073358616241684E-12</v>
      </c>
      <c r="D38">
        <f t="shared" si="1"/>
        <v>-3.0073358616241684E-12</v>
      </c>
      <c r="E38">
        <f t="shared" si="2"/>
        <v>9.0440689846107791E-24</v>
      </c>
    </row>
    <row r="39" spans="1:5" x14ac:dyDescent="0.25">
      <c r="A39">
        <v>2.2100034467125003</v>
      </c>
      <c r="B39">
        <v>0</v>
      </c>
      <c r="C39">
        <f t="shared" si="0"/>
        <v>9.9004151425856196E-14</v>
      </c>
      <c r="D39">
        <f t="shared" si="1"/>
        <v>-9.9004151425856196E-14</v>
      </c>
      <c r="E39">
        <f t="shared" si="2"/>
        <v>9.8018219995538636E-27</v>
      </c>
    </row>
    <row r="40" spans="1:5" x14ac:dyDescent="0.25">
      <c r="A40">
        <v>2.2571106162375001</v>
      </c>
      <c r="B40">
        <v>1.3339318315146746E-3</v>
      </c>
      <c r="C40">
        <f t="shared" si="0"/>
        <v>2.383498655163129E-15</v>
      </c>
      <c r="D40">
        <f t="shared" si="1"/>
        <v>1.3339318315122911E-3</v>
      </c>
      <c r="E40">
        <f t="shared" si="2"/>
        <v>1.7793741311217353E-6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D74D-9368-4F99-B86F-2C9F7673664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0.5765533611375</v>
      </c>
      <c r="B1">
        <v>1.6741604044121575E-2</v>
      </c>
      <c r="C1">
        <f>$H$3*(1+$H$1)*(A1^($H$1))*EXP(-$H$3*(A1^(1+$H$1)))</f>
        <v>0.15605311513827555</v>
      </c>
      <c r="D1">
        <f>B1-C1</f>
        <v>-0.13931151109415396</v>
      </c>
      <c r="E1">
        <f>D1^2</f>
        <v>1.9407697123336582E-2</v>
      </c>
      <c r="G1" t="s">
        <v>0</v>
      </c>
      <c r="H1">
        <v>6.0454476393928278</v>
      </c>
    </row>
    <row r="2" spans="1:8" x14ac:dyDescent="0.25">
      <c r="A2">
        <v>0.61408725141249998</v>
      </c>
      <c r="B2">
        <v>6.1943934963249826E-2</v>
      </c>
      <c r="C2">
        <f t="shared" ref="C2:C40" si="0">$H$3*(1+$H$1)*(A2^($H$1))*EXP(-$H$3*(A2^(1+$H$1)))</f>
        <v>0.22683883251975182</v>
      </c>
      <c r="D2">
        <f t="shared" ref="D2:D40" si="1">B2-C2</f>
        <v>-0.164894897556502</v>
      </c>
      <c r="E2">
        <f t="shared" ref="E2:E40" si="2">D2^2</f>
        <v>2.7190327240169287E-2</v>
      </c>
    </row>
    <row r="3" spans="1:8" x14ac:dyDescent="0.25">
      <c r="A3">
        <v>0.65162114168749996</v>
      </c>
      <c r="B3">
        <v>0.11886538871326319</v>
      </c>
      <c r="C3">
        <f t="shared" si="0"/>
        <v>0.32131614453288099</v>
      </c>
      <c r="D3">
        <f t="shared" si="1"/>
        <v>-0.2024507558196178</v>
      </c>
      <c r="E3">
        <f t="shared" si="2"/>
        <v>4.0986308531934509E-2</v>
      </c>
      <c r="G3" t="s">
        <v>1</v>
      </c>
      <c r="H3">
        <f>(_xlfn.GAMMA((2+$H$1)/(1+$H$1)))^(1+$H$1)</f>
        <v>0.62634612448830329</v>
      </c>
    </row>
    <row r="4" spans="1:8" x14ac:dyDescent="0.25">
      <c r="A4">
        <v>0.68915503196250005</v>
      </c>
      <c r="B4">
        <v>0.32980959966919504</v>
      </c>
      <c r="C4">
        <f t="shared" si="0"/>
        <v>0.44415127930427678</v>
      </c>
      <c r="D4">
        <f t="shared" si="1"/>
        <v>-0.11434167963508174</v>
      </c>
      <c r="E4">
        <f t="shared" si="2"/>
        <v>1.3074019701771666E-2</v>
      </c>
    </row>
    <row r="5" spans="1:8" x14ac:dyDescent="0.25">
      <c r="A5">
        <v>0.72668892223750003</v>
      </c>
      <c r="B5">
        <v>0.60772022680161319</v>
      </c>
      <c r="C5">
        <f t="shared" si="0"/>
        <v>0.5995458627022795</v>
      </c>
      <c r="D5">
        <f t="shared" si="1"/>
        <v>8.1743640993336975E-3</v>
      </c>
      <c r="E5">
        <f t="shared" si="2"/>
        <v>6.6820228428475612E-5</v>
      </c>
      <c r="G5" t="s">
        <v>2</v>
      </c>
      <c r="H5">
        <f>SUM(E1:E40)</f>
        <v>1.593272120954778</v>
      </c>
    </row>
    <row r="6" spans="1:8" x14ac:dyDescent="0.25">
      <c r="A6">
        <v>0.76422281251250002</v>
      </c>
      <c r="B6">
        <v>0.92413654323551098</v>
      </c>
      <c r="C6">
        <f t="shared" si="0"/>
        <v>0.79036085625762831</v>
      </c>
      <c r="D6">
        <f t="shared" si="1"/>
        <v>0.13377568697788267</v>
      </c>
      <c r="E6">
        <f t="shared" si="2"/>
        <v>1.7895934426404445E-2</v>
      </c>
    </row>
    <row r="7" spans="1:8" x14ac:dyDescent="0.25">
      <c r="A7">
        <v>0.8017567027875</v>
      </c>
      <c r="B7">
        <v>1.3008226342282465</v>
      </c>
      <c r="C7">
        <f t="shared" si="0"/>
        <v>1.0168741860468427</v>
      </c>
      <c r="D7">
        <f t="shared" si="1"/>
        <v>0.28394844818140386</v>
      </c>
      <c r="E7">
        <f t="shared" si="2"/>
        <v>8.0626721224627385E-2</v>
      </c>
    </row>
    <row r="8" spans="1:8" x14ac:dyDescent="0.25">
      <c r="A8">
        <v>0.83929059306250009</v>
      </c>
      <c r="B8">
        <v>1.6289580734930293</v>
      </c>
      <c r="C8">
        <f t="shared" si="0"/>
        <v>1.2751909258315144</v>
      </c>
      <c r="D8">
        <f t="shared" si="1"/>
        <v>0.35376714766151496</v>
      </c>
      <c r="E8">
        <f t="shared" si="2"/>
        <v>0.12515119476456413</v>
      </c>
    </row>
    <row r="9" spans="1:8" x14ac:dyDescent="0.25">
      <c r="A9">
        <v>0.87682448333750007</v>
      </c>
      <c r="B9">
        <v>2.0441498537872445</v>
      </c>
      <c r="C9">
        <f t="shared" si="0"/>
        <v>1.5554661293799792</v>
      </c>
      <c r="D9">
        <f t="shared" si="1"/>
        <v>0.48868372440726526</v>
      </c>
      <c r="E9">
        <f t="shared" si="2"/>
        <v>0.23881178250055599</v>
      </c>
    </row>
    <row r="10" spans="1:8" x14ac:dyDescent="0.25">
      <c r="A10">
        <v>0.91435837361250005</v>
      </c>
      <c r="B10">
        <v>2.2383524606990548</v>
      </c>
      <c r="C10">
        <f t="shared" si="0"/>
        <v>1.8403275839853794</v>
      </c>
      <c r="D10">
        <f t="shared" si="1"/>
        <v>0.39802487671367537</v>
      </c>
      <c r="E10">
        <f t="shared" si="2"/>
        <v>0.15842380248293647</v>
      </c>
    </row>
    <row r="11" spans="1:8" x14ac:dyDescent="0.25">
      <c r="A11">
        <v>0.95189226388750003</v>
      </c>
      <c r="B11">
        <v>2.519611408640297</v>
      </c>
      <c r="C11">
        <f t="shared" si="0"/>
        <v>2.1041780749210846</v>
      </c>
      <c r="D11">
        <f t="shared" si="1"/>
        <v>0.41543333371921243</v>
      </c>
      <c r="E11">
        <f t="shared" si="2"/>
        <v>0.17258485476505853</v>
      </c>
    </row>
    <row r="12" spans="1:8" x14ac:dyDescent="0.25">
      <c r="A12">
        <v>0.98942615416250013</v>
      </c>
      <c r="B12">
        <v>2.5782070227947225</v>
      </c>
      <c r="C12">
        <f t="shared" si="0"/>
        <v>2.3143190319839007</v>
      </c>
      <c r="D12">
        <f t="shared" si="1"/>
        <v>0.26388799081082182</v>
      </c>
      <c r="E12">
        <f t="shared" si="2"/>
        <v>6.9636871694172375E-2</v>
      </c>
    </row>
    <row r="13" spans="1:8" x14ac:dyDescent="0.25">
      <c r="A13">
        <v>1.0269600444375002</v>
      </c>
      <c r="B13">
        <v>2.2567682251475882</v>
      </c>
      <c r="C13">
        <f t="shared" si="0"/>
        <v>2.4348662048889476</v>
      </c>
      <c r="D13">
        <f t="shared" si="1"/>
        <v>-0.17809797974135932</v>
      </c>
      <c r="E13">
        <f t="shared" si="2"/>
        <v>3.1718890387953634E-2</v>
      </c>
    </row>
    <row r="14" spans="1:8" x14ac:dyDescent="0.25">
      <c r="A14">
        <v>1.0644939347125</v>
      </c>
      <c r="B14">
        <v>2.2751839895961221</v>
      </c>
      <c r="C14">
        <f t="shared" si="0"/>
        <v>2.4339296290436128</v>
      </c>
      <c r="D14">
        <f t="shared" si="1"/>
        <v>-0.15874563944749065</v>
      </c>
      <c r="E14">
        <f t="shared" si="2"/>
        <v>2.5200178043592699E-2</v>
      </c>
    </row>
    <row r="15" spans="1:8" x14ac:dyDescent="0.25">
      <c r="A15">
        <v>1.1020278249875002</v>
      </c>
      <c r="B15">
        <v>1.9453743899269271</v>
      </c>
      <c r="C15">
        <f t="shared" si="0"/>
        <v>2.2932635939864698</v>
      </c>
      <c r="D15">
        <f t="shared" si="1"/>
        <v>-0.34788920405954271</v>
      </c>
      <c r="E15">
        <f t="shared" si="2"/>
        <v>0.12102689830118214</v>
      </c>
    </row>
    <row r="16" spans="1:8" x14ac:dyDescent="0.25">
      <c r="A16">
        <v>1.1395617152624999</v>
      </c>
      <c r="B16">
        <v>1.5787332613606646</v>
      </c>
      <c r="C16">
        <f t="shared" si="0"/>
        <v>2.0176788668970809</v>
      </c>
      <c r="D16">
        <f t="shared" si="1"/>
        <v>-0.43894560553641626</v>
      </c>
      <c r="E16">
        <f t="shared" si="2"/>
        <v>0.19267324461973115</v>
      </c>
    </row>
    <row r="17" spans="1:5" x14ac:dyDescent="0.25">
      <c r="A17">
        <v>1.1770956055375001</v>
      </c>
      <c r="B17">
        <v>1.222137095220875</v>
      </c>
      <c r="C17">
        <f t="shared" si="0"/>
        <v>1.6397902685096037</v>
      </c>
      <c r="D17">
        <f t="shared" si="1"/>
        <v>-0.41765317328872875</v>
      </c>
      <c r="E17">
        <f t="shared" si="2"/>
        <v>0.17443417315814488</v>
      </c>
    </row>
    <row r="18" spans="1:5" x14ac:dyDescent="0.25">
      <c r="A18">
        <v>1.2146294958124999</v>
      </c>
      <c r="B18">
        <v>1.0128670446693553</v>
      </c>
      <c r="C18">
        <f t="shared" si="0"/>
        <v>1.2157121182556714</v>
      </c>
      <c r="D18">
        <f t="shared" si="1"/>
        <v>-0.20284507358631609</v>
      </c>
      <c r="E18">
        <f t="shared" si="2"/>
        <v>4.1146123878237989E-2</v>
      </c>
    </row>
    <row r="19" spans="1:5" x14ac:dyDescent="0.25">
      <c r="A19">
        <v>1.2521633860875001</v>
      </c>
      <c r="B19">
        <v>0.68807992621339675</v>
      </c>
      <c r="C19">
        <f t="shared" si="0"/>
        <v>0.81051122586239777</v>
      </c>
      <c r="D19">
        <f t="shared" si="1"/>
        <v>-0.12243129964900101</v>
      </c>
      <c r="E19">
        <f t="shared" si="2"/>
        <v>1.4989423133743476E-2</v>
      </c>
    </row>
    <row r="20" spans="1:5" x14ac:dyDescent="0.25">
      <c r="A20">
        <v>1.2896972763624999</v>
      </c>
      <c r="B20">
        <v>0.51229308375012017</v>
      </c>
      <c r="C20">
        <f t="shared" si="0"/>
        <v>0.47806732132449925</v>
      </c>
      <c r="D20">
        <f t="shared" si="1"/>
        <v>3.422576242562092E-2</v>
      </c>
      <c r="E20">
        <f t="shared" si="2"/>
        <v>1.1714028136150449E-3</v>
      </c>
    </row>
    <row r="21" spans="1:5" x14ac:dyDescent="0.25">
      <c r="A21">
        <v>1.3272311666375001</v>
      </c>
      <c r="B21">
        <v>0.32980959966919504</v>
      </c>
      <c r="C21">
        <f t="shared" si="0"/>
        <v>0.24490189673054547</v>
      </c>
      <c r="D21">
        <f t="shared" si="1"/>
        <v>8.4907702938649576E-2</v>
      </c>
      <c r="E21">
        <f t="shared" si="2"/>
        <v>7.2093180183179619E-3</v>
      </c>
    </row>
    <row r="22" spans="1:5" x14ac:dyDescent="0.25">
      <c r="A22">
        <v>1.3647650569125001</v>
      </c>
      <c r="B22">
        <v>0.19252844650739812</v>
      </c>
      <c r="C22">
        <f t="shared" si="0"/>
        <v>0.10671091944428969</v>
      </c>
      <c r="D22">
        <f t="shared" si="1"/>
        <v>8.5817527063108426E-2</v>
      </c>
      <c r="E22">
        <f t="shared" si="2"/>
        <v>7.3646479512273471E-3</v>
      </c>
    </row>
    <row r="23" spans="1:5" x14ac:dyDescent="0.25">
      <c r="A23">
        <v>1.4022989471875</v>
      </c>
      <c r="B23">
        <v>0.13225867194856045</v>
      </c>
      <c r="C23">
        <f t="shared" si="0"/>
        <v>3.8632889493059597E-2</v>
      </c>
      <c r="D23">
        <f t="shared" si="1"/>
        <v>9.362578245550085E-2</v>
      </c>
      <c r="E23">
        <f t="shared" si="2"/>
        <v>8.76578714040477E-3</v>
      </c>
    </row>
    <row r="24" spans="1:5" x14ac:dyDescent="0.25">
      <c r="A24">
        <v>1.4398328374625</v>
      </c>
      <c r="B24">
        <v>5.1898972536776881E-2</v>
      </c>
      <c r="C24">
        <f t="shared" si="0"/>
        <v>1.1319704348127292E-2</v>
      </c>
      <c r="D24">
        <f t="shared" si="1"/>
        <v>4.0579268188649591E-2</v>
      </c>
      <c r="E24">
        <f t="shared" si="2"/>
        <v>1.6466770067263487E-3</v>
      </c>
    </row>
    <row r="25" spans="1:5" x14ac:dyDescent="0.25">
      <c r="A25">
        <v>1.4773667277375</v>
      </c>
      <c r="B25">
        <v>4.1854010110303937E-2</v>
      </c>
      <c r="C25">
        <f t="shared" si="0"/>
        <v>2.6068564088127903E-3</v>
      </c>
      <c r="D25">
        <f t="shared" si="1"/>
        <v>3.924715370149115E-2</v>
      </c>
      <c r="E25">
        <f t="shared" si="2"/>
        <v>1.5403390736684704E-3</v>
      </c>
    </row>
    <row r="26" spans="1:5" x14ac:dyDescent="0.25">
      <c r="A26">
        <v>1.5149006180125</v>
      </c>
      <c r="B26">
        <v>2.1764085257358047E-2</v>
      </c>
      <c r="C26">
        <f t="shared" si="0"/>
        <v>4.5671487863261598E-4</v>
      </c>
      <c r="D26">
        <f t="shared" si="1"/>
        <v>2.1307370378725432E-2</v>
      </c>
      <c r="E26">
        <f t="shared" si="2"/>
        <v>4.5400403245618594E-4</v>
      </c>
    </row>
    <row r="27" spans="1:5" x14ac:dyDescent="0.25">
      <c r="A27">
        <v>1.5524345082875</v>
      </c>
      <c r="B27">
        <v>8.3708020220607873E-3</v>
      </c>
      <c r="C27">
        <f t="shared" si="0"/>
        <v>5.8710125163599651E-5</v>
      </c>
      <c r="D27">
        <f t="shared" si="1"/>
        <v>8.3120918968971873E-3</v>
      </c>
      <c r="E27">
        <f t="shared" si="2"/>
        <v>6.9090871702463878E-5</v>
      </c>
    </row>
    <row r="28" spans="1:5" x14ac:dyDescent="0.25">
      <c r="A28">
        <v>1.5899683985624999</v>
      </c>
      <c r="B28">
        <v>1.6741604044121575E-3</v>
      </c>
      <c r="C28">
        <f t="shared" si="0"/>
        <v>5.3204036907353927E-6</v>
      </c>
      <c r="D28">
        <f t="shared" si="1"/>
        <v>1.668840000721422E-3</v>
      </c>
      <c r="E28">
        <f t="shared" si="2"/>
        <v>2.7850269480078761E-6</v>
      </c>
    </row>
    <row r="29" spans="1:5" x14ac:dyDescent="0.25">
      <c r="A29">
        <v>1.6275022888374999</v>
      </c>
      <c r="B29">
        <v>0</v>
      </c>
      <c r="C29">
        <f t="shared" si="0"/>
        <v>3.2521146992322469E-7</v>
      </c>
      <c r="D29">
        <f t="shared" si="1"/>
        <v>-3.2521146992322469E-7</v>
      </c>
      <c r="E29">
        <f t="shared" si="2"/>
        <v>1.0576250016962448E-13</v>
      </c>
    </row>
    <row r="30" spans="1:5" x14ac:dyDescent="0.25">
      <c r="A30">
        <v>1.6650361791125001</v>
      </c>
      <c r="B30">
        <v>0</v>
      </c>
      <c r="C30">
        <f t="shared" si="0"/>
        <v>1.2772327571718702E-8</v>
      </c>
      <c r="D30">
        <f t="shared" si="1"/>
        <v>-1.2772327571718702E-8</v>
      </c>
      <c r="E30">
        <f t="shared" si="2"/>
        <v>1.6313235159928574E-16</v>
      </c>
    </row>
    <row r="31" spans="1:5" x14ac:dyDescent="0.25">
      <c r="A31">
        <v>1.7025700693874999</v>
      </c>
      <c r="B31">
        <v>0</v>
      </c>
      <c r="C31">
        <f t="shared" si="0"/>
        <v>3.0554572308587152E-10</v>
      </c>
      <c r="D31">
        <f t="shared" si="1"/>
        <v>-3.0554572308587152E-10</v>
      </c>
      <c r="E31">
        <f t="shared" si="2"/>
        <v>9.3358188896068079E-20</v>
      </c>
    </row>
    <row r="32" spans="1:5" x14ac:dyDescent="0.25">
      <c r="A32">
        <v>1.7401039596625001</v>
      </c>
      <c r="B32">
        <v>0</v>
      </c>
      <c r="C32">
        <f t="shared" si="0"/>
        <v>4.1993377063184834E-12</v>
      </c>
      <c r="D32">
        <f t="shared" si="1"/>
        <v>-4.1993377063184834E-12</v>
      </c>
      <c r="E32">
        <f t="shared" si="2"/>
        <v>1.7634437171708182E-23</v>
      </c>
    </row>
    <row r="33" spans="1:5" x14ac:dyDescent="0.25">
      <c r="A33">
        <v>1.7776378499375001</v>
      </c>
      <c r="B33">
        <v>0</v>
      </c>
      <c r="C33">
        <f t="shared" si="0"/>
        <v>3.1102999628710641E-14</v>
      </c>
      <c r="D33">
        <f t="shared" si="1"/>
        <v>-3.1102999628710641E-14</v>
      </c>
      <c r="E33">
        <f t="shared" si="2"/>
        <v>9.673965859035743E-28</v>
      </c>
    </row>
    <row r="34" spans="1:5" x14ac:dyDescent="0.25">
      <c r="A34">
        <v>1.8151717402125001</v>
      </c>
      <c r="B34">
        <v>0</v>
      </c>
      <c r="C34">
        <f t="shared" si="0"/>
        <v>1.1577596301265841E-16</v>
      </c>
      <c r="D34">
        <f t="shared" si="1"/>
        <v>-1.1577596301265841E-16</v>
      </c>
      <c r="E34">
        <f t="shared" si="2"/>
        <v>1.3404073611508447E-32</v>
      </c>
    </row>
    <row r="35" spans="1:5" x14ac:dyDescent="0.25">
      <c r="A35">
        <v>1.8527056304875003</v>
      </c>
      <c r="B35">
        <v>0</v>
      </c>
      <c r="C35">
        <f t="shared" si="0"/>
        <v>2.0072258180100366E-19</v>
      </c>
      <c r="D35">
        <f t="shared" si="1"/>
        <v>-2.0072258180100366E-19</v>
      </c>
      <c r="E35">
        <f t="shared" si="2"/>
        <v>4.0289554844860604E-38</v>
      </c>
    </row>
    <row r="36" spans="1:5" x14ac:dyDescent="0.25">
      <c r="A36">
        <v>1.8902395207625</v>
      </c>
      <c r="B36">
        <v>0</v>
      </c>
      <c r="C36">
        <f t="shared" si="0"/>
        <v>1.4921569890804863E-22</v>
      </c>
      <c r="D36">
        <f t="shared" si="1"/>
        <v>-1.4921569890804863E-22</v>
      </c>
      <c r="E36">
        <f t="shared" si="2"/>
        <v>2.2265324800617424E-44</v>
      </c>
    </row>
    <row r="37" spans="1:5" x14ac:dyDescent="0.25">
      <c r="A37">
        <v>1.9277734110375</v>
      </c>
      <c r="B37">
        <v>0</v>
      </c>
      <c r="C37">
        <f t="shared" si="0"/>
        <v>4.3478884723788047E-26</v>
      </c>
      <c r="D37">
        <f t="shared" si="1"/>
        <v>-4.3478884723788047E-26</v>
      </c>
      <c r="E37">
        <f t="shared" si="2"/>
        <v>1.8904134168244497E-51</v>
      </c>
    </row>
    <row r="38" spans="1:5" x14ac:dyDescent="0.25">
      <c r="A38">
        <v>1.9653073013125</v>
      </c>
      <c r="B38">
        <v>0</v>
      </c>
      <c r="C38">
        <f t="shared" si="0"/>
        <v>4.5053262827029644E-30</v>
      </c>
      <c r="D38">
        <f t="shared" si="1"/>
        <v>-4.5053262827029644E-30</v>
      </c>
      <c r="E38">
        <f t="shared" si="2"/>
        <v>2.0297964913614113E-59</v>
      </c>
    </row>
    <row r="39" spans="1:5" x14ac:dyDescent="0.25">
      <c r="A39">
        <v>2.0028411915874997</v>
      </c>
      <c r="B39">
        <v>0</v>
      </c>
      <c r="C39">
        <f t="shared" si="0"/>
        <v>1.4942679988076365E-34</v>
      </c>
      <c r="D39">
        <f t="shared" si="1"/>
        <v>-1.4942679988076365E-34</v>
      </c>
      <c r="E39">
        <f t="shared" si="2"/>
        <v>2.2328368522605787E-68</v>
      </c>
    </row>
    <row r="40" spans="1:5" x14ac:dyDescent="0.25">
      <c r="A40">
        <v>2.0403750818624999</v>
      </c>
      <c r="B40">
        <v>1.6741604044121575E-3</v>
      </c>
      <c r="C40">
        <f t="shared" si="0"/>
        <v>1.4157227071010719E-39</v>
      </c>
      <c r="D40">
        <f t="shared" si="1"/>
        <v>1.6741604044121575E-3</v>
      </c>
      <c r="E40">
        <f t="shared" si="2"/>
        <v>2.8028130597014785E-6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0E84B-7E02-4761-941B-D2DEB8961DC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0.71571178239999989</v>
      </c>
      <c r="B1">
        <v>2.1225647046980482E-2</v>
      </c>
      <c r="C1">
        <f>$H$3*(1+$H$1)*(A1^($H$1))*EXP(-$H$3*(A1^(1+$H$1)))</f>
        <v>0.22583688106796984</v>
      </c>
      <c r="D1">
        <f>B1-C1</f>
        <v>-0.20461123402098935</v>
      </c>
      <c r="E1">
        <f>D1^2</f>
        <v>4.1865757087592069E-2</v>
      </c>
      <c r="G1" t="s">
        <v>0</v>
      </c>
      <c r="H1">
        <v>10.082728320934537</v>
      </c>
    </row>
    <row r="2" spans="1:8" x14ac:dyDescent="0.25">
      <c r="A2">
        <v>0.74531641719999997</v>
      </c>
      <c r="B2">
        <v>0.10188310582550632</v>
      </c>
      <c r="C2">
        <f t="shared" ref="C2:C40" si="0">$H$3*(1+$H$1)*(A2^($H$1))*EXP(-$H$3*(A2^(1+$H$1)))</f>
        <v>0.33700091874305499</v>
      </c>
      <c r="D2">
        <f t="shared" ref="D2:D40" si="1">B2-C2</f>
        <v>-0.23511781291754869</v>
      </c>
      <c r="E2">
        <f t="shared" ref="E2:E40" si="2">D2^2</f>
        <v>5.5280385951131425E-2</v>
      </c>
    </row>
    <row r="3" spans="1:8" x14ac:dyDescent="0.25">
      <c r="A3">
        <v>0.77492105199999994</v>
      </c>
      <c r="B3">
        <v>0.21862416458389897</v>
      </c>
      <c r="C3">
        <f t="shared" si="0"/>
        <v>0.49290121498368633</v>
      </c>
      <c r="D3">
        <f t="shared" si="1"/>
        <v>-0.27427705039978734</v>
      </c>
      <c r="E3">
        <f t="shared" si="2"/>
        <v>7.5227900376007489E-2</v>
      </c>
      <c r="G3" t="s">
        <v>1</v>
      </c>
      <c r="H3">
        <f>(_xlfn.GAMMA((2+$H$1)/(1+$H$1)))^(1+$H$1)</f>
        <v>0.60285396505235911</v>
      </c>
    </row>
    <row r="4" spans="1:8" x14ac:dyDescent="0.25">
      <c r="A4">
        <v>0.80452568679999992</v>
      </c>
      <c r="B4">
        <v>0.57096990556377503</v>
      </c>
      <c r="C4">
        <f t="shared" si="0"/>
        <v>0.70622088743800959</v>
      </c>
      <c r="D4">
        <f t="shared" si="1"/>
        <v>-0.13525098187423457</v>
      </c>
      <c r="E4">
        <f t="shared" si="2"/>
        <v>1.8292828097944528E-2</v>
      </c>
    </row>
    <row r="5" spans="1:8" x14ac:dyDescent="0.25">
      <c r="A5">
        <v>0.8341303216</v>
      </c>
      <c r="B5">
        <v>1.0931208229194949</v>
      </c>
      <c r="C5">
        <f t="shared" si="0"/>
        <v>0.98992483679524412</v>
      </c>
      <c r="D5">
        <f t="shared" si="1"/>
        <v>0.10319598612425074</v>
      </c>
      <c r="E5">
        <f t="shared" si="2"/>
        <v>1.0649411552156551E-2</v>
      </c>
      <c r="G5" t="s">
        <v>2</v>
      </c>
      <c r="H5">
        <f>SUM(E1:E40)</f>
        <v>3.8607974081586214</v>
      </c>
    </row>
    <row r="6" spans="1:8" x14ac:dyDescent="0.25">
      <c r="A6">
        <v>0.86373495639999998</v>
      </c>
      <c r="B6">
        <v>1.7213999755101173</v>
      </c>
      <c r="C6">
        <f t="shared" si="0"/>
        <v>1.3544677236805047</v>
      </c>
      <c r="D6">
        <f t="shared" si="1"/>
        <v>0.36693225182961253</v>
      </c>
      <c r="E6">
        <f t="shared" si="2"/>
        <v>0.1346392774327502</v>
      </c>
    </row>
    <row r="7" spans="1:8" x14ac:dyDescent="0.25">
      <c r="A7">
        <v>0.89333959119999995</v>
      </c>
      <c r="B7">
        <v>2.4876458339061127</v>
      </c>
      <c r="C7">
        <f t="shared" si="0"/>
        <v>1.8028559986740698</v>
      </c>
      <c r="D7">
        <f t="shared" si="1"/>
        <v>0.68478983523204295</v>
      </c>
      <c r="E7">
        <f t="shared" si="2"/>
        <v>0.46893711843712854</v>
      </c>
    </row>
    <row r="8" spans="1:8" x14ac:dyDescent="0.25">
      <c r="A8">
        <v>0.92294422600000003</v>
      </c>
      <c r="B8">
        <v>3.0437577865370011</v>
      </c>
      <c r="C8">
        <f t="shared" si="0"/>
        <v>2.323135858294382</v>
      </c>
      <c r="D8">
        <f t="shared" si="1"/>
        <v>0.72062192824261917</v>
      </c>
      <c r="E8">
        <f t="shared" si="2"/>
        <v>0.51929596346411055</v>
      </c>
    </row>
    <row r="9" spans="1:8" x14ac:dyDescent="0.25">
      <c r="A9">
        <v>0.95254886080000001</v>
      </c>
      <c r="B9">
        <v>3.6062374332819842</v>
      </c>
      <c r="C9">
        <f t="shared" si="0"/>
        <v>2.8788881483886675</v>
      </c>
      <c r="D9">
        <f t="shared" si="1"/>
        <v>0.72734928489331674</v>
      </c>
      <c r="E9">
        <f t="shared" si="2"/>
        <v>0.52903698223481921</v>
      </c>
    </row>
    <row r="10" spans="1:8" x14ac:dyDescent="0.25">
      <c r="A10">
        <v>0.98215349559999998</v>
      </c>
      <c r="B10">
        <v>4.0243826801074993</v>
      </c>
      <c r="C10">
        <f t="shared" si="0"/>
        <v>3.4006133203772664</v>
      </c>
      <c r="D10">
        <f t="shared" si="1"/>
        <v>0.62376935973023295</v>
      </c>
      <c r="E10">
        <f t="shared" si="2"/>
        <v>0.38908821413826478</v>
      </c>
    </row>
    <row r="11" spans="1:8" x14ac:dyDescent="0.25">
      <c r="A11">
        <v>1.0117581303999998</v>
      </c>
      <c r="B11">
        <v>3.8206164684564872</v>
      </c>
      <c r="C11">
        <f t="shared" si="0"/>
        <v>3.7845627389100769</v>
      </c>
      <c r="D11">
        <f t="shared" si="1"/>
        <v>3.6053729546410285E-2</v>
      </c>
      <c r="E11">
        <f t="shared" si="2"/>
        <v>1.2998714142056979E-3</v>
      </c>
    </row>
    <row r="12" spans="1:8" x14ac:dyDescent="0.25">
      <c r="A12">
        <v>1.0413627651999999</v>
      </c>
      <c r="B12">
        <v>3.4725158568860071</v>
      </c>
      <c r="C12">
        <f t="shared" si="0"/>
        <v>3.9089524578812735</v>
      </c>
      <c r="D12">
        <f t="shared" si="1"/>
        <v>-0.43643660099526649</v>
      </c>
      <c r="E12">
        <f t="shared" si="2"/>
        <v>0.19047690668830145</v>
      </c>
    </row>
    <row r="13" spans="1:8" x14ac:dyDescent="0.25">
      <c r="A13">
        <v>1.0709674</v>
      </c>
      <c r="B13">
        <v>2.9652228924631734</v>
      </c>
      <c r="C13">
        <f t="shared" si="0"/>
        <v>3.6756059530600234</v>
      </c>
      <c r="D13">
        <f t="shared" si="1"/>
        <v>-0.71038306059684997</v>
      </c>
      <c r="E13">
        <f t="shared" si="2"/>
        <v>0.50464409278294786</v>
      </c>
    </row>
    <row r="14" spans="1:8" x14ac:dyDescent="0.25">
      <c r="A14">
        <v>1.1005720347999999</v>
      </c>
      <c r="B14">
        <v>2.2902473163691943</v>
      </c>
      <c r="C14">
        <f t="shared" si="0"/>
        <v>3.0706524801361055</v>
      </c>
      <c r="D14">
        <f t="shared" si="1"/>
        <v>-0.78040516376691116</v>
      </c>
      <c r="E14">
        <f t="shared" si="2"/>
        <v>0.6090322196340594</v>
      </c>
    </row>
    <row r="15" spans="1:8" x14ac:dyDescent="0.25">
      <c r="A15">
        <v>1.1301766696</v>
      </c>
      <c r="B15">
        <v>1.7213999755101173</v>
      </c>
      <c r="C15">
        <f t="shared" si="0"/>
        <v>2.2103625678862309</v>
      </c>
      <c r="D15">
        <f t="shared" si="1"/>
        <v>-0.48896259237611361</v>
      </c>
      <c r="E15">
        <f t="shared" si="2"/>
        <v>0.23908441674316944</v>
      </c>
    </row>
    <row r="16" spans="1:8" x14ac:dyDescent="0.25">
      <c r="A16">
        <v>1.1597813044</v>
      </c>
      <c r="B16">
        <v>1.190758799335605</v>
      </c>
      <c r="C16">
        <f t="shared" si="0"/>
        <v>1.3196000723838015</v>
      </c>
      <c r="D16">
        <f t="shared" si="1"/>
        <v>-0.12884127304819648</v>
      </c>
      <c r="E16">
        <f t="shared" si="2"/>
        <v>1.6600073640679922E-2</v>
      </c>
    </row>
    <row r="17" spans="1:5" x14ac:dyDescent="0.25">
      <c r="A17">
        <v>1.1893859391999999</v>
      </c>
      <c r="B17">
        <v>0.71742687018794038</v>
      </c>
      <c r="C17">
        <f t="shared" si="0"/>
        <v>0.62319655721971567</v>
      </c>
      <c r="D17">
        <f t="shared" si="1"/>
        <v>9.4230312968224705E-2</v>
      </c>
      <c r="E17">
        <f t="shared" si="2"/>
        <v>8.8793518820895773E-3</v>
      </c>
    </row>
    <row r="18" spans="1:5" x14ac:dyDescent="0.25">
      <c r="A18">
        <v>1.2189905739999998</v>
      </c>
      <c r="B18">
        <v>0.36508112920806429</v>
      </c>
      <c r="C18">
        <f t="shared" si="0"/>
        <v>0.21964549884783993</v>
      </c>
      <c r="D18">
        <f t="shared" si="1"/>
        <v>0.14543563036022436</v>
      </c>
      <c r="E18">
        <f t="shared" si="2"/>
        <v>2.1151522578275815E-2</v>
      </c>
    </row>
    <row r="19" spans="1:5" x14ac:dyDescent="0.25">
      <c r="A19">
        <v>1.2485952087999999</v>
      </c>
      <c r="B19">
        <v>0.1889082587181263</v>
      </c>
      <c r="C19">
        <f t="shared" si="0"/>
        <v>5.3798994408992336E-2</v>
      </c>
      <c r="D19">
        <f t="shared" si="1"/>
        <v>0.13510926430913398</v>
      </c>
      <c r="E19">
        <f t="shared" si="2"/>
        <v>1.8254513302155422E-2</v>
      </c>
    </row>
    <row r="20" spans="1:5" x14ac:dyDescent="0.25">
      <c r="A20">
        <v>1.2781998435999999</v>
      </c>
      <c r="B20">
        <v>9.1270282302016073E-2</v>
      </c>
      <c r="C20">
        <f t="shared" si="0"/>
        <v>8.396063008325726E-3</v>
      </c>
      <c r="D20">
        <f t="shared" si="1"/>
        <v>8.2874219293690349E-2</v>
      </c>
      <c r="E20">
        <f t="shared" si="2"/>
        <v>6.8681362235386775E-3</v>
      </c>
    </row>
    <row r="21" spans="1:5" x14ac:dyDescent="0.25">
      <c r="A21">
        <v>1.3078044784</v>
      </c>
      <c r="B21">
        <v>4.2451294093960965E-2</v>
      </c>
      <c r="C21">
        <f t="shared" si="0"/>
        <v>7.515045853600785E-4</v>
      </c>
      <c r="D21">
        <f t="shared" si="1"/>
        <v>4.1699789508600885E-2</v>
      </c>
      <c r="E21">
        <f t="shared" si="2"/>
        <v>1.7388724450616204E-3</v>
      </c>
    </row>
    <row r="22" spans="1:5" x14ac:dyDescent="0.25">
      <c r="A22">
        <v>1.3374091131999999</v>
      </c>
      <c r="B22">
        <v>2.1225647046980482E-2</v>
      </c>
      <c r="C22">
        <f t="shared" si="0"/>
        <v>3.3979560402762486E-5</v>
      </c>
      <c r="D22">
        <f t="shared" si="1"/>
        <v>2.119166748657772E-2</v>
      </c>
      <c r="E22">
        <f t="shared" si="2"/>
        <v>4.4908677086167524E-4</v>
      </c>
    </row>
    <row r="23" spans="1:5" x14ac:dyDescent="0.25">
      <c r="A23">
        <v>1.3670137479999998</v>
      </c>
      <c r="B23">
        <v>0</v>
      </c>
      <c r="C23">
        <f t="shared" si="0"/>
        <v>6.6638411782476781E-7</v>
      </c>
      <c r="D23">
        <f t="shared" si="1"/>
        <v>-6.6638411782476781E-7</v>
      </c>
      <c r="E23">
        <f t="shared" si="2"/>
        <v>4.44067792489094E-13</v>
      </c>
    </row>
    <row r="24" spans="1:5" x14ac:dyDescent="0.25">
      <c r="A24">
        <v>1.3966183827999998</v>
      </c>
      <c r="B24">
        <v>0</v>
      </c>
      <c r="C24">
        <f t="shared" si="0"/>
        <v>4.7234257630937434E-9</v>
      </c>
      <c r="D24">
        <f t="shared" si="1"/>
        <v>-4.7234257630937434E-9</v>
      </c>
      <c r="E24">
        <f t="shared" si="2"/>
        <v>2.2310750939457712E-17</v>
      </c>
    </row>
    <row r="25" spans="1:5" x14ac:dyDescent="0.25">
      <c r="A25">
        <v>1.4262230175999999</v>
      </c>
      <c r="B25">
        <v>0</v>
      </c>
      <c r="C25">
        <f t="shared" si="0"/>
        <v>9.7377759958151405E-12</v>
      </c>
      <c r="D25">
        <f t="shared" si="1"/>
        <v>-9.7377759958151405E-12</v>
      </c>
      <c r="E25">
        <f t="shared" si="2"/>
        <v>9.4824281344673547E-23</v>
      </c>
    </row>
    <row r="26" spans="1:5" x14ac:dyDescent="0.25">
      <c r="A26">
        <v>1.4558276524</v>
      </c>
      <c r="B26">
        <v>0</v>
      </c>
      <c r="C26">
        <f t="shared" si="0"/>
        <v>4.5116648651975138E-15</v>
      </c>
      <c r="D26">
        <f t="shared" si="1"/>
        <v>-4.5116648651975138E-15</v>
      </c>
      <c r="E26">
        <f t="shared" si="2"/>
        <v>2.0355119855857699E-29</v>
      </c>
    </row>
    <row r="27" spans="1:5" x14ac:dyDescent="0.25">
      <c r="A27">
        <v>1.4854322872000001</v>
      </c>
      <c r="B27">
        <v>0</v>
      </c>
      <c r="C27">
        <f t="shared" si="0"/>
        <v>3.4628236932489447E-19</v>
      </c>
      <c r="D27">
        <f t="shared" si="1"/>
        <v>-3.4628236932489447E-19</v>
      </c>
      <c r="E27">
        <f t="shared" si="2"/>
        <v>1.1991147930526261E-37</v>
      </c>
    </row>
    <row r="28" spans="1:5" x14ac:dyDescent="0.25">
      <c r="A28">
        <v>1.5150369219999997</v>
      </c>
      <c r="B28">
        <v>0</v>
      </c>
      <c r="C28">
        <f t="shared" si="0"/>
        <v>3.0734036597198986E-24</v>
      </c>
      <c r="D28">
        <f t="shared" si="1"/>
        <v>-3.0734036597198986E-24</v>
      </c>
      <c r="E28">
        <f t="shared" si="2"/>
        <v>9.4458100555796666E-48</v>
      </c>
    </row>
    <row r="29" spans="1:5" x14ac:dyDescent="0.25">
      <c r="A29">
        <v>1.5446415567999998</v>
      </c>
      <c r="B29">
        <v>0</v>
      </c>
      <c r="C29">
        <f t="shared" si="0"/>
        <v>2.0677527499626897E-30</v>
      </c>
      <c r="D29">
        <f t="shared" si="1"/>
        <v>-2.0677527499626897E-30</v>
      </c>
      <c r="E29">
        <f t="shared" si="2"/>
        <v>4.2756014349782656E-60</v>
      </c>
    </row>
    <row r="30" spans="1:5" x14ac:dyDescent="0.25">
      <c r="A30">
        <v>1.5742461915999999</v>
      </c>
      <c r="B30">
        <v>0</v>
      </c>
      <c r="C30">
        <f t="shared" si="0"/>
        <v>6.431137377617428E-38</v>
      </c>
      <c r="D30">
        <f t="shared" si="1"/>
        <v>-6.431137377617428E-38</v>
      </c>
      <c r="E30">
        <f t="shared" si="2"/>
        <v>4.1359527969787969E-75</v>
      </c>
    </row>
    <row r="31" spans="1:5" x14ac:dyDescent="0.25">
      <c r="A31">
        <v>1.6038508264</v>
      </c>
      <c r="B31">
        <v>0</v>
      </c>
      <c r="C31">
        <f t="shared" si="0"/>
        <v>5.1907429593356501E-47</v>
      </c>
      <c r="D31">
        <f t="shared" si="1"/>
        <v>-5.1907429593356501E-47</v>
      </c>
      <c r="E31">
        <f t="shared" si="2"/>
        <v>2.6943812469892625E-93</v>
      </c>
    </row>
    <row r="32" spans="1:5" x14ac:dyDescent="0.25">
      <c r="A32">
        <v>1.6334554612000001</v>
      </c>
      <c r="B32">
        <v>0</v>
      </c>
      <c r="C32">
        <f t="shared" si="0"/>
        <v>5.5515587349573192E-58</v>
      </c>
      <c r="D32">
        <f t="shared" si="1"/>
        <v>-5.5515587349573192E-58</v>
      </c>
      <c r="E32">
        <f t="shared" si="2"/>
        <v>3.0819804387680909E-115</v>
      </c>
    </row>
    <row r="33" spans="1:5" x14ac:dyDescent="0.25">
      <c r="A33">
        <v>1.6630600959999999</v>
      </c>
      <c r="B33">
        <v>0</v>
      </c>
      <c r="C33">
        <f t="shared" si="0"/>
        <v>3.6056547398852268E-71</v>
      </c>
      <c r="D33">
        <f t="shared" si="1"/>
        <v>-3.6056547398852268E-71</v>
      </c>
      <c r="E33">
        <f t="shared" si="2"/>
        <v>1.3000746103256803E-141</v>
      </c>
    </row>
    <row r="34" spans="1:5" x14ac:dyDescent="0.25">
      <c r="A34">
        <v>1.6926647307999998</v>
      </c>
      <c r="B34">
        <v>0</v>
      </c>
      <c r="C34">
        <f t="shared" si="0"/>
        <v>5.7628559058928877E-87</v>
      </c>
      <c r="D34">
        <f t="shared" si="1"/>
        <v>-5.7628559058928877E-87</v>
      </c>
      <c r="E34">
        <f t="shared" si="2"/>
        <v>3.3210508192084535E-173</v>
      </c>
    </row>
    <row r="35" spans="1:5" x14ac:dyDescent="0.25">
      <c r="A35">
        <v>1.7222693655999999</v>
      </c>
      <c r="B35">
        <v>0</v>
      </c>
      <c r="C35">
        <f t="shared" si="0"/>
        <v>7.9871674946087214E-106</v>
      </c>
      <c r="D35">
        <f t="shared" si="1"/>
        <v>-7.9871674946087214E-106</v>
      </c>
      <c r="E35">
        <f t="shared" si="2"/>
        <v>6.3794844586934163E-211</v>
      </c>
    </row>
    <row r="36" spans="1:5" x14ac:dyDescent="0.25">
      <c r="A36">
        <v>1.7518740004</v>
      </c>
      <c r="B36">
        <v>0</v>
      </c>
      <c r="C36">
        <f t="shared" si="0"/>
        <v>2.887423301767809E-128</v>
      </c>
      <c r="D36">
        <f t="shared" si="1"/>
        <v>-2.887423301767809E-128</v>
      </c>
      <c r="E36">
        <f t="shared" si="2"/>
        <v>8.3372133235917159E-256</v>
      </c>
    </row>
    <row r="37" spans="1:5" x14ac:dyDescent="0.25">
      <c r="A37">
        <v>1.7814786352</v>
      </c>
      <c r="B37">
        <v>0</v>
      </c>
      <c r="C37">
        <f t="shared" si="0"/>
        <v>6.8472874388879344E-155</v>
      </c>
      <c r="D37">
        <f t="shared" si="1"/>
        <v>-6.8472874388879344E-155</v>
      </c>
      <c r="E37">
        <f t="shared" si="2"/>
        <v>0</v>
      </c>
    </row>
    <row r="38" spans="1:5" x14ac:dyDescent="0.25">
      <c r="A38">
        <v>1.8110832700000001</v>
      </c>
      <c r="B38">
        <v>0</v>
      </c>
      <c r="C38">
        <f t="shared" si="0"/>
        <v>2.188995656966387E-186</v>
      </c>
      <c r="D38">
        <f t="shared" si="1"/>
        <v>-2.188995656966387E-186</v>
      </c>
      <c r="E38">
        <f t="shared" si="2"/>
        <v>0</v>
      </c>
    </row>
    <row r="39" spans="1:5" x14ac:dyDescent="0.25">
      <c r="A39">
        <v>1.8406879047999998</v>
      </c>
      <c r="B39">
        <v>0</v>
      </c>
      <c r="C39">
        <f t="shared" si="0"/>
        <v>1.5444446426345265E-223</v>
      </c>
      <c r="D39">
        <f t="shared" si="1"/>
        <v>-1.5444446426345265E-223</v>
      </c>
      <c r="E39">
        <f t="shared" si="2"/>
        <v>0</v>
      </c>
    </row>
    <row r="40" spans="1:5" x14ac:dyDescent="0.25">
      <c r="A40">
        <v>1.8702925395999999</v>
      </c>
      <c r="B40">
        <v>2.1225647046980481E-3</v>
      </c>
      <c r="C40">
        <f t="shared" si="0"/>
        <v>3.0494375191435974E-267</v>
      </c>
      <c r="D40">
        <f t="shared" si="1"/>
        <v>2.1225647046980481E-3</v>
      </c>
      <c r="E40">
        <f t="shared" si="2"/>
        <v>4.5052809256299122E-6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3848E-B0A7-422B-8C11-514444C5891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0.79532370967499988</v>
      </c>
      <c r="B1">
        <v>4.1780376133446415E-2</v>
      </c>
      <c r="C1">
        <f>$H$3*(1+$H$1)*(A1^($H$1))*EXP(-$H$3*(A1^(1+$H$1)))</f>
        <v>0.32031605255996681</v>
      </c>
      <c r="D1">
        <f>B1-C1</f>
        <v>-0.27853567642652038</v>
      </c>
      <c r="E1">
        <f>D1^2</f>
        <v>7.758212304237927E-2</v>
      </c>
      <c r="G1" t="s">
        <v>0</v>
      </c>
      <c r="H1">
        <v>14.597327287342324</v>
      </c>
    </row>
    <row r="2" spans="1:8" x14ac:dyDescent="0.25">
      <c r="A2">
        <v>0.82089173702499996</v>
      </c>
      <c r="B2">
        <v>0.18432518882402829</v>
      </c>
      <c r="C2">
        <f t="shared" ref="C2:C40" si="0">$H$3*(1+$H$1)*(A2^($H$1))*EXP(-$H$3*(A2^(1+$H$1)))</f>
        <v>0.50300519078833006</v>
      </c>
      <c r="D2">
        <f t="shared" ref="D2:D40" si="1">B2-C2</f>
        <v>-0.3186800019643018</v>
      </c>
      <c r="E2">
        <f t="shared" ref="E2:E40" si="2">D2^2</f>
        <v>0.10155694365196739</v>
      </c>
    </row>
    <row r="3" spans="1:8" x14ac:dyDescent="0.25">
      <c r="A3">
        <v>0.84645976437500003</v>
      </c>
      <c r="B3">
        <v>0.4128884229658234</v>
      </c>
      <c r="C3">
        <f t="shared" si="0"/>
        <v>0.77404715434113736</v>
      </c>
      <c r="D3">
        <f t="shared" si="1"/>
        <v>-0.36115873137531396</v>
      </c>
      <c r="E3">
        <f t="shared" si="2"/>
        <v>0.13043562924862617</v>
      </c>
      <c r="G3" t="s">
        <v>1</v>
      </c>
      <c r="H3">
        <f>(_xlfn.GAMMA((2+$H$1)/(1+$H$1)))^(1+$H$1)</f>
        <v>0.59092661358630794</v>
      </c>
    </row>
    <row r="4" spans="1:8" x14ac:dyDescent="0.25">
      <c r="A4">
        <v>0.872027791725</v>
      </c>
      <c r="B4">
        <v>1.1772235392894608</v>
      </c>
      <c r="C4">
        <f t="shared" si="0"/>
        <v>1.1645657091796118</v>
      </c>
      <c r="D4">
        <f t="shared" si="1"/>
        <v>1.2657830109849E-2</v>
      </c>
      <c r="E4">
        <f t="shared" si="2"/>
        <v>1.6022066308979995E-4</v>
      </c>
    </row>
    <row r="5" spans="1:8" x14ac:dyDescent="0.25">
      <c r="A5">
        <v>0.89759581907499997</v>
      </c>
      <c r="B5">
        <v>2.0988494834096021</v>
      </c>
      <c r="C5">
        <f t="shared" si="0"/>
        <v>1.7064768387551681</v>
      </c>
      <c r="D5">
        <f t="shared" si="1"/>
        <v>0.392372644654434</v>
      </c>
      <c r="E5">
        <f t="shared" si="2"/>
        <v>0.15395629227311475</v>
      </c>
      <c r="G5" t="s">
        <v>2</v>
      </c>
      <c r="H5">
        <f>SUM(E1:E40)</f>
        <v>7.0306541361252357</v>
      </c>
    </row>
    <row r="6" spans="1:8" x14ac:dyDescent="0.25">
      <c r="A6">
        <v>0.92316384642500005</v>
      </c>
      <c r="B6">
        <v>3.4505675347858098</v>
      </c>
      <c r="C6">
        <f t="shared" si="0"/>
        <v>2.421013579408037</v>
      </c>
      <c r="D6">
        <f t="shared" si="1"/>
        <v>1.0295539553777728</v>
      </c>
      <c r="E6">
        <f t="shared" si="2"/>
        <v>1.0599813470340171</v>
      </c>
    </row>
    <row r="7" spans="1:8" x14ac:dyDescent="0.25">
      <c r="A7">
        <v>0.9487318737749999</v>
      </c>
      <c r="B7">
        <v>4.3943125015648343</v>
      </c>
      <c r="C7">
        <f t="shared" si="0"/>
        <v>3.2961555314181399</v>
      </c>
      <c r="D7">
        <f t="shared" si="1"/>
        <v>1.0981569701466944</v>
      </c>
      <c r="E7">
        <f t="shared" si="2"/>
        <v>1.205948731081768</v>
      </c>
    </row>
    <row r="8" spans="1:8" x14ac:dyDescent="0.25">
      <c r="A8">
        <v>0.97429990112499998</v>
      </c>
      <c r="B8">
        <v>5.2889040846574522</v>
      </c>
      <c r="C8">
        <f t="shared" si="0"/>
        <v>4.2515131361047018</v>
      </c>
      <c r="D8">
        <f t="shared" si="1"/>
        <v>1.0373909485527504</v>
      </c>
      <c r="E8">
        <f t="shared" si="2"/>
        <v>1.0761799801391752</v>
      </c>
    </row>
    <row r="9" spans="1:8" x14ac:dyDescent="0.25">
      <c r="A9">
        <v>0.99986792847500006</v>
      </c>
      <c r="B9">
        <v>5.5346710030894899</v>
      </c>
      <c r="C9">
        <f t="shared" si="0"/>
        <v>5.1008011275663261</v>
      </c>
      <c r="D9">
        <f t="shared" si="1"/>
        <v>0.43386987552316381</v>
      </c>
      <c r="E9">
        <f t="shared" si="2"/>
        <v>0.18824306888648565</v>
      </c>
    </row>
    <row r="10" spans="1:8" x14ac:dyDescent="0.25">
      <c r="A10">
        <v>1.0254359558249999</v>
      </c>
      <c r="B10">
        <v>5.0947482190961422</v>
      </c>
      <c r="C10">
        <f t="shared" si="0"/>
        <v>5.5475421892249512</v>
      </c>
      <c r="D10">
        <f t="shared" si="1"/>
        <v>-0.45279397012880906</v>
      </c>
      <c r="E10">
        <f t="shared" si="2"/>
        <v>0.20502237938500883</v>
      </c>
    </row>
    <row r="11" spans="1:8" x14ac:dyDescent="0.25">
      <c r="A11">
        <v>1.051003983175</v>
      </c>
      <c r="B11">
        <v>4.0920191918934279</v>
      </c>
      <c r="C11">
        <f t="shared" si="0"/>
        <v>5.2770851142718156</v>
      </c>
      <c r="D11">
        <f t="shared" si="1"/>
        <v>-1.1850659223783877</v>
      </c>
      <c r="E11">
        <f t="shared" si="2"/>
        <v>1.4043812403825389</v>
      </c>
    </row>
    <row r="12" spans="1:8" x14ac:dyDescent="0.25">
      <c r="A12">
        <v>1.0765720105249998</v>
      </c>
      <c r="B12">
        <v>3.1286128716398403</v>
      </c>
      <c r="C12">
        <f t="shared" si="0"/>
        <v>4.1799512363175495</v>
      </c>
      <c r="D12">
        <f t="shared" si="1"/>
        <v>-1.0513383646777092</v>
      </c>
      <c r="E12">
        <f t="shared" si="2"/>
        <v>1.1053123570432</v>
      </c>
    </row>
    <row r="13" spans="1:8" x14ac:dyDescent="0.25">
      <c r="A13">
        <v>1.1021400378749999</v>
      </c>
      <c r="B13">
        <v>2.1086801601468839</v>
      </c>
      <c r="C13">
        <f t="shared" si="0"/>
        <v>2.5784726513748919</v>
      </c>
      <c r="D13">
        <f t="shared" si="1"/>
        <v>-0.46979249122800804</v>
      </c>
      <c r="E13">
        <f t="shared" si="2"/>
        <v>0.22070498481421802</v>
      </c>
    </row>
    <row r="14" spans="1:8" x14ac:dyDescent="0.25">
      <c r="A14">
        <v>1.127708065225</v>
      </c>
      <c r="B14">
        <v>1.1944272235797033</v>
      </c>
      <c r="C14">
        <f t="shared" si="0"/>
        <v>1.1316331707389855</v>
      </c>
      <c r="D14">
        <f t="shared" si="1"/>
        <v>6.2794052840717818E-2</v>
      </c>
      <c r="E14">
        <f t="shared" si="2"/>
        <v>3.9430930721628616E-3</v>
      </c>
    </row>
    <row r="15" spans="1:8" x14ac:dyDescent="0.25">
      <c r="A15">
        <v>1.1532760925749999</v>
      </c>
      <c r="B15">
        <v>0.54806022810344412</v>
      </c>
      <c r="C15">
        <f t="shared" si="0"/>
        <v>0.31301723603204729</v>
      </c>
      <c r="D15">
        <f t="shared" si="1"/>
        <v>0.23504299207139684</v>
      </c>
      <c r="E15">
        <f t="shared" si="2"/>
        <v>5.5245208121874716E-2</v>
      </c>
    </row>
    <row r="16" spans="1:8" x14ac:dyDescent="0.25">
      <c r="A16">
        <v>1.1788441199249999</v>
      </c>
      <c r="B16">
        <v>0.22610556495747472</v>
      </c>
      <c r="C16">
        <f t="shared" si="0"/>
        <v>4.6439447627494156E-2</v>
      </c>
      <c r="D16">
        <f t="shared" si="1"/>
        <v>0.17966611732998056</v>
      </c>
      <c r="E16">
        <f t="shared" si="2"/>
        <v>3.2279913716430339E-2</v>
      </c>
    </row>
    <row r="17" spans="1:5" x14ac:dyDescent="0.25">
      <c r="A17">
        <v>1.204412147275</v>
      </c>
      <c r="B17">
        <v>9.3391429004174339E-2</v>
      </c>
      <c r="C17">
        <f t="shared" si="0"/>
        <v>2.9854263111527678E-3</v>
      </c>
      <c r="D17">
        <f t="shared" si="1"/>
        <v>9.040600269302157E-2</v>
      </c>
      <c r="E17">
        <f t="shared" si="2"/>
        <v>8.1732453229306241E-3</v>
      </c>
    </row>
    <row r="18" spans="1:5" x14ac:dyDescent="0.25">
      <c r="A18">
        <v>1.2299801746250001</v>
      </c>
      <c r="B18">
        <v>3.9322706949126034E-2</v>
      </c>
      <c r="C18">
        <f t="shared" si="0"/>
        <v>6.2827831398515205E-5</v>
      </c>
      <c r="D18">
        <f t="shared" si="1"/>
        <v>3.925987911772752E-2</v>
      </c>
      <c r="E18">
        <f t="shared" si="2"/>
        <v>1.5413381083385774E-3</v>
      </c>
    </row>
    <row r="19" spans="1:5" x14ac:dyDescent="0.25">
      <c r="A19">
        <v>1.2555482019749999</v>
      </c>
      <c r="B19">
        <v>0</v>
      </c>
      <c r="C19">
        <f t="shared" si="0"/>
        <v>3.0006995954521877E-7</v>
      </c>
      <c r="D19">
        <f t="shared" si="1"/>
        <v>-3.0006995954521877E-7</v>
      </c>
      <c r="E19">
        <f t="shared" si="2"/>
        <v>9.0041980621469226E-14</v>
      </c>
    </row>
    <row r="20" spans="1:5" x14ac:dyDescent="0.25">
      <c r="A20">
        <v>1.2811162293249998</v>
      </c>
      <c r="B20">
        <v>0</v>
      </c>
      <c r="C20">
        <f t="shared" si="0"/>
        <v>2.0207480552512422E-10</v>
      </c>
      <c r="D20">
        <f t="shared" si="1"/>
        <v>-2.0207480552512422E-10</v>
      </c>
      <c r="E20">
        <f t="shared" si="2"/>
        <v>4.0834227028016772E-20</v>
      </c>
    </row>
    <row r="21" spans="1:5" x14ac:dyDescent="0.25">
      <c r="A21">
        <v>1.3066842566750001</v>
      </c>
      <c r="B21">
        <v>0</v>
      </c>
      <c r="C21">
        <f t="shared" si="0"/>
        <v>1.0373071059518117E-14</v>
      </c>
      <c r="D21">
        <f t="shared" si="1"/>
        <v>-1.0373071059518117E-14</v>
      </c>
      <c r="E21">
        <f t="shared" si="2"/>
        <v>1.076006032058123E-28</v>
      </c>
    </row>
    <row r="22" spans="1:5" x14ac:dyDescent="0.25">
      <c r="A22">
        <v>1.332252284025</v>
      </c>
      <c r="B22">
        <v>0</v>
      </c>
      <c r="C22">
        <f t="shared" si="0"/>
        <v>1.8407861822967751E-20</v>
      </c>
      <c r="D22">
        <f t="shared" si="1"/>
        <v>-1.8407861822967751E-20</v>
      </c>
      <c r="E22">
        <f t="shared" si="2"/>
        <v>3.3884937689347364E-40</v>
      </c>
    </row>
    <row r="23" spans="1:5" x14ac:dyDescent="0.25">
      <c r="A23">
        <v>1.3578203113749998</v>
      </c>
      <c r="B23">
        <v>0</v>
      </c>
      <c r="C23">
        <f t="shared" si="0"/>
        <v>4.106642175694538E-28</v>
      </c>
      <c r="D23">
        <f t="shared" si="1"/>
        <v>-4.106642175694538E-28</v>
      </c>
      <c r="E23">
        <f t="shared" si="2"/>
        <v>1.6864509959193168E-55</v>
      </c>
    </row>
    <row r="24" spans="1:5" x14ac:dyDescent="0.25">
      <c r="A24">
        <v>1.3833883387249999</v>
      </c>
      <c r="B24">
        <v>0</v>
      </c>
      <c r="C24">
        <f t="shared" si="0"/>
        <v>3.1769146078413724E-38</v>
      </c>
      <c r="D24">
        <f t="shared" si="1"/>
        <v>-3.1769146078413724E-38</v>
      </c>
      <c r="E24">
        <f t="shared" si="2"/>
        <v>1.0092786425515902E-75</v>
      </c>
    </row>
    <row r="25" spans="1:5" x14ac:dyDescent="0.25">
      <c r="A25">
        <v>1.408956366075</v>
      </c>
      <c r="B25">
        <v>0</v>
      </c>
      <c r="C25">
        <f t="shared" si="0"/>
        <v>1.6657261286883312E-51</v>
      </c>
      <c r="D25">
        <f t="shared" si="1"/>
        <v>-1.6657261286883312E-51</v>
      </c>
      <c r="E25">
        <f t="shared" si="2"/>
        <v>2.7746435357950149E-102</v>
      </c>
    </row>
    <row r="26" spans="1:5" x14ac:dyDescent="0.25">
      <c r="A26">
        <v>1.4345243934249998</v>
      </c>
      <c r="B26">
        <v>0</v>
      </c>
      <c r="C26">
        <f t="shared" si="0"/>
        <v>7.5446303871696153E-69</v>
      </c>
      <c r="D26">
        <f t="shared" si="1"/>
        <v>-7.5446303871696153E-69</v>
      </c>
      <c r="E26">
        <f t="shared" si="2"/>
        <v>5.6921447679003143E-137</v>
      </c>
    </row>
    <row r="27" spans="1:5" x14ac:dyDescent="0.25">
      <c r="A27">
        <v>1.4600924207750001</v>
      </c>
      <c r="B27">
        <v>0</v>
      </c>
      <c r="C27">
        <f t="shared" si="0"/>
        <v>2.2176793308156304E-91</v>
      </c>
      <c r="D27">
        <f t="shared" si="1"/>
        <v>-2.2176793308156304E-91</v>
      </c>
      <c r="E27">
        <f t="shared" si="2"/>
        <v>4.9181016143268625E-182</v>
      </c>
    </row>
    <row r="28" spans="1:5" x14ac:dyDescent="0.25">
      <c r="A28">
        <v>1.485660448125</v>
      </c>
      <c r="B28">
        <v>0</v>
      </c>
      <c r="C28">
        <f t="shared" si="0"/>
        <v>1.6574419949326475E-120</v>
      </c>
      <c r="D28">
        <f t="shared" si="1"/>
        <v>-1.6574419949326475E-120</v>
      </c>
      <c r="E28">
        <f t="shared" si="2"/>
        <v>2.7471139665663141E-240</v>
      </c>
    </row>
    <row r="29" spans="1:5" x14ac:dyDescent="0.25">
      <c r="A29">
        <v>1.5112284754750001</v>
      </c>
      <c r="B29">
        <v>0</v>
      </c>
      <c r="C29">
        <f t="shared" si="0"/>
        <v>5.5508762669982428E-158</v>
      </c>
      <c r="D29">
        <f t="shared" si="1"/>
        <v>-5.5508762669982428E-158</v>
      </c>
      <c r="E29">
        <f t="shared" si="2"/>
        <v>0</v>
      </c>
    </row>
    <row r="30" spans="1:5" x14ac:dyDescent="0.25">
      <c r="A30">
        <v>1.5367965028249999</v>
      </c>
      <c r="B30">
        <v>0</v>
      </c>
      <c r="C30">
        <f t="shared" si="0"/>
        <v>5.5276423817198623E-206</v>
      </c>
      <c r="D30">
        <f t="shared" si="1"/>
        <v>-5.5276423817198623E-206</v>
      </c>
      <c r="E30">
        <f t="shared" si="2"/>
        <v>0</v>
      </c>
    </row>
    <row r="31" spans="1:5" x14ac:dyDescent="0.25">
      <c r="A31">
        <v>1.562364530175</v>
      </c>
      <c r="B31">
        <v>0</v>
      </c>
      <c r="C31">
        <f t="shared" si="0"/>
        <v>3.3028074021920807E-267</v>
      </c>
      <c r="D31">
        <f t="shared" si="1"/>
        <v>-3.3028074021920807E-267</v>
      </c>
      <c r="E31">
        <f t="shared" si="2"/>
        <v>0</v>
      </c>
    </row>
    <row r="32" spans="1:5" x14ac:dyDescent="0.25">
      <c r="A32">
        <v>1.5879325575250001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1.6135005848749999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1.639068612225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1.6646366395749999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1.6902046669249999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1.715772694275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1.7413407216249999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1.7669087489749999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1.792476776325</v>
      </c>
      <c r="B40">
        <v>2.4576691843203771E-3</v>
      </c>
      <c r="C40">
        <f t="shared" si="0"/>
        <v>0</v>
      </c>
      <c r="D40">
        <f t="shared" si="1"/>
        <v>2.4576691843203771E-3</v>
      </c>
      <c r="E40">
        <f t="shared" si="2"/>
        <v>6.0401378195579881E-6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5559F-59C4-4525-BEAC-D71E5B1A793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0.90961376018749995</v>
      </c>
      <c r="B1">
        <v>0.19619779988988884</v>
      </c>
      <c r="C1">
        <f>$H$3*(1+$H$1)*(A1^($H$1))*EXP(-$H$3*(A1^(1+$H$1)))</f>
        <v>0.80459189544975473</v>
      </c>
      <c r="D1">
        <f>B1-C1</f>
        <v>-0.6083940955598659</v>
      </c>
      <c r="E1">
        <f>D1^2</f>
        <v>0.37014337551210724</v>
      </c>
      <c r="G1" t="s">
        <v>0</v>
      </c>
      <c r="H1">
        <v>33.642244260738231</v>
      </c>
    </row>
    <row r="2" spans="1:8" x14ac:dyDescent="0.25">
      <c r="A2">
        <v>0.92979124656250001</v>
      </c>
      <c r="B2">
        <v>0.9280467359870932</v>
      </c>
      <c r="C2">
        <f t="shared" ref="C2:C40" si="0">$H$3*(1+$H$1)*(A2^($H$1))*EXP(-$H$3*(A2^(1+$H$1)))</f>
        <v>1.642331171847309</v>
      </c>
      <c r="D2">
        <f t="shared" ref="D2:D40" si="1">B2-C2</f>
        <v>-0.71428443586021584</v>
      </c>
      <c r="E2">
        <f t="shared" ref="E2:E40" si="2">D2^2</f>
        <v>0.5102022553121468</v>
      </c>
    </row>
    <row r="3" spans="1:8" x14ac:dyDescent="0.25">
      <c r="A3">
        <v>0.94996873293749995</v>
      </c>
      <c r="B3">
        <v>3.95821275650871</v>
      </c>
      <c r="C3">
        <f t="shared" si="0"/>
        <v>3.2137173671950943</v>
      </c>
      <c r="D3">
        <f t="shared" si="1"/>
        <v>0.7444953893136157</v>
      </c>
      <c r="E3">
        <f t="shared" si="2"/>
        <v>0.55427338470923215</v>
      </c>
      <c r="G3" t="s">
        <v>1</v>
      </c>
      <c r="H3">
        <f>(_xlfn.GAMMA((2+$H$1)/(1+$H$1)))^(1+$H$1)</f>
        <v>0.57476073278672768</v>
      </c>
    </row>
    <row r="4" spans="1:8" x14ac:dyDescent="0.25">
      <c r="A4">
        <v>0.9701462193125</v>
      </c>
      <c r="B4">
        <v>8.4271626428895114</v>
      </c>
      <c r="C4">
        <f t="shared" si="0"/>
        <v>5.8737157300313996</v>
      </c>
      <c r="D4">
        <f t="shared" si="1"/>
        <v>2.5534469128581119</v>
      </c>
      <c r="E4">
        <f t="shared" si="2"/>
        <v>6.5200911367846217</v>
      </c>
    </row>
    <row r="5" spans="1:8" x14ac:dyDescent="0.25">
      <c r="A5">
        <v>0.99032370568749994</v>
      </c>
      <c r="B5">
        <v>11.644183710925308</v>
      </c>
      <c r="C5">
        <f t="shared" si="0"/>
        <v>9.5235044809041707</v>
      </c>
      <c r="D5">
        <f t="shared" si="1"/>
        <v>2.1206792300211372</v>
      </c>
      <c r="E5">
        <f t="shared" si="2"/>
        <v>4.4972803966430437</v>
      </c>
      <c r="G5" t="s">
        <v>2</v>
      </c>
      <c r="H5">
        <f>SUM(E1:E40)</f>
        <v>22.048800725384478</v>
      </c>
    </row>
    <row r="6" spans="1:8" x14ac:dyDescent="0.25">
      <c r="A6">
        <v>1.0105011920624998</v>
      </c>
      <c r="B6">
        <v>11.528956431624897</v>
      </c>
      <c r="C6">
        <f t="shared" si="0"/>
        <v>12.395527088564036</v>
      </c>
      <c r="D6">
        <f t="shared" si="1"/>
        <v>-0.86657065693913893</v>
      </c>
      <c r="E6">
        <f t="shared" si="2"/>
        <v>0.75094470346793085</v>
      </c>
    </row>
    <row r="7" spans="1:8" x14ac:dyDescent="0.25">
      <c r="A7">
        <v>1.0306786784374999</v>
      </c>
      <c r="B7">
        <v>7.835454992427942</v>
      </c>
      <c r="C7">
        <f t="shared" si="0"/>
        <v>10.704193348301271</v>
      </c>
      <c r="D7">
        <f t="shared" si="1"/>
        <v>-2.8687383558733286</v>
      </c>
      <c r="E7">
        <f t="shared" si="2"/>
        <v>8.2296597544588082</v>
      </c>
    </row>
    <row r="8" spans="1:8" x14ac:dyDescent="0.25">
      <c r="A8">
        <v>1.0508561648125001</v>
      </c>
      <c r="B8">
        <v>3.818071470873075</v>
      </c>
      <c r="C8">
        <f t="shared" si="0"/>
        <v>4.2859868244586234</v>
      </c>
      <c r="D8">
        <f t="shared" si="1"/>
        <v>-0.46791535358554848</v>
      </c>
      <c r="E8">
        <f t="shared" si="2"/>
        <v>0.21894477812108887</v>
      </c>
    </row>
    <row r="9" spans="1:8" x14ac:dyDescent="0.25">
      <c r="A9">
        <v>1.0710336511875</v>
      </c>
      <c r="B9">
        <v>1.0059030057846681</v>
      </c>
      <c r="C9">
        <f t="shared" si="0"/>
        <v>0.40921136643646472</v>
      </c>
      <c r="D9">
        <f t="shared" si="1"/>
        <v>0.59669163934820335</v>
      </c>
      <c r="E9">
        <f t="shared" si="2"/>
        <v>0.35604091246804637</v>
      </c>
    </row>
    <row r="10" spans="1:8" x14ac:dyDescent="0.25">
      <c r="A10">
        <v>1.0912111375625</v>
      </c>
      <c r="B10">
        <v>0.20554055226559784</v>
      </c>
      <c r="C10">
        <f t="shared" si="0"/>
        <v>2.7523746004237443E-3</v>
      </c>
      <c r="D10">
        <f t="shared" si="1"/>
        <v>0.2027881776651741</v>
      </c>
      <c r="E10">
        <f t="shared" si="2"/>
        <v>4.1123045000762214E-2</v>
      </c>
    </row>
    <row r="11" spans="1:8" x14ac:dyDescent="0.25">
      <c r="A11">
        <v>1.1113886239374999</v>
      </c>
      <c r="B11">
        <v>9.3427523757089927E-3</v>
      </c>
      <c r="C11">
        <f t="shared" si="0"/>
        <v>1.4306730809760829E-7</v>
      </c>
      <c r="D11">
        <f t="shared" si="1"/>
        <v>9.3426093084008951E-3</v>
      </c>
      <c r="E11">
        <f t="shared" si="2"/>
        <v>8.7284348689419054E-5</v>
      </c>
    </row>
    <row r="12" spans="1:8" x14ac:dyDescent="0.25">
      <c r="A12">
        <v>1.1315661103124999</v>
      </c>
      <c r="B12">
        <v>0</v>
      </c>
      <c r="C12">
        <f t="shared" si="0"/>
        <v>1.0936881590240138E-15</v>
      </c>
      <c r="D12">
        <f t="shared" si="1"/>
        <v>-1.0936881590240138E-15</v>
      </c>
      <c r="E12">
        <f t="shared" si="2"/>
        <v>1.1961537891893364E-30</v>
      </c>
    </row>
    <row r="13" spans="1:8" x14ac:dyDescent="0.25">
      <c r="A13">
        <v>1.1517435966875</v>
      </c>
      <c r="B13">
        <v>0</v>
      </c>
      <c r="C13">
        <f t="shared" si="0"/>
        <v>1.0912579927998019E-30</v>
      </c>
      <c r="D13">
        <f t="shared" si="1"/>
        <v>-1.0912579927998019E-30</v>
      </c>
      <c r="E13">
        <f t="shared" si="2"/>
        <v>1.1908440068494524E-60</v>
      </c>
    </row>
    <row r="14" spans="1:8" x14ac:dyDescent="0.25">
      <c r="A14">
        <v>1.1719210830625</v>
      </c>
      <c r="B14">
        <v>0</v>
      </c>
      <c r="C14">
        <f t="shared" si="0"/>
        <v>6.2275899533385429E-58</v>
      </c>
      <c r="D14">
        <f t="shared" si="1"/>
        <v>-6.2275899533385429E-58</v>
      </c>
      <c r="E14">
        <f t="shared" si="2"/>
        <v>3.8782876626923155E-115</v>
      </c>
    </row>
    <row r="15" spans="1:8" x14ac:dyDescent="0.25">
      <c r="A15">
        <v>1.1920985694374999</v>
      </c>
      <c r="B15">
        <v>0</v>
      </c>
      <c r="C15">
        <f t="shared" si="0"/>
        <v>9.8198540943477955E-107</v>
      </c>
      <c r="D15">
        <f t="shared" si="1"/>
        <v>-9.8198540943477955E-107</v>
      </c>
      <c r="E15">
        <f t="shared" si="2"/>
        <v>9.6429534434279159E-213</v>
      </c>
    </row>
    <row r="16" spans="1:8" x14ac:dyDescent="0.25">
      <c r="A16">
        <v>1.2122760558125001</v>
      </c>
      <c r="B16">
        <v>0</v>
      </c>
      <c r="C16">
        <f t="shared" si="0"/>
        <v>3.8679800263885619E-193</v>
      </c>
      <c r="D16">
        <f t="shared" si="1"/>
        <v>-3.8679800263885619E-193</v>
      </c>
      <c r="E16">
        <f t="shared" si="2"/>
        <v>0</v>
      </c>
    </row>
    <row r="17" spans="1:5" x14ac:dyDescent="0.25">
      <c r="A17">
        <v>1.2324535421875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1.2526310285625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1.2728085149374999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1.2929860013124999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1.3131634876875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1.3333409740625002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1.3535184604374999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1.3736959468125001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1.3938734331874998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1.4140509195625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1.4342284059374999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1.4544058923124998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1.4745833786875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1.4947608650624999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1.5149383514374999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1.5351158378125001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1.5552933241875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1.5754708105624999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1.5956482969374999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1.6158257833124998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1.6360032696875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1.6561807560624999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1.6763582424374999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1.6965357288125</v>
      </c>
      <c r="B40">
        <v>3.1142507919029974E-3</v>
      </c>
      <c r="C40">
        <f t="shared" si="0"/>
        <v>0</v>
      </c>
      <c r="D40">
        <f t="shared" si="1"/>
        <v>3.1142507919029974E-3</v>
      </c>
      <c r="E40">
        <f t="shared" si="2"/>
        <v>9.6985579948684464E-6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D5B0-1AF7-4901-AB57-38C8DDAB6901}">
  <dimension ref="A1:H40"/>
  <sheetViews>
    <sheetView workbookViewId="0">
      <selection activeCell="M22" sqref="M22"/>
    </sheetView>
  </sheetViews>
  <sheetFormatPr defaultColWidth="11" defaultRowHeight="15.75" x14ac:dyDescent="0.25"/>
  <sheetData>
    <row r="1" spans="1:8" x14ac:dyDescent="0.25">
      <c r="A1">
        <v>0.97630917404999995</v>
      </c>
      <c r="B1">
        <v>3.7041127678613002</v>
      </c>
      <c r="C1">
        <f>$H$3*(1+$H$1)*(A1^($H$1))*EXP(-$H$3*(A1^(1+$H$1)))</f>
        <v>2.0433507029464311</v>
      </c>
      <c r="D1">
        <f>B1-C1</f>
        <v>1.6607620649148691</v>
      </c>
      <c r="E1">
        <f>D1^2</f>
        <v>2.7581306362603</v>
      </c>
      <c r="G1" t="s">
        <v>0</v>
      </c>
      <c r="H1">
        <v>156.94104008930259</v>
      </c>
    </row>
    <row r="2" spans="1:8" x14ac:dyDescent="0.25">
      <c r="A2">
        <v>0.99351099414999999</v>
      </c>
      <c r="B2">
        <v>30.133359193380539</v>
      </c>
      <c r="C2">
        <f t="shared" ref="C2:C40" si="0">$H$3*(1+$H$1)*(A2^($H$1))*EXP(-$H$3*(A2^(1+$H$1)))</f>
        <v>26.223094563767464</v>
      </c>
      <c r="D2">
        <f t="shared" ref="D2:D40" si="1">B2-C2</f>
        <v>3.9102646296130743</v>
      </c>
      <c r="E2">
        <f t="shared" ref="E2:E40" si="2">D2^2</f>
        <v>15.290169473603074</v>
      </c>
    </row>
    <row r="3" spans="1:8" x14ac:dyDescent="0.25">
      <c r="A3">
        <v>1.0107128142500001</v>
      </c>
      <c r="B3">
        <v>22.922394100916822</v>
      </c>
      <c r="C3">
        <f t="shared" si="0"/>
        <v>22.765194256687188</v>
      </c>
      <c r="D3">
        <f t="shared" si="1"/>
        <v>0.15719984422963407</v>
      </c>
      <c r="E3">
        <f t="shared" si="2"/>
        <v>2.4711791025821214E-2</v>
      </c>
      <c r="G3" t="s">
        <v>1</v>
      </c>
      <c r="H3">
        <f>(_xlfn.GAMMA((2+$H$1)/(1+$H$1)))^(1+$H$1)</f>
        <v>0.56438184394062507</v>
      </c>
    </row>
    <row r="4" spans="1:8" x14ac:dyDescent="0.25">
      <c r="A4">
        <v>1.0279146343500001</v>
      </c>
      <c r="B4">
        <v>1.3662112181263573</v>
      </c>
      <c r="C4">
        <f t="shared" si="0"/>
        <v>7.3351094076240911E-16</v>
      </c>
      <c r="D4">
        <f t="shared" si="1"/>
        <v>1.3662112181263566</v>
      </c>
      <c r="E4">
        <f t="shared" si="2"/>
        <v>1.8665330925343031</v>
      </c>
    </row>
    <row r="5" spans="1:8" x14ac:dyDescent="0.25">
      <c r="A5">
        <v>1.04511645445</v>
      </c>
      <c r="B5">
        <v>3.6529711714608482E-3</v>
      </c>
      <c r="C5">
        <f t="shared" si="0"/>
        <v>1.5622899268310003E-256</v>
      </c>
      <c r="D5">
        <f t="shared" si="1"/>
        <v>3.6529711714608482E-3</v>
      </c>
      <c r="E5">
        <f t="shared" si="2"/>
        <v>1.3344198379524042E-5</v>
      </c>
      <c r="G5" t="s">
        <v>2</v>
      </c>
      <c r="H5">
        <f>SUM(E1:E40)</f>
        <v>19.939571681820258</v>
      </c>
    </row>
    <row r="6" spans="1:8" x14ac:dyDescent="0.25">
      <c r="A6">
        <v>1.0623182745499999</v>
      </c>
      <c r="B6">
        <v>0</v>
      </c>
      <c r="C6">
        <f t="shared" si="0"/>
        <v>0</v>
      </c>
      <c r="D6">
        <f t="shared" si="1"/>
        <v>0</v>
      </c>
      <c r="E6">
        <f t="shared" si="2"/>
        <v>0</v>
      </c>
    </row>
    <row r="7" spans="1:8" x14ac:dyDescent="0.25">
      <c r="A7">
        <v>1.0795200946499999</v>
      </c>
      <c r="B7">
        <v>0</v>
      </c>
      <c r="C7">
        <f t="shared" si="0"/>
        <v>0</v>
      </c>
      <c r="D7">
        <f t="shared" si="1"/>
        <v>0</v>
      </c>
      <c r="E7">
        <f t="shared" si="2"/>
        <v>0</v>
      </c>
    </row>
    <row r="8" spans="1:8" x14ac:dyDescent="0.25">
      <c r="A8">
        <v>1.0967219147499998</v>
      </c>
      <c r="B8">
        <v>0</v>
      </c>
      <c r="C8">
        <f t="shared" si="0"/>
        <v>0</v>
      </c>
      <c r="D8">
        <f t="shared" si="1"/>
        <v>0</v>
      </c>
      <c r="E8">
        <f t="shared" si="2"/>
        <v>0</v>
      </c>
    </row>
    <row r="9" spans="1:8" x14ac:dyDescent="0.25">
      <c r="A9">
        <v>1.11392373485</v>
      </c>
      <c r="B9">
        <v>0</v>
      </c>
      <c r="C9">
        <f t="shared" si="0"/>
        <v>0</v>
      </c>
      <c r="D9">
        <f t="shared" si="1"/>
        <v>0</v>
      </c>
      <c r="E9">
        <f t="shared" si="2"/>
        <v>0</v>
      </c>
    </row>
    <row r="10" spans="1:8" x14ac:dyDescent="0.25">
      <c r="A10">
        <v>1.1311255549499999</v>
      </c>
      <c r="B10">
        <v>0</v>
      </c>
      <c r="C10">
        <f t="shared" si="0"/>
        <v>0</v>
      </c>
      <c r="D10">
        <f t="shared" si="1"/>
        <v>0</v>
      </c>
      <c r="E10">
        <f t="shared" si="2"/>
        <v>0</v>
      </c>
    </row>
    <row r="11" spans="1:8" x14ac:dyDescent="0.25">
      <c r="A11">
        <v>1.14832737505</v>
      </c>
      <c r="B11">
        <v>0</v>
      </c>
      <c r="C11">
        <f t="shared" si="0"/>
        <v>0</v>
      </c>
      <c r="D11">
        <f t="shared" si="1"/>
        <v>0</v>
      </c>
      <c r="E11">
        <f t="shared" si="2"/>
        <v>0</v>
      </c>
    </row>
    <row r="12" spans="1:8" x14ac:dyDescent="0.25">
      <c r="A12">
        <v>1.16552919515</v>
      </c>
      <c r="B12">
        <v>0</v>
      </c>
      <c r="C12">
        <f t="shared" si="0"/>
        <v>0</v>
      </c>
      <c r="D12">
        <f t="shared" si="1"/>
        <v>0</v>
      </c>
      <c r="E12">
        <f t="shared" si="2"/>
        <v>0</v>
      </c>
    </row>
    <row r="13" spans="1:8" x14ac:dyDescent="0.25">
      <c r="A13">
        <v>1.1827310152499999</v>
      </c>
      <c r="B13">
        <v>0</v>
      </c>
      <c r="C13">
        <f t="shared" si="0"/>
        <v>0</v>
      </c>
      <c r="D13">
        <f t="shared" si="1"/>
        <v>0</v>
      </c>
      <c r="E13">
        <f t="shared" si="2"/>
        <v>0</v>
      </c>
    </row>
    <row r="14" spans="1:8" x14ac:dyDescent="0.25">
      <c r="A14">
        <v>1.1999328353500001</v>
      </c>
      <c r="B14">
        <v>0</v>
      </c>
      <c r="C14">
        <f t="shared" si="0"/>
        <v>0</v>
      </c>
      <c r="D14">
        <f t="shared" si="1"/>
        <v>0</v>
      </c>
      <c r="E14">
        <f t="shared" si="2"/>
        <v>0</v>
      </c>
    </row>
    <row r="15" spans="1:8" x14ac:dyDescent="0.25">
      <c r="A15">
        <v>1.21713465545</v>
      </c>
      <c r="B15">
        <v>0</v>
      </c>
      <c r="C15">
        <f t="shared" si="0"/>
        <v>0</v>
      </c>
      <c r="D15">
        <f t="shared" si="1"/>
        <v>0</v>
      </c>
      <c r="E15">
        <f t="shared" si="2"/>
        <v>0</v>
      </c>
    </row>
    <row r="16" spans="1:8" x14ac:dyDescent="0.25">
      <c r="A16">
        <v>1.2343364755499999</v>
      </c>
      <c r="B16">
        <v>0</v>
      </c>
      <c r="C16">
        <f t="shared" si="0"/>
        <v>0</v>
      </c>
      <c r="D16">
        <f t="shared" si="1"/>
        <v>0</v>
      </c>
      <c r="E16">
        <f t="shared" si="2"/>
        <v>0</v>
      </c>
    </row>
    <row r="17" spans="1:5" x14ac:dyDescent="0.25">
      <c r="A17">
        <v>1.2515382956500001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1.26874011575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1.2859419358500002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1.3031437559500001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1.32034557605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1.33754739615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1.3547492162500001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1.37195103635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1.38915285645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1.4063546765499999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1.4235564966499998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1.44075831675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1.4579601368499999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1.4751619569500001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1.49236377705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1.5095655971500002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1.5267674172499999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1.5439692373499998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1.5611710574500002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1.5783728775500001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1.59557469765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1.61277651775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1.6299783378500001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1.6471801579500001</v>
      </c>
      <c r="B40">
        <v>3.6529711714608482E-3</v>
      </c>
      <c r="C40">
        <f t="shared" si="0"/>
        <v>0</v>
      </c>
      <c r="D40">
        <f t="shared" si="1"/>
        <v>3.6529711714608482E-3</v>
      </c>
      <c r="E40">
        <f t="shared" si="2"/>
        <v>1.3344198379524042E-5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Brody</vt:lpstr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2024-10-06T00:24:23Z</dcterms:modified>
</cp:coreProperties>
</file>