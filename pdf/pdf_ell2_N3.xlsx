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pdf/"/>
    </mc:Choice>
  </mc:AlternateContent>
  <xr:revisionPtr revIDLastSave="2873" documentId="115_{F9A6027A-5540-49EB-8910-309814AC2BDC}" xr6:coauthVersionLast="47" xr6:coauthVersionMax="47" xr10:uidLastSave="{0F254DB4-84C5-4C2D-AAFD-504ABCCBD544}"/>
  <bookViews>
    <workbookView xWindow="-120" yWindow="-120" windowWidth="29040" windowHeight="15720" tabRatio="999" activeTab="31" xr2:uid="{52D9C27D-0EF6-DD41-9728-0267E68F7539}"/>
  </bookViews>
  <sheets>
    <sheet name="Brody" sheetId="33" r:id="rId1"/>
    <sheet name="0.0001" sheetId="2" r:id="rId2"/>
    <sheet name="0.001" sheetId="3" r:id="rId3"/>
    <sheet name="0.005" sheetId="4" r:id="rId4"/>
    <sheet name="0.01" sheetId="5" r:id="rId5"/>
    <sheet name="0.025" sheetId="6" r:id="rId6"/>
    <sheet name="0.05" sheetId="7" r:id="rId7"/>
    <sheet name="0.075" sheetId="8" r:id="rId8"/>
    <sheet name="0.1" sheetId="9" r:id="rId9"/>
    <sheet name="0.15" sheetId="10" r:id="rId10"/>
    <sheet name="0.2" sheetId="11" r:id="rId11"/>
    <sheet name="0.25" sheetId="12" r:id="rId12"/>
    <sheet name="0.3" sheetId="13" r:id="rId13"/>
    <sheet name="0.35" sheetId="14" r:id="rId14"/>
    <sheet name="0.4" sheetId="15" r:id="rId15"/>
    <sheet name="0.45" sheetId="16" r:id="rId16"/>
    <sheet name="0.5" sheetId="17" r:id="rId17"/>
    <sheet name="0.55" sheetId="18" r:id="rId18"/>
    <sheet name="0.6" sheetId="19" r:id="rId19"/>
    <sheet name="0.65" sheetId="20" r:id="rId20"/>
    <sheet name="0.7" sheetId="21" r:id="rId21"/>
    <sheet name="0.75" sheetId="22" r:id="rId22"/>
    <sheet name="0.8" sheetId="23" r:id="rId23"/>
    <sheet name="0.85" sheetId="24" r:id="rId24"/>
    <sheet name="0.9" sheetId="25" r:id="rId25"/>
    <sheet name="0.925" sheetId="26" r:id="rId26"/>
    <sheet name="0.95" sheetId="27" r:id="rId27"/>
    <sheet name="0.975" sheetId="28" r:id="rId28"/>
    <sheet name="0.99" sheetId="29" r:id="rId29"/>
    <sheet name="0.995" sheetId="30" r:id="rId30"/>
    <sheet name="0.999" sheetId="31" r:id="rId31"/>
    <sheet name="0.9999" sheetId="32" r:id="rId32"/>
  </sheets>
  <definedNames>
    <definedName name="solver_adj" localSheetId="1" hidden="1">'0.0001'!$H$1</definedName>
    <definedName name="solver_adj" localSheetId="2" hidden="1">'0.001'!$H$1</definedName>
    <definedName name="solver_adj" localSheetId="3" hidden="1">'0.005'!$H$1</definedName>
    <definedName name="solver_adj" localSheetId="4" hidden="1">'0.01'!$H$1</definedName>
    <definedName name="solver_adj" localSheetId="5" hidden="1">'0.025'!$H$1</definedName>
    <definedName name="solver_adj" localSheetId="6" hidden="1">'0.05'!$H$1</definedName>
    <definedName name="solver_adj" localSheetId="7" hidden="1">'0.075'!$H$1</definedName>
    <definedName name="solver_adj" localSheetId="8" hidden="1">'0.1'!$H$1</definedName>
    <definedName name="solver_adj" localSheetId="9" hidden="1">'0.15'!$H$1</definedName>
    <definedName name="solver_adj" localSheetId="10" hidden="1">'0.2'!$H$1</definedName>
    <definedName name="solver_adj" localSheetId="11" hidden="1">'0.25'!$H$1</definedName>
    <definedName name="solver_adj" localSheetId="12" hidden="1">'0.3'!$H$1</definedName>
    <definedName name="solver_adj" localSheetId="13" hidden="1">'0.35'!$H$1</definedName>
    <definedName name="solver_adj" localSheetId="14" hidden="1">'0.4'!$H$1</definedName>
    <definedName name="solver_adj" localSheetId="15" hidden="1">'0.45'!$H$1</definedName>
    <definedName name="solver_adj" localSheetId="16" hidden="1">'0.5'!$H$1</definedName>
    <definedName name="solver_adj" localSheetId="17" hidden="1">'0.55'!$H$1</definedName>
    <definedName name="solver_adj" localSheetId="18" hidden="1">'0.6'!$H$1</definedName>
    <definedName name="solver_adj" localSheetId="19" hidden="1">'0.65'!$H$1</definedName>
    <definedName name="solver_adj" localSheetId="20" hidden="1">'0.7'!$H$1</definedName>
    <definedName name="solver_adj" localSheetId="21" hidden="1">'0.75'!$H$1</definedName>
    <definedName name="solver_adj" localSheetId="22" hidden="1">'0.8'!$H$1</definedName>
    <definedName name="solver_adj" localSheetId="23" hidden="1">'0.85'!$H$1</definedName>
    <definedName name="solver_adj" localSheetId="24" hidden="1">'0.9'!$H$1</definedName>
    <definedName name="solver_adj" localSheetId="25" hidden="1">'0.925'!$H$1</definedName>
    <definedName name="solver_adj" localSheetId="26" hidden="1">'0.95'!$H$1</definedName>
    <definedName name="solver_adj" localSheetId="27" hidden="1">'0.975'!$H$1</definedName>
    <definedName name="solver_adj" localSheetId="28" hidden="1">'0.99'!$H$1</definedName>
    <definedName name="solver_adj" localSheetId="29" hidden="1">'0.995'!$H$1</definedName>
    <definedName name="solver_adj" localSheetId="30" hidden="1">'0.999'!$H$1</definedName>
    <definedName name="solver_adj" localSheetId="31" hidden="1">'0.9999'!$H$1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cvg" localSheetId="19" hidden="1">0.0001</definedName>
    <definedName name="solver_cvg" localSheetId="20" hidden="1">0.0001</definedName>
    <definedName name="solver_cvg" localSheetId="21" hidden="1">0.0001</definedName>
    <definedName name="solver_cvg" localSheetId="22" hidden="1">0.0001</definedName>
    <definedName name="solver_cvg" localSheetId="23" hidden="1">0.0001</definedName>
    <definedName name="solver_cvg" localSheetId="24" hidden="1">0.0001</definedName>
    <definedName name="solver_cvg" localSheetId="25" hidden="1">0.0001</definedName>
    <definedName name="solver_cvg" localSheetId="26" hidden="1">0.0001</definedName>
    <definedName name="solver_cvg" localSheetId="27" hidden="1">0.0001</definedName>
    <definedName name="solver_cvg" localSheetId="28" hidden="1">0.0001</definedName>
    <definedName name="solver_cvg" localSheetId="29" hidden="1">0.0001</definedName>
    <definedName name="solver_cvg" localSheetId="30" hidden="1">0.0001</definedName>
    <definedName name="solver_cvg" localSheetId="31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drv" localSheetId="19" hidden="1">1</definedName>
    <definedName name="solver_drv" localSheetId="20" hidden="1">1</definedName>
    <definedName name="solver_drv" localSheetId="21" hidden="1">1</definedName>
    <definedName name="solver_drv" localSheetId="22" hidden="1">1</definedName>
    <definedName name="solver_drv" localSheetId="23" hidden="1">1</definedName>
    <definedName name="solver_drv" localSheetId="24" hidden="1">1</definedName>
    <definedName name="solver_drv" localSheetId="25" hidden="1">1</definedName>
    <definedName name="solver_drv" localSheetId="26" hidden="1">1</definedName>
    <definedName name="solver_drv" localSheetId="27" hidden="1">1</definedName>
    <definedName name="solver_drv" localSheetId="28" hidden="1">1</definedName>
    <definedName name="solver_drv" localSheetId="29" hidden="1">1</definedName>
    <definedName name="solver_drv" localSheetId="30" hidden="1">1</definedName>
    <definedName name="solver_drv" localSheetId="31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ng" localSheetId="18" hidden="1">1</definedName>
    <definedName name="solver_eng" localSheetId="19" hidden="1">1</definedName>
    <definedName name="solver_eng" localSheetId="20" hidden="1">1</definedName>
    <definedName name="solver_eng" localSheetId="21" hidden="1">1</definedName>
    <definedName name="solver_eng" localSheetId="22" hidden="1">1</definedName>
    <definedName name="solver_eng" localSheetId="23" hidden="1">1</definedName>
    <definedName name="solver_eng" localSheetId="24" hidden="1">1</definedName>
    <definedName name="solver_eng" localSheetId="25" hidden="1">1</definedName>
    <definedName name="solver_eng" localSheetId="26" hidden="1">1</definedName>
    <definedName name="solver_eng" localSheetId="27" hidden="1">1</definedName>
    <definedName name="solver_eng" localSheetId="28" hidden="1">1</definedName>
    <definedName name="solver_eng" localSheetId="29" hidden="1">1</definedName>
    <definedName name="solver_eng" localSheetId="30" hidden="1">1</definedName>
    <definedName name="solver_eng" localSheetId="31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est" localSheetId="19" hidden="1">1</definedName>
    <definedName name="solver_est" localSheetId="20" hidden="1">1</definedName>
    <definedName name="solver_est" localSheetId="21" hidden="1">1</definedName>
    <definedName name="solver_est" localSheetId="22" hidden="1">1</definedName>
    <definedName name="solver_est" localSheetId="23" hidden="1">1</definedName>
    <definedName name="solver_est" localSheetId="24" hidden="1">1</definedName>
    <definedName name="solver_est" localSheetId="25" hidden="1">1</definedName>
    <definedName name="solver_est" localSheetId="26" hidden="1">1</definedName>
    <definedName name="solver_est" localSheetId="27" hidden="1">1</definedName>
    <definedName name="solver_est" localSheetId="28" hidden="1">1</definedName>
    <definedName name="solver_est" localSheetId="29" hidden="1">1</definedName>
    <definedName name="solver_est" localSheetId="30" hidden="1">1</definedName>
    <definedName name="solver_est" localSheetId="31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itr" localSheetId="19" hidden="1">2147483647</definedName>
    <definedName name="solver_itr" localSheetId="20" hidden="1">2147483647</definedName>
    <definedName name="solver_itr" localSheetId="21" hidden="1">2147483647</definedName>
    <definedName name="solver_itr" localSheetId="22" hidden="1">2147483647</definedName>
    <definedName name="solver_itr" localSheetId="23" hidden="1">2147483647</definedName>
    <definedName name="solver_itr" localSheetId="24" hidden="1">2147483647</definedName>
    <definedName name="solver_itr" localSheetId="25" hidden="1">2147483647</definedName>
    <definedName name="solver_itr" localSheetId="26" hidden="1">2147483647</definedName>
    <definedName name="solver_itr" localSheetId="27" hidden="1">2147483647</definedName>
    <definedName name="solver_itr" localSheetId="28" hidden="1">2147483647</definedName>
    <definedName name="solver_itr" localSheetId="29" hidden="1">2147483647</definedName>
    <definedName name="solver_itr" localSheetId="30" hidden="1">2147483647</definedName>
    <definedName name="solver_itr" localSheetId="31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ip" localSheetId="19" hidden="1">2147483647</definedName>
    <definedName name="solver_mip" localSheetId="20" hidden="1">2147483647</definedName>
    <definedName name="solver_mip" localSheetId="21" hidden="1">2147483647</definedName>
    <definedName name="solver_mip" localSheetId="22" hidden="1">2147483647</definedName>
    <definedName name="solver_mip" localSheetId="23" hidden="1">2147483647</definedName>
    <definedName name="solver_mip" localSheetId="24" hidden="1">2147483647</definedName>
    <definedName name="solver_mip" localSheetId="25" hidden="1">2147483647</definedName>
    <definedName name="solver_mip" localSheetId="26" hidden="1">2147483647</definedName>
    <definedName name="solver_mip" localSheetId="27" hidden="1">2147483647</definedName>
    <definedName name="solver_mip" localSheetId="28" hidden="1">2147483647</definedName>
    <definedName name="solver_mip" localSheetId="29" hidden="1">2147483647</definedName>
    <definedName name="solver_mip" localSheetId="30" hidden="1">2147483647</definedName>
    <definedName name="solver_mip" localSheetId="31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ni" localSheetId="19" hidden="1">30</definedName>
    <definedName name="solver_mni" localSheetId="20" hidden="1">30</definedName>
    <definedName name="solver_mni" localSheetId="21" hidden="1">30</definedName>
    <definedName name="solver_mni" localSheetId="22" hidden="1">30</definedName>
    <definedName name="solver_mni" localSheetId="23" hidden="1">30</definedName>
    <definedName name="solver_mni" localSheetId="24" hidden="1">30</definedName>
    <definedName name="solver_mni" localSheetId="25" hidden="1">30</definedName>
    <definedName name="solver_mni" localSheetId="26" hidden="1">30</definedName>
    <definedName name="solver_mni" localSheetId="27" hidden="1">30</definedName>
    <definedName name="solver_mni" localSheetId="28" hidden="1">30</definedName>
    <definedName name="solver_mni" localSheetId="29" hidden="1">30</definedName>
    <definedName name="solver_mni" localSheetId="30" hidden="1">30</definedName>
    <definedName name="solver_mni" localSheetId="31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rt" localSheetId="19" hidden="1">0.075</definedName>
    <definedName name="solver_mrt" localSheetId="20" hidden="1">0.075</definedName>
    <definedName name="solver_mrt" localSheetId="21" hidden="1">0.075</definedName>
    <definedName name="solver_mrt" localSheetId="22" hidden="1">0.075</definedName>
    <definedName name="solver_mrt" localSheetId="23" hidden="1">0.075</definedName>
    <definedName name="solver_mrt" localSheetId="24" hidden="1">0.075</definedName>
    <definedName name="solver_mrt" localSheetId="25" hidden="1">0.075</definedName>
    <definedName name="solver_mrt" localSheetId="26" hidden="1">0.075</definedName>
    <definedName name="solver_mrt" localSheetId="27" hidden="1">0.075</definedName>
    <definedName name="solver_mrt" localSheetId="28" hidden="1">0.075</definedName>
    <definedName name="solver_mrt" localSheetId="29" hidden="1">0.075</definedName>
    <definedName name="solver_mrt" localSheetId="30" hidden="1">0.075</definedName>
    <definedName name="solver_mrt" localSheetId="31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msl" localSheetId="19" hidden="1">2</definedName>
    <definedName name="solver_msl" localSheetId="20" hidden="1">2</definedName>
    <definedName name="solver_msl" localSheetId="21" hidden="1">2</definedName>
    <definedName name="solver_msl" localSheetId="22" hidden="1">2</definedName>
    <definedName name="solver_msl" localSheetId="23" hidden="1">2</definedName>
    <definedName name="solver_msl" localSheetId="24" hidden="1">2</definedName>
    <definedName name="solver_msl" localSheetId="25" hidden="1">2</definedName>
    <definedName name="solver_msl" localSheetId="26" hidden="1">2</definedName>
    <definedName name="solver_msl" localSheetId="27" hidden="1">2</definedName>
    <definedName name="solver_msl" localSheetId="28" hidden="1">2</definedName>
    <definedName name="solver_msl" localSheetId="29" hidden="1">2</definedName>
    <definedName name="solver_msl" localSheetId="30" hidden="1">2</definedName>
    <definedName name="solver_msl" localSheetId="31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eg" localSheetId="19" hidden="1">1</definedName>
    <definedName name="solver_neg" localSheetId="20" hidden="1">1</definedName>
    <definedName name="solver_neg" localSheetId="21" hidden="1">1</definedName>
    <definedName name="solver_neg" localSheetId="22" hidden="1">1</definedName>
    <definedName name="solver_neg" localSheetId="23" hidden="1">1</definedName>
    <definedName name="solver_neg" localSheetId="24" hidden="1">1</definedName>
    <definedName name="solver_neg" localSheetId="25" hidden="1">1</definedName>
    <definedName name="solver_neg" localSheetId="26" hidden="1">1</definedName>
    <definedName name="solver_neg" localSheetId="27" hidden="1">1</definedName>
    <definedName name="solver_neg" localSheetId="28" hidden="1">1</definedName>
    <definedName name="solver_neg" localSheetId="29" hidden="1">1</definedName>
    <definedName name="solver_neg" localSheetId="30" hidden="1">1</definedName>
    <definedName name="solver_neg" localSheetId="31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od" localSheetId="19" hidden="1">2147483647</definedName>
    <definedName name="solver_nod" localSheetId="20" hidden="1">2147483647</definedName>
    <definedName name="solver_nod" localSheetId="21" hidden="1">2147483647</definedName>
    <definedName name="solver_nod" localSheetId="22" hidden="1">2147483647</definedName>
    <definedName name="solver_nod" localSheetId="23" hidden="1">2147483647</definedName>
    <definedName name="solver_nod" localSheetId="24" hidden="1">2147483647</definedName>
    <definedName name="solver_nod" localSheetId="25" hidden="1">2147483647</definedName>
    <definedName name="solver_nod" localSheetId="26" hidden="1">2147483647</definedName>
    <definedName name="solver_nod" localSheetId="27" hidden="1">2147483647</definedName>
    <definedName name="solver_nod" localSheetId="28" hidden="1">2147483647</definedName>
    <definedName name="solver_nod" localSheetId="29" hidden="1">2147483647</definedName>
    <definedName name="solver_nod" localSheetId="30" hidden="1">2147483647</definedName>
    <definedName name="solver_nod" localSheetId="31" hidden="1">2147483647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um" localSheetId="15" hidden="1">0</definedName>
    <definedName name="solver_num" localSheetId="16" hidden="1">0</definedName>
    <definedName name="solver_num" localSheetId="17" hidden="1">0</definedName>
    <definedName name="solver_num" localSheetId="18" hidden="1">0</definedName>
    <definedName name="solver_num" localSheetId="19" hidden="1">0</definedName>
    <definedName name="solver_num" localSheetId="20" hidden="1">0</definedName>
    <definedName name="solver_num" localSheetId="21" hidden="1">0</definedName>
    <definedName name="solver_num" localSheetId="22" hidden="1">0</definedName>
    <definedName name="solver_num" localSheetId="23" hidden="1">0</definedName>
    <definedName name="solver_num" localSheetId="24" hidden="1">0</definedName>
    <definedName name="solver_num" localSheetId="25" hidden="1">0</definedName>
    <definedName name="solver_num" localSheetId="26" hidden="1">0</definedName>
    <definedName name="solver_num" localSheetId="27" hidden="1">0</definedName>
    <definedName name="solver_num" localSheetId="28" hidden="1">0</definedName>
    <definedName name="solver_num" localSheetId="29" hidden="1">0</definedName>
    <definedName name="solver_num" localSheetId="30" hidden="1">0</definedName>
    <definedName name="solver_num" localSheetId="31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nwt" localSheetId="19" hidden="1">1</definedName>
    <definedName name="solver_nwt" localSheetId="20" hidden="1">1</definedName>
    <definedName name="solver_nwt" localSheetId="21" hidden="1">1</definedName>
    <definedName name="solver_nwt" localSheetId="22" hidden="1">1</definedName>
    <definedName name="solver_nwt" localSheetId="23" hidden="1">1</definedName>
    <definedName name="solver_nwt" localSheetId="24" hidden="1">1</definedName>
    <definedName name="solver_nwt" localSheetId="25" hidden="1">1</definedName>
    <definedName name="solver_nwt" localSheetId="26" hidden="1">1</definedName>
    <definedName name="solver_nwt" localSheetId="27" hidden="1">1</definedName>
    <definedName name="solver_nwt" localSheetId="28" hidden="1">1</definedName>
    <definedName name="solver_nwt" localSheetId="29" hidden="1">1</definedName>
    <definedName name="solver_nwt" localSheetId="30" hidden="1">1</definedName>
    <definedName name="solver_nwt" localSheetId="31" hidden="1">1</definedName>
    <definedName name="solver_opt" localSheetId="1" hidden="1">'0.0001'!$H$5</definedName>
    <definedName name="solver_opt" localSheetId="2" hidden="1">'0.001'!$H$5</definedName>
    <definedName name="solver_opt" localSheetId="3" hidden="1">'0.005'!$H$5</definedName>
    <definedName name="solver_opt" localSheetId="4" hidden="1">'0.01'!$H$5</definedName>
    <definedName name="solver_opt" localSheetId="5" hidden="1">'0.025'!$H$5</definedName>
    <definedName name="solver_opt" localSheetId="6" hidden="1">'0.05'!$H$5</definedName>
    <definedName name="solver_opt" localSheetId="7" hidden="1">'0.075'!$H$5</definedName>
    <definedName name="solver_opt" localSheetId="8" hidden="1">'0.1'!$H$5</definedName>
    <definedName name="solver_opt" localSheetId="9" hidden="1">'0.15'!$H$5</definedName>
    <definedName name="solver_opt" localSheetId="10" hidden="1">'0.2'!$H$5</definedName>
    <definedName name="solver_opt" localSheetId="11" hidden="1">'0.25'!$H$5</definedName>
    <definedName name="solver_opt" localSheetId="12" hidden="1">'0.3'!$H$5</definedName>
    <definedName name="solver_opt" localSheetId="13" hidden="1">'0.35'!$H$5</definedName>
    <definedName name="solver_opt" localSheetId="14" hidden="1">'0.4'!$H$5</definedName>
    <definedName name="solver_opt" localSheetId="15" hidden="1">'0.45'!$H$5</definedName>
    <definedName name="solver_opt" localSheetId="16" hidden="1">'0.5'!$H$5</definedName>
    <definedName name="solver_opt" localSheetId="17" hidden="1">'0.55'!$H$5</definedName>
    <definedName name="solver_opt" localSheetId="18" hidden="1">'0.6'!$H$5</definedName>
    <definedName name="solver_opt" localSheetId="19" hidden="1">'0.65'!$H$5</definedName>
    <definedName name="solver_opt" localSheetId="20" hidden="1">'0.7'!$H$5</definedName>
    <definedName name="solver_opt" localSheetId="21" hidden="1">'0.75'!$H$5</definedName>
    <definedName name="solver_opt" localSheetId="22" hidden="1">'0.8'!$H$5</definedName>
    <definedName name="solver_opt" localSheetId="23" hidden="1">'0.85'!$H$5</definedName>
    <definedName name="solver_opt" localSheetId="24" hidden="1">'0.9'!$H$5</definedName>
    <definedName name="solver_opt" localSheetId="25" hidden="1">'0.925'!$H$5</definedName>
    <definedName name="solver_opt" localSheetId="26" hidden="1">'0.95'!$H$5</definedName>
    <definedName name="solver_opt" localSheetId="27" hidden="1">'0.975'!$H$5</definedName>
    <definedName name="solver_opt" localSheetId="28" hidden="1">'0.99'!$H$5</definedName>
    <definedName name="solver_opt" localSheetId="29" hidden="1">'0.995'!$H$5</definedName>
    <definedName name="solver_opt" localSheetId="30" hidden="1">'0.999'!$H$5</definedName>
    <definedName name="solver_opt" localSheetId="31" hidden="1">'0.9999'!$H$5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pre" localSheetId="19" hidden="1">0.000001</definedName>
    <definedName name="solver_pre" localSheetId="20" hidden="1">0.000001</definedName>
    <definedName name="solver_pre" localSheetId="21" hidden="1">0.000001</definedName>
    <definedName name="solver_pre" localSheetId="22" hidden="1">0.000001</definedName>
    <definedName name="solver_pre" localSheetId="23" hidden="1">0.000001</definedName>
    <definedName name="solver_pre" localSheetId="24" hidden="1">0.000001</definedName>
    <definedName name="solver_pre" localSheetId="25" hidden="1">0.000001</definedName>
    <definedName name="solver_pre" localSheetId="26" hidden="1">0.000001</definedName>
    <definedName name="solver_pre" localSheetId="27" hidden="1">0.000001</definedName>
    <definedName name="solver_pre" localSheetId="28" hidden="1">0.000001</definedName>
    <definedName name="solver_pre" localSheetId="29" hidden="1">0.000001</definedName>
    <definedName name="solver_pre" localSheetId="30" hidden="1">0.000001</definedName>
    <definedName name="solver_pre" localSheetId="31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bv" localSheetId="19" hidden="1">1</definedName>
    <definedName name="solver_rbv" localSheetId="20" hidden="1">1</definedName>
    <definedName name="solver_rbv" localSheetId="21" hidden="1">1</definedName>
    <definedName name="solver_rbv" localSheetId="22" hidden="1">1</definedName>
    <definedName name="solver_rbv" localSheetId="23" hidden="1">1</definedName>
    <definedName name="solver_rbv" localSheetId="24" hidden="1">1</definedName>
    <definedName name="solver_rbv" localSheetId="25" hidden="1">1</definedName>
    <definedName name="solver_rbv" localSheetId="26" hidden="1">1</definedName>
    <definedName name="solver_rbv" localSheetId="27" hidden="1">1</definedName>
    <definedName name="solver_rbv" localSheetId="28" hidden="1">1</definedName>
    <definedName name="solver_rbv" localSheetId="29" hidden="1">1</definedName>
    <definedName name="solver_rbv" localSheetId="30" hidden="1">1</definedName>
    <definedName name="solver_rbv" localSheetId="31" hidden="1">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lx" localSheetId="19" hidden="1">2</definedName>
    <definedName name="solver_rlx" localSheetId="20" hidden="1">2</definedName>
    <definedName name="solver_rlx" localSheetId="21" hidden="1">2</definedName>
    <definedName name="solver_rlx" localSheetId="22" hidden="1">2</definedName>
    <definedName name="solver_rlx" localSheetId="23" hidden="1">2</definedName>
    <definedName name="solver_rlx" localSheetId="24" hidden="1">2</definedName>
    <definedName name="solver_rlx" localSheetId="25" hidden="1">2</definedName>
    <definedName name="solver_rlx" localSheetId="26" hidden="1">2</definedName>
    <definedName name="solver_rlx" localSheetId="27" hidden="1">2</definedName>
    <definedName name="solver_rlx" localSheetId="28" hidden="1">2</definedName>
    <definedName name="solver_rlx" localSheetId="29" hidden="1">2</definedName>
    <definedName name="solver_rlx" localSheetId="30" hidden="1">2</definedName>
    <definedName name="solver_rlx" localSheetId="31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rsd" localSheetId="19" hidden="1">0</definedName>
    <definedName name="solver_rsd" localSheetId="20" hidden="1">0</definedName>
    <definedName name="solver_rsd" localSheetId="21" hidden="1">0</definedName>
    <definedName name="solver_rsd" localSheetId="22" hidden="1">0</definedName>
    <definedName name="solver_rsd" localSheetId="23" hidden="1">0</definedName>
    <definedName name="solver_rsd" localSheetId="24" hidden="1">0</definedName>
    <definedName name="solver_rsd" localSheetId="25" hidden="1">0</definedName>
    <definedName name="solver_rsd" localSheetId="26" hidden="1">0</definedName>
    <definedName name="solver_rsd" localSheetId="27" hidden="1">0</definedName>
    <definedName name="solver_rsd" localSheetId="28" hidden="1">0</definedName>
    <definedName name="solver_rsd" localSheetId="29" hidden="1">0</definedName>
    <definedName name="solver_rsd" localSheetId="30" hidden="1">0</definedName>
    <definedName name="solver_rsd" localSheetId="31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cl" localSheetId="19" hidden="1">1</definedName>
    <definedName name="solver_scl" localSheetId="20" hidden="1">1</definedName>
    <definedName name="solver_scl" localSheetId="21" hidden="1">1</definedName>
    <definedName name="solver_scl" localSheetId="22" hidden="1">1</definedName>
    <definedName name="solver_scl" localSheetId="23" hidden="1">1</definedName>
    <definedName name="solver_scl" localSheetId="24" hidden="1">1</definedName>
    <definedName name="solver_scl" localSheetId="25" hidden="1">1</definedName>
    <definedName name="solver_scl" localSheetId="26" hidden="1">1</definedName>
    <definedName name="solver_scl" localSheetId="27" hidden="1">1</definedName>
    <definedName name="solver_scl" localSheetId="28" hidden="1">1</definedName>
    <definedName name="solver_scl" localSheetId="29" hidden="1">1</definedName>
    <definedName name="solver_scl" localSheetId="30" hidden="1">1</definedName>
    <definedName name="solver_scl" localSheetId="31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ho" localSheetId="19" hidden="1">2</definedName>
    <definedName name="solver_sho" localSheetId="20" hidden="1">2</definedName>
    <definedName name="solver_sho" localSheetId="21" hidden="1">2</definedName>
    <definedName name="solver_sho" localSheetId="22" hidden="1">2</definedName>
    <definedName name="solver_sho" localSheetId="23" hidden="1">2</definedName>
    <definedName name="solver_sho" localSheetId="24" hidden="1">2</definedName>
    <definedName name="solver_sho" localSheetId="25" hidden="1">2</definedName>
    <definedName name="solver_sho" localSheetId="26" hidden="1">2</definedName>
    <definedName name="solver_sho" localSheetId="27" hidden="1">2</definedName>
    <definedName name="solver_sho" localSheetId="28" hidden="1">2</definedName>
    <definedName name="solver_sho" localSheetId="29" hidden="1">2</definedName>
    <definedName name="solver_sho" localSheetId="30" hidden="1">2</definedName>
    <definedName name="solver_sho" localSheetId="31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ssz" localSheetId="19" hidden="1">100</definedName>
    <definedName name="solver_ssz" localSheetId="20" hidden="1">100</definedName>
    <definedName name="solver_ssz" localSheetId="21" hidden="1">100</definedName>
    <definedName name="solver_ssz" localSheetId="22" hidden="1">100</definedName>
    <definedName name="solver_ssz" localSheetId="23" hidden="1">100</definedName>
    <definedName name="solver_ssz" localSheetId="24" hidden="1">100</definedName>
    <definedName name="solver_ssz" localSheetId="25" hidden="1">100</definedName>
    <definedName name="solver_ssz" localSheetId="26" hidden="1">100</definedName>
    <definedName name="solver_ssz" localSheetId="27" hidden="1">100</definedName>
    <definedName name="solver_ssz" localSheetId="28" hidden="1">100</definedName>
    <definedName name="solver_ssz" localSheetId="29" hidden="1">100</definedName>
    <definedName name="solver_ssz" localSheetId="30" hidden="1">100</definedName>
    <definedName name="solver_ssz" localSheetId="31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im" localSheetId="19" hidden="1">2147483647</definedName>
    <definedName name="solver_tim" localSheetId="20" hidden="1">2147483647</definedName>
    <definedName name="solver_tim" localSheetId="21" hidden="1">2147483647</definedName>
    <definedName name="solver_tim" localSheetId="22" hidden="1">2147483647</definedName>
    <definedName name="solver_tim" localSheetId="23" hidden="1">2147483647</definedName>
    <definedName name="solver_tim" localSheetId="24" hidden="1">2147483647</definedName>
    <definedName name="solver_tim" localSheetId="25" hidden="1">2147483647</definedName>
    <definedName name="solver_tim" localSheetId="26" hidden="1">2147483647</definedName>
    <definedName name="solver_tim" localSheetId="27" hidden="1">2147483647</definedName>
    <definedName name="solver_tim" localSheetId="28" hidden="1">2147483647</definedName>
    <definedName name="solver_tim" localSheetId="29" hidden="1">2147483647</definedName>
    <definedName name="solver_tim" localSheetId="30" hidden="1">2147483647</definedName>
    <definedName name="solver_tim" localSheetId="31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ol" localSheetId="19" hidden="1">0.01</definedName>
    <definedName name="solver_tol" localSheetId="20" hidden="1">0.01</definedName>
    <definedName name="solver_tol" localSheetId="21" hidden="1">0.01</definedName>
    <definedName name="solver_tol" localSheetId="22" hidden="1">0.01</definedName>
    <definedName name="solver_tol" localSheetId="23" hidden="1">0.01</definedName>
    <definedName name="solver_tol" localSheetId="24" hidden="1">0.01</definedName>
    <definedName name="solver_tol" localSheetId="25" hidden="1">0.01</definedName>
    <definedName name="solver_tol" localSheetId="26" hidden="1">0.01</definedName>
    <definedName name="solver_tol" localSheetId="27" hidden="1">0.01</definedName>
    <definedName name="solver_tol" localSheetId="28" hidden="1">0.01</definedName>
    <definedName name="solver_tol" localSheetId="29" hidden="1">0.01</definedName>
    <definedName name="solver_tol" localSheetId="30" hidden="1">0.01</definedName>
    <definedName name="solver_tol" localSheetId="31" hidden="1">0.01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2</definedName>
    <definedName name="solver_typ" localSheetId="18" hidden="1">2</definedName>
    <definedName name="solver_typ" localSheetId="19" hidden="1">2</definedName>
    <definedName name="solver_typ" localSheetId="20" hidden="1">2</definedName>
    <definedName name="solver_typ" localSheetId="21" hidden="1">2</definedName>
    <definedName name="solver_typ" localSheetId="22" hidden="1">2</definedName>
    <definedName name="solver_typ" localSheetId="23" hidden="1">2</definedName>
    <definedName name="solver_typ" localSheetId="24" hidden="1">2</definedName>
    <definedName name="solver_typ" localSheetId="25" hidden="1">2</definedName>
    <definedName name="solver_typ" localSheetId="26" hidden="1">2</definedName>
    <definedName name="solver_typ" localSheetId="27" hidden="1">2</definedName>
    <definedName name="solver_typ" localSheetId="28" hidden="1">2</definedName>
    <definedName name="solver_typ" localSheetId="29" hidden="1">2</definedName>
    <definedName name="solver_typ" localSheetId="30" hidden="1">2</definedName>
    <definedName name="solver_typ" localSheetId="31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al" localSheetId="19" hidden="1">0</definedName>
    <definedName name="solver_val" localSheetId="20" hidden="1">0</definedName>
    <definedName name="solver_val" localSheetId="21" hidden="1">0</definedName>
    <definedName name="solver_val" localSheetId="22" hidden="1">0</definedName>
    <definedName name="solver_val" localSheetId="23" hidden="1">0</definedName>
    <definedName name="solver_val" localSheetId="24" hidden="1">0</definedName>
    <definedName name="solver_val" localSheetId="25" hidden="1">0</definedName>
    <definedName name="solver_val" localSheetId="26" hidden="1">0</definedName>
    <definedName name="solver_val" localSheetId="27" hidden="1">0</definedName>
    <definedName name="solver_val" localSheetId="28" hidden="1">0</definedName>
    <definedName name="solver_val" localSheetId="29" hidden="1">0</definedName>
    <definedName name="solver_val" localSheetId="30" hidden="1">0</definedName>
    <definedName name="solver_val" localSheetId="31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  <definedName name="solver_ver" localSheetId="19" hidden="1">3</definedName>
    <definedName name="solver_ver" localSheetId="20" hidden="1">3</definedName>
    <definedName name="solver_ver" localSheetId="21" hidden="1">3</definedName>
    <definedName name="solver_ver" localSheetId="22" hidden="1">3</definedName>
    <definedName name="solver_ver" localSheetId="23" hidden="1">3</definedName>
    <definedName name="solver_ver" localSheetId="24" hidden="1">3</definedName>
    <definedName name="solver_ver" localSheetId="25" hidden="1">3</definedName>
    <definedName name="solver_ver" localSheetId="26" hidden="1">3</definedName>
    <definedName name="solver_ver" localSheetId="27" hidden="1">3</definedName>
    <definedName name="solver_ver" localSheetId="28" hidden="1">3</definedName>
    <definedName name="solver_ver" localSheetId="29" hidden="1">3</definedName>
    <definedName name="solver_ver" localSheetId="30" hidden="1">3</definedName>
    <definedName name="solver_ver" localSheetId="3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2" l="1"/>
  <c r="C5" i="32" s="1"/>
  <c r="D5" i="32" s="1"/>
  <c r="E5" i="32" s="1"/>
  <c r="H3" i="31"/>
  <c r="C1" i="31" s="1"/>
  <c r="D1" i="31" s="1"/>
  <c r="E1" i="31" s="1"/>
  <c r="H3" i="30"/>
  <c r="C1" i="30" s="1"/>
  <c r="D1" i="30" s="1"/>
  <c r="E1" i="30" s="1"/>
  <c r="H3" i="29"/>
  <c r="C5" i="29" s="1"/>
  <c r="D5" i="29" s="1"/>
  <c r="E5" i="29" s="1"/>
  <c r="H3" i="28"/>
  <c r="C5" i="28" s="1"/>
  <c r="D5" i="28" s="1"/>
  <c r="E5" i="28" s="1"/>
  <c r="H3" i="27"/>
  <c r="C5" i="27" s="1"/>
  <c r="D5" i="27" s="1"/>
  <c r="E5" i="27" s="1"/>
  <c r="H3" i="26"/>
  <c r="C5" i="26" s="1"/>
  <c r="D5" i="26" s="1"/>
  <c r="E5" i="26" s="1"/>
  <c r="H3" i="25"/>
  <c r="C5" i="25" s="1"/>
  <c r="D5" i="25" s="1"/>
  <c r="E5" i="25" s="1"/>
  <c r="H3" i="24"/>
  <c r="C5" i="24" s="1"/>
  <c r="D5" i="24" s="1"/>
  <c r="E5" i="24" s="1"/>
  <c r="H3" i="23"/>
  <c r="C5" i="23" s="1"/>
  <c r="D5" i="23" s="1"/>
  <c r="E5" i="23" s="1"/>
  <c r="H3" i="22"/>
  <c r="C5" i="22" s="1"/>
  <c r="D5" i="22" s="1"/>
  <c r="E5" i="22" s="1"/>
  <c r="H3" i="21"/>
  <c r="C5" i="21" s="1"/>
  <c r="D5" i="21" s="1"/>
  <c r="E5" i="21" s="1"/>
  <c r="H3" i="20"/>
  <c r="C5" i="20" s="1"/>
  <c r="D5" i="20" s="1"/>
  <c r="E5" i="20" s="1"/>
  <c r="H3" i="19"/>
  <c r="C5" i="19" s="1"/>
  <c r="D5" i="19" s="1"/>
  <c r="E5" i="19" s="1"/>
  <c r="H3" i="18"/>
  <c r="C5" i="18" s="1"/>
  <c r="D5" i="18" s="1"/>
  <c r="E5" i="18" s="1"/>
  <c r="H3" i="17"/>
  <c r="C5" i="17" s="1"/>
  <c r="D5" i="17" s="1"/>
  <c r="E5" i="17" s="1"/>
  <c r="H3" i="16"/>
  <c r="C5" i="16" s="1"/>
  <c r="D5" i="16" s="1"/>
  <c r="E5" i="16" s="1"/>
  <c r="H3" i="15"/>
  <c r="C1" i="15" s="1"/>
  <c r="D1" i="15" s="1"/>
  <c r="E1" i="15" s="1"/>
  <c r="H3" i="14"/>
  <c r="C1" i="14" s="1"/>
  <c r="D1" i="14" s="1"/>
  <c r="E1" i="14" s="1"/>
  <c r="H3" i="13"/>
  <c r="C5" i="13" s="1"/>
  <c r="D5" i="13" s="1"/>
  <c r="E5" i="13" s="1"/>
  <c r="H3" i="12"/>
  <c r="C5" i="12" s="1"/>
  <c r="D5" i="12" s="1"/>
  <c r="E5" i="12" s="1"/>
  <c r="H3" i="11"/>
  <c r="C5" i="11" s="1"/>
  <c r="D5" i="11" s="1"/>
  <c r="E5" i="11" s="1"/>
  <c r="H3" i="10"/>
  <c r="H3" i="9"/>
  <c r="C5" i="9" s="1"/>
  <c r="D5" i="9" s="1"/>
  <c r="E5" i="9" s="1"/>
  <c r="H3" i="8"/>
  <c r="C5" i="8" s="1"/>
  <c r="D5" i="8" s="1"/>
  <c r="E5" i="8" s="1"/>
  <c r="H3" i="7"/>
  <c r="C5" i="7" s="1"/>
  <c r="D5" i="7" s="1"/>
  <c r="E5" i="7" s="1"/>
  <c r="H3" i="6"/>
  <c r="C1" i="6" s="1"/>
  <c r="D1" i="6" s="1"/>
  <c r="E1" i="6" s="1"/>
  <c r="H3" i="5"/>
  <c r="C40" i="5" s="1"/>
  <c r="D40" i="5" s="1"/>
  <c r="E40" i="5" s="1"/>
  <c r="H3" i="4"/>
  <c r="C5" i="4" s="1"/>
  <c r="D5" i="4" s="1"/>
  <c r="E5" i="4" s="1"/>
  <c r="H3" i="3"/>
  <c r="C5" i="3" s="1"/>
  <c r="D5" i="3" s="1"/>
  <c r="E5" i="3" s="1"/>
  <c r="H3" i="2"/>
  <c r="C5" i="2" s="1"/>
  <c r="D5" i="2" s="1"/>
  <c r="E5" i="2" s="1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1" i="33"/>
  <c r="C7" i="32" l="1"/>
  <c r="D7" i="32" s="1"/>
  <c r="E7" i="32" s="1"/>
  <c r="C6" i="32"/>
  <c r="D6" i="32" s="1"/>
  <c r="E6" i="32" s="1"/>
  <c r="C9" i="32"/>
  <c r="D9" i="32" s="1"/>
  <c r="E9" i="32" s="1"/>
  <c r="C10" i="32"/>
  <c r="D10" i="32" s="1"/>
  <c r="E10" i="32" s="1"/>
  <c r="C11" i="32"/>
  <c r="D11" i="32" s="1"/>
  <c r="E11" i="32" s="1"/>
  <c r="C13" i="32"/>
  <c r="D13" i="32" s="1"/>
  <c r="E13" i="32" s="1"/>
  <c r="C18" i="32"/>
  <c r="D18" i="32" s="1"/>
  <c r="E18" i="32" s="1"/>
  <c r="C19" i="32"/>
  <c r="D19" i="32" s="1"/>
  <c r="E19" i="32" s="1"/>
  <c r="C22" i="32"/>
  <c r="D22" i="32" s="1"/>
  <c r="E22" i="32" s="1"/>
  <c r="C25" i="32"/>
  <c r="D25" i="32" s="1"/>
  <c r="E25" i="32" s="1"/>
  <c r="C21" i="32"/>
  <c r="D21" i="32" s="1"/>
  <c r="E21" i="32" s="1"/>
  <c r="C23" i="32"/>
  <c r="D23" i="32" s="1"/>
  <c r="E23" i="32" s="1"/>
  <c r="C29" i="32"/>
  <c r="D29" i="32" s="1"/>
  <c r="E29" i="32" s="1"/>
  <c r="C2" i="32"/>
  <c r="D2" i="32" s="1"/>
  <c r="E2" i="32" s="1"/>
  <c r="C14" i="32"/>
  <c r="D14" i="32" s="1"/>
  <c r="E14" i="32" s="1"/>
  <c r="C27" i="32"/>
  <c r="D27" i="32" s="1"/>
  <c r="E27" i="32" s="1"/>
  <c r="C3" i="32"/>
  <c r="D3" i="32" s="1"/>
  <c r="E3" i="32" s="1"/>
  <c r="C15" i="32"/>
  <c r="D15" i="32" s="1"/>
  <c r="E15" i="32" s="1"/>
  <c r="C33" i="32"/>
  <c r="D33" i="32" s="1"/>
  <c r="E33" i="32" s="1"/>
  <c r="C17" i="32"/>
  <c r="D17" i="32" s="1"/>
  <c r="E17" i="32" s="1"/>
  <c r="C37" i="32"/>
  <c r="D37" i="32" s="1"/>
  <c r="E37" i="32" s="1"/>
  <c r="C36" i="31"/>
  <c r="D36" i="31" s="1"/>
  <c r="E36" i="31" s="1"/>
  <c r="C33" i="31"/>
  <c r="D33" i="31" s="1"/>
  <c r="E33" i="31" s="1"/>
  <c r="C12" i="31"/>
  <c r="D12" i="31" s="1"/>
  <c r="E12" i="31" s="1"/>
  <c r="C13" i="31"/>
  <c r="D13" i="31" s="1"/>
  <c r="E13" i="31" s="1"/>
  <c r="C37" i="31"/>
  <c r="D37" i="31" s="1"/>
  <c r="E37" i="31" s="1"/>
  <c r="C16" i="31"/>
  <c r="D16" i="31" s="1"/>
  <c r="E16" i="31" s="1"/>
  <c r="C40" i="31"/>
  <c r="D40" i="31" s="1"/>
  <c r="E40" i="31" s="1"/>
  <c r="C17" i="31"/>
  <c r="D17" i="31" s="1"/>
  <c r="E17" i="31" s="1"/>
  <c r="C25" i="31"/>
  <c r="D25" i="31" s="1"/>
  <c r="E25" i="31" s="1"/>
  <c r="C5" i="31"/>
  <c r="D5" i="31" s="1"/>
  <c r="E5" i="31" s="1"/>
  <c r="C32" i="31"/>
  <c r="D32" i="31" s="1"/>
  <c r="E32" i="31" s="1"/>
  <c r="C20" i="31"/>
  <c r="D20" i="31" s="1"/>
  <c r="E20" i="31" s="1"/>
  <c r="C28" i="31"/>
  <c r="D28" i="31" s="1"/>
  <c r="E28" i="31" s="1"/>
  <c r="C29" i="31"/>
  <c r="D29" i="31" s="1"/>
  <c r="E29" i="31" s="1"/>
  <c r="C8" i="31"/>
  <c r="D8" i="31" s="1"/>
  <c r="E8" i="31" s="1"/>
  <c r="C9" i="31"/>
  <c r="D9" i="31" s="1"/>
  <c r="E9" i="31" s="1"/>
  <c r="C21" i="31"/>
  <c r="D21" i="31" s="1"/>
  <c r="E21" i="31" s="1"/>
  <c r="C3" i="31"/>
  <c r="D3" i="31" s="1"/>
  <c r="E3" i="31" s="1"/>
  <c r="C24" i="31"/>
  <c r="D24" i="31" s="1"/>
  <c r="E24" i="31" s="1"/>
  <c r="C5" i="30"/>
  <c r="D5" i="30" s="1"/>
  <c r="E5" i="30" s="1"/>
  <c r="C13" i="30"/>
  <c r="D13" i="30" s="1"/>
  <c r="E13" i="30" s="1"/>
  <c r="C17" i="30"/>
  <c r="D17" i="30" s="1"/>
  <c r="E17" i="30" s="1"/>
  <c r="C21" i="30"/>
  <c r="D21" i="30" s="1"/>
  <c r="E21" i="30" s="1"/>
  <c r="C9" i="30"/>
  <c r="D9" i="30" s="1"/>
  <c r="E9" i="30" s="1"/>
  <c r="C25" i="30"/>
  <c r="D25" i="30" s="1"/>
  <c r="E25" i="30" s="1"/>
  <c r="C29" i="30"/>
  <c r="D29" i="30" s="1"/>
  <c r="E29" i="30" s="1"/>
  <c r="C33" i="30"/>
  <c r="D33" i="30" s="1"/>
  <c r="E33" i="30" s="1"/>
  <c r="C37" i="30"/>
  <c r="D37" i="30" s="1"/>
  <c r="E37" i="30" s="1"/>
  <c r="C3" i="30"/>
  <c r="D3" i="30" s="1"/>
  <c r="E3" i="30" s="1"/>
  <c r="C13" i="29"/>
  <c r="D13" i="29" s="1"/>
  <c r="E13" i="29" s="1"/>
  <c r="C21" i="29"/>
  <c r="D21" i="29" s="1"/>
  <c r="E21" i="29" s="1"/>
  <c r="C25" i="29"/>
  <c r="D25" i="29" s="1"/>
  <c r="E25" i="29" s="1"/>
  <c r="C29" i="29"/>
  <c r="D29" i="29" s="1"/>
  <c r="E29" i="29" s="1"/>
  <c r="C33" i="29"/>
  <c r="D33" i="29" s="1"/>
  <c r="E33" i="29" s="1"/>
  <c r="C9" i="29"/>
  <c r="D9" i="29" s="1"/>
  <c r="E9" i="29" s="1"/>
  <c r="C17" i="29"/>
  <c r="D17" i="29" s="1"/>
  <c r="E17" i="29" s="1"/>
  <c r="C37" i="29"/>
  <c r="D37" i="29" s="1"/>
  <c r="E37" i="29" s="1"/>
  <c r="C39" i="28"/>
  <c r="D39" i="28" s="1"/>
  <c r="E39" i="28" s="1"/>
  <c r="C18" i="28"/>
  <c r="D18" i="28" s="1"/>
  <c r="E18" i="28" s="1"/>
  <c r="C7" i="28"/>
  <c r="D7" i="28" s="1"/>
  <c r="E7" i="28" s="1"/>
  <c r="C10" i="28"/>
  <c r="D10" i="28" s="1"/>
  <c r="E10" i="28" s="1"/>
  <c r="C2" i="28"/>
  <c r="D2" i="28" s="1"/>
  <c r="E2" i="28" s="1"/>
  <c r="C38" i="28"/>
  <c r="D38" i="28" s="1"/>
  <c r="E38" i="28" s="1"/>
  <c r="C3" i="28"/>
  <c r="D3" i="28" s="1"/>
  <c r="E3" i="28" s="1"/>
  <c r="C19" i="28"/>
  <c r="D19" i="28" s="1"/>
  <c r="E19" i="28" s="1"/>
  <c r="C9" i="28"/>
  <c r="D9" i="28" s="1"/>
  <c r="E9" i="28" s="1"/>
  <c r="C22" i="28"/>
  <c r="D22" i="28" s="1"/>
  <c r="E22" i="28" s="1"/>
  <c r="C6" i="28"/>
  <c r="D6" i="28" s="1"/>
  <c r="E6" i="28" s="1"/>
  <c r="C23" i="28"/>
  <c r="D23" i="28" s="1"/>
  <c r="E23" i="28" s="1"/>
  <c r="C25" i="28"/>
  <c r="D25" i="28" s="1"/>
  <c r="E25" i="28" s="1"/>
  <c r="C26" i="28"/>
  <c r="D26" i="28" s="1"/>
  <c r="E26" i="28" s="1"/>
  <c r="C27" i="28"/>
  <c r="D27" i="28" s="1"/>
  <c r="E27" i="28" s="1"/>
  <c r="C11" i="28"/>
  <c r="D11" i="28" s="1"/>
  <c r="E11" i="28" s="1"/>
  <c r="C30" i="28"/>
  <c r="D30" i="28" s="1"/>
  <c r="E30" i="28" s="1"/>
  <c r="C13" i="28"/>
  <c r="D13" i="28" s="1"/>
  <c r="E13" i="28" s="1"/>
  <c r="C31" i="28"/>
  <c r="D31" i="28" s="1"/>
  <c r="E31" i="28" s="1"/>
  <c r="C14" i="28"/>
  <c r="D14" i="28" s="1"/>
  <c r="E14" i="28" s="1"/>
  <c r="C33" i="28"/>
  <c r="D33" i="28" s="1"/>
  <c r="E33" i="28" s="1"/>
  <c r="C15" i="28"/>
  <c r="D15" i="28" s="1"/>
  <c r="E15" i="28" s="1"/>
  <c r="C34" i="28"/>
  <c r="D34" i="28" s="1"/>
  <c r="E34" i="28" s="1"/>
  <c r="C17" i="28"/>
  <c r="D17" i="28" s="1"/>
  <c r="E17" i="28" s="1"/>
  <c r="C35" i="28"/>
  <c r="D35" i="28" s="1"/>
  <c r="E35" i="28" s="1"/>
  <c r="C29" i="28"/>
  <c r="D29" i="28" s="1"/>
  <c r="E29" i="28" s="1"/>
  <c r="C21" i="28"/>
  <c r="D21" i="28" s="1"/>
  <c r="E21" i="28" s="1"/>
  <c r="C37" i="28"/>
  <c r="D37" i="28" s="1"/>
  <c r="E37" i="28" s="1"/>
  <c r="C17" i="27"/>
  <c r="D17" i="27" s="1"/>
  <c r="E17" i="27" s="1"/>
  <c r="C21" i="27"/>
  <c r="D21" i="27" s="1"/>
  <c r="E21" i="27" s="1"/>
  <c r="C9" i="27"/>
  <c r="D9" i="27" s="1"/>
  <c r="E9" i="27" s="1"/>
  <c r="C13" i="27"/>
  <c r="D13" i="27" s="1"/>
  <c r="E13" i="27" s="1"/>
  <c r="C29" i="27"/>
  <c r="D29" i="27" s="1"/>
  <c r="E29" i="27" s="1"/>
  <c r="C33" i="27"/>
  <c r="D33" i="27" s="1"/>
  <c r="E33" i="27" s="1"/>
  <c r="C25" i="27"/>
  <c r="D25" i="27" s="1"/>
  <c r="E25" i="27" s="1"/>
  <c r="C37" i="27"/>
  <c r="D37" i="27" s="1"/>
  <c r="E37" i="27" s="1"/>
  <c r="C12" i="26"/>
  <c r="D12" i="26" s="1"/>
  <c r="E12" i="26" s="1"/>
  <c r="C29" i="26"/>
  <c r="D29" i="26" s="1"/>
  <c r="E29" i="26" s="1"/>
  <c r="C15" i="26"/>
  <c r="D15" i="26" s="1"/>
  <c r="E15" i="26" s="1"/>
  <c r="C16" i="26"/>
  <c r="D16" i="26" s="1"/>
  <c r="E16" i="26" s="1"/>
  <c r="C32" i="26"/>
  <c r="D32" i="26" s="1"/>
  <c r="E32" i="26" s="1"/>
  <c r="C27" i="26"/>
  <c r="D27" i="26" s="1"/>
  <c r="E27" i="26" s="1"/>
  <c r="C28" i="26"/>
  <c r="D28" i="26" s="1"/>
  <c r="E28" i="26" s="1"/>
  <c r="C13" i="26"/>
  <c r="D13" i="26" s="1"/>
  <c r="E13" i="26" s="1"/>
  <c r="C31" i="26"/>
  <c r="D31" i="26" s="1"/>
  <c r="E31" i="26" s="1"/>
  <c r="C17" i="26"/>
  <c r="D17" i="26" s="1"/>
  <c r="E17" i="26" s="1"/>
  <c r="C33" i="26"/>
  <c r="D33" i="26" s="1"/>
  <c r="E33" i="26" s="1"/>
  <c r="C9" i="26"/>
  <c r="D9" i="26" s="1"/>
  <c r="E9" i="26" s="1"/>
  <c r="C11" i="26"/>
  <c r="D11" i="26" s="1"/>
  <c r="E11" i="26" s="1"/>
  <c r="C19" i="26"/>
  <c r="D19" i="26" s="1"/>
  <c r="E19" i="26" s="1"/>
  <c r="C35" i="26"/>
  <c r="D35" i="26" s="1"/>
  <c r="E35" i="26" s="1"/>
  <c r="C25" i="26"/>
  <c r="D25" i="26" s="1"/>
  <c r="E25" i="26" s="1"/>
  <c r="C20" i="26"/>
  <c r="D20" i="26" s="1"/>
  <c r="E20" i="26" s="1"/>
  <c r="C36" i="26"/>
  <c r="D36" i="26" s="1"/>
  <c r="E36" i="26" s="1"/>
  <c r="C21" i="26"/>
  <c r="D21" i="26" s="1"/>
  <c r="E21" i="26" s="1"/>
  <c r="C7" i="26"/>
  <c r="D7" i="26" s="1"/>
  <c r="E7" i="26" s="1"/>
  <c r="C23" i="26"/>
  <c r="D23" i="26" s="1"/>
  <c r="E23" i="26" s="1"/>
  <c r="C39" i="26"/>
  <c r="D39" i="26" s="1"/>
  <c r="E39" i="26" s="1"/>
  <c r="C37" i="26"/>
  <c r="D37" i="26" s="1"/>
  <c r="E37" i="26" s="1"/>
  <c r="C8" i="26"/>
  <c r="D8" i="26" s="1"/>
  <c r="E8" i="26" s="1"/>
  <c r="C24" i="26"/>
  <c r="D24" i="26" s="1"/>
  <c r="E24" i="26" s="1"/>
  <c r="C40" i="26"/>
  <c r="D40" i="26" s="1"/>
  <c r="E40" i="26" s="1"/>
  <c r="C26" i="25"/>
  <c r="D26" i="25" s="1"/>
  <c r="E26" i="25" s="1"/>
  <c r="C29" i="25"/>
  <c r="D29" i="25" s="1"/>
  <c r="E29" i="25" s="1"/>
  <c r="C6" i="25"/>
  <c r="D6" i="25" s="1"/>
  <c r="E6" i="25" s="1"/>
  <c r="C30" i="25"/>
  <c r="D30" i="25" s="1"/>
  <c r="E30" i="25" s="1"/>
  <c r="C33" i="25"/>
  <c r="D33" i="25" s="1"/>
  <c r="E33" i="25" s="1"/>
  <c r="C9" i="25"/>
  <c r="D9" i="25" s="1"/>
  <c r="E9" i="25" s="1"/>
  <c r="C10" i="25"/>
  <c r="D10" i="25" s="1"/>
  <c r="E10" i="25" s="1"/>
  <c r="C34" i="25"/>
  <c r="D34" i="25" s="1"/>
  <c r="E34" i="25" s="1"/>
  <c r="C13" i="25"/>
  <c r="D13" i="25" s="1"/>
  <c r="E13" i="25" s="1"/>
  <c r="C37" i="25"/>
  <c r="D37" i="25" s="1"/>
  <c r="E37" i="25" s="1"/>
  <c r="C22" i="25"/>
  <c r="D22" i="25" s="1"/>
  <c r="E22" i="25" s="1"/>
  <c r="C14" i="25"/>
  <c r="D14" i="25" s="1"/>
  <c r="E14" i="25" s="1"/>
  <c r="C38" i="25"/>
  <c r="D38" i="25" s="1"/>
  <c r="E38" i="25" s="1"/>
  <c r="C17" i="25"/>
  <c r="D17" i="25" s="1"/>
  <c r="E17" i="25" s="1"/>
  <c r="C18" i="25"/>
  <c r="D18" i="25" s="1"/>
  <c r="E18" i="25" s="1"/>
  <c r="C25" i="25"/>
  <c r="D25" i="25" s="1"/>
  <c r="E25" i="25" s="1"/>
  <c r="C21" i="25"/>
  <c r="D21" i="25" s="1"/>
  <c r="E21" i="25" s="1"/>
  <c r="C33" i="24"/>
  <c r="D33" i="24" s="1"/>
  <c r="E33" i="24" s="1"/>
  <c r="C37" i="24"/>
  <c r="D37" i="24" s="1"/>
  <c r="E37" i="24" s="1"/>
  <c r="C29" i="24"/>
  <c r="D29" i="24" s="1"/>
  <c r="E29" i="24" s="1"/>
  <c r="C9" i="24"/>
  <c r="D9" i="24" s="1"/>
  <c r="E9" i="24" s="1"/>
  <c r="C13" i="24"/>
  <c r="D13" i="24" s="1"/>
  <c r="E13" i="24" s="1"/>
  <c r="C17" i="24"/>
  <c r="D17" i="24" s="1"/>
  <c r="E17" i="24" s="1"/>
  <c r="C21" i="24"/>
  <c r="D21" i="24" s="1"/>
  <c r="E21" i="24" s="1"/>
  <c r="C25" i="24"/>
  <c r="D25" i="24" s="1"/>
  <c r="E25" i="24" s="1"/>
  <c r="C22" i="23"/>
  <c r="D22" i="23" s="1"/>
  <c r="E22" i="23" s="1"/>
  <c r="C25" i="23"/>
  <c r="D25" i="23" s="1"/>
  <c r="E25" i="23" s="1"/>
  <c r="C29" i="23"/>
  <c r="D29" i="23" s="1"/>
  <c r="E29" i="23" s="1"/>
  <c r="C6" i="23"/>
  <c r="D6" i="23" s="1"/>
  <c r="E6" i="23" s="1"/>
  <c r="C30" i="23"/>
  <c r="D30" i="23" s="1"/>
  <c r="E30" i="23" s="1"/>
  <c r="C9" i="23"/>
  <c r="D9" i="23" s="1"/>
  <c r="E9" i="23" s="1"/>
  <c r="C33" i="23"/>
  <c r="D33" i="23" s="1"/>
  <c r="E33" i="23" s="1"/>
  <c r="C10" i="23"/>
  <c r="D10" i="23" s="1"/>
  <c r="E10" i="23" s="1"/>
  <c r="C13" i="23"/>
  <c r="D13" i="23" s="1"/>
  <c r="E13" i="23" s="1"/>
  <c r="C14" i="23"/>
  <c r="D14" i="23" s="1"/>
  <c r="E14" i="23" s="1"/>
  <c r="C37" i="23"/>
  <c r="D37" i="23" s="1"/>
  <c r="E37" i="23" s="1"/>
  <c r="C17" i="23"/>
  <c r="D17" i="23" s="1"/>
  <c r="E17" i="23" s="1"/>
  <c r="C26" i="23"/>
  <c r="D26" i="23" s="1"/>
  <c r="E26" i="23" s="1"/>
  <c r="C34" i="23"/>
  <c r="D34" i="23" s="1"/>
  <c r="E34" i="23" s="1"/>
  <c r="C18" i="23"/>
  <c r="D18" i="23" s="1"/>
  <c r="E18" i="23" s="1"/>
  <c r="C21" i="23"/>
  <c r="D21" i="23" s="1"/>
  <c r="E21" i="23" s="1"/>
  <c r="C1" i="21"/>
  <c r="D1" i="21" s="1"/>
  <c r="E1" i="21" s="1"/>
  <c r="C17" i="21"/>
  <c r="D17" i="21" s="1"/>
  <c r="E17" i="21" s="1"/>
  <c r="C18" i="21"/>
  <c r="D18" i="21" s="1"/>
  <c r="E18" i="21" s="1"/>
  <c r="C14" i="21"/>
  <c r="D14" i="21" s="1"/>
  <c r="E14" i="21" s="1"/>
  <c r="C21" i="21"/>
  <c r="D21" i="21" s="1"/>
  <c r="E21" i="21" s="1"/>
  <c r="C38" i="21"/>
  <c r="D38" i="21" s="1"/>
  <c r="E38" i="21" s="1"/>
  <c r="C22" i="21"/>
  <c r="D22" i="21" s="1"/>
  <c r="E22" i="21" s="1"/>
  <c r="C25" i="21"/>
  <c r="D25" i="21" s="1"/>
  <c r="E25" i="21" s="1"/>
  <c r="C29" i="21"/>
  <c r="D29" i="21" s="1"/>
  <c r="E29" i="21" s="1"/>
  <c r="C30" i="21"/>
  <c r="D30" i="21" s="1"/>
  <c r="E30" i="21" s="1"/>
  <c r="C6" i="21"/>
  <c r="D6" i="21" s="1"/>
  <c r="E6" i="21" s="1"/>
  <c r="C9" i="21"/>
  <c r="D9" i="21" s="1"/>
  <c r="E9" i="21" s="1"/>
  <c r="C33" i="21"/>
  <c r="D33" i="21" s="1"/>
  <c r="E33" i="21" s="1"/>
  <c r="C26" i="21"/>
  <c r="D26" i="21" s="1"/>
  <c r="E26" i="21" s="1"/>
  <c r="C10" i="21"/>
  <c r="D10" i="21" s="1"/>
  <c r="E10" i="21" s="1"/>
  <c r="C34" i="21"/>
  <c r="D34" i="21" s="1"/>
  <c r="E34" i="21" s="1"/>
  <c r="C13" i="21"/>
  <c r="D13" i="21" s="1"/>
  <c r="E13" i="21" s="1"/>
  <c r="C37" i="21"/>
  <c r="D37" i="21" s="1"/>
  <c r="E37" i="21" s="1"/>
  <c r="C6" i="20"/>
  <c r="D6" i="20" s="1"/>
  <c r="E6" i="20" s="1"/>
  <c r="C30" i="20"/>
  <c r="D30" i="20" s="1"/>
  <c r="E30" i="20" s="1"/>
  <c r="C9" i="20"/>
  <c r="D9" i="20" s="1"/>
  <c r="E9" i="20" s="1"/>
  <c r="C33" i="20"/>
  <c r="D33" i="20" s="1"/>
  <c r="E33" i="20" s="1"/>
  <c r="C10" i="20"/>
  <c r="D10" i="20" s="1"/>
  <c r="E10" i="20" s="1"/>
  <c r="C37" i="20"/>
  <c r="D37" i="20" s="1"/>
  <c r="E37" i="20" s="1"/>
  <c r="C13" i="20"/>
  <c r="D13" i="20" s="1"/>
  <c r="E13" i="20" s="1"/>
  <c r="C14" i="20"/>
  <c r="D14" i="20" s="1"/>
  <c r="E14" i="20" s="1"/>
  <c r="C38" i="20"/>
  <c r="D38" i="20" s="1"/>
  <c r="E38" i="20" s="1"/>
  <c r="C18" i="20"/>
  <c r="D18" i="20" s="1"/>
  <c r="E18" i="20" s="1"/>
  <c r="C21" i="20"/>
  <c r="D21" i="20" s="1"/>
  <c r="E21" i="20" s="1"/>
  <c r="C22" i="20"/>
  <c r="D22" i="20" s="1"/>
  <c r="E22" i="20" s="1"/>
  <c r="C34" i="20"/>
  <c r="D34" i="20" s="1"/>
  <c r="E34" i="20" s="1"/>
  <c r="C25" i="20"/>
  <c r="D25" i="20" s="1"/>
  <c r="E25" i="20" s="1"/>
  <c r="C17" i="20"/>
  <c r="D17" i="20" s="1"/>
  <c r="E17" i="20" s="1"/>
  <c r="C3" i="20"/>
  <c r="D3" i="20" s="1"/>
  <c r="E3" i="20" s="1"/>
  <c r="C26" i="20"/>
  <c r="D26" i="20" s="1"/>
  <c r="E26" i="20" s="1"/>
  <c r="C29" i="20"/>
  <c r="D29" i="20" s="1"/>
  <c r="E29" i="20" s="1"/>
  <c r="C9" i="19"/>
  <c r="D9" i="19" s="1"/>
  <c r="E9" i="19" s="1"/>
  <c r="C13" i="19"/>
  <c r="D13" i="19" s="1"/>
  <c r="E13" i="19" s="1"/>
  <c r="C21" i="19"/>
  <c r="D21" i="19" s="1"/>
  <c r="E21" i="19" s="1"/>
  <c r="C25" i="19"/>
  <c r="D25" i="19" s="1"/>
  <c r="E25" i="19" s="1"/>
  <c r="C29" i="19"/>
  <c r="D29" i="19" s="1"/>
  <c r="E29" i="19" s="1"/>
  <c r="C33" i="19"/>
  <c r="D33" i="19" s="1"/>
  <c r="E33" i="19" s="1"/>
  <c r="C17" i="19"/>
  <c r="D17" i="19" s="1"/>
  <c r="E17" i="19" s="1"/>
  <c r="C37" i="19"/>
  <c r="D37" i="19" s="1"/>
  <c r="E37" i="19" s="1"/>
  <c r="C22" i="18"/>
  <c r="D22" i="18" s="1"/>
  <c r="E22" i="18" s="1"/>
  <c r="C7" i="18"/>
  <c r="D7" i="18" s="1"/>
  <c r="E7" i="18" s="1"/>
  <c r="C23" i="18"/>
  <c r="D23" i="18" s="1"/>
  <c r="E23" i="18" s="1"/>
  <c r="C25" i="18"/>
  <c r="D25" i="18" s="1"/>
  <c r="E25" i="18" s="1"/>
  <c r="C26" i="18"/>
  <c r="D26" i="18" s="1"/>
  <c r="E26" i="18" s="1"/>
  <c r="C27" i="18"/>
  <c r="D27" i="18" s="1"/>
  <c r="E27" i="18" s="1"/>
  <c r="C9" i="18"/>
  <c r="D9" i="18" s="1"/>
  <c r="E9" i="18" s="1"/>
  <c r="C11" i="18"/>
  <c r="D11" i="18" s="1"/>
  <c r="E11" i="18" s="1"/>
  <c r="C13" i="18"/>
  <c r="D13" i="18" s="1"/>
  <c r="E13" i="18" s="1"/>
  <c r="C29" i="18"/>
  <c r="D29" i="18" s="1"/>
  <c r="E29" i="18" s="1"/>
  <c r="C6" i="18"/>
  <c r="D6" i="18" s="1"/>
  <c r="E6" i="18" s="1"/>
  <c r="C14" i="18"/>
  <c r="D14" i="18" s="1"/>
  <c r="E14" i="18" s="1"/>
  <c r="C30" i="18"/>
  <c r="D30" i="18" s="1"/>
  <c r="E30" i="18" s="1"/>
  <c r="C10" i="18"/>
  <c r="D10" i="18" s="1"/>
  <c r="E10" i="18" s="1"/>
  <c r="C15" i="18"/>
  <c r="D15" i="18" s="1"/>
  <c r="E15" i="18" s="1"/>
  <c r="C31" i="18"/>
  <c r="D31" i="18" s="1"/>
  <c r="E31" i="18" s="1"/>
  <c r="C38" i="18"/>
  <c r="D38" i="18" s="1"/>
  <c r="E38" i="18" s="1"/>
  <c r="C17" i="18"/>
  <c r="D17" i="18" s="1"/>
  <c r="E17" i="18" s="1"/>
  <c r="C33" i="18"/>
  <c r="D33" i="18" s="1"/>
  <c r="E33" i="18" s="1"/>
  <c r="C1" i="18"/>
  <c r="D1" i="18" s="1"/>
  <c r="E1" i="18" s="1"/>
  <c r="C18" i="18"/>
  <c r="D18" i="18" s="1"/>
  <c r="E18" i="18" s="1"/>
  <c r="C34" i="18"/>
  <c r="D34" i="18" s="1"/>
  <c r="E34" i="18" s="1"/>
  <c r="C3" i="18"/>
  <c r="D3" i="18" s="1"/>
  <c r="E3" i="18" s="1"/>
  <c r="C19" i="18"/>
  <c r="D19" i="18" s="1"/>
  <c r="E19" i="18" s="1"/>
  <c r="C35" i="18"/>
  <c r="D35" i="18" s="1"/>
  <c r="E35" i="18" s="1"/>
  <c r="C21" i="18"/>
  <c r="D21" i="18" s="1"/>
  <c r="E21" i="18" s="1"/>
  <c r="C37" i="18"/>
  <c r="D37" i="18" s="1"/>
  <c r="E37" i="18" s="1"/>
  <c r="C9" i="17"/>
  <c r="D9" i="17" s="1"/>
  <c r="E9" i="17" s="1"/>
  <c r="C20" i="17"/>
  <c r="D20" i="17" s="1"/>
  <c r="E20" i="17" s="1"/>
  <c r="C21" i="17"/>
  <c r="D21" i="17" s="1"/>
  <c r="E21" i="17" s="1"/>
  <c r="C8" i="17"/>
  <c r="D8" i="17" s="1"/>
  <c r="E8" i="17" s="1"/>
  <c r="C31" i="17"/>
  <c r="D31" i="17" s="1"/>
  <c r="E31" i="17" s="1"/>
  <c r="C7" i="17"/>
  <c r="D7" i="17" s="1"/>
  <c r="E7" i="17" s="1"/>
  <c r="C19" i="17"/>
  <c r="D19" i="17" s="1"/>
  <c r="E19" i="17" s="1"/>
  <c r="C32" i="17"/>
  <c r="D32" i="17" s="1"/>
  <c r="E32" i="17" s="1"/>
  <c r="C35" i="17"/>
  <c r="D35" i="17" s="1"/>
  <c r="E35" i="17" s="1"/>
  <c r="C33" i="17"/>
  <c r="D33" i="17" s="1"/>
  <c r="E33" i="17" s="1"/>
  <c r="C34" i="17"/>
  <c r="D34" i="17" s="1"/>
  <c r="E34" i="17" s="1"/>
  <c r="C11" i="17"/>
  <c r="D11" i="17" s="1"/>
  <c r="E11" i="17" s="1"/>
  <c r="C12" i="17"/>
  <c r="D12" i="17" s="1"/>
  <c r="E12" i="17" s="1"/>
  <c r="C24" i="17"/>
  <c r="D24" i="17" s="1"/>
  <c r="E24" i="17" s="1"/>
  <c r="C36" i="17"/>
  <c r="D36" i="17" s="1"/>
  <c r="E36" i="17" s="1"/>
  <c r="C22" i="17"/>
  <c r="D22" i="17" s="1"/>
  <c r="E22" i="17" s="1"/>
  <c r="C13" i="17"/>
  <c r="D13" i="17" s="1"/>
  <c r="E13" i="17" s="1"/>
  <c r="C25" i="17"/>
  <c r="D25" i="17" s="1"/>
  <c r="E25" i="17" s="1"/>
  <c r="C37" i="17"/>
  <c r="D37" i="17" s="1"/>
  <c r="E37" i="17" s="1"/>
  <c r="C10" i="17"/>
  <c r="D10" i="17" s="1"/>
  <c r="E10" i="17" s="1"/>
  <c r="C23" i="17"/>
  <c r="D23" i="17" s="1"/>
  <c r="E23" i="17" s="1"/>
  <c r="C14" i="17"/>
  <c r="D14" i="17" s="1"/>
  <c r="E14" i="17" s="1"/>
  <c r="C26" i="17"/>
  <c r="D26" i="17" s="1"/>
  <c r="E26" i="17" s="1"/>
  <c r="C38" i="17"/>
  <c r="D38" i="17" s="1"/>
  <c r="E38" i="17" s="1"/>
  <c r="C39" i="17"/>
  <c r="D39" i="17" s="1"/>
  <c r="E39" i="17" s="1"/>
  <c r="C28" i="17"/>
  <c r="D28" i="17" s="1"/>
  <c r="E28" i="17" s="1"/>
  <c r="C17" i="17"/>
  <c r="D17" i="17" s="1"/>
  <c r="E17" i="17" s="1"/>
  <c r="C29" i="17"/>
  <c r="D29" i="17" s="1"/>
  <c r="E29" i="17" s="1"/>
  <c r="C15" i="17"/>
  <c r="D15" i="17" s="1"/>
  <c r="E15" i="17" s="1"/>
  <c r="C27" i="17"/>
  <c r="D27" i="17" s="1"/>
  <c r="E27" i="17" s="1"/>
  <c r="C1" i="17"/>
  <c r="D1" i="17" s="1"/>
  <c r="E1" i="17" s="1"/>
  <c r="C16" i="17"/>
  <c r="D16" i="17" s="1"/>
  <c r="E16" i="17" s="1"/>
  <c r="C6" i="17"/>
  <c r="D6" i="17" s="1"/>
  <c r="E6" i="17" s="1"/>
  <c r="C18" i="17"/>
  <c r="D18" i="17" s="1"/>
  <c r="E18" i="17" s="1"/>
  <c r="C30" i="17"/>
  <c r="D30" i="17" s="1"/>
  <c r="E30" i="17" s="1"/>
  <c r="C13" i="16"/>
  <c r="D13" i="16" s="1"/>
  <c r="E13" i="16" s="1"/>
  <c r="C29" i="16"/>
  <c r="D29" i="16" s="1"/>
  <c r="E29" i="16" s="1"/>
  <c r="C14" i="16"/>
  <c r="D14" i="16" s="1"/>
  <c r="E14" i="16" s="1"/>
  <c r="C30" i="16"/>
  <c r="D30" i="16" s="1"/>
  <c r="E30" i="16" s="1"/>
  <c r="C15" i="16"/>
  <c r="D15" i="16" s="1"/>
  <c r="E15" i="16" s="1"/>
  <c r="C31" i="16"/>
  <c r="D31" i="16" s="1"/>
  <c r="E31" i="16" s="1"/>
  <c r="C1" i="16"/>
  <c r="D1" i="16" s="1"/>
  <c r="E1" i="16" s="1"/>
  <c r="C17" i="16"/>
  <c r="D17" i="16" s="1"/>
  <c r="E17" i="16" s="1"/>
  <c r="C33" i="16"/>
  <c r="D33" i="16" s="1"/>
  <c r="E33" i="16" s="1"/>
  <c r="C2" i="16"/>
  <c r="D2" i="16" s="1"/>
  <c r="E2" i="16" s="1"/>
  <c r="C18" i="16"/>
  <c r="D18" i="16" s="1"/>
  <c r="E18" i="16" s="1"/>
  <c r="C34" i="16"/>
  <c r="D34" i="16" s="1"/>
  <c r="E34" i="16" s="1"/>
  <c r="C19" i="16"/>
  <c r="D19" i="16" s="1"/>
  <c r="E19" i="16" s="1"/>
  <c r="C35" i="16"/>
  <c r="D35" i="16" s="1"/>
  <c r="E35" i="16" s="1"/>
  <c r="C21" i="16"/>
  <c r="D21" i="16" s="1"/>
  <c r="E21" i="16" s="1"/>
  <c r="C37" i="16"/>
  <c r="D37" i="16" s="1"/>
  <c r="E37" i="16" s="1"/>
  <c r="C6" i="16"/>
  <c r="D6" i="16" s="1"/>
  <c r="E6" i="16" s="1"/>
  <c r="C22" i="16"/>
  <c r="D22" i="16" s="1"/>
  <c r="E22" i="16" s="1"/>
  <c r="C38" i="16"/>
  <c r="D38" i="16" s="1"/>
  <c r="E38" i="16" s="1"/>
  <c r="C7" i="16"/>
  <c r="D7" i="16" s="1"/>
  <c r="E7" i="16" s="1"/>
  <c r="C23" i="16"/>
  <c r="D23" i="16" s="1"/>
  <c r="E23" i="16" s="1"/>
  <c r="C39" i="16"/>
  <c r="D39" i="16" s="1"/>
  <c r="E39" i="16" s="1"/>
  <c r="C9" i="16"/>
  <c r="D9" i="16" s="1"/>
  <c r="E9" i="16" s="1"/>
  <c r="C25" i="16"/>
  <c r="D25" i="16" s="1"/>
  <c r="E25" i="16" s="1"/>
  <c r="C10" i="16"/>
  <c r="D10" i="16" s="1"/>
  <c r="E10" i="16" s="1"/>
  <c r="C26" i="16"/>
  <c r="D26" i="16" s="1"/>
  <c r="E26" i="16" s="1"/>
  <c r="C11" i="16"/>
  <c r="D11" i="16" s="1"/>
  <c r="E11" i="16" s="1"/>
  <c r="C27" i="16"/>
  <c r="D27" i="16" s="1"/>
  <c r="E27" i="16" s="1"/>
  <c r="C37" i="15"/>
  <c r="D37" i="15" s="1"/>
  <c r="E37" i="15" s="1"/>
  <c r="C39" i="15"/>
  <c r="D39" i="15" s="1"/>
  <c r="E39" i="15" s="1"/>
  <c r="C40" i="15"/>
  <c r="D40" i="15" s="1"/>
  <c r="E40" i="15" s="1"/>
  <c r="C5" i="15"/>
  <c r="D5" i="15" s="1"/>
  <c r="E5" i="15" s="1"/>
  <c r="C8" i="15"/>
  <c r="D8" i="15" s="1"/>
  <c r="E8" i="15" s="1"/>
  <c r="C7" i="15"/>
  <c r="D7" i="15" s="1"/>
  <c r="E7" i="15" s="1"/>
  <c r="C21" i="15"/>
  <c r="D21" i="15" s="1"/>
  <c r="E21" i="15" s="1"/>
  <c r="C23" i="15"/>
  <c r="D23" i="15" s="1"/>
  <c r="E23" i="15" s="1"/>
  <c r="C11" i="15"/>
  <c r="D11" i="15" s="1"/>
  <c r="E11" i="15" s="1"/>
  <c r="C12" i="15"/>
  <c r="D12" i="15" s="1"/>
  <c r="E12" i="15" s="1"/>
  <c r="C20" i="15"/>
  <c r="D20" i="15" s="1"/>
  <c r="E20" i="15" s="1"/>
  <c r="C24" i="15"/>
  <c r="D24" i="15" s="1"/>
  <c r="E24" i="15" s="1"/>
  <c r="C27" i="15"/>
  <c r="D27" i="15" s="1"/>
  <c r="E27" i="15" s="1"/>
  <c r="C28" i="15"/>
  <c r="D28" i="15" s="1"/>
  <c r="E28" i="15" s="1"/>
  <c r="C36" i="15"/>
  <c r="D36" i="15" s="1"/>
  <c r="E36" i="15" s="1"/>
  <c r="C9" i="15"/>
  <c r="D9" i="15" s="1"/>
  <c r="E9" i="15" s="1"/>
  <c r="C25" i="15"/>
  <c r="D25" i="15" s="1"/>
  <c r="E25" i="15" s="1"/>
  <c r="C29" i="15"/>
  <c r="D29" i="15" s="1"/>
  <c r="E29" i="15" s="1"/>
  <c r="C15" i="15"/>
  <c r="D15" i="15" s="1"/>
  <c r="E15" i="15" s="1"/>
  <c r="C31" i="15"/>
  <c r="D31" i="15" s="1"/>
  <c r="E31" i="15" s="1"/>
  <c r="C13" i="15"/>
  <c r="D13" i="15" s="1"/>
  <c r="E13" i="15" s="1"/>
  <c r="C16" i="15"/>
  <c r="D16" i="15" s="1"/>
  <c r="E16" i="15" s="1"/>
  <c r="C32" i="15"/>
  <c r="D32" i="15" s="1"/>
  <c r="E32" i="15" s="1"/>
  <c r="C3" i="15"/>
  <c r="D3" i="15" s="1"/>
  <c r="E3" i="15" s="1"/>
  <c r="C17" i="15"/>
  <c r="D17" i="15" s="1"/>
  <c r="E17" i="15" s="1"/>
  <c r="C33" i="15"/>
  <c r="D33" i="15" s="1"/>
  <c r="E33" i="15" s="1"/>
  <c r="C19" i="15"/>
  <c r="D19" i="15" s="1"/>
  <c r="E19" i="15" s="1"/>
  <c r="C35" i="15"/>
  <c r="D35" i="15" s="1"/>
  <c r="E35" i="15" s="1"/>
  <c r="C9" i="14"/>
  <c r="D9" i="14" s="1"/>
  <c r="E9" i="14" s="1"/>
  <c r="C17" i="14"/>
  <c r="D17" i="14" s="1"/>
  <c r="E17" i="14" s="1"/>
  <c r="C13" i="14"/>
  <c r="D13" i="14" s="1"/>
  <c r="E13" i="14" s="1"/>
  <c r="C21" i="14"/>
  <c r="D21" i="14" s="1"/>
  <c r="E21" i="14" s="1"/>
  <c r="C25" i="14"/>
  <c r="D25" i="14" s="1"/>
  <c r="E25" i="14" s="1"/>
  <c r="C29" i="14"/>
  <c r="D29" i="14" s="1"/>
  <c r="E29" i="14" s="1"/>
  <c r="C33" i="14"/>
  <c r="D33" i="14" s="1"/>
  <c r="E33" i="14" s="1"/>
  <c r="C37" i="14"/>
  <c r="D37" i="14" s="1"/>
  <c r="E37" i="14" s="1"/>
  <c r="C3" i="14"/>
  <c r="D3" i="14" s="1"/>
  <c r="E3" i="14" s="1"/>
  <c r="C5" i="14"/>
  <c r="D5" i="14" s="1"/>
  <c r="E5" i="14" s="1"/>
  <c r="C9" i="13"/>
  <c r="D9" i="13" s="1"/>
  <c r="E9" i="13" s="1"/>
  <c r="C13" i="13"/>
  <c r="D13" i="13" s="1"/>
  <c r="E13" i="13" s="1"/>
  <c r="C17" i="13"/>
  <c r="D17" i="13" s="1"/>
  <c r="E17" i="13" s="1"/>
  <c r="C21" i="13"/>
  <c r="D21" i="13" s="1"/>
  <c r="E21" i="13" s="1"/>
  <c r="C25" i="13"/>
  <c r="D25" i="13" s="1"/>
  <c r="E25" i="13" s="1"/>
  <c r="C29" i="13"/>
  <c r="D29" i="13" s="1"/>
  <c r="E29" i="13" s="1"/>
  <c r="C33" i="13"/>
  <c r="D33" i="13" s="1"/>
  <c r="E33" i="13" s="1"/>
  <c r="C37" i="13"/>
  <c r="D37" i="13" s="1"/>
  <c r="E37" i="13" s="1"/>
  <c r="C18" i="12"/>
  <c r="D18" i="12" s="1"/>
  <c r="E18" i="12" s="1"/>
  <c r="C6" i="12"/>
  <c r="D6" i="12" s="1"/>
  <c r="E6" i="12" s="1"/>
  <c r="C30" i="12"/>
  <c r="D30" i="12" s="1"/>
  <c r="E30" i="12" s="1"/>
  <c r="C17" i="12"/>
  <c r="D17" i="12" s="1"/>
  <c r="E17" i="12" s="1"/>
  <c r="C29" i="12"/>
  <c r="D29" i="12" s="1"/>
  <c r="E29" i="12" s="1"/>
  <c r="C19" i="12"/>
  <c r="D19" i="12" s="1"/>
  <c r="E19" i="12" s="1"/>
  <c r="C7" i="12"/>
  <c r="D7" i="12" s="1"/>
  <c r="E7" i="12" s="1"/>
  <c r="C31" i="12"/>
  <c r="D31" i="12" s="1"/>
  <c r="E31" i="12" s="1"/>
  <c r="C8" i="12"/>
  <c r="D8" i="12" s="1"/>
  <c r="E8" i="12" s="1"/>
  <c r="C20" i="12"/>
  <c r="D20" i="12" s="1"/>
  <c r="E20" i="12" s="1"/>
  <c r="C32" i="12"/>
  <c r="D32" i="12" s="1"/>
  <c r="E32" i="12" s="1"/>
  <c r="C9" i="12"/>
  <c r="D9" i="12" s="1"/>
  <c r="E9" i="12" s="1"/>
  <c r="C10" i="12"/>
  <c r="D10" i="12" s="1"/>
  <c r="E10" i="12" s="1"/>
  <c r="C22" i="12"/>
  <c r="D22" i="12" s="1"/>
  <c r="E22" i="12" s="1"/>
  <c r="C34" i="12"/>
  <c r="D34" i="12" s="1"/>
  <c r="E34" i="12" s="1"/>
  <c r="C33" i="12"/>
  <c r="D33" i="12" s="1"/>
  <c r="E33" i="12" s="1"/>
  <c r="C11" i="12"/>
  <c r="D11" i="12" s="1"/>
  <c r="E11" i="12" s="1"/>
  <c r="C23" i="12"/>
  <c r="D23" i="12" s="1"/>
  <c r="E23" i="12" s="1"/>
  <c r="C35" i="12"/>
  <c r="D35" i="12" s="1"/>
  <c r="E35" i="12" s="1"/>
  <c r="C36" i="12"/>
  <c r="D36" i="12" s="1"/>
  <c r="E36" i="12" s="1"/>
  <c r="C37" i="12"/>
  <c r="D37" i="12" s="1"/>
  <c r="E37" i="12" s="1"/>
  <c r="C21" i="12"/>
  <c r="D21" i="12" s="1"/>
  <c r="E21" i="12" s="1"/>
  <c r="C12" i="12"/>
  <c r="D12" i="12" s="1"/>
  <c r="E12" i="12" s="1"/>
  <c r="C24" i="12"/>
  <c r="D24" i="12" s="1"/>
  <c r="E24" i="12" s="1"/>
  <c r="C13" i="12"/>
  <c r="D13" i="12" s="1"/>
  <c r="E13" i="12" s="1"/>
  <c r="C25" i="12"/>
  <c r="D25" i="12" s="1"/>
  <c r="E25" i="12" s="1"/>
  <c r="C14" i="12"/>
  <c r="D14" i="12" s="1"/>
  <c r="E14" i="12" s="1"/>
  <c r="C26" i="12"/>
  <c r="D26" i="12" s="1"/>
  <c r="E26" i="12" s="1"/>
  <c r="C38" i="12"/>
  <c r="D38" i="12" s="1"/>
  <c r="E38" i="12" s="1"/>
  <c r="C15" i="12"/>
  <c r="D15" i="12" s="1"/>
  <c r="E15" i="12" s="1"/>
  <c r="C27" i="12"/>
  <c r="D27" i="12" s="1"/>
  <c r="E27" i="12" s="1"/>
  <c r="C39" i="12"/>
  <c r="D39" i="12" s="1"/>
  <c r="E39" i="12" s="1"/>
  <c r="C1" i="12"/>
  <c r="D1" i="12" s="1"/>
  <c r="E1" i="12" s="1"/>
  <c r="C16" i="12"/>
  <c r="D16" i="12" s="1"/>
  <c r="E16" i="12" s="1"/>
  <c r="C28" i="12"/>
  <c r="D28" i="12" s="1"/>
  <c r="E28" i="12" s="1"/>
  <c r="C40" i="12"/>
  <c r="D40" i="12" s="1"/>
  <c r="E40" i="12" s="1"/>
  <c r="C10" i="11"/>
  <c r="D10" i="11" s="1"/>
  <c r="E10" i="11" s="1"/>
  <c r="C21" i="11"/>
  <c r="D21" i="11" s="1"/>
  <c r="E21" i="11" s="1"/>
  <c r="C38" i="11"/>
  <c r="D38" i="11" s="1"/>
  <c r="E38" i="11" s="1"/>
  <c r="C14" i="11"/>
  <c r="D14" i="11" s="1"/>
  <c r="E14" i="11" s="1"/>
  <c r="C18" i="11"/>
  <c r="D18" i="11" s="1"/>
  <c r="E18" i="11" s="1"/>
  <c r="C22" i="11"/>
  <c r="D22" i="11" s="1"/>
  <c r="E22" i="11" s="1"/>
  <c r="C1" i="11"/>
  <c r="D1" i="11" s="1"/>
  <c r="E1" i="11" s="1"/>
  <c r="C25" i="11"/>
  <c r="D25" i="11" s="1"/>
  <c r="E25" i="11" s="1"/>
  <c r="C2" i="11"/>
  <c r="D2" i="11" s="1"/>
  <c r="E2" i="11" s="1"/>
  <c r="C26" i="11"/>
  <c r="D26" i="11" s="1"/>
  <c r="E26" i="11" s="1"/>
  <c r="C29" i="11"/>
  <c r="D29" i="11" s="1"/>
  <c r="E29" i="11" s="1"/>
  <c r="C6" i="11"/>
  <c r="D6" i="11" s="1"/>
  <c r="E6" i="11" s="1"/>
  <c r="C30" i="11"/>
  <c r="D30" i="11" s="1"/>
  <c r="E30" i="11" s="1"/>
  <c r="C9" i="11"/>
  <c r="D9" i="11" s="1"/>
  <c r="E9" i="11" s="1"/>
  <c r="C33" i="11"/>
  <c r="D33" i="11" s="1"/>
  <c r="E33" i="11" s="1"/>
  <c r="C34" i="11"/>
  <c r="D34" i="11" s="1"/>
  <c r="E34" i="11" s="1"/>
  <c r="C13" i="11"/>
  <c r="D13" i="11" s="1"/>
  <c r="E13" i="11" s="1"/>
  <c r="C37" i="11"/>
  <c r="D37" i="11" s="1"/>
  <c r="E37" i="11" s="1"/>
  <c r="C17" i="11"/>
  <c r="D17" i="11" s="1"/>
  <c r="E17" i="11" s="1"/>
  <c r="C2" i="10"/>
  <c r="C14" i="10"/>
  <c r="D14" i="10" s="1"/>
  <c r="E14" i="10" s="1"/>
  <c r="C26" i="10"/>
  <c r="D26" i="10" s="1"/>
  <c r="E26" i="10" s="1"/>
  <c r="C38" i="10"/>
  <c r="C3" i="10"/>
  <c r="D3" i="10" s="1"/>
  <c r="E3" i="10" s="1"/>
  <c r="C15" i="10"/>
  <c r="D15" i="10" s="1"/>
  <c r="E15" i="10" s="1"/>
  <c r="C27" i="10"/>
  <c r="D27" i="10" s="1"/>
  <c r="E27" i="10" s="1"/>
  <c r="C39" i="10"/>
  <c r="D39" i="10" s="1"/>
  <c r="E39" i="10" s="1"/>
  <c r="C4" i="10"/>
  <c r="D4" i="10" s="1"/>
  <c r="E4" i="10" s="1"/>
  <c r="C16" i="10"/>
  <c r="D16" i="10" s="1"/>
  <c r="E16" i="10" s="1"/>
  <c r="C28" i="10"/>
  <c r="D28" i="10" s="1"/>
  <c r="E28" i="10" s="1"/>
  <c r="C40" i="10"/>
  <c r="D40" i="10" s="1"/>
  <c r="E40" i="10" s="1"/>
  <c r="C5" i="10"/>
  <c r="D5" i="10" s="1"/>
  <c r="E5" i="10" s="1"/>
  <c r="C17" i="10"/>
  <c r="D17" i="10" s="1"/>
  <c r="E17" i="10" s="1"/>
  <c r="C29" i="10"/>
  <c r="D29" i="10" s="1"/>
  <c r="E29" i="10" s="1"/>
  <c r="C18" i="10"/>
  <c r="D18" i="10" s="1"/>
  <c r="E18" i="10" s="1"/>
  <c r="C30" i="10"/>
  <c r="D30" i="10" s="1"/>
  <c r="E30" i="10" s="1"/>
  <c r="C11" i="10"/>
  <c r="D11" i="10" s="1"/>
  <c r="E11" i="10" s="1"/>
  <c r="C35" i="10"/>
  <c r="D35" i="10" s="1"/>
  <c r="E35" i="10" s="1"/>
  <c r="C24" i="10"/>
  <c r="D24" i="10" s="1"/>
  <c r="E24" i="10" s="1"/>
  <c r="C13" i="10"/>
  <c r="D13" i="10" s="1"/>
  <c r="E13" i="10" s="1"/>
  <c r="C37" i="10"/>
  <c r="D37" i="10" s="1"/>
  <c r="E37" i="10" s="1"/>
  <c r="C6" i="10"/>
  <c r="D6" i="10" s="1"/>
  <c r="E6" i="10" s="1"/>
  <c r="C7" i="10"/>
  <c r="D7" i="10" s="1"/>
  <c r="E7" i="10" s="1"/>
  <c r="C19" i="10"/>
  <c r="C31" i="10"/>
  <c r="D31" i="10" s="1"/>
  <c r="E31" i="10" s="1"/>
  <c r="C8" i="10"/>
  <c r="C20" i="10"/>
  <c r="D20" i="10" s="1"/>
  <c r="E20" i="10" s="1"/>
  <c r="C32" i="10"/>
  <c r="D32" i="10" s="1"/>
  <c r="E32" i="10" s="1"/>
  <c r="C9" i="10"/>
  <c r="D9" i="10" s="1"/>
  <c r="E9" i="10" s="1"/>
  <c r="C21" i="10"/>
  <c r="D21" i="10" s="1"/>
  <c r="E21" i="10" s="1"/>
  <c r="C33" i="10"/>
  <c r="D33" i="10" s="1"/>
  <c r="E33" i="10" s="1"/>
  <c r="C10" i="10"/>
  <c r="D10" i="10" s="1"/>
  <c r="E10" i="10" s="1"/>
  <c r="C22" i="10"/>
  <c r="D22" i="10" s="1"/>
  <c r="E22" i="10" s="1"/>
  <c r="C34" i="10"/>
  <c r="D34" i="10" s="1"/>
  <c r="E34" i="10" s="1"/>
  <c r="C23" i="10"/>
  <c r="D23" i="10" s="1"/>
  <c r="E23" i="10" s="1"/>
  <c r="C12" i="10"/>
  <c r="C36" i="10"/>
  <c r="D36" i="10" s="1"/>
  <c r="E36" i="10" s="1"/>
  <c r="C25" i="10"/>
  <c r="D38" i="10"/>
  <c r="E38" i="10" s="1"/>
  <c r="D2" i="10"/>
  <c r="E2" i="10" s="1"/>
  <c r="D25" i="10"/>
  <c r="E25" i="10" s="1"/>
  <c r="C37" i="9"/>
  <c r="D37" i="9" s="1"/>
  <c r="E37" i="9" s="1"/>
  <c r="C38" i="9"/>
  <c r="D38" i="9" s="1"/>
  <c r="E38" i="9" s="1"/>
  <c r="C36" i="9"/>
  <c r="D36" i="9" s="1"/>
  <c r="E36" i="9" s="1"/>
  <c r="C21" i="9"/>
  <c r="D21" i="9" s="1"/>
  <c r="E21" i="9" s="1"/>
  <c r="C22" i="9"/>
  <c r="D22" i="9" s="1"/>
  <c r="E22" i="9" s="1"/>
  <c r="C8" i="9"/>
  <c r="D8" i="9" s="1"/>
  <c r="E8" i="9" s="1"/>
  <c r="C24" i="9"/>
  <c r="D24" i="9" s="1"/>
  <c r="E24" i="9" s="1"/>
  <c r="C6" i="9"/>
  <c r="D6" i="9" s="1"/>
  <c r="E6" i="9" s="1"/>
  <c r="C9" i="9"/>
  <c r="D9" i="9" s="1"/>
  <c r="E9" i="9" s="1"/>
  <c r="C25" i="9"/>
  <c r="D25" i="9" s="1"/>
  <c r="E25" i="9" s="1"/>
  <c r="C26" i="9"/>
  <c r="D26" i="9" s="1"/>
  <c r="E26" i="9" s="1"/>
  <c r="C12" i="9"/>
  <c r="D12" i="9" s="1"/>
  <c r="E12" i="9" s="1"/>
  <c r="C28" i="9"/>
  <c r="D28" i="9" s="1"/>
  <c r="E28" i="9" s="1"/>
  <c r="C29" i="9"/>
  <c r="D29" i="9" s="1"/>
  <c r="E29" i="9" s="1"/>
  <c r="C13" i="9"/>
  <c r="D13" i="9" s="1"/>
  <c r="E13" i="9" s="1"/>
  <c r="C14" i="9"/>
  <c r="D14" i="9" s="1"/>
  <c r="E14" i="9" s="1"/>
  <c r="C30" i="9"/>
  <c r="D30" i="9" s="1"/>
  <c r="E30" i="9" s="1"/>
  <c r="C20" i="9"/>
  <c r="D20" i="9" s="1"/>
  <c r="E20" i="9" s="1"/>
  <c r="C10" i="9"/>
  <c r="D10" i="9" s="1"/>
  <c r="E10" i="9" s="1"/>
  <c r="C16" i="9"/>
  <c r="D16" i="9" s="1"/>
  <c r="E16" i="9" s="1"/>
  <c r="C32" i="9"/>
  <c r="D32" i="9" s="1"/>
  <c r="E32" i="9" s="1"/>
  <c r="C33" i="9"/>
  <c r="D33" i="9" s="1"/>
  <c r="E33" i="9" s="1"/>
  <c r="C1" i="9"/>
  <c r="D1" i="9" s="1"/>
  <c r="E1" i="9" s="1"/>
  <c r="C17" i="9"/>
  <c r="D17" i="9" s="1"/>
  <c r="E17" i="9" s="1"/>
  <c r="C18" i="9"/>
  <c r="D18" i="9" s="1"/>
  <c r="E18" i="9" s="1"/>
  <c r="C34" i="9"/>
  <c r="D34" i="9" s="1"/>
  <c r="E34" i="9" s="1"/>
  <c r="C33" i="8"/>
  <c r="D33" i="8" s="1"/>
  <c r="E33" i="8" s="1"/>
  <c r="C9" i="8"/>
  <c r="D9" i="8" s="1"/>
  <c r="E9" i="8" s="1"/>
  <c r="C17" i="8"/>
  <c r="D17" i="8" s="1"/>
  <c r="E17" i="8" s="1"/>
  <c r="C13" i="8"/>
  <c r="D13" i="8" s="1"/>
  <c r="E13" i="8" s="1"/>
  <c r="C21" i="8"/>
  <c r="D21" i="8" s="1"/>
  <c r="E21" i="8" s="1"/>
  <c r="C25" i="8"/>
  <c r="D25" i="8" s="1"/>
  <c r="E25" i="8" s="1"/>
  <c r="C29" i="8"/>
  <c r="D29" i="8" s="1"/>
  <c r="E29" i="8" s="1"/>
  <c r="C37" i="8"/>
  <c r="D37" i="8" s="1"/>
  <c r="E37" i="8" s="1"/>
  <c r="C30" i="7"/>
  <c r="D30" i="7" s="1"/>
  <c r="E30" i="7" s="1"/>
  <c r="C6" i="7"/>
  <c r="D6" i="7" s="1"/>
  <c r="E6" i="7" s="1"/>
  <c r="C13" i="7"/>
  <c r="D13" i="7" s="1"/>
  <c r="E13" i="7" s="1"/>
  <c r="C37" i="7"/>
  <c r="D37" i="7" s="1"/>
  <c r="E37" i="7" s="1"/>
  <c r="C34" i="7"/>
  <c r="D34" i="7" s="1"/>
  <c r="E34" i="7" s="1"/>
  <c r="C14" i="7"/>
  <c r="D14" i="7" s="1"/>
  <c r="E14" i="7" s="1"/>
  <c r="C38" i="7"/>
  <c r="D38" i="7" s="1"/>
  <c r="E38" i="7" s="1"/>
  <c r="C18" i="7"/>
  <c r="D18" i="7" s="1"/>
  <c r="E18" i="7" s="1"/>
  <c r="C21" i="7"/>
  <c r="D21" i="7" s="1"/>
  <c r="E21" i="7" s="1"/>
  <c r="C22" i="7"/>
  <c r="D22" i="7" s="1"/>
  <c r="E22" i="7" s="1"/>
  <c r="C17" i="7"/>
  <c r="D17" i="7" s="1"/>
  <c r="E17" i="7" s="1"/>
  <c r="C25" i="7"/>
  <c r="D25" i="7" s="1"/>
  <c r="E25" i="7" s="1"/>
  <c r="C10" i="7"/>
  <c r="D10" i="7" s="1"/>
  <c r="E10" i="7" s="1"/>
  <c r="C1" i="7"/>
  <c r="D1" i="7" s="1"/>
  <c r="E1" i="7" s="1"/>
  <c r="C26" i="7"/>
  <c r="D26" i="7" s="1"/>
  <c r="E26" i="7" s="1"/>
  <c r="C29" i="7"/>
  <c r="D29" i="7" s="1"/>
  <c r="E29" i="7" s="1"/>
  <c r="C9" i="7"/>
  <c r="D9" i="7" s="1"/>
  <c r="E9" i="7" s="1"/>
  <c r="C33" i="7"/>
  <c r="D33" i="7" s="1"/>
  <c r="E33" i="7" s="1"/>
  <c r="C3" i="6"/>
  <c r="D3" i="6" s="1"/>
  <c r="E3" i="6" s="1"/>
  <c r="C24" i="6"/>
  <c r="D24" i="6" s="1"/>
  <c r="E24" i="6" s="1"/>
  <c r="C25" i="6"/>
  <c r="D25" i="6" s="1"/>
  <c r="E25" i="6" s="1"/>
  <c r="C16" i="6"/>
  <c r="D16" i="6" s="1"/>
  <c r="E16" i="6" s="1"/>
  <c r="C28" i="6"/>
  <c r="D28" i="6" s="1"/>
  <c r="E28" i="6" s="1"/>
  <c r="C29" i="6"/>
  <c r="D29" i="6" s="1"/>
  <c r="E29" i="6" s="1"/>
  <c r="C5" i="6"/>
  <c r="D5" i="6" s="1"/>
  <c r="E5" i="6" s="1"/>
  <c r="C8" i="6"/>
  <c r="D8" i="6" s="1"/>
  <c r="E8" i="6" s="1"/>
  <c r="C32" i="6"/>
  <c r="D32" i="6" s="1"/>
  <c r="E32" i="6" s="1"/>
  <c r="C33" i="6"/>
  <c r="D33" i="6" s="1"/>
  <c r="E33" i="6" s="1"/>
  <c r="C12" i="6"/>
  <c r="D12" i="6" s="1"/>
  <c r="E12" i="6" s="1"/>
  <c r="C36" i="6"/>
  <c r="D36" i="6" s="1"/>
  <c r="E36" i="6" s="1"/>
  <c r="C9" i="6"/>
  <c r="D9" i="6" s="1"/>
  <c r="E9" i="6" s="1"/>
  <c r="C13" i="6"/>
  <c r="D13" i="6" s="1"/>
  <c r="E13" i="6" s="1"/>
  <c r="C37" i="6"/>
  <c r="D37" i="6" s="1"/>
  <c r="E37" i="6" s="1"/>
  <c r="C20" i="6"/>
  <c r="D20" i="6" s="1"/>
  <c r="E20" i="6" s="1"/>
  <c r="C17" i="6"/>
  <c r="D17" i="6" s="1"/>
  <c r="E17" i="6" s="1"/>
  <c r="C21" i="6"/>
  <c r="D21" i="6" s="1"/>
  <c r="E21" i="6" s="1"/>
  <c r="C18" i="5"/>
  <c r="D18" i="5" s="1"/>
  <c r="E18" i="5" s="1"/>
  <c r="C3" i="5"/>
  <c r="D3" i="5" s="1"/>
  <c r="E3" i="5" s="1"/>
  <c r="C17" i="5"/>
  <c r="D17" i="5" s="1"/>
  <c r="E17" i="5" s="1"/>
  <c r="C21" i="5"/>
  <c r="D21" i="5" s="1"/>
  <c r="E21" i="5" s="1"/>
  <c r="C22" i="5"/>
  <c r="D22" i="5" s="1"/>
  <c r="E22" i="5" s="1"/>
  <c r="C5" i="5"/>
  <c r="D5" i="5" s="1"/>
  <c r="E5" i="5" s="1"/>
  <c r="C26" i="5"/>
  <c r="D26" i="5" s="1"/>
  <c r="E26" i="5" s="1"/>
  <c r="C29" i="5"/>
  <c r="D29" i="5" s="1"/>
  <c r="E29" i="5" s="1"/>
  <c r="C6" i="5"/>
  <c r="D6" i="5" s="1"/>
  <c r="E6" i="5" s="1"/>
  <c r="C30" i="5"/>
  <c r="D30" i="5" s="1"/>
  <c r="E30" i="5" s="1"/>
  <c r="C25" i="5"/>
  <c r="D25" i="5" s="1"/>
  <c r="E25" i="5" s="1"/>
  <c r="C9" i="5"/>
  <c r="D9" i="5" s="1"/>
  <c r="E9" i="5" s="1"/>
  <c r="C33" i="5"/>
  <c r="D33" i="5" s="1"/>
  <c r="E33" i="5" s="1"/>
  <c r="C10" i="5"/>
  <c r="D10" i="5" s="1"/>
  <c r="E10" i="5" s="1"/>
  <c r="C34" i="5"/>
  <c r="D34" i="5" s="1"/>
  <c r="E34" i="5" s="1"/>
  <c r="C13" i="5"/>
  <c r="D13" i="5" s="1"/>
  <c r="E13" i="5" s="1"/>
  <c r="C37" i="5"/>
  <c r="D37" i="5" s="1"/>
  <c r="E37" i="5" s="1"/>
  <c r="C1" i="5"/>
  <c r="D1" i="5" s="1"/>
  <c r="E1" i="5" s="1"/>
  <c r="C14" i="5"/>
  <c r="D14" i="5" s="1"/>
  <c r="E14" i="5" s="1"/>
  <c r="C38" i="5"/>
  <c r="D38" i="5" s="1"/>
  <c r="E38" i="5" s="1"/>
  <c r="C13" i="4"/>
  <c r="D13" i="4" s="1"/>
  <c r="E13" i="4" s="1"/>
  <c r="C14" i="4"/>
  <c r="D14" i="4" s="1"/>
  <c r="E14" i="4" s="1"/>
  <c r="C17" i="4"/>
  <c r="D17" i="4" s="1"/>
  <c r="E17" i="4" s="1"/>
  <c r="C18" i="4"/>
  <c r="D18" i="4" s="1"/>
  <c r="E18" i="4" s="1"/>
  <c r="C21" i="4"/>
  <c r="D21" i="4" s="1"/>
  <c r="E21" i="4" s="1"/>
  <c r="C22" i="4"/>
  <c r="D22" i="4" s="1"/>
  <c r="E22" i="4" s="1"/>
  <c r="C25" i="4"/>
  <c r="D25" i="4" s="1"/>
  <c r="E25" i="4" s="1"/>
  <c r="C3" i="4"/>
  <c r="D3" i="4" s="1"/>
  <c r="E3" i="4" s="1"/>
  <c r="C26" i="4"/>
  <c r="D26" i="4" s="1"/>
  <c r="E26" i="4" s="1"/>
  <c r="C29" i="4"/>
  <c r="D29" i="4" s="1"/>
  <c r="E29" i="4" s="1"/>
  <c r="C6" i="4"/>
  <c r="D6" i="4" s="1"/>
  <c r="E6" i="4" s="1"/>
  <c r="C30" i="4"/>
  <c r="D30" i="4" s="1"/>
  <c r="E30" i="4" s="1"/>
  <c r="C9" i="4"/>
  <c r="D9" i="4" s="1"/>
  <c r="E9" i="4" s="1"/>
  <c r="C33" i="4"/>
  <c r="D33" i="4" s="1"/>
  <c r="E33" i="4" s="1"/>
  <c r="C10" i="4"/>
  <c r="D10" i="4" s="1"/>
  <c r="E10" i="4" s="1"/>
  <c r="C37" i="4"/>
  <c r="D37" i="4" s="1"/>
  <c r="E37" i="4" s="1"/>
  <c r="C19" i="3"/>
  <c r="D19" i="3" s="1"/>
  <c r="E19" i="3" s="1"/>
  <c r="C23" i="3"/>
  <c r="D23" i="3" s="1"/>
  <c r="E23" i="3" s="1"/>
  <c r="C21" i="3"/>
  <c r="D21" i="3" s="1"/>
  <c r="E21" i="3" s="1"/>
  <c r="C25" i="3"/>
  <c r="D25" i="3" s="1"/>
  <c r="E25" i="3" s="1"/>
  <c r="C1" i="3"/>
  <c r="D1" i="3" s="1"/>
  <c r="E1" i="3" s="1"/>
  <c r="C27" i="3"/>
  <c r="D27" i="3" s="1"/>
  <c r="E27" i="3" s="1"/>
  <c r="C29" i="3"/>
  <c r="D29" i="3" s="1"/>
  <c r="E29" i="3" s="1"/>
  <c r="C7" i="3"/>
  <c r="D7" i="3" s="1"/>
  <c r="E7" i="3" s="1"/>
  <c r="C31" i="3"/>
  <c r="D31" i="3" s="1"/>
  <c r="E31" i="3" s="1"/>
  <c r="C9" i="3"/>
  <c r="D9" i="3" s="1"/>
  <c r="E9" i="3" s="1"/>
  <c r="C33" i="3"/>
  <c r="D33" i="3" s="1"/>
  <c r="E33" i="3" s="1"/>
  <c r="C11" i="3"/>
  <c r="D11" i="3" s="1"/>
  <c r="E11" i="3" s="1"/>
  <c r="C35" i="3"/>
  <c r="D35" i="3" s="1"/>
  <c r="E35" i="3" s="1"/>
  <c r="C13" i="3"/>
  <c r="D13" i="3" s="1"/>
  <c r="E13" i="3" s="1"/>
  <c r="C37" i="3"/>
  <c r="D37" i="3" s="1"/>
  <c r="E37" i="3" s="1"/>
  <c r="C15" i="3"/>
  <c r="D15" i="3" s="1"/>
  <c r="E15" i="3" s="1"/>
  <c r="C39" i="3"/>
  <c r="D39" i="3" s="1"/>
  <c r="E39" i="3" s="1"/>
  <c r="C17" i="3"/>
  <c r="D17" i="3" s="1"/>
  <c r="E17" i="3" s="1"/>
  <c r="C25" i="2"/>
  <c r="D25" i="2" s="1"/>
  <c r="E25" i="2" s="1"/>
  <c r="C29" i="2"/>
  <c r="D29" i="2" s="1"/>
  <c r="E29" i="2" s="1"/>
  <c r="C33" i="2"/>
  <c r="D33" i="2" s="1"/>
  <c r="E33" i="2" s="1"/>
  <c r="C37" i="2"/>
  <c r="D37" i="2" s="1"/>
  <c r="E37" i="2" s="1"/>
  <c r="C2" i="2"/>
  <c r="D2" i="2" s="1"/>
  <c r="E2" i="2" s="1"/>
  <c r="C9" i="2"/>
  <c r="D9" i="2" s="1"/>
  <c r="E9" i="2" s="1"/>
  <c r="C13" i="2"/>
  <c r="D13" i="2" s="1"/>
  <c r="E13" i="2" s="1"/>
  <c r="C17" i="2"/>
  <c r="D17" i="2" s="1"/>
  <c r="E17" i="2" s="1"/>
  <c r="C21" i="2"/>
  <c r="D21" i="2" s="1"/>
  <c r="E21" i="2" s="1"/>
  <c r="C26" i="32"/>
  <c r="D26" i="32" s="1"/>
  <c r="E26" i="32" s="1"/>
  <c r="C30" i="32"/>
  <c r="D30" i="32" s="1"/>
  <c r="E30" i="32" s="1"/>
  <c r="C34" i="32"/>
  <c r="D34" i="32" s="1"/>
  <c r="E34" i="32" s="1"/>
  <c r="C38" i="32"/>
  <c r="D38" i="32" s="1"/>
  <c r="E38" i="32" s="1"/>
  <c r="C31" i="32"/>
  <c r="D31" i="32" s="1"/>
  <c r="E31" i="32" s="1"/>
  <c r="C35" i="32"/>
  <c r="D35" i="32" s="1"/>
  <c r="E35" i="32" s="1"/>
  <c r="C39" i="32"/>
  <c r="D39" i="32" s="1"/>
  <c r="E39" i="32" s="1"/>
  <c r="C4" i="32"/>
  <c r="D4" i="32" s="1"/>
  <c r="E4" i="32" s="1"/>
  <c r="C8" i="32"/>
  <c r="D8" i="32" s="1"/>
  <c r="E8" i="32" s="1"/>
  <c r="C12" i="32"/>
  <c r="D12" i="32" s="1"/>
  <c r="E12" i="32" s="1"/>
  <c r="C16" i="32"/>
  <c r="D16" i="32" s="1"/>
  <c r="E16" i="32" s="1"/>
  <c r="C20" i="32"/>
  <c r="D20" i="32" s="1"/>
  <c r="E20" i="32" s="1"/>
  <c r="C24" i="32"/>
  <c r="D24" i="32" s="1"/>
  <c r="E24" i="32" s="1"/>
  <c r="C28" i="32"/>
  <c r="D28" i="32" s="1"/>
  <c r="E28" i="32" s="1"/>
  <c r="C32" i="32"/>
  <c r="D32" i="32" s="1"/>
  <c r="E32" i="32" s="1"/>
  <c r="C36" i="32"/>
  <c r="D36" i="32" s="1"/>
  <c r="E36" i="32" s="1"/>
  <c r="C40" i="32"/>
  <c r="D40" i="32" s="1"/>
  <c r="E40" i="32" s="1"/>
  <c r="C1" i="32"/>
  <c r="D1" i="32" s="1"/>
  <c r="E1" i="32" s="1"/>
  <c r="C2" i="31"/>
  <c r="D2" i="31" s="1"/>
  <c r="E2" i="31" s="1"/>
  <c r="C6" i="31"/>
  <c r="D6" i="31" s="1"/>
  <c r="E6" i="31" s="1"/>
  <c r="C10" i="31"/>
  <c r="D10" i="31" s="1"/>
  <c r="E10" i="31" s="1"/>
  <c r="C14" i="31"/>
  <c r="D14" i="31" s="1"/>
  <c r="E14" i="31" s="1"/>
  <c r="C18" i="31"/>
  <c r="D18" i="31" s="1"/>
  <c r="E18" i="31" s="1"/>
  <c r="C22" i="31"/>
  <c r="D22" i="31" s="1"/>
  <c r="E22" i="31" s="1"/>
  <c r="C26" i="31"/>
  <c r="D26" i="31" s="1"/>
  <c r="E26" i="31" s="1"/>
  <c r="C30" i="31"/>
  <c r="D30" i="31" s="1"/>
  <c r="E30" i="31" s="1"/>
  <c r="C34" i="31"/>
  <c r="D34" i="31" s="1"/>
  <c r="E34" i="31" s="1"/>
  <c r="C38" i="31"/>
  <c r="D38" i="31" s="1"/>
  <c r="E38" i="31" s="1"/>
  <c r="C7" i="31"/>
  <c r="D7" i="31" s="1"/>
  <c r="E7" i="31" s="1"/>
  <c r="C11" i="31"/>
  <c r="D11" i="31" s="1"/>
  <c r="E11" i="31" s="1"/>
  <c r="C15" i="31"/>
  <c r="D15" i="31" s="1"/>
  <c r="E15" i="31" s="1"/>
  <c r="C19" i="31"/>
  <c r="D19" i="31" s="1"/>
  <c r="E19" i="31" s="1"/>
  <c r="C23" i="31"/>
  <c r="D23" i="31" s="1"/>
  <c r="E23" i="31" s="1"/>
  <c r="C27" i="31"/>
  <c r="D27" i="31" s="1"/>
  <c r="E27" i="31" s="1"/>
  <c r="C31" i="31"/>
  <c r="D31" i="31" s="1"/>
  <c r="E31" i="31" s="1"/>
  <c r="C35" i="31"/>
  <c r="D35" i="31" s="1"/>
  <c r="E35" i="31" s="1"/>
  <c r="C39" i="31"/>
  <c r="D39" i="31" s="1"/>
  <c r="E39" i="31" s="1"/>
  <c r="C4" i="31"/>
  <c r="D4" i="31" s="1"/>
  <c r="E4" i="31" s="1"/>
  <c r="C2" i="30"/>
  <c r="D2" i="30" s="1"/>
  <c r="E2" i="30" s="1"/>
  <c r="C6" i="30"/>
  <c r="D6" i="30" s="1"/>
  <c r="E6" i="30" s="1"/>
  <c r="C10" i="30"/>
  <c r="D10" i="30" s="1"/>
  <c r="E10" i="30" s="1"/>
  <c r="C14" i="30"/>
  <c r="D14" i="30" s="1"/>
  <c r="E14" i="30" s="1"/>
  <c r="C18" i="30"/>
  <c r="D18" i="30" s="1"/>
  <c r="E18" i="30" s="1"/>
  <c r="C22" i="30"/>
  <c r="D22" i="30" s="1"/>
  <c r="E22" i="30" s="1"/>
  <c r="C26" i="30"/>
  <c r="D26" i="30" s="1"/>
  <c r="E26" i="30" s="1"/>
  <c r="C30" i="30"/>
  <c r="D30" i="30" s="1"/>
  <c r="E30" i="30" s="1"/>
  <c r="C34" i="30"/>
  <c r="D34" i="30" s="1"/>
  <c r="E34" i="30" s="1"/>
  <c r="C38" i="30"/>
  <c r="D38" i="30" s="1"/>
  <c r="E38" i="30" s="1"/>
  <c r="C7" i="30"/>
  <c r="D7" i="30" s="1"/>
  <c r="E7" i="30" s="1"/>
  <c r="C11" i="30"/>
  <c r="D11" i="30" s="1"/>
  <c r="E11" i="30" s="1"/>
  <c r="C15" i="30"/>
  <c r="D15" i="30" s="1"/>
  <c r="E15" i="30" s="1"/>
  <c r="C19" i="30"/>
  <c r="D19" i="30" s="1"/>
  <c r="E19" i="30" s="1"/>
  <c r="C23" i="30"/>
  <c r="D23" i="30" s="1"/>
  <c r="E23" i="30" s="1"/>
  <c r="C27" i="30"/>
  <c r="D27" i="30" s="1"/>
  <c r="E27" i="30" s="1"/>
  <c r="C31" i="30"/>
  <c r="D31" i="30" s="1"/>
  <c r="E31" i="30" s="1"/>
  <c r="C35" i="30"/>
  <c r="D35" i="30" s="1"/>
  <c r="E35" i="30" s="1"/>
  <c r="C39" i="30"/>
  <c r="D39" i="30" s="1"/>
  <c r="E39" i="30" s="1"/>
  <c r="C4" i="30"/>
  <c r="D4" i="30" s="1"/>
  <c r="E4" i="30" s="1"/>
  <c r="C8" i="30"/>
  <c r="D8" i="30" s="1"/>
  <c r="E8" i="30" s="1"/>
  <c r="C12" i="30"/>
  <c r="D12" i="30" s="1"/>
  <c r="E12" i="30" s="1"/>
  <c r="C16" i="30"/>
  <c r="D16" i="30" s="1"/>
  <c r="E16" i="30" s="1"/>
  <c r="C20" i="30"/>
  <c r="D20" i="30" s="1"/>
  <c r="E20" i="30" s="1"/>
  <c r="C24" i="30"/>
  <c r="D24" i="30" s="1"/>
  <c r="E24" i="30" s="1"/>
  <c r="C28" i="30"/>
  <c r="D28" i="30" s="1"/>
  <c r="E28" i="30" s="1"/>
  <c r="C32" i="30"/>
  <c r="D32" i="30" s="1"/>
  <c r="E32" i="30" s="1"/>
  <c r="C36" i="30"/>
  <c r="D36" i="30" s="1"/>
  <c r="E36" i="30" s="1"/>
  <c r="C40" i="30"/>
  <c r="D40" i="30" s="1"/>
  <c r="E40" i="30" s="1"/>
  <c r="C2" i="29"/>
  <c r="D2" i="29" s="1"/>
  <c r="E2" i="29" s="1"/>
  <c r="C6" i="29"/>
  <c r="D6" i="29" s="1"/>
  <c r="E6" i="29" s="1"/>
  <c r="C10" i="29"/>
  <c r="D10" i="29" s="1"/>
  <c r="E10" i="29" s="1"/>
  <c r="C14" i="29"/>
  <c r="D14" i="29" s="1"/>
  <c r="E14" i="29" s="1"/>
  <c r="C18" i="29"/>
  <c r="D18" i="29" s="1"/>
  <c r="E18" i="29" s="1"/>
  <c r="C22" i="29"/>
  <c r="D22" i="29" s="1"/>
  <c r="E22" i="29" s="1"/>
  <c r="C26" i="29"/>
  <c r="D26" i="29" s="1"/>
  <c r="E26" i="29" s="1"/>
  <c r="C30" i="29"/>
  <c r="D30" i="29" s="1"/>
  <c r="E30" i="29" s="1"/>
  <c r="C34" i="29"/>
  <c r="D34" i="29" s="1"/>
  <c r="E34" i="29" s="1"/>
  <c r="C38" i="29"/>
  <c r="D38" i="29" s="1"/>
  <c r="E38" i="29" s="1"/>
  <c r="C3" i="29"/>
  <c r="D3" i="29" s="1"/>
  <c r="E3" i="29" s="1"/>
  <c r="C7" i="29"/>
  <c r="D7" i="29" s="1"/>
  <c r="E7" i="29" s="1"/>
  <c r="C11" i="29"/>
  <c r="D11" i="29" s="1"/>
  <c r="E11" i="29" s="1"/>
  <c r="C15" i="29"/>
  <c r="D15" i="29" s="1"/>
  <c r="E15" i="29" s="1"/>
  <c r="C19" i="29"/>
  <c r="D19" i="29" s="1"/>
  <c r="E19" i="29" s="1"/>
  <c r="C23" i="29"/>
  <c r="D23" i="29" s="1"/>
  <c r="E23" i="29" s="1"/>
  <c r="C27" i="29"/>
  <c r="D27" i="29" s="1"/>
  <c r="E27" i="29" s="1"/>
  <c r="C31" i="29"/>
  <c r="D31" i="29" s="1"/>
  <c r="E31" i="29" s="1"/>
  <c r="C35" i="29"/>
  <c r="D35" i="29" s="1"/>
  <c r="E35" i="29" s="1"/>
  <c r="C39" i="29"/>
  <c r="D39" i="29" s="1"/>
  <c r="E39" i="29" s="1"/>
  <c r="C4" i="29"/>
  <c r="D4" i="29" s="1"/>
  <c r="E4" i="29" s="1"/>
  <c r="C8" i="29"/>
  <c r="D8" i="29" s="1"/>
  <c r="E8" i="29" s="1"/>
  <c r="C12" i="29"/>
  <c r="D12" i="29" s="1"/>
  <c r="E12" i="29" s="1"/>
  <c r="C16" i="29"/>
  <c r="D16" i="29" s="1"/>
  <c r="E16" i="29" s="1"/>
  <c r="C20" i="29"/>
  <c r="D20" i="29" s="1"/>
  <c r="E20" i="29" s="1"/>
  <c r="C24" i="29"/>
  <c r="D24" i="29" s="1"/>
  <c r="E24" i="29" s="1"/>
  <c r="C28" i="29"/>
  <c r="D28" i="29" s="1"/>
  <c r="E28" i="29" s="1"/>
  <c r="C32" i="29"/>
  <c r="D32" i="29" s="1"/>
  <c r="E32" i="29" s="1"/>
  <c r="C36" i="29"/>
  <c r="D36" i="29" s="1"/>
  <c r="E36" i="29" s="1"/>
  <c r="C40" i="29"/>
  <c r="D40" i="29" s="1"/>
  <c r="E40" i="29" s="1"/>
  <c r="C1" i="29"/>
  <c r="D1" i="29" s="1"/>
  <c r="E1" i="29" s="1"/>
  <c r="C4" i="28"/>
  <c r="D4" i="28" s="1"/>
  <c r="E4" i="28" s="1"/>
  <c r="C8" i="28"/>
  <c r="D8" i="28" s="1"/>
  <c r="E8" i="28" s="1"/>
  <c r="C12" i="28"/>
  <c r="D12" i="28" s="1"/>
  <c r="E12" i="28" s="1"/>
  <c r="C16" i="28"/>
  <c r="D16" i="28" s="1"/>
  <c r="E16" i="28" s="1"/>
  <c r="C20" i="28"/>
  <c r="D20" i="28" s="1"/>
  <c r="E20" i="28" s="1"/>
  <c r="C24" i="28"/>
  <c r="D24" i="28" s="1"/>
  <c r="E24" i="28" s="1"/>
  <c r="C28" i="28"/>
  <c r="D28" i="28" s="1"/>
  <c r="E28" i="28" s="1"/>
  <c r="C32" i="28"/>
  <c r="D32" i="28" s="1"/>
  <c r="E32" i="28" s="1"/>
  <c r="C36" i="28"/>
  <c r="D36" i="28" s="1"/>
  <c r="E36" i="28" s="1"/>
  <c r="C40" i="28"/>
  <c r="D40" i="28" s="1"/>
  <c r="E40" i="28" s="1"/>
  <c r="C1" i="28"/>
  <c r="D1" i="28" s="1"/>
  <c r="E1" i="28" s="1"/>
  <c r="C2" i="27"/>
  <c r="D2" i="27" s="1"/>
  <c r="E2" i="27" s="1"/>
  <c r="C6" i="27"/>
  <c r="D6" i="27" s="1"/>
  <c r="E6" i="27" s="1"/>
  <c r="C10" i="27"/>
  <c r="D10" i="27" s="1"/>
  <c r="E10" i="27" s="1"/>
  <c r="C14" i="27"/>
  <c r="D14" i="27" s="1"/>
  <c r="E14" i="27" s="1"/>
  <c r="C18" i="27"/>
  <c r="D18" i="27" s="1"/>
  <c r="E18" i="27" s="1"/>
  <c r="C22" i="27"/>
  <c r="D22" i="27" s="1"/>
  <c r="E22" i="27" s="1"/>
  <c r="C26" i="27"/>
  <c r="D26" i="27" s="1"/>
  <c r="E26" i="27" s="1"/>
  <c r="C30" i="27"/>
  <c r="D30" i="27" s="1"/>
  <c r="E30" i="27" s="1"/>
  <c r="C34" i="27"/>
  <c r="D34" i="27" s="1"/>
  <c r="E34" i="27" s="1"/>
  <c r="C38" i="27"/>
  <c r="D38" i="27" s="1"/>
  <c r="E38" i="27" s="1"/>
  <c r="C3" i="27"/>
  <c r="D3" i="27" s="1"/>
  <c r="E3" i="27" s="1"/>
  <c r="C7" i="27"/>
  <c r="D7" i="27" s="1"/>
  <c r="E7" i="27" s="1"/>
  <c r="C11" i="27"/>
  <c r="D11" i="27" s="1"/>
  <c r="E11" i="27" s="1"/>
  <c r="C15" i="27"/>
  <c r="D15" i="27" s="1"/>
  <c r="E15" i="27" s="1"/>
  <c r="C19" i="27"/>
  <c r="D19" i="27" s="1"/>
  <c r="E19" i="27" s="1"/>
  <c r="C23" i="27"/>
  <c r="D23" i="27" s="1"/>
  <c r="E23" i="27" s="1"/>
  <c r="C27" i="27"/>
  <c r="D27" i="27" s="1"/>
  <c r="E27" i="27" s="1"/>
  <c r="C31" i="27"/>
  <c r="D31" i="27" s="1"/>
  <c r="E31" i="27" s="1"/>
  <c r="C35" i="27"/>
  <c r="D35" i="27" s="1"/>
  <c r="E35" i="27" s="1"/>
  <c r="C39" i="27"/>
  <c r="D39" i="27" s="1"/>
  <c r="E39" i="27" s="1"/>
  <c r="C4" i="27"/>
  <c r="D4" i="27" s="1"/>
  <c r="E4" i="27" s="1"/>
  <c r="C8" i="27"/>
  <c r="D8" i="27" s="1"/>
  <c r="E8" i="27" s="1"/>
  <c r="C12" i="27"/>
  <c r="D12" i="27" s="1"/>
  <c r="E12" i="27" s="1"/>
  <c r="C16" i="27"/>
  <c r="D16" i="27" s="1"/>
  <c r="E16" i="27" s="1"/>
  <c r="C20" i="27"/>
  <c r="D20" i="27" s="1"/>
  <c r="E20" i="27" s="1"/>
  <c r="C24" i="27"/>
  <c r="D24" i="27" s="1"/>
  <c r="E24" i="27" s="1"/>
  <c r="C28" i="27"/>
  <c r="D28" i="27" s="1"/>
  <c r="E28" i="27" s="1"/>
  <c r="C32" i="27"/>
  <c r="D32" i="27" s="1"/>
  <c r="E32" i="27" s="1"/>
  <c r="C36" i="27"/>
  <c r="D36" i="27" s="1"/>
  <c r="E36" i="27" s="1"/>
  <c r="C40" i="27"/>
  <c r="D40" i="27" s="1"/>
  <c r="E40" i="27" s="1"/>
  <c r="C1" i="27"/>
  <c r="D1" i="27" s="1"/>
  <c r="E1" i="27" s="1"/>
  <c r="C2" i="26"/>
  <c r="D2" i="26" s="1"/>
  <c r="E2" i="26" s="1"/>
  <c r="C6" i="26"/>
  <c r="D6" i="26" s="1"/>
  <c r="E6" i="26" s="1"/>
  <c r="C10" i="26"/>
  <c r="D10" i="26" s="1"/>
  <c r="E10" i="26" s="1"/>
  <c r="C14" i="26"/>
  <c r="D14" i="26" s="1"/>
  <c r="E14" i="26" s="1"/>
  <c r="C18" i="26"/>
  <c r="D18" i="26" s="1"/>
  <c r="E18" i="26" s="1"/>
  <c r="C22" i="26"/>
  <c r="D22" i="26" s="1"/>
  <c r="E22" i="26" s="1"/>
  <c r="C26" i="26"/>
  <c r="D26" i="26" s="1"/>
  <c r="E26" i="26" s="1"/>
  <c r="C30" i="26"/>
  <c r="D30" i="26" s="1"/>
  <c r="E30" i="26" s="1"/>
  <c r="C34" i="26"/>
  <c r="D34" i="26" s="1"/>
  <c r="E34" i="26" s="1"/>
  <c r="C38" i="26"/>
  <c r="D38" i="26" s="1"/>
  <c r="E38" i="26" s="1"/>
  <c r="C3" i="26"/>
  <c r="D3" i="26" s="1"/>
  <c r="E3" i="26" s="1"/>
  <c r="C4" i="26"/>
  <c r="D4" i="26" s="1"/>
  <c r="E4" i="26" s="1"/>
  <c r="C1" i="26"/>
  <c r="D1" i="26" s="1"/>
  <c r="E1" i="26" s="1"/>
  <c r="C2" i="25"/>
  <c r="D2" i="25" s="1"/>
  <c r="E2" i="25" s="1"/>
  <c r="C3" i="25"/>
  <c r="D3" i="25" s="1"/>
  <c r="E3" i="25" s="1"/>
  <c r="C7" i="25"/>
  <c r="D7" i="25" s="1"/>
  <c r="E7" i="25" s="1"/>
  <c r="C11" i="25"/>
  <c r="D11" i="25" s="1"/>
  <c r="E11" i="25" s="1"/>
  <c r="C15" i="25"/>
  <c r="D15" i="25" s="1"/>
  <c r="E15" i="25" s="1"/>
  <c r="C19" i="25"/>
  <c r="D19" i="25" s="1"/>
  <c r="E19" i="25" s="1"/>
  <c r="C23" i="25"/>
  <c r="D23" i="25" s="1"/>
  <c r="E23" i="25" s="1"/>
  <c r="C27" i="25"/>
  <c r="D27" i="25" s="1"/>
  <c r="E27" i="25" s="1"/>
  <c r="C31" i="25"/>
  <c r="D31" i="25" s="1"/>
  <c r="E31" i="25" s="1"/>
  <c r="C35" i="25"/>
  <c r="D35" i="25" s="1"/>
  <c r="E35" i="25" s="1"/>
  <c r="C39" i="25"/>
  <c r="D39" i="25" s="1"/>
  <c r="E39" i="25" s="1"/>
  <c r="C4" i="25"/>
  <c r="D4" i="25" s="1"/>
  <c r="E4" i="25" s="1"/>
  <c r="C8" i="25"/>
  <c r="D8" i="25" s="1"/>
  <c r="E8" i="25" s="1"/>
  <c r="C12" i="25"/>
  <c r="D12" i="25" s="1"/>
  <c r="E12" i="25" s="1"/>
  <c r="C16" i="25"/>
  <c r="D16" i="25" s="1"/>
  <c r="E16" i="25" s="1"/>
  <c r="C20" i="25"/>
  <c r="D20" i="25" s="1"/>
  <c r="E20" i="25" s="1"/>
  <c r="C24" i="25"/>
  <c r="D24" i="25" s="1"/>
  <c r="E24" i="25" s="1"/>
  <c r="C28" i="25"/>
  <c r="D28" i="25" s="1"/>
  <c r="E28" i="25" s="1"/>
  <c r="C32" i="25"/>
  <c r="D32" i="25" s="1"/>
  <c r="E32" i="25" s="1"/>
  <c r="C36" i="25"/>
  <c r="D36" i="25" s="1"/>
  <c r="E36" i="25" s="1"/>
  <c r="C40" i="25"/>
  <c r="D40" i="25" s="1"/>
  <c r="E40" i="25" s="1"/>
  <c r="C1" i="25"/>
  <c r="D1" i="25" s="1"/>
  <c r="E1" i="25" s="1"/>
  <c r="C2" i="24"/>
  <c r="D2" i="24" s="1"/>
  <c r="E2" i="24" s="1"/>
  <c r="C6" i="24"/>
  <c r="D6" i="24" s="1"/>
  <c r="E6" i="24" s="1"/>
  <c r="C10" i="24"/>
  <c r="D10" i="24" s="1"/>
  <c r="E10" i="24" s="1"/>
  <c r="C14" i="24"/>
  <c r="D14" i="24" s="1"/>
  <c r="E14" i="24" s="1"/>
  <c r="C18" i="24"/>
  <c r="D18" i="24" s="1"/>
  <c r="E18" i="24" s="1"/>
  <c r="C22" i="24"/>
  <c r="D22" i="24" s="1"/>
  <c r="E22" i="24" s="1"/>
  <c r="C26" i="24"/>
  <c r="D26" i="24" s="1"/>
  <c r="E26" i="24" s="1"/>
  <c r="C30" i="24"/>
  <c r="D30" i="24" s="1"/>
  <c r="E30" i="24" s="1"/>
  <c r="C34" i="24"/>
  <c r="D34" i="24" s="1"/>
  <c r="E34" i="24" s="1"/>
  <c r="C38" i="24"/>
  <c r="D38" i="24" s="1"/>
  <c r="E38" i="24" s="1"/>
  <c r="C3" i="24"/>
  <c r="D3" i="24" s="1"/>
  <c r="E3" i="24" s="1"/>
  <c r="C7" i="24"/>
  <c r="D7" i="24" s="1"/>
  <c r="E7" i="24" s="1"/>
  <c r="C11" i="24"/>
  <c r="D11" i="24" s="1"/>
  <c r="E11" i="24" s="1"/>
  <c r="C15" i="24"/>
  <c r="D15" i="24" s="1"/>
  <c r="E15" i="24" s="1"/>
  <c r="C19" i="24"/>
  <c r="D19" i="24" s="1"/>
  <c r="E19" i="24" s="1"/>
  <c r="C23" i="24"/>
  <c r="D23" i="24" s="1"/>
  <c r="E23" i="24" s="1"/>
  <c r="C27" i="24"/>
  <c r="D27" i="24" s="1"/>
  <c r="E27" i="24" s="1"/>
  <c r="C31" i="24"/>
  <c r="D31" i="24" s="1"/>
  <c r="E31" i="24" s="1"/>
  <c r="C35" i="24"/>
  <c r="D35" i="24" s="1"/>
  <c r="E35" i="24" s="1"/>
  <c r="C39" i="24"/>
  <c r="D39" i="24" s="1"/>
  <c r="E39" i="24" s="1"/>
  <c r="C4" i="24"/>
  <c r="D4" i="24" s="1"/>
  <c r="E4" i="24" s="1"/>
  <c r="C8" i="24"/>
  <c r="D8" i="24" s="1"/>
  <c r="E8" i="24" s="1"/>
  <c r="C12" i="24"/>
  <c r="D12" i="24" s="1"/>
  <c r="E12" i="24" s="1"/>
  <c r="C16" i="24"/>
  <c r="D16" i="24" s="1"/>
  <c r="E16" i="24" s="1"/>
  <c r="C20" i="24"/>
  <c r="D20" i="24" s="1"/>
  <c r="E20" i="24" s="1"/>
  <c r="C24" i="24"/>
  <c r="D24" i="24" s="1"/>
  <c r="E24" i="24" s="1"/>
  <c r="C28" i="24"/>
  <c r="D28" i="24" s="1"/>
  <c r="E28" i="24" s="1"/>
  <c r="C32" i="24"/>
  <c r="D32" i="24" s="1"/>
  <c r="E32" i="24" s="1"/>
  <c r="C36" i="24"/>
  <c r="D36" i="24" s="1"/>
  <c r="E36" i="24" s="1"/>
  <c r="C40" i="24"/>
  <c r="D40" i="24" s="1"/>
  <c r="E40" i="24" s="1"/>
  <c r="C1" i="24"/>
  <c r="D1" i="24" s="1"/>
  <c r="E1" i="24" s="1"/>
  <c r="C2" i="23"/>
  <c r="D2" i="23" s="1"/>
  <c r="E2" i="23" s="1"/>
  <c r="C38" i="23"/>
  <c r="D38" i="23" s="1"/>
  <c r="E38" i="23" s="1"/>
  <c r="C3" i="23"/>
  <c r="D3" i="23" s="1"/>
  <c r="E3" i="23" s="1"/>
  <c r="C7" i="23"/>
  <c r="D7" i="23" s="1"/>
  <c r="E7" i="23" s="1"/>
  <c r="C11" i="23"/>
  <c r="D11" i="23" s="1"/>
  <c r="E11" i="23" s="1"/>
  <c r="C15" i="23"/>
  <c r="D15" i="23" s="1"/>
  <c r="E15" i="23" s="1"/>
  <c r="C19" i="23"/>
  <c r="D19" i="23" s="1"/>
  <c r="E19" i="23" s="1"/>
  <c r="C23" i="23"/>
  <c r="D23" i="23" s="1"/>
  <c r="E23" i="23" s="1"/>
  <c r="C27" i="23"/>
  <c r="D27" i="23" s="1"/>
  <c r="E27" i="23" s="1"/>
  <c r="C31" i="23"/>
  <c r="D31" i="23" s="1"/>
  <c r="E31" i="23" s="1"/>
  <c r="C35" i="23"/>
  <c r="D35" i="23" s="1"/>
  <c r="E35" i="23" s="1"/>
  <c r="C39" i="23"/>
  <c r="D39" i="23" s="1"/>
  <c r="E39" i="23" s="1"/>
  <c r="C4" i="23"/>
  <c r="D4" i="23" s="1"/>
  <c r="E4" i="23" s="1"/>
  <c r="C8" i="23"/>
  <c r="D8" i="23" s="1"/>
  <c r="E8" i="23" s="1"/>
  <c r="C12" i="23"/>
  <c r="D12" i="23" s="1"/>
  <c r="E12" i="23" s="1"/>
  <c r="C16" i="23"/>
  <c r="D16" i="23" s="1"/>
  <c r="E16" i="23" s="1"/>
  <c r="C20" i="23"/>
  <c r="D20" i="23" s="1"/>
  <c r="E20" i="23" s="1"/>
  <c r="C24" i="23"/>
  <c r="D24" i="23" s="1"/>
  <c r="E24" i="23" s="1"/>
  <c r="C28" i="23"/>
  <c r="D28" i="23" s="1"/>
  <c r="E28" i="23" s="1"/>
  <c r="C32" i="23"/>
  <c r="D32" i="23" s="1"/>
  <c r="E32" i="23" s="1"/>
  <c r="C36" i="23"/>
  <c r="D36" i="23" s="1"/>
  <c r="E36" i="23" s="1"/>
  <c r="C40" i="23"/>
  <c r="D40" i="23" s="1"/>
  <c r="E40" i="23" s="1"/>
  <c r="C1" i="23"/>
  <c r="D1" i="23" s="1"/>
  <c r="E1" i="23" s="1"/>
  <c r="C9" i="22"/>
  <c r="D9" i="22" s="1"/>
  <c r="E9" i="22" s="1"/>
  <c r="C13" i="22"/>
  <c r="D13" i="22" s="1"/>
  <c r="E13" i="22" s="1"/>
  <c r="C37" i="22"/>
  <c r="D37" i="22" s="1"/>
  <c r="E37" i="22" s="1"/>
  <c r="C2" i="22"/>
  <c r="D2" i="22" s="1"/>
  <c r="E2" i="22" s="1"/>
  <c r="C33" i="22"/>
  <c r="D33" i="22" s="1"/>
  <c r="E33" i="22" s="1"/>
  <c r="C17" i="22"/>
  <c r="D17" i="22" s="1"/>
  <c r="E17" i="22" s="1"/>
  <c r="C6" i="22"/>
  <c r="D6" i="22" s="1"/>
  <c r="E6" i="22" s="1"/>
  <c r="C10" i="22"/>
  <c r="D10" i="22" s="1"/>
  <c r="E10" i="22" s="1"/>
  <c r="C14" i="22"/>
  <c r="D14" i="22" s="1"/>
  <c r="E14" i="22" s="1"/>
  <c r="C18" i="22"/>
  <c r="D18" i="22" s="1"/>
  <c r="E18" i="22" s="1"/>
  <c r="C22" i="22"/>
  <c r="D22" i="22" s="1"/>
  <c r="E22" i="22" s="1"/>
  <c r="C26" i="22"/>
  <c r="D26" i="22" s="1"/>
  <c r="E26" i="22" s="1"/>
  <c r="C30" i="22"/>
  <c r="D30" i="22" s="1"/>
  <c r="E30" i="22" s="1"/>
  <c r="C34" i="22"/>
  <c r="D34" i="22" s="1"/>
  <c r="E34" i="22" s="1"/>
  <c r="C38" i="22"/>
  <c r="D38" i="22" s="1"/>
  <c r="E38" i="22" s="1"/>
  <c r="C29" i="22"/>
  <c r="D29" i="22" s="1"/>
  <c r="E29" i="22" s="1"/>
  <c r="C3" i="22"/>
  <c r="D3" i="22" s="1"/>
  <c r="E3" i="22" s="1"/>
  <c r="C25" i="22"/>
  <c r="D25" i="22" s="1"/>
  <c r="E25" i="22" s="1"/>
  <c r="C21" i="22"/>
  <c r="D21" i="22" s="1"/>
  <c r="E21" i="22" s="1"/>
  <c r="C7" i="22"/>
  <c r="D7" i="22" s="1"/>
  <c r="E7" i="22" s="1"/>
  <c r="C11" i="22"/>
  <c r="D11" i="22" s="1"/>
  <c r="E11" i="22" s="1"/>
  <c r="C15" i="22"/>
  <c r="D15" i="22" s="1"/>
  <c r="E15" i="22" s="1"/>
  <c r="C19" i="22"/>
  <c r="D19" i="22" s="1"/>
  <c r="E19" i="22" s="1"/>
  <c r="C23" i="22"/>
  <c r="D23" i="22" s="1"/>
  <c r="E23" i="22" s="1"/>
  <c r="C27" i="22"/>
  <c r="D27" i="22" s="1"/>
  <c r="E27" i="22" s="1"/>
  <c r="C31" i="22"/>
  <c r="D31" i="22" s="1"/>
  <c r="E31" i="22" s="1"/>
  <c r="C35" i="22"/>
  <c r="D35" i="22" s="1"/>
  <c r="E35" i="22" s="1"/>
  <c r="C39" i="22"/>
  <c r="D39" i="22" s="1"/>
  <c r="E39" i="22" s="1"/>
  <c r="C4" i="22"/>
  <c r="D4" i="22" s="1"/>
  <c r="E4" i="22" s="1"/>
  <c r="C8" i="22"/>
  <c r="D8" i="22" s="1"/>
  <c r="E8" i="22" s="1"/>
  <c r="C12" i="22"/>
  <c r="D12" i="22" s="1"/>
  <c r="E12" i="22" s="1"/>
  <c r="C16" i="22"/>
  <c r="D16" i="22" s="1"/>
  <c r="E16" i="22" s="1"/>
  <c r="C20" i="22"/>
  <c r="D20" i="22" s="1"/>
  <c r="E20" i="22" s="1"/>
  <c r="C24" i="22"/>
  <c r="D24" i="22" s="1"/>
  <c r="E24" i="22" s="1"/>
  <c r="C28" i="22"/>
  <c r="D28" i="22" s="1"/>
  <c r="E28" i="22" s="1"/>
  <c r="C32" i="22"/>
  <c r="D32" i="22" s="1"/>
  <c r="E32" i="22" s="1"/>
  <c r="C36" i="22"/>
  <c r="D36" i="22" s="1"/>
  <c r="E36" i="22" s="1"/>
  <c r="C40" i="22"/>
  <c r="D40" i="22" s="1"/>
  <c r="E40" i="22" s="1"/>
  <c r="C1" i="22"/>
  <c r="D1" i="22" s="1"/>
  <c r="E1" i="22" s="1"/>
  <c r="C2" i="21"/>
  <c r="D2" i="21" s="1"/>
  <c r="E2" i="21" s="1"/>
  <c r="C3" i="21"/>
  <c r="D3" i="21" s="1"/>
  <c r="E3" i="21" s="1"/>
  <c r="C7" i="21"/>
  <c r="D7" i="21" s="1"/>
  <c r="E7" i="21" s="1"/>
  <c r="C11" i="21"/>
  <c r="D11" i="21" s="1"/>
  <c r="E11" i="21" s="1"/>
  <c r="C15" i="21"/>
  <c r="D15" i="21" s="1"/>
  <c r="E15" i="21" s="1"/>
  <c r="C19" i="21"/>
  <c r="D19" i="21" s="1"/>
  <c r="E19" i="21" s="1"/>
  <c r="C23" i="21"/>
  <c r="D23" i="21" s="1"/>
  <c r="E23" i="21" s="1"/>
  <c r="C27" i="21"/>
  <c r="D27" i="21" s="1"/>
  <c r="E27" i="21" s="1"/>
  <c r="C31" i="21"/>
  <c r="D31" i="21" s="1"/>
  <c r="E31" i="21" s="1"/>
  <c r="C35" i="21"/>
  <c r="D35" i="21" s="1"/>
  <c r="E35" i="21" s="1"/>
  <c r="C39" i="21"/>
  <c r="D39" i="21" s="1"/>
  <c r="E39" i="21" s="1"/>
  <c r="C4" i="21"/>
  <c r="D4" i="21" s="1"/>
  <c r="E4" i="21" s="1"/>
  <c r="C8" i="21"/>
  <c r="D8" i="21" s="1"/>
  <c r="E8" i="21" s="1"/>
  <c r="C12" i="21"/>
  <c r="D12" i="21" s="1"/>
  <c r="E12" i="21" s="1"/>
  <c r="C16" i="21"/>
  <c r="D16" i="21" s="1"/>
  <c r="E16" i="21" s="1"/>
  <c r="C20" i="21"/>
  <c r="D20" i="21" s="1"/>
  <c r="E20" i="21" s="1"/>
  <c r="C24" i="21"/>
  <c r="D24" i="21" s="1"/>
  <c r="E24" i="21" s="1"/>
  <c r="C28" i="21"/>
  <c r="D28" i="21" s="1"/>
  <c r="E28" i="21" s="1"/>
  <c r="C32" i="21"/>
  <c r="D32" i="21" s="1"/>
  <c r="E32" i="21" s="1"/>
  <c r="C36" i="21"/>
  <c r="D36" i="21" s="1"/>
  <c r="E36" i="21" s="1"/>
  <c r="C40" i="21"/>
  <c r="D40" i="21" s="1"/>
  <c r="E40" i="21" s="1"/>
  <c r="C2" i="20"/>
  <c r="D2" i="20" s="1"/>
  <c r="E2" i="20" s="1"/>
  <c r="C7" i="20"/>
  <c r="D7" i="20" s="1"/>
  <c r="E7" i="20" s="1"/>
  <c r="C11" i="20"/>
  <c r="D11" i="20" s="1"/>
  <c r="E11" i="20" s="1"/>
  <c r="C15" i="20"/>
  <c r="D15" i="20" s="1"/>
  <c r="E15" i="20" s="1"/>
  <c r="C19" i="20"/>
  <c r="D19" i="20" s="1"/>
  <c r="E19" i="20" s="1"/>
  <c r="C23" i="20"/>
  <c r="D23" i="20" s="1"/>
  <c r="E23" i="20" s="1"/>
  <c r="C27" i="20"/>
  <c r="D27" i="20" s="1"/>
  <c r="E27" i="20" s="1"/>
  <c r="C31" i="20"/>
  <c r="D31" i="20" s="1"/>
  <c r="E31" i="20" s="1"/>
  <c r="C35" i="20"/>
  <c r="D35" i="20" s="1"/>
  <c r="E35" i="20" s="1"/>
  <c r="C39" i="20"/>
  <c r="D39" i="20" s="1"/>
  <c r="E39" i="20" s="1"/>
  <c r="C4" i="20"/>
  <c r="D4" i="20" s="1"/>
  <c r="E4" i="20" s="1"/>
  <c r="C8" i="20"/>
  <c r="D8" i="20" s="1"/>
  <c r="E8" i="20" s="1"/>
  <c r="C12" i="20"/>
  <c r="D12" i="20" s="1"/>
  <c r="E12" i="20" s="1"/>
  <c r="C16" i="20"/>
  <c r="D16" i="20" s="1"/>
  <c r="E16" i="20" s="1"/>
  <c r="C20" i="20"/>
  <c r="D20" i="20" s="1"/>
  <c r="E20" i="20" s="1"/>
  <c r="C24" i="20"/>
  <c r="D24" i="20" s="1"/>
  <c r="E24" i="20" s="1"/>
  <c r="C28" i="20"/>
  <c r="D28" i="20" s="1"/>
  <c r="E28" i="20" s="1"/>
  <c r="C32" i="20"/>
  <c r="D32" i="20" s="1"/>
  <c r="E32" i="20" s="1"/>
  <c r="C36" i="20"/>
  <c r="D36" i="20" s="1"/>
  <c r="E36" i="20" s="1"/>
  <c r="C40" i="20"/>
  <c r="D40" i="20" s="1"/>
  <c r="E40" i="20" s="1"/>
  <c r="C1" i="20"/>
  <c r="D1" i="20" s="1"/>
  <c r="E1" i="20" s="1"/>
  <c r="C2" i="19"/>
  <c r="D2" i="19" s="1"/>
  <c r="E2" i="19" s="1"/>
  <c r="C6" i="19"/>
  <c r="D6" i="19" s="1"/>
  <c r="E6" i="19" s="1"/>
  <c r="C10" i="19"/>
  <c r="D10" i="19" s="1"/>
  <c r="E10" i="19" s="1"/>
  <c r="C14" i="19"/>
  <c r="D14" i="19" s="1"/>
  <c r="E14" i="19" s="1"/>
  <c r="C18" i="19"/>
  <c r="D18" i="19" s="1"/>
  <c r="E18" i="19" s="1"/>
  <c r="C22" i="19"/>
  <c r="D22" i="19" s="1"/>
  <c r="E22" i="19" s="1"/>
  <c r="C26" i="19"/>
  <c r="D26" i="19" s="1"/>
  <c r="E26" i="19" s="1"/>
  <c r="C30" i="19"/>
  <c r="D30" i="19" s="1"/>
  <c r="E30" i="19" s="1"/>
  <c r="C34" i="19"/>
  <c r="D34" i="19" s="1"/>
  <c r="E34" i="19" s="1"/>
  <c r="C38" i="19"/>
  <c r="D38" i="19" s="1"/>
  <c r="E38" i="19" s="1"/>
  <c r="C3" i="19"/>
  <c r="D3" i="19" s="1"/>
  <c r="E3" i="19" s="1"/>
  <c r="C7" i="19"/>
  <c r="D7" i="19" s="1"/>
  <c r="E7" i="19" s="1"/>
  <c r="C11" i="19"/>
  <c r="D11" i="19" s="1"/>
  <c r="E11" i="19" s="1"/>
  <c r="C15" i="19"/>
  <c r="D15" i="19" s="1"/>
  <c r="E15" i="19" s="1"/>
  <c r="C19" i="19"/>
  <c r="D19" i="19" s="1"/>
  <c r="E19" i="19" s="1"/>
  <c r="C23" i="19"/>
  <c r="D23" i="19" s="1"/>
  <c r="E23" i="19" s="1"/>
  <c r="C27" i="19"/>
  <c r="D27" i="19" s="1"/>
  <c r="E27" i="19" s="1"/>
  <c r="C31" i="19"/>
  <c r="D31" i="19" s="1"/>
  <c r="E31" i="19" s="1"/>
  <c r="C35" i="19"/>
  <c r="D35" i="19" s="1"/>
  <c r="E35" i="19" s="1"/>
  <c r="C39" i="19"/>
  <c r="D39" i="19" s="1"/>
  <c r="E39" i="19" s="1"/>
  <c r="C4" i="19"/>
  <c r="D4" i="19" s="1"/>
  <c r="E4" i="19" s="1"/>
  <c r="C8" i="19"/>
  <c r="D8" i="19" s="1"/>
  <c r="E8" i="19" s="1"/>
  <c r="C12" i="19"/>
  <c r="D12" i="19" s="1"/>
  <c r="E12" i="19" s="1"/>
  <c r="C16" i="19"/>
  <c r="D16" i="19" s="1"/>
  <c r="E16" i="19" s="1"/>
  <c r="C20" i="19"/>
  <c r="D20" i="19" s="1"/>
  <c r="E20" i="19" s="1"/>
  <c r="C24" i="19"/>
  <c r="D24" i="19" s="1"/>
  <c r="E24" i="19" s="1"/>
  <c r="C28" i="19"/>
  <c r="D28" i="19" s="1"/>
  <c r="E28" i="19" s="1"/>
  <c r="C32" i="19"/>
  <c r="D32" i="19" s="1"/>
  <c r="E32" i="19" s="1"/>
  <c r="C36" i="19"/>
  <c r="D36" i="19" s="1"/>
  <c r="E36" i="19" s="1"/>
  <c r="C40" i="19"/>
  <c r="D40" i="19" s="1"/>
  <c r="E40" i="19" s="1"/>
  <c r="C1" i="19"/>
  <c r="D1" i="19" s="1"/>
  <c r="E1" i="19" s="1"/>
  <c r="C2" i="18"/>
  <c r="D2" i="18" s="1"/>
  <c r="E2" i="18" s="1"/>
  <c r="C39" i="18"/>
  <c r="D39" i="18" s="1"/>
  <c r="E39" i="18" s="1"/>
  <c r="C4" i="18"/>
  <c r="D4" i="18" s="1"/>
  <c r="E4" i="18" s="1"/>
  <c r="C8" i="18"/>
  <c r="D8" i="18" s="1"/>
  <c r="E8" i="18" s="1"/>
  <c r="C12" i="18"/>
  <c r="D12" i="18" s="1"/>
  <c r="E12" i="18" s="1"/>
  <c r="C16" i="18"/>
  <c r="D16" i="18" s="1"/>
  <c r="E16" i="18" s="1"/>
  <c r="C20" i="18"/>
  <c r="D20" i="18" s="1"/>
  <c r="E20" i="18" s="1"/>
  <c r="C24" i="18"/>
  <c r="D24" i="18" s="1"/>
  <c r="E24" i="18" s="1"/>
  <c r="C28" i="18"/>
  <c r="D28" i="18" s="1"/>
  <c r="E28" i="18" s="1"/>
  <c r="C32" i="18"/>
  <c r="D32" i="18" s="1"/>
  <c r="E32" i="18" s="1"/>
  <c r="C36" i="18"/>
  <c r="D36" i="18" s="1"/>
  <c r="E36" i="18" s="1"/>
  <c r="C40" i="18"/>
  <c r="D40" i="18" s="1"/>
  <c r="E40" i="18" s="1"/>
  <c r="C2" i="17"/>
  <c r="D2" i="17" s="1"/>
  <c r="E2" i="17" s="1"/>
  <c r="C3" i="17"/>
  <c r="D3" i="17" s="1"/>
  <c r="E3" i="17" s="1"/>
  <c r="C4" i="17"/>
  <c r="D4" i="17" s="1"/>
  <c r="E4" i="17" s="1"/>
  <c r="C40" i="17"/>
  <c r="D40" i="17" s="1"/>
  <c r="E40" i="17" s="1"/>
  <c r="C3" i="16"/>
  <c r="D3" i="16" s="1"/>
  <c r="E3" i="16" s="1"/>
  <c r="C4" i="16"/>
  <c r="D4" i="16" s="1"/>
  <c r="E4" i="16" s="1"/>
  <c r="C8" i="16"/>
  <c r="D8" i="16" s="1"/>
  <c r="E8" i="16" s="1"/>
  <c r="C12" i="16"/>
  <c r="D12" i="16" s="1"/>
  <c r="E12" i="16" s="1"/>
  <c r="C16" i="16"/>
  <c r="D16" i="16" s="1"/>
  <c r="E16" i="16" s="1"/>
  <c r="C20" i="16"/>
  <c r="D20" i="16" s="1"/>
  <c r="E20" i="16" s="1"/>
  <c r="C24" i="16"/>
  <c r="D24" i="16" s="1"/>
  <c r="E24" i="16" s="1"/>
  <c r="C28" i="16"/>
  <c r="D28" i="16" s="1"/>
  <c r="E28" i="16" s="1"/>
  <c r="C32" i="16"/>
  <c r="D32" i="16" s="1"/>
  <c r="E32" i="16" s="1"/>
  <c r="C36" i="16"/>
  <c r="D36" i="16" s="1"/>
  <c r="E36" i="16" s="1"/>
  <c r="C40" i="16"/>
  <c r="D40" i="16" s="1"/>
  <c r="E40" i="16" s="1"/>
  <c r="C2" i="15"/>
  <c r="D2" i="15" s="1"/>
  <c r="E2" i="15" s="1"/>
  <c r="C6" i="15"/>
  <c r="D6" i="15" s="1"/>
  <c r="E6" i="15" s="1"/>
  <c r="C10" i="15"/>
  <c r="D10" i="15" s="1"/>
  <c r="E10" i="15" s="1"/>
  <c r="C14" i="15"/>
  <c r="D14" i="15" s="1"/>
  <c r="E14" i="15" s="1"/>
  <c r="C18" i="15"/>
  <c r="D18" i="15" s="1"/>
  <c r="E18" i="15" s="1"/>
  <c r="C22" i="15"/>
  <c r="D22" i="15" s="1"/>
  <c r="E22" i="15" s="1"/>
  <c r="C26" i="15"/>
  <c r="D26" i="15" s="1"/>
  <c r="E26" i="15" s="1"/>
  <c r="C30" i="15"/>
  <c r="D30" i="15" s="1"/>
  <c r="E30" i="15" s="1"/>
  <c r="C34" i="15"/>
  <c r="D34" i="15" s="1"/>
  <c r="E34" i="15" s="1"/>
  <c r="C38" i="15"/>
  <c r="D38" i="15" s="1"/>
  <c r="E38" i="15" s="1"/>
  <c r="C4" i="15"/>
  <c r="D4" i="15" s="1"/>
  <c r="E4" i="15" s="1"/>
  <c r="C2" i="14"/>
  <c r="D2" i="14" s="1"/>
  <c r="E2" i="14" s="1"/>
  <c r="C6" i="14"/>
  <c r="D6" i="14" s="1"/>
  <c r="E6" i="14" s="1"/>
  <c r="C10" i="14"/>
  <c r="D10" i="14" s="1"/>
  <c r="E10" i="14" s="1"/>
  <c r="C14" i="14"/>
  <c r="D14" i="14" s="1"/>
  <c r="E14" i="14" s="1"/>
  <c r="C18" i="14"/>
  <c r="D18" i="14" s="1"/>
  <c r="E18" i="14" s="1"/>
  <c r="C22" i="14"/>
  <c r="D22" i="14" s="1"/>
  <c r="E22" i="14" s="1"/>
  <c r="C26" i="14"/>
  <c r="D26" i="14" s="1"/>
  <c r="E26" i="14" s="1"/>
  <c r="C30" i="14"/>
  <c r="D30" i="14" s="1"/>
  <c r="E30" i="14" s="1"/>
  <c r="C34" i="14"/>
  <c r="D34" i="14" s="1"/>
  <c r="E34" i="14" s="1"/>
  <c r="C38" i="14"/>
  <c r="D38" i="14" s="1"/>
  <c r="E38" i="14" s="1"/>
  <c r="C7" i="14"/>
  <c r="D7" i="14" s="1"/>
  <c r="E7" i="14" s="1"/>
  <c r="C11" i="14"/>
  <c r="D11" i="14" s="1"/>
  <c r="E11" i="14" s="1"/>
  <c r="C15" i="14"/>
  <c r="D15" i="14" s="1"/>
  <c r="E15" i="14" s="1"/>
  <c r="C19" i="14"/>
  <c r="D19" i="14" s="1"/>
  <c r="E19" i="14" s="1"/>
  <c r="C23" i="14"/>
  <c r="D23" i="14" s="1"/>
  <c r="E23" i="14" s="1"/>
  <c r="C27" i="14"/>
  <c r="D27" i="14" s="1"/>
  <c r="E27" i="14" s="1"/>
  <c r="C31" i="14"/>
  <c r="D31" i="14" s="1"/>
  <c r="E31" i="14" s="1"/>
  <c r="C35" i="14"/>
  <c r="D35" i="14" s="1"/>
  <c r="E35" i="14" s="1"/>
  <c r="C39" i="14"/>
  <c r="D39" i="14" s="1"/>
  <c r="E39" i="14" s="1"/>
  <c r="C4" i="14"/>
  <c r="D4" i="14" s="1"/>
  <c r="E4" i="14" s="1"/>
  <c r="C8" i="14"/>
  <c r="D8" i="14" s="1"/>
  <c r="E8" i="14" s="1"/>
  <c r="C12" i="14"/>
  <c r="D12" i="14" s="1"/>
  <c r="E12" i="14" s="1"/>
  <c r="C16" i="14"/>
  <c r="D16" i="14" s="1"/>
  <c r="E16" i="14" s="1"/>
  <c r="C20" i="14"/>
  <c r="D20" i="14" s="1"/>
  <c r="E20" i="14" s="1"/>
  <c r="C24" i="14"/>
  <c r="D24" i="14" s="1"/>
  <c r="E24" i="14" s="1"/>
  <c r="C28" i="14"/>
  <c r="D28" i="14" s="1"/>
  <c r="E28" i="14" s="1"/>
  <c r="C32" i="14"/>
  <c r="D32" i="14" s="1"/>
  <c r="E32" i="14" s="1"/>
  <c r="C36" i="14"/>
  <c r="D36" i="14" s="1"/>
  <c r="E36" i="14" s="1"/>
  <c r="C40" i="14"/>
  <c r="D40" i="14" s="1"/>
  <c r="E40" i="14" s="1"/>
  <c r="C2" i="13"/>
  <c r="D2" i="13" s="1"/>
  <c r="E2" i="13" s="1"/>
  <c r="C6" i="13"/>
  <c r="D6" i="13" s="1"/>
  <c r="E6" i="13" s="1"/>
  <c r="C10" i="13"/>
  <c r="D10" i="13" s="1"/>
  <c r="E10" i="13" s="1"/>
  <c r="C14" i="13"/>
  <c r="D14" i="13" s="1"/>
  <c r="E14" i="13" s="1"/>
  <c r="C18" i="13"/>
  <c r="D18" i="13" s="1"/>
  <c r="E18" i="13" s="1"/>
  <c r="C22" i="13"/>
  <c r="D22" i="13" s="1"/>
  <c r="E22" i="13" s="1"/>
  <c r="C26" i="13"/>
  <c r="D26" i="13" s="1"/>
  <c r="E26" i="13" s="1"/>
  <c r="C30" i="13"/>
  <c r="D30" i="13" s="1"/>
  <c r="E30" i="13" s="1"/>
  <c r="C34" i="13"/>
  <c r="D34" i="13" s="1"/>
  <c r="E34" i="13" s="1"/>
  <c r="C38" i="13"/>
  <c r="D38" i="13" s="1"/>
  <c r="E38" i="13" s="1"/>
  <c r="C3" i="13"/>
  <c r="D3" i="13" s="1"/>
  <c r="E3" i="13" s="1"/>
  <c r="C7" i="13"/>
  <c r="D7" i="13" s="1"/>
  <c r="E7" i="13" s="1"/>
  <c r="C11" i="13"/>
  <c r="D11" i="13" s="1"/>
  <c r="E11" i="13" s="1"/>
  <c r="C15" i="13"/>
  <c r="D15" i="13" s="1"/>
  <c r="E15" i="13" s="1"/>
  <c r="C19" i="13"/>
  <c r="D19" i="13" s="1"/>
  <c r="E19" i="13" s="1"/>
  <c r="C23" i="13"/>
  <c r="D23" i="13" s="1"/>
  <c r="E23" i="13" s="1"/>
  <c r="C27" i="13"/>
  <c r="D27" i="13" s="1"/>
  <c r="E27" i="13" s="1"/>
  <c r="C31" i="13"/>
  <c r="D31" i="13" s="1"/>
  <c r="E31" i="13" s="1"/>
  <c r="C35" i="13"/>
  <c r="D35" i="13" s="1"/>
  <c r="E35" i="13" s="1"/>
  <c r="C39" i="13"/>
  <c r="D39" i="13" s="1"/>
  <c r="E39" i="13" s="1"/>
  <c r="C4" i="13"/>
  <c r="D4" i="13" s="1"/>
  <c r="E4" i="13" s="1"/>
  <c r="C8" i="13"/>
  <c r="D8" i="13" s="1"/>
  <c r="E8" i="13" s="1"/>
  <c r="C12" i="13"/>
  <c r="D12" i="13" s="1"/>
  <c r="E12" i="13" s="1"/>
  <c r="C16" i="13"/>
  <c r="D16" i="13" s="1"/>
  <c r="E16" i="13" s="1"/>
  <c r="C20" i="13"/>
  <c r="D20" i="13" s="1"/>
  <c r="E20" i="13" s="1"/>
  <c r="C24" i="13"/>
  <c r="D24" i="13" s="1"/>
  <c r="E24" i="13" s="1"/>
  <c r="C28" i="13"/>
  <c r="D28" i="13" s="1"/>
  <c r="E28" i="13" s="1"/>
  <c r="C32" i="13"/>
  <c r="D32" i="13" s="1"/>
  <c r="E32" i="13" s="1"/>
  <c r="C36" i="13"/>
  <c r="D36" i="13" s="1"/>
  <c r="E36" i="13" s="1"/>
  <c r="C40" i="13"/>
  <c r="D40" i="13" s="1"/>
  <c r="E40" i="13" s="1"/>
  <c r="C1" i="13"/>
  <c r="D1" i="13" s="1"/>
  <c r="E1" i="13" s="1"/>
  <c r="C2" i="12"/>
  <c r="D2" i="12" s="1"/>
  <c r="E2" i="12" s="1"/>
  <c r="C3" i="12"/>
  <c r="D3" i="12" s="1"/>
  <c r="E3" i="12" s="1"/>
  <c r="C4" i="12"/>
  <c r="D4" i="12" s="1"/>
  <c r="E4" i="12" s="1"/>
  <c r="C3" i="11"/>
  <c r="D3" i="11" s="1"/>
  <c r="E3" i="11" s="1"/>
  <c r="C7" i="11"/>
  <c r="D7" i="11" s="1"/>
  <c r="E7" i="11" s="1"/>
  <c r="C11" i="11"/>
  <c r="D11" i="11" s="1"/>
  <c r="E11" i="11" s="1"/>
  <c r="C15" i="11"/>
  <c r="D15" i="11" s="1"/>
  <c r="E15" i="11" s="1"/>
  <c r="C19" i="11"/>
  <c r="D19" i="11" s="1"/>
  <c r="E19" i="11" s="1"/>
  <c r="C23" i="11"/>
  <c r="D23" i="11" s="1"/>
  <c r="E23" i="11" s="1"/>
  <c r="C27" i="11"/>
  <c r="D27" i="11" s="1"/>
  <c r="E27" i="11" s="1"/>
  <c r="C31" i="11"/>
  <c r="D31" i="11" s="1"/>
  <c r="E31" i="11" s="1"/>
  <c r="C35" i="11"/>
  <c r="D35" i="11" s="1"/>
  <c r="E35" i="11" s="1"/>
  <c r="C39" i="11"/>
  <c r="D39" i="11" s="1"/>
  <c r="E39" i="11" s="1"/>
  <c r="C4" i="11"/>
  <c r="D4" i="11" s="1"/>
  <c r="E4" i="11" s="1"/>
  <c r="C8" i="11"/>
  <c r="D8" i="11" s="1"/>
  <c r="E8" i="11" s="1"/>
  <c r="C12" i="11"/>
  <c r="D12" i="11" s="1"/>
  <c r="E12" i="11" s="1"/>
  <c r="C16" i="11"/>
  <c r="D16" i="11" s="1"/>
  <c r="E16" i="11" s="1"/>
  <c r="C20" i="11"/>
  <c r="D20" i="11" s="1"/>
  <c r="E20" i="11" s="1"/>
  <c r="C24" i="11"/>
  <c r="D24" i="11" s="1"/>
  <c r="E24" i="11" s="1"/>
  <c r="C28" i="11"/>
  <c r="D28" i="11" s="1"/>
  <c r="E28" i="11" s="1"/>
  <c r="C32" i="11"/>
  <c r="D32" i="11" s="1"/>
  <c r="E32" i="11" s="1"/>
  <c r="C36" i="11"/>
  <c r="D36" i="11" s="1"/>
  <c r="E36" i="11" s="1"/>
  <c r="C40" i="11"/>
  <c r="D40" i="11" s="1"/>
  <c r="E40" i="11" s="1"/>
  <c r="D19" i="10"/>
  <c r="E19" i="10" s="1"/>
  <c r="D8" i="10"/>
  <c r="E8" i="10" s="1"/>
  <c r="D12" i="10"/>
  <c r="E12" i="10" s="1"/>
  <c r="C1" i="10"/>
  <c r="D1" i="10" s="1"/>
  <c r="E1" i="10" s="1"/>
  <c r="C2" i="9"/>
  <c r="D2" i="9" s="1"/>
  <c r="E2" i="9" s="1"/>
  <c r="C3" i="9"/>
  <c r="D3" i="9" s="1"/>
  <c r="E3" i="9" s="1"/>
  <c r="C7" i="9"/>
  <c r="D7" i="9" s="1"/>
  <c r="E7" i="9" s="1"/>
  <c r="C11" i="9"/>
  <c r="D11" i="9" s="1"/>
  <c r="E11" i="9" s="1"/>
  <c r="C15" i="9"/>
  <c r="D15" i="9" s="1"/>
  <c r="E15" i="9" s="1"/>
  <c r="C19" i="9"/>
  <c r="D19" i="9" s="1"/>
  <c r="E19" i="9" s="1"/>
  <c r="C23" i="9"/>
  <c r="D23" i="9" s="1"/>
  <c r="E23" i="9" s="1"/>
  <c r="C27" i="9"/>
  <c r="D27" i="9" s="1"/>
  <c r="E27" i="9" s="1"/>
  <c r="C31" i="9"/>
  <c r="D31" i="9" s="1"/>
  <c r="E31" i="9" s="1"/>
  <c r="C35" i="9"/>
  <c r="D35" i="9" s="1"/>
  <c r="E35" i="9" s="1"/>
  <c r="C39" i="9"/>
  <c r="D39" i="9" s="1"/>
  <c r="E39" i="9" s="1"/>
  <c r="C4" i="9"/>
  <c r="D4" i="9" s="1"/>
  <c r="E4" i="9" s="1"/>
  <c r="C40" i="9"/>
  <c r="D40" i="9" s="1"/>
  <c r="E40" i="9" s="1"/>
  <c r="C2" i="8"/>
  <c r="D2" i="8" s="1"/>
  <c r="E2" i="8" s="1"/>
  <c r="C6" i="8"/>
  <c r="D6" i="8" s="1"/>
  <c r="E6" i="8" s="1"/>
  <c r="C10" i="8"/>
  <c r="D10" i="8" s="1"/>
  <c r="E10" i="8" s="1"/>
  <c r="C14" i="8"/>
  <c r="D14" i="8" s="1"/>
  <c r="E14" i="8" s="1"/>
  <c r="C18" i="8"/>
  <c r="D18" i="8" s="1"/>
  <c r="E18" i="8" s="1"/>
  <c r="C22" i="8"/>
  <c r="D22" i="8" s="1"/>
  <c r="E22" i="8" s="1"/>
  <c r="C26" i="8"/>
  <c r="D26" i="8" s="1"/>
  <c r="E26" i="8" s="1"/>
  <c r="C30" i="8"/>
  <c r="D30" i="8" s="1"/>
  <c r="E30" i="8" s="1"/>
  <c r="C34" i="8"/>
  <c r="D34" i="8" s="1"/>
  <c r="E34" i="8" s="1"/>
  <c r="C38" i="8"/>
  <c r="D38" i="8" s="1"/>
  <c r="E38" i="8" s="1"/>
  <c r="C3" i="8"/>
  <c r="D3" i="8" s="1"/>
  <c r="E3" i="8" s="1"/>
  <c r="C7" i="8"/>
  <c r="D7" i="8" s="1"/>
  <c r="E7" i="8" s="1"/>
  <c r="C11" i="8"/>
  <c r="D11" i="8" s="1"/>
  <c r="E11" i="8" s="1"/>
  <c r="C15" i="8"/>
  <c r="D15" i="8" s="1"/>
  <c r="E15" i="8" s="1"/>
  <c r="C19" i="8"/>
  <c r="D19" i="8" s="1"/>
  <c r="E19" i="8" s="1"/>
  <c r="C23" i="8"/>
  <c r="D23" i="8" s="1"/>
  <c r="E23" i="8" s="1"/>
  <c r="C27" i="8"/>
  <c r="D27" i="8" s="1"/>
  <c r="E27" i="8" s="1"/>
  <c r="C31" i="8"/>
  <c r="D31" i="8" s="1"/>
  <c r="E31" i="8" s="1"/>
  <c r="C35" i="8"/>
  <c r="D35" i="8" s="1"/>
  <c r="E35" i="8" s="1"/>
  <c r="C39" i="8"/>
  <c r="D39" i="8" s="1"/>
  <c r="E39" i="8" s="1"/>
  <c r="C4" i="8"/>
  <c r="D4" i="8" s="1"/>
  <c r="E4" i="8" s="1"/>
  <c r="C8" i="8"/>
  <c r="D8" i="8" s="1"/>
  <c r="E8" i="8" s="1"/>
  <c r="C12" i="8"/>
  <c r="D12" i="8" s="1"/>
  <c r="E12" i="8" s="1"/>
  <c r="C16" i="8"/>
  <c r="D16" i="8" s="1"/>
  <c r="E16" i="8" s="1"/>
  <c r="C20" i="8"/>
  <c r="D20" i="8" s="1"/>
  <c r="E20" i="8" s="1"/>
  <c r="C24" i="8"/>
  <c r="D24" i="8" s="1"/>
  <c r="E24" i="8" s="1"/>
  <c r="C28" i="8"/>
  <c r="D28" i="8" s="1"/>
  <c r="E28" i="8" s="1"/>
  <c r="C32" i="8"/>
  <c r="D32" i="8" s="1"/>
  <c r="E32" i="8" s="1"/>
  <c r="C36" i="8"/>
  <c r="D36" i="8" s="1"/>
  <c r="E36" i="8" s="1"/>
  <c r="C40" i="8"/>
  <c r="D40" i="8" s="1"/>
  <c r="E40" i="8" s="1"/>
  <c r="C1" i="8"/>
  <c r="D1" i="8" s="1"/>
  <c r="E1" i="8" s="1"/>
  <c r="C2" i="7"/>
  <c r="D2" i="7" s="1"/>
  <c r="E2" i="7" s="1"/>
  <c r="C3" i="7"/>
  <c r="D3" i="7" s="1"/>
  <c r="E3" i="7" s="1"/>
  <c r="C7" i="7"/>
  <c r="D7" i="7" s="1"/>
  <c r="E7" i="7" s="1"/>
  <c r="C11" i="7"/>
  <c r="D11" i="7" s="1"/>
  <c r="E11" i="7" s="1"/>
  <c r="C15" i="7"/>
  <c r="D15" i="7" s="1"/>
  <c r="E15" i="7" s="1"/>
  <c r="C19" i="7"/>
  <c r="D19" i="7" s="1"/>
  <c r="E19" i="7" s="1"/>
  <c r="C23" i="7"/>
  <c r="D23" i="7" s="1"/>
  <c r="E23" i="7" s="1"/>
  <c r="C27" i="7"/>
  <c r="D27" i="7" s="1"/>
  <c r="E27" i="7" s="1"/>
  <c r="C31" i="7"/>
  <c r="D31" i="7" s="1"/>
  <c r="E31" i="7" s="1"/>
  <c r="C35" i="7"/>
  <c r="D35" i="7" s="1"/>
  <c r="E35" i="7" s="1"/>
  <c r="C39" i="7"/>
  <c r="D39" i="7" s="1"/>
  <c r="E39" i="7" s="1"/>
  <c r="C4" i="7"/>
  <c r="D4" i="7" s="1"/>
  <c r="E4" i="7" s="1"/>
  <c r="C8" i="7"/>
  <c r="D8" i="7" s="1"/>
  <c r="E8" i="7" s="1"/>
  <c r="C12" i="7"/>
  <c r="D12" i="7" s="1"/>
  <c r="E12" i="7" s="1"/>
  <c r="C16" i="7"/>
  <c r="D16" i="7" s="1"/>
  <c r="E16" i="7" s="1"/>
  <c r="C20" i="7"/>
  <c r="D20" i="7" s="1"/>
  <c r="E20" i="7" s="1"/>
  <c r="C24" i="7"/>
  <c r="D24" i="7" s="1"/>
  <c r="E24" i="7" s="1"/>
  <c r="C28" i="7"/>
  <c r="D28" i="7" s="1"/>
  <c r="E28" i="7" s="1"/>
  <c r="C32" i="7"/>
  <c r="D32" i="7" s="1"/>
  <c r="E32" i="7" s="1"/>
  <c r="C36" i="7"/>
  <c r="D36" i="7" s="1"/>
  <c r="E36" i="7" s="1"/>
  <c r="C40" i="7"/>
  <c r="D40" i="7" s="1"/>
  <c r="E40" i="7" s="1"/>
  <c r="C2" i="6"/>
  <c r="D2" i="6" s="1"/>
  <c r="E2" i="6" s="1"/>
  <c r="C6" i="6"/>
  <c r="D6" i="6" s="1"/>
  <c r="E6" i="6" s="1"/>
  <c r="C10" i="6"/>
  <c r="D10" i="6" s="1"/>
  <c r="E10" i="6" s="1"/>
  <c r="C14" i="6"/>
  <c r="D14" i="6" s="1"/>
  <c r="E14" i="6" s="1"/>
  <c r="C18" i="6"/>
  <c r="D18" i="6" s="1"/>
  <c r="E18" i="6" s="1"/>
  <c r="C22" i="6"/>
  <c r="D22" i="6" s="1"/>
  <c r="E22" i="6" s="1"/>
  <c r="C26" i="6"/>
  <c r="D26" i="6" s="1"/>
  <c r="E26" i="6" s="1"/>
  <c r="C30" i="6"/>
  <c r="D30" i="6" s="1"/>
  <c r="E30" i="6" s="1"/>
  <c r="C34" i="6"/>
  <c r="D34" i="6" s="1"/>
  <c r="E34" i="6" s="1"/>
  <c r="C38" i="6"/>
  <c r="D38" i="6" s="1"/>
  <c r="E38" i="6" s="1"/>
  <c r="C7" i="6"/>
  <c r="D7" i="6" s="1"/>
  <c r="E7" i="6" s="1"/>
  <c r="C11" i="6"/>
  <c r="D11" i="6" s="1"/>
  <c r="E11" i="6" s="1"/>
  <c r="C15" i="6"/>
  <c r="D15" i="6" s="1"/>
  <c r="E15" i="6" s="1"/>
  <c r="C19" i="6"/>
  <c r="D19" i="6" s="1"/>
  <c r="E19" i="6" s="1"/>
  <c r="C23" i="6"/>
  <c r="D23" i="6" s="1"/>
  <c r="E23" i="6" s="1"/>
  <c r="C27" i="6"/>
  <c r="D27" i="6" s="1"/>
  <c r="E27" i="6" s="1"/>
  <c r="C31" i="6"/>
  <c r="D31" i="6" s="1"/>
  <c r="E31" i="6" s="1"/>
  <c r="C35" i="6"/>
  <c r="D35" i="6" s="1"/>
  <c r="E35" i="6" s="1"/>
  <c r="C39" i="6"/>
  <c r="D39" i="6" s="1"/>
  <c r="E39" i="6" s="1"/>
  <c r="C4" i="6"/>
  <c r="D4" i="6" s="1"/>
  <c r="E4" i="6" s="1"/>
  <c r="C40" i="6"/>
  <c r="D40" i="6" s="1"/>
  <c r="E40" i="6" s="1"/>
  <c r="C2" i="5"/>
  <c r="D2" i="5" s="1"/>
  <c r="E2" i="5" s="1"/>
  <c r="C7" i="5"/>
  <c r="D7" i="5" s="1"/>
  <c r="E7" i="5" s="1"/>
  <c r="C11" i="5"/>
  <c r="D11" i="5" s="1"/>
  <c r="E11" i="5" s="1"/>
  <c r="C15" i="5"/>
  <c r="D15" i="5" s="1"/>
  <c r="E15" i="5" s="1"/>
  <c r="C19" i="5"/>
  <c r="D19" i="5" s="1"/>
  <c r="E19" i="5" s="1"/>
  <c r="C23" i="5"/>
  <c r="D23" i="5" s="1"/>
  <c r="E23" i="5" s="1"/>
  <c r="C27" i="5"/>
  <c r="D27" i="5" s="1"/>
  <c r="E27" i="5" s="1"/>
  <c r="C31" i="5"/>
  <c r="D31" i="5" s="1"/>
  <c r="E31" i="5" s="1"/>
  <c r="C35" i="5"/>
  <c r="D35" i="5" s="1"/>
  <c r="E35" i="5" s="1"/>
  <c r="C39" i="5"/>
  <c r="D39" i="5" s="1"/>
  <c r="E39" i="5" s="1"/>
  <c r="C4" i="5"/>
  <c r="D4" i="5" s="1"/>
  <c r="E4" i="5" s="1"/>
  <c r="C8" i="5"/>
  <c r="D8" i="5" s="1"/>
  <c r="E8" i="5" s="1"/>
  <c r="C12" i="5"/>
  <c r="D12" i="5" s="1"/>
  <c r="E12" i="5" s="1"/>
  <c r="C16" i="5"/>
  <c r="D16" i="5" s="1"/>
  <c r="E16" i="5" s="1"/>
  <c r="C20" i="5"/>
  <c r="D20" i="5" s="1"/>
  <c r="E20" i="5" s="1"/>
  <c r="C24" i="5"/>
  <c r="D24" i="5" s="1"/>
  <c r="E24" i="5" s="1"/>
  <c r="C28" i="5"/>
  <c r="D28" i="5" s="1"/>
  <c r="E28" i="5" s="1"/>
  <c r="C32" i="5"/>
  <c r="D32" i="5" s="1"/>
  <c r="E32" i="5" s="1"/>
  <c r="C36" i="5"/>
  <c r="D36" i="5" s="1"/>
  <c r="E36" i="5" s="1"/>
  <c r="C2" i="4"/>
  <c r="D2" i="4" s="1"/>
  <c r="E2" i="4" s="1"/>
  <c r="C34" i="4"/>
  <c r="D34" i="4" s="1"/>
  <c r="E34" i="4" s="1"/>
  <c r="C38" i="4"/>
  <c r="D38" i="4" s="1"/>
  <c r="E38" i="4" s="1"/>
  <c r="C7" i="4"/>
  <c r="D7" i="4" s="1"/>
  <c r="E7" i="4" s="1"/>
  <c r="C11" i="4"/>
  <c r="D11" i="4" s="1"/>
  <c r="E11" i="4" s="1"/>
  <c r="C15" i="4"/>
  <c r="D15" i="4" s="1"/>
  <c r="E15" i="4" s="1"/>
  <c r="C19" i="4"/>
  <c r="D19" i="4" s="1"/>
  <c r="E19" i="4" s="1"/>
  <c r="C23" i="4"/>
  <c r="D23" i="4" s="1"/>
  <c r="E23" i="4" s="1"/>
  <c r="C27" i="4"/>
  <c r="D27" i="4" s="1"/>
  <c r="E27" i="4" s="1"/>
  <c r="C31" i="4"/>
  <c r="D31" i="4" s="1"/>
  <c r="E31" i="4" s="1"/>
  <c r="C35" i="4"/>
  <c r="D35" i="4" s="1"/>
  <c r="E35" i="4" s="1"/>
  <c r="C39" i="4"/>
  <c r="D39" i="4" s="1"/>
  <c r="E39" i="4" s="1"/>
  <c r="C4" i="4"/>
  <c r="D4" i="4" s="1"/>
  <c r="E4" i="4" s="1"/>
  <c r="C8" i="4"/>
  <c r="D8" i="4" s="1"/>
  <c r="E8" i="4" s="1"/>
  <c r="C12" i="4"/>
  <c r="D12" i="4" s="1"/>
  <c r="E12" i="4" s="1"/>
  <c r="C16" i="4"/>
  <c r="D16" i="4" s="1"/>
  <c r="E16" i="4" s="1"/>
  <c r="C20" i="4"/>
  <c r="D20" i="4" s="1"/>
  <c r="E20" i="4" s="1"/>
  <c r="C24" i="4"/>
  <c r="D24" i="4" s="1"/>
  <c r="E24" i="4" s="1"/>
  <c r="C28" i="4"/>
  <c r="D28" i="4" s="1"/>
  <c r="E28" i="4" s="1"/>
  <c r="C32" i="4"/>
  <c r="D32" i="4" s="1"/>
  <c r="E32" i="4" s="1"/>
  <c r="C36" i="4"/>
  <c r="D36" i="4" s="1"/>
  <c r="E36" i="4" s="1"/>
  <c r="C40" i="4"/>
  <c r="D40" i="4" s="1"/>
  <c r="E40" i="4" s="1"/>
  <c r="C1" i="4"/>
  <c r="D1" i="4" s="1"/>
  <c r="E1" i="4" s="1"/>
  <c r="C2" i="3"/>
  <c r="D2" i="3" s="1"/>
  <c r="E2" i="3" s="1"/>
  <c r="C6" i="3"/>
  <c r="D6" i="3" s="1"/>
  <c r="E6" i="3" s="1"/>
  <c r="C10" i="3"/>
  <c r="D10" i="3" s="1"/>
  <c r="E10" i="3" s="1"/>
  <c r="C14" i="3"/>
  <c r="D14" i="3" s="1"/>
  <c r="E14" i="3" s="1"/>
  <c r="C18" i="3"/>
  <c r="D18" i="3" s="1"/>
  <c r="E18" i="3" s="1"/>
  <c r="C22" i="3"/>
  <c r="D22" i="3" s="1"/>
  <c r="E22" i="3" s="1"/>
  <c r="C26" i="3"/>
  <c r="D26" i="3" s="1"/>
  <c r="E26" i="3" s="1"/>
  <c r="C30" i="3"/>
  <c r="D30" i="3" s="1"/>
  <c r="E30" i="3" s="1"/>
  <c r="C34" i="3"/>
  <c r="D34" i="3" s="1"/>
  <c r="E34" i="3" s="1"/>
  <c r="C38" i="3"/>
  <c r="D38" i="3" s="1"/>
  <c r="E38" i="3" s="1"/>
  <c r="C3" i="3"/>
  <c r="D3" i="3" s="1"/>
  <c r="E3" i="3" s="1"/>
  <c r="C4" i="3"/>
  <c r="D4" i="3" s="1"/>
  <c r="E4" i="3" s="1"/>
  <c r="C8" i="3"/>
  <c r="D8" i="3" s="1"/>
  <c r="E8" i="3" s="1"/>
  <c r="C12" i="3"/>
  <c r="D12" i="3" s="1"/>
  <c r="E12" i="3" s="1"/>
  <c r="C16" i="3"/>
  <c r="D16" i="3" s="1"/>
  <c r="E16" i="3" s="1"/>
  <c r="C20" i="3"/>
  <c r="D20" i="3" s="1"/>
  <c r="E20" i="3" s="1"/>
  <c r="C24" i="3"/>
  <c r="D24" i="3" s="1"/>
  <c r="E24" i="3" s="1"/>
  <c r="C28" i="3"/>
  <c r="D28" i="3" s="1"/>
  <c r="E28" i="3" s="1"/>
  <c r="C32" i="3"/>
  <c r="D32" i="3" s="1"/>
  <c r="E32" i="3" s="1"/>
  <c r="C36" i="3"/>
  <c r="D36" i="3" s="1"/>
  <c r="E36" i="3" s="1"/>
  <c r="C40" i="3"/>
  <c r="D40" i="3" s="1"/>
  <c r="E40" i="3" s="1"/>
  <c r="C6" i="2"/>
  <c r="D6" i="2" s="1"/>
  <c r="E6" i="2" s="1"/>
  <c r="C10" i="2"/>
  <c r="D10" i="2" s="1"/>
  <c r="E10" i="2" s="1"/>
  <c r="C14" i="2"/>
  <c r="D14" i="2" s="1"/>
  <c r="E14" i="2" s="1"/>
  <c r="C18" i="2"/>
  <c r="D18" i="2" s="1"/>
  <c r="E18" i="2" s="1"/>
  <c r="C22" i="2"/>
  <c r="D22" i="2" s="1"/>
  <c r="E22" i="2" s="1"/>
  <c r="C26" i="2"/>
  <c r="D26" i="2" s="1"/>
  <c r="E26" i="2" s="1"/>
  <c r="C30" i="2"/>
  <c r="D30" i="2" s="1"/>
  <c r="E30" i="2" s="1"/>
  <c r="C34" i="2"/>
  <c r="D34" i="2" s="1"/>
  <c r="E34" i="2" s="1"/>
  <c r="C38" i="2"/>
  <c r="D38" i="2" s="1"/>
  <c r="E38" i="2" s="1"/>
  <c r="C3" i="2"/>
  <c r="D3" i="2" s="1"/>
  <c r="E3" i="2" s="1"/>
  <c r="C7" i="2"/>
  <c r="D7" i="2" s="1"/>
  <c r="E7" i="2" s="1"/>
  <c r="C11" i="2"/>
  <c r="D11" i="2" s="1"/>
  <c r="E11" i="2" s="1"/>
  <c r="C15" i="2"/>
  <c r="D15" i="2" s="1"/>
  <c r="E15" i="2" s="1"/>
  <c r="C19" i="2"/>
  <c r="D19" i="2" s="1"/>
  <c r="E19" i="2" s="1"/>
  <c r="C23" i="2"/>
  <c r="D23" i="2" s="1"/>
  <c r="E23" i="2" s="1"/>
  <c r="C27" i="2"/>
  <c r="D27" i="2" s="1"/>
  <c r="E27" i="2" s="1"/>
  <c r="C31" i="2"/>
  <c r="D31" i="2" s="1"/>
  <c r="E31" i="2" s="1"/>
  <c r="C35" i="2"/>
  <c r="D35" i="2" s="1"/>
  <c r="E35" i="2" s="1"/>
  <c r="C39" i="2"/>
  <c r="D39" i="2" s="1"/>
  <c r="E39" i="2" s="1"/>
  <c r="C4" i="2"/>
  <c r="D4" i="2" s="1"/>
  <c r="E4" i="2" s="1"/>
  <c r="C8" i="2"/>
  <c r="D8" i="2" s="1"/>
  <c r="E8" i="2" s="1"/>
  <c r="C12" i="2"/>
  <c r="D12" i="2" s="1"/>
  <c r="E12" i="2" s="1"/>
  <c r="C16" i="2"/>
  <c r="D16" i="2" s="1"/>
  <c r="E16" i="2" s="1"/>
  <c r="C20" i="2"/>
  <c r="D20" i="2" s="1"/>
  <c r="E20" i="2" s="1"/>
  <c r="C24" i="2"/>
  <c r="D24" i="2" s="1"/>
  <c r="E24" i="2" s="1"/>
  <c r="C28" i="2"/>
  <c r="D28" i="2" s="1"/>
  <c r="E28" i="2" s="1"/>
  <c r="C32" i="2"/>
  <c r="D32" i="2" s="1"/>
  <c r="E32" i="2" s="1"/>
  <c r="C36" i="2"/>
  <c r="D36" i="2" s="1"/>
  <c r="E36" i="2" s="1"/>
  <c r="C40" i="2"/>
  <c r="D40" i="2" s="1"/>
  <c r="E40" i="2" s="1"/>
  <c r="C1" i="2"/>
  <c r="D1" i="2" s="1"/>
  <c r="E1" i="2" s="1"/>
  <c r="H5" i="31" l="1"/>
  <c r="H5" i="30"/>
  <c r="H5" i="28"/>
  <c r="H5" i="21"/>
  <c r="H5" i="18"/>
  <c r="H5" i="17"/>
  <c r="H5" i="16"/>
  <c r="H5" i="15"/>
  <c r="H5" i="14"/>
  <c r="H5" i="12"/>
  <c r="H5" i="11"/>
  <c r="H5" i="9"/>
  <c r="H5" i="7"/>
  <c r="H5" i="6"/>
  <c r="H5" i="5"/>
  <c r="H5" i="3"/>
  <c r="H5" i="32"/>
  <c r="H5" i="29"/>
  <c r="H5" i="27"/>
  <c r="H5" i="26"/>
  <c r="H5" i="25"/>
  <c r="H5" i="24"/>
  <c r="H5" i="23"/>
  <c r="H5" i="22"/>
  <c r="H5" i="20"/>
  <c r="H5" i="19"/>
  <c r="H5" i="13"/>
  <c r="H5" i="10"/>
  <c r="H5" i="8"/>
  <c r="H5" i="4"/>
  <c r="H5" i="2"/>
</calcChain>
</file>

<file path=xl/sharedStrings.xml><?xml version="1.0" encoding="utf-8"?>
<sst xmlns="http://schemas.openxmlformats.org/spreadsheetml/2006/main" count="93" uniqueCount="3">
  <si>
    <t>b</t>
  </si>
  <si>
    <t>a_b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</si>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</sst>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D669-9CC7-423F-87E3-F4997FDD1CD4}">
  <dimension ref="A1:B31"/>
  <sheetViews>
    <sheetView workbookViewId="0">
      <selection activeCell="F26" sqref="F26"/>
    </sheetView>
  </sheetViews>
  <sheetFormatPr defaultRowHeight="15.75" x14ac:dyDescent="0.25"/>
  <sheetData>
    <row r="1" spans="1:2" x14ac:dyDescent="0.25">
      <c r="A1">
        <v>1E-4</v>
      </c>
      <c r="B1">
        <f>'0.0001'!$H$1</f>
        <v>0.14644850494793282</v>
      </c>
    </row>
    <row r="2" spans="1:2" x14ac:dyDescent="0.25">
      <c r="A2">
        <v>1E-3</v>
      </c>
      <c r="B2">
        <f>'0.001'!$H$1</f>
        <v>0.15280467649235663</v>
      </c>
    </row>
    <row r="3" spans="1:2" x14ac:dyDescent="0.25">
      <c r="A3">
        <v>5.0000000000000001E-3</v>
      </c>
      <c r="B3">
        <f>'0.005'!$H$1</f>
        <v>0.18897243275793035</v>
      </c>
    </row>
    <row r="4" spans="1:2" x14ac:dyDescent="0.25">
      <c r="A4">
        <v>0.01</v>
      </c>
      <c r="B4">
        <f>'0.01'!$H$1</f>
        <v>0.2178941877473661</v>
      </c>
    </row>
    <row r="5" spans="1:2" x14ac:dyDescent="0.25">
      <c r="A5">
        <v>2.5000000000000001E-2</v>
      </c>
      <c r="B5">
        <f>'0.025'!$H$1</f>
        <v>0.27475581742066174</v>
      </c>
    </row>
    <row r="6" spans="1:2" x14ac:dyDescent="0.25">
      <c r="A6">
        <v>0.05</v>
      </c>
      <c r="B6">
        <f>'0.05'!$H$1</f>
        <v>0.34140967242134856</v>
      </c>
    </row>
    <row r="7" spans="1:2" x14ac:dyDescent="0.25">
      <c r="A7">
        <v>7.4999999999999997E-2</v>
      </c>
      <c r="B7">
        <f>'0.075'!$H$1</f>
        <v>0.3943566739712297</v>
      </c>
    </row>
    <row r="8" spans="1:2" x14ac:dyDescent="0.25">
      <c r="A8">
        <v>0.1</v>
      </c>
      <c r="B8">
        <f>'0.1'!$H$1</f>
        <v>0.44236566846930447</v>
      </c>
    </row>
    <row r="9" spans="1:2" x14ac:dyDescent="0.25">
      <c r="A9">
        <v>0.15</v>
      </c>
      <c r="B9">
        <f>'0.15'!$H$1</f>
        <v>0.53360010819468839</v>
      </c>
    </row>
    <row r="10" spans="1:2" x14ac:dyDescent="0.25">
      <c r="A10">
        <v>0.2</v>
      </c>
      <c r="B10">
        <f>'0.2'!$H$1</f>
        <v>0.61774197059976366</v>
      </c>
    </row>
    <row r="11" spans="1:2" x14ac:dyDescent="0.25">
      <c r="A11">
        <v>0.25</v>
      </c>
      <c r="B11">
        <f>'0.25'!$H$1</f>
        <v>0.70202368703587126</v>
      </c>
    </row>
    <row r="12" spans="1:2" x14ac:dyDescent="0.25">
      <c r="A12">
        <v>0.3</v>
      </c>
      <c r="B12">
        <f>'0.3'!$H$1</f>
        <v>0.79641401519012545</v>
      </c>
    </row>
    <row r="13" spans="1:2" x14ac:dyDescent="0.25">
      <c r="A13">
        <v>0.35</v>
      </c>
      <c r="B13">
        <f>'0.35'!$H$1</f>
        <v>0.89055131597131787</v>
      </c>
    </row>
    <row r="14" spans="1:2" x14ac:dyDescent="0.25">
      <c r="A14">
        <v>0.4</v>
      </c>
      <c r="B14">
        <f>'0.4'!$H$1</f>
        <v>0.98908047170175739</v>
      </c>
    </row>
    <row r="15" spans="1:2" x14ac:dyDescent="0.25">
      <c r="A15">
        <v>0.45</v>
      </c>
      <c r="B15">
        <f>'0.45'!$H$1</f>
        <v>1.0996676021151996</v>
      </c>
    </row>
    <row r="16" spans="1:2" x14ac:dyDescent="0.25">
      <c r="A16">
        <v>0.5</v>
      </c>
      <c r="B16">
        <f>'0.5'!$H$1</f>
        <v>1.2190923209808573</v>
      </c>
    </row>
    <row r="17" spans="1:2" x14ac:dyDescent="0.25">
      <c r="A17">
        <v>0.55000000000000004</v>
      </c>
      <c r="B17">
        <f>'0.55'!$H$1</f>
        <v>1.3556085161687823</v>
      </c>
    </row>
    <row r="18" spans="1:2" x14ac:dyDescent="0.25">
      <c r="A18">
        <v>0.6</v>
      </c>
      <c r="B18">
        <f>'0.6'!$H$1</f>
        <v>1.5159694552276455</v>
      </c>
    </row>
    <row r="19" spans="1:2" x14ac:dyDescent="0.25">
      <c r="A19">
        <v>0.65</v>
      </c>
      <c r="B19">
        <f>'0.65'!$H$1</f>
        <v>1.7027638127799216</v>
      </c>
    </row>
    <row r="20" spans="1:2" x14ac:dyDescent="0.25">
      <c r="A20">
        <v>0.7</v>
      </c>
      <c r="B20">
        <f>'0.7'!$H$1</f>
        <v>1.9296940591384528</v>
      </c>
    </row>
    <row r="21" spans="1:2" x14ac:dyDescent="0.25">
      <c r="A21">
        <v>0.75</v>
      </c>
      <c r="B21">
        <f>'0.75'!$H$1</f>
        <v>2.223607919199075</v>
      </c>
    </row>
    <row r="22" spans="1:2" x14ac:dyDescent="0.25">
      <c r="A22">
        <v>0.8</v>
      </c>
      <c r="B22">
        <f>'0.8'!$H$1</f>
        <v>2.6167449546035586</v>
      </c>
    </row>
    <row r="23" spans="1:2" x14ac:dyDescent="0.25">
      <c r="A23">
        <v>0.85</v>
      </c>
      <c r="B23">
        <f>'0.85'!$H$1</f>
        <v>3.1830452593869749</v>
      </c>
    </row>
    <row r="24" spans="1:2" x14ac:dyDescent="0.25">
      <c r="A24">
        <v>0.9</v>
      </c>
      <c r="B24">
        <f>'0.9'!$H$1</f>
        <v>4.1495588118114721</v>
      </c>
    </row>
    <row r="25" spans="1:2" x14ac:dyDescent="0.25">
      <c r="A25">
        <v>0.92500000000000004</v>
      </c>
      <c r="B25">
        <f>'0.925'!$H$1</f>
        <v>4.9546198439878113</v>
      </c>
    </row>
    <row r="26" spans="1:2" x14ac:dyDescent="0.25">
      <c r="A26">
        <v>0.95</v>
      </c>
      <c r="B26">
        <f>'0.95'!$H$1</f>
        <v>6.2821046532343701</v>
      </c>
    </row>
    <row r="27" spans="1:2" x14ac:dyDescent="0.25">
      <c r="A27">
        <v>0.97499999999999998</v>
      </c>
      <c r="B27">
        <f>'0.975'!$H$1</f>
        <v>9.35759247339133</v>
      </c>
    </row>
    <row r="28" spans="1:2" x14ac:dyDescent="0.25">
      <c r="A28">
        <v>0.99</v>
      </c>
      <c r="B28">
        <f>'0.99'!$H$1</f>
        <v>15.428858420856521</v>
      </c>
    </row>
    <row r="29" spans="1:2" x14ac:dyDescent="0.25">
      <c r="A29">
        <v>0.995</v>
      </c>
      <c r="B29">
        <f>'0.995'!$H$1</f>
        <v>22.26352776045827</v>
      </c>
    </row>
    <row r="30" spans="1:2" x14ac:dyDescent="0.25">
      <c r="A30">
        <v>0.999</v>
      </c>
      <c r="B30">
        <f>'0.999'!$H$1</f>
        <v>50.718312257442406</v>
      </c>
    </row>
    <row r="31" spans="1:2" x14ac:dyDescent="0.25">
      <c r="A31">
        <v>0.99990000000000001</v>
      </c>
      <c r="B31">
        <f>'0.9999'!$H$1</f>
        <v>176.21559083653085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F990-C9A9-4845-91C8-6AD59E27ED2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4.7471351699999997E-2</v>
      </c>
      <c r="B1">
        <v>0.71417896234600953</v>
      </c>
      <c r="C1">
        <f>$H$3*(1+$H$1)*(A1^($H$1))*EXP(-$H$3*(A1^(1+$H$1)))</f>
        <v>0.67428522155158577</v>
      </c>
      <c r="D1">
        <f>B1-C1</f>
        <v>3.989374079442376E-2</v>
      </c>
      <c r="E1">
        <f>D1^2</f>
        <v>1.5915105545726705E-3</v>
      </c>
      <c r="G1" t="s">
        <v>0</v>
      </c>
      <c r="H1">
        <v>0.14644850494793282</v>
      </c>
    </row>
    <row r="2" spans="1:8" x14ac:dyDescent="0.25">
      <c r="A2">
        <v>0.13959154109999999</v>
      </c>
      <c r="B2">
        <v>0.70530293317727322</v>
      </c>
      <c r="C2">
        <f t="shared" ref="C2:C40" si="0">$H$3*(1+$H$1)*(A2^($H$1))*EXP(-$H$3*(A2^(1+$H$1)))</f>
        <v>0.73612004619287419</v>
      </c>
      <c r="D2">
        <f t="shared" ref="D2:D40" si="1">B2-C2</f>
        <v>-3.0817113015600972E-2</v>
      </c>
      <c r="E2">
        <f t="shared" ref="E2:E40" si="2">D2^2</f>
        <v>9.4969445461632284E-4</v>
      </c>
    </row>
    <row r="3" spans="1:8" x14ac:dyDescent="0.25">
      <c r="A3">
        <v>0.23171173049999999</v>
      </c>
      <c r="B3">
        <v>0.68550256041624624</v>
      </c>
      <c r="C3">
        <f t="shared" si="0"/>
        <v>0.73337251256165181</v>
      </c>
      <c r="D3">
        <f t="shared" si="1"/>
        <v>-4.786995214540557E-2</v>
      </c>
      <c r="E3">
        <f t="shared" si="2"/>
        <v>2.2915323184034193E-3</v>
      </c>
      <c r="G3" t="s">
        <v>1</v>
      </c>
      <c r="H3">
        <f>(_xlfn.GAMMA((2+$H$1)/(1+$H$1)))^(1+$H$1)</f>
        <v>0.94580766063743749</v>
      </c>
    </row>
    <row r="4" spans="1:8" x14ac:dyDescent="0.25">
      <c r="A4">
        <v>0.32383191989999999</v>
      </c>
      <c r="B4">
        <v>0.660922787333592</v>
      </c>
      <c r="C4">
        <f t="shared" si="0"/>
        <v>0.70904591294903963</v>
      </c>
      <c r="D4">
        <f t="shared" si="1"/>
        <v>-4.8123125615447626E-2</v>
      </c>
      <c r="E4">
        <f t="shared" si="2"/>
        <v>2.3158352190001514E-3</v>
      </c>
    </row>
    <row r="5" spans="1:8" x14ac:dyDescent="0.25">
      <c r="A5">
        <v>0.41595210929999998</v>
      </c>
      <c r="B5">
        <v>0.5967422687288837</v>
      </c>
      <c r="C5">
        <f t="shared" si="0"/>
        <v>0.67469584938455707</v>
      </c>
      <c r="D5">
        <f t="shared" si="1"/>
        <v>-7.7953580655673371E-2</v>
      </c>
      <c r="E5">
        <f t="shared" si="2"/>
        <v>6.076760737040574E-3</v>
      </c>
      <c r="G5" t="s">
        <v>2</v>
      </c>
      <c r="H5">
        <f>SUM(E1:E40)</f>
        <v>5.3765435405411455E-2</v>
      </c>
    </row>
    <row r="6" spans="1:8" x14ac:dyDescent="0.25">
      <c r="A6">
        <v>0.50807229869999992</v>
      </c>
      <c r="B6">
        <v>0.53256175012417539</v>
      </c>
      <c r="C6">
        <f t="shared" si="0"/>
        <v>0.63547363660087497</v>
      </c>
      <c r="D6">
        <f t="shared" si="1"/>
        <v>-0.10291188647669958</v>
      </c>
      <c r="E6">
        <f t="shared" si="2"/>
        <v>1.0590856378193101E-2</v>
      </c>
    </row>
    <row r="7" spans="1:8" x14ac:dyDescent="0.25">
      <c r="A7">
        <v>0.60019248810000003</v>
      </c>
      <c r="B7">
        <v>0.52778234980254812</v>
      </c>
      <c r="C7">
        <f t="shared" si="0"/>
        <v>0.59417353375429671</v>
      </c>
      <c r="D7">
        <f t="shared" si="1"/>
        <v>-6.6391183951748589E-2</v>
      </c>
      <c r="E7">
        <f t="shared" si="2"/>
        <v>4.407789306514919E-3</v>
      </c>
    </row>
    <row r="8" spans="1:8" x14ac:dyDescent="0.25">
      <c r="A8">
        <v>0.69231267749999992</v>
      </c>
      <c r="B8">
        <v>0.53187897864965716</v>
      </c>
      <c r="C8">
        <f t="shared" si="0"/>
        <v>0.55246549196084271</v>
      </c>
      <c r="D8">
        <f t="shared" si="1"/>
        <v>-2.058651331118555E-2</v>
      </c>
      <c r="E8">
        <f t="shared" si="2"/>
        <v>4.2380453031161982E-4</v>
      </c>
    </row>
    <row r="9" spans="1:8" x14ac:dyDescent="0.25">
      <c r="A9">
        <v>0.78443286690000003</v>
      </c>
      <c r="B9">
        <v>0.51412692031218465</v>
      </c>
      <c r="C9">
        <f t="shared" si="0"/>
        <v>0.51139669889273021</v>
      </c>
      <c r="D9">
        <f t="shared" si="1"/>
        <v>2.7302214194544483E-3</v>
      </c>
      <c r="E9">
        <f t="shared" si="2"/>
        <v>7.4541089992478626E-6</v>
      </c>
    </row>
    <row r="10" spans="1:8" x14ac:dyDescent="0.25">
      <c r="A10">
        <v>0.87655305629999991</v>
      </c>
      <c r="B10">
        <v>0.4383392866406674</v>
      </c>
      <c r="C10">
        <f t="shared" si="0"/>
        <v>0.47163509862299224</v>
      </c>
      <c r="D10">
        <f t="shared" si="1"/>
        <v>-3.3295811982324841E-2</v>
      </c>
      <c r="E10">
        <f t="shared" si="2"/>
        <v>1.1086110955623265E-3</v>
      </c>
    </row>
    <row r="11" spans="1:8" x14ac:dyDescent="0.25">
      <c r="A11">
        <v>0.96867324570000002</v>
      </c>
      <c r="B11">
        <v>0.40966288471090412</v>
      </c>
      <c r="C11">
        <f t="shared" si="0"/>
        <v>0.43360280492949843</v>
      </c>
      <c r="D11">
        <f t="shared" si="1"/>
        <v>-2.3939920218594313E-2</v>
      </c>
      <c r="E11">
        <f t="shared" si="2"/>
        <v>5.7311978007266074E-4</v>
      </c>
    </row>
    <row r="12" spans="1:8" x14ac:dyDescent="0.25">
      <c r="A12">
        <v>1.0607934350999999</v>
      </c>
      <c r="B12">
        <v>0.40829734176186777</v>
      </c>
      <c r="C12">
        <f t="shared" si="0"/>
        <v>0.39755584673822747</v>
      </c>
      <c r="D12">
        <f t="shared" si="1"/>
        <v>1.0741495023640302E-2</v>
      </c>
      <c r="E12">
        <f t="shared" si="2"/>
        <v>1.1537971534288937E-4</v>
      </c>
    </row>
    <row r="13" spans="1:8" x14ac:dyDescent="0.25">
      <c r="A13">
        <v>1.1529136245</v>
      </c>
      <c r="B13">
        <v>0.39805576964409517</v>
      </c>
      <c r="C13">
        <f t="shared" si="0"/>
        <v>0.36363501884039412</v>
      </c>
      <c r="D13">
        <f t="shared" si="1"/>
        <v>3.442075080370105E-2</v>
      </c>
      <c r="E13">
        <f t="shared" si="2"/>
        <v>1.1847880858904866E-3</v>
      </c>
    </row>
    <row r="14" spans="1:8" x14ac:dyDescent="0.25">
      <c r="A14">
        <v>1.2450338139000001</v>
      </c>
      <c r="B14">
        <v>0.3509445379023412</v>
      </c>
      <c r="C14">
        <f t="shared" si="0"/>
        <v>0.33189992233869281</v>
      </c>
      <c r="D14">
        <f t="shared" si="1"/>
        <v>1.9044615563648393E-2</v>
      </c>
      <c r="E14">
        <f t="shared" si="2"/>
        <v>3.6269738196715857E-4</v>
      </c>
    </row>
    <row r="15" spans="1:8" x14ac:dyDescent="0.25">
      <c r="A15">
        <v>1.3371540033</v>
      </c>
      <c r="B15">
        <v>0.31885427859998705</v>
      </c>
      <c r="C15">
        <f t="shared" si="0"/>
        <v>0.30235260154980842</v>
      </c>
      <c r="D15">
        <f t="shared" si="1"/>
        <v>1.6501677050178631E-2</v>
      </c>
      <c r="E15">
        <f t="shared" si="2"/>
        <v>2.7230534546839215E-4</v>
      </c>
    </row>
    <row r="16" spans="1:8" x14ac:dyDescent="0.25">
      <c r="A16">
        <v>1.4292741926999999</v>
      </c>
      <c r="B16">
        <v>0.31475764975287801</v>
      </c>
      <c r="C16">
        <f t="shared" si="0"/>
        <v>0.27495441239281698</v>
      </c>
      <c r="D16">
        <f t="shared" si="1"/>
        <v>3.9803237360061028E-2</v>
      </c>
      <c r="E16">
        <f t="shared" si="2"/>
        <v>1.5842977043413579E-3</v>
      </c>
    </row>
    <row r="17" spans="1:5" x14ac:dyDescent="0.25">
      <c r="A17">
        <v>1.5213943821</v>
      </c>
      <c r="B17">
        <v>0.30929547795673262</v>
      </c>
      <c r="C17">
        <f t="shared" si="0"/>
        <v>0.24963830464204226</v>
      </c>
      <c r="D17">
        <f t="shared" si="1"/>
        <v>5.9657173314690365E-2</v>
      </c>
      <c r="E17">
        <f t="shared" si="2"/>
        <v>3.5589783278990044E-3</v>
      </c>
    </row>
    <row r="18" spans="1:5" x14ac:dyDescent="0.25">
      <c r="A18">
        <v>1.6135145714999999</v>
      </c>
      <c r="B18">
        <v>0.27788799012889664</v>
      </c>
      <c r="C18">
        <f t="shared" si="0"/>
        <v>0.22631789245645062</v>
      </c>
      <c r="D18">
        <f t="shared" si="1"/>
        <v>5.1570097672446025E-2</v>
      </c>
      <c r="E18">
        <f t="shared" si="2"/>
        <v>2.6594749739456227E-3</v>
      </c>
    </row>
    <row r="19" spans="1:5" x14ac:dyDescent="0.25">
      <c r="A19">
        <v>1.7056347608999998</v>
      </c>
      <c r="B19">
        <v>0.23760447313232438</v>
      </c>
      <c r="C19">
        <f t="shared" si="0"/>
        <v>0.20489421479983805</v>
      </c>
      <c r="D19">
        <f t="shared" si="1"/>
        <v>3.2710258332486336E-2</v>
      </c>
      <c r="E19">
        <f t="shared" si="2"/>
        <v>1.0699610001779919E-3</v>
      </c>
    </row>
    <row r="20" spans="1:5" x14ac:dyDescent="0.25">
      <c r="A20">
        <v>1.7977549502999999</v>
      </c>
      <c r="B20">
        <v>0.21029361415159745</v>
      </c>
      <c r="C20">
        <f t="shared" si="0"/>
        <v>0.18526079823975161</v>
      </c>
      <c r="D20">
        <f t="shared" si="1"/>
        <v>2.5032815911845835E-2</v>
      </c>
      <c r="E20">
        <f t="shared" si="2"/>
        <v>6.2664187247636204E-4</v>
      </c>
    </row>
    <row r="21" spans="1:5" x14ac:dyDescent="0.25">
      <c r="A21">
        <v>1.8898751397</v>
      </c>
      <c r="B21">
        <v>0.21097638562611562</v>
      </c>
      <c r="C21">
        <f t="shared" si="0"/>
        <v>0.16730745083723578</v>
      </c>
      <c r="D21">
        <f t="shared" si="1"/>
        <v>4.3668934788879843E-2</v>
      </c>
      <c r="E21">
        <f t="shared" si="2"/>
        <v>1.9069758655954401E-3</v>
      </c>
    </row>
    <row r="22" spans="1:5" x14ac:dyDescent="0.25">
      <c r="A22">
        <v>1.9819953291000001</v>
      </c>
      <c r="B22">
        <v>0.19458987023767946</v>
      </c>
      <c r="C22">
        <f t="shared" si="0"/>
        <v>0.15092309496452511</v>
      </c>
      <c r="D22">
        <f t="shared" si="1"/>
        <v>4.3666775273154351E-2</v>
      </c>
      <c r="E22">
        <f t="shared" si="2"/>
        <v>1.9067872627561643E-3</v>
      </c>
    </row>
    <row r="23" spans="1:5" x14ac:dyDescent="0.25">
      <c r="A23">
        <v>2.0741155185000002</v>
      </c>
      <c r="B23">
        <v>0.17069286862954339</v>
      </c>
      <c r="C23">
        <f t="shared" si="0"/>
        <v>0.13599786493415914</v>
      </c>
      <c r="D23">
        <f t="shared" si="1"/>
        <v>3.4695003695384252E-2</v>
      </c>
      <c r="E23">
        <f t="shared" si="2"/>
        <v>1.2037432814227269E-3</v>
      </c>
    </row>
    <row r="24" spans="1:5" x14ac:dyDescent="0.25">
      <c r="A24">
        <v>2.1662357078999999</v>
      </c>
      <c r="B24">
        <v>0.15362358176658905</v>
      </c>
      <c r="C24">
        <f t="shared" si="0"/>
        <v>0.12242463823845559</v>
      </c>
      <c r="D24">
        <f t="shared" si="1"/>
        <v>3.119894352813346E-2</v>
      </c>
      <c r="E24">
        <f t="shared" si="2"/>
        <v>9.7337407727166069E-4</v>
      </c>
    </row>
    <row r="25" spans="1:5" x14ac:dyDescent="0.25">
      <c r="A25">
        <v>2.2583558972999995</v>
      </c>
      <c r="B25">
        <v>0.14816140997044366</v>
      </c>
      <c r="C25">
        <f t="shared" si="0"/>
        <v>0.11010012847287461</v>
      </c>
      <c r="D25">
        <f t="shared" si="1"/>
        <v>3.8061281497569058E-2</v>
      </c>
      <c r="E25">
        <f t="shared" si="2"/>
        <v>1.4486611492371927E-3</v>
      </c>
    </row>
    <row r="26" spans="1:5" x14ac:dyDescent="0.25">
      <c r="A26">
        <v>2.3504760866999996</v>
      </c>
      <c r="B26">
        <v>0.14338200964881645</v>
      </c>
      <c r="C26">
        <f t="shared" si="0"/>
        <v>9.8925638341136948E-2</v>
      </c>
      <c r="D26">
        <f t="shared" si="1"/>
        <v>4.4456371307679501E-2</v>
      </c>
      <c r="E26">
        <f t="shared" si="2"/>
        <v>1.9763689498462694E-3</v>
      </c>
    </row>
    <row r="27" spans="1:5" x14ac:dyDescent="0.25">
      <c r="A27">
        <v>2.4425962760999997</v>
      </c>
      <c r="B27">
        <v>0.1058295785503169</v>
      </c>
      <c r="C27">
        <f t="shared" si="0"/>
        <v>8.8807549110280173E-2</v>
      </c>
      <c r="D27">
        <f t="shared" si="1"/>
        <v>1.7022029440036723E-2</v>
      </c>
      <c r="E27">
        <f t="shared" si="2"/>
        <v>2.8974948625747694E-4</v>
      </c>
    </row>
    <row r="28" spans="1:5" x14ac:dyDescent="0.25">
      <c r="A28">
        <v>2.5347164654999998</v>
      </c>
      <c r="B28">
        <v>0.10173294970320786</v>
      </c>
      <c r="C28">
        <f t="shared" si="0"/>
        <v>7.9657606262798969E-2</v>
      </c>
      <c r="D28">
        <f t="shared" si="1"/>
        <v>2.2075343440408887E-2</v>
      </c>
      <c r="E28">
        <f t="shared" si="2"/>
        <v>4.873207880120037E-4</v>
      </c>
    </row>
    <row r="29" spans="1:5" x14ac:dyDescent="0.25">
      <c r="A29">
        <v>2.6268366549</v>
      </c>
      <c r="B29">
        <v>9.2174149059953428E-2</v>
      </c>
      <c r="C29">
        <f t="shared" si="0"/>
        <v>7.1393048375592461E-2</v>
      </c>
      <c r="D29">
        <f t="shared" si="1"/>
        <v>2.0781100684360967E-2</v>
      </c>
      <c r="E29">
        <f t="shared" si="2"/>
        <v>4.3185414565354789E-4</v>
      </c>
    </row>
    <row r="30" spans="1:5" x14ac:dyDescent="0.25">
      <c r="A30">
        <v>2.7189568443000001</v>
      </c>
      <c r="B30">
        <v>8.5346434314771694E-2</v>
      </c>
      <c r="C30">
        <f t="shared" si="0"/>
        <v>6.3936616407235455E-2</v>
      </c>
      <c r="D30">
        <f t="shared" si="1"/>
        <v>2.1409817907536238E-2</v>
      </c>
      <c r="E30">
        <f t="shared" si="2"/>
        <v>4.5838030283385937E-4</v>
      </c>
    </row>
    <row r="31" spans="1:5" x14ac:dyDescent="0.25">
      <c r="A31">
        <v>2.8110770337000002</v>
      </c>
      <c r="B31">
        <v>6.349774713019013E-2</v>
      </c>
      <c r="C31">
        <f t="shared" si="0"/>
        <v>5.7216472870820802E-2</v>
      </c>
      <c r="D31">
        <f t="shared" si="1"/>
        <v>6.281274259369328E-3</v>
      </c>
      <c r="E31">
        <f t="shared" si="2"/>
        <v>3.9454406321415701E-5</v>
      </c>
    </row>
    <row r="32" spans="1:5" x14ac:dyDescent="0.25">
      <c r="A32">
        <v>2.9031972230999998</v>
      </c>
      <c r="B32">
        <v>5.6670032385008402E-2</v>
      </c>
      <c r="C32">
        <f t="shared" si="0"/>
        <v>5.1166054291161868E-2</v>
      </c>
      <c r="D32">
        <f t="shared" si="1"/>
        <v>5.5039780938465344E-3</v>
      </c>
      <c r="E32">
        <f t="shared" si="2"/>
        <v>3.0293774857542529E-5</v>
      </c>
    </row>
    <row r="33" spans="1:5" x14ac:dyDescent="0.25">
      <c r="A33">
        <v>2.9953174124999999</v>
      </c>
      <c r="B33">
        <v>4.5062917318199454E-2</v>
      </c>
      <c r="C33">
        <f t="shared" si="0"/>
        <v>4.5723875515925071E-2</v>
      </c>
      <c r="D33">
        <f t="shared" si="1"/>
        <v>-6.6095819772561681E-4</v>
      </c>
      <c r="E33">
        <f t="shared" si="2"/>
        <v>4.3686573914069558E-7</v>
      </c>
    </row>
    <row r="34" spans="1:5" x14ac:dyDescent="0.25">
      <c r="A34">
        <v>3.0874376018999996</v>
      </c>
      <c r="B34">
        <v>3.6869659623981373E-2</v>
      </c>
      <c r="C34">
        <f t="shared" si="0"/>
        <v>4.0833300592120106E-2</v>
      </c>
      <c r="D34">
        <f t="shared" si="1"/>
        <v>-3.9636409681387333E-3</v>
      </c>
      <c r="E34">
        <f t="shared" si="2"/>
        <v>1.5710449724307755E-5</v>
      </c>
    </row>
    <row r="35" spans="1:5" x14ac:dyDescent="0.25">
      <c r="A35">
        <v>3.1795577912999997</v>
      </c>
      <c r="B35">
        <v>3.2773030776872332E-2</v>
      </c>
      <c r="C35">
        <f t="shared" si="0"/>
        <v>3.6442291823810806E-2</v>
      </c>
      <c r="D35">
        <f t="shared" si="1"/>
        <v>-3.669261046938474E-3</v>
      </c>
      <c r="E35">
        <f t="shared" si="2"/>
        <v>1.3463476630580027E-5</v>
      </c>
    </row>
    <row r="36" spans="1:5" x14ac:dyDescent="0.25">
      <c r="A36">
        <v>3.2716779806999998</v>
      </c>
      <c r="B36">
        <v>2.0483144235545207E-2</v>
      </c>
      <c r="C36">
        <f t="shared" si="0"/>
        <v>3.2503146135446283E-2</v>
      </c>
      <c r="D36">
        <f t="shared" si="1"/>
        <v>-1.2020001899901076E-2</v>
      </c>
      <c r="E36">
        <f t="shared" si="2"/>
        <v>1.4448044567362547E-4</v>
      </c>
    </row>
    <row r="37" spans="1:5" x14ac:dyDescent="0.25">
      <c r="A37">
        <v>3.3637981700999999</v>
      </c>
      <c r="B37">
        <v>1.5020972439399817E-2</v>
      </c>
      <c r="C37">
        <f t="shared" si="0"/>
        <v>2.8972225855947747E-2</v>
      </c>
      <c r="D37">
        <f t="shared" si="1"/>
        <v>-1.395125341654793E-2</v>
      </c>
      <c r="E37">
        <f t="shared" si="2"/>
        <v>1.946374718927403E-4</v>
      </c>
    </row>
    <row r="38" spans="1:5" x14ac:dyDescent="0.25">
      <c r="A38">
        <v>3.4559183595</v>
      </c>
      <c r="B38">
        <v>1.911760128650886E-2</v>
      </c>
      <c r="C38">
        <f t="shared" si="0"/>
        <v>2.5809689416737943E-2</v>
      </c>
      <c r="D38">
        <f t="shared" si="1"/>
        <v>-6.6920881302290833E-3</v>
      </c>
      <c r="E38">
        <f t="shared" si="2"/>
        <v>4.4784043542752991E-5</v>
      </c>
    </row>
    <row r="39" spans="1:5" x14ac:dyDescent="0.25">
      <c r="A39">
        <v>3.5480385489000001</v>
      </c>
      <c r="B39">
        <v>1.5020972439399817E-2</v>
      </c>
      <c r="C39">
        <f t="shared" si="0"/>
        <v>2.2979226147706214E-2</v>
      </c>
      <c r="D39">
        <f t="shared" si="1"/>
        <v>-7.9582537083063964E-3</v>
      </c>
      <c r="E39">
        <f t="shared" si="2"/>
        <v>6.3333802085772513E-5</v>
      </c>
    </row>
    <row r="40" spans="1:5" x14ac:dyDescent="0.25">
      <c r="A40">
        <v>3.6401587383000003</v>
      </c>
      <c r="B40">
        <v>1.3655429490363471E-3</v>
      </c>
      <c r="C40">
        <f t="shared" si="0"/>
        <v>2.044779829951749E-2</v>
      </c>
      <c r="D40">
        <f t="shared" si="1"/>
        <v>-1.9082255350481143E-2</v>
      </c>
      <c r="E40">
        <f t="shared" si="2"/>
        <v>3.6413246926096622E-4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3C67E-B12C-49F4-8EAD-13F9305121A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4.6156902550000004E-2</v>
      </c>
      <c r="B1">
        <v>0.68447395493593621</v>
      </c>
      <c r="C1">
        <f>$H$3*(1+$H$1)*(A1^($H$1))*EXP(-$H$3*(A1^(1+$H$1)))</f>
        <v>0.66173200204200222</v>
      </c>
      <c r="D1">
        <f>B1-C1</f>
        <v>2.2741952893933992E-2</v>
      </c>
      <c r="E1">
        <f>D1^2</f>
        <v>5.1719642142991271E-4</v>
      </c>
      <c r="G1" t="s">
        <v>0</v>
      </c>
      <c r="H1">
        <v>0.15280467649235663</v>
      </c>
    </row>
    <row r="2" spans="1:8" x14ac:dyDescent="0.25">
      <c r="A2">
        <v>0.13700287765000002</v>
      </c>
      <c r="B2">
        <v>0.71907830048375909</v>
      </c>
      <c r="C2">
        <f t="shared" ref="C2:C40" si="0">$H$3*(1+$H$1)*(A2^($H$1))*EXP(-$H$3*(A2^(1+$H$1)))</f>
        <v>0.72989649620228314</v>
      </c>
      <c r="D2">
        <f t="shared" ref="D2:D40" si="1">B2-C2</f>
        <v>-1.0818195718524048E-2</v>
      </c>
      <c r="E2">
        <f t="shared" ref="E2:E40" si="2">D2^2</f>
        <v>1.1703335860429206E-4</v>
      </c>
    </row>
    <row r="3" spans="1:8" x14ac:dyDescent="0.25">
      <c r="A3">
        <v>0.22784885275</v>
      </c>
      <c r="B3">
        <v>0.69485525860028308</v>
      </c>
      <c r="C3">
        <f t="shared" si="0"/>
        <v>0.73108146444943101</v>
      </c>
      <c r="D3">
        <f t="shared" si="1"/>
        <v>-3.622620584914793E-2</v>
      </c>
      <c r="E3">
        <f t="shared" si="2"/>
        <v>1.3123379902248396E-3</v>
      </c>
      <c r="G3" t="s">
        <v>1</v>
      </c>
      <c r="H3">
        <f>(_xlfn.GAMMA((2+$H$1)/(1+$H$1)))^(1+$H$1)</f>
        <v>0.94375983110040984</v>
      </c>
    </row>
    <row r="4" spans="1:8" x14ac:dyDescent="0.25">
      <c r="A4">
        <v>0.31869482785000003</v>
      </c>
      <c r="B4">
        <v>0.66855595598393769</v>
      </c>
      <c r="C4">
        <f t="shared" si="0"/>
        <v>0.70965765624079924</v>
      </c>
      <c r="D4">
        <f t="shared" si="1"/>
        <v>-4.1101700256861551E-2</v>
      </c>
      <c r="E4">
        <f t="shared" si="2"/>
        <v>1.6893497640048929E-3</v>
      </c>
    </row>
    <row r="5" spans="1:8" x14ac:dyDescent="0.25">
      <c r="A5">
        <v>0.40954080295000006</v>
      </c>
      <c r="B5">
        <v>0.60003935179924839</v>
      </c>
      <c r="C5">
        <f t="shared" si="0"/>
        <v>0.67751789874149915</v>
      </c>
      <c r="D5">
        <f t="shared" si="1"/>
        <v>-7.7478546942250759E-2</v>
      </c>
      <c r="E5">
        <f t="shared" si="2"/>
        <v>6.0029252362825544E-3</v>
      </c>
      <c r="G5" t="s">
        <v>2</v>
      </c>
      <c r="H5">
        <f>SUM(E1:E40)</f>
        <v>5.1107903655129371E-2</v>
      </c>
    </row>
    <row r="6" spans="1:8" x14ac:dyDescent="0.25">
      <c r="A6">
        <v>0.50038677804999998</v>
      </c>
      <c r="B6">
        <v>0.53359900834742857</v>
      </c>
      <c r="C6">
        <f t="shared" si="0"/>
        <v>0.63998005212036035</v>
      </c>
      <c r="D6">
        <f t="shared" si="1"/>
        <v>-0.10638104377293178</v>
      </c>
      <c r="E6">
        <f t="shared" si="2"/>
        <v>1.1316926474218428E-2</v>
      </c>
    </row>
    <row r="7" spans="1:8" x14ac:dyDescent="0.25">
      <c r="A7">
        <v>0.59123275315000001</v>
      </c>
      <c r="B7">
        <v>0.53013857379264628</v>
      </c>
      <c r="C7">
        <f t="shared" si="0"/>
        <v>0.59994571286508569</v>
      </c>
      <c r="D7">
        <f t="shared" si="1"/>
        <v>-6.9807139072439406E-2</v>
      </c>
      <c r="E7">
        <f t="shared" si="2"/>
        <v>4.8730366654788967E-3</v>
      </c>
    </row>
    <row r="8" spans="1:8" x14ac:dyDescent="0.25">
      <c r="A8">
        <v>0.68207872825000004</v>
      </c>
      <c r="B8">
        <v>0.53567526908029794</v>
      </c>
      <c r="C8">
        <f t="shared" si="0"/>
        <v>0.5591636298247753</v>
      </c>
      <c r="D8">
        <f t="shared" si="1"/>
        <v>-2.3488360744477355E-2</v>
      </c>
      <c r="E8">
        <f t="shared" si="2"/>
        <v>5.5170309046270478E-4</v>
      </c>
    </row>
    <row r="9" spans="1:8" x14ac:dyDescent="0.25">
      <c r="A9">
        <v>0.77292470335000008</v>
      </c>
      <c r="B9">
        <v>0.51698892248447359</v>
      </c>
      <c r="C9">
        <f t="shared" si="0"/>
        <v>0.51874289481945768</v>
      </c>
      <c r="D9">
        <f t="shared" si="1"/>
        <v>-1.7539723349840886E-3</v>
      </c>
      <c r="E9">
        <f t="shared" si="2"/>
        <v>3.0764189518895359E-6</v>
      </c>
    </row>
    <row r="10" spans="1:8" x14ac:dyDescent="0.25">
      <c r="A10">
        <v>0.86377067845</v>
      </c>
      <c r="B10">
        <v>0.445011883745002</v>
      </c>
      <c r="C10">
        <f t="shared" si="0"/>
        <v>0.4794018840881189</v>
      </c>
      <c r="D10">
        <f t="shared" si="1"/>
        <v>-3.43900003431169E-2</v>
      </c>
      <c r="E10">
        <f t="shared" si="2"/>
        <v>1.1826721235995805E-3</v>
      </c>
    </row>
    <row r="11" spans="1:8" x14ac:dyDescent="0.25">
      <c r="A11">
        <v>0.95461665355000003</v>
      </c>
      <c r="B11">
        <v>0.41871258112865661</v>
      </c>
      <c r="C11">
        <f t="shared" si="0"/>
        <v>0.44160461113579147</v>
      </c>
      <c r="D11">
        <f t="shared" si="1"/>
        <v>-2.2892030007134856E-2</v>
      </c>
      <c r="E11">
        <f t="shared" si="2"/>
        <v>5.2404503784756265E-4</v>
      </c>
    </row>
    <row r="12" spans="1:8" x14ac:dyDescent="0.25">
      <c r="A12">
        <v>1.0454626286500002</v>
      </c>
      <c r="B12">
        <v>0.40902336437526621</v>
      </c>
      <c r="C12">
        <f t="shared" si="0"/>
        <v>0.40564227457448121</v>
      </c>
      <c r="D12">
        <f t="shared" si="1"/>
        <v>3.3810898007849977E-3</v>
      </c>
      <c r="E12">
        <f t="shared" si="2"/>
        <v>1.1431768240972336E-5</v>
      </c>
    </row>
    <row r="13" spans="1:8" x14ac:dyDescent="0.25">
      <c r="A13">
        <v>1.1363086037499999</v>
      </c>
      <c r="B13">
        <v>0.40348666908761455</v>
      </c>
      <c r="C13">
        <f t="shared" si="0"/>
        <v>0.37168533025311418</v>
      </c>
      <c r="D13">
        <f t="shared" si="1"/>
        <v>3.180133883450037E-2</v>
      </c>
      <c r="E13">
        <f t="shared" si="2"/>
        <v>1.0113251516667013E-3</v>
      </c>
    </row>
    <row r="14" spans="1:8" x14ac:dyDescent="0.25">
      <c r="A14">
        <v>1.22715457885</v>
      </c>
      <c r="B14">
        <v>0.35988519369735777</v>
      </c>
      <c r="C14">
        <f t="shared" si="0"/>
        <v>0.33981842717051863</v>
      </c>
      <c r="D14">
        <f t="shared" si="1"/>
        <v>2.0066766526839142E-2</v>
      </c>
      <c r="E14">
        <f t="shared" si="2"/>
        <v>4.0267511884267183E-4</v>
      </c>
    </row>
    <row r="15" spans="1:8" x14ac:dyDescent="0.25">
      <c r="A15">
        <v>1.3180005539499999</v>
      </c>
      <c r="B15">
        <v>0.31282328375231866</v>
      </c>
      <c r="C15">
        <f t="shared" si="0"/>
        <v>0.31006474075643975</v>
      </c>
      <c r="D15">
        <f t="shared" si="1"/>
        <v>2.7585429958789098E-3</v>
      </c>
      <c r="E15">
        <f t="shared" si="2"/>
        <v>7.6095594601125909E-6</v>
      </c>
    </row>
    <row r="16" spans="1:8" x14ac:dyDescent="0.25">
      <c r="A16">
        <v>1.4088465290500001</v>
      </c>
      <c r="B16">
        <v>0.32874128270431718</v>
      </c>
      <c r="C16">
        <f t="shared" si="0"/>
        <v>0.28240340611019854</v>
      </c>
      <c r="D16">
        <f t="shared" si="1"/>
        <v>4.6337876594118643E-2</v>
      </c>
      <c r="E16">
        <f t="shared" si="2"/>
        <v>2.1471988072517684E-3</v>
      </c>
    </row>
    <row r="17" spans="1:5" x14ac:dyDescent="0.25">
      <c r="A17">
        <v>1.49969250415</v>
      </c>
      <c r="B17">
        <v>0.3121311968413622</v>
      </c>
      <c r="C17">
        <f t="shared" si="0"/>
        <v>0.25678227183891444</v>
      </c>
      <c r="D17">
        <f t="shared" si="1"/>
        <v>5.5348925002447757E-2</v>
      </c>
      <c r="E17">
        <f t="shared" si="2"/>
        <v>3.0635034989265866E-3</v>
      </c>
    </row>
    <row r="18" spans="1:5" x14ac:dyDescent="0.25">
      <c r="A18">
        <v>1.5905384792500001</v>
      </c>
      <c r="B18">
        <v>0.27891102511545229</v>
      </c>
      <c r="C18">
        <f t="shared" si="0"/>
        <v>0.23312737189728816</v>
      </c>
      <c r="D18">
        <f t="shared" si="1"/>
        <v>4.5783653218164133E-2</v>
      </c>
      <c r="E18">
        <f t="shared" si="2"/>
        <v>2.096142902001111E-3</v>
      </c>
    </row>
    <row r="19" spans="1:5" x14ac:dyDescent="0.25">
      <c r="A19">
        <v>1.6813844543499998</v>
      </c>
      <c r="B19">
        <v>0.25607215705388919</v>
      </c>
      <c r="C19">
        <f t="shared" si="0"/>
        <v>0.21135003169803707</v>
      </c>
      <c r="D19">
        <f t="shared" si="1"/>
        <v>4.4722125355852127E-2</v>
      </c>
      <c r="E19">
        <f t="shared" si="2"/>
        <v>2.0000684963445516E-3</v>
      </c>
    </row>
    <row r="20" spans="1:5" x14ac:dyDescent="0.25">
      <c r="A20">
        <v>1.77223042945</v>
      </c>
      <c r="B20">
        <v>0.20693398637598071</v>
      </c>
      <c r="C20">
        <f t="shared" si="0"/>
        <v>0.19135223089665973</v>
      </c>
      <c r="D20">
        <f t="shared" si="1"/>
        <v>1.5581755479320974E-2</v>
      </c>
      <c r="E20">
        <f t="shared" si="2"/>
        <v>2.4279110381734921E-4</v>
      </c>
    </row>
    <row r="21" spans="1:5" x14ac:dyDescent="0.25">
      <c r="A21">
        <v>1.8630764045500001</v>
      </c>
      <c r="B21">
        <v>0.20762607328693716</v>
      </c>
      <c r="C21">
        <f t="shared" si="0"/>
        <v>0.17303065867584913</v>
      </c>
      <c r="D21">
        <f t="shared" si="1"/>
        <v>3.4595414611088032E-2</v>
      </c>
      <c r="E21">
        <f t="shared" si="2"/>
        <v>1.1968427121130834E-3</v>
      </c>
    </row>
    <row r="22" spans="1:5" x14ac:dyDescent="0.25">
      <c r="A22">
        <v>1.9539223796500003</v>
      </c>
      <c r="B22">
        <v>0.20624189946502425</v>
      </c>
      <c r="C22">
        <f t="shared" si="0"/>
        <v>0.15627977475443947</v>
      </c>
      <c r="D22">
        <f t="shared" si="1"/>
        <v>4.9962124710584782E-2</v>
      </c>
      <c r="E22">
        <f t="shared" si="2"/>
        <v>2.4962139055960263E-3</v>
      </c>
    </row>
    <row r="23" spans="1:5" x14ac:dyDescent="0.25">
      <c r="A23">
        <v>2.04476835475</v>
      </c>
      <c r="B23">
        <v>0.17440590156102723</v>
      </c>
      <c r="C23">
        <f t="shared" si="0"/>
        <v>0.14099410628257153</v>
      </c>
      <c r="D23">
        <f t="shared" si="1"/>
        <v>3.3411795278455697E-2</v>
      </c>
      <c r="E23">
        <f t="shared" si="2"/>
        <v>1.1163480637294344E-3</v>
      </c>
    </row>
    <row r="24" spans="1:5" x14ac:dyDescent="0.25">
      <c r="A24">
        <v>2.1356143298500001</v>
      </c>
      <c r="B24">
        <v>0.16333251098572391</v>
      </c>
      <c r="C24">
        <f t="shared" si="0"/>
        <v>0.12706995295182949</v>
      </c>
      <c r="D24">
        <f t="shared" si="1"/>
        <v>3.6262558033894415E-2</v>
      </c>
      <c r="E24">
        <f t="shared" si="2"/>
        <v>1.3149731151615605E-3</v>
      </c>
    </row>
    <row r="25" spans="1:5" x14ac:dyDescent="0.25">
      <c r="A25">
        <v>2.2264603049499998</v>
      </c>
      <c r="B25">
        <v>0.14810659894468184</v>
      </c>
      <c r="C25">
        <f t="shared" si="0"/>
        <v>0.11440663139228929</v>
      </c>
      <c r="D25">
        <f t="shared" si="1"/>
        <v>3.3699967552392546E-2</v>
      </c>
      <c r="E25">
        <f t="shared" si="2"/>
        <v>1.1356878130323103E-3</v>
      </c>
    </row>
    <row r="26" spans="1:5" x14ac:dyDescent="0.25">
      <c r="A26">
        <v>2.3173062800499999</v>
      </c>
      <c r="B26">
        <v>0.14464616438989955</v>
      </c>
      <c r="C26">
        <f t="shared" si="0"/>
        <v>0.10290735985513132</v>
      </c>
      <c r="D26">
        <f t="shared" si="1"/>
        <v>4.1738804534768234E-2</v>
      </c>
      <c r="E26">
        <f t="shared" si="2"/>
        <v>1.7421278039915892E-3</v>
      </c>
    </row>
    <row r="27" spans="1:5" x14ac:dyDescent="0.25">
      <c r="A27">
        <v>2.4081522551500001</v>
      </c>
      <c r="B27">
        <v>0.11765477486259773</v>
      </c>
      <c r="C27">
        <f t="shared" si="0"/>
        <v>9.2479861837142005E-2</v>
      </c>
      <c r="D27">
        <f t="shared" si="1"/>
        <v>2.5174913025455728E-2</v>
      </c>
      <c r="E27">
        <f t="shared" si="2"/>
        <v>6.3377624583926047E-4</v>
      </c>
    </row>
    <row r="28" spans="1:5" x14ac:dyDescent="0.25">
      <c r="A28">
        <v>2.4989982302499998</v>
      </c>
      <c r="B28">
        <v>0.10588929737633795</v>
      </c>
      <c r="C28">
        <f t="shared" si="0"/>
        <v>8.3036750425673919E-2</v>
      </c>
      <c r="D28">
        <f t="shared" si="1"/>
        <v>2.2852546950664035E-2</v>
      </c>
      <c r="E28">
        <f t="shared" si="2"/>
        <v>5.2223890213230404E-4</v>
      </c>
    </row>
    <row r="29" spans="1:5" x14ac:dyDescent="0.25">
      <c r="A29">
        <v>2.5898442053499999</v>
      </c>
      <c r="B29">
        <v>8.7895037691470071E-2</v>
      </c>
      <c r="C29">
        <f t="shared" si="0"/>
        <v>7.449574220697118E-2</v>
      </c>
      <c r="D29">
        <f t="shared" si="1"/>
        <v>1.3399295484498891E-2</v>
      </c>
      <c r="E29">
        <f t="shared" si="2"/>
        <v>1.7954111948091238E-4</v>
      </c>
    </row>
    <row r="30" spans="1:5" x14ac:dyDescent="0.25">
      <c r="A30">
        <v>2.6806901804500001</v>
      </c>
      <c r="B30">
        <v>9.2739646068165274E-2</v>
      </c>
      <c r="C30">
        <f t="shared" si="0"/>
        <v>6.6779739542154146E-2</v>
      </c>
      <c r="D30">
        <f t="shared" si="1"/>
        <v>2.5959906526011128E-2</v>
      </c>
      <c r="E30">
        <f t="shared" si="2"/>
        <v>6.7391674683923519E-4</v>
      </c>
    </row>
    <row r="31" spans="1:5" x14ac:dyDescent="0.25">
      <c r="A31">
        <v>2.7715361555499998</v>
      </c>
      <c r="B31">
        <v>7.5437473294253835E-2</v>
      </c>
      <c r="C31">
        <f t="shared" si="0"/>
        <v>5.9816812141744745E-2</v>
      </c>
      <c r="D31">
        <f t="shared" si="1"/>
        <v>1.562066115250909E-2</v>
      </c>
      <c r="E31">
        <f t="shared" si="2"/>
        <v>2.440050548415066E-4</v>
      </c>
    </row>
    <row r="32" spans="1:5" x14ac:dyDescent="0.25">
      <c r="A32">
        <v>2.8623821306500004</v>
      </c>
      <c r="B32">
        <v>5.5366952876516579E-2</v>
      </c>
      <c r="C32">
        <f t="shared" si="0"/>
        <v>5.3540102639147137E-2</v>
      </c>
      <c r="D32">
        <f t="shared" si="1"/>
        <v>1.8268502373694415E-3</v>
      </c>
      <c r="E32">
        <f t="shared" si="2"/>
        <v>3.3373817897767846E-6</v>
      </c>
    </row>
    <row r="33" spans="1:5" x14ac:dyDescent="0.25">
      <c r="A33">
        <v>2.9532281057500001</v>
      </c>
      <c r="B33">
        <v>5.3290692143647206E-2</v>
      </c>
      <c r="C33">
        <f t="shared" si="0"/>
        <v>4.7887675896727135E-2</v>
      </c>
      <c r="D33">
        <f t="shared" si="1"/>
        <v>5.4030162469200713E-3</v>
      </c>
      <c r="E33">
        <f t="shared" si="2"/>
        <v>2.9192584564482253E-5</v>
      </c>
    </row>
    <row r="34" spans="1:5" x14ac:dyDescent="0.25">
      <c r="A34">
        <v>3.0440740808499998</v>
      </c>
      <c r="B34">
        <v>3.9448953924518061E-2</v>
      </c>
      <c r="C34">
        <f t="shared" si="0"/>
        <v>4.2802327795086845E-2</v>
      </c>
      <c r="D34">
        <f t="shared" si="1"/>
        <v>-3.3533738705687835E-3</v>
      </c>
      <c r="E34">
        <f t="shared" si="2"/>
        <v>1.1245116315813465E-5</v>
      </c>
    </row>
    <row r="35" spans="1:5" x14ac:dyDescent="0.25">
      <c r="A35">
        <v>3.1349200559500003</v>
      </c>
      <c r="B35">
        <v>3.8064780102605146E-2</v>
      </c>
      <c r="C35">
        <f t="shared" si="0"/>
        <v>3.8231366047016262E-2</v>
      </c>
      <c r="D35">
        <f t="shared" si="1"/>
        <v>-1.6658594441111563E-4</v>
      </c>
      <c r="E35">
        <f t="shared" si="2"/>
        <v>2.7750876875343305E-8</v>
      </c>
    </row>
    <row r="36" spans="1:5" x14ac:dyDescent="0.25">
      <c r="A36">
        <v>3.22576603105</v>
      </c>
      <c r="B36">
        <v>2.283886806156309E-2</v>
      </c>
      <c r="C36">
        <f t="shared" si="0"/>
        <v>3.4126372982964594E-2</v>
      </c>
      <c r="D36">
        <f t="shared" si="1"/>
        <v>-1.1287504921401504E-2</v>
      </c>
      <c r="E36">
        <f t="shared" si="2"/>
        <v>1.2740776735066316E-4</v>
      </c>
    </row>
    <row r="37" spans="1:5" x14ac:dyDescent="0.25">
      <c r="A37">
        <v>3.3166120061500002</v>
      </c>
      <c r="B37">
        <v>1.7302172773911433E-2</v>
      </c>
      <c r="C37">
        <f t="shared" si="0"/>
        <v>3.0442958151987852E-2</v>
      </c>
      <c r="D37">
        <f t="shared" si="1"/>
        <v>-1.3140785378076419E-2</v>
      </c>
      <c r="E37">
        <f t="shared" si="2"/>
        <v>1.7268024035266703E-4</v>
      </c>
    </row>
    <row r="38" spans="1:5" x14ac:dyDescent="0.25">
      <c r="A38">
        <v>3.4074579812500003</v>
      </c>
      <c r="B38">
        <v>1.8686346595824344E-2</v>
      </c>
      <c r="C38">
        <f t="shared" si="0"/>
        <v>2.7140506875420304E-2</v>
      </c>
      <c r="D38">
        <f t="shared" si="1"/>
        <v>-8.4541602795959597E-3</v>
      </c>
      <c r="E38">
        <f t="shared" si="2"/>
        <v>7.1472826033098038E-5</v>
      </c>
    </row>
    <row r="39" spans="1:5" x14ac:dyDescent="0.25">
      <c r="A39">
        <v>3.49830395635</v>
      </c>
      <c r="B39">
        <v>2.0762607328693717E-2</v>
      </c>
      <c r="C39">
        <f t="shared" si="0"/>
        <v>2.4181929504769998E-2</v>
      </c>
      <c r="D39">
        <f t="shared" si="1"/>
        <v>-3.419322176076281E-3</v>
      </c>
      <c r="E39">
        <f t="shared" si="2"/>
        <v>1.1691764143807033E-5</v>
      </c>
    </row>
    <row r="40" spans="1:5" x14ac:dyDescent="0.25">
      <c r="A40">
        <v>3.5891499314500002</v>
      </c>
      <c r="B40">
        <v>2.768347643825829E-3</v>
      </c>
      <c r="C40">
        <f t="shared" si="0"/>
        <v>2.1533415010813656E-2</v>
      </c>
      <c r="D40">
        <f t="shared" si="1"/>
        <v>-1.8765067366987825E-2</v>
      </c>
      <c r="E40">
        <f t="shared" si="2"/>
        <v>3.5212775328759141E-4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3498-5570-4158-A12C-1D337008476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4.7540154112500004E-2</v>
      </c>
      <c r="B1">
        <v>0.48244601710822055</v>
      </c>
      <c r="C1">
        <f>$H$3*(1+$H$1)*(A1^($H$1))*EXP(-$H$3*(A1^(1+$H$1)))</f>
        <v>0.60813665038157272</v>
      </c>
      <c r="D1">
        <f>B1-C1</f>
        <v>-0.12569063327335217</v>
      </c>
      <c r="E1">
        <f>D1^2</f>
        <v>1.5798135292656303E-2</v>
      </c>
      <c r="G1" t="s">
        <v>0</v>
      </c>
      <c r="H1">
        <v>0.18897243275793035</v>
      </c>
    </row>
    <row r="2" spans="1:8" x14ac:dyDescent="0.25">
      <c r="A2">
        <v>0.13768894233750001</v>
      </c>
      <c r="B2">
        <v>0.87147040662612096</v>
      </c>
      <c r="C2">
        <f t="shared" ref="C2:C40" si="0">$H$3*(1+$H$1)*(A2^($H$1))*EXP(-$H$3*(A2^(1+$H$1)))</f>
        <v>0.69785641993834613</v>
      </c>
      <c r="D2">
        <f t="shared" ref="D2:D40" si="1">B2-C2</f>
        <v>0.17361398668777484</v>
      </c>
      <c r="E2">
        <f t="shared" ref="E2:E40" si="2">D2^2</f>
        <v>3.0141816373622857E-2</v>
      </c>
    </row>
    <row r="3" spans="1:8" x14ac:dyDescent="0.25">
      <c r="A3">
        <v>0.22783773056250003</v>
      </c>
      <c r="B3">
        <v>0.72994361259003893</v>
      </c>
      <c r="C3">
        <f t="shared" si="0"/>
        <v>0.7139456573811831</v>
      </c>
      <c r="D3">
        <f t="shared" si="1"/>
        <v>1.599795520885583E-2</v>
      </c>
      <c r="E3">
        <f t="shared" si="2"/>
        <v>2.5593457086455737E-4</v>
      </c>
      <c r="G3" t="s">
        <v>1</v>
      </c>
      <c r="H3">
        <f>(_xlfn.GAMMA((2+$H$1)/(1+$H$1)))^(1+$H$1)</f>
        <v>0.93251386312106244</v>
      </c>
    </row>
    <row r="4" spans="1:8" x14ac:dyDescent="0.25">
      <c r="A4">
        <v>0.31798651878750006</v>
      </c>
      <c r="B4">
        <v>0.67416950656596719</v>
      </c>
      <c r="C4">
        <f t="shared" si="0"/>
        <v>0.70321292816424052</v>
      </c>
      <c r="D4">
        <f t="shared" si="1"/>
        <v>-2.9043421598273333E-2</v>
      </c>
      <c r="E4">
        <f t="shared" si="2"/>
        <v>8.4352033813504996E-4</v>
      </c>
    </row>
    <row r="5" spans="1:8" x14ac:dyDescent="0.25">
      <c r="A5">
        <v>0.4081353070125</v>
      </c>
      <c r="B5">
        <v>0.61281798993948822</v>
      </c>
      <c r="C5">
        <f t="shared" si="0"/>
        <v>0.67879793805659927</v>
      </c>
      <c r="D5">
        <f t="shared" si="1"/>
        <v>-6.5979948117111054E-2</v>
      </c>
      <c r="E5">
        <f t="shared" si="2"/>
        <v>4.3533535535366661E-3</v>
      </c>
      <c r="G5" t="s">
        <v>2</v>
      </c>
      <c r="H5">
        <f>SUM(E1:E40)</f>
        <v>9.03964848791982E-2</v>
      </c>
    </row>
    <row r="6" spans="1:8" x14ac:dyDescent="0.25">
      <c r="A6">
        <v>0.49828409523750006</v>
      </c>
      <c r="B6">
        <v>0.54519188638530125</v>
      </c>
      <c r="C6">
        <f t="shared" si="0"/>
        <v>0.64677066175378339</v>
      </c>
      <c r="D6">
        <f t="shared" si="1"/>
        <v>-0.10157877536848214</v>
      </c>
      <c r="E6">
        <f t="shared" si="2"/>
        <v>1.0318247605360554E-2</v>
      </c>
    </row>
    <row r="7" spans="1:8" x14ac:dyDescent="0.25">
      <c r="A7">
        <v>0.5884328834625</v>
      </c>
      <c r="B7">
        <v>0.53752294680699142</v>
      </c>
      <c r="C7">
        <f t="shared" si="0"/>
        <v>0.61055192537508562</v>
      </c>
      <c r="D7">
        <f t="shared" si="1"/>
        <v>-7.3028978568094205E-2</v>
      </c>
      <c r="E7">
        <f t="shared" si="2"/>
        <v>5.3332317106991626E-3</v>
      </c>
    </row>
    <row r="8" spans="1:8" x14ac:dyDescent="0.25">
      <c r="A8">
        <v>0.67858167168749994</v>
      </c>
      <c r="B8">
        <v>0.53822012313229228</v>
      </c>
      <c r="C8">
        <f t="shared" si="0"/>
        <v>0.57227600270267642</v>
      </c>
      <c r="D8">
        <f t="shared" si="1"/>
        <v>-3.405587957038414E-2</v>
      </c>
      <c r="E8">
        <f t="shared" si="2"/>
        <v>1.1598029333125079E-3</v>
      </c>
    </row>
    <row r="9" spans="1:8" x14ac:dyDescent="0.25">
      <c r="A9">
        <v>0.7687304599125</v>
      </c>
      <c r="B9">
        <v>0.52148789132507078</v>
      </c>
      <c r="C9">
        <f t="shared" si="0"/>
        <v>0.53334980454102476</v>
      </c>
      <c r="D9">
        <f t="shared" si="1"/>
        <v>-1.1861913215953979E-2</v>
      </c>
      <c r="E9">
        <f t="shared" si="2"/>
        <v>1.4070498514282367E-4</v>
      </c>
    </row>
    <row r="10" spans="1:8" x14ac:dyDescent="0.25">
      <c r="A10">
        <v>0.85887924813750005</v>
      </c>
      <c r="B10">
        <v>0.44479849554197209</v>
      </c>
      <c r="C10">
        <f t="shared" si="0"/>
        <v>0.49472677313393737</v>
      </c>
      <c r="D10">
        <f t="shared" si="1"/>
        <v>-4.9928277591965275E-2</v>
      </c>
      <c r="E10">
        <f t="shared" si="2"/>
        <v>2.492832903300342E-3</v>
      </c>
    </row>
    <row r="11" spans="1:8" x14ac:dyDescent="0.25">
      <c r="A11">
        <v>0.9490280363625001</v>
      </c>
      <c r="B11">
        <v>0.42458038210824611</v>
      </c>
      <c r="C11">
        <f t="shared" si="0"/>
        <v>0.45705851273598014</v>
      </c>
      <c r="D11">
        <f t="shared" si="1"/>
        <v>-3.2478130627734025E-2</v>
      </c>
      <c r="E11">
        <f t="shared" si="2"/>
        <v>1.054828969072155E-3</v>
      </c>
    </row>
    <row r="12" spans="1:8" x14ac:dyDescent="0.25">
      <c r="A12">
        <v>1.0391768245875002</v>
      </c>
      <c r="B12">
        <v>0.41481991355403358</v>
      </c>
      <c r="C12">
        <f t="shared" si="0"/>
        <v>0.42078660266230067</v>
      </c>
      <c r="D12">
        <f t="shared" si="1"/>
        <v>-5.966689108267087E-3</v>
      </c>
      <c r="E12">
        <f t="shared" si="2"/>
        <v>3.5601378914713083E-5</v>
      </c>
    </row>
    <row r="13" spans="1:8" x14ac:dyDescent="0.25">
      <c r="A13">
        <v>1.1293256128125</v>
      </c>
      <c r="B13">
        <v>0.39460180012030754</v>
      </c>
      <c r="C13">
        <f t="shared" si="0"/>
        <v>0.38620206475960439</v>
      </c>
      <c r="D13">
        <f t="shared" si="1"/>
        <v>8.3997353607031533E-3</v>
      </c>
      <c r="E13">
        <f t="shared" si="2"/>
        <v>7.0555554129846939E-5</v>
      </c>
    </row>
    <row r="14" spans="1:8" x14ac:dyDescent="0.25">
      <c r="A14">
        <v>1.2194744010375</v>
      </c>
      <c r="B14">
        <v>0.37229215771067886</v>
      </c>
      <c r="C14">
        <f t="shared" si="0"/>
        <v>0.35348590439226074</v>
      </c>
      <c r="D14">
        <f t="shared" si="1"/>
        <v>1.880625331841812E-2</v>
      </c>
      <c r="E14">
        <f t="shared" si="2"/>
        <v>3.5367516387651258E-4</v>
      </c>
    </row>
    <row r="15" spans="1:8" x14ac:dyDescent="0.25">
      <c r="A15">
        <v>1.3096231892625001</v>
      </c>
      <c r="B15">
        <v>0.31512369903600534</v>
      </c>
      <c r="C15">
        <f t="shared" si="0"/>
        <v>0.32273784695157381</v>
      </c>
      <c r="D15">
        <f t="shared" si="1"/>
        <v>-7.6141479155684699E-3</v>
      </c>
      <c r="E15">
        <f t="shared" si="2"/>
        <v>5.7975248480155674E-5</v>
      </c>
    </row>
    <row r="16" spans="1:8" x14ac:dyDescent="0.25">
      <c r="A16">
        <v>1.3997719774875002</v>
      </c>
      <c r="B16">
        <v>0.31651805168660713</v>
      </c>
      <c r="C16">
        <f t="shared" si="0"/>
        <v>0.29399731649738875</v>
      </c>
      <c r="D16">
        <f t="shared" si="1"/>
        <v>2.2520735189218377E-2</v>
      </c>
      <c r="E16">
        <f t="shared" si="2"/>
        <v>5.0718351346289885E-4</v>
      </c>
    </row>
    <row r="17" spans="1:5" x14ac:dyDescent="0.25">
      <c r="A17">
        <v>1.4899207657125002</v>
      </c>
      <c r="B17">
        <v>0.31791240433720891</v>
      </c>
      <c r="C17">
        <f t="shared" si="0"/>
        <v>0.26725909171278994</v>
      </c>
      <c r="D17">
        <f t="shared" si="1"/>
        <v>5.0653312624418967E-2</v>
      </c>
      <c r="E17">
        <f t="shared" si="2"/>
        <v>2.5657580798271219E-3</v>
      </c>
    </row>
    <row r="18" spans="1:5" x14ac:dyDescent="0.25">
      <c r="A18">
        <v>1.5800695539375</v>
      </c>
      <c r="B18">
        <v>0.29281405662637661</v>
      </c>
      <c r="C18">
        <f t="shared" si="0"/>
        <v>0.24248517861245591</v>
      </c>
      <c r="D18">
        <f t="shared" si="1"/>
        <v>5.0328878013920691E-2</v>
      </c>
      <c r="E18">
        <f t="shared" si="2"/>
        <v>2.5329959621401095E-3</v>
      </c>
    </row>
    <row r="19" spans="1:5" x14ac:dyDescent="0.25">
      <c r="A19">
        <v>1.6702183421624999</v>
      </c>
      <c r="B19">
        <v>0.25168065343362372</v>
      </c>
      <c r="C19">
        <f t="shared" si="0"/>
        <v>0.21961391559234444</v>
      </c>
      <c r="D19">
        <f t="shared" si="1"/>
        <v>3.206673784127928E-2</v>
      </c>
      <c r="E19">
        <f t="shared" si="2"/>
        <v>1.0282756757813325E-3</v>
      </c>
    </row>
    <row r="20" spans="1:5" x14ac:dyDescent="0.25">
      <c r="A20">
        <v>1.7603671303874999</v>
      </c>
      <c r="B20">
        <v>0.20845572126496811</v>
      </c>
      <c r="C20">
        <f t="shared" si="0"/>
        <v>0.19856700611175562</v>
      </c>
      <c r="D20">
        <f t="shared" si="1"/>
        <v>9.8887151532124906E-3</v>
      </c>
      <c r="E20">
        <f t="shared" si="2"/>
        <v>9.7786687381374329E-5</v>
      </c>
    </row>
    <row r="21" spans="1:5" x14ac:dyDescent="0.25">
      <c r="A21">
        <v>1.8505159186125002</v>
      </c>
      <c r="B21">
        <v>0.22170207144568516</v>
      </c>
      <c r="C21">
        <f t="shared" si="0"/>
        <v>0.17925497056731376</v>
      </c>
      <c r="D21">
        <f t="shared" si="1"/>
        <v>4.2447100878371391E-2</v>
      </c>
      <c r="E21">
        <f t="shared" si="2"/>
        <v>1.8017563729786374E-3</v>
      </c>
    </row>
    <row r="22" spans="1:5" x14ac:dyDescent="0.25">
      <c r="A22">
        <v>1.9406647068375003</v>
      </c>
      <c r="B22">
        <v>0.19869525271075558</v>
      </c>
      <c r="C22">
        <f t="shared" si="0"/>
        <v>0.1615813746519261</v>
      </c>
      <c r="D22">
        <f t="shared" si="1"/>
        <v>3.7113878058829486E-2</v>
      </c>
      <c r="E22">
        <f t="shared" si="2"/>
        <v>1.3774399445656647E-3</v>
      </c>
    </row>
    <row r="23" spans="1:5" x14ac:dyDescent="0.25">
      <c r="A23">
        <v>2.0308134950625001</v>
      </c>
      <c r="B23">
        <v>0.18475172620473765</v>
      </c>
      <c r="C23">
        <f t="shared" si="0"/>
        <v>0.14544610012744189</v>
      </c>
      <c r="D23">
        <f t="shared" si="1"/>
        <v>3.9305626077295763E-2</v>
      </c>
      <c r="E23">
        <f t="shared" si="2"/>
        <v>1.5449322413281928E-3</v>
      </c>
    </row>
    <row r="24" spans="1:5" x14ac:dyDescent="0.25">
      <c r="A24">
        <v>2.1209622832875001</v>
      </c>
      <c r="B24">
        <v>0.15965337849390535</v>
      </c>
      <c r="C24">
        <f t="shared" si="0"/>
        <v>0.13074785994558702</v>
      </c>
      <c r="D24">
        <f t="shared" si="1"/>
        <v>2.8905518548318326E-2</v>
      </c>
      <c r="E24">
        <f t="shared" si="2"/>
        <v>8.3552900254717482E-4</v>
      </c>
    </row>
    <row r="25" spans="1:5" x14ac:dyDescent="0.25">
      <c r="A25">
        <v>2.2111110715125002</v>
      </c>
      <c r="B25">
        <v>0.1464070283131883</v>
      </c>
      <c r="C25">
        <f t="shared" si="0"/>
        <v>0.11738611364642192</v>
      </c>
      <c r="D25">
        <f t="shared" si="1"/>
        <v>2.9020914666766387E-2</v>
      </c>
      <c r="E25">
        <f t="shared" si="2"/>
        <v>8.4221348809573643E-4</v>
      </c>
    </row>
    <row r="26" spans="1:5" x14ac:dyDescent="0.25">
      <c r="A26">
        <v>2.3012598597374998</v>
      </c>
      <c r="B26">
        <v>0.14292114668668382</v>
      </c>
      <c r="C26">
        <f t="shared" si="0"/>
        <v>0.10526250511114114</v>
      </c>
      <c r="D26">
        <f t="shared" si="1"/>
        <v>3.7658641575542676E-2</v>
      </c>
      <c r="E26">
        <f t="shared" si="2"/>
        <v>1.4181732853151914E-3</v>
      </c>
    </row>
    <row r="27" spans="1:5" x14ac:dyDescent="0.25">
      <c r="A27">
        <v>2.3914086479624999</v>
      </c>
      <c r="B27">
        <v>0.1275832675300641</v>
      </c>
      <c r="C27">
        <f t="shared" si="0"/>
        <v>9.4281919316467913E-2</v>
      </c>
      <c r="D27">
        <f t="shared" si="1"/>
        <v>3.3301348213596191E-2</v>
      </c>
      <c r="E27">
        <f t="shared" si="2"/>
        <v>1.1089797928431862E-3</v>
      </c>
    </row>
    <row r="28" spans="1:5" x14ac:dyDescent="0.25">
      <c r="A28">
        <v>2.4815574361874999</v>
      </c>
      <c r="B28">
        <v>0.11015385939754169</v>
      </c>
      <c r="C28">
        <f t="shared" si="0"/>
        <v>8.4353235286359268E-2</v>
      </c>
      <c r="D28">
        <f t="shared" si="1"/>
        <v>2.5800624111182419E-2</v>
      </c>
      <c r="E28">
        <f t="shared" si="2"/>
        <v>6.6567220452652752E-4</v>
      </c>
    </row>
    <row r="29" spans="1:5" x14ac:dyDescent="0.25">
      <c r="A29">
        <v>2.5717062244125</v>
      </c>
      <c r="B29">
        <v>8.5055511686709398E-2</v>
      </c>
      <c r="C29">
        <f t="shared" si="0"/>
        <v>7.5389837322536818E-2</v>
      </c>
      <c r="D29">
        <f t="shared" si="1"/>
        <v>9.6656743641725801E-3</v>
      </c>
      <c r="E29">
        <f t="shared" si="2"/>
        <v>9.3425260914223015E-5</v>
      </c>
    </row>
    <row r="30" spans="1:5" x14ac:dyDescent="0.25">
      <c r="A30">
        <v>2.6618550126375</v>
      </c>
      <c r="B30">
        <v>9.4118803915621066E-2</v>
      </c>
      <c r="C30">
        <f t="shared" si="0"/>
        <v>6.7309934692662568E-2</v>
      </c>
      <c r="D30">
        <f t="shared" si="1"/>
        <v>2.6808869222958498E-2</v>
      </c>
      <c r="E30">
        <f t="shared" si="2"/>
        <v>7.1871546901369136E-4</v>
      </c>
    </row>
    <row r="31" spans="1:5" x14ac:dyDescent="0.25">
      <c r="A31">
        <v>2.7520038008625001</v>
      </c>
      <c r="B31">
        <v>7.738657210839954E-2</v>
      </c>
      <c r="C31">
        <f t="shared" si="0"/>
        <v>6.0036730474704994E-2</v>
      </c>
      <c r="D31">
        <f t="shared" si="1"/>
        <v>1.7349841633694546E-2</v>
      </c>
      <c r="E31">
        <f t="shared" si="2"/>
        <v>3.0101700471428061E-4</v>
      </c>
    </row>
    <row r="32" spans="1:5" x14ac:dyDescent="0.25">
      <c r="A32">
        <v>2.8421525890875001</v>
      </c>
      <c r="B32">
        <v>5.9259987650576225E-2</v>
      </c>
      <c r="C32">
        <f t="shared" si="0"/>
        <v>5.3498472633954776E-2</v>
      </c>
      <c r="D32">
        <f t="shared" si="1"/>
        <v>5.761515016621449E-3</v>
      </c>
      <c r="E32">
        <f t="shared" si="2"/>
        <v>3.3195055286754453E-5</v>
      </c>
    </row>
    <row r="33" spans="1:5" x14ac:dyDescent="0.25">
      <c r="A33">
        <v>2.9323013773125002</v>
      </c>
      <c r="B33">
        <v>5.159104807226636E-2</v>
      </c>
      <c r="C33">
        <f t="shared" si="0"/>
        <v>4.7628414233985242E-2</v>
      </c>
      <c r="D33">
        <f t="shared" si="1"/>
        <v>3.9626338382811183E-3</v>
      </c>
      <c r="E33">
        <f t="shared" si="2"/>
        <v>1.5702466936290546E-5</v>
      </c>
    </row>
    <row r="34" spans="1:5" x14ac:dyDescent="0.25">
      <c r="A34">
        <v>3.0224501655375002</v>
      </c>
      <c r="B34">
        <v>4.3224932168655597E-2</v>
      </c>
      <c r="C34">
        <f t="shared" si="0"/>
        <v>4.2364704649409855E-2</v>
      </c>
      <c r="D34">
        <f t="shared" si="1"/>
        <v>8.6022751924574176E-4</v>
      </c>
      <c r="E34">
        <f t="shared" si="2"/>
        <v>7.3999138486768296E-7</v>
      </c>
    </row>
    <row r="35" spans="1:5" x14ac:dyDescent="0.25">
      <c r="A35">
        <v>3.1125989537625003</v>
      </c>
      <c r="B35">
        <v>3.625316891564663E-2</v>
      </c>
      <c r="C35">
        <f t="shared" si="0"/>
        <v>3.7650229526205829E-2</v>
      </c>
      <c r="D35">
        <f t="shared" si="1"/>
        <v>-1.397060610559199E-3</v>
      </c>
      <c r="E35">
        <f t="shared" si="2"/>
        <v>1.9517783495760419E-6</v>
      </c>
    </row>
    <row r="36" spans="1:5" x14ac:dyDescent="0.25">
      <c r="A36">
        <v>3.2027477419874999</v>
      </c>
      <c r="B36">
        <v>2.5098347710832282E-2</v>
      </c>
      <c r="C36">
        <f t="shared" si="0"/>
        <v>3.3432413848016963E-2</v>
      </c>
      <c r="D36">
        <f t="shared" si="1"/>
        <v>-8.3340661371846814E-3</v>
      </c>
      <c r="E36">
        <f t="shared" si="2"/>
        <v>6.9456658378968402E-5</v>
      </c>
    </row>
    <row r="37" spans="1:5" x14ac:dyDescent="0.25">
      <c r="A37">
        <v>3.2928965302125</v>
      </c>
      <c r="B37">
        <v>1.8126584457823315E-2</v>
      </c>
      <c r="C37">
        <f t="shared" si="0"/>
        <v>2.9662999676807276E-2</v>
      </c>
      <c r="D37">
        <f t="shared" si="1"/>
        <v>-1.1536415218983961E-2</v>
      </c>
      <c r="E37">
        <f t="shared" si="2"/>
        <v>1.3308887610480474E-4</v>
      </c>
    </row>
    <row r="38" spans="1:5" x14ac:dyDescent="0.25">
      <c r="A38">
        <v>3.3830453184375</v>
      </c>
      <c r="B38">
        <v>1.9520937108425108E-2</v>
      </c>
      <c r="C38">
        <f t="shared" si="0"/>
        <v>2.629780783520165E-2</v>
      </c>
      <c r="D38">
        <f t="shared" si="1"/>
        <v>-6.7768707267765425E-3</v>
      </c>
      <c r="E38">
        <f t="shared" si="2"/>
        <v>4.5925976847440826E-5</v>
      </c>
    </row>
    <row r="39" spans="1:5" x14ac:dyDescent="0.25">
      <c r="A39">
        <v>3.4731941066625001</v>
      </c>
      <c r="B39">
        <v>1.8823760783124213E-2</v>
      </c>
      <c r="C39">
        <f t="shared" si="0"/>
        <v>2.3296490899424521E-2</v>
      </c>
      <c r="D39">
        <f t="shared" si="1"/>
        <v>-4.4727301163003073E-3</v>
      </c>
      <c r="E39">
        <f t="shared" si="2"/>
        <v>2.0005314693259762E-5</v>
      </c>
    </row>
    <row r="40" spans="1:5" x14ac:dyDescent="0.25">
      <c r="A40">
        <v>3.5633428948875001</v>
      </c>
      <c r="B40">
        <v>5.5774106024071742E-3</v>
      </c>
      <c r="C40">
        <f t="shared" si="0"/>
        <v>2.062228330631052E-2</v>
      </c>
      <c r="D40">
        <f t="shared" si="1"/>
        <v>-1.5044872703903346E-2</v>
      </c>
      <c r="E40">
        <f t="shared" si="2"/>
        <v>2.2634819467665598E-4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30CF-8303-4A4F-8CD9-8DD1DD69DF2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4.5386795075000007E-2</v>
      </c>
      <c r="B1">
        <v>0.36594388858280363</v>
      </c>
      <c r="C1">
        <f>$H$3*(1+$H$1)*(A1^($H$1))*EXP(-$H$3*(A1^(1+$H$1)))</f>
        <v>0.56149457633487843</v>
      </c>
      <c r="D1">
        <f>B1-C1</f>
        <v>-0.19555068775207479</v>
      </c>
      <c r="E1">
        <f>D1^2</f>
        <v>3.8240071480309452E-2</v>
      </c>
      <c r="G1" t="s">
        <v>0</v>
      </c>
      <c r="H1">
        <v>0.2178941877473661</v>
      </c>
    </row>
    <row r="2" spans="1:8" x14ac:dyDescent="0.25">
      <c r="A2">
        <v>0.13502722722500002</v>
      </c>
      <c r="B2">
        <v>0.87490033132440403</v>
      </c>
      <c r="C2">
        <f t="shared" ref="C2:C40" si="0">$H$3*(1+$H$1)*(A2^($H$1))*EXP(-$H$3*(A2^(1+$H$1)))</f>
        <v>0.67107978135356805</v>
      </c>
      <c r="D2">
        <f t="shared" ref="D2:D40" si="1">B2-C2</f>
        <v>0.20382054997083598</v>
      </c>
      <c r="E2">
        <f t="shared" ref="E2:E40" si="2">D2^2</f>
        <v>4.1542816590414047E-2</v>
      </c>
    </row>
    <row r="3" spans="1:8" x14ac:dyDescent="0.25">
      <c r="A3">
        <v>0.22466765937500002</v>
      </c>
      <c r="B3">
        <v>0.78166175434832574</v>
      </c>
      <c r="C3">
        <f t="shared" si="0"/>
        <v>0.69962274509575229</v>
      </c>
      <c r="D3">
        <f t="shared" si="1"/>
        <v>8.2039009252573458E-2</v>
      </c>
      <c r="E3">
        <f t="shared" si="2"/>
        <v>6.7303990391438338E-3</v>
      </c>
      <c r="G3" t="s">
        <v>1</v>
      </c>
      <c r="H3">
        <f>(_xlfn.GAMMA((2+$H$1)/(1+$H$1)))^(1+$H$1)</f>
        <v>0.92398991586439205</v>
      </c>
    </row>
    <row r="4" spans="1:8" x14ac:dyDescent="0.25">
      <c r="A4">
        <v>0.31430809152500006</v>
      </c>
      <c r="B4">
        <v>0.69543359669375704</v>
      </c>
      <c r="C4">
        <f t="shared" si="0"/>
        <v>0.69781525690041635</v>
      </c>
      <c r="D4">
        <f t="shared" si="1"/>
        <v>-2.3816602066593084E-3</v>
      </c>
      <c r="E4">
        <f t="shared" si="2"/>
        <v>5.6723053399844597E-6</v>
      </c>
    </row>
    <row r="5" spans="1:8" x14ac:dyDescent="0.25">
      <c r="A5">
        <v>0.403948523675</v>
      </c>
      <c r="B5">
        <v>0.62322627768220773</v>
      </c>
      <c r="C5">
        <f t="shared" si="0"/>
        <v>0.67991183095508734</v>
      </c>
      <c r="D5">
        <f t="shared" si="1"/>
        <v>-5.6685553272879607E-2</v>
      </c>
      <c r="E5">
        <f t="shared" si="2"/>
        <v>3.2132519498524722E-3</v>
      </c>
      <c r="G5" t="s">
        <v>2</v>
      </c>
      <c r="H5">
        <f>SUM(E1:E40)</f>
        <v>0.12737925484493476</v>
      </c>
    </row>
    <row r="6" spans="1:8" x14ac:dyDescent="0.25">
      <c r="A6">
        <v>0.49358895582500006</v>
      </c>
      <c r="B6">
        <v>0.56363771344937563</v>
      </c>
      <c r="C6">
        <f t="shared" si="0"/>
        <v>0.65258536098933739</v>
      </c>
      <c r="D6">
        <f t="shared" si="1"/>
        <v>-8.8947647539961761E-2</v>
      </c>
      <c r="E6">
        <f t="shared" si="2"/>
        <v>7.9116840028932659E-3</v>
      </c>
    </row>
    <row r="7" spans="1:8" x14ac:dyDescent="0.25">
      <c r="A7">
        <v>0.58322938797500001</v>
      </c>
      <c r="B7">
        <v>0.54190541355269572</v>
      </c>
      <c r="C7">
        <f t="shared" si="0"/>
        <v>0.61966386462323975</v>
      </c>
      <c r="D7">
        <f t="shared" si="1"/>
        <v>-7.7758451070544021E-2</v>
      </c>
      <c r="E7">
        <f t="shared" si="2"/>
        <v>6.0463767128901887E-3</v>
      </c>
    </row>
    <row r="8" spans="1:8" x14ac:dyDescent="0.25">
      <c r="A8">
        <v>0.67286982012500007</v>
      </c>
      <c r="B8">
        <v>0.54400853934914861</v>
      </c>
      <c r="C8">
        <f t="shared" si="0"/>
        <v>0.58358568838753722</v>
      </c>
      <c r="D8">
        <f t="shared" si="1"/>
        <v>-3.9577149038388604E-2</v>
      </c>
      <c r="E8">
        <f t="shared" si="2"/>
        <v>1.5663507260068239E-3</v>
      </c>
    </row>
    <row r="9" spans="1:8" x14ac:dyDescent="0.25">
      <c r="A9">
        <v>0.76251025227500013</v>
      </c>
      <c r="B9">
        <v>0.52998770070612933</v>
      </c>
      <c r="C9">
        <f t="shared" si="0"/>
        <v>0.5459961656575254</v>
      </c>
      <c r="D9">
        <f t="shared" si="1"/>
        <v>-1.6008464951396073E-2</v>
      </c>
      <c r="E9">
        <f t="shared" si="2"/>
        <v>2.5627095010007648E-4</v>
      </c>
    </row>
    <row r="10" spans="1:8" x14ac:dyDescent="0.25">
      <c r="A10">
        <v>0.85215068442500008</v>
      </c>
      <c r="B10">
        <v>0.44656371078016455</v>
      </c>
      <c r="C10">
        <f t="shared" si="0"/>
        <v>0.50804021555933865</v>
      </c>
      <c r="D10">
        <f t="shared" si="1"/>
        <v>-6.1476504779174102E-2</v>
      </c>
      <c r="E10">
        <f t="shared" si="2"/>
        <v>3.7793606398638163E-3</v>
      </c>
    </row>
    <row r="11" spans="1:8" x14ac:dyDescent="0.25">
      <c r="A11">
        <v>0.94179111657500014</v>
      </c>
      <c r="B11">
        <v>0.42342932701918273</v>
      </c>
      <c r="C11">
        <f t="shared" si="0"/>
        <v>0.4705249046776131</v>
      </c>
      <c r="D11">
        <f t="shared" si="1"/>
        <v>-4.7095577658430365E-2</v>
      </c>
      <c r="E11">
        <f t="shared" si="2"/>
        <v>2.2179934349812452E-3</v>
      </c>
    </row>
    <row r="12" spans="1:8" x14ac:dyDescent="0.25">
      <c r="A12">
        <v>1.0314315487250001</v>
      </c>
      <c r="B12">
        <v>0.42973870440854139</v>
      </c>
      <c r="C12">
        <f t="shared" si="0"/>
        <v>0.43401847429623763</v>
      </c>
      <c r="D12">
        <f t="shared" si="1"/>
        <v>-4.2797698876962387E-3</v>
      </c>
      <c r="E12">
        <f t="shared" si="2"/>
        <v>1.8316430291631477E-5</v>
      </c>
    </row>
    <row r="13" spans="1:8" x14ac:dyDescent="0.25">
      <c r="A13">
        <v>1.121071980875</v>
      </c>
      <c r="B13">
        <v>0.38627410461518158</v>
      </c>
      <c r="C13">
        <f t="shared" si="0"/>
        <v>0.39891502157991293</v>
      </c>
      <c r="D13">
        <f t="shared" si="1"/>
        <v>-1.2640916964731352E-2</v>
      </c>
      <c r="E13">
        <f t="shared" si="2"/>
        <v>1.597927817092329E-4</v>
      </c>
    </row>
    <row r="14" spans="1:8" x14ac:dyDescent="0.25">
      <c r="A14">
        <v>1.210712413025</v>
      </c>
      <c r="B14">
        <v>0.37856264336152096</v>
      </c>
      <c r="C14">
        <f t="shared" si="0"/>
        <v>0.36547905863290542</v>
      </c>
      <c r="D14">
        <f t="shared" si="1"/>
        <v>1.3083584728615538E-2</v>
      </c>
      <c r="E14">
        <f t="shared" si="2"/>
        <v>1.7118018935086173E-4</v>
      </c>
    </row>
    <row r="15" spans="1:8" x14ac:dyDescent="0.25">
      <c r="A15">
        <v>1.3003528451749999</v>
      </c>
      <c r="B15">
        <v>0.3280876242466515</v>
      </c>
      <c r="C15">
        <f t="shared" si="0"/>
        <v>0.33387748202713097</v>
      </c>
      <c r="D15">
        <f t="shared" si="1"/>
        <v>-5.7898577804794682E-3</v>
      </c>
      <c r="E15">
        <f t="shared" si="2"/>
        <v>3.3522453118178634E-5</v>
      </c>
    </row>
    <row r="16" spans="1:8" x14ac:dyDescent="0.25">
      <c r="A16">
        <v>1.3899932773250001</v>
      </c>
      <c r="B16">
        <v>0.31056157594287737</v>
      </c>
      <c r="C16">
        <f t="shared" si="0"/>
        <v>0.30420322537291045</v>
      </c>
      <c r="D16">
        <f t="shared" si="1"/>
        <v>6.3583505699669196E-3</v>
      </c>
      <c r="E16">
        <f t="shared" si="2"/>
        <v>4.0428621970598654E-5</v>
      </c>
    </row>
    <row r="17" spans="1:5" x14ac:dyDescent="0.25">
      <c r="A17">
        <v>1.4796337094750003</v>
      </c>
      <c r="B17">
        <v>0.30915949207857546</v>
      </c>
      <c r="C17">
        <f t="shared" si="0"/>
        <v>0.27649316397627904</v>
      </c>
      <c r="D17">
        <f t="shared" si="1"/>
        <v>3.2666328102296416E-2</v>
      </c>
      <c r="E17">
        <f t="shared" si="2"/>
        <v>1.0670889916868805E-3</v>
      </c>
    </row>
    <row r="18" spans="1:5" x14ac:dyDescent="0.25">
      <c r="A18">
        <v>1.5692741416250002</v>
      </c>
      <c r="B18">
        <v>0.3042521985535187</v>
      </c>
      <c r="C18">
        <f t="shared" si="0"/>
        <v>0.25074189642358213</v>
      </c>
      <c r="D18">
        <f t="shared" si="1"/>
        <v>5.3510302129936571E-2</v>
      </c>
      <c r="E18">
        <f t="shared" si="2"/>
        <v>2.8633524340370945E-3</v>
      </c>
    </row>
    <row r="19" spans="1:5" x14ac:dyDescent="0.25">
      <c r="A19">
        <v>1.6589145737750002</v>
      </c>
      <c r="B19">
        <v>0.25167405364219636</v>
      </c>
      <c r="C19">
        <f t="shared" si="0"/>
        <v>0.22691247731087802</v>
      </c>
      <c r="D19">
        <f t="shared" si="1"/>
        <v>2.4761576331318341E-2</v>
      </c>
      <c r="E19">
        <f t="shared" si="2"/>
        <v>6.131356624117047E-4</v>
      </c>
    </row>
    <row r="20" spans="1:5" x14ac:dyDescent="0.25">
      <c r="A20">
        <v>1.7485550059250001</v>
      </c>
      <c r="B20">
        <v>0.21451883123819521</v>
      </c>
      <c r="C20">
        <f t="shared" si="0"/>
        <v>0.2049448395151531</v>
      </c>
      <c r="D20">
        <f t="shared" si="1"/>
        <v>9.5739917230421023E-3</v>
      </c>
      <c r="E20">
        <f t="shared" si="2"/>
        <v>9.1661317512878689E-5</v>
      </c>
    </row>
    <row r="21" spans="1:5" x14ac:dyDescent="0.25">
      <c r="A21">
        <v>1.8381954380750001</v>
      </c>
      <c r="B21">
        <v>0.22363237635615776</v>
      </c>
      <c r="C21">
        <f t="shared" si="0"/>
        <v>0.18476243118346367</v>
      </c>
      <c r="D21">
        <f t="shared" si="1"/>
        <v>3.8869945172694098E-2</v>
      </c>
      <c r="E21">
        <f t="shared" si="2"/>
        <v>1.5108726377282451E-3</v>
      </c>
    </row>
    <row r="22" spans="1:5" x14ac:dyDescent="0.25">
      <c r="A22">
        <v>1.9278358702250002</v>
      </c>
      <c r="B22">
        <v>0.19839486679872304</v>
      </c>
      <c r="C22">
        <f t="shared" si="0"/>
        <v>0.1662774521947307</v>
      </c>
      <c r="D22">
        <f t="shared" si="1"/>
        <v>3.2117414603992339E-2</v>
      </c>
      <c r="E22">
        <f t="shared" si="2"/>
        <v>1.0315283208447404E-3</v>
      </c>
    </row>
    <row r="23" spans="1:5" x14ac:dyDescent="0.25">
      <c r="A23">
        <v>2.017476302375</v>
      </c>
      <c r="B23">
        <v>0.1927865313415153</v>
      </c>
      <c r="C23">
        <f t="shared" si="0"/>
        <v>0.14939497922336328</v>
      </c>
      <c r="D23">
        <f t="shared" si="1"/>
        <v>4.3391552118152016E-2</v>
      </c>
      <c r="E23">
        <f t="shared" si="2"/>
        <v>1.8828267952223027E-3</v>
      </c>
    </row>
    <row r="24" spans="1:5" x14ac:dyDescent="0.25">
      <c r="A24">
        <v>2.1071167345249999</v>
      </c>
      <c r="B24">
        <v>0.15983756053041998</v>
      </c>
      <c r="C24">
        <f t="shared" si="0"/>
        <v>0.134016201385804</v>
      </c>
      <c r="D24">
        <f t="shared" si="1"/>
        <v>2.5821359144615974E-2</v>
      </c>
      <c r="E24">
        <f t="shared" si="2"/>
        <v>6.6674258807524302E-4</v>
      </c>
    </row>
    <row r="25" spans="1:5" x14ac:dyDescent="0.25">
      <c r="A25">
        <v>2.1967571666749999</v>
      </c>
      <c r="B25">
        <v>0.1472188057517026</v>
      </c>
      <c r="C25">
        <f t="shared" si="0"/>
        <v>0.12004093996255928</v>
      </c>
      <c r="D25">
        <f t="shared" si="1"/>
        <v>2.7177865789143316E-2</v>
      </c>
      <c r="E25">
        <f t="shared" si="2"/>
        <v>7.3863638885268658E-4</v>
      </c>
    </row>
    <row r="26" spans="1:5" x14ac:dyDescent="0.25">
      <c r="A26">
        <v>2.2863975988250003</v>
      </c>
      <c r="B26">
        <v>0.139507344498042</v>
      </c>
      <c r="C26">
        <f t="shared" si="0"/>
        <v>0.10736958977824845</v>
      </c>
      <c r="D26">
        <f t="shared" si="1"/>
        <v>3.2137754719793549E-2</v>
      </c>
      <c r="E26">
        <f t="shared" si="2"/>
        <v>1.0328352784296124E-3</v>
      </c>
    </row>
    <row r="27" spans="1:5" x14ac:dyDescent="0.25">
      <c r="A27">
        <v>2.3760380309749998</v>
      </c>
      <c r="B27">
        <v>0.13319796710868331</v>
      </c>
      <c r="C27">
        <f t="shared" si="0"/>
        <v>9.5904592621822951E-2</v>
      </c>
      <c r="D27">
        <f t="shared" si="1"/>
        <v>3.7293374486860362E-2</v>
      </c>
      <c r="E27">
        <f t="shared" si="2"/>
        <v>1.3907957806172074E-3</v>
      </c>
    </row>
    <row r="28" spans="1:5" x14ac:dyDescent="0.25">
      <c r="A28">
        <v>2.4656784631250002</v>
      </c>
      <c r="B28">
        <v>0.11497087687275823</v>
      </c>
      <c r="C28">
        <f t="shared" si="0"/>
        <v>8.5551532074371425E-2</v>
      </c>
      <c r="D28">
        <f t="shared" si="1"/>
        <v>2.9419344798386801E-2</v>
      </c>
      <c r="E28">
        <f t="shared" si="2"/>
        <v>8.6549784836636849E-4</v>
      </c>
    </row>
    <row r="29" spans="1:5" x14ac:dyDescent="0.25">
      <c r="A29">
        <v>2.5553188952749997</v>
      </c>
      <c r="B29">
        <v>8.692919958671963E-2</v>
      </c>
      <c r="C29">
        <f t="shared" si="0"/>
        <v>7.6219922596608328E-2</v>
      </c>
      <c r="D29">
        <f t="shared" si="1"/>
        <v>1.0709276990111302E-2</v>
      </c>
      <c r="E29">
        <f t="shared" si="2"/>
        <v>1.1468861365092739E-4</v>
      </c>
    </row>
    <row r="30" spans="1:5" x14ac:dyDescent="0.25">
      <c r="A30">
        <v>2.6449593274250001</v>
      </c>
      <c r="B30">
        <v>8.9733367315323484E-2</v>
      </c>
      <c r="C30">
        <f t="shared" si="0"/>
        <v>6.7823752559561162E-2</v>
      </c>
      <c r="D30">
        <f t="shared" si="1"/>
        <v>2.1909614755762322E-2</v>
      </c>
      <c r="E30">
        <f t="shared" si="2"/>
        <v>4.8003121874591804E-4</v>
      </c>
    </row>
    <row r="31" spans="1:5" x14ac:dyDescent="0.25">
      <c r="A31">
        <v>2.7345997595750005</v>
      </c>
      <c r="B31">
        <v>7.9918780265209988E-2</v>
      </c>
      <c r="C31">
        <f t="shared" si="0"/>
        <v>6.0281830274703498E-2</v>
      </c>
      <c r="D31">
        <f t="shared" si="1"/>
        <v>1.963694999050649E-2</v>
      </c>
      <c r="E31">
        <f t="shared" si="2"/>
        <v>3.8560980492965285E-4</v>
      </c>
    </row>
    <row r="32" spans="1:5" x14ac:dyDescent="0.25">
      <c r="A32">
        <v>2.8242401917250008</v>
      </c>
      <c r="B32">
        <v>6.5897941622190689E-2</v>
      </c>
      <c r="C32">
        <f t="shared" si="0"/>
        <v>5.3517973418698669E-2</v>
      </c>
      <c r="D32">
        <f t="shared" si="1"/>
        <v>1.237996820349202E-2</v>
      </c>
      <c r="E32">
        <f t="shared" si="2"/>
        <v>1.5326361271947344E-4</v>
      </c>
    </row>
    <row r="33" spans="1:5" x14ac:dyDescent="0.25">
      <c r="A33">
        <v>2.9138806238750004</v>
      </c>
      <c r="B33">
        <v>5.0475019114869464E-2</v>
      </c>
      <c r="C33">
        <f t="shared" si="0"/>
        <v>4.7461075133833346E-2</v>
      </c>
      <c r="D33">
        <f t="shared" si="1"/>
        <v>3.0139439810361185E-3</v>
      </c>
      <c r="E33">
        <f t="shared" si="2"/>
        <v>9.0838583208238471E-6</v>
      </c>
    </row>
    <row r="34" spans="1:5" x14ac:dyDescent="0.25">
      <c r="A34">
        <v>3.0035210560249999</v>
      </c>
      <c r="B34">
        <v>4.9072935250567537E-2</v>
      </c>
      <c r="C34">
        <f t="shared" si="0"/>
        <v>4.2045074206309582E-2</v>
      </c>
      <c r="D34">
        <f t="shared" si="1"/>
        <v>7.0278610442579548E-3</v>
      </c>
      <c r="E34">
        <f t="shared" si="2"/>
        <v>4.9390830857398513E-5</v>
      </c>
    </row>
    <row r="35" spans="1:5" x14ac:dyDescent="0.25">
      <c r="A35">
        <v>3.0931614881750003</v>
      </c>
      <c r="B35">
        <v>2.944376115034052E-2</v>
      </c>
      <c r="C35">
        <f t="shared" si="0"/>
        <v>3.7208851844480646E-2</v>
      </c>
      <c r="D35">
        <f t="shared" si="1"/>
        <v>-7.7650906941401261E-3</v>
      </c>
      <c r="E35">
        <f t="shared" si="2"/>
        <v>6.0296633488221583E-5</v>
      </c>
    </row>
    <row r="36" spans="1:5" x14ac:dyDescent="0.25">
      <c r="A36">
        <v>3.1828019203250006</v>
      </c>
      <c r="B36">
        <v>3.1546886946793418E-2</v>
      </c>
      <c r="C36">
        <f t="shared" si="0"/>
        <v>3.2896073515391519E-2</v>
      </c>
      <c r="D36">
        <f t="shared" si="1"/>
        <v>-1.3491865685981014E-3</v>
      </c>
      <c r="E36">
        <f t="shared" si="2"/>
        <v>1.8203043968855194E-6</v>
      </c>
    </row>
    <row r="37" spans="1:5" x14ac:dyDescent="0.25">
      <c r="A37">
        <v>3.2724423524750001</v>
      </c>
      <c r="B37">
        <v>1.4020838643019295E-2</v>
      </c>
      <c r="C37">
        <f t="shared" si="0"/>
        <v>2.9054990907452546E-2</v>
      </c>
      <c r="D37">
        <f t="shared" si="1"/>
        <v>-1.5034152264433252E-2</v>
      </c>
      <c r="E37">
        <f t="shared" si="2"/>
        <v>2.2602573431016346E-4</v>
      </c>
    </row>
    <row r="38" spans="1:5" x14ac:dyDescent="0.25">
      <c r="A38">
        <v>3.3620827846250001</v>
      </c>
      <c r="B38">
        <v>2.2433341828830871E-2</v>
      </c>
      <c r="C38">
        <f t="shared" si="0"/>
        <v>2.5638216255645933E-2</v>
      </c>
      <c r="D38">
        <f t="shared" si="1"/>
        <v>-3.2048744268150624E-3</v>
      </c>
      <c r="E38">
        <f t="shared" si="2"/>
        <v>1.0271220091653175E-5</v>
      </c>
    </row>
    <row r="39" spans="1:5" x14ac:dyDescent="0.25">
      <c r="A39">
        <v>3.451723216775</v>
      </c>
      <c r="B39">
        <v>1.5422922507321225E-2</v>
      </c>
      <c r="C39">
        <f t="shared" si="0"/>
        <v>2.2602478901216489E-2</v>
      </c>
      <c r="D39">
        <f t="shared" si="1"/>
        <v>-7.1795563938952638E-3</v>
      </c>
      <c r="E39">
        <f t="shared" si="2"/>
        <v>5.1546030013122363E-5</v>
      </c>
    </row>
    <row r="40" spans="1:5" x14ac:dyDescent="0.25">
      <c r="A40">
        <v>3.5413636489250004</v>
      </c>
      <c r="B40">
        <v>7.7114612536606127E-3</v>
      </c>
      <c r="C40">
        <f t="shared" si="0"/>
        <v>1.9908371985065308E-2</v>
      </c>
      <c r="D40">
        <f t="shared" si="1"/>
        <v>-1.2196910731404696E-2</v>
      </c>
      <c r="E40">
        <f t="shared" si="2"/>
        <v>1.4876463138985502E-4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9D57-9D9D-4CAF-937C-81DBA5BE1BD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4.6109244525000002E-2</v>
      </c>
      <c r="B1">
        <v>0.35296596881765602</v>
      </c>
      <c r="C1">
        <f>$H$3*(1+$H$1)*(A1^($H$1))*EXP(-$H$3*(A1^(1+$H$1)))</f>
        <v>0.48834770953452616</v>
      </c>
      <c r="D1">
        <f>B1-C1</f>
        <v>-0.13538174071687015</v>
      </c>
      <c r="E1">
        <f>D1^2</f>
        <v>1.8328215719529858E-2</v>
      </c>
      <c r="G1" t="s">
        <v>0</v>
      </c>
      <c r="H1">
        <v>0.27475581742066174</v>
      </c>
    </row>
    <row r="2" spans="1:8" x14ac:dyDescent="0.25">
      <c r="A2">
        <v>0.13441657957500003</v>
      </c>
      <c r="B2">
        <v>0.4440539607705995</v>
      </c>
      <c r="C2">
        <f t="shared" ref="C2:C40" si="0">$H$3*(1+$H$1)*(A2^($H$1))*EXP(-$H$3*(A2^(1+$H$1)))</f>
        <v>0.62181123694050622</v>
      </c>
      <c r="D2">
        <f t="shared" ref="D2:D40" si="1">B2-C2</f>
        <v>-0.17775727616990672</v>
      </c>
      <c r="E2">
        <f t="shared" ref="E2:E40" si="2">D2^2</f>
        <v>3.1597649231344491E-2</v>
      </c>
    </row>
    <row r="3" spans="1:8" x14ac:dyDescent="0.25">
      <c r="A3">
        <v>0.22272391462500002</v>
      </c>
      <c r="B3">
        <v>1.039684033150394</v>
      </c>
      <c r="C3">
        <f t="shared" si="0"/>
        <v>0.67036509615095929</v>
      </c>
      <c r="D3">
        <f t="shared" si="1"/>
        <v>0.36931893699943474</v>
      </c>
      <c r="E3">
        <f t="shared" si="2"/>
        <v>0.13639647722639245</v>
      </c>
      <c r="G3" t="s">
        <v>1</v>
      </c>
      <c r="H3">
        <f>(_xlfn.GAMMA((2+$H$1)/(1+$H$1)))^(1+$H$1)</f>
        <v>0.90833235341344487</v>
      </c>
    </row>
    <row r="4" spans="1:8" x14ac:dyDescent="0.25">
      <c r="A4">
        <v>0.31103124967500007</v>
      </c>
      <c r="B4">
        <v>0.78776880540553473</v>
      </c>
      <c r="C4">
        <f t="shared" si="0"/>
        <v>0.68438217802174262</v>
      </c>
      <c r="D4">
        <f t="shared" si="1"/>
        <v>0.10338662738379212</v>
      </c>
      <c r="E4">
        <f t="shared" si="2"/>
        <v>1.0688794721795075E-2</v>
      </c>
    </row>
    <row r="5" spans="1:8" x14ac:dyDescent="0.25">
      <c r="A5">
        <v>0.39933858472500006</v>
      </c>
      <c r="B5">
        <v>0.66963906584156108</v>
      </c>
      <c r="C5">
        <f t="shared" si="0"/>
        <v>0.6787696860540513</v>
      </c>
      <c r="D5">
        <f t="shared" si="1"/>
        <v>-9.1306202124902258E-3</v>
      </c>
      <c r="E5">
        <f t="shared" si="2"/>
        <v>8.3368225464735063E-5</v>
      </c>
      <c r="G5" t="s">
        <v>2</v>
      </c>
      <c r="H5">
        <f>SUM(E1:E40)</f>
        <v>0.23327603487113632</v>
      </c>
    </row>
    <row r="6" spans="1:8" x14ac:dyDescent="0.25">
      <c r="A6">
        <v>0.48764591977499999</v>
      </c>
      <c r="B6">
        <v>0.59918819706545634</v>
      </c>
      <c r="C6">
        <f t="shared" si="0"/>
        <v>0.66077890789033722</v>
      </c>
      <c r="D6">
        <f t="shared" si="1"/>
        <v>-6.1590710824880879E-2</v>
      </c>
      <c r="E6">
        <f t="shared" si="2"/>
        <v>3.7934156599140987E-3</v>
      </c>
    </row>
    <row r="7" spans="1:8" x14ac:dyDescent="0.25">
      <c r="A7">
        <v>0.57595325482499993</v>
      </c>
      <c r="B7">
        <v>0.5785510738886176</v>
      </c>
      <c r="C7">
        <f t="shared" si="0"/>
        <v>0.63473310727262311</v>
      </c>
      <c r="D7">
        <f t="shared" si="1"/>
        <v>-5.6182033384005514E-2</v>
      </c>
      <c r="E7">
        <f t="shared" si="2"/>
        <v>3.1564208751615102E-3</v>
      </c>
    </row>
    <row r="8" spans="1:8" x14ac:dyDescent="0.25">
      <c r="A8">
        <v>0.66426058987500003</v>
      </c>
      <c r="B8">
        <v>0.5372768275349401</v>
      </c>
      <c r="C8">
        <f t="shared" si="0"/>
        <v>0.60349817675261119</v>
      </c>
      <c r="D8">
        <f t="shared" si="1"/>
        <v>-6.6221349217671088E-2</v>
      </c>
      <c r="E8">
        <f t="shared" si="2"/>
        <v>4.3852670922087476E-3</v>
      </c>
    </row>
    <row r="9" spans="1:8" x14ac:dyDescent="0.25">
      <c r="A9">
        <v>0.75256792492500002</v>
      </c>
      <c r="B9">
        <v>0.5372768275349401</v>
      </c>
      <c r="C9">
        <f t="shared" si="0"/>
        <v>0.56908977188325838</v>
      </c>
      <c r="D9">
        <f t="shared" si="1"/>
        <v>-3.1812944348318273E-2</v>
      </c>
      <c r="E9">
        <f t="shared" si="2"/>
        <v>1.0120634281091956E-3</v>
      </c>
    </row>
    <row r="10" spans="1:8" x14ac:dyDescent="0.25">
      <c r="A10">
        <v>0.84087525997500001</v>
      </c>
      <c r="B10">
        <v>0.46397945901030591</v>
      </c>
      <c r="C10">
        <f t="shared" si="0"/>
        <v>0.53297293630051867</v>
      </c>
      <c r="D10">
        <f t="shared" si="1"/>
        <v>-6.8993477290212768E-2</v>
      </c>
      <c r="E10">
        <f t="shared" si="2"/>
        <v>4.7600999085951048E-3</v>
      </c>
    </row>
    <row r="11" spans="1:8" x14ac:dyDescent="0.25">
      <c r="A11">
        <v>0.92918259502500011</v>
      </c>
      <c r="B11">
        <v>0.44120746102207004</v>
      </c>
      <c r="C11">
        <f t="shared" si="0"/>
        <v>0.49623002524222487</v>
      </c>
      <c r="D11">
        <f t="shared" si="1"/>
        <v>-5.5022564220154835E-2</v>
      </c>
      <c r="E11">
        <f t="shared" si="2"/>
        <v>3.0274825733610632E-3</v>
      </c>
    </row>
    <row r="12" spans="1:8" x14ac:dyDescent="0.25">
      <c r="A12">
        <v>1.017489930075</v>
      </c>
      <c r="B12">
        <v>0.42057033784523123</v>
      </c>
      <c r="C12">
        <f t="shared" si="0"/>
        <v>0.45966431435415411</v>
      </c>
      <c r="D12">
        <f t="shared" si="1"/>
        <v>-3.9093976508922879E-2</v>
      </c>
      <c r="E12">
        <f t="shared" si="2"/>
        <v>1.5283389992802139E-3</v>
      </c>
    </row>
    <row r="13" spans="1:8" x14ac:dyDescent="0.25">
      <c r="A13">
        <v>1.1057972651250001</v>
      </c>
      <c r="B13">
        <v>0.40847271391398093</v>
      </c>
      <c r="C13">
        <f t="shared" si="0"/>
        <v>0.42386886002921781</v>
      </c>
      <c r="D13">
        <f t="shared" si="1"/>
        <v>-1.5396146115236875E-2</v>
      </c>
      <c r="E13">
        <f t="shared" si="2"/>
        <v>2.3704131520172351E-4</v>
      </c>
    </row>
    <row r="14" spans="1:8" x14ac:dyDescent="0.25">
      <c r="A14">
        <v>1.194104600175</v>
      </c>
      <c r="B14">
        <v>0.38997046554853931</v>
      </c>
      <c r="C14">
        <f t="shared" si="0"/>
        <v>0.3892749768539015</v>
      </c>
      <c r="D14">
        <f t="shared" si="1"/>
        <v>6.954886946378136E-4</v>
      </c>
      <c r="E14">
        <f t="shared" si="2"/>
        <v>4.8370452436900993E-7</v>
      </c>
    </row>
    <row r="15" spans="1:8" x14ac:dyDescent="0.25">
      <c r="A15">
        <v>1.2824119352249999</v>
      </c>
      <c r="B15">
        <v>0.3259242212066259</v>
      </c>
      <c r="C15">
        <f t="shared" si="0"/>
        <v>0.35618790354407887</v>
      </c>
      <c r="D15">
        <f t="shared" si="1"/>
        <v>-3.0263682337452968E-2</v>
      </c>
      <c r="E15">
        <f t="shared" si="2"/>
        <v>9.1589046862226278E-4</v>
      </c>
    </row>
    <row r="16" spans="1:8" x14ac:dyDescent="0.25">
      <c r="A16">
        <v>1.370719270275</v>
      </c>
      <c r="B16">
        <v>0.32236609652096404</v>
      </c>
      <c r="C16">
        <f t="shared" si="0"/>
        <v>0.32481392811009618</v>
      </c>
      <c r="D16">
        <f t="shared" si="1"/>
        <v>-2.4478315891321434E-3</v>
      </c>
      <c r="E16">
        <f t="shared" si="2"/>
        <v>5.9918794887531947E-6</v>
      </c>
    </row>
    <row r="17" spans="1:5" x14ac:dyDescent="0.25">
      <c r="A17">
        <v>1.4590266053250001</v>
      </c>
      <c r="B17">
        <v>0.30030572346986056</v>
      </c>
      <c r="C17">
        <f t="shared" si="0"/>
        <v>0.29528152721659878</v>
      </c>
      <c r="D17">
        <f t="shared" si="1"/>
        <v>5.0241962532617812E-3</v>
      </c>
      <c r="E17">
        <f t="shared" si="2"/>
        <v>2.5242547991289722E-5</v>
      </c>
    </row>
    <row r="18" spans="1:5" x14ac:dyDescent="0.25">
      <c r="A18">
        <v>1.5473339403749999</v>
      </c>
      <c r="B18">
        <v>0.31311497233824326</v>
      </c>
      <c r="C18">
        <f t="shared" si="0"/>
        <v>0.26765813067320121</v>
      </c>
      <c r="D18">
        <f t="shared" si="1"/>
        <v>4.5456841665042047E-2</v>
      </c>
      <c r="E18">
        <f t="shared" si="2"/>
        <v>2.0663244541607026E-3</v>
      </c>
    </row>
    <row r="19" spans="1:5" x14ac:dyDescent="0.25">
      <c r="A19">
        <v>1.635641275425</v>
      </c>
      <c r="B19">
        <v>0.26258960180184487</v>
      </c>
      <c r="C19">
        <f t="shared" si="0"/>
        <v>0.24196357641037891</v>
      </c>
      <c r="D19">
        <f t="shared" si="1"/>
        <v>2.0626025391465963E-2</v>
      </c>
      <c r="E19">
        <f t="shared" si="2"/>
        <v>4.2543292344939866E-4</v>
      </c>
    </row>
    <row r="20" spans="1:5" x14ac:dyDescent="0.25">
      <c r="A20">
        <v>1.7239486104749999</v>
      </c>
      <c r="B20">
        <v>0.2284316048194911</v>
      </c>
      <c r="C20">
        <f t="shared" si="0"/>
        <v>0.21818099183367065</v>
      </c>
      <c r="D20">
        <f t="shared" si="1"/>
        <v>1.0250612985820445E-2</v>
      </c>
      <c r="E20">
        <f t="shared" si="2"/>
        <v>1.0507506658507074E-4</v>
      </c>
    </row>
    <row r="21" spans="1:5" x14ac:dyDescent="0.25">
      <c r="A21">
        <v>1.812255945525</v>
      </c>
      <c r="B21">
        <v>0.2134874811397113</v>
      </c>
      <c r="C21">
        <f t="shared" si="0"/>
        <v>0.19626563029254232</v>
      </c>
      <c r="D21">
        <f t="shared" si="1"/>
        <v>1.7221850847168985E-2</v>
      </c>
      <c r="E21">
        <f t="shared" si="2"/>
        <v>2.9659214660213509E-4</v>
      </c>
    </row>
    <row r="22" spans="1:5" x14ac:dyDescent="0.25">
      <c r="A22">
        <v>1.9005632805750001</v>
      </c>
      <c r="B22">
        <v>0.20921773151691708</v>
      </c>
      <c r="C22">
        <f t="shared" si="0"/>
        <v>0.17615205608453371</v>
      </c>
      <c r="D22">
        <f t="shared" si="1"/>
        <v>3.3065675432383368E-2</v>
      </c>
      <c r="E22">
        <f t="shared" si="2"/>
        <v>1.093338891799721E-3</v>
      </c>
    </row>
    <row r="23" spans="1:5" x14ac:dyDescent="0.25">
      <c r="A23">
        <v>1.9888706156249998</v>
      </c>
      <c r="B23">
        <v>0.21491073101397604</v>
      </c>
      <c r="C23">
        <f t="shared" si="0"/>
        <v>0.15775997973853145</v>
      </c>
      <c r="D23">
        <f t="shared" si="1"/>
        <v>5.7150751275444583E-2</v>
      </c>
      <c r="E23">
        <f t="shared" si="2"/>
        <v>3.2662083713477308E-3</v>
      </c>
    </row>
    <row r="24" spans="1:5" x14ac:dyDescent="0.25">
      <c r="A24">
        <v>2.0771779506749999</v>
      </c>
      <c r="B24">
        <v>0.15299936148345977</v>
      </c>
      <c r="C24">
        <f t="shared" si="0"/>
        <v>0.14099898098887409</v>
      </c>
      <c r="D24">
        <f t="shared" si="1"/>
        <v>1.2000380494585683E-2</v>
      </c>
      <c r="E24">
        <f t="shared" si="2"/>
        <v>1.4400913201483251E-4</v>
      </c>
    </row>
    <row r="25" spans="1:5" x14ac:dyDescent="0.25">
      <c r="A25">
        <v>2.1654852857250004</v>
      </c>
      <c r="B25">
        <v>0.15015286173493028</v>
      </c>
      <c r="C25">
        <f t="shared" si="0"/>
        <v>0.12577231016974691</v>
      </c>
      <c r="D25">
        <f t="shared" si="1"/>
        <v>2.4380551565183373E-2</v>
      </c>
      <c r="E25">
        <f t="shared" si="2"/>
        <v>5.9441129462256537E-4</v>
      </c>
    </row>
    <row r="26" spans="1:5" x14ac:dyDescent="0.25">
      <c r="A26">
        <v>2.2537926207750001</v>
      </c>
      <c r="B26">
        <v>0.132362238306621</v>
      </c>
      <c r="C26">
        <f t="shared" si="0"/>
        <v>0.11197992380514625</v>
      </c>
      <c r="D26">
        <f t="shared" si="1"/>
        <v>2.0382314501474749E-2</v>
      </c>
      <c r="E26">
        <f t="shared" si="2"/>
        <v>4.1543874443702788E-4</v>
      </c>
    </row>
    <row r="27" spans="1:5" x14ac:dyDescent="0.25">
      <c r="A27">
        <v>2.3420999558250002</v>
      </c>
      <c r="B27">
        <v>0.1423249874264742</v>
      </c>
      <c r="C27">
        <f t="shared" si="0"/>
        <v>9.9520883238255309E-2</v>
      </c>
      <c r="D27">
        <f t="shared" si="1"/>
        <v>4.2804104188218894E-2</v>
      </c>
      <c r="E27">
        <f t="shared" si="2"/>
        <v>1.8321913353558984E-3</v>
      </c>
    </row>
    <row r="28" spans="1:5" x14ac:dyDescent="0.25">
      <c r="A28">
        <v>2.4304072908749998</v>
      </c>
      <c r="B28">
        <v>0.12453436399816492</v>
      </c>
      <c r="C28">
        <f t="shared" si="0"/>
        <v>8.8295223863811403E-2</v>
      </c>
      <c r="D28">
        <f t="shared" si="1"/>
        <v>3.6239140134353517E-2</v>
      </c>
      <c r="E28">
        <f t="shared" si="2"/>
        <v>1.3132752776773119E-3</v>
      </c>
    </row>
    <row r="29" spans="1:5" x14ac:dyDescent="0.25">
      <c r="A29">
        <v>2.518714625925</v>
      </c>
      <c r="B29">
        <v>9.7492616387134828E-2</v>
      </c>
      <c r="C29">
        <f t="shared" si="0"/>
        <v>7.8205385346272346E-2</v>
      </c>
      <c r="D29">
        <f t="shared" si="1"/>
        <v>1.9287231040862482E-2</v>
      </c>
      <c r="E29">
        <f t="shared" si="2"/>
        <v>3.7199728122360928E-4</v>
      </c>
    </row>
    <row r="30" spans="1:5" x14ac:dyDescent="0.25">
      <c r="A30">
        <v>2.6070219609749996</v>
      </c>
      <c r="B30">
        <v>7.5432243336031324E-2</v>
      </c>
      <c r="C30">
        <f t="shared" si="0"/>
        <v>6.9157279087395843E-2</v>
      </c>
      <c r="D30">
        <f t="shared" si="1"/>
        <v>6.2749642486354812E-3</v>
      </c>
      <c r="E30">
        <f t="shared" si="2"/>
        <v>3.9375176321653446E-5</v>
      </c>
    </row>
    <row r="31" spans="1:5" x14ac:dyDescent="0.25">
      <c r="A31">
        <v>2.6953292960250002</v>
      </c>
      <c r="B31">
        <v>8.1125242833090291E-2</v>
      </c>
      <c r="C31">
        <f t="shared" si="0"/>
        <v>6.1061057438863892E-2</v>
      </c>
      <c r="D31">
        <f t="shared" si="1"/>
        <v>2.00641853942264E-2</v>
      </c>
      <c r="E31">
        <f t="shared" si="2"/>
        <v>4.0257153553388797E-4</v>
      </c>
    </row>
    <row r="32" spans="1:5" x14ac:dyDescent="0.25">
      <c r="A32">
        <v>2.7836366310750003</v>
      </c>
      <c r="B32">
        <v>7.899036802169318E-2</v>
      </c>
      <c r="C32">
        <f t="shared" si="0"/>
        <v>5.3831639240812135E-2</v>
      </c>
      <c r="D32">
        <f t="shared" si="1"/>
        <v>2.5158728780881046E-2</v>
      </c>
      <c r="E32">
        <f t="shared" si="2"/>
        <v>6.3296163386993226E-4</v>
      </c>
    </row>
    <row r="33" spans="1:5" x14ac:dyDescent="0.25">
      <c r="A33">
        <v>2.8719439661249999</v>
      </c>
      <c r="B33">
        <v>5.3371870284927826E-2</v>
      </c>
      <c r="C33">
        <f t="shared" si="0"/>
        <v>4.7389037847341532E-2</v>
      </c>
      <c r="D33">
        <f t="shared" si="1"/>
        <v>5.982832437586294E-3</v>
      </c>
      <c r="E33">
        <f t="shared" si="2"/>
        <v>3.5794283976234756E-5</v>
      </c>
    </row>
    <row r="34" spans="1:5" x14ac:dyDescent="0.25">
      <c r="A34">
        <v>2.960251301175</v>
      </c>
      <c r="B34">
        <v>4.1274246353677518E-2</v>
      </c>
      <c r="C34">
        <f t="shared" si="0"/>
        <v>4.1658530610685439E-2</v>
      </c>
      <c r="D34">
        <f t="shared" si="1"/>
        <v>-3.8428425700792052E-4</v>
      </c>
      <c r="E34">
        <f t="shared" si="2"/>
        <v>1.4767439018412952E-7</v>
      </c>
    </row>
    <row r="35" spans="1:5" x14ac:dyDescent="0.25">
      <c r="A35">
        <v>3.0485586362249997</v>
      </c>
      <c r="B35">
        <v>3.9850996479412773E-2</v>
      </c>
      <c r="C35">
        <f t="shared" si="0"/>
        <v>3.6570702635706859E-2</v>
      </c>
      <c r="D35">
        <f t="shared" si="1"/>
        <v>3.2802938437059143E-3</v>
      </c>
      <c r="E35">
        <f t="shared" si="2"/>
        <v>1.0760327701054921E-5</v>
      </c>
    </row>
    <row r="36" spans="1:5" x14ac:dyDescent="0.25">
      <c r="A36">
        <v>3.1368659712750002</v>
      </c>
      <c r="B36">
        <v>3.344637204522144E-2</v>
      </c>
      <c r="C36">
        <f t="shared" si="0"/>
        <v>3.2061392329034197E-2</v>
      </c>
      <c r="D36">
        <f t="shared" si="1"/>
        <v>1.3849797161872429E-3</v>
      </c>
      <c r="E36">
        <f t="shared" si="2"/>
        <v>1.9181688142500961E-6</v>
      </c>
    </row>
    <row r="37" spans="1:5" x14ac:dyDescent="0.25">
      <c r="A37">
        <v>3.2251733063250003</v>
      </c>
      <c r="B37">
        <v>1.8502248365441645E-2</v>
      </c>
      <c r="C37">
        <f t="shared" si="0"/>
        <v>2.8071561726877303E-2</v>
      </c>
      <c r="D37">
        <f t="shared" si="1"/>
        <v>-9.5693133614356586E-3</v>
      </c>
      <c r="E37">
        <f t="shared" si="2"/>
        <v>9.1571758209351025E-5</v>
      </c>
    </row>
    <row r="38" spans="1:5" x14ac:dyDescent="0.25">
      <c r="A38">
        <v>3.3134806413750004</v>
      </c>
      <c r="B38">
        <v>1.9213873302574017E-2</v>
      </c>
      <c r="C38">
        <f t="shared" si="0"/>
        <v>2.4547110689536269E-2</v>
      </c>
      <c r="D38">
        <f t="shared" si="1"/>
        <v>-5.3332373869622515E-3</v>
      </c>
      <c r="E38">
        <f t="shared" si="2"/>
        <v>2.8443421025691946E-5</v>
      </c>
    </row>
    <row r="39" spans="1:5" x14ac:dyDescent="0.25">
      <c r="A39">
        <v>3.4017879764250001</v>
      </c>
      <c r="B39">
        <v>1.3520873805515048E-2</v>
      </c>
      <c r="C39">
        <f t="shared" si="0"/>
        <v>2.1438650712822319E-2</v>
      </c>
      <c r="D39">
        <f t="shared" si="1"/>
        <v>-7.9177769073072706E-3</v>
      </c>
      <c r="E39">
        <f t="shared" si="2"/>
        <v>6.2691191153888291E-5</v>
      </c>
    </row>
    <row r="40" spans="1:5" x14ac:dyDescent="0.25">
      <c r="A40">
        <v>3.4900953114749997</v>
      </c>
      <c r="B40">
        <v>8.5394992455884514E-3</v>
      </c>
      <c r="C40">
        <f t="shared" si="0"/>
        <v>1.8701251253941009E-2</v>
      </c>
      <c r="D40">
        <f t="shared" si="1"/>
        <v>-1.0161752008352558E-2</v>
      </c>
      <c r="E40">
        <f t="shared" si="2"/>
        <v>1.0326120387925724E-4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2AB3-3C1C-4DFC-A9F9-82CC10376B0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4.7197777674999997E-2</v>
      </c>
      <c r="B1">
        <v>0.30674308230952957</v>
      </c>
      <c r="C1">
        <f>$H$3*(1+$H$1)*(A1^($H$1))*EXP(-$H$3*(A1^(1+$H$1)))</f>
        <v>0.41549489056909111</v>
      </c>
      <c r="D1">
        <f>B1-C1</f>
        <v>-0.10875180825956154</v>
      </c>
      <c r="E1">
        <f>D1^2</f>
        <v>1.1826955799724438E-2</v>
      </c>
      <c r="G1" t="s">
        <v>0</v>
      </c>
      <c r="H1">
        <v>0.34140967242134856</v>
      </c>
    </row>
    <row r="2" spans="1:8" x14ac:dyDescent="0.25">
      <c r="A2">
        <v>0.133651881025</v>
      </c>
      <c r="B2">
        <v>0.43031257044370025</v>
      </c>
      <c r="C2">
        <f t="shared" ref="C2:C40" si="0">$H$3*(1+$H$1)*(A2^($H$1))*EXP(-$H$3*(A2^(1+$H$1)))</f>
        <v>0.5666448974950794</v>
      </c>
      <c r="D2">
        <f t="shared" ref="D2:D40" si="1">B2-C2</f>
        <v>-0.13633232705137915</v>
      </c>
      <c r="E2">
        <f t="shared" ref="E2:E40" si="2">D2^2</f>
        <v>1.8586503399244208E-2</v>
      </c>
    </row>
    <row r="3" spans="1:8" x14ac:dyDescent="0.25">
      <c r="A3">
        <v>0.22010598437500001</v>
      </c>
      <c r="B3">
        <v>0.54370574779035097</v>
      </c>
      <c r="C3">
        <f t="shared" si="0"/>
        <v>0.63456798865899644</v>
      </c>
      <c r="D3">
        <f t="shared" si="1"/>
        <v>-9.0862240868645472E-2</v>
      </c>
      <c r="E3">
        <f t="shared" si="2"/>
        <v>8.2559468156717473E-3</v>
      </c>
      <c r="G3" t="s">
        <v>1</v>
      </c>
      <c r="H3">
        <f>(_xlfn.GAMMA((2+$H$1)/(1+$H$1)))^(1+$H$1)</f>
        <v>0.89162911589786786</v>
      </c>
    </row>
    <row r="4" spans="1:8" x14ac:dyDescent="0.25">
      <c r="A4">
        <v>0.30656008772499999</v>
      </c>
      <c r="B4">
        <v>1.0845039782128392</v>
      </c>
      <c r="C4">
        <f t="shared" si="0"/>
        <v>0.66551055901531164</v>
      </c>
      <c r="D4">
        <f t="shared" si="1"/>
        <v>0.41899341919752753</v>
      </c>
      <c r="E4">
        <f t="shared" si="2"/>
        <v>0.17555548533083504</v>
      </c>
    </row>
    <row r="5" spans="1:8" x14ac:dyDescent="0.25">
      <c r="A5">
        <v>0.39301419107500002</v>
      </c>
      <c r="B5">
        <v>0.7944791207685209</v>
      </c>
      <c r="C5">
        <f t="shared" si="0"/>
        <v>0.67396112414769394</v>
      </c>
      <c r="D5">
        <f t="shared" si="1"/>
        <v>0.12051799662082696</v>
      </c>
      <c r="E5">
        <f t="shared" si="2"/>
        <v>1.452458750949766E-2</v>
      </c>
      <c r="G5" t="s">
        <v>2</v>
      </c>
      <c r="H5">
        <f>SUM(E1:E40)</f>
        <v>0.26683442904520005</v>
      </c>
    </row>
    <row r="6" spans="1:8" x14ac:dyDescent="0.25">
      <c r="A6">
        <v>0.479468294425</v>
      </c>
      <c r="B6">
        <v>0.68690097815759577</v>
      </c>
      <c r="C6">
        <f t="shared" si="0"/>
        <v>0.66726387852146807</v>
      </c>
      <c r="D6">
        <f t="shared" si="1"/>
        <v>1.9637099636127697E-2</v>
      </c>
      <c r="E6">
        <f t="shared" si="2"/>
        <v>3.8561568211920656E-4</v>
      </c>
    </row>
    <row r="7" spans="1:8" x14ac:dyDescent="0.25">
      <c r="A7">
        <v>0.56592239777499997</v>
      </c>
      <c r="B7">
        <v>0.61057864725119626</v>
      </c>
      <c r="C7">
        <f t="shared" si="0"/>
        <v>0.64998330343376864</v>
      </c>
      <c r="D7">
        <f t="shared" si="1"/>
        <v>-3.9404656182572384E-2</v>
      </c>
      <c r="E7">
        <f t="shared" si="2"/>
        <v>1.55272692886674E-3</v>
      </c>
    </row>
    <row r="8" spans="1:8" x14ac:dyDescent="0.25">
      <c r="A8">
        <v>0.65237650112500001</v>
      </c>
      <c r="B8">
        <v>0.56260461068145939</v>
      </c>
      <c r="C8">
        <f t="shared" si="0"/>
        <v>0.62527758073645356</v>
      </c>
      <c r="D8">
        <f t="shared" si="1"/>
        <v>-6.267297005499417E-2</v>
      </c>
      <c r="E8">
        <f t="shared" si="2"/>
        <v>3.9279011755141962E-3</v>
      </c>
    </row>
    <row r="9" spans="1:8" x14ac:dyDescent="0.25">
      <c r="A9">
        <v>0.73883060447500004</v>
      </c>
      <c r="B9">
        <v>0.56260461068145939</v>
      </c>
      <c r="C9">
        <f t="shared" si="0"/>
        <v>0.59546673028940422</v>
      </c>
      <c r="D9">
        <f t="shared" si="1"/>
        <v>-3.2862119607944829E-2</v>
      </c>
      <c r="E9">
        <f t="shared" si="2"/>
        <v>1.0799189051268719E-3</v>
      </c>
    </row>
    <row r="10" spans="1:8" x14ac:dyDescent="0.25">
      <c r="A10">
        <v>0.82528470782500007</v>
      </c>
      <c r="B10">
        <v>0.4957317112206141</v>
      </c>
      <c r="C10">
        <f t="shared" si="0"/>
        <v>0.56231281161567315</v>
      </c>
      <c r="D10">
        <f t="shared" si="1"/>
        <v>-6.6581100395059045E-2</v>
      </c>
      <c r="E10">
        <f t="shared" si="2"/>
        <v>4.4330429298169317E-3</v>
      </c>
    </row>
    <row r="11" spans="1:8" x14ac:dyDescent="0.25">
      <c r="A11">
        <v>0.911738811175</v>
      </c>
      <c r="B11">
        <v>0.44557703662498011</v>
      </c>
      <c r="C11">
        <f t="shared" si="0"/>
        <v>0.52717721776781146</v>
      </c>
      <c r="D11">
        <f t="shared" si="1"/>
        <v>-8.1600181142831352E-2</v>
      </c>
      <c r="E11">
        <f t="shared" si="2"/>
        <v>6.6585895625428894E-3</v>
      </c>
    </row>
    <row r="12" spans="1:8" x14ac:dyDescent="0.25">
      <c r="A12">
        <v>0.99819291452499992</v>
      </c>
      <c r="B12">
        <v>0.42740505307583737</v>
      </c>
      <c r="C12">
        <f t="shared" si="0"/>
        <v>0.49111845979636437</v>
      </c>
      <c r="D12">
        <f t="shared" si="1"/>
        <v>-6.3713406720526999E-2</v>
      </c>
      <c r="E12">
        <f t="shared" si="2"/>
        <v>4.0593981959352954E-3</v>
      </c>
    </row>
    <row r="13" spans="1:8" x14ac:dyDescent="0.25">
      <c r="A13">
        <v>1.0846470178749998</v>
      </c>
      <c r="B13">
        <v>0.42885881175976881</v>
      </c>
      <c r="C13">
        <f t="shared" si="0"/>
        <v>0.4549581616400753</v>
      </c>
      <c r="D13">
        <f t="shared" si="1"/>
        <v>-2.6099349880306488E-2</v>
      </c>
      <c r="E13">
        <f t="shared" si="2"/>
        <v>6.8117606417465433E-4</v>
      </c>
    </row>
    <row r="14" spans="1:8" x14ac:dyDescent="0.25">
      <c r="A14">
        <v>1.171101121225</v>
      </c>
      <c r="B14">
        <v>0.39324172400344903</v>
      </c>
      <c r="C14">
        <f t="shared" si="0"/>
        <v>0.41932861220671136</v>
      </c>
      <c r="D14">
        <f t="shared" si="1"/>
        <v>-2.6086888203262326E-2</v>
      </c>
      <c r="E14">
        <f t="shared" si="2"/>
        <v>6.8052573612950714E-4</v>
      </c>
    </row>
    <row r="15" spans="1:8" x14ac:dyDescent="0.25">
      <c r="A15">
        <v>1.2575552245749999</v>
      </c>
      <c r="B15">
        <v>0.36271279164088921</v>
      </c>
      <c r="C15">
        <f t="shared" si="0"/>
        <v>0.38470880790846701</v>
      </c>
      <c r="D15">
        <f t="shared" si="1"/>
        <v>-2.19960162675778E-2</v>
      </c>
      <c r="E15">
        <f t="shared" si="2"/>
        <v>4.8382473164354723E-4</v>
      </c>
    </row>
    <row r="16" spans="1:8" x14ac:dyDescent="0.25">
      <c r="A16">
        <v>1.3440093279250001</v>
      </c>
      <c r="B16">
        <v>0.30965059967739239</v>
      </c>
      <c r="C16">
        <f t="shared" si="0"/>
        <v>0.35145282221399893</v>
      </c>
      <c r="D16">
        <f t="shared" si="1"/>
        <v>-4.1802222536606537E-2</v>
      </c>
      <c r="E16">
        <f t="shared" si="2"/>
        <v>1.7474258089999755E-3</v>
      </c>
    </row>
    <row r="17" spans="1:5" x14ac:dyDescent="0.25">
      <c r="A17">
        <v>1.430463431275</v>
      </c>
      <c r="B17">
        <v>0.30674308230952957</v>
      </c>
      <c r="C17">
        <f t="shared" si="0"/>
        <v>0.31981274704188156</v>
      </c>
      <c r="D17">
        <f t="shared" si="1"/>
        <v>-1.3069664732351993E-2</v>
      </c>
      <c r="E17">
        <f t="shared" si="2"/>
        <v>1.7081613621608549E-4</v>
      </c>
    </row>
    <row r="18" spans="1:5" x14ac:dyDescent="0.25">
      <c r="A18">
        <v>1.5169175346250001</v>
      </c>
      <c r="B18">
        <v>0.31619251375508378</v>
      </c>
      <c r="C18">
        <f t="shared" si="0"/>
        <v>0.28995758992360787</v>
      </c>
      <c r="D18">
        <f t="shared" si="1"/>
        <v>2.6234923831475909E-2</v>
      </c>
      <c r="E18">
        <f t="shared" si="2"/>
        <v>6.8827122844334265E-4</v>
      </c>
    </row>
    <row r="19" spans="1:5" x14ac:dyDescent="0.25">
      <c r="A19">
        <v>1.603371637975</v>
      </c>
      <c r="B19">
        <v>0.27839478797286688</v>
      </c>
      <c r="C19">
        <f t="shared" si="0"/>
        <v>0.26198902490953674</v>
      </c>
      <c r="D19">
        <f t="shared" si="1"/>
        <v>1.6405763063330137E-2</v>
      </c>
      <c r="E19">
        <f t="shared" si="2"/>
        <v>2.6914906169012745E-4</v>
      </c>
    </row>
    <row r="20" spans="1:5" x14ac:dyDescent="0.25">
      <c r="A20">
        <v>1.689825741325</v>
      </c>
      <c r="B20">
        <v>0.24641209692637564</v>
      </c>
      <c r="C20">
        <f t="shared" si="0"/>
        <v>0.23595461039195767</v>
      </c>
      <c r="D20">
        <f t="shared" si="1"/>
        <v>1.045748653441797E-2</v>
      </c>
      <c r="E20">
        <f t="shared" si="2"/>
        <v>1.0935902461753317E-4</v>
      </c>
    </row>
    <row r="21" spans="1:5" x14ac:dyDescent="0.25">
      <c r="A21">
        <v>1.7762798446749999</v>
      </c>
      <c r="B21">
        <v>0.21297564719595299</v>
      </c>
      <c r="C21">
        <f t="shared" si="0"/>
        <v>0.21185891416254823</v>
      </c>
      <c r="D21">
        <f t="shared" si="1"/>
        <v>1.1167330334047598E-3</v>
      </c>
      <c r="E21">
        <f t="shared" si="2"/>
        <v>1.2470926678973963E-6</v>
      </c>
    </row>
    <row r="22" spans="1:5" x14ac:dyDescent="0.25">
      <c r="A22">
        <v>1.862733948025</v>
      </c>
      <c r="B22">
        <v>0.21370252653791869</v>
      </c>
      <c r="C22">
        <f t="shared" si="0"/>
        <v>0.18967287736345098</v>
      </c>
      <c r="D22">
        <f t="shared" si="1"/>
        <v>2.4029649174467704E-2</v>
      </c>
      <c r="E22">
        <f t="shared" si="2"/>
        <v>5.774240394479964E-4</v>
      </c>
    </row>
    <row r="23" spans="1:5" x14ac:dyDescent="0.25">
      <c r="A23">
        <v>1.9491880513750002</v>
      </c>
      <c r="B23">
        <v>0.21951756127364438</v>
      </c>
      <c r="C23">
        <f t="shared" si="0"/>
        <v>0.16934167808581657</v>
      </c>
      <c r="D23">
        <f t="shared" si="1"/>
        <v>5.0175883187827813E-2</v>
      </c>
      <c r="E23">
        <f t="shared" si="2"/>
        <v>2.5176192536785417E-3</v>
      </c>
    </row>
    <row r="24" spans="1:5" x14ac:dyDescent="0.25">
      <c r="A24">
        <v>2.0356421547250001</v>
      </c>
      <c r="B24">
        <v>0.18171983549142745</v>
      </c>
      <c r="C24">
        <f t="shared" si="0"/>
        <v>0.15079130714888309</v>
      </c>
      <c r="D24">
        <f t="shared" si="1"/>
        <v>3.0928528342544365E-2</v>
      </c>
      <c r="E24">
        <f t="shared" si="2"/>
        <v>9.5657386543557005E-4</v>
      </c>
    </row>
    <row r="25" spans="1:5" x14ac:dyDescent="0.25">
      <c r="A25">
        <v>2.1220962580749996</v>
      </c>
      <c r="B25">
        <v>0.1322920402377592</v>
      </c>
      <c r="C25">
        <f t="shared" si="0"/>
        <v>0.13393403427517661</v>
      </c>
      <c r="D25">
        <f t="shared" si="1"/>
        <v>-1.6419940374174102E-3</v>
      </c>
      <c r="E25">
        <f t="shared" si="2"/>
        <v>2.6961444189143275E-6</v>
      </c>
    </row>
    <row r="26" spans="1:5" x14ac:dyDescent="0.25">
      <c r="A26">
        <v>2.2085503614249999</v>
      </c>
      <c r="B26">
        <v>0.14174147168331341</v>
      </c>
      <c r="C26">
        <f t="shared" si="0"/>
        <v>0.11867291725523575</v>
      </c>
      <c r="D26">
        <f t="shared" si="1"/>
        <v>2.3068554428077662E-2</v>
      </c>
      <c r="E26">
        <f t="shared" si="2"/>
        <v>5.3215820340118145E-4</v>
      </c>
    </row>
    <row r="27" spans="1:5" x14ac:dyDescent="0.25">
      <c r="A27">
        <v>2.2950044647749999</v>
      </c>
      <c r="B27">
        <v>0.14610274773510767</v>
      </c>
      <c r="C27">
        <f t="shared" si="0"/>
        <v>0.10490548663942306</v>
      </c>
      <c r="D27">
        <f t="shared" si="1"/>
        <v>4.1197261095684612E-2</v>
      </c>
      <c r="E27">
        <f t="shared" si="2"/>
        <v>1.6972143217860089E-3</v>
      </c>
    </row>
    <row r="28" spans="1:5" x14ac:dyDescent="0.25">
      <c r="A28">
        <v>2.3814585681249998</v>
      </c>
      <c r="B28">
        <v>0.13665331628955346</v>
      </c>
      <c r="C28">
        <f t="shared" si="0"/>
        <v>9.2526722108240575E-2</v>
      </c>
      <c r="D28">
        <f t="shared" si="1"/>
        <v>4.4126594181312886E-2</v>
      </c>
      <c r="E28">
        <f t="shared" si="2"/>
        <v>1.9471563140422764E-3</v>
      </c>
    </row>
    <row r="29" spans="1:5" x14ac:dyDescent="0.25">
      <c r="A29">
        <v>2.4679126714750002</v>
      </c>
      <c r="B29">
        <v>9.9582469849302246E-2</v>
      </c>
      <c r="C29">
        <f t="shared" si="0"/>
        <v>8.143142279999456E-2</v>
      </c>
      <c r="D29">
        <f t="shared" si="1"/>
        <v>1.8151047049307686E-2</v>
      </c>
      <c r="E29">
        <f t="shared" si="2"/>
        <v>3.2946050898618128E-4</v>
      </c>
    </row>
    <row r="30" spans="1:5" x14ac:dyDescent="0.25">
      <c r="A30">
        <v>2.5543667748250001</v>
      </c>
      <c r="B30">
        <v>8.0683606958193793E-2</v>
      </c>
      <c r="C30">
        <f t="shared" si="0"/>
        <v>7.1516061808540157E-2</v>
      </c>
      <c r="D30">
        <f t="shared" si="1"/>
        <v>9.1675451496536359E-3</v>
      </c>
      <c r="E30">
        <f t="shared" si="2"/>
        <v>8.4043884070937911E-5</v>
      </c>
    </row>
    <row r="31" spans="1:5" x14ac:dyDescent="0.25">
      <c r="A31">
        <v>2.640820878175</v>
      </c>
      <c r="B31">
        <v>8.0683606958193793E-2</v>
      </c>
      <c r="C31">
        <f t="shared" si="0"/>
        <v>6.2680204370318376E-2</v>
      </c>
      <c r="D31">
        <f t="shared" si="1"/>
        <v>1.8003402587875417E-2</v>
      </c>
      <c r="E31">
        <f t="shared" si="2"/>
        <v>3.2412250474111927E-4</v>
      </c>
    </row>
    <row r="32" spans="1:5" x14ac:dyDescent="0.25">
      <c r="A32">
        <v>2.7272749815250004</v>
      </c>
      <c r="B32">
        <v>9.1586797087679445E-2</v>
      </c>
      <c r="C32">
        <f t="shared" si="0"/>
        <v>5.482755967108785E-2</v>
      </c>
      <c r="D32">
        <f t="shared" si="1"/>
        <v>3.6759237416591595E-2</v>
      </c>
      <c r="E32">
        <f t="shared" si="2"/>
        <v>1.3512415354493474E-3</v>
      </c>
    </row>
    <row r="33" spans="1:5" x14ac:dyDescent="0.25">
      <c r="A33">
        <v>2.8137290848749998</v>
      </c>
      <c r="B33">
        <v>6.1784744067085333E-2</v>
      </c>
      <c r="C33">
        <f t="shared" si="0"/>
        <v>4.7866727550671583E-2</v>
      </c>
      <c r="D33">
        <f t="shared" si="1"/>
        <v>1.391801651641375E-2</v>
      </c>
      <c r="E33">
        <f t="shared" si="2"/>
        <v>1.9371118375116595E-4</v>
      </c>
    </row>
    <row r="34" spans="1:5" x14ac:dyDescent="0.25">
      <c r="A34">
        <v>2.9001831882249998</v>
      </c>
      <c r="B34">
        <v>3.3436449730422653E-2</v>
      </c>
      <c r="C34">
        <f t="shared" si="0"/>
        <v>4.1711693559916517E-2</v>
      </c>
      <c r="D34">
        <f t="shared" si="1"/>
        <v>-8.2752438294938641E-3</v>
      </c>
      <c r="E34">
        <f t="shared" si="2"/>
        <v>6.847966043757627E-5</v>
      </c>
    </row>
    <row r="35" spans="1:5" x14ac:dyDescent="0.25">
      <c r="A35">
        <v>2.9866372915749997</v>
      </c>
      <c r="B35">
        <v>3.8524605124182619E-2</v>
      </c>
      <c r="C35">
        <f t="shared" si="0"/>
        <v>3.6282118753211523E-2</v>
      </c>
      <c r="D35">
        <f t="shared" si="1"/>
        <v>2.242486370971096E-3</v>
      </c>
      <c r="E35">
        <f t="shared" si="2"/>
        <v>5.0287451239911159E-6</v>
      </c>
    </row>
    <row r="36" spans="1:5" x14ac:dyDescent="0.25">
      <c r="A36">
        <v>3.0730913949250001</v>
      </c>
      <c r="B36">
        <v>3.7797725782216914E-2</v>
      </c>
      <c r="C36">
        <f t="shared" si="0"/>
        <v>3.15034642264665E-2</v>
      </c>
      <c r="D36">
        <f t="shared" si="1"/>
        <v>6.2942615557504134E-3</v>
      </c>
      <c r="E36">
        <f t="shared" si="2"/>
        <v>3.9617728532197613E-5</v>
      </c>
    </row>
    <row r="37" spans="1:5" x14ac:dyDescent="0.25">
      <c r="A37">
        <v>3.1595454982750004</v>
      </c>
      <c r="B37">
        <v>3.4163329072388365E-2</v>
      </c>
      <c r="C37">
        <f t="shared" si="0"/>
        <v>2.7306984688300364E-2</v>
      </c>
      <c r="D37">
        <f t="shared" si="1"/>
        <v>6.8563443840880013E-3</v>
      </c>
      <c r="E37">
        <f t="shared" si="2"/>
        <v>4.7009458313215074E-5</v>
      </c>
    </row>
    <row r="38" spans="1:5" x14ac:dyDescent="0.25">
      <c r="A38">
        <v>3.2459996016249999</v>
      </c>
      <c r="B38">
        <v>7.9956727616228088E-3</v>
      </c>
      <c r="C38">
        <f t="shared" si="0"/>
        <v>2.3629620239676765E-2</v>
      </c>
      <c r="D38">
        <f t="shared" si="1"/>
        <v>-1.5633947478053956E-2</v>
      </c>
      <c r="E38">
        <f t="shared" si="2"/>
        <v>2.4442031374654965E-4</v>
      </c>
    </row>
    <row r="39" spans="1:5" x14ac:dyDescent="0.25">
      <c r="A39">
        <v>3.3324537049750003</v>
      </c>
      <c r="B39">
        <v>2.0352621575039875E-2</v>
      </c>
      <c r="C39">
        <f t="shared" si="0"/>
        <v>2.0413810994423104E-2</v>
      </c>
      <c r="D39">
        <f t="shared" si="1"/>
        <v>-6.1189419383229221E-5</v>
      </c>
      <c r="E39">
        <f t="shared" si="2"/>
        <v>3.7441450444567081E-9</v>
      </c>
    </row>
    <row r="40" spans="1:5" x14ac:dyDescent="0.25">
      <c r="A40">
        <v>3.4189078083249997</v>
      </c>
      <c r="B40">
        <v>2.1806380258971294E-3</v>
      </c>
      <c r="C40">
        <f t="shared" si="0"/>
        <v>1.7607255160389888E-2</v>
      </c>
      <c r="D40">
        <f t="shared" si="1"/>
        <v>-1.5426617134492757E-2</v>
      </c>
      <c r="E40">
        <f t="shared" si="2"/>
        <v>2.3798051621422552E-4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2FE0-B52B-4638-8A41-07F7B2B7DB6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4.9848421687499998E-2</v>
      </c>
      <c r="B1">
        <v>0.27287912815634879</v>
      </c>
      <c r="C1">
        <f>$H$3*(1+$H$1)*(A1^($H$1))*EXP(-$H$3*(A1^(1+$H$1)))</f>
        <v>0.37082668096892213</v>
      </c>
      <c r="D1">
        <f>B1-C1</f>
        <v>-9.7947552812573335E-2</v>
      </c>
      <c r="E1">
        <f>D1^2</f>
        <v>9.5937231019718426E-3</v>
      </c>
      <c r="G1" t="s">
        <v>0</v>
      </c>
      <c r="H1">
        <v>0.3943566739712297</v>
      </c>
    </row>
    <row r="2" spans="1:8" x14ac:dyDescent="0.25">
      <c r="A2">
        <v>0.1345956370625</v>
      </c>
      <c r="B2">
        <v>0.43230579270421565</v>
      </c>
      <c r="C2">
        <f t="shared" ref="C2:C40" si="0">$H$3*(1+$H$1)*(A2^($H$1))*EXP(-$H$3*(A2^(1+$H$1)))</f>
        <v>0.52700231735699221</v>
      </c>
      <c r="D2">
        <f t="shared" ref="D2:D40" si="1">B2-C2</f>
        <v>-9.4696524652776559E-2</v>
      </c>
      <c r="E2">
        <f t="shared" ref="E2:E40" si="2">D2^2</f>
        <v>8.9674317813139195E-3</v>
      </c>
    </row>
    <row r="3" spans="1:8" x14ac:dyDescent="0.25">
      <c r="A3">
        <v>0.21934285243750001</v>
      </c>
      <c r="B3">
        <v>0.45677593191388821</v>
      </c>
      <c r="C3">
        <f t="shared" si="0"/>
        <v>0.60632660282572803</v>
      </c>
      <c r="D3">
        <f t="shared" si="1"/>
        <v>-0.14955067091183982</v>
      </c>
      <c r="E3">
        <f t="shared" si="2"/>
        <v>2.2365403170181413E-2</v>
      </c>
      <c r="G3" t="s">
        <v>1</v>
      </c>
      <c r="H3">
        <f>(_xlfn.GAMMA((2+$H$1)/(1+$H$1)))^(1+$H$1)</f>
        <v>0.87947261091505446</v>
      </c>
    </row>
    <row r="4" spans="1:8" x14ac:dyDescent="0.25">
      <c r="A4">
        <v>0.30409006781250003</v>
      </c>
      <c r="B4">
        <v>0.75190064116993938</v>
      </c>
      <c r="C4">
        <f t="shared" si="0"/>
        <v>0.64875809450206534</v>
      </c>
      <c r="D4">
        <f t="shared" si="1"/>
        <v>0.10314254666787404</v>
      </c>
      <c r="E4">
        <f t="shared" si="2"/>
        <v>1.0638384933134574E-2</v>
      </c>
    </row>
    <row r="5" spans="1:8" x14ac:dyDescent="0.25">
      <c r="A5">
        <v>0.38883728318749999</v>
      </c>
      <c r="B5">
        <v>1.0774276445955837</v>
      </c>
      <c r="C5">
        <f t="shared" si="0"/>
        <v>0.66755936897971069</v>
      </c>
      <c r="D5">
        <f t="shared" si="1"/>
        <v>0.40986827561587302</v>
      </c>
      <c r="E5">
        <f t="shared" si="2"/>
        <v>0.16799200335632924</v>
      </c>
      <c r="G5" t="s">
        <v>2</v>
      </c>
      <c r="H5">
        <f>SUM(E1:E40)</f>
        <v>0.27445904238318958</v>
      </c>
    </row>
    <row r="6" spans="1:8" x14ac:dyDescent="0.25">
      <c r="A6">
        <v>0.47358449856249996</v>
      </c>
      <c r="B6">
        <v>0.78749357092946315</v>
      </c>
      <c r="C6">
        <f t="shared" si="0"/>
        <v>0.66969729879826101</v>
      </c>
      <c r="D6">
        <f t="shared" si="1"/>
        <v>0.11779627213120214</v>
      </c>
      <c r="E6">
        <f t="shared" si="2"/>
        <v>1.3875961728008229E-2</v>
      </c>
    </row>
    <row r="7" spans="1:8" x14ac:dyDescent="0.25">
      <c r="A7">
        <v>0.55833171393749992</v>
      </c>
      <c r="B7">
        <v>0.63770665819146732</v>
      </c>
      <c r="C7">
        <f t="shared" si="0"/>
        <v>0.6596519462379733</v>
      </c>
      <c r="D7">
        <f t="shared" si="1"/>
        <v>-2.1945288046505973E-2</v>
      </c>
      <c r="E7">
        <f t="shared" si="2"/>
        <v>4.8159566744411796E-4</v>
      </c>
    </row>
    <row r="8" spans="1:8" x14ac:dyDescent="0.25">
      <c r="A8">
        <v>0.64307892931249988</v>
      </c>
      <c r="B8">
        <v>0.60804588339186416</v>
      </c>
      <c r="C8">
        <f t="shared" si="0"/>
        <v>0.64063136108580065</v>
      </c>
      <c r="D8">
        <f t="shared" si="1"/>
        <v>-3.2585477693936493E-2</v>
      </c>
      <c r="E8">
        <f t="shared" si="2"/>
        <v>1.0618133565420327E-3</v>
      </c>
    </row>
    <row r="9" spans="1:8" x14ac:dyDescent="0.25">
      <c r="A9">
        <v>0.72782614468750007</v>
      </c>
      <c r="B9">
        <v>0.57690206985228087</v>
      </c>
      <c r="C9">
        <f t="shared" si="0"/>
        <v>0.6150741000864649</v>
      </c>
      <c r="D9">
        <f t="shared" si="1"/>
        <v>-3.8172030234184029E-2</v>
      </c>
      <c r="E9">
        <f t="shared" si="2"/>
        <v>1.4571038921994597E-3</v>
      </c>
    </row>
    <row r="10" spans="1:8" x14ac:dyDescent="0.25">
      <c r="A10">
        <v>0.81257336006250003</v>
      </c>
      <c r="B10">
        <v>0.53092786891289612</v>
      </c>
      <c r="C10">
        <f t="shared" si="0"/>
        <v>0.58489552377215581</v>
      </c>
      <c r="D10">
        <f t="shared" si="1"/>
        <v>-5.3967654859259695E-2</v>
      </c>
      <c r="E10">
        <f t="shared" si="2"/>
        <v>2.9125077710081765E-3</v>
      </c>
    </row>
    <row r="11" spans="1:8" x14ac:dyDescent="0.25">
      <c r="A11">
        <v>0.89732057543749999</v>
      </c>
      <c r="B11">
        <v>0.46196656750381876</v>
      </c>
      <c r="C11">
        <f t="shared" si="0"/>
        <v>0.55162512625125182</v>
      </c>
      <c r="D11">
        <f t="shared" si="1"/>
        <v>-8.9658558747433059E-2</v>
      </c>
      <c r="E11">
        <f t="shared" si="2"/>
        <v>8.0386571566669045E-3</v>
      </c>
    </row>
    <row r="12" spans="1:8" x14ac:dyDescent="0.25">
      <c r="A12">
        <v>0.98206779081249995</v>
      </c>
      <c r="B12">
        <v>0.4271151571142851</v>
      </c>
      <c r="C12">
        <f t="shared" si="0"/>
        <v>0.51649174092006911</v>
      </c>
      <c r="D12">
        <f t="shared" si="1"/>
        <v>-8.9376583805784005E-2</v>
      </c>
      <c r="E12">
        <f t="shared" si="2"/>
        <v>7.9881737327923315E-3</v>
      </c>
    </row>
    <row r="13" spans="1:8" x14ac:dyDescent="0.25">
      <c r="A13">
        <v>1.0668150061874999</v>
      </c>
      <c r="B13">
        <v>0.45232681569394778</v>
      </c>
      <c r="C13">
        <f t="shared" si="0"/>
        <v>0.48048142893978485</v>
      </c>
      <c r="D13">
        <f t="shared" si="1"/>
        <v>-2.8154613245837068E-2</v>
      </c>
      <c r="E13">
        <f t="shared" si="2"/>
        <v>7.9268224702266411E-4</v>
      </c>
    </row>
    <row r="14" spans="1:8" x14ac:dyDescent="0.25">
      <c r="A14">
        <v>1.1515622215624999</v>
      </c>
      <c r="B14">
        <v>0.40635261475456291</v>
      </c>
      <c r="C14">
        <f t="shared" si="0"/>
        <v>0.44437988499996922</v>
      </c>
      <c r="D14">
        <f t="shared" si="1"/>
        <v>-3.8027270245406308E-2</v>
      </c>
      <c r="E14">
        <f t="shared" si="2"/>
        <v>1.446073282317164E-3</v>
      </c>
    </row>
    <row r="15" spans="1:8" x14ac:dyDescent="0.25">
      <c r="A15">
        <v>1.2363094369374998</v>
      </c>
      <c r="B15">
        <v>0.3685351268850689</v>
      </c>
      <c r="C15">
        <f t="shared" si="0"/>
        <v>0.40880539974373042</v>
      </c>
      <c r="D15">
        <f t="shared" si="1"/>
        <v>-4.0270272858661527E-2</v>
      </c>
      <c r="E15">
        <f t="shared" si="2"/>
        <v>1.6216948761110512E-3</v>
      </c>
    </row>
    <row r="16" spans="1:8" x14ac:dyDescent="0.25">
      <c r="A16">
        <v>1.3210566523125</v>
      </c>
      <c r="B16">
        <v>0.33442523586552531</v>
      </c>
      <c r="C16">
        <f t="shared" si="0"/>
        <v>0.37423563015715122</v>
      </c>
      <c r="D16">
        <f t="shared" si="1"/>
        <v>-3.9810394291625917E-2</v>
      </c>
      <c r="E16">
        <f t="shared" si="2"/>
        <v>1.5848674936547215E-3</v>
      </c>
    </row>
    <row r="17" spans="1:5" x14ac:dyDescent="0.25">
      <c r="A17">
        <v>1.4058038676875</v>
      </c>
      <c r="B17">
        <v>0.30550598043591226</v>
      </c>
      <c r="C17">
        <f t="shared" si="0"/>
        <v>0.34103001017047635</v>
      </c>
      <c r="D17">
        <f t="shared" si="1"/>
        <v>-3.5524029734564089E-2</v>
      </c>
      <c r="E17">
        <f t="shared" si="2"/>
        <v>1.2619566885821935E-3</v>
      </c>
    </row>
    <row r="18" spans="1:5" x14ac:dyDescent="0.25">
      <c r="A18">
        <v>1.4905510830624999</v>
      </c>
      <c r="B18">
        <v>0.31885332909573366</v>
      </c>
      <c r="C18">
        <f t="shared" si="0"/>
        <v>0.30944888012109806</v>
      </c>
      <c r="D18">
        <f t="shared" si="1"/>
        <v>9.4044489746356041E-3</v>
      </c>
      <c r="E18">
        <f t="shared" si="2"/>
        <v>8.8443660516524661E-5</v>
      </c>
    </row>
    <row r="19" spans="1:5" x14ac:dyDescent="0.25">
      <c r="A19">
        <v>1.5752982984374999</v>
      </c>
      <c r="B19">
        <v>0.30402294169593208</v>
      </c>
      <c r="C19">
        <f t="shared" si="0"/>
        <v>0.27967000073706905</v>
      </c>
      <c r="D19">
        <f t="shared" si="1"/>
        <v>2.4352940958863034E-2</v>
      </c>
      <c r="E19">
        <f t="shared" si="2"/>
        <v>5.9306573334586877E-4</v>
      </c>
    </row>
    <row r="20" spans="1:5" x14ac:dyDescent="0.25">
      <c r="A20">
        <v>1.6600455138124999</v>
      </c>
      <c r="B20">
        <v>0.2358031596568449</v>
      </c>
      <c r="C20">
        <f t="shared" si="0"/>
        <v>0.2518028857449266</v>
      </c>
      <c r="D20">
        <f t="shared" si="1"/>
        <v>-1.59997260880817E-2</v>
      </c>
      <c r="E20">
        <f t="shared" si="2"/>
        <v>2.5599123489364214E-4</v>
      </c>
    </row>
    <row r="21" spans="1:5" x14ac:dyDescent="0.25">
      <c r="A21">
        <v>1.7447927291875001</v>
      </c>
      <c r="B21">
        <v>0.2224558109970235</v>
      </c>
      <c r="C21">
        <f t="shared" si="0"/>
        <v>0.22590125518980711</v>
      </c>
      <c r="D21">
        <f t="shared" si="1"/>
        <v>-3.4454441927836144E-3</v>
      </c>
      <c r="E21">
        <f t="shared" si="2"/>
        <v>1.1871085685586333E-5</v>
      </c>
    </row>
    <row r="22" spans="1:5" x14ac:dyDescent="0.25">
      <c r="A22">
        <v>1.8295399445625</v>
      </c>
      <c r="B22">
        <v>0.2224558109970235</v>
      </c>
      <c r="C22">
        <f t="shared" si="0"/>
        <v>0.20197383522866269</v>
      </c>
      <c r="D22">
        <f t="shared" si="1"/>
        <v>2.0481975768360805E-2</v>
      </c>
      <c r="E22">
        <f t="shared" si="2"/>
        <v>4.195113313757192E-4</v>
      </c>
    </row>
    <row r="23" spans="1:5" x14ac:dyDescent="0.25">
      <c r="A23">
        <v>1.9142871599375</v>
      </c>
      <c r="B23">
        <v>0.22393884973700365</v>
      </c>
      <c r="C23">
        <f t="shared" si="0"/>
        <v>0.1799936852887801</v>
      </c>
      <c r="D23">
        <f t="shared" si="1"/>
        <v>4.394516444822355E-2</v>
      </c>
      <c r="E23">
        <f t="shared" si="2"/>
        <v>1.9311774783814112E-3</v>
      </c>
    </row>
    <row r="24" spans="1:5" x14ac:dyDescent="0.25">
      <c r="A24">
        <v>1.9990343753124999</v>
      </c>
      <c r="B24">
        <v>0.18537984249751957</v>
      </c>
      <c r="C24">
        <f t="shared" si="0"/>
        <v>0.15990620636939365</v>
      </c>
      <c r="D24">
        <f t="shared" si="1"/>
        <v>2.547363612812592E-2</v>
      </c>
      <c r="E24">
        <f t="shared" si="2"/>
        <v>6.4890613758816209E-4</v>
      </c>
    </row>
    <row r="25" spans="1:5" x14ac:dyDescent="0.25">
      <c r="A25">
        <v>2.0837815906874999</v>
      </c>
      <c r="B25">
        <v>0.14385475777807519</v>
      </c>
      <c r="C25">
        <f t="shared" si="0"/>
        <v>0.14163596703733441</v>
      </c>
      <c r="D25">
        <f t="shared" si="1"/>
        <v>2.2187907407407725E-3</v>
      </c>
      <c r="E25">
        <f t="shared" si="2"/>
        <v>4.9230323511969863E-6</v>
      </c>
    </row>
    <row r="26" spans="1:5" x14ac:dyDescent="0.25">
      <c r="A26">
        <v>2.1685288060624996</v>
      </c>
      <c r="B26">
        <v>0.14014716092812479</v>
      </c>
      <c r="C26">
        <f t="shared" si="0"/>
        <v>0.1250924717890072</v>
      </c>
      <c r="D26">
        <f t="shared" si="1"/>
        <v>1.5054689139117589E-2</v>
      </c>
      <c r="E26">
        <f t="shared" si="2"/>
        <v>2.2664366507546508E-4</v>
      </c>
    </row>
    <row r="27" spans="1:5" x14ac:dyDescent="0.25">
      <c r="A27">
        <v>2.2532760214375003</v>
      </c>
      <c r="B27">
        <v>0.15052843210798589</v>
      </c>
      <c r="C27">
        <f t="shared" si="0"/>
        <v>0.11017498731782889</v>
      </c>
      <c r="D27">
        <f t="shared" si="1"/>
        <v>4.0353444790156998E-2</v>
      </c>
      <c r="E27">
        <f t="shared" si="2"/>
        <v>1.6284005064322489E-3</v>
      </c>
    </row>
    <row r="28" spans="1:5" x14ac:dyDescent="0.25">
      <c r="A28">
        <v>2.3380232368125</v>
      </c>
      <c r="B28">
        <v>0.15349450958794622</v>
      </c>
      <c r="C28">
        <f t="shared" si="0"/>
        <v>9.6776534379325554E-2</v>
      </c>
      <c r="D28">
        <f t="shared" si="1"/>
        <v>5.6717975208620666E-2</v>
      </c>
      <c r="E28">
        <f t="shared" si="2"/>
        <v>3.2169287117657084E-3</v>
      </c>
    </row>
    <row r="29" spans="1:5" x14ac:dyDescent="0.25">
      <c r="A29">
        <v>2.4227704521874998</v>
      </c>
      <c r="B29">
        <v>9.2689921248759785E-2</v>
      </c>
      <c r="C29">
        <f t="shared" si="0"/>
        <v>8.4787145605442732E-2</v>
      </c>
      <c r="D29">
        <f t="shared" si="1"/>
        <v>7.9027756433170532E-3</v>
      </c>
      <c r="E29">
        <f t="shared" si="2"/>
        <v>6.2453862868605268E-5</v>
      </c>
    </row>
    <row r="30" spans="1:5" x14ac:dyDescent="0.25">
      <c r="A30">
        <v>2.5075176675624995</v>
      </c>
      <c r="B30">
        <v>9.639751809871018E-2</v>
      </c>
      <c r="C30">
        <f t="shared" si="0"/>
        <v>7.4096482407536246E-2</v>
      </c>
      <c r="D30">
        <f t="shared" si="1"/>
        <v>2.2301035691173934E-2</v>
      </c>
      <c r="E30">
        <f t="shared" si="2"/>
        <v>4.9733619289901363E-4</v>
      </c>
    </row>
    <row r="31" spans="1:5" x14ac:dyDescent="0.25">
      <c r="A31">
        <v>2.5922648829375001</v>
      </c>
      <c r="B31">
        <v>7.3410417629017746E-2</v>
      </c>
      <c r="C31">
        <f t="shared" si="0"/>
        <v>6.4595896880263542E-2</v>
      </c>
      <c r="D31">
        <f t="shared" si="1"/>
        <v>8.8145207487542038E-3</v>
      </c>
      <c r="E31">
        <f t="shared" si="2"/>
        <v>7.7695776030218365E-5</v>
      </c>
    </row>
    <row r="32" spans="1:5" x14ac:dyDescent="0.25">
      <c r="A32">
        <v>2.6770120983124999</v>
      </c>
      <c r="B32">
        <v>9.4172959988739938E-2</v>
      </c>
      <c r="C32">
        <f t="shared" si="0"/>
        <v>5.6180017363552631E-2</v>
      </c>
      <c r="D32">
        <f t="shared" si="1"/>
        <v>3.7992942625187306E-2</v>
      </c>
      <c r="E32">
        <f t="shared" si="2"/>
        <v>1.4434636893207746E-3</v>
      </c>
    </row>
    <row r="33" spans="1:5" x14ac:dyDescent="0.25">
      <c r="A33">
        <v>2.7617593136874996</v>
      </c>
      <c r="B33">
        <v>6.8219782039087198E-2</v>
      </c>
      <c r="C33">
        <f t="shared" si="0"/>
        <v>4.8747929092158984E-2</v>
      </c>
      <c r="D33">
        <f t="shared" si="1"/>
        <v>1.9471852946928214E-2</v>
      </c>
      <c r="E33">
        <f t="shared" si="2"/>
        <v>3.7915305718679698E-4</v>
      </c>
    </row>
    <row r="34" spans="1:5" x14ac:dyDescent="0.25">
      <c r="A34">
        <v>2.8465065290625002</v>
      </c>
      <c r="B34">
        <v>4.1525084719444383E-2</v>
      </c>
      <c r="C34">
        <f t="shared" si="0"/>
        <v>4.2204014246559618E-2</v>
      </c>
      <c r="D34">
        <f t="shared" si="1"/>
        <v>-6.7892952711523513E-4</v>
      </c>
      <c r="E34">
        <f t="shared" si="2"/>
        <v>4.6094530278891681E-7</v>
      </c>
    </row>
    <row r="35" spans="1:5" x14ac:dyDescent="0.25">
      <c r="A35">
        <v>2.9312537444375</v>
      </c>
      <c r="B35">
        <v>3.2626852279563447E-2</v>
      </c>
      <c r="C35">
        <f t="shared" si="0"/>
        <v>3.6458508805929768E-2</v>
      </c>
      <c r="D35">
        <f t="shared" si="1"/>
        <v>-3.8316565263663213E-3</v>
      </c>
      <c r="E35">
        <f t="shared" si="2"/>
        <v>1.4681591736045624E-5</v>
      </c>
    </row>
    <row r="36" spans="1:5" x14ac:dyDescent="0.25">
      <c r="A36">
        <v>3.0160009598124997</v>
      </c>
      <c r="B36">
        <v>4.5974200939384854E-2</v>
      </c>
      <c r="C36">
        <f t="shared" si="0"/>
        <v>3.1427826977831412E-2</v>
      </c>
      <c r="D36">
        <f t="shared" si="1"/>
        <v>1.4546373961553442E-2</v>
      </c>
      <c r="E36">
        <f t="shared" si="2"/>
        <v>2.1159699542935999E-4</v>
      </c>
    </row>
    <row r="37" spans="1:5" x14ac:dyDescent="0.25">
      <c r="A37">
        <v>3.1007481751875003</v>
      </c>
      <c r="B37">
        <v>3.7075968499503918E-2</v>
      </c>
      <c r="C37">
        <f t="shared" si="0"/>
        <v>2.7034697710543051E-2</v>
      </c>
      <c r="D37">
        <f t="shared" si="1"/>
        <v>1.0041270788960867E-2</v>
      </c>
      <c r="E37">
        <f t="shared" si="2"/>
        <v>1.0082711905723879E-4</v>
      </c>
    </row>
    <row r="38" spans="1:5" x14ac:dyDescent="0.25">
      <c r="A38">
        <v>3.1854953905625001</v>
      </c>
      <c r="B38">
        <v>5.9321549599206267E-3</v>
      </c>
      <c r="C38">
        <f t="shared" si="0"/>
        <v>2.3208151936727768E-2</v>
      </c>
      <c r="D38">
        <f t="shared" si="1"/>
        <v>-1.727599697680714E-2</v>
      </c>
      <c r="E38">
        <f t="shared" si="2"/>
        <v>2.9846007154264948E-4</v>
      </c>
    </row>
    <row r="39" spans="1:5" x14ac:dyDescent="0.25">
      <c r="A39">
        <v>3.2702426059374998</v>
      </c>
      <c r="B39">
        <v>2.1504061729712271E-2</v>
      </c>
      <c r="C39">
        <f t="shared" si="0"/>
        <v>1.9883393788523891E-2</v>
      </c>
      <c r="D39">
        <f t="shared" si="1"/>
        <v>1.62066794118838E-3</v>
      </c>
      <c r="E39">
        <f t="shared" si="2"/>
        <v>2.6265645755957821E-6</v>
      </c>
    </row>
    <row r="40" spans="1:5" x14ac:dyDescent="0.25">
      <c r="A40">
        <v>3.3549898213124996</v>
      </c>
      <c r="B40">
        <v>7.4151936999007834E-4</v>
      </c>
      <c r="C40">
        <f t="shared" si="0"/>
        <v>1.7001584085383364E-2</v>
      </c>
      <c r="D40">
        <f t="shared" si="1"/>
        <v>-1.6260064715393284E-2</v>
      </c>
      <c r="E40">
        <f t="shared" si="2"/>
        <v>2.6438970454877768E-4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45FE-FE63-4CA9-A5EF-E448E18B126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5.3295578162500003E-2</v>
      </c>
      <c r="B1">
        <v>0.23432428864628838</v>
      </c>
      <c r="C1">
        <f>$H$3*(1+$H$1)*(A1^($H$1))*EXP(-$H$3*(A1^(1+$H$1)))</f>
        <v>0.33839914571436558</v>
      </c>
      <c r="D1">
        <f>B1-C1</f>
        <v>-0.1040748570680772</v>
      </c>
      <c r="E1">
        <f>D1^2</f>
        <v>1.0831575873740699E-2</v>
      </c>
      <c r="G1" t="s">
        <v>0</v>
      </c>
      <c r="H1">
        <v>0.44236566846930447</v>
      </c>
    </row>
    <row r="2" spans="1:8" x14ac:dyDescent="0.25">
      <c r="A2">
        <v>0.13643219048750002</v>
      </c>
      <c r="B2">
        <v>0.44975145724045673</v>
      </c>
      <c r="C2">
        <f t="shared" ref="C2:C40" si="0">$H$3*(1+$H$1)*(A2^($H$1))*EXP(-$H$3*(A2^(1+$H$1)))</f>
        <v>0.49451167019021175</v>
      </c>
      <c r="D2">
        <f t="shared" ref="D2:D40" si="1">B2-C2</f>
        <v>-4.4760212949755018E-2</v>
      </c>
      <c r="E2">
        <f t="shared" ref="E2:E40" si="2">D2^2</f>
        <v>2.0034766633074169E-3</v>
      </c>
    </row>
    <row r="3" spans="1:8" x14ac:dyDescent="0.25">
      <c r="A3">
        <v>0.21956880281250002</v>
      </c>
      <c r="B3">
        <v>0.43765730040709994</v>
      </c>
      <c r="C3">
        <f t="shared" si="0"/>
        <v>0.58149449757418725</v>
      </c>
      <c r="D3">
        <f t="shared" si="1"/>
        <v>-0.14383719716708732</v>
      </c>
      <c r="E3">
        <f t="shared" si="2"/>
        <v>2.0689139288883551E-2</v>
      </c>
      <c r="G3" t="s">
        <v>1</v>
      </c>
      <c r="H3">
        <f>(_xlfn.GAMMA((2+$H$1)/(1+$H$1)))^(1+$H$1)</f>
        <v>0.86920369179229207</v>
      </c>
    </row>
    <row r="4" spans="1:8" x14ac:dyDescent="0.25">
      <c r="A4">
        <v>0.30270541513750004</v>
      </c>
      <c r="B4">
        <v>0.55708709913649845</v>
      </c>
      <c r="C4">
        <f t="shared" si="0"/>
        <v>0.63280018519170655</v>
      </c>
      <c r="D4">
        <f t="shared" si="1"/>
        <v>-7.5713086055208101E-2</v>
      </c>
      <c r="E4">
        <f t="shared" si="2"/>
        <v>5.7324714000033476E-3</v>
      </c>
    </row>
    <row r="5" spans="1:8" x14ac:dyDescent="0.25">
      <c r="A5">
        <v>0.38584202746250007</v>
      </c>
      <c r="B5">
        <v>0.98718555152275045</v>
      </c>
      <c r="C5">
        <f t="shared" si="0"/>
        <v>0.66017774740101942</v>
      </c>
      <c r="D5">
        <f t="shared" si="1"/>
        <v>0.32700780412173103</v>
      </c>
      <c r="E5">
        <f t="shared" si="2"/>
        <v>0.10693410395651641</v>
      </c>
      <c r="G5" t="s">
        <v>2</v>
      </c>
      <c r="H5">
        <f>SUM(E1:E40)</f>
        <v>0.29390908091460166</v>
      </c>
    </row>
    <row r="6" spans="1:8" x14ac:dyDescent="0.25">
      <c r="A6">
        <v>0.46897863978749998</v>
      </c>
      <c r="B6">
        <v>0.99020909073108965</v>
      </c>
      <c r="C6">
        <f t="shared" si="0"/>
        <v>0.67000995934963281</v>
      </c>
      <c r="D6">
        <f t="shared" si="1"/>
        <v>0.32019913138145684</v>
      </c>
      <c r="E6">
        <f t="shared" si="2"/>
        <v>0.10252748373743946</v>
      </c>
    </row>
    <row r="7" spans="1:8" x14ac:dyDescent="0.25">
      <c r="A7">
        <v>0.5521152521124999</v>
      </c>
      <c r="B7">
        <v>0.6999493267305259</v>
      </c>
      <c r="C7">
        <f t="shared" si="0"/>
        <v>0.66653387843330203</v>
      </c>
      <c r="D7">
        <f t="shared" si="1"/>
        <v>3.3415448297223871E-2</v>
      </c>
      <c r="E7">
        <f t="shared" si="2"/>
        <v>1.1165921849044416E-3</v>
      </c>
    </row>
    <row r="8" spans="1:8" x14ac:dyDescent="0.25">
      <c r="A8">
        <v>0.63525186443750004</v>
      </c>
      <c r="B8">
        <v>0.66517862583462506</v>
      </c>
      <c r="C8">
        <f t="shared" si="0"/>
        <v>0.65288205154074008</v>
      </c>
      <c r="D8">
        <f t="shared" si="1"/>
        <v>1.2296574293884976E-2</v>
      </c>
      <c r="E8">
        <f t="shared" si="2"/>
        <v>1.5120573936503281E-4</v>
      </c>
    </row>
    <row r="9" spans="1:8" x14ac:dyDescent="0.25">
      <c r="A9">
        <v>0.71838847676250006</v>
      </c>
      <c r="B9">
        <v>0.60773138087618017</v>
      </c>
      <c r="C9">
        <f t="shared" si="0"/>
        <v>0.63151191221216429</v>
      </c>
      <c r="D9">
        <f t="shared" si="1"/>
        <v>-2.3780531335984123E-2</v>
      </c>
      <c r="E9">
        <f t="shared" si="2"/>
        <v>5.6551367062172278E-4</v>
      </c>
    </row>
    <row r="10" spans="1:8" x14ac:dyDescent="0.25">
      <c r="A10">
        <v>0.80152508908750009</v>
      </c>
      <c r="B10">
        <v>0.54423705750105689</v>
      </c>
      <c r="C10">
        <f t="shared" si="0"/>
        <v>0.60441350770085633</v>
      </c>
      <c r="D10">
        <f t="shared" si="1"/>
        <v>-6.0176450199799447E-2</v>
      </c>
      <c r="E10">
        <f t="shared" si="2"/>
        <v>3.6212051586489431E-3</v>
      </c>
    </row>
    <row r="11" spans="1:8" x14ac:dyDescent="0.25">
      <c r="A11">
        <v>0.8846617014125</v>
      </c>
      <c r="B11">
        <v>0.47620742531342475</v>
      </c>
      <c r="C11">
        <f t="shared" si="0"/>
        <v>0.57322337512107779</v>
      </c>
      <c r="D11">
        <f t="shared" si="1"/>
        <v>-9.7015949807653046E-2</v>
      </c>
      <c r="E11">
        <f t="shared" si="2"/>
        <v>9.4120945170810544E-3</v>
      </c>
    </row>
    <row r="12" spans="1:8" x14ac:dyDescent="0.25">
      <c r="A12">
        <v>0.96779831373750003</v>
      </c>
      <c r="B12">
        <v>0.45201911164671116</v>
      </c>
      <c r="C12">
        <f t="shared" si="0"/>
        <v>0.5392942538703176</v>
      </c>
      <c r="D12">
        <f t="shared" si="1"/>
        <v>-8.7275142223606439E-2</v>
      </c>
      <c r="E12">
        <f t="shared" si="2"/>
        <v>7.6169504501507317E-3</v>
      </c>
    </row>
    <row r="13" spans="1:8" x14ac:dyDescent="0.25">
      <c r="A13">
        <v>1.0509349260625001</v>
      </c>
      <c r="B13">
        <v>0.45655442045921996</v>
      </c>
      <c r="C13">
        <f t="shared" si="0"/>
        <v>0.50374231539925907</v>
      </c>
      <c r="D13">
        <f t="shared" si="1"/>
        <v>-4.718789494003911E-2</v>
      </c>
      <c r="E13">
        <f t="shared" si="2"/>
        <v>2.2266974288721688E-3</v>
      </c>
    </row>
    <row r="14" spans="1:8" x14ac:dyDescent="0.25">
      <c r="A14">
        <v>1.1340715383875</v>
      </c>
      <c r="B14">
        <v>0.42405137396957349</v>
      </c>
      <c r="C14">
        <f t="shared" si="0"/>
        <v>0.467482162465849</v>
      </c>
      <c r="D14">
        <f t="shared" si="1"/>
        <v>-4.3430788496275519E-2</v>
      </c>
      <c r="E14">
        <f t="shared" si="2"/>
        <v>1.8862333894082179E-3</v>
      </c>
    </row>
    <row r="15" spans="1:8" x14ac:dyDescent="0.25">
      <c r="A15">
        <v>1.2172081507124999</v>
      </c>
      <c r="B15">
        <v>0.38172182505282465</v>
      </c>
      <c r="C15">
        <f t="shared" si="0"/>
        <v>0.43125472257427211</v>
      </c>
      <c r="D15">
        <f t="shared" si="1"/>
        <v>-4.9532897521447461E-2</v>
      </c>
      <c r="E15">
        <f t="shared" si="2"/>
        <v>2.4535079368702161E-3</v>
      </c>
    </row>
    <row r="16" spans="1:8" x14ac:dyDescent="0.25">
      <c r="A16">
        <v>1.3003447630375</v>
      </c>
      <c r="B16">
        <v>0.33561285212565173</v>
      </c>
      <c r="C16">
        <f t="shared" si="0"/>
        <v>0.39565069388014279</v>
      </c>
      <c r="D16">
        <f t="shared" si="1"/>
        <v>-6.0037841754491061E-2</v>
      </c>
      <c r="E16">
        <f t="shared" si="2"/>
        <v>3.6045424425373103E-3</v>
      </c>
    </row>
    <row r="17" spans="1:5" x14ac:dyDescent="0.25">
      <c r="A17">
        <v>1.3834813753624999</v>
      </c>
      <c r="B17">
        <v>0.31671573207353171</v>
      </c>
      <c r="C17">
        <f t="shared" si="0"/>
        <v>0.36113095490158753</v>
      </c>
      <c r="D17">
        <f t="shared" si="1"/>
        <v>-4.4415222828055823E-2</v>
      </c>
      <c r="E17">
        <f t="shared" si="2"/>
        <v>1.9727120188658509E-3</v>
      </c>
    </row>
    <row r="18" spans="1:5" x14ac:dyDescent="0.25">
      <c r="A18">
        <v>1.4666179876875001</v>
      </c>
      <c r="B18">
        <v>0.33032165851105816</v>
      </c>
      <c r="C18">
        <f t="shared" si="0"/>
        <v>0.32804469832650002</v>
      </c>
      <c r="D18">
        <f t="shared" si="1"/>
        <v>2.2769601845581411E-3</v>
      </c>
      <c r="E18">
        <f t="shared" si="2"/>
        <v>5.1845476820630439E-6</v>
      </c>
    </row>
    <row r="19" spans="1:5" x14ac:dyDescent="0.25">
      <c r="A19">
        <v>1.5497546000125</v>
      </c>
      <c r="B19">
        <v>0.30310980563600531</v>
      </c>
      <c r="C19">
        <f t="shared" si="0"/>
        <v>0.29664570412481106</v>
      </c>
      <c r="D19">
        <f t="shared" si="1"/>
        <v>6.4641015111942535E-3</v>
      </c>
      <c r="E19">
        <f t="shared" si="2"/>
        <v>4.178460834702383E-5</v>
      </c>
    </row>
    <row r="20" spans="1:5" x14ac:dyDescent="0.25">
      <c r="A20">
        <v>1.6328912123374999</v>
      </c>
      <c r="B20">
        <v>0.25019786949006922</v>
      </c>
      <c r="C20">
        <f t="shared" si="0"/>
        <v>0.26710698498409408</v>
      </c>
      <c r="D20">
        <f t="shared" si="1"/>
        <v>-1.6909115494024851E-2</v>
      </c>
      <c r="E20">
        <f t="shared" si="2"/>
        <v>2.8591818679027126E-4</v>
      </c>
    </row>
    <row r="21" spans="1:5" x14ac:dyDescent="0.25">
      <c r="A21">
        <v>1.7160278246625</v>
      </c>
      <c r="B21">
        <v>0.23054486463586438</v>
      </c>
      <c r="C21">
        <f t="shared" si="0"/>
        <v>0.23953394361083141</v>
      </c>
      <c r="D21">
        <f t="shared" si="1"/>
        <v>-8.9890789749670352E-3</v>
      </c>
      <c r="E21">
        <f t="shared" si="2"/>
        <v>8.0803540818194405E-5</v>
      </c>
    </row>
    <row r="22" spans="1:5" x14ac:dyDescent="0.25">
      <c r="A22">
        <v>1.7991644369875002</v>
      </c>
      <c r="B22">
        <v>0.2418831366671364</v>
      </c>
      <c r="C22">
        <f t="shared" si="0"/>
        <v>0.2139761366541427</v>
      </c>
      <c r="D22">
        <f t="shared" si="1"/>
        <v>2.7907000012993705E-2</v>
      </c>
      <c r="E22">
        <f t="shared" si="2"/>
        <v>7.788006497252306E-4</v>
      </c>
    </row>
    <row r="23" spans="1:5" x14ac:dyDescent="0.25">
      <c r="A23">
        <v>1.8823010493125001</v>
      </c>
      <c r="B23">
        <v>0.22147424701084675</v>
      </c>
      <c r="C23">
        <f t="shared" si="0"/>
        <v>0.19043772164343389</v>
      </c>
      <c r="D23">
        <f t="shared" si="1"/>
        <v>3.1036525367412859E-2</v>
      </c>
      <c r="E23">
        <f t="shared" si="2"/>
        <v>9.6326590688206189E-4</v>
      </c>
    </row>
    <row r="24" spans="1:5" x14ac:dyDescent="0.25">
      <c r="A24">
        <v>1.9654376616374998</v>
      </c>
      <c r="B24">
        <v>0.19350650933370911</v>
      </c>
      <c r="C24">
        <f t="shared" si="0"/>
        <v>0.16888665873405398</v>
      </c>
      <c r="D24">
        <f t="shared" si="1"/>
        <v>2.461985059965513E-2</v>
      </c>
      <c r="E24">
        <f t="shared" si="2"/>
        <v>6.0613704354933902E-4</v>
      </c>
    </row>
    <row r="25" spans="1:5" x14ac:dyDescent="0.25">
      <c r="A25">
        <v>2.0485742739625001</v>
      </c>
      <c r="B25">
        <v>0.14890930601070584</v>
      </c>
      <c r="C25">
        <f t="shared" si="0"/>
        <v>0.14926274097148295</v>
      </c>
      <c r="D25">
        <f t="shared" si="1"/>
        <v>-3.5343496077711034E-4</v>
      </c>
      <c r="E25">
        <f t="shared" si="2"/>
        <v>1.2491627149951752E-7</v>
      </c>
    </row>
    <row r="26" spans="1:5" x14ac:dyDescent="0.25">
      <c r="A26">
        <v>2.1317108862875003</v>
      </c>
      <c r="B26">
        <v>0.14437399719819705</v>
      </c>
      <c r="C26">
        <f t="shared" si="0"/>
        <v>0.13148453107993185</v>
      </c>
      <c r="D26">
        <f t="shared" si="1"/>
        <v>1.2889466118265192E-2</v>
      </c>
      <c r="E26">
        <f t="shared" si="2"/>
        <v>1.6613833681390636E-4</v>
      </c>
    </row>
    <row r="27" spans="1:5" x14ac:dyDescent="0.25">
      <c r="A27">
        <v>2.2148474986125004</v>
      </c>
      <c r="B27">
        <v>0.15646815403155384</v>
      </c>
      <c r="C27">
        <f t="shared" si="0"/>
        <v>0.1154552871635053</v>
      </c>
      <c r="D27">
        <f t="shared" si="1"/>
        <v>4.1012866868048545E-2</v>
      </c>
      <c r="E27">
        <f t="shared" si="2"/>
        <v>1.682055248736274E-3</v>
      </c>
    </row>
    <row r="28" spans="1:5" x14ac:dyDescent="0.25">
      <c r="A28">
        <v>2.2979841109375001</v>
      </c>
      <c r="B28">
        <v>0.14135045798985782</v>
      </c>
      <c r="C28">
        <f t="shared" si="0"/>
        <v>0.1010679629894721</v>
      </c>
      <c r="D28">
        <f t="shared" si="1"/>
        <v>4.0282495000385721E-2</v>
      </c>
      <c r="E28">
        <f t="shared" si="2"/>
        <v>1.6226794034561007E-3</v>
      </c>
    </row>
    <row r="29" spans="1:5" x14ac:dyDescent="0.25">
      <c r="A29">
        <v>2.3811207232624998</v>
      </c>
      <c r="B29">
        <v>0.10884741150021138</v>
      </c>
      <c r="C29">
        <f t="shared" si="0"/>
        <v>8.8209370179748767E-2</v>
      </c>
      <c r="D29">
        <f t="shared" si="1"/>
        <v>2.0638041320462611E-2</v>
      </c>
      <c r="E29">
        <f t="shared" si="2"/>
        <v>4.259287495451221E-4</v>
      </c>
    </row>
    <row r="30" spans="1:5" x14ac:dyDescent="0.25">
      <c r="A30">
        <v>2.4642573355874999</v>
      </c>
      <c r="B30">
        <v>0.10128856347936337</v>
      </c>
      <c r="C30">
        <f t="shared" si="0"/>
        <v>7.6763589539449381E-2</v>
      </c>
      <c r="D30">
        <f t="shared" si="1"/>
        <v>2.4524973939913985E-2</v>
      </c>
      <c r="E30">
        <f t="shared" si="2"/>
        <v>6.014743467534601E-4</v>
      </c>
    </row>
    <row r="31" spans="1:5" x14ac:dyDescent="0.25">
      <c r="A31">
        <v>2.5473939479125001</v>
      </c>
      <c r="B31">
        <v>7.7100249812649721E-2</v>
      </c>
      <c r="C31">
        <f t="shared" si="0"/>
        <v>6.661471699882987E-2</v>
      </c>
      <c r="D31">
        <f t="shared" si="1"/>
        <v>1.0485532813819851E-2</v>
      </c>
      <c r="E31">
        <f t="shared" si="2"/>
        <v>1.0994639838969284E-4</v>
      </c>
    </row>
    <row r="32" spans="1:5" x14ac:dyDescent="0.25">
      <c r="A32">
        <v>2.6305305602375002</v>
      </c>
      <c r="B32">
        <v>9.5997369864769755E-2</v>
      </c>
      <c r="C32">
        <f t="shared" si="0"/>
        <v>5.7649026457714893E-2</v>
      </c>
      <c r="D32">
        <f t="shared" si="1"/>
        <v>3.8348343407054862E-2</v>
      </c>
      <c r="E32">
        <f t="shared" si="2"/>
        <v>1.470595442065408E-3</v>
      </c>
    </row>
    <row r="33" spans="1:5" x14ac:dyDescent="0.25">
      <c r="A33">
        <v>2.7136671725624999</v>
      </c>
      <c r="B33">
        <v>7.8612019416819334E-2</v>
      </c>
      <c r="C33">
        <f t="shared" si="0"/>
        <v>4.975662747543802E-2</v>
      </c>
      <c r="D33">
        <f t="shared" si="1"/>
        <v>2.8855391941381314E-2</v>
      </c>
      <c r="E33">
        <f t="shared" si="2"/>
        <v>8.3263364409073371E-4</v>
      </c>
    </row>
    <row r="34" spans="1:5" x14ac:dyDescent="0.25">
      <c r="A34">
        <v>2.7968037848874996</v>
      </c>
      <c r="B34">
        <v>3.7794240104240061E-2</v>
      </c>
      <c r="C34">
        <f t="shared" si="0"/>
        <v>4.2832690533887635E-2</v>
      </c>
      <c r="D34">
        <f t="shared" si="1"/>
        <v>-5.0384504296475743E-3</v>
      </c>
      <c r="E34">
        <f t="shared" si="2"/>
        <v>2.5385982732015825E-5</v>
      </c>
    </row>
    <row r="35" spans="1:5" x14ac:dyDescent="0.25">
      <c r="A35">
        <v>2.8799403972124997</v>
      </c>
      <c r="B35">
        <v>3.7794240104240061E-2</v>
      </c>
      <c r="C35">
        <f t="shared" si="0"/>
        <v>3.6778306793927254E-2</v>
      </c>
      <c r="D35">
        <f t="shared" si="1"/>
        <v>1.0159333103128068E-3</v>
      </c>
      <c r="E35">
        <f t="shared" si="2"/>
        <v>1.0321204910031378E-6</v>
      </c>
    </row>
    <row r="36" spans="1:5" x14ac:dyDescent="0.25">
      <c r="A36">
        <v>2.9630770095375003</v>
      </c>
      <c r="B36">
        <v>4.9888396937596884E-2</v>
      </c>
      <c r="C36">
        <f t="shared" si="0"/>
        <v>3.1501043117073413E-2</v>
      </c>
      <c r="D36">
        <f t="shared" si="1"/>
        <v>1.8387353820523471E-2</v>
      </c>
      <c r="E36">
        <f t="shared" si="2"/>
        <v>3.3809478052111908E-4</v>
      </c>
    </row>
    <row r="37" spans="1:5" x14ac:dyDescent="0.25">
      <c r="A37">
        <v>3.0462136218625004</v>
      </c>
      <c r="B37">
        <v>3.4770700895900855E-2</v>
      </c>
      <c r="C37">
        <f t="shared" si="0"/>
        <v>2.6915246851488245E-2</v>
      </c>
      <c r="D37">
        <f t="shared" si="1"/>
        <v>7.8554540444126103E-3</v>
      </c>
      <c r="E37">
        <f t="shared" si="2"/>
        <v>6.1708158243878436E-5</v>
      </c>
    </row>
    <row r="38" spans="1:5" x14ac:dyDescent="0.25">
      <c r="A38">
        <v>3.1293502341875001</v>
      </c>
      <c r="B38">
        <v>8.3147328229328139E-3</v>
      </c>
      <c r="C38">
        <f t="shared" si="0"/>
        <v>2.2942148663731139E-2</v>
      </c>
      <c r="D38">
        <f t="shared" si="1"/>
        <v>-1.4627415840798325E-2</v>
      </c>
      <c r="E38">
        <f t="shared" si="2"/>
        <v>2.1396129417963777E-4</v>
      </c>
    </row>
    <row r="39" spans="1:5" x14ac:dyDescent="0.25">
      <c r="A39">
        <v>3.2124868465124998</v>
      </c>
      <c r="B39">
        <v>1.889712005212003E-2</v>
      </c>
      <c r="C39">
        <f t="shared" si="0"/>
        <v>1.9509805678293836E-2</v>
      </c>
      <c r="D39">
        <f t="shared" si="1"/>
        <v>-6.1268562617380548E-4</v>
      </c>
      <c r="E39">
        <f t="shared" si="2"/>
        <v>3.7538367651998814E-7</v>
      </c>
    </row>
    <row r="40" spans="1:5" x14ac:dyDescent="0.25">
      <c r="A40">
        <v>3.2956234588375</v>
      </c>
      <c r="B40">
        <v>7.5588480208480121E-4</v>
      </c>
      <c r="C40">
        <f t="shared" si="0"/>
        <v>1.6552921474341668E-2</v>
      </c>
      <c r="D40">
        <f t="shared" si="1"/>
        <v>-1.5797036672256869E-2</v>
      </c>
      <c r="E40">
        <f t="shared" si="2"/>
        <v>2.4954636762462834E-4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81D2A-9EF2-4C55-99FD-3B851C29704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6.1697419912499996E-2</v>
      </c>
      <c r="B1">
        <v>0.15606681430271171</v>
      </c>
      <c r="C1">
        <f>$H$3*(1+$H$1)*(A1^($H$1))*EXP(-$H$3*(A1^(1+$H$1)))</f>
        <v>0.2918654634814446</v>
      </c>
      <c r="D1">
        <f>B1-C1</f>
        <v>-0.13579864917873288</v>
      </c>
      <c r="E1">
        <f>D1^2</f>
        <v>1.8441273118768569E-2</v>
      </c>
      <c r="G1" t="s">
        <v>0</v>
      </c>
      <c r="H1">
        <v>0.53360010819468839</v>
      </c>
    </row>
    <row r="2" spans="1:8" x14ac:dyDescent="0.25">
      <c r="A2">
        <v>0.1418265537375</v>
      </c>
      <c r="B2">
        <v>0.43447746293317735</v>
      </c>
      <c r="C2">
        <f t="shared" ref="C2:C40" si="0">$H$3*(1+$H$1)*(A2^($H$1))*EXP(-$H$3*(A2^(1+$H$1)))</f>
        <v>0.44130522452311571</v>
      </c>
      <c r="D2">
        <f t="shared" ref="D2:D40" si="1">B2-C2</f>
        <v>-6.8277615899383637E-3</v>
      </c>
      <c r="E2">
        <f t="shared" ref="E2:E40" si="2">D2^2</f>
        <v>4.661832832903765E-5</v>
      </c>
    </row>
    <row r="3" spans="1:8" x14ac:dyDescent="0.25">
      <c r="A3">
        <v>0.2219556875625</v>
      </c>
      <c r="B3">
        <v>0.45957363407733198</v>
      </c>
      <c r="C3">
        <f t="shared" si="0"/>
        <v>0.53736013108382918</v>
      </c>
      <c r="D3">
        <f t="shared" si="1"/>
        <v>-7.7786497006497202E-2</v>
      </c>
      <c r="E3">
        <f t="shared" si="2"/>
        <v>6.0507391165417982E-3</v>
      </c>
      <c r="G3" t="s">
        <v>1</v>
      </c>
      <c r="H3">
        <f>(_xlfn.GAMMA((2+$H$1)/(1+$H$1)))^(1+$H$1)</f>
        <v>0.85142151922690701</v>
      </c>
    </row>
    <row r="4" spans="1:8" x14ac:dyDescent="0.25">
      <c r="A4">
        <v>0.30208482138750004</v>
      </c>
      <c r="B4">
        <v>0.50898172101738648</v>
      </c>
      <c r="C4">
        <f t="shared" si="0"/>
        <v>0.60183895897450224</v>
      </c>
      <c r="D4">
        <f t="shared" si="1"/>
        <v>-9.2857237957115757E-2</v>
      </c>
      <c r="E4">
        <f t="shared" si="2"/>
        <v>8.6224666410244198E-3</v>
      </c>
    </row>
    <row r="5" spans="1:8" x14ac:dyDescent="0.25">
      <c r="A5">
        <v>0.38221395521250001</v>
      </c>
      <c r="B5">
        <v>0.60073959676320188</v>
      </c>
      <c r="C5">
        <f t="shared" si="0"/>
        <v>0.64324826923014011</v>
      </c>
      <c r="D5">
        <f t="shared" si="1"/>
        <v>-4.2508672466938235E-2</v>
      </c>
      <c r="E5">
        <f t="shared" si="2"/>
        <v>1.8069872349014329E-3</v>
      </c>
      <c r="G5" t="s">
        <v>2</v>
      </c>
      <c r="H5">
        <f>SUM(E1:E40)</f>
        <v>0.32736473306612557</v>
      </c>
    </row>
    <row r="6" spans="1:8" x14ac:dyDescent="0.25">
      <c r="A6">
        <v>0.46234308903749993</v>
      </c>
      <c r="B6">
        <v>1.0297272722585953</v>
      </c>
      <c r="C6">
        <f t="shared" si="0"/>
        <v>0.66651638423919846</v>
      </c>
      <c r="D6">
        <f t="shared" si="1"/>
        <v>0.36321088801939683</v>
      </c>
      <c r="E6">
        <f t="shared" si="2"/>
        <v>0.13192214917583883</v>
      </c>
    </row>
    <row r="7" spans="1:8" x14ac:dyDescent="0.25">
      <c r="A7">
        <v>0.54247222286249985</v>
      </c>
      <c r="B7">
        <v>0.99129876019410856</v>
      </c>
      <c r="C7">
        <f t="shared" si="0"/>
        <v>0.67512885010916923</v>
      </c>
      <c r="D7">
        <f t="shared" si="1"/>
        <v>0.31616991008493933</v>
      </c>
      <c r="E7">
        <f t="shared" si="2"/>
        <v>9.9963412043118621E-2</v>
      </c>
    </row>
    <row r="8" spans="1:8" x14ac:dyDescent="0.25">
      <c r="A8">
        <v>0.62260135668749994</v>
      </c>
      <c r="B8">
        <v>0.77092300733450059</v>
      </c>
      <c r="C8">
        <f t="shared" si="0"/>
        <v>0.6718354021624845</v>
      </c>
      <c r="D8">
        <f t="shared" si="1"/>
        <v>9.9087605172016091E-2</v>
      </c>
      <c r="E8">
        <f t="shared" si="2"/>
        <v>9.8183534987253494E-3</v>
      </c>
    </row>
    <row r="9" spans="1:8" x14ac:dyDescent="0.25">
      <c r="A9">
        <v>0.70273049051250003</v>
      </c>
      <c r="B9">
        <v>0.68622342972297867</v>
      </c>
      <c r="C9">
        <f t="shared" si="0"/>
        <v>0.65893534280411215</v>
      </c>
      <c r="D9">
        <f t="shared" si="1"/>
        <v>2.7288086918866528E-2</v>
      </c>
      <c r="E9">
        <f t="shared" si="2"/>
        <v>7.4463968769161455E-4</v>
      </c>
    </row>
    <row r="10" spans="1:8" x14ac:dyDescent="0.25">
      <c r="A10">
        <v>0.78285962433749989</v>
      </c>
      <c r="B10">
        <v>0.57564342561904724</v>
      </c>
      <c r="C10">
        <f t="shared" si="0"/>
        <v>0.63840739560270221</v>
      </c>
      <c r="D10">
        <f t="shared" si="1"/>
        <v>-6.2763969983654966E-2</v>
      </c>
      <c r="E10">
        <f t="shared" si="2"/>
        <v>3.9393159281091413E-3</v>
      </c>
    </row>
    <row r="11" spans="1:8" x14ac:dyDescent="0.25">
      <c r="A11">
        <v>0.86298875816249998</v>
      </c>
      <c r="B11">
        <v>0.55133150982314738</v>
      </c>
      <c r="C11">
        <f t="shared" si="0"/>
        <v>0.61197442753594911</v>
      </c>
      <c r="D11">
        <f t="shared" si="1"/>
        <v>-6.0642917712801725E-2</v>
      </c>
      <c r="E11">
        <f t="shared" si="2"/>
        <v>3.6775634687216414E-3</v>
      </c>
    </row>
    <row r="12" spans="1:8" x14ac:dyDescent="0.25">
      <c r="A12">
        <v>0.94311789198749996</v>
      </c>
      <c r="B12">
        <v>0.49015959265927045</v>
      </c>
      <c r="C12">
        <f t="shared" si="0"/>
        <v>0.58113897645923385</v>
      </c>
      <c r="D12">
        <f t="shared" si="1"/>
        <v>-9.0979383799963398E-2</v>
      </c>
      <c r="E12">
        <f t="shared" si="2"/>
        <v>8.277248276621043E-3</v>
      </c>
    </row>
    <row r="13" spans="1:8" x14ac:dyDescent="0.25">
      <c r="A13">
        <v>1.0232470258124999</v>
      </c>
      <c r="B13">
        <v>0.47761150708719313</v>
      </c>
      <c r="C13">
        <f t="shared" si="0"/>
        <v>0.54720540868477641</v>
      </c>
      <c r="D13">
        <f t="shared" si="1"/>
        <v>-6.9593901597583274E-2</v>
      </c>
      <c r="E13">
        <f t="shared" si="2"/>
        <v>4.8433111395741035E-3</v>
      </c>
    </row>
    <row r="14" spans="1:8" x14ac:dyDescent="0.25">
      <c r="A14">
        <v>1.1033761596374998</v>
      </c>
      <c r="B14">
        <v>0.45016256989827397</v>
      </c>
      <c r="C14">
        <f t="shared" si="0"/>
        <v>0.51129611677726672</v>
      </c>
      <c r="D14">
        <f t="shared" si="1"/>
        <v>-6.1133546878992751E-2</v>
      </c>
      <c r="E14">
        <f t="shared" si="2"/>
        <v>3.7373105540060045E-3</v>
      </c>
    </row>
    <row r="15" spans="1:8" x14ac:dyDescent="0.25">
      <c r="A15">
        <v>1.1835052934624999</v>
      </c>
      <c r="B15">
        <v>0.38271660994835838</v>
      </c>
      <c r="C15">
        <f t="shared" si="0"/>
        <v>0.47436530973026858</v>
      </c>
      <c r="D15">
        <f t="shared" si="1"/>
        <v>-9.1648699781910203E-2</v>
      </c>
      <c r="E15">
        <f t="shared" si="2"/>
        <v>8.3994841717147072E-3</v>
      </c>
    </row>
    <row r="16" spans="1:8" x14ac:dyDescent="0.25">
      <c r="A16">
        <v>1.2636344272874998</v>
      </c>
      <c r="B16">
        <v>0.37173703507279071</v>
      </c>
      <c r="C16">
        <f t="shared" si="0"/>
        <v>0.43721205922020706</v>
      </c>
      <c r="D16">
        <f t="shared" si="1"/>
        <v>-6.547502414741635E-2</v>
      </c>
      <c r="E16">
        <f t="shared" si="2"/>
        <v>4.2869787871047541E-3</v>
      </c>
    </row>
    <row r="17" spans="1:5" x14ac:dyDescent="0.25">
      <c r="A17">
        <v>1.3437635611124998</v>
      </c>
      <c r="B17">
        <v>0.3474251192768909</v>
      </c>
      <c r="C17">
        <f t="shared" si="0"/>
        <v>0.40049330222913759</v>
      </c>
      <c r="D17">
        <f t="shared" si="1"/>
        <v>-5.306818295224669E-2</v>
      </c>
      <c r="E17">
        <f t="shared" si="2"/>
        <v>2.8162320418531261E-3</v>
      </c>
    </row>
    <row r="18" spans="1:5" x14ac:dyDescent="0.25">
      <c r="A18">
        <v>1.4238926949374999</v>
      </c>
      <c r="B18">
        <v>0.34585660858038125</v>
      </c>
      <c r="C18">
        <f t="shared" si="0"/>
        <v>0.36473700166391299</v>
      </c>
      <c r="D18">
        <f t="shared" si="1"/>
        <v>-1.8880393083531732E-2</v>
      </c>
      <c r="E18">
        <f t="shared" si="2"/>
        <v>3.564692429886729E-4</v>
      </c>
    </row>
    <row r="19" spans="1:5" x14ac:dyDescent="0.25">
      <c r="A19">
        <v>1.5040218287624998</v>
      </c>
      <c r="B19">
        <v>0.30193830907811059</v>
      </c>
      <c r="C19">
        <f t="shared" si="0"/>
        <v>0.33035541412825226</v>
      </c>
      <c r="D19">
        <f t="shared" si="1"/>
        <v>-2.8417105050141667E-2</v>
      </c>
      <c r="E19">
        <f t="shared" si="2"/>
        <v>8.0753185943078707E-4</v>
      </c>
    </row>
    <row r="20" spans="1:5" x14ac:dyDescent="0.25">
      <c r="A20">
        <v>1.5841509625874997</v>
      </c>
      <c r="B20">
        <v>0.27762639328221078</v>
      </c>
      <c r="C20">
        <f t="shared" si="0"/>
        <v>0.29765829702224256</v>
      </c>
      <c r="D20">
        <f t="shared" si="1"/>
        <v>-2.0031903740031776E-2</v>
      </c>
      <c r="E20">
        <f t="shared" si="2"/>
        <v>4.0127716744989907E-4</v>
      </c>
    </row>
    <row r="21" spans="1:5" x14ac:dyDescent="0.25">
      <c r="A21">
        <v>1.6642800964125</v>
      </c>
      <c r="B21">
        <v>0.24468766865550781</v>
      </c>
      <c r="C21">
        <f t="shared" si="0"/>
        <v>0.26686584628573456</v>
      </c>
      <c r="D21">
        <f t="shared" si="1"/>
        <v>-2.2178177630226753E-2</v>
      </c>
      <c r="E21">
        <f t="shared" si="2"/>
        <v>4.9187156299789034E-4</v>
      </c>
    </row>
    <row r="22" spans="1:5" x14ac:dyDescent="0.25">
      <c r="A22">
        <v>1.7444092302374998</v>
      </c>
      <c r="B22">
        <v>0.25880426492409481</v>
      </c>
      <c r="C22">
        <f t="shared" si="0"/>
        <v>0.23812115791815652</v>
      </c>
      <c r="D22">
        <f t="shared" si="1"/>
        <v>2.0683107005938284E-2</v>
      </c>
      <c r="E22">
        <f t="shared" si="2"/>
        <v>4.2779091541909333E-4</v>
      </c>
    </row>
    <row r="23" spans="1:5" x14ac:dyDescent="0.25">
      <c r="A23">
        <v>1.8245383640624997</v>
      </c>
      <c r="B23">
        <v>0.22978681703866599</v>
      </c>
      <c r="C23">
        <f t="shared" si="0"/>
        <v>0.21150203126618433</v>
      </c>
      <c r="D23">
        <f t="shared" si="1"/>
        <v>1.828478577248166E-2</v>
      </c>
      <c r="E23">
        <f t="shared" si="2"/>
        <v>3.3433339074554771E-4</v>
      </c>
    </row>
    <row r="24" spans="1:5" x14ac:dyDescent="0.25">
      <c r="A24">
        <v>1.9046674978874996</v>
      </c>
      <c r="B24">
        <v>0.19057404962592436</v>
      </c>
      <c r="C24">
        <f t="shared" si="0"/>
        <v>0.18703196810277906</v>
      </c>
      <c r="D24">
        <f t="shared" si="1"/>
        <v>3.5420815231453073E-3</v>
      </c>
      <c r="E24">
        <f t="shared" si="2"/>
        <v>1.2546341516607381E-5</v>
      </c>
    </row>
    <row r="25" spans="1:5" x14ac:dyDescent="0.25">
      <c r="A25">
        <v>1.9847966317124996</v>
      </c>
      <c r="B25">
        <v>0.17332043196431804</v>
      </c>
      <c r="C25">
        <f t="shared" si="0"/>
        <v>0.16469026143585988</v>
      </c>
      <c r="D25">
        <f t="shared" si="1"/>
        <v>8.6301705284581587E-3</v>
      </c>
      <c r="E25">
        <f t="shared" si="2"/>
        <v>7.447984335026777E-5</v>
      </c>
    </row>
    <row r="26" spans="1:5" x14ac:dyDescent="0.25">
      <c r="A26">
        <v>2.0649257655374997</v>
      </c>
      <c r="B26">
        <v>0.16783064452653421</v>
      </c>
      <c r="C26">
        <f t="shared" si="0"/>
        <v>0.14442110731713262</v>
      </c>
      <c r="D26">
        <f t="shared" si="1"/>
        <v>2.3409537209401587E-2</v>
      </c>
      <c r="E26">
        <f t="shared" si="2"/>
        <v>5.4800643235835742E-4</v>
      </c>
    </row>
    <row r="27" spans="1:5" x14ac:dyDescent="0.25">
      <c r="A27">
        <v>2.1450548993625</v>
      </c>
      <c r="B27">
        <v>0.15998809104398587</v>
      </c>
      <c r="C27">
        <f t="shared" si="0"/>
        <v>0.12614170901654156</v>
      </c>
      <c r="D27">
        <f t="shared" si="1"/>
        <v>3.3846382027444305E-2</v>
      </c>
      <c r="E27">
        <f t="shared" si="2"/>
        <v>1.1455775763477049E-3</v>
      </c>
    </row>
    <row r="28" spans="1:5" x14ac:dyDescent="0.25">
      <c r="A28">
        <v>2.2251840331874995</v>
      </c>
      <c r="B28">
        <v>0.13097064315855705</v>
      </c>
      <c r="C28">
        <f t="shared" si="0"/>
        <v>0.10974937432396664</v>
      </c>
      <c r="D28">
        <f t="shared" si="1"/>
        <v>2.1221268834590412E-2</v>
      </c>
      <c r="E28">
        <f t="shared" si="2"/>
        <v>4.503422509499583E-4</v>
      </c>
    </row>
    <row r="29" spans="1:5" x14ac:dyDescent="0.25">
      <c r="A29">
        <v>2.3053131670124998</v>
      </c>
      <c r="B29">
        <v>0.1294021324620474</v>
      </c>
      <c r="C29">
        <f t="shared" si="0"/>
        <v>9.5127632774921422E-2</v>
      </c>
      <c r="D29">
        <f t="shared" si="1"/>
        <v>3.4274499687125981E-2</v>
      </c>
      <c r="E29">
        <f t="shared" si="2"/>
        <v>1.174741328802799E-3</v>
      </c>
    </row>
    <row r="30" spans="1:5" x14ac:dyDescent="0.25">
      <c r="A30">
        <v>2.3854423008375001</v>
      </c>
      <c r="B30">
        <v>0.10430596131789276</v>
      </c>
      <c r="C30">
        <f t="shared" si="0"/>
        <v>8.2151420144880485E-2</v>
      </c>
      <c r="D30">
        <f t="shared" si="1"/>
        <v>2.2154541173012271E-2</v>
      </c>
      <c r="E30">
        <f t="shared" si="2"/>
        <v>4.9082369458669593E-4</v>
      </c>
    </row>
    <row r="31" spans="1:5" x14ac:dyDescent="0.25">
      <c r="A31">
        <v>2.4655714346624995</v>
      </c>
      <c r="B31">
        <v>9.7247663183599259E-2</v>
      </c>
      <c r="C31">
        <f t="shared" si="0"/>
        <v>7.069139284451241E-2</v>
      </c>
      <c r="D31">
        <f t="shared" si="1"/>
        <v>2.6556270339086849E-2</v>
      </c>
      <c r="E31">
        <f t="shared" si="2"/>
        <v>7.0523549432266399E-4</v>
      </c>
    </row>
    <row r="32" spans="1:5" x14ac:dyDescent="0.25">
      <c r="A32">
        <v>2.5457005684874998</v>
      </c>
      <c r="B32">
        <v>9.5679152487089594E-2</v>
      </c>
      <c r="C32">
        <f t="shared" si="0"/>
        <v>6.0617445325555373E-2</v>
      </c>
      <c r="D32">
        <f t="shared" si="1"/>
        <v>3.5061707161534221E-2</v>
      </c>
      <c r="E32">
        <f t="shared" si="2"/>
        <v>1.2293233090811802E-3</v>
      </c>
    </row>
    <row r="33" spans="1:5" x14ac:dyDescent="0.25">
      <c r="A33">
        <v>2.6258297023125001</v>
      </c>
      <c r="B33">
        <v>6.9798725994680108E-2</v>
      </c>
      <c r="C33">
        <f t="shared" si="0"/>
        <v>5.1801509852827894E-2</v>
      </c>
      <c r="D33">
        <f t="shared" si="1"/>
        <v>1.7997216141852214E-2</v>
      </c>
      <c r="E33">
        <f t="shared" si="2"/>
        <v>3.2389978885654589E-4</v>
      </c>
    </row>
    <row r="34" spans="1:5" x14ac:dyDescent="0.25">
      <c r="A34">
        <v>2.7059588361374995</v>
      </c>
      <c r="B34">
        <v>6.0387661815622121E-2</v>
      </c>
      <c r="C34">
        <f t="shared" si="0"/>
        <v>4.4119720650225916E-2</v>
      </c>
      <c r="D34">
        <f t="shared" si="1"/>
        <v>1.6267941165396205E-2</v>
      </c>
      <c r="E34">
        <f t="shared" si="2"/>
        <v>2.646459097607924E-4</v>
      </c>
    </row>
    <row r="35" spans="1:5" x14ac:dyDescent="0.25">
      <c r="A35">
        <v>2.7860879699624999</v>
      </c>
      <c r="B35">
        <v>4.2349788805760964E-2</v>
      </c>
      <c r="C35">
        <f t="shared" si="0"/>
        <v>3.7454024136173353E-2</v>
      </c>
      <c r="D35">
        <f t="shared" si="1"/>
        <v>4.8957646695876114E-3</v>
      </c>
      <c r="E35">
        <f t="shared" si="2"/>
        <v>2.3968511699982294E-5</v>
      </c>
    </row>
    <row r="36" spans="1:5" x14ac:dyDescent="0.25">
      <c r="A36">
        <v>2.8662171037875002</v>
      </c>
      <c r="B36">
        <v>5.2545108333073791E-2</v>
      </c>
      <c r="C36">
        <f t="shared" si="0"/>
        <v>3.1693314351189113E-2</v>
      </c>
      <c r="D36">
        <f t="shared" si="1"/>
        <v>2.0851793981884678E-2</v>
      </c>
      <c r="E36">
        <f t="shared" si="2"/>
        <v>4.3479731226296207E-4</v>
      </c>
    </row>
    <row r="37" spans="1:5" x14ac:dyDescent="0.25">
      <c r="A37">
        <v>2.9463462376124996</v>
      </c>
      <c r="B37">
        <v>2.4311915795899815E-2</v>
      </c>
      <c r="C37">
        <f t="shared" si="0"/>
        <v>2.6734168323785723E-2</v>
      </c>
      <c r="D37">
        <f t="shared" si="1"/>
        <v>-2.4222525278859083E-3</v>
      </c>
      <c r="E37">
        <f t="shared" si="2"/>
        <v>5.8673073088496735E-6</v>
      </c>
    </row>
    <row r="38" spans="1:5" x14ac:dyDescent="0.25">
      <c r="A38">
        <v>3.0264753714374999</v>
      </c>
      <c r="B38">
        <v>2.4311915795899815E-2</v>
      </c>
      <c r="C38">
        <f t="shared" si="0"/>
        <v>2.2481250535784886E-2</v>
      </c>
      <c r="D38">
        <f t="shared" si="1"/>
        <v>1.8306652601149283E-3</v>
      </c>
      <c r="E38">
        <f t="shared" si="2"/>
        <v>3.3513352945916579E-6</v>
      </c>
    </row>
    <row r="39" spans="1:5" x14ac:dyDescent="0.25">
      <c r="A39">
        <v>3.1066045052624998</v>
      </c>
      <c r="B39">
        <v>1.2548085572077324E-2</v>
      </c>
      <c r="C39">
        <f t="shared" si="0"/>
        <v>1.8847449280025543E-2</v>
      </c>
      <c r="D39">
        <f t="shared" si="1"/>
        <v>-6.2993637079482197E-3</v>
      </c>
      <c r="E39">
        <f t="shared" si="2"/>
        <v>3.9681983125015142E-5</v>
      </c>
    </row>
    <row r="40" spans="1:5" x14ac:dyDescent="0.25">
      <c r="A40">
        <v>3.1867336390874996</v>
      </c>
      <c r="B40">
        <v>7.8425534825483272E-4</v>
      </c>
      <c r="C40">
        <f t="shared" si="0"/>
        <v>1.5753800926676432E-2</v>
      </c>
      <c r="D40">
        <f t="shared" si="1"/>
        <v>-1.49695455784216E-2</v>
      </c>
      <c r="E40">
        <f t="shared" si="2"/>
        <v>2.2408729482444167E-4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93D8-1630-4FCF-8906-52421744BAE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7.6302696899999994E-2</v>
      </c>
      <c r="B1">
        <v>0.13673311269035826</v>
      </c>
      <c r="C1">
        <f>$H$3*(1+$H$1)*(A1^($H$1))*EXP(-$H$3*(A1^(1+$H$1)))</f>
        <v>0.27261589282603826</v>
      </c>
      <c r="D1">
        <f>B1-C1</f>
        <v>-0.13588278013568</v>
      </c>
      <c r="E1">
        <f>D1^2</f>
        <v>1.8464129937401551E-2</v>
      </c>
      <c r="G1" t="s">
        <v>0</v>
      </c>
      <c r="H1">
        <v>0.61774197059976366</v>
      </c>
    </row>
    <row r="2" spans="1:8" x14ac:dyDescent="0.25">
      <c r="A2">
        <v>0.15351446869999999</v>
      </c>
      <c r="B2">
        <v>0.41833821382645325</v>
      </c>
      <c r="C2">
        <f t="shared" ref="C2:C40" si="0">$H$3*(1+$H$1)*(A2^($H$1))*EXP(-$H$3*(A2^(1+$H$1)))</f>
        <v>0.40853644526720279</v>
      </c>
      <c r="D2">
        <f t="shared" ref="D2:D40" si="1">B2-C2</f>
        <v>9.8017685592504677E-3</v>
      </c>
      <c r="E2">
        <f t="shared" ref="E2:E40" si="2">D2^2</f>
        <v>9.6074666889110993E-5</v>
      </c>
    </row>
    <row r="3" spans="1:8" x14ac:dyDescent="0.25">
      <c r="A3">
        <v>0.23072624049999998</v>
      </c>
      <c r="B3">
        <v>0.46798535593426188</v>
      </c>
      <c r="C3">
        <f t="shared" si="0"/>
        <v>0.5060359070979572</v>
      </c>
      <c r="D3">
        <f t="shared" si="1"/>
        <v>-3.8050551163695323E-2</v>
      </c>
      <c r="E3">
        <f t="shared" si="2"/>
        <v>1.4478444438609955E-3</v>
      </c>
      <c r="G3" t="s">
        <v>1</v>
      </c>
      <c r="H3">
        <f>(_xlfn.GAMMA((2+$H$1)/(1+$H$1)))^(1+$H$1)</f>
        <v>0.83676097363333612</v>
      </c>
    </row>
    <row r="4" spans="1:8" x14ac:dyDescent="0.25">
      <c r="A4">
        <v>0.30793801230000001</v>
      </c>
      <c r="B4">
        <v>0.48507699502055668</v>
      </c>
      <c r="C4">
        <f t="shared" si="0"/>
        <v>0.57737244866110682</v>
      </c>
      <c r="D4">
        <f t="shared" si="1"/>
        <v>-9.229545364055014E-2</v>
      </c>
      <c r="E4">
        <f t="shared" si="2"/>
        <v>8.5184507627149401E-3</v>
      </c>
    </row>
    <row r="5" spans="1:8" x14ac:dyDescent="0.25">
      <c r="A5">
        <v>0.3851497841</v>
      </c>
      <c r="B5">
        <v>0.60878790650230941</v>
      </c>
      <c r="C5">
        <f t="shared" si="0"/>
        <v>0.62792041092027828</v>
      </c>
      <c r="D5">
        <f t="shared" si="1"/>
        <v>-1.9132504417968876E-2</v>
      </c>
      <c r="E5">
        <f t="shared" si="2"/>
        <v>3.6605272530359855E-4</v>
      </c>
      <c r="G5" t="s">
        <v>2</v>
      </c>
      <c r="H5">
        <f>SUM(E1:E40)</f>
        <v>0.35088124544434163</v>
      </c>
    </row>
    <row r="6" spans="1:8" x14ac:dyDescent="0.25">
      <c r="A6">
        <v>0.46236155589999994</v>
      </c>
      <c r="B6">
        <v>0.647854510128126</v>
      </c>
      <c r="C6">
        <f t="shared" si="0"/>
        <v>0.66103583342836414</v>
      </c>
      <c r="D6">
        <f t="shared" si="1"/>
        <v>-1.3181323300238135E-2</v>
      </c>
      <c r="E6">
        <f t="shared" si="2"/>
        <v>1.7374728394540075E-4</v>
      </c>
    </row>
    <row r="7" spans="1:8" x14ac:dyDescent="0.25">
      <c r="A7">
        <v>0.53957332769999988</v>
      </c>
      <c r="B7">
        <v>1.0393344339618302</v>
      </c>
      <c r="C7">
        <f t="shared" si="0"/>
        <v>0.67927606290273856</v>
      </c>
      <c r="D7">
        <f t="shared" si="1"/>
        <v>0.36005837105909166</v>
      </c>
      <c r="E7">
        <f t="shared" si="2"/>
        <v>0.12964203056972654</v>
      </c>
    </row>
    <row r="8" spans="1:8" x14ac:dyDescent="0.25">
      <c r="A8">
        <v>0.61678509949999993</v>
      </c>
      <c r="B8">
        <v>1.0254983451776869</v>
      </c>
      <c r="C8">
        <f t="shared" si="0"/>
        <v>0.68481551431700105</v>
      </c>
      <c r="D8">
        <f t="shared" si="1"/>
        <v>0.34068283086068585</v>
      </c>
      <c r="E8">
        <f t="shared" si="2"/>
        <v>0.11606479124325068</v>
      </c>
    </row>
    <row r="9" spans="1:8" x14ac:dyDescent="0.25">
      <c r="A9">
        <v>0.69399687129999998</v>
      </c>
      <c r="B9">
        <v>0.80900425008461962</v>
      </c>
      <c r="C9">
        <f t="shared" si="0"/>
        <v>0.6796059883478961</v>
      </c>
      <c r="D9">
        <f t="shared" si="1"/>
        <v>0.12939826173672353</v>
      </c>
      <c r="E9">
        <f t="shared" si="2"/>
        <v>1.674391014048561E-2</v>
      </c>
    </row>
    <row r="10" spans="1:8" x14ac:dyDescent="0.25">
      <c r="A10">
        <v>0.77120864310000004</v>
      </c>
      <c r="B10">
        <v>0.63646008407059618</v>
      </c>
      <c r="C10">
        <f t="shared" si="0"/>
        <v>0.66543925455308184</v>
      </c>
      <c r="D10">
        <f t="shared" si="1"/>
        <v>-2.8979170482485661E-2</v>
      </c>
      <c r="E10">
        <f t="shared" si="2"/>
        <v>8.3979232185296823E-4</v>
      </c>
    </row>
    <row r="11" spans="1:8" x14ac:dyDescent="0.25">
      <c r="A11">
        <v>0.84842041489999998</v>
      </c>
      <c r="B11">
        <v>0.58762682953832535</v>
      </c>
      <c r="C11">
        <f t="shared" si="0"/>
        <v>0.64396869720065597</v>
      </c>
      <c r="D11">
        <f t="shared" si="1"/>
        <v>-5.6341867662330625E-2</v>
      </c>
      <c r="E11">
        <f t="shared" si="2"/>
        <v>3.1744060516795776E-3</v>
      </c>
    </row>
    <row r="12" spans="1:8" x14ac:dyDescent="0.25">
      <c r="A12">
        <v>0.92563218669999991</v>
      </c>
      <c r="B12">
        <v>0.56239631469665208</v>
      </c>
      <c r="C12">
        <f t="shared" si="0"/>
        <v>0.61671367704975555</v>
      </c>
      <c r="D12">
        <f t="shared" si="1"/>
        <v>-5.4317362353103471E-2</v>
      </c>
      <c r="E12">
        <f t="shared" si="2"/>
        <v>2.9503758529983424E-3</v>
      </c>
    </row>
    <row r="13" spans="1:8" x14ac:dyDescent="0.25">
      <c r="A13">
        <v>1.0028439585</v>
      </c>
      <c r="B13">
        <v>0.52414359864637328</v>
      </c>
      <c r="C13">
        <f t="shared" si="0"/>
        <v>0.58505742734590849</v>
      </c>
      <c r="D13">
        <f t="shared" si="1"/>
        <v>-6.0913828699535211E-2</v>
      </c>
      <c r="E13">
        <f t="shared" si="2"/>
        <v>3.7104945268363193E-3</v>
      </c>
    </row>
    <row r="14" spans="1:8" x14ac:dyDescent="0.25">
      <c r="A14">
        <v>1.0800557302999998</v>
      </c>
      <c r="B14">
        <v>0.45007982927242923</v>
      </c>
      <c r="C14">
        <f t="shared" si="0"/>
        <v>0.55024368010231328</v>
      </c>
      <c r="D14">
        <f t="shared" si="1"/>
        <v>-0.10016385082988405</v>
      </c>
      <c r="E14">
        <f t="shared" si="2"/>
        <v>1.0032797013071264E-2</v>
      </c>
    </row>
    <row r="15" spans="1:8" x14ac:dyDescent="0.25">
      <c r="A15">
        <v>1.1572675020999998</v>
      </c>
      <c r="B15">
        <v>0.40124657474015846</v>
      </c>
      <c r="C15">
        <f t="shared" si="0"/>
        <v>0.51337450931186379</v>
      </c>
      <c r="D15">
        <f t="shared" si="1"/>
        <v>-0.11212793457170533</v>
      </c>
      <c r="E15">
        <f t="shared" si="2"/>
        <v>1.2572673711316632E-2</v>
      </c>
    </row>
    <row r="16" spans="1:8" x14ac:dyDescent="0.25">
      <c r="A16">
        <v>1.2344792738999999</v>
      </c>
      <c r="B16">
        <v>0.41671043867537755</v>
      </c>
      <c r="C16">
        <f t="shared" si="0"/>
        <v>0.47541047431122901</v>
      </c>
      <c r="D16">
        <f t="shared" si="1"/>
        <v>-5.8700035635851466E-2</v>
      </c>
      <c r="E16">
        <f t="shared" si="2"/>
        <v>3.4456941836502322E-3</v>
      </c>
    </row>
    <row r="17" spans="1:5" x14ac:dyDescent="0.25">
      <c r="A17">
        <v>1.3116910456999999</v>
      </c>
      <c r="B17">
        <v>0.36136608353880395</v>
      </c>
      <c r="C17">
        <f t="shared" si="0"/>
        <v>0.43717338392674493</v>
      </c>
      <c r="D17">
        <f t="shared" si="1"/>
        <v>-7.5807300387940979E-2</v>
      </c>
      <c r="E17">
        <f t="shared" si="2"/>
        <v>5.7467467921075164E-3</v>
      </c>
    </row>
    <row r="18" spans="1:5" x14ac:dyDescent="0.25">
      <c r="A18">
        <v>1.3889028175</v>
      </c>
      <c r="B18">
        <v>0.36624940899203101</v>
      </c>
      <c r="C18">
        <f t="shared" si="0"/>
        <v>0.39935157998220183</v>
      </c>
      <c r="D18">
        <f t="shared" si="1"/>
        <v>-3.3102170990170821E-2</v>
      </c>
      <c r="E18">
        <f t="shared" si="2"/>
        <v>1.0957537242625066E-3</v>
      </c>
    </row>
    <row r="19" spans="1:5" x14ac:dyDescent="0.25">
      <c r="A19">
        <v>1.4661145893</v>
      </c>
      <c r="B19">
        <v>0.30520784082669256</v>
      </c>
      <c r="C19">
        <f t="shared" si="0"/>
        <v>0.36250741061683606</v>
      </c>
      <c r="D19">
        <f t="shared" si="1"/>
        <v>-5.7299569790143501E-2</v>
      </c>
      <c r="E19">
        <f t="shared" si="2"/>
        <v>3.2832406981355257E-3</v>
      </c>
    </row>
    <row r="20" spans="1:5" x14ac:dyDescent="0.25">
      <c r="A20">
        <v>1.5433263610999999</v>
      </c>
      <c r="B20">
        <v>0.2685828999274894</v>
      </c>
      <c r="C20">
        <f t="shared" si="0"/>
        <v>0.32708645245217849</v>
      </c>
      <c r="D20">
        <f t="shared" si="1"/>
        <v>-5.8503552524689084E-2</v>
      </c>
      <c r="E20">
        <f t="shared" si="2"/>
        <v>3.4226656580090544E-3</v>
      </c>
    </row>
    <row r="21" spans="1:5" x14ac:dyDescent="0.25">
      <c r="A21">
        <v>1.6205381328999999</v>
      </c>
      <c r="B21">
        <v>0.30683561597776821</v>
      </c>
      <c r="C21">
        <f t="shared" si="0"/>
        <v>0.293428002177611</v>
      </c>
      <c r="D21">
        <f t="shared" si="1"/>
        <v>1.3407613800157203E-2</v>
      </c>
      <c r="E21">
        <f t="shared" si="2"/>
        <v>1.7976410781416589E-4</v>
      </c>
    </row>
    <row r="22" spans="1:5" x14ac:dyDescent="0.25">
      <c r="A22">
        <v>1.6977499047</v>
      </c>
      <c r="B22">
        <v>0.25311903599227031</v>
      </c>
      <c r="C22">
        <f t="shared" si="0"/>
        <v>0.26177636592011028</v>
      </c>
      <c r="D22">
        <f t="shared" si="1"/>
        <v>-8.6573299278399629E-3</v>
      </c>
      <c r="E22">
        <f t="shared" si="2"/>
        <v>7.4949361479473501E-5</v>
      </c>
    </row>
    <row r="23" spans="1:5" x14ac:dyDescent="0.25">
      <c r="A23">
        <v>1.7749616764999998</v>
      </c>
      <c r="B23">
        <v>0.23195795902828631</v>
      </c>
      <c r="C23">
        <f t="shared" si="0"/>
        <v>0.23229251149391267</v>
      </c>
      <c r="D23">
        <f t="shared" si="1"/>
        <v>-3.3455246562635876E-4</v>
      </c>
      <c r="E23">
        <f t="shared" si="2"/>
        <v>1.1192535225667597E-7</v>
      </c>
    </row>
    <row r="24" spans="1:5" x14ac:dyDescent="0.25">
      <c r="A24">
        <v>1.8521734482999999</v>
      </c>
      <c r="B24">
        <v>0.20672744418661307</v>
      </c>
      <c r="C24">
        <f t="shared" si="0"/>
        <v>0.20506570244921565</v>
      </c>
      <c r="D24">
        <f t="shared" si="1"/>
        <v>1.6617417373974153E-3</v>
      </c>
      <c r="E24">
        <f t="shared" si="2"/>
        <v>2.7613856018085803E-6</v>
      </c>
    </row>
    <row r="25" spans="1:5" x14ac:dyDescent="0.25">
      <c r="A25">
        <v>1.9293852200999999</v>
      </c>
      <c r="B25">
        <v>0.18393859207155336</v>
      </c>
      <c r="C25">
        <f t="shared" si="0"/>
        <v>0.1801247953945756</v>
      </c>
      <c r="D25">
        <f t="shared" si="1"/>
        <v>3.8137966769777598E-3</v>
      </c>
      <c r="E25">
        <f t="shared" si="2"/>
        <v>1.4545045093326604E-5</v>
      </c>
    </row>
    <row r="26" spans="1:5" x14ac:dyDescent="0.25">
      <c r="A26">
        <v>2.0065969919</v>
      </c>
      <c r="B26">
        <v>0.19044969267585612</v>
      </c>
      <c r="C26">
        <f t="shared" si="0"/>
        <v>0.1574489473740654</v>
      </c>
      <c r="D26">
        <f t="shared" si="1"/>
        <v>3.3000745301790729E-2</v>
      </c>
      <c r="E26">
        <f t="shared" si="2"/>
        <v>1.0890491904736628E-3</v>
      </c>
    </row>
    <row r="27" spans="1:5" x14ac:dyDescent="0.25">
      <c r="A27">
        <v>2.0838087637</v>
      </c>
      <c r="B27">
        <v>0.16684695298525859</v>
      </c>
      <c r="C27">
        <f t="shared" si="0"/>
        <v>0.13697754389016761</v>
      </c>
      <c r="D27">
        <f t="shared" si="1"/>
        <v>2.9869409095090976E-2</v>
      </c>
      <c r="E27">
        <f t="shared" si="2"/>
        <v>8.9218159968990356E-4</v>
      </c>
    </row>
    <row r="28" spans="1:5" x14ac:dyDescent="0.25">
      <c r="A28">
        <v>2.1610205354999996</v>
      </c>
      <c r="B28">
        <v>0.12940812451051764</v>
      </c>
      <c r="C28">
        <f t="shared" si="0"/>
        <v>0.11861921755185001</v>
      </c>
      <c r="D28">
        <f t="shared" si="1"/>
        <v>1.0788906958667632E-2</v>
      </c>
      <c r="E28">
        <f t="shared" si="2"/>
        <v>1.1640051336278686E-4</v>
      </c>
    </row>
    <row r="29" spans="1:5" x14ac:dyDescent="0.25">
      <c r="A29">
        <v>2.2382323072999997</v>
      </c>
      <c r="B29">
        <v>0.12859423693497979</v>
      </c>
      <c r="C29">
        <f t="shared" si="0"/>
        <v>0.10225988040376346</v>
      </c>
      <c r="D29">
        <f t="shared" si="1"/>
        <v>2.6334356531216324E-2</v>
      </c>
      <c r="E29">
        <f t="shared" si="2"/>
        <v>6.9349833391321584E-4</v>
      </c>
    </row>
    <row r="30" spans="1:5" x14ac:dyDescent="0.25">
      <c r="A30">
        <v>2.3154440790999997</v>
      </c>
      <c r="B30">
        <v>0.13184978723713117</v>
      </c>
      <c r="C30">
        <f t="shared" si="0"/>
        <v>8.7769738681336126E-2</v>
      </c>
      <c r="D30">
        <f t="shared" si="1"/>
        <v>4.4080048555795046E-2</v>
      </c>
      <c r="E30">
        <f t="shared" si="2"/>
        <v>1.943050680681249E-3</v>
      </c>
    </row>
    <row r="31" spans="1:5" x14ac:dyDescent="0.25">
      <c r="A31">
        <v>2.3926558508999998</v>
      </c>
      <c r="B31">
        <v>9.9294284215617298E-2</v>
      </c>
      <c r="C31">
        <f t="shared" si="0"/>
        <v>7.5009296598388203E-2</v>
      </c>
      <c r="D31">
        <f t="shared" si="1"/>
        <v>2.4284987617229095E-2</v>
      </c>
      <c r="E31">
        <f t="shared" si="2"/>
        <v>5.8976062356897048E-4</v>
      </c>
    </row>
    <row r="32" spans="1:5" x14ac:dyDescent="0.25">
      <c r="A32">
        <v>2.4698676226999998</v>
      </c>
      <c r="B32">
        <v>9.9294284215617298E-2</v>
      </c>
      <c r="C32">
        <f t="shared" si="0"/>
        <v>6.3834385855171136E-2</v>
      </c>
      <c r="D32">
        <f t="shared" si="1"/>
        <v>3.5459898360446163E-2</v>
      </c>
      <c r="E32">
        <f t="shared" si="2"/>
        <v>1.2574043917331725E-3</v>
      </c>
    </row>
    <row r="33" spans="1:5" x14ac:dyDescent="0.25">
      <c r="A33">
        <v>2.5470793944999999</v>
      </c>
      <c r="B33">
        <v>6.9994331496254822E-2</v>
      </c>
      <c r="C33">
        <f t="shared" si="0"/>
        <v>5.4100280258685622E-2</v>
      </c>
      <c r="D33">
        <f t="shared" si="1"/>
        <v>1.58940512375692E-2</v>
      </c>
      <c r="E33">
        <f t="shared" si="2"/>
        <v>2.52620864742475E-4</v>
      </c>
    </row>
    <row r="34" spans="1:5" x14ac:dyDescent="0.25">
      <c r="A34">
        <v>2.6242911662999995</v>
      </c>
      <c r="B34">
        <v>7.7319319676095441E-2</v>
      </c>
      <c r="C34">
        <f t="shared" si="0"/>
        <v>4.5664970823838594E-2</v>
      </c>
      <c r="D34">
        <f t="shared" si="1"/>
        <v>3.1654348852256847E-2</v>
      </c>
      <c r="E34">
        <f t="shared" si="2"/>
        <v>1.0019978012603744E-3</v>
      </c>
    </row>
    <row r="35" spans="1:5" x14ac:dyDescent="0.25">
      <c r="A35">
        <v>2.7015029381</v>
      </c>
      <c r="B35">
        <v>5.3716579985497885E-2</v>
      </c>
      <c r="C35">
        <f t="shared" si="0"/>
        <v>3.8391686777893994E-2</v>
      </c>
      <c r="D35">
        <f t="shared" si="1"/>
        <v>1.5324893207603892E-2</v>
      </c>
      <c r="E35">
        <f t="shared" si="2"/>
        <v>2.348523518244639E-4</v>
      </c>
    </row>
    <row r="36" spans="1:5" x14ac:dyDescent="0.25">
      <c r="A36">
        <v>2.7787147099</v>
      </c>
      <c r="B36">
        <v>3.6624940899203103E-2</v>
      </c>
      <c r="C36">
        <f t="shared" si="0"/>
        <v>3.2150752904585071E-2</v>
      </c>
      <c r="D36">
        <f t="shared" si="1"/>
        <v>4.4741879946180313E-3</v>
      </c>
      <c r="E36">
        <f t="shared" si="2"/>
        <v>2.0018358211184121E-5</v>
      </c>
    </row>
    <row r="37" spans="1:5" x14ac:dyDescent="0.25">
      <c r="A37">
        <v>2.8559264817000001</v>
      </c>
      <c r="B37">
        <v>3.0927727870438175E-2</v>
      </c>
      <c r="C37">
        <f t="shared" si="0"/>
        <v>2.6820874538945386E-2</v>
      </c>
      <c r="D37">
        <f t="shared" si="1"/>
        <v>4.1068533314927887E-3</v>
      </c>
      <c r="E37">
        <f t="shared" si="2"/>
        <v>1.6866244286393418E-5</v>
      </c>
    </row>
    <row r="38" spans="1:5" x14ac:dyDescent="0.25">
      <c r="A38">
        <v>2.9331382535000001</v>
      </c>
      <c r="B38">
        <v>3.4997165748127411E-2</v>
      </c>
      <c r="C38">
        <f t="shared" si="0"/>
        <v>2.2289939131934583E-2</v>
      </c>
      <c r="D38">
        <f t="shared" si="1"/>
        <v>1.2707226616192828E-2</v>
      </c>
      <c r="E38">
        <f t="shared" si="2"/>
        <v>1.6147360827527943E-4</v>
      </c>
    </row>
    <row r="39" spans="1:5" x14ac:dyDescent="0.25">
      <c r="A39">
        <v>3.0103500252999997</v>
      </c>
      <c r="B39">
        <v>0</v>
      </c>
      <c r="C39">
        <f t="shared" si="0"/>
        <v>1.8455418456242118E-2</v>
      </c>
      <c r="D39">
        <f t="shared" si="1"/>
        <v>-1.8455418456242118E-2</v>
      </c>
      <c r="E39">
        <f t="shared" si="2"/>
        <v>3.4060247039500221E-4</v>
      </c>
    </row>
    <row r="40" spans="1:5" x14ac:dyDescent="0.25">
      <c r="A40">
        <v>3.0875617970999998</v>
      </c>
      <c r="B40">
        <v>8.1388757553784677E-4</v>
      </c>
      <c r="C40">
        <f t="shared" si="0"/>
        <v>1.5224448948509561E-2</v>
      </c>
      <c r="D40">
        <f t="shared" si="1"/>
        <v>-1.4410561372971713E-2</v>
      </c>
      <c r="E40">
        <f t="shared" si="2"/>
        <v>2.0766427908418437E-4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11C4-C1FE-4F8F-8E84-D77AFFF31EC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9.489942987500001E-2</v>
      </c>
      <c r="B1">
        <v>0.12843301623415226</v>
      </c>
      <c r="C1">
        <f>$H$3*(1+$H$1)*(A1^($H$1))*EXP(-$H$3*(A1^(1+$H$1)))</f>
        <v>0.26432964176672813</v>
      </c>
      <c r="D1">
        <f>B1-C1</f>
        <v>-0.13589662553257587</v>
      </c>
      <c r="E1">
        <f>D1^2</f>
        <v>1.8467892831141152E-2</v>
      </c>
      <c r="G1" t="s">
        <v>0</v>
      </c>
      <c r="H1">
        <v>0.70202368703587126</v>
      </c>
    </row>
    <row r="2" spans="1:8" x14ac:dyDescent="0.25">
      <c r="A2">
        <v>0.16927235162500004</v>
      </c>
      <c r="B2">
        <v>0.38614400275662886</v>
      </c>
      <c r="C2">
        <f t="shared" ref="C2:C40" si="0">$H$3*(1+$H$1)*(A2^($H$1))*EXP(-$H$3*(A2^(1+$H$1)))</f>
        <v>0.3869724436464157</v>
      </c>
      <c r="D2">
        <f t="shared" ref="D2:D40" si="1">B2-C2</f>
        <v>-8.2844088978684116E-4</v>
      </c>
      <c r="E2">
        <f t="shared" ref="E2:E40" si="2">D2^2</f>
        <v>6.863143078708131E-7</v>
      </c>
    </row>
    <row r="3" spans="1:8" x14ac:dyDescent="0.25">
      <c r="A3">
        <v>0.243645273375</v>
      </c>
      <c r="B3">
        <v>0.48162381087807099</v>
      </c>
      <c r="C3">
        <f t="shared" si="0"/>
        <v>0.4828154978123157</v>
      </c>
      <c r="D3">
        <f t="shared" si="1"/>
        <v>-1.1916869342447067E-3</v>
      </c>
      <c r="E3">
        <f t="shared" si="2"/>
        <v>1.4201177492495481E-6</v>
      </c>
      <c r="G3" t="s">
        <v>1</v>
      </c>
      <c r="H3">
        <f>(_xlfn.GAMMA((2+$H$1)/(1+$H$1)))^(1+$H$1)</f>
        <v>0.82349815522666958</v>
      </c>
    </row>
    <row r="4" spans="1:8" x14ac:dyDescent="0.25">
      <c r="A4">
        <v>0.31801819512500001</v>
      </c>
      <c r="B4">
        <v>0.49260821358230772</v>
      </c>
      <c r="C4">
        <f t="shared" si="0"/>
        <v>0.55776408256627352</v>
      </c>
      <c r="D4">
        <f t="shared" si="1"/>
        <v>-6.5155868983965803E-2</v>
      </c>
      <c r="E4">
        <f t="shared" si="2"/>
        <v>4.2452872630557173E-3</v>
      </c>
    </row>
    <row r="5" spans="1:8" x14ac:dyDescent="0.25">
      <c r="A5">
        <v>0.39239111687500006</v>
      </c>
      <c r="B5">
        <v>0.60583205684136299</v>
      </c>
      <c r="C5">
        <f t="shared" si="0"/>
        <v>0.61466757770764346</v>
      </c>
      <c r="D5">
        <f t="shared" si="1"/>
        <v>-8.8355208662804774E-3</v>
      </c>
      <c r="E5">
        <f t="shared" si="2"/>
        <v>7.8066428978477721E-5</v>
      </c>
      <c r="G5" t="s">
        <v>2</v>
      </c>
      <c r="H5">
        <f>SUM(E1:E40)</f>
        <v>0.38824982449473922</v>
      </c>
    </row>
    <row r="6" spans="1:8" x14ac:dyDescent="0.25">
      <c r="A6">
        <v>0.46676403862499999</v>
      </c>
      <c r="B6">
        <v>0.62864581630400851</v>
      </c>
      <c r="C6">
        <f t="shared" si="0"/>
        <v>0.65546329128818059</v>
      </c>
      <c r="D6">
        <f t="shared" si="1"/>
        <v>-2.6817474984172085E-2</v>
      </c>
      <c r="E6">
        <f t="shared" si="2"/>
        <v>7.1917696452669557E-4</v>
      </c>
    </row>
    <row r="7" spans="1:8" x14ac:dyDescent="0.25">
      <c r="A7">
        <v>0.54113696037499992</v>
      </c>
      <c r="B7">
        <v>0.73342011902134319</v>
      </c>
      <c r="C7">
        <f t="shared" si="0"/>
        <v>0.68178484920700189</v>
      </c>
      <c r="D7">
        <f t="shared" si="1"/>
        <v>5.16352698143413E-2</v>
      </c>
      <c r="E7">
        <f t="shared" si="2"/>
        <v>2.666201088799826E-3</v>
      </c>
    </row>
    <row r="8" spans="1:8" x14ac:dyDescent="0.25">
      <c r="A8">
        <v>0.61550988212500002</v>
      </c>
      <c r="B8">
        <v>1.0849210055569178</v>
      </c>
      <c r="C8">
        <f t="shared" si="0"/>
        <v>0.69517174546915461</v>
      </c>
      <c r="D8">
        <f t="shared" si="1"/>
        <v>0.38974926008776323</v>
      </c>
      <c r="E8">
        <f t="shared" si="2"/>
        <v>0.1519044857389589</v>
      </c>
    </row>
    <row r="9" spans="1:8" x14ac:dyDescent="0.25">
      <c r="A9">
        <v>0.68988280387500012</v>
      </c>
      <c r="B9">
        <v>1.0637971542026166</v>
      </c>
      <c r="C9">
        <f t="shared" si="0"/>
        <v>0.69713985090949626</v>
      </c>
      <c r="D9">
        <f t="shared" si="1"/>
        <v>0.3666573032931203</v>
      </c>
      <c r="E9">
        <f t="shared" si="2"/>
        <v>0.13443757805818321</v>
      </c>
    </row>
    <row r="10" spans="1:8" x14ac:dyDescent="0.25">
      <c r="A10">
        <v>0.7642557256250001</v>
      </c>
      <c r="B10">
        <v>0.73679993523803144</v>
      </c>
      <c r="C10">
        <f t="shared" si="0"/>
        <v>0.68919547037024032</v>
      </c>
      <c r="D10">
        <f t="shared" si="1"/>
        <v>4.760446486779113E-2</v>
      </c>
      <c r="E10">
        <f t="shared" si="2"/>
        <v>2.2661850753487598E-3</v>
      </c>
    </row>
    <row r="11" spans="1:8" x14ac:dyDescent="0.25">
      <c r="A11">
        <v>0.83862864737500009</v>
      </c>
      <c r="B11">
        <v>0.63202563252069666</v>
      </c>
      <c r="C11">
        <f t="shared" si="0"/>
        <v>0.67282518579557005</v>
      </c>
      <c r="D11">
        <f t="shared" si="1"/>
        <v>-4.079955327487339E-2</v>
      </c>
      <c r="E11">
        <f t="shared" si="2"/>
        <v>1.6646035474292319E-3</v>
      </c>
    </row>
    <row r="12" spans="1:8" x14ac:dyDescent="0.25">
      <c r="A12">
        <v>0.91300156912499997</v>
      </c>
      <c r="B12">
        <v>0.62695590819566438</v>
      </c>
      <c r="C12">
        <f t="shared" si="0"/>
        <v>0.64947600411573914</v>
      </c>
      <c r="D12">
        <f t="shared" si="1"/>
        <v>-2.2520095920074756E-2</v>
      </c>
      <c r="E12">
        <f t="shared" si="2"/>
        <v>5.0715472024936764E-4</v>
      </c>
    </row>
    <row r="13" spans="1:8" x14ac:dyDescent="0.25">
      <c r="A13">
        <v>0.98737449087499995</v>
      </c>
      <c r="B13">
        <v>0.57287884872865291</v>
      </c>
      <c r="C13">
        <f t="shared" si="0"/>
        <v>0.62053302524806753</v>
      </c>
      <c r="D13">
        <f t="shared" si="1"/>
        <v>-4.7654176519414615E-2</v>
      </c>
      <c r="E13">
        <f t="shared" si="2"/>
        <v>2.2709205397435273E-3</v>
      </c>
    </row>
    <row r="14" spans="1:8" x14ac:dyDescent="0.25">
      <c r="A14">
        <v>1.0617474126249999</v>
      </c>
      <c r="B14">
        <v>0.4478256487111888</v>
      </c>
      <c r="C14">
        <f t="shared" si="0"/>
        <v>0.58729841704782415</v>
      </c>
      <c r="D14">
        <f t="shared" si="1"/>
        <v>-0.13947276833663536</v>
      </c>
      <c r="E14">
        <f t="shared" si="2"/>
        <v>1.9452653107484754E-2</v>
      </c>
    </row>
    <row r="15" spans="1:8" x14ac:dyDescent="0.25">
      <c r="A15">
        <v>1.1361203343749999</v>
      </c>
      <c r="B15">
        <v>0.4385311541152962</v>
      </c>
      <c r="C15">
        <f t="shared" si="0"/>
        <v>0.55097368425642801</v>
      </c>
      <c r="D15">
        <f t="shared" si="1"/>
        <v>-0.11244253014113181</v>
      </c>
      <c r="E15">
        <f t="shared" si="2"/>
        <v>1.2643322584539336E-2</v>
      </c>
    </row>
    <row r="16" spans="1:8" x14ac:dyDescent="0.25">
      <c r="A16">
        <v>1.2104932561250001</v>
      </c>
      <c r="B16">
        <v>0.4385311541152962</v>
      </c>
      <c r="C16">
        <f t="shared" si="0"/>
        <v>0.51264618157385089</v>
      </c>
      <c r="D16">
        <f t="shared" si="1"/>
        <v>-7.4115027458554694E-2</v>
      </c>
      <c r="E16">
        <f t="shared" si="2"/>
        <v>5.4930372951823162E-3</v>
      </c>
    </row>
    <row r="17" spans="1:5" x14ac:dyDescent="0.25">
      <c r="A17">
        <v>1.2848661778750001</v>
      </c>
      <c r="B17">
        <v>0.40304308384006993</v>
      </c>
      <c r="C17">
        <f t="shared" si="0"/>
        <v>0.47328018111658865</v>
      </c>
      <c r="D17">
        <f t="shared" si="1"/>
        <v>-7.0237097276518723E-2</v>
      </c>
      <c r="E17">
        <f t="shared" si="2"/>
        <v>4.9332498338311541E-3</v>
      </c>
    </row>
    <row r="18" spans="1:5" x14ac:dyDescent="0.25">
      <c r="A18">
        <v>1.3592390996250001</v>
      </c>
      <c r="B18">
        <v>0.36755501356484366</v>
      </c>
      <c r="C18">
        <f t="shared" si="0"/>
        <v>0.43371239426091707</v>
      </c>
      <c r="D18">
        <f t="shared" si="1"/>
        <v>-6.6157380696073409E-2</v>
      </c>
      <c r="E18">
        <f t="shared" si="2"/>
        <v>4.3767990205651865E-3</v>
      </c>
    </row>
    <row r="19" spans="1:5" x14ac:dyDescent="0.25">
      <c r="A19">
        <v>1.4336120213750001</v>
      </c>
      <c r="B19">
        <v>0.32530731085624093</v>
      </c>
      <c r="C19">
        <f t="shared" si="0"/>
        <v>0.39465158415419477</v>
      </c>
      <c r="D19">
        <f t="shared" si="1"/>
        <v>-6.934427329795384E-2</v>
      </c>
      <c r="E19">
        <f t="shared" si="2"/>
        <v>4.8086282392213143E-3</v>
      </c>
    </row>
    <row r="20" spans="1:5" x14ac:dyDescent="0.25">
      <c r="A20">
        <v>1.5079849431249999</v>
      </c>
      <c r="B20">
        <v>0.28643942436432646</v>
      </c>
      <c r="C20">
        <f t="shared" si="0"/>
        <v>0.35668174286070808</v>
      </c>
      <c r="D20">
        <f t="shared" si="1"/>
        <v>-7.0242318496381628E-2</v>
      </c>
      <c r="E20">
        <f t="shared" si="2"/>
        <v>4.9339833077471163E-3</v>
      </c>
    </row>
    <row r="21" spans="1:5" x14ac:dyDescent="0.25">
      <c r="A21">
        <v>1.5823578648750001</v>
      </c>
      <c r="B21">
        <v>0.310943091935316</v>
      </c>
      <c r="C21">
        <f t="shared" si="0"/>
        <v>0.32026821887496532</v>
      </c>
      <c r="D21">
        <f t="shared" si="1"/>
        <v>-9.3251269396493197E-3</v>
      </c>
      <c r="E21">
        <f t="shared" si="2"/>
        <v>8.6957992440573489E-5</v>
      </c>
    </row>
    <row r="22" spans="1:5" x14ac:dyDescent="0.25">
      <c r="A22">
        <v>1.6567307866250003</v>
      </c>
      <c r="B22">
        <v>0.28474951625598233</v>
      </c>
      <c r="C22">
        <f t="shared" si="0"/>
        <v>0.28576614805046291</v>
      </c>
      <c r="D22">
        <f t="shared" si="1"/>
        <v>-1.0166317944805825E-3</v>
      </c>
      <c r="E22">
        <f t="shared" si="2"/>
        <v>1.0335402055488094E-6</v>
      </c>
    </row>
    <row r="23" spans="1:5" x14ac:dyDescent="0.25">
      <c r="A23">
        <v>1.731103708375</v>
      </c>
      <c r="B23">
        <v>0.23912199733069139</v>
      </c>
      <c r="C23">
        <f t="shared" si="0"/>
        <v>0.25343054994699987</v>
      </c>
      <c r="D23">
        <f t="shared" si="1"/>
        <v>-1.4308552616308479E-2</v>
      </c>
      <c r="E23">
        <f t="shared" si="2"/>
        <v>2.0473467797366821E-4</v>
      </c>
    </row>
    <row r="24" spans="1:5" x14ac:dyDescent="0.25">
      <c r="A24">
        <v>1.8054766301249998</v>
      </c>
      <c r="B24">
        <v>0.2112385135430136</v>
      </c>
      <c r="C24">
        <f t="shared" si="0"/>
        <v>0.22342749099588755</v>
      </c>
      <c r="D24">
        <f t="shared" si="1"/>
        <v>-1.218897745287395E-2</v>
      </c>
      <c r="E24">
        <f t="shared" si="2"/>
        <v>1.4857117134666953E-4</v>
      </c>
    </row>
    <row r="25" spans="1:5" x14ac:dyDescent="0.25">
      <c r="A25">
        <v>1.879849551875</v>
      </c>
      <c r="B25">
        <v>0.18842475408036813</v>
      </c>
      <c r="C25">
        <f t="shared" si="0"/>
        <v>0.19584577636717826</v>
      </c>
      <c r="D25">
        <f t="shared" si="1"/>
        <v>-7.4210222868101305E-3</v>
      </c>
      <c r="E25">
        <f t="shared" si="2"/>
        <v>5.5071571781332658E-5</v>
      </c>
    </row>
    <row r="26" spans="1:5" x14ac:dyDescent="0.25">
      <c r="A26">
        <v>1.9542224736250002</v>
      </c>
      <c r="B26">
        <v>0.22306787030142236</v>
      </c>
      <c r="C26">
        <f t="shared" si="0"/>
        <v>0.17070870611375399</v>
      </c>
      <c r="D26">
        <f t="shared" si="1"/>
        <v>5.2359164187668367E-2</v>
      </c>
      <c r="E26">
        <f t="shared" si="2"/>
        <v>2.7414820744312137E-3</v>
      </c>
    </row>
    <row r="27" spans="1:5" x14ac:dyDescent="0.25">
      <c r="A27">
        <v>2.0285953953750004</v>
      </c>
      <c r="B27">
        <v>0.16392108650937856</v>
      </c>
      <c r="C27">
        <f t="shared" si="0"/>
        <v>0.14798551148987391</v>
      </c>
      <c r="D27">
        <f t="shared" si="1"/>
        <v>1.5935575019504655E-2</v>
      </c>
      <c r="E27">
        <f t="shared" si="2"/>
        <v>2.5394255120226081E-4</v>
      </c>
    </row>
    <row r="28" spans="1:5" x14ac:dyDescent="0.25">
      <c r="A28">
        <v>2.1029683171249998</v>
      </c>
      <c r="B28">
        <v>0.13434769461335663</v>
      </c>
      <c r="C28">
        <f t="shared" si="0"/>
        <v>0.12760216894971849</v>
      </c>
      <c r="D28">
        <f t="shared" si="1"/>
        <v>6.7455256636381467E-3</v>
      </c>
      <c r="E28">
        <f t="shared" si="2"/>
        <v>4.550211647880086E-5</v>
      </c>
    </row>
    <row r="29" spans="1:5" x14ac:dyDescent="0.25">
      <c r="A29">
        <v>2.177341238875</v>
      </c>
      <c r="B29">
        <v>0.13265778650501253</v>
      </c>
      <c r="C29">
        <f t="shared" si="0"/>
        <v>0.10945136803884283</v>
      </c>
      <c r="D29">
        <f t="shared" si="1"/>
        <v>2.3206418466169706E-2</v>
      </c>
      <c r="E29">
        <f t="shared" si="2"/>
        <v>5.3853785802698232E-4</v>
      </c>
    </row>
    <row r="30" spans="1:5" x14ac:dyDescent="0.25">
      <c r="A30">
        <v>2.2517141606250002</v>
      </c>
      <c r="B30">
        <v>0.13434769461335663</v>
      </c>
      <c r="C30">
        <f t="shared" si="0"/>
        <v>9.3401482095481686E-2</v>
      </c>
      <c r="D30">
        <f t="shared" si="1"/>
        <v>4.0946212517874947E-2</v>
      </c>
      <c r="E30">
        <f t="shared" si="2"/>
        <v>1.6765923195589791E-3</v>
      </c>
    </row>
    <row r="31" spans="1:5" x14ac:dyDescent="0.25">
      <c r="A31">
        <v>2.3260870823750004</v>
      </c>
      <c r="B31">
        <v>0.13265778650501253</v>
      </c>
      <c r="C31">
        <f t="shared" si="0"/>
        <v>7.9304455260461121E-2</v>
      </c>
      <c r="D31">
        <f t="shared" si="1"/>
        <v>5.3353331244551411E-2</v>
      </c>
      <c r="E31">
        <f t="shared" si="2"/>
        <v>2.8465779548908256E-3</v>
      </c>
    </row>
    <row r="32" spans="1:5" x14ac:dyDescent="0.25">
      <c r="A32">
        <v>2.4004600041250002</v>
      </c>
      <c r="B32">
        <v>9.1255037850581866E-2</v>
      </c>
      <c r="C32">
        <f t="shared" si="0"/>
        <v>6.7002574500373877E-2</v>
      </c>
      <c r="D32">
        <f t="shared" si="1"/>
        <v>2.4252463350207989E-2</v>
      </c>
      <c r="E32">
        <f t="shared" si="2"/>
        <v>5.8818197855318175E-4</v>
      </c>
    </row>
    <row r="33" spans="1:5" x14ac:dyDescent="0.25">
      <c r="A33">
        <v>2.4748329258749999</v>
      </c>
      <c r="B33">
        <v>7.2666048658796681E-2</v>
      </c>
      <c r="C33">
        <f t="shared" si="0"/>
        <v>5.6334140657553072E-2</v>
      </c>
      <c r="D33">
        <f t="shared" si="1"/>
        <v>1.6331908001243609E-2</v>
      </c>
      <c r="E33">
        <f t="shared" si="2"/>
        <v>2.6673121896108503E-4</v>
      </c>
    </row>
    <row r="34" spans="1:5" x14ac:dyDescent="0.25">
      <c r="A34">
        <v>2.5492058476250001</v>
      </c>
      <c r="B34">
        <v>6.6751370279592298E-2</v>
      </c>
      <c r="C34">
        <f t="shared" si="0"/>
        <v>4.7138088024917195E-2</v>
      </c>
      <c r="D34">
        <f t="shared" si="1"/>
        <v>1.9613282254675103E-2</v>
      </c>
      <c r="E34">
        <f t="shared" si="2"/>
        <v>3.8468084080155331E-4</v>
      </c>
    </row>
    <row r="35" spans="1:5" x14ac:dyDescent="0.25">
      <c r="A35">
        <v>2.6235787693749999</v>
      </c>
      <c r="B35">
        <v>8.2805497308861331E-2</v>
      </c>
      <c r="C35">
        <f t="shared" si="0"/>
        <v>3.925762813276603E-2</v>
      </c>
      <c r="D35">
        <f t="shared" si="1"/>
        <v>4.3547869176095301E-2</v>
      </c>
      <c r="E35">
        <f t="shared" si="2"/>
        <v>1.8964169097783112E-3</v>
      </c>
    </row>
    <row r="36" spans="1:5" x14ac:dyDescent="0.25">
      <c r="A36">
        <v>2.6979516911250001</v>
      </c>
      <c r="B36">
        <v>3.0418345950193958E-2</v>
      </c>
      <c r="C36">
        <f t="shared" si="0"/>
        <v>3.2543011183148347E-2</v>
      </c>
      <c r="D36">
        <f t="shared" si="1"/>
        <v>-2.1246652329543897E-3</v>
      </c>
      <c r="E36">
        <f t="shared" si="2"/>
        <v>4.5142023521251313E-6</v>
      </c>
    </row>
    <row r="37" spans="1:5" x14ac:dyDescent="0.25">
      <c r="A37">
        <v>2.7723246128750003</v>
      </c>
      <c r="B37">
        <v>3.2953208112710124E-2</v>
      </c>
      <c r="C37">
        <f t="shared" si="0"/>
        <v>2.6853508939544322E-2</v>
      </c>
      <c r="D37">
        <f t="shared" si="1"/>
        <v>6.0996991731658012E-3</v>
      </c>
      <c r="E37">
        <f t="shared" si="2"/>
        <v>3.720633000311956E-5</v>
      </c>
    </row>
    <row r="38" spans="1:5" x14ac:dyDescent="0.25">
      <c r="A38">
        <v>2.8466975346250001</v>
      </c>
      <c r="B38">
        <v>3.1263300004366015E-2</v>
      </c>
      <c r="C38">
        <f t="shared" si="0"/>
        <v>2.2058727047106669E-2</v>
      </c>
      <c r="D38">
        <f t="shared" si="1"/>
        <v>9.2045729572593459E-3</v>
      </c>
      <c r="E38">
        <f t="shared" si="2"/>
        <v>8.4724163325510055E-5</v>
      </c>
    </row>
    <row r="39" spans="1:5" x14ac:dyDescent="0.25">
      <c r="A39">
        <v>2.9210704563750003</v>
      </c>
      <c r="B39">
        <v>0</v>
      </c>
      <c r="C39">
        <f t="shared" si="0"/>
        <v>1.8039353917757732E-2</v>
      </c>
      <c r="D39">
        <f t="shared" si="1"/>
        <v>-1.8039353917757732E-2</v>
      </c>
      <c r="E39">
        <f t="shared" si="2"/>
        <v>3.2541828977012121E-4</v>
      </c>
    </row>
    <row r="40" spans="1:5" x14ac:dyDescent="0.25">
      <c r="A40">
        <v>2.9954433781250005</v>
      </c>
      <c r="B40">
        <v>8.449540541720544E-4</v>
      </c>
      <c r="C40">
        <f t="shared" si="0"/>
        <v>1.4687448620333787E-2</v>
      </c>
      <c r="D40">
        <f t="shared" si="1"/>
        <v>-1.3842494566161732E-2</v>
      </c>
      <c r="E40">
        <f t="shared" si="2"/>
        <v>1.9161465581421709E-4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8D41-EEC7-43F6-8EF6-7E4CBB2E80A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0.1044543875</v>
      </c>
      <c r="B1">
        <v>0.11275134357869586</v>
      </c>
      <c r="C1">
        <f>$H$3*(1+$H$1)*(A1^($H$1))*EXP(-$H$3*(A1^(1+$H$1)))</f>
        <v>0.23742133647122068</v>
      </c>
      <c r="D1">
        <f>B1-C1</f>
        <v>-0.12466999289252483</v>
      </c>
      <c r="E1">
        <f>D1^2</f>
        <v>1.554260712782219E-2</v>
      </c>
      <c r="G1" t="s">
        <v>0</v>
      </c>
      <c r="H1">
        <v>0.79641401519012545</v>
      </c>
    </row>
    <row r="2" spans="1:8" x14ac:dyDescent="0.25">
      <c r="A2">
        <v>0.17635224050000001</v>
      </c>
      <c r="B2">
        <v>0.26658263404265298</v>
      </c>
      <c r="C2">
        <f t="shared" ref="C2:C40" si="0">$H$3*(1+$H$1)*(A2^($H$1))*EXP(-$H$3*(A2^(1+$H$1)))</f>
        <v>0.35250861394132577</v>
      </c>
      <c r="D2">
        <f t="shared" ref="D2:D40" si="1">B2-C2</f>
        <v>-8.5925979898672789E-2</v>
      </c>
      <c r="E2">
        <f t="shared" ref="E2:E40" si="2">D2^2</f>
        <v>7.3832740215471204E-3</v>
      </c>
    </row>
    <row r="3" spans="1:8" x14ac:dyDescent="0.25">
      <c r="A3">
        <v>0.24825009349999999</v>
      </c>
      <c r="B3">
        <v>0.48858915550768206</v>
      </c>
      <c r="C3">
        <f t="shared" si="0"/>
        <v>0.44898166405982126</v>
      </c>
      <c r="D3">
        <f t="shared" si="1"/>
        <v>3.9607491447860799E-2</v>
      </c>
      <c r="E3">
        <f t="shared" si="2"/>
        <v>1.5687533787923664E-3</v>
      </c>
      <c r="G3" t="s">
        <v>1</v>
      </c>
      <c r="H3">
        <f>(_xlfn.GAMMA((2+$H$1)/(1+$H$1)))^(1+$H$1)</f>
        <v>0.81009109393589174</v>
      </c>
    </row>
    <row r="4" spans="1:8" x14ac:dyDescent="0.25">
      <c r="A4">
        <v>0.3201479465</v>
      </c>
      <c r="B4">
        <v>0.55676438650875393</v>
      </c>
      <c r="C4">
        <f t="shared" si="0"/>
        <v>0.52908426983627266</v>
      </c>
      <c r="D4">
        <f t="shared" si="1"/>
        <v>2.768011667248127E-2</v>
      </c>
      <c r="E4">
        <f t="shared" si="2"/>
        <v>7.661888590021756E-4</v>
      </c>
    </row>
    <row r="5" spans="1:8" x14ac:dyDescent="0.25">
      <c r="A5">
        <v>0.39204579950000001</v>
      </c>
      <c r="B5">
        <v>0.53840951662384995</v>
      </c>
      <c r="C5">
        <f t="shared" si="0"/>
        <v>0.59379584270201702</v>
      </c>
      <c r="D5">
        <f t="shared" si="1"/>
        <v>-5.538632607816707E-2</v>
      </c>
      <c r="E5">
        <f t="shared" si="2"/>
        <v>3.0676451164370496E-3</v>
      </c>
      <c r="G5" t="s">
        <v>2</v>
      </c>
      <c r="H5">
        <f>SUM(E1:E40)</f>
        <v>0.40121370350237495</v>
      </c>
    </row>
    <row r="6" spans="1:8" x14ac:dyDescent="0.25">
      <c r="A6">
        <v>0.46394365250000003</v>
      </c>
      <c r="B6">
        <v>0.65553106731799915</v>
      </c>
      <c r="C6">
        <f t="shared" si="0"/>
        <v>0.6438223662344168</v>
      </c>
      <c r="D6">
        <f t="shared" si="1"/>
        <v>1.1708701083582351E-2</v>
      </c>
      <c r="E6">
        <f t="shared" si="2"/>
        <v>1.3709368106468254E-4</v>
      </c>
    </row>
    <row r="7" spans="1:8" x14ac:dyDescent="0.25">
      <c r="A7">
        <v>0.53584150549999998</v>
      </c>
      <c r="B7">
        <v>0.66427148154890581</v>
      </c>
      <c r="C7">
        <f t="shared" si="0"/>
        <v>0.67989711087716354</v>
      </c>
      <c r="D7">
        <f t="shared" si="1"/>
        <v>-1.5625629328257729E-2</v>
      </c>
      <c r="E7">
        <f t="shared" si="2"/>
        <v>2.4416029190410808E-4</v>
      </c>
    </row>
    <row r="8" spans="1:8" x14ac:dyDescent="0.25">
      <c r="A8">
        <v>0.60773935850000005</v>
      </c>
      <c r="B8">
        <v>0.83033935193613229</v>
      </c>
      <c r="C8">
        <f t="shared" si="0"/>
        <v>0.70287989203442081</v>
      </c>
      <c r="D8">
        <f t="shared" si="1"/>
        <v>0.12745945990171148</v>
      </c>
      <c r="E8">
        <f t="shared" si="2"/>
        <v>1.6245913918435998E-2</v>
      </c>
    </row>
    <row r="9" spans="1:8" x14ac:dyDescent="0.25">
      <c r="A9">
        <v>0.6796372115</v>
      </c>
      <c r="B9">
        <v>1.1633491341336759</v>
      </c>
      <c r="C9">
        <f t="shared" si="0"/>
        <v>0.71377875552522818</v>
      </c>
      <c r="D9">
        <f t="shared" si="1"/>
        <v>0.44957037860844773</v>
      </c>
      <c r="E9">
        <f t="shared" si="2"/>
        <v>0.20211352532214302</v>
      </c>
    </row>
    <row r="10" spans="1:8" x14ac:dyDescent="0.25">
      <c r="A10">
        <v>0.75153506450000007</v>
      </c>
      <c r="B10">
        <v>0.95882344113046014</v>
      </c>
      <c r="C10">
        <f t="shared" si="0"/>
        <v>0.71373679897038667</v>
      </c>
      <c r="D10">
        <f t="shared" si="1"/>
        <v>0.24508664216007348</v>
      </c>
      <c r="E10">
        <f t="shared" si="2"/>
        <v>6.0067462165299908E-2</v>
      </c>
    </row>
    <row r="11" spans="1:8" x14ac:dyDescent="0.25">
      <c r="A11">
        <v>0.82343291750000003</v>
      </c>
      <c r="B11">
        <v>0.72632842258834307</v>
      </c>
      <c r="C11">
        <f t="shared" si="0"/>
        <v>0.70400240554504057</v>
      </c>
      <c r="D11">
        <f t="shared" si="1"/>
        <v>2.2326017043302504E-2</v>
      </c>
      <c r="E11">
        <f t="shared" si="2"/>
        <v>4.9845103701783391E-4</v>
      </c>
    </row>
    <row r="12" spans="1:8" x14ac:dyDescent="0.25">
      <c r="A12">
        <v>0.89533077049999998</v>
      </c>
      <c r="B12">
        <v>0.7027293041648951</v>
      </c>
      <c r="C12">
        <f t="shared" si="0"/>
        <v>0.68589216493500138</v>
      </c>
      <c r="D12">
        <f t="shared" si="1"/>
        <v>1.6837139229893716E-2</v>
      </c>
      <c r="E12">
        <f t="shared" si="2"/>
        <v>2.8348925744682595E-4</v>
      </c>
    </row>
    <row r="13" spans="1:8" x14ac:dyDescent="0.25">
      <c r="A13">
        <v>0.96722862350000005</v>
      </c>
      <c r="B13">
        <v>0.64329448739472983</v>
      </c>
      <c r="C13">
        <f t="shared" si="0"/>
        <v>0.66075183966741891</v>
      </c>
      <c r="D13">
        <f t="shared" si="1"/>
        <v>-1.7457352272689075E-2</v>
      </c>
      <c r="E13">
        <f t="shared" si="2"/>
        <v>3.0475914837276241E-4</v>
      </c>
    </row>
    <row r="14" spans="1:8" x14ac:dyDescent="0.25">
      <c r="A14">
        <v>1.0391264764999999</v>
      </c>
      <c r="B14">
        <v>0.48858915550768206</v>
      </c>
      <c r="C14">
        <f t="shared" si="0"/>
        <v>0.62991873745358262</v>
      </c>
      <c r="D14">
        <f t="shared" si="1"/>
        <v>-0.14132958194590056</v>
      </c>
      <c r="E14">
        <f t="shared" si="2"/>
        <v>1.9974050733003023E-2</v>
      </c>
    </row>
    <row r="15" spans="1:8" x14ac:dyDescent="0.25">
      <c r="A15">
        <v>1.1110243295000002</v>
      </c>
      <c r="B15">
        <v>0.47373045131514074</v>
      </c>
      <c r="C15">
        <f t="shared" si="0"/>
        <v>0.59468766131638584</v>
      </c>
      <c r="D15">
        <f t="shared" si="1"/>
        <v>-0.1209572100012451</v>
      </c>
      <c r="E15">
        <f t="shared" si="2"/>
        <v>1.4630646651285308E-2</v>
      </c>
    </row>
    <row r="16" spans="1:8" x14ac:dyDescent="0.25">
      <c r="A16">
        <v>1.1829221825</v>
      </c>
      <c r="B16">
        <v>0.44838325004551144</v>
      </c>
      <c r="C16">
        <f t="shared" si="0"/>
        <v>0.55628180147852069</v>
      </c>
      <c r="D16">
        <f t="shared" si="1"/>
        <v>-0.10789855143300925</v>
      </c>
      <c r="E16">
        <f t="shared" si="2"/>
        <v>1.1642097401341742E-2</v>
      </c>
    </row>
    <row r="17" spans="1:5" x14ac:dyDescent="0.25">
      <c r="A17">
        <v>1.2548200354999999</v>
      </c>
      <c r="B17">
        <v>0.44051687723769545</v>
      </c>
      <c r="C17">
        <f t="shared" si="0"/>
        <v>0.51582933145801402</v>
      </c>
      <c r="D17">
        <f t="shared" si="1"/>
        <v>-7.531245422031857E-2</v>
      </c>
      <c r="E17">
        <f t="shared" si="2"/>
        <v>5.6719657606875799E-3</v>
      </c>
    </row>
    <row r="18" spans="1:5" x14ac:dyDescent="0.25">
      <c r="A18">
        <v>1.3267178884999999</v>
      </c>
      <c r="B18">
        <v>0.38370418473680218</v>
      </c>
      <c r="C18">
        <f t="shared" si="0"/>
        <v>0.47434600155143819</v>
      </c>
      <c r="D18">
        <f t="shared" si="1"/>
        <v>-9.0641816814636011E-2</v>
      </c>
      <c r="E18">
        <f t="shared" si="2"/>
        <v>8.2159389554580312E-3</v>
      </c>
    </row>
    <row r="19" spans="1:5" x14ac:dyDescent="0.25">
      <c r="A19">
        <v>1.3986157415</v>
      </c>
      <c r="B19">
        <v>0.32951361650518091</v>
      </c>
      <c r="C19">
        <f t="shared" si="0"/>
        <v>0.43272365363251464</v>
      </c>
      <c r="D19">
        <f t="shared" si="1"/>
        <v>-0.10321003712733373</v>
      </c>
      <c r="E19">
        <f t="shared" si="2"/>
        <v>1.0652311763825608E-2</v>
      </c>
    </row>
    <row r="20" spans="1:5" x14ac:dyDescent="0.25">
      <c r="A20">
        <v>1.4705135944999999</v>
      </c>
      <c r="B20">
        <v>0.32776553365899957</v>
      </c>
      <c r="C20">
        <f t="shared" si="0"/>
        <v>0.39172429681970539</v>
      </c>
      <c r="D20">
        <f t="shared" si="1"/>
        <v>-6.3958763160705812E-2</v>
      </c>
      <c r="E20">
        <f t="shared" si="2"/>
        <v>4.0907233850472589E-3</v>
      </c>
    </row>
    <row r="21" spans="1:5" x14ac:dyDescent="0.25">
      <c r="A21">
        <v>1.5424114475000001</v>
      </c>
      <c r="B21">
        <v>0.31552895373573026</v>
      </c>
      <c r="C21">
        <f t="shared" si="0"/>
        <v>0.35197917529373096</v>
      </c>
      <c r="D21">
        <f t="shared" si="1"/>
        <v>-3.6450221558000706E-2</v>
      </c>
      <c r="E21">
        <f t="shared" si="2"/>
        <v>1.3286186516273395E-3</v>
      </c>
    </row>
    <row r="22" spans="1:5" x14ac:dyDescent="0.25">
      <c r="A22">
        <v>1.6143093005</v>
      </c>
      <c r="B22">
        <v>0.33300978219754357</v>
      </c>
      <c r="C22">
        <f t="shared" si="0"/>
        <v>0.31399212023862022</v>
      </c>
      <c r="D22">
        <f t="shared" si="1"/>
        <v>1.9017661958923349E-2</v>
      </c>
      <c r="E22">
        <f t="shared" si="2"/>
        <v>3.6167146638388023E-4</v>
      </c>
    </row>
    <row r="23" spans="1:5" x14ac:dyDescent="0.25">
      <c r="A23">
        <v>1.6862071535000001</v>
      </c>
      <c r="B23">
        <v>0.23074693569593571</v>
      </c>
      <c r="C23">
        <f t="shared" si="0"/>
        <v>0.27814640011880243</v>
      </c>
      <c r="D23">
        <f t="shared" si="1"/>
        <v>-4.7399464422866716E-2</v>
      </c>
      <c r="E23">
        <f t="shared" si="2"/>
        <v>2.2467092275746075E-3</v>
      </c>
    </row>
    <row r="24" spans="1:5" x14ac:dyDescent="0.25">
      <c r="A24">
        <v>1.7581050065000001</v>
      </c>
      <c r="B24">
        <v>0.22637672858048238</v>
      </c>
      <c r="C24">
        <f t="shared" si="0"/>
        <v>0.24471425901095079</v>
      </c>
      <c r="D24">
        <f t="shared" si="1"/>
        <v>-1.8337530430468402E-2</v>
      </c>
      <c r="E24">
        <f t="shared" si="2"/>
        <v>3.3626502228835463E-4</v>
      </c>
    </row>
    <row r="25" spans="1:5" x14ac:dyDescent="0.25">
      <c r="A25">
        <v>1.8300028595</v>
      </c>
      <c r="B25">
        <v>0.20627377584939707</v>
      </c>
      <c r="C25">
        <f t="shared" si="0"/>
        <v>0.21386835241821642</v>
      </c>
      <c r="D25">
        <f t="shared" si="1"/>
        <v>-7.5945765688193445E-3</v>
      </c>
      <c r="E25">
        <f t="shared" si="2"/>
        <v>5.7677593259659806E-5</v>
      </c>
    </row>
    <row r="26" spans="1:5" x14ac:dyDescent="0.25">
      <c r="A26">
        <v>1.9019007125</v>
      </c>
      <c r="B26">
        <v>0.21239206581103173</v>
      </c>
      <c r="C26">
        <f t="shared" si="0"/>
        <v>0.18569434442313887</v>
      </c>
      <c r="D26">
        <f t="shared" si="1"/>
        <v>2.6697721387892864E-2</v>
      </c>
      <c r="E26">
        <f t="shared" si="2"/>
        <v>7.1276832730555204E-4</v>
      </c>
    </row>
    <row r="27" spans="1:5" x14ac:dyDescent="0.25">
      <c r="A27">
        <v>1.9737985655000001</v>
      </c>
      <c r="B27">
        <v>0.19665932019539975</v>
      </c>
      <c r="C27">
        <f t="shared" si="0"/>
        <v>0.16020400974603763</v>
      </c>
      <c r="D27">
        <f t="shared" si="1"/>
        <v>3.6455310449362122E-2</v>
      </c>
      <c r="E27">
        <f t="shared" si="2"/>
        <v>1.328989659959371E-3</v>
      </c>
    </row>
    <row r="28" spans="1:5" x14ac:dyDescent="0.25">
      <c r="A28">
        <v>2.0456964185000004</v>
      </c>
      <c r="B28">
        <v>0.13722450342523448</v>
      </c>
      <c r="C28">
        <f t="shared" si="0"/>
        <v>0.13734828032590823</v>
      </c>
      <c r="D28">
        <f t="shared" si="1"/>
        <v>-1.2377690067374991E-4</v>
      </c>
      <c r="E28">
        <f t="shared" si="2"/>
        <v>1.5320721140399353E-8</v>
      </c>
    </row>
    <row r="29" spans="1:5" x14ac:dyDescent="0.25">
      <c r="A29">
        <v>2.1175942714999998</v>
      </c>
      <c r="B29">
        <v>0.13897258627141582</v>
      </c>
      <c r="C29">
        <f t="shared" si="0"/>
        <v>0.11702978036078991</v>
      </c>
      <c r="D29">
        <f t="shared" si="1"/>
        <v>2.1942805910625904E-2</v>
      </c>
      <c r="E29">
        <f t="shared" si="2"/>
        <v>4.814867312313991E-4</v>
      </c>
    </row>
    <row r="30" spans="1:5" x14ac:dyDescent="0.25">
      <c r="A30">
        <v>2.1894921245000001</v>
      </c>
      <c r="B30">
        <v>0.13809854484832515</v>
      </c>
      <c r="C30">
        <f t="shared" si="0"/>
        <v>9.9114499410313098E-2</v>
      </c>
      <c r="D30">
        <f t="shared" si="1"/>
        <v>3.8984045438012052E-2</v>
      </c>
      <c r="E30">
        <f t="shared" si="2"/>
        <v>1.5197557987129883E-3</v>
      </c>
    </row>
    <row r="31" spans="1:5" x14ac:dyDescent="0.25">
      <c r="A31">
        <v>2.2613899775000004</v>
      </c>
      <c r="B31">
        <v>0.15557937331013846</v>
      </c>
      <c r="C31">
        <f t="shared" si="0"/>
        <v>8.3442354559192203E-2</v>
      </c>
      <c r="D31">
        <f t="shared" si="1"/>
        <v>7.2137018750946261E-2</v>
      </c>
      <c r="E31">
        <f t="shared" si="2"/>
        <v>5.2037494742743721E-3</v>
      </c>
    </row>
    <row r="32" spans="1:5" x14ac:dyDescent="0.25">
      <c r="A32">
        <v>2.3332878304999998</v>
      </c>
      <c r="B32">
        <v>8.5656059462885223E-2</v>
      </c>
      <c r="C32">
        <f t="shared" si="0"/>
        <v>6.9836485516351118E-2</v>
      </c>
      <c r="D32">
        <f t="shared" si="1"/>
        <v>1.5819573946534105E-2</v>
      </c>
      <c r="E32">
        <f t="shared" si="2"/>
        <v>2.5025891984986062E-4</v>
      </c>
    </row>
    <row r="33" spans="1:5" x14ac:dyDescent="0.25">
      <c r="A33">
        <v>2.4051856835000001</v>
      </c>
      <c r="B33">
        <v>7.4293520962706569E-2</v>
      </c>
      <c r="C33">
        <f t="shared" si="0"/>
        <v>5.8111207959485475E-2</v>
      </c>
      <c r="D33">
        <f t="shared" si="1"/>
        <v>1.6182313003221094E-2</v>
      </c>
      <c r="E33">
        <f t="shared" si="2"/>
        <v>2.6186725413421849E-4</v>
      </c>
    </row>
    <row r="34" spans="1:5" x14ac:dyDescent="0.25">
      <c r="A34">
        <v>2.4770835364999995</v>
      </c>
      <c r="B34">
        <v>8.827818373215722E-2</v>
      </c>
      <c r="C34">
        <f t="shared" si="0"/>
        <v>4.8078618730364946E-2</v>
      </c>
      <c r="D34">
        <f t="shared" si="1"/>
        <v>4.0199565001792274E-2</v>
      </c>
      <c r="E34">
        <f t="shared" si="2"/>
        <v>1.6160050263333222E-3</v>
      </c>
    </row>
    <row r="35" spans="1:5" x14ac:dyDescent="0.25">
      <c r="A35">
        <v>2.5489813894999998</v>
      </c>
      <c r="B35">
        <v>8.0411810924341229E-2</v>
      </c>
      <c r="C35">
        <f t="shared" si="0"/>
        <v>3.955390100568297E-2</v>
      </c>
      <c r="D35">
        <f t="shared" si="1"/>
        <v>4.0857909918658258E-2</v>
      </c>
      <c r="E35">
        <f t="shared" si="2"/>
        <v>1.6693688029211929E-3</v>
      </c>
    </row>
    <row r="36" spans="1:5" x14ac:dyDescent="0.25">
      <c r="A36">
        <v>2.6208792425</v>
      </c>
      <c r="B36">
        <v>3.0591449808173295E-2</v>
      </c>
      <c r="C36">
        <f t="shared" si="0"/>
        <v>3.2359418547546988E-2</v>
      </c>
      <c r="D36">
        <f t="shared" si="1"/>
        <v>-1.7679687393736924E-3</v>
      </c>
      <c r="E36">
        <f t="shared" si="2"/>
        <v>3.1257134634026035E-6</v>
      </c>
    </row>
    <row r="37" spans="1:5" x14ac:dyDescent="0.25">
      <c r="A37">
        <v>2.6927770955000003</v>
      </c>
      <c r="B37">
        <v>4.1953988308351946E-2</v>
      </c>
      <c r="C37">
        <f t="shared" si="0"/>
        <v>2.63277164821853E-2</v>
      </c>
      <c r="D37">
        <f t="shared" si="1"/>
        <v>1.5626271826166646E-2</v>
      </c>
      <c r="E37">
        <f t="shared" si="2"/>
        <v>2.4418037118524951E-4</v>
      </c>
    </row>
    <row r="38" spans="1:5" x14ac:dyDescent="0.25">
      <c r="A38">
        <v>2.7646749485000002</v>
      </c>
      <c r="B38">
        <v>1.5732745615631979E-2</v>
      </c>
      <c r="C38">
        <f t="shared" si="0"/>
        <v>2.130356314144928E-2</v>
      </c>
      <c r="D38">
        <f t="shared" si="1"/>
        <v>-5.5708175258173016E-3</v>
      </c>
      <c r="E38">
        <f t="shared" si="2"/>
        <v>3.1034007905953203E-5</v>
      </c>
    </row>
    <row r="39" spans="1:5" x14ac:dyDescent="0.25">
      <c r="A39">
        <v>2.8365728015</v>
      </c>
      <c r="B39">
        <v>0</v>
      </c>
      <c r="C39">
        <f t="shared" si="0"/>
        <v>1.7145174993033977E-2</v>
      </c>
      <c r="D39">
        <f t="shared" si="1"/>
        <v>-1.7145174993033977E-2</v>
      </c>
      <c r="E39">
        <f t="shared" si="2"/>
        <v>2.9395702554175764E-4</v>
      </c>
    </row>
    <row r="40" spans="1:5" x14ac:dyDescent="0.25">
      <c r="A40">
        <v>2.9084706545000003</v>
      </c>
      <c r="B40">
        <v>8.7404142309066557E-4</v>
      </c>
      <c r="C40">
        <f t="shared" si="0"/>
        <v>1.3724766374115172E-2</v>
      </c>
      <c r="D40">
        <f t="shared" si="1"/>
        <v>-1.2850724951024507E-2</v>
      </c>
      <c r="E40">
        <f t="shared" si="2"/>
        <v>1.651411317668838E-4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363E-2DDD-4062-943C-2E9D030CC41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0.11751111512499998</v>
      </c>
      <c r="B1">
        <v>0.10407665205954521</v>
      </c>
      <c r="C1">
        <f>$H$3*(1+$H$1)*(A1^($H$1))*EXP(-$H$3*(A1^(1+$H$1)))</f>
        <v>0.22101074277906999</v>
      </c>
      <c r="D1">
        <f>B1-C1</f>
        <v>-0.11693409071952478</v>
      </c>
      <c r="E1">
        <f>D1^2</f>
        <v>1.367358157240205E-2</v>
      </c>
      <c r="G1" t="s">
        <v>0</v>
      </c>
      <c r="H1">
        <v>0.89055131597131787</v>
      </c>
    </row>
    <row r="2" spans="1:8" x14ac:dyDescent="0.25">
      <c r="A2">
        <v>0.18694835737499998</v>
      </c>
      <c r="B2">
        <v>0.20000817482747385</v>
      </c>
      <c r="C2">
        <f t="shared" ref="C2:C40" si="0">$H$3*(1+$H$1)*(A2^($H$1))*EXP(-$H$3*(A2^(1+$H$1)))</f>
        <v>0.32770515665909145</v>
      </c>
      <c r="D2">
        <f t="shared" ref="D2:D40" si="1">B2-C2</f>
        <v>-0.1276969818316176</v>
      </c>
      <c r="E2">
        <f t="shared" ref="E2:E40" si="2">D2^2</f>
        <v>1.6306519168904476E-2</v>
      </c>
    </row>
    <row r="3" spans="1:8" x14ac:dyDescent="0.25">
      <c r="A3">
        <v>0.25638559962499996</v>
      </c>
      <c r="B3">
        <v>0.48689772876552456</v>
      </c>
      <c r="C3">
        <f t="shared" si="0"/>
        <v>0.42242887801174317</v>
      </c>
      <c r="D3">
        <f t="shared" si="1"/>
        <v>6.4468850753781393E-2</v>
      </c>
      <c r="E3">
        <f t="shared" si="2"/>
        <v>4.1562327175133397E-3</v>
      </c>
      <c r="G3" t="s">
        <v>1</v>
      </c>
      <c r="H3">
        <f>(_xlfn.GAMMA((2+$H$1)/(1+$H$1)))^(1+$H$1)</f>
        <v>0.79802608641208639</v>
      </c>
    </row>
    <row r="4" spans="1:8" x14ac:dyDescent="0.25">
      <c r="A4">
        <v>0.32582284187499999</v>
      </c>
      <c r="B4">
        <v>0.54481864817257575</v>
      </c>
      <c r="C4">
        <f t="shared" si="0"/>
        <v>0.50500193729726106</v>
      </c>
      <c r="D4">
        <f t="shared" si="1"/>
        <v>3.9816710875314687E-2</v>
      </c>
      <c r="E4">
        <f t="shared" si="2"/>
        <v>1.5853704649284029E-3</v>
      </c>
    </row>
    <row r="5" spans="1:8" x14ac:dyDescent="0.25">
      <c r="A5">
        <v>0.39526008412500002</v>
      </c>
      <c r="B5">
        <v>0.56110890675580893</v>
      </c>
      <c r="C5">
        <f t="shared" si="0"/>
        <v>0.57500698481521939</v>
      </c>
      <c r="D5">
        <f t="shared" si="1"/>
        <v>-1.3898078059410457E-2</v>
      </c>
      <c r="E5">
        <f t="shared" si="2"/>
        <v>1.9315657374546633E-4</v>
      </c>
      <c r="G5" t="s">
        <v>2</v>
      </c>
      <c r="H5">
        <f>SUM(E1:E40)</f>
        <v>0.39524927849931013</v>
      </c>
    </row>
    <row r="6" spans="1:8" x14ac:dyDescent="0.25">
      <c r="A6">
        <v>0.46469732637499994</v>
      </c>
      <c r="B6">
        <v>0.64708527150065065</v>
      </c>
      <c r="C6">
        <f t="shared" si="0"/>
        <v>0.63214077183769046</v>
      </c>
      <c r="D6">
        <f t="shared" si="1"/>
        <v>1.4944499662960187E-2</v>
      </c>
      <c r="E6">
        <f t="shared" si="2"/>
        <v>2.2333807017621714E-4</v>
      </c>
    </row>
    <row r="7" spans="1:8" x14ac:dyDescent="0.25">
      <c r="A7">
        <v>0.53413456862499997</v>
      </c>
      <c r="B7">
        <v>0.67152065937550043</v>
      </c>
      <c r="C7">
        <f t="shared" si="0"/>
        <v>0.67633340705240064</v>
      </c>
      <c r="D7">
        <f t="shared" si="1"/>
        <v>-4.8127476769002087E-3</v>
      </c>
      <c r="E7">
        <f t="shared" si="2"/>
        <v>2.3162540201508355E-5</v>
      </c>
    </row>
    <row r="8" spans="1:8" x14ac:dyDescent="0.25">
      <c r="A8">
        <v>0.60357181087499989</v>
      </c>
      <c r="B8">
        <v>0.73215662187975716</v>
      </c>
      <c r="C8">
        <f t="shared" si="0"/>
        <v>0.7077860176192996</v>
      </c>
      <c r="D8">
        <f t="shared" si="1"/>
        <v>2.4370604260457562E-2</v>
      </c>
      <c r="E8">
        <f t="shared" si="2"/>
        <v>5.9392635201983227E-4</v>
      </c>
    </row>
    <row r="9" spans="1:8" x14ac:dyDescent="0.25">
      <c r="A9">
        <v>0.67300905312499992</v>
      </c>
      <c r="B9">
        <v>0.90229932263797019</v>
      </c>
      <c r="C9">
        <f t="shared" si="0"/>
        <v>0.72696994973688234</v>
      </c>
      <c r="D9">
        <f t="shared" si="1"/>
        <v>0.17532937290108785</v>
      </c>
      <c r="E9">
        <f t="shared" si="2"/>
        <v>3.0740389001888722E-2</v>
      </c>
    </row>
    <row r="10" spans="1:8" x14ac:dyDescent="0.25">
      <c r="A10">
        <v>0.74244629537499995</v>
      </c>
      <c r="B10">
        <v>1.169278560529847</v>
      </c>
      <c r="C10">
        <f t="shared" si="0"/>
        <v>0.73460430225787132</v>
      </c>
      <c r="D10">
        <f t="shared" si="1"/>
        <v>0.4346742582719757</v>
      </c>
      <c r="E10">
        <f t="shared" si="2"/>
        <v>0.18894171080429223</v>
      </c>
    </row>
    <row r="11" spans="1:8" x14ac:dyDescent="0.25">
      <c r="A11">
        <v>0.81188353762499998</v>
      </c>
      <c r="B11">
        <v>0.91587453812399788</v>
      </c>
      <c r="C11">
        <f t="shared" si="0"/>
        <v>0.73162028701495574</v>
      </c>
      <c r="D11">
        <f t="shared" si="1"/>
        <v>0.18425425110904214</v>
      </c>
      <c r="E11">
        <f t="shared" si="2"/>
        <v>3.3949629051753957E-2</v>
      </c>
    </row>
    <row r="12" spans="1:8" x14ac:dyDescent="0.25">
      <c r="A12">
        <v>0.88132077987500002</v>
      </c>
      <c r="B12">
        <v>0.78193241199519181</v>
      </c>
      <c r="C12">
        <f t="shared" si="0"/>
        <v>0.71911778013759353</v>
      </c>
      <c r="D12">
        <f t="shared" si="1"/>
        <v>6.281463185759828E-2</v>
      </c>
      <c r="E12">
        <f t="shared" si="2"/>
        <v>3.9456779754056008E-3</v>
      </c>
    </row>
    <row r="13" spans="1:8" x14ac:dyDescent="0.25">
      <c r="A13">
        <v>0.95075802212500005</v>
      </c>
      <c r="B13">
        <v>0.68781091795873361</v>
      </c>
      <c r="C13">
        <f t="shared" si="0"/>
        <v>0.69831801006510352</v>
      </c>
      <c r="D13">
        <f t="shared" si="1"/>
        <v>-1.0507092106369909E-2</v>
      </c>
      <c r="E13">
        <f t="shared" si="2"/>
        <v>1.1039898453174084E-4</v>
      </c>
    </row>
    <row r="14" spans="1:8" x14ac:dyDescent="0.25">
      <c r="A14">
        <v>1.0201952643749999</v>
      </c>
      <c r="B14">
        <v>0.58192423716771802</v>
      </c>
      <c r="C14">
        <f t="shared" si="0"/>
        <v>0.67051551374835061</v>
      </c>
      <c r="D14">
        <f t="shared" si="1"/>
        <v>-8.8591276580632594E-2</v>
      </c>
      <c r="E14">
        <f t="shared" si="2"/>
        <v>7.8484142861861405E-3</v>
      </c>
    </row>
    <row r="15" spans="1:8" x14ac:dyDescent="0.25">
      <c r="A15">
        <v>1.0896325066250001</v>
      </c>
      <c r="B15">
        <v>0.50680804481169839</v>
      </c>
      <c r="C15">
        <f t="shared" si="0"/>
        <v>0.63703189065412524</v>
      </c>
      <c r="D15">
        <f t="shared" si="1"/>
        <v>-0.13022384584242686</v>
      </c>
      <c r="E15">
        <f t="shared" si="2"/>
        <v>1.6958250025992154E-2</v>
      </c>
    </row>
    <row r="16" spans="1:8" x14ac:dyDescent="0.25">
      <c r="A16">
        <v>1.1590697488749999</v>
      </c>
      <c r="B16">
        <v>0.47151248454802658</v>
      </c>
      <c r="C16">
        <f t="shared" si="0"/>
        <v>0.59917335254509074</v>
      </c>
      <c r="D16">
        <f t="shared" si="1"/>
        <v>-0.12766086799706416</v>
      </c>
      <c r="E16">
        <f t="shared" si="2"/>
        <v>1.629729721776384E-2</v>
      </c>
    </row>
    <row r="17" spans="1:5" x14ac:dyDescent="0.25">
      <c r="A17">
        <v>1.2285069911249999</v>
      </c>
      <c r="B17">
        <v>0.47965761383964317</v>
      </c>
      <c r="C17">
        <f t="shared" si="0"/>
        <v>0.5581935602984629</v>
      </c>
      <c r="D17">
        <f t="shared" si="1"/>
        <v>-7.8535946458819728E-2</v>
      </c>
      <c r="E17">
        <f t="shared" si="2"/>
        <v>6.1678948861825988E-3</v>
      </c>
    </row>
    <row r="18" spans="1:5" x14ac:dyDescent="0.25">
      <c r="A18">
        <v>1.297944233375</v>
      </c>
      <c r="B18">
        <v>0.3991113352892125</v>
      </c>
      <c r="C18">
        <f t="shared" si="0"/>
        <v>0.51526275146974798</v>
      </c>
      <c r="D18">
        <f t="shared" si="1"/>
        <v>-0.11615141618053548</v>
      </c>
      <c r="E18">
        <f t="shared" si="2"/>
        <v>1.349115148074396E-2</v>
      </c>
    </row>
    <row r="19" spans="1:5" x14ac:dyDescent="0.25">
      <c r="A19">
        <v>1.367381475625</v>
      </c>
      <c r="B19">
        <v>0.36019571756259994</v>
      </c>
      <c r="C19">
        <f t="shared" si="0"/>
        <v>0.47144370371164351</v>
      </c>
      <c r="D19">
        <f t="shared" si="1"/>
        <v>-0.11124798614904358</v>
      </c>
      <c r="E19">
        <f t="shared" si="2"/>
        <v>1.2376114422217791E-2</v>
      </c>
    </row>
    <row r="20" spans="1:5" x14ac:dyDescent="0.25">
      <c r="A20">
        <v>1.436818717875</v>
      </c>
      <c r="B20">
        <v>0.33847537278495571</v>
      </c>
      <c r="C20">
        <f t="shared" si="0"/>
        <v>0.42767466390417508</v>
      </c>
      <c r="D20">
        <f t="shared" si="1"/>
        <v>-8.919929111921937E-2</v>
      </c>
      <c r="E20">
        <f t="shared" si="2"/>
        <v>7.9565135361712482E-3</v>
      </c>
    </row>
    <row r="21" spans="1:5" x14ac:dyDescent="0.25">
      <c r="A21">
        <v>1.5062559601249998</v>
      </c>
      <c r="B21">
        <v>0.33938038715069091</v>
      </c>
      <c r="C21">
        <f t="shared" si="0"/>
        <v>0.38475901449641409</v>
      </c>
      <c r="D21">
        <f t="shared" si="1"/>
        <v>-4.5378627345723177E-2</v>
      </c>
      <c r="E21">
        <f t="shared" si="2"/>
        <v>2.0592198197820154E-3</v>
      </c>
    </row>
    <row r="22" spans="1:5" x14ac:dyDescent="0.25">
      <c r="A22">
        <v>1.5756932023750001</v>
      </c>
      <c r="B22">
        <v>0.33033024349333917</v>
      </c>
      <c r="C22">
        <f t="shared" si="0"/>
        <v>0.34336115718991839</v>
      </c>
      <c r="D22">
        <f t="shared" si="1"/>
        <v>-1.3030913696579216E-2</v>
      </c>
      <c r="E22">
        <f t="shared" si="2"/>
        <v>1.698047117676958E-4</v>
      </c>
    </row>
    <row r="23" spans="1:5" x14ac:dyDescent="0.25">
      <c r="A23">
        <v>1.6451304446249999</v>
      </c>
      <c r="B23">
        <v>0.27240932408628787</v>
      </c>
      <c r="C23">
        <f t="shared" si="0"/>
        <v>0.30400787521445405</v>
      </c>
      <c r="D23">
        <f t="shared" si="1"/>
        <v>-3.1598551128166175E-2</v>
      </c>
      <c r="E23">
        <f t="shared" si="2"/>
        <v>9.984684333993318E-4</v>
      </c>
    </row>
    <row r="24" spans="1:5" x14ac:dyDescent="0.25">
      <c r="A24">
        <v>1.7145676868749999</v>
      </c>
      <c r="B24">
        <v>0.22625359143379395</v>
      </c>
      <c r="C24">
        <f t="shared" si="0"/>
        <v>0.26709428980125272</v>
      </c>
      <c r="D24">
        <f t="shared" si="1"/>
        <v>-4.0840698367458766E-2</v>
      </c>
      <c r="E24">
        <f t="shared" si="2"/>
        <v>1.6679626431417491E-3</v>
      </c>
    </row>
    <row r="25" spans="1:5" x14ac:dyDescent="0.25">
      <c r="A25">
        <v>1.784004929125</v>
      </c>
      <c r="B25">
        <v>0.22987364889673464</v>
      </c>
      <c r="C25">
        <f t="shared" si="0"/>
        <v>0.23289345044641463</v>
      </c>
      <c r="D25">
        <f t="shared" si="1"/>
        <v>-3.0198015496799846E-3</v>
      </c>
      <c r="E25">
        <f t="shared" si="2"/>
        <v>9.1192013994496368E-6</v>
      </c>
    </row>
    <row r="26" spans="1:5" x14ac:dyDescent="0.25">
      <c r="A26">
        <v>1.8534421713749998</v>
      </c>
      <c r="B26">
        <v>0.21539341904497183</v>
      </c>
      <c r="C26">
        <f t="shared" si="0"/>
        <v>0.20156858501293337</v>
      </c>
      <c r="D26">
        <f t="shared" si="1"/>
        <v>1.3824834032038463E-2</v>
      </c>
      <c r="E26">
        <f t="shared" si="2"/>
        <v>1.9112603601340887E-4</v>
      </c>
    </row>
    <row r="27" spans="1:5" x14ac:dyDescent="0.25">
      <c r="A27">
        <v>1.922879413625</v>
      </c>
      <c r="B27">
        <v>0.20272321792467937</v>
      </c>
      <c r="C27">
        <f t="shared" si="0"/>
        <v>0.17318707489608004</v>
      </c>
      <c r="D27">
        <f t="shared" si="1"/>
        <v>2.9536143028599332E-2</v>
      </c>
      <c r="E27">
        <f t="shared" si="2"/>
        <v>8.7238374500587688E-4</v>
      </c>
    </row>
    <row r="28" spans="1:5" x14ac:dyDescent="0.25">
      <c r="A28">
        <v>1.9923166558749998</v>
      </c>
      <c r="B28">
        <v>0.14751734161483365</v>
      </c>
      <c r="C28">
        <f t="shared" si="0"/>
        <v>0.14773530107965499</v>
      </c>
      <c r="D28">
        <f t="shared" si="1"/>
        <v>-2.1795946482133788E-4</v>
      </c>
      <c r="E28">
        <f t="shared" si="2"/>
        <v>4.7506328305204024E-8</v>
      </c>
    </row>
    <row r="29" spans="1:5" x14ac:dyDescent="0.25">
      <c r="A29">
        <v>2.0617538981250001</v>
      </c>
      <c r="B29">
        <v>0.1529474278092447</v>
      </c>
      <c r="C29">
        <f t="shared" si="0"/>
        <v>0.12513361709316845</v>
      </c>
      <c r="D29">
        <f t="shared" si="1"/>
        <v>2.7813810716076248E-2</v>
      </c>
      <c r="E29">
        <f t="shared" si="2"/>
        <v>7.7360806654971795E-4</v>
      </c>
    </row>
    <row r="30" spans="1:5" x14ac:dyDescent="0.25">
      <c r="A30">
        <v>2.1311911403749999</v>
      </c>
      <c r="B30">
        <v>0.14480229851762813</v>
      </c>
      <c r="C30">
        <f t="shared" si="0"/>
        <v>0.10525083311341431</v>
      </c>
      <c r="D30">
        <f t="shared" si="1"/>
        <v>3.9551465404213823E-2</v>
      </c>
      <c r="E30">
        <f t="shared" si="2"/>
        <v>1.5643184156207228E-3</v>
      </c>
    </row>
    <row r="31" spans="1:5" x14ac:dyDescent="0.25">
      <c r="A31">
        <v>2.2006283826250002</v>
      </c>
      <c r="B31">
        <v>0.16742765766100751</v>
      </c>
      <c r="C31">
        <f t="shared" si="0"/>
        <v>8.7917731224962867E-2</v>
      </c>
      <c r="D31">
        <f t="shared" si="1"/>
        <v>7.9509926436044639E-2</v>
      </c>
      <c r="E31">
        <f t="shared" si="2"/>
        <v>6.3218284018652302E-3</v>
      </c>
    </row>
    <row r="32" spans="1:5" x14ac:dyDescent="0.25">
      <c r="A32">
        <v>2.2700656248749995</v>
      </c>
      <c r="B32">
        <v>8.5976364744841702E-2</v>
      </c>
      <c r="C32">
        <f t="shared" si="0"/>
        <v>7.2939266166743053E-2</v>
      </c>
      <c r="D32">
        <f t="shared" si="1"/>
        <v>1.3037098578098649E-2</v>
      </c>
      <c r="E32">
        <f t="shared" si="2"/>
        <v>1.6996593933506183E-4</v>
      </c>
    </row>
    <row r="33" spans="1:5" x14ac:dyDescent="0.25">
      <c r="A33">
        <v>2.3395028671249998</v>
      </c>
      <c r="B33">
        <v>8.778639347631205E-2</v>
      </c>
      <c r="C33">
        <f t="shared" si="0"/>
        <v>6.0105231567787451E-2</v>
      </c>
      <c r="D33">
        <f t="shared" si="1"/>
        <v>2.7681161908524599E-2</v>
      </c>
      <c r="E33">
        <f t="shared" si="2"/>
        <v>7.662467246059532E-4</v>
      </c>
    </row>
    <row r="34" spans="1:5" x14ac:dyDescent="0.25">
      <c r="A34">
        <v>2.408940109375</v>
      </c>
      <c r="B34">
        <v>8.778639347631205E-2</v>
      </c>
      <c r="C34">
        <f t="shared" si="0"/>
        <v>4.9199283469464013E-2</v>
      </c>
      <c r="D34">
        <f t="shared" si="1"/>
        <v>3.8587110006848037E-2</v>
      </c>
      <c r="E34">
        <f t="shared" si="2"/>
        <v>1.4889650586805919E-3</v>
      </c>
    </row>
    <row r="35" spans="1:5" x14ac:dyDescent="0.25">
      <c r="A35">
        <v>2.4783773516250003</v>
      </c>
      <c r="B35">
        <v>8.1451292916165818E-2</v>
      </c>
      <c r="C35">
        <f t="shared" si="0"/>
        <v>4.0006307489124648E-2</v>
      </c>
      <c r="D35">
        <f t="shared" si="1"/>
        <v>4.144498542704117E-2</v>
      </c>
      <c r="E35">
        <f t="shared" si="2"/>
        <v>1.717686817047655E-3</v>
      </c>
    </row>
    <row r="36" spans="1:5" x14ac:dyDescent="0.25">
      <c r="A36">
        <v>2.5478145938750001</v>
      </c>
      <c r="B36">
        <v>3.6200574629407033E-2</v>
      </c>
      <c r="C36">
        <f t="shared" si="0"/>
        <v>3.2318191669347657E-2</v>
      </c>
      <c r="D36">
        <f t="shared" si="1"/>
        <v>3.8823829600593759E-3</v>
      </c>
      <c r="E36">
        <f t="shared" si="2"/>
        <v>1.5072897448559402E-5</v>
      </c>
    </row>
    <row r="37" spans="1:5" x14ac:dyDescent="0.25">
      <c r="A37">
        <v>2.6172518361249999</v>
      </c>
      <c r="B37">
        <v>4.3440689555288438E-2</v>
      </c>
      <c r="C37">
        <f t="shared" si="0"/>
        <v>2.5938123716147801E-2</v>
      </c>
      <c r="D37">
        <f t="shared" si="1"/>
        <v>1.7502565839140637E-2</v>
      </c>
      <c r="E37">
        <f t="shared" si="2"/>
        <v>3.0633981095345276E-4</v>
      </c>
    </row>
    <row r="38" spans="1:5" x14ac:dyDescent="0.25">
      <c r="A38">
        <v>2.6866890783750002</v>
      </c>
      <c r="B38">
        <v>6.3351005601462304E-3</v>
      </c>
      <c r="C38">
        <f t="shared" si="0"/>
        <v>2.0683569965112641E-2</v>
      </c>
      <c r="D38">
        <f t="shared" si="1"/>
        <v>-1.434846940496641E-2</v>
      </c>
      <c r="E38">
        <f t="shared" si="2"/>
        <v>2.0587857426525714E-4</v>
      </c>
    </row>
    <row r="39" spans="1:5" x14ac:dyDescent="0.25">
      <c r="A39">
        <v>2.7561263206249995</v>
      </c>
      <c r="B39">
        <v>0</v>
      </c>
      <c r="C39">
        <f t="shared" si="0"/>
        <v>1.6388115882602805E-2</v>
      </c>
      <c r="D39">
        <f t="shared" si="1"/>
        <v>-1.6388115882602805E-2</v>
      </c>
      <c r="E39">
        <f t="shared" si="2"/>
        <v>2.6857034218161831E-4</v>
      </c>
    </row>
    <row r="40" spans="1:5" x14ac:dyDescent="0.25">
      <c r="A40">
        <v>2.8255635628749998</v>
      </c>
      <c r="B40">
        <v>9.0501436573517575E-4</v>
      </c>
      <c r="C40">
        <f t="shared" si="0"/>
        <v>1.2902356608797353E-2</v>
      </c>
      <c r="D40">
        <f t="shared" si="1"/>
        <v>-1.1997342243062177E-2</v>
      </c>
      <c r="E40">
        <f t="shared" si="2"/>
        <v>1.4393622089716419E-4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8E1F0-F3E0-49DC-99D1-56A56D024E4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0.136027300425</v>
      </c>
      <c r="B1">
        <v>0.10048277917070027</v>
      </c>
      <c r="C1">
        <f>$H$3*(1+$H$1)*(A1^($H$1))*EXP(-$H$3*(A1^(1+$H$1)))</f>
        <v>0.21430426255577562</v>
      </c>
      <c r="D1">
        <f>B1-C1</f>
        <v>-0.11382148338507535</v>
      </c>
      <c r="E1">
        <f>D1^2</f>
        <v>1.2955330079978983E-2</v>
      </c>
      <c r="G1" t="s">
        <v>0</v>
      </c>
      <c r="H1">
        <v>0.98908047170175739</v>
      </c>
    </row>
    <row r="2" spans="1:8" x14ac:dyDescent="0.25">
      <c r="A2">
        <v>0.202944857275</v>
      </c>
      <c r="B2">
        <v>0.1915746444002136</v>
      </c>
      <c r="C2">
        <f t="shared" ref="C2:C40" si="0">$H$3*(1+$H$1)*(A2^($H$1))*EXP(-$H$3*(A2^(1+$H$1)))</f>
        <v>0.31262853464547097</v>
      </c>
      <c r="D2">
        <f t="shared" ref="D2:D40" si="1">B2-C2</f>
        <v>-0.12105389024525737</v>
      </c>
      <c r="E2">
        <f t="shared" ref="E2:E40" si="2">D2^2</f>
        <v>1.4654044343510817E-2</v>
      </c>
    </row>
    <row r="3" spans="1:8" x14ac:dyDescent="0.25">
      <c r="A3">
        <v>0.26986241412500001</v>
      </c>
      <c r="B3">
        <v>0.41507839620046283</v>
      </c>
      <c r="C3">
        <f t="shared" si="0"/>
        <v>0.40413076663967523</v>
      </c>
      <c r="D3">
        <f t="shared" si="1"/>
        <v>1.0947629560787597E-2</v>
      </c>
      <c r="E3">
        <f t="shared" si="2"/>
        <v>1.1985059300023044E-4</v>
      </c>
      <c r="G3" t="s">
        <v>1</v>
      </c>
      <c r="H3">
        <f>(_xlfn.GAMMA((2+$H$1)/(1+$H$1)))^(1+$H$1)</f>
        <v>0.78659689638219488</v>
      </c>
    </row>
    <row r="4" spans="1:8" x14ac:dyDescent="0.25">
      <c r="A4">
        <v>0.33677997097500001</v>
      </c>
      <c r="B4">
        <v>0.55969847089474167</v>
      </c>
      <c r="C4">
        <f t="shared" si="0"/>
        <v>0.4871947417927105</v>
      </c>
      <c r="D4">
        <f t="shared" si="1"/>
        <v>7.2503729102031178E-2</v>
      </c>
      <c r="E4">
        <f t="shared" si="2"/>
        <v>5.2567907337007225E-3</v>
      </c>
    </row>
    <row r="5" spans="1:8" x14ac:dyDescent="0.25">
      <c r="A5">
        <v>0.40369752782500001</v>
      </c>
      <c r="B5">
        <v>0.57378484180652212</v>
      </c>
      <c r="C5">
        <f t="shared" si="0"/>
        <v>0.56044712162363342</v>
      </c>
      <c r="D5">
        <f t="shared" si="1"/>
        <v>1.3337720182888702E-2</v>
      </c>
      <c r="E5">
        <f t="shared" si="2"/>
        <v>1.7789477967703661E-4</v>
      </c>
      <c r="G5" t="s">
        <v>2</v>
      </c>
      <c r="H5">
        <f>SUM(E1:E40)</f>
        <v>0.38332991752032924</v>
      </c>
    </row>
    <row r="6" spans="1:8" x14ac:dyDescent="0.25">
      <c r="A6">
        <v>0.47061508467500002</v>
      </c>
      <c r="B6">
        <v>0.63670396521247463</v>
      </c>
      <c r="C6">
        <f t="shared" si="0"/>
        <v>0.62281513977472069</v>
      </c>
      <c r="D6">
        <f t="shared" si="1"/>
        <v>1.3888825437753938E-2</v>
      </c>
      <c r="E6">
        <f t="shared" si="2"/>
        <v>1.9289947204040086E-4</v>
      </c>
    </row>
    <row r="7" spans="1:8" x14ac:dyDescent="0.25">
      <c r="A7">
        <v>0.53753264152500002</v>
      </c>
      <c r="B7">
        <v>0.70431854558902063</v>
      </c>
      <c r="C7">
        <f t="shared" si="0"/>
        <v>0.67355849264790169</v>
      </c>
      <c r="D7">
        <f t="shared" si="1"/>
        <v>3.0760052941118943E-2</v>
      </c>
      <c r="E7">
        <f t="shared" si="2"/>
        <v>9.4618085694044007E-4</v>
      </c>
    </row>
    <row r="8" spans="1:8" x14ac:dyDescent="0.25">
      <c r="A8">
        <v>0.60445019837500003</v>
      </c>
      <c r="B8">
        <v>0.73436947020081877</v>
      </c>
      <c r="C8">
        <f t="shared" si="0"/>
        <v>0.71228232893246546</v>
      </c>
      <c r="D8">
        <f t="shared" si="1"/>
        <v>2.2087141268353316E-2</v>
      </c>
      <c r="E8">
        <f t="shared" si="2"/>
        <v>4.8784180940819615E-4</v>
      </c>
    </row>
    <row r="9" spans="1:8" x14ac:dyDescent="0.25">
      <c r="A9">
        <v>0.67136775522500003</v>
      </c>
      <c r="B9">
        <v>0.79165404524205918</v>
      </c>
      <c r="C9">
        <f t="shared" si="0"/>
        <v>0.73893393151616316</v>
      </c>
      <c r="D9">
        <f t="shared" si="1"/>
        <v>5.2720113725896023E-2</v>
      </c>
      <c r="E9">
        <f t="shared" si="2"/>
        <v>2.7794103912714102E-3</v>
      </c>
    </row>
    <row r="10" spans="1:8" x14ac:dyDescent="0.25">
      <c r="A10">
        <v>0.73828531207500003</v>
      </c>
      <c r="B10">
        <v>1.1240923987600768</v>
      </c>
      <c r="C10">
        <f t="shared" si="0"/>
        <v>0.75378501523081753</v>
      </c>
      <c r="D10">
        <f t="shared" si="1"/>
        <v>0.37030738352925929</v>
      </c>
      <c r="E10">
        <f t="shared" si="2"/>
        <v>0.13712755829628592</v>
      </c>
    </row>
    <row r="11" spans="1:8" x14ac:dyDescent="0.25">
      <c r="A11">
        <v>0.80520286892500015</v>
      </c>
      <c r="B11">
        <v>1.0320614421364449</v>
      </c>
      <c r="C11">
        <f t="shared" si="0"/>
        <v>0.75740172851453746</v>
      </c>
      <c r="D11">
        <f t="shared" si="1"/>
        <v>0.27465971362190744</v>
      </c>
      <c r="E11">
        <f t="shared" si="2"/>
        <v>7.5437958286868209E-2</v>
      </c>
    </row>
    <row r="12" spans="1:8" x14ac:dyDescent="0.25">
      <c r="A12">
        <v>0.87212042577500004</v>
      </c>
      <c r="B12">
        <v>0.90810137811277725</v>
      </c>
      <c r="C12">
        <f t="shared" si="0"/>
        <v>0.75060476836334811</v>
      </c>
      <c r="D12">
        <f t="shared" si="1"/>
        <v>0.15749660974942914</v>
      </c>
      <c r="E12">
        <f t="shared" si="2"/>
        <v>2.4805182082563978E-2</v>
      </c>
    </row>
    <row r="13" spans="1:8" x14ac:dyDescent="0.25">
      <c r="A13">
        <v>0.93903798262499993</v>
      </c>
      <c r="B13">
        <v>0.76254221202437966</v>
      </c>
      <c r="C13">
        <f t="shared" si="0"/>
        <v>0.73442228263186038</v>
      </c>
      <c r="D13">
        <f t="shared" si="1"/>
        <v>2.8119929392519283E-2</v>
      </c>
      <c r="E13">
        <f t="shared" si="2"/>
        <v>7.907304290402699E-4</v>
      </c>
    </row>
    <row r="14" spans="1:8" x14ac:dyDescent="0.25">
      <c r="A14">
        <v>1.0059555394749999</v>
      </c>
      <c r="B14">
        <v>0.64233851357718674</v>
      </c>
      <c r="C14">
        <f t="shared" si="0"/>
        <v>0.71003836549653132</v>
      </c>
      <c r="D14">
        <f t="shared" si="1"/>
        <v>-6.7699851919344578E-2</v>
      </c>
      <c r="E14">
        <f t="shared" si="2"/>
        <v>4.5832699499011838E-3</v>
      </c>
    </row>
    <row r="15" spans="1:8" x14ac:dyDescent="0.25">
      <c r="A15">
        <v>1.0728730963249999</v>
      </c>
      <c r="B15">
        <v>0.58881030411242119</v>
      </c>
      <c r="C15">
        <f t="shared" si="0"/>
        <v>0.67873992779620707</v>
      </c>
      <c r="D15">
        <f t="shared" si="1"/>
        <v>-8.9929623683785875E-2</v>
      </c>
      <c r="E15">
        <f t="shared" si="2"/>
        <v>8.0873372159073406E-3</v>
      </c>
    </row>
    <row r="16" spans="1:8" x14ac:dyDescent="0.25">
      <c r="A16">
        <v>1.1397906531749999</v>
      </c>
      <c r="B16">
        <v>0.4939620733064331</v>
      </c>
      <c r="C16">
        <f t="shared" si="0"/>
        <v>0.64186454809523696</v>
      </c>
      <c r="D16">
        <f t="shared" si="1"/>
        <v>-0.14790247478880386</v>
      </c>
      <c r="E16">
        <f t="shared" si="2"/>
        <v>2.1875142048652763E-2</v>
      </c>
    </row>
    <row r="17" spans="1:5" x14ac:dyDescent="0.25">
      <c r="A17">
        <v>1.2067082100249999</v>
      </c>
      <c r="B17">
        <v>0.49302298191231442</v>
      </c>
      <c r="C17">
        <f t="shared" si="0"/>
        <v>0.6007516029123281</v>
      </c>
      <c r="D17">
        <f t="shared" si="1"/>
        <v>-0.10772862100001368</v>
      </c>
      <c r="E17">
        <f t="shared" si="2"/>
        <v>1.1605455782564588E-2</v>
      </c>
    </row>
    <row r="18" spans="1:5" x14ac:dyDescent="0.25">
      <c r="A18">
        <v>1.273625766875</v>
      </c>
      <c r="B18">
        <v>0.43949477244754886</v>
      </c>
      <c r="C18">
        <f t="shared" si="0"/>
        <v>0.55669856584141231</v>
      </c>
      <c r="D18">
        <f t="shared" si="1"/>
        <v>-0.11720379339386344</v>
      </c>
      <c r="E18">
        <f t="shared" si="2"/>
        <v>1.3736729185911428E-2</v>
      </c>
    </row>
    <row r="19" spans="1:5" x14ac:dyDescent="0.25">
      <c r="A19">
        <v>1.340543323725</v>
      </c>
      <c r="B19">
        <v>0.3962965683180889</v>
      </c>
      <c r="C19">
        <f t="shared" si="0"/>
        <v>0.51092389084957834</v>
      </c>
      <c r="D19">
        <f t="shared" si="1"/>
        <v>-0.11462732253148944</v>
      </c>
      <c r="E19">
        <f t="shared" si="2"/>
        <v>1.3139423070738107E-2</v>
      </c>
    </row>
    <row r="20" spans="1:5" x14ac:dyDescent="0.25">
      <c r="A20">
        <v>1.407460880575</v>
      </c>
      <c r="B20">
        <v>0.35779382115922248</v>
      </c>
      <c r="C20">
        <f t="shared" si="0"/>
        <v>0.46453739195212379</v>
      </c>
      <c r="D20">
        <f t="shared" si="1"/>
        <v>-0.10674357079290131</v>
      </c>
      <c r="E20">
        <f t="shared" si="2"/>
        <v>1.1394189905619134E-2</v>
      </c>
    </row>
    <row r="21" spans="1:5" x14ac:dyDescent="0.25">
      <c r="A21">
        <v>1.474378437425</v>
      </c>
      <c r="B21">
        <v>0.34652472442979815</v>
      </c>
      <c r="C21">
        <f t="shared" si="0"/>
        <v>0.41851853501134367</v>
      </c>
      <c r="D21">
        <f t="shared" si="1"/>
        <v>-7.1993810581545525E-2</v>
      </c>
      <c r="E21">
        <f t="shared" si="2"/>
        <v>5.1831087620514563E-3</v>
      </c>
    </row>
    <row r="22" spans="1:5" x14ac:dyDescent="0.25">
      <c r="A22">
        <v>1.5412959942750002</v>
      </c>
      <c r="B22">
        <v>0.34840290721803552</v>
      </c>
      <c r="C22">
        <f t="shared" si="0"/>
        <v>0.37370259841156145</v>
      </c>
      <c r="D22">
        <f t="shared" si="1"/>
        <v>-2.5299691193525931E-2</v>
      </c>
      <c r="E22">
        <f t="shared" si="2"/>
        <v>6.400743744877735E-4</v>
      </c>
    </row>
    <row r="23" spans="1:5" x14ac:dyDescent="0.25">
      <c r="A23">
        <v>1.608213551125</v>
      </c>
      <c r="B23">
        <v>0.30332652030033819</v>
      </c>
      <c r="C23">
        <f t="shared" si="0"/>
        <v>0.33077426230997986</v>
      </c>
      <c r="D23">
        <f t="shared" si="1"/>
        <v>-2.7447742009641674E-2</v>
      </c>
      <c r="E23">
        <f t="shared" si="2"/>
        <v>7.5337854142784838E-4</v>
      </c>
    </row>
    <row r="24" spans="1:5" x14ac:dyDescent="0.25">
      <c r="A24">
        <v>1.675131107975</v>
      </c>
      <c r="B24">
        <v>0.24698103665321655</v>
      </c>
      <c r="C24">
        <f t="shared" si="0"/>
        <v>0.29026786807991595</v>
      </c>
      <c r="D24">
        <f t="shared" si="1"/>
        <v>-4.3286831426699396E-2</v>
      </c>
      <c r="E24">
        <f t="shared" si="2"/>
        <v>1.8737497749634904E-3</v>
      </c>
    </row>
    <row r="25" spans="1:5" x14ac:dyDescent="0.25">
      <c r="A25">
        <v>1.742048664825</v>
      </c>
      <c r="B25">
        <v>0.2216255690120118</v>
      </c>
      <c r="C25">
        <f t="shared" si="0"/>
        <v>0.25257335969331807</v>
      </c>
      <c r="D25">
        <f t="shared" si="1"/>
        <v>-3.0947790681306264E-2</v>
      </c>
      <c r="E25">
        <f t="shared" si="2"/>
        <v>9.5776574805394687E-4</v>
      </c>
    </row>
    <row r="26" spans="1:5" x14ac:dyDescent="0.25">
      <c r="A26">
        <v>1.808966221675</v>
      </c>
      <c r="B26">
        <v>0.24416376247086047</v>
      </c>
      <c r="C26">
        <f t="shared" si="0"/>
        <v>0.21794677895281342</v>
      </c>
      <c r="D26">
        <f t="shared" si="1"/>
        <v>2.6216983518047049E-2</v>
      </c>
      <c r="E26">
        <f t="shared" si="2"/>
        <v>6.8733022478555063E-4</v>
      </c>
    </row>
    <row r="27" spans="1:5" x14ac:dyDescent="0.25">
      <c r="A27">
        <v>1.875883778525</v>
      </c>
      <c r="B27">
        <v>0.20190464973551925</v>
      </c>
      <c r="C27">
        <f t="shared" si="0"/>
        <v>0.1865241320000621</v>
      </c>
      <c r="D27">
        <f t="shared" si="1"/>
        <v>1.538051773545715E-2</v>
      </c>
      <c r="E27">
        <f t="shared" si="2"/>
        <v>2.3656032581071193E-4</v>
      </c>
    </row>
    <row r="28" spans="1:5" x14ac:dyDescent="0.25">
      <c r="A28">
        <v>1.942801335375</v>
      </c>
      <c r="B28">
        <v>0.15588917142370323</v>
      </c>
      <c r="C28">
        <f t="shared" si="0"/>
        <v>0.15833746553956193</v>
      </c>
      <c r="D28">
        <f t="shared" si="1"/>
        <v>-2.4482941158587013E-3</v>
      </c>
      <c r="E28">
        <f t="shared" si="2"/>
        <v>5.9941440777483397E-6</v>
      </c>
    </row>
    <row r="29" spans="1:5" x14ac:dyDescent="0.25">
      <c r="A29">
        <v>2.009718892225</v>
      </c>
      <c r="B29">
        <v>0.17279281651783973</v>
      </c>
      <c r="C29">
        <f t="shared" si="0"/>
        <v>0.13333207423393556</v>
      </c>
      <c r="D29">
        <f t="shared" si="1"/>
        <v>3.9460742283904171E-2</v>
      </c>
      <c r="E29">
        <f t="shared" si="2"/>
        <v>1.5571501815967025E-3</v>
      </c>
    </row>
    <row r="30" spans="1:5" x14ac:dyDescent="0.25">
      <c r="A30">
        <v>2.076636449075</v>
      </c>
      <c r="B30">
        <v>0.1577673542119406</v>
      </c>
      <c r="C30">
        <f t="shared" si="0"/>
        <v>0.11138389021745025</v>
      </c>
      <c r="D30">
        <f t="shared" si="1"/>
        <v>4.6383463994490351E-2</v>
      </c>
      <c r="E30">
        <f t="shared" si="2"/>
        <v>2.1514257321281829E-3</v>
      </c>
    </row>
    <row r="31" spans="1:5" x14ac:dyDescent="0.25">
      <c r="A31">
        <v>2.143554005925</v>
      </c>
      <c r="B31">
        <v>0.13898552632956673</v>
      </c>
      <c r="C31">
        <f t="shared" si="0"/>
        <v>9.2316265567665909E-2</v>
      </c>
      <c r="D31">
        <f t="shared" si="1"/>
        <v>4.6669260761900824E-2</v>
      </c>
      <c r="E31">
        <f t="shared" si="2"/>
        <v>2.1780199000622958E-3</v>
      </c>
    </row>
    <row r="32" spans="1:5" x14ac:dyDescent="0.25">
      <c r="A32">
        <v>2.210471562775</v>
      </c>
      <c r="B32">
        <v>0.11456915008248068</v>
      </c>
      <c r="C32">
        <f t="shared" si="0"/>
        <v>7.5915533546401515E-2</v>
      </c>
      <c r="D32">
        <f t="shared" si="1"/>
        <v>3.8653616536079169E-2</v>
      </c>
      <c r="E32">
        <f t="shared" si="2"/>
        <v>1.4941020713182529E-3</v>
      </c>
    </row>
    <row r="33" spans="1:5" x14ac:dyDescent="0.25">
      <c r="A33">
        <v>2.277389119625</v>
      </c>
      <c r="B33">
        <v>0.10236096195893767</v>
      </c>
      <c r="C33">
        <f t="shared" si="0"/>
        <v>6.1944910895961665E-2</v>
      </c>
      <c r="D33">
        <f t="shared" si="1"/>
        <v>4.0416051062976001E-2</v>
      </c>
      <c r="E33">
        <f t="shared" si="2"/>
        <v>1.6334571835250836E-3</v>
      </c>
    </row>
    <row r="34" spans="1:5" x14ac:dyDescent="0.25">
      <c r="A34">
        <v>2.344306676475</v>
      </c>
      <c r="B34">
        <v>9.2030956623632018E-2</v>
      </c>
      <c r="C34">
        <f t="shared" si="0"/>
        <v>5.0156470310554375E-2</v>
      </c>
      <c r="D34">
        <f t="shared" si="1"/>
        <v>4.1874486313077643E-2</v>
      </c>
      <c r="E34">
        <f t="shared" si="2"/>
        <v>1.7534726039841269E-3</v>
      </c>
    </row>
    <row r="35" spans="1:5" x14ac:dyDescent="0.25">
      <c r="A35">
        <v>2.411224233325</v>
      </c>
      <c r="B35">
        <v>6.1980032011833809E-2</v>
      </c>
      <c r="C35">
        <f t="shared" si="0"/>
        <v>4.0301061042520125E-2</v>
      </c>
      <c r="D35">
        <f t="shared" si="1"/>
        <v>2.1678970969313684E-2</v>
      </c>
      <c r="E35">
        <f t="shared" si="2"/>
        <v>4.6997778228834549E-4</v>
      </c>
    </row>
    <row r="36" spans="1:5" x14ac:dyDescent="0.25">
      <c r="A36">
        <v>2.478141790175</v>
      </c>
      <c r="B36">
        <v>6.1040940617715117E-2</v>
      </c>
      <c r="C36">
        <f t="shared" si="0"/>
        <v>3.2136180954778812E-2</v>
      </c>
      <c r="D36">
        <f t="shared" si="1"/>
        <v>2.8904759662936305E-2</v>
      </c>
      <c r="E36">
        <f t="shared" si="2"/>
        <v>8.354851311721097E-4</v>
      </c>
    </row>
    <row r="37" spans="1:5" x14ac:dyDescent="0.25">
      <c r="A37">
        <v>2.545059347025</v>
      </c>
      <c r="B37">
        <v>2.6294559035323434E-2</v>
      </c>
      <c r="C37">
        <f t="shared" si="0"/>
        <v>2.543190238997823E-2</v>
      </c>
      <c r="D37">
        <f t="shared" si="1"/>
        <v>8.626566453452042E-4</v>
      </c>
      <c r="E37">
        <f t="shared" si="2"/>
        <v>7.4417648775824139E-7</v>
      </c>
    </row>
    <row r="38" spans="1:5" x14ac:dyDescent="0.25">
      <c r="A38">
        <v>2.611976903875</v>
      </c>
      <c r="B38">
        <v>0</v>
      </c>
      <c r="C38">
        <f t="shared" si="0"/>
        <v>1.9975026528723207E-2</v>
      </c>
      <c r="D38">
        <f t="shared" si="1"/>
        <v>-1.9975026528723207E-2</v>
      </c>
      <c r="E38">
        <f t="shared" si="2"/>
        <v>3.9900168482319594E-4</v>
      </c>
    </row>
    <row r="39" spans="1:5" x14ac:dyDescent="0.25">
      <c r="A39">
        <v>2.678894460725</v>
      </c>
      <c r="B39">
        <v>0</v>
      </c>
      <c r="C39">
        <f t="shared" si="0"/>
        <v>1.5571687869573457E-2</v>
      </c>
      <c r="D39">
        <f t="shared" si="1"/>
        <v>-1.5571687869573457E-2</v>
      </c>
      <c r="E39">
        <f t="shared" si="2"/>
        <v>2.4247746310742115E-4</v>
      </c>
    </row>
    <row r="40" spans="1:5" x14ac:dyDescent="0.25">
      <c r="A40">
        <v>2.745812017575</v>
      </c>
      <c r="B40">
        <v>9.3909139411869414E-4</v>
      </c>
      <c r="C40">
        <f t="shared" si="0"/>
        <v>1.2048654868715373E-2</v>
      </c>
      <c r="D40">
        <f t="shared" si="1"/>
        <v>-1.1109563474596679E-2</v>
      </c>
      <c r="E40">
        <f t="shared" si="2"/>
        <v>1.2342240059609263E-4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2D9A5-F865-4DD0-89BD-75453ADDD55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0.15896476647500002</v>
      </c>
      <c r="B1">
        <v>9.7662308024692723E-2</v>
      </c>
      <c r="C1">
        <f>$H$3*(1+$H$1)*(A1^($H$1))*EXP(-$H$3*(A1^(1+$H$1)))</f>
        <v>0.21187506439371567</v>
      </c>
      <c r="D1">
        <f>B1-C1</f>
        <v>-0.11421275636902295</v>
      </c>
      <c r="E1">
        <f>D1^2</f>
        <v>1.3044553717409792E-2</v>
      </c>
      <c r="G1" t="s">
        <v>0</v>
      </c>
      <c r="H1">
        <v>1.0996676021151996</v>
      </c>
    </row>
    <row r="2" spans="1:8" x14ac:dyDescent="0.25">
      <c r="A2">
        <v>0.22331067742500002</v>
      </c>
      <c r="B2">
        <v>0.17969864676543459</v>
      </c>
      <c r="C2">
        <f t="shared" ref="C2:C40" si="0">$H$3*(1+$H$1)*(A2^($H$1))*EXP(-$H$3*(A2^(1+$H$1)))</f>
        <v>0.30270950470553282</v>
      </c>
      <c r="D2">
        <f t="shared" ref="D2:D40" si="1">B2-C2</f>
        <v>-0.12301085794009822</v>
      </c>
      <c r="E2">
        <f t="shared" ref="E2:E40" si="2">D2^2</f>
        <v>1.5131671171159026E-2</v>
      </c>
    </row>
    <row r="3" spans="1:8" x14ac:dyDescent="0.25">
      <c r="A3">
        <v>0.28765658837500002</v>
      </c>
      <c r="B3">
        <v>0.3418180780864245</v>
      </c>
      <c r="C3">
        <f t="shared" si="0"/>
        <v>0.3906674498716155</v>
      </c>
      <c r="D3">
        <f t="shared" si="1"/>
        <v>-4.8849371785190998E-2</v>
      </c>
      <c r="E3">
        <f t="shared" si="2"/>
        <v>2.3862611238078145E-3</v>
      </c>
      <c r="G3" t="s">
        <v>1</v>
      </c>
      <c r="H3">
        <f>(_xlfn.GAMMA((2+$H$1)/(1+$H$1)))^(1+$H$1)</f>
        <v>0.77502170486464705</v>
      </c>
    </row>
    <row r="4" spans="1:8" x14ac:dyDescent="0.25">
      <c r="A4">
        <v>0.35200249932500005</v>
      </c>
      <c r="B4">
        <v>0.61917903287655185</v>
      </c>
      <c r="C4">
        <f t="shared" si="0"/>
        <v>0.4734042539299404</v>
      </c>
      <c r="D4">
        <f t="shared" si="1"/>
        <v>0.14577477894661145</v>
      </c>
      <c r="E4">
        <f t="shared" si="2"/>
        <v>2.1250286176933433E-2</v>
      </c>
    </row>
    <row r="5" spans="1:8" x14ac:dyDescent="0.25">
      <c r="A5">
        <v>0.41634841027500002</v>
      </c>
      <c r="B5">
        <v>0.56351151730247695</v>
      </c>
      <c r="C5">
        <f t="shared" si="0"/>
        <v>0.54894231231645341</v>
      </c>
      <c r="D5">
        <f t="shared" si="1"/>
        <v>1.4569204986023543E-2</v>
      </c>
      <c r="E5">
        <f t="shared" si="2"/>
        <v>2.1226173392477327E-4</v>
      </c>
      <c r="G5" t="s">
        <v>2</v>
      </c>
      <c r="H5">
        <f>SUM(E1:E40)</f>
        <v>0.43352178346857695</v>
      </c>
    </row>
    <row r="6" spans="1:8" x14ac:dyDescent="0.25">
      <c r="A6">
        <v>0.480694321225</v>
      </c>
      <c r="B6">
        <v>0.66898680996914506</v>
      </c>
      <c r="C6">
        <f t="shared" si="0"/>
        <v>0.61564113395140863</v>
      </c>
      <c r="D6">
        <f t="shared" si="1"/>
        <v>5.3345676017736432E-2</v>
      </c>
      <c r="E6">
        <f t="shared" si="2"/>
        <v>2.8457611497892999E-3</v>
      </c>
    </row>
    <row r="7" spans="1:8" x14ac:dyDescent="0.25">
      <c r="A7">
        <v>0.54504023217500008</v>
      </c>
      <c r="B7">
        <v>0.69242576389507138</v>
      </c>
      <c r="C7">
        <f t="shared" si="0"/>
        <v>0.67220634330518281</v>
      </c>
      <c r="D7">
        <f t="shared" si="1"/>
        <v>2.021942058988857E-2</v>
      </c>
      <c r="E7">
        <f t="shared" si="2"/>
        <v>4.0882496899080986E-4</v>
      </c>
    </row>
    <row r="8" spans="1:8" x14ac:dyDescent="0.25">
      <c r="A8">
        <v>0.60938614312500006</v>
      </c>
      <c r="B8">
        <v>0.75688288719136854</v>
      </c>
      <c r="C8">
        <f t="shared" si="0"/>
        <v>0.7177049332331813</v>
      </c>
      <c r="D8">
        <f t="shared" si="1"/>
        <v>3.9177953958187239E-2</v>
      </c>
      <c r="E8">
        <f t="shared" si="2"/>
        <v>1.5349120763498392E-3</v>
      </c>
    </row>
    <row r="9" spans="1:8" x14ac:dyDescent="0.25">
      <c r="A9">
        <v>0.67373205407500003</v>
      </c>
      <c r="B9">
        <v>0.78129846419754179</v>
      </c>
      <c r="C9">
        <f t="shared" si="0"/>
        <v>0.75157453392336515</v>
      </c>
      <c r="D9">
        <f t="shared" si="1"/>
        <v>2.9723930274176635E-2</v>
      </c>
      <c r="E9">
        <f t="shared" si="2"/>
        <v>8.8351203094411428E-4</v>
      </c>
    </row>
    <row r="10" spans="1:8" x14ac:dyDescent="0.25">
      <c r="A10">
        <v>0.738077965025</v>
      </c>
      <c r="B10">
        <v>0.89946985690741987</v>
      </c>
      <c r="C10">
        <f t="shared" si="0"/>
        <v>0.7736216121945334</v>
      </c>
      <c r="D10">
        <f t="shared" si="1"/>
        <v>0.12584824471288647</v>
      </c>
      <c r="E10">
        <f t="shared" si="2"/>
        <v>1.5837780697314556E-2</v>
      </c>
    </row>
    <row r="11" spans="1:8" x14ac:dyDescent="0.25">
      <c r="A11">
        <v>0.80242387597500009</v>
      </c>
      <c r="B11">
        <v>1.2002697656234735</v>
      </c>
      <c r="C11">
        <f t="shared" si="0"/>
        <v>0.78400680700015912</v>
      </c>
      <c r="D11">
        <f t="shared" si="1"/>
        <v>0.41626295862331442</v>
      </c>
      <c r="E11">
        <f t="shared" si="2"/>
        <v>0.17327485072183518</v>
      </c>
    </row>
    <row r="12" spans="1:8" x14ac:dyDescent="0.25">
      <c r="A12">
        <v>0.86676978692500006</v>
      </c>
      <c r="B12">
        <v>0.99029580337038414</v>
      </c>
      <c r="C12">
        <f t="shared" si="0"/>
        <v>0.78321750098614706</v>
      </c>
      <c r="D12">
        <f t="shared" si="1"/>
        <v>0.20707830238423708</v>
      </c>
      <c r="E12">
        <f t="shared" si="2"/>
        <v>4.2881423318337525E-2</v>
      </c>
    </row>
    <row r="13" spans="1:8" x14ac:dyDescent="0.25">
      <c r="A13">
        <v>0.93111569787500015</v>
      </c>
      <c r="B13">
        <v>0.90142310306791373</v>
      </c>
      <c r="C13">
        <f t="shared" si="0"/>
        <v>0.77202897696797246</v>
      </c>
      <c r="D13">
        <f t="shared" si="1"/>
        <v>0.12939412609994128</v>
      </c>
      <c r="E13">
        <f t="shared" si="2"/>
        <v>1.6742839869167504E-2</v>
      </c>
    </row>
    <row r="14" spans="1:8" x14ac:dyDescent="0.25">
      <c r="A14">
        <v>0.99546160882500012</v>
      </c>
      <c r="B14">
        <v>0.71391147166050373</v>
      </c>
      <c r="C14">
        <f t="shared" si="0"/>
        <v>0.75145636228983836</v>
      </c>
      <c r="D14">
        <f t="shared" si="1"/>
        <v>-3.7544890629334637E-2</v>
      </c>
      <c r="E14">
        <f t="shared" si="2"/>
        <v>1.4096188123686999E-3</v>
      </c>
    </row>
    <row r="15" spans="1:8" x14ac:dyDescent="0.25">
      <c r="A15">
        <v>1.0598075197750001</v>
      </c>
      <c r="B15">
        <v>0.68363615617284901</v>
      </c>
      <c r="C15">
        <f t="shared" si="0"/>
        <v>0.72270011040680171</v>
      </c>
      <c r="D15">
        <f t="shared" si="1"/>
        <v>-3.9063954233952702E-2</v>
      </c>
      <c r="E15">
        <f t="shared" si="2"/>
        <v>1.5259925203923513E-3</v>
      </c>
    </row>
    <row r="16" spans="1:8" x14ac:dyDescent="0.25">
      <c r="A16">
        <v>1.1241534307250001</v>
      </c>
      <c r="B16">
        <v>0.522493347932106</v>
      </c>
      <c r="C16">
        <f t="shared" si="0"/>
        <v>0.68708804363078557</v>
      </c>
      <c r="D16">
        <f t="shared" si="1"/>
        <v>-0.16459469569867957</v>
      </c>
      <c r="E16">
        <f t="shared" si="2"/>
        <v>2.7091413852140929E-2</v>
      </c>
    </row>
    <row r="17" spans="1:5" x14ac:dyDescent="0.25">
      <c r="A17">
        <v>1.188499341675</v>
      </c>
      <c r="B17">
        <v>0.49514790168519207</v>
      </c>
      <c r="C17">
        <f t="shared" si="0"/>
        <v>0.64601700899917702</v>
      </c>
      <c r="D17">
        <f t="shared" si="1"/>
        <v>-0.15086910731398495</v>
      </c>
      <c r="E17">
        <f t="shared" si="2"/>
        <v>2.2761487541718708E-2</v>
      </c>
    </row>
    <row r="18" spans="1:5" x14ac:dyDescent="0.25">
      <c r="A18">
        <v>1.252845252625</v>
      </c>
      <c r="B18">
        <v>0.46877907851852502</v>
      </c>
      <c r="C18">
        <f t="shared" si="0"/>
        <v>0.60089701000210904</v>
      </c>
      <c r="D18">
        <f t="shared" si="1"/>
        <v>-0.13211793148358403</v>
      </c>
      <c r="E18">
        <f t="shared" si="2"/>
        <v>1.7455147819501002E-2</v>
      </c>
    </row>
    <row r="19" spans="1:5" x14ac:dyDescent="0.25">
      <c r="A19">
        <v>1.317191163575</v>
      </c>
      <c r="B19">
        <v>0.44338687843210495</v>
      </c>
      <c r="C19">
        <f t="shared" si="0"/>
        <v>0.55310030822154865</v>
      </c>
      <c r="D19">
        <f t="shared" si="1"/>
        <v>-0.10971342978944371</v>
      </c>
      <c r="E19">
        <f t="shared" si="2"/>
        <v>1.2037036676163194E-2</v>
      </c>
    </row>
    <row r="20" spans="1:5" x14ac:dyDescent="0.25">
      <c r="A20">
        <v>1.3815370745250002</v>
      </c>
      <c r="B20">
        <v>0.40139208598148707</v>
      </c>
      <c r="C20">
        <f t="shared" si="0"/>
        <v>0.50391748639547984</v>
      </c>
      <c r="D20">
        <f t="shared" si="1"/>
        <v>-0.10252540041399277</v>
      </c>
      <c r="E20">
        <f t="shared" si="2"/>
        <v>1.0511457730049549E-2</v>
      </c>
    </row>
    <row r="21" spans="1:5" x14ac:dyDescent="0.25">
      <c r="A21">
        <v>1.4458829854749999</v>
      </c>
      <c r="B21">
        <v>0.35842067045062226</v>
      </c>
      <c r="C21">
        <f t="shared" si="0"/>
        <v>0.45452187847318476</v>
      </c>
      <c r="D21">
        <f t="shared" si="1"/>
        <v>-9.6101208022562501E-2</v>
      </c>
      <c r="E21">
        <f t="shared" si="2"/>
        <v>9.2354421833958315E-3</v>
      </c>
    </row>
    <row r="22" spans="1:5" x14ac:dyDescent="0.25">
      <c r="A22">
        <v>1.5102288964250001</v>
      </c>
      <c r="B22">
        <v>0.32326223956173289</v>
      </c>
      <c r="C22">
        <f t="shared" si="0"/>
        <v>0.40594315420639804</v>
      </c>
      <c r="D22">
        <f t="shared" si="1"/>
        <v>-8.2680914644665149E-2</v>
      </c>
      <c r="E22">
        <f t="shared" si="2"/>
        <v>6.8361336464784041E-3</v>
      </c>
    </row>
    <row r="23" spans="1:5" x14ac:dyDescent="0.25">
      <c r="A23">
        <v>1.5745748073750001</v>
      </c>
      <c r="B23">
        <v>0.33107522420370833</v>
      </c>
      <c r="C23">
        <f t="shared" si="0"/>
        <v>0.35905024387778739</v>
      </c>
      <c r="D23">
        <f t="shared" si="1"/>
        <v>-2.797501967407906E-2</v>
      </c>
      <c r="E23">
        <f t="shared" si="2"/>
        <v>7.8260172576511051E-4</v>
      </c>
    </row>
    <row r="24" spans="1:5" x14ac:dyDescent="0.25">
      <c r="A24">
        <v>1.6389207183250001</v>
      </c>
      <c r="B24">
        <v>0.2724778393888927</v>
      </c>
      <c r="C24">
        <f t="shared" si="0"/>
        <v>0.31454324430708891</v>
      </c>
      <c r="D24">
        <f t="shared" si="1"/>
        <v>-4.2065404918196214E-2</v>
      </c>
      <c r="E24">
        <f t="shared" si="2"/>
        <v>1.7694982909318062E-3</v>
      </c>
    </row>
    <row r="25" spans="1:5" x14ac:dyDescent="0.25">
      <c r="A25">
        <v>1.7032666292750001</v>
      </c>
      <c r="B25">
        <v>0.26759472398765805</v>
      </c>
      <c r="C25">
        <f t="shared" si="0"/>
        <v>0.27295349228508703</v>
      </c>
      <c r="D25">
        <f t="shared" si="1"/>
        <v>-5.3587682974289841E-3</v>
      </c>
      <c r="E25">
        <f t="shared" si="2"/>
        <v>2.8716397665529931E-5</v>
      </c>
    </row>
    <row r="26" spans="1:5" x14ac:dyDescent="0.25">
      <c r="A26">
        <v>1.7676125402250003</v>
      </c>
      <c r="B26">
        <v>0.23243629309876868</v>
      </c>
      <c r="C26">
        <f t="shared" si="0"/>
        <v>0.23465064708675448</v>
      </c>
      <c r="D26">
        <f t="shared" si="1"/>
        <v>-2.2143539879858065E-3</v>
      </c>
      <c r="E26">
        <f t="shared" si="2"/>
        <v>4.9033635841086451E-6</v>
      </c>
    </row>
    <row r="27" spans="1:5" x14ac:dyDescent="0.25">
      <c r="A27">
        <v>1.8319584511750002</v>
      </c>
      <c r="B27">
        <v>0.19239474680864466</v>
      </c>
      <c r="C27">
        <f t="shared" si="0"/>
        <v>0.19985539937313312</v>
      </c>
      <c r="D27">
        <f t="shared" si="1"/>
        <v>-7.460652564488468E-3</v>
      </c>
      <c r="E27">
        <f t="shared" si="2"/>
        <v>5.5661336688008353E-5</v>
      </c>
    </row>
    <row r="28" spans="1:5" x14ac:dyDescent="0.25">
      <c r="A28">
        <v>1.8963043621250002</v>
      </c>
      <c r="B28">
        <v>0.18458176216666924</v>
      </c>
      <c r="C28">
        <f t="shared" si="0"/>
        <v>0.16865631860934774</v>
      </c>
      <c r="D28">
        <f t="shared" si="1"/>
        <v>1.5925443557321506E-2</v>
      </c>
      <c r="E28">
        <f t="shared" si="2"/>
        <v>2.5361975249743308E-4</v>
      </c>
    </row>
    <row r="29" spans="1:5" x14ac:dyDescent="0.25">
      <c r="A29">
        <v>1.9606502730750002</v>
      </c>
      <c r="B29">
        <v>0.18555838524691617</v>
      </c>
      <c r="C29">
        <f t="shared" si="0"/>
        <v>0.14102935501145342</v>
      </c>
      <c r="D29">
        <f t="shared" si="1"/>
        <v>4.4529030235462758E-2</v>
      </c>
      <c r="E29">
        <f t="shared" si="2"/>
        <v>1.9828345337107563E-3</v>
      </c>
    </row>
    <row r="30" spans="1:5" x14ac:dyDescent="0.25">
      <c r="A30">
        <v>2.0249961840249999</v>
      </c>
      <c r="B30">
        <v>0.17969864676543459</v>
      </c>
      <c r="C30">
        <f t="shared" si="0"/>
        <v>0.11685860797765758</v>
      </c>
      <c r="D30">
        <f t="shared" si="1"/>
        <v>6.2840038787777011E-2</v>
      </c>
      <c r="E30">
        <f t="shared" si="2"/>
        <v>3.9488704748493189E-3</v>
      </c>
    </row>
    <row r="31" spans="1:5" x14ac:dyDescent="0.25">
      <c r="A31">
        <v>2.0893420949750001</v>
      </c>
      <c r="B31">
        <v>0.12598437735185361</v>
      </c>
      <c r="C31">
        <f t="shared" si="0"/>
        <v>9.5957139517743775E-2</v>
      </c>
      <c r="D31">
        <f t="shared" si="1"/>
        <v>3.0027237834109835E-2</v>
      </c>
      <c r="E31">
        <f t="shared" si="2"/>
        <v>9.0163501194619709E-4</v>
      </c>
    </row>
    <row r="32" spans="1:5" x14ac:dyDescent="0.25">
      <c r="A32">
        <v>2.1536880059250003</v>
      </c>
      <c r="B32">
        <v>0.11914801579012511</v>
      </c>
      <c r="C32">
        <f t="shared" si="0"/>
        <v>7.8086824999035895E-2</v>
      </c>
      <c r="D32">
        <f t="shared" si="1"/>
        <v>4.1061190791089219E-2</v>
      </c>
      <c r="E32">
        <f t="shared" si="2"/>
        <v>1.6860213891822301E-3</v>
      </c>
    </row>
    <row r="33" spans="1:5" x14ac:dyDescent="0.25">
      <c r="A33">
        <v>2.2180339168750001</v>
      </c>
      <c r="B33">
        <v>0.12207788503086589</v>
      </c>
      <c r="C33">
        <f t="shared" si="0"/>
        <v>6.2976471558184074E-2</v>
      </c>
      <c r="D33">
        <f t="shared" si="1"/>
        <v>5.9101413472681816E-2</v>
      </c>
      <c r="E33">
        <f t="shared" si="2"/>
        <v>3.4929770744688954E-3</v>
      </c>
    </row>
    <row r="34" spans="1:5" x14ac:dyDescent="0.25">
      <c r="A34">
        <v>2.2823798278250003</v>
      </c>
      <c r="B34">
        <v>8.5942831061729591E-2</v>
      </c>
      <c r="C34">
        <f t="shared" si="0"/>
        <v>5.0337675977577885E-2</v>
      </c>
      <c r="D34">
        <f t="shared" si="1"/>
        <v>3.5605155084151706E-2</v>
      </c>
      <c r="E34">
        <f t="shared" si="2"/>
        <v>1.267727068566494E-3</v>
      </c>
    </row>
    <row r="35" spans="1:5" x14ac:dyDescent="0.25">
      <c r="A35">
        <v>2.346725738775</v>
      </c>
      <c r="B35">
        <v>6.8363615617284906E-2</v>
      </c>
      <c r="C35">
        <f t="shared" si="0"/>
        <v>3.9878121434793155E-2</v>
      </c>
      <c r="D35">
        <f t="shared" si="1"/>
        <v>2.8485494182491751E-2</v>
      </c>
      <c r="E35">
        <f t="shared" si="2"/>
        <v>8.1142337882077144E-4</v>
      </c>
    </row>
    <row r="36" spans="1:5" x14ac:dyDescent="0.25">
      <c r="A36">
        <v>2.4110716497250002</v>
      </c>
      <c r="B36">
        <v>5.3714269413580991E-2</v>
      </c>
      <c r="C36">
        <f t="shared" si="0"/>
        <v>3.1312213368882631E-2</v>
      </c>
      <c r="D36">
        <f t="shared" si="1"/>
        <v>2.240205604469836E-2</v>
      </c>
      <c r="E36">
        <f t="shared" si="2"/>
        <v>5.0185211502980632E-4</v>
      </c>
    </row>
    <row r="37" spans="1:5" x14ac:dyDescent="0.25">
      <c r="A37">
        <v>2.475417560675</v>
      </c>
      <c r="B37">
        <v>1.5625969283950835E-2</v>
      </c>
      <c r="C37">
        <f t="shared" si="0"/>
        <v>2.4369120398755998E-2</v>
      </c>
      <c r="D37">
        <f t="shared" si="1"/>
        <v>-8.743151114805163E-3</v>
      </c>
      <c r="E37">
        <f t="shared" si="2"/>
        <v>7.6442691416318768E-5</v>
      </c>
    </row>
    <row r="38" spans="1:5" x14ac:dyDescent="0.25">
      <c r="A38">
        <v>2.5397634716250002</v>
      </c>
      <c r="B38">
        <v>0</v>
      </c>
      <c r="C38">
        <f t="shared" si="0"/>
        <v>1.8798412755153784E-2</v>
      </c>
      <c r="D38">
        <f t="shared" si="1"/>
        <v>-1.8798412755153784E-2</v>
      </c>
      <c r="E38">
        <f t="shared" si="2"/>
        <v>3.5338032211312847E-4</v>
      </c>
    </row>
    <row r="39" spans="1:5" x14ac:dyDescent="0.25">
      <c r="A39">
        <v>2.6041093825750004</v>
      </c>
      <c r="B39">
        <v>0</v>
      </c>
      <c r="C39">
        <f t="shared" si="0"/>
        <v>1.4373577814678547E-2</v>
      </c>
      <c r="D39">
        <f t="shared" si="1"/>
        <v>-1.4373577814678547E-2</v>
      </c>
      <c r="E39">
        <f t="shared" si="2"/>
        <v>2.0659973919461932E-4</v>
      </c>
    </row>
    <row r="40" spans="1:5" x14ac:dyDescent="0.25">
      <c r="A40">
        <v>2.6684552935250001</v>
      </c>
      <c r="B40">
        <v>9.7662308024692719E-4</v>
      </c>
      <c r="C40">
        <f t="shared" si="0"/>
        <v>1.0893742822097147E-2</v>
      </c>
      <c r="D40">
        <f t="shared" si="1"/>
        <v>-9.9171197418502204E-3</v>
      </c>
      <c r="E40">
        <f t="shared" si="2"/>
        <v>9.8349263974195384E-5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449C-7D46-4D7D-A363-7CEF0070E01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0.18585637939999999</v>
      </c>
      <c r="B1">
        <v>0.10283270690485143</v>
      </c>
      <c r="C1">
        <f>$H$3*(1+$H$1)*(A1^($H$1))*EXP(-$H$3*(A1^(1+$H$1)))</f>
        <v>0.21393691127858408</v>
      </c>
      <c r="D1">
        <f>B1-C1</f>
        <v>-0.11110420437373265</v>
      </c>
      <c r="E1">
        <f>D1^2</f>
        <v>1.2344144229520154E-2</v>
      </c>
      <c r="G1" t="s">
        <v>0</v>
      </c>
      <c r="H1">
        <v>1.2190923209808573</v>
      </c>
    </row>
    <row r="2" spans="1:8" x14ac:dyDescent="0.25">
      <c r="A2">
        <v>0.24757422419999997</v>
      </c>
      <c r="B2">
        <v>0.18224806471255847</v>
      </c>
      <c r="C2">
        <f t="shared" ref="C2:C40" si="0">$H$3*(1+$H$1)*(A2^($H$1))*EXP(-$H$3*(A2^(1+$H$1)))</f>
        <v>0.29857113102315097</v>
      </c>
      <c r="D2">
        <f t="shared" ref="D2:D40" si="1">B2-C2</f>
        <v>-0.1163230663105925</v>
      </c>
      <c r="E2">
        <f t="shared" ref="E2:E40" si="2">D2^2</f>
        <v>1.35310557558985E-2</v>
      </c>
    </row>
    <row r="3" spans="1:8" x14ac:dyDescent="0.25">
      <c r="A3">
        <v>0.309292069</v>
      </c>
      <c r="B3">
        <v>0.31257070316623159</v>
      </c>
      <c r="C3">
        <f t="shared" si="0"/>
        <v>0.38311151433669655</v>
      </c>
      <c r="D3">
        <f t="shared" si="1"/>
        <v>-7.0540811170464957E-2</v>
      </c>
      <c r="E3">
        <f t="shared" si="2"/>
        <v>4.9760060405871932E-3</v>
      </c>
      <c r="G3" t="s">
        <v>1</v>
      </c>
      <c r="H3">
        <f>(_xlfn.GAMMA((2+$H$1)/(1+$H$1)))^(1+$H$1)</f>
        <v>0.76379259276512013</v>
      </c>
    </row>
    <row r="4" spans="1:8" x14ac:dyDescent="0.25">
      <c r="A4">
        <v>0.37100991380000004</v>
      </c>
      <c r="B4">
        <v>0.60172405723531874</v>
      </c>
      <c r="C4">
        <f t="shared" si="0"/>
        <v>0.46499469528962445</v>
      </c>
      <c r="D4">
        <f t="shared" si="1"/>
        <v>0.13672936194569429</v>
      </c>
      <c r="E4">
        <f t="shared" si="2"/>
        <v>1.8694918418076675E-2</v>
      </c>
    </row>
    <row r="5" spans="1:8" x14ac:dyDescent="0.25">
      <c r="A5">
        <v>0.43272775860000001</v>
      </c>
      <c r="B5">
        <v>0.57219783446065842</v>
      </c>
      <c r="C5">
        <f t="shared" si="0"/>
        <v>0.54195530363033984</v>
      </c>
      <c r="D5">
        <f t="shared" si="1"/>
        <v>3.0242530830318581E-2</v>
      </c>
      <c r="E5">
        <f t="shared" si="2"/>
        <v>9.1461067102276996E-4</v>
      </c>
      <c r="G5" t="s">
        <v>2</v>
      </c>
      <c r="H5">
        <f>SUM(E1:E40)</f>
        <v>0.42561324169779108</v>
      </c>
    </row>
    <row r="6" spans="1:8" x14ac:dyDescent="0.25">
      <c r="A6">
        <v>0.49444560339999999</v>
      </c>
      <c r="B6">
        <v>0.68113941504302578</v>
      </c>
      <c r="C6">
        <f t="shared" si="0"/>
        <v>0.61200326102623337</v>
      </c>
      <c r="D6">
        <f t="shared" si="1"/>
        <v>6.9136154016792406E-2</v>
      </c>
      <c r="E6">
        <f t="shared" si="2"/>
        <v>4.7798077922336412E-3</v>
      </c>
    </row>
    <row r="7" spans="1:8" x14ac:dyDescent="0.25">
      <c r="A7">
        <v>0.55616344819999997</v>
      </c>
      <c r="B7">
        <v>0.73408298691483054</v>
      </c>
      <c r="C7">
        <f t="shared" si="0"/>
        <v>0.67344363174070099</v>
      </c>
      <c r="D7">
        <f t="shared" si="1"/>
        <v>6.063935517412955E-2</v>
      </c>
      <c r="E7">
        <f t="shared" si="2"/>
        <v>3.6771313959342322E-3</v>
      </c>
    </row>
    <row r="8" spans="1:8" x14ac:dyDescent="0.25">
      <c r="A8">
        <v>0.61788129299999994</v>
      </c>
      <c r="B8">
        <v>0.76462735530241011</v>
      </c>
      <c r="C8">
        <f t="shared" si="0"/>
        <v>0.72490835576520307</v>
      </c>
      <c r="D8">
        <f t="shared" si="1"/>
        <v>3.9718999537207034E-2</v>
      </c>
      <c r="E8">
        <f t="shared" si="2"/>
        <v>1.5775989242366526E-3</v>
      </c>
    </row>
    <row r="9" spans="1:8" x14ac:dyDescent="0.25">
      <c r="A9">
        <v>0.67959913779999992</v>
      </c>
      <c r="B9">
        <v>0.80433503420626362</v>
      </c>
      <c r="C9">
        <f t="shared" si="0"/>
        <v>0.76538595384516883</v>
      </c>
      <c r="D9">
        <f t="shared" si="1"/>
        <v>3.894908036109479E-2</v>
      </c>
      <c r="E9">
        <f t="shared" si="2"/>
        <v>1.51703086097502E-3</v>
      </c>
    </row>
    <row r="10" spans="1:8" x14ac:dyDescent="0.25">
      <c r="A10">
        <v>0.7413169825999999</v>
      </c>
      <c r="B10">
        <v>0.88782297446564795</v>
      </c>
      <c r="C10">
        <f t="shared" si="0"/>
        <v>0.7942419007960867</v>
      </c>
      <c r="D10">
        <f t="shared" si="1"/>
        <v>9.3581073669561254E-2</v>
      </c>
      <c r="E10">
        <f t="shared" si="2"/>
        <v>8.7574173491478512E-3</v>
      </c>
    </row>
    <row r="11" spans="1:8" x14ac:dyDescent="0.25">
      <c r="A11">
        <v>0.80303482739999998</v>
      </c>
      <c r="B11">
        <v>1.0894158058236736</v>
      </c>
      <c r="C11">
        <f t="shared" si="0"/>
        <v>0.81122572339533472</v>
      </c>
      <c r="D11">
        <f t="shared" si="1"/>
        <v>0.27819008242833887</v>
      </c>
      <c r="E11">
        <f t="shared" si="2"/>
        <v>7.7389721961485969E-2</v>
      </c>
    </row>
    <row r="12" spans="1:8" x14ac:dyDescent="0.25">
      <c r="A12">
        <v>0.86475267219999996</v>
      </c>
      <c r="B12">
        <v>1.1525408338246714</v>
      </c>
      <c r="C12">
        <f t="shared" si="0"/>
        <v>0.81646303663059205</v>
      </c>
      <c r="D12">
        <f t="shared" si="1"/>
        <v>0.33607779719407938</v>
      </c>
      <c r="E12">
        <f t="shared" si="2"/>
        <v>0.11294828576682475</v>
      </c>
    </row>
    <row r="13" spans="1:8" x14ac:dyDescent="0.25">
      <c r="A13">
        <v>0.92647051700000005</v>
      </c>
      <c r="B13">
        <v>0.96112945859583909</v>
      </c>
      <c r="C13">
        <f t="shared" si="0"/>
        <v>0.8104323574852792</v>
      </c>
      <c r="D13">
        <f t="shared" si="1"/>
        <v>0.15069710111055989</v>
      </c>
      <c r="E13">
        <f t="shared" si="2"/>
        <v>2.2709616283126313E-2</v>
      </c>
    </row>
    <row r="14" spans="1:8" x14ac:dyDescent="0.25">
      <c r="A14">
        <v>0.98818836179999991</v>
      </c>
      <c r="B14">
        <v>0.81044390788377962</v>
      </c>
      <c r="C14">
        <f t="shared" si="0"/>
        <v>0.79392784439725683</v>
      </c>
      <c r="D14">
        <f t="shared" si="1"/>
        <v>1.6516063486522792E-2</v>
      </c>
      <c r="E14">
        <f t="shared" si="2"/>
        <v>2.727803530908514E-4</v>
      </c>
    </row>
    <row r="15" spans="1:8" x14ac:dyDescent="0.25">
      <c r="A15">
        <v>1.0499062065999998</v>
      </c>
      <c r="B15">
        <v>0.73204669568899183</v>
      </c>
      <c r="C15">
        <f t="shared" si="0"/>
        <v>0.76801015494061409</v>
      </c>
      <c r="D15">
        <f t="shared" si="1"/>
        <v>-3.5963459251622254E-2</v>
      </c>
      <c r="E15">
        <f t="shared" si="2"/>
        <v>1.2933704013430942E-3</v>
      </c>
    </row>
    <row r="16" spans="1:8" x14ac:dyDescent="0.25">
      <c r="A16">
        <v>1.1116240514</v>
      </c>
      <c r="B16">
        <v>0.63023213439705972</v>
      </c>
      <c r="C16">
        <f t="shared" si="0"/>
        <v>0.73394838939033036</v>
      </c>
      <c r="D16">
        <f t="shared" si="1"/>
        <v>-0.10371625499327064</v>
      </c>
      <c r="E16">
        <f t="shared" si="2"/>
        <v>1.0757061549829137E-2</v>
      </c>
    </row>
    <row r="17" spans="1:5" x14ac:dyDescent="0.25">
      <c r="A17">
        <v>1.1733418962</v>
      </c>
      <c r="B17">
        <v>0.50907280645966058</v>
      </c>
      <c r="C17">
        <f t="shared" si="0"/>
        <v>0.69315657706342937</v>
      </c>
      <c r="D17">
        <f t="shared" si="1"/>
        <v>-0.18408377060376879</v>
      </c>
      <c r="E17">
        <f t="shared" si="2"/>
        <v>3.3886834599700974E-2</v>
      </c>
    </row>
    <row r="18" spans="1:5" x14ac:dyDescent="0.25">
      <c r="A18">
        <v>1.2350597409999999</v>
      </c>
      <c r="B18">
        <v>0.52536313626636966</v>
      </c>
      <c r="C18">
        <f t="shared" si="0"/>
        <v>0.64712835767716703</v>
      </c>
      <c r="D18">
        <f t="shared" si="1"/>
        <v>-0.12176522141079738</v>
      </c>
      <c r="E18">
        <f t="shared" si="2"/>
        <v>1.4826769145220508E-2</v>
      </c>
    </row>
    <row r="19" spans="1:5" x14ac:dyDescent="0.25">
      <c r="A19">
        <v>1.2967775857999999</v>
      </c>
      <c r="B19">
        <v>0.43983890478114673</v>
      </c>
      <c r="C19">
        <f t="shared" si="0"/>
        <v>0.59737342086557244</v>
      </c>
      <c r="D19">
        <f t="shared" si="1"/>
        <v>-0.1575345160844257</v>
      </c>
      <c r="E19">
        <f t="shared" si="2"/>
        <v>2.4817123757954179E-2</v>
      </c>
    </row>
    <row r="20" spans="1:5" x14ac:dyDescent="0.25">
      <c r="A20">
        <v>1.3584954305999999</v>
      </c>
      <c r="B20">
        <v>0.45612923458785587</v>
      </c>
      <c r="C20">
        <f t="shared" si="0"/>
        <v>0.5453589227495238</v>
      </c>
      <c r="D20">
        <f t="shared" si="1"/>
        <v>-8.922968816166793E-2</v>
      </c>
      <c r="E20">
        <f t="shared" si="2"/>
        <v>7.9619372494285027E-3</v>
      </c>
    </row>
    <row r="21" spans="1:5" x14ac:dyDescent="0.25">
      <c r="A21">
        <v>1.4202132754000001</v>
      </c>
      <c r="B21">
        <v>0.37467758555431013</v>
      </c>
      <c r="C21">
        <f t="shared" si="0"/>
        <v>0.49245854645145631</v>
      </c>
      <c r="D21">
        <f t="shared" si="1"/>
        <v>-0.11778096089714618</v>
      </c>
      <c r="E21">
        <f t="shared" si="2"/>
        <v>1.3872354749855077E-2</v>
      </c>
    </row>
    <row r="22" spans="1:5" x14ac:dyDescent="0.25">
      <c r="A22">
        <v>1.4819311202000001</v>
      </c>
      <c r="B22">
        <v>0.34515136277964986</v>
      </c>
      <c r="C22">
        <f t="shared" si="0"/>
        <v>0.43991117463181828</v>
      </c>
      <c r="D22">
        <f t="shared" si="1"/>
        <v>-9.4759811852168419E-2</v>
      </c>
      <c r="E22">
        <f t="shared" si="2"/>
        <v>8.9794219422583577E-3</v>
      </c>
    </row>
    <row r="23" spans="1:5" x14ac:dyDescent="0.25">
      <c r="A23">
        <v>1.5436489649999998</v>
      </c>
      <c r="B23">
        <v>0.34107878032797256</v>
      </c>
      <c r="C23">
        <f t="shared" si="0"/>
        <v>0.38879036484947749</v>
      </c>
      <c r="D23">
        <f t="shared" si="1"/>
        <v>-4.7711584521504924E-2</v>
      </c>
      <c r="E23">
        <f t="shared" si="2"/>
        <v>2.2763952975527082E-3</v>
      </c>
    </row>
    <row r="24" spans="1:5" x14ac:dyDescent="0.25">
      <c r="A24">
        <v>1.6053668098</v>
      </c>
      <c r="B24">
        <v>0.2983166645853611</v>
      </c>
      <c r="C24">
        <f t="shared" si="0"/>
        <v>0.33998503180112749</v>
      </c>
      <c r="D24">
        <f t="shared" si="1"/>
        <v>-4.1668367215766389E-2</v>
      </c>
      <c r="E24">
        <f t="shared" si="2"/>
        <v>1.7362528264279551E-3</v>
      </c>
    </row>
    <row r="25" spans="1:5" x14ac:dyDescent="0.25">
      <c r="A25">
        <v>1.6670846546</v>
      </c>
      <c r="B25">
        <v>0.28915335406908721</v>
      </c>
      <c r="C25">
        <f t="shared" si="0"/>
        <v>0.29419100746048277</v>
      </c>
      <c r="D25">
        <f t="shared" si="1"/>
        <v>-5.0376533913955579E-3</v>
      </c>
      <c r="E25">
        <f t="shared" si="2"/>
        <v>2.5377951691839167E-5</v>
      </c>
    </row>
    <row r="26" spans="1:5" x14ac:dyDescent="0.25">
      <c r="A26">
        <v>1.7288024994</v>
      </c>
      <c r="B26">
        <v>0.21381057871305742</v>
      </c>
      <c r="C26">
        <f t="shared" si="0"/>
        <v>0.25191252283278054</v>
      </c>
      <c r="D26">
        <f t="shared" si="1"/>
        <v>-3.8101944119723119E-2</v>
      </c>
      <c r="E26">
        <f t="shared" si="2"/>
        <v>1.4517581457025033E-3</v>
      </c>
    </row>
    <row r="27" spans="1:5" x14ac:dyDescent="0.25">
      <c r="A27">
        <v>1.7905203441999999</v>
      </c>
      <c r="B27">
        <v>0.20668355942262218</v>
      </c>
      <c r="C27">
        <f t="shared" si="0"/>
        <v>0.21347217056497045</v>
      </c>
      <c r="D27">
        <f t="shared" si="1"/>
        <v>-6.788611142348272E-3</v>
      </c>
      <c r="E27">
        <f t="shared" si="2"/>
        <v>4.608524124201511E-5</v>
      </c>
    </row>
    <row r="28" spans="1:5" x14ac:dyDescent="0.25">
      <c r="A28">
        <v>1.8522381889999999</v>
      </c>
      <c r="B28">
        <v>0.2127924331001381</v>
      </c>
      <c r="C28">
        <f t="shared" si="0"/>
        <v>0.17902758634956917</v>
      </c>
      <c r="D28">
        <f t="shared" si="1"/>
        <v>3.3764846750568928E-2</v>
      </c>
      <c r="E28">
        <f t="shared" si="2"/>
        <v>1.1400648760894051E-3</v>
      </c>
    </row>
    <row r="29" spans="1:5" x14ac:dyDescent="0.25">
      <c r="A29">
        <v>1.9139560337999999</v>
      </c>
      <c r="B29">
        <v>0.19955654013218693</v>
      </c>
      <c r="C29">
        <f t="shared" si="0"/>
        <v>0.14859293259175613</v>
      </c>
      <c r="D29">
        <f t="shared" si="1"/>
        <v>5.0963607540430805E-2</v>
      </c>
      <c r="E29">
        <f t="shared" si="2"/>
        <v>2.5972892935350557E-3</v>
      </c>
    </row>
    <row r="30" spans="1:5" x14ac:dyDescent="0.25">
      <c r="A30">
        <v>1.9756738785999999</v>
      </c>
      <c r="B30">
        <v>0.17613919103504255</v>
      </c>
      <c r="C30">
        <f t="shared" si="0"/>
        <v>0.12206326893364912</v>
      </c>
      <c r="D30">
        <f t="shared" si="1"/>
        <v>5.4075922101393434E-2</v>
      </c>
      <c r="E30">
        <f t="shared" si="2"/>
        <v>2.924205351115971E-3</v>
      </c>
    </row>
    <row r="31" spans="1:5" x14ac:dyDescent="0.25">
      <c r="A31">
        <v>2.0373917233999999</v>
      </c>
      <c r="B31">
        <v>0.12217747355031854</v>
      </c>
      <c r="C31">
        <f t="shared" si="0"/>
        <v>9.9240027882719045E-2</v>
      </c>
      <c r="D31">
        <f t="shared" si="1"/>
        <v>2.293744566759949E-2</v>
      </c>
      <c r="E31">
        <f t="shared" si="2"/>
        <v>5.2612641375407866E-4</v>
      </c>
    </row>
    <row r="32" spans="1:5" x14ac:dyDescent="0.25">
      <c r="A32">
        <v>2.0991095681999998</v>
      </c>
      <c r="B32">
        <v>0.15577627877665612</v>
      </c>
      <c r="C32">
        <f t="shared" si="0"/>
        <v>7.9856048957321638E-2</v>
      </c>
      <c r="D32">
        <f t="shared" si="1"/>
        <v>7.5920229819334481E-2</v>
      </c>
      <c r="E32">
        <f t="shared" si="2"/>
        <v>5.7638812958205644E-3</v>
      </c>
    </row>
    <row r="33" spans="1:5" x14ac:dyDescent="0.25">
      <c r="A33">
        <v>2.1608274129999998</v>
      </c>
      <c r="B33">
        <v>0.11810489109864125</v>
      </c>
      <c r="C33">
        <f t="shared" si="0"/>
        <v>6.3598926599441927E-2</v>
      </c>
      <c r="D33">
        <f t="shared" si="1"/>
        <v>5.4505964499199325E-2</v>
      </c>
      <c r="E33">
        <f t="shared" si="2"/>
        <v>2.9709001659879771E-3</v>
      </c>
    </row>
    <row r="34" spans="1:5" x14ac:dyDescent="0.25">
      <c r="A34">
        <v>2.2225452577999998</v>
      </c>
      <c r="B34">
        <v>6.9233901678513829E-2</v>
      </c>
      <c r="C34">
        <f t="shared" si="0"/>
        <v>5.0131760830505148E-2</v>
      </c>
      <c r="D34">
        <f t="shared" si="1"/>
        <v>1.9102140848008681E-2</v>
      </c>
      <c r="E34">
        <f t="shared" si="2"/>
        <v>3.6489178497716178E-4</v>
      </c>
    </row>
    <row r="35" spans="1:5" x14ac:dyDescent="0.25">
      <c r="A35">
        <v>2.2842631025999998</v>
      </c>
      <c r="B35">
        <v>8.8578668323980939E-2</v>
      </c>
      <c r="C35">
        <f t="shared" si="0"/>
        <v>3.9110733771176721E-2</v>
      </c>
      <c r="D35">
        <f t="shared" si="1"/>
        <v>4.9467934552804217E-2</v>
      </c>
      <c r="E35">
        <f t="shared" si="2"/>
        <v>2.4470765489205213E-3</v>
      </c>
    </row>
    <row r="36" spans="1:5" x14ac:dyDescent="0.25">
      <c r="A36">
        <v>2.3459809474000002</v>
      </c>
      <c r="B36">
        <v>3.4616950839256914E-2</v>
      </c>
      <c r="C36">
        <f t="shared" si="0"/>
        <v>3.0199243919768113E-2</v>
      </c>
      <c r="D36">
        <f t="shared" si="1"/>
        <v>4.4177069194888015E-3</v>
      </c>
      <c r="E36">
        <f t="shared" si="2"/>
        <v>1.9516134426499237E-5</v>
      </c>
    </row>
    <row r="37" spans="1:5" x14ac:dyDescent="0.25">
      <c r="A37">
        <v>2.4076987922000002</v>
      </c>
      <c r="B37">
        <v>6.1088736775159261E-3</v>
      </c>
      <c r="C37">
        <f t="shared" si="0"/>
        <v>2.3078594742767609E-2</v>
      </c>
      <c r="D37">
        <f t="shared" si="1"/>
        <v>-1.6969721065251683E-2</v>
      </c>
      <c r="E37">
        <f t="shared" si="2"/>
        <v>2.8797143303244669E-4</v>
      </c>
    </row>
    <row r="38" spans="1:5" x14ac:dyDescent="0.25">
      <c r="A38">
        <v>2.4694166370000001</v>
      </c>
      <c r="B38">
        <v>0</v>
      </c>
      <c r="C38">
        <f t="shared" si="0"/>
        <v>1.7455443378381511E-2</v>
      </c>
      <c r="D38">
        <f t="shared" si="1"/>
        <v>-1.7455443378381511E-2</v>
      </c>
      <c r="E38">
        <f t="shared" si="2"/>
        <v>3.0469250353588293E-4</v>
      </c>
    </row>
    <row r="39" spans="1:5" x14ac:dyDescent="0.25">
      <c r="A39">
        <v>2.5311344817999997</v>
      </c>
      <c r="B39">
        <v>0</v>
      </c>
      <c r="C39">
        <f t="shared" si="0"/>
        <v>1.306636480749836E-2</v>
      </c>
      <c r="D39">
        <f t="shared" si="1"/>
        <v>-1.306636480749836E-2</v>
      </c>
      <c r="E39">
        <f t="shared" si="2"/>
        <v>1.7072988928263166E-4</v>
      </c>
    </row>
    <row r="40" spans="1:5" x14ac:dyDescent="0.25">
      <c r="A40">
        <v>2.5928523266000001</v>
      </c>
      <c r="B40">
        <v>1.018145612919321E-3</v>
      </c>
      <c r="C40">
        <f t="shared" si="0"/>
        <v>9.6799783834914405E-3</v>
      </c>
      <c r="D40">
        <f t="shared" si="1"/>
        <v>-8.6618327705721195E-3</v>
      </c>
      <c r="E40">
        <f t="shared" si="2"/>
        <v>7.5027346945357086E-5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14C6-E880-414C-A017-7CF5BF462CB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0.2144224212625</v>
      </c>
      <c r="B1">
        <v>9.5730417468300105E-2</v>
      </c>
      <c r="C1">
        <f>$H$3*(1+$H$1)*(A1^($H$1))*EXP(-$H$3*(A1^(1+$H$1)))</f>
        <v>0.21541948597800081</v>
      </c>
      <c r="D1">
        <f>B1-C1</f>
        <v>-0.11968906850970071</v>
      </c>
      <c r="E1">
        <f>D1^2</f>
        <v>1.432547312071983E-2</v>
      </c>
      <c r="G1" t="s">
        <v>0</v>
      </c>
      <c r="H1">
        <v>1.3556085161687823</v>
      </c>
    </row>
    <row r="2" spans="1:8" x14ac:dyDescent="0.25">
      <c r="A2">
        <v>0.27349870978750002</v>
      </c>
      <c r="B2">
        <v>0.18507880710538019</v>
      </c>
      <c r="C2">
        <f t="shared" ref="C2:C40" si="0">$H$3*(1+$H$1)*(A2^($H$1))*EXP(-$H$3*(A2^(1+$H$1)))</f>
        <v>0.29500408978195797</v>
      </c>
      <c r="D2">
        <f t="shared" ref="D2:D40" si="1">B2-C2</f>
        <v>-0.10992528267657778</v>
      </c>
      <c r="E2">
        <f t="shared" ref="E2:E40" si="2">D2^2</f>
        <v>1.2083567771525531E-2</v>
      </c>
    </row>
    <row r="3" spans="1:8" x14ac:dyDescent="0.25">
      <c r="A3">
        <v>0.33257499831250004</v>
      </c>
      <c r="B3">
        <v>0.2744271967424603</v>
      </c>
      <c r="C3">
        <f t="shared" si="0"/>
        <v>0.3766577586423453</v>
      </c>
      <c r="D3">
        <f t="shared" si="1"/>
        <v>-0.102230561899885</v>
      </c>
      <c r="E3">
        <f t="shared" si="2"/>
        <v>1.0451087786366218E-2</v>
      </c>
      <c r="G3" t="s">
        <v>1</v>
      </c>
      <c r="H3">
        <f>(_xlfn.GAMMA((2+$H$1)/(1+$H$1)))^(1+$H$1)</f>
        <v>0.75232549635003487</v>
      </c>
    </row>
    <row r="4" spans="1:8" x14ac:dyDescent="0.25">
      <c r="A4">
        <v>0.39165128683750006</v>
      </c>
      <c r="B4">
        <v>0.55523642131614059</v>
      </c>
      <c r="C4">
        <f t="shared" si="0"/>
        <v>0.45785675056734126</v>
      </c>
      <c r="D4">
        <f t="shared" si="1"/>
        <v>9.737967074879933E-2</v>
      </c>
      <c r="E4">
        <f t="shared" si="2"/>
        <v>9.4828002751445629E-3</v>
      </c>
    </row>
    <row r="5" spans="1:8" x14ac:dyDescent="0.25">
      <c r="A5">
        <v>0.45072757536249997</v>
      </c>
      <c r="B5">
        <v>0.6850043205509474</v>
      </c>
      <c r="C5">
        <f t="shared" si="0"/>
        <v>0.53623426246515071</v>
      </c>
      <c r="D5">
        <f t="shared" si="1"/>
        <v>0.14877005808579669</v>
      </c>
      <c r="E5">
        <f t="shared" si="2"/>
        <v>2.2132530182851318E-2</v>
      </c>
      <c r="G5" t="s">
        <v>2</v>
      </c>
      <c r="H5">
        <f>SUM(E1:E40)</f>
        <v>0.46383187134102777</v>
      </c>
    </row>
    <row r="6" spans="1:8" x14ac:dyDescent="0.25">
      <c r="A6">
        <v>0.50980386388749999</v>
      </c>
      <c r="B6">
        <v>0.67224026488850741</v>
      </c>
      <c r="C6">
        <f t="shared" si="0"/>
        <v>0.60958733369884466</v>
      </c>
      <c r="D6">
        <f t="shared" si="1"/>
        <v>6.2652931189662753E-2</v>
      </c>
      <c r="E6">
        <f t="shared" si="2"/>
        <v>3.9253897866566153E-3</v>
      </c>
    </row>
    <row r="7" spans="1:8" x14ac:dyDescent="0.25">
      <c r="A7">
        <v>0.56888015241250001</v>
      </c>
      <c r="B7">
        <v>0.73712421450591081</v>
      </c>
      <c r="C7">
        <f t="shared" si="0"/>
        <v>0.67591687764913355</v>
      </c>
      <c r="D7">
        <f t="shared" si="1"/>
        <v>6.1207336856777261E-2</v>
      </c>
      <c r="E7">
        <f t="shared" si="2"/>
        <v>3.7463380850990043E-3</v>
      </c>
    </row>
    <row r="8" spans="1:8" x14ac:dyDescent="0.25">
      <c r="A8">
        <v>0.62795644093750003</v>
      </c>
      <c r="B8">
        <v>0.77967106671404418</v>
      </c>
      <c r="C8">
        <f t="shared" si="0"/>
        <v>0.73348012398624374</v>
      </c>
      <c r="D8">
        <f t="shared" si="1"/>
        <v>4.6190942727800444E-2</v>
      </c>
      <c r="E8">
        <f t="shared" si="2"/>
        <v>2.1336031900829407E-3</v>
      </c>
    </row>
    <row r="9" spans="1:8" x14ac:dyDescent="0.25">
      <c r="A9">
        <v>0.68703272946250005</v>
      </c>
      <c r="B9">
        <v>0.87327414157193761</v>
      </c>
      <c r="C9">
        <f t="shared" si="0"/>
        <v>0.78084378322006376</v>
      </c>
      <c r="D9">
        <f t="shared" si="1"/>
        <v>9.2430358351873854E-2</v>
      </c>
      <c r="E9">
        <f t="shared" si="2"/>
        <v>8.5433711450558173E-3</v>
      </c>
    </row>
    <row r="10" spans="1:8" x14ac:dyDescent="0.25">
      <c r="A10">
        <v>0.74610901798750007</v>
      </c>
      <c r="B10">
        <v>0.85093704416266758</v>
      </c>
      <c r="C10">
        <f t="shared" si="0"/>
        <v>0.81693022334629051</v>
      </c>
      <c r="D10">
        <f t="shared" si="1"/>
        <v>3.400682081637707E-2</v>
      </c>
      <c r="E10">
        <f t="shared" si="2"/>
        <v>1.1564638620371768E-3</v>
      </c>
    </row>
    <row r="11" spans="1:8" x14ac:dyDescent="0.25">
      <c r="A11">
        <v>0.80518530651250009</v>
      </c>
      <c r="B11">
        <v>0.99985102689113448</v>
      </c>
      <c r="C11">
        <f t="shared" si="0"/>
        <v>0.84105125208577391</v>
      </c>
      <c r="D11">
        <f t="shared" si="1"/>
        <v>0.15879977480536056</v>
      </c>
      <c r="E11">
        <f t="shared" si="2"/>
        <v>2.5217368478233228E-2</v>
      </c>
    </row>
    <row r="12" spans="1:8" x14ac:dyDescent="0.25">
      <c r="A12">
        <v>0.86426159503750011</v>
      </c>
      <c r="B12">
        <v>1.179611477470498</v>
      </c>
      <c r="C12">
        <f t="shared" si="0"/>
        <v>0.85292585385604658</v>
      </c>
      <c r="D12">
        <f t="shared" si="1"/>
        <v>0.32668562361445141</v>
      </c>
      <c r="E12">
        <f t="shared" si="2"/>
        <v>0.10672349667636302</v>
      </c>
    </row>
    <row r="13" spans="1:8" x14ac:dyDescent="0.25">
      <c r="A13">
        <v>0.92333788356250002</v>
      </c>
      <c r="B13">
        <v>1.1157911991582978</v>
      </c>
      <c r="C13">
        <f t="shared" si="0"/>
        <v>0.85267982500409167</v>
      </c>
      <c r="D13">
        <f t="shared" si="1"/>
        <v>0.26311137415420616</v>
      </c>
      <c r="E13">
        <f t="shared" si="2"/>
        <v>6.9227595209314666E-2</v>
      </c>
    </row>
    <row r="14" spans="1:8" x14ac:dyDescent="0.25">
      <c r="A14">
        <v>0.98241417208749993</v>
      </c>
      <c r="B14">
        <v>0.91582099378007098</v>
      </c>
      <c r="C14">
        <f t="shared" si="0"/>
        <v>0.84082678672830669</v>
      </c>
      <c r="D14">
        <f t="shared" si="1"/>
        <v>7.4994207051764294E-2</v>
      </c>
      <c r="E14">
        <f t="shared" si="2"/>
        <v>5.6241310913228938E-3</v>
      </c>
    </row>
    <row r="15" spans="1:8" x14ac:dyDescent="0.25">
      <c r="A15">
        <v>1.0414904606124999</v>
      </c>
      <c r="B15">
        <v>0.81051753456494091</v>
      </c>
      <c r="C15">
        <f t="shared" si="0"/>
        <v>0.81823151434018515</v>
      </c>
      <c r="D15">
        <f t="shared" si="1"/>
        <v>-7.7139797752442396E-3</v>
      </c>
      <c r="E15">
        <f t="shared" si="2"/>
        <v>5.9505483972877169E-5</v>
      </c>
    </row>
    <row r="16" spans="1:8" x14ac:dyDescent="0.25">
      <c r="A16">
        <v>1.1005667491375</v>
      </c>
      <c r="B16">
        <v>0.73925155711631751</v>
      </c>
      <c r="C16">
        <f t="shared" si="0"/>
        <v>0.78605783488150549</v>
      </c>
      <c r="D16">
        <f t="shared" si="1"/>
        <v>-4.6806277765187976E-2</v>
      </c>
      <c r="E16">
        <f t="shared" si="2"/>
        <v>2.1908276382319302E-3</v>
      </c>
    </row>
    <row r="17" spans="1:5" x14ac:dyDescent="0.25">
      <c r="A17">
        <v>1.1596430376625</v>
      </c>
      <c r="B17">
        <v>0.54140869434849725</v>
      </c>
      <c r="C17">
        <f t="shared" si="0"/>
        <v>0.74570442899912237</v>
      </c>
      <c r="D17">
        <f t="shared" si="1"/>
        <v>-0.20429573465062512</v>
      </c>
      <c r="E17">
        <f t="shared" si="2"/>
        <v>4.1736747196438627E-2</v>
      </c>
    </row>
    <row r="18" spans="1:5" x14ac:dyDescent="0.25">
      <c r="A18">
        <v>1.2187193261875</v>
      </c>
      <c r="B18">
        <v>0.53715400912768396</v>
      </c>
      <c r="C18">
        <f t="shared" si="0"/>
        <v>0.69873265181021493</v>
      </c>
      <c r="D18">
        <f t="shared" si="1"/>
        <v>-0.16157864268253097</v>
      </c>
      <c r="E18">
        <f t="shared" si="2"/>
        <v>2.6107657771129018E-2</v>
      </c>
    </row>
    <row r="19" spans="1:5" x14ac:dyDescent="0.25">
      <c r="A19">
        <v>1.2777956147124998</v>
      </c>
      <c r="B19">
        <v>0.47652474473109385</v>
      </c>
      <c r="C19">
        <f t="shared" si="0"/>
        <v>0.64679090845373577</v>
      </c>
      <c r="D19">
        <f t="shared" si="1"/>
        <v>-0.17026616372264192</v>
      </c>
      <c r="E19">
        <f t="shared" si="2"/>
        <v>2.8990566508825501E-2</v>
      </c>
    </row>
    <row r="20" spans="1:5" x14ac:dyDescent="0.25">
      <c r="A20">
        <v>1.3368719032374998</v>
      </c>
      <c r="B20">
        <v>0.49460715691955054</v>
      </c>
      <c r="C20">
        <f t="shared" si="0"/>
        <v>0.59154016192004755</v>
      </c>
      <c r="D20">
        <f t="shared" si="1"/>
        <v>-9.6933005000497008E-2</v>
      </c>
      <c r="E20">
        <f t="shared" si="2"/>
        <v>9.3960074584263781E-3</v>
      </c>
    </row>
    <row r="21" spans="1:5" x14ac:dyDescent="0.25">
      <c r="A21">
        <v>1.3959481917625001</v>
      </c>
      <c r="B21">
        <v>0.42015016555531715</v>
      </c>
      <c r="C21">
        <f t="shared" si="0"/>
        <v>0.53458482751146497</v>
      </c>
      <c r="D21">
        <f t="shared" si="1"/>
        <v>-0.11443466195614782</v>
      </c>
      <c r="E21">
        <f t="shared" si="2"/>
        <v>1.3095291857017825E-2</v>
      </c>
    </row>
    <row r="22" spans="1:5" x14ac:dyDescent="0.25">
      <c r="A22">
        <v>1.4550244802875003</v>
      </c>
      <c r="B22">
        <v>0.35207520202230375</v>
      </c>
      <c r="C22">
        <f t="shared" si="0"/>
        <v>0.47741266751732575</v>
      </c>
      <c r="D22">
        <f t="shared" si="1"/>
        <v>-0.125337465495022</v>
      </c>
      <c r="E22">
        <f t="shared" si="2"/>
        <v>1.5709480256715831E-2</v>
      </c>
    </row>
    <row r="23" spans="1:5" x14ac:dyDescent="0.25">
      <c r="A23">
        <v>1.5141007688125001</v>
      </c>
      <c r="B23">
        <v>0.35845722985352374</v>
      </c>
      <c r="C23">
        <f t="shared" si="0"/>
        <v>0.42134641688281688</v>
      </c>
      <c r="D23">
        <f t="shared" si="1"/>
        <v>-6.2889187029293137E-2</v>
      </c>
      <c r="E23">
        <f t="shared" si="2"/>
        <v>3.9550498452054121E-3</v>
      </c>
    </row>
    <row r="24" spans="1:5" x14ac:dyDescent="0.25">
      <c r="A24">
        <v>1.5731770573374999</v>
      </c>
      <c r="B24">
        <v>0.33080177591823701</v>
      </c>
      <c r="C24">
        <f t="shared" si="0"/>
        <v>0.36750884011877638</v>
      </c>
      <c r="D24">
        <f t="shared" si="1"/>
        <v>-3.6707064200539374E-2</v>
      </c>
      <c r="E24">
        <f t="shared" si="2"/>
        <v>1.3474085622225194E-3</v>
      </c>
    </row>
    <row r="25" spans="1:5" x14ac:dyDescent="0.25">
      <c r="A25">
        <v>1.6322533458624999</v>
      </c>
      <c r="B25">
        <v>0.30420999328815368</v>
      </c>
      <c r="C25">
        <f t="shared" si="0"/>
        <v>0.31680184357238655</v>
      </c>
      <c r="D25">
        <f t="shared" si="1"/>
        <v>-1.2591850284232875E-2</v>
      </c>
      <c r="E25">
        <f t="shared" si="2"/>
        <v>1.5855469358053555E-4</v>
      </c>
    </row>
    <row r="26" spans="1:5" x14ac:dyDescent="0.25">
      <c r="A26">
        <v>1.6913296343874999</v>
      </c>
      <c r="B26">
        <v>0.2063522332094469</v>
      </c>
      <c r="C26">
        <f t="shared" si="0"/>
        <v>0.26989924405390697</v>
      </c>
      <c r="D26">
        <f t="shared" si="1"/>
        <v>-6.3547010844460072E-2</v>
      </c>
      <c r="E26">
        <f t="shared" si="2"/>
        <v>4.0382225872659262E-3</v>
      </c>
    </row>
    <row r="27" spans="1:5" x14ac:dyDescent="0.25">
      <c r="A27">
        <v>1.7504059229125</v>
      </c>
      <c r="B27">
        <v>0.22868933061871691</v>
      </c>
      <c r="C27">
        <f t="shared" si="0"/>
        <v>0.22725190952469063</v>
      </c>
      <c r="D27">
        <f t="shared" si="1"/>
        <v>1.437421094026281E-3</v>
      </c>
      <c r="E27">
        <f t="shared" si="2"/>
        <v>2.0661794015517106E-6</v>
      </c>
    </row>
    <row r="28" spans="1:5" x14ac:dyDescent="0.25">
      <c r="A28">
        <v>1.8094822114375</v>
      </c>
      <c r="B28">
        <v>0.24251705758636027</v>
      </c>
      <c r="C28">
        <f t="shared" si="0"/>
        <v>0.1891033033032645</v>
      </c>
      <c r="D28">
        <f t="shared" si="1"/>
        <v>5.3413754283095777E-2</v>
      </c>
      <c r="E28">
        <f t="shared" si="2"/>
        <v>2.8530291466149324E-3</v>
      </c>
    </row>
    <row r="29" spans="1:5" x14ac:dyDescent="0.25">
      <c r="A29">
        <v>1.8685584999624998</v>
      </c>
      <c r="B29">
        <v>0.22549831670310691</v>
      </c>
      <c r="C29">
        <f t="shared" si="0"/>
        <v>0.15551301695803493</v>
      </c>
      <c r="D29">
        <f t="shared" si="1"/>
        <v>6.9985299745071977E-2</v>
      </c>
      <c r="E29">
        <f t="shared" si="2"/>
        <v>4.8979421804075714E-3</v>
      </c>
    </row>
    <row r="30" spans="1:5" x14ac:dyDescent="0.25">
      <c r="A30">
        <v>1.9276347884875</v>
      </c>
      <c r="B30">
        <v>0.15104132533887349</v>
      </c>
      <c r="C30">
        <f t="shared" si="0"/>
        <v>0.12638567821272714</v>
      </c>
      <c r="D30">
        <f t="shared" si="1"/>
        <v>2.4655647126146346E-2</v>
      </c>
      <c r="E30">
        <f t="shared" si="2"/>
        <v>6.0790093520904853E-4</v>
      </c>
    </row>
    <row r="31" spans="1:5" x14ac:dyDescent="0.25">
      <c r="A31">
        <v>1.9867110770125</v>
      </c>
      <c r="B31">
        <v>0.13827726967643347</v>
      </c>
      <c r="C31">
        <f t="shared" si="0"/>
        <v>0.10150265302433747</v>
      </c>
      <c r="D31">
        <f t="shared" si="1"/>
        <v>3.6774616652095998E-2</v>
      </c>
      <c r="E31">
        <f t="shared" si="2"/>
        <v>1.3523724299086162E-3</v>
      </c>
    </row>
    <row r="32" spans="1:5" x14ac:dyDescent="0.25">
      <c r="A32">
        <v>2.0457873655375001</v>
      </c>
      <c r="B32">
        <v>0.15848702447529683</v>
      </c>
      <c r="C32">
        <f t="shared" si="0"/>
        <v>8.0554189348145358E-2</v>
      </c>
      <c r="D32">
        <f t="shared" si="1"/>
        <v>7.7932835127151476E-2</v>
      </c>
      <c r="E32">
        <f t="shared" si="2"/>
        <v>6.0735267909557749E-3</v>
      </c>
    </row>
    <row r="33" spans="1:5" x14ac:dyDescent="0.25">
      <c r="A33">
        <v>2.1048636540625001</v>
      </c>
      <c r="B33">
        <v>0.11062181574114678</v>
      </c>
      <c r="C33">
        <f t="shared" si="0"/>
        <v>6.3170024070192815E-2</v>
      </c>
      <c r="D33">
        <f t="shared" si="1"/>
        <v>4.7451791670953966E-2</v>
      </c>
      <c r="E33">
        <f t="shared" si="2"/>
        <v>2.2516725327836164E-3</v>
      </c>
    </row>
    <row r="34" spans="1:5" x14ac:dyDescent="0.25">
      <c r="A34">
        <v>2.1639399425874997</v>
      </c>
      <c r="B34">
        <v>7.4456991364233421E-2</v>
      </c>
      <c r="C34">
        <f t="shared" si="0"/>
        <v>4.8946937827096935E-2</v>
      </c>
      <c r="D34">
        <f t="shared" si="1"/>
        <v>2.5510053537136486E-2</v>
      </c>
      <c r="E34">
        <f t="shared" si="2"/>
        <v>6.5076283146756975E-4</v>
      </c>
    </row>
    <row r="35" spans="1:5" x14ac:dyDescent="0.25">
      <c r="A35">
        <v>2.2230162311125001</v>
      </c>
      <c r="B35">
        <v>8.828471833187676E-2</v>
      </c>
      <c r="C35">
        <f t="shared" si="0"/>
        <v>3.747223918506621E-2</v>
      </c>
      <c r="D35">
        <f t="shared" si="1"/>
        <v>5.0812479146810551E-2</v>
      </c>
      <c r="E35">
        <f t="shared" si="2"/>
        <v>2.5819080370450571E-3</v>
      </c>
    </row>
    <row r="36" spans="1:5" x14ac:dyDescent="0.25">
      <c r="A36">
        <v>2.2820925196374997</v>
      </c>
      <c r="B36">
        <v>1.7018740883253353E-2</v>
      </c>
      <c r="C36">
        <f t="shared" si="0"/>
        <v>2.8342640573446074E-2</v>
      </c>
      <c r="D36">
        <f t="shared" si="1"/>
        <v>-1.1323899690192721E-2</v>
      </c>
      <c r="E36">
        <f t="shared" si="2"/>
        <v>1.282307041935468E-4</v>
      </c>
    </row>
    <row r="37" spans="1:5" x14ac:dyDescent="0.25">
      <c r="A37">
        <v>2.3411688081625002</v>
      </c>
      <c r="B37">
        <v>0</v>
      </c>
      <c r="C37">
        <f t="shared" si="0"/>
        <v>2.1178414671062622E-2</v>
      </c>
      <c r="D37">
        <f t="shared" si="1"/>
        <v>-2.1178414671062622E-2</v>
      </c>
      <c r="E37">
        <f t="shared" si="2"/>
        <v>4.485252479794805E-4</v>
      </c>
    </row>
    <row r="38" spans="1:5" x14ac:dyDescent="0.25">
      <c r="A38">
        <v>2.4002450966875002</v>
      </c>
      <c r="B38">
        <v>0</v>
      </c>
      <c r="C38">
        <f t="shared" si="0"/>
        <v>1.5633065564261431E-2</v>
      </c>
      <c r="D38">
        <f t="shared" si="1"/>
        <v>-1.5633065564261431E-2</v>
      </c>
      <c r="E38">
        <f t="shared" si="2"/>
        <v>2.4439273893649659E-4</v>
      </c>
    </row>
    <row r="39" spans="1:5" x14ac:dyDescent="0.25">
      <c r="A39">
        <v>2.4593213852125002</v>
      </c>
      <c r="B39">
        <v>0</v>
      </c>
      <c r="C39">
        <f t="shared" si="0"/>
        <v>1.1399000904794045E-2</v>
      </c>
      <c r="D39">
        <f t="shared" si="1"/>
        <v>-1.1399000904794045E-2</v>
      </c>
      <c r="E39">
        <f t="shared" si="2"/>
        <v>1.2993722162749544E-4</v>
      </c>
    </row>
    <row r="40" spans="1:5" x14ac:dyDescent="0.25">
      <c r="A40">
        <v>2.5183976737374998</v>
      </c>
      <c r="B40">
        <v>1.0636713052033346E-3</v>
      </c>
      <c r="C40">
        <f t="shared" si="0"/>
        <v>8.2098482335842722E-3</v>
      </c>
      <c r="D40">
        <f t="shared" si="1"/>
        <v>-7.1461769283809378E-3</v>
      </c>
      <c r="E40">
        <f t="shared" si="2"/>
        <v>5.1067844691724015E-5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FBE6-75E5-4DA4-A052-0EC7BC293A1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0.24557196653749999</v>
      </c>
      <c r="B1">
        <v>9.8072927140563218E-2</v>
      </c>
      <c r="C1">
        <f>$H$3*(1+$H$1)*(A1^($H$1))*EXP(-$H$3*(A1^(1+$H$1)))</f>
        <v>0.21692756231616142</v>
      </c>
      <c r="D1">
        <f>B1-C1</f>
        <v>-0.1188546351755982</v>
      </c>
      <c r="E1">
        <f>D1^2</f>
        <v>1.4126424302724545E-2</v>
      </c>
      <c r="G1" t="s">
        <v>0</v>
      </c>
      <c r="H1">
        <v>1.5159694552276455</v>
      </c>
    </row>
    <row r="2" spans="1:8" x14ac:dyDescent="0.25">
      <c r="A2">
        <v>0.30195574561249999</v>
      </c>
      <c r="B2">
        <v>0.18165780822627051</v>
      </c>
      <c r="C2">
        <f t="shared" ref="C2:C40" si="0">$H$3*(1+$H$1)*(A2^($H$1))*EXP(-$H$3*(A2^(1+$H$1)))</f>
        <v>0.29240571167659901</v>
      </c>
      <c r="D2">
        <f t="shared" ref="D2:D40" si="1">B2-C2</f>
        <v>-0.11074790345032851</v>
      </c>
      <c r="E2">
        <f t="shared" ref="E2:E40" si="2">D2^2</f>
        <v>1.2265098118643285E-2</v>
      </c>
    </row>
    <row r="3" spans="1:8" x14ac:dyDescent="0.25">
      <c r="A3">
        <v>0.35833952468749997</v>
      </c>
      <c r="B3">
        <v>0.27081501471769159</v>
      </c>
      <c r="C3">
        <f t="shared" si="0"/>
        <v>0.37169842909133338</v>
      </c>
      <c r="D3">
        <f t="shared" si="1"/>
        <v>-0.10088341437364179</v>
      </c>
      <c r="E3">
        <f t="shared" si="2"/>
        <v>1.0177463295683914E-2</v>
      </c>
      <c r="G3" t="s">
        <v>1</v>
      </c>
      <c r="H3">
        <f>(_xlfn.GAMMA((2+$H$1)/(1+$H$1)))^(1+$H$1)</f>
        <v>0.74041680152071321</v>
      </c>
    </row>
    <row r="4" spans="1:8" x14ac:dyDescent="0.25">
      <c r="A4">
        <v>0.4147233037625</v>
      </c>
      <c r="B4">
        <v>0.51488286748795686</v>
      </c>
      <c r="C4">
        <f t="shared" si="0"/>
        <v>0.45247570230206124</v>
      </c>
      <c r="D4">
        <f t="shared" si="1"/>
        <v>6.2407165185895619E-2</v>
      </c>
      <c r="E4">
        <f t="shared" si="2"/>
        <v>3.8946542665396623E-3</v>
      </c>
    </row>
    <row r="5" spans="1:8" x14ac:dyDescent="0.25">
      <c r="A5">
        <v>0.47110708283750002</v>
      </c>
      <c r="B5">
        <v>0.6965406757142274</v>
      </c>
      <c r="C5">
        <f t="shared" si="0"/>
        <v>0.53240438685235569</v>
      </c>
      <c r="D5">
        <f t="shared" si="1"/>
        <v>0.1641362888618717</v>
      </c>
      <c r="E5">
        <f t="shared" si="2"/>
        <v>2.6940721321347789E-2</v>
      </c>
      <c r="G5" t="s">
        <v>2</v>
      </c>
      <c r="H5">
        <f>SUM(E1:E40)</f>
        <v>0.49265784361237808</v>
      </c>
    </row>
    <row r="6" spans="1:8" x14ac:dyDescent="0.25">
      <c r="A6">
        <v>0.52749086191250005</v>
      </c>
      <c r="B6">
        <v>0.69542621063308463</v>
      </c>
      <c r="C6">
        <f t="shared" si="0"/>
        <v>0.60917997916489119</v>
      </c>
      <c r="D6">
        <f t="shared" si="1"/>
        <v>8.6246231468193435E-2</v>
      </c>
      <c r="E6">
        <f t="shared" si="2"/>
        <v>7.4384124424651992E-3</v>
      </c>
    </row>
    <row r="7" spans="1:8" x14ac:dyDescent="0.25">
      <c r="A7">
        <v>0.58387464098749997</v>
      </c>
      <c r="B7">
        <v>0.76006518533936496</v>
      </c>
      <c r="C7">
        <f t="shared" si="0"/>
        <v>0.68058371444771082</v>
      </c>
      <c r="D7">
        <f t="shared" si="1"/>
        <v>7.9481470891654138E-2</v>
      </c>
      <c r="E7">
        <f t="shared" si="2"/>
        <v>6.3173042151008644E-3</v>
      </c>
    </row>
    <row r="8" spans="1:8" x14ac:dyDescent="0.25">
      <c r="A8">
        <v>0.6402584200625</v>
      </c>
      <c r="B8">
        <v>0.81913183463993144</v>
      </c>
      <c r="C8">
        <f t="shared" si="0"/>
        <v>0.74455317042248714</v>
      </c>
      <c r="D8">
        <f t="shared" si="1"/>
        <v>7.4578664217444302E-2</v>
      </c>
      <c r="E8">
        <f t="shared" si="2"/>
        <v>5.5619771564583073E-3</v>
      </c>
    </row>
    <row r="9" spans="1:8" x14ac:dyDescent="0.25">
      <c r="A9">
        <v>0.69664219913750003</v>
      </c>
      <c r="B9">
        <v>0.90494564588792425</v>
      </c>
      <c r="C9">
        <f t="shared" si="0"/>
        <v>0.7992576502218699</v>
      </c>
      <c r="D9">
        <f t="shared" si="1"/>
        <v>0.10568799566605436</v>
      </c>
      <c r="E9">
        <f t="shared" si="2"/>
        <v>1.1169952427907925E-2</v>
      </c>
    </row>
    <row r="10" spans="1:8" x14ac:dyDescent="0.25">
      <c r="A10">
        <v>0.75302597821249995</v>
      </c>
      <c r="B10">
        <v>0.89937332048221041</v>
      </c>
      <c r="C10">
        <f t="shared" si="0"/>
        <v>0.84317095888250315</v>
      </c>
      <c r="D10">
        <f t="shared" si="1"/>
        <v>5.6202361599707262E-2</v>
      </c>
      <c r="E10">
        <f t="shared" si="2"/>
        <v>3.1587054493842494E-3</v>
      </c>
    </row>
    <row r="11" spans="1:8" x14ac:dyDescent="0.25">
      <c r="A11">
        <v>0.80940975728749998</v>
      </c>
      <c r="B11">
        <v>0.99856071270391633</v>
      </c>
      <c r="C11">
        <f t="shared" si="0"/>
        <v>0.87513506726336376</v>
      </c>
      <c r="D11">
        <f t="shared" si="1"/>
        <v>0.12342564544055257</v>
      </c>
      <c r="E11">
        <f t="shared" si="2"/>
        <v>1.5233889952416995E-2</v>
      </c>
    </row>
    <row r="12" spans="1:8" x14ac:dyDescent="0.25">
      <c r="A12">
        <v>0.8657935363625</v>
      </c>
      <c r="B12">
        <v>1.1200374065484777</v>
      </c>
      <c r="C12">
        <f t="shared" si="0"/>
        <v>0.89440908555899057</v>
      </c>
      <c r="D12">
        <f t="shared" si="1"/>
        <v>0.22562832098948715</v>
      </c>
      <c r="E12">
        <f t="shared" si="2"/>
        <v>5.0908139232535052E-2</v>
      </c>
    </row>
    <row r="13" spans="1:8" x14ac:dyDescent="0.25">
      <c r="A13">
        <v>0.92217731543749992</v>
      </c>
      <c r="B13">
        <v>1.2459719607176098</v>
      </c>
      <c r="C13">
        <f t="shared" si="0"/>
        <v>0.90069914294546538</v>
      </c>
      <c r="D13">
        <f t="shared" si="1"/>
        <v>0.34527281777214447</v>
      </c>
      <c r="E13">
        <f t="shared" si="2"/>
        <v>0.11921331869231648</v>
      </c>
    </row>
    <row r="14" spans="1:8" x14ac:dyDescent="0.25">
      <c r="A14">
        <v>0.97856109451249984</v>
      </c>
      <c r="B14">
        <v>0.99410285237934537</v>
      </c>
      <c r="C14">
        <f t="shared" si="0"/>
        <v>0.89416623043101195</v>
      </c>
      <c r="D14">
        <f t="shared" si="1"/>
        <v>9.9936621948333415E-2</v>
      </c>
      <c r="E14">
        <f t="shared" si="2"/>
        <v>9.9873284064441164E-3</v>
      </c>
    </row>
    <row r="15" spans="1:8" x14ac:dyDescent="0.25">
      <c r="A15">
        <v>1.0349448735875</v>
      </c>
      <c r="B15">
        <v>0.90160225064449595</v>
      </c>
      <c r="C15">
        <f t="shared" si="0"/>
        <v>0.87541075663648305</v>
      </c>
      <c r="D15">
        <f t="shared" si="1"/>
        <v>2.6191494008012906E-2</v>
      </c>
      <c r="E15">
        <f t="shared" si="2"/>
        <v>6.8599435837177593E-4</v>
      </c>
    </row>
    <row r="16" spans="1:8" x14ac:dyDescent="0.25">
      <c r="A16">
        <v>1.0913286526624999</v>
      </c>
      <c r="B16">
        <v>0.83473434577593009</v>
      </c>
      <c r="C16">
        <f t="shared" si="0"/>
        <v>0.84543437625575402</v>
      </c>
      <c r="D16">
        <f t="shared" si="1"/>
        <v>-1.070003047982393E-2</v>
      </c>
      <c r="E16">
        <f t="shared" si="2"/>
        <v>1.1449065226916112E-4</v>
      </c>
    </row>
    <row r="17" spans="1:5" x14ac:dyDescent="0.25">
      <c r="A17">
        <v>1.1477124317375</v>
      </c>
      <c r="B17">
        <v>0.63301616608908984</v>
      </c>
      <c r="C17">
        <f t="shared" si="0"/>
        <v>0.80558142818372558</v>
      </c>
      <c r="D17">
        <f t="shared" si="1"/>
        <v>-0.17256526209463574</v>
      </c>
      <c r="E17">
        <f t="shared" si="2"/>
        <v>2.9778769681790326E-2</v>
      </c>
    </row>
    <row r="18" spans="1:5" x14ac:dyDescent="0.25">
      <c r="A18">
        <v>1.2040962108125</v>
      </c>
      <c r="B18">
        <v>0.54051556435424042</v>
      </c>
      <c r="C18">
        <f t="shared" si="0"/>
        <v>0.75746390280963272</v>
      </c>
      <c r="D18">
        <f t="shared" si="1"/>
        <v>-0.2169483384553923</v>
      </c>
      <c r="E18">
        <f t="shared" si="2"/>
        <v>4.7066581558555448E-2</v>
      </c>
    </row>
    <row r="19" spans="1:5" x14ac:dyDescent="0.25">
      <c r="A19">
        <v>1.2604799898874999</v>
      </c>
      <c r="B19">
        <v>0.56057593581481024</v>
      </c>
      <c r="C19">
        <f t="shared" si="0"/>
        <v>0.70287509490794864</v>
      </c>
      <c r="D19">
        <f t="shared" si="1"/>
        <v>-0.14229915909313839</v>
      </c>
      <c r="E19">
        <f t="shared" si="2"/>
        <v>2.0249050678614312E-2</v>
      </c>
    </row>
    <row r="20" spans="1:5" x14ac:dyDescent="0.25">
      <c r="A20">
        <v>1.3168637689625</v>
      </c>
      <c r="B20">
        <v>0.53271430878624115</v>
      </c>
      <c r="C20">
        <f t="shared" si="0"/>
        <v>0.64369787086925878</v>
      </c>
      <c r="D20">
        <f t="shared" si="1"/>
        <v>-0.11098356208301763</v>
      </c>
      <c r="E20">
        <f t="shared" si="2"/>
        <v>1.2317351052635029E-2</v>
      </c>
    </row>
    <row r="21" spans="1:5" x14ac:dyDescent="0.25">
      <c r="A21">
        <v>1.3732475480374999</v>
      </c>
      <c r="B21">
        <v>0.42015333559082196</v>
      </c>
      <c r="C21">
        <f t="shared" si="0"/>
        <v>0.58181371576778584</v>
      </c>
      <c r="D21">
        <f t="shared" si="1"/>
        <v>-0.16166038017696388</v>
      </c>
      <c r="E21">
        <f t="shared" si="2"/>
        <v>2.6134078518960498E-2</v>
      </c>
    </row>
    <row r="22" spans="1:5" x14ac:dyDescent="0.25">
      <c r="A22">
        <v>1.4296313271125001</v>
      </c>
      <c r="B22">
        <v>0.39897849904910943</v>
      </c>
      <c r="C22">
        <f t="shared" si="0"/>
        <v>0.51901841397411652</v>
      </c>
      <c r="D22">
        <f t="shared" si="1"/>
        <v>-0.1200399149250071</v>
      </c>
      <c r="E22">
        <f t="shared" si="2"/>
        <v>1.4409581175202942E-2</v>
      </c>
    </row>
    <row r="23" spans="1:5" x14ac:dyDescent="0.25">
      <c r="A23">
        <v>1.4860151061874998</v>
      </c>
      <c r="B23">
        <v>0.34548417515425678</v>
      </c>
      <c r="C23">
        <f t="shared" si="0"/>
        <v>0.45694940360048691</v>
      </c>
      <c r="D23">
        <f t="shared" si="1"/>
        <v>-0.11146522844623014</v>
      </c>
      <c r="E23">
        <f t="shared" si="2"/>
        <v>1.2424497152570272E-2</v>
      </c>
    </row>
    <row r="24" spans="1:5" x14ac:dyDescent="0.25">
      <c r="A24">
        <v>1.5423988852624997</v>
      </c>
      <c r="B24">
        <v>0.40455082445482327</v>
      </c>
      <c r="C24">
        <f t="shared" si="0"/>
        <v>0.397028630610267</v>
      </c>
      <c r="D24">
        <f t="shared" si="1"/>
        <v>7.5221938445562686E-3</v>
      </c>
      <c r="E24">
        <f t="shared" si="2"/>
        <v>5.6583400235080216E-5</v>
      </c>
    </row>
    <row r="25" spans="1:5" x14ac:dyDescent="0.25">
      <c r="A25">
        <v>1.5987826643375</v>
      </c>
      <c r="B25">
        <v>0.28307413061026199</v>
      </c>
      <c r="C25">
        <f t="shared" si="0"/>
        <v>0.34042325380451832</v>
      </c>
      <c r="D25">
        <f t="shared" si="1"/>
        <v>-5.7349123194256335E-2</v>
      </c>
      <c r="E25">
        <f t="shared" si="2"/>
        <v>3.2889219311499898E-3</v>
      </c>
    </row>
    <row r="26" spans="1:5" x14ac:dyDescent="0.25">
      <c r="A26">
        <v>1.6551664434125</v>
      </c>
      <c r="B26">
        <v>0.22400748130969553</v>
      </c>
      <c r="C26">
        <f t="shared" si="0"/>
        <v>0.28802497969994406</v>
      </c>
      <c r="D26">
        <f t="shared" si="1"/>
        <v>-6.4017498390248534E-2</v>
      </c>
      <c r="E26">
        <f t="shared" si="2"/>
        <v>4.0982401001454739E-3</v>
      </c>
    </row>
    <row r="27" spans="1:5" x14ac:dyDescent="0.25">
      <c r="A27">
        <v>1.7115502224874999</v>
      </c>
      <c r="B27">
        <v>0.24072445752683699</v>
      </c>
      <c r="C27">
        <f t="shared" si="0"/>
        <v>0.24044729996866693</v>
      </c>
      <c r="D27">
        <f t="shared" si="1"/>
        <v>2.7715755817006582E-4</v>
      </c>
      <c r="E27">
        <f t="shared" si="2"/>
        <v>7.6816312050793414E-8</v>
      </c>
    </row>
    <row r="28" spans="1:5" x14ac:dyDescent="0.25">
      <c r="A28">
        <v>1.7679340015624998</v>
      </c>
      <c r="B28">
        <v>0.28084520044797651</v>
      </c>
      <c r="C28">
        <f t="shared" si="0"/>
        <v>0.19803860788691183</v>
      </c>
      <c r="D28">
        <f t="shared" si="1"/>
        <v>8.2806592561064679E-2</v>
      </c>
      <c r="E28">
        <f t="shared" si="2"/>
        <v>6.8569317715741719E-3</v>
      </c>
    </row>
    <row r="29" spans="1:5" x14ac:dyDescent="0.25">
      <c r="A29">
        <v>1.8243177806374997</v>
      </c>
      <c r="B29">
        <v>0.1972603193622692</v>
      </c>
      <c r="C29">
        <f t="shared" si="0"/>
        <v>0.16090819295232359</v>
      </c>
      <c r="D29">
        <f t="shared" si="1"/>
        <v>3.6352126409945618E-2</v>
      </c>
      <c r="E29">
        <f t="shared" si="2"/>
        <v>1.3214770945246656E-3</v>
      </c>
    </row>
    <row r="30" spans="1:5" x14ac:dyDescent="0.25">
      <c r="A30">
        <v>1.8807015597124999</v>
      </c>
      <c r="B30">
        <v>0.16939869233370011</v>
      </c>
      <c r="C30">
        <f t="shared" si="0"/>
        <v>0.12896151746881798</v>
      </c>
      <c r="D30">
        <f t="shared" si="1"/>
        <v>4.0437174864882131E-2</v>
      </c>
      <c r="E30">
        <f t="shared" si="2"/>
        <v>1.635165111053055E-3</v>
      </c>
    </row>
    <row r="31" spans="1:5" x14ac:dyDescent="0.25">
      <c r="A31">
        <v>1.9370853387875</v>
      </c>
      <c r="B31">
        <v>0.15713957644112969</v>
      </c>
      <c r="C31">
        <f t="shared" si="0"/>
        <v>0.1019409792668363</v>
      </c>
      <c r="D31">
        <f t="shared" si="1"/>
        <v>5.5198597174293387E-2</v>
      </c>
      <c r="E31">
        <f t="shared" si="2"/>
        <v>3.04688513000991E-3</v>
      </c>
    </row>
    <row r="32" spans="1:5" x14ac:dyDescent="0.25">
      <c r="A32">
        <v>1.9934691178624999</v>
      </c>
      <c r="B32">
        <v>0.16939869233370011</v>
      </c>
      <c r="C32">
        <f t="shared" si="0"/>
        <v>7.9468529007248559E-2</v>
      </c>
      <c r="D32">
        <f t="shared" si="1"/>
        <v>8.9930163326451554E-2</v>
      </c>
      <c r="E32">
        <f t="shared" si="2"/>
        <v>8.0874342759222513E-3</v>
      </c>
    </row>
    <row r="33" spans="1:5" x14ac:dyDescent="0.25">
      <c r="A33">
        <v>2.0498528969374998</v>
      </c>
      <c r="B33">
        <v>9.2500601734849391E-2</v>
      </c>
      <c r="C33">
        <f t="shared" si="0"/>
        <v>6.1086970586349716E-2</v>
      </c>
      <c r="D33">
        <f t="shared" si="1"/>
        <v>3.1413631148499675E-2</v>
      </c>
      <c r="E33">
        <f t="shared" si="2"/>
        <v>9.8681622193398893E-4</v>
      </c>
    </row>
    <row r="34" spans="1:5" x14ac:dyDescent="0.25">
      <c r="A34">
        <v>2.1062366760125002</v>
      </c>
      <c r="B34">
        <v>9.1386136653706637E-2</v>
      </c>
      <c r="C34">
        <f t="shared" si="0"/>
        <v>4.6297437683772966E-2</v>
      </c>
      <c r="D34">
        <f t="shared" si="1"/>
        <v>4.5088698969933672E-2</v>
      </c>
      <c r="E34">
        <f t="shared" si="2"/>
        <v>2.0329907748012979E-3</v>
      </c>
    </row>
    <row r="35" spans="1:5" x14ac:dyDescent="0.25">
      <c r="A35">
        <v>2.1626204550874997</v>
      </c>
      <c r="B35">
        <v>5.572325405713819E-2</v>
      </c>
      <c r="C35">
        <f t="shared" si="0"/>
        <v>3.4591308436000848E-2</v>
      </c>
      <c r="D35">
        <f t="shared" si="1"/>
        <v>2.1131945621137342E-2</v>
      </c>
      <c r="E35">
        <f t="shared" si="2"/>
        <v>4.4655912573470571E-4</v>
      </c>
    </row>
    <row r="36" spans="1:5" x14ac:dyDescent="0.25">
      <c r="A36">
        <v>2.2190042341625</v>
      </c>
      <c r="B36">
        <v>1.1144650811427638E-3</v>
      </c>
      <c r="C36">
        <f t="shared" si="0"/>
        <v>2.5475598444991109E-2</v>
      </c>
      <c r="D36">
        <f t="shared" si="1"/>
        <v>-2.4361133363848344E-2</v>
      </c>
      <c r="E36">
        <f t="shared" si="2"/>
        <v>5.9346481877120495E-4</v>
      </c>
    </row>
    <row r="37" spans="1:5" x14ac:dyDescent="0.25">
      <c r="A37">
        <v>2.2753880132374995</v>
      </c>
      <c r="B37">
        <v>0</v>
      </c>
      <c r="C37">
        <f t="shared" si="0"/>
        <v>1.8491580479869256E-2</v>
      </c>
      <c r="D37">
        <f t="shared" si="1"/>
        <v>-1.8491580479869256E-2</v>
      </c>
      <c r="E37">
        <f t="shared" si="2"/>
        <v>3.4193854864348168E-4</v>
      </c>
    </row>
    <row r="38" spans="1:5" x14ac:dyDescent="0.25">
      <c r="A38">
        <v>2.3317717923124999</v>
      </c>
      <c r="B38">
        <v>0</v>
      </c>
      <c r="C38">
        <f t="shared" si="0"/>
        <v>1.3226960643521092E-2</v>
      </c>
      <c r="D38">
        <f t="shared" si="1"/>
        <v>-1.3226960643521092E-2</v>
      </c>
      <c r="E38">
        <f t="shared" si="2"/>
        <v>1.749524878652559E-4</v>
      </c>
    </row>
    <row r="39" spans="1:5" x14ac:dyDescent="0.25">
      <c r="A39">
        <v>2.3881555713874998</v>
      </c>
      <c r="B39">
        <v>0</v>
      </c>
      <c r="C39">
        <f t="shared" si="0"/>
        <v>9.3223641712576032E-3</v>
      </c>
      <c r="D39">
        <f t="shared" si="1"/>
        <v>-9.3223641712576032E-3</v>
      </c>
      <c r="E39">
        <f t="shared" si="2"/>
        <v>8.6906473741547453E-5</v>
      </c>
    </row>
    <row r="40" spans="1:5" x14ac:dyDescent="0.25">
      <c r="A40">
        <v>2.4445393504624997</v>
      </c>
      <c r="B40">
        <v>1.1144650811427638E-3</v>
      </c>
      <c r="C40">
        <f t="shared" si="0"/>
        <v>6.4731422520303101E-3</v>
      </c>
      <c r="D40">
        <f t="shared" si="1"/>
        <v>-5.3586771708875464E-3</v>
      </c>
      <c r="E40">
        <f t="shared" si="2"/>
        <v>2.8715421021791356E-5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B2345-CCCE-4BAC-9B9B-3CA195847FC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0.28135959828750001</v>
      </c>
      <c r="B1">
        <v>9.9699679596671767E-2</v>
      </c>
      <c r="C1">
        <f>$H$3*(1+$H$1)*(A1^($H$1))*EXP(-$H$3*(A1^(1+$H$1)))</f>
        <v>0.2218549152721237</v>
      </c>
      <c r="D1">
        <f>B1-C1</f>
        <v>-0.12215523567545193</v>
      </c>
      <c r="E1">
        <f>D1^2</f>
        <v>1.4921901602925204E-2</v>
      </c>
      <c r="G1" t="s">
        <v>0</v>
      </c>
      <c r="H1">
        <v>1.7027638127799216</v>
      </c>
    </row>
    <row r="2" spans="1:8" x14ac:dyDescent="0.25">
      <c r="A2">
        <v>0.33493257886249994</v>
      </c>
      <c r="B2">
        <v>0.18884292253016652</v>
      </c>
      <c r="C2">
        <f t="shared" ref="C2:C40" si="0">$H$3*(1+$H$1)*(A2^($H$1))*EXP(-$H$3*(A2^(1+$H$1)))</f>
        <v>0.29429378385301724</v>
      </c>
      <c r="D2">
        <f t="shared" ref="D2:D40" si="1">B2-C2</f>
        <v>-0.10545086132285073</v>
      </c>
      <c r="E2">
        <f t="shared" ref="E2:E40" si="2">D2^2</f>
        <v>1.1119884153731096E-2</v>
      </c>
    </row>
    <row r="3" spans="1:8" x14ac:dyDescent="0.25">
      <c r="A3">
        <v>0.38850555943749998</v>
      </c>
      <c r="B3">
        <v>0.27329441583558262</v>
      </c>
      <c r="C3">
        <f t="shared" si="0"/>
        <v>0.3718699707835515</v>
      </c>
      <c r="D3">
        <f t="shared" si="1"/>
        <v>-9.857555494796888E-2</v>
      </c>
      <c r="E3">
        <f t="shared" si="2"/>
        <v>9.717140033300032E-3</v>
      </c>
      <c r="G3" t="s">
        <v>1</v>
      </c>
      <c r="H3">
        <f>(_xlfn.GAMMA((2+$H$1)/(1+$H$1)))^(1+$H$1)</f>
        <v>0.72829663952273826</v>
      </c>
    </row>
    <row r="4" spans="1:8" x14ac:dyDescent="0.25">
      <c r="A4">
        <v>0.44207854001250002</v>
      </c>
      <c r="B4">
        <v>0.4597914635517098</v>
      </c>
      <c r="C4">
        <f t="shared" si="0"/>
        <v>0.45253798240347659</v>
      </c>
      <c r="D4">
        <f t="shared" si="1"/>
        <v>7.2534811482332096E-3</v>
      </c>
      <c r="E4">
        <f t="shared" si="2"/>
        <v>5.2612988767774563E-5</v>
      </c>
    </row>
    <row r="5" spans="1:8" x14ac:dyDescent="0.25">
      <c r="A5">
        <v>0.49565152058750001</v>
      </c>
      <c r="B5">
        <v>0.70962713124689902</v>
      </c>
      <c r="C5">
        <f t="shared" si="0"/>
        <v>0.53410290081132128</v>
      </c>
      <c r="D5">
        <f t="shared" si="1"/>
        <v>0.17552423043557774</v>
      </c>
      <c r="E5">
        <f t="shared" si="2"/>
        <v>3.0808755470001798E-2</v>
      </c>
      <c r="G5" t="s">
        <v>2</v>
      </c>
      <c r="H5">
        <f>SUM(E1:E40)</f>
        <v>0.52114073349486145</v>
      </c>
    </row>
    <row r="6" spans="1:8" x14ac:dyDescent="0.25">
      <c r="A6">
        <v>0.54922450116249999</v>
      </c>
      <c r="B6">
        <v>0.74246937864344975</v>
      </c>
      <c r="C6">
        <f t="shared" si="0"/>
        <v>0.61426265936990698</v>
      </c>
      <c r="D6">
        <f t="shared" si="1"/>
        <v>0.12820671927354277</v>
      </c>
      <c r="E6">
        <f t="shared" si="2"/>
        <v>1.6436962866885004E-2</v>
      </c>
    </row>
    <row r="7" spans="1:8" x14ac:dyDescent="0.25">
      <c r="A7">
        <v>0.60279748173749992</v>
      </c>
      <c r="B7">
        <v>0.83161262157694449</v>
      </c>
      <c r="C7">
        <f t="shared" si="0"/>
        <v>0.69067236788832409</v>
      </c>
      <c r="D7">
        <f t="shared" si="1"/>
        <v>0.1409402536886204</v>
      </c>
      <c r="E7">
        <f t="shared" si="2"/>
        <v>1.9864155109812674E-2</v>
      </c>
    </row>
    <row r="8" spans="1:8" x14ac:dyDescent="0.25">
      <c r="A8">
        <v>0.65637046231249996</v>
      </c>
      <c r="B8">
        <v>0.8245749971348264</v>
      </c>
      <c r="C8">
        <f t="shared" si="0"/>
        <v>0.76102515163222462</v>
      </c>
      <c r="D8">
        <f t="shared" si="1"/>
        <v>6.3549845502601787E-2</v>
      </c>
      <c r="E8">
        <f t="shared" si="2"/>
        <v>4.0385828634045568E-3</v>
      </c>
    </row>
    <row r="9" spans="1:8" x14ac:dyDescent="0.25">
      <c r="A9">
        <v>0.7099434428875</v>
      </c>
      <c r="B9">
        <v>0.94773342487189161</v>
      </c>
      <c r="C9">
        <f t="shared" si="0"/>
        <v>0.82314366512939996</v>
      </c>
      <c r="D9">
        <f t="shared" si="1"/>
        <v>0.12458975974249165</v>
      </c>
      <c r="E9">
        <f t="shared" si="2"/>
        <v>1.5522608232691791E-2</v>
      </c>
    </row>
    <row r="10" spans="1:8" x14ac:dyDescent="0.25">
      <c r="A10">
        <v>0.76351642346250004</v>
      </c>
      <c r="B10">
        <v>0.99230504633863892</v>
      </c>
      <c r="C10">
        <f t="shared" si="0"/>
        <v>0.87507578649926521</v>
      </c>
      <c r="D10">
        <f t="shared" si="1"/>
        <v>0.11722925983937371</v>
      </c>
      <c r="E10">
        <f t="shared" si="2"/>
        <v>1.3742699362487398E-2</v>
      </c>
    </row>
    <row r="11" spans="1:8" x14ac:dyDescent="0.25">
      <c r="A11">
        <v>0.81708940403750008</v>
      </c>
      <c r="B11">
        <v>0.99582385855969791</v>
      </c>
      <c r="C11">
        <f t="shared" si="0"/>
        <v>0.91518743817907999</v>
      </c>
      <c r="D11">
        <f t="shared" si="1"/>
        <v>8.0636420380617913E-2</v>
      </c>
      <c r="E11">
        <f t="shared" si="2"/>
        <v>6.5022322917997321E-3</v>
      </c>
    </row>
    <row r="12" spans="1:8" x14ac:dyDescent="0.25">
      <c r="A12">
        <v>0.87066238461250012</v>
      </c>
      <c r="B12">
        <v>1.1049070374125272</v>
      </c>
      <c r="C12">
        <f t="shared" si="0"/>
        <v>0.94224528544185782</v>
      </c>
      <c r="D12">
        <f t="shared" si="1"/>
        <v>0.16266175197066934</v>
      </c>
      <c r="E12">
        <f t="shared" si="2"/>
        <v>2.6458845554167554E-2</v>
      </c>
    </row>
    <row r="13" spans="1:8" x14ac:dyDescent="0.25">
      <c r="A13">
        <v>0.92423536518750005</v>
      </c>
      <c r="B13">
        <v>1.2386219018127691</v>
      </c>
      <c r="C13">
        <f t="shared" si="0"/>
        <v>0.95548240154726871</v>
      </c>
      <c r="D13">
        <f t="shared" si="1"/>
        <v>0.28313950026550039</v>
      </c>
      <c r="E13">
        <f t="shared" si="2"/>
        <v>8.0167976610597297E-2</v>
      </c>
    </row>
    <row r="14" spans="1:8" x14ac:dyDescent="0.25">
      <c r="A14">
        <v>0.97780834576249998</v>
      </c>
      <c r="B14">
        <v>1.1870126559039038</v>
      </c>
      <c r="C14">
        <f t="shared" si="0"/>
        <v>0.9546409374231376</v>
      </c>
      <c r="D14">
        <f t="shared" si="1"/>
        <v>0.23237171848076621</v>
      </c>
      <c r="E14">
        <f t="shared" si="2"/>
        <v>5.3996615549704467E-2</v>
      </c>
    </row>
    <row r="15" spans="1:8" x14ac:dyDescent="0.25">
      <c r="A15">
        <v>1.0313813263374998</v>
      </c>
      <c r="B15">
        <v>0.94069580042977352</v>
      </c>
      <c r="C15">
        <f t="shared" si="0"/>
        <v>0.93998738765178114</v>
      </c>
      <c r="D15">
        <f t="shared" si="1"/>
        <v>7.0841277799238433E-4</v>
      </c>
      <c r="E15">
        <f t="shared" si="2"/>
        <v>5.0184866402288718E-7</v>
      </c>
    </row>
    <row r="16" spans="1:8" x14ac:dyDescent="0.25">
      <c r="A16">
        <v>1.0849543069125001</v>
      </c>
      <c r="B16">
        <v>0.97471098523334399</v>
      </c>
      <c r="C16">
        <f t="shared" si="0"/>
        <v>0.91229811032938635</v>
      </c>
      <c r="D16">
        <f t="shared" si="1"/>
        <v>6.2412874903957638E-2</v>
      </c>
      <c r="E16">
        <f t="shared" si="2"/>
        <v>3.8953669537770651E-3</v>
      </c>
    </row>
    <row r="17" spans="1:5" x14ac:dyDescent="0.25">
      <c r="A17">
        <v>1.1385272874874999</v>
      </c>
      <c r="B17">
        <v>0.70376244421180068</v>
      </c>
      <c r="C17">
        <f t="shared" si="0"/>
        <v>0.87281516465229447</v>
      </c>
      <c r="D17">
        <f t="shared" si="1"/>
        <v>-0.1690527204404938</v>
      </c>
      <c r="E17">
        <f t="shared" si="2"/>
        <v>2.8578822288331751E-2</v>
      </c>
    </row>
    <row r="18" spans="1:5" x14ac:dyDescent="0.25">
      <c r="A18">
        <v>1.1921002680625001</v>
      </c>
      <c r="B18">
        <v>0.62048388831340429</v>
      </c>
      <c r="C18">
        <f t="shared" si="0"/>
        <v>0.82317504458206403</v>
      </c>
      <c r="D18">
        <f t="shared" si="1"/>
        <v>-0.20269115626865974</v>
      </c>
      <c r="E18">
        <f t="shared" si="2"/>
        <v>4.1083704829526245E-2</v>
      </c>
    </row>
    <row r="19" spans="1:5" x14ac:dyDescent="0.25">
      <c r="A19">
        <v>1.2456732486375</v>
      </c>
      <c r="B19">
        <v>0.56066408055540118</v>
      </c>
      <c r="C19">
        <f t="shared" si="0"/>
        <v>0.76531524403461759</v>
      </c>
      <c r="D19">
        <f t="shared" si="1"/>
        <v>-0.20465116347921641</v>
      </c>
      <c r="E19">
        <f t="shared" si="2"/>
        <v>4.1882098713396959E-2</v>
      </c>
    </row>
    <row r="20" spans="1:5" x14ac:dyDescent="0.25">
      <c r="A20">
        <v>1.2992462292125</v>
      </c>
      <c r="B20">
        <v>0.58177695388175521</v>
      </c>
      <c r="C20">
        <f t="shared" si="0"/>
        <v>0.70136552438417032</v>
      </c>
      <c r="D20">
        <f t="shared" si="1"/>
        <v>-0.11958857050241511</v>
      </c>
      <c r="E20">
        <f t="shared" si="2"/>
        <v>1.4301426194811111E-2</v>
      </c>
    </row>
    <row r="21" spans="1:5" x14ac:dyDescent="0.25">
      <c r="A21">
        <v>1.3528192097875</v>
      </c>
      <c r="B21">
        <v>0.47855846206402447</v>
      </c>
      <c r="C21">
        <f t="shared" si="0"/>
        <v>0.63353204261503637</v>
      </c>
      <c r="D21">
        <f t="shared" si="1"/>
        <v>-0.1549735805510119</v>
      </c>
      <c r="E21">
        <f t="shared" si="2"/>
        <v>2.4016810668800976E-2</v>
      </c>
    </row>
    <row r="22" spans="1:5" x14ac:dyDescent="0.25">
      <c r="A22">
        <v>1.4063921903625003</v>
      </c>
      <c r="B22">
        <v>0.40231753060774605</v>
      </c>
      <c r="C22">
        <f t="shared" si="0"/>
        <v>0.56398298406381864</v>
      </c>
      <c r="D22">
        <f t="shared" si="1"/>
        <v>-0.16166545345607258</v>
      </c>
      <c r="E22">
        <f t="shared" si="2"/>
        <v>2.6135718841157569E-2</v>
      </c>
    </row>
    <row r="23" spans="1:5" x14ac:dyDescent="0.25">
      <c r="A23">
        <v>1.4599651709375001</v>
      </c>
      <c r="B23">
        <v>0.42108452912006072</v>
      </c>
      <c r="C23">
        <f t="shared" si="0"/>
        <v>0.49474396964181283</v>
      </c>
      <c r="D23">
        <f t="shared" si="1"/>
        <v>-7.3659440521752106E-2</v>
      </c>
      <c r="E23">
        <f t="shared" si="2"/>
        <v>5.4257131779775359E-3</v>
      </c>
    </row>
    <row r="24" spans="1:5" x14ac:dyDescent="0.25">
      <c r="A24">
        <v>1.5135381515124999</v>
      </c>
      <c r="B24">
        <v>0.38472346950245101</v>
      </c>
      <c r="C24">
        <f t="shared" si="0"/>
        <v>0.42761032309023062</v>
      </c>
      <c r="D24">
        <f t="shared" si="1"/>
        <v>-4.2886853587779605E-2</v>
      </c>
      <c r="E24">
        <f t="shared" si="2"/>
        <v>1.8392822106596445E-3</v>
      </c>
    </row>
    <row r="25" spans="1:5" x14ac:dyDescent="0.25">
      <c r="A25">
        <v>1.5671111320875002</v>
      </c>
      <c r="B25">
        <v>0.27915910287068091</v>
      </c>
      <c r="C25">
        <f t="shared" si="0"/>
        <v>0.36408144020714167</v>
      </c>
      <c r="D25">
        <f t="shared" si="1"/>
        <v>-8.4922337336460763E-2</v>
      </c>
      <c r="E25">
        <f t="shared" si="2"/>
        <v>7.2118033786876378E-3</v>
      </c>
    </row>
    <row r="26" spans="1:5" x14ac:dyDescent="0.25">
      <c r="A26">
        <v>1.6206841126625</v>
      </c>
      <c r="B26">
        <v>0.29206141434789729</v>
      </c>
      <c r="C26">
        <f t="shared" si="0"/>
        <v>0.30532023048928697</v>
      </c>
      <c r="D26">
        <f t="shared" si="1"/>
        <v>-1.3258816141389684E-2</v>
      </c>
      <c r="E26">
        <f t="shared" si="2"/>
        <v>1.7579620547117565E-4</v>
      </c>
    </row>
    <row r="27" spans="1:5" x14ac:dyDescent="0.25">
      <c r="A27">
        <v>1.6742570932375</v>
      </c>
      <c r="B27">
        <v>0.25687329213730725</v>
      </c>
      <c r="C27">
        <f t="shared" si="0"/>
        <v>0.25213818033516727</v>
      </c>
      <c r="D27">
        <f t="shared" si="1"/>
        <v>4.7351118021399796E-3</v>
      </c>
      <c r="E27">
        <f t="shared" si="2"/>
        <v>2.2421283778765326E-5</v>
      </c>
    </row>
    <row r="28" spans="1:5" x14ac:dyDescent="0.25">
      <c r="A28">
        <v>1.7278300738125001</v>
      </c>
      <c r="B28">
        <v>0.27564029064962192</v>
      </c>
      <c r="C28">
        <f t="shared" si="0"/>
        <v>0.20500430012959747</v>
      </c>
      <c r="D28">
        <f t="shared" si="1"/>
        <v>7.063599052002445E-2</v>
      </c>
      <c r="E28">
        <f t="shared" si="2"/>
        <v>4.9894431567449838E-3</v>
      </c>
    </row>
    <row r="29" spans="1:5" x14ac:dyDescent="0.25">
      <c r="A29">
        <v>1.7814030543874999</v>
      </c>
      <c r="B29">
        <v>0.20174523400738287</v>
      </c>
      <c r="C29">
        <f t="shared" si="0"/>
        <v>0.1640743152820863</v>
      </c>
      <c r="D29">
        <f t="shared" si="1"/>
        <v>3.767091872529657E-2</v>
      </c>
      <c r="E29">
        <f t="shared" si="2"/>
        <v>1.4190981176078997E-3</v>
      </c>
    </row>
    <row r="30" spans="1:5" x14ac:dyDescent="0.25">
      <c r="A30">
        <v>1.8349760349624999</v>
      </c>
      <c r="B30">
        <v>0.18766998512314684</v>
      </c>
      <c r="C30">
        <f t="shared" si="0"/>
        <v>0.12923512619866168</v>
      </c>
      <c r="D30">
        <f t="shared" si="1"/>
        <v>5.8434858924485161E-2</v>
      </c>
      <c r="E30">
        <f t="shared" si="2"/>
        <v>3.4146327375244832E-3</v>
      </c>
    </row>
    <row r="31" spans="1:5" x14ac:dyDescent="0.25">
      <c r="A31">
        <v>1.8885490155375</v>
      </c>
      <c r="B31">
        <v>0.17007592401785182</v>
      </c>
      <c r="C31">
        <f t="shared" si="0"/>
        <v>0.1001588882842359</v>
      </c>
      <c r="D31">
        <f t="shared" si="1"/>
        <v>6.991703573361592E-2</v>
      </c>
      <c r="E31">
        <f t="shared" si="2"/>
        <v>4.8883918857757251E-3</v>
      </c>
    </row>
    <row r="32" spans="1:5" x14ac:dyDescent="0.25">
      <c r="A32">
        <v>1.9421219961125</v>
      </c>
      <c r="B32">
        <v>0.13723367662130112</v>
      </c>
      <c r="C32">
        <f t="shared" si="0"/>
        <v>7.6361050215752332E-2</v>
      </c>
      <c r="D32">
        <f t="shared" si="1"/>
        <v>6.0872626405548788E-2</v>
      </c>
      <c r="E32">
        <f t="shared" si="2"/>
        <v>3.7054766455095157E-3</v>
      </c>
    </row>
    <row r="33" spans="1:5" x14ac:dyDescent="0.25">
      <c r="A33">
        <v>1.9956949766875001</v>
      </c>
      <c r="B33">
        <v>0.10673730403878977</v>
      </c>
      <c r="C33">
        <f t="shared" si="0"/>
        <v>5.7257251942805773E-2</v>
      </c>
      <c r="D33">
        <f t="shared" si="1"/>
        <v>4.9480052095983995E-2</v>
      </c>
      <c r="E33">
        <f t="shared" si="2"/>
        <v>2.4482755554212903E-3</v>
      </c>
    </row>
    <row r="34" spans="1:5" x14ac:dyDescent="0.25">
      <c r="A34">
        <v>2.0492679572624999</v>
      </c>
      <c r="B34">
        <v>7.7413868863298069E-2</v>
      </c>
      <c r="C34">
        <f t="shared" si="0"/>
        <v>4.2214975216346415E-2</v>
      </c>
      <c r="D34">
        <f t="shared" si="1"/>
        <v>3.5198893646951654E-2</v>
      </c>
      <c r="E34">
        <f t="shared" si="2"/>
        <v>1.2389621139694135E-3</v>
      </c>
    </row>
    <row r="35" spans="1:5" x14ac:dyDescent="0.25">
      <c r="A35">
        <v>2.1028409378374997</v>
      </c>
      <c r="B35">
        <v>1.5248186291255681E-2</v>
      </c>
      <c r="C35">
        <f t="shared" si="0"/>
        <v>3.0597077132192209E-2</v>
      </c>
      <c r="D35">
        <f t="shared" si="1"/>
        <v>-1.5348890840936527E-2</v>
      </c>
      <c r="E35">
        <f t="shared" si="2"/>
        <v>2.3558845004698523E-4</v>
      </c>
    </row>
    <row r="36" spans="1:5" x14ac:dyDescent="0.25">
      <c r="A36">
        <v>2.1564139184125</v>
      </c>
      <c r="B36">
        <v>0</v>
      </c>
      <c r="C36">
        <f t="shared" si="0"/>
        <v>2.1795636303990534E-2</v>
      </c>
      <c r="D36">
        <f t="shared" si="1"/>
        <v>-2.1795636303990534E-2</v>
      </c>
      <c r="E36">
        <f t="shared" si="2"/>
        <v>4.7504976189583018E-4</v>
      </c>
    </row>
    <row r="37" spans="1:5" x14ac:dyDescent="0.25">
      <c r="A37">
        <v>2.2099868989875002</v>
      </c>
      <c r="B37">
        <v>0</v>
      </c>
      <c r="C37">
        <f t="shared" si="0"/>
        <v>1.5255740683293943E-2</v>
      </c>
      <c r="D37">
        <f t="shared" si="1"/>
        <v>-1.5255740683293943E-2</v>
      </c>
      <c r="E37">
        <f t="shared" si="2"/>
        <v>2.3273762379590992E-4</v>
      </c>
    </row>
    <row r="38" spans="1:5" x14ac:dyDescent="0.25">
      <c r="A38">
        <v>2.2635598795625</v>
      </c>
      <c r="B38">
        <v>0</v>
      </c>
      <c r="C38">
        <f t="shared" si="0"/>
        <v>1.0489827226271361E-2</v>
      </c>
      <c r="D38">
        <f t="shared" si="1"/>
        <v>-1.0489827226271361E-2</v>
      </c>
      <c r="E38">
        <f t="shared" si="2"/>
        <v>1.1003647523702392E-4</v>
      </c>
    </row>
    <row r="39" spans="1:5" x14ac:dyDescent="0.25">
      <c r="A39">
        <v>2.3171328601374999</v>
      </c>
      <c r="B39">
        <v>0</v>
      </c>
      <c r="C39">
        <f t="shared" si="0"/>
        <v>7.0838797669846966E-3</v>
      </c>
      <c r="D39">
        <f t="shared" si="1"/>
        <v>-7.0838797669846966E-3</v>
      </c>
      <c r="E39">
        <f t="shared" si="2"/>
        <v>5.0181352553095163E-5</v>
      </c>
    </row>
    <row r="40" spans="1:5" x14ac:dyDescent="0.25">
      <c r="A40">
        <v>2.3707058407125001</v>
      </c>
      <c r="B40">
        <v>1.1729374070196677E-3</v>
      </c>
      <c r="C40">
        <f t="shared" si="0"/>
        <v>4.6971867543980448E-3</v>
      </c>
      <c r="D40">
        <f t="shared" si="1"/>
        <v>-3.5242493473783771E-3</v>
      </c>
      <c r="E40">
        <f t="shared" si="2"/>
        <v>1.2420333462496917E-5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898F-E049-4346-B36E-FE9511DD63C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0.32252980074999998</v>
      </c>
      <c r="B1">
        <v>0.10057558576669526</v>
      </c>
      <c r="C1">
        <f>$H$3*(1+$H$1)*(A1^($H$1))*EXP(-$H$3*(A1^(1+$H$1)))</f>
        <v>0.23009272241196044</v>
      </c>
      <c r="D1">
        <f>B1-C1</f>
        <v>-0.12951713664526518</v>
      </c>
      <c r="E1">
        <f>D1^2</f>
        <v>1.6774688684788291E-2</v>
      </c>
      <c r="G1" t="s">
        <v>0</v>
      </c>
      <c r="H1">
        <v>1.9296940591384528</v>
      </c>
    </row>
    <row r="2" spans="1:8" x14ac:dyDescent="0.25">
      <c r="A2">
        <v>0.37313709225000002</v>
      </c>
      <c r="B2">
        <v>0.18749275865149362</v>
      </c>
      <c r="C2">
        <f t="shared" ref="C2:C40" si="0">$H$3*(1+$H$1)*(A2^($H$1))*EXP(-$H$3*(A2^(1+$H$1)))</f>
        <v>0.30063228016409982</v>
      </c>
      <c r="D2">
        <f t="shared" ref="D2:D40" si="1">B2-C2</f>
        <v>-0.1131395215126062</v>
      </c>
      <c r="E2">
        <f t="shared" ref="E2:E40" si="2">D2^2</f>
        <v>1.2800551328101482E-2</v>
      </c>
    </row>
    <row r="3" spans="1:8" x14ac:dyDescent="0.25">
      <c r="A3">
        <v>0.42374438375000001</v>
      </c>
      <c r="B3">
        <v>0.3042101050967943</v>
      </c>
      <c r="C3">
        <f t="shared" si="0"/>
        <v>0.37740681212199839</v>
      </c>
      <c r="D3">
        <f t="shared" si="1"/>
        <v>-7.3196707025204089E-2</v>
      </c>
      <c r="E3">
        <f t="shared" si="2"/>
        <v>5.3577579193335619E-3</v>
      </c>
      <c r="G3" t="s">
        <v>1</v>
      </c>
      <c r="H3">
        <f>(_xlfn.GAMMA((2+$H$1)/(1+$H$1)))^(1+$H$1)</f>
        <v>0.71561803866254969</v>
      </c>
    </row>
    <row r="4" spans="1:8" x14ac:dyDescent="0.25">
      <c r="A4">
        <v>0.47435167524999999</v>
      </c>
      <c r="B4">
        <v>0.41347740815196937</v>
      </c>
      <c r="C4">
        <f t="shared" si="0"/>
        <v>0.45868982133824371</v>
      </c>
      <c r="D4">
        <f t="shared" si="1"/>
        <v>-4.5212413186274336E-2</v>
      </c>
      <c r="E4">
        <f t="shared" si="2"/>
        <v>2.0441623061263933E-3</v>
      </c>
    </row>
    <row r="5" spans="1:8" x14ac:dyDescent="0.25">
      <c r="A5">
        <v>0.52495896674999998</v>
      </c>
      <c r="B5">
        <v>0.74003764341914036</v>
      </c>
      <c r="C5">
        <f t="shared" si="0"/>
        <v>0.54248229665823544</v>
      </c>
      <c r="D5">
        <f t="shared" si="1"/>
        <v>0.19755534676090492</v>
      </c>
      <c r="E5">
        <f t="shared" si="2"/>
        <v>3.9028115033821385E-2</v>
      </c>
      <c r="G5" t="s">
        <v>2</v>
      </c>
      <c r="H5">
        <f>SUM(E1:E40)</f>
        <v>0.58676439706937056</v>
      </c>
    </row>
    <row r="6" spans="1:8" x14ac:dyDescent="0.25">
      <c r="A6">
        <v>0.57556625825000007</v>
      </c>
      <c r="B6">
        <v>0.77604618647141399</v>
      </c>
      <c r="C6">
        <f t="shared" si="0"/>
        <v>0.62654979922029508</v>
      </c>
      <c r="D6">
        <f t="shared" si="1"/>
        <v>0.14949638725111891</v>
      </c>
      <c r="E6">
        <f t="shared" si="2"/>
        <v>2.234916980113651E-2</v>
      </c>
    </row>
    <row r="7" spans="1:8" x14ac:dyDescent="0.25">
      <c r="A7">
        <v>0.62617354975000006</v>
      </c>
      <c r="B7">
        <v>0.87041340274633794</v>
      </c>
      <c r="C7">
        <f t="shared" si="0"/>
        <v>0.70848229156405929</v>
      </c>
      <c r="D7">
        <f t="shared" si="1"/>
        <v>0.16193111118227865</v>
      </c>
      <c r="E7">
        <f t="shared" si="2"/>
        <v>2.622168476872749E-2</v>
      </c>
    </row>
    <row r="8" spans="1:8" x14ac:dyDescent="0.25">
      <c r="A8">
        <v>0.67678084125000004</v>
      </c>
      <c r="B8">
        <v>0.90766361969696585</v>
      </c>
      <c r="C8">
        <f t="shared" si="0"/>
        <v>0.7857755219091076</v>
      </c>
      <c r="D8">
        <f t="shared" si="1"/>
        <v>0.12188809778785825</v>
      </c>
      <c r="E8">
        <f t="shared" si="2"/>
        <v>1.4856708382342496E-2</v>
      </c>
    </row>
    <row r="9" spans="1:8" x14ac:dyDescent="0.25">
      <c r="A9">
        <v>0.72738813275000003</v>
      </c>
      <c r="B9">
        <v>0.99954748817518124</v>
      </c>
      <c r="C9">
        <f t="shared" si="0"/>
        <v>0.8559309657995926</v>
      </c>
      <c r="D9">
        <f t="shared" si="1"/>
        <v>0.14361652237558864</v>
      </c>
      <c r="E9">
        <f t="shared" si="2"/>
        <v>2.0625705499257952E-2</v>
      </c>
    </row>
    <row r="10" spans="1:8" x14ac:dyDescent="0.25">
      <c r="A10">
        <v>0.77799542425000001</v>
      </c>
      <c r="B10">
        <v>1.0529394658044144</v>
      </c>
      <c r="C10">
        <f t="shared" si="0"/>
        <v>0.91656935960859565</v>
      </c>
      <c r="D10">
        <f t="shared" si="1"/>
        <v>0.1363701061958188</v>
      </c>
      <c r="E10">
        <f t="shared" si="2"/>
        <v>1.8596805863858895E-2</v>
      </c>
    </row>
    <row r="11" spans="1:8" x14ac:dyDescent="0.25">
      <c r="A11">
        <v>0.82860271575</v>
      </c>
      <c r="B11">
        <v>1.0516977919060602</v>
      </c>
      <c r="C11">
        <f t="shared" si="0"/>
        <v>0.96555097010104374</v>
      </c>
      <c r="D11">
        <f t="shared" si="1"/>
        <v>8.6146821805016427E-2</v>
      </c>
      <c r="E11">
        <f t="shared" si="2"/>
        <v>7.421274907105254E-3</v>
      </c>
    </row>
    <row r="12" spans="1:8" x14ac:dyDescent="0.25">
      <c r="A12">
        <v>0.87921000724999998</v>
      </c>
      <c r="B12">
        <v>1.126198225807316</v>
      </c>
      <c r="C12">
        <f t="shared" si="0"/>
        <v>1.0010941900736763</v>
      </c>
      <c r="D12">
        <f t="shared" si="1"/>
        <v>0.12510403573363971</v>
      </c>
      <c r="E12">
        <f t="shared" si="2"/>
        <v>1.5651019756843802E-2</v>
      </c>
    </row>
    <row r="13" spans="1:8" x14ac:dyDescent="0.25">
      <c r="A13">
        <v>0.92981729874999997</v>
      </c>
      <c r="B13">
        <v>1.2329821810657826</v>
      </c>
      <c r="C13">
        <f t="shared" si="0"/>
        <v>1.0218830916508994</v>
      </c>
      <c r="D13">
        <f t="shared" si="1"/>
        <v>0.2110990894148832</v>
      </c>
      <c r="E13">
        <f t="shared" si="2"/>
        <v>4.4562825551792855E-2</v>
      </c>
    </row>
    <row r="14" spans="1:8" x14ac:dyDescent="0.25">
      <c r="A14">
        <v>0.98042459024999995</v>
      </c>
      <c r="B14">
        <v>1.3658412881896886</v>
      </c>
      <c r="C14">
        <f t="shared" si="0"/>
        <v>1.0271544322945514</v>
      </c>
      <c r="D14">
        <f t="shared" si="1"/>
        <v>0.33868685589513725</v>
      </c>
      <c r="E14">
        <f t="shared" si="2"/>
        <v>0.11470878635613346</v>
      </c>
    </row>
    <row r="15" spans="1:8" x14ac:dyDescent="0.25">
      <c r="A15">
        <v>1.0310318817499999</v>
      </c>
      <c r="B15">
        <v>1.0430060746175804</v>
      </c>
      <c r="C15">
        <f t="shared" si="0"/>
        <v>1.016755447591172</v>
      </c>
      <c r="D15">
        <f t="shared" si="1"/>
        <v>2.6250627026408457E-2</v>
      </c>
      <c r="E15">
        <f t="shared" si="2"/>
        <v>6.8909541927960618E-4</v>
      </c>
    </row>
    <row r="16" spans="1:8" x14ac:dyDescent="0.25">
      <c r="A16">
        <v>1.0816391732500001</v>
      </c>
      <c r="B16">
        <v>0.99954748817518124</v>
      </c>
      <c r="C16">
        <f t="shared" si="0"/>
        <v>0.99116562394455443</v>
      </c>
      <c r="D16">
        <f t="shared" si="1"/>
        <v>8.3818642306268121E-3</v>
      </c>
      <c r="E16">
        <f t="shared" si="2"/>
        <v>7.0255647980661204E-5</v>
      </c>
    </row>
    <row r="17" spans="1:5" x14ac:dyDescent="0.25">
      <c r="A17">
        <v>1.1322464647500001</v>
      </c>
      <c r="B17">
        <v>0.80584636003191634</v>
      </c>
      <c r="C17">
        <f t="shared" si="0"/>
        <v>0.95147843296943335</v>
      </c>
      <c r="D17">
        <f t="shared" si="1"/>
        <v>-0.14563207293751701</v>
      </c>
      <c r="E17">
        <f t="shared" si="2"/>
        <v>2.1208700668078274E-2</v>
      </c>
    </row>
    <row r="18" spans="1:5" x14ac:dyDescent="0.25">
      <c r="A18">
        <v>1.1828537562500001</v>
      </c>
      <c r="B18">
        <v>0.74500433901255747</v>
      </c>
      <c r="C18">
        <f t="shared" si="0"/>
        <v>0.89934249428421975</v>
      </c>
      <c r="D18">
        <f t="shared" si="1"/>
        <v>-0.15433815527166228</v>
      </c>
      <c r="E18">
        <f t="shared" si="2"/>
        <v>2.3820266172659737E-2</v>
      </c>
    </row>
    <row r="19" spans="1:5" x14ac:dyDescent="0.25">
      <c r="A19">
        <v>1.2334610477500001</v>
      </c>
      <c r="B19">
        <v>0.63449536205902812</v>
      </c>
      <c r="C19">
        <f t="shared" si="0"/>
        <v>0.83686545348187236</v>
      </c>
      <c r="D19">
        <f t="shared" si="1"/>
        <v>-0.20237009142284423</v>
      </c>
      <c r="E19">
        <f t="shared" si="2"/>
        <v>4.0953653902490332E-2</v>
      </c>
    </row>
    <row r="20" spans="1:5" x14ac:dyDescent="0.25">
      <c r="A20">
        <v>1.2840683392500001</v>
      </c>
      <c r="B20">
        <v>0.56496162375118941</v>
      </c>
      <c r="C20">
        <f t="shared" si="0"/>
        <v>0.76648756832443266</v>
      </c>
      <c r="D20">
        <f t="shared" si="1"/>
        <v>-0.20152594457324324</v>
      </c>
      <c r="E20">
        <f t="shared" si="2"/>
        <v>4.0612706336137908E-2</v>
      </c>
    </row>
    <row r="21" spans="1:5" x14ac:dyDescent="0.25">
      <c r="A21">
        <v>1.3346756307500001</v>
      </c>
      <c r="B21">
        <v>0.51901968951208166</v>
      </c>
      <c r="C21">
        <f t="shared" si="0"/>
        <v>0.69083511244426554</v>
      </c>
      <c r="D21">
        <f t="shared" si="1"/>
        <v>-0.17181542293218388</v>
      </c>
      <c r="E21">
        <f t="shared" si="2"/>
        <v>2.9520539557365218E-2</v>
      </c>
    </row>
    <row r="22" spans="1:5" x14ac:dyDescent="0.25">
      <c r="A22">
        <v>1.38528292225</v>
      </c>
      <c r="B22">
        <v>0.47680277696803675</v>
      </c>
      <c r="C22">
        <f t="shared" si="0"/>
        <v>0.6125658017246004</v>
      </c>
      <c r="D22">
        <f t="shared" si="1"/>
        <v>-0.13576302475656365</v>
      </c>
      <c r="E22">
        <f t="shared" si="2"/>
        <v>1.8431598891051316E-2</v>
      </c>
    </row>
    <row r="23" spans="1:5" x14ac:dyDescent="0.25">
      <c r="A23">
        <v>1.43589021375</v>
      </c>
      <c r="B23">
        <v>0.43955256001740889</v>
      </c>
      <c r="C23">
        <f t="shared" si="0"/>
        <v>0.53421921263225114</v>
      </c>
      <c r="D23">
        <f t="shared" si="1"/>
        <v>-9.466665261484225E-2</v>
      </c>
      <c r="E23">
        <f t="shared" si="2"/>
        <v>8.9617751172992189E-3</v>
      </c>
    </row>
    <row r="24" spans="1:5" x14ac:dyDescent="0.25">
      <c r="A24">
        <v>1.48649750525</v>
      </c>
      <c r="B24">
        <v>0.35511873492931906</v>
      </c>
      <c r="C24">
        <f t="shared" si="0"/>
        <v>0.45808446014094506</v>
      </c>
      <c r="D24">
        <f t="shared" si="1"/>
        <v>-0.102965725211626</v>
      </c>
      <c r="E24">
        <f t="shared" si="2"/>
        <v>1.0601940568356075E-2</v>
      </c>
    </row>
    <row r="25" spans="1:5" x14ac:dyDescent="0.25">
      <c r="A25">
        <v>1.53710479675</v>
      </c>
      <c r="B25">
        <v>0.35884375662438184</v>
      </c>
      <c r="C25">
        <f t="shared" si="0"/>
        <v>0.38609531043355072</v>
      </c>
      <c r="D25">
        <f t="shared" si="1"/>
        <v>-2.7251553809168882E-2</v>
      </c>
      <c r="E25">
        <f t="shared" si="2"/>
        <v>7.4264718501402703E-4</v>
      </c>
    </row>
    <row r="26" spans="1:5" x14ac:dyDescent="0.25">
      <c r="A26">
        <v>1.58771208825</v>
      </c>
      <c r="B26">
        <v>0.27440993153629201</v>
      </c>
      <c r="C26">
        <f t="shared" si="0"/>
        <v>0.31975969982771818</v>
      </c>
      <c r="D26">
        <f t="shared" si="1"/>
        <v>-4.5349768291426173E-2</v>
      </c>
      <c r="E26">
        <f t="shared" si="2"/>
        <v>2.0566014840860429E-3</v>
      </c>
    </row>
    <row r="27" spans="1:5" x14ac:dyDescent="0.25">
      <c r="A27">
        <v>1.63831937975</v>
      </c>
      <c r="B27">
        <v>0.31041847458856558</v>
      </c>
      <c r="C27">
        <f t="shared" si="0"/>
        <v>0.26012675912671784</v>
      </c>
      <c r="D27">
        <f t="shared" si="1"/>
        <v>5.0291715461847741E-2</v>
      </c>
      <c r="E27">
        <f t="shared" si="2"/>
        <v>2.529256644095455E-3</v>
      </c>
    </row>
    <row r="28" spans="1:5" x14ac:dyDescent="0.25">
      <c r="A28">
        <v>1.68892667125</v>
      </c>
      <c r="B28">
        <v>0.23591804068730987</v>
      </c>
      <c r="C28">
        <f t="shared" si="0"/>
        <v>0.20779043598429053</v>
      </c>
      <c r="D28">
        <f t="shared" si="1"/>
        <v>2.8127604703019338E-2</v>
      </c>
      <c r="E28">
        <f t="shared" si="2"/>
        <v>7.9116214632931551E-4</v>
      </c>
    </row>
    <row r="29" spans="1:5" x14ac:dyDescent="0.25">
      <c r="A29">
        <v>1.7395339627499999</v>
      </c>
      <c r="B29">
        <v>0.25454314916262377</v>
      </c>
      <c r="C29">
        <f t="shared" si="0"/>
        <v>0.16292520321817339</v>
      </c>
      <c r="D29">
        <f t="shared" si="1"/>
        <v>9.1617945944450385E-2</v>
      </c>
      <c r="E29">
        <f t="shared" si="2"/>
        <v>8.3938480190802328E-3</v>
      </c>
    </row>
    <row r="30" spans="1:5" x14ac:dyDescent="0.25">
      <c r="A30">
        <v>1.7901412542499999</v>
      </c>
      <c r="B30">
        <v>0.18376773695643084</v>
      </c>
      <c r="C30">
        <f t="shared" si="0"/>
        <v>0.12534658809679133</v>
      </c>
      <c r="D30">
        <f t="shared" si="1"/>
        <v>5.8421148859639505E-2</v>
      </c>
      <c r="E30">
        <f t="shared" si="2"/>
        <v>3.4130306340801582E-3</v>
      </c>
    </row>
    <row r="31" spans="1:5" x14ac:dyDescent="0.25">
      <c r="A31">
        <v>1.8407485457499999</v>
      </c>
      <c r="B31">
        <v>0.1589342589893456</v>
      </c>
      <c r="C31">
        <f t="shared" si="0"/>
        <v>9.4587649103969884E-2</v>
      </c>
      <c r="D31">
        <f t="shared" si="1"/>
        <v>6.4346609885375716E-2</v>
      </c>
      <c r="E31">
        <f t="shared" si="2"/>
        <v>4.1404862037407323E-3</v>
      </c>
    </row>
    <row r="32" spans="1:5" x14ac:dyDescent="0.25">
      <c r="A32">
        <v>1.8913558372499999</v>
      </c>
      <c r="B32">
        <v>0.15148421559922001</v>
      </c>
      <c r="C32">
        <f t="shared" si="0"/>
        <v>6.9982159361470495E-2</v>
      </c>
      <c r="D32">
        <f t="shared" si="1"/>
        <v>8.1502056237749518E-2</v>
      </c>
      <c r="E32">
        <f t="shared" si="2"/>
        <v>6.642585170981285E-3</v>
      </c>
    </row>
    <row r="33" spans="1:5" x14ac:dyDescent="0.25">
      <c r="A33">
        <v>1.9419631287499999</v>
      </c>
      <c r="B33">
        <v>8.319215118973558E-2</v>
      </c>
      <c r="C33">
        <f t="shared" si="0"/>
        <v>5.0746030381708274E-2</v>
      </c>
      <c r="D33">
        <f t="shared" si="1"/>
        <v>3.2446120808027307E-2</v>
      </c>
      <c r="E33">
        <f t="shared" si="2"/>
        <v>1.0527507554891026E-3</v>
      </c>
    </row>
    <row r="34" spans="1:5" x14ac:dyDescent="0.25">
      <c r="A34">
        <v>1.9925704202499999</v>
      </c>
      <c r="B34">
        <v>3.4766869153919348E-2</v>
      </c>
      <c r="C34">
        <f t="shared" si="0"/>
        <v>3.6050166411308697E-2</v>
      </c>
      <c r="D34">
        <f t="shared" si="1"/>
        <v>-1.2832972573893486E-3</v>
      </c>
      <c r="E34">
        <f t="shared" si="2"/>
        <v>1.6468518508230241E-6</v>
      </c>
    </row>
    <row r="35" spans="1:5" x14ac:dyDescent="0.25">
      <c r="A35">
        <v>2.0431777117500003</v>
      </c>
      <c r="B35">
        <v>0</v>
      </c>
      <c r="C35">
        <f t="shared" si="0"/>
        <v>2.5080120245249585E-2</v>
      </c>
      <c r="D35">
        <f t="shared" si="1"/>
        <v>-2.5080120245249585E-2</v>
      </c>
      <c r="E35">
        <f t="shared" si="2"/>
        <v>6.2901243151617812E-4</v>
      </c>
    </row>
    <row r="36" spans="1:5" x14ac:dyDescent="0.25">
      <c r="A36">
        <v>2.0937850032499998</v>
      </c>
      <c r="B36">
        <v>0</v>
      </c>
      <c r="C36">
        <f t="shared" si="0"/>
        <v>1.7080242789268871E-2</v>
      </c>
      <c r="D36">
        <f t="shared" si="1"/>
        <v>-1.7080242789268871E-2</v>
      </c>
      <c r="E36">
        <f t="shared" si="2"/>
        <v>2.9173469374037128E-4</v>
      </c>
    </row>
    <row r="37" spans="1:5" x14ac:dyDescent="0.25">
      <c r="A37">
        <v>2.1443922947500003</v>
      </c>
      <c r="B37">
        <v>0</v>
      </c>
      <c r="C37">
        <f t="shared" si="0"/>
        <v>1.1382140628100753E-2</v>
      </c>
      <c r="D37">
        <f t="shared" si="1"/>
        <v>-1.1382140628100753E-2</v>
      </c>
      <c r="E37">
        <f t="shared" si="2"/>
        <v>1.2955312527786179E-4</v>
      </c>
    </row>
    <row r="38" spans="1:5" x14ac:dyDescent="0.25">
      <c r="A38">
        <v>2.1949995862499998</v>
      </c>
      <c r="B38">
        <v>0</v>
      </c>
      <c r="C38">
        <f t="shared" si="0"/>
        <v>7.4189314069275699E-3</v>
      </c>
      <c r="D38">
        <f t="shared" si="1"/>
        <v>-7.4189314069275699E-3</v>
      </c>
      <c r="E38">
        <f t="shared" si="2"/>
        <v>5.5040543220696291E-5</v>
      </c>
    </row>
    <row r="39" spans="1:5" x14ac:dyDescent="0.25">
      <c r="A39">
        <v>2.2456068777500002</v>
      </c>
      <c r="B39">
        <v>0</v>
      </c>
      <c r="C39">
        <f t="shared" si="0"/>
        <v>4.7278866449064491E-3</v>
      </c>
      <c r="D39">
        <f t="shared" si="1"/>
        <v>-4.7278866449064491E-3</v>
      </c>
      <c r="E39">
        <f t="shared" si="2"/>
        <v>2.2352912127084761E-5</v>
      </c>
    </row>
    <row r="40" spans="1:5" x14ac:dyDescent="0.25">
      <c r="A40">
        <v>2.2962141692499998</v>
      </c>
      <c r="B40">
        <v>1.2416738983542625E-3</v>
      </c>
      <c r="C40">
        <f t="shared" si="0"/>
        <v>2.9445622309343784E-3</v>
      </c>
      <c r="D40">
        <f t="shared" si="1"/>
        <v>-1.7028883325801158E-3</v>
      </c>
      <c r="E40">
        <f t="shared" si="2"/>
        <v>2.8998286732374872E-6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DC15-8DB1-438C-B9F1-F9FED335E1C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0.37023597596250002</v>
      </c>
      <c r="B1">
        <v>0.10067843815212042</v>
      </c>
      <c r="C1">
        <f>$H$3*(1+$H$1)*(A1^($H$1))*EXP(-$H$3*(A1^(1+$H$1)))</f>
        <v>0.24134644598917948</v>
      </c>
      <c r="D1">
        <f>B1-C1</f>
        <v>-0.14066800783705907</v>
      </c>
      <c r="E1">
        <f>D1^2</f>
        <v>1.9787488428846912E-2</v>
      </c>
      <c r="G1" t="s">
        <v>0</v>
      </c>
      <c r="H1">
        <v>2.223607919199075</v>
      </c>
    </row>
    <row r="2" spans="1:8" x14ac:dyDescent="0.25">
      <c r="A2">
        <v>0.41767085188749997</v>
      </c>
      <c r="B2">
        <v>0.21195460663604299</v>
      </c>
      <c r="C2">
        <f t="shared" ref="C2:C40" si="0">$H$3*(1+$H$1)*(A2^($H$1))*EXP(-$H$3*(A2^(1+$H$1)))</f>
        <v>0.3112979874113278</v>
      </c>
      <c r="D2">
        <f t="shared" ref="D2:D40" si="1">B2-C2</f>
        <v>-9.9343380775284817E-2</v>
      </c>
      <c r="E2">
        <f t="shared" ref="E2:E40" si="2">D2^2</f>
        <v>9.8691073038632282E-3</v>
      </c>
    </row>
    <row r="3" spans="1:8" x14ac:dyDescent="0.25">
      <c r="A3">
        <v>0.46510572781250004</v>
      </c>
      <c r="B3">
        <v>0.31263304478816339</v>
      </c>
      <c r="C3">
        <f t="shared" si="0"/>
        <v>0.38858441001963395</v>
      </c>
      <c r="D3">
        <f t="shared" si="1"/>
        <v>-7.5951365231470558E-2</v>
      </c>
      <c r="E3">
        <f t="shared" si="2"/>
        <v>5.7686098805242343E-3</v>
      </c>
      <c r="G3" t="s">
        <v>1</v>
      </c>
      <c r="H3">
        <f>(_xlfn.GAMMA((2+$H$1)/(1+$H$1)))^(1+$H$1)</f>
        <v>0.70180998711122744</v>
      </c>
    </row>
    <row r="4" spans="1:8" x14ac:dyDescent="0.25">
      <c r="A4">
        <v>0.51254060373749999</v>
      </c>
      <c r="B4">
        <v>0.40668790148290745</v>
      </c>
      <c r="C4">
        <f t="shared" si="0"/>
        <v>0.47181313465235603</v>
      </c>
      <c r="D4">
        <f t="shared" si="1"/>
        <v>-6.5125233169448571E-2</v>
      </c>
      <c r="E4">
        <f t="shared" si="2"/>
        <v>4.2412959953750445E-3</v>
      </c>
    </row>
    <row r="5" spans="1:8" x14ac:dyDescent="0.25">
      <c r="A5">
        <v>0.55997547966250005</v>
      </c>
      <c r="B5">
        <v>0.71534679739664508</v>
      </c>
      <c r="C5">
        <f t="shared" si="0"/>
        <v>0.55921315097733792</v>
      </c>
      <c r="D5">
        <f t="shared" si="1"/>
        <v>0.15613364641930716</v>
      </c>
      <c r="E5">
        <f t="shared" si="2"/>
        <v>2.4377715544189226E-2</v>
      </c>
      <c r="G5" t="s">
        <v>2</v>
      </c>
      <c r="H5">
        <f>SUM(E1:E40)</f>
        <v>0.65659472315234579</v>
      </c>
    </row>
    <row r="6" spans="1:8" x14ac:dyDescent="0.25">
      <c r="A6">
        <v>0.60741035558750001</v>
      </c>
      <c r="B6">
        <v>0.90610594336908379</v>
      </c>
      <c r="C6">
        <f t="shared" si="0"/>
        <v>0.64865216490691391</v>
      </c>
      <c r="D6">
        <f t="shared" si="1"/>
        <v>0.25745377846216988</v>
      </c>
      <c r="E6">
        <f t="shared" si="2"/>
        <v>6.628244804444805E-2</v>
      </c>
    </row>
    <row r="7" spans="1:8" x14ac:dyDescent="0.25">
      <c r="A7">
        <v>0.65484523151249996</v>
      </c>
      <c r="B7">
        <v>0.90743065966055902</v>
      </c>
      <c r="C7">
        <f t="shared" si="0"/>
        <v>0.73767925668600098</v>
      </c>
      <c r="D7">
        <f t="shared" si="1"/>
        <v>0.16975140297455804</v>
      </c>
      <c r="E7">
        <f t="shared" si="2"/>
        <v>2.8815538811830792E-2</v>
      </c>
    </row>
    <row r="8" spans="1:8" x14ac:dyDescent="0.25">
      <c r="A8">
        <v>0.70228010743750002</v>
      </c>
      <c r="B8">
        <v>0.9935372186064515</v>
      </c>
      <c r="C8">
        <f t="shared" si="0"/>
        <v>0.82359575126930085</v>
      </c>
      <c r="D8">
        <f t="shared" si="1"/>
        <v>0.16994146733715065</v>
      </c>
      <c r="E8">
        <f t="shared" si="2"/>
        <v>2.8880102320703843E-2</v>
      </c>
    </row>
    <row r="9" spans="1:8" x14ac:dyDescent="0.25">
      <c r="A9">
        <v>0.74971498336250009</v>
      </c>
      <c r="B9">
        <v>1.0465258702654623</v>
      </c>
      <c r="C9">
        <f t="shared" si="0"/>
        <v>0.9035548084317957</v>
      </c>
      <c r="D9">
        <f t="shared" si="1"/>
        <v>0.14297106183366659</v>
      </c>
      <c r="E9">
        <f t="shared" si="2"/>
        <v>2.0440724521846115E-2</v>
      </c>
    </row>
    <row r="10" spans="1:8" x14ac:dyDescent="0.25">
      <c r="A10">
        <v>0.79714985928749993</v>
      </c>
      <c r="B10">
        <v>1.1829716482874149</v>
      </c>
      <c r="C10">
        <f t="shared" si="0"/>
        <v>0.97468748203719424</v>
      </c>
      <c r="D10">
        <f t="shared" si="1"/>
        <v>0.20828416625022061</v>
      </c>
      <c r="E10">
        <f t="shared" si="2"/>
        <v>4.3382293910549541E-2</v>
      </c>
    </row>
    <row r="11" spans="1:8" x14ac:dyDescent="0.25">
      <c r="A11">
        <v>0.84458473521249999</v>
      </c>
      <c r="B11">
        <v>1.1339571455028299</v>
      </c>
      <c r="C11">
        <f t="shared" si="0"/>
        <v>1.0342498505027915</v>
      </c>
      <c r="D11">
        <f t="shared" si="1"/>
        <v>9.9707295000038387E-2</v>
      </c>
      <c r="E11">
        <f t="shared" si="2"/>
        <v>9.9415446762246805E-3</v>
      </c>
    </row>
    <row r="12" spans="1:8" x14ac:dyDescent="0.25">
      <c r="A12">
        <v>0.89201961113750006</v>
      </c>
      <c r="B12">
        <v>1.1763480668300386</v>
      </c>
      <c r="C12">
        <f t="shared" si="0"/>
        <v>1.0797825819708493</v>
      </c>
      <c r="D12">
        <f t="shared" si="1"/>
        <v>9.6565484859189255E-2</v>
      </c>
      <c r="E12">
        <f t="shared" si="2"/>
        <v>9.3248928660903084E-3</v>
      </c>
    </row>
    <row r="13" spans="1:8" x14ac:dyDescent="0.25">
      <c r="A13">
        <v>0.93945448706250012</v>
      </c>
      <c r="B13">
        <v>1.311469128560516</v>
      </c>
      <c r="C13">
        <f t="shared" si="0"/>
        <v>1.1092713720300755</v>
      </c>
      <c r="D13">
        <f t="shared" si="1"/>
        <v>0.20219775653044048</v>
      </c>
      <c r="E13">
        <f t="shared" si="2"/>
        <v>4.0883932745943284E-2</v>
      </c>
    </row>
    <row r="14" spans="1:8" x14ac:dyDescent="0.25">
      <c r="A14">
        <v>0.98688936298749996</v>
      </c>
      <c r="B14">
        <v>1.3498859010132989</v>
      </c>
      <c r="C14">
        <f t="shared" si="0"/>
        <v>1.1212945475413303</v>
      </c>
      <c r="D14">
        <f t="shared" si="1"/>
        <v>0.22859135347196857</v>
      </c>
      <c r="E14">
        <f t="shared" si="2"/>
        <v>5.225400688214648E-2</v>
      </c>
    </row>
    <row r="15" spans="1:8" x14ac:dyDescent="0.25">
      <c r="A15">
        <v>1.0343242389125</v>
      </c>
      <c r="B15">
        <v>1.2836500864395353</v>
      </c>
      <c r="C15">
        <f t="shared" si="0"/>
        <v>1.1151432347997727</v>
      </c>
      <c r="D15">
        <f t="shared" si="1"/>
        <v>0.16850685163976253</v>
      </c>
      <c r="E15">
        <f t="shared" si="2"/>
        <v>2.8394559049544941E-2</v>
      </c>
    </row>
    <row r="16" spans="1:8" x14ac:dyDescent="0.25">
      <c r="A16">
        <v>1.0817591148375001</v>
      </c>
      <c r="B16">
        <v>1.0610977494716902</v>
      </c>
      <c r="C16">
        <f t="shared" si="0"/>
        <v>1.0909002264241445</v>
      </c>
      <c r="D16">
        <f t="shared" si="1"/>
        <v>-2.9802476952454304E-2</v>
      </c>
      <c r="E16">
        <f t="shared" si="2"/>
        <v>8.8818763250157003E-4</v>
      </c>
    </row>
    <row r="17" spans="1:5" x14ac:dyDescent="0.25">
      <c r="A17">
        <v>1.1291939907624999</v>
      </c>
      <c r="B17">
        <v>0.92067782257531172</v>
      </c>
      <c r="C17">
        <f t="shared" si="0"/>
        <v>1.0494662557807224</v>
      </c>
      <c r="D17">
        <f t="shared" si="1"/>
        <v>-0.12878843320541067</v>
      </c>
      <c r="E17">
        <f t="shared" si="2"/>
        <v>1.6586460527504527E-2</v>
      </c>
    </row>
    <row r="18" spans="1:5" x14ac:dyDescent="0.25">
      <c r="A18">
        <v>1.1766288666875</v>
      </c>
      <c r="B18">
        <v>0.82927239846351819</v>
      </c>
      <c r="C18">
        <f t="shared" si="0"/>
        <v>0.99252675226944065</v>
      </c>
      <c r="D18">
        <f t="shared" si="1"/>
        <v>-0.16325435380592246</v>
      </c>
      <c r="E18">
        <f t="shared" si="2"/>
        <v>2.6651984036589308E-2</v>
      </c>
    </row>
    <row r="19" spans="1:5" x14ac:dyDescent="0.25">
      <c r="A19">
        <v>1.2240637426125001</v>
      </c>
      <c r="B19">
        <v>0.69282662044156551</v>
      </c>
      <c r="C19">
        <f t="shared" si="0"/>
        <v>0.92245795539595765</v>
      </c>
      <c r="D19">
        <f t="shared" si="1"/>
        <v>-0.22963133495439214</v>
      </c>
      <c r="E19">
        <f t="shared" si="2"/>
        <v>5.2730549992936235E-2</v>
      </c>
    </row>
    <row r="20" spans="1:5" x14ac:dyDescent="0.25">
      <c r="A20">
        <v>1.2714986185375001</v>
      </c>
      <c r="B20">
        <v>0.59347289858092034</v>
      </c>
      <c r="C20">
        <f t="shared" si="0"/>
        <v>0.84217786257078975</v>
      </c>
      <c r="D20">
        <f t="shared" si="1"/>
        <v>-0.24870496398986941</v>
      </c>
      <c r="E20">
        <f t="shared" si="2"/>
        <v>6.1854159113202238E-2</v>
      </c>
    </row>
    <row r="21" spans="1:5" x14ac:dyDescent="0.25">
      <c r="A21">
        <v>1.3189334944625002</v>
      </c>
      <c r="B21">
        <v>0.60672006149567304</v>
      </c>
      <c r="C21">
        <f t="shared" si="0"/>
        <v>0.75495399649387607</v>
      </c>
      <c r="D21">
        <f t="shared" si="1"/>
        <v>-0.14823393499820303</v>
      </c>
      <c r="E21">
        <f t="shared" si="2"/>
        <v>2.1973299485051483E-2</v>
      </c>
    </row>
    <row r="22" spans="1:5" x14ac:dyDescent="0.25">
      <c r="A22">
        <v>1.3663683703875</v>
      </c>
      <c r="B22">
        <v>0.55240669354518701</v>
      </c>
      <c r="C22">
        <f t="shared" si="0"/>
        <v>0.66418542121136059</v>
      </c>
      <c r="D22">
        <f t="shared" si="1"/>
        <v>-0.11177872766617358</v>
      </c>
      <c r="E22">
        <f t="shared" si="2"/>
        <v>1.24944839586686E-2</v>
      </c>
    </row>
    <row r="23" spans="1:5" x14ac:dyDescent="0.25">
      <c r="A23">
        <v>1.4138032463124999</v>
      </c>
      <c r="B23">
        <v>0.40933733406585804</v>
      </c>
      <c r="C23">
        <f t="shared" si="0"/>
        <v>0.57317989840087269</v>
      </c>
      <c r="D23">
        <f t="shared" si="1"/>
        <v>-0.16384256433501465</v>
      </c>
      <c r="E23">
        <f t="shared" si="2"/>
        <v>2.6844385887873416E-2</v>
      </c>
    </row>
    <row r="24" spans="1:5" x14ac:dyDescent="0.25">
      <c r="A24">
        <v>1.4612381222374999</v>
      </c>
      <c r="B24">
        <v>0.36959584532159995</v>
      </c>
      <c r="C24">
        <f t="shared" si="0"/>
        <v>0.48494789594182547</v>
      </c>
      <c r="D24">
        <f t="shared" si="1"/>
        <v>-0.11535205062022552</v>
      </c>
      <c r="E24">
        <f t="shared" si="2"/>
        <v>1.3306095582291072E-2</v>
      </c>
    </row>
    <row r="25" spans="1:5" x14ac:dyDescent="0.25">
      <c r="A25">
        <v>1.5086729981625</v>
      </c>
      <c r="B25">
        <v>0.3881418734022537</v>
      </c>
      <c r="C25">
        <f t="shared" si="0"/>
        <v>0.40203308396289361</v>
      </c>
      <c r="D25">
        <f t="shared" si="1"/>
        <v>-1.3891210560639911E-2</v>
      </c>
      <c r="E25">
        <f t="shared" si="2"/>
        <v>1.9296573084003378E-4</v>
      </c>
    </row>
    <row r="26" spans="1:5" x14ac:dyDescent="0.25">
      <c r="A26">
        <v>1.5561078740875001</v>
      </c>
      <c r="B26">
        <v>0.33912737061766879</v>
      </c>
      <c r="C26">
        <f t="shared" si="0"/>
        <v>0.326394213796801</v>
      </c>
      <c r="D26">
        <f t="shared" si="1"/>
        <v>1.2733156820867786E-2</v>
      </c>
      <c r="E26">
        <f t="shared" si="2"/>
        <v>1.6213328262481183E-4</v>
      </c>
    </row>
    <row r="27" spans="1:5" x14ac:dyDescent="0.25">
      <c r="A27">
        <v>1.6035427500125001</v>
      </c>
      <c r="B27">
        <v>0.2742162723353806</v>
      </c>
      <c r="C27">
        <f t="shared" si="0"/>
        <v>0.25934658270828231</v>
      </c>
      <c r="D27">
        <f t="shared" si="1"/>
        <v>1.4869689627098281E-2</v>
      </c>
      <c r="E27">
        <f t="shared" si="2"/>
        <v>2.2110766960623424E-4</v>
      </c>
    </row>
    <row r="28" spans="1:5" x14ac:dyDescent="0.25">
      <c r="A28">
        <v>1.6509776259375002</v>
      </c>
      <c r="B28">
        <v>0.25964439312915266</v>
      </c>
      <c r="C28">
        <f t="shared" si="0"/>
        <v>0.20156370879977342</v>
      </c>
      <c r="D28">
        <f t="shared" si="1"/>
        <v>5.808068432937924E-2</v>
      </c>
      <c r="E28">
        <f t="shared" si="2"/>
        <v>3.373365892168999E-3</v>
      </c>
    </row>
    <row r="29" spans="1:5" x14ac:dyDescent="0.25">
      <c r="A29">
        <v>1.6984125018624998</v>
      </c>
      <c r="B29">
        <v>0.25434552796325161</v>
      </c>
      <c r="C29">
        <f t="shared" si="0"/>
        <v>0.15313259693399706</v>
      </c>
      <c r="D29">
        <f t="shared" si="1"/>
        <v>0.10121293102925455</v>
      </c>
      <c r="E29">
        <f t="shared" si="2"/>
        <v>1.0244057407532639E-2</v>
      </c>
    </row>
    <row r="30" spans="1:5" x14ac:dyDescent="0.25">
      <c r="A30">
        <v>1.7458473777874999</v>
      </c>
      <c r="B30">
        <v>0.16823896901735913</v>
      </c>
      <c r="C30">
        <f t="shared" si="0"/>
        <v>0.11365019985155132</v>
      </c>
      <c r="D30">
        <f t="shared" si="1"/>
        <v>5.4588769165807807E-2</v>
      </c>
      <c r="E30">
        <f t="shared" si="2"/>
        <v>2.9799337190378494E-3</v>
      </c>
    </row>
    <row r="31" spans="1:5" x14ac:dyDescent="0.25">
      <c r="A31">
        <v>1.7932822537124999</v>
      </c>
      <c r="B31">
        <v>0.18810971338948815</v>
      </c>
      <c r="C31">
        <f t="shared" si="0"/>
        <v>8.2345187274368556E-2</v>
      </c>
      <c r="D31">
        <f t="shared" si="1"/>
        <v>0.10576452611511959</v>
      </c>
      <c r="E31">
        <f t="shared" si="2"/>
        <v>1.1186134984355814E-2</v>
      </c>
    </row>
    <row r="32" spans="1:5" x14ac:dyDescent="0.25">
      <c r="A32">
        <v>1.8407171296375002</v>
      </c>
      <c r="B32">
        <v>9.0080707820318268E-2</v>
      </c>
      <c r="C32">
        <f t="shared" si="0"/>
        <v>5.8208282395740774E-2</v>
      </c>
      <c r="D32">
        <f t="shared" si="1"/>
        <v>3.1872425424577494E-2</v>
      </c>
      <c r="E32">
        <f t="shared" si="2"/>
        <v>1.0158515024452539E-3</v>
      </c>
    </row>
    <row r="33" spans="1:5" x14ac:dyDescent="0.25">
      <c r="A33">
        <v>1.8881520055625001</v>
      </c>
      <c r="B33">
        <v>4.3715637618683863E-2</v>
      </c>
      <c r="C33">
        <f t="shared" si="0"/>
        <v>4.0116054138038551E-2</v>
      </c>
      <c r="D33">
        <f t="shared" si="1"/>
        <v>3.5995834806453117E-3</v>
      </c>
      <c r="E33">
        <f t="shared" si="2"/>
        <v>1.2957001234134617E-5</v>
      </c>
    </row>
    <row r="34" spans="1:5" x14ac:dyDescent="0.25">
      <c r="A34">
        <v>1.9355868814875001</v>
      </c>
      <c r="B34">
        <v>0</v>
      </c>
      <c r="C34">
        <f t="shared" si="0"/>
        <v>2.6936574476991521E-2</v>
      </c>
      <c r="D34">
        <f t="shared" si="1"/>
        <v>-2.6936574476991521E-2</v>
      </c>
      <c r="E34">
        <f t="shared" si="2"/>
        <v>7.2557904455451097E-4</v>
      </c>
    </row>
    <row r="35" spans="1:5" x14ac:dyDescent="0.25">
      <c r="A35">
        <v>1.9830217574125002</v>
      </c>
      <c r="B35">
        <v>0</v>
      </c>
      <c r="C35">
        <f t="shared" si="0"/>
        <v>1.7609903066843992E-2</v>
      </c>
      <c r="D35">
        <f t="shared" si="1"/>
        <v>-1.7609903066843992E-2</v>
      </c>
      <c r="E35">
        <f t="shared" si="2"/>
        <v>3.1010868602364145E-4</v>
      </c>
    </row>
    <row r="36" spans="1:5" x14ac:dyDescent="0.25">
      <c r="A36">
        <v>2.0304566333374998</v>
      </c>
      <c r="B36">
        <v>0</v>
      </c>
      <c r="C36">
        <f t="shared" si="0"/>
        <v>1.1201026155858402E-2</v>
      </c>
      <c r="D36">
        <f t="shared" si="1"/>
        <v>-1.1201026155858402E-2</v>
      </c>
      <c r="E36">
        <f t="shared" si="2"/>
        <v>1.2546298694422406E-4</v>
      </c>
    </row>
    <row r="37" spans="1:5" x14ac:dyDescent="0.25">
      <c r="A37">
        <v>2.0778915092624999</v>
      </c>
      <c r="B37">
        <v>0</v>
      </c>
      <c r="C37">
        <f t="shared" si="0"/>
        <v>6.9268698469401035E-3</v>
      </c>
      <c r="D37">
        <f t="shared" si="1"/>
        <v>-6.9268698469401035E-3</v>
      </c>
      <c r="E37">
        <f t="shared" si="2"/>
        <v>4.7981525876448013E-5</v>
      </c>
    </row>
    <row r="38" spans="1:5" x14ac:dyDescent="0.25">
      <c r="A38">
        <v>2.1253263851874999</v>
      </c>
      <c r="B38">
        <v>0</v>
      </c>
      <c r="C38">
        <f t="shared" si="0"/>
        <v>4.1618197060477478E-3</v>
      </c>
      <c r="D38">
        <f t="shared" si="1"/>
        <v>-4.1618197060477478E-3</v>
      </c>
      <c r="E38">
        <f t="shared" si="2"/>
        <v>1.7320743265647363E-5</v>
      </c>
    </row>
    <row r="39" spans="1:5" x14ac:dyDescent="0.25">
      <c r="A39">
        <v>2.1727612611125</v>
      </c>
      <c r="B39">
        <v>0</v>
      </c>
      <c r="C39">
        <f t="shared" si="0"/>
        <v>2.4276265147163217E-3</v>
      </c>
      <c r="D39">
        <f t="shared" si="1"/>
        <v>-2.4276265147163217E-3</v>
      </c>
      <c r="E39">
        <f t="shared" si="2"/>
        <v>5.8933704949537151E-6</v>
      </c>
    </row>
    <row r="40" spans="1:5" x14ac:dyDescent="0.25">
      <c r="A40">
        <v>2.2201961370375001</v>
      </c>
      <c r="B40">
        <v>1.3247162914752687E-3</v>
      </c>
      <c r="C40">
        <f t="shared" si="0"/>
        <v>1.3737733537963139E-3</v>
      </c>
      <c r="D40">
        <f t="shared" si="1"/>
        <v>-4.9057062321045163E-5</v>
      </c>
      <c r="E40">
        <f t="shared" si="2"/>
        <v>2.4065953635709089E-9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BA5A-7DDE-42CB-89B1-696BC4A8C5F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0.42629655489999996</v>
      </c>
      <c r="B1">
        <v>0.11002199929716491</v>
      </c>
      <c r="C1">
        <f>$H$3*(1+$H$1)*(A1^($H$1))*EXP(-$H$3*(A1^(1+$H$1)))</f>
        <v>0.25854768416875895</v>
      </c>
      <c r="D1">
        <f>B1-C1</f>
        <v>-0.14852568487159404</v>
      </c>
      <c r="E1">
        <f>D1^2</f>
        <v>2.2059879066576058E-2</v>
      </c>
      <c r="G1" t="s">
        <v>0</v>
      </c>
      <c r="H1">
        <v>2.6167449546035586</v>
      </c>
    </row>
    <row r="2" spans="1:8" x14ac:dyDescent="0.25">
      <c r="A2">
        <v>0.47027418669999999</v>
      </c>
      <c r="B2">
        <v>0.23576142706535339</v>
      </c>
      <c r="C2">
        <f t="shared" ref="C2:C40" si="0">$H$3*(1+$H$1)*(A2^($H$1))*EXP(-$H$3*(A2^(1+$H$1)))</f>
        <v>0.32983322382046504</v>
      </c>
      <c r="D2">
        <f t="shared" ref="D2:D40" si="1">B2-C2</f>
        <v>-9.4071796755111653E-2</v>
      </c>
      <c r="E2">
        <f t="shared" ref="E2:E40" si="2">D2^2</f>
        <v>8.8495029447350354E-3</v>
      </c>
    </row>
    <row r="3" spans="1:8" x14ac:dyDescent="0.25">
      <c r="A3">
        <v>0.51425181850000001</v>
      </c>
      <c r="B3">
        <v>0.34006799782760067</v>
      </c>
      <c r="C3">
        <f t="shared" si="0"/>
        <v>0.40968760855934544</v>
      </c>
      <c r="D3">
        <f t="shared" si="1"/>
        <v>-6.9619610731744774E-2</v>
      </c>
      <c r="E3">
        <f t="shared" si="2"/>
        <v>4.8468901984396722E-3</v>
      </c>
      <c r="G3" t="s">
        <v>1</v>
      </c>
      <c r="H3">
        <f>(_xlfn.GAMMA((2+$H$1)/(1+$H$1)))^(1+$H$1)</f>
        <v>0.68679979291525817</v>
      </c>
    </row>
    <row r="4" spans="1:8" x14ac:dyDescent="0.25">
      <c r="A4">
        <v>0.55822945030000004</v>
      </c>
      <c r="B4">
        <v>0.44866113999103618</v>
      </c>
      <c r="C4">
        <f t="shared" si="0"/>
        <v>0.49705625736055109</v>
      </c>
      <c r="D4">
        <f t="shared" si="1"/>
        <v>-4.8395117369514906E-2</v>
      </c>
      <c r="E4">
        <f t="shared" si="2"/>
        <v>2.3420873852091234E-3</v>
      </c>
    </row>
    <row r="5" spans="1:8" x14ac:dyDescent="0.25">
      <c r="A5">
        <v>0.60220708209999996</v>
      </c>
      <c r="B5">
        <v>0.72300170966708377</v>
      </c>
      <c r="C5">
        <f t="shared" si="0"/>
        <v>0.59041145639022885</v>
      </c>
      <c r="D5">
        <f t="shared" si="1"/>
        <v>0.13259025327685492</v>
      </c>
      <c r="E5">
        <f t="shared" si="2"/>
        <v>1.7580175264020538E-2</v>
      </c>
      <c r="G5" t="s">
        <v>2</v>
      </c>
      <c r="H5">
        <f>SUM(E1:E40)</f>
        <v>0.81906304884354386</v>
      </c>
    </row>
    <row r="6" spans="1:8" x14ac:dyDescent="0.25">
      <c r="A6">
        <v>0.64618471389999999</v>
      </c>
      <c r="B6">
        <v>1.0144885649478843</v>
      </c>
      <c r="C6">
        <f t="shared" si="0"/>
        <v>0.68773540749581052</v>
      </c>
      <c r="D6">
        <f t="shared" si="1"/>
        <v>0.32675315745207378</v>
      </c>
      <c r="E6">
        <f t="shared" si="2"/>
        <v>0.10676762590489972</v>
      </c>
    </row>
    <row r="7" spans="1:8" x14ac:dyDescent="0.25">
      <c r="A7">
        <v>0.6901623456999999</v>
      </c>
      <c r="B7">
        <v>0.96162085099989592</v>
      </c>
      <c r="C7">
        <f t="shared" si="0"/>
        <v>0.78653129326093651</v>
      </c>
      <c r="D7">
        <f t="shared" si="1"/>
        <v>0.1750895577389594</v>
      </c>
      <c r="E7">
        <f t="shared" si="2"/>
        <v>3.0656353229224397E-2</v>
      </c>
    </row>
    <row r="8" spans="1:8" x14ac:dyDescent="0.25">
      <c r="A8">
        <v>0.73413997749999993</v>
      </c>
      <c r="B8">
        <v>1.1016488501053785</v>
      </c>
      <c r="C8">
        <f t="shared" si="0"/>
        <v>0.88386970914894269</v>
      </c>
      <c r="D8">
        <f t="shared" si="1"/>
        <v>0.2177791409564358</v>
      </c>
      <c r="E8">
        <f t="shared" si="2"/>
        <v>4.7427754235723131E-2</v>
      </c>
    </row>
    <row r="9" spans="1:8" x14ac:dyDescent="0.25">
      <c r="A9">
        <v>0.77811760929999996</v>
      </c>
      <c r="B9">
        <v>1.1602319925882847</v>
      </c>
      <c r="C9">
        <f t="shared" si="0"/>
        <v>0.97647612579460397</v>
      </c>
      <c r="D9">
        <f t="shared" si="1"/>
        <v>0.18375586679368072</v>
      </c>
      <c r="E9">
        <f t="shared" si="2"/>
        <v>3.3766218581096935E-2</v>
      </c>
    </row>
    <row r="10" spans="1:8" x14ac:dyDescent="0.25">
      <c r="A10">
        <v>0.82209524109999998</v>
      </c>
      <c r="B10">
        <v>1.347412277106838</v>
      </c>
      <c r="C10">
        <f t="shared" si="0"/>
        <v>1.0608621004415923</v>
      </c>
      <c r="D10">
        <f t="shared" si="1"/>
        <v>0.28655017666524563</v>
      </c>
      <c r="E10">
        <f t="shared" si="2"/>
        <v>8.2111003746883474E-2</v>
      </c>
    </row>
    <row r="11" spans="1:8" x14ac:dyDescent="0.25">
      <c r="A11">
        <v>0.86607287290000001</v>
      </c>
      <c r="B11">
        <v>1.2345325635422142</v>
      </c>
      <c r="C11">
        <f t="shared" si="0"/>
        <v>1.1334987361746418</v>
      </c>
      <c r="D11">
        <f t="shared" si="1"/>
        <v>0.10103382736757238</v>
      </c>
      <c r="E11">
        <f t="shared" si="2"/>
        <v>1.0207834272540418E-2</v>
      </c>
    </row>
    <row r="12" spans="1:8" x14ac:dyDescent="0.25">
      <c r="A12">
        <v>0.91005050470000004</v>
      </c>
      <c r="B12">
        <v>1.2602519919493436</v>
      </c>
      <c r="C12">
        <f t="shared" si="0"/>
        <v>1.1910255921421615</v>
      </c>
      <c r="D12">
        <f t="shared" si="1"/>
        <v>6.9226399807182037E-2</v>
      </c>
      <c r="E12">
        <f t="shared" si="2"/>
        <v>4.7922944302638132E-3</v>
      </c>
    </row>
    <row r="13" spans="1:8" x14ac:dyDescent="0.25">
      <c r="A13">
        <v>0.95402813649999996</v>
      </c>
      <c r="B13">
        <v>1.4159974195258498</v>
      </c>
      <c r="C13">
        <f t="shared" si="0"/>
        <v>1.2304823485603953</v>
      </c>
      <c r="D13">
        <f t="shared" si="1"/>
        <v>0.1855150709654545</v>
      </c>
      <c r="E13">
        <f t="shared" si="2"/>
        <v>3.4415841555317621E-2</v>
      </c>
    </row>
    <row r="14" spans="1:8" x14ac:dyDescent="0.25">
      <c r="A14">
        <v>0.99800576829999998</v>
      </c>
      <c r="B14">
        <v>1.520303990288097</v>
      </c>
      <c r="C14">
        <f t="shared" si="0"/>
        <v>1.2495447775496837</v>
      </c>
      <c r="D14">
        <f t="shared" si="1"/>
        <v>0.2707592127384133</v>
      </c>
      <c r="E14">
        <f t="shared" si="2"/>
        <v>7.3310551282725359E-2</v>
      </c>
    </row>
    <row r="15" spans="1:8" x14ac:dyDescent="0.25">
      <c r="A15">
        <v>1.0419834000999999</v>
      </c>
      <c r="B15">
        <v>1.3759894197814262</v>
      </c>
      <c r="C15">
        <f t="shared" si="0"/>
        <v>1.2467419437857887</v>
      </c>
      <c r="D15">
        <f t="shared" si="1"/>
        <v>0.12924747599563746</v>
      </c>
      <c r="E15">
        <f t="shared" si="2"/>
        <v>1.6704910051242881E-2</v>
      </c>
    </row>
    <row r="16" spans="1:8" x14ac:dyDescent="0.25">
      <c r="A16">
        <v>1.0859610319000002</v>
      </c>
      <c r="B16">
        <v>1.1730917067918494</v>
      </c>
      <c r="C16">
        <f t="shared" si="0"/>
        <v>1.221629139769014</v>
      </c>
      <c r="D16">
        <f t="shared" si="1"/>
        <v>-4.8537432977164618E-2</v>
      </c>
      <c r="E16">
        <f t="shared" si="2"/>
        <v>2.3558824000127474E-3</v>
      </c>
    </row>
    <row r="17" spans="1:5" x14ac:dyDescent="0.25">
      <c r="A17">
        <v>1.1299386637</v>
      </c>
      <c r="B17">
        <v>1.0644985646284137</v>
      </c>
      <c r="C17">
        <f t="shared" si="0"/>
        <v>1.1748918370974526</v>
      </c>
      <c r="D17">
        <f t="shared" si="1"/>
        <v>-0.11039327246903885</v>
      </c>
      <c r="E17">
        <f t="shared" si="2"/>
        <v>1.2186674606423451E-2</v>
      </c>
    </row>
    <row r="18" spans="1:5" x14ac:dyDescent="0.25">
      <c r="A18">
        <v>1.1739162954999998</v>
      </c>
      <c r="B18">
        <v>0.91446856558682532</v>
      </c>
      <c r="C18">
        <f t="shared" si="0"/>
        <v>1.1083605549923095</v>
      </c>
      <c r="D18">
        <f t="shared" si="1"/>
        <v>-0.19389198940548413</v>
      </c>
      <c r="E18">
        <f t="shared" si="2"/>
        <v>3.7594103555616369E-2</v>
      </c>
    </row>
    <row r="19" spans="1:5" x14ac:dyDescent="0.25">
      <c r="A19">
        <v>1.2178939273</v>
      </c>
      <c r="B19">
        <v>0.76300970941150736</v>
      </c>
      <c r="C19">
        <f t="shared" si="0"/>
        <v>1.0249250715014515</v>
      </c>
      <c r="D19">
        <f t="shared" si="1"/>
        <v>-0.26191536208994415</v>
      </c>
      <c r="E19">
        <f t="shared" si="2"/>
        <v>6.8599656898706549E-2</v>
      </c>
    </row>
    <row r="20" spans="1:5" x14ac:dyDescent="0.25">
      <c r="A20">
        <v>1.2618715590999998</v>
      </c>
      <c r="B20">
        <v>0.64298571017823658</v>
      </c>
      <c r="C20">
        <f t="shared" si="0"/>
        <v>0.92834812737263106</v>
      </c>
      <c r="D20">
        <f t="shared" si="1"/>
        <v>-0.28536241719439448</v>
      </c>
      <c r="E20">
        <f t="shared" si="2"/>
        <v>8.1431709147027645E-2</v>
      </c>
    </row>
    <row r="21" spans="1:5" x14ac:dyDescent="0.25">
      <c r="A21">
        <v>1.3058491909000001</v>
      </c>
      <c r="B21">
        <v>0.66870513858536595</v>
      </c>
      <c r="C21">
        <f t="shared" si="0"/>
        <v>0.82299219025388248</v>
      </c>
      <c r="D21">
        <f t="shared" si="1"/>
        <v>-0.15428705166851653</v>
      </c>
      <c r="E21">
        <f t="shared" si="2"/>
        <v>2.3804494312563488E-2</v>
      </c>
    </row>
    <row r="22" spans="1:5" x14ac:dyDescent="0.25">
      <c r="A22">
        <v>1.3498268226999999</v>
      </c>
      <c r="B22">
        <v>0.54296571081717748</v>
      </c>
      <c r="C22">
        <f t="shared" si="0"/>
        <v>0.71348580341121315</v>
      </c>
      <c r="D22">
        <f t="shared" si="1"/>
        <v>-0.17052009259403567</v>
      </c>
      <c r="E22">
        <f t="shared" si="2"/>
        <v>2.9077101978278497E-2</v>
      </c>
    </row>
    <row r="23" spans="1:5" x14ac:dyDescent="0.25">
      <c r="A23">
        <v>1.3938044544999999</v>
      </c>
      <c r="B23">
        <v>0.4429457114561185</v>
      </c>
      <c r="C23">
        <f t="shared" si="0"/>
        <v>0.60436610032864413</v>
      </c>
      <c r="D23">
        <f t="shared" si="1"/>
        <v>-0.16142038887252563</v>
      </c>
      <c r="E23">
        <f t="shared" si="2"/>
        <v>2.6056541943757398E-2</v>
      </c>
    </row>
    <row r="24" spans="1:5" x14ac:dyDescent="0.25">
      <c r="A24">
        <v>1.4377820862999999</v>
      </c>
      <c r="B24">
        <v>0.41579742591525964</v>
      </c>
      <c r="C24">
        <f t="shared" si="0"/>
        <v>0.4997390217619409</v>
      </c>
      <c r="D24">
        <f t="shared" si="1"/>
        <v>-8.3941595846681261E-2</v>
      </c>
      <c r="E24">
        <f t="shared" si="2"/>
        <v>7.0461915132875768E-3</v>
      </c>
    </row>
    <row r="25" spans="1:5" x14ac:dyDescent="0.25">
      <c r="A25">
        <v>1.4817597180999997</v>
      </c>
      <c r="B25">
        <v>0.43865914005493023</v>
      </c>
      <c r="C25">
        <f t="shared" si="0"/>
        <v>0.40299722061789373</v>
      </c>
      <c r="D25">
        <f t="shared" si="1"/>
        <v>3.5661919437036504E-2</v>
      </c>
      <c r="E25">
        <f t="shared" si="2"/>
        <v>1.2717724979336821E-3</v>
      </c>
    </row>
    <row r="26" spans="1:5" x14ac:dyDescent="0.25">
      <c r="A26">
        <v>1.5257373499</v>
      </c>
      <c r="B26">
        <v>0.30291771235063586</v>
      </c>
      <c r="C26">
        <f t="shared" si="0"/>
        <v>0.31662742560650553</v>
      </c>
      <c r="D26">
        <f t="shared" si="1"/>
        <v>-1.3709713255869671E-2</v>
      </c>
      <c r="E26">
        <f t="shared" si="2"/>
        <v>1.8795623755816859E-4</v>
      </c>
    </row>
    <row r="27" spans="1:5" x14ac:dyDescent="0.25">
      <c r="A27">
        <v>1.5697149817000002</v>
      </c>
      <c r="B27">
        <v>0.33292371215895356</v>
      </c>
      <c r="C27">
        <f t="shared" si="0"/>
        <v>0.24212542966056708</v>
      </c>
      <c r="D27">
        <f t="shared" si="1"/>
        <v>9.0798282498386479E-2</v>
      </c>
      <c r="E27">
        <f t="shared" si="2"/>
        <v>8.2443281046567958E-3</v>
      </c>
    </row>
    <row r="28" spans="1:5" x14ac:dyDescent="0.25">
      <c r="A28">
        <v>1.6136926135</v>
      </c>
      <c r="B28">
        <v>0.26862514114112995</v>
      </c>
      <c r="C28">
        <f t="shared" si="0"/>
        <v>0.18002039278925566</v>
      </c>
      <c r="D28">
        <f t="shared" si="1"/>
        <v>8.8604748351874291E-2</v>
      </c>
      <c r="E28">
        <f t="shared" si="2"/>
        <v>7.8508014304989691E-3</v>
      </c>
    </row>
    <row r="29" spans="1:5" x14ac:dyDescent="0.25">
      <c r="A29">
        <v>1.6576702452999998</v>
      </c>
      <c r="B29">
        <v>0.18289371311736505</v>
      </c>
      <c r="C29">
        <f t="shared" si="0"/>
        <v>0.12999402520541506</v>
      </c>
      <c r="D29">
        <f t="shared" si="1"/>
        <v>5.2899687911949989E-2</v>
      </c>
      <c r="E29">
        <f t="shared" si="2"/>
        <v>2.7983769811817079E-3</v>
      </c>
    </row>
    <row r="30" spans="1:5" x14ac:dyDescent="0.25">
      <c r="A30">
        <v>1.7016478770999999</v>
      </c>
      <c r="B30">
        <v>0.20003999872211803</v>
      </c>
      <c r="C30">
        <f t="shared" si="0"/>
        <v>9.1067599553728257E-2</v>
      </c>
      <c r="D30">
        <f t="shared" si="1"/>
        <v>0.10897239916838977</v>
      </c>
      <c r="E30">
        <f t="shared" si="2"/>
        <v>1.1874983780514875E-2</v>
      </c>
    </row>
    <row r="31" spans="1:5" x14ac:dyDescent="0.25">
      <c r="A31">
        <v>1.7456255088999999</v>
      </c>
      <c r="B31">
        <v>0.10287771362851784</v>
      </c>
      <c r="C31">
        <f t="shared" si="0"/>
        <v>6.1822926772919583E-2</v>
      </c>
      <c r="D31">
        <f t="shared" si="1"/>
        <v>4.1054786855598262E-2</v>
      </c>
      <c r="E31">
        <f t="shared" si="2"/>
        <v>1.6854955237586037E-3</v>
      </c>
    </row>
    <row r="32" spans="1:5" x14ac:dyDescent="0.25">
      <c r="A32">
        <v>1.7896031407000002</v>
      </c>
      <c r="B32">
        <v>3.0005999808317706E-2</v>
      </c>
      <c r="C32">
        <f t="shared" si="0"/>
        <v>4.0623293879895092E-2</v>
      </c>
      <c r="D32">
        <f t="shared" si="1"/>
        <v>-1.0617294071577386E-2</v>
      </c>
      <c r="E32">
        <f t="shared" si="2"/>
        <v>1.127269334023523E-4</v>
      </c>
    </row>
    <row r="33" spans="1:5" x14ac:dyDescent="0.25">
      <c r="A33">
        <v>1.8335807725</v>
      </c>
      <c r="B33">
        <v>0</v>
      </c>
      <c r="C33">
        <f t="shared" si="0"/>
        <v>2.5806201183596486E-2</v>
      </c>
      <c r="D33">
        <f t="shared" si="1"/>
        <v>-2.5806201183596486E-2</v>
      </c>
      <c r="E33">
        <f t="shared" si="2"/>
        <v>6.6596001952825667E-4</v>
      </c>
    </row>
    <row r="34" spans="1:5" x14ac:dyDescent="0.25">
      <c r="A34">
        <v>1.8775584042999998</v>
      </c>
      <c r="B34">
        <v>0</v>
      </c>
      <c r="C34">
        <f t="shared" si="0"/>
        <v>1.5829563784760619E-2</v>
      </c>
      <c r="D34">
        <f t="shared" si="1"/>
        <v>-1.5829563784760619E-2</v>
      </c>
      <c r="E34">
        <f t="shared" si="2"/>
        <v>2.5057508961580491E-4</v>
      </c>
    </row>
    <row r="35" spans="1:5" x14ac:dyDescent="0.25">
      <c r="A35">
        <v>1.9215360360999998</v>
      </c>
      <c r="B35">
        <v>0</v>
      </c>
      <c r="C35">
        <f t="shared" si="0"/>
        <v>9.364221697626884E-3</v>
      </c>
      <c r="D35">
        <f t="shared" si="1"/>
        <v>-9.364221697626884E-3</v>
      </c>
      <c r="E35">
        <f t="shared" si="2"/>
        <v>8.7688648002306116E-5</v>
      </c>
    </row>
    <row r="36" spans="1:5" x14ac:dyDescent="0.25">
      <c r="A36">
        <v>1.9655136678999998</v>
      </c>
      <c r="B36">
        <v>0</v>
      </c>
      <c r="C36">
        <f t="shared" si="0"/>
        <v>5.3356080441861863E-3</v>
      </c>
      <c r="D36">
        <f t="shared" si="1"/>
        <v>-5.3356080441861863E-3</v>
      </c>
      <c r="E36">
        <f t="shared" si="2"/>
        <v>2.8468713201184341E-5</v>
      </c>
    </row>
    <row r="37" spans="1:5" x14ac:dyDescent="0.25">
      <c r="A37">
        <v>2.0094912997000001</v>
      </c>
      <c r="B37">
        <v>0</v>
      </c>
      <c r="C37">
        <f t="shared" si="0"/>
        <v>2.9244701354791585E-3</v>
      </c>
      <c r="D37">
        <f t="shared" si="1"/>
        <v>-2.9244701354791585E-3</v>
      </c>
      <c r="E37">
        <f t="shared" si="2"/>
        <v>8.5525255733094882E-6</v>
      </c>
    </row>
    <row r="38" spans="1:5" x14ac:dyDescent="0.25">
      <c r="A38">
        <v>2.0534689314999999</v>
      </c>
      <c r="B38">
        <v>0</v>
      </c>
      <c r="C38">
        <f t="shared" si="0"/>
        <v>1.5399024633194853E-3</v>
      </c>
      <c r="D38">
        <f t="shared" si="1"/>
        <v>-1.5399024633194853E-3</v>
      </c>
      <c r="E38">
        <f t="shared" si="2"/>
        <v>2.371299596537419E-6</v>
      </c>
    </row>
    <row r="39" spans="1:5" x14ac:dyDescent="0.25">
      <c r="A39">
        <v>2.0974465633000001</v>
      </c>
      <c r="B39">
        <v>0</v>
      </c>
      <c r="C39">
        <f t="shared" si="0"/>
        <v>7.7793636503200496E-4</v>
      </c>
      <c r="D39">
        <f t="shared" si="1"/>
        <v>-7.7793636503200496E-4</v>
      </c>
      <c r="E39">
        <f t="shared" si="2"/>
        <v>6.0518498803920885E-7</v>
      </c>
    </row>
    <row r="40" spans="1:5" x14ac:dyDescent="0.25">
      <c r="A40">
        <v>2.1414241950999999</v>
      </c>
      <c r="B40">
        <v>1.4288571337294144E-3</v>
      </c>
      <c r="C40">
        <f t="shared" si="0"/>
        <v>3.7654113484326523E-4</v>
      </c>
      <c r="D40">
        <f t="shared" si="1"/>
        <v>1.0523159988861492E-3</v>
      </c>
      <c r="E40">
        <f t="shared" si="2"/>
        <v>1.1073689615117539E-6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7C60-EE35-4F30-BCA6-7E7C96ED3CD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0.49340324491249998</v>
      </c>
      <c r="B1">
        <v>0.12687870498352996</v>
      </c>
      <c r="C1">
        <f>$H$3*(1+$H$1)*(A1^($H$1))*EXP(-$H$3*(A1^(1+$H$1)))</f>
        <v>0.2856990684735447</v>
      </c>
      <c r="D1">
        <f>B1-C1</f>
        <v>-0.15882036349001474</v>
      </c>
      <c r="E1">
        <f>D1^2</f>
        <v>2.5223907859100409E-2</v>
      </c>
      <c r="G1" t="s">
        <v>0</v>
      </c>
      <c r="H1">
        <v>3.1830452593869749</v>
      </c>
    </row>
    <row r="2" spans="1:8" x14ac:dyDescent="0.25">
      <c r="A2">
        <v>0.53351918073750004</v>
      </c>
      <c r="B2">
        <v>0.27255425514980508</v>
      </c>
      <c r="C2">
        <f t="shared" ref="C2:C40" si="0">$H$3*(1+$H$1)*(A2^($H$1))*EXP(-$H$3*(A2^(1+$H$1)))</f>
        <v>0.36149754635217157</v>
      </c>
      <c r="D2">
        <f t="shared" ref="D2:D40" si="1">B2-C2</f>
        <v>-8.8943291202366492E-2</v>
      </c>
      <c r="E2">
        <f t="shared" ref="E2:E40" si="2">D2^2</f>
        <v>7.9109090499089648E-3</v>
      </c>
    </row>
    <row r="3" spans="1:8" x14ac:dyDescent="0.25">
      <c r="A3">
        <v>0.57363511656249999</v>
      </c>
      <c r="B3">
        <v>0.3743704998896748</v>
      </c>
      <c r="C3">
        <f t="shared" si="0"/>
        <v>0.44758972718255829</v>
      </c>
      <c r="D3">
        <f t="shared" si="1"/>
        <v>-7.3219227292883493E-2</v>
      </c>
      <c r="E3">
        <f t="shared" si="2"/>
        <v>5.3610552453669351E-3</v>
      </c>
      <c r="G3" t="s">
        <v>1</v>
      </c>
      <c r="H3">
        <f>(_xlfn.GAMMA((2+$H$1)/(1+$H$1)))^(1+$H$1)</f>
        <v>0.67007472232538146</v>
      </c>
    </row>
    <row r="4" spans="1:8" x14ac:dyDescent="0.25">
      <c r="A4">
        <v>0.61375105238750005</v>
      </c>
      <c r="B4">
        <v>0.52787806888209376</v>
      </c>
      <c r="C4">
        <f t="shared" si="0"/>
        <v>0.54327818903742786</v>
      </c>
      <c r="D4">
        <f t="shared" si="1"/>
        <v>-1.5400120155334096E-2</v>
      </c>
      <c r="E4">
        <f t="shared" si="2"/>
        <v>2.3716370079872746E-4</v>
      </c>
    </row>
    <row r="5" spans="1:8" x14ac:dyDescent="0.25">
      <c r="A5">
        <v>0.6538669882125</v>
      </c>
      <c r="B5">
        <v>0.75187380730980713</v>
      </c>
      <c r="C5">
        <f t="shared" si="0"/>
        <v>0.64728558395495084</v>
      </c>
      <c r="D5">
        <f t="shared" si="1"/>
        <v>0.10458822335485629</v>
      </c>
      <c r="E5">
        <f t="shared" si="2"/>
        <v>1.0938696464525307E-2</v>
      </c>
      <c r="G5" t="s">
        <v>2</v>
      </c>
      <c r="H5">
        <f>SUM(E1:E40)</f>
        <v>1.0497741921945691</v>
      </c>
    </row>
    <row r="6" spans="1:8" x14ac:dyDescent="0.25">
      <c r="A6">
        <v>0.69398292403749995</v>
      </c>
      <c r="B6">
        <v>1.1528731712083711</v>
      </c>
      <c r="C6">
        <f t="shared" si="0"/>
        <v>0.75768369363340693</v>
      </c>
      <c r="D6">
        <f t="shared" si="1"/>
        <v>0.39518947757496414</v>
      </c>
      <c r="E6">
        <f t="shared" si="2"/>
        <v>0.15617472318597309</v>
      </c>
    </row>
    <row r="7" spans="1:8" x14ac:dyDescent="0.25">
      <c r="A7">
        <v>0.73409885986250001</v>
      </c>
      <c r="B7">
        <v>1.1105802695471942</v>
      </c>
      <c r="C7">
        <f t="shared" si="0"/>
        <v>0.87185074428981058</v>
      </c>
      <c r="D7">
        <f t="shared" si="1"/>
        <v>0.23872952525738367</v>
      </c>
      <c r="E7">
        <f t="shared" si="2"/>
        <v>5.6991786229615787E-2</v>
      </c>
    </row>
    <row r="8" spans="1:8" x14ac:dyDescent="0.25">
      <c r="A8">
        <v>0.77421479568750007</v>
      </c>
      <c r="B8">
        <v>1.2954159138441885</v>
      </c>
      <c r="C8">
        <f t="shared" si="0"/>
        <v>0.98647141696272822</v>
      </c>
      <c r="D8">
        <f t="shared" si="1"/>
        <v>0.30894449688146031</v>
      </c>
      <c r="E8">
        <f t="shared" si="2"/>
        <v>9.5446702153338642E-2</v>
      </c>
    </row>
    <row r="9" spans="1:8" x14ac:dyDescent="0.25">
      <c r="A9">
        <v>0.81433073151250013</v>
      </c>
      <c r="B9">
        <v>1.2969823176094173</v>
      </c>
      <c r="C9">
        <f t="shared" si="0"/>
        <v>1.0975941895940957</v>
      </c>
      <c r="D9">
        <f t="shared" si="1"/>
        <v>0.19938812801532158</v>
      </c>
      <c r="E9">
        <f t="shared" si="2"/>
        <v>3.9755625593454268E-2</v>
      </c>
    </row>
    <row r="10" spans="1:8" x14ac:dyDescent="0.25">
      <c r="A10">
        <v>0.85444666733750008</v>
      </c>
      <c r="B10">
        <v>1.5648373614635362</v>
      </c>
      <c r="C10">
        <f t="shared" si="0"/>
        <v>1.2007586839193598</v>
      </c>
      <c r="D10">
        <f t="shared" si="1"/>
        <v>0.36407867754417644</v>
      </c>
      <c r="E10">
        <f t="shared" si="2"/>
        <v>0.1325532834423164</v>
      </c>
    </row>
    <row r="11" spans="1:8" x14ac:dyDescent="0.25">
      <c r="A11">
        <v>0.89456260316250003</v>
      </c>
      <c r="B11">
        <v>1.4081969849406597</v>
      </c>
      <c r="C11">
        <f t="shared" si="0"/>
        <v>1.2912009175519501</v>
      </c>
      <c r="D11">
        <f t="shared" si="1"/>
        <v>0.1169960673887096</v>
      </c>
      <c r="E11">
        <f t="shared" si="2"/>
        <v>1.3688079784423478E-2</v>
      </c>
    </row>
    <row r="12" spans="1:8" x14ac:dyDescent="0.25">
      <c r="A12">
        <v>0.93467853898750008</v>
      </c>
      <c r="B12">
        <v>1.4692867317845815</v>
      </c>
      <c r="C12">
        <f t="shared" si="0"/>
        <v>1.3641364092077575</v>
      </c>
      <c r="D12">
        <f t="shared" si="1"/>
        <v>0.105150322576824</v>
      </c>
      <c r="E12">
        <f t="shared" si="2"/>
        <v>1.1056590338010142E-2</v>
      </c>
    </row>
    <row r="13" spans="1:8" x14ac:dyDescent="0.25">
      <c r="A13">
        <v>0.97479447481250003</v>
      </c>
      <c r="B13">
        <v>1.5632709576983075</v>
      </c>
      <c r="C13">
        <f t="shared" si="0"/>
        <v>1.4151100983236955</v>
      </c>
      <c r="D13">
        <f t="shared" si="1"/>
        <v>0.14816085937461199</v>
      </c>
      <c r="E13">
        <f t="shared" si="2"/>
        <v>2.1951640250623548E-2</v>
      </c>
    </row>
    <row r="14" spans="1:8" x14ac:dyDescent="0.25">
      <c r="A14">
        <v>1.0149104106375</v>
      </c>
      <c r="B14">
        <v>1.679184836325236</v>
      </c>
      <c r="C14">
        <f t="shared" si="0"/>
        <v>1.4403889131628638</v>
      </c>
      <c r="D14">
        <f t="shared" si="1"/>
        <v>0.23879592316237219</v>
      </c>
      <c r="E14">
        <f t="shared" si="2"/>
        <v>5.7023492918969562E-2</v>
      </c>
    </row>
    <row r="15" spans="1:8" x14ac:dyDescent="0.25">
      <c r="A15">
        <v>1.0550263464624998</v>
      </c>
      <c r="B15">
        <v>1.5178452485066731</v>
      </c>
      <c r="C15">
        <f t="shared" si="0"/>
        <v>1.4373593401987377</v>
      </c>
      <c r="D15">
        <f t="shared" si="1"/>
        <v>8.048590830793545E-2</v>
      </c>
      <c r="E15">
        <f t="shared" si="2"/>
        <v>6.4779814361533928E-3</v>
      </c>
    </row>
    <row r="16" spans="1:8" x14ac:dyDescent="0.25">
      <c r="A16">
        <v>1.0951422822875001</v>
      </c>
      <c r="B16">
        <v>1.4019313698797446</v>
      </c>
      <c r="C16">
        <f t="shared" si="0"/>
        <v>1.4048811483881292</v>
      </c>
      <c r="D16">
        <f t="shared" si="1"/>
        <v>-2.9497785083845152E-3</v>
      </c>
      <c r="E16">
        <f t="shared" si="2"/>
        <v>8.7011932485271745E-6</v>
      </c>
    </row>
    <row r="17" spans="1:5" x14ac:dyDescent="0.25">
      <c r="A17">
        <v>1.1352582181124999</v>
      </c>
      <c r="B17">
        <v>1.0761193867121615</v>
      </c>
      <c r="C17">
        <f t="shared" si="0"/>
        <v>1.3435426700239219</v>
      </c>
      <c r="D17">
        <f t="shared" si="1"/>
        <v>-0.26742328331176046</v>
      </c>
      <c r="E17">
        <f t="shared" si="2"/>
        <v>7.15152124572421E-2</v>
      </c>
    </row>
    <row r="18" spans="1:5" x14ac:dyDescent="0.25">
      <c r="A18">
        <v>1.1753741539375002</v>
      </c>
      <c r="B18">
        <v>1.0181624473986972</v>
      </c>
      <c r="C18">
        <f t="shared" si="0"/>
        <v>1.2557657884094315</v>
      </c>
      <c r="D18">
        <f t="shared" si="1"/>
        <v>-0.23760334101073433</v>
      </c>
      <c r="E18">
        <f t="shared" si="2"/>
        <v>5.6455347659463306E-2</v>
      </c>
    </row>
    <row r="19" spans="1:5" x14ac:dyDescent="0.25">
      <c r="A19">
        <v>1.2154900897625001</v>
      </c>
      <c r="B19">
        <v>0.84899084075399056</v>
      </c>
      <c r="C19">
        <f t="shared" si="0"/>
        <v>1.1457220695516335</v>
      </c>
      <c r="D19">
        <f t="shared" si="1"/>
        <v>-0.29673122879764291</v>
      </c>
      <c r="E19">
        <f t="shared" si="2"/>
        <v>8.8049422143759104E-2</v>
      </c>
    </row>
    <row r="20" spans="1:5" x14ac:dyDescent="0.25">
      <c r="A20">
        <v>1.2556060255874999</v>
      </c>
      <c r="B20">
        <v>0.79103390144052632</v>
      </c>
      <c r="C20">
        <f t="shared" si="0"/>
        <v>1.0190453478662533</v>
      </c>
      <c r="D20">
        <f t="shared" si="1"/>
        <v>-0.22801144642572702</v>
      </c>
      <c r="E20">
        <f t="shared" si="2"/>
        <v>5.1989219701152181E-2</v>
      </c>
    </row>
    <row r="21" spans="1:5" x14ac:dyDescent="0.25">
      <c r="A21">
        <v>1.2957219614125002</v>
      </c>
      <c r="B21">
        <v>0.62969431362196349</v>
      </c>
      <c r="C21">
        <f t="shared" si="0"/>
        <v>0.88235786169740782</v>
      </c>
      <c r="D21">
        <f t="shared" si="1"/>
        <v>-0.25266354807544433</v>
      </c>
      <c r="E21">
        <f t="shared" si="2"/>
        <v>6.3838868526072373E-2</v>
      </c>
    </row>
    <row r="22" spans="1:5" x14ac:dyDescent="0.25">
      <c r="A22">
        <v>1.3358378972375</v>
      </c>
      <c r="B22">
        <v>0.56860456677804161</v>
      </c>
      <c r="C22">
        <f t="shared" si="0"/>
        <v>0.74266122902814991</v>
      </c>
      <c r="D22">
        <f t="shared" si="1"/>
        <v>-0.1740566622501083</v>
      </c>
      <c r="E22">
        <f t="shared" si="2"/>
        <v>3.0295721673648274E-2</v>
      </c>
    </row>
    <row r="23" spans="1:5" x14ac:dyDescent="0.25">
      <c r="A23">
        <v>1.3759538330625001</v>
      </c>
      <c r="B23">
        <v>0.50124920487320479</v>
      </c>
      <c r="C23">
        <f t="shared" si="0"/>
        <v>0.60667261985467302</v>
      </c>
      <c r="D23">
        <f t="shared" si="1"/>
        <v>-0.10542341498146823</v>
      </c>
      <c r="E23">
        <f t="shared" si="2"/>
        <v>1.1114096426354862E-2</v>
      </c>
    </row>
    <row r="24" spans="1:5" x14ac:dyDescent="0.25">
      <c r="A24">
        <v>1.4160697688875001</v>
      </c>
      <c r="B24">
        <v>0.46835472580340071</v>
      </c>
      <c r="C24">
        <f t="shared" si="0"/>
        <v>0.480202595375671</v>
      </c>
      <c r="D24">
        <f t="shared" si="1"/>
        <v>-1.1847869572270298E-2</v>
      </c>
      <c r="E24">
        <f t="shared" si="2"/>
        <v>1.4037201340152836E-4</v>
      </c>
    </row>
    <row r="25" spans="1:5" x14ac:dyDescent="0.25">
      <c r="A25">
        <v>1.4561857047125</v>
      </c>
      <c r="B25">
        <v>0.39943296013333507</v>
      </c>
      <c r="C25">
        <f t="shared" si="0"/>
        <v>0.36766848516381195</v>
      </c>
      <c r="D25">
        <f t="shared" si="1"/>
        <v>3.1764474969523115E-2</v>
      </c>
      <c r="E25">
        <f t="shared" si="2"/>
        <v>1.0089818700894605E-3</v>
      </c>
    </row>
    <row r="26" spans="1:5" x14ac:dyDescent="0.25">
      <c r="A26">
        <v>1.4963016405375003</v>
      </c>
      <c r="B26">
        <v>0.34304242458509954</v>
      </c>
      <c r="C26">
        <f t="shared" si="0"/>
        <v>0.27181439749602432</v>
      </c>
      <c r="D26">
        <f t="shared" si="1"/>
        <v>7.1228027089075219E-2</v>
      </c>
      <c r="E26">
        <f t="shared" si="2"/>
        <v>5.0734318430020334E-3</v>
      </c>
    </row>
    <row r="27" spans="1:5" x14ac:dyDescent="0.25">
      <c r="A27">
        <v>1.5364175763625001</v>
      </c>
      <c r="B27">
        <v>0.30074952292392287</v>
      </c>
      <c r="C27">
        <f t="shared" si="0"/>
        <v>0.19367004730744952</v>
      </c>
      <c r="D27">
        <f t="shared" si="1"/>
        <v>0.10707947561647335</v>
      </c>
      <c r="E27">
        <f t="shared" si="2"/>
        <v>1.1466014098298911E-2</v>
      </c>
    </row>
    <row r="28" spans="1:5" x14ac:dyDescent="0.25">
      <c r="A28">
        <v>1.5765335121874999</v>
      </c>
      <c r="B28">
        <v>0.23182775725385721</v>
      </c>
      <c r="C28">
        <f t="shared" si="0"/>
        <v>0.13273456124202634</v>
      </c>
      <c r="D28">
        <f t="shared" si="1"/>
        <v>9.9093196011830864E-2</v>
      </c>
      <c r="E28">
        <f t="shared" si="2"/>
        <v>9.8194614958391317E-3</v>
      </c>
    </row>
    <row r="29" spans="1:5" x14ac:dyDescent="0.25">
      <c r="A29">
        <v>1.6166494480125</v>
      </c>
      <c r="B29">
        <v>0.16760520287947783</v>
      </c>
      <c r="C29">
        <f t="shared" si="0"/>
        <v>8.7329876253588734E-2</v>
      </c>
      <c r="D29">
        <f t="shared" si="1"/>
        <v>8.0275326625889099E-2</v>
      </c>
      <c r="E29">
        <f t="shared" si="2"/>
        <v>6.4441280648931789E-3</v>
      </c>
    </row>
    <row r="30" spans="1:5" x14ac:dyDescent="0.25">
      <c r="A30">
        <v>1.6567653838375</v>
      </c>
      <c r="B30">
        <v>6.7355361904836888E-2</v>
      </c>
      <c r="C30">
        <f t="shared" si="0"/>
        <v>5.5041846210104224E-2</v>
      </c>
      <c r="D30">
        <f t="shared" si="1"/>
        <v>1.2313515694732664E-2</v>
      </c>
      <c r="E30">
        <f t="shared" si="2"/>
        <v>1.5162266876442764E-4</v>
      </c>
    </row>
    <row r="31" spans="1:5" x14ac:dyDescent="0.25">
      <c r="A31">
        <v>1.6968813196624999</v>
      </c>
      <c r="B31">
        <v>0</v>
      </c>
      <c r="C31">
        <f t="shared" si="0"/>
        <v>3.3161721542877373E-2</v>
      </c>
      <c r="D31">
        <f t="shared" si="1"/>
        <v>-3.3161721542877373E-2</v>
      </c>
      <c r="E31">
        <f t="shared" si="2"/>
        <v>1.0996997756873373E-3</v>
      </c>
    </row>
    <row r="32" spans="1:5" x14ac:dyDescent="0.25">
      <c r="A32">
        <v>1.7369972554875002</v>
      </c>
      <c r="B32">
        <v>0</v>
      </c>
      <c r="C32">
        <f t="shared" si="0"/>
        <v>1.9055765349643771E-2</v>
      </c>
      <c r="D32">
        <f t="shared" si="1"/>
        <v>-1.9055765349643771E-2</v>
      </c>
      <c r="E32">
        <f t="shared" si="2"/>
        <v>3.631221930606842E-4</v>
      </c>
    </row>
    <row r="33" spans="1:5" x14ac:dyDescent="0.25">
      <c r="A33">
        <v>1.7771131913125</v>
      </c>
      <c r="B33">
        <v>0</v>
      </c>
      <c r="C33">
        <f t="shared" si="0"/>
        <v>1.0419842529244902E-2</v>
      </c>
      <c r="D33">
        <f t="shared" si="1"/>
        <v>-1.0419842529244902E-2</v>
      </c>
      <c r="E33">
        <f t="shared" si="2"/>
        <v>1.0857311833426078E-4</v>
      </c>
    </row>
    <row r="34" spans="1:5" x14ac:dyDescent="0.25">
      <c r="A34">
        <v>1.8172291271375001</v>
      </c>
      <c r="B34">
        <v>0</v>
      </c>
      <c r="C34">
        <f t="shared" si="0"/>
        <v>5.408919140009876E-3</v>
      </c>
      <c r="D34">
        <f t="shared" si="1"/>
        <v>-5.408919140009876E-3</v>
      </c>
      <c r="E34">
        <f t="shared" si="2"/>
        <v>2.9256406263165178E-5</v>
      </c>
    </row>
    <row r="35" spans="1:5" x14ac:dyDescent="0.25">
      <c r="A35">
        <v>1.8573450629625001</v>
      </c>
      <c r="B35">
        <v>0</v>
      </c>
      <c r="C35">
        <f t="shared" si="0"/>
        <v>2.6589648073579342E-3</v>
      </c>
      <c r="D35">
        <f t="shared" si="1"/>
        <v>-2.6589648073579342E-3</v>
      </c>
      <c r="E35">
        <f t="shared" si="2"/>
        <v>7.070093846768016E-6</v>
      </c>
    </row>
    <row r="36" spans="1:5" x14ac:dyDescent="0.25">
      <c r="A36">
        <v>1.8974609987875</v>
      </c>
      <c r="B36">
        <v>0</v>
      </c>
      <c r="C36">
        <f t="shared" si="0"/>
        <v>1.2347378632062633E-3</v>
      </c>
      <c r="D36">
        <f t="shared" si="1"/>
        <v>-1.2347378632062633E-3</v>
      </c>
      <c r="E36">
        <f t="shared" si="2"/>
        <v>1.524577590835169E-6</v>
      </c>
    </row>
    <row r="37" spans="1:5" x14ac:dyDescent="0.25">
      <c r="A37">
        <v>1.9375769346125002</v>
      </c>
      <c r="B37">
        <v>0</v>
      </c>
      <c r="C37">
        <f t="shared" si="0"/>
        <v>5.4022352802978108E-4</v>
      </c>
      <c r="D37">
        <f t="shared" si="1"/>
        <v>-5.4022352802978108E-4</v>
      </c>
      <c r="E37">
        <f t="shared" si="2"/>
        <v>2.9184146023694365E-7</v>
      </c>
    </row>
    <row r="38" spans="1:5" x14ac:dyDescent="0.25">
      <c r="A38">
        <v>1.9776928704375001</v>
      </c>
      <c r="B38">
        <v>0</v>
      </c>
      <c r="C38">
        <f t="shared" si="0"/>
        <v>2.2210301395815641E-4</v>
      </c>
      <c r="D38">
        <f t="shared" si="1"/>
        <v>-2.2210301395815641E-4</v>
      </c>
      <c r="E38">
        <f t="shared" si="2"/>
        <v>4.9329748809297019E-8</v>
      </c>
    </row>
    <row r="39" spans="1:5" x14ac:dyDescent="0.25">
      <c r="A39">
        <v>2.0178088062624999</v>
      </c>
      <c r="B39">
        <v>0</v>
      </c>
      <c r="C39">
        <f t="shared" si="0"/>
        <v>8.5572168109517707E-5</v>
      </c>
      <c r="D39">
        <f t="shared" si="1"/>
        <v>-8.5572168109517707E-5</v>
      </c>
      <c r="E39">
        <f t="shared" si="2"/>
        <v>7.3225959549635592E-9</v>
      </c>
    </row>
    <row r="40" spans="1:5" x14ac:dyDescent="0.25">
      <c r="A40">
        <v>2.0579247420875002</v>
      </c>
      <c r="B40">
        <v>1.566403765228765E-3</v>
      </c>
      <c r="C40">
        <f t="shared" si="0"/>
        <v>3.0810012626993558E-5</v>
      </c>
      <c r="D40">
        <f t="shared" si="1"/>
        <v>1.5355937526017715E-3</v>
      </c>
      <c r="E40">
        <f t="shared" si="2"/>
        <v>2.3580481730295905E-6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216D-EB72-4669-9A23-6AE6EE164A2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0.5781071875749999</v>
      </c>
      <c r="B1">
        <v>0.16775166712793668</v>
      </c>
      <c r="C1">
        <f>$H$3*(1+$H$1)*(A1^($H$1))*EXP(-$H$3*(A1^(1+$H$1)))</f>
        <v>0.33135056007260039</v>
      </c>
      <c r="D1">
        <f>B1-C1</f>
        <v>-0.1635988929446637</v>
      </c>
      <c r="E1">
        <f>D1^2</f>
        <v>2.6764597772719535E-2</v>
      </c>
      <c r="G1" t="s">
        <v>0</v>
      </c>
      <c r="H1">
        <v>4.1495588118114721</v>
      </c>
    </row>
    <row r="2" spans="1:8" x14ac:dyDescent="0.25">
      <c r="A2">
        <v>0.61369304272499992</v>
      </c>
      <c r="B2">
        <v>0.31254784296468202</v>
      </c>
      <c r="C2">
        <f t="shared" ref="C2:C40" si="0">$H$3*(1+$H$1)*(A2^($H$1))*EXP(-$H$3*(A2^(1+$H$1)))</f>
        <v>0.41868845729217014</v>
      </c>
      <c r="D2">
        <f t="shared" ref="D2:D40" si="1">B2-C2</f>
        <v>-0.10614061432748811</v>
      </c>
      <c r="E2">
        <f t="shared" ref="E2:E40" si="2">D2^2</f>
        <v>1.1265830009816576E-2</v>
      </c>
    </row>
    <row r="3" spans="1:8" x14ac:dyDescent="0.25">
      <c r="A3">
        <v>0.64927889787499993</v>
      </c>
      <c r="B3">
        <v>0.46440724689102469</v>
      </c>
      <c r="C3">
        <f t="shared" si="0"/>
        <v>0.51973309411702173</v>
      </c>
      <c r="D3">
        <f t="shared" si="1"/>
        <v>-5.5325847225997038E-2</v>
      </c>
      <c r="E3">
        <f t="shared" si="2"/>
        <v>3.060949371274364E-3</v>
      </c>
      <c r="G3" t="s">
        <v>1</v>
      </c>
      <c r="H3">
        <f>(_xlfn.GAMMA((2+$H$1)/(1+$H$1)))^(1+$H$1)</f>
        <v>0.64993504313663808</v>
      </c>
    </row>
    <row r="4" spans="1:8" x14ac:dyDescent="0.25">
      <c r="A4">
        <v>0.68486475302500005</v>
      </c>
      <c r="B4">
        <v>0.6727724755341461</v>
      </c>
      <c r="C4">
        <f t="shared" si="0"/>
        <v>0.63428572026938213</v>
      </c>
      <c r="D4">
        <f t="shared" si="1"/>
        <v>3.8486755264763972E-2</v>
      </c>
      <c r="E4">
        <f t="shared" si="2"/>
        <v>1.4812303308098373E-3</v>
      </c>
    </row>
    <row r="5" spans="1:8" x14ac:dyDescent="0.25">
      <c r="A5">
        <v>0.72045060817499995</v>
      </c>
      <c r="B5">
        <v>0.91645384462525403</v>
      </c>
      <c r="C5">
        <f t="shared" si="0"/>
        <v>0.76136924951689045</v>
      </c>
      <c r="D5">
        <f t="shared" si="1"/>
        <v>0.15508459510836359</v>
      </c>
      <c r="E5">
        <f t="shared" si="2"/>
        <v>2.4051231639925071E-2</v>
      </c>
      <c r="G5" t="s">
        <v>2</v>
      </c>
      <c r="H5">
        <f>SUM(E1:E40)</f>
        <v>1.4506198988107748</v>
      </c>
    </row>
    <row r="6" spans="1:8" x14ac:dyDescent="0.25">
      <c r="A6">
        <v>0.75603646332499996</v>
      </c>
      <c r="B6">
        <v>1.3384817229786947</v>
      </c>
      <c r="C6">
        <f t="shared" si="0"/>
        <v>0.89904267269594118</v>
      </c>
      <c r="D6">
        <f t="shared" si="1"/>
        <v>0.43943905028275354</v>
      </c>
      <c r="E6">
        <f t="shared" si="2"/>
        <v>0.19310667891340841</v>
      </c>
    </row>
    <row r="7" spans="1:8" x14ac:dyDescent="0.25">
      <c r="A7">
        <v>0.79162231847499998</v>
      </c>
      <c r="B7">
        <v>1.4267720740986614</v>
      </c>
      <c r="C7">
        <f t="shared" si="0"/>
        <v>1.0442362883802947</v>
      </c>
      <c r="D7">
        <f t="shared" si="1"/>
        <v>0.38253578571836666</v>
      </c>
      <c r="E7">
        <f t="shared" si="2"/>
        <v>0.14633362735516814</v>
      </c>
    </row>
    <row r="8" spans="1:8" x14ac:dyDescent="0.25">
      <c r="A8">
        <v>0.82720817362499999</v>
      </c>
      <c r="B8">
        <v>1.5415495305546181</v>
      </c>
      <c r="C8">
        <f t="shared" si="0"/>
        <v>1.1926382518530336</v>
      </c>
      <c r="D8">
        <f t="shared" si="1"/>
        <v>0.34891127870158445</v>
      </c>
      <c r="E8">
        <f t="shared" si="2"/>
        <v>0.12173908040517474</v>
      </c>
    </row>
    <row r="9" spans="1:8" x14ac:dyDescent="0.25">
      <c r="A9">
        <v>0.862794028775</v>
      </c>
      <c r="B9">
        <v>1.6934089344809609</v>
      </c>
      <c r="C9">
        <f t="shared" si="0"/>
        <v>1.3386702928925616</v>
      </c>
      <c r="D9">
        <f t="shared" si="1"/>
        <v>0.35473864158839929</v>
      </c>
      <c r="E9">
        <f t="shared" si="2"/>
        <v>0.1258395038359828</v>
      </c>
    </row>
    <row r="10" spans="1:8" x14ac:dyDescent="0.25">
      <c r="A10">
        <v>0.8983798839249999</v>
      </c>
      <c r="B10">
        <v>1.8329076892505081</v>
      </c>
      <c r="C10">
        <f t="shared" si="0"/>
        <v>1.4755943949950843</v>
      </c>
      <c r="D10">
        <f t="shared" si="1"/>
        <v>0.3573132942554238</v>
      </c>
      <c r="E10">
        <f t="shared" si="2"/>
        <v>0.12767279025166306</v>
      </c>
    </row>
    <row r="11" spans="1:8" x14ac:dyDescent="0.25">
      <c r="A11">
        <v>0.93396573907500002</v>
      </c>
      <c r="B11">
        <v>1.7552121802649374</v>
      </c>
      <c r="C11">
        <f t="shared" si="0"/>
        <v>1.595789676963568</v>
      </c>
      <c r="D11">
        <f t="shared" si="1"/>
        <v>0.15942250330136942</v>
      </c>
      <c r="E11">
        <f t="shared" si="2"/>
        <v>2.5415534558875144E-2</v>
      </c>
    </row>
    <row r="12" spans="1:8" x14ac:dyDescent="0.25">
      <c r="A12">
        <v>0.96955159422499992</v>
      </c>
      <c r="B12">
        <v>1.8346734962729074</v>
      </c>
      <c r="C12">
        <f t="shared" si="0"/>
        <v>1.6912263489173514</v>
      </c>
      <c r="D12">
        <f t="shared" si="1"/>
        <v>0.14344714735555608</v>
      </c>
      <c r="E12">
        <f t="shared" si="2"/>
        <v>2.0577084084446619E-2</v>
      </c>
    </row>
    <row r="13" spans="1:8" x14ac:dyDescent="0.25">
      <c r="A13">
        <v>1.005137449375</v>
      </c>
      <c r="B13">
        <v>1.8929451280120855</v>
      </c>
      <c r="C13">
        <f t="shared" si="0"/>
        <v>1.7541388142712282</v>
      </c>
      <c r="D13">
        <f t="shared" si="1"/>
        <v>0.13880631374085728</v>
      </c>
      <c r="E13">
        <f t="shared" si="2"/>
        <v>1.9267192734325304E-2</v>
      </c>
    </row>
    <row r="14" spans="1:8" x14ac:dyDescent="0.25">
      <c r="A14">
        <v>1.0407233045249999</v>
      </c>
      <c r="B14">
        <v>1.9406219176168675</v>
      </c>
      <c r="C14">
        <f t="shared" si="0"/>
        <v>1.7778622713807608</v>
      </c>
      <c r="D14">
        <f t="shared" si="1"/>
        <v>0.16275964623610673</v>
      </c>
      <c r="E14">
        <f t="shared" si="2"/>
        <v>2.6490702442902612E-2</v>
      </c>
    </row>
    <row r="15" spans="1:8" x14ac:dyDescent="0.25">
      <c r="A15">
        <v>1.0763091596750001</v>
      </c>
      <c r="B15">
        <v>1.7234276538617495</v>
      </c>
      <c r="C15">
        <f t="shared" si="0"/>
        <v>1.7577498333663104</v>
      </c>
      <c r="D15">
        <f t="shared" si="1"/>
        <v>-3.4322179504560957E-2</v>
      </c>
      <c r="E15">
        <f t="shared" si="2"/>
        <v>1.1780120059433042E-3</v>
      </c>
    </row>
    <row r="16" spans="1:8" x14ac:dyDescent="0.25">
      <c r="A16">
        <v>1.111895014825</v>
      </c>
      <c r="B16">
        <v>1.4567907934794502</v>
      </c>
      <c r="C16">
        <f t="shared" si="0"/>
        <v>1.6920386414083</v>
      </c>
      <c r="D16">
        <f t="shared" si="1"/>
        <v>-0.23524784792884978</v>
      </c>
      <c r="E16">
        <f t="shared" si="2"/>
        <v>5.5341549955155236E-2</v>
      </c>
    </row>
    <row r="17" spans="1:5" x14ac:dyDescent="0.25">
      <c r="A17">
        <v>1.1474808699749999</v>
      </c>
      <c r="B17">
        <v>1.281975898261916</v>
      </c>
      <c r="C17">
        <f t="shared" si="0"/>
        <v>1.5824973098266006</v>
      </c>
      <c r="D17">
        <f t="shared" si="1"/>
        <v>-0.30052141156468459</v>
      </c>
      <c r="E17">
        <f t="shared" si="2"/>
        <v>9.0313118808830542E-2</v>
      </c>
    </row>
    <row r="18" spans="1:5" x14ac:dyDescent="0.25">
      <c r="A18">
        <v>1.1830667251249998</v>
      </c>
      <c r="B18">
        <v>1.1283506873131741</v>
      </c>
      <c r="C18">
        <f t="shared" si="0"/>
        <v>1.4346800100685511</v>
      </c>
      <c r="D18">
        <f t="shared" si="1"/>
        <v>-0.30632932275537694</v>
      </c>
      <c r="E18">
        <f t="shared" si="2"/>
        <v>9.3837653979767899E-2</v>
      </c>
    </row>
    <row r="19" spans="1:5" x14ac:dyDescent="0.25">
      <c r="A19">
        <v>1.2186525802750001</v>
      </c>
      <c r="B19">
        <v>0.84228994968448212</v>
      </c>
      <c r="C19">
        <f t="shared" si="0"/>
        <v>1.2576494606363851</v>
      </c>
      <c r="D19">
        <f t="shared" si="1"/>
        <v>-0.41535951095190293</v>
      </c>
      <c r="E19">
        <f t="shared" si="2"/>
        <v>0.17252352333820398</v>
      </c>
    </row>
    <row r="20" spans="1:5" x14ac:dyDescent="0.25">
      <c r="A20">
        <v>1.254238435425</v>
      </c>
      <c r="B20">
        <v>0.80520800221409605</v>
      </c>
      <c r="C20">
        <f t="shared" si="0"/>
        <v>1.0631180033564844</v>
      </c>
      <c r="D20">
        <f t="shared" si="1"/>
        <v>-0.25791000114238838</v>
      </c>
      <c r="E20">
        <f t="shared" si="2"/>
        <v>6.6517568689266782E-2</v>
      </c>
    </row>
    <row r="21" spans="1:5" x14ac:dyDescent="0.25">
      <c r="A21">
        <v>1.2898242905749999</v>
      </c>
      <c r="B21">
        <v>0.68866473873574008</v>
      </c>
      <c r="C21">
        <f t="shared" si="0"/>
        <v>0.86408280336511822</v>
      </c>
      <c r="D21">
        <f t="shared" si="1"/>
        <v>-0.17541806462937815</v>
      </c>
      <c r="E21">
        <f t="shared" si="2"/>
        <v>3.0771497398316687E-2</v>
      </c>
    </row>
    <row r="22" spans="1:5" x14ac:dyDescent="0.25">
      <c r="A22">
        <v>1.3254101457250003</v>
      </c>
      <c r="B22">
        <v>0.55446340503339075</v>
      </c>
      <c r="C22">
        <f t="shared" si="0"/>
        <v>0.67316884725604753</v>
      </c>
      <c r="D22">
        <f t="shared" si="1"/>
        <v>-0.11870544222265678</v>
      </c>
      <c r="E22">
        <f t="shared" si="2"/>
        <v>1.4090982013276507E-2</v>
      </c>
    </row>
    <row r="23" spans="1:5" x14ac:dyDescent="0.25">
      <c r="A23">
        <v>1.3609960008750002</v>
      </c>
      <c r="B23">
        <v>0.56329244014538737</v>
      </c>
      <c r="C23">
        <f t="shared" si="0"/>
        <v>0.50099815387067881</v>
      </c>
      <c r="D23">
        <f t="shared" si="1"/>
        <v>6.2294286274708566E-2</v>
      </c>
      <c r="E23">
        <f t="shared" si="2"/>
        <v>3.8805781024753442E-3</v>
      </c>
    </row>
    <row r="24" spans="1:5" x14ac:dyDescent="0.25">
      <c r="A24">
        <v>1.3965818560250001</v>
      </c>
      <c r="B24">
        <v>0.39730658003985003</v>
      </c>
      <c r="C24">
        <f t="shared" si="0"/>
        <v>0.35493126559585525</v>
      </c>
      <c r="D24">
        <f t="shared" si="1"/>
        <v>4.2375314443994783E-2</v>
      </c>
      <c r="E24">
        <f t="shared" si="2"/>
        <v>1.7956672742274328E-3</v>
      </c>
    </row>
    <row r="25" spans="1:5" x14ac:dyDescent="0.25">
      <c r="A25">
        <v>1.432167711175</v>
      </c>
      <c r="B25">
        <v>0.376116895771058</v>
      </c>
      <c r="C25">
        <f t="shared" si="0"/>
        <v>0.23845287263238471</v>
      </c>
      <c r="D25">
        <f t="shared" si="1"/>
        <v>0.13766402313867329</v>
      </c>
      <c r="E25">
        <f t="shared" si="2"/>
        <v>1.8951383266725175E-2</v>
      </c>
    </row>
    <row r="26" spans="1:5" x14ac:dyDescent="0.25">
      <c r="A26">
        <v>1.4677535663250001</v>
      </c>
      <c r="B26">
        <v>0.28252912358389337</v>
      </c>
      <c r="C26">
        <f t="shared" si="0"/>
        <v>0.1513088997340547</v>
      </c>
      <c r="D26">
        <f t="shared" si="1"/>
        <v>0.13122022384983867</v>
      </c>
      <c r="E26">
        <f t="shared" si="2"/>
        <v>1.7218747147201768E-2</v>
      </c>
    </row>
    <row r="27" spans="1:5" x14ac:dyDescent="0.25">
      <c r="A27">
        <v>1.5033394214750002</v>
      </c>
      <c r="B27">
        <v>0.18717554437432934</v>
      </c>
      <c r="C27">
        <f t="shared" si="0"/>
        <v>9.0298462139627181E-2</v>
      </c>
      <c r="D27">
        <f t="shared" si="1"/>
        <v>9.6877082234702164E-2</v>
      </c>
      <c r="E27">
        <f t="shared" si="2"/>
        <v>9.3851690623092451E-3</v>
      </c>
    </row>
    <row r="28" spans="1:5" x14ac:dyDescent="0.25">
      <c r="A28">
        <v>1.5389252766250001</v>
      </c>
      <c r="B28">
        <v>2.1189684268792003E-2</v>
      </c>
      <c r="C28">
        <f t="shared" si="0"/>
        <v>5.0453931897532833E-2</v>
      </c>
      <c r="D28">
        <f t="shared" si="1"/>
        <v>-2.926424762874083E-2</v>
      </c>
      <c r="E28">
        <f t="shared" si="2"/>
        <v>8.5639618927626333E-4</v>
      </c>
    </row>
    <row r="29" spans="1:5" x14ac:dyDescent="0.25">
      <c r="A29">
        <v>1.574511131775</v>
      </c>
      <c r="B29">
        <v>0</v>
      </c>
      <c r="C29">
        <f t="shared" si="0"/>
        <v>2.6269102813865984E-2</v>
      </c>
      <c r="D29">
        <f t="shared" si="1"/>
        <v>-2.6269102813865984E-2</v>
      </c>
      <c r="E29">
        <f t="shared" si="2"/>
        <v>6.9006576264546177E-4</v>
      </c>
    </row>
    <row r="30" spans="1:5" x14ac:dyDescent="0.25">
      <c r="A30">
        <v>1.6100969869249999</v>
      </c>
      <c r="B30">
        <v>0</v>
      </c>
      <c r="C30">
        <f t="shared" si="0"/>
        <v>1.2681108517536692E-2</v>
      </c>
      <c r="D30">
        <f t="shared" si="1"/>
        <v>-1.2681108517536692E-2</v>
      </c>
      <c r="E30">
        <f t="shared" si="2"/>
        <v>1.6081051323354166E-4</v>
      </c>
    </row>
    <row r="31" spans="1:5" x14ac:dyDescent="0.25">
      <c r="A31">
        <v>1.645682842075</v>
      </c>
      <c r="B31">
        <v>0</v>
      </c>
      <c r="C31">
        <f t="shared" si="0"/>
        <v>5.6460402626416738E-3</v>
      </c>
      <c r="D31">
        <f t="shared" si="1"/>
        <v>-5.6460402626416738E-3</v>
      </c>
      <c r="E31">
        <f t="shared" si="2"/>
        <v>3.1877770647370862E-5</v>
      </c>
    </row>
    <row r="32" spans="1:5" x14ac:dyDescent="0.25">
      <c r="A32">
        <v>1.6812686972250002</v>
      </c>
      <c r="B32">
        <v>0</v>
      </c>
      <c r="C32">
        <f t="shared" si="0"/>
        <v>2.3056995129251264E-3</v>
      </c>
      <c r="D32">
        <f t="shared" si="1"/>
        <v>-2.3056995129251264E-3</v>
      </c>
      <c r="E32">
        <f t="shared" si="2"/>
        <v>5.3162502439031652E-6</v>
      </c>
    </row>
    <row r="33" spans="1:5" x14ac:dyDescent="0.25">
      <c r="A33">
        <v>1.7168545523750001</v>
      </c>
      <c r="B33">
        <v>0</v>
      </c>
      <c r="C33">
        <f t="shared" si="0"/>
        <v>8.5864208570076437E-4</v>
      </c>
      <c r="D33">
        <f t="shared" si="1"/>
        <v>-8.5864208570076437E-4</v>
      </c>
      <c r="E33">
        <f t="shared" si="2"/>
        <v>7.3726623133655882E-7</v>
      </c>
    </row>
    <row r="34" spans="1:5" x14ac:dyDescent="0.25">
      <c r="A34">
        <v>1.752440407525</v>
      </c>
      <c r="B34">
        <v>0</v>
      </c>
      <c r="C34">
        <f t="shared" si="0"/>
        <v>2.8982105663700379E-4</v>
      </c>
      <c r="D34">
        <f t="shared" si="1"/>
        <v>-2.8982105663700379E-4</v>
      </c>
      <c r="E34">
        <f t="shared" si="2"/>
        <v>8.3996244870189364E-8</v>
      </c>
    </row>
    <row r="35" spans="1:5" x14ac:dyDescent="0.25">
      <c r="A35">
        <v>1.7880262626749999</v>
      </c>
      <c r="B35">
        <v>0</v>
      </c>
      <c r="C35">
        <f t="shared" si="0"/>
        <v>8.81027942496726E-5</v>
      </c>
      <c r="D35">
        <f t="shared" si="1"/>
        <v>-8.81027942496726E-5</v>
      </c>
      <c r="E35">
        <f t="shared" si="2"/>
        <v>7.7621023546001439E-9</v>
      </c>
    </row>
    <row r="36" spans="1:5" x14ac:dyDescent="0.25">
      <c r="A36">
        <v>1.823612117825</v>
      </c>
      <c r="B36">
        <v>0</v>
      </c>
      <c r="C36">
        <f t="shared" si="0"/>
        <v>2.3960642072290149E-5</v>
      </c>
      <c r="D36">
        <f t="shared" si="1"/>
        <v>-2.3960642072290149E-5</v>
      </c>
      <c r="E36">
        <f t="shared" si="2"/>
        <v>5.7411236851640081E-10</v>
      </c>
    </row>
    <row r="37" spans="1:5" x14ac:dyDescent="0.25">
      <c r="A37">
        <v>1.8591979729750001</v>
      </c>
      <c r="B37">
        <v>0</v>
      </c>
      <c r="C37">
        <f t="shared" si="0"/>
        <v>5.7894040803036388E-6</v>
      </c>
      <c r="D37">
        <f t="shared" si="1"/>
        <v>-5.7894040803036388E-6</v>
      </c>
      <c r="E37">
        <f t="shared" si="2"/>
        <v>3.3517199605036422E-11</v>
      </c>
    </row>
    <row r="38" spans="1:5" x14ac:dyDescent="0.25">
      <c r="A38">
        <v>1.894783828125</v>
      </c>
      <c r="B38">
        <v>0</v>
      </c>
      <c r="C38">
        <f t="shared" si="0"/>
        <v>1.2337902119542876E-6</v>
      </c>
      <c r="D38">
        <f t="shared" si="1"/>
        <v>-1.2337902119542876E-6</v>
      </c>
      <c r="E38">
        <f t="shared" si="2"/>
        <v>1.5222382871142059E-12</v>
      </c>
    </row>
    <row r="39" spans="1:5" x14ac:dyDescent="0.25">
      <c r="A39">
        <v>1.9303696832749999</v>
      </c>
      <c r="B39">
        <v>0</v>
      </c>
      <c r="C39">
        <f t="shared" si="0"/>
        <v>2.3016071321780087E-7</v>
      </c>
      <c r="D39">
        <f t="shared" si="1"/>
        <v>-2.3016071321780087E-7</v>
      </c>
      <c r="E39">
        <f t="shared" si="2"/>
        <v>5.297395390892678E-14</v>
      </c>
    </row>
    <row r="40" spans="1:5" x14ac:dyDescent="0.25">
      <c r="A40">
        <v>1.9659555384249998</v>
      </c>
      <c r="B40">
        <v>1.7658070223993336E-3</v>
      </c>
      <c r="C40">
        <f t="shared" si="0"/>
        <v>3.728859192600825E-8</v>
      </c>
      <c r="D40">
        <f t="shared" si="1"/>
        <v>1.7657697338074076E-3</v>
      </c>
      <c r="E40">
        <f t="shared" si="2"/>
        <v>3.1179427528302828E-6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3BEA-1589-4B58-B63E-58708AFF91E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0.63105895362499997</v>
      </c>
      <c r="B1">
        <v>0.20624592066173819</v>
      </c>
      <c r="C1">
        <f>$H$3*(1+$H$1)*(A1^($H$1))*EXP(-$H$3*(A1^(1+$H$1)))</f>
        <v>0.3726446646504476</v>
      </c>
      <c r="D1">
        <f>B1-C1</f>
        <v>-0.16639874398870941</v>
      </c>
      <c r="E1">
        <f>D1^2</f>
        <v>2.7688542001020056E-2</v>
      </c>
      <c r="G1" t="s">
        <v>0</v>
      </c>
      <c r="H1">
        <v>4.9546198439878113</v>
      </c>
    </row>
    <row r="2" spans="1:8" x14ac:dyDescent="0.25">
      <c r="A2">
        <v>0.66396373687499999</v>
      </c>
      <c r="B2">
        <v>0.38766594346604494</v>
      </c>
      <c r="C2">
        <f t="shared" ref="C2:C40" si="0">$H$3*(1+$H$1)*(A2^($H$1))*EXP(-$H$3*(A2^(1+$H$1)))</f>
        <v>0.47244188360337952</v>
      </c>
      <c r="D2">
        <f t="shared" ref="D2:D40" si="1">B2-C2</f>
        <v>-8.4775940137334582E-2</v>
      </c>
      <c r="E2">
        <f t="shared" ref="E2:E40" si="2">D2^2</f>
        <v>7.1869600261689369E-3</v>
      </c>
    </row>
    <row r="3" spans="1:8" x14ac:dyDescent="0.25">
      <c r="A3">
        <v>0.696868520125</v>
      </c>
      <c r="B3">
        <v>0.52516322390720371</v>
      </c>
      <c r="C3">
        <f t="shared" si="0"/>
        <v>0.58932348585598238</v>
      </c>
      <c r="D3">
        <f t="shared" si="1"/>
        <v>-6.4160261948778663E-2</v>
      </c>
      <c r="E3">
        <f t="shared" si="2"/>
        <v>4.1165392133358956E-3</v>
      </c>
      <c r="G3" t="s">
        <v>1</v>
      </c>
      <c r="H3">
        <f>(_xlfn.GAMMA((2+$H$1)/(1+$H$1)))^(1+$H$1)</f>
        <v>0.63810196964997812</v>
      </c>
    </row>
    <row r="4" spans="1:8" x14ac:dyDescent="0.25">
      <c r="A4">
        <v>0.72977330337500002</v>
      </c>
      <c r="B4">
        <v>0.82498368264695277</v>
      </c>
      <c r="C4">
        <f t="shared" si="0"/>
        <v>0.72348499120338028</v>
      </c>
      <c r="D4">
        <f t="shared" si="1"/>
        <v>0.10149869144357249</v>
      </c>
      <c r="E4">
        <f t="shared" si="2"/>
        <v>1.0301984364757535E-2</v>
      </c>
    </row>
    <row r="5" spans="1:8" x14ac:dyDescent="0.25">
      <c r="A5">
        <v>0.76267808662500003</v>
      </c>
      <c r="B5">
        <v>1.0694232923201241</v>
      </c>
      <c r="C5">
        <f t="shared" si="0"/>
        <v>0.87412651115320761</v>
      </c>
      <c r="D5">
        <f t="shared" si="1"/>
        <v>0.19529678116691651</v>
      </c>
      <c r="E5">
        <f t="shared" si="2"/>
        <v>3.8140832734158477E-2</v>
      </c>
      <c r="G5" t="s">
        <v>2</v>
      </c>
      <c r="H5">
        <f>SUM(E1:E40)</f>
        <v>1.8991614413591316</v>
      </c>
    </row>
    <row r="6" spans="1:8" x14ac:dyDescent="0.25">
      <c r="A6">
        <v>0.79558286987500004</v>
      </c>
      <c r="B6">
        <v>1.5945865162273278</v>
      </c>
      <c r="C6">
        <f t="shared" si="0"/>
        <v>1.0391359029125382</v>
      </c>
      <c r="D6">
        <f t="shared" si="1"/>
        <v>0.55545061331478962</v>
      </c>
      <c r="E6">
        <f t="shared" si="2"/>
        <v>0.30852538383177597</v>
      </c>
    </row>
    <row r="7" spans="1:8" x14ac:dyDescent="0.25">
      <c r="A7">
        <v>0.82848765312499995</v>
      </c>
      <c r="B7">
        <v>1.5850380939744695</v>
      </c>
      <c r="C7">
        <f t="shared" si="0"/>
        <v>1.214778247436326</v>
      </c>
      <c r="D7">
        <f t="shared" si="1"/>
        <v>0.37025984653814348</v>
      </c>
      <c r="E7">
        <f t="shared" si="2"/>
        <v>0.13709235395844957</v>
      </c>
    </row>
    <row r="8" spans="1:8" x14ac:dyDescent="0.25">
      <c r="A8">
        <v>0.86139243637499996</v>
      </c>
      <c r="B8">
        <v>1.8829488682636468</v>
      </c>
      <c r="C8">
        <f t="shared" si="0"/>
        <v>1.395442384400849</v>
      </c>
      <c r="D8">
        <f t="shared" si="1"/>
        <v>0.48750648386279782</v>
      </c>
      <c r="E8">
        <f t="shared" si="2"/>
        <v>0.23766257180826836</v>
      </c>
    </row>
    <row r="9" spans="1:8" x14ac:dyDescent="0.25">
      <c r="A9">
        <v>0.89429721962499997</v>
      </c>
      <c r="B9">
        <v>2.0147170953530908</v>
      </c>
      <c r="C9">
        <f t="shared" si="0"/>
        <v>1.5735148581714731</v>
      </c>
      <c r="D9">
        <f t="shared" si="1"/>
        <v>0.44120223718161777</v>
      </c>
      <c r="E9">
        <f t="shared" si="2"/>
        <v>0.19465941409406451</v>
      </c>
    </row>
    <row r="10" spans="1:8" x14ac:dyDescent="0.25">
      <c r="A10">
        <v>0.92720200287499999</v>
      </c>
      <c r="B10">
        <v>2.0796463666725269</v>
      </c>
      <c r="C10">
        <f t="shared" si="0"/>
        <v>1.7394673676789965</v>
      </c>
      <c r="D10">
        <f t="shared" si="1"/>
        <v>0.34017899899353043</v>
      </c>
      <c r="E10">
        <f t="shared" si="2"/>
        <v>0.11572175135624038</v>
      </c>
    </row>
    <row r="11" spans="1:8" x14ac:dyDescent="0.25">
      <c r="A11">
        <v>0.960106786125</v>
      </c>
      <c r="B11">
        <v>1.9956202508473744</v>
      </c>
      <c r="C11">
        <f t="shared" si="0"/>
        <v>1.8822480602493301</v>
      </c>
      <c r="D11">
        <f t="shared" si="1"/>
        <v>0.11337219059804426</v>
      </c>
      <c r="E11">
        <f t="shared" si="2"/>
        <v>1.2853253600999277E-2</v>
      </c>
    </row>
    <row r="12" spans="1:8" x14ac:dyDescent="0.25">
      <c r="A12">
        <v>0.9930115693749999</v>
      </c>
      <c r="B12">
        <v>2.188498380355111</v>
      </c>
      <c r="C12">
        <f t="shared" si="0"/>
        <v>1.9900500056819979</v>
      </c>
      <c r="D12">
        <f t="shared" si="1"/>
        <v>0.19844837467311316</v>
      </c>
      <c r="E12">
        <f t="shared" si="2"/>
        <v>3.93817574104003E-2</v>
      </c>
    </row>
    <row r="13" spans="1:8" x14ac:dyDescent="0.25">
      <c r="A13">
        <v>1.0259163526249999</v>
      </c>
      <c r="B13">
        <v>2.2286017538171157</v>
      </c>
      <c r="C13">
        <f t="shared" si="0"/>
        <v>2.0514822307230069</v>
      </c>
      <c r="D13">
        <f t="shared" si="1"/>
        <v>0.17711952309410872</v>
      </c>
      <c r="E13">
        <f t="shared" si="2"/>
        <v>3.1371325461084509E-2</v>
      </c>
    </row>
    <row r="14" spans="1:8" x14ac:dyDescent="0.25">
      <c r="A14">
        <v>1.0588211358749999</v>
      </c>
      <c r="B14">
        <v>2.0280848865070924</v>
      </c>
      <c r="C14">
        <f t="shared" si="0"/>
        <v>2.057084456663465</v>
      </c>
      <c r="D14">
        <f t="shared" si="1"/>
        <v>-2.8999570156372556E-2</v>
      </c>
      <c r="E14">
        <f t="shared" si="2"/>
        <v>8.4097506925437382E-4</v>
      </c>
    </row>
    <row r="15" spans="1:8" x14ac:dyDescent="0.25">
      <c r="A15">
        <v>1.0917259191249999</v>
      </c>
      <c r="B15">
        <v>1.7760065390316346</v>
      </c>
      <c r="C15">
        <f t="shared" si="0"/>
        <v>2.0010113477273008</v>
      </c>
      <c r="D15">
        <f t="shared" si="1"/>
        <v>-0.22500480869566619</v>
      </c>
      <c r="E15">
        <f t="shared" si="2"/>
        <v>5.0627163936173343E-2</v>
      </c>
    </row>
    <row r="16" spans="1:8" x14ac:dyDescent="0.25">
      <c r="A16">
        <v>1.1246307023750002</v>
      </c>
      <c r="B16">
        <v>1.5372959827101782</v>
      </c>
      <c r="C16">
        <f t="shared" si="0"/>
        <v>1.8825875106010945</v>
      </c>
      <c r="D16">
        <f t="shared" si="1"/>
        <v>-0.34529152789091633</v>
      </c>
      <c r="E16">
        <f t="shared" si="2"/>
        <v>0.11922623923324345</v>
      </c>
    </row>
    <row r="17" spans="1:5" x14ac:dyDescent="0.25">
      <c r="A17">
        <v>1.157535485625</v>
      </c>
      <c r="B17">
        <v>1.3711534355104447</v>
      </c>
      <c r="C17">
        <f t="shared" si="0"/>
        <v>1.707341682729745</v>
      </c>
      <c r="D17">
        <f t="shared" si="1"/>
        <v>-0.3361882472193003</v>
      </c>
      <c r="E17">
        <f t="shared" si="2"/>
        <v>0.11302253756838537</v>
      </c>
    </row>
    <row r="18" spans="1:5" x14ac:dyDescent="0.25">
      <c r="A18">
        <v>1.1904402688749998</v>
      </c>
      <c r="B18">
        <v>1.0025843365501164</v>
      </c>
      <c r="C18">
        <f t="shared" si="0"/>
        <v>1.4871213191558401</v>
      </c>
      <c r="D18">
        <f t="shared" si="1"/>
        <v>-0.48453698260572375</v>
      </c>
      <c r="E18">
        <f t="shared" si="2"/>
        <v>0.23477608751265944</v>
      </c>
    </row>
    <row r="19" spans="1:5" x14ac:dyDescent="0.25">
      <c r="A19">
        <v>1.223345052125</v>
      </c>
      <c r="B19">
        <v>0.93956474968125181</v>
      </c>
      <c r="C19">
        <f t="shared" si="0"/>
        <v>1.2390148964905874</v>
      </c>
      <c r="D19">
        <f t="shared" si="1"/>
        <v>-0.29945014680933557</v>
      </c>
      <c r="E19">
        <f t="shared" si="2"/>
        <v>8.9670390424132621E-2</v>
      </c>
    </row>
    <row r="20" spans="1:5" x14ac:dyDescent="0.25">
      <c r="A20">
        <v>1.2562498353749998</v>
      </c>
      <c r="B20">
        <v>0.77915125583323319</v>
      </c>
      <c r="C20">
        <f t="shared" si="0"/>
        <v>0.98308091247404084</v>
      </c>
      <c r="D20">
        <f t="shared" si="1"/>
        <v>-0.20392965664080764</v>
      </c>
      <c r="E20">
        <f t="shared" si="2"/>
        <v>4.1587304857637702E-2</v>
      </c>
    </row>
    <row r="21" spans="1:5" x14ac:dyDescent="0.25">
      <c r="A21">
        <v>1.289154618625</v>
      </c>
      <c r="B21">
        <v>0.62255713088635789</v>
      </c>
      <c r="C21">
        <f t="shared" si="0"/>
        <v>0.73924799766980054</v>
      </c>
      <c r="D21">
        <f t="shared" si="1"/>
        <v>-0.11669086678344265</v>
      </c>
      <c r="E21">
        <f t="shared" si="2"/>
        <v>1.3616758390671158E-2</v>
      </c>
    </row>
    <row r="22" spans="1:5" x14ac:dyDescent="0.25">
      <c r="A22">
        <v>1.3220594018749998</v>
      </c>
      <c r="B22">
        <v>0.64929271319436099</v>
      </c>
      <c r="C22">
        <f t="shared" si="0"/>
        <v>0.52408738796245991</v>
      </c>
      <c r="D22">
        <f t="shared" si="1"/>
        <v>0.12520532523190109</v>
      </c>
      <c r="E22">
        <f t="shared" si="2"/>
        <v>1.5676373466426127E-2</v>
      </c>
    </row>
    <row r="23" spans="1:5" x14ac:dyDescent="0.25">
      <c r="A23">
        <v>1.3549641851250001</v>
      </c>
      <c r="B23">
        <v>0.39721436571890323</v>
      </c>
      <c r="C23">
        <f t="shared" si="0"/>
        <v>0.34830916793576444</v>
      </c>
      <c r="D23">
        <f t="shared" si="1"/>
        <v>4.8905197783138787E-2</v>
      </c>
      <c r="E23">
        <f t="shared" si="2"/>
        <v>2.3917183702079231E-3</v>
      </c>
    </row>
    <row r="24" spans="1:5" x14ac:dyDescent="0.25">
      <c r="A24">
        <v>1.3878689683749998</v>
      </c>
      <c r="B24">
        <v>0.41822089467519136</v>
      </c>
      <c r="C24">
        <f t="shared" si="0"/>
        <v>0.21568028854554736</v>
      </c>
      <c r="D24">
        <f t="shared" si="1"/>
        <v>0.202540606129644</v>
      </c>
      <c r="E24">
        <f t="shared" si="2"/>
        <v>4.1022697131363584E-2</v>
      </c>
    </row>
    <row r="25" spans="1:5" x14ac:dyDescent="0.25">
      <c r="A25">
        <v>1.4207737516250001</v>
      </c>
      <c r="B25">
        <v>0.22725244961802635</v>
      </c>
      <c r="C25">
        <f t="shared" si="0"/>
        <v>0.12361459164954033</v>
      </c>
      <c r="D25">
        <f t="shared" si="1"/>
        <v>0.10363785796848601</v>
      </c>
      <c r="E25">
        <f t="shared" si="2"/>
        <v>1.0740805604296079E-2</v>
      </c>
    </row>
    <row r="26" spans="1:5" x14ac:dyDescent="0.25">
      <c r="A26">
        <v>1.4536785348749999</v>
      </c>
      <c r="B26">
        <v>5.7290533517149501E-2</v>
      </c>
      <c r="C26">
        <f t="shared" si="0"/>
        <v>6.5111167128683492E-2</v>
      </c>
      <c r="D26">
        <f t="shared" si="1"/>
        <v>-7.8206336115339906E-3</v>
      </c>
      <c r="E26">
        <f t="shared" si="2"/>
        <v>6.1162310085855195E-5</v>
      </c>
    </row>
    <row r="27" spans="1:5" x14ac:dyDescent="0.25">
      <c r="A27">
        <v>1.4865833181250001</v>
      </c>
      <c r="B27">
        <v>0</v>
      </c>
      <c r="C27">
        <f t="shared" si="0"/>
        <v>3.1279093603766794E-2</v>
      </c>
      <c r="D27">
        <f t="shared" si="1"/>
        <v>-3.1279093603766794E-2</v>
      </c>
      <c r="E27">
        <f t="shared" si="2"/>
        <v>9.7838169667320476E-4</v>
      </c>
    </row>
    <row r="28" spans="1:5" x14ac:dyDescent="0.25">
      <c r="A28">
        <v>1.5194881013749999</v>
      </c>
      <c r="B28">
        <v>0</v>
      </c>
      <c r="C28">
        <f t="shared" si="0"/>
        <v>1.3593026110304097E-2</v>
      </c>
      <c r="D28">
        <f t="shared" si="1"/>
        <v>-1.3593026110304097E-2</v>
      </c>
      <c r="E28">
        <f t="shared" si="2"/>
        <v>1.8477035883540893E-4</v>
      </c>
    </row>
    <row r="29" spans="1:5" x14ac:dyDescent="0.25">
      <c r="A29">
        <v>1.5523928846250001</v>
      </c>
      <c r="B29">
        <v>0</v>
      </c>
      <c r="C29">
        <f t="shared" si="0"/>
        <v>5.2971907170619578E-3</v>
      </c>
      <c r="D29">
        <f t="shared" si="1"/>
        <v>-5.2971907170619578E-3</v>
      </c>
      <c r="E29">
        <f t="shared" si="2"/>
        <v>2.806022949292738E-5</v>
      </c>
    </row>
    <row r="30" spans="1:5" x14ac:dyDescent="0.25">
      <c r="A30">
        <v>1.5852976678749999</v>
      </c>
      <c r="B30">
        <v>0</v>
      </c>
      <c r="C30">
        <f t="shared" si="0"/>
        <v>1.8339610285662215E-3</v>
      </c>
      <c r="D30">
        <f t="shared" si="1"/>
        <v>-1.8339610285662215E-3</v>
      </c>
      <c r="E30">
        <f t="shared" si="2"/>
        <v>3.363413054299673E-6</v>
      </c>
    </row>
    <row r="31" spans="1:5" x14ac:dyDescent="0.25">
      <c r="A31">
        <v>1.6182024511249999</v>
      </c>
      <c r="B31">
        <v>0</v>
      </c>
      <c r="C31">
        <f t="shared" si="0"/>
        <v>5.5850877047983769E-4</v>
      </c>
      <c r="D31">
        <f t="shared" si="1"/>
        <v>-5.5850877047983769E-4</v>
      </c>
      <c r="E31">
        <f t="shared" si="2"/>
        <v>3.1193204670289999E-7</v>
      </c>
    </row>
    <row r="32" spans="1:5" x14ac:dyDescent="0.25">
      <c r="A32">
        <v>1.651107234375</v>
      </c>
      <c r="B32">
        <v>0</v>
      </c>
      <c r="C32">
        <f t="shared" si="0"/>
        <v>1.4803608653704564E-4</v>
      </c>
      <c r="D32">
        <f t="shared" si="1"/>
        <v>-1.4803608653704564E-4</v>
      </c>
      <c r="E32">
        <f t="shared" si="2"/>
        <v>2.1914682917203664E-8</v>
      </c>
    </row>
    <row r="33" spans="1:5" x14ac:dyDescent="0.25">
      <c r="A33">
        <v>1.684012017625</v>
      </c>
      <c r="B33">
        <v>0</v>
      </c>
      <c r="C33">
        <f t="shared" si="0"/>
        <v>3.3768831448473885E-5</v>
      </c>
      <c r="D33">
        <f t="shared" si="1"/>
        <v>-3.3768831448473885E-5</v>
      </c>
      <c r="E33">
        <f t="shared" si="2"/>
        <v>1.1403339773954389E-9</v>
      </c>
    </row>
    <row r="34" spans="1:5" x14ac:dyDescent="0.25">
      <c r="A34">
        <v>1.716916800875</v>
      </c>
      <c r="B34">
        <v>0</v>
      </c>
      <c r="C34">
        <f t="shared" si="0"/>
        <v>6.5507033389063929E-6</v>
      </c>
      <c r="D34">
        <f t="shared" si="1"/>
        <v>-6.5507033389063929E-6</v>
      </c>
      <c r="E34">
        <f t="shared" si="2"/>
        <v>4.2911714234359362E-11</v>
      </c>
    </row>
    <row r="35" spans="1:5" x14ac:dyDescent="0.25">
      <c r="A35">
        <v>1.749821584125</v>
      </c>
      <c r="B35">
        <v>0</v>
      </c>
      <c r="C35">
        <f t="shared" si="0"/>
        <v>1.0670476841480178E-6</v>
      </c>
      <c r="D35">
        <f t="shared" si="1"/>
        <v>-1.0670476841480178E-6</v>
      </c>
      <c r="E35">
        <f t="shared" si="2"/>
        <v>1.138590760245648E-12</v>
      </c>
    </row>
    <row r="36" spans="1:5" x14ac:dyDescent="0.25">
      <c r="A36">
        <v>1.782726367375</v>
      </c>
      <c r="B36">
        <v>0</v>
      </c>
      <c r="C36">
        <f t="shared" si="0"/>
        <v>1.4400591952404594E-7</v>
      </c>
      <c r="D36">
        <f t="shared" si="1"/>
        <v>-1.4400591952404594E-7</v>
      </c>
      <c r="E36">
        <f t="shared" si="2"/>
        <v>2.0737704857965996E-14</v>
      </c>
    </row>
    <row r="37" spans="1:5" x14ac:dyDescent="0.25">
      <c r="A37">
        <v>1.8156311506249998</v>
      </c>
      <c r="B37">
        <v>0</v>
      </c>
      <c r="C37">
        <f t="shared" si="0"/>
        <v>1.5875161480290395E-8</v>
      </c>
      <c r="D37">
        <f t="shared" si="1"/>
        <v>-1.5875161480290395E-8</v>
      </c>
      <c r="E37">
        <f t="shared" si="2"/>
        <v>2.5202075202529591E-16</v>
      </c>
    </row>
    <row r="38" spans="1:5" x14ac:dyDescent="0.25">
      <c r="A38">
        <v>1.848535933875</v>
      </c>
      <c r="B38">
        <v>0</v>
      </c>
      <c r="C38">
        <f t="shared" si="0"/>
        <v>1.4082821608048493E-9</v>
      </c>
      <c r="D38">
        <f t="shared" si="1"/>
        <v>-1.4082821608048493E-9</v>
      </c>
      <c r="E38">
        <f t="shared" si="2"/>
        <v>1.9832586444411755E-18</v>
      </c>
    </row>
    <row r="39" spans="1:5" x14ac:dyDescent="0.25">
      <c r="A39">
        <v>1.8814407171249998</v>
      </c>
      <c r="B39">
        <v>0</v>
      </c>
      <c r="C39">
        <f t="shared" si="0"/>
        <v>9.8952461492120944E-11</v>
      </c>
      <c r="D39">
        <f t="shared" si="1"/>
        <v>-9.8952461492120944E-11</v>
      </c>
      <c r="E39">
        <f t="shared" si="2"/>
        <v>9.7915896353496782E-21</v>
      </c>
    </row>
    <row r="40" spans="1:5" x14ac:dyDescent="0.25">
      <c r="A40">
        <v>1.9143455003750001</v>
      </c>
      <c r="B40">
        <v>1.9096844505716501E-3</v>
      </c>
      <c r="C40">
        <f t="shared" si="0"/>
        <v>5.4161054170082816E-12</v>
      </c>
      <c r="D40">
        <f t="shared" si="1"/>
        <v>1.9096844451555446E-3</v>
      </c>
      <c r="E40">
        <f t="shared" si="2"/>
        <v>3.6468946800690403E-6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787A-8DC1-4769-A63B-2772F3BEC86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0.69599384763750005</v>
      </c>
      <c r="B1">
        <v>0.28523167256144155</v>
      </c>
      <c r="C1">
        <f>$H$3*(1+$H$1)*(A1^($H$1))*EXP(-$H$3*(A1^(1+$H$1)))</f>
        <v>0.44615654533292964</v>
      </c>
      <c r="D1">
        <f>B1-C1</f>
        <v>-0.16092487277148809</v>
      </c>
      <c r="E1">
        <f>D1^2</f>
        <v>2.5896814676519629E-2</v>
      </c>
      <c r="G1" t="s">
        <v>0</v>
      </c>
      <c r="H1">
        <v>6.2821046532343701</v>
      </c>
    </row>
    <row r="2" spans="1:8" x14ac:dyDescent="0.25">
      <c r="A2">
        <v>0.72573492291250008</v>
      </c>
      <c r="B2">
        <v>0.49017591136484773</v>
      </c>
      <c r="C2">
        <f t="shared" ref="C2:C40" si="0">$H$3*(1+$H$1)*(A2^($H$1))*EXP(-$H$3*(A2^(1+$H$1)))</f>
        <v>0.57115190358255463</v>
      </c>
      <c r="D2">
        <f t="shared" ref="D2:D40" si="1">B2-C2</f>
        <v>-8.0975992217706905E-2</v>
      </c>
      <c r="E2">
        <f t="shared" ref="E2:E40" si="2">D2^2</f>
        <v>6.5571113156421288E-3</v>
      </c>
    </row>
    <row r="3" spans="1:8" x14ac:dyDescent="0.25">
      <c r="A3">
        <v>0.75547599818750011</v>
      </c>
      <c r="B3">
        <v>0.67187905092250677</v>
      </c>
      <c r="C3">
        <f t="shared" si="0"/>
        <v>0.72012223737767955</v>
      </c>
      <c r="D3">
        <f t="shared" si="1"/>
        <v>-4.8243186455172782E-2</v>
      </c>
      <c r="E3">
        <f t="shared" si="2"/>
        <v>2.3274050393485663E-3</v>
      </c>
      <c r="G3" t="s">
        <v>1</v>
      </c>
      <c r="H3">
        <f>(_xlfn.GAMMA((2+$H$1)/(1+$H$1)))^(1+$H$1)</f>
        <v>0.62425665963565924</v>
      </c>
    </row>
    <row r="4" spans="1:8" x14ac:dyDescent="0.25">
      <c r="A4">
        <v>0.78521707346250003</v>
      </c>
      <c r="B4">
        <v>1.0944444917542722</v>
      </c>
      <c r="C4">
        <f t="shared" si="0"/>
        <v>0.89397949180530245</v>
      </c>
      <c r="D4">
        <f t="shared" si="1"/>
        <v>0.20046499994896971</v>
      </c>
      <c r="E4">
        <f t="shared" si="2"/>
        <v>4.018621620454043E-2</v>
      </c>
    </row>
    <row r="5" spans="1:8" x14ac:dyDescent="0.25">
      <c r="A5">
        <v>0.81495814873749994</v>
      </c>
      <c r="B5">
        <v>1.4430609804404784</v>
      </c>
      <c r="C5">
        <f t="shared" si="0"/>
        <v>1.0921065372069125</v>
      </c>
      <c r="D5">
        <f t="shared" si="1"/>
        <v>0.35095444323356584</v>
      </c>
      <c r="E5">
        <f t="shared" si="2"/>
        <v>0.12316902122538219</v>
      </c>
      <c r="G5" t="s">
        <v>2</v>
      </c>
      <c r="H5">
        <f>SUM(E1:E40)</f>
        <v>2.7014670663186551</v>
      </c>
    </row>
    <row r="6" spans="1:8" x14ac:dyDescent="0.25">
      <c r="A6">
        <v>0.84469922401249997</v>
      </c>
      <c r="B6">
        <v>2.066345005667332</v>
      </c>
      <c r="C6">
        <f t="shared" si="0"/>
        <v>1.311700448377489</v>
      </c>
      <c r="D6">
        <f t="shared" si="1"/>
        <v>0.75464455728984303</v>
      </c>
      <c r="E6">
        <f t="shared" si="2"/>
        <v>0.56948840784718313</v>
      </c>
    </row>
    <row r="7" spans="1:8" x14ac:dyDescent="0.25">
      <c r="A7">
        <v>0.8744402992875</v>
      </c>
      <c r="B7">
        <v>2.0177499799716792</v>
      </c>
      <c r="C7">
        <f t="shared" si="0"/>
        <v>1.5470742028584052</v>
      </c>
      <c r="D7">
        <f t="shared" si="1"/>
        <v>0.47067577711327391</v>
      </c>
      <c r="E7">
        <f t="shared" si="2"/>
        <v>0.2215356871611843</v>
      </c>
    </row>
    <row r="8" spans="1:8" x14ac:dyDescent="0.25">
      <c r="A8">
        <v>0.90418137456250003</v>
      </c>
      <c r="B8">
        <v>2.3452381966162972</v>
      </c>
      <c r="C8">
        <f t="shared" si="0"/>
        <v>1.7890293147476497</v>
      </c>
      <c r="D8">
        <f t="shared" si="1"/>
        <v>0.55620888186864748</v>
      </c>
      <c r="E8">
        <f t="shared" si="2"/>
        <v>0.30936832026957106</v>
      </c>
    </row>
    <row r="9" spans="1:8" x14ac:dyDescent="0.25">
      <c r="A9">
        <v>0.93392244983750006</v>
      </c>
      <c r="B9">
        <v>2.6304698691777388</v>
      </c>
      <c r="C9">
        <f t="shared" si="0"/>
        <v>2.024478294816999</v>
      </c>
      <c r="D9">
        <f t="shared" si="1"/>
        <v>0.6059915743607398</v>
      </c>
      <c r="E9">
        <f t="shared" si="2"/>
        <v>0.36722578819620805</v>
      </c>
    </row>
    <row r="10" spans="1:8" x14ac:dyDescent="0.25">
      <c r="A10">
        <v>0.96366352511250009</v>
      </c>
      <c r="B10">
        <v>2.3917203951077917</v>
      </c>
      <c r="C10">
        <f t="shared" si="0"/>
        <v>2.236559859218358</v>
      </c>
      <c r="D10">
        <f t="shared" si="1"/>
        <v>0.15516053588943368</v>
      </c>
      <c r="E10">
        <f t="shared" si="2"/>
        <v>2.4074791897496239E-2</v>
      </c>
    </row>
    <row r="11" spans="1:8" x14ac:dyDescent="0.25">
      <c r="A11">
        <v>0.99340460038750011</v>
      </c>
      <c r="B11">
        <v>2.5776491890737683</v>
      </c>
      <c r="C11">
        <f t="shared" si="0"/>
        <v>2.4055232167354426</v>
      </c>
      <c r="D11">
        <f t="shared" si="1"/>
        <v>0.17212597233832572</v>
      </c>
      <c r="E11">
        <f t="shared" si="2"/>
        <v>2.9627350353414069E-2</v>
      </c>
    </row>
    <row r="12" spans="1:8" x14ac:dyDescent="0.25">
      <c r="A12">
        <v>1.0231456756625001</v>
      </c>
      <c r="B12">
        <v>2.6537109684234861</v>
      </c>
      <c r="C12">
        <f t="shared" si="0"/>
        <v>2.5106177318324026</v>
      </c>
      <c r="D12">
        <f t="shared" si="1"/>
        <v>0.14309323659108353</v>
      </c>
      <c r="E12">
        <f t="shared" si="2"/>
        <v>2.0475674358111807E-2</v>
      </c>
    </row>
    <row r="13" spans="1:8" x14ac:dyDescent="0.25">
      <c r="A13">
        <v>1.0528867509375002</v>
      </c>
      <c r="B13">
        <v>2.4149614943535385</v>
      </c>
      <c r="C13">
        <f t="shared" si="0"/>
        <v>2.5330620687523289</v>
      </c>
      <c r="D13">
        <f t="shared" si="1"/>
        <v>-0.1181005743987904</v>
      </c>
      <c r="E13">
        <f t="shared" si="2"/>
        <v>1.3947745673324227E-2</v>
      </c>
    </row>
    <row r="14" spans="1:8" x14ac:dyDescent="0.25">
      <c r="A14">
        <v>1.0826278262125002</v>
      </c>
      <c r="B14">
        <v>2.1740991930794324</v>
      </c>
      <c r="C14">
        <f t="shared" si="0"/>
        <v>2.4598515014836848</v>
      </c>
      <c r="D14">
        <f t="shared" si="1"/>
        <v>-0.28575230840425236</v>
      </c>
      <c r="E14">
        <f t="shared" si="2"/>
        <v>8.1654381758358957E-2</v>
      </c>
    </row>
    <row r="15" spans="1:8" x14ac:dyDescent="0.25">
      <c r="A15">
        <v>1.1123689014875002</v>
      </c>
      <c r="B15">
        <v>1.8973188293346261</v>
      </c>
      <c r="C15">
        <f t="shared" si="0"/>
        <v>2.2877193438874053</v>
      </c>
      <c r="D15">
        <f t="shared" si="1"/>
        <v>-0.39040051455277913</v>
      </c>
      <c r="E15">
        <f t="shared" si="2"/>
        <v>0.15241256176307472</v>
      </c>
    </row>
    <row r="16" spans="1:8" x14ac:dyDescent="0.25">
      <c r="A16">
        <v>1.1421099767625003</v>
      </c>
      <c r="B16">
        <v>1.5043329693610843</v>
      </c>
      <c r="C16">
        <f t="shared" si="0"/>
        <v>2.0261236279063506</v>
      </c>
      <c r="D16">
        <f t="shared" si="1"/>
        <v>-0.52179065854526629</v>
      </c>
      <c r="E16">
        <f t="shared" si="2"/>
        <v>0.27226549134510269</v>
      </c>
    </row>
    <row r="17" spans="1:5" x14ac:dyDescent="0.25">
      <c r="A17">
        <v>1.1718510520375001</v>
      </c>
      <c r="B17">
        <v>1.1874088887372605</v>
      </c>
      <c r="C17">
        <f t="shared" si="0"/>
        <v>1.697919332154153</v>
      </c>
      <c r="D17">
        <f t="shared" si="1"/>
        <v>-0.51051044341689256</v>
      </c>
      <c r="E17">
        <f t="shared" si="2"/>
        <v>0.26062091283771227</v>
      </c>
    </row>
    <row r="18" spans="1:5" x14ac:dyDescent="0.25">
      <c r="A18">
        <v>1.2015921273125001</v>
      </c>
      <c r="B18">
        <v>1.0881060101417956</v>
      </c>
      <c r="C18">
        <f t="shared" si="0"/>
        <v>1.3366796905960887</v>
      </c>
      <c r="D18">
        <f t="shared" si="1"/>
        <v>-0.24857368045429307</v>
      </c>
      <c r="E18">
        <f t="shared" si="2"/>
        <v>6.1788874614593002E-2</v>
      </c>
    </row>
    <row r="19" spans="1:5" x14ac:dyDescent="0.25">
      <c r="A19">
        <v>1.2313332025874999</v>
      </c>
      <c r="B19">
        <v>0.76484344790549519</v>
      </c>
      <c r="C19">
        <f t="shared" si="0"/>
        <v>0.98059943436408203</v>
      </c>
      <c r="D19">
        <f t="shared" si="1"/>
        <v>-0.21575598645858685</v>
      </c>
      <c r="E19">
        <f t="shared" si="2"/>
        <v>4.6550645692717912E-2</v>
      </c>
    </row>
    <row r="20" spans="1:5" x14ac:dyDescent="0.25">
      <c r="A20">
        <v>1.2610742778624999</v>
      </c>
      <c r="B20">
        <v>0.76484344790549519</v>
      </c>
      <c r="C20">
        <f t="shared" si="0"/>
        <v>0.66435045989341923</v>
      </c>
      <c r="D20">
        <f t="shared" si="1"/>
        <v>0.10049298801207596</v>
      </c>
      <c r="E20">
        <f t="shared" si="2"/>
        <v>1.0098840639595243E-2</v>
      </c>
    </row>
    <row r="21" spans="1:5" x14ac:dyDescent="0.25">
      <c r="A21">
        <v>1.2908153531375</v>
      </c>
      <c r="B21">
        <v>0.5049657017939595</v>
      </c>
      <c r="C21">
        <f t="shared" si="0"/>
        <v>0.41152009069052881</v>
      </c>
      <c r="D21">
        <f t="shared" si="1"/>
        <v>9.3445611103430692E-2</v>
      </c>
      <c r="E21">
        <f t="shared" si="2"/>
        <v>8.7320822344936089E-3</v>
      </c>
    </row>
    <row r="22" spans="1:5" x14ac:dyDescent="0.25">
      <c r="A22">
        <v>1.3205564284125</v>
      </c>
      <c r="B22">
        <v>0.42467826803592412</v>
      </c>
      <c r="C22">
        <f t="shared" si="0"/>
        <v>0.23048602359138926</v>
      </c>
      <c r="D22">
        <f t="shared" si="1"/>
        <v>0.19419224444453487</v>
      </c>
      <c r="E22">
        <f t="shared" si="2"/>
        <v>3.7710627802405985E-2</v>
      </c>
    </row>
    <row r="23" spans="1:5" x14ac:dyDescent="0.25">
      <c r="A23">
        <v>1.3502975036875</v>
      </c>
      <c r="B23">
        <v>0.22818533804915325</v>
      </c>
      <c r="C23">
        <f t="shared" si="0"/>
        <v>0.11529678195715454</v>
      </c>
      <c r="D23">
        <f t="shared" si="1"/>
        <v>0.11288855609199872</v>
      </c>
      <c r="E23">
        <f t="shared" si="2"/>
        <v>1.2743826096536339E-2</v>
      </c>
    </row>
    <row r="24" spans="1:5" x14ac:dyDescent="0.25">
      <c r="A24">
        <v>1.3800385789625</v>
      </c>
      <c r="B24">
        <v>0</v>
      </c>
      <c r="C24">
        <f t="shared" si="0"/>
        <v>5.0817916039571226E-2</v>
      </c>
      <c r="D24">
        <f t="shared" si="1"/>
        <v>-5.0817916039571226E-2</v>
      </c>
      <c r="E24">
        <f t="shared" si="2"/>
        <v>2.5824605906049104E-3</v>
      </c>
    </row>
    <row r="25" spans="1:5" x14ac:dyDescent="0.25">
      <c r="A25">
        <v>1.4097796542375001</v>
      </c>
      <c r="B25">
        <v>0</v>
      </c>
      <c r="C25">
        <f t="shared" si="0"/>
        <v>1.9442820653052726E-2</v>
      </c>
      <c r="D25">
        <f t="shared" si="1"/>
        <v>-1.9442820653052726E-2</v>
      </c>
      <c r="E25">
        <f t="shared" si="2"/>
        <v>3.7802327494677364E-4</v>
      </c>
    </row>
    <row r="26" spans="1:5" x14ac:dyDescent="0.25">
      <c r="A26">
        <v>1.4395207295125001</v>
      </c>
      <c r="B26">
        <v>0</v>
      </c>
      <c r="C26">
        <f t="shared" si="0"/>
        <v>6.3522045997064652E-3</v>
      </c>
      <c r="D26">
        <f t="shared" si="1"/>
        <v>-6.3522045997064652E-3</v>
      </c>
      <c r="E26">
        <f t="shared" si="2"/>
        <v>4.0350503276531972E-5</v>
      </c>
    </row>
    <row r="27" spans="1:5" x14ac:dyDescent="0.25">
      <c r="A27">
        <v>1.4692618047875001</v>
      </c>
      <c r="B27">
        <v>0</v>
      </c>
      <c r="C27">
        <f t="shared" si="0"/>
        <v>1.7406495972895745E-3</v>
      </c>
      <c r="D27">
        <f t="shared" si="1"/>
        <v>-1.7406495972895745E-3</v>
      </c>
      <c r="E27">
        <f t="shared" si="2"/>
        <v>3.0298610205443581E-6</v>
      </c>
    </row>
    <row r="28" spans="1:5" x14ac:dyDescent="0.25">
      <c r="A28">
        <v>1.4990028800625002</v>
      </c>
      <c r="B28">
        <v>0</v>
      </c>
      <c r="C28">
        <f t="shared" si="0"/>
        <v>3.9227426628368105E-4</v>
      </c>
      <c r="D28">
        <f t="shared" si="1"/>
        <v>-3.9227426628368105E-4</v>
      </c>
      <c r="E28">
        <f t="shared" si="2"/>
        <v>1.538790999884003E-7</v>
      </c>
    </row>
    <row r="29" spans="1:5" x14ac:dyDescent="0.25">
      <c r="A29">
        <v>1.5287439553375</v>
      </c>
      <c r="B29">
        <v>0</v>
      </c>
      <c r="C29">
        <f t="shared" si="0"/>
        <v>7.1162416488709454E-5</v>
      </c>
      <c r="D29">
        <f t="shared" si="1"/>
        <v>-7.1162416488709454E-5</v>
      </c>
      <c r="E29">
        <f t="shared" si="2"/>
        <v>5.0640895205125475E-9</v>
      </c>
    </row>
    <row r="30" spans="1:5" x14ac:dyDescent="0.25">
      <c r="A30">
        <v>1.5584850306125002</v>
      </c>
      <c r="B30">
        <v>0</v>
      </c>
      <c r="C30">
        <f t="shared" si="0"/>
        <v>1.0152035240731342E-5</v>
      </c>
      <c r="D30">
        <f t="shared" si="1"/>
        <v>-1.0152035240731342E-5</v>
      </c>
      <c r="E30">
        <f t="shared" si="2"/>
        <v>1.0306381952905108E-10</v>
      </c>
    </row>
    <row r="31" spans="1:5" x14ac:dyDescent="0.25">
      <c r="A31">
        <v>1.5882261058875002</v>
      </c>
      <c r="B31">
        <v>0</v>
      </c>
      <c r="C31">
        <f t="shared" si="0"/>
        <v>1.1103747886308157E-6</v>
      </c>
      <c r="D31">
        <f t="shared" si="1"/>
        <v>-1.1103747886308157E-6</v>
      </c>
      <c r="E31">
        <f t="shared" si="2"/>
        <v>1.2329321712269286E-12</v>
      </c>
    </row>
    <row r="32" spans="1:5" x14ac:dyDescent="0.25">
      <c r="A32">
        <v>1.6179671811625003</v>
      </c>
      <c r="B32">
        <v>0</v>
      </c>
      <c r="C32">
        <f t="shared" si="0"/>
        <v>9.0579180830457741E-8</v>
      </c>
      <c r="D32">
        <f t="shared" si="1"/>
        <v>-9.0579180830457741E-8</v>
      </c>
      <c r="E32">
        <f t="shared" si="2"/>
        <v>8.2045879999167624E-15</v>
      </c>
    </row>
    <row r="33" spans="1:5" x14ac:dyDescent="0.25">
      <c r="A33">
        <v>1.6477082564375003</v>
      </c>
      <c r="B33">
        <v>0</v>
      </c>
      <c r="C33">
        <f t="shared" si="0"/>
        <v>5.3487641165249028E-9</v>
      </c>
      <c r="D33">
        <f t="shared" si="1"/>
        <v>-5.3487641165249028E-9</v>
      </c>
      <c r="E33">
        <f t="shared" si="2"/>
        <v>2.8609277574224427E-17</v>
      </c>
    </row>
    <row r="34" spans="1:5" x14ac:dyDescent="0.25">
      <c r="A34">
        <v>1.6774493317125001</v>
      </c>
      <c r="B34">
        <v>0</v>
      </c>
      <c r="C34">
        <f t="shared" si="0"/>
        <v>2.2136125105051062E-10</v>
      </c>
      <c r="D34">
        <f t="shared" si="1"/>
        <v>-2.2136125105051062E-10</v>
      </c>
      <c r="E34">
        <f t="shared" si="2"/>
        <v>4.9000803466647188E-20</v>
      </c>
    </row>
    <row r="35" spans="1:5" x14ac:dyDescent="0.25">
      <c r="A35">
        <v>1.7071904069875001</v>
      </c>
      <c r="B35">
        <v>0</v>
      </c>
      <c r="C35">
        <f t="shared" si="0"/>
        <v>6.2000774082209835E-12</v>
      </c>
      <c r="D35">
        <f t="shared" si="1"/>
        <v>-6.2000774082209835E-12</v>
      </c>
      <c r="E35">
        <f t="shared" si="2"/>
        <v>3.8440959867932226E-23</v>
      </c>
    </row>
    <row r="36" spans="1:5" x14ac:dyDescent="0.25">
      <c r="A36">
        <v>1.7369314822625002</v>
      </c>
      <c r="B36">
        <v>0</v>
      </c>
      <c r="C36">
        <f t="shared" si="0"/>
        <v>1.1317836401115629E-13</v>
      </c>
      <c r="D36">
        <f t="shared" si="1"/>
        <v>-1.1317836401115629E-13</v>
      </c>
      <c r="E36">
        <f t="shared" si="2"/>
        <v>1.2809342080241798E-26</v>
      </c>
    </row>
    <row r="37" spans="1:5" x14ac:dyDescent="0.25">
      <c r="A37">
        <v>1.7666725575375002</v>
      </c>
      <c r="B37">
        <v>0</v>
      </c>
      <c r="C37">
        <f t="shared" si="0"/>
        <v>1.2928615808206409E-15</v>
      </c>
      <c r="D37">
        <f t="shared" si="1"/>
        <v>-1.2928615808206409E-15</v>
      </c>
      <c r="E37">
        <f t="shared" si="2"/>
        <v>1.6714910671620465E-30</v>
      </c>
    </row>
    <row r="38" spans="1:5" x14ac:dyDescent="0.25">
      <c r="A38">
        <v>1.7964136328125</v>
      </c>
      <c r="B38">
        <v>0</v>
      </c>
      <c r="C38">
        <f t="shared" si="0"/>
        <v>8.8464416118337706E-18</v>
      </c>
      <c r="D38">
        <f t="shared" si="1"/>
        <v>-8.8464416118337706E-18</v>
      </c>
      <c r="E38">
        <f t="shared" si="2"/>
        <v>7.8259529191584086E-35</v>
      </c>
    </row>
    <row r="39" spans="1:5" x14ac:dyDescent="0.25">
      <c r="A39">
        <v>1.8261547080875</v>
      </c>
      <c r="B39">
        <v>0</v>
      </c>
      <c r="C39">
        <f t="shared" si="0"/>
        <v>3.4593619481852769E-20</v>
      </c>
      <c r="D39">
        <f t="shared" si="1"/>
        <v>-3.4593619481852769E-20</v>
      </c>
      <c r="E39">
        <f t="shared" si="2"/>
        <v>1.1967185088552235E-39</v>
      </c>
    </row>
    <row r="40" spans="1:5" x14ac:dyDescent="0.25">
      <c r="A40">
        <v>1.8558957833625001</v>
      </c>
      <c r="B40">
        <v>2.1128272041588264E-3</v>
      </c>
      <c r="C40">
        <f t="shared" si="0"/>
        <v>7.350455607156447E-23</v>
      </c>
      <c r="D40">
        <f t="shared" si="1"/>
        <v>2.1128272041588264E-3</v>
      </c>
      <c r="E40">
        <f t="shared" si="2"/>
        <v>4.4640387946336034E-6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8B4A-E4C6-42F2-96DC-D3AFCE9CEFA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0.78373859914999988</v>
      </c>
      <c r="B1">
        <v>0.44111038253315221</v>
      </c>
      <c r="C1">
        <f>$H$3*(1+$H$1)*(A1^($H$1))*EXP(-$H$3*(A1^(1+$H$1)))</f>
        <v>0.61115903971459906</v>
      </c>
      <c r="D1">
        <f>B1-C1</f>
        <v>-0.17004865718144685</v>
      </c>
      <c r="E1">
        <f>D1^2</f>
        <v>2.8916545809213236E-2</v>
      </c>
      <c r="G1" t="s">
        <v>0</v>
      </c>
      <c r="H1">
        <v>9.35759247339133</v>
      </c>
    </row>
    <row r="2" spans="1:8" x14ac:dyDescent="0.25">
      <c r="A2">
        <v>0.80938024344999993</v>
      </c>
      <c r="B2">
        <v>0.80625175474115041</v>
      </c>
      <c r="C2">
        <f t="shared" ref="C2:C40" si="0">$H$3*(1+$H$1)*(A2^($H$1))*EXP(-$H$3*(A2^(1+$H$1)))</f>
        <v>0.81029307438648146</v>
      </c>
      <c r="D2">
        <f t="shared" ref="D2:D40" si="1">B2-C2</f>
        <v>-4.041319645331054E-3</v>
      </c>
      <c r="E2">
        <f t="shared" ref="E2:E40" si="2">D2^2</f>
        <v>1.6332264475738716E-5</v>
      </c>
    </row>
    <row r="3" spans="1:8" x14ac:dyDescent="0.25">
      <c r="A3">
        <v>0.83502188774999997</v>
      </c>
      <c r="B3">
        <v>1.1615906740039674</v>
      </c>
      <c r="C3">
        <f t="shared" si="0"/>
        <v>1.0572357203792628</v>
      </c>
      <c r="D3">
        <f t="shared" si="1"/>
        <v>0.10435495362470459</v>
      </c>
      <c r="E3">
        <f t="shared" si="2"/>
        <v>1.0889956346014246E-2</v>
      </c>
      <c r="G3" t="s">
        <v>1</v>
      </c>
      <c r="H3">
        <f>(_xlfn.GAMMA((2+$H$1)/(1+$H$1)))^(1+$H$1)</f>
        <v>0.6057325929070132</v>
      </c>
    </row>
    <row r="4" spans="1:8" x14ac:dyDescent="0.25">
      <c r="A4">
        <v>0.86066353205000001</v>
      </c>
      <c r="B4">
        <v>1.6884725198074548</v>
      </c>
      <c r="C4">
        <f t="shared" si="0"/>
        <v>1.355609336611983</v>
      </c>
      <c r="D4">
        <f t="shared" si="1"/>
        <v>0.33286318319547181</v>
      </c>
      <c r="E4">
        <f t="shared" si="2"/>
        <v>0.11079789872702223</v>
      </c>
    </row>
    <row r="5" spans="1:8" x14ac:dyDescent="0.25">
      <c r="A5">
        <v>0.88630517635000006</v>
      </c>
      <c r="B5">
        <v>2.6344092290174368</v>
      </c>
      <c r="C5">
        <f t="shared" si="0"/>
        <v>1.7048382713487999</v>
      </c>
      <c r="D5">
        <f t="shared" si="1"/>
        <v>0.92957095766863684</v>
      </c>
      <c r="E5">
        <f t="shared" si="2"/>
        <v>0.86410216534098661</v>
      </c>
      <c r="G5" t="s">
        <v>2</v>
      </c>
      <c r="H5">
        <f>SUM(E1:E40)</f>
        <v>4.5165422231030803</v>
      </c>
    </row>
    <row r="6" spans="1:8" x14ac:dyDescent="0.25">
      <c r="A6">
        <v>0.91194682064999999</v>
      </c>
      <c r="B6">
        <v>2.8672174864654894</v>
      </c>
      <c r="C6">
        <f t="shared" si="0"/>
        <v>2.0974371185098812</v>
      </c>
      <c r="D6">
        <f t="shared" si="1"/>
        <v>0.76978036795560811</v>
      </c>
      <c r="E6">
        <f t="shared" si="2"/>
        <v>0.59256181488987136</v>
      </c>
    </row>
    <row r="7" spans="1:8" x14ac:dyDescent="0.25">
      <c r="A7">
        <v>0.93758846494999992</v>
      </c>
      <c r="B7">
        <v>3.3818462660875004</v>
      </c>
      <c r="C7">
        <f t="shared" si="0"/>
        <v>2.5158791120896979</v>
      </c>
      <c r="D7">
        <f t="shared" si="1"/>
        <v>0.86596715399780244</v>
      </c>
      <c r="E7">
        <f t="shared" si="2"/>
        <v>0.74989911180305369</v>
      </c>
    </row>
    <row r="8" spans="1:8" x14ac:dyDescent="0.25">
      <c r="A8">
        <v>0.96323010924999997</v>
      </c>
      <c r="B8">
        <v>3.6122039102992574</v>
      </c>
      <c r="C8">
        <f t="shared" si="0"/>
        <v>2.9297420324580723</v>
      </c>
      <c r="D8">
        <f t="shared" si="1"/>
        <v>0.68246187784118506</v>
      </c>
      <c r="E8">
        <f t="shared" si="2"/>
        <v>0.46575421470651662</v>
      </c>
    </row>
    <row r="9" spans="1:8" x14ac:dyDescent="0.25">
      <c r="A9">
        <v>0.98887175355000001</v>
      </c>
      <c r="B9">
        <v>3.4823214087756074</v>
      </c>
      <c r="C9">
        <f t="shared" si="0"/>
        <v>3.2944733330919154</v>
      </c>
      <c r="D9">
        <f t="shared" si="1"/>
        <v>0.187848075683692</v>
      </c>
      <c r="E9">
        <f t="shared" si="2"/>
        <v>3.5286899538066074E-2</v>
      </c>
    </row>
    <row r="10" spans="1:8" x14ac:dyDescent="0.25">
      <c r="A10">
        <v>1.0145133978500001</v>
      </c>
      <c r="B10">
        <v>3.6416112691348008</v>
      </c>
      <c r="C10">
        <f t="shared" si="0"/>
        <v>3.5537695667160607</v>
      </c>
      <c r="D10">
        <f t="shared" si="1"/>
        <v>8.784170241874012E-2</v>
      </c>
      <c r="E10">
        <f t="shared" si="2"/>
        <v>7.7161646838224936E-3</v>
      </c>
    </row>
    <row r="11" spans="1:8" x14ac:dyDescent="0.25">
      <c r="A11">
        <v>1.0401550421499999</v>
      </c>
      <c r="B11">
        <v>3.4774201823030166</v>
      </c>
      <c r="C11">
        <f t="shared" si="0"/>
        <v>3.6477422261298065</v>
      </c>
      <c r="D11">
        <f t="shared" si="1"/>
        <v>-0.17032204382678984</v>
      </c>
      <c r="E11">
        <f t="shared" si="2"/>
        <v>2.9009598613334919E-2</v>
      </c>
    </row>
    <row r="12" spans="1:8" x14ac:dyDescent="0.25">
      <c r="A12">
        <v>1.0657966864499999</v>
      </c>
      <c r="B12">
        <v>3.0069024409343208</v>
      </c>
      <c r="C12">
        <f t="shared" si="0"/>
        <v>3.527931253460741</v>
      </c>
      <c r="D12">
        <f t="shared" si="1"/>
        <v>-0.52102881252642019</v>
      </c>
      <c r="E12">
        <f t="shared" si="2"/>
        <v>0.27147102348269153</v>
      </c>
    </row>
    <row r="13" spans="1:8" x14ac:dyDescent="0.25">
      <c r="A13">
        <v>1.09143833075</v>
      </c>
      <c r="B13">
        <v>2.5143291804389678</v>
      </c>
      <c r="C13">
        <f t="shared" si="0"/>
        <v>3.1770503433328283</v>
      </c>
      <c r="D13">
        <f t="shared" si="1"/>
        <v>-0.66272116289386052</v>
      </c>
      <c r="E13">
        <f t="shared" si="2"/>
        <v>0.43919933974739078</v>
      </c>
    </row>
    <row r="14" spans="1:8" x14ac:dyDescent="0.25">
      <c r="A14">
        <v>1.11707997505</v>
      </c>
      <c r="B14">
        <v>1.8967746448925544</v>
      </c>
      <c r="C14">
        <f t="shared" si="0"/>
        <v>2.6263654403352765</v>
      </c>
      <c r="D14">
        <f t="shared" si="1"/>
        <v>-0.7295907954427221</v>
      </c>
      <c r="E14">
        <f t="shared" si="2"/>
        <v>0.53230272879474394</v>
      </c>
    </row>
    <row r="15" spans="1:8" x14ac:dyDescent="0.25">
      <c r="A15">
        <v>1.1427216193500001</v>
      </c>
      <c r="B15">
        <v>1.4801703947223552</v>
      </c>
      <c r="C15">
        <f t="shared" si="0"/>
        <v>1.959471979366318</v>
      </c>
      <c r="D15">
        <f t="shared" si="1"/>
        <v>-0.47930158464396277</v>
      </c>
      <c r="E15">
        <f t="shared" si="2"/>
        <v>0.2297300090422138</v>
      </c>
    </row>
    <row r="16" spans="1:8" x14ac:dyDescent="0.25">
      <c r="A16">
        <v>1.1683632636499999</v>
      </c>
      <c r="B16">
        <v>1.1444363813499006</v>
      </c>
      <c r="C16">
        <f t="shared" si="0"/>
        <v>1.2930653537013568</v>
      </c>
      <c r="D16">
        <f t="shared" si="1"/>
        <v>-0.14862897235145622</v>
      </c>
      <c r="E16">
        <f t="shared" si="2"/>
        <v>2.209057142224994E-2</v>
      </c>
    </row>
    <row r="17" spans="1:5" x14ac:dyDescent="0.25">
      <c r="A17">
        <v>1.1940049079499999</v>
      </c>
      <c r="B17">
        <v>0.828307273867808</v>
      </c>
      <c r="C17">
        <f t="shared" si="0"/>
        <v>0.73697112563026335</v>
      </c>
      <c r="D17">
        <f t="shared" si="1"/>
        <v>9.1336148237544657E-2</v>
      </c>
      <c r="E17">
        <f t="shared" si="2"/>
        <v>8.3422919748707327E-3</v>
      </c>
    </row>
    <row r="18" spans="1:5" x14ac:dyDescent="0.25">
      <c r="A18">
        <v>1.21964655225</v>
      </c>
      <c r="B18">
        <v>0.67146802674490946</v>
      </c>
      <c r="C18">
        <f t="shared" si="0"/>
        <v>0.35273352185196705</v>
      </c>
      <c r="D18">
        <f t="shared" si="1"/>
        <v>0.31873450489294242</v>
      </c>
      <c r="E18">
        <f t="shared" si="2"/>
        <v>0.10159168460934913</v>
      </c>
    </row>
    <row r="19" spans="1:5" x14ac:dyDescent="0.25">
      <c r="A19">
        <v>1.24528819655</v>
      </c>
      <c r="B19">
        <v>0.25976500304730077</v>
      </c>
      <c r="C19">
        <f t="shared" si="0"/>
        <v>0.13719042062479511</v>
      </c>
      <c r="D19">
        <f t="shared" si="1"/>
        <v>0.12257458242250566</v>
      </c>
      <c r="E19">
        <f t="shared" si="2"/>
        <v>1.5024528256051634E-2</v>
      </c>
    </row>
    <row r="20" spans="1:5" x14ac:dyDescent="0.25">
      <c r="A20">
        <v>1.27092984085</v>
      </c>
      <c r="B20">
        <v>0</v>
      </c>
      <c r="C20">
        <f t="shared" si="0"/>
        <v>4.1724413825183389E-2</v>
      </c>
      <c r="D20">
        <f t="shared" si="1"/>
        <v>-4.1724413825183389E-2</v>
      </c>
      <c r="E20">
        <f t="shared" si="2"/>
        <v>1.7409267090551547E-3</v>
      </c>
    </row>
    <row r="21" spans="1:5" x14ac:dyDescent="0.25">
      <c r="A21">
        <v>1.2965714851499999</v>
      </c>
      <c r="B21">
        <v>0</v>
      </c>
      <c r="C21">
        <f t="shared" si="0"/>
        <v>9.4887692950989828E-3</v>
      </c>
      <c r="D21">
        <f t="shared" si="1"/>
        <v>-9.4887692950989828E-3</v>
      </c>
      <c r="E21">
        <f t="shared" si="2"/>
        <v>9.003674273561325E-5</v>
      </c>
    </row>
    <row r="22" spans="1:5" x14ac:dyDescent="0.25">
      <c r="A22">
        <v>1.3222131294500001</v>
      </c>
      <c r="B22">
        <v>0</v>
      </c>
      <c r="C22">
        <f t="shared" si="0"/>
        <v>1.5318744703961083E-3</v>
      </c>
      <c r="D22">
        <f t="shared" si="1"/>
        <v>-1.5318744703961083E-3</v>
      </c>
      <c r="E22">
        <f t="shared" si="2"/>
        <v>2.3466393930513571E-6</v>
      </c>
    </row>
    <row r="23" spans="1:5" x14ac:dyDescent="0.25">
      <c r="A23">
        <v>1.34785477375</v>
      </c>
      <c r="B23">
        <v>0</v>
      </c>
      <c r="C23">
        <f t="shared" si="0"/>
        <v>1.6532004480248228E-4</v>
      </c>
      <c r="D23">
        <f t="shared" si="1"/>
        <v>-1.6532004480248228E-4</v>
      </c>
      <c r="E23">
        <f t="shared" si="2"/>
        <v>2.7330717213494748E-8</v>
      </c>
    </row>
    <row r="24" spans="1:5" x14ac:dyDescent="0.25">
      <c r="A24">
        <v>1.3734964180499998</v>
      </c>
      <c r="B24">
        <v>0</v>
      </c>
      <c r="C24">
        <f t="shared" si="0"/>
        <v>1.1127518400501154E-5</v>
      </c>
      <c r="D24">
        <f t="shared" si="1"/>
        <v>-1.1127518400501154E-5</v>
      </c>
      <c r="E24">
        <f t="shared" si="2"/>
        <v>1.2382166575349176E-10</v>
      </c>
    </row>
    <row r="25" spans="1:5" x14ac:dyDescent="0.25">
      <c r="A25">
        <v>1.39913806235</v>
      </c>
      <c r="B25">
        <v>0</v>
      </c>
      <c r="C25">
        <f t="shared" si="0"/>
        <v>4.3130926031060542E-7</v>
      </c>
      <c r="D25">
        <f t="shared" si="1"/>
        <v>-4.3130926031060542E-7</v>
      </c>
      <c r="E25">
        <f t="shared" si="2"/>
        <v>1.8602767802968158E-13</v>
      </c>
    </row>
    <row r="26" spans="1:5" x14ac:dyDescent="0.25">
      <c r="A26">
        <v>1.4247797066499999</v>
      </c>
      <c r="B26">
        <v>0</v>
      </c>
      <c r="C26">
        <f t="shared" si="0"/>
        <v>8.7848374899549354E-9</v>
      </c>
      <c r="D26">
        <f t="shared" si="1"/>
        <v>-8.7848374899549354E-9</v>
      </c>
      <c r="E26">
        <f t="shared" si="2"/>
        <v>7.7173369724917733E-17</v>
      </c>
    </row>
    <row r="27" spans="1:5" x14ac:dyDescent="0.25">
      <c r="A27">
        <v>1.4504213509499999</v>
      </c>
      <c r="B27">
        <v>0</v>
      </c>
      <c r="C27">
        <f t="shared" si="0"/>
        <v>8.4668708048775177E-11</v>
      </c>
      <c r="D27">
        <f t="shared" si="1"/>
        <v>-8.4668708048775177E-11</v>
      </c>
      <c r="E27">
        <f t="shared" si="2"/>
        <v>7.1687901226487265E-21</v>
      </c>
    </row>
    <row r="28" spans="1:5" x14ac:dyDescent="0.25">
      <c r="A28">
        <v>1.47606299525</v>
      </c>
      <c r="B28">
        <v>0</v>
      </c>
      <c r="C28">
        <f t="shared" si="0"/>
        <v>3.4260734761526538E-13</v>
      </c>
      <c r="D28">
        <f t="shared" si="1"/>
        <v>-3.4260734761526538E-13</v>
      </c>
      <c r="E28">
        <f t="shared" si="2"/>
        <v>1.173797946399673E-25</v>
      </c>
    </row>
    <row r="29" spans="1:5" x14ac:dyDescent="0.25">
      <c r="A29">
        <v>1.50170463955</v>
      </c>
      <c r="B29">
        <v>0</v>
      </c>
      <c r="C29">
        <f t="shared" si="0"/>
        <v>5.0789303761652856E-16</v>
      </c>
      <c r="D29">
        <f t="shared" si="1"/>
        <v>-5.0789303761652856E-16</v>
      </c>
      <c r="E29">
        <f t="shared" si="2"/>
        <v>2.5795533765934451E-31</v>
      </c>
    </row>
    <row r="30" spans="1:5" x14ac:dyDescent="0.25">
      <c r="A30">
        <v>1.52734628385</v>
      </c>
      <c r="B30">
        <v>0</v>
      </c>
      <c r="C30">
        <f t="shared" si="0"/>
        <v>2.3626189780776188E-19</v>
      </c>
      <c r="D30">
        <f t="shared" si="1"/>
        <v>-2.3626189780776188E-19</v>
      </c>
      <c r="E30">
        <f t="shared" si="2"/>
        <v>5.5819684355725317E-38</v>
      </c>
    </row>
    <row r="31" spans="1:5" x14ac:dyDescent="0.25">
      <c r="A31">
        <v>1.5529879281499999</v>
      </c>
      <c r="B31">
        <v>0</v>
      </c>
      <c r="C31">
        <f t="shared" si="0"/>
        <v>2.8933327415800094E-23</v>
      </c>
      <c r="D31">
        <f t="shared" si="1"/>
        <v>-2.8933327415800094E-23</v>
      </c>
      <c r="E31">
        <f t="shared" si="2"/>
        <v>8.3713743534988944E-46</v>
      </c>
    </row>
    <row r="32" spans="1:5" x14ac:dyDescent="0.25">
      <c r="A32">
        <v>1.5786295724500001</v>
      </c>
      <c r="B32">
        <v>0</v>
      </c>
      <c r="C32">
        <f t="shared" si="0"/>
        <v>7.6470609076854936E-28</v>
      </c>
      <c r="D32">
        <f t="shared" si="1"/>
        <v>-7.6470609076854936E-28</v>
      </c>
      <c r="E32">
        <f t="shared" si="2"/>
        <v>5.8477540525851683E-55</v>
      </c>
    </row>
    <row r="33" spans="1:5" x14ac:dyDescent="0.25">
      <c r="A33">
        <v>1.60427121675</v>
      </c>
      <c r="B33">
        <v>0</v>
      </c>
      <c r="C33">
        <f t="shared" si="0"/>
        <v>3.4853173406006444E-33</v>
      </c>
      <c r="D33">
        <f t="shared" si="1"/>
        <v>-3.4853173406006444E-33</v>
      </c>
      <c r="E33">
        <f t="shared" si="2"/>
        <v>1.2147436964691548E-65</v>
      </c>
    </row>
    <row r="34" spans="1:5" x14ac:dyDescent="0.25">
      <c r="A34">
        <v>1.6299128610499998</v>
      </c>
      <c r="B34">
        <v>0</v>
      </c>
      <c r="C34">
        <f t="shared" si="0"/>
        <v>2.1273133332756982E-39</v>
      </c>
      <c r="D34">
        <f t="shared" si="1"/>
        <v>-2.1273133332756982E-39</v>
      </c>
      <c r="E34">
        <f t="shared" si="2"/>
        <v>4.5254620179325613E-78</v>
      </c>
    </row>
    <row r="35" spans="1:5" x14ac:dyDescent="0.25">
      <c r="A35">
        <v>1.65555450535</v>
      </c>
      <c r="B35">
        <v>0</v>
      </c>
      <c r="C35">
        <f t="shared" si="0"/>
        <v>1.3084221754554882E-46</v>
      </c>
      <c r="D35">
        <f t="shared" si="1"/>
        <v>-1.3084221754554882E-46</v>
      </c>
      <c r="E35">
        <f t="shared" si="2"/>
        <v>1.7119685892236724E-92</v>
      </c>
    </row>
    <row r="36" spans="1:5" x14ac:dyDescent="0.25">
      <c r="A36">
        <v>1.6811961496499999</v>
      </c>
      <c r="B36">
        <v>0</v>
      </c>
      <c r="C36">
        <f t="shared" si="0"/>
        <v>5.8927927901760491E-55</v>
      </c>
      <c r="D36">
        <f t="shared" si="1"/>
        <v>-5.8927927901760491E-55</v>
      </c>
      <c r="E36">
        <f t="shared" si="2"/>
        <v>3.4725006867950825E-109</v>
      </c>
    </row>
    <row r="37" spans="1:5" x14ac:dyDescent="0.25">
      <c r="A37">
        <v>1.7068377939500001</v>
      </c>
      <c r="B37">
        <v>0</v>
      </c>
      <c r="C37">
        <f t="shared" si="0"/>
        <v>1.3587643133939362E-64</v>
      </c>
      <c r="D37">
        <f t="shared" si="1"/>
        <v>-1.3587643133939362E-64</v>
      </c>
      <c r="E37">
        <f t="shared" si="2"/>
        <v>1.8462404593528949E-128</v>
      </c>
    </row>
    <row r="38" spans="1:5" x14ac:dyDescent="0.25">
      <c r="A38">
        <v>1.7324794382499999</v>
      </c>
      <c r="B38">
        <v>0</v>
      </c>
      <c r="C38">
        <f t="shared" si="0"/>
        <v>1.0748700452484577E-75</v>
      </c>
      <c r="D38">
        <f t="shared" si="1"/>
        <v>-1.0748700452484577E-75</v>
      </c>
      <c r="E38">
        <f t="shared" si="2"/>
        <v>1.1553456141724215E-150</v>
      </c>
    </row>
    <row r="39" spans="1:5" x14ac:dyDescent="0.25">
      <c r="A39">
        <v>1.7581210825499998</v>
      </c>
      <c r="B39">
        <v>0</v>
      </c>
      <c r="C39">
        <f t="shared" si="0"/>
        <v>1.8654303696425099E-88</v>
      </c>
      <c r="D39">
        <f t="shared" si="1"/>
        <v>-1.8654303696425099E-88</v>
      </c>
      <c r="E39">
        <f t="shared" si="2"/>
        <v>3.4798304639845909E-176</v>
      </c>
    </row>
    <row r="40" spans="1:5" x14ac:dyDescent="0.25">
      <c r="A40">
        <v>1.78376272685</v>
      </c>
      <c r="B40">
        <v>2.4506132362952901E-3</v>
      </c>
      <c r="C40">
        <f t="shared" si="0"/>
        <v>4.314194837637299E-103</v>
      </c>
      <c r="D40">
        <f t="shared" si="1"/>
        <v>2.4506132362952901E-3</v>
      </c>
      <c r="E40">
        <f t="shared" si="2"/>
        <v>6.0055052339056758E-6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DA65-0002-42BA-921D-983556EC39A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0.8632088522250001</v>
      </c>
      <c r="B1">
        <v>0.72386539329060939</v>
      </c>
      <c r="C1">
        <f>$H$3*(1+$H$1)*(A1^($H$1))*EXP(-$H$3*(A1^(1+$H$1)))</f>
        <v>0.94962028709788604</v>
      </c>
      <c r="D1">
        <f>B1-C1</f>
        <v>-0.22575489380727665</v>
      </c>
      <c r="E1">
        <f>D1^2</f>
        <v>5.0965272077934755E-2</v>
      </c>
      <c r="G1" t="s">
        <v>0</v>
      </c>
      <c r="H1">
        <v>15.428858420856521</v>
      </c>
    </row>
    <row r="2" spans="1:8" x14ac:dyDescent="0.25">
      <c r="A2">
        <v>0.88525824067500003</v>
      </c>
      <c r="B2">
        <v>1.5047280616434715</v>
      </c>
      <c r="C2">
        <f t="shared" ref="C2:C40" si="0">$H$3*(1+$H$1)*(A2^($H$1))*EXP(-$H$3*(A2^(1+$H$1)))</f>
        <v>1.3640575613516577</v>
      </c>
      <c r="D2">
        <f t="shared" ref="D2:D40" si="1">B2-C2</f>
        <v>0.14067050029181383</v>
      </c>
      <c r="E2">
        <f t="shared" ref="E2:E40" si="2">D2^2</f>
        <v>1.9788189652349193E-2</v>
      </c>
    </row>
    <row r="3" spans="1:8" x14ac:dyDescent="0.25">
      <c r="A3">
        <v>0.90730762912499996</v>
      </c>
      <c r="B3">
        <v>2.4508828276768666</v>
      </c>
      <c r="C3">
        <f t="shared" si="0"/>
        <v>1.9163158647949994</v>
      </c>
      <c r="D3">
        <f t="shared" si="1"/>
        <v>0.53456696288186722</v>
      </c>
      <c r="E3">
        <f t="shared" si="2"/>
        <v>0.28576183780474362</v>
      </c>
      <c r="G3" t="s">
        <v>1</v>
      </c>
      <c r="H3">
        <f>(_xlfn.GAMMA((2+$H$1)/(1+$H$1)))^(1+$H$1)</f>
        <v>0.58944164743244998</v>
      </c>
    </row>
    <row r="4" spans="1:8" x14ac:dyDescent="0.25">
      <c r="A4">
        <v>0.92935701757500011</v>
      </c>
      <c r="B4">
        <v>4.0040585731232525</v>
      </c>
      <c r="C4">
        <f t="shared" si="0"/>
        <v>2.6200947961582006</v>
      </c>
      <c r="D4">
        <f t="shared" si="1"/>
        <v>1.3839637769650519</v>
      </c>
      <c r="E4">
        <f t="shared" si="2"/>
        <v>1.915355735951372</v>
      </c>
    </row>
    <row r="5" spans="1:8" x14ac:dyDescent="0.25">
      <c r="A5">
        <v>0.95140640602500004</v>
      </c>
      <c r="B5">
        <v>4.7706719227105516</v>
      </c>
      <c r="C5">
        <f t="shared" si="0"/>
        <v>3.4620446861033725</v>
      </c>
      <c r="D5">
        <f t="shared" si="1"/>
        <v>1.3086272366071792</v>
      </c>
      <c r="E5">
        <f t="shared" si="2"/>
        <v>1.7125052443901421</v>
      </c>
      <c r="G5" t="s">
        <v>2</v>
      </c>
      <c r="H5">
        <f>SUM(E1:E40)</f>
        <v>9.2796019334844377</v>
      </c>
    </row>
    <row r="6" spans="1:8" x14ac:dyDescent="0.25">
      <c r="A6">
        <v>0.97345579447499997</v>
      </c>
      <c r="B6">
        <v>5.7025773699783837</v>
      </c>
      <c r="C6">
        <f t="shared" si="0"/>
        <v>4.3776397223886487</v>
      </c>
      <c r="D6">
        <f t="shared" si="1"/>
        <v>1.324937647589735</v>
      </c>
      <c r="E6">
        <f t="shared" si="2"/>
        <v>1.7554597700006207</v>
      </c>
    </row>
    <row r="7" spans="1:8" x14ac:dyDescent="0.25">
      <c r="A7">
        <v>0.99550518292500001</v>
      </c>
      <c r="B7">
        <v>5.4631888147169221</v>
      </c>
      <c r="C7">
        <f t="shared" si="0"/>
        <v>5.2255602526151055</v>
      </c>
      <c r="D7">
        <f t="shared" si="1"/>
        <v>0.2376285621018166</v>
      </c>
      <c r="E7">
        <f t="shared" si="2"/>
        <v>5.6467333526576909E-2</v>
      </c>
    </row>
    <row r="8" spans="1:8" x14ac:dyDescent="0.25">
      <c r="A8">
        <v>1.017554571375</v>
      </c>
      <c r="B8">
        <v>5.7139768249908336</v>
      </c>
      <c r="C8">
        <f t="shared" si="0"/>
        <v>5.7801788824166591</v>
      </c>
      <c r="D8">
        <f t="shared" si="1"/>
        <v>-6.6202057425825522E-2</v>
      </c>
      <c r="E8">
        <f t="shared" si="2"/>
        <v>4.3827124074123005E-3</v>
      </c>
    </row>
    <row r="9" spans="1:8" x14ac:dyDescent="0.25">
      <c r="A9">
        <v>1.039603959825</v>
      </c>
      <c r="B9">
        <v>4.9416637478973096</v>
      </c>
      <c r="C9">
        <f t="shared" si="0"/>
        <v>5.7775392640985848</v>
      </c>
      <c r="D9">
        <f t="shared" si="1"/>
        <v>-0.8358755162012752</v>
      </c>
      <c r="E9">
        <f t="shared" si="2"/>
        <v>0.69868787858474823</v>
      </c>
    </row>
    <row r="10" spans="1:8" x14ac:dyDescent="0.25">
      <c r="A10">
        <v>1.0616533482750001</v>
      </c>
      <c r="B10">
        <v>3.8872141592456346</v>
      </c>
      <c r="C10">
        <f t="shared" si="0"/>
        <v>5.0451714002697763</v>
      </c>
      <c r="D10">
        <f t="shared" si="1"/>
        <v>-1.1579572410241417</v>
      </c>
      <c r="E10">
        <f t="shared" si="2"/>
        <v>1.3408649720402421</v>
      </c>
    </row>
    <row r="11" spans="1:8" x14ac:dyDescent="0.25">
      <c r="A11">
        <v>1.0837027367250001</v>
      </c>
      <c r="B11">
        <v>2.6076253340980613</v>
      </c>
      <c r="C11">
        <f t="shared" si="0"/>
        <v>3.6796208504018186</v>
      </c>
      <c r="D11">
        <f t="shared" si="1"/>
        <v>-1.0719955163037573</v>
      </c>
      <c r="E11">
        <f t="shared" si="2"/>
        <v>1.1491743869753592</v>
      </c>
    </row>
    <row r="12" spans="1:8" x14ac:dyDescent="0.25">
      <c r="A12">
        <v>1.105752125175</v>
      </c>
      <c r="B12">
        <v>1.8239128019920867</v>
      </c>
      <c r="C12">
        <f t="shared" si="0"/>
        <v>2.1118565009159673</v>
      </c>
      <c r="D12">
        <f t="shared" si="1"/>
        <v>-0.28794369892388061</v>
      </c>
      <c r="E12">
        <f t="shared" si="2"/>
        <v>8.2911573749966397E-2</v>
      </c>
    </row>
    <row r="13" spans="1:8" x14ac:dyDescent="0.25">
      <c r="A13">
        <v>1.1278015136250001</v>
      </c>
      <c r="B13">
        <v>1.2539400513695595</v>
      </c>
      <c r="C13">
        <f t="shared" si="0"/>
        <v>0.88194791367658909</v>
      </c>
      <c r="D13">
        <f t="shared" si="1"/>
        <v>0.37199213769297046</v>
      </c>
      <c r="E13">
        <f t="shared" si="2"/>
        <v>0.13837815050538591</v>
      </c>
    </row>
    <row r="14" spans="1:8" x14ac:dyDescent="0.25">
      <c r="A14">
        <v>1.1498509020750001</v>
      </c>
      <c r="B14">
        <v>0.5015760205478238</v>
      </c>
      <c r="C14">
        <f t="shared" si="0"/>
        <v>0.24190829010926471</v>
      </c>
      <c r="D14">
        <f t="shared" si="1"/>
        <v>0.25966773043855906</v>
      </c>
      <c r="E14">
        <f t="shared" si="2"/>
        <v>6.7427330231112179E-2</v>
      </c>
    </row>
    <row r="15" spans="1:8" x14ac:dyDescent="0.25">
      <c r="A15">
        <v>1.171900290525</v>
      </c>
      <c r="B15">
        <v>0</v>
      </c>
      <c r="C15">
        <f t="shared" si="0"/>
        <v>3.814378663514912E-2</v>
      </c>
      <c r="D15">
        <f t="shared" si="1"/>
        <v>-3.814378663514912E-2</v>
      </c>
      <c r="E15">
        <f t="shared" si="2"/>
        <v>1.4549484588677805E-3</v>
      </c>
    </row>
    <row r="16" spans="1:8" x14ac:dyDescent="0.25">
      <c r="A16">
        <v>1.1939496789750002</v>
      </c>
      <c r="B16">
        <v>0</v>
      </c>
      <c r="C16">
        <f t="shared" si="0"/>
        <v>2.9099832332341669E-3</v>
      </c>
      <c r="D16">
        <f t="shared" si="1"/>
        <v>-2.9099832332341669E-3</v>
      </c>
      <c r="E16">
        <f t="shared" si="2"/>
        <v>8.4680024177039757E-6</v>
      </c>
    </row>
    <row r="17" spans="1:5" x14ac:dyDescent="0.25">
      <c r="A17">
        <v>1.2159990674250001</v>
      </c>
      <c r="B17">
        <v>0</v>
      </c>
      <c r="C17">
        <f t="shared" si="0"/>
        <v>8.6030368572908916E-5</v>
      </c>
      <c r="D17">
        <f t="shared" si="1"/>
        <v>-8.6030368572908916E-5</v>
      </c>
      <c r="E17">
        <f t="shared" si="2"/>
        <v>7.4012243167905537E-9</v>
      </c>
    </row>
    <row r="18" spans="1:5" x14ac:dyDescent="0.25">
      <c r="A18">
        <v>1.238048455875</v>
      </c>
      <c r="B18">
        <v>0</v>
      </c>
      <c r="C18">
        <f t="shared" si="0"/>
        <v>7.4161546856428437E-7</v>
      </c>
      <c r="D18">
        <f t="shared" si="1"/>
        <v>-7.4161546856428437E-7</v>
      </c>
      <c r="E18">
        <f t="shared" si="2"/>
        <v>5.4999350321382303E-13</v>
      </c>
    </row>
    <row r="19" spans="1:5" x14ac:dyDescent="0.25">
      <c r="A19">
        <v>1.2600978443250002</v>
      </c>
      <c r="B19">
        <v>0</v>
      </c>
      <c r="C19">
        <f t="shared" si="0"/>
        <v>1.2968675671821658E-9</v>
      </c>
      <c r="D19">
        <f t="shared" si="1"/>
        <v>-1.2968675671821658E-9</v>
      </c>
      <c r="E19">
        <f t="shared" si="2"/>
        <v>1.6818654868089894E-18</v>
      </c>
    </row>
    <row r="20" spans="1:5" x14ac:dyDescent="0.25">
      <c r="A20">
        <v>1.2821472327749999</v>
      </c>
      <c r="B20">
        <v>0</v>
      </c>
      <c r="C20">
        <f t="shared" si="0"/>
        <v>2.901830729609709E-13</v>
      </c>
      <c r="D20">
        <f t="shared" si="1"/>
        <v>-2.901830729609709E-13</v>
      </c>
      <c r="E20">
        <f t="shared" si="2"/>
        <v>8.4206215833072162E-26</v>
      </c>
    </row>
    <row r="21" spans="1:5" x14ac:dyDescent="0.25">
      <c r="A21">
        <v>1.304196621225</v>
      </c>
      <c r="B21">
        <v>0</v>
      </c>
      <c r="C21">
        <f t="shared" si="0"/>
        <v>4.638720970390711E-18</v>
      </c>
      <c r="D21">
        <f t="shared" si="1"/>
        <v>-4.638720970390711E-18</v>
      </c>
      <c r="E21">
        <f t="shared" si="2"/>
        <v>2.151773224114254E-35</v>
      </c>
    </row>
    <row r="22" spans="1:5" x14ac:dyDescent="0.25">
      <c r="A22">
        <v>1.3262460096750002</v>
      </c>
      <c r="B22">
        <v>0</v>
      </c>
      <c r="C22">
        <f t="shared" si="0"/>
        <v>2.5424635479734076E-24</v>
      </c>
      <c r="D22">
        <f t="shared" si="1"/>
        <v>-2.5424635479734076E-24</v>
      </c>
      <c r="E22">
        <f t="shared" si="2"/>
        <v>6.4641208927735284E-48</v>
      </c>
    </row>
    <row r="23" spans="1:5" x14ac:dyDescent="0.25">
      <c r="A23">
        <v>1.3482953981249999</v>
      </c>
      <c r="B23">
        <v>0</v>
      </c>
      <c r="C23">
        <f t="shared" si="0"/>
        <v>1.9020484331994569E-32</v>
      </c>
      <c r="D23">
        <f t="shared" si="1"/>
        <v>-1.9020484331994569E-32</v>
      </c>
      <c r="E23">
        <f t="shared" si="2"/>
        <v>3.6177882422365088E-64</v>
      </c>
    </row>
    <row r="24" spans="1:5" x14ac:dyDescent="0.25">
      <c r="A24">
        <v>1.370344786575</v>
      </c>
      <c r="B24">
        <v>0</v>
      </c>
      <c r="C24">
        <f t="shared" si="0"/>
        <v>6.1417150727090234E-43</v>
      </c>
      <c r="D24">
        <f t="shared" si="1"/>
        <v>-6.1417150727090234E-43</v>
      </c>
      <c r="E24">
        <f t="shared" si="2"/>
        <v>3.7720664034341203E-85</v>
      </c>
    </row>
    <row r="25" spans="1:5" x14ac:dyDescent="0.25">
      <c r="A25">
        <v>1.3923941750250002</v>
      </c>
      <c r="B25">
        <v>0</v>
      </c>
      <c r="C25">
        <f t="shared" si="0"/>
        <v>2.0405417619709056E-56</v>
      </c>
      <c r="D25">
        <f t="shared" si="1"/>
        <v>-2.0405417619709056E-56</v>
      </c>
      <c r="E25">
        <f t="shared" si="2"/>
        <v>4.163810682347328E-112</v>
      </c>
    </row>
    <row r="26" spans="1:5" x14ac:dyDescent="0.25">
      <c r="A26">
        <v>1.4144435634750001</v>
      </c>
      <c r="B26">
        <v>0</v>
      </c>
      <c r="C26">
        <f t="shared" si="0"/>
        <v>1.1770457311992633E-73</v>
      </c>
      <c r="D26">
        <f t="shared" si="1"/>
        <v>-1.1770457311992633E-73</v>
      </c>
      <c r="E26">
        <f t="shared" si="2"/>
        <v>1.3854366533344084E-146</v>
      </c>
    </row>
    <row r="27" spans="1:5" x14ac:dyDescent="0.25">
      <c r="A27">
        <v>1.436492951925</v>
      </c>
      <c r="B27">
        <v>0</v>
      </c>
      <c r="C27">
        <f t="shared" si="0"/>
        <v>1.3051394665722354E-95</v>
      </c>
      <c r="D27">
        <f t="shared" si="1"/>
        <v>-1.3051394665722354E-95</v>
      </c>
      <c r="E27">
        <f t="shared" si="2"/>
        <v>1.7033890272044591E-190</v>
      </c>
    </row>
    <row r="28" spans="1:5" x14ac:dyDescent="0.25">
      <c r="A28">
        <v>1.4585423403750002</v>
      </c>
      <c r="B28">
        <v>0</v>
      </c>
      <c r="C28">
        <f t="shared" si="0"/>
        <v>1.8457023189737419E-123</v>
      </c>
      <c r="D28">
        <f t="shared" si="1"/>
        <v>-1.8457023189737419E-123</v>
      </c>
      <c r="E28">
        <f t="shared" si="2"/>
        <v>3.4066170502650485E-246</v>
      </c>
    </row>
    <row r="29" spans="1:5" x14ac:dyDescent="0.25">
      <c r="A29">
        <v>1.4805917288249999</v>
      </c>
      <c r="B29">
        <v>0</v>
      </c>
      <c r="C29">
        <f t="shared" si="0"/>
        <v>1.1875130746756707E-158</v>
      </c>
      <c r="D29">
        <f t="shared" si="1"/>
        <v>-1.1875130746756707E-158</v>
      </c>
      <c r="E29">
        <f t="shared" si="2"/>
        <v>0</v>
      </c>
    </row>
    <row r="30" spans="1:5" x14ac:dyDescent="0.25">
      <c r="A30">
        <v>1.502641117275</v>
      </c>
      <c r="B30">
        <v>0</v>
      </c>
      <c r="C30">
        <f t="shared" si="0"/>
        <v>5.8587651959791624E-203</v>
      </c>
      <c r="D30">
        <f t="shared" si="1"/>
        <v>-5.8587651959791624E-203</v>
      </c>
      <c r="E30">
        <f t="shared" si="2"/>
        <v>0</v>
      </c>
    </row>
    <row r="31" spans="1:5" x14ac:dyDescent="0.25">
      <c r="A31">
        <v>1.5246905057250002</v>
      </c>
      <c r="B31">
        <v>0</v>
      </c>
      <c r="C31">
        <f t="shared" si="0"/>
        <v>1.5138468123333601E-258</v>
      </c>
      <c r="D31">
        <f t="shared" si="1"/>
        <v>-1.5138468123333601E-258</v>
      </c>
      <c r="E31">
        <f t="shared" si="2"/>
        <v>0</v>
      </c>
    </row>
    <row r="32" spans="1:5" x14ac:dyDescent="0.25">
      <c r="A32">
        <v>1.5467398941750001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1.5687892826250001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1.590838671075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1.6128880595249999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1.6349374479750001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1.6569868364250002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1.6790362248749999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1.7010856133250001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1.7231350017750002</v>
      </c>
      <c r="B40">
        <v>2.8498637531126354E-3</v>
      </c>
      <c r="C40">
        <f t="shared" si="0"/>
        <v>0</v>
      </c>
      <c r="D40">
        <f t="shared" si="1"/>
        <v>2.8498637531126354E-3</v>
      </c>
      <c r="E40">
        <f t="shared" si="2"/>
        <v>8.1217234113052368E-6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78AB8-65F1-411C-8051-C0028D3F4B0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0.90456714312499997</v>
      </c>
      <c r="B1">
        <v>1.1739359139136278</v>
      </c>
      <c r="C1">
        <f>$H$3*(1+$H$1)*(A1^($H$1))*EXP(-$H$3*(A1^(1+$H$1)))</f>
        <v>1.3701712360307166</v>
      </c>
      <c r="D1">
        <f>B1-C1</f>
        <v>-0.19623532211708872</v>
      </c>
      <c r="E1">
        <f>D1^2</f>
        <v>3.8508301646397569E-2</v>
      </c>
      <c r="G1" t="s">
        <v>0</v>
      </c>
      <c r="H1">
        <v>22.26352776045827</v>
      </c>
    </row>
    <row r="2" spans="1:8" x14ac:dyDescent="0.25">
      <c r="A2">
        <v>0.92480050537499991</v>
      </c>
      <c r="B2">
        <v>2.5963238730999816</v>
      </c>
      <c r="C2">
        <f t="shared" ref="C2:C40" si="0">$H$3*(1+$H$1)*(A2^($H$1))*EXP(-$H$3*(A2^(1+$H$1)))</f>
        <v>2.1586941570662321</v>
      </c>
      <c r="D2">
        <f t="shared" ref="D2:D40" si="1">B2-C2</f>
        <v>0.43762971603374945</v>
      </c>
      <c r="E2">
        <f t="shared" ref="E2:E40" si="2">D2^2</f>
        <v>0.19151976835578019</v>
      </c>
    </row>
    <row r="3" spans="1:8" x14ac:dyDescent="0.25">
      <c r="A3">
        <v>0.94503386762500008</v>
      </c>
      <c r="B3">
        <v>4.7578566669726934</v>
      </c>
      <c r="C3">
        <f t="shared" si="0"/>
        <v>3.2858603879473169</v>
      </c>
      <c r="D3">
        <f t="shared" si="1"/>
        <v>1.4719962790253764</v>
      </c>
      <c r="E3">
        <f t="shared" si="2"/>
        <v>2.166773045464554</v>
      </c>
      <c r="G3" t="s">
        <v>1</v>
      </c>
      <c r="H3">
        <f>(_xlfn.GAMMA((2+$H$1)/(1+$H$1)))^(1+$H$1)</f>
        <v>0.58124618928720462</v>
      </c>
    </row>
    <row r="4" spans="1:8" x14ac:dyDescent="0.25">
      <c r="A4">
        <v>0.96526722987500002</v>
      </c>
      <c r="B4">
        <v>6.7827408359454058</v>
      </c>
      <c r="C4">
        <f t="shared" si="0"/>
        <v>4.7678291854749268</v>
      </c>
      <c r="D4">
        <f t="shared" si="1"/>
        <v>2.0149116504704789</v>
      </c>
      <c r="E4">
        <f t="shared" si="2"/>
        <v>4.0598689592016699</v>
      </c>
    </row>
    <row r="5" spans="1:8" x14ac:dyDescent="0.25">
      <c r="A5">
        <v>0.98550059212499996</v>
      </c>
      <c r="B5">
        <v>7.8666128834476705</v>
      </c>
      <c r="C5">
        <f t="shared" si="0"/>
        <v>6.4580577970914943</v>
      </c>
      <c r="D5">
        <f t="shared" si="1"/>
        <v>1.4085550863561762</v>
      </c>
      <c r="E5">
        <f t="shared" si="2"/>
        <v>1.9840274312998549</v>
      </c>
      <c r="G5" t="s">
        <v>2</v>
      </c>
      <c r="H5">
        <f>SUM(E1:E40)</f>
        <v>14.265024867309565</v>
      </c>
    </row>
    <row r="6" spans="1:8" x14ac:dyDescent="0.25">
      <c r="A6">
        <v>1.0057339543749999</v>
      </c>
      <c r="B6">
        <v>8.0684801702317603</v>
      </c>
      <c r="C6">
        <f t="shared" si="0"/>
        <v>7.9063291288742157</v>
      </c>
      <c r="D6">
        <f t="shared" si="1"/>
        <v>0.16215104135754466</v>
      </c>
      <c r="E6">
        <f t="shared" si="2"/>
        <v>2.6292960213336158E-2</v>
      </c>
    </row>
    <row r="7" spans="1:8" x14ac:dyDescent="0.25">
      <c r="A7">
        <v>1.0259673166250001</v>
      </c>
      <c r="B7">
        <v>7.2299545174363118</v>
      </c>
      <c r="C7">
        <f t="shared" si="0"/>
        <v>8.3292828764084774</v>
      </c>
      <c r="D7">
        <f t="shared" si="1"/>
        <v>-1.0993283589721656</v>
      </c>
      <c r="E7">
        <f t="shared" si="2"/>
        <v>1.2085228408404347</v>
      </c>
    </row>
    <row r="8" spans="1:8" x14ac:dyDescent="0.25">
      <c r="A8">
        <v>1.046200678875</v>
      </c>
      <c r="B8">
        <v>5.2392325046885988</v>
      </c>
      <c r="C8">
        <f t="shared" si="0"/>
        <v>7.0123826300016185</v>
      </c>
      <c r="D8">
        <f t="shared" si="1"/>
        <v>-1.7731501253130197</v>
      </c>
      <c r="E8">
        <f t="shared" si="2"/>
        <v>3.1440613668975774</v>
      </c>
    </row>
    <row r="9" spans="1:8" x14ac:dyDescent="0.25">
      <c r="A9">
        <v>1.066434041125</v>
      </c>
      <c r="B9">
        <v>3.1460240232658867</v>
      </c>
      <c r="C9">
        <f t="shared" si="0"/>
        <v>4.224538428150292</v>
      </c>
      <c r="D9">
        <f t="shared" si="1"/>
        <v>-1.0785144048844053</v>
      </c>
      <c r="E9">
        <f t="shared" si="2"/>
        <v>1.1631933215431629</v>
      </c>
    </row>
    <row r="10" spans="1:8" x14ac:dyDescent="0.25">
      <c r="A10">
        <v>1.0866674033749999</v>
      </c>
      <c r="B10">
        <v>1.9751937599181677</v>
      </c>
      <c r="C10">
        <f t="shared" si="0"/>
        <v>1.5464502886249096</v>
      </c>
      <c r="D10">
        <f t="shared" si="1"/>
        <v>0.42874347129325807</v>
      </c>
      <c r="E10">
        <f t="shared" si="2"/>
        <v>0.1838209641765928</v>
      </c>
    </row>
    <row r="11" spans="1:8" x14ac:dyDescent="0.25">
      <c r="A11">
        <v>1.1069007656249998</v>
      </c>
      <c r="B11">
        <v>0.58386230639090486</v>
      </c>
      <c r="C11">
        <f t="shared" si="0"/>
        <v>0.27053773767175787</v>
      </c>
      <c r="D11">
        <f t="shared" si="1"/>
        <v>0.31332456871914699</v>
      </c>
      <c r="E11">
        <f t="shared" si="2"/>
        <v>9.8172285363039458E-2</v>
      </c>
    </row>
    <row r="12" spans="1:8" x14ac:dyDescent="0.25">
      <c r="A12">
        <v>1.1271341278749998</v>
      </c>
      <c r="B12">
        <v>0</v>
      </c>
      <c r="C12">
        <f t="shared" si="0"/>
        <v>1.5935526649357622E-2</v>
      </c>
      <c r="D12">
        <f t="shared" si="1"/>
        <v>-1.5935526649357622E-2</v>
      </c>
      <c r="E12">
        <f t="shared" si="2"/>
        <v>2.5394100959238693E-4</v>
      </c>
    </row>
    <row r="13" spans="1:8" x14ac:dyDescent="0.25">
      <c r="A13">
        <v>1.1473674901250002</v>
      </c>
      <c r="B13">
        <v>0</v>
      </c>
      <c r="C13">
        <f t="shared" si="0"/>
        <v>1.9034726644172616E-4</v>
      </c>
      <c r="D13">
        <f t="shared" si="1"/>
        <v>-1.9034726644172616E-4</v>
      </c>
      <c r="E13">
        <f t="shared" si="2"/>
        <v>3.6232081841837491E-8</v>
      </c>
    </row>
    <row r="14" spans="1:8" x14ac:dyDescent="0.25">
      <c r="A14">
        <v>1.1676008523750001</v>
      </c>
      <c r="B14">
        <v>0</v>
      </c>
      <c r="C14">
        <f t="shared" si="0"/>
        <v>2.2236871019151098E-7</v>
      </c>
      <c r="D14">
        <f t="shared" si="1"/>
        <v>-2.2236871019151098E-7</v>
      </c>
      <c r="E14">
        <f t="shared" si="2"/>
        <v>4.9447843272236198E-14</v>
      </c>
    </row>
    <row r="15" spans="1:8" x14ac:dyDescent="0.25">
      <c r="A15">
        <v>1.1878342146250001</v>
      </c>
      <c r="B15">
        <v>0</v>
      </c>
      <c r="C15">
        <f t="shared" si="0"/>
        <v>8.9621116908380068E-12</v>
      </c>
      <c r="D15">
        <f t="shared" si="1"/>
        <v>-8.9621116908380068E-12</v>
      </c>
      <c r="E15">
        <f t="shared" si="2"/>
        <v>8.0319445959055277E-23</v>
      </c>
    </row>
    <row r="16" spans="1:8" x14ac:dyDescent="0.25">
      <c r="A16">
        <v>1.208067576875</v>
      </c>
      <c r="B16">
        <v>0</v>
      </c>
      <c r="C16">
        <f t="shared" si="0"/>
        <v>2.8373292217342377E-18</v>
      </c>
      <c r="D16">
        <f t="shared" si="1"/>
        <v>-2.8373292217342377E-18</v>
      </c>
      <c r="E16">
        <f t="shared" si="2"/>
        <v>8.050437112507015E-36</v>
      </c>
    </row>
    <row r="17" spans="1:5" x14ac:dyDescent="0.25">
      <c r="A17">
        <v>1.2283009391249999</v>
      </c>
      <c r="B17">
        <v>0</v>
      </c>
      <c r="C17">
        <f t="shared" si="0"/>
        <v>8.7376309693524696E-28</v>
      </c>
      <c r="D17">
        <f t="shared" si="1"/>
        <v>-8.7376309693524696E-28</v>
      </c>
      <c r="E17">
        <f t="shared" si="2"/>
        <v>7.6346194956587378E-55</v>
      </c>
    </row>
    <row r="18" spans="1:5" x14ac:dyDescent="0.25">
      <c r="A18">
        <v>1.2485343013749999</v>
      </c>
      <c r="B18">
        <v>0</v>
      </c>
      <c r="C18">
        <f t="shared" si="0"/>
        <v>1.3952055030542047E-41</v>
      </c>
      <c r="D18">
        <f t="shared" si="1"/>
        <v>-1.3952055030542047E-41</v>
      </c>
      <c r="E18">
        <f t="shared" si="2"/>
        <v>1.9465983957527365E-82</v>
      </c>
    </row>
    <row r="19" spans="1:5" x14ac:dyDescent="0.25">
      <c r="A19">
        <v>1.2687676636249998</v>
      </c>
      <c r="B19">
        <v>0</v>
      </c>
      <c r="C19">
        <f t="shared" si="0"/>
        <v>1.9302648553287184E-61</v>
      </c>
      <c r="D19">
        <f t="shared" si="1"/>
        <v>-1.9302648553287184E-61</v>
      </c>
      <c r="E19">
        <f t="shared" si="2"/>
        <v>3.7259224117171984E-122</v>
      </c>
    </row>
    <row r="20" spans="1:5" x14ac:dyDescent="0.25">
      <c r="A20">
        <v>1.289001025875</v>
      </c>
      <c r="B20">
        <v>0</v>
      </c>
      <c r="C20">
        <f t="shared" si="0"/>
        <v>7.8976776610346261E-90</v>
      </c>
      <c r="D20">
        <f t="shared" si="1"/>
        <v>-7.8976776610346261E-90</v>
      </c>
      <c r="E20">
        <f t="shared" si="2"/>
        <v>6.2373312437605366E-179</v>
      </c>
    </row>
    <row r="21" spans="1:5" x14ac:dyDescent="0.25">
      <c r="A21">
        <v>1.3092343881249999</v>
      </c>
      <c r="B21">
        <v>0</v>
      </c>
      <c r="C21">
        <f t="shared" si="0"/>
        <v>3.7473221957014692E-130</v>
      </c>
      <c r="D21">
        <f t="shared" si="1"/>
        <v>-3.7473221957014692E-130</v>
      </c>
      <c r="E21">
        <f t="shared" si="2"/>
        <v>1.4042423638396881E-259</v>
      </c>
    </row>
    <row r="22" spans="1:5" x14ac:dyDescent="0.25">
      <c r="A22">
        <v>1.3294677503750001</v>
      </c>
      <c r="B22">
        <v>0</v>
      </c>
      <c r="C22">
        <f t="shared" si="0"/>
        <v>4.3025506960404117E-187</v>
      </c>
      <c r="D22">
        <f t="shared" si="1"/>
        <v>-4.3025506960404117E-187</v>
      </c>
      <c r="E22">
        <f t="shared" si="2"/>
        <v>0</v>
      </c>
    </row>
    <row r="23" spans="1:5" x14ac:dyDescent="0.25">
      <c r="A23">
        <v>1.349701112625</v>
      </c>
      <c r="B23">
        <v>0</v>
      </c>
      <c r="C23">
        <f t="shared" si="0"/>
        <v>4.7638668828266252E-267</v>
      </c>
      <c r="D23">
        <f t="shared" si="1"/>
        <v>-4.7638668828266252E-267</v>
      </c>
      <c r="E23">
        <f t="shared" si="2"/>
        <v>0</v>
      </c>
    </row>
    <row r="24" spans="1:5" x14ac:dyDescent="0.25">
      <c r="A24">
        <v>1.369934474875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1.3901678371249999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1.4104011993749999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1.4306345616249998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1.4508679238749997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1.4711012861249997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1.4913346483750001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1.511568010625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1.531801372875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1.5520347351249999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1.5722680973749998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1.5925014596249998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1.6127348218749999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1.6329681841249999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1.6532015463750001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1.673434908625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1.6936682708749999</v>
      </c>
      <c r="B40">
        <v>3.1056505659090685E-3</v>
      </c>
      <c r="C40">
        <f t="shared" si="0"/>
        <v>0</v>
      </c>
      <c r="D40">
        <f t="shared" si="1"/>
        <v>3.1056505659090685E-3</v>
      </c>
      <c r="E40">
        <f t="shared" si="2"/>
        <v>9.6450654375313176E-6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4075-6A53-4CFA-8701-D78DD22000B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0.96109225326250003</v>
      </c>
      <c r="B1">
        <v>3.9709748648398056</v>
      </c>
      <c r="C1">
        <f>$H$3*(1+$H$1)*(A1^($H$1))*EXP(-$H$3*(A1^(1+$H$1)))</f>
        <v>3.6632566834259457</v>
      </c>
      <c r="D1">
        <f>B1-C1</f>
        <v>0.30771818141385987</v>
      </c>
      <c r="E1">
        <f>D1^2</f>
        <v>9.4690479172653177E-2</v>
      </c>
      <c r="G1" t="s">
        <v>0</v>
      </c>
      <c r="H1">
        <v>50.718312257442406</v>
      </c>
    </row>
    <row r="2" spans="1:8" x14ac:dyDescent="0.25">
      <c r="A2">
        <v>0.97889454978750001</v>
      </c>
      <c r="B2">
        <v>12.16353723043375</v>
      </c>
      <c r="C2">
        <f t="shared" ref="C2:C40" si="0">$H$3*(1+$H$1)*(A2^($H$1))*EXP(-$H$3*(A2^(1+$H$1)))</f>
        <v>8.2747619029904431</v>
      </c>
      <c r="D2">
        <f t="shared" ref="D2:D40" si="1">B2-C2</f>
        <v>3.888775327443307</v>
      </c>
      <c r="E2">
        <f t="shared" ref="E2:E40" si="2">D2^2</f>
        <v>15.1225735473318</v>
      </c>
    </row>
    <row r="3" spans="1:8" x14ac:dyDescent="0.25">
      <c r="A3">
        <v>0.9966968463125</v>
      </c>
      <c r="B3">
        <v>17.701723508596999</v>
      </c>
      <c r="C3">
        <f t="shared" si="0"/>
        <v>15.423230126868974</v>
      </c>
      <c r="D3">
        <f t="shared" si="1"/>
        <v>2.2784933817280244</v>
      </c>
      <c r="E3">
        <f t="shared" si="2"/>
        <v>5.1915320905784084</v>
      </c>
      <c r="G3" t="s">
        <v>1</v>
      </c>
      <c r="H3">
        <f>(_xlfn.GAMMA((2+$H$1)/(1+$H$1)))^(1+$H$1)</f>
        <v>0.57037529750161053</v>
      </c>
    </row>
    <row r="4" spans="1:8" x14ac:dyDescent="0.25">
      <c r="A4">
        <v>1.0144991428375001</v>
      </c>
      <c r="B4">
        <v>14.990871334199692</v>
      </c>
      <c r="C4">
        <f t="shared" si="0"/>
        <v>18.422950784909098</v>
      </c>
      <c r="D4">
        <f t="shared" si="1"/>
        <v>-3.4320794507094057</v>
      </c>
      <c r="E4">
        <f t="shared" si="2"/>
        <v>11.779169355981775</v>
      </c>
    </row>
    <row r="5" spans="1:8" x14ac:dyDescent="0.25">
      <c r="A5">
        <v>1.0323014393625001</v>
      </c>
      <c r="B5">
        <v>6.3465002728728628</v>
      </c>
      <c r="C5">
        <f t="shared" si="0"/>
        <v>7.7220304767669434</v>
      </c>
      <c r="D5">
        <f t="shared" si="1"/>
        <v>-1.3755302038940806</v>
      </c>
      <c r="E5">
        <f t="shared" si="2"/>
        <v>1.892083341824891</v>
      </c>
      <c r="G5" t="s">
        <v>2</v>
      </c>
      <c r="H5">
        <f>SUM(E1:E40)</f>
        <v>34.596742165195423</v>
      </c>
    </row>
    <row r="6" spans="1:8" x14ac:dyDescent="0.25">
      <c r="A6">
        <v>1.0501037358875001</v>
      </c>
      <c r="B6">
        <v>0.9953910327865112</v>
      </c>
      <c r="C6">
        <f t="shared" si="0"/>
        <v>0.27658585049844031</v>
      </c>
      <c r="D6">
        <f t="shared" si="1"/>
        <v>0.71880518228807089</v>
      </c>
      <c r="E6">
        <f t="shared" si="2"/>
        <v>0.51668089008418683</v>
      </c>
    </row>
    <row r="7" spans="1:8" x14ac:dyDescent="0.25">
      <c r="A7">
        <v>1.0679060324125</v>
      </c>
      <c r="B7">
        <v>0</v>
      </c>
      <c r="C7">
        <f t="shared" si="0"/>
        <v>3.2377020852358914E-5</v>
      </c>
      <c r="D7">
        <f t="shared" si="1"/>
        <v>-3.2377020852358914E-5</v>
      </c>
      <c r="E7">
        <f t="shared" si="2"/>
        <v>1.048271479274084E-9</v>
      </c>
    </row>
    <row r="8" spans="1:8" x14ac:dyDescent="0.25">
      <c r="A8">
        <v>1.0857083289375</v>
      </c>
      <c r="B8">
        <v>0</v>
      </c>
      <c r="C8">
        <f t="shared" si="0"/>
        <v>7.3157070681854894E-15</v>
      </c>
      <c r="D8">
        <f t="shared" si="1"/>
        <v>-7.3157070681854894E-15</v>
      </c>
      <c r="E8">
        <f t="shared" si="2"/>
        <v>5.351956990749913E-29</v>
      </c>
    </row>
    <row r="9" spans="1:8" x14ac:dyDescent="0.25">
      <c r="A9">
        <v>1.1035106254625</v>
      </c>
      <c r="B9">
        <v>0</v>
      </c>
      <c r="C9">
        <f t="shared" si="0"/>
        <v>1.7754446331953694E-37</v>
      </c>
      <c r="D9">
        <f t="shared" si="1"/>
        <v>-1.7754446331953694E-37</v>
      </c>
      <c r="E9">
        <f t="shared" si="2"/>
        <v>3.1522036455422396E-74</v>
      </c>
    </row>
    <row r="10" spans="1:8" x14ac:dyDescent="0.25">
      <c r="A10">
        <v>1.1213129219875002</v>
      </c>
      <c r="B10">
        <v>0</v>
      </c>
      <c r="C10">
        <f t="shared" si="0"/>
        <v>3.7928770407899537E-89</v>
      </c>
      <c r="D10">
        <f t="shared" si="1"/>
        <v>-3.7928770407899537E-89</v>
      </c>
      <c r="E10">
        <f t="shared" si="2"/>
        <v>1.4385916246551555E-177</v>
      </c>
    </row>
    <row r="11" spans="1:8" x14ac:dyDescent="0.25">
      <c r="A11">
        <v>1.1391152185125</v>
      </c>
      <c r="B11">
        <v>0</v>
      </c>
      <c r="C11">
        <f t="shared" si="0"/>
        <v>4.3237223898141686E-205</v>
      </c>
      <c r="D11">
        <f t="shared" si="1"/>
        <v>-4.3237223898141686E-205</v>
      </c>
      <c r="E11">
        <f t="shared" si="2"/>
        <v>0</v>
      </c>
    </row>
    <row r="12" spans="1:8" x14ac:dyDescent="0.25">
      <c r="A12">
        <v>1.1569175150375002</v>
      </c>
      <c r="B12">
        <v>0</v>
      </c>
      <c r="C12">
        <f t="shared" si="0"/>
        <v>0</v>
      </c>
      <c r="D12">
        <f t="shared" si="1"/>
        <v>0</v>
      </c>
      <c r="E12">
        <f t="shared" si="2"/>
        <v>0</v>
      </c>
    </row>
    <row r="13" spans="1:8" x14ac:dyDescent="0.25">
      <c r="A13">
        <v>1.1747198115625002</v>
      </c>
      <c r="B13">
        <v>0</v>
      </c>
      <c r="C13">
        <f t="shared" si="0"/>
        <v>0</v>
      </c>
      <c r="D13">
        <f t="shared" si="1"/>
        <v>0</v>
      </c>
      <c r="E13">
        <f t="shared" si="2"/>
        <v>0</v>
      </c>
    </row>
    <row r="14" spans="1:8" x14ac:dyDescent="0.25">
      <c r="A14">
        <v>1.1925221080875001</v>
      </c>
      <c r="B14">
        <v>0</v>
      </c>
      <c r="C14">
        <f t="shared" si="0"/>
        <v>0</v>
      </c>
      <c r="D14">
        <f t="shared" si="1"/>
        <v>0</v>
      </c>
      <c r="E14">
        <f t="shared" si="2"/>
        <v>0</v>
      </c>
    </row>
    <row r="15" spans="1:8" x14ac:dyDescent="0.25">
      <c r="A15">
        <v>1.2103244046124999</v>
      </c>
      <c r="B15">
        <v>0</v>
      </c>
      <c r="C15">
        <f t="shared" si="0"/>
        <v>0</v>
      </c>
      <c r="D15">
        <f t="shared" si="1"/>
        <v>0</v>
      </c>
      <c r="E15">
        <f t="shared" si="2"/>
        <v>0</v>
      </c>
    </row>
    <row r="16" spans="1:8" x14ac:dyDescent="0.25">
      <c r="A16">
        <v>1.2281267011375001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1.2459289976624999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1.2637312941875001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1.2815335907124998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1.2993358872375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1.3171381837625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1.3349404802875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1.3527427768125002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1.3705450733375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1.3883473698625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1.4061496663874999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1.4239519629125001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1.4417542594374999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1.4595565559624999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1.4773588524874999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1.4951611490125001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1.5129634455375003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1.5307657420625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1.5485680385874998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1.5663703351125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1.5841726316375002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1.6019749281625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1.6197772246875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1.6375795212124999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1.6553818177375001</v>
      </c>
      <c r="B40">
        <v>3.5297554354131603E-3</v>
      </c>
      <c r="C40">
        <f t="shared" si="0"/>
        <v>0</v>
      </c>
      <c r="D40">
        <f t="shared" si="1"/>
        <v>3.5297554354131603E-3</v>
      </c>
      <c r="E40">
        <f t="shared" si="2"/>
        <v>1.2459173433828748E-5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3676-ABBA-4ABA-8321-0055E2DE50C9}">
  <dimension ref="A1:H40"/>
  <sheetViews>
    <sheetView tabSelected="1" workbookViewId="0">
      <selection activeCell="K12" sqref="K12"/>
    </sheetView>
  </sheetViews>
  <sheetFormatPr defaultColWidth="11" defaultRowHeight="15.75" x14ac:dyDescent="0.25"/>
  <sheetData>
    <row r="1" spans="1:8" x14ac:dyDescent="0.25">
      <c r="A1">
        <v>0.99300325487500007</v>
      </c>
      <c r="B1">
        <v>34.559704429543139</v>
      </c>
      <c r="C1">
        <f>$H$3*(1+$H$1)*(A1^($H$1))*EXP(-$H$3*(A1^(1+$H$1)))</f>
        <v>24.654962475733036</v>
      </c>
      <c r="D1">
        <f>B1-C1</f>
        <v>9.9047419538101025</v>
      </c>
      <c r="E1">
        <f>D1^2</f>
        <v>98.103913171565964</v>
      </c>
      <c r="G1" t="s">
        <v>0</v>
      </c>
      <c r="H1">
        <v>176.21559083653085</v>
      </c>
    </row>
    <row r="2" spans="1:8" x14ac:dyDescent="0.25">
      <c r="A2">
        <v>1.009456486625</v>
      </c>
      <c r="B2">
        <v>26.207171156539399</v>
      </c>
      <c r="C2">
        <f t="shared" ref="C2:C40" si="0">$H$3*(1+$H$1)*(A2^($H$1))*EXP(-$H$3*(A2^(1+$H$1)))</f>
        <v>26.391061403547496</v>
      </c>
      <c r="D2">
        <f t="shared" ref="D2:D40" si="1">B2-C2</f>
        <v>-0.18389024700809742</v>
      </c>
      <c r="E2">
        <f t="shared" ref="E2:E40" si="2">D2^2</f>
        <v>3.3815622944699079E-2</v>
      </c>
    </row>
    <row r="3" spans="1:8" x14ac:dyDescent="0.25">
      <c r="A3">
        <v>1.0259097183749999</v>
      </c>
      <c r="B3">
        <v>3.8191738788311571E-3</v>
      </c>
      <c r="C3">
        <f t="shared" si="0"/>
        <v>1.4559049063584522E-19</v>
      </c>
      <c r="D3">
        <f t="shared" si="1"/>
        <v>3.8191738788311571E-3</v>
      </c>
      <c r="E3">
        <f t="shared" si="2"/>
        <v>1.4586089116746225E-5</v>
      </c>
      <c r="G3" t="s">
        <v>1</v>
      </c>
      <c r="H3">
        <f>(_xlfn.GAMMA((2+$H$1)/(1+$H$1)))^(1+$H$1)</f>
        <v>0.56406413380497145</v>
      </c>
    </row>
    <row r="4" spans="1:8" x14ac:dyDescent="0.25">
      <c r="A4">
        <v>1.042362950125</v>
      </c>
      <c r="B4">
        <v>3.8191738788311571E-3</v>
      </c>
      <c r="C4">
        <f t="shared" si="0"/>
        <v>0</v>
      </c>
      <c r="D4">
        <f t="shared" si="1"/>
        <v>3.8191738788311571E-3</v>
      </c>
      <c r="E4">
        <f t="shared" si="2"/>
        <v>1.4586089116746225E-5</v>
      </c>
    </row>
    <row r="5" spans="1:8" x14ac:dyDescent="0.25">
      <c r="A5">
        <v>1.0588161818750002</v>
      </c>
      <c r="B5">
        <v>0</v>
      </c>
      <c r="C5">
        <f t="shared" si="0"/>
        <v>0</v>
      </c>
      <c r="D5">
        <f t="shared" si="1"/>
        <v>0</v>
      </c>
      <c r="E5">
        <f t="shared" si="2"/>
        <v>0</v>
      </c>
      <c r="G5" t="s">
        <v>2</v>
      </c>
      <c r="H5">
        <f>SUM(E1:E40)</f>
        <v>98.137772552778031</v>
      </c>
    </row>
    <row r="6" spans="1:8" x14ac:dyDescent="0.25">
      <c r="A6">
        <v>1.0752694136250001</v>
      </c>
      <c r="B6">
        <v>0</v>
      </c>
      <c r="C6">
        <f t="shared" si="0"/>
        <v>0</v>
      </c>
      <c r="D6">
        <f t="shared" si="1"/>
        <v>0</v>
      </c>
      <c r="E6">
        <f t="shared" si="2"/>
        <v>0</v>
      </c>
    </row>
    <row r="7" spans="1:8" x14ac:dyDescent="0.25">
      <c r="A7">
        <v>1.091722645375</v>
      </c>
      <c r="B7">
        <v>0</v>
      </c>
      <c r="C7">
        <f t="shared" si="0"/>
        <v>0</v>
      </c>
      <c r="D7">
        <f t="shared" si="1"/>
        <v>0</v>
      </c>
      <c r="E7">
        <f t="shared" si="2"/>
        <v>0</v>
      </c>
    </row>
    <row r="8" spans="1:8" x14ac:dyDescent="0.25">
      <c r="A8">
        <v>1.1081758771249999</v>
      </c>
      <c r="B8">
        <v>0</v>
      </c>
      <c r="C8">
        <f t="shared" si="0"/>
        <v>0</v>
      </c>
      <c r="D8">
        <f t="shared" si="1"/>
        <v>0</v>
      </c>
      <c r="E8">
        <f t="shared" si="2"/>
        <v>0</v>
      </c>
    </row>
    <row r="9" spans="1:8" x14ac:dyDescent="0.25">
      <c r="A9">
        <v>1.1246291088750002</v>
      </c>
      <c r="B9">
        <v>0</v>
      </c>
      <c r="C9">
        <f t="shared" si="0"/>
        <v>0</v>
      </c>
      <c r="D9">
        <f t="shared" si="1"/>
        <v>0</v>
      </c>
      <c r="E9">
        <f t="shared" si="2"/>
        <v>0</v>
      </c>
    </row>
    <row r="10" spans="1:8" x14ac:dyDescent="0.25">
      <c r="A10">
        <v>1.1410823406250001</v>
      </c>
      <c r="B10">
        <v>0</v>
      </c>
      <c r="C10">
        <f t="shared" si="0"/>
        <v>0</v>
      </c>
      <c r="D10">
        <f t="shared" si="1"/>
        <v>0</v>
      </c>
      <c r="E10">
        <f t="shared" si="2"/>
        <v>0</v>
      </c>
    </row>
    <row r="11" spans="1:8" x14ac:dyDescent="0.25">
      <c r="A11">
        <v>1.157535572375</v>
      </c>
      <c r="B11">
        <v>0</v>
      </c>
      <c r="C11">
        <f t="shared" si="0"/>
        <v>0</v>
      </c>
      <c r="D11">
        <f t="shared" si="1"/>
        <v>0</v>
      </c>
      <c r="E11">
        <f t="shared" si="2"/>
        <v>0</v>
      </c>
    </row>
    <row r="12" spans="1:8" x14ac:dyDescent="0.25">
      <c r="A12">
        <v>1.173988804125</v>
      </c>
      <c r="B12">
        <v>0</v>
      </c>
      <c r="C12">
        <f t="shared" si="0"/>
        <v>0</v>
      </c>
      <c r="D12">
        <f t="shared" si="1"/>
        <v>0</v>
      </c>
      <c r="E12">
        <f t="shared" si="2"/>
        <v>0</v>
      </c>
    </row>
    <row r="13" spans="1:8" x14ac:dyDescent="0.25">
      <c r="A13">
        <v>1.1904420358749999</v>
      </c>
      <c r="B13">
        <v>0</v>
      </c>
      <c r="C13">
        <f t="shared" si="0"/>
        <v>0</v>
      </c>
      <c r="D13">
        <f t="shared" si="1"/>
        <v>0</v>
      </c>
      <c r="E13">
        <f t="shared" si="2"/>
        <v>0</v>
      </c>
    </row>
    <row r="14" spans="1:8" x14ac:dyDescent="0.25">
      <c r="A14">
        <v>1.2068952676250002</v>
      </c>
      <c r="B14">
        <v>0</v>
      </c>
      <c r="C14">
        <f t="shared" si="0"/>
        <v>0</v>
      </c>
      <c r="D14">
        <f t="shared" si="1"/>
        <v>0</v>
      </c>
      <c r="E14">
        <f t="shared" si="2"/>
        <v>0</v>
      </c>
    </row>
    <row r="15" spans="1:8" x14ac:dyDescent="0.25">
      <c r="A15">
        <v>1.2233484993750001</v>
      </c>
      <c r="B15">
        <v>0</v>
      </c>
      <c r="C15">
        <f t="shared" si="0"/>
        <v>0</v>
      </c>
      <c r="D15">
        <f t="shared" si="1"/>
        <v>0</v>
      </c>
      <c r="E15">
        <f t="shared" si="2"/>
        <v>0</v>
      </c>
    </row>
    <row r="16" spans="1:8" x14ac:dyDescent="0.25">
      <c r="A16">
        <v>1.239801731125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1.2562549628749999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1.2727081946250001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1.2891614263750002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1.3056146581250001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1.322067889875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1.3385211216249999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1.3549743533749998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1.3714275851250002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1.3878808168750001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1.404334048625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1.4207872803749999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1.437240512125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1.4536937438750002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1.4701469756250001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1.486600207375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1.5030534391249999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1.519506670875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1.5359599026250002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1.5524131343750001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1.568866366125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1.5853195978749999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1.6017728296249998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1.6182260613749999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1.634679293125</v>
      </c>
      <c r="B40">
        <v>3.8191738788311571E-3</v>
      </c>
      <c r="C40">
        <f t="shared" si="0"/>
        <v>0</v>
      </c>
      <c r="D40">
        <f t="shared" si="1"/>
        <v>3.8191738788311571E-3</v>
      </c>
      <c r="E40">
        <f t="shared" si="2"/>
        <v>1.4586089116746225E-5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Brody</vt:lpstr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2024-10-03T00:45:54Z</dcterms:modified>
</cp:coreProperties>
</file>