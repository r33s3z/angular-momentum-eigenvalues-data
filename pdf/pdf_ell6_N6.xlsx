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5033" documentId="115_{5FC39109-9616-414C-98A3-F61B1951C35A}" xr6:coauthVersionLast="47" xr6:coauthVersionMax="47" xr10:uidLastSave="{4536EEE8-22DB-49BB-986D-B98231FF9877}"/>
  <bookViews>
    <workbookView xWindow="-120" yWindow="-120" windowWidth="29040" windowHeight="15720" tabRatio="997" xr2:uid="{52D9C27D-0EF6-DD41-9728-0267E68F7539}"/>
  </bookViews>
  <sheets>
    <sheet name="Brody" sheetId="1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40" i="15" s="1"/>
  <c r="D40" i="15" s="1"/>
  <c r="E40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C14" i="31" l="1"/>
  <c r="D14" i="31" s="1"/>
  <c r="E14" i="31" s="1"/>
  <c r="C9" i="31"/>
  <c r="D9" i="31" s="1"/>
  <c r="E9" i="31" s="1"/>
  <c r="C13" i="31"/>
  <c r="D13" i="31" s="1"/>
  <c r="E13" i="31" s="1"/>
  <c r="C26" i="31"/>
  <c r="D26" i="31" s="1"/>
  <c r="E26" i="31" s="1"/>
  <c r="C33" i="31"/>
  <c r="D33" i="31" s="1"/>
  <c r="E33" i="31" s="1"/>
  <c r="C17" i="31"/>
  <c r="D17" i="31" s="1"/>
  <c r="E17" i="31" s="1"/>
  <c r="C22" i="31"/>
  <c r="D22" i="31" s="1"/>
  <c r="E22" i="31" s="1"/>
  <c r="C25" i="31"/>
  <c r="D25" i="31" s="1"/>
  <c r="E25" i="31" s="1"/>
  <c r="C29" i="31"/>
  <c r="D29" i="31" s="1"/>
  <c r="E29" i="31" s="1"/>
  <c r="C6" i="31"/>
  <c r="D6" i="31" s="1"/>
  <c r="E6" i="31" s="1"/>
  <c r="C30" i="31"/>
  <c r="D30" i="31" s="1"/>
  <c r="E30" i="31" s="1"/>
  <c r="C38" i="31"/>
  <c r="D38" i="31" s="1"/>
  <c r="E38" i="31" s="1"/>
  <c r="C10" i="31"/>
  <c r="D10" i="31" s="1"/>
  <c r="E10" i="31" s="1"/>
  <c r="C1" i="31"/>
  <c r="D1" i="31" s="1"/>
  <c r="E1" i="31" s="1"/>
  <c r="C18" i="31"/>
  <c r="D18" i="31" s="1"/>
  <c r="E18" i="31" s="1"/>
  <c r="C34" i="31"/>
  <c r="D34" i="31" s="1"/>
  <c r="E34" i="31" s="1"/>
  <c r="C2" i="31"/>
  <c r="D2" i="31" s="1"/>
  <c r="E2" i="31" s="1"/>
  <c r="C21" i="31"/>
  <c r="D21" i="31" s="1"/>
  <c r="E21" i="31" s="1"/>
  <c r="C37" i="31"/>
  <c r="D37" i="31" s="1"/>
  <c r="E37" i="31" s="1"/>
  <c r="C13" i="30"/>
  <c r="D13" i="30" s="1"/>
  <c r="E13" i="30" s="1"/>
  <c r="C22" i="30"/>
  <c r="D22" i="30" s="1"/>
  <c r="E22" i="30" s="1"/>
  <c r="C10" i="30"/>
  <c r="D10" i="30" s="1"/>
  <c r="E10" i="30" s="1"/>
  <c r="C25" i="30"/>
  <c r="D25" i="30" s="1"/>
  <c r="E25" i="30" s="1"/>
  <c r="C26" i="30"/>
  <c r="D26" i="30" s="1"/>
  <c r="E26" i="30" s="1"/>
  <c r="C34" i="30"/>
  <c r="D34" i="30" s="1"/>
  <c r="E34" i="30" s="1"/>
  <c r="C37" i="30"/>
  <c r="D37" i="30" s="1"/>
  <c r="E37" i="30" s="1"/>
  <c r="C2" i="30"/>
  <c r="D2" i="30" s="1"/>
  <c r="E2" i="30" s="1"/>
  <c r="C29" i="30"/>
  <c r="D29" i="30" s="1"/>
  <c r="E29" i="30" s="1"/>
  <c r="C6" i="30"/>
  <c r="D6" i="30" s="1"/>
  <c r="E6" i="30" s="1"/>
  <c r="C30" i="30"/>
  <c r="D30" i="30" s="1"/>
  <c r="E30" i="30" s="1"/>
  <c r="C9" i="30"/>
  <c r="D9" i="30" s="1"/>
  <c r="E9" i="30" s="1"/>
  <c r="C33" i="30"/>
  <c r="D33" i="30" s="1"/>
  <c r="E33" i="30" s="1"/>
  <c r="C14" i="30"/>
  <c r="D14" i="30" s="1"/>
  <c r="E14" i="30" s="1"/>
  <c r="C38" i="30"/>
  <c r="D38" i="30" s="1"/>
  <c r="E38" i="30" s="1"/>
  <c r="C17" i="30"/>
  <c r="D17" i="30" s="1"/>
  <c r="E17" i="30" s="1"/>
  <c r="C18" i="30"/>
  <c r="D18" i="30" s="1"/>
  <c r="E18" i="30" s="1"/>
  <c r="C21" i="30"/>
  <c r="D21" i="30" s="1"/>
  <c r="E21" i="30" s="1"/>
  <c r="C18" i="29"/>
  <c r="D18" i="29" s="1"/>
  <c r="E18" i="29" s="1"/>
  <c r="C22" i="29"/>
  <c r="D22" i="29" s="1"/>
  <c r="E22" i="29" s="1"/>
  <c r="C9" i="29"/>
  <c r="D9" i="29" s="1"/>
  <c r="E9" i="29" s="1"/>
  <c r="C10" i="29"/>
  <c r="D10" i="29" s="1"/>
  <c r="E10" i="29" s="1"/>
  <c r="C17" i="29"/>
  <c r="D17" i="29" s="1"/>
  <c r="E17" i="29" s="1"/>
  <c r="C21" i="29"/>
  <c r="D21" i="29" s="1"/>
  <c r="E21" i="29" s="1"/>
  <c r="C33" i="29"/>
  <c r="D33" i="29" s="1"/>
  <c r="E33" i="29" s="1"/>
  <c r="C34" i="29"/>
  <c r="D34" i="29" s="1"/>
  <c r="E34" i="29" s="1"/>
  <c r="C25" i="29"/>
  <c r="D25" i="29" s="1"/>
  <c r="E25" i="29" s="1"/>
  <c r="C2" i="29"/>
  <c r="D2" i="29" s="1"/>
  <c r="E2" i="29" s="1"/>
  <c r="C26" i="29"/>
  <c r="D26" i="29" s="1"/>
  <c r="E26" i="29" s="1"/>
  <c r="C29" i="29"/>
  <c r="D29" i="29" s="1"/>
  <c r="E29" i="29" s="1"/>
  <c r="C6" i="29"/>
  <c r="D6" i="29" s="1"/>
  <c r="E6" i="29" s="1"/>
  <c r="C30" i="29"/>
  <c r="D30" i="29" s="1"/>
  <c r="E30" i="29" s="1"/>
  <c r="C13" i="29"/>
  <c r="D13" i="29" s="1"/>
  <c r="E13" i="29" s="1"/>
  <c r="C37" i="29"/>
  <c r="D37" i="29" s="1"/>
  <c r="E37" i="29" s="1"/>
  <c r="C14" i="29"/>
  <c r="D14" i="29" s="1"/>
  <c r="E14" i="29" s="1"/>
  <c r="C38" i="29"/>
  <c r="D38" i="29" s="1"/>
  <c r="E38" i="29" s="1"/>
  <c r="C2" i="28"/>
  <c r="D2" i="28" s="1"/>
  <c r="E2" i="28" s="1"/>
  <c r="C2" i="27"/>
  <c r="D2" i="27" s="1"/>
  <c r="E2" i="27" s="1"/>
  <c r="C2" i="26"/>
  <c r="D2" i="26" s="1"/>
  <c r="E2" i="26" s="1"/>
  <c r="C39" i="26"/>
  <c r="D39" i="26" s="1"/>
  <c r="E39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8" i="25"/>
  <c r="D38" i="25" s="1"/>
  <c r="E38" i="25" s="1"/>
  <c r="C37" i="25"/>
  <c r="D37" i="25" s="1"/>
  <c r="E37" i="25" s="1"/>
  <c r="C13" i="25"/>
  <c r="D13" i="25" s="1"/>
  <c r="E13" i="25" s="1"/>
  <c r="C14" i="25"/>
  <c r="D14" i="25" s="1"/>
  <c r="E14" i="25" s="1"/>
  <c r="C17" i="25"/>
  <c r="D17" i="25" s="1"/>
  <c r="E17" i="25" s="1"/>
  <c r="C18" i="25"/>
  <c r="D18" i="25" s="1"/>
  <c r="E18" i="25" s="1"/>
  <c r="C21" i="25"/>
  <c r="D21" i="25" s="1"/>
  <c r="E21" i="25" s="1"/>
  <c r="C22" i="25"/>
  <c r="D22" i="25" s="1"/>
  <c r="E22" i="25" s="1"/>
  <c r="C25" i="25"/>
  <c r="D25" i="25" s="1"/>
  <c r="E25" i="25" s="1"/>
  <c r="C2" i="25"/>
  <c r="D2" i="25" s="1"/>
  <c r="E2" i="25" s="1"/>
  <c r="C26" i="25"/>
  <c r="D26" i="25" s="1"/>
  <c r="E26" i="25" s="1"/>
  <c r="C29" i="25"/>
  <c r="D29" i="25" s="1"/>
  <c r="E29" i="25" s="1"/>
  <c r="C6" i="25"/>
  <c r="D6" i="25" s="1"/>
  <c r="E6" i="25" s="1"/>
  <c r="C30" i="25"/>
  <c r="D30" i="25" s="1"/>
  <c r="E30" i="25" s="1"/>
  <c r="C9" i="25"/>
  <c r="D9" i="25" s="1"/>
  <c r="E9" i="25" s="1"/>
  <c r="C33" i="25"/>
  <c r="D33" i="25" s="1"/>
  <c r="E33" i="25" s="1"/>
  <c r="C10" i="25"/>
  <c r="D10" i="25" s="1"/>
  <c r="E10" i="25" s="1"/>
  <c r="C34" i="25"/>
  <c r="D34" i="25" s="1"/>
  <c r="E34" i="25" s="1"/>
  <c r="C2" i="24"/>
  <c r="D2" i="24" s="1"/>
  <c r="E2" i="24" s="1"/>
  <c r="C26" i="23"/>
  <c r="D26" i="23" s="1"/>
  <c r="E26" i="23" s="1"/>
  <c r="C22" i="23"/>
  <c r="D22" i="23" s="1"/>
  <c r="E22" i="23" s="1"/>
  <c r="C30" i="23"/>
  <c r="D30" i="23" s="1"/>
  <c r="E30" i="23" s="1"/>
  <c r="C34" i="23"/>
  <c r="D34" i="23" s="1"/>
  <c r="E34" i="23" s="1"/>
  <c r="C38" i="23"/>
  <c r="D38" i="23" s="1"/>
  <c r="E38" i="23" s="1"/>
  <c r="C2" i="23"/>
  <c r="D2" i="23" s="1"/>
  <c r="E2" i="23" s="1"/>
  <c r="C3" i="23"/>
  <c r="D3" i="23" s="1"/>
  <c r="E3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" i="22"/>
  <c r="D2" i="22" s="1"/>
  <c r="E2" i="22" s="1"/>
  <c r="C23" i="21"/>
  <c r="D23" i="21" s="1"/>
  <c r="E23" i="21" s="1"/>
  <c r="C35" i="21"/>
  <c r="D35" i="21" s="1"/>
  <c r="E35" i="21" s="1"/>
  <c r="C31" i="21"/>
  <c r="D31" i="21" s="1"/>
  <c r="E31" i="21" s="1"/>
  <c r="C39" i="21"/>
  <c r="D39" i="21" s="1"/>
  <c r="E39" i="21" s="1"/>
  <c r="C2" i="21"/>
  <c r="D2" i="21" s="1"/>
  <c r="E2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7" i="21"/>
  <c r="D27" i="21" s="1"/>
  <c r="E27" i="21" s="1"/>
  <c r="C17" i="20"/>
  <c r="D17" i="20" s="1"/>
  <c r="E17" i="20" s="1"/>
  <c r="C29" i="20"/>
  <c r="D29" i="20" s="1"/>
  <c r="E29" i="20" s="1"/>
  <c r="C25" i="20"/>
  <c r="D25" i="20" s="1"/>
  <c r="E25" i="20" s="1"/>
  <c r="C33" i="20"/>
  <c r="D33" i="20" s="1"/>
  <c r="E33" i="20" s="1"/>
  <c r="C37" i="20"/>
  <c r="D37" i="20" s="1"/>
  <c r="E37" i="20" s="1"/>
  <c r="C2" i="20"/>
  <c r="D2" i="20" s="1"/>
  <c r="E2" i="20" s="1"/>
  <c r="C9" i="20"/>
  <c r="D9" i="20" s="1"/>
  <c r="E9" i="20" s="1"/>
  <c r="C13" i="20"/>
  <c r="D13" i="20" s="1"/>
  <c r="E13" i="20" s="1"/>
  <c r="C21" i="20"/>
  <c r="D21" i="20" s="1"/>
  <c r="E21" i="20" s="1"/>
  <c r="C2" i="19"/>
  <c r="D2" i="19" s="1"/>
  <c r="E2" i="19" s="1"/>
  <c r="C4" i="19"/>
  <c r="D4" i="19" s="1"/>
  <c r="E4" i="19" s="1"/>
  <c r="C13" i="19"/>
  <c r="D13" i="19" s="1"/>
  <c r="E13" i="19" s="1"/>
  <c r="C25" i="19"/>
  <c r="D25" i="19" s="1"/>
  <c r="E25" i="19" s="1"/>
  <c r="C37" i="19"/>
  <c r="D37" i="19" s="1"/>
  <c r="E37" i="19" s="1"/>
  <c r="C29" i="19"/>
  <c r="D29" i="19" s="1"/>
  <c r="E29" i="19" s="1"/>
  <c r="C9" i="19"/>
  <c r="D9" i="19" s="1"/>
  <c r="E9" i="19" s="1"/>
  <c r="C33" i="19"/>
  <c r="D33" i="19" s="1"/>
  <c r="E33" i="19" s="1"/>
  <c r="C17" i="19"/>
  <c r="D17" i="19" s="1"/>
  <c r="E17" i="19" s="1"/>
  <c r="C21" i="19"/>
  <c r="D21" i="19" s="1"/>
  <c r="E21" i="19" s="1"/>
  <c r="C3" i="19"/>
  <c r="D3" i="19" s="1"/>
  <c r="E3" i="19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2" i="18"/>
  <c r="D2" i="18" s="1"/>
  <c r="E2" i="18" s="1"/>
  <c r="C2" i="17"/>
  <c r="D2" i="17" s="1"/>
  <c r="E2" i="17" s="1"/>
  <c r="C23" i="17"/>
  <c r="D23" i="17" s="1"/>
  <c r="E23" i="17" s="1"/>
  <c r="C35" i="17"/>
  <c r="D35" i="17" s="1"/>
  <c r="E35" i="17" s="1"/>
  <c r="C11" i="17"/>
  <c r="D11" i="17" s="1"/>
  <c r="E11" i="17" s="1"/>
  <c r="C13" i="17"/>
  <c r="D13" i="17" s="1"/>
  <c r="E13" i="17" s="1"/>
  <c r="C21" i="17"/>
  <c r="D21" i="17" s="1"/>
  <c r="E21" i="17" s="1"/>
  <c r="C27" i="17"/>
  <c r="D27" i="17" s="1"/>
  <c r="E27" i="17" s="1"/>
  <c r="C37" i="17"/>
  <c r="D37" i="17" s="1"/>
  <c r="E37" i="17" s="1"/>
  <c r="C19" i="17"/>
  <c r="D19" i="17" s="1"/>
  <c r="E19" i="17" s="1"/>
  <c r="C25" i="17"/>
  <c r="D25" i="17" s="1"/>
  <c r="E25" i="17" s="1"/>
  <c r="C29" i="17"/>
  <c r="D29" i="17" s="1"/>
  <c r="E29" i="17" s="1"/>
  <c r="C7" i="17"/>
  <c r="D7" i="17" s="1"/>
  <c r="E7" i="17" s="1"/>
  <c r="C31" i="17"/>
  <c r="D31" i="17" s="1"/>
  <c r="E31" i="17" s="1"/>
  <c r="C9" i="17"/>
  <c r="D9" i="17" s="1"/>
  <c r="E9" i="17" s="1"/>
  <c r="C33" i="17"/>
  <c r="D33" i="17" s="1"/>
  <c r="E33" i="17" s="1"/>
  <c r="C15" i="17"/>
  <c r="D15" i="17" s="1"/>
  <c r="E15" i="17" s="1"/>
  <c r="C39" i="17"/>
  <c r="D39" i="17" s="1"/>
  <c r="E39" i="17" s="1"/>
  <c r="C17" i="17"/>
  <c r="D17" i="17" s="1"/>
  <c r="E17" i="17" s="1"/>
  <c r="C2" i="16"/>
  <c r="D2" i="16" s="1"/>
  <c r="E2" i="16" s="1"/>
  <c r="C39" i="15"/>
  <c r="D39" i="15" s="1"/>
  <c r="E39" i="15" s="1"/>
  <c r="C1" i="15"/>
  <c r="D1" i="15" s="1"/>
  <c r="E1" i="15" s="1"/>
  <c r="C35" i="15"/>
  <c r="D35" i="15" s="1"/>
  <c r="E35" i="15" s="1"/>
  <c r="C2" i="15"/>
  <c r="D2" i="15" s="1"/>
  <c r="E2" i="15" s="1"/>
  <c r="C5" i="15"/>
  <c r="D5" i="15" s="1"/>
  <c r="E5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2" i="14"/>
  <c r="D2" i="14" s="1"/>
  <c r="E2" i="14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2" i="13"/>
  <c r="D2" i="13" s="1"/>
  <c r="E2" i="13" s="1"/>
  <c r="C2" i="12"/>
  <c r="D2" i="12" s="1"/>
  <c r="E2" i="12" s="1"/>
  <c r="C2" i="11"/>
  <c r="D2" i="11" s="1"/>
  <c r="E2" i="11" s="1"/>
  <c r="C13" i="10"/>
  <c r="D13" i="10" s="1"/>
  <c r="E13" i="10" s="1"/>
  <c r="C9" i="10"/>
  <c r="D9" i="10" s="1"/>
  <c r="E9" i="10" s="1"/>
  <c r="C17" i="10"/>
  <c r="D17" i="10" s="1"/>
  <c r="E17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37" i="10"/>
  <c r="D37" i="10" s="1"/>
  <c r="E37" i="10" s="1"/>
  <c r="C2" i="10"/>
  <c r="D2" i="10" s="1"/>
  <c r="E2" i="10" s="1"/>
  <c r="C3" i="9"/>
  <c r="D3" i="9" s="1"/>
  <c r="E3" i="9" s="1"/>
  <c r="C9" i="9"/>
  <c r="D9" i="9" s="1"/>
  <c r="E9" i="9" s="1"/>
  <c r="C13" i="9"/>
  <c r="D13" i="9" s="1"/>
  <c r="E13" i="9" s="1"/>
  <c r="C17" i="9"/>
  <c r="D17" i="9" s="1"/>
  <c r="E17" i="9" s="1"/>
  <c r="C21" i="9"/>
  <c r="D21" i="9" s="1"/>
  <c r="E21" i="9" s="1"/>
  <c r="C25" i="9"/>
  <c r="D25" i="9" s="1"/>
  <c r="E25" i="9" s="1"/>
  <c r="C29" i="9"/>
  <c r="D29" i="9" s="1"/>
  <c r="E29" i="9" s="1"/>
  <c r="C33" i="9"/>
  <c r="D33" i="9" s="1"/>
  <c r="E33" i="9" s="1"/>
  <c r="C37" i="9"/>
  <c r="D37" i="9" s="1"/>
  <c r="E37" i="9" s="1"/>
  <c r="C2" i="8"/>
  <c r="D2" i="8" s="1"/>
  <c r="E2" i="8" s="1"/>
  <c r="C17" i="8"/>
  <c r="D17" i="8" s="1"/>
  <c r="E17" i="8" s="1"/>
  <c r="C29" i="8"/>
  <c r="D29" i="8" s="1"/>
  <c r="E29" i="8" s="1"/>
  <c r="C6" i="8"/>
  <c r="D6" i="8" s="1"/>
  <c r="E6" i="8" s="1"/>
  <c r="C18" i="8"/>
  <c r="D18" i="8" s="1"/>
  <c r="E18" i="8" s="1"/>
  <c r="C30" i="8"/>
  <c r="D30" i="8" s="1"/>
  <c r="E30" i="8" s="1"/>
  <c r="C7" i="8"/>
  <c r="D7" i="8" s="1"/>
  <c r="E7" i="8" s="1"/>
  <c r="C19" i="8"/>
  <c r="D19" i="8" s="1"/>
  <c r="E19" i="8" s="1"/>
  <c r="C31" i="8"/>
  <c r="D31" i="8" s="1"/>
  <c r="E31" i="8" s="1"/>
  <c r="C9" i="8"/>
  <c r="D9" i="8" s="1"/>
  <c r="E9" i="8" s="1"/>
  <c r="C21" i="8"/>
  <c r="D21" i="8" s="1"/>
  <c r="E21" i="8" s="1"/>
  <c r="C33" i="8"/>
  <c r="D33" i="8" s="1"/>
  <c r="E33" i="8" s="1"/>
  <c r="C10" i="8"/>
  <c r="D10" i="8" s="1"/>
  <c r="E10" i="8" s="1"/>
  <c r="C22" i="8"/>
  <c r="D22" i="8" s="1"/>
  <c r="E22" i="8" s="1"/>
  <c r="C34" i="8"/>
  <c r="D34" i="8" s="1"/>
  <c r="E34" i="8" s="1"/>
  <c r="C11" i="8"/>
  <c r="D11" i="8" s="1"/>
  <c r="E11" i="8" s="1"/>
  <c r="C23" i="8"/>
  <c r="D23" i="8" s="1"/>
  <c r="E23" i="8" s="1"/>
  <c r="C35" i="8"/>
  <c r="D35" i="8" s="1"/>
  <c r="E35" i="8" s="1"/>
  <c r="C13" i="8"/>
  <c r="D13" i="8" s="1"/>
  <c r="E13" i="8" s="1"/>
  <c r="C25" i="8"/>
  <c r="D25" i="8" s="1"/>
  <c r="E25" i="8" s="1"/>
  <c r="C37" i="8"/>
  <c r="D37" i="8" s="1"/>
  <c r="E37" i="8" s="1"/>
  <c r="C14" i="8"/>
  <c r="D14" i="8" s="1"/>
  <c r="E14" i="8" s="1"/>
  <c r="C26" i="8"/>
  <c r="D26" i="8" s="1"/>
  <c r="E26" i="8" s="1"/>
  <c r="C38" i="8"/>
  <c r="D38" i="8" s="1"/>
  <c r="E38" i="8" s="1"/>
  <c r="C15" i="8"/>
  <c r="D15" i="8" s="1"/>
  <c r="E15" i="8" s="1"/>
  <c r="C27" i="8"/>
  <c r="D27" i="8" s="1"/>
  <c r="E27" i="8" s="1"/>
  <c r="C39" i="8"/>
  <c r="D39" i="8" s="1"/>
  <c r="E39" i="8" s="1"/>
  <c r="C2" i="7"/>
  <c r="D2" i="7" s="1"/>
  <c r="E2" i="7" s="1"/>
  <c r="C9" i="7"/>
  <c r="D9" i="7" s="1"/>
  <c r="E9" i="7" s="1"/>
  <c r="C13" i="7"/>
  <c r="D13" i="7" s="1"/>
  <c r="E13" i="7" s="1"/>
  <c r="C17" i="7"/>
  <c r="D17" i="7" s="1"/>
  <c r="E17" i="7" s="1"/>
  <c r="C21" i="7"/>
  <c r="D21" i="7" s="1"/>
  <c r="E21" i="7" s="1"/>
  <c r="C25" i="7"/>
  <c r="D25" i="7" s="1"/>
  <c r="E25" i="7" s="1"/>
  <c r="C29" i="7"/>
  <c r="D29" i="7" s="1"/>
  <c r="E29" i="7" s="1"/>
  <c r="C33" i="7"/>
  <c r="D33" i="7" s="1"/>
  <c r="E33" i="7" s="1"/>
  <c r="C37" i="7"/>
  <c r="D37" i="7" s="1"/>
  <c r="E37" i="7" s="1"/>
  <c r="C39" i="6"/>
  <c r="D39" i="6" s="1"/>
  <c r="E39" i="6" s="1"/>
  <c r="C35" i="6"/>
  <c r="D35" i="6" s="1"/>
  <c r="E35" i="6" s="1"/>
  <c r="C2" i="6"/>
  <c r="D2" i="6" s="1"/>
  <c r="E2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" i="5"/>
  <c r="D3" i="5" s="1"/>
  <c r="E3" i="5" s="1"/>
  <c r="C8" i="5"/>
  <c r="D8" i="5" s="1"/>
  <c r="E8" i="5" s="1"/>
  <c r="C2" i="5"/>
  <c r="D2" i="5" s="1"/>
  <c r="E2" i="5" s="1"/>
  <c r="C2" i="4"/>
  <c r="D2" i="4" s="1"/>
  <c r="E2" i="4" s="1"/>
  <c r="C2" i="3"/>
  <c r="D2" i="3" s="1"/>
  <c r="E2" i="3" s="1"/>
  <c r="C3" i="3"/>
  <c r="D3" i="3" s="1"/>
  <c r="E3" i="3" s="1"/>
  <c r="C14" i="3"/>
  <c r="D14" i="3" s="1"/>
  <c r="E14" i="3" s="1"/>
  <c r="C25" i="3"/>
  <c r="D25" i="3" s="1"/>
  <c r="E25" i="3" s="1"/>
  <c r="C26" i="3"/>
  <c r="D26" i="3" s="1"/>
  <c r="E26" i="3" s="1"/>
  <c r="C38" i="3"/>
  <c r="D38" i="3" s="1"/>
  <c r="E38" i="3" s="1"/>
  <c r="C22" i="3"/>
  <c r="D22" i="3" s="1"/>
  <c r="E22" i="3" s="1"/>
  <c r="C29" i="3"/>
  <c r="D29" i="3" s="1"/>
  <c r="E29" i="3" s="1"/>
  <c r="C6" i="3"/>
  <c r="D6" i="3" s="1"/>
  <c r="E6" i="3" s="1"/>
  <c r="C30" i="3"/>
  <c r="D30" i="3" s="1"/>
  <c r="E30" i="3" s="1"/>
  <c r="C9" i="3"/>
  <c r="D9" i="3" s="1"/>
  <c r="E9" i="3" s="1"/>
  <c r="C33" i="3"/>
  <c r="D33" i="3" s="1"/>
  <c r="E33" i="3" s="1"/>
  <c r="C10" i="3"/>
  <c r="D10" i="3" s="1"/>
  <c r="E10" i="3" s="1"/>
  <c r="C34" i="3"/>
  <c r="D34" i="3" s="1"/>
  <c r="E34" i="3" s="1"/>
  <c r="C13" i="3"/>
  <c r="D13" i="3" s="1"/>
  <c r="E13" i="3" s="1"/>
  <c r="C37" i="3"/>
  <c r="D37" i="3" s="1"/>
  <c r="E37" i="3" s="1"/>
  <c r="C17" i="3"/>
  <c r="D17" i="3" s="1"/>
  <c r="E17" i="3" s="1"/>
  <c r="C18" i="3"/>
  <c r="D18" i="3" s="1"/>
  <c r="E18" i="3" s="1"/>
  <c r="C21" i="3"/>
  <c r="D21" i="3" s="1"/>
  <c r="E21" i="3" s="1"/>
  <c r="C2" i="2"/>
  <c r="D2" i="2" s="1"/>
  <c r="E2" i="2" s="1"/>
  <c r="C14" i="32"/>
  <c r="D14" i="32" s="1"/>
  <c r="E14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6" i="32"/>
  <c r="D26" i="32" s="1"/>
  <c r="E26" i="32" s="1"/>
  <c r="C29" i="32"/>
  <c r="D29" i="32" s="1"/>
  <c r="E29" i="32" s="1"/>
  <c r="C3" i="32"/>
  <c r="D3" i="32" s="1"/>
  <c r="E3" i="32" s="1"/>
  <c r="C30" i="32"/>
  <c r="D30" i="32" s="1"/>
  <c r="E30" i="32" s="1"/>
  <c r="C33" i="32"/>
  <c r="D33" i="32" s="1"/>
  <c r="E33" i="32" s="1"/>
  <c r="C9" i="32"/>
  <c r="D9" i="32" s="1"/>
  <c r="E9" i="32" s="1"/>
  <c r="C10" i="32"/>
  <c r="D10" i="32" s="1"/>
  <c r="E10" i="32" s="1"/>
  <c r="C37" i="32"/>
  <c r="D37" i="32" s="1"/>
  <c r="E37" i="32" s="1"/>
  <c r="C2" i="32"/>
  <c r="D2" i="32" s="1"/>
  <c r="E2" i="32" s="1"/>
  <c r="C18" i="32"/>
  <c r="D18" i="32" s="1"/>
  <c r="E18" i="32" s="1"/>
  <c r="C34" i="32"/>
  <c r="D34" i="32" s="1"/>
  <c r="E34" i="32" s="1"/>
  <c r="C6" i="32"/>
  <c r="D6" i="32" s="1"/>
  <c r="E6" i="32" s="1"/>
  <c r="C22" i="32"/>
  <c r="D22" i="32" s="1"/>
  <c r="E22" i="32" s="1"/>
  <c r="C38" i="32"/>
  <c r="D38" i="32" s="1"/>
  <c r="E38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3" i="28"/>
  <c r="D3" i="28" s="1"/>
  <c r="E3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9" i="27"/>
  <c r="D9" i="27" s="1"/>
  <c r="E9" i="27" s="1"/>
  <c r="C13" i="27"/>
  <c r="D13" i="27" s="1"/>
  <c r="E13" i="27" s="1"/>
  <c r="C17" i="27"/>
  <c r="D17" i="27" s="1"/>
  <c r="E17" i="27" s="1"/>
  <c r="C21" i="27"/>
  <c r="D21" i="27" s="1"/>
  <c r="E21" i="27" s="1"/>
  <c r="C25" i="27"/>
  <c r="D25" i="27" s="1"/>
  <c r="E25" i="27" s="1"/>
  <c r="C29" i="27"/>
  <c r="D29" i="27" s="1"/>
  <c r="E29" i="27" s="1"/>
  <c r="C33" i="27"/>
  <c r="D33" i="27" s="1"/>
  <c r="E33" i="27" s="1"/>
  <c r="C37" i="27"/>
  <c r="D37" i="27" s="1"/>
  <c r="E37" i="27" s="1"/>
  <c r="C6" i="27"/>
  <c r="D6" i="27" s="1"/>
  <c r="E6" i="27" s="1"/>
  <c r="C10" i="27"/>
  <c r="D10" i="27" s="1"/>
  <c r="E10" i="27" s="1"/>
  <c r="C14" i="27"/>
  <c r="D14" i="27" s="1"/>
  <c r="E14" i="27" s="1"/>
  <c r="C18" i="27"/>
  <c r="D18" i="27" s="1"/>
  <c r="E18" i="27" s="1"/>
  <c r="C22" i="27"/>
  <c r="D22" i="27" s="1"/>
  <c r="E22" i="27" s="1"/>
  <c r="C26" i="27"/>
  <c r="D26" i="27" s="1"/>
  <c r="E26" i="27" s="1"/>
  <c r="C30" i="27"/>
  <c r="D30" i="27" s="1"/>
  <c r="E30" i="27" s="1"/>
  <c r="C34" i="27"/>
  <c r="D34" i="27" s="1"/>
  <c r="E34" i="27" s="1"/>
  <c r="C38" i="27"/>
  <c r="D38" i="27" s="1"/>
  <c r="E38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9" i="24"/>
  <c r="D9" i="24" s="1"/>
  <c r="E9" i="24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17" i="22"/>
  <c r="D17" i="22" s="1"/>
  <c r="E17" i="22" s="1"/>
  <c r="C21" i="22"/>
  <c r="D21" i="22" s="1"/>
  <c r="E21" i="22" s="1"/>
  <c r="C25" i="22"/>
  <c r="D25" i="22" s="1"/>
  <c r="E25" i="22" s="1"/>
  <c r="C29" i="22"/>
  <c r="D29" i="22" s="1"/>
  <c r="E29" i="22" s="1"/>
  <c r="C33" i="22"/>
  <c r="D33" i="22" s="1"/>
  <c r="E33" i="22" s="1"/>
  <c r="C37" i="22"/>
  <c r="D37" i="22" s="1"/>
  <c r="E3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3" i="22"/>
  <c r="D3" i="22" s="1"/>
  <c r="E3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3" i="21"/>
  <c r="D3" i="21" s="1"/>
  <c r="E3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" i="21"/>
  <c r="D1" i="21" s="1"/>
  <c r="E1" i="21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6" i="19"/>
  <c r="D6" i="19" s="1"/>
  <c r="E6" i="19" s="1"/>
  <c r="C10" i="19"/>
  <c r="D10" i="19" s="1"/>
  <c r="E10" i="19" s="1"/>
  <c r="C14" i="19"/>
  <c r="D14" i="19" s="1"/>
  <c r="E14" i="19" s="1"/>
  <c r="C18" i="19"/>
  <c r="D18" i="19" s="1"/>
  <c r="E18" i="19" s="1"/>
  <c r="C22" i="19"/>
  <c r="D22" i="19" s="1"/>
  <c r="E22" i="19" s="1"/>
  <c r="C26" i="19"/>
  <c r="D26" i="19" s="1"/>
  <c r="E26" i="19" s="1"/>
  <c r="C30" i="19"/>
  <c r="D30" i="19" s="1"/>
  <c r="E30" i="19" s="1"/>
  <c r="C34" i="19"/>
  <c r="D34" i="19" s="1"/>
  <c r="E34" i="19" s="1"/>
  <c r="C38" i="19"/>
  <c r="D38" i="19" s="1"/>
  <c r="E38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9" i="18"/>
  <c r="D9" i="18" s="1"/>
  <c r="E9" i="18" s="1"/>
  <c r="C13" i="18"/>
  <c r="D13" i="18" s="1"/>
  <c r="E13" i="18" s="1"/>
  <c r="C17" i="18"/>
  <c r="D17" i="18" s="1"/>
  <c r="E17" i="18" s="1"/>
  <c r="C21" i="18"/>
  <c r="D21" i="18" s="1"/>
  <c r="E21" i="18" s="1"/>
  <c r="C25" i="18"/>
  <c r="D25" i="18" s="1"/>
  <c r="E25" i="18" s="1"/>
  <c r="C29" i="18"/>
  <c r="D29" i="18" s="1"/>
  <c r="E29" i="18" s="1"/>
  <c r="C33" i="18"/>
  <c r="D33" i="18" s="1"/>
  <c r="E33" i="18" s="1"/>
  <c r="C37" i="18"/>
  <c r="D37" i="18" s="1"/>
  <c r="E37" i="18" s="1"/>
  <c r="C3" i="18"/>
  <c r="D3" i="18" s="1"/>
  <c r="E3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" i="18"/>
  <c r="D1" i="18" s="1"/>
  <c r="E1" i="18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29" i="16"/>
  <c r="D29" i="16" s="1"/>
  <c r="E29" i="16" s="1"/>
  <c r="C33" i="16"/>
  <c r="D33" i="16" s="1"/>
  <c r="E33" i="16" s="1"/>
  <c r="C37" i="16"/>
  <c r="D37" i="16" s="1"/>
  <c r="E37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9" i="15"/>
  <c r="D9" i="15" s="1"/>
  <c r="E9" i="15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37" i="15"/>
  <c r="D37" i="15" s="1"/>
  <c r="E37" i="15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3" i="15"/>
  <c r="D3" i="15" s="1"/>
  <c r="E3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9" i="12"/>
  <c r="D9" i="12" s="1"/>
  <c r="E9" i="12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6" i="12"/>
  <c r="D6" i="12" s="1"/>
  <c r="E6" i="12" s="1"/>
  <c r="C10" i="12"/>
  <c r="D10" i="12" s="1"/>
  <c r="E10" i="12" s="1"/>
  <c r="C14" i="12"/>
  <c r="D14" i="12" s="1"/>
  <c r="E14" i="12" s="1"/>
  <c r="C18" i="12"/>
  <c r="D18" i="12" s="1"/>
  <c r="E18" i="12" s="1"/>
  <c r="C22" i="12"/>
  <c r="D22" i="12" s="1"/>
  <c r="E22" i="12" s="1"/>
  <c r="C26" i="12"/>
  <c r="D26" i="12" s="1"/>
  <c r="E26" i="12" s="1"/>
  <c r="C30" i="12"/>
  <c r="D30" i="12" s="1"/>
  <c r="E30" i="12" s="1"/>
  <c r="C34" i="12"/>
  <c r="D34" i="12" s="1"/>
  <c r="E34" i="12" s="1"/>
  <c r="C38" i="12"/>
  <c r="D38" i="12" s="1"/>
  <c r="E38" i="12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1" i="11"/>
  <c r="D1" i="11" s="1"/>
  <c r="E1" i="11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2" i="9"/>
  <c r="D2" i="9" s="1"/>
  <c r="E2" i="9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3" i="8"/>
  <c r="D3" i="8" s="1"/>
  <c r="E3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6" i="7"/>
  <c r="D6" i="7" s="1"/>
  <c r="E6" i="7" s="1"/>
  <c r="C10" i="7"/>
  <c r="D10" i="7" s="1"/>
  <c r="E10" i="7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29" i="6"/>
  <c r="D29" i="6" s="1"/>
  <c r="E29" i="6" s="1"/>
  <c r="C33" i="6"/>
  <c r="D33" i="6" s="1"/>
  <c r="E33" i="6" s="1"/>
  <c r="C37" i="6"/>
  <c r="D37" i="6" s="1"/>
  <c r="E37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9" i="5"/>
  <c r="D9" i="5" s="1"/>
  <c r="E9" i="5" s="1"/>
  <c r="C13" i="5"/>
  <c r="D13" i="5" s="1"/>
  <c r="E13" i="5" s="1"/>
  <c r="C17" i="5"/>
  <c r="D17" i="5" s="1"/>
  <c r="E17" i="5" s="1"/>
  <c r="C21" i="5"/>
  <c r="D21" i="5" s="1"/>
  <c r="E21" i="5" s="1"/>
  <c r="C25" i="5"/>
  <c r="D25" i="5" s="1"/>
  <c r="E25" i="5" s="1"/>
  <c r="C29" i="5"/>
  <c r="D29" i="5" s="1"/>
  <c r="E29" i="5" s="1"/>
  <c r="C33" i="5"/>
  <c r="D33" i="5" s="1"/>
  <c r="E33" i="5" s="1"/>
  <c r="C37" i="5"/>
  <c r="D37" i="5" s="1"/>
  <c r="E37" i="5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9" i="4"/>
  <c r="D9" i="4" s="1"/>
  <c r="E9" i="4" s="1"/>
  <c r="C13" i="4"/>
  <c r="D13" i="4" s="1"/>
  <c r="E13" i="4" s="1"/>
  <c r="C17" i="4"/>
  <c r="D17" i="4" s="1"/>
  <c r="E17" i="4" s="1"/>
  <c r="C21" i="4"/>
  <c r="D21" i="4" s="1"/>
  <c r="E21" i="4" s="1"/>
  <c r="C25" i="4"/>
  <c r="D25" i="4" s="1"/>
  <c r="E25" i="4" s="1"/>
  <c r="C29" i="4"/>
  <c r="D29" i="4" s="1"/>
  <c r="E29" i="4" s="1"/>
  <c r="C33" i="4"/>
  <c r="D33" i="4" s="1"/>
  <c r="E33" i="4" s="1"/>
  <c r="C37" i="4"/>
  <c r="D37" i="4" s="1"/>
  <c r="E37" i="4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1" i="3"/>
  <c r="D1" i="3" s="1"/>
  <c r="E1" i="3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1" l="1"/>
  <c r="H5" i="15"/>
  <c r="H5" i="32"/>
  <c r="H5" i="30"/>
  <c r="H5" i="29"/>
  <c r="H5" i="28"/>
  <c r="H5" i="27"/>
  <c r="H5" i="26"/>
  <c r="H5" i="25"/>
  <c r="H5" i="24"/>
  <c r="H5" i="23"/>
  <c r="H5" i="22"/>
  <c r="H5" i="21"/>
  <c r="H5" i="20"/>
  <c r="H5" i="19"/>
  <c r="H5" i="18"/>
  <c r="H5" i="17"/>
  <c r="H5" i="16"/>
  <c r="H5" i="14"/>
  <c r="H5" i="13"/>
  <c r="H5" i="12"/>
  <c r="H5" i="11"/>
  <c r="H5" i="10"/>
  <c r="H5" i="9"/>
  <c r="H5" i="8"/>
  <c r="H5" i="7"/>
  <c r="H5" i="6"/>
  <c r="H5" i="5"/>
  <c r="H5" i="4"/>
  <c r="H5" i="3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<sst xmlns="http://schemas.openxmlformats.org/spreadsheetml/2006/main" count="93" uniqueCount="3">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</sst>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BF00-256F-4BFC-AD91-172BAD385C29}">
  <dimension ref="A1:B31"/>
  <sheetViews>
    <sheetView tabSelected="1" workbookViewId="0">
      <selection activeCell="H14" sqref="H14"/>
    </sheetView>
  </sheetViews>
  <sheetFormatPr defaultColWidth="11" defaultRowHeight="15.75" x14ac:dyDescent="0.25"/>
  <sheetData>
    <row r="1" spans="1:2" x14ac:dyDescent="0.25">
      <c r="A1">
        <v>1E-4</v>
      </c>
      <c r="B1">
        <f>'0.0001'!$H$1</f>
        <v>8.2721844068707751E-2</v>
      </c>
    </row>
    <row r="2" spans="1:2" x14ac:dyDescent="0.25">
      <c r="A2">
        <v>1E-3</v>
      </c>
      <c r="B2">
        <f>'0.001'!$H$1</f>
        <v>9.1189852859180548E-2</v>
      </c>
    </row>
    <row r="3" spans="1:2" x14ac:dyDescent="0.25">
      <c r="A3">
        <v>5.0000000000000001E-3</v>
      </c>
      <c r="B3">
        <f>'0.005'!$H$1</f>
        <v>0.14339052632619217</v>
      </c>
    </row>
    <row r="4" spans="1:2" x14ac:dyDescent="0.25">
      <c r="A4">
        <v>0.01</v>
      </c>
      <c r="B4">
        <f>'0.01'!$H$1</f>
        <v>0.16594325845710706</v>
      </c>
    </row>
    <row r="5" spans="1:2" x14ac:dyDescent="0.25">
      <c r="A5">
        <v>2.5000000000000001E-2</v>
      </c>
      <c r="B5">
        <f>'0.025'!$H$1</f>
        <v>0.22047486082341664</v>
      </c>
    </row>
    <row r="6" spans="1:2" x14ac:dyDescent="0.25">
      <c r="A6">
        <v>0.05</v>
      </c>
      <c r="B6">
        <f>'0.05'!$H$1</f>
        <v>0.27552203689127763</v>
      </c>
    </row>
    <row r="7" spans="1:2" x14ac:dyDescent="0.25">
      <c r="A7">
        <v>7.4999999999999997E-2</v>
      </c>
      <c r="B7">
        <f>'0.075'!$H$1</f>
        <v>0.32176973530819064</v>
      </c>
    </row>
    <row r="8" spans="1:2" x14ac:dyDescent="0.25">
      <c r="A8">
        <v>0.1</v>
      </c>
      <c r="B8">
        <f>'0.1'!$H$1</f>
        <v>0.36460425057747597</v>
      </c>
    </row>
    <row r="9" spans="1:2" x14ac:dyDescent="0.25">
      <c r="A9">
        <v>0.15</v>
      </c>
      <c r="B9">
        <f>'0.15'!$H$1</f>
        <v>0.42776410751447452</v>
      </c>
    </row>
    <row r="10" spans="1:2" x14ac:dyDescent="0.25">
      <c r="A10">
        <v>0.2</v>
      </c>
      <c r="B10">
        <f>'0.2'!$H$1</f>
        <v>0.48960970941113607</v>
      </c>
    </row>
    <row r="11" spans="1:2" x14ac:dyDescent="0.25">
      <c r="A11">
        <v>0.25</v>
      </c>
      <c r="B11">
        <f>'0.25'!$H$1</f>
        <v>0.54942835511213317</v>
      </c>
    </row>
    <row r="12" spans="1:2" x14ac:dyDescent="0.25">
      <c r="A12">
        <v>0.3</v>
      </c>
      <c r="B12">
        <f>'0.3'!$H$1</f>
        <v>0.60896084742014944</v>
      </c>
    </row>
    <row r="13" spans="1:2" x14ac:dyDescent="0.25">
      <c r="A13">
        <v>0.35</v>
      </c>
      <c r="B13">
        <f>'0.35'!$H$1</f>
        <v>0.67649726791818166</v>
      </c>
    </row>
    <row r="14" spans="1:2" x14ac:dyDescent="0.25">
      <c r="A14">
        <v>0.4</v>
      </c>
      <c r="B14">
        <f>'0.4'!$H$1</f>
        <v>0.74629451239118505</v>
      </c>
    </row>
    <row r="15" spans="1:2" x14ac:dyDescent="0.25">
      <c r="A15">
        <v>0.45</v>
      </c>
      <c r="B15">
        <f>'0.45'!$H$1</f>
        <v>0.82265383603739239</v>
      </c>
    </row>
    <row r="16" spans="1:2" x14ac:dyDescent="0.25">
      <c r="A16">
        <v>0.5</v>
      </c>
      <c r="B16">
        <f>'0.5'!$H$1</f>
        <v>0.90935770292687335</v>
      </c>
    </row>
    <row r="17" spans="1:2" x14ac:dyDescent="0.25">
      <c r="A17">
        <v>0.55000000000000004</v>
      </c>
      <c r="B17">
        <f>'0.55'!$H$1</f>
        <v>1.0124888489872972</v>
      </c>
    </row>
    <row r="18" spans="1:2" x14ac:dyDescent="0.25">
      <c r="A18">
        <v>0.6</v>
      </c>
      <c r="B18">
        <f>'0.6'!$H$1</f>
        <v>1.1315298519725745</v>
      </c>
    </row>
    <row r="19" spans="1:2" x14ac:dyDescent="0.25">
      <c r="A19">
        <v>0.65</v>
      </c>
      <c r="B19">
        <f>'0.65'!$H$1</f>
        <v>1.2673042493109881</v>
      </c>
    </row>
    <row r="20" spans="1:2" x14ac:dyDescent="0.25">
      <c r="A20">
        <v>0.7</v>
      </c>
      <c r="B20">
        <f>'0.7'!$H$1</f>
        <v>1.440136702116606</v>
      </c>
    </row>
    <row r="21" spans="1:2" x14ac:dyDescent="0.25">
      <c r="A21">
        <v>0.75</v>
      </c>
      <c r="B21">
        <f>'0.75'!$H$1</f>
        <v>1.6639024615663034</v>
      </c>
    </row>
    <row r="22" spans="1:2" x14ac:dyDescent="0.25">
      <c r="A22">
        <v>0.8</v>
      </c>
      <c r="B22">
        <f>'0.8'!$H$1</f>
        <v>1.9530215581879249</v>
      </c>
    </row>
    <row r="23" spans="1:2" x14ac:dyDescent="0.25">
      <c r="A23">
        <v>0.85</v>
      </c>
      <c r="B23">
        <f>'0.85'!$H$1</f>
        <v>2.4016307452217527</v>
      </c>
    </row>
    <row r="24" spans="1:2" x14ac:dyDescent="0.25">
      <c r="A24">
        <v>0.9</v>
      </c>
      <c r="B24">
        <f>'0.9'!$H$1</f>
        <v>3.1370026317326736</v>
      </c>
    </row>
    <row r="25" spans="1:2" x14ac:dyDescent="0.25">
      <c r="A25">
        <v>0.92500000000000004</v>
      </c>
      <c r="B25">
        <f>'0.925'!$H$1</f>
        <v>3.767932567463506</v>
      </c>
    </row>
    <row r="26" spans="1:2" x14ac:dyDescent="0.25">
      <c r="A26">
        <v>0.95</v>
      </c>
      <c r="B26">
        <f>'0.95'!$H$1</f>
        <v>4.8041562192626461</v>
      </c>
    </row>
    <row r="27" spans="1:2" x14ac:dyDescent="0.25">
      <c r="A27">
        <v>0.97499999999999998</v>
      </c>
      <c r="B27">
        <f>'0.975'!$H$1</f>
        <v>7.1275738986750392</v>
      </c>
    </row>
    <row r="28" spans="1:2" x14ac:dyDescent="0.25">
      <c r="A28">
        <v>0.99</v>
      </c>
      <c r="B28">
        <f>'0.99'!$H$1</f>
        <v>11.751431389944532</v>
      </c>
    </row>
    <row r="29" spans="1:2" x14ac:dyDescent="0.25">
      <c r="A29">
        <v>0.995</v>
      </c>
      <c r="B29">
        <f>'0.995'!$H$1</f>
        <v>16.837256666737314</v>
      </c>
    </row>
    <row r="30" spans="1:2" x14ac:dyDescent="0.25">
      <c r="A30">
        <v>0.999</v>
      </c>
      <c r="B30">
        <f>'0.999'!$H$1</f>
        <v>33.152762588176046</v>
      </c>
    </row>
    <row r="31" spans="1:2" x14ac:dyDescent="0.25">
      <c r="A31">
        <v>0.99990000000000001</v>
      </c>
      <c r="B31">
        <f>'0.9999'!$H$1</f>
        <v>46.575437271720297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FB1E-BEC7-4EF0-8376-FF39D50D705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7.3535460250000018E-2</v>
      </c>
      <c r="B1">
        <v>0.79849435870825181</v>
      </c>
      <c r="C1">
        <f>$H$3*(1+$H$1)*(A1^($H$1))*EXP(-$H$3*(A1^(1+$H$1)))</f>
        <v>0.79718779275989748</v>
      </c>
      <c r="D1">
        <f>B1-C1</f>
        <v>1.3065659483543213E-3</v>
      </c>
      <c r="E1">
        <f>D1^2</f>
        <v>1.7071145773990268E-6</v>
      </c>
      <c r="G1" t="s">
        <v>0</v>
      </c>
      <c r="H1">
        <v>8.2721844068707751E-2</v>
      </c>
    </row>
    <row r="2" spans="1:8" x14ac:dyDescent="0.25">
      <c r="A2">
        <v>0.22051538075000005</v>
      </c>
      <c r="B2">
        <v>0.74209989356673811</v>
      </c>
      <c r="C2">
        <f t="shared" ref="C2:C40" si="0">$H$3*(1+$H$1)*(A2^($H$1))*EXP(-$H$3*(A2^(1+$H$1)))</f>
        <v>0.7658442282453235</v>
      </c>
      <c r="D2">
        <f t="shared" ref="D2:D40" si="1">B2-C2</f>
        <v>-2.3744334678585388E-2</v>
      </c>
      <c r="E2">
        <f t="shared" ref="E2:E40" si="2">D2^2</f>
        <v>5.637934293286727E-4</v>
      </c>
    </row>
    <row r="3" spans="1:8" x14ac:dyDescent="0.25">
      <c r="A3">
        <v>0.36749530125000002</v>
      </c>
      <c r="B3">
        <v>0.67032511975026599</v>
      </c>
      <c r="C3">
        <f t="shared" si="0"/>
        <v>0.69518827115188153</v>
      </c>
      <c r="D3">
        <f t="shared" si="1"/>
        <v>-2.4863151401615546E-2</v>
      </c>
      <c r="E3">
        <f t="shared" si="2"/>
        <v>6.1817629761965712E-4</v>
      </c>
      <c r="G3" t="s">
        <v>1</v>
      </c>
      <c r="H3">
        <f>(_xlfn.GAMMA((2+$H$1)/(1+$H$1)))^(1+$H$1)</f>
        <v>0.96763321357395948</v>
      </c>
    </row>
    <row r="4" spans="1:8" x14ac:dyDescent="0.25">
      <c r="A4">
        <v>0.51447522175000004</v>
      </c>
      <c r="B4">
        <v>0.59128742239284138</v>
      </c>
      <c r="C4">
        <f t="shared" si="0"/>
        <v>0.61903429814664979</v>
      </c>
      <c r="D4">
        <f t="shared" si="1"/>
        <v>-2.7746875753808409E-2</v>
      </c>
      <c r="E4">
        <f t="shared" si="2"/>
        <v>7.6988911409728094E-4</v>
      </c>
    </row>
    <row r="5" spans="1:8" x14ac:dyDescent="0.25">
      <c r="A5">
        <v>0.66145514225000013</v>
      </c>
      <c r="B5">
        <v>0.52421218733816211</v>
      </c>
      <c r="C5">
        <f t="shared" si="0"/>
        <v>0.54544857686330073</v>
      </c>
      <c r="D5">
        <f t="shared" si="1"/>
        <v>-2.1236389525138621E-2</v>
      </c>
      <c r="E5">
        <f t="shared" si="2"/>
        <v>4.5098424006341736E-4</v>
      </c>
      <c r="G5" t="s">
        <v>2</v>
      </c>
      <c r="H5">
        <f>SUM(E1:E40)</f>
        <v>7.2656720120677426E-3</v>
      </c>
    </row>
    <row r="6" spans="1:8" x14ac:dyDescent="0.25">
      <c r="A6">
        <v>0.80843506274999999</v>
      </c>
      <c r="B6">
        <v>0.43534818166062528</v>
      </c>
      <c r="C6">
        <f t="shared" si="0"/>
        <v>0.47728418770507597</v>
      </c>
      <c r="D6">
        <f t="shared" si="1"/>
        <v>-4.1936006044450691E-2</v>
      </c>
      <c r="E6">
        <f t="shared" si="2"/>
        <v>1.7586286029602049E-3</v>
      </c>
    </row>
    <row r="7" spans="1:8" x14ac:dyDescent="0.25">
      <c r="A7">
        <v>0.95541498324999996</v>
      </c>
      <c r="B7">
        <v>0.40971433386902811</v>
      </c>
      <c r="C7">
        <f t="shared" si="0"/>
        <v>0.41552736449175892</v>
      </c>
      <c r="D7">
        <f t="shared" si="1"/>
        <v>-5.8130306227308082E-3</v>
      </c>
      <c r="E7">
        <f t="shared" si="2"/>
        <v>3.3791325020806129E-5</v>
      </c>
    </row>
    <row r="8" spans="1:8" x14ac:dyDescent="0.25">
      <c r="A8">
        <v>1.10239490375</v>
      </c>
      <c r="B8">
        <v>0.3785264857225849</v>
      </c>
      <c r="C8">
        <f t="shared" si="0"/>
        <v>0.36033873120249521</v>
      </c>
      <c r="D8">
        <f t="shared" si="1"/>
        <v>1.8187754520089694E-2</v>
      </c>
      <c r="E8">
        <f t="shared" si="2"/>
        <v>3.3079441448304308E-4</v>
      </c>
    </row>
    <row r="9" spans="1:8" x14ac:dyDescent="0.25">
      <c r="A9">
        <v>1.2493748242500002</v>
      </c>
      <c r="B9">
        <v>0.3174324818192783</v>
      </c>
      <c r="C9">
        <f t="shared" si="0"/>
        <v>0.31148159166922884</v>
      </c>
      <c r="D9">
        <f t="shared" si="1"/>
        <v>5.9508901500494593E-3</v>
      </c>
      <c r="E9">
        <f t="shared" si="2"/>
        <v>3.5413093577955675E-5</v>
      </c>
    </row>
    <row r="10" spans="1:8" x14ac:dyDescent="0.25">
      <c r="A10">
        <v>1.39635474475</v>
      </c>
      <c r="B10">
        <v>0.28154509491104224</v>
      </c>
      <c r="C10">
        <f t="shared" si="0"/>
        <v>0.26852757349016709</v>
      </c>
      <c r="D10">
        <f t="shared" si="1"/>
        <v>1.3017521420875144E-2</v>
      </c>
      <c r="E10">
        <f t="shared" si="2"/>
        <v>1.6945586394294325E-4</v>
      </c>
    </row>
    <row r="11" spans="1:8" x14ac:dyDescent="0.25">
      <c r="A11">
        <v>1.5433346652500002</v>
      </c>
      <c r="B11">
        <v>0.24181263083406665</v>
      </c>
      <c r="C11">
        <f t="shared" si="0"/>
        <v>0.23096466138605209</v>
      </c>
      <c r="D11">
        <f t="shared" si="1"/>
        <v>1.0847969448014555E-2</v>
      </c>
      <c r="E11">
        <f t="shared" si="2"/>
        <v>1.176784411450572E-4</v>
      </c>
    </row>
    <row r="12" spans="1:8" x14ac:dyDescent="0.25">
      <c r="A12">
        <v>1.6903145857500002</v>
      </c>
      <c r="B12">
        <v>0.21147924428067666</v>
      </c>
      <c r="C12">
        <f t="shared" si="0"/>
        <v>0.19825676957573254</v>
      </c>
      <c r="D12">
        <f t="shared" si="1"/>
        <v>1.3222474704944115E-2</v>
      </c>
      <c r="E12">
        <f t="shared" si="2"/>
        <v>1.7483383732288697E-4</v>
      </c>
    </row>
    <row r="13" spans="1:8" x14ac:dyDescent="0.25">
      <c r="A13">
        <v>1.8372945062500001</v>
      </c>
      <c r="B13">
        <v>0.19097216604739892</v>
      </c>
      <c r="C13">
        <f t="shared" si="0"/>
        <v>0.1698771250175764</v>
      </c>
      <c r="D13">
        <f t="shared" si="1"/>
        <v>2.1095041029822514E-2</v>
      </c>
      <c r="E13">
        <f t="shared" si="2"/>
        <v>4.4500075604989535E-4</v>
      </c>
    </row>
    <row r="14" spans="1:8" x14ac:dyDescent="0.25">
      <c r="A14">
        <v>1.9842744267500003</v>
      </c>
      <c r="B14">
        <v>0.16576554905232838</v>
      </c>
      <c r="C14">
        <f t="shared" si="0"/>
        <v>0.14532666058403948</v>
      </c>
      <c r="D14">
        <f t="shared" si="1"/>
        <v>2.0438888468288896E-2</v>
      </c>
      <c r="E14">
        <f t="shared" si="2"/>
        <v>4.1774816181915282E-4</v>
      </c>
    </row>
    <row r="15" spans="1:8" x14ac:dyDescent="0.25">
      <c r="A15">
        <v>2.1312543472500005</v>
      </c>
      <c r="B15">
        <v>0.14397677842947076</v>
      </c>
      <c r="C15">
        <f t="shared" si="0"/>
        <v>0.12414350550394702</v>
      </c>
      <c r="D15">
        <f t="shared" si="1"/>
        <v>1.983327292552374E-2</v>
      </c>
      <c r="E15">
        <f t="shared" si="2"/>
        <v>3.9335871493831299E-4</v>
      </c>
    </row>
    <row r="16" spans="1:8" x14ac:dyDescent="0.25">
      <c r="A16">
        <v>2.2782342677500003</v>
      </c>
      <c r="B16">
        <v>0.11706123824829374</v>
      </c>
      <c r="C16">
        <f t="shared" si="0"/>
        <v>0.10590708120888419</v>
      </c>
      <c r="D16">
        <f t="shared" si="1"/>
        <v>1.1154157039409557E-2</v>
      </c>
      <c r="E16">
        <f t="shared" si="2"/>
        <v>1.2441521925980978E-4</v>
      </c>
    </row>
    <row r="17" spans="1:5" x14ac:dyDescent="0.25">
      <c r="A17">
        <v>2.4252141882500005</v>
      </c>
      <c r="B17">
        <v>0.10979831470734121</v>
      </c>
      <c r="C17">
        <f t="shared" si="0"/>
        <v>9.0238914013886021E-2</v>
      </c>
      <c r="D17">
        <f t="shared" si="1"/>
        <v>1.9559400693455187E-2</v>
      </c>
      <c r="E17">
        <f t="shared" si="2"/>
        <v>3.8257015548713526E-4</v>
      </c>
    </row>
    <row r="18" spans="1:5" x14ac:dyDescent="0.25">
      <c r="A18">
        <v>2.5721941087500002</v>
      </c>
      <c r="B18">
        <v>7.989215895047784E-2</v>
      </c>
      <c r="C18">
        <f t="shared" si="0"/>
        <v>7.6801475667957558E-2</v>
      </c>
      <c r="D18">
        <f t="shared" si="1"/>
        <v>3.0906832825202818E-3</v>
      </c>
      <c r="E18">
        <f t="shared" si="2"/>
        <v>9.5523231528503441E-6</v>
      </c>
    </row>
    <row r="19" spans="1:5" x14ac:dyDescent="0.25">
      <c r="A19">
        <v>2.71917402925</v>
      </c>
      <c r="B19">
        <v>7.5192620188685028E-2</v>
      </c>
      <c r="C19">
        <f t="shared" si="0"/>
        <v>6.5295882939463507E-2</v>
      </c>
      <c r="D19">
        <f t="shared" si="1"/>
        <v>9.8967372492215211E-3</v>
      </c>
      <c r="E19">
        <f t="shared" si="2"/>
        <v>9.794540818012876E-5</v>
      </c>
    </row>
    <row r="20" spans="1:5" x14ac:dyDescent="0.25">
      <c r="A20">
        <v>2.8661539497500002</v>
      </c>
      <c r="B20">
        <v>6.6648004258152649E-2</v>
      </c>
      <c r="C20">
        <f t="shared" si="0"/>
        <v>5.5458989253749931E-2</v>
      </c>
      <c r="D20">
        <f t="shared" si="1"/>
        <v>1.1189015004402718E-2</v>
      </c>
      <c r="E20">
        <f t="shared" si="2"/>
        <v>1.2519405676874915E-4</v>
      </c>
    </row>
    <row r="21" spans="1:5" x14ac:dyDescent="0.25">
      <c r="A21">
        <v>3.0131338702499999</v>
      </c>
      <c r="B21">
        <v>5.1694926379720958E-2</v>
      </c>
      <c r="C21">
        <f t="shared" si="0"/>
        <v>4.7060210984123371E-2</v>
      </c>
      <c r="D21">
        <f t="shared" si="1"/>
        <v>4.634715395597587E-3</v>
      </c>
      <c r="E21">
        <f t="shared" si="2"/>
        <v>2.1480586798189298E-5</v>
      </c>
    </row>
    <row r="22" spans="1:5" x14ac:dyDescent="0.25">
      <c r="A22">
        <v>3.1601137907500005</v>
      </c>
      <c r="B22">
        <v>4.1014156466555471E-2</v>
      </c>
      <c r="C22">
        <f t="shared" si="0"/>
        <v>3.989830686819338E-2</v>
      </c>
      <c r="D22">
        <f t="shared" si="1"/>
        <v>1.1158495983620911E-3</v>
      </c>
      <c r="E22">
        <f t="shared" si="2"/>
        <v>1.24512032616484E-6</v>
      </c>
    </row>
    <row r="23" spans="1:5" x14ac:dyDescent="0.25">
      <c r="A23">
        <v>3.3070937112500003</v>
      </c>
      <c r="B23">
        <v>3.8023540890869137E-2</v>
      </c>
      <c r="C23">
        <f t="shared" si="0"/>
        <v>3.3798246950619525E-2</v>
      </c>
      <c r="D23">
        <f t="shared" si="1"/>
        <v>4.2252939402496123E-3</v>
      </c>
      <c r="E23">
        <f t="shared" si="2"/>
        <v>1.7853108881510094E-5</v>
      </c>
    </row>
    <row r="24" spans="1:5" x14ac:dyDescent="0.25">
      <c r="A24">
        <v>3.45407363175</v>
      </c>
      <c r="B24">
        <v>2.2216001419384214E-2</v>
      </c>
      <c r="C24">
        <f t="shared" si="0"/>
        <v>2.8608252742061826E-2</v>
      </c>
      <c r="D24">
        <f t="shared" si="1"/>
        <v>-6.3922513226776119E-3</v>
      </c>
      <c r="E24">
        <f t="shared" si="2"/>
        <v>4.0860876972273682E-5</v>
      </c>
    </row>
    <row r="25" spans="1:5" x14ac:dyDescent="0.25">
      <c r="A25">
        <v>3.6010535522499998</v>
      </c>
      <c r="B25">
        <v>2.4352155402017312E-2</v>
      </c>
      <c r="C25">
        <f t="shared" si="0"/>
        <v>2.4197053727419475E-2</v>
      </c>
      <c r="D25">
        <f t="shared" si="1"/>
        <v>1.5510167459783716E-4</v>
      </c>
      <c r="E25">
        <f t="shared" si="2"/>
        <v>2.4056529463053365E-8</v>
      </c>
    </row>
    <row r="26" spans="1:5" x14ac:dyDescent="0.25">
      <c r="A26">
        <v>3.7480334727500004</v>
      </c>
      <c r="B26">
        <v>1.5807539471484923E-2</v>
      </c>
      <c r="C26">
        <f t="shared" si="0"/>
        <v>2.0451381030405405E-2</v>
      </c>
      <c r="D26">
        <f t="shared" si="1"/>
        <v>-4.6438415589204821E-3</v>
      </c>
      <c r="E26">
        <f t="shared" si="2"/>
        <v>2.1565264424357011E-5</v>
      </c>
    </row>
    <row r="27" spans="1:5" x14ac:dyDescent="0.25">
      <c r="A27">
        <v>3.8950133932500002</v>
      </c>
      <c r="B27">
        <v>1.3244154692325205E-2</v>
      </c>
      <c r="C27">
        <f t="shared" si="0"/>
        <v>1.7273703045462014E-2</v>
      </c>
      <c r="D27">
        <f t="shared" si="1"/>
        <v>-4.0295483531368088E-3</v>
      </c>
      <c r="E27">
        <f t="shared" si="2"/>
        <v>1.6237259930267567E-5</v>
      </c>
    </row>
    <row r="28" spans="1:5" x14ac:dyDescent="0.25">
      <c r="A28">
        <v>4.0419933137499999</v>
      </c>
      <c r="B28">
        <v>1.2816923895798586E-2</v>
      </c>
      <c r="C28">
        <f t="shared" si="0"/>
        <v>1.4580197564028478E-2</v>
      </c>
      <c r="D28">
        <f t="shared" si="1"/>
        <v>-1.7632736682298925E-3</v>
      </c>
      <c r="E28">
        <f t="shared" si="2"/>
        <v>3.1091340290729013E-6</v>
      </c>
    </row>
    <row r="29" spans="1:5" x14ac:dyDescent="0.25">
      <c r="A29">
        <v>4.1889732342499997</v>
      </c>
      <c r="B29">
        <v>8.1173851340057713E-3</v>
      </c>
      <c r="C29">
        <f t="shared" si="0"/>
        <v>1.2298948565749909E-2</v>
      </c>
      <c r="D29">
        <f t="shared" si="1"/>
        <v>-4.181563431744138E-3</v>
      </c>
      <c r="E29">
        <f t="shared" si="2"/>
        <v>1.7485472733699811E-5</v>
      </c>
    </row>
    <row r="30" spans="1:5" x14ac:dyDescent="0.25">
      <c r="A30">
        <v>4.3359531547499994</v>
      </c>
      <c r="B30">
        <v>9.3990775235856285E-3</v>
      </c>
      <c r="C30">
        <f t="shared" si="0"/>
        <v>1.0368352185108095E-2</v>
      </c>
      <c r="D30">
        <f t="shared" si="1"/>
        <v>-9.6927466152246615E-4</v>
      </c>
      <c r="E30">
        <f t="shared" si="2"/>
        <v>9.3949336946949135E-7</v>
      </c>
    </row>
    <row r="31" spans="1:5" x14ac:dyDescent="0.25">
      <c r="A31">
        <v>4.4829330752500001</v>
      </c>
      <c r="B31">
        <v>4.2723079652661946E-3</v>
      </c>
      <c r="C31">
        <f t="shared" si="0"/>
        <v>8.73571454285209E-3</v>
      </c>
      <c r="D31">
        <f t="shared" si="1"/>
        <v>-4.4634065775858954E-3</v>
      </c>
      <c r="E31">
        <f t="shared" si="2"/>
        <v>1.9921998276837036E-5</v>
      </c>
    </row>
    <row r="32" spans="1:5" x14ac:dyDescent="0.25">
      <c r="A32">
        <v>4.6299129957500007</v>
      </c>
      <c r="B32">
        <v>5.5540003548460535E-3</v>
      </c>
      <c r="C32">
        <f t="shared" si="0"/>
        <v>7.3560235489481419E-3</v>
      </c>
      <c r="D32">
        <f t="shared" si="1"/>
        <v>-1.8020231941020884E-3</v>
      </c>
      <c r="E32">
        <f t="shared" si="2"/>
        <v>3.247287592081893E-6</v>
      </c>
    </row>
    <row r="33" spans="1:5" x14ac:dyDescent="0.25">
      <c r="A33">
        <v>4.7768929162500005</v>
      </c>
      <c r="B33">
        <v>8.5446159305323905E-4</v>
      </c>
      <c r="C33">
        <f t="shared" si="0"/>
        <v>6.1908770175189429E-3</v>
      </c>
      <c r="D33">
        <f t="shared" si="1"/>
        <v>-5.3364154244657036E-3</v>
      </c>
      <c r="E33">
        <f t="shared" si="2"/>
        <v>2.8477329582475476E-5</v>
      </c>
    </row>
    <row r="34" spans="1:5" x14ac:dyDescent="0.25">
      <c r="A34">
        <v>4.9238728367500002</v>
      </c>
      <c r="B34">
        <v>2.1361539826330973E-3</v>
      </c>
      <c r="C34">
        <f t="shared" si="0"/>
        <v>5.20755018780632E-3</v>
      </c>
      <c r="D34">
        <f t="shared" si="1"/>
        <v>-3.0713962051732227E-3</v>
      </c>
      <c r="E34">
        <f t="shared" si="2"/>
        <v>9.4334746491524738E-6</v>
      </c>
    </row>
    <row r="35" spans="1:5" x14ac:dyDescent="0.25">
      <c r="A35">
        <v>5.07085275725</v>
      </c>
      <c r="B35">
        <v>4.2723079652661952E-4</v>
      </c>
      <c r="C35">
        <f t="shared" si="0"/>
        <v>4.3781868108085584E-3</v>
      </c>
      <c r="D35">
        <f t="shared" si="1"/>
        <v>-3.9509560142819387E-3</v>
      </c>
      <c r="E35">
        <f t="shared" si="2"/>
        <v>1.5610053426790625E-5</v>
      </c>
    </row>
    <row r="36" spans="1:5" x14ac:dyDescent="0.25">
      <c r="A36">
        <v>5.2178326777499997</v>
      </c>
      <c r="B36">
        <v>8.5446159305323905E-4</v>
      </c>
      <c r="C36">
        <f t="shared" si="0"/>
        <v>3.6790991944322341E-3</v>
      </c>
      <c r="D36">
        <f t="shared" si="1"/>
        <v>-2.8246376013789948E-3</v>
      </c>
      <c r="E36">
        <f t="shared" si="2"/>
        <v>7.9785775791240821E-6</v>
      </c>
    </row>
    <row r="37" spans="1:5" x14ac:dyDescent="0.25">
      <c r="A37">
        <v>5.3648125982500003</v>
      </c>
      <c r="B37">
        <v>0</v>
      </c>
      <c r="C37">
        <f t="shared" si="0"/>
        <v>3.0901639015010378E-3</v>
      </c>
      <c r="D37">
        <f t="shared" si="1"/>
        <v>-3.0901639015010378E-3</v>
      </c>
      <c r="E37">
        <f t="shared" si="2"/>
        <v>9.5491129381401152E-6</v>
      </c>
    </row>
    <row r="38" spans="1:5" x14ac:dyDescent="0.25">
      <c r="A38">
        <v>5.5117925187500001</v>
      </c>
      <c r="B38">
        <v>8.5446159305323905E-4</v>
      </c>
      <c r="C38">
        <f t="shared" si="0"/>
        <v>2.5943010978821996E-3</v>
      </c>
      <c r="D38">
        <f t="shared" si="1"/>
        <v>-1.7398395048289605E-3</v>
      </c>
      <c r="E38">
        <f t="shared" si="2"/>
        <v>3.0270415025634823E-6</v>
      </c>
    </row>
    <row r="39" spans="1:5" x14ac:dyDescent="0.25">
      <c r="A39">
        <v>5.6587724392500007</v>
      </c>
      <c r="B39">
        <v>0</v>
      </c>
      <c r="C39">
        <f t="shared" si="0"/>
        <v>2.1770268085556806E-3</v>
      </c>
      <c r="D39">
        <f t="shared" si="1"/>
        <v>-2.1770268085556806E-3</v>
      </c>
      <c r="E39">
        <f t="shared" si="2"/>
        <v>4.7394457251701321E-6</v>
      </c>
    </row>
    <row r="40" spans="1:5" x14ac:dyDescent="0.25">
      <c r="A40">
        <v>5.8057523597500005</v>
      </c>
      <c r="B40">
        <v>4.2723079652661952E-4</v>
      </c>
      <c r="C40">
        <f t="shared" si="0"/>
        <v>1.8260685303543446E-3</v>
      </c>
      <c r="D40">
        <f t="shared" si="1"/>
        <v>-1.3988377338277251E-3</v>
      </c>
      <c r="E40">
        <f t="shared" si="2"/>
        <v>1.9567470055802857E-6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6A03-39A8-424F-8DBE-9569CCA925C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7.3497605424999987E-2</v>
      </c>
      <c r="B1">
        <v>0.77754550814572032</v>
      </c>
      <c r="C1">
        <f>$H$3*(1+$H$1)*(A1^($H$1))*EXP(-$H$3*(A1^(1+$H$1)))</f>
        <v>0.78449770458988066</v>
      </c>
      <c r="D1">
        <f>B1-C1</f>
        <v>-6.9521964441603412E-3</v>
      </c>
      <c r="E1">
        <f>D1^2</f>
        <v>4.8333035398195693E-5</v>
      </c>
      <c r="G1" t="s">
        <v>0</v>
      </c>
      <c r="H1">
        <v>9.1189852859180548E-2</v>
      </c>
    </row>
    <row r="2" spans="1:8" x14ac:dyDescent="0.25">
      <c r="A2">
        <v>0.22046641627499997</v>
      </c>
      <c r="B2">
        <v>0.75744394660399927</v>
      </c>
      <c r="C2">
        <f t="shared" ref="C2:C40" si="0">$H$3*(1+$H$1)*(A2^($H$1))*EXP(-$H$3*(A2^(1+$H$1)))</f>
        <v>0.7619051010035538</v>
      </c>
      <c r="D2">
        <f t="shared" ref="D2:D40" si="1">B2-C2</f>
        <v>-4.4611543995545233E-3</v>
      </c>
      <c r="E2">
        <f t="shared" ref="E2:E40" si="2">D2^2</f>
        <v>1.990189857666468E-5</v>
      </c>
    </row>
    <row r="3" spans="1:8" x14ac:dyDescent="0.25">
      <c r="A3">
        <v>0.36743522712499999</v>
      </c>
      <c r="B3">
        <v>0.66420691647431451</v>
      </c>
      <c r="C3">
        <f t="shared" si="0"/>
        <v>0.6951816247790823</v>
      </c>
      <c r="D3">
        <f t="shared" si="1"/>
        <v>-3.0974708304767784E-2</v>
      </c>
      <c r="E3">
        <f t="shared" si="2"/>
        <v>9.5943255456545028E-4</v>
      </c>
      <c r="G3" t="s">
        <v>1</v>
      </c>
      <c r="H3">
        <f>(_xlfn.GAMMA((2+$H$1)/(1+$H$1)))^(1+$H$1)</f>
        <v>0.96458993460060516</v>
      </c>
    </row>
    <row r="4" spans="1:8" x14ac:dyDescent="0.25">
      <c r="A4">
        <v>0.51440403797499989</v>
      </c>
      <c r="B4">
        <v>0.60261915345287131</v>
      </c>
      <c r="C4">
        <f t="shared" si="0"/>
        <v>0.62101128705037878</v>
      </c>
      <c r="D4">
        <f t="shared" si="1"/>
        <v>-1.8392133597507465E-2</v>
      </c>
      <c r="E4">
        <f t="shared" si="2"/>
        <v>3.3827057826856292E-4</v>
      </c>
    </row>
    <row r="5" spans="1:8" x14ac:dyDescent="0.25">
      <c r="A5">
        <v>0.66137284882499991</v>
      </c>
      <c r="B5">
        <v>0.51750828649962688</v>
      </c>
      <c r="C5">
        <f t="shared" si="0"/>
        <v>0.5483538665188632</v>
      </c>
      <c r="D5">
        <f t="shared" si="1"/>
        <v>-3.0845580019236318E-2</v>
      </c>
      <c r="E5">
        <f t="shared" si="2"/>
        <v>9.5144980672311078E-4</v>
      </c>
      <c r="G5" t="s">
        <v>2</v>
      </c>
      <c r="H5">
        <f>SUM(E1:E40)</f>
        <v>6.332830627329194E-3</v>
      </c>
    </row>
    <row r="6" spans="1:8" x14ac:dyDescent="0.25">
      <c r="A6">
        <v>0.80834165967499993</v>
      </c>
      <c r="B6">
        <v>0.4507882098930634</v>
      </c>
      <c r="C6">
        <f t="shared" si="0"/>
        <v>0.48050311623398528</v>
      </c>
      <c r="D6">
        <f t="shared" si="1"/>
        <v>-2.9714906340921887E-2</v>
      </c>
      <c r="E6">
        <f t="shared" si="2"/>
        <v>8.8297565884975983E-4</v>
      </c>
    </row>
    <row r="7" spans="1:8" x14ac:dyDescent="0.25">
      <c r="A7">
        <v>0.95531047052499996</v>
      </c>
      <c r="B7">
        <v>0.40759123721830115</v>
      </c>
      <c r="C7">
        <f t="shared" si="0"/>
        <v>0.41869954008268484</v>
      </c>
      <c r="D7">
        <f t="shared" si="1"/>
        <v>-1.110830286438369E-2</v>
      </c>
      <c r="E7">
        <f t="shared" si="2"/>
        <v>1.2339439252687489E-4</v>
      </c>
    </row>
    <row r="8" spans="1:8" x14ac:dyDescent="0.25">
      <c r="A8">
        <v>1.102279281375</v>
      </c>
      <c r="B8">
        <v>0.37765274130509963</v>
      </c>
      <c r="C8">
        <f t="shared" si="0"/>
        <v>0.3632606400043672</v>
      </c>
      <c r="D8">
        <f t="shared" si="1"/>
        <v>1.4392101300732429E-2</v>
      </c>
      <c r="E8">
        <f t="shared" si="2"/>
        <v>2.0713257985054408E-4</v>
      </c>
    </row>
    <row r="9" spans="1:8" x14ac:dyDescent="0.25">
      <c r="A9">
        <v>1.2492480922249998</v>
      </c>
      <c r="B9">
        <v>0.31307112869233628</v>
      </c>
      <c r="C9">
        <f t="shared" si="0"/>
        <v>0.31404911923120798</v>
      </c>
      <c r="D9">
        <f t="shared" si="1"/>
        <v>-9.7799053887170917E-4</v>
      </c>
      <c r="E9">
        <f t="shared" si="2"/>
        <v>9.564654941225761E-7</v>
      </c>
    </row>
    <row r="10" spans="1:8" x14ac:dyDescent="0.25">
      <c r="A10">
        <v>1.396216903075</v>
      </c>
      <c r="B10">
        <v>0.28056647598657458</v>
      </c>
      <c r="C10">
        <f t="shared" si="0"/>
        <v>0.27069975760654985</v>
      </c>
      <c r="D10">
        <f t="shared" si="1"/>
        <v>9.8667183800247305E-3</v>
      </c>
      <c r="E10">
        <f t="shared" si="2"/>
        <v>9.7352131590717841E-5</v>
      </c>
    </row>
    <row r="11" spans="1:8" x14ac:dyDescent="0.25">
      <c r="A11">
        <v>1.5431857139249998</v>
      </c>
      <c r="B11">
        <v>0.2429295096956926</v>
      </c>
      <c r="C11">
        <f t="shared" si="0"/>
        <v>0.23273999940900736</v>
      </c>
      <c r="D11">
        <f t="shared" si="1"/>
        <v>1.0189510286685244E-2</v>
      </c>
      <c r="E11">
        <f t="shared" si="2"/>
        <v>1.0382611988246439E-4</v>
      </c>
    </row>
    <row r="12" spans="1:8" x14ac:dyDescent="0.25">
      <c r="A12">
        <v>1.6901545247750001</v>
      </c>
      <c r="B12">
        <v>0.2061479290023307</v>
      </c>
      <c r="C12">
        <f t="shared" si="0"/>
        <v>0.19965746258393274</v>
      </c>
      <c r="D12">
        <f t="shared" si="1"/>
        <v>6.4904664183979555E-3</v>
      </c>
      <c r="E12">
        <f t="shared" si="2"/>
        <v>4.2126154328351581E-5</v>
      </c>
    </row>
    <row r="13" spans="1:8" x14ac:dyDescent="0.25">
      <c r="A13">
        <v>1.8371233356249999</v>
      </c>
      <c r="B13">
        <v>0.19417253063705009</v>
      </c>
      <c r="C13">
        <f t="shared" si="0"/>
        <v>0.17093855533822322</v>
      </c>
      <c r="D13">
        <f t="shared" si="1"/>
        <v>2.323397529882687E-2</v>
      </c>
      <c r="E13">
        <f t="shared" si="2"/>
        <v>5.3981760818649709E-4</v>
      </c>
    </row>
    <row r="14" spans="1:8" x14ac:dyDescent="0.25">
      <c r="A14">
        <v>1.9840921464749997</v>
      </c>
      <c r="B14">
        <v>0.16893865551020876</v>
      </c>
      <c r="C14">
        <f t="shared" si="0"/>
        <v>0.14609040995621009</v>
      </c>
      <c r="D14">
        <f t="shared" si="1"/>
        <v>2.284824555399867E-2</v>
      </c>
      <c r="E14">
        <f t="shared" si="2"/>
        <v>5.2204232489582001E-4</v>
      </c>
    </row>
    <row r="15" spans="1:8" x14ac:dyDescent="0.25">
      <c r="A15">
        <v>2.1310609573249994</v>
      </c>
      <c r="B15">
        <v>0.14584324437716756</v>
      </c>
      <c r="C15">
        <f t="shared" si="0"/>
        <v>0.1246528032746219</v>
      </c>
      <c r="D15">
        <f t="shared" si="1"/>
        <v>2.1190441102545657E-2</v>
      </c>
      <c r="E15">
        <f t="shared" si="2"/>
        <v>4.4903479412045642E-4</v>
      </c>
    </row>
    <row r="16" spans="1:8" x14ac:dyDescent="0.25">
      <c r="A16">
        <v>2.2780297681749997</v>
      </c>
      <c r="B16">
        <v>0.11333859167140588</v>
      </c>
      <c r="C16">
        <f t="shared" si="0"/>
        <v>0.10620393011721603</v>
      </c>
      <c r="D16">
        <f t="shared" si="1"/>
        <v>7.1346615541898473E-3</v>
      </c>
      <c r="E16">
        <f t="shared" si="2"/>
        <v>5.0903395492834686E-5</v>
      </c>
    </row>
    <row r="17" spans="1:5" x14ac:dyDescent="0.25">
      <c r="A17">
        <v>2.4249985790249999</v>
      </c>
      <c r="B17">
        <v>0.11248320607388584</v>
      </c>
      <c r="C17">
        <f t="shared" si="0"/>
        <v>9.0362372784244971E-2</v>
      </c>
      <c r="D17">
        <f t="shared" si="1"/>
        <v>2.2120833289640873E-2</v>
      </c>
      <c r="E17">
        <f t="shared" si="2"/>
        <v>4.8933126542808388E-4</v>
      </c>
    </row>
    <row r="18" spans="1:5" x14ac:dyDescent="0.25">
      <c r="A18">
        <v>2.5719673898749997</v>
      </c>
      <c r="B18">
        <v>7.6557010978043974E-2</v>
      </c>
      <c r="C18">
        <f t="shared" si="0"/>
        <v>7.6786733142312255E-2</v>
      </c>
      <c r="D18">
        <f t="shared" si="1"/>
        <v>-2.2972216426828118E-4</v>
      </c>
      <c r="E18">
        <f t="shared" si="2"/>
        <v>5.2772272756103165E-8</v>
      </c>
    </row>
    <row r="19" spans="1:5" x14ac:dyDescent="0.25">
      <c r="A19">
        <v>2.7189362007249995</v>
      </c>
      <c r="B19">
        <v>7.4418546984243869E-2</v>
      </c>
      <c r="C19">
        <f t="shared" si="0"/>
        <v>6.517386572999101E-2</v>
      </c>
      <c r="D19">
        <f t="shared" si="1"/>
        <v>9.2446812542528595E-3</v>
      </c>
      <c r="E19">
        <f t="shared" si="2"/>
        <v>8.5464131492734229E-5</v>
      </c>
    </row>
    <row r="20" spans="1:5" x14ac:dyDescent="0.25">
      <c r="A20">
        <v>2.8659050115749998</v>
      </c>
      <c r="B20">
        <v>6.6720076606563469E-2</v>
      </c>
      <c r="C20">
        <f t="shared" si="0"/>
        <v>5.5256320294786013E-2</v>
      </c>
      <c r="D20">
        <f t="shared" si="1"/>
        <v>1.1463756311777457E-2</v>
      </c>
      <c r="E20">
        <f t="shared" si="2"/>
        <v>1.3141770877581746E-4</v>
      </c>
    </row>
    <row r="21" spans="1:5" x14ac:dyDescent="0.25">
      <c r="A21">
        <v>3.012873822425</v>
      </c>
      <c r="B21">
        <v>5.3033907046242751E-2</v>
      </c>
      <c r="C21">
        <f t="shared" si="0"/>
        <v>4.6799390061134559E-2</v>
      </c>
      <c r="D21">
        <f t="shared" si="1"/>
        <v>6.2345169851081919E-3</v>
      </c>
      <c r="E21">
        <f t="shared" si="2"/>
        <v>3.886920203760254E-5</v>
      </c>
    </row>
    <row r="22" spans="1:5" x14ac:dyDescent="0.25">
      <c r="A22">
        <v>3.1598426332749998</v>
      </c>
      <c r="B22">
        <v>4.3624665473522263E-2</v>
      </c>
      <c r="C22">
        <f t="shared" si="0"/>
        <v>3.959802275494629E-2</v>
      </c>
      <c r="D22">
        <f t="shared" si="1"/>
        <v>4.0266427185759734E-3</v>
      </c>
      <c r="E22">
        <f t="shared" si="2"/>
        <v>1.6213851583060906E-5</v>
      </c>
    </row>
    <row r="23" spans="1:5" x14ac:dyDescent="0.25">
      <c r="A23">
        <v>3.3068114441249996</v>
      </c>
      <c r="B23">
        <v>3.7209273492121935E-2</v>
      </c>
      <c r="C23">
        <f t="shared" si="0"/>
        <v>3.3473758576603216E-2</v>
      </c>
      <c r="D23">
        <f t="shared" si="1"/>
        <v>3.7355149155187187E-3</v>
      </c>
      <c r="E23">
        <f t="shared" si="2"/>
        <v>1.395407168406282E-5</v>
      </c>
    </row>
    <row r="24" spans="1:5" x14ac:dyDescent="0.25">
      <c r="A24">
        <v>3.4537802549749994</v>
      </c>
      <c r="B24">
        <v>2.0529254340481067E-2</v>
      </c>
      <c r="C24">
        <f t="shared" si="0"/>
        <v>2.8271796854812962E-2</v>
      </c>
      <c r="D24">
        <f t="shared" si="1"/>
        <v>-7.7425425143318946E-3</v>
      </c>
      <c r="E24">
        <f t="shared" si="2"/>
        <v>5.9946964586236858E-5</v>
      </c>
    </row>
    <row r="25" spans="1:5" x14ac:dyDescent="0.25">
      <c r="A25">
        <v>3.6007490658250001</v>
      </c>
      <c r="B25">
        <v>2.5661567925601331E-2</v>
      </c>
      <c r="C25">
        <f t="shared" si="0"/>
        <v>2.3858250929099368E-2</v>
      </c>
      <c r="D25">
        <f t="shared" si="1"/>
        <v>1.8033169965019635E-3</v>
      </c>
      <c r="E25">
        <f t="shared" si="2"/>
        <v>3.2519521898728628E-6</v>
      </c>
    </row>
    <row r="26" spans="1:5" x14ac:dyDescent="0.25">
      <c r="A26">
        <v>3.7477178766749999</v>
      </c>
      <c r="B26">
        <v>1.4969247956600778E-2</v>
      </c>
      <c r="C26">
        <f t="shared" si="0"/>
        <v>2.0117622372577321E-2</v>
      </c>
      <c r="D26">
        <f t="shared" si="1"/>
        <v>-5.1483744159765438E-3</v>
      </c>
      <c r="E26">
        <f t="shared" si="2"/>
        <v>2.6505759127081818E-5</v>
      </c>
    </row>
    <row r="27" spans="1:5" x14ac:dyDescent="0.25">
      <c r="A27">
        <v>3.8946866875249997</v>
      </c>
      <c r="B27">
        <v>1.4113862359080732E-2</v>
      </c>
      <c r="C27">
        <f t="shared" si="0"/>
        <v>1.6950506661373519E-2</v>
      </c>
      <c r="D27">
        <f t="shared" si="1"/>
        <v>-2.8366443022927873E-3</v>
      </c>
      <c r="E27">
        <f t="shared" si="2"/>
        <v>8.0465508977301342E-6</v>
      </c>
    </row>
    <row r="28" spans="1:5" x14ac:dyDescent="0.25">
      <c r="A28">
        <v>4.0416554983749995</v>
      </c>
      <c r="B28">
        <v>1.3258476761560688E-2</v>
      </c>
      <c r="C28">
        <f t="shared" si="0"/>
        <v>1.4271529909975057E-2</v>
      </c>
      <c r="D28">
        <f t="shared" si="1"/>
        <v>-1.0130531484143692E-3</v>
      </c>
      <c r="E28">
        <f t="shared" si="2"/>
        <v>1.0262766815122659E-6</v>
      </c>
    </row>
    <row r="29" spans="1:5" x14ac:dyDescent="0.25">
      <c r="A29">
        <v>4.1886243092250002</v>
      </c>
      <c r="B29">
        <v>8.1261631764404218E-3</v>
      </c>
      <c r="C29">
        <f t="shared" si="0"/>
        <v>1.2007508326534008E-2</v>
      </c>
      <c r="D29">
        <f t="shared" si="1"/>
        <v>-3.8813451500935865E-3</v>
      </c>
      <c r="E29">
        <f t="shared" si="2"/>
        <v>1.5064840174155005E-5</v>
      </c>
    </row>
    <row r="30" spans="1:5" x14ac:dyDescent="0.25">
      <c r="A30">
        <v>4.335593120075</v>
      </c>
      <c r="B30">
        <v>9.4092415727204878E-3</v>
      </c>
      <c r="C30">
        <f t="shared" si="0"/>
        <v>1.0095817213026373E-2</v>
      </c>
      <c r="D30">
        <f t="shared" si="1"/>
        <v>-6.8657564030588474E-4</v>
      </c>
      <c r="E30">
        <f t="shared" si="2"/>
        <v>4.7138610986143564E-7</v>
      </c>
    </row>
    <row r="31" spans="1:5" x14ac:dyDescent="0.25">
      <c r="A31">
        <v>4.4825619309249998</v>
      </c>
      <c r="B31">
        <v>3.4215423900801774E-3</v>
      </c>
      <c r="C31">
        <f t="shared" si="0"/>
        <v>8.4829536711349546E-3</v>
      </c>
      <c r="D31">
        <f t="shared" si="1"/>
        <v>-5.0614112810547767E-3</v>
      </c>
      <c r="E31">
        <f t="shared" si="2"/>
        <v>2.5617884155988555E-5</v>
      </c>
    </row>
    <row r="32" spans="1:5" x14ac:dyDescent="0.25">
      <c r="A32">
        <v>4.6295307417749996</v>
      </c>
      <c r="B32">
        <v>5.5600063838802888E-3</v>
      </c>
      <c r="C32">
        <f t="shared" si="0"/>
        <v>7.1232759908643447E-3</v>
      </c>
      <c r="D32">
        <f t="shared" si="1"/>
        <v>-1.5632696069840558E-3</v>
      </c>
      <c r="E32">
        <f t="shared" si="2"/>
        <v>2.4438118641200843E-6</v>
      </c>
    </row>
    <row r="33" spans="1:5" x14ac:dyDescent="0.25">
      <c r="A33">
        <v>4.7764995526249994</v>
      </c>
      <c r="B33">
        <v>8.5538559752004436E-4</v>
      </c>
      <c r="C33">
        <f t="shared" si="0"/>
        <v>5.9779025102370932E-3</v>
      </c>
      <c r="D33">
        <f t="shared" si="1"/>
        <v>-5.1225169127170492E-3</v>
      </c>
      <c r="E33">
        <f t="shared" si="2"/>
        <v>2.6240179521072208E-5</v>
      </c>
    </row>
    <row r="34" spans="1:5" x14ac:dyDescent="0.25">
      <c r="A34">
        <v>4.9234683634749992</v>
      </c>
      <c r="B34">
        <v>1.7107711950400887E-3</v>
      </c>
      <c r="C34">
        <f t="shared" si="0"/>
        <v>5.0137531972876716E-3</v>
      </c>
      <c r="D34">
        <f t="shared" si="1"/>
        <v>-3.3029820022475826E-3</v>
      </c>
      <c r="E34">
        <f t="shared" si="2"/>
        <v>1.0909690107171449E-5</v>
      </c>
    </row>
    <row r="35" spans="1:5" x14ac:dyDescent="0.25">
      <c r="A35">
        <v>5.0704371743249999</v>
      </c>
      <c r="B35">
        <v>4.2769279876002218E-4</v>
      </c>
      <c r="C35">
        <f t="shared" si="0"/>
        <v>4.2027180769275028E-3</v>
      </c>
      <c r="D35">
        <f t="shared" si="1"/>
        <v>-3.7750252781674808E-3</v>
      </c>
      <c r="E35">
        <f t="shared" si="2"/>
        <v>1.4250815850803465E-5</v>
      </c>
    </row>
    <row r="36" spans="1:5" x14ac:dyDescent="0.25">
      <c r="A36">
        <v>5.2174059851749996</v>
      </c>
      <c r="B36">
        <v>4.2769279876002218E-4</v>
      </c>
      <c r="C36">
        <f t="shared" si="0"/>
        <v>3.5209377341905296E-3</v>
      </c>
      <c r="D36">
        <f t="shared" si="1"/>
        <v>-3.0932449354305076E-3</v>
      </c>
      <c r="E36">
        <f t="shared" si="2"/>
        <v>9.5681642305664857E-6</v>
      </c>
    </row>
    <row r="37" spans="1:5" x14ac:dyDescent="0.25">
      <c r="A37">
        <v>5.3643747960250003</v>
      </c>
      <c r="B37">
        <v>0</v>
      </c>
      <c r="C37">
        <f t="shared" si="0"/>
        <v>2.9481823528668999E-3</v>
      </c>
      <c r="D37">
        <f t="shared" si="1"/>
        <v>-2.9481823528668999E-3</v>
      </c>
      <c r="E37">
        <f t="shared" si="2"/>
        <v>8.6917791857558106E-6</v>
      </c>
    </row>
    <row r="38" spans="1:5" x14ac:dyDescent="0.25">
      <c r="A38">
        <v>5.5113436068750001</v>
      </c>
      <c r="B38">
        <v>8.5538559752004436E-4</v>
      </c>
      <c r="C38">
        <f t="shared" si="0"/>
        <v>2.4673170129655168E-3</v>
      </c>
      <c r="D38">
        <f t="shared" si="1"/>
        <v>-1.6119314154454723E-3</v>
      </c>
      <c r="E38">
        <f t="shared" si="2"/>
        <v>2.5983228881000441E-6</v>
      </c>
    </row>
    <row r="39" spans="1:5" x14ac:dyDescent="0.25">
      <c r="A39">
        <v>5.6583124177249999</v>
      </c>
      <c r="B39">
        <v>0</v>
      </c>
      <c r="C39">
        <f t="shared" si="0"/>
        <v>2.0638422171212378E-3</v>
      </c>
      <c r="D39">
        <f t="shared" si="1"/>
        <v>-2.0638422171212378E-3</v>
      </c>
      <c r="E39">
        <f t="shared" si="2"/>
        <v>4.2594446971719063E-6</v>
      </c>
    </row>
    <row r="40" spans="1:5" x14ac:dyDescent="0.25">
      <c r="A40">
        <v>5.8052812285749997</v>
      </c>
      <c r="B40">
        <v>4.2769279876002218E-4</v>
      </c>
      <c r="C40">
        <f t="shared" si="0"/>
        <v>1.7254998096243213E-3</v>
      </c>
      <c r="D40">
        <f t="shared" si="1"/>
        <v>-1.297807010864299E-3</v>
      </c>
      <c r="E40">
        <f t="shared" si="2"/>
        <v>1.6843030374485268E-6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0E65-C8F4-485D-A6EA-8C50E3A26EE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7.3340843525000005E-2</v>
      </c>
      <c r="B1">
        <v>0.63072168780162252</v>
      </c>
      <c r="C1">
        <f>$H$3*(1+$H$1)*(A1^($H$1))*EXP(-$H$3*(A1^(1+$H$1)))</f>
        <v>0.70961079422451645</v>
      </c>
      <c r="D1">
        <f>B1-C1</f>
        <v>-7.8889106422893929E-2</v>
      </c>
      <c r="E1">
        <f>D1^2</f>
        <v>6.223491112202684E-3</v>
      </c>
      <c r="G1" t="s">
        <v>0</v>
      </c>
      <c r="H1">
        <v>0.14339052632619217</v>
      </c>
    </row>
    <row r="2" spans="1:8" x14ac:dyDescent="0.25">
      <c r="A2">
        <v>0.219486430575</v>
      </c>
      <c r="B2">
        <v>0.85772990263410842</v>
      </c>
      <c r="C2">
        <f t="shared" ref="C2:C40" si="0">$H$3*(1+$H$1)*(A2^($H$1))*EXP(-$H$3*(A2^(1+$H$1)))</f>
        <v>0.73689268702524102</v>
      </c>
      <c r="D2">
        <f t="shared" ref="D2:D40" si="1">B2-C2</f>
        <v>0.1208372156088674</v>
      </c>
      <c r="E2">
        <f t="shared" ref="E2:E40" si="2">D2^2</f>
        <v>1.4601632676103907E-2</v>
      </c>
    </row>
    <row r="3" spans="1:8" x14ac:dyDescent="0.25">
      <c r="A3">
        <v>0.36563201762499997</v>
      </c>
      <c r="B3">
        <v>0.70381145394086986</v>
      </c>
      <c r="C3">
        <f t="shared" si="0"/>
        <v>0.69446694897574501</v>
      </c>
      <c r="D3">
        <f t="shared" si="1"/>
        <v>9.3445049651248446E-3</v>
      </c>
      <c r="E3">
        <f t="shared" si="2"/>
        <v>8.7319773043242872E-5</v>
      </c>
      <c r="G3" t="s">
        <v>1</v>
      </c>
      <c r="H3">
        <f>(_xlfn.GAMMA((2+$H$1)/(1+$H$1)))^(1+$H$1)</f>
        <v>0.94680078670299084</v>
      </c>
    </row>
    <row r="4" spans="1:8" x14ac:dyDescent="0.25">
      <c r="A4">
        <v>0.511777604675</v>
      </c>
      <c r="B4">
        <v>0.61137439676476302</v>
      </c>
      <c r="C4">
        <f t="shared" si="0"/>
        <v>0.63324656991227746</v>
      </c>
      <c r="D4">
        <f t="shared" si="1"/>
        <v>-2.187217314751444E-2</v>
      </c>
      <c r="E4">
        <f t="shared" si="2"/>
        <v>4.7839195819485175E-4</v>
      </c>
    </row>
    <row r="5" spans="1:8" x14ac:dyDescent="0.25">
      <c r="A5">
        <v>0.65792319172500002</v>
      </c>
      <c r="B5">
        <v>0.52796607540585716</v>
      </c>
      <c r="C5">
        <f t="shared" si="0"/>
        <v>0.56703842755776801</v>
      </c>
      <c r="D5">
        <f t="shared" si="1"/>
        <v>-3.907235215191085E-2</v>
      </c>
      <c r="E5">
        <f t="shared" si="2"/>
        <v>1.5266487026829325E-3</v>
      </c>
      <c r="G5" t="s">
        <v>2</v>
      </c>
      <c r="H5">
        <f>SUM(E1:E40)</f>
        <v>2.8114403281358374E-2</v>
      </c>
    </row>
    <row r="6" spans="1:8" x14ac:dyDescent="0.25">
      <c r="A6">
        <v>0.80406877877499994</v>
      </c>
      <c r="B6">
        <v>0.45315655006333344</v>
      </c>
      <c r="C6">
        <f t="shared" si="0"/>
        <v>0.50167937930313056</v>
      </c>
      <c r="D6">
        <f t="shared" si="1"/>
        <v>-4.8522829239797116E-2</v>
      </c>
      <c r="E6">
        <f t="shared" si="2"/>
        <v>2.3544649574345098E-3</v>
      </c>
    </row>
    <row r="7" spans="1:8" x14ac:dyDescent="0.25">
      <c r="A7">
        <v>0.95021436582499996</v>
      </c>
      <c r="B7">
        <v>0.41059250978224238</v>
      </c>
      <c r="C7">
        <f t="shared" si="0"/>
        <v>0.43995137419297747</v>
      </c>
      <c r="D7">
        <f t="shared" si="1"/>
        <v>-2.9358864410735097E-2</v>
      </c>
      <c r="E7">
        <f t="shared" si="2"/>
        <v>8.6194291948792784E-4</v>
      </c>
    </row>
    <row r="8" spans="1:8" x14ac:dyDescent="0.25">
      <c r="A8">
        <v>1.0963599528749999</v>
      </c>
      <c r="B8">
        <v>0.37619732571671421</v>
      </c>
      <c r="C8">
        <f t="shared" si="0"/>
        <v>0.38316273729793743</v>
      </c>
      <c r="D8">
        <f t="shared" si="1"/>
        <v>-6.9654115812232131E-3</v>
      </c>
      <c r="E8">
        <f t="shared" si="2"/>
        <v>4.8516958495838459E-5</v>
      </c>
    </row>
    <row r="9" spans="1:8" x14ac:dyDescent="0.25">
      <c r="A9">
        <v>1.242505539925</v>
      </c>
      <c r="B9">
        <v>0.32933388742743208</v>
      </c>
      <c r="C9">
        <f t="shared" si="0"/>
        <v>0.33182677678904871</v>
      </c>
      <c r="D9">
        <f t="shared" si="1"/>
        <v>-2.4928893616166237E-3</v>
      </c>
      <c r="E9">
        <f t="shared" si="2"/>
        <v>6.2144973692613372E-6</v>
      </c>
    </row>
    <row r="10" spans="1:8" x14ac:dyDescent="0.25">
      <c r="A10">
        <v>1.3886511269749999</v>
      </c>
      <c r="B10">
        <v>0.27387165312176792</v>
      </c>
      <c r="C10">
        <f t="shared" si="0"/>
        <v>0.28600545410355438</v>
      </c>
      <c r="D10">
        <f t="shared" si="1"/>
        <v>-1.2133800981786458E-2</v>
      </c>
      <c r="E10">
        <f t="shared" si="2"/>
        <v>1.47229126265602E-4</v>
      </c>
    </row>
    <row r="11" spans="1:8" x14ac:dyDescent="0.25">
      <c r="A11">
        <v>1.5347967140250001</v>
      </c>
      <c r="B11">
        <v>0.24334592726361171</v>
      </c>
      <c r="C11">
        <f t="shared" si="0"/>
        <v>0.24550204923453217</v>
      </c>
      <c r="D11">
        <f t="shared" si="1"/>
        <v>-2.156121970920466E-3</v>
      </c>
      <c r="E11">
        <f t="shared" si="2"/>
        <v>4.6488619534859547E-6</v>
      </c>
    </row>
    <row r="12" spans="1:8" x14ac:dyDescent="0.25">
      <c r="A12">
        <v>1.680942301075</v>
      </c>
      <c r="B12">
        <v>0.20981062279972176</v>
      </c>
      <c r="C12">
        <f t="shared" si="0"/>
        <v>0.20997611981420289</v>
      </c>
      <c r="D12">
        <f t="shared" si="1"/>
        <v>-1.6549701448112519E-4</v>
      </c>
      <c r="E12">
        <f t="shared" si="2"/>
        <v>2.7389261802165763E-8</v>
      </c>
    </row>
    <row r="13" spans="1:8" x14ac:dyDescent="0.25">
      <c r="A13">
        <v>1.8270878881249999</v>
      </c>
      <c r="B13">
        <v>0.19734236857596779</v>
      </c>
      <c r="C13">
        <f t="shared" si="0"/>
        <v>0.17901458790246641</v>
      </c>
      <c r="D13">
        <f t="shared" si="1"/>
        <v>1.8327780673501382E-2</v>
      </c>
      <c r="E13">
        <f t="shared" si="2"/>
        <v>3.3590754441597073E-4</v>
      </c>
    </row>
    <row r="14" spans="1:8" x14ac:dyDescent="0.25">
      <c r="A14">
        <v>1.973233475175</v>
      </c>
      <c r="B14">
        <v>0.16982622132354527</v>
      </c>
      <c r="C14">
        <f t="shared" si="0"/>
        <v>0.15217638956655408</v>
      </c>
      <c r="D14">
        <f t="shared" si="1"/>
        <v>1.7649831756991197E-2</v>
      </c>
      <c r="E14">
        <f t="shared" si="2"/>
        <v>3.1151656105009496E-4</v>
      </c>
    </row>
    <row r="15" spans="1:8" x14ac:dyDescent="0.25">
      <c r="A15">
        <v>2.1193790622249997</v>
      </c>
      <c r="B15">
        <v>0.14402983327439917</v>
      </c>
      <c r="C15">
        <f t="shared" si="0"/>
        <v>0.12902046212192975</v>
      </c>
      <c r="D15">
        <f t="shared" si="1"/>
        <v>1.500937115246942E-2</v>
      </c>
      <c r="E15">
        <f t="shared" si="2"/>
        <v>2.2528122239258118E-4</v>
      </c>
    </row>
    <row r="16" spans="1:8" x14ac:dyDescent="0.25">
      <c r="A16">
        <v>2.2655246492750001</v>
      </c>
      <c r="B16">
        <v>0.11522386661951932</v>
      </c>
      <c r="C16">
        <f t="shared" si="0"/>
        <v>0.10912291544989443</v>
      </c>
      <c r="D16">
        <f t="shared" si="1"/>
        <v>6.1009511696248908E-3</v>
      </c>
      <c r="E16">
        <f t="shared" si="2"/>
        <v>3.7221605174147321E-5</v>
      </c>
    </row>
    <row r="17" spans="1:5" x14ac:dyDescent="0.25">
      <c r="A17">
        <v>2.4116702363250004</v>
      </c>
      <c r="B17">
        <v>0.1100645890096901</v>
      </c>
      <c r="C17">
        <f t="shared" si="0"/>
        <v>9.2087060111494742E-2</v>
      </c>
      <c r="D17">
        <f t="shared" si="1"/>
        <v>1.7977528898195358E-2</v>
      </c>
      <c r="E17">
        <f t="shared" si="2"/>
        <v>3.2319154528544919E-4</v>
      </c>
    </row>
    <row r="18" spans="1:5" x14ac:dyDescent="0.25">
      <c r="A18">
        <v>2.5578158233749999</v>
      </c>
      <c r="B18">
        <v>8.0828682553991171E-2</v>
      </c>
      <c r="C18">
        <f t="shared" si="0"/>
        <v>7.754868517096257E-2</v>
      </c>
      <c r="D18">
        <f t="shared" si="1"/>
        <v>3.2799973830286017E-3</v>
      </c>
      <c r="E18">
        <f t="shared" si="2"/>
        <v>1.0758382832674476E-5</v>
      </c>
    </row>
    <row r="19" spans="1:5" x14ac:dyDescent="0.25">
      <c r="A19">
        <v>2.7039614104250003</v>
      </c>
      <c r="B19">
        <v>7.4809525342523733E-2</v>
      </c>
      <c r="C19">
        <f t="shared" si="0"/>
        <v>6.5178186160535251E-2</v>
      </c>
      <c r="D19">
        <f t="shared" si="1"/>
        <v>9.6313391819884825E-3</v>
      </c>
      <c r="E19">
        <f t="shared" si="2"/>
        <v>9.2762694438506567E-5</v>
      </c>
    </row>
    <row r="20" spans="1:5" x14ac:dyDescent="0.25">
      <c r="A20">
        <v>2.8501069974749997</v>
      </c>
      <c r="B20">
        <v>6.7500548728599008E-2</v>
      </c>
      <c r="C20">
        <f t="shared" si="0"/>
        <v>5.4680632682894775E-2</v>
      </c>
      <c r="D20">
        <f t="shared" si="1"/>
        <v>1.2819916045704233E-2</v>
      </c>
      <c r="E20">
        <f t="shared" si="2"/>
        <v>1.6435024741890485E-4</v>
      </c>
    </row>
    <row r="21" spans="1:5" x14ac:dyDescent="0.25">
      <c r="A21">
        <v>2.9962525845250001</v>
      </c>
      <c r="B21">
        <v>5.073289649665403E-2</v>
      </c>
      <c r="C21">
        <f t="shared" si="0"/>
        <v>4.5794525132787804E-2</v>
      </c>
      <c r="D21">
        <f t="shared" si="1"/>
        <v>4.9383713638662258E-3</v>
      </c>
      <c r="E21">
        <f t="shared" si="2"/>
        <v>2.4387511727453965E-5</v>
      </c>
    </row>
    <row r="22" spans="1:5" x14ac:dyDescent="0.25">
      <c r="A22">
        <v>3.1423981715750005</v>
      </c>
      <c r="B22">
        <v>4.8153257691739421E-2</v>
      </c>
      <c r="C22">
        <f t="shared" si="0"/>
        <v>3.8289758210571574E-2</v>
      </c>
      <c r="D22">
        <f t="shared" si="1"/>
        <v>9.8634994811678464E-3</v>
      </c>
      <c r="E22">
        <f t="shared" si="2"/>
        <v>9.7288622014998381E-5</v>
      </c>
    </row>
    <row r="23" spans="1:5" x14ac:dyDescent="0.25">
      <c r="A23">
        <v>3.2885437586249999</v>
      </c>
      <c r="B23">
        <v>3.6114943268804565E-2</v>
      </c>
      <c r="C23">
        <f t="shared" si="0"/>
        <v>3.1965148031701911E-2</v>
      </c>
      <c r="D23">
        <f t="shared" si="1"/>
        <v>4.1497952371026547E-3</v>
      </c>
      <c r="E23">
        <f t="shared" si="2"/>
        <v>1.7220800509879878E-5</v>
      </c>
    </row>
    <row r="24" spans="1:5" x14ac:dyDescent="0.25">
      <c r="A24">
        <v>3.4346893456749994</v>
      </c>
      <c r="B24">
        <v>1.9347291036859587E-2</v>
      </c>
      <c r="C24">
        <f t="shared" si="0"/>
        <v>2.6645766625818877E-2</v>
      </c>
      <c r="D24">
        <f t="shared" si="1"/>
        <v>-7.2984755889592898E-3</v>
      </c>
      <c r="E24">
        <f t="shared" si="2"/>
        <v>5.3267745922634651E-5</v>
      </c>
    </row>
    <row r="25" spans="1:5" x14ac:dyDescent="0.25">
      <c r="A25">
        <v>3.5808349327249998</v>
      </c>
      <c r="B25">
        <v>2.450656864668881E-2</v>
      </c>
      <c r="C25">
        <f t="shared" si="0"/>
        <v>2.2180247642462254E-2</v>
      </c>
      <c r="D25">
        <f t="shared" si="1"/>
        <v>2.3263210042265559E-3</v>
      </c>
      <c r="E25">
        <f t="shared" si="2"/>
        <v>5.4117694147056511E-6</v>
      </c>
    </row>
    <row r="26" spans="1:5" x14ac:dyDescent="0.25">
      <c r="A26">
        <v>3.7269805197750001</v>
      </c>
      <c r="B26">
        <v>1.8487411435221385E-2</v>
      </c>
      <c r="C26">
        <f t="shared" si="0"/>
        <v>1.843817031369099E-2</v>
      </c>
      <c r="D26">
        <f t="shared" si="1"/>
        <v>4.9241121530395338E-5</v>
      </c>
      <c r="E26">
        <f t="shared" si="2"/>
        <v>2.4246880495711631E-9</v>
      </c>
    </row>
    <row r="27" spans="1:5" x14ac:dyDescent="0.25">
      <c r="A27">
        <v>3.873126106825</v>
      </c>
      <c r="B27">
        <v>1.1608374622115752E-2</v>
      </c>
      <c r="C27">
        <f t="shared" si="0"/>
        <v>1.5307588482234739E-2</v>
      </c>
      <c r="D27">
        <f t="shared" si="1"/>
        <v>-3.6992138601189863E-3</v>
      </c>
      <c r="E27">
        <f t="shared" si="2"/>
        <v>1.3684183182896411E-5</v>
      </c>
    </row>
    <row r="28" spans="1:5" x14ac:dyDescent="0.25">
      <c r="A28">
        <v>4.0192716938749999</v>
      </c>
      <c r="B28">
        <v>1.4188013427030364E-2</v>
      </c>
      <c r="C28">
        <f t="shared" si="0"/>
        <v>1.269274313749977E-2</v>
      </c>
      <c r="D28">
        <f t="shared" si="1"/>
        <v>1.4952702895305939E-3</v>
      </c>
      <c r="E28">
        <f t="shared" si="2"/>
        <v>2.2358332387529059E-6</v>
      </c>
    </row>
    <row r="29" spans="1:5" x14ac:dyDescent="0.25">
      <c r="A29">
        <v>4.1654172809250003</v>
      </c>
      <c r="B29">
        <v>8.1688562155629377E-3</v>
      </c>
      <c r="C29">
        <f t="shared" si="0"/>
        <v>1.0511977118444501E-2</v>
      </c>
      <c r="D29">
        <f t="shared" si="1"/>
        <v>-2.3431209028815635E-3</v>
      </c>
      <c r="E29">
        <f t="shared" si="2"/>
        <v>5.4902155655205136E-6</v>
      </c>
    </row>
    <row r="30" spans="1:5" x14ac:dyDescent="0.25">
      <c r="A30">
        <v>4.3115628679749998</v>
      </c>
      <c r="B30">
        <v>9.8886154188393451E-3</v>
      </c>
      <c r="C30">
        <f t="shared" si="0"/>
        <v>8.695857077975936E-3</v>
      </c>
      <c r="D30">
        <f t="shared" si="1"/>
        <v>1.192758340863409E-3</v>
      </c>
      <c r="E30">
        <f t="shared" si="2"/>
        <v>1.4226724596992324E-6</v>
      </c>
    </row>
    <row r="31" spans="1:5" x14ac:dyDescent="0.25">
      <c r="A31">
        <v>4.4577084550250001</v>
      </c>
      <c r="B31">
        <v>3.8694582073719175E-3</v>
      </c>
      <c r="C31">
        <f t="shared" si="0"/>
        <v>7.1854987425272639E-3</v>
      </c>
      <c r="D31">
        <f t="shared" si="1"/>
        <v>-3.3160405351553464E-3</v>
      </c>
      <c r="E31">
        <f t="shared" si="2"/>
        <v>1.0996124830793356E-5</v>
      </c>
    </row>
    <row r="32" spans="1:5" x14ac:dyDescent="0.25">
      <c r="A32">
        <v>4.6038540420750005</v>
      </c>
      <c r="B32">
        <v>4.7293378090101212E-3</v>
      </c>
      <c r="C32">
        <f t="shared" si="0"/>
        <v>5.9310856884792259E-3</v>
      </c>
      <c r="D32">
        <f t="shared" si="1"/>
        <v>-1.2017478794691047E-3</v>
      </c>
      <c r="E32">
        <f t="shared" si="2"/>
        <v>1.4441979658084898E-6</v>
      </c>
    </row>
    <row r="33" spans="1:5" x14ac:dyDescent="0.25">
      <c r="A33">
        <v>4.749999629125</v>
      </c>
      <c r="B33">
        <v>1.7197592032764078E-3</v>
      </c>
      <c r="C33">
        <f t="shared" si="0"/>
        <v>4.8905683724978282E-3</v>
      </c>
      <c r="D33">
        <f t="shared" si="1"/>
        <v>-3.1708091692214204E-3</v>
      </c>
      <c r="E33">
        <f t="shared" si="2"/>
        <v>1.0054030787618634E-5</v>
      </c>
    </row>
    <row r="34" spans="1:5" x14ac:dyDescent="0.25">
      <c r="A34">
        <v>4.8961452161749994</v>
      </c>
      <c r="B34">
        <v>1.2898194024573058E-3</v>
      </c>
      <c r="C34">
        <f t="shared" si="0"/>
        <v>4.0285283170634232E-3</v>
      </c>
      <c r="D34">
        <f t="shared" si="1"/>
        <v>-2.7387089146061177E-3</v>
      </c>
      <c r="E34">
        <f t="shared" si="2"/>
        <v>7.500526518943019E-6</v>
      </c>
    </row>
    <row r="35" spans="1:5" x14ac:dyDescent="0.25">
      <c r="A35">
        <v>5.0422908032249998</v>
      </c>
      <c r="B35">
        <v>4.2993980081910195E-4</v>
      </c>
      <c r="C35">
        <f t="shared" si="0"/>
        <v>3.31519166579061E-3</v>
      </c>
      <c r="D35">
        <f t="shared" si="1"/>
        <v>-2.8852518649715082E-3</v>
      </c>
      <c r="E35">
        <f t="shared" si="2"/>
        <v>8.3246783243215666E-6</v>
      </c>
    </row>
    <row r="36" spans="1:5" x14ac:dyDescent="0.25">
      <c r="A36">
        <v>5.1884363902750001</v>
      </c>
      <c r="B36">
        <v>4.2993980081910195E-4</v>
      </c>
      <c r="C36">
        <f t="shared" si="0"/>
        <v>2.7255764185794822E-3</v>
      </c>
      <c r="D36">
        <f t="shared" si="1"/>
        <v>-2.2956366177603804E-3</v>
      </c>
      <c r="E36">
        <f t="shared" si="2"/>
        <v>5.2699474808023185E-6</v>
      </c>
    </row>
    <row r="37" spans="1:5" x14ac:dyDescent="0.25">
      <c r="A37">
        <v>5.3345819773249996</v>
      </c>
      <c r="B37">
        <v>0</v>
      </c>
      <c r="C37">
        <f t="shared" si="0"/>
        <v>2.2387582659406922E-3</v>
      </c>
      <c r="D37">
        <f t="shared" si="1"/>
        <v>-2.2387582659406922E-3</v>
      </c>
      <c r="E37">
        <f t="shared" si="2"/>
        <v>5.0120385733177751E-6</v>
      </c>
    </row>
    <row r="38" spans="1:5" x14ac:dyDescent="0.25">
      <c r="A38">
        <v>5.480727564375</v>
      </c>
      <c r="B38">
        <v>8.5987960163820391E-4</v>
      </c>
      <c r="C38">
        <f t="shared" si="0"/>
        <v>1.8372408704195873E-3</v>
      </c>
      <c r="D38">
        <f t="shared" si="1"/>
        <v>-9.7736126878138338E-4</v>
      </c>
      <c r="E38">
        <f t="shared" si="2"/>
        <v>9.5523504971395556E-7</v>
      </c>
    </row>
    <row r="39" spans="1:5" x14ac:dyDescent="0.25">
      <c r="A39">
        <v>5.6268731514250003</v>
      </c>
      <c r="B39">
        <v>0</v>
      </c>
      <c r="C39">
        <f t="shared" si="0"/>
        <v>1.5064175513039427E-3</v>
      </c>
      <c r="D39">
        <f t="shared" si="1"/>
        <v>-1.5064175513039427E-3</v>
      </c>
      <c r="E39">
        <f t="shared" si="2"/>
        <v>2.2692938388765668E-6</v>
      </c>
    </row>
    <row r="40" spans="1:5" x14ac:dyDescent="0.25">
      <c r="A40">
        <v>5.7730187384750007</v>
      </c>
      <c r="B40">
        <v>4.2993980081910195E-4</v>
      </c>
      <c r="C40">
        <f t="shared" si="0"/>
        <v>1.2341125180942087E-3</v>
      </c>
      <c r="D40">
        <f t="shared" si="1"/>
        <v>-8.0417271727510674E-4</v>
      </c>
      <c r="E40">
        <f t="shared" si="2"/>
        <v>6.466937592096288E-7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F089-C676-4B04-878E-7C4D70B399C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7.2877021724999991E-2</v>
      </c>
      <c r="B1">
        <v>0.59336007139741764</v>
      </c>
      <c r="C1">
        <f>$H$3*(1+$H$1)*(A1^($H$1))*EXP(-$H$3*(A1^(1+$H$1)))</f>
        <v>0.67860474500654333</v>
      </c>
      <c r="D1">
        <f>B1-C1</f>
        <v>-8.5244673609125687E-2</v>
      </c>
      <c r="E1">
        <f>D1^2</f>
        <v>7.2666543787263697E-3</v>
      </c>
      <c r="G1" t="s">
        <v>0</v>
      </c>
      <c r="H1">
        <v>0.16594325845710706</v>
      </c>
    </row>
    <row r="2" spans="1:8" x14ac:dyDescent="0.25">
      <c r="A2">
        <v>0.21827238517499997</v>
      </c>
      <c r="B2">
        <v>0.82379954639830566</v>
      </c>
      <c r="C2">
        <f t="shared" ref="C2:C40" si="0">$H$3*(1+$H$1)*(A2^($H$1))*EXP(-$H$3*(A2^(1+$H$1)))</f>
        <v>0.72567316676240745</v>
      </c>
      <c r="D2">
        <f t="shared" ref="D2:D40" si="1">B2-C2</f>
        <v>9.8126379635898209E-2</v>
      </c>
      <c r="E2">
        <f t="shared" ref="E2:E40" si="2">D2^2</f>
        <v>9.6287863804484179E-3</v>
      </c>
    </row>
    <row r="3" spans="1:8" x14ac:dyDescent="0.25">
      <c r="A3">
        <v>0.36366774862499995</v>
      </c>
      <c r="B3">
        <v>0.76554237575201378</v>
      </c>
      <c r="C3">
        <f t="shared" si="0"/>
        <v>0.69382937244210441</v>
      </c>
      <c r="D3">
        <f t="shared" si="1"/>
        <v>7.1713003309909373E-2</v>
      </c>
      <c r="E3">
        <f t="shared" si="2"/>
        <v>5.1427548437270728E-3</v>
      </c>
      <c r="G3" t="s">
        <v>1</v>
      </c>
      <c r="H3">
        <f>(_xlfn.GAMMA((2+$H$1)/(1+$H$1)))^(1+$H$1)</f>
        <v>0.93959586422088137</v>
      </c>
    </row>
    <row r="4" spans="1:8" x14ac:dyDescent="0.25">
      <c r="A4">
        <v>0.50906311207499999</v>
      </c>
      <c r="B4">
        <v>0.62097828562973389</v>
      </c>
      <c r="C4">
        <f t="shared" si="0"/>
        <v>0.63862833338083402</v>
      </c>
      <c r="D4">
        <f t="shared" si="1"/>
        <v>-1.7650047751100129E-2</v>
      </c>
      <c r="E4">
        <f t="shared" si="2"/>
        <v>3.1152418561611469E-4</v>
      </c>
    </row>
    <row r="5" spans="1:8" x14ac:dyDescent="0.25">
      <c r="A5">
        <v>0.65445847552500003</v>
      </c>
      <c r="B5">
        <v>0.54502819649086442</v>
      </c>
      <c r="C5">
        <f t="shared" si="0"/>
        <v>0.57563671984474651</v>
      </c>
      <c r="D5">
        <f t="shared" si="1"/>
        <v>-3.0608523353882089E-2</v>
      </c>
      <c r="E5">
        <f t="shared" si="2"/>
        <v>9.368817019051452E-4</v>
      </c>
      <c r="G5" t="s">
        <v>2</v>
      </c>
      <c r="H5">
        <f>SUM(E1:E40)</f>
        <v>2.9830791581281282E-2</v>
      </c>
    </row>
    <row r="6" spans="1:8" x14ac:dyDescent="0.25">
      <c r="A6">
        <v>0.79985383897499984</v>
      </c>
      <c r="B6">
        <v>0.46087895000177603</v>
      </c>
      <c r="C6">
        <f t="shared" si="0"/>
        <v>0.51169222613049747</v>
      </c>
      <c r="D6">
        <f t="shared" si="1"/>
        <v>-5.0813276128721441E-2</v>
      </c>
      <c r="E6">
        <f t="shared" si="2"/>
        <v>2.5819890309336921E-3</v>
      </c>
    </row>
    <row r="7" spans="1:8" x14ac:dyDescent="0.25">
      <c r="A7">
        <v>0.94524920242499977</v>
      </c>
      <c r="B7">
        <v>0.41556781727688236</v>
      </c>
      <c r="C7">
        <f t="shared" si="0"/>
        <v>0.45022358285074338</v>
      </c>
      <c r="D7">
        <f t="shared" si="1"/>
        <v>-3.4655765573861019E-2</v>
      </c>
      <c r="E7">
        <f t="shared" si="2"/>
        <v>1.2010220875104105E-3</v>
      </c>
    </row>
    <row r="8" spans="1:8" x14ac:dyDescent="0.25">
      <c r="A8">
        <v>1.0906445658749999</v>
      </c>
      <c r="B8">
        <v>0.36637287317556916</v>
      </c>
      <c r="C8">
        <f t="shared" si="0"/>
        <v>0.39297729040155738</v>
      </c>
      <c r="D8">
        <f t="shared" si="1"/>
        <v>-2.6604417225988219E-2</v>
      </c>
      <c r="E8">
        <f t="shared" si="2"/>
        <v>7.0779501593445872E-4</v>
      </c>
    </row>
    <row r="9" spans="1:8" x14ac:dyDescent="0.25">
      <c r="A9">
        <v>1.236039929325</v>
      </c>
      <c r="B9">
        <v>0.33918619354063295</v>
      </c>
      <c r="C9">
        <f t="shared" si="0"/>
        <v>0.34076761227793845</v>
      </c>
      <c r="D9">
        <f t="shared" si="1"/>
        <v>-1.5814187373054955E-3</v>
      </c>
      <c r="E9">
        <f t="shared" si="2"/>
        <v>2.5008852227009079E-6</v>
      </c>
    </row>
    <row r="10" spans="1:8" x14ac:dyDescent="0.25">
      <c r="A10">
        <v>1.381435292775</v>
      </c>
      <c r="B10">
        <v>0.27402446933626196</v>
      </c>
      <c r="C10">
        <f t="shared" si="0"/>
        <v>0.29386231781662242</v>
      </c>
      <c r="D10">
        <f t="shared" si="1"/>
        <v>-1.9837848480360465E-2</v>
      </c>
      <c r="E10">
        <f t="shared" si="2"/>
        <v>3.9354023232974003E-4</v>
      </c>
    </row>
    <row r="11" spans="1:8" x14ac:dyDescent="0.25">
      <c r="A11">
        <v>1.526830656225</v>
      </c>
      <c r="B11">
        <v>0.24295397832490628</v>
      </c>
      <c r="C11">
        <f t="shared" si="0"/>
        <v>0.25220294786431852</v>
      </c>
      <c r="D11">
        <f t="shared" si="1"/>
        <v>-9.2489695394122329E-3</v>
      </c>
      <c r="E11">
        <f t="shared" si="2"/>
        <v>8.5543437540975325E-5</v>
      </c>
    </row>
    <row r="12" spans="1:8" x14ac:dyDescent="0.25">
      <c r="A12">
        <v>1.6722260196750001</v>
      </c>
      <c r="B12">
        <v>0.20756814133975121</v>
      </c>
      <c r="C12">
        <f t="shared" si="0"/>
        <v>0.21553901357838373</v>
      </c>
      <c r="D12">
        <f t="shared" si="1"/>
        <v>-7.9708722386325204E-3</v>
      </c>
      <c r="E12">
        <f t="shared" si="2"/>
        <v>6.3534804244602601E-5</v>
      </c>
    </row>
    <row r="13" spans="1:8" x14ac:dyDescent="0.25">
      <c r="A13">
        <v>1.8176213831250001</v>
      </c>
      <c r="B13">
        <v>0.19980051858691228</v>
      </c>
      <c r="C13">
        <f t="shared" si="0"/>
        <v>0.18351294185315178</v>
      </c>
      <c r="D13">
        <f t="shared" si="1"/>
        <v>1.6287576733760495E-2</v>
      </c>
      <c r="E13">
        <f t="shared" si="2"/>
        <v>2.6528515585813622E-4</v>
      </c>
    </row>
    <row r="14" spans="1:8" x14ac:dyDescent="0.25">
      <c r="A14">
        <v>1.9630167465749997</v>
      </c>
      <c r="B14">
        <v>0.17606611573101558</v>
      </c>
      <c r="C14">
        <f t="shared" si="0"/>
        <v>0.15571486812157553</v>
      </c>
      <c r="D14">
        <f t="shared" si="1"/>
        <v>2.0351247609440043E-2</v>
      </c>
      <c r="E14">
        <f t="shared" si="2"/>
        <v>4.1417327926073904E-4</v>
      </c>
    </row>
    <row r="15" spans="1:8" x14ac:dyDescent="0.25">
      <c r="A15">
        <v>2.1084121100249993</v>
      </c>
      <c r="B15">
        <v>0.13765953656420091</v>
      </c>
      <c r="C15">
        <f t="shared" si="0"/>
        <v>0.1317180883334246</v>
      </c>
      <c r="D15">
        <f t="shared" si="1"/>
        <v>5.9414482307763028E-3</v>
      </c>
      <c r="E15">
        <f t="shared" si="2"/>
        <v>3.530080707899486E-5</v>
      </c>
    </row>
    <row r="16" spans="1:8" x14ac:dyDescent="0.25">
      <c r="A16">
        <v>2.2538074734749998</v>
      </c>
      <c r="B16">
        <v>0.11608280669520389</v>
      </c>
      <c r="C16">
        <f t="shared" si="0"/>
        <v>0.11110171544134027</v>
      </c>
      <c r="D16">
        <f t="shared" si="1"/>
        <v>4.9810912538636176E-3</v>
      </c>
      <c r="E16">
        <f t="shared" si="2"/>
        <v>2.4811270079316625E-5</v>
      </c>
    </row>
    <row r="17" spans="1:5" x14ac:dyDescent="0.25">
      <c r="A17">
        <v>2.3992028369249998</v>
      </c>
      <c r="B17">
        <v>0.10831518394236497</v>
      </c>
      <c r="C17">
        <f t="shared" si="0"/>
        <v>9.3464710732114348E-2</v>
      </c>
      <c r="D17">
        <f t="shared" si="1"/>
        <v>1.4850473210250625E-2</v>
      </c>
      <c r="E17">
        <f t="shared" si="2"/>
        <v>2.2053655456837152E-4</v>
      </c>
    </row>
    <row r="18" spans="1:5" x14ac:dyDescent="0.25">
      <c r="A18">
        <v>2.5445982003749998</v>
      </c>
      <c r="B18">
        <v>8.6738454073367971E-2</v>
      </c>
      <c r="C18">
        <f t="shared" si="0"/>
        <v>7.8434049974187042E-2</v>
      </c>
      <c r="D18">
        <f t="shared" si="1"/>
        <v>8.3044040991809287E-3</v>
      </c>
      <c r="E18">
        <f t="shared" si="2"/>
        <v>6.8963127442493011E-5</v>
      </c>
    </row>
    <row r="19" spans="1:5" x14ac:dyDescent="0.25">
      <c r="A19">
        <v>2.6899935638249994</v>
      </c>
      <c r="B19">
        <v>7.4223950749349704E-2</v>
      </c>
      <c r="C19">
        <f t="shared" si="0"/>
        <v>6.5668901395547305E-2</v>
      </c>
      <c r="D19">
        <f t="shared" si="1"/>
        <v>8.5550493538023992E-3</v>
      </c>
      <c r="E19">
        <f t="shared" si="2"/>
        <v>7.3188869445994846E-5</v>
      </c>
    </row>
    <row r="20" spans="1:5" x14ac:dyDescent="0.25">
      <c r="A20">
        <v>2.8353889272749999</v>
      </c>
      <c r="B20">
        <v>6.5161724204370955E-2</v>
      </c>
      <c r="C20">
        <f t="shared" si="0"/>
        <v>5.4862115814957903E-2</v>
      </c>
      <c r="D20">
        <f t="shared" si="1"/>
        <v>1.0299608389413052E-2</v>
      </c>
      <c r="E20">
        <f t="shared" si="2"/>
        <v>1.0608193297526772E-4</v>
      </c>
    </row>
    <row r="21" spans="1:5" x14ac:dyDescent="0.25">
      <c r="A21">
        <v>2.9807842907249995</v>
      </c>
      <c r="B21">
        <v>5.2647220880352695E-2</v>
      </c>
      <c r="C21">
        <f t="shared" si="0"/>
        <v>4.5739939895644961E-2</v>
      </c>
      <c r="D21">
        <f t="shared" si="1"/>
        <v>6.9072809847077338E-3</v>
      </c>
      <c r="E21">
        <f t="shared" si="2"/>
        <v>4.7710530601705038E-5</v>
      </c>
    </row>
    <row r="22" spans="1:5" x14ac:dyDescent="0.25">
      <c r="A22">
        <v>3.126179654175</v>
      </c>
      <c r="B22">
        <v>5.0058013296073053E-2</v>
      </c>
      <c r="C22">
        <f t="shared" si="0"/>
        <v>3.8060593918270123E-2</v>
      </c>
      <c r="D22">
        <f t="shared" si="1"/>
        <v>1.199741937780293E-2</v>
      </c>
      <c r="E22">
        <f t="shared" si="2"/>
        <v>1.4393807172688125E-4</v>
      </c>
    </row>
    <row r="23" spans="1:5" x14ac:dyDescent="0.25">
      <c r="A23">
        <v>3.2715750176249996</v>
      </c>
      <c r="B23">
        <v>3.4091233193015269E-2</v>
      </c>
      <c r="C23">
        <f t="shared" si="0"/>
        <v>3.1612165373049103E-2</v>
      </c>
      <c r="D23">
        <f t="shared" si="1"/>
        <v>2.4790678199661659E-3</v>
      </c>
      <c r="E23">
        <f t="shared" si="2"/>
        <v>6.1457772559917984E-6</v>
      </c>
    </row>
    <row r="24" spans="1:5" x14ac:dyDescent="0.25">
      <c r="A24">
        <v>3.4169703810749996</v>
      </c>
      <c r="B24">
        <v>2.0282126076857185E-2</v>
      </c>
      <c r="C24">
        <f t="shared" si="0"/>
        <v>2.6210133923081677E-2</v>
      </c>
      <c r="D24">
        <f t="shared" si="1"/>
        <v>-5.9280078462244923E-3</v>
      </c>
      <c r="E24">
        <f t="shared" si="2"/>
        <v>3.5141277024899142E-5</v>
      </c>
    </row>
    <row r="25" spans="1:5" x14ac:dyDescent="0.25">
      <c r="A25">
        <v>3.5623657445249997</v>
      </c>
      <c r="B25">
        <v>2.5029006648036527E-2</v>
      </c>
      <c r="C25">
        <f t="shared" si="0"/>
        <v>2.1694745611307298E-2</v>
      </c>
      <c r="D25">
        <f t="shared" si="1"/>
        <v>3.3342610367292289E-3</v>
      </c>
      <c r="E25">
        <f t="shared" si="2"/>
        <v>1.1117296661050672E-5</v>
      </c>
    </row>
    <row r="26" spans="1:5" x14ac:dyDescent="0.25">
      <c r="A26">
        <v>3.7077611079750001</v>
      </c>
      <c r="B26">
        <v>1.9419056882097305E-2</v>
      </c>
      <c r="C26">
        <f t="shared" si="0"/>
        <v>1.7928383663400462E-2</v>
      </c>
      <c r="D26">
        <f t="shared" si="1"/>
        <v>1.4906732186968433E-3</v>
      </c>
      <c r="E26">
        <f t="shared" si="2"/>
        <v>2.2221066449400069E-6</v>
      </c>
    </row>
    <row r="27" spans="1:5" x14ac:dyDescent="0.25">
      <c r="A27">
        <v>3.8531564714249997</v>
      </c>
      <c r="B27">
        <v>1.1651434129258384E-2</v>
      </c>
      <c r="C27">
        <f t="shared" si="0"/>
        <v>1.4793032359765031E-2</v>
      </c>
      <c r="D27">
        <f t="shared" si="1"/>
        <v>-3.1415982305066474E-3</v>
      </c>
      <c r="E27">
        <f t="shared" si="2"/>
        <v>9.8696394419224974E-6</v>
      </c>
    </row>
    <row r="28" spans="1:5" x14ac:dyDescent="0.25">
      <c r="A28">
        <v>3.9985518348749993</v>
      </c>
      <c r="B28">
        <v>1.2946037921398203E-2</v>
      </c>
      <c r="C28">
        <f t="shared" si="0"/>
        <v>1.2187893907408046E-2</v>
      </c>
      <c r="D28">
        <f t="shared" si="1"/>
        <v>7.5814401399015678E-4</v>
      </c>
      <c r="E28">
        <f t="shared" si="2"/>
        <v>5.7478234594910709E-7</v>
      </c>
    </row>
    <row r="29" spans="1:5" x14ac:dyDescent="0.25">
      <c r="A29">
        <v>4.1439471983249998</v>
      </c>
      <c r="B29">
        <v>8.6306919475988026E-3</v>
      </c>
      <c r="C29">
        <f t="shared" si="0"/>
        <v>1.0027192224612739E-2</v>
      </c>
      <c r="D29">
        <f t="shared" si="1"/>
        <v>-1.3965002770139363E-3</v>
      </c>
      <c r="E29">
        <f t="shared" si="2"/>
        <v>1.9502130237000006E-6</v>
      </c>
    </row>
    <row r="30" spans="1:5" x14ac:dyDescent="0.25">
      <c r="A30">
        <v>4.2893425617749994</v>
      </c>
      <c r="B30">
        <v>9.493761142358682E-3</v>
      </c>
      <c r="C30">
        <f t="shared" si="0"/>
        <v>8.2381792783256819E-3</v>
      </c>
      <c r="D30">
        <f t="shared" si="1"/>
        <v>1.2555818640330001E-3</v>
      </c>
      <c r="E30">
        <f t="shared" si="2"/>
        <v>1.576485817288583E-6</v>
      </c>
    </row>
    <row r="31" spans="1:5" x14ac:dyDescent="0.25">
      <c r="A31">
        <v>4.434737925224999</v>
      </c>
      <c r="B31">
        <v>3.8838113764194612E-3</v>
      </c>
      <c r="C31">
        <f t="shared" si="0"/>
        <v>6.7593470375761286E-3</v>
      </c>
      <c r="D31">
        <f t="shared" si="1"/>
        <v>-2.8755356611566674E-3</v>
      </c>
      <c r="E31">
        <f t="shared" si="2"/>
        <v>8.2687053385837122E-6</v>
      </c>
    </row>
    <row r="32" spans="1:5" x14ac:dyDescent="0.25">
      <c r="A32">
        <v>4.5801332886750004</v>
      </c>
      <c r="B32">
        <v>5.1784151685592816E-3</v>
      </c>
      <c r="C32">
        <f t="shared" si="0"/>
        <v>5.538839705348352E-3</v>
      </c>
      <c r="D32">
        <f t="shared" si="1"/>
        <v>-3.6042453678907047E-4</v>
      </c>
      <c r="E32">
        <f t="shared" si="2"/>
        <v>1.2990584671961603E-7</v>
      </c>
    </row>
    <row r="33" spans="1:5" x14ac:dyDescent="0.25">
      <c r="A33">
        <v>4.725528652125</v>
      </c>
      <c r="B33">
        <v>1.7261383895197605E-3</v>
      </c>
      <c r="C33">
        <f t="shared" si="0"/>
        <v>4.5330555321156756E-3</v>
      </c>
      <c r="D33">
        <f t="shared" si="1"/>
        <v>-2.806917142595915E-3</v>
      </c>
      <c r="E33">
        <f t="shared" si="2"/>
        <v>7.8787838453988157E-6</v>
      </c>
    </row>
    <row r="34" spans="1:5" x14ac:dyDescent="0.25">
      <c r="A34">
        <v>4.8709240155749995</v>
      </c>
      <c r="B34">
        <v>1.2946037921398204E-3</v>
      </c>
      <c r="C34">
        <f t="shared" si="0"/>
        <v>3.7054243494383222E-3</v>
      </c>
      <c r="D34">
        <f t="shared" si="1"/>
        <v>-2.4108205572985018E-3</v>
      </c>
      <c r="E34">
        <f t="shared" si="2"/>
        <v>5.8120557594930587E-6</v>
      </c>
    </row>
    <row r="35" spans="1:5" x14ac:dyDescent="0.25">
      <c r="A35">
        <v>5.0163193790249991</v>
      </c>
      <c r="B35">
        <v>4.3153459737994013E-4</v>
      </c>
      <c r="C35">
        <f t="shared" si="0"/>
        <v>3.0253453588111293E-3</v>
      </c>
      <c r="D35">
        <f t="shared" si="1"/>
        <v>-2.5938107614311891E-3</v>
      </c>
      <c r="E35">
        <f t="shared" si="2"/>
        <v>6.7278542661162454E-6</v>
      </c>
    </row>
    <row r="36" spans="1:5" x14ac:dyDescent="0.25">
      <c r="A36">
        <v>5.1617147424749996</v>
      </c>
      <c r="B36">
        <v>4.3153459737994013E-4</v>
      </c>
      <c r="C36">
        <f t="shared" si="0"/>
        <v>2.4672691979021944E-3</v>
      </c>
      <c r="D36">
        <f t="shared" si="1"/>
        <v>-2.0357346005222543E-3</v>
      </c>
      <c r="E36">
        <f t="shared" si="2"/>
        <v>4.1442153637635019E-6</v>
      </c>
    </row>
    <row r="37" spans="1:5" x14ac:dyDescent="0.25">
      <c r="A37">
        <v>5.3071101059250001</v>
      </c>
      <c r="B37">
        <v>0</v>
      </c>
      <c r="C37">
        <f t="shared" si="0"/>
        <v>2.0099085339366925E-3</v>
      </c>
      <c r="D37">
        <f t="shared" si="1"/>
        <v>-2.0099085339366925E-3</v>
      </c>
      <c r="E37">
        <f t="shared" si="2"/>
        <v>4.0397323147915444E-6</v>
      </c>
    </row>
    <row r="38" spans="1:5" x14ac:dyDescent="0.25">
      <c r="A38">
        <v>5.4525054693749997</v>
      </c>
      <c r="B38">
        <v>4.3153459737994013E-4</v>
      </c>
      <c r="C38">
        <f t="shared" si="0"/>
        <v>1.6355621449654122E-3</v>
      </c>
      <c r="D38">
        <f t="shared" si="1"/>
        <v>-1.2040275475854721E-3</v>
      </c>
      <c r="E38">
        <f t="shared" si="2"/>
        <v>1.4496823353446861E-6</v>
      </c>
    </row>
    <row r="39" spans="1:5" x14ac:dyDescent="0.25">
      <c r="A39">
        <v>5.5979008328249993</v>
      </c>
      <c r="B39">
        <v>4.3153459737994013E-4</v>
      </c>
      <c r="C39">
        <f t="shared" si="0"/>
        <v>1.3295384565834606E-3</v>
      </c>
      <c r="D39">
        <f t="shared" si="1"/>
        <v>-8.9800385920352048E-4</v>
      </c>
      <c r="E39">
        <f t="shared" si="2"/>
        <v>8.0641093114441623E-7</v>
      </c>
    </row>
    <row r="40" spans="1:5" x14ac:dyDescent="0.25">
      <c r="A40">
        <v>5.7432961962749989</v>
      </c>
      <c r="B40">
        <v>4.3153459737994013E-4</v>
      </c>
      <c r="C40">
        <f t="shared" si="0"/>
        <v>1.0796656694531013E-3</v>
      </c>
      <c r="D40">
        <f t="shared" si="1"/>
        <v>-6.4813107207316117E-4</v>
      </c>
      <c r="E40">
        <f t="shared" si="2"/>
        <v>4.2007388658670525E-7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F9E6-CC26-4E07-A45A-47F3F3B15FA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7.1936533575000017E-2</v>
      </c>
      <c r="B1">
        <v>0.57783462029255928</v>
      </c>
      <c r="C1">
        <f>$H$3*(1+$H$1)*(A1^($H$1))*EXP(-$H$3*(A1^(1+$H$1)))</f>
        <v>0.60769900182012337</v>
      </c>
      <c r="D1">
        <f>B1-C1</f>
        <v>-2.9864381527564099E-2</v>
      </c>
      <c r="E1">
        <f>D1^2</f>
        <v>8.9188128402391178E-4</v>
      </c>
      <c r="G1" t="s">
        <v>0</v>
      </c>
      <c r="H1">
        <v>0.22047486082341664</v>
      </c>
    </row>
    <row r="2" spans="1:8" x14ac:dyDescent="0.25">
      <c r="A2">
        <v>0.21580900872500003</v>
      </c>
      <c r="B2">
        <v>0.61362196082427367</v>
      </c>
      <c r="C2">
        <f t="shared" ref="C2:C40" si="0">$H$3*(1+$H$1)*(A2^($H$1))*EXP(-$H$3*(A2^(1+$H$1)))</f>
        <v>0.69713531916372629</v>
      </c>
      <c r="D2">
        <f t="shared" ref="D2:D40" si="1">B2-C2</f>
        <v>-8.3513358339452615E-2</v>
      </c>
      <c r="E2">
        <f t="shared" ref="E2:E40" si="2">D2^2</f>
        <v>6.9744810211338198E-3</v>
      </c>
    </row>
    <row r="3" spans="1:8" x14ac:dyDescent="0.25">
      <c r="A3">
        <v>0.35968148387499999</v>
      </c>
      <c r="B3">
        <v>0.85845974177905149</v>
      </c>
      <c r="C3">
        <f t="shared" si="0"/>
        <v>0.68996775388104359</v>
      </c>
      <c r="D3">
        <f t="shared" si="1"/>
        <v>0.1684919878980079</v>
      </c>
      <c r="E3">
        <f t="shared" si="2"/>
        <v>2.8389549985822441E-2</v>
      </c>
      <c r="G3" t="s">
        <v>1</v>
      </c>
      <c r="H3">
        <f>(_xlfn.GAMMA((2+$H$1)/(1+$H$1)))^(1+$H$1)</f>
        <v>0.9232484785771139</v>
      </c>
    </row>
    <row r="4" spans="1:8" x14ac:dyDescent="0.25">
      <c r="A4">
        <v>0.503553959025</v>
      </c>
      <c r="B4">
        <v>0.70265388117146566</v>
      </c>
      <c r="C4">
        <f t="shared" si="0"/>
        <v>0.64952057016669773</v>
      </c>
      <c r="D4">
        <f t="shared" si="1"/>
        <v>5.3133311004767925E-2</v>
      </c>
      <c r="E4">
        <f t="shared" si="2"/>
        <v>2.8231487383293921E-3</v>
      </c>
    </row>
    <row r="5" spans="1:8" x14ac:dyDescent="0.25">
      <c r="A5">
        <v>0.64742643417500001</v>
      </c>
      <c r="B5">
        <v>0.59529185957632247</v>
      </c>
      <c r="C5">
        <f t="shared" si="0"/>
        <v>0.59477615368896886</v>
      </c>
      <c r="D5">
        <f t="shared" si="1"/>
        <v>5.1570588735361245E-4</v>
      </c>
      <c r="E5">
        <f t="shared" si="2"/>
        <v>2.6595256225117682E-7</v>
      </c>
      <c r="G5" t="s">
        <v>2</v>
      </c>
      <c r="H5">
        <f>SUM(E1:E40)</f>
        <v>4.8403058770002436E-2</v>
      </c>
    </row>
    <row r="6" spans="1:8" x14ac:dyDescent="0.25">
      <c r="A6">
        <v>0.79129890932500002</v>
      </c>
      <c r="B6">
        <v>0.48749340699908517</v>
      </c>
      <c r="C6">
        <f t="shared" si="0"/>
        <v>0.53470295396449663</v>
      </c>
      <c r="D6">
        <f t="shared" si="1"/>
        <v>-4.7209546965411464E-2</v>
      </c>
      <c r="E6">
        <f t="shared" si="2"/>
        <v>2.2287413246793908E-3</v>
      </c>
    </row>
    <row r="7" spans="1:8" x14ac:dyDescent="0.25">
      <c r="A7">
        <v>0.93517138447499992</v>
      </c>
      <c r="B7">
        <v>0.42159232870287938</v>
      </c>
      <c r="C7">
        <f t="shared" si="0"/>
        <v>0.47420057688909073</v>
      </c>
      <c r="D7">
        <f t="shared" si="1"/>
        <v>-5.2608248186211348E-2</v>
      </c>
      <c r="E7">
        <f t="shared" si="2"/>
        <v>2.7676277772220098E-3</v>
      </c>
    </row>
    <row r="8" spans="1:8" x14ac:dyDescent="0.25">
      <c r="A8">
        <v>1.079043859625</v>
      </c>
      <c r="B8">
        <v>0.38536855718907093</v>
      </c>
      <c r="C8">
        <f t="shared" si="0"/>
        <v>0.41606238235723386</v>
      </c>
      <c r="D8">
        <f t="shared" si="1"/>
        <v>-3.0693825168162936E-2</v>
      </c>
      <c r="E8">
        <f t="shared" si="2"/>
        <v>9.4211090345375247E-4</v>
      </c>
    </row>
    <row r="9" spans="1:8" x14ac:dyDescent="0.25">
      <c r="A9">
        <v>1.2229163347750003</v>
      </c>
      <c r="B9">
        <v>0.33212397737359339</v>
      </c>
      <c r="C9">
        <f t="shared" si="0"/>
        <v>0.36184969786031407</v>
      </c>
      <c r="D9">
        <f t="shared" si="1"/>
        <v>-2.9725720486720675E-2</v>
      </c>
      <c r="E9">
        <f t="shared" si="2"/>
        <v>8.836184584546452E-4</v>
      </c>
    </row>
    <row r="10" spans="1:8" x14ac:dyDescent="0.25">
      <c r="A10">
        <v>1.3667888099250001</v>
      </c>
      <c r="B10">
        <v>0.27975225952230404</v>
      </c>
      <c r="C10">
        <f t="shared" si="0"/>
        <v>0.31235705791233442</v>
      </c>
      <c r="D10">
        <f t="shared" si="1"/>
        <v>-3.2604798390030387E-2</v>
      </c>
      <c r="E10">
        <f t="shared" si="2"/>
        <v>1.0630728780545281E-3</v>
      </c>
    </row>
    <row r="11" spans="1:8" x14ac:dyDescent="0.25">
      <c r="A11">
        <v>1.5106612850750001</v>
      </c>
      <c r="B11">
        <v>0.24963852175781262</v>
      </c>
      <c r="C11">
        <f t="shared" si="0"/>
        <v>0.267888951014703</v>
      </c>
      <c r="D11">
        <f t="shared" si="1"/>
        <v>-1.8250429256890383E-2</v>
      </c>
      <c r="E11">
        <f t="shared" si="2"/>
        <v>3.3307816806076046E-4</v>
      </c>
    </row>
    <row r="12" spans="1:8" x14ac:dyDescent="0.25">
      <c r="A12">
        <v>1.6545337602250001</v>
      </c>
      <c r="B12">
        <v>0.21603333613656864</v>
      </c>
      <c r="C12">
        <f t="shared" si="0"/>
        <v>0.22843623676860428</v>
      </c>
      <c r="D12">
        <f t="shared" si="1"/>
        <v>-1.2402900632035641E-2</v>
      </c>
      <c r="E12">
        <f t="shared" si="2"/>
        <v>1.538319440881501E-4</v>
      </c>
    </row>
    <row r="13" spans="1:8" x14ac:dyDescent="0.25">
      <c r="A13">
        <v>1.7984062353750001</v>
      </c>
      <c r="B13">
        <v>0.20075825176327589</v>
      </c>
      <c r="C13">
        <f t="shared" si="0"/>
        <v>0.19379332780100791</v>
      </c>
      <c r="D13">
        <f t="shared" si="1"/>
        <v>6.9649239622679715E-3</v>
      </c>
      <c r="E13">
        <f t="shared" si="2"/>
        <v>4.8510165800174583E-5</v>
      </c>
    </row>
    <row r="14" spans="1:8" x14ac:dyDescent="0.25">
      <c r="A14">
        <v>1.9422787105250001</v>
      </c>
      <c r="B14">
        <v>0.16846235908831411</v>
      </c>
      <c r="C14">
        <f t="shared" si="0"/>
        <v>0.16363773276201884</v>
      </c>
      <c r="D14">
        <f t="shared" si="1"/>
        <v>4.8246263262952671E-3</v>
      </c>
      <c r="E14">
        <f t="shared" si="2"/>
        <v>2.3277019188381364E-5</v>
      </c>
    </row>
    <row r="15" spans="1:8" x14ac:dyDescent="0.25">
      <c r="A15">
        <v>2.0861511856749999</v>
      </c>
      <c r="B15">
        <v>0.14838653391198653</v>
      </c>
      <c r="C15">
        <f t="shared" si="0"/>
        <v>0.13758444739361517</v>
      </c>
      <c r="D15">
        <f t="shared" si="1"/>
        <v>1.0802086518371362E-2</v>
      </c>
      <c r="E15">
        <f t="shared" si="2"/>
        <v>1.1668507315038034E-4</v>
      </c>
    </row>
    <row r="16" spans="1:8" x14ac:dyDescent="0.25">
      <c r="A16">
        <v>2.2300236608250001</v>
      </c>
      <c r="B16">
        <v>0.11434491730864844</v>
      </c>
      <c r="C16">
        <f t="shared" si="0"/>
        <v>0.11522297654694483</v>
      </c>
      <c r="D16">
        <f t="shared" si="1"/>
        <v>-8.780592382963831E-4</v>
      </c>
      <c r="E16">
        <f t="shared" si="2"/>
        <v>7.7098802595762451E-7</v>
      </c>
    </row>
    <row r="17" spans="1:5" x14ac:dyDescent="0.25">
      <c r="A17">
        <v>2.3738961359750004</v>
      </c>
      <c r="B17">
        <v>0.10474343570257873</v>
      </c>
      <c r="C17">
        <f t="shared" si="0"/>
        <v>9.6142123423656772E-2</v>
      </c>
      <c r="D17">
        <f t="shared" si="1"/>
        <v>8.6013122789219548E-3</v>
      </c>
      <c r="E17">
        <f t="shared" si="2"/>
        <v>7.3982572919533589E-5</v>
      </c>
    </row>
    <row r="18" spans="1:5" x14ac:dyDescent="0.25">
      <c r="A18">
        <v>2.5177686111250002</v>
      </c>
      <c r="B18">
        <v>9.2523368203944537E-2</v>
      </c>
      <c r="C18">
        <f t="shared" si="0"/>
        <v>7.9946080317020662E-2</v>
      </c>
      <c r="D18">
        <f t="shared" si="1"/>
        <v>1.2577287886923874E-2</v>
      </c>
      <c r="E18">
        <f t="shared" si="2"/>
        <v>1.5818817059056202E-4</v>
      </c>
    </row>
    <row r="19" spans="1:5" x14ac:dyDescent="0.25">
      <c r="A19">
        <v>2.661641086275</v>
      </c>
      <c r="B19">
        <v>7.5066128920181427E-2</v>
      </c>
      <c r="C19">
        <f t="shared" si="0"/>
        <v>6.6264324495255975E-2</v>
      </c>
      <c r="D19">
        <f t="shared" si="1"/>
        <v>8.8018044249254523E-3</v>
      </c>
      <c r="E19">
        <f t="shared" si="2"/>
        <v>7.7471761134637268E-5</v>
      </c>
    </row>
    <row r="20" spans="1:5" x14ac:dyDescent="0.25">
      <c r="A20">
        <v>2.8055135614250002</v>
      </c>
      <c r="B20">
        <v>6.4155354367829473E-2</v>
      </c>
      <c r="C20">
        <f t="shared" si="0"/>
        <v>5.4757126587417874E-2</v>
      </c>
      <c r="D20">
        <f t="shared" si="1"/>
        <v>9.3982277804115985E-3</v>
      </c>
      <c r="E20">
        <f t="shared" si="2"/>
        <v>8.8326685412500324E-5</v>
      </c>
    </row>
    <row r="21" spans="1:5" x14ac:dyDescent="0.25">
      <c r="A21">
        <v>2.949386036575</v>
      </c>
      <c r="B21">
        <v>5.4117441779665675E-2</v>
      </c>
      <c r="C21">
        <f t="shared" si="0"/>
        <v>4.511799044333805E-2</v>
      </c>
      <c r="D21">
        <f t="shared" si="1"/>
        <v>8.9994513363276241E-3</v>
      </c>
      <c r="E21">
        <f t="shared" si="2"/>
        <v>8.0990124354929059E-5</v>
      </c>
    </row>
    <row r="22" spans="1:5" x14ac:dyDescent="0.25">
      <c r="A22">
        <v>3.0932585117250002</v>
      </c>
      <c r="B22">
        <v>5.2808148833383445E-2</v>
      </c>
      <c r="C22">
        <f t="shared" si="0"/>
        <v>3.7073991351568171E-2</v>
      </c>
      <c r="D22">
        <f t="shared" si="1"/>
        <v>1.5734157481815274E-2</v>
      </c>
      <c r="E22">
        <f t="shared" si="2"/>
        <v>2.4756371166256358E-4</v>
      </c>
    </row>
    <row r="23" spans="1:5" x14ac:dyDescent="0.25">
      <c r="A23">
        <v>3.237130986875</v>
      </c>
      <c r="B23">
        <v>3.1859461692867699E-2</v>
      </c>
      <c r="C23">
        <f t="shared" si="0"/>
        <v>3.0384720838752256E-2</v>
      </c>
      <c r="D23">
        <f t="shared" si="1"/>
        <v>1.4747408541154437E-3</v>
      </c>
      <c r="E23">
        <f t="shared" si="2"/>
        <v>2.1748605867971483E-6</v>
      </c>
    </row>
    <row r="24" spans="1:5" x14ac:dyDescent="0.25">
      <c r="A24">
        <v>3.3810034620250002</v>
      </c>
      <c r="B24">
        <v>2.4003704015174293E-2</v>
      </c>
      <c r="C24">
        <f t="shared" si="0"/>
        <v>2.484035397219542E-2</v>
      </c>
      <c r="D24">
        <f t="shared" si="1"/>
        <v>-8.3664995702112735E-4</v>
      </c>
      <c r="E24">
        <f t="shared" si="2"/>
        <v>6.9998315058345423E-7</v>
      </c>
    </row>
    <row r="25" spans="1:5" x14ac:dyDescent="0.25">
      <c r="A25">
        <v>3.5248759371749996</v>
      </c>
      <c r="B25">
        <v>2.3130842050986134E-2</v>
      </c>
      <c r="C25">
        <f t="shared" si="0"/>
        <v>2.025921121201657E-2</v>
      </c>
      <c r="D25">
        <f t="shared" si="1"/>
        <v>2.871630838969564E-3</v>
      </c>
      <c r="E25">
        <f t="shared" si="2"/>
        <v>8.2462636753210422E-6</v>
      </c>
    </row>
    <row r="26" spans="1:5" x14ac:dyDescent="0.25">
      <c r="A26">
        <v>3.6687484123249998</v>
      </c>
      <c r="B26">
        <v>1.8766532230045357E-2</v>
      </c>
      <c r="C26">
        <f t="shared" si="0"/>
        <v>1.6485079018639819E-2</v>
      </c>
      <c r="D26">
        <f t="shared" si="1"/>
        <v>2.2814532114055382E-3</v>
      </c>
      <c r="E26">
        <f t="shared" si="2"/>
        <v>5.2050287558326431E-6</v>
      </c>
    </row>
    <row r="27" spans="1:5" x14ac:dyDescent="0.25">
      <c r="A27">
        <v>3.8126208874750001</v>
      </c>
      <c r="B27">
        <v>1.4402222409104576E-2</v>
      </c>
      <c r="C27">
        <f t="shared" si="0"/>
        <v>1.3384472747333351E-2</v>
      </c>
      <c r="D27">
        <f t="shared" si="1"/>
        <v>1.0177496617712247E-3</v>
      </c>
      <c r="E27">
        <f t="shared" si="2"/>
        <v>1.0358143740354423E-6</v>
      </c>
    </row>
    <row r="28" spans="1:5" x14ac:dyDescent="0.25">
      <c r="A28">
        <v>3.9564933626250003</v>
      </c>
      <c r="B28">
        <v>1.091077455235195E-2</v>
      </c>
      <c r="C28">
        <f t="shared" si="0"/>
        <v>1.0843965329288991E-2</v>
      </c>
      <c r="D28">
        <f t="shared" si="1"/>
        <v>6.6809223062959736E-5</v>
      </c>
      <c r="E28">
        <f t="shared" si="2"/>
        <v>4.463472286276311E-9</v>
      </c>
    </row>
    <row r="29" spans="1:5" x14ac:dyDescent="0.25">
      <c r="A29">
        <v>4.1003658377749996</v>
      </c>
      <c r="B29">
        <v>9.6014816060697172E-3</v>
      </c>
      <c r="C29">
        <f t="shared" si="0"/>
        <v>8.7676609475145131E-3</v>
      </c>
      <c r="D29">
        <f t="shared" si="1"/>
        <v>8.3382065855520417E-4</v>
      </c>
      <c r="E29">
        <f t="shared" si="2"/>
        <v>6.9525689063343436E-7</v>
      </c>
    </row>
    <row r="30" spans="1:5" x14ac:dyDescent="0.25">
      <c r="A30">
        <v>4.2442383129249999</v>
      </c>
      <c r="B30">
        <v>6.9828957135052482E-3</v>
      </c>
      <c r="C30">
        <f t="shared" si="0"/>
        <v>7.0748606307499866E-3</v>
      </c>
      <c r="D30">
        <f t="shared" si="1"/>
        <v>-9.1964917244738431E-5</v>
      </c>
      <c r="E30">
        <f t="shared" si="2"/>
        <v>8.4575460038315878E-9</v>
      </c>
    </row>
    <row r="31" spans="1:5" x14ac:dyDescent="0.25">
      <c r="A31">
        <v>4.3881107880750001</v>
      </c>
      <c r="B31">
        <v>4.36430982094078E-3</v>
      </c>
      <c r="C31">
        <f t="shared" si="0"/>
        <v>5.6979435368400815E-3</v>
      </c>
      <c r="D31">
        <f t="shared" si="1"/>
        <v>-1.3336337158993015E-3</v>
      </c>
      <c r="E31">
        <f t="shared" si="2"/>
        <v>1.7785788881833789E-6</v>
      </c>
    </row>
    <row r="32" spans="1:5" x14ac:dyDescent="0.25">
      <c r="A32">
        <v>4.5319832632250003</v>
      </c>
      <c r="B32">
        <v>5.2371717851289364E-3</v>
      </c>
      <c r="C32">
        <f t="shared" si="0"/>
        <v>4.5804714572661538E-3</v>
      </c>
      <c r="D32">
        <f t="shared" si="1"/>
        <v>6.5670032786278257E-4</v>
      </c>
      <c r="E32">
        <f t="shared" si="2"/>
        <v>4.3125532061508613E-7</v>
      </c>
    </row>
    <row r="33" spans="1:5" x14ac:dyDescent="0.25">
      <c r="A33">
        <v>4.6758557383749997</v>
      </c>
      <c r="B33">
        <v>3.0550168746585464E-3</v>
      </c>
      <c r="C33">
        <f t="shared" si="0"/>
        <v>3.6755130264456066E-3</v>
      </c>
      <c r="D33">
        <f t="shared" si="1"/>
        <v>-6.2049615178706025E-4</v>
      </c>
      <c r="E33">
        <f t="shared" si="2"/>
        <v>3.850154743825505E-7</v>
      </c>
    </row>
    <row r="34" spans="1:5" x14ac:dyDescent="0.25">
      <c r="A34">
        <v>4.8197282135249999</v>
      </c>
      <c r="B34">
        <v>0</v>
      </c>
      <c r="C34">
        <f t="shared" si="0"/>
        <v>2.9441769316358346E-3</v>
      </c>
      <c r="D34">
        <f t="shared" si="1"/>
        <v>-2.9441769316358346E-3</v>
      </c>
      <c r="E34">
        <f t="shared" si="2"/>
        <v>8.6681778047765977E-6</v>
      </c>
    </row>
    <row r="35" spans="1:5" x14ac:dyDescent="0.25">
      <c r="A35">
        <v>4.963600688675001</v>
      </c>
      <c r="B35">
        <v>8.7286196418815602E-4</v>
      </c>
      <c r="C35">
        <f t="shared" si="0"/>
        <v>2.3543390649163514E-3</v>
      </c>
      <c r="D35">
        <f t="shared" si="1"/>
        <v>-1.4814771007281955E-3</v>
      </c>
      <c r="E35">
        <f t="shared" si="2"/>
        <v>2.1947743999820196E-6</v>
      </c>
    </row>
    <row r="36" spans="1:5" x14ac:dyDescent="0.25">
      <c r="A36">
        <v>5.1074731638250004</v>
      </c>
      <c r="B36">
        <v>8.7286196418815602E-4</v>
      </c>
      <c r="C36">
        <f t="shared" si="0"/>
        <v>1.879546249668044E-3</v>
      </c>
      <c r="D36">
        <f t="shared" si="1"/>
        <v>-1.0066842854798879E-3</v>
      </c>
      <c r="E36">
        <f t="shared" si="2"/>
        <v>1.0134132506321524E-6</v>
      </c>
    </row>
    <row r="37" spans="1:5" x14ac:dyDescent="0.25">
      <c r="A37">
        <v>5.2513456389749997</v>
      </c>
      <c r="B37">
        <v>0</v>
      </c>
      <c r="C37">
        <f t="shared" si="0"/>
        <v>1.4980783096036365E-3</v>
      </c>
      <c r="D37">
        <f t="shared" si="1"/>
        <v>-1.4980783096036365E-3</v>
      </c>
      <c r="E37">
        <f t="shared" si="2"/>
        <v>2.2442386217048888E-6</v>
      </c>
    </row>
    <row r="38" spans="1:5" x14ac:dyDescent="0.25">
      <c r="A38">
        <v>5.3952181141250009</v>
      </c>
      <c r="B38">
        <v>8.7286196418815602E-4</v>
      </c>
      <c r="C38">
        <f t="shared" si="0"/>
        <v>1.1921503749935673E-3</v>
      </c>
      <c r="D38">
        <f t="shared" si="1"/>
        <v>-3.1928841080541132E-4</v>
      </c>
      <c r="E38">
        <f t="shared" si="2"/>
        <v>1.019450892746451E-7</v>
      </c>
    </row>
    <row r="39" spans="1:5" x14ac:dyDescent="0.25">
      <c r="A39">
        <v>5.5390905892750002</v>
      </c>
      <c r="B39">
        <v>0</v>
      </c>
      <c r="C39">
        <f t="shared" si="0"/>
        <v>9.4723809921675687E-4</v>
      </c>
      <c r="D39">
        <f t="shared" si="1"/>
        <v>-9.4723809921675687E-4</v>
      </c>
      <c r="E39">
        <f t="shared" si="2"/>
        <v>8.972600166077745E-7</v>
      </c>
    </row>
    <row r="40" spans="1:5" x14ac:dyDescent="0.25">
      <c r="A40">
        <v>5.6829630644249995</v>
      </c>
      <c r="B40">
        <v>4.3643098209407801E-4</v>
      </c>
      <c r="C40">
        <f t="shared" si="0"/>
        <v>7.5150963914706723E-4</v>
      </c>
      <c r="D40">
        <f t="shared" si="1"/>
        <v>-3.1507865705298921E-4</v>
      </c>
      <c r="E40">
        <f t="shared" si="2"/>
        <v>9.9274560130315184E-8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8D1E-50EA-4C60-8114-2706B9A98C3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7.0698040112499999E-2</v>
      </c>
      <c r="B1">
        <v>0.54315488384602961</v>
      </c>
      <c r="C1">
        <f>$H$3*(1+$H$1)*(A1^($H$1))*EXP(-$H$3*(A1^(1+$H$1)))</f>
        <v>0.54123383584313889</v>
      </c>
      <c r="D1">
        <f>B1-C1</f>
        <v>1.921048002890724E-3</v>
      </c>
      <c r="E1">
        <f>D1^2</f>
        <v>3.6904254294104392E-6</v>
      </c>
      <c r="G1" t="s">
        <v>0</v>
      </c>
      <c r="H1">
        <v>0.27552203689127763</v>
      </c>
    </row>
    <row r="2" spans="1:8" x14ac:dyDescent="0.25">
      <c r="A2">
        <v>0.21188528033750001</v>
      </c>
      <c r="B2">
        <v>0.59560355511757757</v>
      </c>
      <c r="C2">
        <f t="shared" ref="C2:C40" si="0">$H$3*(1+$H$1)*(A2^($H$1))*EXP(-$H$3*(A2^(1+$H$1)))</f>
        <v>0.66629550855199027</v>
      </c>
      <c r="D2">
        <f t="shared" ref="D2:D40" si="1">B2-C2</f>
        <v>-7.0691953434412702E-2</v>
      </c>
      <c r="E2">
        <f t="shared" ref="E2:E40" si="2">D2^2</f>
        <v>4.9973522803731735E-3</v>
      </c>
    </row>
    <row r="3" spans="1:8" x14ac:dyDescent="0.25">
      <c r="A3">
        <v>0.35307252056250005</v>
      </c>
      <c r="B3">
        <v>0.66849831857972886</v>
      </c>
      <c r="C3">
        <f t="shared" si="0"/>
        <v>0.68349783961413735</v>
      </c>
      <c r="D3">
        <f t="shared" si="1"/>
        <v>-1.4999521034408492E-2</v>
      </c>
      <c r="E3">
        <f t="shared" si="2"/>
        <v>2.2498563126166279E-4</v>
      </c>
      <c r="G3" t="s">
        <v>1</v>
      </c>
      <c r="H3">
        <f>(_xlfn.GAMMA((2+$H$1)/(1+$H$1)))^(1+$H$1)</f>
        <v>0.90813066757702265</v>
      </c>
    </row>
    <row r="4" spans="1:8" x14ac:dyDescent="0.25">
      <c r="A4">
        <v>0.4942597607875</v>
      </c>
      <c r="B4">
        <v>0.80628720073379523</v>
      </c>
      <c r="C4">
        <f t="shared" si="0"/>
        <v>0.65914456703147384</v>
      </c>
      <c r="D4">
        <f t="shared" si="1"/>
        <v>0.14714263370232139</v>
      </c>
      <c r="E4">
        <f t="shared" si="2"/>
        <v>2.1650954652855527E-2</v>
      </c>
    </row>
    <row r="5" spans="1:8" x14ac:dyDescent="0.25">
      <c r="A5">
        <v>0.63544700101250007</v>
      </c>
      <c r="B5">
        <v>0.69694505554056829</v>
      </c>
      <c r="C5">
        <f t="shared" si="0"/>
        <v>0.61432070854410148</v>
      </c>
      <c r="D5">
        <f t="shared" si="1"/>
        <v>8.2624346996466813E-2</v>
      </c>
      <c r="E5">
        <f t="shared" si="2"/>
        <v>6.8267827165925544E-3</v>
      </c>
      <c r="G5" t="s">
        <v>2</v>
      </c>
      <c r="H5">
        <f>SUM(E1:E40)</f>
        <v>4.5048738817769524E-2</v>
      </c>
    </row>
    <row r="6" spans="1:8" x14ac:dyDescent="0.25">
      <c r="A6">
        <v>0.77663424123750002</v>
      </c>
      <c r="B6">
        <v>0.54804416676117396</v>
      </c>
      <c r="C6">
        <f t="shared" si="0"/>
        <v>0.55962143942726594</v>
      </c>
      <c r="D6">
        <f t="shared" si="1"/>
        <v>-1.1577272666091987E-2</v>
      </c>
      <c r="E6">
        <f t="shared" si="2"/>
        <v>1.3403324238504065E-4</v>
      </c>
    </row>
    <row r="7" spans="1:8" x14ac:dyDescent="0.25">
      <c r="A7">
        <v>0.91782148146250009</v>
      </c>
      <c r="B7">
        <v>0.44803610713322251</v>
      </c>
      <c r="C7">
        <f t="shared" si="0"/>
        <v>0.50123615742004546</v>
      </c>
      <c r="D7">
        <f t="shared" si="1"/>
        <v>-5.3200050286822953E-2</v>
      </c>
      <c r="E7">
        <f t="shared" si="2"/>
        <v>2.830245350520491E-3</v>
      </c>
    </row>
    <row r="8" spans="1:8" x14ac:dyDescent="0.25">
      <c r="A8">
        <v>1.0590087216874999</v>
      </c>
      <c r="B8">
        <v>0.39914327798177957</v>
      </c>
      <c r="C8">
        <f t="shared" si="0"/>
        <v>0.44297334969139268</v>
      </c>
      <c r="D8">
        <f t="shared" si="1"/>
        <v>-4.3830071709613116E-2</v>
      </c>
      <c r="E8">
        <f t="shared" si="2"/>
        <v>1.9210751860698281E-3</v>
      </c>
    </row>
    <row r="9" spans="1:8" x14ac:dyDescent="0.25">
      <c r="A9">
        <v>1.2001959619125002</v>
      </c>
      <c r="B9">
        <v>0.3444722053851661</v>
      </c>
      <c r="C9">
        <f t="shared" si="0"/>
        <v>0.38717865681781655</v>
      </c>
      <c r="D9">
        <f t="shared" si="1"/>
        <v>-4.270645143265045E-2</v>
      </c>
      <c r="E9">
        <f t="shared" si="2"/>
        <v>1.8238409939693317E-3</v>
      </c>
    </row>
    <row r="10" spans="1:8" x14ac:dyDescent="0.25">
      <c r="A10">
        <v>1.3413832021375001</v>
      </c>
      <c r="B10">
        <v>0.30669138285905112</v>
      </c>
      <c r="C10">
        <f t="shared" si="0"/>
        <v>0.33523821426160749</v>
      </c>
      <c r="D10">
        <f t="shared" si="1"/>
        <v>-2.8546831402556372E-2</v>
      </c>
      <c r="E10">
        <f t="shared" si="2"/>
        <v>8.1492158312597863E-4</v>
      </c>
    </row>
    <row r="11" spans="1:8" x14ac:dyDescent="0.25">
      <c r="A11">
        <v>1.4825704423625004</v>
      </c>
      <c r="B11">
        <v>0.23913038257705724</v>
      </c>
      <c r="C11">
        <f t="shared" si="0"/>
        <v>0.28789004310161298</v>
      </c>
      <c r="D11">
        <f t="shared" si="1"/>
        <v>-4.8759660524555742E-2</v>
      </c>
      <c r="E11">
        <f t="shared" si="2"/>
        <v>2.3775044944699198E-3</v>
      </c>
    </row>
    <row r="12" spans="1:8" x14ac:dyDescent="0.25">
      <c r="A12">
        <v>1.6237576825875002</v>
      </c>
      <c r="B12">
        <v>0.23068525754180802</v>
      </c>
      <c r="C12">
        <f t="shared" si="0"/>
        <v>0.24543161775910632</v>
      </c>
      <c r="D12">
        <f t="shared" si="1"/>
        <v>-1.4746360217298304E-2</v>
      </c>
      <c r="E12">
        <f t="shared" si="2"/>
        <v>2.1745513965831808E-4</v>
      </c>
    </row>
    <row r="13" spans="1:8" x14ac:dyDescent="0.25">
      <c r="A13">
        <v>1.7649449228125</v>
      </c>
      <c r="B13">
        <v>0.20046059952091602</v>
      </c>
      <c r="C13">
        <f t="shared" si="0"/>
        <v>0.20786436743483502</v>
      </c>
      <c r="D13">
        <f t="shared" si="1"/>
        <v>-7.4037679139190016E-3</v>
      </c>
      <c r="E13">
        <f t="shared" si="2"/>
        <v>5.4815779323176524E-5</v>
      </c>
    </row>
    <row r="14" spans="1:8" x14ac:dyDescent="0.25">
      <c r="A14">
        <v>1.9061321630375001</v>
      </c>
      <c r="B14">
        <v>0.1697914612350109</v>
      </c>
      <c r="C14">
        <f t="shared" si="0"/>
        <v>0.17499655009067627</v>
      </c>
      <c r="D14">
        <f t="shared" si="1"/>
        <v>-5.2050888556653685E-3</v>
      </c>
      <c r="E14">
        <f t="shared" si="2"/>
        <v>2.7092949995371815E-5</v>
      </c>
    </row>
    <row r="15" spans="1:8" x14ac:dyDescent="0.25">
      <c r="A15">
        <v>2.0473194032625002</v>
      </c>
      <c r="B15">
        <v>0.15867945460968297</v>
      </c>
      <c r="C15">
        <f t="shared" si="0"/>
        <v>0.14651706779629439</v>
      </c>
      <c r="D15">
        <f t="shared" si="1"/>
        <v>1.2162386813388576E-2</v>
      </c>
      <c r="E15">
        <f t="shared" si="2"/>
        <v>1.4792365299848832E-4</v>
      </c>
    </row>
    <row r="16" spans="1:8" x14ac:dyDescent="0.25">
      <c r="A16">
        <v>2.1885066434875</v>
      </c>
      <c r="B16">
        <v>0.11245350704831875</v>
      </c>
      <c r="C16">
        <f t="shared" si="0"/>
        <v>0.12204827422664952</v>
      </c>
      <c r="D16">
        <f t="shared" si="1"/>
        <v>-9.5947671783307709E-3</v>
      </c>
      <c r="E16">
        <f t="shared" si="2"/>
        <v>9.2059557206373429E-5</v>
      </c>
    </row>
    <row r="17" spans="1:5" x14ac:dyDescent="0.25">
      <c r="A17">
        <v>2.3296938837125003</v>
      </c>
      <c r="B17">
        <v>0.10756422413317444</v>
      </c>
      <c r="C17">
        <f t="shared" si="0"/>
        <v>0.10118329370376999</v>
      </c>
      <c r="D17">
        <f t="shared" si="1"/>
        <v>6.3809304294044494E-3</v>
      </c>
      <c r="E17">
        <f t="shared" si="2"/>
        <v>4.0716273144899651E-5</v>
      </c>
    </row>
    <row r="18" spans="1:5" x14ac:dyDescent="0.25">
      <c r="A18">
        <v>2.4708811239375001</v>
      </c>
      <c r="B18">
        <v>9.7785658302885867E-2</v>
      </c>
      <c r="C18">
        <f t="shared" si="0"/>
        <v>8.3511823376586261E-2</v>
      </c>
      <c r="D18">
        <f t="shared" si="1"/>
        <v>1.4273834926299606E-2</v>
      </c>
      <c r="E18">
        <f t="shared" si="2"/>
        <v>2.0374236350325048E-4</v>
      </c>
    </row>
    <row r="19" spans="1:5" x14ac:dyDescent="0.25">
      <c r="A19">
        <v>2.6120683641625</v>
      </c>
      <c r="B19">
        <v>7.689508584726934E-2</v>
      </c>
      <c r="C19">
        <f t="shared" si="0"/>
        <v>6.8637368601854612E-2</v>
      </c>
      <c r="D19">
        <f t="shared" si="1"/>
        <v>8.257717245414728E-3</v>
      </c>
      <c r="E19">
        <f t="shared" si="2"/>
        <v>6.8189894105219801E-5</v>
      </c>
    </row>
    <row r="20" spans="1:5" x14ac:dyDescent="0.25">
      <c r="A20">
        <v>2.7532556043875003</v>
      </c>
      <c r="B20">
        <v>5.7782434451705285E-2</v>
      </c>
      <c r="C20">
        <f t="shared" si="0"/>
        <v>5.618814428861986E-2</v>
      </c>
      <c r="D20">
        <f t="shared" si="1"/>
        <v>1.5942901630854253E-3</v>
      </c>
      <c r="E20">
        <f t="shared" si="2"/>
        <v>2.541761124110952E-6</v>
      </c>
    </row>
    <row r="21" spans="1:5" x14ac:dyDescent="0.25">
      <c r="A21">
        <v>2.8944428446125006</v>
      </c>
      <c r="B21">
        <v>6.31161976318627E-2</v>
      </c>
      <c r="C21">
        <f t="shared" si="0"/>
        <v>4.5823347522245157E-2</v>
      </c>
      <c r="D21">
        <f t="shared" si="1"/>
        <v>1.7292850109617543E-2</v>
      </c>
      <c r="E21">
        <f t="shared" si="2"/>
        <v>2.9904266491369947E-4</v>
      </c>
    </row>
    <row r="22" spans="1:5" x14ac:dyDescent="0.25">
      <c r="A22">
        <v>3.0356300848375004</v>
      </c>
      <c r="B22">
        <v>5.1559710741521637E-2</v>
      </c>
      <c r="C22">
        <f t="shared" si="0"/>
        <v>3.7236106593364467E-2</v>
      </c>
      <c r="D22">
        <f t="shared" si="1"/>
        <v>1.4323604148157171E-2</v>
      </c>
      <c r="E22">
        <f t="shared" si="2"/>
        <v>2.051656357931053E-4</v>
      </c>
    </row>
    <row r="23" spans="1:5" x14ac:dyDescent="0.25">
      <c r="A23">
        <v>3.1768173250625003</v>
      </c>
      <c r="B23">
        <v>3.3780500140996934E-2</v>
      </c>
      <c r="C23">
        <f t="shared" si="0"/>
        <v>3.0154102046850078E-2</v>
      </c>
      <c r="D23">
        <f t="shared" si="1"/>
        <v>3.6263980941468564E-3</v>
      </c>
      <c r="E23">
        <f t="shared" si="2"/>
        <v>1.3150763137231953E-5</v>
      </c>
    </row>
    <row r="24" spans="1:5" x14ac:dyDescent="0.25">
      <c r="A24">
        <v>3.3180045652875001</v>
      </c>
      <c r="B24">
        <v>2.4890894840734583E-2</v>
      </c>
      <c r="C24">
        <f t="shared" si="0"/>
        <v>2.4338613612796312E-2</v>
      </c>
      <c r="D24">
        <f t="shared" si="1"/>
        <v>5.5228122793827064E-4</v>
      </c>
      <c r="E24">
        <f t="shared" si="2"/>
        <v>3.0501455473300405E-7</v>
      </c>
    </row>
    <row r="25" spans="1:5" x14ac:dyDescent="0.25">
      <c r="A25">
        <v>3.4591918055124999</v>
      </c>
      <c r="B25">
        <v>2.5779855370760819E-2</v>
      </c>
      <c r="C25">
        <f t="shared" si="0"/>
        <v>1.9582557466168226E-2</v>
      </c>
      <c r="D25">
        <f t="shared" si="1"/>
        <v>6.1972979045925927E-3</v>
      </c>
      <c r="E25">
        <f t="shared" si="2"/>
        <v>3.8406501318267739E-5</v>
      </c>
    </row>
    <row r="26" spans="1:5" x14ac:dyDescent="0.25">
      <c r="A26">
        <v>3.6003790457375002</v>
      </c>
      <c r="B26">
        <v>1.6445769805485351E-2</v>
      </c>
      <c r="C26">
        <f t="shared" si="0"/>
        <v>1.57079301214962E-2</v>
      </c>
      <c r="D26">
        <f t="shared" si="1"/>
        <v>7.3783968398915059E-4</v>
      </c>
      <c r="E26">
        <f t="shared" si="2"/>
        <v>5.444073992692096E-7</v>
      </c>
    </row>
    <row r="27" spans="1:5" x14ac:dyDescent="0.25">
      <c r="A27">
        <v>3.7415662859625005</v>
      </c>
      <c r="B27">
        <v>1.7334730335511583E-2</v>
      </c>
      <c r="C27">
        <f t="shared" si="0"/>
        <v>1.2562960040875284E-2</v>
      </c>
      <c r="D27">
        <f t="shared" si="1"/>
        <v>4.7717702946362996E-3</v>
      </c>
      <c r="E27">
        <f t="shared" si="2"/>
        <v>2.2769791744773396E-5</v>
      </c>
    </row>
    <row r="28" spans="1:5" x14ac:dyDescent="0.25">
      <c r="A28">
        <v>3.8827535261875004</v>
      </c>
      <c r="B28">
        <v>9.7785658302885856E-3</v>
      </c>
      <c r="C28">
        <f t="shared" si="0"/>
        <v>1.0019179153120611E-2</v>
      </c>
      <c r="D28">
        <f t="shared" si="1"/>
        <v>-2.4061332283202563E-4</v>
      </c>
      <c r="E28">
        <f t="shared" si="2"/>
        <v>5.7894771124268587E-8</v>
      </c>
    </row>
    <row r="29" spans="1:5" x14ac:dyDescent="0.25">
      <c r="A29">
        <v>4.0239407664125002</v>
      </c>
      <c r="B29">
        <v>9.7785658302885856E-3</v>
      </c>
      <c r="C29">
        <f t="shared" si="0"/>
        <v>7.9685586721617973E-3</v>
      </c>
      <c r="D29">
        <f t="shared" si="1"/>
        <v>1.8100071581267883E-3</v>
      </c>
      <c r="E29">
        <f t="shared" si="2"/>
        <v>3.2761259124702124E-6</v>
      </c>
    </row>
    <row r="30" spans="1:5" x14ac:dyDescent="0.25">
      <c r="A30">
        <v>4.1651280066375005</v>
      </c>
      <c r="B30">
        <v>6.6672039751967636E-3</v>
      </c>
      <c r="C30">
        <f t="shared" si="0"/>
        <v>6.320802566705982E-3</v>
      </c>
      <c r="D30">
        <f t="shared" si="1"/>
        <v>3.4640140849078165E-4</v>
      </c>
      <c r="E30">
        <f t="shared" si="2"/>
        <v>1.1999393580439737E-7</v>
      </c>
    </row>
    <row r="31" spans="1:5" x14ac:dyDescent="0.25">
      <c r="A31">
        <v>4.3063152468624999</v>
      </c>
      <c r="B31">
        <v>4.4448026501311758E-3</v>
      </c>
      <c r="C31">
        <f t="shared" si="0"/>
        <v>5.0008542552097066E-3</v>
      </c>
      <c r="D31">
        <f t="shared" si="1"/>
        <v>-5.560516050785308E-4</v>
      </c>
      <c r="E31">
        <f t="shared" si="2"/>
        <v>3.0919338751041039E-7</v>
      </c>
    </row>
    <row r="32" spans="1:5" x14ac:dyDescent="0.25">
      <c r="A32">
        <v>4.4475024870875011</v>
      </c>
      <c r="B32">
        <v>4.0003223851180578E-3</v>
      </c>
      <c r="C32">
        <f t="shared" si="0"/>
        <v>3.9466447058818729E-3</v>
      </c>
      <c r="D32">
        <f t="shared" si="1"/>
        <v>5.3677679236184897E-5</v>
      </c>
      <c r="E32">
        <f t="shared" si="2"/>
        <v>2.8812932481827552E-9</v>
      </c>
    </row>
    <row r="33" spans="1:5" x14ac:dyDescent="0.25">
      <c r="A33">
        <v>4.5886897273125005</v>
      </c>
      <c r="B33">
        <v>3.1113618550918229E-3</v>
      </c>
      <c r="C33">
        <f t="shared" si="0"/>
        <v>3.1070907709953954E-3</v>
      </c>
      <c r="D33">
        <f t="shared" si="1"/>
        <v>4.2710840964274403E-6</v>
      </c>
      <c r="E33">
        <f t="shared" si="2"/>
        <v>1.8242159358755404E-11</v>
      </c>
    </row>
    <row r="34" spans="1:5" x14ac:dyDescent="0.25">
      <c r="A34">
        <v>4.7298769675374999</v>
      </c>
      <c r="B34">
        <v>1.3334407950393527E-3</v>
      </c>
      <c r="C34">
        <f t="shared" si="0"/>
        <v>2.4403393866456371E-3</v>
      </c>
      <c r="D34">
        <f t="shared" si="1"/>
        <v>-1.1068985916062844E-3</v>
      </c>
      <c r="E34">
        <f t="shared" si="2"/>
        <v>1.225224492099976E-6</v>
      </c>
    </row>
    <row r="35" spans="1:5" x14ac:dyDescent="0.25">
      <c r="A35">
        <v>4.8710642077625002</v>
      </c>
      <c r="B35">
        <v>1.3334407950393527E-3</v>
      </c>
      <c r="C35">
        <f t="shared" si="0"/>
        <v>1.9122447071843077E-3</v>
      </c>
      <c r="D35">
        <f t="shared" si="1"/>
        <v>-5.7880391214495497E-4</v>
      </c>
      <c r="E35">
        <f t="shared" si="2"/>
        <v>3.3501396871430476E-7</v>
      </c>
    </row>
    <row r="36" spans="1:5" x14ac:dyDescent="0.25">
      <c r="A36">
        <v>5.0122514479875004</v>
      </c>
      <c r="B36">
        <v>0</v>
      </c>
      <c r="C36">
        <f t="shared" si="0"/>
        <v>1.4950601148071699E-3</v>
      </c>
      <c r="D36">
        <f t="shared" si="1"/>
        <v>-1.4950601148071699E-3</v>
      </c>
      <c r="E36">
        <f t="shared" si="2"/>
        <v>2.2352047468872283E-6</v>
      </c>
    </row>
    <row r="37" spans="1:5" x14ac:dyDescent="0.25">
      <c r="A37">
        <v>5.1534386882124998</v>
      </c>
      <c r="B37">
        <v>0</v>
      </c>
      <c r="C37">
        <f t="shared" si="0"/>
        <v>1.1663244050825082E-3</v>
      </c>
      <c r="D37">
        <f t="shared" si="1"/>
        <v>-1.1663244050825082E-3</v>
      </c>
      <c r="E37">
        <f t="shared" si="2"/>
        <v>1.3603126178910666E-6</v>
      </c>
    </row>
    <row r="38" spans="1:5" x14ac:dyDescent="0.25">
      <c r="A38">
        <v>5.294625928437501</v>
      </c>
      <c r="B38">
        <v>8.8896053002623509E-4</v>
      </c>
      <c r="C38">
        <f t="shared" si="0"/>
        <v>9.0792056679706034E-4</v>
      </c>
      <c r="D38">
        <f t="shared" si="1"/>
        <v>-1.8960036770825257E-5</v>
      </c>
      <c r="E38">
        <f t="shared" si="2"/>
        <v>3.5948299435104583E-10</v>
      </c>
    </row>
    <row r="39" spans="1:5" x14ac:dyDescent="0.25">
      <c r="A39">
        <v>5.4358131686625004</v>
      </c>
      <c r="B39">
        <v>0</v>
      </c>
      <c r="C39">
        <f t="shared" si="0"/>
        <v>7.0528588992455033E-4</v>
      </c>
      <c r="D39">
        <f t="shared" si="1"/>
        <v>-7.0528588992455033E-4</v>
      </c>
      <c r="E39">
        <f t="shared" si="2"/>
        <v>4.9742818652666493E-7</v>
      </c>
    </row>
    <row r="40" spans="1:5" x14ac:dyDescent="0.25">
      <c r="A40">
        <v>5.5770004088874998</v>
      </c>
      <c r="B40">
        <v>4.4448026501311754E-4</v>
      </c>
      <c r="C40">
        <f t="shared" si="0"/>
        <v>5.4675322771130584E-4</v>
      </c>
      <c r="D40">
        <f t="shared" si="1"/>
        <v>-1.022729626981883E-4</v>
      </c>
      <c r="E40">
        <f t="shared" si="2"/>
        <v>1.0459758899065015E-8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257A-38FA-43A3-BD78-42059DBBF04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6.9682294850000007E-2</v>
      </c>
      <c r="B1">
        <v>0.49944815253717634</v>
      </c>
      <c r="C1">
        <f>$H$3*(1+$H$1)*(A1^($H$1))*EXP(-$H$3*(A1^(1+$H$1)))</f>
        <v>0.48965225830091708</v>
      </c>
      <c r="D1">
        <f>B1-C1</f>
        <v>9.7958942362592616E-3</v>
      </c>
      <c r="E1">
        <f>D1^2</f>
        <v>9.5959543887977428E-5</v>
      </c>
      <c r="G1" t="s">
        <v>0</v>
      </c>
      <c r="H1">
        <v>0.32176973530819064</v>
      </c>
    </row>
    <row r="2" spans="1:8" x14ac:dyDescent="0.25">
      <c r="A2">
        <v>0.20896208455000004</v>
      </c>
      <c r="B2">
        <v>0.60673033692693079</v>
      </c>
      <c r="C2">
        <f t="shared" ref="C2:C40" si="0">$H$3*(1+$H$1)*(A2^($H$1))*EXP(-$H$3*(A2^(1+$H$1)))</f>
        <v>0.63931053261402726</v>
      </c>
      <c r="D2">
        <f t="shared" ref="D2:D40" si="1">B2-C2</f>
        <v>-3.2580195687096469E-2</v>
      </c>
      <c r="E2">
        <f t="shared" ref="E2:E40" si="2">D2^2</f>
        <v>1.0614691510094994E-3</v>
      </c>
    </row>
    <row r="3" spans="1:8" x14ac:dyDescent="0.25">
      <c r="A3">
        <v>0.34824187425000003</v>
      </c>
      <c r="B3">
        <v>0.61168875721385219</v>
      </c>
      <c r="C3">
        <f t="shared" si="0"/>
        <v>0.67560044612153891</v>
      </c>
      <c r="D3">
        <f t="shared" si="1"/>
        <v>-6.3911688907686726E-2</v>
      </c>
      <c r="E3">
        <f t="shared" si="2"/>
        <v>4.0847039790329262E-3</v>
      </c>
      <c r="G3" t="s">
        <v>1</v>
      </c>
      <c r="H3">
        <f>(_xlfn.GAMMA((2+$H$1)/(1+$H$1)))^(1+$H$1)</f>
        <v>0.89637996522012564</v>
      </c>
    </row>
    <row r="4" spans="1:8" x14ac:dyDescent="0.25">
      <c r="A4">
        <v>0.48752166395000007</v>
      </c>
      <c r="B4">
        <v>0.71536481775857297</v>
      </c>
      <c r="C4">
        <f t="shared" si="0"/>
        <v>0.6647158664741446</v>
      </c>
      <c r="D4">
        <f t="shared" si="1"/>
        <v>5.0648951284428367E-2</v>
      </c>
      <c r="E4">
        <f t="shared" si="2"/>
        <v>2.5653162662123978E-3</v>
      </c>
    </row>
    <row r="5" spans="1:8" x14ac:dyDescent="0.25">
      <c r="A5">
        <v>0.62680145365000006</v>
      </c>
      <c r="B5">
        <v>0.76675208255030414</v>
      </c>
      <c r="C5">
        <f t="shared" si="0"/>
        <v>0.62865759136422006</v>
      </c>
      <c r="D5">
        <f t="shared" si="1"/>
        <v>0.13809449118608408</v>
      </c>
      <c r="E5">
        <f t="shared" si="2"/>
        <v>1.9070088495943452E-2</v>
      </c>
      <c r="G5" t="s">
        <v>2</v>
      </c>
      <c r="H5">
        <f>SUM(E1:E40)</f>
        <v>4.3113657100733331E-2</v>
      </c>
    </row>
    <row r="6" spans="1:8" x14ac:dyDescent="0.25">
      <c r="A6">
        <v>0.76608124335000005</v>
      </c>
      <c r="B6">
        <v>0.64008698249349316</v>
      </c>
      <c r="C6">
        <f t="shared" si="0"/>
        <v>0.5790100641620336</v>
      </c>
      <c r="D6">
        <f t="shared" si="1"/>
        <v>6.1076918331459562E-2</v>
      </c>
      <c r="E6">
        <f t="shared" si="2"/>
        <v>3.730389952867781E-3</v>
      </c>
    </row>
    <row r="7" spans="1:8" x14ac:dyDescent="0.25">
      <c r="A7">
        <v>0.90536103305000004</v>
      </c>
      <c r="B7">
        <v>0.48006523687011982</v>
      </c>
      <c r="C7">
        <f t="shared" si="0"/>
        <v>0.52287833883328105</v>
      </c>
      <c r="D7">
        <f t="shared" si="1"/>
        <v>-4.2813101963161238E-2</v>
      </c>
      <c r="E7">
        <f t="shared" si="2"/>
        <v>1.8329616997080406E-3</v>
      </c>
    </row>
    <row r="8" spans="1:8" x14ac:dyDescent="0.25">
      <c r="A8">
        <v>1.0446408227499999</v>
      </c>
      <c r="B8">
        <v>0.42417031727209648</v>
      </c>
      <c r="C8">
        <f t="shared" si="0"/>
        <v>0.46486254540411825</v>
      </c>
      <c r="D8">
        <f t="shared" si="1"/>
        <v>-4.0692228132021779E-2</v>
      </c>
      <c r="E8">
        <f t="shared" si="2"/>
        <v>1.6558574303485046E-3</v>
      </c>
    </row>
    <row r="9" spans="1:8" x14ac:dyDescent="0.25">
      <c r="A9">
        <v>1.1839206124500001</v>
      </c>
      <c r="B9">
        <v>0.36602157027092708</v>
      </c>
      <c r="C9">
        <f t="shared" si="0"/>
        <v>0.40796096996998821</v>
      </c>
      <c r="D9">
        <f t="shared" si="1"/>
        <v>-4.1939399699061131E-2</v>
      </c>
      <c r="E9">
        <f t="shared" si="2"/>
        <v>1.7589132471176089E-3</v>
      </c>
    </row>
    <row r="10" spans="1:8" x14ac:dyDescent="0.25">
      <c r="A10">
        <v>1.3232004021499999</v>
      </c>
      <c r="B10">
        <v>0.31869119480485891</v>
      </c>
      <c r="C10">
        <f t="shared" si="0"/>
        <v>0.35407644428694446</v>
      </c>
      <c r="D10">
        <f t="shared" si="1"/>
        <v>-3.5385249482085546E-2</v>
      </c>
      <c r="E10">
        <f t="shared" si="2"/>
        <v>1.2521158809094353E-3</v>
      </c>
    </row>
    <row r="11" spans="1:8" x14ac:dyDescent="0.25">
      <c r="A11">
        <v>1.4624801918500001</v>
      </c>
      <c r="B11">
        <v>0.24521642146229597</v>
      </c>
      <c r="C11">
        <f t="shared" si="0"/>
        <v>0.30434032348410817</v>
      </c>
      <c r="D11">
        <f t="shared" si="1"/>
        <v>-5.9123902021812197E-2</v>
      </c>
      <c r="E11">
        <f t="shared" si="2"/>
        <v>3.4956357902848484E-3</v>
      </c>
    </row>
    <row r="12" spans="1:8" x14ac:dyDescent="0.25">
      <c r="A12">
        <v>1.6017599815500001</v>
      </c>
      <c r="B12">
        <v>0.22312891291146414</v>
      </c>
      <c r="C12">
        <f t="shared" si="0"/>
        <v>0.25933712932330832</v>
      </c>
      <c r="D12">
        <f t="shared" si="1"/>
        <v>-3.6208216411844185E-2</v>
      </c>
      <c r="E12">
        <f t="shared" si="2"/>
        <v>1.3110349357269425E-3</v>
      </c>
    </row>
    <row r="13" spans="1:8" x14ac:dyDescent="0.25">
      <c r="A13">
        <v>1.7410397712500001</v>
      </c>
      <c r="B13">
        <v>0.21501513426013819</v>
      </c>
      <c r="C13">
        <f t="shared" si="0"/>
        <v>0.21926747024715218</v>
      </c>
      <c r="D13">
        <f t="shared" si="1"/>
        <v>-4.2523359870139943E-3</v>
      </c>
      <c r="E13">
        <f t="shared" si="2"/>
        <v>1.8082361346454282E-5</v>
      </c>
    </row>
    <row r="14" spans="1:8" x14ac:dyDescent="0.25">
      <c r="A14">
        <v>1.8803195609500001</v>
      </c>
      <c r="B14">
        <v>0.16858628975532847</v>
      </c>
      <c r="C14">
        <f t="shared" si="0"/>
        <v>0.18406875670157175</v>
      </c>
      <c r="D14">
        <f t="shared" si="1"/>
        <v>-1.5482466946243278E-2</v>
      </c>
      <c r="E14">
        <f t="shared" si="2"/>
        <v>2.3970678274151566E-4</v>
      </c>
    </row>
    <row r="15" spans="1:8" x14ac:dyDescent="0.25">
      <c r="A15">
        <v>2.0195993506500001</v>
      </c>
      <c r="B15">
        <v>0.15776791822022718</v>
      </c>
      <c r="C15">
        <f t="shared" si="0"/>
        <v>0.15350518769670887</v>
      </c>
      <c r="D15">
        <f t="shared" si="1"/>
        <v>4.2627305235183044E-3</v>
      </c>
      <c r="E15">
        <f t="shared" si="2"/>
        <v>1.8170871516134637E-5</v>
      </c>
    </row>
    <row r="16" spans="1:8" x14ac:dyDescent="0.25">
      <c r="A16">
        <v>2.1588791403500003</v>
      </c>
      <c r="B16">
        <v>0.12035438332800187</v>
      </c>
      <c r="C16">
        <f t="shared" si="0"/>
        <v>0.12723452686912773</v>
      </c>
      <c r="D16">
        <f t="shared" si="1"/>
        <v>-6.8801435411258577E-3</v>
      </c>
      <c r="E16">
        <f t="shared" si="2"/>
        <v>4.7336375146495854E-5</v>
      </c>
    </row>
    <row r="17" spans="1:5" x14ac:dyDescent="0.25">
      <c r="A17">
        <v>2.2981589300500005</v>
      </c>
      <c r="B17">
        <v>0.11269137015730513</v>
      </c>
      <c r="C17">
        <f t="shared" si="0"/>
        <v>0.10485702548811755</v>
      </c>
      <c r="D17">
        <f t="shared" si="1"/>
        <v>7.8343446691875734E-3</v>
      </c>
      <c r="E17">
        <f t="shared" si="2"/>
        <v>6.137695639562775E-5</v>
      </c>
    </row>
    <row r="18" spans="1:5" x14ac:dyDescent="0.25">
      <c r="A18">
        <v>2.4374387197500003</v>
      </c>
      <c r="B18">
        <v>9.1505392567731769E-2</v>
      </c>
      <c r="C18">
        <f t="shared" si="0"/>
        <v>8.5950535947632453E-2</v>
      </c>
      <c r="D18">
        <f t="shared" si="1"/>
        <v>5.554856620099316E-3</v>
      </c>
      <c r="E18">
        <f t="shared" si="2"/>
        <v>3.0856432069861196E-5</v>
      </c>
    </row>
    <row r="19" spans="1:5" x14ac:dyDescent="0.25">
      <c r="A19">
        <v>2.57671850945</v>
      </c>
      <c r="B19">
        <v>8.0236255552001257E-2</v>
      </c>
      <c r="C19">
        <f t="shared" si="0"/>
        <v>7.0094974000532523E-2</v>
      </c>
      <c r="D19">
        <f t="shared" si="1"/>
        <v>1.0141281551468734E-2</v>
      </c>
      <c r="E19">
        <f t="shared" si="2"/>
        <v>1.0284559150616009E-4</v>
      </c>
    </row>
    <row r="20" spans="1:5" x14ac:dyDescent="0.25">
      <c r="A20">
        <v>2.7159982991500002</v>
      </c>
      <c r="B20">
        <v>5.9050277962427886E-2</v>
      </c>
      <c r="C20">
        <f t="shared" si="0"/>
        <v>5.6888638687947135E-2</v>
      </c>
      <c r="D20">
        <f t="shared" si="1"/>
        <v>2.1616392744807505E-3</v>
      </c>
      <c r="E20">
        <f t="shared" si="2"/>
        <v>4.6726843529776659E-6</v>
      </c>
    </row>
    <row r="21" spans="1:5" x14ac:dyDescent="0.25">
      <c r="A21">
        <v>2.8552780888500005</v>
      </c>
      <c r="B21">
        <v>6.4910229210607753E-2</v>
      </c>
      <c r="C21">
        <f t="shared" si="0"/>
        <v>4.5958393397488174E-2</v>
      </c>
      <c r="D21">
        <f t="shared" si="1"/>
        <v>1.8951835813119579E-2</v>
      </c>
      <c r="E21">
        <f t="shared" si="2"/>
        <v>3.5917208068744186E-4</v>
      </c>
    </row>
    <row r="22" spans="1:5" x14ac:dyDescent="0.25">
      <c r="A22">
        <v>2.9945578785500002</v>
      </c>
      <c r="B22">
        <v>5.003496834984348E-2</v>
      </c>
      <c r="C22">
        <f t="shared" si="0"/>
        <v>3.696530367861775E-2</v>
      </c>
      <c r="D22">
        <f t="shared" si="1"/>
        <v>1.3069664671225729E-2</v>
      </c>
      <c r="E22">
        <f t="shared" si="2"/>
        <v>1.7081613461828596E-4</v>
      </c>
    </row>
    <row r="23" spans="1:5" x14ac:dyDescent="0.25">
      <c r="A23">
        <v>3.1338376682500004</v>
      </c>
      <c r="B23">
        <v>3.7413534892225299E-2</v>
      </c>
      <c r="C23">
        <f t="shared" si="0"/>
        <v>2.9606992835929866E-2</v>
      </c>
      <c r="D23">
        <f t="shared" si="1"/>
        <v>7.8065420562954332E-3</v>
      </c>
      <c r="E23">
        <f t="shared" si="2"/>
        <v>6.0942098876709331E-5</v>
      </c>
    </row>
    <row r="24" spans="1:5" x14ac:dyDescent="0.25">
      <c r="A24">
        <v>3.2731174579500002</v>
      </c>
      <c r="B24">
        <v>2.6595163357124009E-2</v>
      </c>
      <c r="C24">
        <f t="shared" si="0"/>
        <v>2.3617700539084675E-2</v>
      </c>
      <c r="D24">
        <f t="shared" si="1"/>
        <v>2.9774628180393344E-3</v>
      </c>
      <c r="E24">
        <f t="shared" si="2"/>
        <v>8.865284832806735E-6</v>
      </c>
    </row>
    <row r="25" spans="1:5" x14ac:dyDescent="0.25">
      <c r="A25">
        <v>3.4123972476500004</v>
      </c>
      <c r="B25">
        <v>2.4792101434607128E-2</v>
      </c>
      <c r="C25">
        <f t="shared" si="0"/>
        <v>1.8766803149872349E-2</v>
      </c>
      <c r="D25">
        <f t="shared" si="1"/>
        <v>6.0252982847347793E-3</v>
      </c>
      <c r="E25">
        <f t="shared" si="2"/>
        <v>3.6304219420027873E-5</v>
      </c>
    </row>
    <row r="26" spans="1:5" x14ac:dyDescent="0.25">
      <c r="A26">
        <v>3.5516770373500002</v>
      </c>
      <c r="B26">
        <v>1.6678322783281158E-2</v>
      </c>
      <c r="C26">
        <f t="shared" si="0"/>
        <v>1.4856369893326254E-2</v>
      </c>
      <c r="D26">
        <f t="shared" si="1"/>
        <v>1.8219528899549031E-3</v>
      </c>
      <c r="E26">
        <f t="shared" si="2"/>
        <v>3.3195123332150234E-6</v>
      </c>
    </row>
    <row r="27" spans="1:5" x14ac:dyDescent="0.25">
      <c r="A27">
        <v>3.6909568270500008</v>
      </c>
      <c r="B27">
        <v>1.6678322783281158E-2</v>
      </c>
      <c r="C27">
        <f t="shared" si="0"/>
        <v>1.1718180296222541E-2</v>
      </c>
      <c r="D27">
        <f t="shared" si="1"/>
        <v>4.9601424870586164E-3</v>
      </c>
      <c r="E27">
        <f t="shared" si="2"/>
        <v>2.4603013491924037E-5</v>
      </c>
    </row>
    <row r="28" spans="1:5" x14ac:dyDescent="0.25">
      <c r="A28">
        <v>3.8302366167500006</v>
      </c>
      <c r="B28">
        <v>8.5645441319551902E-3</v>
      </c>
      <c r="C28">
        <f t="shared" si="0"/>
        <v>9.2105101028680855E-3</v>
      </c>
      <c r="D28">
        <f t="shared" si="1"/>
        <v>-6.459659709128953E-4</v>
      </c>
      <c r="E28">
        <f t="shared" si="2"/>
        <v>4.1727203557743951E-7</v>
      </c>
    </row>
    <row r="29" spans="1:5" x14ac:dyDescent="0.25">
      <c r="A29">
        <v>3.9695164064500004</v>
      </c>
      <c r="B29">
        <v>9.0153096125844094E-3</v>
      </c>
      <c r="C29">
        <f t="shared" si="0"/>
        <v>7.2149003169658284E-3</v>
      </c>
      <c r="D29">
        <f t="shared" si="1"/>
        <v>1.800409295618581E-3</v>
      </c>
      <c r="E29">
        <f t="shared" si="2"/>
        <v>3.2414736317497952E-6</v>
      </c>
    </row>
    <row r="30" spans="1:5" x14ac:dyDescent="0.25">
      <c r="A30">
        <v>4.108796196150001</v>
      </c>
      <c r="B30">
        <v>6.7614822094383079E-3</v>
      </c>
      <c r="C30">
        <f t="shared" si="0"/>
        <v>5.6330527649079021E-3</v>
      </c>
      <c r="D30">
        <f t="shared" si="1"/>
        <v>1.1284294445304058E-3</v>
      </c>
      <c r="E30">
        <f t="shared" si="2"/>
        <v>1.2733530112832E-6</v>
      </c>
    </row>
    <row r="31" spans="1:5" x14ac:dyDescent="0.25">
      <c r="A31">
        <v>4.2480759858500008</v>
      </c>
      <c r="B31">
        <v>4.5076548062922047E-3</v>
      </c>
      <c r="C31">
        <f t="shared" si="0"/>
        <v>4.3839417715736892E-3</v>
      </c>
      <c r="D31">
        <f t="shared" si="1"/>
        <v>1.2371303471851551E-4</v>
      </c>
      <c r="E31">
        <f t="shared" si="2"/>
        <v>1.5304914959264624E-8</v>
      </c>
    </row>
    <row r="32" spans="1:5" x14ac:dyDescent="0.25">
      <c r="A32">
        <v>4.3873557755500006</v>
      </c>
      <c r="B32">
        <v>5.4091857675506458E-3</v>
      </c>
      <c r="C32">
        <f t="shared" si="0"/>
        <v>3.4011918101752529E-3</v>
      </c>
      <c r="D32">
        <f t="shared" si="1"/>
        <v>2.007993957375393E-3</v>
      </c>
      <c r="E32">
        <f t="shared" si="2"/>
        <v>4.0320397328560914E-6</v>
      </c>
    </row>
    <row r="33" spans="1:5" x14ac:dyDescent="0.25">
      <c r="A33">
        <v>4.5266355652500003</v>
      </c>
      <c r="B33">
        <v>1.803061922516882E-3</v>
      </c>
      <c r="C33">
        <f t="shared" si="0"/>
        <v>2.630742431263535E-3</v>
      </c>
      <c r="D33">
        <f t="shared" si="1"/>
        <v>-8.27680508746653E-4</v>
      </c>
      <c r="E33">
        <f t="shared" si="2"/>
        <v>6.8505502455911832E-7</v>
      </c>
    </row>
    <row r="34" spans="1:5" x14ac:dyDescent="0.25">
      <c r="A34">
        <v>4.6659153549500001</v>
      </c>
      <c r="B34">
        <v>1.803061922516882E-3</v>
      </c>
      <c r="C34">
        <f t="shared" si="0"/>
        <v>2.0288019401874368E-3</v>
      </c>
      <c r="D34">
        <f t="shared" si="1"/>
        <v>-2.2574001767055479E-4</v>
      </c>
      <c r="E34">
        <f t="shared" si="2"/>
        <v>5.095855557790239E-8</v>
      </c>
    </row>
    <row r="35" spans="1:5" x14ac:dyDescent="0.25">
      <c r="A35">
        <v>4.8051951446499999</v>
      </c>
      <c r="B35">
        <v>9.0153096125844101E-4</v>
      </c>
      <c r="C35">
        <f t="shared" si="0"/>
        <v>1.5600781393362083E-3</v>
      </c>
      <c r="D35">
        <f t="shared" si="1"/>
        <v>-6.5854717807776726E-4</v>
      </c>
      <c r="E35">
        <f t="shared" si="2"/>
        <v>4.3368438575419049E-7</v>
      </c>
    </row>
    <row r="36" spans="1:5" x14ac:dyDescent="0.25">
      <c r="A36">
        <v>4.9444749343499996</v>
      </c>
      <c r="B36">
        <v>0</v>
      </c>
      <c r="C36">
        <f t="shared" si="0"/>
        <v>1.196266316665339E-3</v>
      </c>
      <c r="D36">
        <f t="shared" si="1"/>
        <v>-1.196266316665339E-3</v>
      </c>
      <c r="E36">
        <f t="shared" si="2"/>
        <v>1.4310531003880572E-6</v>
      </c>
    </row>
    <row r="37" spans="1:5" x14ac:dyDescent="0.25">
      <c r="A37">
        <v>5.0837547240500012</v>
      </c>
      <c r="B37">
        <v>4.507654806292205E-4</v>
      </c>
      <c r="C37">
        <f t="shared" si="0"/>
        <v>9.1477020813870405E-4</v>
      </c>
      <c r="D37">
        <f t="shared" si="1"/>
        <v>-4.6400472750948355E-4</v>
      </c>
      <c r="E37">
        <f t="shared" si="2"/>
        <v>2.1530038715115007E-7</v>
      </c>
    </row>
    <row r="38" spans="1:5" x14ac:dyDescent="0.25">
      <c r="A38">
        <v>5.2230345137500009</v>
      </c>
      <c r="B38">
        <v>4.507654806292205E-4</v>
      </c>
      <c r="C38">
        <f t="shared" si="0"/>
        <v>6.9762983306003487E-4</v>
      </c>
      <c r="D38">
        <f t="shared" si="1"/>
        <v>-2.4686435243081436E-4</v>
      </c>
      <c r="E38">
        <f t="shared" si="2"/>
        <v>6.0942008501085322E-8</v>
      </c>
    </row>
    <row r="39" spans="1:5" x14ac:dyDescent="0.25">
      <c r="A39">
        <v>5.3623143034500007</v>
      </c>
      <c r="B39">
        <v>0</v>
      </c>
      <c r="C39">
        <f t="shared" si="0"/>
        <v>5.3063007903627636E-4</v>
      </c>
      <c r="D39">
        <f t="shared" si="1"/>
        <v>-5.3063007903627636E-4</v>
      </c>
      <c r="E39">
        <f t="shared" si="2"/>
        <v>2.8156828077804493E-7</v>
      </c>
    </row>
    <row r="40" spans="1:5" x14ac:dyDescent="0.25">
      <c r="A40">
        <v>5.5015940931500005</v>
      </c>
      <c r="B40">
        <v>4.507654806292205E-4</v>
      </c>
      <c r="C40">
        <f t="shared" si="0"/>
        <v>4.0256507455744672E-4</v>
      </c>
      <c r="D40">
        <f t="shared" si="1"/>
        <v>4.8200406071773787E-5</v>
      </c>
      <c r="E40">
        <f t="shared" si="2"/>
        <v>2.3232791454838875E-9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6626-61BE-48EC-99C4-4C67CA9CCD9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6.8897303237499999E-2</v>
      </c>
      <c r="B1">
        <v>0.43251900224843592</v>
      </c>
      <c r="C1">
        <f>$H$3*(1+$H$1)*(A1^($H$1))*EXP(-$H$3*(A1^(1+$H$1)))</f>
        <v>0.44559390579112257</v>
      </c>
      <c r="D1">
        <f>B1-C1</f>
        <v>-1.3074903542686644E-2</v>
      </c>
      <c r="E1">
        <f>D1^2</f>
        <v>1.7095310265055977E-4</v>
      </c>
      <c r="G1" t="s">
        <v>0</v>
      </c>
      <c r="H1">
        <v>0.36460425057747597</v>
      </c>
    </row>
    <row r="2" spans="1:8" x14ac:dyDescent="0.25">
      <c r="A2">
        <v>0.20577989971249999</v>
      </c>
      <c r="B2">
        <v>0.64556445558524511</v>
      </c>
      <c r="C2">
        <f t="shared" ref="C2:C40" si="0">$H$3*(1+$H$1)*(A2^($H$1))*EXP(-$H$3*(A2^(1+$H$1)))</f>
        <v>0.61333209090476792</v>
      </c>
      <c r="D2">
        <f t="shared" ref="D2:D40" si="1">B2-C2</f>
        <v>3.2232364680477188E-2</v>
      </c>
      <c r="E2">
        <f t="shared" ref="E2:E40" si="2">D2^2</f>
        <v>1.0389253328952732E-3</v>
      </c>
    </row>
    <row r="3" spans="1:8" x14ac:dyDescent="0.25">
      <c r="A3">
        <v>0.3426624961875</v>
      </c>
      <c r="B3">
        <v>0.60056778656152254</v>
      </c>
      <c r="C3">
        <f t="shared" si="0"/>
        <v>0.66634357786158926</v>
      </c>
      <c r="D3">
        <f t="shared" si="1"/>
        <v>-6.5775791300066722E-2</v>
      </c>
      <c r="E3">
        <f t="shared" si="2"/>
        <v>4.3264547211499327E-3</v>
      </c>
      <c r="G3" t="s">
        <v>1</v>
      </c>
      <c r="H3">
        <f>(_xlfn.GAMMA((2+$H$1)/(1+$H$1)))^(1+$H$1)</f>
        <v>0.88619036322856748</v>
      </c>
    </row>
    <row r="4" spans="1:8" x14ac:dyDescent="0.25">
      <c r="A4">
        <v>0.47954509266249995</v>
      </c>
      <c r="B4">
        <v>0.63821806064259656</v>
      </c>
      <c r="C4">
        <f t="shared" si="0"/>
        <v>0.66831912108745906</v>
      </c>
      <c r="D4">
        <f t="shared" si="1"/>
        <v>-3.0101060444862493E-2</v>
      </c>
      <c r="E4">
        <f t="shared" si="2"/>
        <v>9.0607383990526542E-4</v>
      </c>
    </row>
    <row r="5" spans="1:8" x14ac:dyDescent="0.25">
      <c r="A5">
        <v>0.6164276891374999</v>
      </c>
      <c r="B5">
        <v>0.75897442751238275</v>
      </c>
      <c r="C5">
        <f t="shared" si="0"/>
        <v>0.64127943611678928</v>
      </c>
      <c r="D5">
        <f t="shared" si="1"/>
        <v>0.11769499139559347</v>
      </c>
      <c r="E5">
        <f t="shared" si="2"/>
        <v>1.3852110999608822E-2</v>
      </c>
      <c r="G5" t="s">
        <v>2</v>
      </c>
      <c r="H5">
        <f>SUM(E1:E40)</f>
        <v>4.0185092990926312E-2</v>
      </c>
    </row>
    <row r="6" spans="1:8" x14ac:dyDescent="0.25">
      <c r="A6">
        <v>0.75331028561249991</v>
      </c>
      <c r="B6">
        <v>0.6882653761893901</v>
      </c>
      <c r="C6">
        <f t="shared" si="0"/>
        <v>0.59731493309881933</v>
      </c>
      <c r="D6">
        <f t="shared" si="1"/>
        <v>9.0950443090570765E-2</v>
      </c>
      <c r="E6">
        <f t="shared" si="2"/>
        <v>8.2719830983711516E-3</v>
      </c>
    </row>
    <row r="7" spans="1:8" x14ac:dyDescent="0.25">
      <c r="A7">
        <v>0.8901928820874998</v>
      </c>
      <c r="B7">
        <v>0.55281621943430659</v>
      </c>
      <c r="C7">
        <f t="shared" si="0"/>
        <v>0.54417063053702486</v>
      </c>
      <c r="D7">
        <f t="shared" si="1"/>
        <v>8.6455888972817307E-3</v>
      </c>
      <c r="E7">
        <f t="shared" si="2"/>
        <v>7.4746207380801136E-5</v>
      </c>
    </row>
    <row r="8" spans="1:8" x14ac:dyDescent="0.25">
      <c r="A8">
        <v>1.0270754785624998</v>
      </c>
      <c r="B8">
        <v>0.46236373170294581</v>
      </c>
      <c r="C8">
        <f t="shared" si="0"/>
        <v>0.48708731001548489</v>
      </c>
      <c r="D8">
        <f t="shared" si="1"/>
        <v>-2.4723578312539074E-2</v>
      </c>
      <c r="E8">
        <f t="shared" si="2"/>
        <v>6.1125532457625249E-4</v>
      </c>
    </row>
    <row r="9" spans="1:8" x14ac:dyDescent="0.25">
      <c r="A9">
        <v>1.1639580750374998</v>
      </c>
      <c r="B9">
        <v>0.37604359112682484</v>
      </c>
      <c r="C9">
        <f t="shared" si="0"/>
        <v>0.42964304540814541</v>
      </c>
      <c r="D9">
        <f t="shared" si="1"/>
        <v>-5.3599454281320569E-2</v>
      </c>
      <c r="E9">
        <f t="shared" si="2"/>
        <v>2.8729014992553738E-3</v>
      </c>
    </row>
    <row r="10" spans="1:8" x14ac:dyDescent="0.25">
      <c r="A10">
        <v>1.3008406715124998</v>
      </c>
      <c r="B10">
        <v>0.34022991578141298</v>
      </c>
      <c r="C10">
        <f t="shared" si="0"/>
        <v>0.37423268862610809</v>
      </c>
      <c r="D10">
        <f t="shared" si="1"/>
        <v>-3.4002772844695106E-2</v>
      </c>
      <c r="E10">
        <f t="shared" si="2"/>
        <v>1.156188561127935E-3</v>
      </c>
    </row>
    <row r="11" spans="1:8" x14ac:dyDescent="0.25">
      <c r="A11">
        <v>1.4377232679874998</v>
      </c>
      <c r="B11">
        <v>0.26309276888360272</v>
      </c>
      <c r="C11">
        <f t="shared" si="0"/>
        <v>0.32238435801552345</v>
      </c>
      <c r="D11">
        <f t="shared" si="1"/>
        <v>-5.929158913192073E-2</v>
      </c>
      <c r="E11">
        <f t="shared" si="2"/>
        <v>3.5154925417885006E-3</v>
      </c>
    </row>
    <row r="12" spans="1:8" x14ac:dyDescent="0.25">
      <c r="A12">
        <v>1.5746058644624998</v>
      </c>
      <c r="B12">
        <v>0.23003399164168409</v>
      </c>
      <c r="C12">
        <f t="shared" si="0"/>
        <v>0.274987760542521</v>
      </c>
      <c r="D12">
        <f t="shared" si="1"/>
        <v>-4.495376890083691E-2</v>
      </c>
      <c r="E12">
        <f t="shared" si="2"/>
        <v>2.0208413383898519E-3</v>
      </c>
    </row>
    <row r="13" spans="1:8" x14ac:dyDescent="0.25">
      <c r="A13">
        <v>1.7114884609374998</v>
      </c>
      <c r="B13">
        <v>0.21304545333680922</v>
      </c>
      <c r="C13">
        <f t="shared" si="0"/>
        <v>0.23246686497234903</v>
      </c>
      <c r="D13">
        <f t="shared" si="1"/>
        <v>-1.9421411635539815E-2</v>
      </c>
      <c r="E13">
        <f t="shared" si="2"/>
        <v>3.7719122991708128E-4</v>
      </c>
    </row>
    <row r="14" spans="1:8" x14ac:dyDescent="0.25">
      <c r="A14">
        <v>1.8483710574124999</v>
      </c>
      <c r="B14">
        <v>0.18779222072145466</v>
      </c>
      <c r="C14">
        <f t="shared" si="0"/>
        <v>0.1949131529149962</v>
      </c>
      <c r="D14">
        <f t="shared" si="1"/>
        <v>-7.1209321935415404E-3</v>
      </c>
      <c r="E14">
        <f t="shared" si="2"/>
        <v>5.0707675305016335E-5</v>
      </c>
    </row>
    <row r="15" spans="1:8" x14ac:dyDescent="0.25">
      <c r="A15">
        <v>1.9852536538874999</v>
      </c>
      <c r="B15">
        <v>0.15060109632429616</v>
      </c>
      <c r="C15">
        <f t="shared" si="0"/>
        <v>0.16218880885795323</v>
      </c>
      <c r="D15">
        <f t="shared" si="1"/>
        <v>-1.1587712533657063E-2</v>
      </c>
      <c r="E15">
        <f t="shared" si="2"/>
        <v>1.3427508176267299E-4</v>
      </c>
    </row>
    <row r="16" spans="1:8" x14ac:dyDescent="0.25">
      <c r="A16">
        <v>2.1221362503624999</v>
      </c>
      <c r="B16">
        <v>0.12948021086418146</v>
      </c>
      <c r="C16">
        <f t="shared" si="0"/>
        <v>0.13400606648094543</v>
      </c>
      <c r="D16">
        <f t="shared" si="1"/>
        <v>-4.5258556167639685E-3</v>
      </c>
      <c r="E16">
        <f t="shared" si="2"/>
        <v>2.0483369063793961E-5</v>
      </c>
    </row>
    <row r="17" spans="1:5" x14ac:dyDescent="0.25">
      <c r="A17">
        <v>2.2590188468374999</v>
      </c>
      <c r="B17">
        <v>0.11432827129496873</v>
      </c>
      <c r="C17">
        <f t="shared" si="0"/>
        <v>0.10998733770993653</v>
      </c>
      <c r="D17">
        <f t="shared" si="1"/>
        <v>4.3409335850321945E-3</v>
      </c>
      <c r="E17">
        <f t="shared" si="2"/>
        <v>1.884370438966046E-5</v>
      </c>
    </row>
    <row r="18" spans="1:5" x14ac:dyDescent="0.25">
      <c r="A18">
        <v>2.3959014433124999</v>
      </c>
      <c r="B18">
        <v>9.6880583306178325E-2</v>
      </c>
      <c r="C18">
        <f t="shared" si="0"/>
        <v>8.9709830382442596E-2</v>
      </c>
      <c r="D18">
        <f t="shared" si="1"/>
        <v>7.1707529237357293E-3</v>
      </c>
      <c r="E18">
        <f t="shared" si="2"/>
        <v>5.1419697493264511E-5</v>
      </c>
    </row>
    <row r="19" spans="1:5" x14ac:dyDescent="0.25">
      <c r="A19">
        <v>2.5327840397874999</v>
      </c>
      <c r="B19">
        <v>7.759629658172576E-2</v>
      </c>
      <c r="C19">
        <f t="shared" si="0"/>
        <v>7.2737737063955588E-2</v>
      </c>
      <c r="D19">
        <f t="shared" si="1"/>
        <v>4.8585595177701724E-3</v>
      </c>
      <c r="E19">
        <f t="shared" si="2"/>
        <v>2.3605600587715128E-5</v>
      </c>
    </row>
    <row r="20" spans="1:5" x14ac:dyDescent="0.25">
      <c r="A20">
        <v>2.6696666362624999</v>
      </c>
      <c r="B20">
        <v>7.1168201006908252E-2</v>
      </c>
      <c r="C20">
        <f t="shared" si="0"/>
        <v>5.864459273988485E-2</v>
      </c>
      <c r="D20">
        <f t="shared" si="1"/>
        <v>1.2523608267023402E-2</v>
      </c>
      <c r="E20">
        <f t="shared" si="2"/>
        <v>1.568407640258569E-4</v>
      </c>
    </row>
    <row r="21" spans="1:5" x14ac:dyDescent="0.25">
      <c r="A21">
        <v>2.8065492327374999</v>
      </c>
      <c r="B21">
        <v>6.2444357012513045E-2</v>
      </c>
      <c r="C21">
        <f t="shared" si="0"/>
        <v>4.7027987128456634E-2</v>
      </c>
      <c r="D21">
        <f t="shared" si="1"/>
        <v>1.5416369884056411E-2</v>
      </c>
      <c r="E21">
        <f t="shared" si="2"/>
        <v>2.3766446040204148E-4</v>
      </c>
    </row>
    <row r="22" spans="1:5" x14ac:dyDescent="0.25">
      <c r="A22">
        <v>2.9434318292124999</v>
      </c>
      <c r="B22">
        <v>4.4996669023722631E-2</v>
      </c>
      <c r="C22">
        <f t="shared" si="0"/>
        <v>3.7518453046210515E-2</v>
      </c>
      <c r="D22">
        <f t="shared" si="1"/>
        <v>7.4782159775121163E-3</v>
      </c>
      <c r="E22">
        <f t="shared" si="2"/>
        <v>5.59237142063175E-5</v>
      </c>
    </row>
    <row r="23" spans="1:5" x14ac:dyDescent="0.25">
      <c r="A23">
        <v>3.0803144256874999</v>
      </c>
      <c r="B23">
        <v>4.0864321868482802E-2</v>
      </c>
      <c r="C23">
        <f t="shared" si="0"/>
        <v>2.9784027370517708E-2</v>
      </c>
      <c r="D23">
        <f t="shared" si="1"/>
        <v>1.1080294497965094E-2</v>
      </c>
      <c r="E23">
        <f t="shared" si="2"/>
        <v>1.2277292616163553E-4</v>
      </c>
    </row>
    <row r="24" spans="1:5" x14ac:dyDescent="0.25">
      <c r="A24">
        <v>3.2171970221624999</v>
      </c>
      <c r="B24">
        <v>2.6171531983185614E-2</v>
      </c>
      <c r="C24">
        <f t="shared" si="0"/>
        <v>2.3531693701794736E-2</v>
      </c>
      <c r="D24">
        <f t="shared" si="1"/>
        <v>2.6398382813908779E-3</v>
      </c>
      <c r="E24">
        <f t="shared" si="2"/>
        <v>6.9687461518967437E-6</v>
      </c>
    </row>
    <row r="25" spans="1:5" x14ac:dyDescent="0.25">
      <c r="A25">
        <v>3.3540796186374999</v>
      </c>
      <c r="B25">
        <v>2.6630681667101152E-2</v>
      </c>
      <c r="C25">
        <f t="shared" si="0"/>
        <v>1.850666540216855E-2</v>
      </c>
      <c r="D25">
        <f t="shared" si="1"/>
        <v>8.1240162649326014E-3</v>
      </c>
      <c r="E25">
        <f t="shared" si="2"/>
        <v>6.5999640272889452E-5</v>
      </c>
    </row>
    <row r="26" spans="1:5" x14ac:dyDescent="0.25">
      <c r="A26">
        <v>3.4909622151124999</v>
      </c>
      <c r="B26">
        <v>1.882513704053702E-2</v>
      </c>
      <c r="C26">
        <f t="shared" si="0"/>
        <v>1.4490253508406992E-2</v>
      </c>
      <c r="D26">
        <f t="shared" si="1"/>
        <v>4.3348835321300287E-3</v>
      </c>
      <c r="E26">
        <f t="shared" si="2"/>
        <v>1.8791215237132113E-5</v>
      </c>
    </row>
    <row r="27" spans="1:5" x14ac:dyDescent="0.25">
      <c r="A27">
        <v>3.6278448115874999</v>
      </c>
      <c r="B27">
        <v>1.4692789885297186E-2</v>
      </c>
      <c r="C27">
        <f t="shared" si="0"/>
        <v>1.129688440442236E-2</v>
      </c>
      <c r="D27">
        <f t="shared" si="1"/>
        <v>3.3959054808748255E-3</v>
      </c>
      <c r="E27">
        <f t="shared" si="2"/>
        <v>1.153217403503568E-5</v>
      </c>
    </row>
    <row r="28" spans="1:5" x14ac:dyDescent="0.25">
      <c r="A28">
        <v>3.7647274080624999</v>
      </c>
      <c r="B28">
        <v>1.0560442730057353E-2</v>
      </c>
      <c r="C28">
        <f t="shared" si="0"/>
        <v>8.7706845154538315E-3</v>
      </c>
      <c r="D28">
        <f t="shared" si="1"/>
        <v>1.7897582146035214E-3</v>
      </c>
      <c r="E28">
        <f t="shared" si="2"/>
        <v>3.2032344667407845E-6</v>
      </c>
    </row>
    <row r="29" spans="1:5" x14ac:dyDescent="0.25">
      <c r="A29">
        <v>3.9016100045374995</v>
      </c>
      <c r="B29">
        <v>7.8055446265641306E-3</v>
      </c>
      <c r="C29">
        <f t="shared" si="0"/>
        <v>6.7819304206171282E-3</v>
      </c>
      <c r="D29">
        <f t="shared" si="1"/>
        <v>1.0236142059470025E-3</v>
      </c>
      <c r="E29">
        <f t="shared" si="2"/>
        <v>1.0477860426165124E-6</v>
      </c>
    </row>
    <row r="30" spans="1:5" x14ac:dyDescent="0.25">
      <c r="A30">
        <v>4.0384926010125</v>
      </c>
      <c r="B30">
        <v>6.4280955748175191E-3</v>
      </c>
      <c r="C30">
        <f t="shared" si="0"/>
        <v>5.2235690814684578E-3</v>
      </c>
      <c r="D30">
        <f t="shared" si="1"/>
        <v>1.2045264933490613E-3</v>
      </c>
      <c r="E30">
        <f t="shared" si="2"/>
        <v>1.4508840731797862E-6</v>
      </c>
    </row>
    <row r="31" spans="1:5" x14ac:dyDescent="0.25">
      <c r="A31">
        <v>4.1753751974874991</v>
      </c>
      <c r="B31">
        <v>5.5097962069864453E-3</v>
      </c>
      <c r="C31">
        <f t="shared" si="0"/>
        <v>4.0079406674868685E-3</v>
      </c>
      <c r="D31">
        <f t="shared" si="1"/>
        <v>1.5018555394995768E-3</v>
      </c>
      <c r="E31">
        <f t="shared" si="2"/>
        <v>2.2555700615255651E-6</v>
      </c>
    </row>
    <row r="32" spans="1:5" x14ac:dyDescent="0.25">
      <c r="A32">
        <v>4.3122577939625</v>
      </c>
      <c r="B32">
        <v>5.0506465230709075E-3</v>
      </c>
      <c r="C32">
        <f t="shared" si="0"/>
        <v>3.0637821575265336E-3</v>
      </c>
      <c r="D32">
        <f t="shared" si="1"/>
        <v>1.9868643655443739E-3</v>
      </c>
      <c r="E32">
        <f t="shared" si="2"/>
        <v>3.9476300070700473E-6</v>
      </c>
    </row>
    <row r="33" spans="1:5" x14ac:dyDescent="0.25">
      <c r="A33">
        <v>4.4491403904374991</v>
      </c>
      <c r="B33">
        <v>1.3774490517466113E-3</v>
      </c>
      <c r="C33">
        <f t="shared" si="0"/>
        <v>2.3335502043666544E-3</v>
      </c>
      <c r="D33">
        <f t="shared" si="1"/>
        <v>-9.5610115262004312E-4</v>
      </c>
      <c r="E33">
        <f t="shared" si="2"/>
        <v>9.1412941404137495E-7</v>
      </c>
    </row>
    <row r="34" spans="1:5" x14ac:dyDescent="0.25">
      <c r="A34">
        <v>4.5860229869124991</v>
      </c>
      <c r="B34">
        <v>1.8365987356621482E-3</v>
      </c>
      <c r="C34">
        <f t="shared" si="0"/>
        <v>1.7710737131616861E-3</v>
      </c>
      <c r="D34">
        <f t="shared" si="1"/>
        <v>6.5525022500462085E-5</v>
      </c>
      <c r="E34">
        <f t="shared" si="2"/>
        <v>4.2935285736860626E-9</v>
      </c>
    </row>
    <row r="35" spans="1:5" x14ac:dyDescent="0.25">
      <c r="A35">
        <v>4.7229055833874991</v>
      </c>
      <c r="B35">
        <v>1.3774490517466113E-3</v>
      </c>
      <c r="C35">
        <f t="shared" si="0"/>
        <v>1.3395276415638397E-3</v>
      </c>
      <c r="D35">
        <f t="shared" si="1"/>
        <v>3.7921410182771651E-5</v>
      </c>
      <c r="E35">
        <f t="shared" si="2"/>
        <v>1.4380333502500175E-9</v>
      </c>
    </row>
    <row r="36" spans="1:5" x14ac:dyDescent="0.25">
      <c r="A36">
        <v>4.8597881798625</v>
      </c>
      <c r="B36">
        <v>0</v>
      </c>
      <c r="C36">
        <f t="shared" si="0"/>
        <v>1.0097075154775271E-3</v>
      </c>
      <c r="D36">
        <f t="shared" si="1"/>
        <v>-1.0097075154775271E-3</v>
      </c>
      <c r="E36">
        <f t="shared" si="2"/>
        <v>1.0195092668118005E-6</v>
      </c>
    </row>
    <row r="37" spans="1:5" x14ac:dyDescent="0.25">
      <c r="A37">
        <v>4.9966707763374991</v>
      </c>
      <c r="B37">
        <v>4.5914968391553705E-4</v>
      </c>
      <c r="C37">
        <f t="shared" si="0"/>
        <v>7.5857728586452376E-4</v>
      </c>
      <c r="D37">
        <f t="shared" si="1"/>
        <v>-2.994276019489867E-4</v>
      </c>
      <c r="E37">
        <f t="shared" si="2"/>
        <v>8.965688880892083E-8</v>
      </c>
    </row>
    <row r="38" spans="1:5" x14ac:dyDescent="0.25">
      <c r="A38">
        <v>5.1335533728125</v>
      </c>
      <c r="B38">
        <v>4.5914968391553705E-4</v>
      </c>
      <c r="C38">
        <f t="shared" si="0"/>
        <v>5.6805999148800562E-4</v>
      </c>
      <c r="D38">
        <f t="shared" si="1"/>
        <v>-1.0891030757246856E-4</v>
      </c>
      <c r="E38">
        <f t="shared" si="2"/>
        <v>1.1861455095529703E-8</v>
      </c>
    </row>
    <row r="39" spans="1:5" x14ac:dyDescent="0.25">
      <c r="A39">
        <v>5.2704359692874991</v>
      </c>
      <c r="B39">
        <v>0</v>
      </c>
      <c r="C39">
        <f t="shared" si="0"/>
        <v>4.24040107801575E-4</v>
      </c>
      <c r="D39">
        <f t="shared" si="1"/>
        <v>-4.24040107801575E-4</v>
      </c>
      <c r="E39">
        <f t="shared" si="2"/>
        <v>1.7981001302437135E-7</v>
      </c>
    </row>
    <row r="40" spans="1:5" x14ac:dyDescent="0.25">
      <c r="A40">
        <v>5.4073185657624991</v>
      </c>
      <c r="B40">
        <v>4.5914968391553705E-4</v>
      </c>
      <c r="C40">
        <f t="shared" si="0"/>
        <v>3.1554758176200484E-4</v>
      </c>
      <c r="D40">
        <f t="shared" si="1"/>
        <v>1.4360210215353221E-4</v>
      </c>
      <c r="E40">
        <f t="shared" si="2"/>
        <v>2.0621563742913501E-8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C735-9B04-42D0-915C-BD3793F9CDC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6.6870308274999998E-2</v>
      </c>
      <c r="B1">
        <v>0.36165038240028613</v>
      </c>
      <c r="C1">
        <f>$H$3*(1+$H$1)*(A1^($H$1))*EXP(-$H$3*(A1^(1+$H$1)))</f>
        <v>0.38442626155257842</v>
      </c>
      <c r="D1">
        <f>B1-C1</f>
        <v>-2.2775879152292289E-2</v>
      </c>
      <c r="E1">
        <f>D1^2</f>
        <v>5.1874067115982255E-4</v>
      </c>
      <c r="G1" t="s">
        <v>0</v>
      </c>
      <c r="H1">
        <v>0.42776410751447452</v>
      </c>
    </row>
    <row r="2" spans="1:8" x14ac:dyDescent="0.25">
      <c r="A2">
        <v>0.20011355882500001</v>
      </c>
      <c r="B2">
        <v>0.61862490444481799</v>
      </c>
      <c r="C2">
        <f t="shared" ref="C2:C40" si="0">$H$3*(1+$H$1)*(A2^($H$1))*EXP(-$H$3*(A2^(1+$H$1)))</f>
        <v>0.57321949365475355</v>
      </c>
      <c r="D2">
        <f t="shared" ref="D2:D40" si="1">B2-C2</f>
        <v>4.5405410790064438E-2</v>
      </c>
      <c r="E2">
        <f t="shared" ref="E2:E40" si="2">D2^2</f>
        <v>2.0616513290145E-3</v>
      </c>
    </row>
    <row r="3" spans="1:8" x14ac:dyDescent="0.25">
      <c r="A3">
        <v>0.33335680937500001</v>
      </c>
      <c r="B3">
        <v>0.65115929347430923</v>
      </c>
      <c r="C3">
        <f t="shared" si="0"/>
        <v>0.6490610791689343</v>
      </c>
      <c r="D3">
        <f t="shared" si="1"/>
        <v>2.0982143053749347E-3</v>
      </c>
      <c r="E3">
        <f t="shared" si="2"/>
        <v>4.4025032712800201E-6</v>
      </c>
      <c r="G3" t="s">
        <v>1</v>
      </c>
      <c r="H3">
        <f>(_xlfn.GAMMA((2+$H$1)/(1+$H$1)))^(1+$H$1)</f>
        <v>0.87225554020474994</v>
      </c>
    </row>
    <row r="4" spans="1:8" x14ac:dyDescent="0.25">
      <c r="A4">
        <v>0.46660005992499998</v>
      </c>
      <c r="B4">
        <v>0.60306497925680047</v>
      </c>
      <c r="C4">
        <f t="shared" si="0"/>
        <v>0.67005970784776758</v>
      </c>
      <c r="D4">
        <f t="shared" si="1"/>
        <v>-6.6994728590967112E-2</v>
      </c>
      <c r="E4">
        <f t="shared" si="2"/>
        <v>4.4882936589773466E-3</v>
      </c>
    </row>
    <row r="5" spans="1:8" x14ac:dyDescent="0.25">
      <c r="A5">
        <v>0.59984331047500006</v>
      </c>
      <c r="B5">
        <v>0.64078601001563085</v>
      </c>
      <c r="C5">
        <f t="shared" si="0"/>
        <v>0.65727229353138272</v>
      </c>
      <c r="D5">
        <f t="shared" si="1"/>
        <v>-1.6486283515751876E-2</v>
      </c>
      <c r="E5">
        <f t="shared" si="2"/>
        <v>2.7179754416175206E-4</v>
      </c>
      <c r="G5" t="s">
        <v>2</v>
      </c>
      <c r="H5">
        <f>SUM(E1:E40)</f>
        <v>3.4785203128105222E-2</v>
      </c>
    </row>
    <row r="6" spans="1:8" x14ac:dyDescent="0.25">
      <c r="A6">
        <v>0.73308656102500003</v>
      </c>
      <c r="B6">
        <v>0.72188622614711617</v>
      </c>
      <c r="C6">
        <f t="shared" si="0"/>
        <v>0.62294997933537999</v>
      </c>
      <c r="D6">
        <f t="shared" si="1"/>
        <v>9.8936246811736184E-2</v>
      </c>
      <c r="E6">
        <f t="shared" si="2"/>
        <v>9.7883809331927776E-3</v>
      </c>
    </row>
    <row r="7" spans="1:8" x14ac:dyDescent="0.25">
      <c r="A7">
        <v>0.866329811575</v>
      </c>
      <c r="B7">
        <v>0.65068778058982391</v>
      </c>
      <c r="C7">
        <f t="shared" si="0"/>
        <v>0.57544225013164574</v>
      </c>
      <c r="D7">
        <f t="shared" si="1"/>
        <v>7.5245530458178167E-2</v>
      </c>
      <c r="E7">
        <f t="shared" si="2"/>
        <v>5.661889853932618E-3</v>
      </c>
    </row>
    <row r="8" spans="1:8" x14ac:dyDescent="0.25">
      <c r="A8">
        <v>0.99957306212500008</v>
      </c>
      <c r="B8">
        <v>0.53422409812193505</v>
      </c>
      <c r="C8">
        <f t="shared" si="0"/>
        <v>0.52075804687417948</v>
      </c>
      <c r="D8">
        <f t="shared" si="1"/>
        <v>1.3466051247755573E-2</v>
      </c>
      <c r="E8">
        <f t="shared" si="2"/>
        <v>1.8133453620717942E-4</v>
      </c>
    </row>
    <row r="9" spans="1:8" x14ac:dyDescent="0.25">
      <c r="A9">
        <v>1.1328163126750002</v>
      </c>
      <c r="B9">
        <v>0.46444019121809893</v>
      </c>
      <c r="C9">
        <f t="shared" si="0"/>
        <v>0.46326073927010197</v>
      </c>
      <c r="D9">
        <f t="shared" si="1"/>
        <v>1.1794519479969567E-3</v>
      </c>
      <c r="E9">
        <f t="shared" si="2"/>
        <v>1.3911068976338159E-6</v>
      </c>
    </row>
    <row r="10" spans="1:8" x14ac:dyDescent="0.25">
      <c r="A10">
        <v>1.266059563225</v>
      </c>
      <c r="B10">
        <v>0.3437328927898417</v>
      </c>
      <c r="C10">
        <f t="shared" si="0"/>
        <v>0.40606756672816435</v>
      </c>
      <c r="D10">
        <f t="shared" si="1"/>
        <v>-6.2334673938322649E-2</v>
      </c>
      <c r="E10">
        <f t="shared" si="2"/>
        <v>3.8856115749970007E-3</v>
      </c>
    </row>
    <row r="11" spans="1:8" x14ac:dyDescent="0.25">
      <c r="A11">
        <v>1.3993028137750003</v>
      </c>
      <c r="B11">
        <v>0.30365429760858448</v>
      </c>
      <c r="C11">
        <f t="shared" si="0"/>
        <v>0.35132590671671038</v>
      </c>
      <c r="D11">
        <f t="shared" si="1"/>
        <v>-4.7671609108125901E-2</v>
      </c>
      <c r="E11">
        <f t="shared" si="2"/>
        <v>2.2725823149579525E-3</v>
      </c>
    </row>
    <row r="12" spans="1:8" x14ac:dyDescent="0.25">
      <c r="A12">
        <v>1.5325460643250002</v>
      </c>
      <c r="B12">
        <v>0.24660123858585353</v>
      </c>
      <c r="C12">
        <f t="shared" si="0"/>
        <v>0.30042669672010153</v>
      </c>
      <c r="D12">
        <f t="shared" si="1"/>
        <v>-5.3825458134247994E-2</v>
      </c>
      <c r="E12">
        <f t="shared" si="2"/>
        <v>2.8971799433616836E-3</v>
      </c>
    </row>
    <row r="13" spans="1:8" x14ac:dyDescent="0.25">
      <c r="A13">
        <v>1.665789314875</v>
      </c>
      <c r="B13">
        <v>0.22113954282364304</v>
      </c>
      <c r="C13">
        <f t="shared" si="0"/>
        <v>0.25417815681146472</v>
      </c>
      <c r="D13">
        <f t="shared" si="1"/>
        <v>-3.303861398782168E-2</v>
      </c>
      <c r="E13">
        <f t="shared" si="2"/>
        <v>1.0915500142362864E-3</v>
      </c>
    </row>
    <row r="14" spans="1:8" x14ac:dyDescent="0.25">
      <c r="A14">
        <v>1.7990325654250001</v>
      </c>
      <c r="B14">
        <v>0.19284876975452026</v>
      </c>
      <c r="C14">
        <f t="shared" si="0"/>
        <v>0.21294953640895148</v>
      </c>
      <c r="D14">
        <f t="shared" si="1"/>
        <v>-2.0100766654431224E-2</v>
      </c>
      <c r="E14">
        <f t="shared" si="2"/>
        <v>4.0404082009589423E-4</v>
      </c>
    </row>
    <row r="15" spans="1:8" x14ac:dyDescent="0.25">
      <c r="A15">
        <v>1.932275815975</v>
      </c>
      <c r="B15">
        <v>0.15512773899568988</v>
      </c>
      <c r="C15">
        <f t="shared" si="0"/>
        <v>0.17678967621621333</v>
      </c>
      <c r="D15">
        <f t="shared" si="1"/>
        <v>-2.1661937220523453E-2</v>
      </c>
      <c r="E15">
        <f t="shared" si="2"/>
        <v>4.6923952414589936E-4</v>
      </c>
    </row>
    <row r="16" spans="1:8" x14ac:dyDescent="0.25">
      <c r="A16">
        <v>2.0655190665249998</v>
      </c>
      <c r="B16">
        <v>0.14192537823009926</v>
      </c>
      <c r="C16">
        <f t="shared" si="0"/>
        <v>0.14552346153510426</v>
      </c>
      <c r="D16">
        <f t="shared" si="1"/>
        <v>-3.5980833050049954E-3</v>
      </c>
      <c r="E16">
        <f t="shared" si="2"/>
        <v>1.2946203469755672E-5</v>
      </c>
    </row>
    <row r="17" spans="1:5" x14ac:dyDescent="0.25">
      <c r="A17">
        <v>2.1987623170749999</v>
      </c>
      <c r="B17">
        <v>0.11740670823685952</v>
      </c>
      <c r="C17">
        <f t="shared" si="0"/>
        <v>0.11882873759296328</v>
      </c>
      <c r="D17">
        <f t="shared" si="1"/>
        <v>-1.4220293561037628E-3</v>
      </c>
      <c r="E17">
        <f t="shared" si="2"/>
        <v>2.0221674896208824E-6</v>
      </c>
    </row>
    <row r="18" spans="1:5" x14ac:dyDescent="0.25">
      <c r="A18">
        <v>2.332005567625</v>
      </c>
      <c r="B18">
        <v>9.5717115550532056E-2</v>
      </c>
      <c r="C18">
        <f t="shared" si="0"/>
        <v>9.6296154340110351E-2</v>
      </c>
      <c r="D18">
        <f t="shared" si="1"/>
        <v>-5.7903878957829558E-4</v>
      </c>
      <c r="E18">
        <f t="shared" si="2"/>
        <v>3.3528591983629765E-7</v>
      </c>
    </row>
    <row r="19" spans="1:5" x14ac:dyDescent="0.25">
      <c r="A19">
        <v>2.4652488181750001</v>
      </c>
      <c r="B19">
        <v>8.7701396514280605E-2</v>
      </c>
      <c r="C19">
        <f t="shared" si="0"/>
        <v>7.7474383346078479E-2</v>
      </c>
      <c r="D19">
        <f t="shared" si="1"/>
        <v>1.0227013168202126E-2</v>
      </c>
      <c r="E19">
        <f t="shared" si="2"/>
        <v>1.0459179834257968E-4</v>
      </c>
    </row>
    <row r="20" spans="1:5" x14ac:dyDescent="0.25">
      <c r="A20">
        <v>2.5984920687250002</v>
      </c>
      <c r="B20">
        <v>7.3084497095233833E-2</v>
      </c>
      <c r="C20">
        <f t="shared" si="0"/>
        <v>6.190308437459411E-2</v>
      </c>
      <c r="D20">
        <f t="shared" si="1"/>
        <v>1.1181412720639723E-2</v>
      </c>
      <c r="E20">
        <f t="shared" si="2"/>
        <v>1.2502399042928382E-4</v>
      </c>
    </row>
    <row r="21" spans="1:5" x14ac:dyDescent="0.25">
      <c r="A21">
        <v>2.7317353192750002</v>
      </c>
      <c r="B21">
        <v>5.8939110560672449E-2</v>
      </c>
      <c r="C21">
        <f t="shared" si="0"/>
        <v>4.9135864364540198E-2</v>
      </c>
      <c r="D21">
        <f t="shared" si="1"/>
        <v>9.8032461961322509E-3</v>
      </c>
      <c r="E21">
        <f t="shared" si="2"/>
        <v>9.6103635981981445E-5</v>
      </c>
    </row>
    <row r="22" spans="1:5" x14ac:dyDescent="0.25">
      <c r="A22">
        <v>2.8649785698250003</v>
      </c>
      <c r="B22">
        <v>4.9037339986479481E-2</v>
      </c>
      <c r="C22">
        <f t="shared" si="0"/>
        <v>3.8755274316204472E-2</v>
      </c>
      <c r="D22">
        <f t="shared" si="1"/>
        <v>1.0282065670275009E-2</v>
      </c>
      <c r="E22">
        <f t="shared" si="2"/>
        <v>1.0572087444784787E-4</v>
      </c>
    </row>
    <row r="23" spans="1:5" x14ac:dyDescent="0.25">
      <c r="A23">
        <v>2.998221820375</v>
      </c>
      <c r="B23">
        <v>4.1964646719198785E-2</v>
      </c>
      <c r="C23">
        <f t="shared" si="0"/>
        <v>3.0381650345545755E-2</v>
      </c>
      <c r="D23">
        <f t="shared" si="1"/>
        <v>1.158299637365303E-2</v>
      </c>
      <c r="E23">
        <f t="shared" si="2"/>
        <v>1.3416580499205926E-4</v>
      </c>
    </row>
    <row r="24" spans="1:5" x14ac:dyDescent="0.25">
      <c r="A24">
        <v>3.131465070925</v>
      </c>
      <c r="B24">
        <v>3.3005901913976572E-2</v>
      </c>
      <c r="C24">
        <f t="shared" si="0"/>
        <v>2.3677346084285962E-2</v>
      </c>
      <c r="D24">
        <f t="shared" si="1"/>
        <v>9.3285558296906101E-3</v>
      </c>
      <c r="E24">
        <f t="shared" si="2"/>
        <v>8.7021953867654668E-5</v>
      </c>
    </row>
    <row r="25" spans="1:5" x14ac:dyDescent="0.25">
      <c r="A25">
        <v>3.2647083214750001</v>
      </c>
      <c r="B25">
        <v>2.3575644224268982E-2</v>
      </c>
      <c r="C25">
        <f t="shared" si="0"/>
        <v>1.8347643782103511E-2</v>
      </c>
      <c r="D25">
        <f t="shared" si="1"/>
        <v>5.2280004421654709E-3</v>
      </c>
      <c r="E25">
        <f t="shared" si="2"/>
        <v>2.7331988623282359E-5</v>
      </c>
    </row>
    <row r="26" spans="1:5" x14ac:dyDescent="0.25">
      <c r="A26">
        <v>3.3979515720250002</v>
      </c>
      <c r="B26">
        <v>2.1218079801842083E-2</v>
      </c>
      <c r="C26">
        <f t="shared" si="0"/>
        <v>1.4139385284320741E-2</v>
      </c>
      <c r="D26">
        <f t="shared" si="1"/>
        <v>7.0786945175213417E-3</v>
      </c>
      <c r="E26">
        <f t="shared" si="2"/>
        <v>5.0107916072386703E-5</v>
      </c>
    </row>
    <row r="27" spans="1:5" x14ac:dyDescent="0.25">
      <c r="A27">
        <v>3.5311948225750003</v>
      </c>
      <c r="B27">
        <v>1.0373283458678351E-2</v>
      </c>
      <c r="C27">
        <f t="shared" si="0"/>
        <v>1.0838141031667073E-2</v>
      </c>
      <c r="D27">
        <f t="shared" si="1"/>
        <v>-4.6485757298872152E-4</v>
      </c>
      <c r="E27">
        <f t="shared" si="2"/>
        <v>2.1609256316496454E-7</v>
      </c>
    </row>
    <row r="28" spans="1:5" x14ac:dyDescent="0.25">
      <c r="A28">
        <v>3.6644380731249999</v>
      </c>
      <c r="B28">
        <v>1.273084788110525E-2</v>
      </c>
      <c r="C28">
        <f t="shared" si="0"/>
        <v>8.2645406242335927E-3</v>
      </c>
      <c r="D28">
        <f t="shared" si="1"/>
        <v>4.4663072568716568E-3</v>
      </c>
      <c r="E28">
        <f t="shared" si="2"/>
        <v>1.9947900512784425E-5</v>
      </c>
    </row>
    <row r="29" spans="1:5" x14ac:dyDescent="0.25">
      <c r="A29">
        <v>3.7976813236749996</v>
      </c>
      <c r="B29">
        <v>5.6581546138245549E-3</v>
      </c>
      <c r="C29">
        <f t="shared" si="0"/>
        <v>6.270224206533107E-3</v>
      </c>
      <c r="D29">
        <f t="shared" si="1"/>
        <v>-6.1206959270855218E-4</v>
      </c>
      <c r="E29">
        <f t="shared" si="2"/>
        <v>3.7462918631841295E-7</v>
      </c>
    </row>
    <row r="30" spans="1:5" x14ac:dyDescent="0.25">
      <c r="A30">
        <v>3.9309245742250001</v>
      </c>
      <c r="B30">
        <v>7.544206151766074E-3</v>
      </c>
      <c r="C30">
        <f t="shared" si="0"/>
        <v>4.733739406196172E-3</v>
      </c>
      <c r="D30">
        <f t="shared" si="1"/>
        <v>2.810466745569902E-3</v>
      </c>
      <c r="E30">
        <f t="shared" si="2"/>
        <v>7.8987233279542765E-6</v>
      </c>
    </row>
    <row r="31" spans="1:5" x14ac:dyDescent="0.25">
      <c r="A31">
        <v>4.0641678247749997</v>
      </c>
      <c r="B31">
        <v>4.2436159603684168E-3</v>
      </c>
      <c r="C31">
        <f t="shared" si="0"/>
        <v>3.5566016050249832E-3</v>
      </c>
      <c r="D31">
        <f t="shared" si="1"/>
        <v>6.8701435534343361E-4</v>
      </c>
      <c r="E31">
        <f t="shared" si="2"/>
        <v>4.7198872444795365E-7</v>
      </c>
    </row>
    <row r="32" spans="1:5" x14ac:dyDescent="0.25">
      <c r="A32">
        <v>4.1974110753250002</v>
      </c>
      <c r="B32">
        <v>6.1296674983099351E-3</v>
      </c>
      <c r="C32">
        <f t="shared" si="0"/>
        <v>2.6596527959214262E-3</v>
      </c>
      <c r="D32">
        <f t="shared" si="1"/>
        <v>3.4700147023885089E-3</v>
      </c>
      <c r="E32">
        <f t="shared" si="2"/>
        <v>1.2041002034792411E-5</v>
      </c>
    </row>
    <row r="33" spans="1:5" x14ac:dyDescent="0.25">
      <c r="A33">
        <v>4.3306543258749999</v>
      </c>
      <c r="B33">
        <v>1.4145386534561387E-3</v>
      </c>
      <c r="C33">
        <f t="shared" si="0"/>
        <v>1.9797926129117658E-3</v>
      </c>
      <c r="D33">
        <f t="shared" si="1"/>
        <v>-5.6525395945562708E-4</v>
      </c>
      <c r="E33">
        <f t="shared" si="2"/>
        <v>3.1951203868026372E-7</v>
      </c>
    </row>
    <row r="34" spans="1:5" x14ac:dyDescent="0.25">
      <c r="A34">
        <v>4.4638975764249995</v>
      </c>
      <c r="B34">
        <v>1.4145386534561387E-3</v>
      </c>
      <c r="C34">
        <f t="shared" si="0"/>
        <v>1.4671106942303344E-3</v>
      </c>
      <c r="D34">
        <f t="shared" si="1"/>
        <v>-5.2572040774195731E-5</v>
      </c>
      <c r="E34">
        <f t="shared" si="2"/>
        <v>2.7638194711636984E-9</v>
      </c>
    </row>
    <row r="35" spans="1:5" x14ac:dyDescent="0.25">
      <c r="A35">
        <v>4.597140826975</v>
      </c>
      <c r="B35">
        <v>9.4302576897075925E-4</v>
      </c>
      <c r="C35">
        <f t="shared" si="0"/>
        <v>1.08241893183379E-3</v>
      </c>
      <c r="D35">
        <f t="shared" si="1"/>
        <v>-1.393931628630307E-4</v>
      </c>
      <c r="E35">
        <f t="shared" si="2"/>
        <v>1.9430453852959403E-8</v>
      </c>
    </row>
    <row r="36" spans="1:5" x14ac:dyDescent="0.25">
      <c r="A36">
        <v>4.7303840775250006</v>
      </c>
      <c r="B36">
        <v>4.7151288448537963E-4</v>
      </c>
      <c r="C36">
        <f t="shared" si="0"/>
        <v>7.9516230834891072E-4</v>
      </c>
      <c r="D36">
        <f t="shared" si="1"/>
        <v>-3.236494238635311E-4</v>
      </c>
      <c r="E36">
        <f t="shared" si="2"/>
        <v>1.0474894956719561E-7</v>
      </c>
    </row>
    <row r="37" spans="1:5" x14ac:dyDescent="0.25">
      <c r="A37">
        <v>4.8636273280750002</v>
      </c>
      <c r="B37">
        <v>4.7151288448537963E-4</v>
      </c>
      <c r="C37">
        <f t="shared" si="0"/>
        <v>5.8167528330754022E-4</v>
      </c>
      <c r="D37">
        <f t="shared" si="1"/>
        <v>-1.1016239882216059E-4</v>
      </c>
      <c r="E37">
        <f t="shared" si="2"/>
        <v>1.213575411425277E-8</v>
      </c>
    </row>
    <row r="38" spans="1:5" x14ac:dyDescent="0.25">
      <c r="A38">
        <v>4.9968705786249998</v>
      </c>
      <c r="B38">
        <v>0</v>
      </c>
      <c r="C38">
        <f t="shared" si="0"/>
        <v>4.237448675457035E-4</v>
      </c>
      <c r="D38">
        <f t="shared" si="1"/>
        <v>-4.237448675457035E-4</v>
      </c>
      <c r="E38">
        <f t="shared" si="2"/>
        <v>1.7955971277132579E-7</v>
      </c>
    </row>
    <row r="39" spans="1:5" x14ac:dyDescent="0.25">
      <c r="A39">
        <v>5.1301138291750004</v>
      </c>
      <c r="B39">
        <v>0</v>
      </c>
      <c r="C39">
        <f t="shared" si="0"/>
        <v>3.07439846610667E-4</v>
      </c>
      <c r="D39">
        <f t="shared" si="1"/>
        <v>-3.07439846610667E-4</v>
      </c>
      <c r="E39">
        <f t="shared" si="2"/>
        <v>9.4519259283990454E-8</v>
      </c>
    </row>
    <row r="40" spans="1:5" x14ac:dyDescent="0.25">
      <c r="A40">
        <v>5.263357079725</v>
      </c>
      <c r="B40">
        <v>4.7151288448537963E-4</v>
      </c>
      <c r="C40">
        <f t="shared" si="0"/>
        <v>2.2216669522966365E-4</v>
      </c>
      <c r="D40">
        <f t="shared" si="1"/>
        <v>2.4934618925571598E-4</v>
      </c>
      <c r="E40">
        <f t="shared" si="2"/>
        <v>6.2173522096347335E-8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BCE2-B416-4237-BB62-EC105C73738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6.6067200487499991E-2</v>
      </c>
      <c r="B1">
        <v>0.29842134507157059</v>
      </c>
      <c r="C1">
        <f>$H$3*(1+$H$1)*(A1^($H$1))*EXP(-$H$3*(A1^(1+$H$1)))</f>
        <v>0.33355395099587221</v>
      </c>
      <c r="D1">
        <f>B1-C1</f>
        <v>-3.5132605924301619E-2</v>
      </c>
      <c r="E1">
        <f>D1^2</f>
        <v>1.2342999990322733E-3</v>
      </c>
      <c r="G1" t="s">
        <v>0</v>
      </c>
      <c r="H1">
        <v>0.48960970941113607</v>
      </c>
    </row>
    <row r="2" spans="1:8" x14ac:dyDescent="0.25">
      <c r="A2">
        <v>0.19558231746249999</v>
      </c>
      <c r="B2">
        <v>0.58277078931862814</v>
      </c>
      <c r="C2">
        <f t="shared" ref="C2:C40" si="0">$H$3*(1+$H$1)*(A2^($H$1))*EXP(-$H$3*(A2^(1+$H$1)))</f>
        <v>0.53409065790363464</v>
      </c>
      <c r="D2">
        <f t="shared" ref="D2:D40" si="1">B2-C2</f>
        <v>4.8680131414993499E-2</v>
      </c>
      <c r="E2">
        <f t="shared" ref="E2:E40" si="2">D2^2</f>
        <v>2.3697551945810369E-3</v>
      </c>
    </row>
    <row r="3" spans="1:8" x14ac:dyDescent="0.25">
      <c r="A3">
        <v>0.32509743443749994</v>
      </c>
      <c r="B3">
        <v>0.65846791099531921</v>
      </c>
      <c r="C3">
        <f t="shared" si="0"/>
        <v>0.62876624537840475</v>
      </c>
      <c r="D3">
        <f t="shared" si="1"/>
        <v>2.9701665616914452E-2</v>
      </c>
      <c r="E3">
        <f t="shared" si="2"/>
        <v>8.8218894041899821E-4</v>
      </c>
      <c r="G3" t="s">
        <v>1</v>
      </c>
      <c r="H3">
        <f>(_xlfn.GAMMA((2+$H$1)/(1+$H$1)))^(1+$H$1)</f>
        <v>0.85972989741886707</v>
      </c>
    </row>
    <row r="4" spans="1:8" x14ac:dyDescent="0.25">
      <c r="A4">
        <v>0.45461255141250001</v>
      </c>
      <c r="B4">
        <v>0.63420601302202073</v>
      </c>
      <c r="C4">
        <f t="shared" si="0"/>
        <v>0.66745670931220635</v>
      </c>
      <c r="D4">
        <f t="shared" si="1"/>
        <v>-3.3250696290185622E-2</v>
      </c>
      <c r="E4">
        <f t="shared" si="2"/>
        <v>1.1056088037821638E-3</v>
      </c>
    </row>
    <row r="5" spans="1:8" x14ac:dyDescent="0.25">
      <c r="A5">
        <v>0.58412766838749997</v>
      </c>
      <c r="B5">
        <v>0.61285554280551813</v>
      </c>
      <c r="C5">
        <f t="shared" si="0"/>
        <v>0.66910040250879321</v>
      </c>
      <c r="D5">
        <f t="shared" si="1"/>
        <v>-5.6244859703275085E-2</v>
      </c>
      <c r="E5">
        <f t="shared" si="2"/>
        <v>3.1634842430410975E-3</v>
      </c>
      <c r="G5" t="s">
        <v>2</v>
      </c>
      <c r="H5">
        <f>SUM(E1:E40)</f>
        <v>3.1985821722232806E-2</v>
      </c>
    </row>
    <row r="6" spans="1:8" x14ac:dyDescent="0.25">
      <c r="A6">
        <v>0.71364278536250003</v>
      </c>
      <c r="B6">
        <v>0.64924838976546584</v>
      </c>
      <c r="C6">
        <f t="shared" si="0"/>
        <v>0.64537325654526434</v>
      </c>
      <c r="D6">
        <f t="shared" si="1"/>
        <v>3.8751332202014988E-3</v>
      </c>
      <c r="E6">
        <f t="shared" si="2"/>
        <v>1.5016657474309237E-5</v>
      </c>
    </row>
    <row r="7" spans="1:8" x14ac:dyDescent="0.25">
      <c r="A7">
        <v>0.84315790233749999</v>
      </c>
      <c r="B7">
        <v>0.68709695060381137</v>
      </c>
      <c r="C7">
        <f t="shared" si="0"/>
        <v>0.6047438909973335</v>
      </c>
      <c r="D7">
        <f t="shared" si="1"/>
        <v>8.2353059606477874E-2</v>
      </c>
      <c r="E7">
        <f t="shared" si="2"/>
        <v>6.7820264265480981E-3</v>
      </c>
    </row>
    <row r="8" spans="1:8" x14ac:dyDescent="0.25">
      <c r="A8">
        <v>0.97267301931249994</v>
      </c>
      <c r="B8">
        <v>0.62886839546789508</v>
      </c>
      <c r="C8">
        <f t="shared" si="0"/>
        <v>0.55368623028630615</v>
      </c>
      <c r="D8">
        <f t="shared" si="1"/>
        <v>7.5182165181588934E-2</v>
      </c>
      <c r="E8">
        <f t="shared" si="2"/>
        <v>5.6523579613917234E-3</v>
      </c>
    </row>
    <row r="9" spans="1:8" x14ac:dyDescent="0.25">
      <c r="A9">
        <v>1.1021881362874999</v>
      </c>
      <c r="B9">
        <v>0.51435223703392652</v>
      </c>
      <c r="C9">
        <f t="shared" si="0"/>
        <v>0.49718033841030096</v>
      </c>
      <c r="D9">
        <f t="shared" si="1"/>
        <v>1.7171898623625559E-2</v>
      </c>
      <c r="E9">
        <f t="shared" si="2"/>
        <v>2.9487410234007336E-4</v>
      </c>
    </row>
    <row r="10" spans="1:8" x14ac:dyDescent="0.25">
      <c r="A10">
        <v>1.2317032532624999</v>
      </c>
      <c r="B10">
        <v>0.40032131655942399</v>
      </c>
      <c r="C10">
        <f t="shared" si="0"/>
        <v>0.43899265478217758</v>
      </c>
      <c r="D10">
        <f t="shared" si="1"/>
        <v>-3.8671338222753593E-2</v>
      </c>
      <c r="E10">
        <f t="shared" si="2"/>
        <v>1.4954723999386029E-3</v>
      </c>
    </row>
    <row r="11" spans="1:8" x14ac:dyDescent="0.25">
      <c r="A11">
        <v>1.3612183702375</v>
      </c>
      <c r="B11">
        <v>0.34548942713976954</v>
      </c>
      <c r="C11">
        <f t="shared" si="0"/>
        <v>0.3818796917592896</v>
      </c>
      <c r="D11">
        <f t="shared" si="1"/>
        <v>-3.6390264619520052E-2</v>
      </c>
      <c r="E11">
        <f t="shared" si="2"/>
        <v>1.3242513590786928E-3</v>
      </c>
    </row>
    <row r="12" spans="1:8" x14ac:dyDescent="0.25">
      <c r="A12">
        <v>1.4907334872125</v>
      </c>
      <c r="B12">
        <v>0.27804135077399994</v>
      </c>
      <c r="C12">
        <f t="shared" si="0"/>
        <v>0.32776100131839497</v>
      </c>
      <c r="D12">
        <f t="shared" si="1"/>
        <v>-4.9719650544395033E-2</v>
      </c>
      <c r="E12">
        <f t="shared" si="2"/>
        <v>2.4720436502567614E-3</v>
      </c>
    </row>
    <row r="13" spans="1:8" x14ac:dyDescent="0.25">
      <c r="A13">
        <v>1.6202486041874999</v>
      </c>
      <c r="B13">
        <v>0.23631088625992663</v>
      </c>
      <c r="C13">
        <f t="shared" si="0"/>
        <v>0.27787494567808024</v>
      </c>
      <c r="D13">
        <f t="shared" si="1"/>
        <v>-4.1564059418153609E-2</v>
      </c>
      <c r="E13">
        <f t="shared" si="2"/>
        <v>1.7275710353158037E-3</v>
      </c>
    </row>
    <row r="14" spans="1:8" x14ac:dyDescent="0.25">
      <c r="A14">
        <v>1.7497637211624999</v>
      </c>
      <c r="B14">
        <v>0.18584613847546591</v>
      </c>
      <c r="C14">
        <f t="shared" si="0"/>
        <v>0.23291980156916278</v>
      </c>
      <c r="D14">
        <f t="shared" si="1"/>
        <v>-4.7073663093696871E-2</v>
      </c>
      <c r="E14">
        <f t="shared" si="2"/>
        <v>2.2159297570588789E-3</v>
      </c>
    </row>
    <row r="15" spans="1:8" x14ac:dyDescent="0.25">
      <c r="A15">
        <v>1.8792788381374999</v>
      </c>
      <c r="B15">
        <v>0.18050852092134026</v>
      </c>
      <c r="C15">
        <f t="shared" si="0"/>
        <v>0.19317942680540531</v>
      </c>
      <c r="D15">
        <f t="shared" si="1"/>
        <v>-1.2670905884065053E-2</v>
      </c>
      <c r="E15">
        <f t="shared" si="2"/>
        <v>1.6055185592283439E-4</v>
      </c>
    </row>
    <row r="16" spans="1:8" x14ac:dyDescent="0.25">
      <c r="A16">
        <v>2.0087939551125</v>
      </c>
      <c r="B16">
        <v>0.15042376743445021</v>
      </c>
      <c r="C16">
        <f t="shared" si="0"/>
        <v>0.15863232297333199</v>
      </c>
      <c r="D16">
        <f t="shared" si="1"/>
        <v>-8.2085555388817788E-3</v>
      </c>
      <c r="E16">
        <f t="shared" si="2"/>
        <v>6.7380384034906735E-5</v>
      </c>
    </row>
    <row r="17" spans="1:5" x14ac:dyDescent="0.25">
      <c r="A17">
        <v>2.1383090720875</v>
      </c>
      <c r="B17">
        <v>0.11839806210969631</v>
      </c>
      <c r="C17">
        <f t="shared" si="0"/>
        <v>0.12904355033893633</v>
      </c>
      <c r="D17">
        <f t="shared" si="1"/>
        <v>-1.0645488229240024E-2</v>
      </c>
      <c r="E17">
        <f t="shared" si="2"/>
        <v>1.1332641963888791E-4</v>
      </c>
    </row>
    <row r="18" spans="1:5" x14ac:dyDescent="0.25">
      <c r="A18">
        <v>2.2678241890624999</v>
      </c>
      <c r="B18">
        <v>0.10578187516358112</v>
      </c>
      <c r="C18">
        <f t="shared" si="0"/>
        <v>0.1040398022921296</v>
      </c>
      <c r="D18">
        <f t="shared" si="1"/>
        <v>1.7420728714515193E-3</v>
      </c>
      <c r="E18">
        <f t="shared" si="2"/>
        <v>3.034817889447342E-6</v>
      </c>
    </row>
    <row r="19" spans="1:5" x14ac:dyDescent="0.25">
      <c r="A19">
        <v>2.3973393060374999</v>
      </c>
      <c r="B19">
        <v>9.2195212298534002E-2</v>
      </c>
      <c r="C19">
        <f t="shared" si="0"/>
        <v>8.3168701595502534E-2</v>
      </c>
      <c r="D19">
        <f t="shared" si="1"/>
        <v>9.0265107030314679E-3</v>
      </c>
      <c r="E19">
        <f t="shared" si="2"/>
        <v>8.147789547194164E-5</v>
      </c>
    </row>
    <row r="20" spans="1:5" x14ac:dyDescent="0.25">
      <c r="A20">
        <v>2.5268544230124999</v>
      </c>
      <c r="B20">
        <v>7.4241407798293177E-2</v>
      </c>
      <c r="C20">
        <f t="shared" si="0"/>
        <v>6.5943923996090087E-2</v>
      </c>
      <c r="D20">
        <f t="shared" si="1"/>
        <v>8.29748380220309E-3</v>
      </c>
      <c r="E20">
        <f t="shared" si="2"/>
        <v>6.884823744782265E-5</v>
      </c>
    </row>
    <row r="21" spans="1:5" x14ac:dyDescent="0.25">
      <c r="A21">
        <v>2.6563695399874998</v>
      </c>
      <c r="B21">
        <v>6.2110458811643961E-2</v>
      </c>
      <c r="C21">
        <f t="shared" si="0"/>
        <v>5.18780693508165E-2</v>
      </c>
      <c r="D21">
        <f t="shared" si="1"/>
        <v>1.0232389460827461E-2</v>
      </c>
      <c r="E21">
        <f t="shared" si="2"/>
        <v>1.0470179407805289E-4</v>
      </c>
    </row>
    <row r="22" spans="1:5" x14ac:dyDescent="0.25">
      <c r="A22">
        <v>2.7858846569624998</v>
      </c>
      <c r="B22">
        <v>5.8713793095382182E-2</v>
      </c>
      <c r="C22">
        <f t="shared" si="0"/>
        <v>4.0505313905395683E-2</v>
      </c>
      <c r="D22">
        <f t="shared" si="1"/>
        <v>1.8208479189986498E-2</v>
      </c>
      <c r="E22">
        <f t="shared" si="2"/>
        <v>3.3154871441217138E-4</v>
      </c>
    </row>
    <row r="23" spans="1:5" x14ac:dyDescent="0.25">
      <c r="A23">
        <v>2.9153997739374997</v>
      </c>
      <c r="B23">
        <v>3.0569991446356012E-2</v>
      </c>
      <c r="C23">
        <f t="shared" si="0"/>
        <v>3.1395834495222652E-2</v>
      </c>
      <c r="D23">
        <f t="shared" si="1"/>
        <v>-8.2584304886663962E-4</v>
      </c>
      <c r="E23">
        <f t="shared" si="2"/>
        <v>6.8201674136134695E-7</v>
      </c>
    </row>
    <row r="24" spans="1:5" x14ac:dyDescent="0.25">
      <c r="A24">
        <v>3.0449148909124997</v>
      </c>
      <c r="B24">
        <v>3.5907609000481663E-2</v>
      </c>
      <c r="C24">
        <f t="shared" si="0"/>
        <v>2.4163843683297503E-2</v>
      </c>
      <c r="D24">
        <f t="shared" si="1"/>
        <v>1.1743765317184161E-2</v>
      </c>
      <c r="E24">
        <f t="shared" si="2"/>
        <v>1.379160238250976E-4</v>
      </c>
    </row>
    <row r="25" spans="1:5" x14ac:dyDescent="0.25">
      <c r="A25">
        <v>3.1744300078875001</v>
      </c>
      <c r="B25">
        <v>2.5232373892230361E-2</v>
      </c>
      <c r="C25">
        <f t="shared" si="0"/>
        <v>1.847085712566976E-2</v>
      </c>
      <c r="D25">
        <f t="shared" si="1"/>
        <v>6.7615167665606019E-3</v>
      </c>
      <c r="E25">
        <f t="shared" si="2"/>
        <v>4.5718108984480137E-5</v>
      </c>
    </row>
    <row r="26" spans="1:5" x14ac:dyDescent="0.25">
      <c r="A26">
        <v>3.3039451248625</v>
      </c>
      <c r="B26">
        <v>2.2806184094900518E-2</v>
      </c>
      <c r="C26">
        <f t="shared" si="0"/>
        <v>1.4025565874936894E-2</v>
      </c>
      <c r="D26">
        <f t="shared" si="1"/>
        <v>8.7806182199636242E-3</v>
      </c>
      <c r="E26">
        <f t="shared" si="2"/>
        <v>7.7099256324757157E-5</v>
      </c>
    </row>
    <row r="27" spans="1:5" x14ac:dyDescent="0.25">
      <c r="A27">
        <v>3.4334602418375</v>
      </c>
      <c r="B27">
        <v>9.2195212298534016E-3</v>
      </c>
      <c r="C27">
        <f t="shared" si="0"/>
        <v>1.0581433360264819E-2</v>
      </c>
      <c r="D27">
        <f t="shared" si="1"/>
        <v>-1.3619121304114176E-3</v>
      </c>
      <c r="E27">
        <f t="shared" si="2"/>
        <v>1.8548046509617663E-6</v>
      </c>
    </row>
    <row r="28" spans="1:5" x14ac:dyDescent="0.25">
      <c r="A28">
        <v>3.5629753588124995</v>
      </c>
      <c r="B28">
        <v>1.2616186946115181E-2</v>
      </c>
      <c r="C28">
        <f t="shared" si="0"/>
        <v>7.9328977115324974E-3</v>
      </c>
      <c r="D28">
        <f t="shared" si="1"/>
        <v>4.6832892345826833E-3</v>
      </c>
      <c r="E28">
        <f t="shared" si="2"/>
        <v>2.1933198054758057E-5</v>
      </c>
    </row>
    <row r="29" spans="1:5" x14ac:dyDescent="0.25">
      <c r="A29">
        <v>3.6924904757874994</v>
      </c>
      <c r="B29">
        <v>7.2785693919895271E-3</v>
      </c>
      <c r="C29">
        <f t="shared" si="0"/>
        <v>5.9108462151387861E-3</v>
      </c>
      <c r="D29">
        <f t="shared" si="1"/>
        <v>1.367723176850741E-3</v>
      </c>
      <c r="E29">
        <f t="shared" si="2"/>
        <v>1.8706666884946833E-6</v>
      </c>
    </row>
    <row r="30" spans="1:5" x14ac:dyDescent="0.25">
      <c r="A30">
        <v>3.8220055927624994</v>
      </c>
      <c r="B30">
        <v>7.7638073514554951E-3</v>
      </c>
      <c r="C30">
        <f t="shared" si="0"/>
        <v>4.3778457172999868E-3</v>
      </c>
      <c r="D30">
        <f t="shared" si="1"/>
        <v>3.3859616341555083E-3</v>
      </c>
      <c r="E30">
        <f t="shared" si="2"/>
        <v>1.1464736187973041E-5</v>
      </c>
    </row>
    <row r="31" spans="1:5" x14ac:dyDescent="0.25">
      <c r="A31">
        <v>3.9515207097374994</v>
      </c>
      <c r="B31">
        <v>3.8819036757277475E-3</v>
      </c>
      <c r="C31">
        <f t="shared" si="0"/>
        <v>3.2234623104838017E-3</v>
      </c>
      <c r="D31">
        <f t="shared" si="1"/>
        <v>6.5844136524394583E-4</v>
      </c>
      <c r="E31">
        <f t="shared" si="2"/>
        <v>4.3354503146431126E-7</v>
      </c>
    </row>
    <row r="32" spans="1:5" x14ac:dyDescent="0.25">
      <c r="A32">
        <v>4.0810358267124993</v>
      </c>
      <c r="B32">
        <v>6.7933314325235583E-3</v>
      </c>
      <c r="C32">
        <f t="shared" si="0"/>
        <v>2.3598843937033664E-3</v>
      </c>
      <c r="D32">
        <f t="shared" si="1"/>
        <v>4.4334470388201919E-3</v>
      </c>
      <c r="E32">
        <f t="shared" si="2"/>
        <v>1.9655452646023529E-5</v>
      </c>
    </row>
    <row r="33" spans="1:5" x14ac:dyDescent="0.25">
      <c r="A33">
        <v>4.2105509436874993</v>
      </c>
      <c r="B33">
        <v>9.7047591893193689E-4</v>
      </c>
      <c r="C33">
        <f t="shared" si="0"/>
        <v>1.7179721718097851E-3</v>
      </c>
      <c r="D33">
        <f t="shared" si="1"/>
        <v>-7.4749625287784816E-4</v>
      </c>
      <c r="E33">
        <f t="shared" si="2"/>
        <v>5.5875064806642397E-7</v>
      </c>
    </row>
    <row r="34" spans="1:5" x14ac:dyDescent="0.25">
      <c r="A34">
        <v>4.3400660606625001</v>
      </c>
      <c r="B34">
        <v>9.7047591893193689E-4</v>
      </c>
      <c r="C34">
        <f t="shared" si="0"/>
        <v>1.2437899203654331E-3</v>
      </c>
      <c r="D34">
        <f t="shared" si="1"/>
        <v>-2.733140014334962E-4</v>
      </c>
      <c r="E34">
        <f t="shared" si="2"/>
        <v>7.4700543379589171E-8</v>
      </c>
    </row>
    <row r="35" spans="1:5" x14ac:dyDescent="0.25">
      <c r="A35">
        <v>4.4695811776375001</v>
      </c>
      <c r="B35">
        <v>1.4557138783979054E-3</v>
      </c>
      <c r="C35">
        <f t="shared" si="0"/>
        <v>8.9563065977465322E-4</v>
      </c>
      <c r="D35">
        <f t="shared" si="1"/>
        <v>5.6008321862325216E-4</v>
      </c>
      <c r="E35">
        <f t="shared" si="2"/>
        <v>3.136932117833817E-7</v>
      </c>
    </row>
    <row r="36" spans="1:5" x14ac:dyDescent="0.25">
      <c r="A36">
        <v>4.5990962946125</v>
      </c>
      <c r="B36">
        <v>4.8523795946596844E-4</v>
      </c>
      <c r="C36">
        <f t="shared" si="0"/>
        <v>6.4151214445888041E-4</v>
      </c>
      <c r="D36">
        <f t="shared" si="1"/>
        <v>-1.5627418499291197E-4</v>
      </c>
      <c r="E36">
        <f t="shared" si="2"/>
        <v>2.4421620895198873E-8</v>
      </c>
    </row>
    <row r="37" spans="1:5" x14ac:dyDescent="0.25">
      <c r="A37">
        <v>4.7286114115875</v>
      </c>
      <c r="B37">
        <v>0</v>
      </c>
      <c r="C37">
        <f t="shared" si="0"/>
        <v>4.5710454868178534E-4</v>
      </c>
      <c r="D37">
        <f t="shared" si="1"/>
        <v>-4.5710454868178534E-4</v>
      </c>
      <c r="E37">
        <f t="shared" si="2"/>
        <v>2.0894456842557867E-7</v>
      </c>
    </row>
    <row r="38" spans="1:5" x14ac:dyDescent="0.25">
      <c r="A38">
        <v>4.8581265285624999</v>
      </c>
      <c r="B38">
        <v>0</v>
      </c>
      <c r="C38">
        <f t="shared" si="0"/>
        <v>3.2404070299553347E-4</v>
      </c>
      <c r="D38">
        <f t="shared" si="1"/>
        <v>-3.2404070299553347E-4</v>
      </c>
      <c r="E38">
        <f t="shared" si="2"/>
        <v>1.0500237719783953E-7</v>
      </c>
    </row>
    <row r="39" spans="1:5" x14ac:dyDescent="0.25">
      <c r="A39">
        <v>4.9876416455374999</v>
      </c>
      <c r="B39">
        <v>0</v>
      </c>
      <c r="C39">
        <f t="shared" si="0"/>
        <v>2.2855654674056787E-4</v>
      </c>
      <c r="D39">
        <f t="shared" si="1"/>
        <v>-2.2855654674056787E-4</v>
      </c>
      <c r="E39">
        <f t="shared" si="2"/>
        <v>5.2238095057973385E-8</v>
      </c>
    </row>
    <row r="40" spans="1:5" x14ac:dyDescent="0.25">
      <c r="A40">
        <v>5.1171567625124998</v>
      </c>
      <c r="B40">
        <v>4.8523795946596844E-4</v>
      </c>
      <c r="C40">
        <f t="shared" si="0"/>
        <v>1.6041050057033626E-4</v>
      </c>
      <c r="D40">
        <f t="shared" si="1"/>
        <v>3.2482745889563219E-4</v>
      </c>
      <c r="E40">
        <f t="shared" si="2"/>
        <v>1.0551287805259362E-7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3747-2570-4E1F-B1CC-2EF23C60930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6.3061278449999994E-2</v>
      </c>
      <c r="B1">
        <v>0.24678901073103968</v>
      </c>
      <c r="C1">
        <f>$H$3*(1+$H$1)*(A1^($H$1))*EXP(-$H$3*(A1^(1+$H$1)))</f>
        <v>0.28465003796399524</v>
      </c>
      <c r="D1">
        <f>B1-C1</f>
        <v>-3.7861027232955563E-2</v>
      </c>
      <c r="E1">
        <f>D1^2</f>
        <v>1.4334573831346028E-3</v>
      </c>
      <c r="G1" t="s">
        <v>0</v>
      </c>
      <c r="H1">
        <v>0.54942835511213317</v>
      </c>
    </row>
    <row r="2" spans="1:8" x14ac:dyDescent="0.25">
      <c r="A2">
        <v>0.18904343534999998</v>
      </c>
      <c r="B2">
        <v>0.49756653072641938</v>
      </c>
      <c r="C2">
        <f t="shared" ref="C2:C40" si="0">$H$3*(1+$H$1)*(A2^($H$1))*EXP(-$H$3*(A2^(1+$H$1)))</f>
        <v>0.49371084217607974</v>
      </c>
      <c r="D2">
        <f t="shared" ref="D2:D40" si="1">B2-C2</f>
        <v>3.855688550339631E-3</v>
      </c>
      <c r="E2">
        <f t="shared" ref="E2:E40" si="2">D2^2</f>
        <v>1.4866334197220126E-5</v>
      </c>
    </row>
    <row r="3" spans="1:8" x14ac:dyDescent="0.25">
      <c r="A3">
        <v>0.31502559224999999</v>
      </c>
      <c r="B3">
        <v>0.68801784809865607</v>
      </c>
      <c r="C3">
        <f t="shared" si="0"/>
        <v>0.60489476601362302</v>
      </c>
      <c r="D3">
        <f t="shared" si="1"/>
        <v>8.3123082085033051E-2</v>
      </c>
      <c r="E3">
        <f t="shared" si="2"/>
        <v>6.9094467753151425E-3</v>
      </c>
      <c r="G3" t="s">
        <v>1</v>
      </c>
      <c r="H3">
        <f>(_xlfn.GAMMA((2+$H$1)/(1+$H$1)))^(1+$H$1)</f>
        <v>0.84854487226658082</v>
      </c>
    </row>
    <row r="4" spans="1:8" x14ac:dyDescent="0.25">
      <c r="A4">
        <v>0.44100774915000002</v>
      </c>
      <c r="B4">
        <v>0.66059684690631826</v>
      </c>
      <c r="C4">
        <f t="shared" si="0"/>
        <v>0.66046321400783725</v>
      </c>
      <c r="D4">
        <f t="shared" si="1"/>
        <v>1.3363289848100646E-4</v>
      </c>
      <c r="E4">
        <f t="shared" si="2"/>
        <v>1.7857751556434978E-8</v>
      </c>
    </row>
    <row r="5" spans="1:8" x14ac:dyDescent="0.25">
      <c r="A5">
        <v>0.56698990604999999</v>
      </c>
      <c r="B5">
        <v>0.63517010034615062</v>
      </c>
      <c r="C5">
        <f t="shared" si="0"/>
        <v>0.67681677121918515</v>
      </c>
      <c r="D5">
        <f t="shared" si="1"/>
        <v>-4.164667087303453E-2</v>
      </c>
      <c r="E5">
        <f t="shared" si="2"/>
        <v>1.7344451948068627E-3</v>
      </c>
      <c r="G5" t="s">
        <v>2</v>
      </c>
      <c r="H5">
        <f>SUM(E1:E40)</f>
        <v>3.0808992716050063E-2</v>
      </c>
    </row>
    <row r="6" spans="1:8" x14ac:dyDescent="0.25">
      <c r="A6">
        <v>0.69297206295000002</v>
      </c>
      <c r="B6">
        <v>0.62769164547551304</v>
      </c>
      <c r="C6">
        <f t="shared" si="0"/>
        <v>0.66460731948471752</v>
      </c>
      <c r="D6">
        <f t="shared" si="1"/>
        <v>-3.691567400920448E-2</v>
      </c>
      <c r="E6">
        <f t="shared" si="2"/>
        <v>1.3627669875538552E-3</v>
      </c>
    </row>
    <row r="7" spans="1:8" x14ac:dyDescent="0.25">
      <c r="A7">
        <v>0.81895421984999994</v>
      </c>
      <c r="B7">
        <v>0.64165142790070318</v>
      </c>
      <c r="C7">
        <f t="shared" si="0"/>
        <v>0.63205488642834973</v>
      </c>
      <c r="D7">
        <f t="shared" si="1"/>
        <v>9.5965414723534481E-3</v>
      </c>
      <c r="E7">
        <f t="shared" si="2"/>
        <v>9.2093608230599689E-5</v>
      </c>
    </row>
    <row r="8" spans="1:8" x14ac:dyDescent="0.25">
      <c r="A8">
        <v>0.94493637674999986</v>
      </c>
      <c r="B8">
        <v>0.66907242909304088</v>
      </c>
      <c r="C8">
        <f t="shared" si="0"/>
        <v>0.58583423736035334</v>
      </c>
      <c r="D8">
        <f t="shared" si="1"/>
        <v>8.3238191732687539E-2</v>
      </c>
      <c r="E8">
        <f t="shared" si="2"/>
        <v>6.9285965629276519E-3</v>
      </c>
    </row>
    <row r="9" spans="1:8" x14ac:dyDescent="0.25">
      <c r="A9">
        <v>1.07091853365</v>
      </c>
      <c r="B9">
        <v>0.58830511649015516</v>
      </c>
      <c r="C9">
        <f t="shared" si="0"/>
        <v>0.53137643653378042</v>
      </c>
      <c r="D9">
        <f t="shared" si="1"/>
        <v>5.6928679956374739E-2</v>
      </c>
      <c r="E9">
        <f t="shared" si="2"/>
        <v>3.2408746015753429E-3</v>
      </c>
    </row>
    <row r="10" spans="1:8" x14ac:dyDescent="0.25">
      <c r="A10">
        <v>1.1969006905500001</v>
      </c>
      <c r="B10">
        <v>0.45568718345084902</v>
      </c>
      <c r="C10">
        <f t="shared" si="0"/>
        <v>0.47301303179359477</v>
      </c>
      <c r="D10">
        <f t="shared" si="1"/>
        <v>-1.7325848342745753E-2</v>
      </c>
      <c r="E10">
        <f t="shared" si="2"/>
        <v>3.0018502079582574E-4</v>
      </c>
    </row>
    <row r="11" spans="1:8" x14ac:dyDescent="0.25">
      <c r="A11">
        <v>1.3228828474500001</v>
      </c>
      <c r="B11">
        <v>0.39585954448574845</v>
      </c>
      <c r="C11">
        <f t="shared" si="0"/>
        <v>0.41408634958357338</v>
      </c>
      <c r="D11">
        <f t="shared" si="1"/>
        <v>-1.8226805097824927E-2</v>
      </c>
      <c r="E11">
        <f t="shared" si="2"/>
        <v>3.3221642407409678E-4</v>
      </c>
    </row>
    <row r="12" spans="1:8" x14ac:dyDescent="0.25">
      <c r="A12">
        <v>1.44886500435</v>
      </c>
      <c r="B12">
        <v>0.32406637772762786</v>
      </c>
      <c r="C12">
        <f t="shared" si="0"/>
        <v>0.35706164649676275</v>
      </c>
      <c r="D12">
        <f t="shared" si="1"/>
        <v>-3.2995268769134889E-2</v>
      </c>
      <c r="E12">
        <f t="shared" si="2"/>
        <v>1.0886877611474481E-3</v>
      </c>
    </row>
    <row r="13" spans="1:8" x14ac:dyDescent="0.25">
      <c r="A13">
        <v>1.5748471612500001</v>
      </c>
      <c r="B13">
        <v>0.24678901073103968</v>
      </c>
      <c r="C13">
        <f t="shared" si="0"/>
        <v>0.30364747820351401</v>
      </c>
      <c r="D13">
        <f t="shared" si="1"/>
        <v>-5.6858467472474333E-2</v>
      </c>
      <c r="E13">
        <f t="shared" si="2"/>
        <v>3.232885323318422E-3</v>
      </c>
    </row>
    <row r="14" spans="1:8" x14ac:dyDescent="0.25">
      <c r="A14">
        <v>1.7008293181499998</v>
      </c>
      <c r="B14">
        <v>0.20889817271980934</v>
      </c>
      <c r="C14">
        <f t="shared" si="0"/>
        <v>0.25492066756586285</v>
      </c>
      <c r="D14">
        <f t="shared" si="1"/>
        <v>-4.6022494846053502E-2</v>
      </c>
      <c r="E14">
        <f t="shared" si="2"/>
        <v>2.1180700318550213E-3</v>
      </c>
    </row>
    <row r="15" spans="1:8" x14ac:dyDescent="0.25">
      <c r="A15">
        <v>1.82681147505</v>
      </c>
      <c r="B15">
        <v>0.18496711713376912</v>
      </c>
      <c r="C15">
        <f t="shared" si="0"/>
        <v>0.21144965500915661</v>
      </c>
      <c r="D15">
        <f t="shared" si="1"/>
        <v>-2.6482537875387485E-2</v>
      </c>
      <c r="E15">
        <f t="shared" si="2"/>
        <v>7.0132481232133273E-4</v>
      </c>
    </row>
    <row r="16" spans="1:8" x14ac:dyDescent="0.25">
      <c r="A16">
        <v>1.9527936319499999</v>
      </c>
      <c r="B16">
        <v>0.15256047936100633</v>
      </c>
      <c r="C16">
        <f t="shared" si="0"/>
        <v>0.17341037973534104</v>
      </c>
      <c r="D16">
        <f t="shared" si="1"/>
        <v>-2.0849900374334707E-2</v>
      </c>
      <c r="E16">
        <f t="shared" si="2"/>
        <v>4.3471834561968257E-4</v>
      </c>
    </row>
    <row r="17" spans="1:5" x14ac:dyDescent="0.25">
      <c r="A17">
        <v>2.0787757888499998</v>
      </c>
      <c r="B17">
        <v>0.13511075132951869</v>
      </c>
      <c r="C17">
        <f t="shared" si="0"/>
        <v>0.14069031461785178</v>
      </c>
      <c r="D17">
        <f t="shared" si="1"/>
        <v>-5.5795632883330892E-3</v>
      </c>
      <c r="E17">
        <f t="shared" si="2"/>
        <v>3.1131526488514356E-5</v>
      </c>
    </row>
    <row r="18" spans="1:5" x14ac:dyDescent="0.25">
      <c r="A18">
        <v>2.2047579457499999</v>
      </c>
      <c r="B18">
        <v>0.10719118647913844</v>
      </c>
      <c r="C18">
        <f t="shared" si="0"/>
        <v>0.11297800915109378</v>
      </c>
      <c r="D18">
        <f t="shared" si="1"/>
        <v>-5.7868226719553356E-3</v>
      </c>
      <c r="E18">
        <f t="shared" si="2"/>
        <v>3.3487316636656293E-5</v>
      </c>
    </row>
    <row r="19" spans="1:5" x14ac:dyDescent="0.25">
      <c r="A19">
        <v>2.3307401026500001</v>
      </c>
      <c r="B19">
        <v>9.6222786002203339E-2</v>
      </c>
      <c r="C19">
        <f t="shared" si="0"/>
        <v>8.983708437699621E-2</v>
      </c>
      <c r="D19">
        <f t="shared" si="1"/>
        <v>6.3857016252071297E-3</v>
      </c>
      <c r="E19">
        <f t="shared" si="2"/>
        <v>4.0777185246172974E-5</v>
      </c>
    </row>
    <row r="20" spans="1:5" x14ac:dyDescent="0.25">
      <c r="A20">
        <v>2.4567222595499998</v>
      </c>
      <c r="B20">
        <v>7.6280239680503167E-2</v>
      </c>
      <c r="C20">
        <f t="shared" si="0"/>
        <v>7.076489993884684E-2</v>
      </c>
      <c r="D20">
        <f t="shared" si="1"/>
        <v>5.5153397416563277E-3</v>
      </c>
      <c r="E20">
        <f t="shared" si="2"/>
        <v>3.0418972465893686E-5</v>
      </c>
    </row>
    <row r="21" spans="1:5" x14ac:dyDescent="0.25">
      <c r="A21">
        <v>2.5827044164499999</v>
      </c>
      <c r="B21">
        <v>7.1294603100078124E-2</v>
      </c>
      <c r="C21">
        <f t="shared" si="0"/>
        <v>5.5237027936197711E-2</v>
      </c>
      <c r="D21">
        <f t="shared" si="1"/>
        <v>1.6057575163880414E-2</v>
      </c>
      <c r="E21">
        <f t="shared" si="2"/>
        <v>2.5784572014366907E-4</v>
      </c>
    </row>
    <row r="22" spans="1:5" x14ac:dyDescent="0.25">
      <c r="A22">
        <v>2.7086865733500001</v>
      </c>
      <c r="B22">
        <v>5.2349184094462958E-2</v>
      </c>
      <c r="C22">
        <f t="shared" si="0"/>
        <v>4.2739239532817892E-2</v>
      </c>
      <c r="D22">
        <f t="shared" si="1"/>
        <v>9.609944561645066E-3</v>
      </c>
      <c r="E22">
        <f t="shared" si="2"/>
        <v>9.2351034477891581E-5</v>
      </c>
    </row>
    <row r="23" spans="1:5" x14ac:dyDescent="0.25">
      <c r="A23">
        <v>2.8346687302499998</v>
      </c>
      <c r="B23">
        <v>3.4400892404932805E-2</v>
      </c>
      <c r="C23">
        <f t="shared" si="0"/>
        <v>3.2788990461813362E-2</v>
      </c>
      <c r="D23">
        <f t="shared" si="1"/>
        <v>1.6119019431194426E-3</v>
      </c>
      <c r="E23">
        <f t="shared" si="2"/>
        <v>2.5982278742322345E-6</v>
      </c>
    </row>
    <row r="24" spans="1:5" x14ac:dyDescent="0.25">
      <c r="A24">
        <v>2.9606508871499999</v>
      </c>
      <c r="B24">
        <v>3.7392274353187829E-2</v>
      </c>
      <c r="C24">
        <f t="shared" si="0"/>
        <v>2.4948445985911321E-2</v>
      </c>
      <c r="D24">
        <f t="shared" si="1"/>
        <v>1.2443828367276508E-2</v>
      </c>
      <c r="E24">
        <f t="shared" si="2"/>
        <v>1.5484886443423553E-4</v>
      </c>
    </row>
    <row r="25" spans="1:5" x14ac:dyDescent="0.25">
      <c r="A25">
        <v>3.0866330440500001</v>
      </c>
      <c r="B25">
        <v>3.1908074114720276E-2</v>
      </c>
      <c r="C25">
        <f t="shared" si="0"/>
        <v>1.8830980285729822E-2</v>
      </c>
      <c r="D25">
        <f t="shared" si="1"/>
        <v>1.3077093828990454E-2</v>
      </c>
      <c r="E25">
        <f t="shared" si="2"/>
        <v>1.7101038301222022E-4</v>
      </c>
    </row>
    <row r="26" spans="1:5" x14ac:dyDescent="0.25">
      <c r="A26">
        <v>3.2126152009500002</v>
      </c>
      <c r="B26">
        <v>1.6951164373445148E-2</v>
      </c>
      <c r="C26">
        <f t="shared" si="0"/>
        <v>1.4102878581136831E-2</v>
      </c>
      <c r="D26">
        <f t="shared" si="1"/>
        <v>2.8482857923083169E-3</v>
      </c>
      <c r="E26">
        <f t="shared" si="2"/>
        <v>8.1127319546654163E-6</v>
      </c>
    </row>
    <row r="27" spans="1:5" x14ac:dyDescent="0.25">
      <c r="A27">
        <v>3.3385973578499999</v>
      </c>
      <c r="B27">
        <v>1.2962655109105114E-2</v>
      </c>
      <c r="C27">
        <f t="shared" si="0"/>
        <v>1.0481710975922152E-2</v>
      </c>
      <c r="D27">
        <f t="shared" si="1"/>
        <v>2.4809441331829617E-3</v>
      </c>
      <c r="E27">
        <f t="shared" si="2"/>
        <v>6.1550837919749577E-6</v>
      </c>
    </row>
    <row r="28" spans="1:5" x14ac:dyDescent="0.25">
      <c r="A28">
        <v>3.4645795147499996</v>
      </c>
      <c r="B28">
        <v>1.0968400476935097E-2</v>
      </c>
      <c r="C28">
        <f t="shared" si="0"/>
        <v>7.7325719210058139E-3</v>
      </c>
      <c r="D28">
        <f t="shared" si="1"/>
        <v>3.2358285559292831E-3</v>
      </c>
      <c r="E28">
        <f t="shared" si="2"/>
        <v>1.047058644336739E-5</v>
      </c>
    </row>
    <row r="29" spans="1:5" x14ac:dyDescent="0.25">
      <c r="A29">
        <v>3.5905616716499997</v>
      </c>
      <c r="B29">
        <v>1.14669641349776E-2</v>
      </c>
      <c r="C29">
        <f t="shared" si="0"/>
        <v>5.6631141501809193E-3</v>
      </c>
      <c r="D29">
        <f t="shared" si="1"/>
        <v>5.8038499847966806E-3</v>
      </c>
      <c r="E29">
        <f t="shared" si="2"/>
        <v>3.3684674646024428E-5</v>
      </c>
    </row>
    <row r="30" spans="1:5" x14ac:dyDescent="0.25">
      <c r="A30">
        <v>3.7165438285499999</v>
      </c>
      <c r="B30">
        <v>4.4870729223825392E-3</v>
      </c>
      <c r="C30">
        <f t="shared" si="0"/>
        <v>4.1180672189838835E-3</v>
      </c>
      <c r="D30">
        <f t="shared" si="1"/>
        <v>3.6900570339865567E-4</v>
      </c>
      <c r="E30">
        <f t="shared" si="2"/>
        <v>1.3616520914073663E-7</v>
      </c>
    </row>
    <row r="31" spans="1:5" x14ac:dyDescent="0.25">
      <c r="A31">
        <v>3.84252598545</v>
      </c>
      <c r="B31">
        <v>5.4842002384675485E-3</v>
      </c>
      <c r="C31">
        <f t="shared" si="0"/>
        <v>2.9737269461453503E-3</v>
      </c>
      <c r="D31">
        <f t="shared" si="1"/>
        <v>2.5104732923221982E-3</v>
      </c>
      <c r="E31">
        <f t="shared" si="2"/>
        <v>6.3024761514630575E-6</v>
      </c>
    </row>
    <row r="32" spans="1:5" x14ac:dyDescent="0.25">
      <c r="A32">
        <v>3.9685081423500002</v>
      </c>
      <c r="B32">
        <v>3.9885092643400346E-3</v>
      </c>
      <c r="C32">
        <f t="shared" si="0"/>
        <v>2.1327359469262876E-3</v>
      </c>
      <c r="D32">
        <f t="shared" si="1"/>
        <v>1.855773317413747E-3</v>
      </c>
      <c r="E32">
        <f t="shared" si="2"/>
        <v>3.4438946056248236E-6</v>
      </c>
    </row>
    <row r="33" spans="1:5" x14ac:dyDescent="0.25">
      <c r="A33">
        <v>4.0944902992499994</v>
      </c>
      <c r="B33">
        <v>2.4928182902125219E-3</v>
      </c>
      <c r="C33">
        <f t="shared" si="0"/>
        <v>1.5193459264320505E-3</v>
      </c>
      <c r="D33">
        <f t="shared" si="1"/>
        <v>9.7347236378047142E-4</v>
      </c>
      <c r="E33">
        <f t="shared" si="2"/>
        <v>9.4764844304433848E-7</v>
      </c>
    </row>
    <row r="34" spans="1:5" x14ac:dyDescent="0.25">
      <c r="A34">
        <v>4.2204724561500004</v>
      </c>
      <c r="B34">
        <v>1.4956909741275131E-3</v>
      </c>
      <c r="C34">
        <f t="shared" si="0"/>
        <v>1.0752558818881305E-3</v>
      </c>
      <c r="D34">
        <f t="shared" si="1"/>
        <v>4.2043509223938262E-4</v>
      </c>
      <c r="E34">
        <f t="shared" si="2"/>
        <v>1.7676566678633818E-7</v>
      </c>
    </row>
    <row r="35" spans="1:5" x14ac:dyDescent="0.25">
      <c r="A35">
        <v>4.3464546130499997</v>
      </c>
      <c r="B35">
        <v>4.9856365804250432E-4</v>
      </c>
      <c r="C35">
        <f t="shared" si="0"/>
        <v>7.5605198643334656E-4</v>
      </c>
      <c r="D35">
        <f t="shared" si="1"/>
        <v>-2.5748832839084224E-4</v>
      </c>
      <c r="E35">
        <f t="shared" si="2"/>
        <v>6.6300239257510217E-8</v>
      </c>
    </row>
    <row r="36" spans="1:5" x14ac:dyDescent="0.25">
      <c r="A36">
        <v>4.4724367699500007</v>
      </c>
      <c r="B36">
        <v>4.9856365804250432E-4</v>
      </c>
      <c r="C36">
        <f t="shared" si="0"/>
        <v>5.2822942539868922E-4</v>
      </c>
      <c r="D36">
        <f t="shared" si="1"/>
        <v>-2.9665767356184896E-5</v>
      </c>
      <c r="E36">
        <f t="shared" si="2"/>
        <v>8.8005775283128535E-10</v>
      </c>
    </row>
    <row r="37" spans="1:5" x14ac:dyDescent="0.25">
      <c r="A37">
        <v>4.59841892685</v>
      </c>
      <c r="B37">
        <v>0</v>
      </c>
      <c r="C37">
        <f t="shared" si="0"/>
        <v>3.6674873525917756E-4</v>
      </c>
      <c r="D37">
        <f t="shared" si="1"/>
        <v>-3.6674873525917756E-4</v>
      </c>
      <c r="E37">
        <f t="shared" si="2"/>
        <v>1.3450463481420631E-7</v>
      </c>
    </row>
    <row r="38" spans="1:5" x14ac:dyDescent="0.25">
      <c r="A38">
        <v>4.7244010837500001</v>
      </c>
      <c r="B38">
        <v>0</v>
      </c>
      <c r="C38">
        <f t="shared" si="0"/>
        <v>2.5306468630915328E-4</v>
      </c>
      <c r="D38">
        <f t="shared" si="1"/>
        <v>-2.5306468630915328E-4</v>
      </c>
      <c r="E38">
        <f t="shared" si="2"/>
        <v>6.4041735456750159E-8</v>
      </c>
    </row>
    <row r="39" spans="1:5" x14ac:dyDescent="0.25">
      <c r="A39">
        <v>4.8503832406500003</v>
      </c>
      <c r="B39">
        <v>0</v>
      </c>
      <c r="C39">
        <f t="shared" si="0"/>
        <v>1.7356058265205983E-4</v>
      </c>
      <c r="D39">
        <f t="shared" si="1"/>
        <v>-1.7356058265205983E-4</v>
      </c>
      <c r="E39">
        <f t="shared" si="2"/>
        <v>3.0123275850522494E-8</v>
      </c>
    </row>
    <row r="40" spans="1:5" x14ac:dyDescent="0.25">
      <c r="A40">
        <v>4.9763653975500004</v>
      </c>
      <c r="B40">
        <v>4.9856365804250432E-4</v>
      </c>
      <c r="C40">
        <f t="shared" si="0"/>
        <v>1.1832190507719213E-4</v>
      </c>
      <c r="D40">
        <f t="shared" si="1"/>
        <v>3.8024175296531219E-4</v>
      </c>
      <c r="E40">
        <f t="shared" si="2"/>
        <v>1.445837906981335E-7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7BB0-EF46-4F68-9C11-4C3F56B9DF2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6.1694517524999999E-2</v>
      </c>
      <c r="B1">
        <v>0.20539830447730142</v>
      </c>
      <c r="C1">
        <f>$H$3*(1+$H$1)*(A1^($H$1))*EXP(-$H$3*(A1^(1+$H$1)))</f>
        <v>0.24495899352241354</v>
      </c>
      <c r="D1">
        <f>B1-C1</f>
        <v>-3.9560689045112118E-2</v>
      </c>
      <c r="E1">
        <f>D1^2</f>
        <v>1.5650481177240539E-3</v>
      </c>
      <c r="G1" t="s">
        <v>0</v>
      </c>
      <c r="H1">
        <v>0.60896084742014944</v>
      </c>
    </row>
    <row r="2" spans="1:8" x14ac:dyDescent="0.25">
      <c r="A2">
        <v>0.18430359457500001</v>
      </c>
      <c r="B2">
        <v>0.45792040948306101</v>
      </c>
      <c r="C2">
        <f t="shared" ref="C2:C40" si="0">$H$3*(1+$H$1)*(A2^($H$1))*EXP(-$H$3*(A2^(1+$H$1)))</f>
        <v>0.45570809412393948</v>
      </c>
      <c r="D2">
        <f t="shared" ref="D2:D40" si="1">B2-C2</f>
        <v>2.2123153591215305E-3</v>
      </c>
      <c r="E2">
        <f t="shared" ref="E2:E40" si="2">D2^2</f>
        <v>4.8943392482050268E-6</v>
      </c>
    </row>
    <row r="3" spans="1:8" x14ac:dyDescent="0.25">
      <c r="A3">
        <v>0.30691267162500002</v>
      </c>
      <c r="B3">
        <v>0.63053693967969582</v>
      </c>
      <c r="C3">
        <f t="shared" si="0"/>
        <v>0.57955501656529562</v>
      </c>
      <c r="D3">
        <f t="shared" si="1"/>
        <v>5.0981923114400196E-2</v>
      </c>
      <c r="E3">
        <f t="shared" si="2"/>
        <v>2.5991564844426128E-3</v>
      </c>
      <c r="G3" t="s">
        <v>1</v>
      </c>
      <c r="H3">
        <f>(_xlfn.GAMMA((2+$H$1)/(1+$H$1)))^(1+$H$1)</f>
        <v>0.83822090052002518</v>
      </c>
    </row>
    <row r="4" spans="1:8" x14ac:dyDescent="0.25">
      <c r="A4">
        <v>0.42952174867500004</v>
      </c>
      <c r="B4">
        <v>0.69302719690221648</v>
      </c>
      <c r="C4">
        <f t="shared" si="0"/>
        <v>0.65004784417205674</v>
      </c>
      <c r="D4">
        <f t="shared" si="1"/>
        <v>4.2979352730159737E-2</v>
      </c>
      <c r="E4">
        <f t="shared" si="2"/>
        <v>1.8472247611034892E-3</v>
      </c>
    </row>
    <row r="5" spans="1:8" x14ac:dyDescent="0.25">
      <c r="A5">
        <v>0.55213082572499994</v>
      </c>
      <c r="B5">
        <v>0.66792865096858112</v>
      </c>
      <c r="C5">
        <f t="shared" si="0"/>
        <v>0.68049849316454758</v>
      </c>
      <c r="D5">
        <f t="shared" si="1"/>
        <v>-1.2569842195966463E-2</v>
      </c>
      <c r="E5">
        <f t="shared" si="2"/>
        <v>1.5800093283149899E-4</v>
      </c>
      <c r="G5" t="s">
        <v>2</v>
      </c>
      <c r="H5">
        <f>SUM(E1:E40)</f>
        <v>2.4734306850323882E-2</v>
      </c>
    </row>
    <row r="6" spans="1:8" x14ac:dyDescent="0.25">
      <c r="A6">
        <v>0.67473990277500007</v>
      </c>
      <c r="B6">
        <v>0.63258580057223757</v>
      </c>
      <c r="C6">
        <f t="shared" si="0"/>
        <v>0.68007305035963272</v>
      </c>
      <c r="D6">
        <f t="shared" si="1"/>
        <v>-4.7487249787395158E-2</v>
      </c>
      <c r="E6">
        <f t="shared" si="2"/>
        <v>2.2550388923704614E-3</v>
      </c>
    </row>
    <row r="7" spans="1:8" x14ac:dyDescent="0.25">
      <c r="A7">
        <v>0.79734897982499997</v>
      </c>
      <c r="B7">
        <v>0.64948890293570627</v>
      </c>
      <c r="C7">
        <f t="shared" si="0"/>
        <v>0.65635792554866634</v>
      </c>
      <c r="D7">
        <f t="shared" si="1"/>
        <v>-6.869022612960074E-3</v>
      </c>
      <c r="E7">
        <f t="shared" si="2"/>
        <v>4.718347165735684E-5</v>
      </c>
    </row>
    <row r="8" spans="1:8" x14ac:dyDescent="0.25">
      <c r="A8">
        <v>0.9199580568750001</v>
      </c>
      <c r="B8">
        <v>0.63975681369613335</v>
      </c>
      <c r="C8">
        <f t="shared" si="0"/>
        <v>0.61593167073324406</v>
      </c>
      <c r="D8">
        <f t="shared" si="1"/>
        <v>2.382514296288929E-2</v>
      </c>
      <c r="E8">
        <f t="shared" si="2"/>
        <v>5.6763743720211301E-4</v>
      </c>
    </row>
    <row r="9" spans="1:8" x14ac:dyDescent="0.25">
      <c r="A9">
        <v>1.042567133925</v>
      </c>
      <c r="B9">
        <v>0.6484644724894354</v>
      </c>
      <c r="C9">
        <f t="shared" si="0"/>
        <v>0.56446913334259619</v>
      </c>
      <c r="D9">
        <f t="shared" si="1"/>
        <v>8.399533914683921E-2</v>
      </c>
      <c r="E9">
        <f t="shared" si="2"/>
        <v>7.0552169983925392E-3</v>
      </c>
    </row>
    <row r="10" spans="1:8" x14ac:dyDescent="0.25">
      <c r="A10">
        <v>1.1651762109750001</v>
      </c>
      <c r="B10">
        <v>0.51887402103617541</v>
      </c>
      <c r="C10">
        <f t="shared" si="0"/>
        <v>0.50674098698084769</v>
      </c>
      <c r="D10">
        <f t="shared" si="1"/>
        <v>1.2133034055327729E-2</v>
      </c>
      <c r="E10">
        <f t="shared" si="2"/>
        <v>1.4721051538774243E-4</v>
      </c>
    </row>
    <row r="11" spans="1:8" x14ac:dyDescent="0.25">
      <c r="A11">
        <v>1.2877852880250003</v>
      </c>
      <c r="B11">
        <v>0.42974857221061319</v>
      </c>
      <c r="C11">
        <f t="shared" si="0"/>
        <v>0.44661545057284974</v>
      </c>
      <c r="D11">
        <f t="shared" si="1"/>
        <v>-1.6866878362236548E-2</v>
      </c>
      <c r="E11">
        <f t="shared" si="2"/>
        <v>2.8449158568648347E-4</v>
      </c>
    </row>
    <row r="12" spans="1:8" x14ac:dyDescent="0.25">
      <c r="A12">
        <v>1.4103943650750002</v>
      </c>
      <c r="B12">
        <v>0.35752622574851967</v>
      </c>
      <c r="C12">
        <f t="shared" si="0"/>
        <v>0.38709195828305087</v>
      </c>
      <c r="D12">
        <f t="shared" si="1"/>
        <v>-2.9565732534531208E-2</v>
      </c>
      <c r="E12">
        <f t="shared" si="2"/>
        <v>8.741325403034372E-4</v>
      </c>
    </row>
    <row r="13" spans="1:8" x14ac:dyDescent="0.25">
      <c r="A13">
        <v>1.5330034421250001</v>
      </c>
      <c r="B13">
        <v>0.30118255120362403</v>
      </c>
      <c r="C13">
        <f t="shared" si="0"/>
        <v>0.33036906752303097</v>
      </c>
      <c r="D13">
        <f t="shared" si="1"/>
        <v>-2.9186516319406941E-2</v>
      </c>
      <c r="E13">
        <f t="shared" si="2"/>
        <v>8.5185273486300774E-4</v>
      </c>
    </row>
    <row r="14" spans="1:8" x14ac:dyDescent="0.25">
      <c r="A14">
        <v>1.6556125191750002</v>
      </c>
      <c r="B14">
        <v>0.22127697639449928</v>
      </c>
      <c r="C14">
        <f t="shared" si="0"/>
        <v>0.27793876490061958</v>
      </c>
      <c r="D14">
        <f t="shared" si="1"/>
        <v>-5.6661788506120303E-2</v>
      </c>
      <c r="E14">
        <f t="shared" si="2"/>
        <v>3.2105582767123068E-3</v>
      </c>
    </row>
    <row r="15" spans="1:8" x14ac:dyDescent="0.25">
      <c r="A15">
        <v>1.7782215962249999</v>
      </c>
      <c r="B15">
        <v>0.19156849345264521</v>
      </c>
      <c r="C15">
        <f t="shared" si="0"/>
        <v>0.23069639803645056</v>
      </c>
      <c r="D15">
        <f t="shared" si="1"/>
        <v>-3.9127904583805356E-2</v>
      </c>
      <c r="E15">
        <f t="shared" si="2"/>
        <v>1.5309929171193762E-3</v>
      </c>
    </row>
    <row r="16" spans="1:8" x14ac:dyDescent="0.25">
      <c r="A16">
        <v>1.9008306732749998</v>
      </c>
      <c r="B16">
        <v>0.16493330184960364</v>
      </c>
      <c r="C16">
        <f t="shared" si="0"/>
        <v>0.18905580962341365</v>
      </c>
      <c r="D16">
        <f t="shared" si="1"/>
        <v>-2.4122507773810004E-2</v>
      </c>
      <c r="E16">
        <f t="shared" si="2"/>
        <v>5.8189538129752407E-4</v>
      </c>
    </row>
    <row r="17" spans="1:5" x14ac:dyDescent="0.25">
      <c r="A17">
        <v>2.0234397503250001</v>
      </c>
      <c r="B17">
        <v>0.14239583203164538</v>
      </c>
      <c r="C17">
        <f t="shared" si="0"/>
        <v>0.15306107472203612</v>
      </c>
      <c r="D17">
        <f t="shared" si="1"/>
        <v>-1.0665242690390736E-2</v>
      </c>
      <c r="E17">
        <f t="shared" si="2"/>
        <v>1.1374740164493303E-4</v>
      </c>
    </row>
    <row r="18" spans="1:5" x14ac:dyDescent="0.25">
      <c r="A18">
        <v>2.146048827375</v>
      </c>
      <c r="B18">
        <v>0.1193461469905517</v>
      </c>
      <c r="C18">
        <f t="shared" si="0"/>
        <v>0.12248859450067803</v>
      </c>
      <c r="D18">
        <f t="shared" si="1"/>
        <v>-3.1424475101263366E-3</v>
      </c>
      <c r="E18">
        <f t="shared" si="2"/>
        <v>9.8749763538992123E-6</v>
      </c>
    </row>
    <row r="19" spans="1:5" x14ac:dyDescent="0.25">
      <c r="A19">
        <v>2.2686579044249999</v>
      </c>
      <c r="B19">
        <v>8.9637664048697621E-2</v>
      </c>
      <c r="C19">
        <f t="shared" si="0"/>
        <v>9.69356495401755E-2</v>
      </c>
      <c r="D19">
        <f t="shared" si="1"/>
        <v>-7.2979854914778791E-3</v>
      </c>
      <c r="E19">
        <f t="shared" si="2"/>
        <v>5.3260592233821623E-5</v>
      </c>
    </row>
    <row r="20" spans="1:5" x14ac:dyDescent="0.25">
      <c r="A20">
        <v>2.3912669814749998</v>
      </c>
      <c r="B20">
        <v>9.1174309718103877E-2</v>
      </c>
      <c r="C20">
        <f t="shared" si="0"/>
        <v>7.5893574922258636E-2</v>
      </c>
      <c r="D20">
        <f t="shared" si="1"/>
        <v>1.5280734795845241E-2</v>
      </c>
      <c r="E20">
        <f t="shared" si="2"/>
        <v>2.3350085590095551E-4</v>
      </c>
    </row>
    <row r="21" spans="1:5" x14ac:dyDescent="0.25">
      <c r="A21">
        <v>2.5138760585250002</v>
      </c>
      <c r="B21">
        <v>7.5295637800906007E-2</v>
      </c>
      <c r="C21">
        <f t="shared" si="0"/>
        <v>5.8805353009460791E-2</v>
      </c>
      <c r="D21">
        <f t="shared" si="1"/>
        <v>1.6490284791445216E-2</v>
      </c>
      <c r="E21">
        <f t="shared" si="2"/>
        <v>2.7192949250296936E-4</v>
      </c>
    </row>
    <row r="22" spans="1:5" x14ac:dyDescent="0.25">
      <c r="A22">
        <v>2.6364851355750005</v>
      </c>
      <c r="B22">
        <v>4.6099370082187348E-2</v>
      </c>
      <c r="C22">
        <f t="shared" si="0"/>
        <v>4.5108594317877164E-2</v>
      </c>
      <c r="D22">
        <f t="shared" si="1"/>
        <v>9.9077576431018388E-4</v>
      </c>
      <c r="E22">
        <f t="shared" si="2"/>
        <v>9.8163661514442907E-7</v>
      </c>
    </row>
    <row r="23" spans="1:5" x14ac:dyDescent="0.25">
      <c r="A23">
        <v>2.7590942126250004</v>
      </c>
      <c r="B23">
        <v>4.1489433073968615E-2</v>
      </c>
      <c r="C23">
        <f t="shared" si="0"/>
        <v>3.4265621946122746E-2</v>
      </c>
      <c r="D23">
        <f t="shared" si="1"/>
        <v>7.2238111278458694E-3</v>
      </c>
      <c r="E23">
        <f t="shared" si="2"/>
        <v>5.2183447210789815E-5</v>
      </c>
    </row>
    <row r="24" spans="1:5" x14ac:dyDescent="0.25">
      <c r="A24">
        <v>2.8817032896749999</v>
      </c>
      <c r="B24">
        <v>3.4318419950072808E-2</v>
      </c>
      <c r="C24">
        <f t="shared" si="0"/>
        <v>2.5782756234871178E-2</v>
      </c>
      <c r="D24">
        <f t="shared" si="1"/>
        <v>8.5356637152016294E-3</v>
      </c>
      <c r="E24">
        <f t="shared" si="2"/>
        <v>7.2857555059009684E-5</v>
      </c>
    </row>
    <row r="25" spans="1:5" x14ac:dyDescent="0.25">
      <c r="A25">
        <v>3.0043123667250002</v>
      </c>
      <c r="B25">
        <v>3.4830635173208217E-2</v>
      </c>
      <c r="C25">
        <f t="shared" si="0"/>
        <v>1.9220994641916407E-2</v>
      </c>
      <c r="D25">
        <f t="shared" si="1"/>
        <v>1.560964053129181E-2</v>
      </c>
      <c r="E25">
        <f t="shared" si="2"/>
        <v>2.4366087751614808E-4</v>
      </c>
    </row>
    <row r="26" spans="1:5" x14ac:dyDescent="0.25">
      <c r="A26">
        <v>3.1269214437750001</v>
      </c>
      <c r="B26">
        <v>1.434202624779162E-2</v>
      </c>
      <c r="C26">
        <f t="shared" si="0"/>
        <v>1.4200179252228483E-2</v>
      </c>
      <c r="D26">
        <f t="shared" si="1"/>
        <v>1.4184699556313643E-4</v>
      </c>
      <c r="E26">
        <f t="shared" si="2"/>
        <v>2.0120570150288448E-8</v>
      </c>
    </row>
    <row r="27" spans="1:5" x14ac:dyDescent="0.25">
      <c r="A27">
        <v>3.249530520825</v>
      </c>
      <c r="B27">
        <v>1.5878671917197867E-2</v>
      </c>
      <c r="C27">
        <f t="shared" si="0"/>
        <v>1.0398514908007736E-2</v>
      </c>
      <c r="D27">
        <f t="shared" si="1"/>
        <v>5.4801570091901307E-3</v>
      </c>
      <c r="E27">
        <f t="shared" si="2"/>
        <v>3.0032120845375719E-5</v>
      </c>
    </row>
    <row r="28" spans="1:5" x14ac:dyDescent="0.25">
      <c r="A28">
        <v>3.372139597875</v>
      </c>
      <c r="B28">
        <v>1.1268734908979131E-2</v>
      </c>
      <c r="C28">
        <f t="shared" si="0"/>
        <v>7.5490057439773408E-3</v>
      </c>
      <c r="D28">
        <f t="shared" si="1"/>
        <v>3.7197291650017898E-3</v>
      </c>
      <c r="E28">
        <f t="shared" si="2"/>
        <v>1.3836385060964913E-5</v>
      </c>
    </row>
    <row r="29" spans="1:5" x14ac:dyDescent="0.25">
      <c r="A29">
        <v>3.4947486749249999</v>
      </c>
      <c r="B29">
        <v>1.1780950132114545E-2</v>
      </c>
      <c r="C29">
        <f t="shared" si="0"/>
        <v>5.4340634343504318E-3</v>
      </c>
      <c r="D29">
        <f t="shared" si="1"/>
        <v>6.3468866977641133E-3</v>
      </c>
      <c r="E29">
        <f t="shared" si="2"/>
        <v>4.0282970754255048E-5</v>
      </c>
    </row>
    <row r="30" spans="1:5" x14ac:dyDescent="0.25">
      <c r="A30">
        <v>3.6173577519749998</v>
      </c>
      <c r="B30">
        <v>3.5855065619479049E-3</v>
      </c>
      <c r="C30">
        <f t="shared" si="0"/>
        <v>3.8792390417687647E-3</v>
      </c>
      <c r="D30">
        <f t="shared" si="1"/>
        <v>-2.937324798208598E-4</v>
      </c>
      <c r="E30">
        <f t="shared" si="2"/>
        <v>8.6278769701711816E-8</v>
      </c>
    </row>
    <row r="31" spans="1:5" x14ac:dyDescent="0.25">
      <c r="A31">
        <v>3.7399668290249997</v>
      </c>
      <c r="B31">
        <v>6.1465826776249798E-3</v>
      </c>
      <c r="C31">
        <f t="shared" si="0"/>
        <v>2.7467620024609657E-3</v>
      </c>
      <c r="D31">
        <f t="shared" si="1"/>
        <v>3.3998206751640141E-3</v>
      </c>
      <c r="E31">
        <f t="shared" si="2"/>
        <v>1.1558780623272693E-5</v>
      </c>
    </row>
    <row r="32" spans="1:5" x14ac:dyDescent="0.25">
      <c r="A32">
        <v>3.862575906075</v>
      </c>
      <c r="B32">
        <v>2.5610761156770749E-3</v>
      </c>
      <c r="C32">
        <f t="shared" si="0"/>
        <v>1.929344578246058E-3</v>
      </c>
      <c r="D32">
        <f t="shared" si="1"/>
        <v>6.3173153743101697E-4</v>
      </c>
      <c r="E32">
        <f t="shared" si="2"/>
        <v>3.9908473538495638E-7</v>
      </c>
    </row>
    <row r="33" spans="1:5" x14ac:dyDescent="0.25">
      <c r="A33">
        <v>3.9851849831249999</v>
      </c>
      <c r="B33">
        <v>3.5855065619479049E-3</v>
      </c>
      <c r="C33">
        <f t="shared" si="0"/>
        <v>1.3445308168779267E-3</v>
      </c>
      <c r="D33">
        <f t="shared" si="1"/>
        <v>2.240975745069978E-3</v>
      </c>
      <c r="E33">
        <f t="shared" si="2"/>
        <v>5.0219722899919435E-6</v>
      </c>
    </row>
    <row r="34" spans="1:5" x14ac:dyDescent="0.25">
      <c r="A34">
        <v>4.1077940601750003</v>
      </c>
      <c r="B34">
        <v>1.02443044627083E-3</v>
      </c>
      <c r="C34">
        <f t="shared" si="0"/>
        <v>9.2973350000563615E-4</v>
      </c>
      <c r="D34">
        <f t="shared" si="1"/>
        <v>9.4696946265193822E-5</v>
      </c>
      <c r="E34">
        <f t="shared" si="2"/>
        <v>8.9675116319530055E-9</v>
      </c>
    </row>
    <row r="35" spans="1:5" x14ac:dyDescent="0.25">
      <c r="A35">
        <v>4.2304031372250002</v>
      </c>
      <c r="B35">
        <v>5.1221522313541499E-4</v>
      </c>
      <c r="C35">
        <f t="shared" si="0"/>
        <v>6.3800558843668824E-4</v>
      </c>
      <c r="D35">
        <f t="shared" si="1"/>
        <v>-1.2579036530127325E-4</v>
      </c>
      <c r="E35">
        <f t="shared" si="2"/>
        <v>1.5823216002627769E-8</v>
      </c>
    </row>
    <row r="36" spans="1:5" x14ac:dyDescent="0.25">
      <c r="A36">
        <v>4.3530122142750001</v>
      </c>
      <c r="B36">
        <v>0</v>
      </c>
      <c r="C36">
        <f t="shared" si="0"/>
        <v>4.3452777023589767E-4</v>
      </c>
      <c r="D36">
        <f t="shared" si="1"/>
        <v>-4.3452777023589767E-4</v>
      </c>
      <c r="E36">
        <f t="shared" si="2"/>
        <v>1.8881438310618108E-7</v>
      </c>
    </row>
    <row r="37" spans="1:5" x14ac:dyDescent="0.25">
      <c r="A37">
        <v>4.475621291325</v>
      </c>
      <c r="B37">
        <v>0</v>
      </c>
      <c r="C37">
        <f t="shared" si="0"/>
        <v>2.9375406875442318E-4</v>
      </c>
      <c r="D37">
        <f t="shared" si="1"/>
        <v>-2.9375406875442318E-4</v>
      </c>
      <c r="E37">
        <f t="shared" si="2"/>
        <v>8.6291452909778382E-8</v>
      </c>
    </row>
    <row r="38" spans="1:5" x14ac:dyDescent="0.25">
      <c r="A38">
        <v>4.5982303683750008</v>
      </c>
      <c r="B38">
        <v>0</v>
      </c>
      <c r="C38">
        <f t="shared" si="0"/>
        <v>1.9713670245253323E-4</v>
      </c>
      <c r="D38">
        <f t="shared" si="1"/>
        <v>-1.9713670245253323E-4</v>
      </c>
      <c r="E38">
        <f t="shared" si="2"/>
        <v>3.8862879453858616E-8</v>
      </c>
    </row>
    <row r="39" spans="1:5" x14ac:dyDescent="0.25">
      <c r="A39">
        <v>4.7208394454249998</v>
      </c>
      <c r="B39">
        <v>0</v>
      </c>
      <c r="C39">
        <f t="shared" si="0"/>
        <v>1.3134397530034335E-4</v>
      </c>
      <c r="D39">
        <f t="shared" si="1"/>
        <v>-1.3134397530034335E-4</v>
      </c>
      <c r="E39">
        <f t="shared" si="2"/>
        <v>1.7251239847697207E-8</v>
      </c>
    </row>
    <row r="40" spans="1:5" x14ac:dyDescent="0.25">
      <c r="A40">
        <v>4.8434485224750006</v>
      </c>
      <c r="B40">
        <v>5.1221522313541499E-4</v>
      </c>
      <c r="C40">
        <f t="shared" si="0"/>
        <v>8.6886395097765154E-5</v>
      </c>
      <c r="D40">
        <f t="shared" si="1"/>
        <v>4.2532882803764983E-4</v>
      </c>
      <c r="E40">
        <f t="shared" si="2"/>
        <v>1.8090461195988069E-7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C452-46C6-47C4-B933-C9A4CD1CDB7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5.9765021312500007E-2</v>
      </c>
      <c r="B1">
        <v>0.14712871265722935</v>
      </c>
      <c r="C1">
        <f>$H$3*(1+$H$1)*(A1^($H$1))*EXP(-$H$3*(A1^(1+$H$1)))</f>
        <v>0.2047308311877612</v>
      </c>
      <c r="D1">
        <f>B1-C1</f>
        <v>-5.7602118530531848E-2</v>
      </c>
      <c r="E1">
        <f>D1^2</f>
        <v>3.3180040592054407E-3</v>
      </c>
      <c r="G1" t="s">
        <v>0</v>
      </c>
      <c r="H1">
        <v>0.67649726791818166</v>
      </c>
    </row>
    <row r="2" spans="1:8" x14ac:dyDescent="0.25">
      <c r="A2">
        <v>0.17929118393750001</v>
      </c>
      <c r="B2">
        <v>0.425622347329842</v>
      </c>
      <c r="C2">
        <f t="shared" ref="C2:C40" si="0">$H$3*(1+$H$1)*(A2^($H$1))*EXP(-$H$3*(A2^(1+$H$1)))</f>
        <v>0.41399980444074519</v>
      </c>
      <c r="D2">
        <f t="shared" ref="D2:D40" si="1">B2-C2</f>
        <v>1.162254288909681E-2</v>
      </c>
      <c r="E2">
        <f t="shared" ref="E2:E40" si="2">D2^2</f>
        <v>1.3508350320889481E-4</v>
      </c>
    </row>
    <row r="3" spans="1:8" x14ac:dyDescent="0.25">
      <c r="A3">
        <v>0.29881734656249997</v>
      </c>
      <c r="B3">
        <v>0.56854738248257908</v>
      </c>
      <c r="C3">
        <f t="shared" si="0"/>
        <v>0.54928150243716278</v>
      </c>
      <c r="D3">
        <f t="shared" si="1"/>
        <v>1.9265880045416295E-2</v>
      </c>
      <c r="E3">
        <f t="shared" si="2"/>
        <v>3.711741339243698E-4</v>
      </c>
      <c r="G3" t="s">
        <v>1</v>
      </c>
      <c r="H3">
        <f>(_xlfn.GAMMA((2+$H$1)/(1+$H$1)))^(1+$H$1)</f>
        <v>0.82737739548063105</v>
      </c>
    </row>
    <row r="4" spans="1:8" x14ac:dyDescent="0.25">
      <c r="A4">
        <v>0.41834350918749996</v>
      </c>
      <c r="B4">
        <v>0.69570862699347014</v>
      </c>
      <c r="C4">
        <f t="shared" si="0"/>
        <v>0.634904787482101</v>
      </c>
      <c r="D4">
        <f t="shared" si="1"/>
        <v>6.080383951136914E-2</v>
      </c>
      <c r="E4">
        <f t="shared" si="2"/>
        <v>3.697106899324335E-3</v>
      </c>
    </row>
    <row r="5" spans="1:8" x14ac:dyDescent="0.25">
      <c r="A5">
        <v>0.53786967181250001</v>
      </c>
      <c r="B5">
        <v>0.7109469579472546</v>
      </c>
      <c r="C5">
        <f t="shared" si="0"/>
        <v>0.68055305505513763</v>
      </c>
      <c r="D5">
        <f t="shared" si="1"/>
        <v>3.0393902892116964E-2</v>
      </c>
      <c r="E5">
        <f t="shared" si="2"/>
        <v>9.2378933301543592E-4</v>
      </c>
      <c r="G5" t="s">
        <v>2</v>
      </c>
      <c r="H5">
        <f>SUM(E1:E40)</f>
        <v>2.3098063305810036E-2</v>
      </c>
    </row>
    <row r="6" spans="1:8" x14ac:dyDescent="0.25">
      <c r="A6">
        <v>0.65739583443749994</v>
      </c>
      <c r="B6">
        <v>0.68362305416805491</v>
      </c>
      <c r="C6">
        <f t="shared" si="0"/>
        <v>0.69343879879928316</v>
      </c>
      <c r="D6">
        <f t="shared" si="1"/>
        <v>-9.8157446312282515E-3</v>
      </c>
      <c r="E6">
        <f t="shared" si="2"/>
        <v>9.6348842665486237E-5</v>
      </c>
    </row>
    <row r="7" spans="1:8" x14ac:dyDescent="0.25">
      <c r="A7">
        <v>0.77692199706249987</v>
      </c>
      <c r="B7">
        <v>0.64684087600374751</v>
      </c>
      <c r="C7">
        <f t="shared" si="0"/>
        <v>0.68014509041137838</v>
      </c>
      <c r="D7">
        <f t="shared" si="1"/>
        <v>-3.3304214407630872E-2</v>
      </c>
      <c r="E7">
        <f t="shared" si="2"/>
        <v>1.1091706973094478E-3</v>
      </c>
    </row>
    <row r="8" spans="1:8" x14ac:dyDescent="0.25">
      <c r="A8">
        <v>0.89644815968749991</v>
      </c>
      <c r="B8">
        <v>0.6268734078574093</v>
      </c>
      <c r="C8">
        <f t="shared" si="0"/>
        <v>0.6468963715032181</v>
      </c>
      <c r="D8">
        <f t="shared" si="1"/>
        <v>-2.00229636458088E-2</v>
      </c>
      <c r="E8">
        <f t="shared" si="2"/>
        <v>4.0091907316138083E-4</v>
      </c>
    </row>
    <row r="9" spans="1:8" x14ac:dyDescent="0.25">
      <c r="A9">
        <v>1.0159743223125</v>
      </c>
      <c r="B9">
        <v>0.64578995662762451</v>
      </c>
      <c r="C9">
        <f t="shared" si="0"/>
        <v>0.599462809740263</v>
      </c>
      <c r="D9">
        <f t="shared" si="1"/>
        <v>4.6327146887361503E-2</v>
      </c>
      <c r="E9">
        <f t="shared" si="2"/>
        <v>2.1462045387231686E-3</v>
      </c>
    </row>
    <row r="10" spans="1:8" x14ac:dyDescent="0.25">
      <c r="A10">
        <v>1.1355004849374999</v>
      </c>
      <c r="B10">
        <v>0.597973125014025</v>
      </c>
      <c r="C10">
        <f t="shared" si="0"/>
        <v>0.54299986838452674</v>
      </c>
      <c r="D10">
        <f t="shared" si="1"/>
        <v>5.4973256629498257E-2</v>
      </c>
      <c r="E10">
        <f t="shared" si="2"/>
        <v>3.0220589444526743E-3</v>
      </c>
    </row>
    <row r="11" spans="1:8" x14ac:dyDescent="0.25">
      <c r="A11">
        <v>1.2550266475625</v>
      </c>
      <c r="B11">
        <v>0.46976096112701082</v>
      </c>
      <c r="C11">
        <f t="shared" si="0"/>
        <v>0.48191870613214854</v>
      </c>
      <c r="D11">
        <f t="shared" si="1"/>
        <v>-1.2157745005137721E-2</v>
      </c>
      <c r="E11">
        <f t="shared" si="2"/>
        <v>1.4781076360995121E-4</v>
      </c>
    </row>
    <row r="12" spans="1:8" x14ac:dyDescent="0.25">
      <c r="A12">
        <v>1.3745528101875</v>
      </c>
      <c r="B12">
        <v>0.4156386132566729</v>
      </c>
      <c r="C12">
        <f t="shared" si="0"/>
        <v>0.41981645332093792</v>
      </c>
      <c r="D12">
        <f t="shared" si="1"/>
        <v>-4.177840064265026E-3</v>
      </c>
      <c r="E12">
        <f t="shared" si="2"/>
        <v>1.7454347602577997E-5</v>
      </c>
    </row>
    <row r="13" spans="1:8" x14ac:dyDescent="0.25">
      <c r="A13">
        <v>1.4940789728124999</v>
      </c>
      <c r="B13">
        <v>0.31632673221304308</v>
      </c>
      <c r="C13">
        <f t="shared" si="0"/>
        <v>0.35946861028463267</v>
      </c>
      <c r="D13">
        <f t="shared" si="1"/>
        <v>-4.314187807158959E-2</v>
      </c>
      <c r="E13">
        <f t="shared" si="2"/>
        <v>1.8612216435439028E-3</v>
      </c>
    </row>
    <row r="14" spans="1:8" x14ac:dyDescent="0.25">
      <c r="A14">
        <v>1.6136051354374998</v>
      </c>
      <c r="B14">
        <v>0.25589886808596674</v>
      </c>
      <c r="C14">
        <f t="shared" si="0"/>
        <v>0.30287401010814824</v>
      </c>
      <c r="D14">
        <f t="shared" si="1"/>
        <v>-4.6975142022181504E-2</v>
      </c>
      <c r="E14">
        <f t="shared" si="2"/>
        <v>2.2066639680041228E-3</v>
      </c>
    </row>
    <row r="15" spans="1:8" x14ac:dyDescent="0.25">
      <c r="A15">
        <v>1.7331312980624998</v>
      </c>
      <c r="B15">
        <v>0.21070933491267488</v>
      </c>
      <c r="C15">
        <f t="shared" si="0"/>
        <v>0.25133810078059188</v>
      </c>
      <c r="D15">
        <f t="shared" si="1"/>
        <v>-4.0628765867916999E-2</v>
      </c>
      <c r="E15">
        <f t="shared" si="2"/>
        <v>1.6506966159500174E-3</v>
      </c>
    </row>
    <row r="16" spans="1:8" x14ac:dyDescent="0.25">
      <c r="A16">
        <v>1.8526574606874999</v>
      </c>
      <c r="B16">
        <v>0.17392715674836753</v>
      </c>
      <c r="C16">
        <f t="shared" si="0"/>
        <v>0.20557951899735125</v>
      </c>
      <c r="D16">
        <f t="shared" si="1"/>
        <v>-3.1652362248983712E-2</v>
      </c>
      <c r="E16">
        <f t="shared" si="2"/>
        <v>1.0018720359408892E-3</v>
      </c>
    </row>
    <row r="17" spans="1:5" x14ac:dyDescent="0.25">
      <c r="A17">
        <v>1.9721836233124999</v>
      </c>
      <c r="B17">
        <v>0.15290876922590621</v>
      </c>
      <c r="C17">
        <f t="shared" si="0"/>
        <v>0.16584636677997439</v>
      </c>
      <c r="D17">
        <f t="shared" si="1"/>
        <v>-1.2937597554068175E-2</v>
      </c>
      <c r="E17">
        <f t="shared" si="2"/>
        <v>1.6738143047103084E-4</v>
      </c>
    </row>
    <row r="18" spans="1:5" x14ac:dyDescent="0.25">
      <c r="A18">
        <v>2.0917097859374998</v>
      </c>
      <c r="B18">
        <v>0.12663578482282953</v>
      </c>
      <c r="C18">
        <f t="shared" si="0"/>
        <v>0.13203119900398563</v>
      </c>
      <c r="D18">
        <f t="shared" si="1"/>
        <v>-5.3954141811561052E-3</v>
      </c>
      <c r="E18">
        <f t="shared" si="2"/>
        <v>2.9110494186220406E-5</v>
      </c>
    </row>
    <row r="19" spans="1:5" x14ac:dyDescent="0.25">
      <c r="A19">
        <v>2.2112359485624999</v>
      </c>
      <c r="B19">
        <v>9.5108203539137542E-2</v>
      </c>
      <c r="C19">
        <f t="shared" si="0"/>
        <v>0.10377675550236184</v>
      </c>
      <c r="D19">
        <f t="shared" si="1"/>
        <v>-8.6685519632243024E-3</v>
      </c>
      <c r="E19">
        <f t="shared" si="2"/>
        <v>7.5143793139119915E-5</v>
      </c>
    </row>
    <row r="20" spans="1:5" x14ac:dyDescent="0.25">
      <c r="A20">
        <v>2.3307621111874997</v>
      </c>
      <c r="B20">
        <v>9.4582743851075998E-2</v>
      </c>
      <c r="C20">
        <f t="shared" si="0"/>
        <v>8.0567430493802647E-2</v>
      </c>
      <c r="D20">
        <f t="shared" si="1"/>
        <v>1.4015313357273351E-2</v>
      </c>
      <c r="E20">
        <f t="shared" si="2"/>
        <v>1.9642900850256481E-4</v>
      </c>
    </row>
    <row r="21" spans="1:5" x14ac:dyDescent="0.25">
      <c r="A21">
        <v>2.4502882738124998</v>
      </c>
      <c r="B21">
        <v>6.8835219136060874E-2</v>
      </c>
      <c r="C21">
        <f t="shared" si="0"/>
        <v>6.1804055568222147E-2</v>
      </c>
      <c r="D21">
        <f t="shared" si="1"/>
        <v>7.0311635678387274E-3</v>
      </c>
      <c r="E21">
        <f t="shared" si="2"/>
        <v>4.9437261117702623E-5</v>
      </c>
    </row>
    <row r="22" spans="1:5" x14ac:dyDescent="0.25">
      <c r="A22">
        <v>2.5698144364375</v>
      </c>
      <c r="B22">
        <v>5.67496463106456E-2</v>
      </c>
      <c r="C22">
        <f t="shared" si="0"/>
        <v>4.6861620682908396E-2</v>
      </c>
      <c r="D22">
        <f t="shared" si="1"/>
        <v>9.8880256277372042E-3</v>
      </c>
      <c r="E22">
        <f t="shared" si="2"/>
        <v>9.7773050814787735E-5</v>
      </c>
    </row>
    <row r="23" spans="1:5" x14ac:dyDescent="0.25">
      <c r="A23">
        <v>2.6893405990624997</v>
      </c>
      <c r="B23">
        <v>4.5714992861353401E-2</v>
      </c>
      <c r="C23">
        <f t="shared" si="0"/>
        <v>3.5131025034024051E-2</v>
      </c>
      <c r="D23">
        <f t="shared" si="1"/>
        <v>1.0583967827329351E-2</v>
      </c>
      <c r="E23">
        <f t="shared" si="2"/>
        <v>1.1202037496994278E-4</v>
      </c>
    </row>
    <row r="24" spans="1:5" x14ac:dyDescent="0.25">
      <c r="A24">
        <v>2.8088667616874994</v>
      </c>
      <c r="B24">
        <v>3.4154879723999665E-2</v>
      </c>
      <c r="C24">
        <f t="shared" si="0"/>
        <v>2.6046870441268979E-2</v>
      </c>
      <c r="D24">
        <f t="shared" si="1"/>
        <v>8.1080092827306854E-3</v>
      </c>
      <c r="E24">
        <f t="shared" si="2"/>
        <v>6.5739814528846961E-5</v>
      </c>
    </row>
    <row r="25" spans="1:5" x14ac:dyDescent="0.25">
      <c r="A25">
        <v>2.9283929243124995</v>
      </c>
      <c r="B25">
        <v>2.83748231553228E-2</v>
      </c>
      <c r="C25">
        <f t="shared" si="0"/>
        <v>1.9103766650603898E-2</v>
      </c>
      <c r="D25">
        <f t="shared" si="1"/>
        <v>9.2710565047189018E-3</v>
      </c>
      <c r="E25">
        <f t="shared" si="2"/>
        <v>8.5952488713690657E-5</v>
      </c>
    </row>
    <row r="26" spans="1:5" x14ac:dyDescent="0.25">
      <c r="A26">
        <v>3.0479190869374997</v>
      </c>
      <c r="B26">
        <v>1.7340169706030601E-2</v>
      </c>
      <c r="C26">
        <f t="shared" si="0"/>
        <v>1.3863715804191349E-2</v>
      </c>
      <c r="D26">
        <f t="shared" si="1"/>
        <v>3.4764539018392517E-3</v>
      </c>
      <c r="E26">
        <f t="shared" si="2"/>
        <v>1.2085731731613358E-5</v>
      </c>
    </row>
    <row r="27" spans="1:5" x14ac:dyDescent="0.25">
      <c r="A27">
        <v>3.1674452495625003</v>
      </c>
      <c r="B27">
        <v>1.6814710017969067E-2</v>
      </c>
      <c r="C27">
        <f t="shared" si="0"/>
        <v>9.9569901720496685E-3</v>
      </c>
      <c r="D27">
        <f t="shared" si="1"/>
        <v>6.8577198459193987E-3</v>
      </c>
      <c r="E27">
        <f t="shared" si="2"/>
        <v>4.7028321485116785E-5</v>
      </c>
    </row>
    <row r="28" spans="1:5" x14ac:dyDescent="0.25">
      <c r="A28">
        <v>3.2869714121875</v>
      </c>
      <c r="B28">
        <v>1.0509193761230667E-2</v>
      </c>
      <c r="C28">
        <f t="shared" si="0"/>
        <v>7.0786107458696819E-3</v>
      </c>
      <c r="D28">
        <f t="shared" si="1"/>
        <v>3.4305830153609851E-3</v>
      </c>
      <c r="E28">
        <f t="shared" si="2"/>
        <v>1.176889982528327E-5</v>
      </c>
    </row>
    <row r="29" spans="1:5" x14ac:dyDescent="0.25">
      <c r="A29">
        <v>3.4064975748124997</v>
      </c>
      <c r="B29">
        <v>1.0509193761230667E-2</v>
      </c>
      <c r="C29">
        <f t="shared" si="0"/>
        <v>4.9821545604589743E-3</v>
      </c>
      <c r="D29">
        <f t="shared" si="1"/>
        <v>5.5270392007716928E-3</v>
      </c>
      <c r="E29">
        <f t="shared" si="2"/>
        <v>3.0548162326866995E-5</v>
      </c>
    </row>
    <row r="30" spans="1:5" x14ac:dyDescent="0.25">
      <c r="A30">
        <v>3.5260237374374999</v>
      </c>
      <c r="B30">
        <v>4.7291371925537997E-3</v>
      </c>
      <c r="C30">
        <f t="shared" si="0"/>
        <v>3.4722255101744563E-3</v>
      </c>
      <c r="D30">
        <f t="shared" si="1"/>
        <v>1.2569116823793434E-3</v>
      </c>
      <c r="E30">
        <f t="shared" si="2"/>
        <v>1.5798269773016714E-6</v>
      </c>
    </row>
    <row r="31" spans="1:5" x14ac:dyDescent="0.25">
      <c r="A31">
        <v>3.6455499000625</v>
      </c>
      <c r="B31">
        <v>4.7291371925537997E-3</v>
      </c>
      <c r="C31">
        <f t="shared" si="0"/>
        <v>2.3965572630040609E-3</v>
      </c>
      <c r="D31">
        <f t="shared" si="1"/>
        <v>2.3325799295497388E-3</v>
      </c>
      <c r="E31">
        <f t="shared" si="2"/>
        <v>5.4409291277382648E-6</v>
      </c>
    </row>
    <row r="32" spans="1:5" x14ac:dyDescent="0.25">
      <c r="A32">
        <v>3.7650760626875002</v>
      </c>
      <c r="B32">
        <v>3.1527581283692001E-3</v>
      </c>
      <c r="C32">
        <f t="shared" si="0"/>
        <v>1.6384010238271142E-3</v>
      </c>
      <c r="D32">
        <f t="shared" si="1"/>
        <v>1.514357104542086E-3</v>
      </c>
      <c r="E32">
        <f t="shared" si="2"/>
        <v>2.2932774400770902E-6</v>
      </c>
    </row>
    <row r="33" spans="1:5" x14ac:dyDescent="0.25">
      <c r="A33">
        <v>3.8846022253124999</v>
      </c>
      <c r="B33">
        <v>2.6272984403076668E-3</v>
      </c>
      <c r="C33">
        <f t="shared" si="0"/>
        <v>1.1095954506781262E-3</v>
      </c>
      <c r="D33">
        <f t="shared" si="1"/>
        <v>1.5177029896295405E-3</v>
      </c>
      <c r="E33">
        <f t="shared" si="2"/>
        <v>2.3034223647304453E-6</v>
      </c>
    </row>
    <row r="34" spans="1:5" x14ac:dyDescent="0.25">
      <c r="A34">
        <v>4.0041283879374996</v>
      </c>
      <c r="B34">
        <v>5.2545968806153335E-4</v>
      </c>
      <c r="C34">
        <f t="shared" si="0"/>
        <v>7.4452157829058572E-4</v>
      </c>
      <c r="D34">
        <f t="shared" si="1"/>
        <v>-2.1906189022905236E-4</v>
      </c>
      <c r="E34">
        <f t="shared" si="2"/>
        <v>4.7988111750725385E-8</v>
      </c>
    </row>
    <row r="35" spans="1:5" x14ac:dyDescent="0.25">
      <c r="A35">
        <v>4.1236545505624997</v>
      </c>
      <c r="B35">
        <v>5.2545968806153335E-4</v>
      </c>
      <c r="C35">
        <f t="shared" si="0"/>
        <v>4.950066990924019E-4</v>
      </c>
      <c r="D35">
        <f t="shared" si="1"/>
        <v>3.0452988969131454E-5</v>
      </c>
      <c r="E35">
        <f t="shared" si="2"/>
        <v>9.27384537154042E-10</v>
      </c>
    </row>
    <row r="36" spans="1:5" x14ac:dyDescent="0.25">
      <c r="A36">
        <v>4.2431807131874999</v>
      </c>
      <c r="B36">
        <v>0</v>
      </c>
      <c r="C36">
        <f t="shared" si="0"/>
        <v>3.2614911580653859E-4</v>
      </c>
      <c r="D36">
        <f t="shared" si="1"/>
        <v>-3.2614911580653859E-4</v>
      </c>
      <c r="E36">
        <f t="shared" si="2"/>
        <v>1.0637324574138692E-7</v>
      </c>
    </row>
    <row r="37" spans="1:5" x14ac:dyDescent="0.25">
      <c r="A37">
        <v>4.3627068758124992</v>
      </c>
      <c r="B37">
        <v>0</v>
      </c>
      <c r="C37">
        <f t="shared" si="0"/>
        <v>2.1298071448445815E-4</v>
      </c>
      <c r="D37">
        <f t="shared" si="1"/>
        <v>-2.1298071448445815E-4</v>
      </c>
      <c r="E37">
        <f t="shared" si="2"/>
        <v>4.5360784742310283E-8</v>
      </c>
    </row>
    <row r="38" spans="1:5" x14ac:dyDescent="0.25">
      <c r="A38">
        <v>4.4822330384374993</v>
      </c>
      <c r="B38">
        <v>0</v>
      </c>
      <c r="C38">
        <f t="shared" si="0"/>
        <v>1.3785691280445683E-4</v>
      </c>
      <c r="D38">
        <f t="shared" si="1"/>
        <v>-1.3785691280445683E-4</v>
      </c>
      <c r="E38">
        <f t="shared" si="2"/>
        <v>1.9004528407975615E-8</v>
      </c>
    </row>
    <row r="39" spans="1:5" x14ac:dyDescent="0.25">
      <c r="A39">
        <v>4.6017592010624995</v>
      </c>
      <c r="B39">
        <v>0</v>
      </c>
      <c r="C39">
        <f t="shared" si="0"/>
        <v>8.8455349642157464E-5</v>
      </c>
      <c r="D39">
        <f t="shared" si="1"/>
        <v>-8.8455349642157464E-5</v>
      </c>
      <c r="E39">
        <f t="shared" si="2"/>
        <v>7.8243488803163273E-9</v>
      </c>
    </row>
    <row r="40" spans="1:5" x14ac:dyDescent="0.25">
      <c r="A40">
        <v>4.7212853636874996</v>
      </c>
      <c r="B40">
        <v>5.2545968806153335E-4</v>
      </c>
      <c r="C40">
        <f t="shared" si="0"/>
        <v>5.6268851365782571E-5</v>
      </c>
      <c r="D40">
        <f t="shared" si="1"/>
        <v>4.691908366957508E-4</v>
      </c>
      <c r="E40">
        <f t="shared" si="2"/>
        <v>2.201400412392587E-7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CA70-0249-4A59-8C85-4A78E271894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5.827023265000001E-2</v>
      </c>
      <c r="B1">
        <v>0.11638454426566465</v>
      </c>
      <c r="C1">
        <f>$H$3*(1+$H$1)*(A1^($H$1))*EXP(-$H$3*(A1^(1+$H$1)))</f>
        <v>0.17003520390234128</v>
      </c>
      <c r="D1">
        <f>B1-C1</f>
        <v>-5.3650659636676631E-2</v>
      </c>
      <c r="E1">
        <f>D1^2</f>
        <v>2.878393279450523E-3</v>
      </c>
      <c r="G1" t="s">
        <v>0</v>
      </c>
      <c r="H1">
        <v>0.74629451239118505</v>
      </c>
    </row>
    <row r="2" spans="1:8" x14ac:dyDescent="0.25">
      <c r="A2">
        <v>0.17476009795000003</v>
      </c>
      <c r="B2">
        <v>0.37932740353253663</v>
      </c>
      <c r="C2">
        <f t="shared" ref="C2:C40" si="0">$H$3*(1+$H$1)*(A2^($H$1))*EXP(-$H$3*(A2^(1+$H$1)))</f>
        <v>0.37335892698411782</v>
      </c>
      <c r="D2">
        <f t="shared" ref="D2:D40" si="1">B2-C2</f>
        <v>5.9684765484188107E-3</v>
      </c>
      <c r="E2">
        <f t="shared" ref="E2:E40" si="2">D2^2</f>
        <v>3.562271230902532E-5</v>
      </c>
    </row>
    <row r="3" spans="1:8" x14ac:dyDescent="0.25">
      <c r="A3">
        <v>0.29124996325000002</v>
      </c>
      <c r="B3">
        <v>0.50810474649315629</v>
      </c>
      <c r="C3">
        <f t="shared" si="0"/>
        <v>0.51687076264004861</v>
      </c>
      <c r="D3">
        <f t="shared" si="1"/>
        <v>-8.7660161468923192E-3</v>
      </c>
      <c r="E3">
        <f t="shared" si="2"/>
        <v>7.6843039087576867E-5</v>
      </c>
      <c r="G3" t="s">
        <v>1</v>
      </c>
      <c r="H3">
        <f>(_xlfn.GAMMA((2+$H$1)/(1+$H$1)))^(1+$H$1)</f>
        <v>0.81703345247048542</v>
      </c>
    </row>
    <row r="4" spans="1:8" x14ac:dyDescent="0.25">
      <c r="A4">
        <v>0.40773982855000002</v>
      </c>
      <c r="B4">
        <v>0.67621575487689412</v>
      </c>
      <c r="C4">
        <f t="shared" si="0"/>
        <v>0.61591258783226055</v>
      </c>
      <c r="D4">
        <f t="shared" si="1"/>
        <v>6.0303167044633565E-2</v>
      </c>
      <c r="E4">
        <f t="shared" si="2"/>
        <v>3.6364719556129799E-3</v>
      </c>
    </row>
    <row r="5" spans="1:8" x14ac:dyDescent="0.25">
      <c r="A5">
        <v>0.52422969385000007</v>
      </c>
      <c r="B5">
        <v>0.72417049765302444</v>
      </c>
      <c r="C5">
        <f t="shared" si="0"/>
        <v>0.67633622254518233</v>
      </c>
      <c r="D5">
        <f t="shared" si="1"/>
        <v>4.7834275107842106E-2</v>
      </c>
      <c r="E5">
        <f t="shared" si="2"/>
        <v>2.2881178750927228E-3</v>
      </c>
      <c r="G5" t="s">
        <v>2</v>
      </c>
      <c r="H5">
        <f>SUM(E1:E40)</f>
        <v>2.5388266951064196E-2</v>
      </c>
    </row>
    <row r="6" spans="1:8" x14ac:dyDescent="0.25">
      <c r="A6">
        <v>0.64071955915000001</v>
      </c>
      <c r="B6">
        <v>0.75434426838856716</v>
      </c>
      <c r="C6">
        <f t="shared" si="0"/>
        <v>0.70305839335389619</v>
      </c>
      <c r="D6">
        <f t="shared" si="1"/>
        <v>5.1285875034670969E-2</v>
      </c>
      <c r="E6">
        <f t="shared" si="2"/>
        <v>2.6302409780718868E-3</v>
      </c>
    </row>
    <row r="7" spans="1:8" x14ac:dyDescent="0.25">
      <c r="A7">
        <v>0.75720942445000006</v>
      </c>
      <c r="B7">
        <v>0.67944865888427375</v>
      </c>
      <c r="C7">
        <f t="shared" si="0"/>
        <v>0.70128375365043216</v>
      </c>
      <c r="D7">
        <f t="shared" si="1"/>
        <v>-2.1835094766158414E-2</v>
      </c>
      <c r="E7">
        <f t="shared" si="2"/>
        <v>4.7677136344711856E-4</v>
      </c>
    </row>
    <row r="8" spans="1:8" x14ac:dyDescent="0.25">
      <c r="A8">
        <v>0.87369928975</v>
      </c>
      <c r="B8">
        <v>0.6234116560896944</v>
      </c>
      <c r="C8">
        <f t="shared" si="0"/>
        <v>0.67654226461193656</v>
      </c>
      <c r="D8">
        <f t="shared" si="1"/>
        <v>-5.3130608522242162E-2</v>
      </c>
      <c r="E8">
        <f t="shared" si="2"/>
        <v>2.8228615619437514E-3</v>
      </c>
    </row>
    <row r="9" spans="1:8" x14ac:dyDescent="0.25">
      <c r="A9">
        <v>0.99018915505000016</v>
      </c>
      <c r="B9">
        <v>0.65627951349805347</v>
      </c>
      <c r="C9">
        <f t="shared" si="0"/>
        <v>0.63443282814738422</v>
      </c>
      <c r="D9">
        <f t="shared" si="1"/>
        <v>2.1846685350669248E-2</v>
      </c>
      <c r="E9">
        <f t="shared" si="2"/>
        <v>4.7727766081114633E-4</v>
      </c>
    </row>
    <row r="10" spans="1:8" x14ac:dyDescent="0.25">
      <c r="A10">
        <v>1.1066790203500001</v>
      </c>
      <c r="B10">
        <v>0.59754842403065789</v>
      </c>
      <c r="C10">
        <f t="shared" si="0"/>
        <v>0.58031800527453814</v>
      </c>
      <c r="D10">
        <f t="shared" si="1"/>
        <v>1.7230418756119747E-2</v>
      </c>
      <c r="E10">
        <f t="shared" si="2"/>
        <v>2.9688733051124318E-4</v>
      </c>
    </row>
    <row r="11" spans="1:8" x14ac:dyDescent="0.25">
      <c r="A11">
        <v>1.22316888565</v>
      </c>
      <c r="B11">
        <v>0.55821475860753966</v>
      </c>
      <c r="C11">
        <f t="shared" si="0"/>
        <v>0.51906005780705056</v>
      </c>
      <c r="D11">
        <f t="shared" si="1"/>
        <v>3.9154700800489106E-2</v>
      </c>
      <c r="E11">
        <f t="shared" si="2"/>
        <v>1.5330905947758223E-3</v>
      </c>
    </row>
    <row r="12" spans="1:8" x14ac:dyDescent="0.25">
      <c r="A12">
        <v>1.33965875095</v>
      </c>
      <c r="B12">
        <v>0.45368419570226681</v>
      </c>
      <c r="C12">
        <f t="shared" si="0"/>
        <v>0.4548331457192602</v>
      </c>
      <c r="D12">
        <f t="shared" si="1"/>
        <v>-1.1489500169933886E-3</v>
      </c>
      <c r="E12">
        <f t="shared" si="2"/>
        <v>1.320086141549108E-6</v>
      </c>
    </row>
    <row r="13" spans="1:8" x14ac:dyDescent="0.25">
      <c r="A13">
        <v>1.4561486162500001</v>
      </c>
      <c r="B13">
        <v>0.34807599812786744</v>
      </c>
      <c r="C13">
        <f t="shared" si="0"/>
        <v>0.39101997681425593</v>
      </c>
      <c r="D13">
        <f t="shared" si="1"/>
        <v>-4.2943978686388495E-2</v>
      </c>
      <c r="E13">
        <f t="shared" si="2"/>
        <v>1.8441853054169894E-3</v>
      </c>
    </row>
    <row r="14" spans="1:8" x14ac:dyDescent="0.25">
      <c r="A14">
        <v>1.5726384815499999</v>
      </c>
      <c r="B14">
        <v>0.28611200465309228</v>
      </c>
      <c r="C14">
        <f t="shared" si="0"/>
        <v>0.33018652844332308</v>
      </c>
      <c r="D14">
        <f t="shared" si="1"/>
        <v>-4.4074523790230802E-2</v>
      </c>
      <c r="E14">
        <f t="shared" si="2"/>
        <v>1.9425636473356209E-3</v>
      </c>
    </row>
    <row r="15" spans="1:8" x14ac:dyDescent="0.25">
      <c r="A15">
        <v>1.68912834685</v>
      </c>
      <c r="B15">
        <v>0.22791973252025993</v>
      </c>
      <c r="C15">
        <f t="shared" si="0"/>
        <v>0.27412046159565584</v>
      </c>
      <c r="D15">
        <f t="shared" si="1"/>
        <v>-4.6200729075395908E-2</v>
      </c>
      <c r="E15">
        <f t="shared" si="2"/>
        <v>2.1345073670981326E-3</v>
      </c>
    </row>
    <row r="16" spans="1:8" x14ac:dyDescent="0.25">
      <c r="A16">
        <v>1.8056182121500002</v>
      </c>
      <c r="B16">
        <v>0.19128015376995811</v>
      </c>
      <c r="C16">
        <f t="shared" si="0"/>
        <v>0.22391538295818711</v>
      </c>
      <c r="D16">
        <f t="shared" si="1"/>
        <v>-3.2635229188229004E-2</v>
      </c>
      <c r="E16">
        <f t="shared" si="2"/>
        <v>1.0650581841682343E-3</v>
      </c>
    </row>
    <row r="17" spans="1:5" x14ac:dyDescent="0.25">
      <c r="A17">
        <v>1.9221080774499999</v>
      </c>
      <c r="B17">
        <v>0.15517939235421954</v>
      </c>
      <c r="C17">
        <f t="shared" si="0"/>
        <v>0.18008286590787484</v>
      </c>
      <c r="D17">
        <f t="shared" si="1"/>
        <v>-2.4903473553655298E-2</v>
      </c>
      <c r="E17">
        <f t="shared" si="2"/>
        <v>6.2018299503760878E-4</v>
      </c>
    </row>
    <row r="18" spans="1:5" x14ac:dyDescent="0.25">
      <c r="A18">
        <v>2.0385979427500001</v>
      </c>
      <c r="B18">
        <v>0.14063132432101144</v>
      </c>
      <c r="C18">
        <f t="shared" si="0"/>
        <v>0.14267605997290878</v>
      </c>
      <c r="D18">
        <f t="shared" si="1"/>
        <v>-2.0447356518973336E-3</v>
      </c>
      <c r="E18">
        <f t="shared" si="2"/>
        <v>4.1809438861400139E-6</v>
      </c>
    </row>
    <row r="19" spans="1:5" x14ac:dyDescent="0.25">
      <c r="A19">
        <v>2.1550878080500002</v>
      </c>
      <c r="B19">
        <v>0.1056081975743994</v>
      </c>
      <c r="C19">
        <f t="shared" si="0"/>
        <v>0.11141188894532363</v>
      </c>
      <c r="D19">
        <f t="shared" si="1"/>
        <v>-5.8036913709242216E-3</v>
      </c>
      <c r="E19">
        <f t="shared" si="2"/>
        <v>3.3682833528940274E-5</v>
      </c>
    </row>
    <row r="20" spans="1:5" x14ac:dyDescent="0.25">
      <c r="A20">
        <v>2.2715776733499999</v>
      </c>
      <c r="B20">
        <v>8.9443677537501542E-2</v>
      </c>
      <c r="C20">
        <f t="shared" si="0"/>
        <v>8.5782505083126709E-2</v>
      </c>
      <c r="D20">
        <f t="shared" si="1"/>
        <v>3.6611724543748336E-3</v>
      </c>
      <c r="E20">
        <f t="shared" si="2"/>
        <v>1.3404183740673042E-5</v>
      </c>
    </row>
    <row r="21" spans="1:5" x14ac:dyDescent="0.25">
      <c r="A21">
        <v>2.3880675386500001</v>
      </c>
      <c r="B21">
        <v>7.2201522831477141E-2</v>
      </c>
      <c r="C21">
        <f t="shared" si="0"/>
        <v>6.5150256413958205E-2</v>
      </c>
      <c r="D21">
        <f t="shared" si="1"/>
        <v>7.0512664175189366E-3</v>
      </c>
      <c r="E21">
        <f t="shared" si="2"/>
        <v>4.9720358090830336E-5</v>
      </c>
    </row>
    <row r="22" spans="1:5" x14ac:dyDescent="0.25">
      <c r="A22">
        <v>2.5045574039500003</v>
      </c>
      <c r="B22">
        <v>6.088635880564864E-2</v>
      </c>
      <c r="C22">
        <f t="shared" si="0"/>
        <v>4.8823551528526903E-2</v>
      </c>
      <c r="D22">
        <f t="shared" si="1"/>
        <v>1.2062807277121737E-2</v>
      </c>
      <c r="E22">
        <f t="shared" si="2"/>
        <v>1.4551131940498114E-4</v>
      </c>
    </row>
    <row r="23" spans="1:5" x14ac:dyDescent="0.25">
      <c r="A23">
        <v>2.62104726925</v>
      </c>
      <c r="B23">
        <v>4.4721838768750771E-2</v>
      </c>
      <c r="C23">
        <f t="shared" si="0"/>
        <v>3.611346318723261E-2</v>
      </c>
      <c r="D23">
        <f t="shared" si="1"/>
        <v>8.6083755815181615E-3</v>
      </c>
      <c r="E23">
        <f t="shared" si="2"/>
        <v>7.4104130152478144E-5</v>
      </c>
    </row>
    <row r="24" spans="1:5" x14ac:dyDescent="0.25">
      <c r="A24">
        <v>2.7375371345500001</v>
      </c>
      <c r="B24">
        <v>3.5023126746612045E-2</v>
      </c>
      <c r="C24">
        <f t="shared" si="0"/>
        <v>2.6372636101664775E-2</v>
      </c>
      <c r="D24">
        <f t="shared" si="1"/>
        <v>8.6504906449472695E-3</v>
      </c>
      <c r="E24">
        <f t="shared" si="2"/>
        <v>7.4830988398320221E-5</v>
      </c>
    </row>
    <row r="25" spans="1:5" x14ac:dyDescent="0.25">
      <c r="A25">
        <v>2.8540269998499999</v>
      </c>
      <c r="B25">
        <v>2.7479684062726377E-2</v>
      </c>
      <c r="C25">
        <f t="shared" si="0"/>
        <v>1.9019099440017978E-2</v>
      </c>
      <c r="D25">
        <f t="shared" si="1"/>
        <v>8.4605846227083989E-3</v>
      </c>
      <c r="E25">
        <f t="shared" si="2"/>
        <v>7.1581492158009826E-5</v>
      </c>
    </row>
    <row r="26" spans="1:5" x14ac:dyDescent="0.25">
      <c r="A26">
        <v>2.97051686515</v>
      </c>
      <c r="B26">
        <v>2.1013876047967228E-2</v>
      </c>
      <c r="C26">
        <f t="shared" si="0"/>
        <v>1.3548041155500195E-2</v>
      </c>
      <c r="D26">
        <f t="shared" si="1"/>
        <v>7.4658348924670336E-3</v>
      </c>
      <c r="E26">
        <f t="shared" si="2"/>
        <v>5.5738690641578243E-5</v>
      </c>
    </row>
    <row r="27" spans="1:5" x14ac:dyDescent="0.25">
      <c r="A27">
        <v>3.0870067304500002</v>
      </c>
      <c r="B27">
        <v>1.6164520036897868E-2</v>
      </c>
      <c r="C27">
        <f t="shared" si="0"/>
        <v>9.5346198987329052E-3</v>
      </c>
      <c r="D27">
        <f t="shared" si="1"/>
        <v>6.6299001381649632E-3</v>
      </c>
      <c r="E27">
        <f t="shared" si="2"/>
        <v>4.3955575842039798E-5</v>
      </c>
    </row>
    <row r="28" spans="1:5" x14ac:dyDescent="0.25">
      <c r="A28">
        <v>3.2034965957499999</v>
      </c>
      <c r="B28">
        <v>1.2931616029518294E-2</v>
      </c>
      <c r="C28">
        <f t="shared" si="0"/>
        <v>6.6306147060900978E-3</v>
      </c>
      <c r="D28">
        <f t="shared" si="1"/>
        <v>6.3010013234281962E-3</v>
      </c>
      <c r="E28">
        <f t="shared" si="2"/>
        <v>3.9702617677843877E-5</v>
      </c>
    </row>
    <row r="29" spans="1:5" x14ac:dyDescent="0.25">
      <c r="A29">
        <v>3.3199864610500001</v>
      </c>
      <c r="B29">
        <v>7.5434426838856721E-3</v>
      </c>
      <c r="C29">
        <f t="shared" si="0"/>
        <v>4.5572708703207681E-3</v>
      </c>
      <c r="D29">
        <f t="shared" si="1"/>
        <v>2.986171813564904E-3</v>
      </c>
      <c r="E29">
        <f t="shared" si="2"/>
        <v>8.917222100129508E-6</v>
      </c>
    </row>
    <row r="30" spans="1:5" x14ac:dyDescent="0.25">
      <c r="A30">
        <v>3.4364763263500002</v>
      </c>
      <c r="B30">
        <v>5.3881733456326228E-3</v>
      </c>
      <c r="C30">
        <f t="shared" si="0"/>
        <v>3.096194697694479E-3</v>
      </c>
      <c r="D30">
        <f t="shared" si="1"/>
        <v>2.2919786479381437E-3</v>
      </c>
      <c r="E30">
        <f t="shared" si="2"/>
        <v>5.2531661226043611E-6</v>
      </c>
    </row>
    <row r="31" spans="1:5" x14ac:dyDescent="0.25">
      <c r="A31">
        <v>3.5529661916500004</v>
      </c>
      <c r="B31">
        <v>3.771721341942836E-3</v>
      </c>
      <c r="C31">
        <f t="shared" si="0"/>
        <v>2.0796536193864452E-3</v>
      </c>
      <c r="D31">
        <f t="shared" si="1"/>
        <v>1.6920677225563908E-3</v>
      </c>
      <c r="E31">
        <f t="shared" si="2"/>
        <v>2.8630931777171712E-6</v>
      </c>
    </row>
    <row r="32" spans="1:5" x14ac:dyDescent="0.25">
      <c r="A32">
        <v>3.6694560569500001</v>
      </c>
      <c r="B32">
        <v>3.2329040073795735E-3</v>
      </c>
      <c r="C32">
        <f t="shared" si="0"/>
        <v>1.3811974577558797E-3</v>
      </c>
      <c r="D32">
        <f t="shared" si="1"/>
        <v>1.8517065496236938E-3</v>
      </c>
      <c r="E32">
        <f t="shared" si="2"/>
        <v>3.4288171459192852E-6</v>
      </c>
    </row>
    <row r="33" spans="1:5" x14ac:dyDescent="0.25">
      <c r="A33">
        <v>3.7859459222499998</v>
      </c>
      <c r="B33">
        <v>1.6164520036897868E-3</v>
      </c>
      <c r="C33">
        <f t="shared" si="0"/>
        <v>9.0715487491562733E-4</v>
      </c>
      <c r="D33">
        <f t="shared" si="1"/>
        <v>7.0929712877415942E-4</v>
      </c>
      <c r="E33">
        <f t="shared" si="2"/>
        <v>5.0310241688726646E-7</v>
      </c>
    </row>
    <row r="34" spans="1:5" x14ac:dyDescent="0.25">
      <c r="A34">
        <v>3.90243578755</v>
      </c>
      <c r="B34">
        <v>5.3881733456326221E-4</v>
      </c>
      <c r="C34">
        <f t="shared" si="0"/>
        <v>5.8928239367155336E-4</v>
      </c>
      <c r="D34">
        <f t="shared" si="1"/>
        <v>-5.046505910829115E-5</v>
      </c>
      <c r="E34">
        <f t="shared" si="2"/>
        <v>2.5467221908033195E-9</v>
      </c>
    </row>
    <row r="35" spans="1:5" x14ac:dyDescent="0.25">
      <c r="A35">
        <v>4.0189256528500001</v>
      </c>
      <c r="B35">
        <v>0</v>
      </c>
      <c r="C35">
        <f t="shared" si="0"/>
        <v>3.7864672677453715E-4</v>
      </c>
      <c r="D35">
        <f t="shared" si="1"/>
        <v>-3.7864672677453715E-4</v>
      </c>
      <c r="E35">
        <f t="shared" si="2"/>
        <v>1.43373343697071E-7</v>
      </c>
    </row>
    <row r="36" spans="1:5" x14ac:dyDescent="0.25">
      <c r="A36">
        <v>4.1354155181500003</v>
      </c>
      <c r="B36">
        <v>0</v>
      </c>
      <c r="C36">
        <f t="shared" si="0"/>
        <v>2.4069286117609935E-4</v>
      </c>
      <c r="D36">
        <f t="shared" si="1"/>
        <v>-2.4069286117609935E-4</v>
      </c>
      <c r="E36">
        <f t="shared" si="2"/>
        <v>5.7933053421137033E-8</v>
      </c>
    </row>
    <row r="37" spans="1:5" x14ac:dyDescent="0.25">
      <c r="A37">
        <v>4.2519053834500005</v>
      </c>
      <c r="B37">
        <v>0</v>
      </c>
      <c r="C37">
        <f t="shared" si="0"/>
        <v>1.5137615311867325E-4</v>
      </c>
      <c r="D37">
        <f t="shared" si="1"/>
        <v>-1.5137615311867325E-4</v>
      </c>
      <c r="E37">
        <f t="shared" si="2"/>
        <v>2.2914739733008009E-8</v>
      </c>
    </row>
    <row r="38" spans="1:5" x14ac:dyDescent="0.25">
      <c r="A38">
        <v>4.3683952487499997</v>
      </c>
      <c r="B38">
        <v>0</v>
      </c>
      <c r="C38">
        <f t="shared" si="0"/>
        <v>9.4202326602670341E-5</v>
      </c>
      <c r="D38">
        <f t="shared" si="1"/>
        <v>-9.4202326602670341E-5</v>
      </c>
      <c r="E38">
        <f t="shared" si="2"/>
        <v>8.874078337356172E-9</v>
      </c>
    </row>
    <row r="39" spans="1:5" x14ac:dyDescent="0.25">
      <c r="A39">
        <v>4.4848851140499999</v>
      </c>
      <c r="B39">
        <v>0</v>
      </c>
      <c r="C39">
        <f t="shared" si="0"/>
        <v>5.8012051509403872E-5</v>
      </c>
      <c r="D39">
        <f t="shared" si="1"/>
        <v>-5.8012051509403872E-5</v>
      </c>
      <c r="E39">
        <f t="shared" si="2"/>
        <v>3.3653981203297281E-9</v>
      </c>
    </row>
    <row r="40" spans="1:5" x14ac:dyDescent="0.25">
      <c r="A40">
        <v>4.6013749793500001</v>
      </c>
      <c r="B40">
        <v>5.3881733456326221E-4</v>
      </c>
      <c r="C40">
        <f t="shared" si="0"/>
        <v>3.5356381089819788E-5</v>
      </c>
      <c r="D40">
        <f t="shared" si="1"/>
        <v>5.0346095347344241E-4</v>
      </c>
      <c r="E40">
        <f t="shared" si="2"/>
        <v>2.5347293167238772E-7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29C9-DCA7-43A9-8C20-71DDF5D30BC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5.6814002175000003E-2</v>
      </c>
      <c r="B1">
        <v>8.733996594909442E-2</v>
      </c>
      <c r="C1">
        <f>$H$3*(1+$H$1)*(A1^($H$1))*EXP(-$H$3*(A1^(1+$H$1)))</f>
        <v>0.13830342187229944</v>
      </c>
      <c r="D1">
        <f>B1-C1</f>
        <v>-5.0963455923205017E-2</v>
      </c>
      <c r="E1">
        <f>D1^2</f>
        <v>2.5972738396364604E-3</v>
      </c>
      <c r="G1" t="s">
        <v>0</v>
      </c>
      <c r="H1">
        <v>0.82265383603739239</v>
      </c>
    </row>
    <row r="2" spans="1:8" x14ac:dyDescent="0.25">
      <c r="A2">
        <v>0.17033200652500002</v>
      </c>
      <c r="B2">
        <v>0.31785114190334995</v>
      </c>
      <c r="C2">
        <f t="shared" ref="C2:C40" si="0">$H$3*(1+$H$1)*(A2^($H$1))*EXP(-$H$3*(A2^(1+$H$1)))</f>
        <v>0.33195337985042783</v>
      </c>
      <c r="D2">
        <f t="shared" ref="D2:D40" si="1">B2-C2</f>
        <v>-1.4102237947077878E-2</v>
      </c>
      <c r="E2">
        <f t="shared" ref="E2:E40" si="2">D2^2</f>
        <v>1.9887311511600328E-4</v>
      </c>
    </row>
    <row r="3" spans="1:8" x14ac:dyDescent="0.25">
      <c r="A3">
        <v>0.283850010875</v>
      </c>
      <c r="B3">
        <v>0.48423930488232098</v>
      </c>
      <c r="C3">
        <f t="shared" si="0"/>
        <v>0.48101628417259334</v>
      </c>
      <c r="D3">
        <f t="shared" si="1"/>
        <v>3.2230207097276309E-3</v>
      </c>
      <c r="E3">
        <f t="shared" si="2"/>
        <v>1.0387862495333201E-5</v>
      </c>
      <c r="G3" t="s">
        <v>1</v>
      </c>
      <c r="H3">
        <f>(_xlfn.GAMMA((2+$H$1)/(1+$H$1)))^(1+$H$1)</f>
        <v>0.80660550558554012</v>
      </c>
    </row>
    <row r="4" spans="1:8" x14ac:dyDescent="0.25">
      <c r="A4">
        <v>0.39736801522499998</v>
      </c>
      <c r="B4">
        <v>0.61082697704904643</v>
      </c>
      <c r="C4">
        <f t="shared" si="0"/>
        <v>0.59222960060139862</v>
      </c>
      <c r="D4">
        <f t="shared" si="1"/>
        <v>1.8597376447647807E-2</v>
      </c>
      <c r="E4">
        <f t="shared" si="2"/>
        <v>3.4586241073552535E-4</v>
      </c>
    </row>
    <row r="5" spans="1:8" x14ac:dyDescent="0.25">
      <c r="A5">
        <v>0.51088601957500002</v>
      </c>
      <c r="B5">
        <v>0.75510375624343662</v>
      </c>
      <c r="C5">
        <f t="shared" si="0"/>
        <v>0.66745320671599828</v>
      </c>
      <c r="D5">
        <f t="shared" si="1"/>
        <v>8.7650549527438337E-2</v>
      </c>
      <c r="E5">
        <f t="shared" si="2"/>
        <v>7.682618832461921E-3</v>
      </c>
      <c r="G5" t="s">
        <v>2</v>
      </c>
      <c r="H5">
        <f>SUM(E1:E40)</f>
        <v>2.6596038602436943E-2</v>
      </c>
    </row>
    <row r="6" spans="1:8" x14ac:dyDescent="0.25">
      <c r="A6">
        <v>0.62440402392499994</v>
      </c>
      <c r="B6">
        <v>0.76394830975726891</v>
      </c>
      <c r="C6">
        <f t="shared" si="0"/>
        <v>0.70897430685602258</v>
      </c>
      <c r="D6">
        <f t="shared" si="1"/>
        <v>5.4974002901246322E-2</v>
      </c>
      <c r="E6">
        <f t="shared" si="2"/>
        <v>3.0221409949862388E-3</v>
      </c>
    </row>
    <row r="7" spans="1:8" x14ac:dyDescent="0.25">
      <c r="A7">
        <v>0.73792202827500009</v>
      </c>
      <c r="B7">
        <v>0.73907300299961542</v>
      </c>
      <c r="C7">
        <f t="shared" si="0"/>
        <v>0.72022724722226661</v>
      </c>
      <c r="D7">
        <f t="shared" si="1"/>
        <v>1.8845755777348816E-2</v>
      </c>
      <c r="E7">
        <f t="shared" si="2"/>
        <v>3.551625108194763E-4</v>
      </c>
    </row>
    <row r="8" spans="1:8" x14ac:dyDescent="0.25">
      <c r="A8">
        <v>0.85144003262500001</v>
      </c>
      <c r="B8">
        <v>0.6467579756989903</v>
      </c>
      <c r="C8">
        <f t="shared" si="0"/>
        <v>0.7056765310669556</v>
      </c>
      <c r="D8">
        <f t="shared" si="1"/>
        <v>-5.8918555367965308E-2</v>
      </c>
      <c r="E8">
        <f t="shared" si="2"/>
        <v>3.4713961666479939E-3</v>
      </c>
    </row>
    <row r="9" spans="1:8" x14ac:dyDescent="0.25">
      <c r="A9">
        <v>0.96495803697500016</v>
      </c>
      <c r="B9">
        <v>0.67163328245664378</v>
      </c>
      <c r="C9">
        <f t="shared" si="0"/>
        <v>0.67045156199718769</v>
      </c>
      <c r="D9">
        <f t="shared" si="1"/>
        <v>1.1817204594560815E-3</v>
      </c>
      <c r="E9">
        <f t="shared" si="2"/>
        <v>1.3964632442970923E-6</v>
      </c>
    </row>
    <row r="10" spans="1:8" x14ac:dyDescent="0.25">
      <c r="A10">
        <v>1.0784760413250001</v>
      </c>
      <c r="B10">
        <v>0.61746039218442073</v>
      </c>
      <c r="C10">
        <f t="shared" si="0"/>
        <v>0.61992198979578506</v>
      </c>
      <c r="D10">
        <f t="shared" si="1"/>
        <v>-2.4615976113643301E-3</v>
      </c>
      <c r="E10">
        <f t="shared" si="2"/>
        <v>6.0594628002745758E-6</v>
      </c>
    </row>
    <row r="11" spans="1:8" x14ac:dyDescent="0.25">
      <c r="A11">
        <v>1.191994045675</v>
      </c>
      <c r="B11">
        <v>0.58761002407523655</v>
      </c>
      <c r="C11">
        <f t="shared" si="0"/>
        <v>0.55930217244023583</v>
      </c>
      <c r="D11">
        <f t="shared" si="1"/>
        <v>2.8307851635000714E-2</v>
      </c>
      <c r="E11">
        <f t="shared" si="2"/>
        <v>8.0133446418921258E-4</v>
      </c>
    </row>
    <row r="12" spans="1:8" x14ac:dyDescent="0.25">
      <c r="A12">
        <v>1.3055120500249999</v>
      </c>
      <c r="B12">
        <v>0.511878534613047</v>
      </c>
      <c r="C12">
        <f t="shared" si="0"/>
        <v>0.49333153535357271</v>
      </c>
      <c r="D12">
        <f t="shared" si="1"/>
        <v>1.8546999259474284E-2</v>
      </c>
      <c r="E12">
        <f t="shared" si="2"/>
        <v>3.4399118153093962E-4</v>
      </c>
    </row>
    <row r="13" spans="1:8" x14ac:dyDescent="0.25">
      <c r="A13">
        <v>1.4190300543750001</v>
      </c>
      <c r="B13">
        <v>0.3930298467709249</v>
      </c>
      <c r="C13">
        <f t="shared" si="0"/>
        <v>0.42605225208375952</v>
      </c>
      <c r="D13">
        <f t="shared" si="1"/>
        <v>-3.3022405312834624E-2</v>
      </c>
      <c r="E13">
        <f t="shared" si="2"/>
        <v>1.0904792526451284E-3</v>
      </c>
    </row>
    <row r="14" spans="1:8" x14ac:dyDescent="0.25">
      <c r="A14">
        <v>1.532548058725</v>
      </c>
      <c r="B14">
        <v>0.30900658838951761</v>
      </c>
      <c r="C14">
        <f t="shared" si="0"/>
        <v>0.36068758037113147</v>
      </c>
      <c r="D14">
        <f t="shared" si="1"/>
        <v>-5.1680991981613855E-2</v>
      </c>
      <c r="E14">
        <f t="shared" si="2"/>
        <v>2.6709249322036358E-3</v>
      </c>
    </row>
    <row r="15" spans="1:8" x14ac:dyDescent="0.25">
      <c r="A15">
        <v>1.6460660630750001</v>
      </c>
      <c r="B15">
        <v>0.26146711325266875</v>
      </c>
      <c r="C15">
        <f t="shared" si="0"/>
        <v>0.2996113783492434</v>
      </c>
      <c r="D15">
        <f t="shared" si="1"/>
        <v>-3.8144265096574648E-2</v>
      </c>
      <c r="E15">
        <f t="shared" si="2"/>
        <v>1.4549849597577629E-3</v>
      </c>
    </row>
    <row r="16" spans="1:8" x14ac:dyDescent="0.25">
      <c r="A16">
        <v>1.7595840674250001</v>
      </c>
      <c r="B16">
        <v>0.21724434568350701</v>
      </c>
      <c r="C16">
        <f t="shared" si="0"/>
        <v>0.24439127583500567</v>
      </c>
      <c r="D16">
        <f t="shared" si="1"/>
        <v>-2.7146930151498661E-2</v>
      </c>
      <c r="E16">
        <f t="shared" si="2"/>
        <v>7.3695581665034714E-4</v>
      </c>
    </row>
    <row r="17" spans="1:5" x14ac:dyDescent="0.25">
      <c r="A17">
        <v>1.873102071775</v>
      </c>
      <c r="B17">
        <v>0.17302157811434526</v>
      </c>
      <c r="C17">
        <f t="shared" si="0"/>
        <v>0.19588420289089967</v>
      </c>
      <c r="D17">
        <f t="shared" si="1"/>
        <v>-2.2862624776554402E-2</v>
      </c>
      <c r="E17">
        <f t="shared" si="2"/>
        <v>5.2269961167351919E-4</v>
      </c>
    </row>
    <row r="18" spans="1:5" x14ac:dyDescent="0.25">
      <c r="A18">
        <v>1.9866200761250001</v>
      </c>
      <c r="B18">
        <v>0.14593513297823371</v>
      </c>
      <c r="C18">
        <f t="shared" si="0"/>
        <v>0.15436274107654335</v>
      </c>
      <c r="D18">
        <f t="shared" si="1"/>
        <v>-8.4276080983096413E-3</v>
      </c>
      <c r="E18">
        <f t="shared" si="2"/>
        <v>7.1024578258694254E-5</v>
      </c>
    </row>
    <row r="19" spans="1:5" x14ac:dyDescent="0.25">
      <c r="A19">
        <v>2.1001380804750003</v>
      </c>
      <c r="B19">
        <v>0.10115958081445746</v>
      </c>
      <c r="C19">
        <f t="shared" si="0"/>
        <v>0.11965311177989842</v>
      </c>
      <c r="D19">
        <f t="shared" si="1"/>
        <v>-1.8493530965440957E-2</v>
      </c>
      <c r="E19">
        <f t="shared" si="2"/>
        <v>3.4201068756972356E-4</v>
      </c>
    </row>
    <row r="20" spans="1:5" x14ac:dyDescent="0.25">
      <c r="A20">
        <v>2.2136560848249998</v>
      </c>
      <c r="B20">
        <v>0.10392350378753007</v>
      </c>
      <c r="C20">
        <f t="shared" si="0"/>
        <v>9.1269537431645203E-2</v>
      </c>
      <c r="D20">
        <f t="shared" si="1"/>
        <v>1.2653966355884866E-2</v>
      </c>
      <c r="E20">
        <f t="shared" si="2"/>
        <v>1.6012286453586611E-4</v>
      </c>
    </row>
    <row r="21" spans="1:5" x14ac:dyDescent="0.25">
      <c r="A21">
        <v>2.3271740891750001</v>
      </c>
      <c r="B21">
        <v>6.6886935948357124E-2</v>
      </c>
      <c r="C21">
        <f t="shared" si="0"/>
        <v>6.8534273762902442E-2</v>
      </c>
      <c r="D21">
        <f t="shared" si="1"/>
        <v>-1.6473378145453188E-3</v>
      </c>
      <c r="E21">
        <f t="shared" si="2"/>
        <v>2.7137218752309471E-6</v>
      </c>
    </row>
    <row r="22" spans="1:5" x14ac:dyDescent="0.25">
      <c r="A22">
        <v>2.4406920935250005</v>
      </c>
      <c r="B22">
        <v>6.6886935948357124E-2</v>
      </c>
      <c r="C22">
        <f t="shared" si="0"/>
        <v>5.0677067878408873E-2</v>
      </c>
      <c r="D22">
        <f t="shared" si="1"/>
        <v>1.6209868069948251E-2</v>
      </c>
      <c r="E22">
        <f t="shared" si="2"/>
        <v>2.6275982284512781E-4</v>
      </c>
    </row>
    <row r="23" spans="1:5" x14ac:dyDescent="0.25">
      <c r="A23">
        <v>2.554210097875</v>
      </c>
      <c r="B23">
        <v>4.6986690542234338E-2</v>
      </c>
      <c r="C23">
        <f t="shared" si="0"/>
        <v>3.6911635614779469E-2</v>
      </c>
      <c r="D23">
        <f t="shared" si="1"/>
        <v>1.007505492745487E-2</v>
      </c>
      <c r="E23">
        <f t="shared" si="2"/>
        <v>1.0150673179123265E-4</v>
      </c>
    </row>
    <row r="24" spans="1:5" x14ac:dyDescent="0.25">
      <c r="A24">
        <v>2.6677281022250003</v>
      </c>
      <c r="B24">
        <v>3.2614291082256774E-2</v>
      </c>
      <c r="C24">
        <f t="shared" si="0"/>
        <v>2.6489696055600146E-2</v>
      </c>
      <c r="D24">
        <f t="shared" si="1"/>
        <v>6.1245950266566283E-3</v>
      </c>
      <c r="E24">
        <f t="shared" si="2"/>
        <v>3.7510664240547106E-5</v>
      </c>
    </row>
    <row r="25" spans="1:5" x14ac:dyDescent="0.25">
      <c r="A25">
        <v>2.7812461065749998</v>
      </c>
      <c r="B25">
        <v>2.7639229730726082E-2</v>
      </c>
      <c r="C25">
        <f t="shared" si="0"/>
        <v>1.8735076667996321E-2</v>
      </c>
      <c r="D25">
        <f t="shared" si="1"/>
        <v>8.9041530627297603E-3</v>
      </c>
      <c r="E25">
        <f t="shared" si="2"/>
        <v>7.9283941764519768E-5</v>
      </c>
    </row>
    <row r="26" spans="1:5" x14ac:dyDescent="0.25">
      <c r="A26">
        <v>2.8947641109250002</v>
      </c>
      <c r="B26">
        <v>2.2664168379195389E-2</v>
      </c>
      <c r="C26">
        <f t="shared" si="0"/>
        <v>1.3061483385065966E-2</v>
      </c>
      <c r="D26">
        <f t="shared" si="1"/>
        <v>9.6026849941294231E-3</v>
      </c>
      <c r="E26">
        <f t="shared" si="2"/>
        <v>9.2211559096478399E-5</v>
      </c>
    </row>
    <row r="27" spans="1:5" x14ac:dyDescent="0.25">
      <c r="A27">
        <v>3.0082821152750001</v>
      </c>
      <c r="B27">
        <v>1.2161261081519477E-2</v>
      </c>
      <c r="C27">
        <f t="shared" si="0"/>
        <v>8.9778805384091928E-3</v>
      </c>
      <c r="D27">
        <f t="shared" si="1"/>
        <v>3.1833805431102837E-3</v>
      </c>
      <c r="E27">
        <f t="shared" si="2"/>
        <v>1.0133911682253124E-5</v>
      </c>
    </row>
    <row r="28" spans="1:5" x14ac:dyDescent="0.25">
      <c r="A28">
        <v>3.121800119625</v>
      </c>
      <c r="B28">
        <v>1.658353783843565E-2</v>
      </c>
      <c r="C28">
        <f t="shared" si="0"/>
        <v>6.0852482486283225E-3</v>
      </c>
      <c r="D28">
        <f t="shared" si="1"/>
        <v>1.0498289589807327E-2</v>
      </c>
      <c r="E28">
        <f t="shared" si="2"/>
        <v>1.102140843114569E-4</v>
      </c>
    </row>
    <row r="29" spans="1:5" x14ac:dyDescent="0.25">
      <c r="A29">
        <v>3.2353181239750004</v>
      </c>
      <c r="B29">
        <v>5.5278459461452168E-3</v>
      </c>
      <c r="C29">
        <f t="shared" si="0"/>
        <v>4.0679796877486508E-3</v>
      </c>
      <c r="D29">
        <f t="shared" si="1"/>
        <v>1.4598662583965661E-3</v>
      </c>
      <c r="E29">
        <f t="shared" si="2"/>
        <v>2.1312094924047896E-6</v>
      </c>
    </row>
    <row r="30" spans="1:5" x14ac:dyDescent="0.25">
      <c r="A30">
        <v>3.3488361283249999</v>
      </c>
      <c r="B30">
        <v>4.9750613515306946E-3</v>
      </c>
      <c r="C30">
        <f t="shared" si="0"/>
        <v>2.6825189316061803E-3</v>
      </c>
      <c r="D30">
        <f t="shared" si="1"/>
        <v>2.2925424199245143E-3</v>
      </c>
      <c r="E30">
        <f t="shared" si="2"/>
        <v>5.2557507471533476E-6</v>
      </c>
    </row>
    <row r="31" spans="1:5" x14ac:dyDescent="0.25">
      <c r="A31">
        <v>3.4623541326750003</v>
      </c>
      <c r="B31">
        <v>2.7639229730726084E-3</v>
      </c>
      <c r="C31">
        <f t="shared" si="0"/>
        <v>1.7451518775320632E-3</v>
      </c>
      <c r="D31">
        <f t="shared" si="1"/>
        <v>1.0187710955405452E-3</v>
      </c>
      <c r="E31">
        <f t="shared" si="2"/>
        <v>1.0378945451088828E-6</v>
      </c>
    </row>
    <row r="32" spans="1:5" x14ac:dyDescent="0.25">
      <c r="A32">
        <v>3.5758721370250002</v>
      </c>
      <c r="B32">
        <v>3.3167075676871298E-3</v>
      </c>
      <c r="C32">
        <f t="shared" si="0"/>
        <v>1.1202341060875707E-3</v>
      </c>
      <c r="D32">
        <f t="shared" si="1"/>
        <v>2.1964734615995589E-3</v>
      </c>
      <c r="E32">
        <f t="shared" si="2"/>
        <v>4.8244956675111494E-6</v>
      </c>
    </row>
    <row r="33" spans="1:5" x14ac:dyDescent="0.25">
      <c r="A33">
        <v>3.6893901413750001</v>
      </c>
      <c r="B33">
        <v>1.1055691892290433E-3</v>
      </c>
      <c r="C33">
        <f t="shared" si="0"/>
        <v>7.0961778391894859E-4</v>
      </c>
      <c r="D33">
        <f t="shared" si="1"/>
        <v>3.9595140531009469E-4</v>
      </c>
      <c r="E33">
        <f t="shared" si="2"/>
        <v>1.5677751536703887E-7</v>
      </c>
    </row>
    <row r="34" spans="1:5" x14ac:dyDescent="0.25">
      <c r="A34">
        <v>3.8029081457250005</v>
      </c>
      <c r="B34">
        <v>0</v>
      </c>
      <c r="C34">
        <f t="shared" si="0"/>
        <v>4.436413481433298E-4</v>
      </c>
      <c r="D34">
        <f t="shared" si="1"/>
        <v>-4.436413481433298E-4</v>
      </c>
      <c r="E34">
        <f t="shared" si="2"/>
        <v>1.9681764578243117E-7</v>
      </c>
    </row>
    <row r="35" spans="1:5" x14ac:dyDescent="0.25">
      <c r="A35">
        <v>3.9164261500749999</v>
      </c>
      <c r="B35">
        <v>0</v>
      </c>
      <c r="C35">
        <f t="shared" si="0"/>
        <v>2.737663491803031E-4</v>
      </c>
      <c r="D35">
        <f t="shared" si="1"/>
        <v>-2.737663491803031E-4</v>
      </c>
      <c r="E35">
        <f t="shared" si="2"/>
        <v>7.4948013943511639E-8</v>
      </c>
    </row>
    <row r="36" spans="1:5" x14ac:dyDescent="0.25">
      <c r="A36">
        <v>4.0299441544250003</v>
      </c>
      <c r="B36">
        <v>0</v>
      </c>
      <c r="C36">
        <f t="shared" si="0"/>
        <v>1.6676873358667006E-4</v>
      </c>
      <c r="D36">
        <f t="shared" si="1"/>
        <v>-1.6676873358667006E-4</v>
      </c>
      <c r="E36">
        <f t="shared" si="2"/>
        <v>2.7811810502101736E-8</v>
      </c>
    </row>
    <row r="37" spans="1:5" x14ac:dyDescent="0.25">
      <c r="A37">
        <v>4.1434621587750007</v>
      </c>
      <c r="B37">
        <v>0</v>
      </c>
      <c r="C37">
        <f t="shared" si="0"/>
        <v>1.0029499494337096E-4</v>
      </c>
      <c r="D37">
        <f t="shared" si="1"/>
        <v>-1.0029499494337096E-4</v>
      </c>
      <c r="E37">
        <f t="shared" si="2"/>
        <v>1.0059086010690807E-8</v>
      </c>
    </row>
    <row r="38" spans="1:5" x14ac:dyDescent="0.25">
      <c r="A38">
        <v>4.2569801631250002</v>
      </c>
      <c r="B38">
        <v>0</v>
      </c>
      <c r="C38">
        <f t="shared" si="0"/>
        <v>5.9554594237218059E-5</v>
      </c>
      <c r="D38">
        <f t="shared" si="1"/>
        <v>-5.9554594237218059E-5</v>
      </c>
      <c r="E38">
        <f t="shared" si="2"/>
        <v>3.5467496947596866E-9</v>
      </c>
    </row>
    <row r="39" spans="1:5" x14ac:dyDescent="0.25">
      <c r="A39">
        <v>4.3704981674750005</v>
      </c>
      <c r="B39">
        <v>0</v>
      </c>
      <c r="C39">
        <f t="shared" si="0"/>
        <v>3.4919011267770051E-5</v>
      </c>
      <c r="D39">
        <f t="shared" si="1"/>
        <v>-3.4919011267770051E-5</v>
      </c>
      <c r="E39">
        <f t="shared" si="2"/>
        <v>1.2193373479186519E-9</v>
      </c>
    </row>
    <row r="40" spans="1:5" x14ac:dyDescent="0.25">
      <c r="A40">
        <v>4.484016171825</v>
      </c>
      <c r="B40">
        <v>5.5278459461452164E-4</v>
      </c>
      <c r="C40">
        <f t="shared" si="0"/>
        <v>2.0218860716713409E-5</v>
      </c>
      <c r="D40">
        <f t="shared" si="1"/>
        <v>5.3256573389780823E-4</v>
      </c>
      <c r="E40">
        <f t="shared" si="2"/>
        <v>2.8362626092211108E-7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62A-0444-44CE-A584-068CFACB90A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5.5332675162500011E-2</v>
      </c>
      <c r="B1">
        <v>5.8415603627961027E-2</v>
      </c>
      <c r="C1">
        <f>$H$3*(1+$H$1)*(A1^($H$1))*EXP(-$H$3*(A1^(1+$H$1)))</f>
        <v>0.10894619779289706</v>
      </c>
      <c r="D1">
        <f>B1-C1</f>
        <v>-5.0530594164936035E-2</v>
      </c>
      <c r="E1">
        <f>D1^2</f>
        <v>2.5533409466614678E-3</v>
      </c>
      <c r="G1" t="s">
        <v>0</v>
      </c>
      <c r="H1">
        <v>0.90935770292687335</v>
      </c>
    </row>
    <row r="2" spans="1:8" x14ac:dyDescent="0.25">
      <c r="A2">
        <v>0.16599780548750004</v>
      </c>
      <c r="B2">
        <v>0.24500525016775887</v>
      </c>
      <c r="C2">
        <f t="shared" ref="C2:C40" si="0">$H$3*(1+$H$1)*(A2^($H$1))*EXP(-$H$3*(A2^(1+$H$1)))</f>
        <v>0.28923757417349627</v>
      </c>
      <c r="D2">
        <f t="shared" ref="D2:D40" si="1">B2-C2</f>
        <v>-4.42323240057374E-2</v>
      </c>
      <c r="E2">
        <f t="shared" ref="E2:E40" si="2">D2^2</f>
        <v>1.9564984869485332E-3</v>
      </c>
    </row>
    <row r="3" spans="1:8" x14ac:dyDescent="0.25">
      <c r="A3">
        <v>0.27666293581250001</v>
      </c>
      <c r="B3">
        <v>0.46619054545809674</v>
      </c>
      <c r="C3">
        <f t="shared" si="0"/>
        <v>0.44104279457744433</v>
      </c>
      <c r="D3">
        <f t="shared" si="1"/>
        <v>2.5147750880652409E-2</v>
      </c>
      <c r="E3">
        <f t="shared" si="2"/>
        <v>6.3240937435535402E-4</v>
      </c>
      <c r="G3" t="s">
        <v>1</v>
      </c>
      <c r="H3">
        <f>(_xlfn.GAMMA((2+$H$1)/(1+$H$1)))^(1+$H$1)</f>
        <v>0.79575541347077605</v>
      </c>
    </row>
    <row r="4" spans="1:8" x14ac:dyDescent="0.25">
      <c r="A4">
        <v>0.38732806613750004</v>
      </c>
      <c r="B4">
        <v>0.57224605884089974</v>
      </c>
      <c r="C4">
        <f t="shared" si="0"/>
        <v>0.56309532471200174</v>
      </c>
      <c r="D4">
        <f t="shared" si="1"/>
        <v>9.1507341288979971E-3</v>
      </c>
      <c r="E4">
        <f t="shared" si="2"/>
        <v>8.3735935097778585E-5</v>
      </c>
    </row>
    <row r="5" spans="1:8" x14ac:dyDescent="0.25">
      <c r="A5">
        <v>0.49799319646250007</v>
      </c>
      <c r="B5">
        <v>0.73161289980650224</v>
      </c>
      <c r="C5">
        <f t="shared" si="0"/>
        <v>0.65318765901231179</v>
      </c>
      <c r="D5">
        <f t="shared" si="1"/>
        <v>7.8425240794190443E-2</v>
      </c>
      <c r="E5">
        <f t="shared" si="2"/>
        <v>6.1505183936267525E-3</v>
      </c>
      <c r="G5" t="s">
        <v>2</v>
      </c>
      <c r="H5">
        <f>SUM(E1:E40)</f>
        <v>2.7418038631610585E-2</v>
      </c>
    </row>
    <row r="6" spans="1:8" x14ac:dyDescent="0.25">
      <c r="A6">
        <v>0.60865832678750009</v>
      </c>
      <c r="B6">
        <v>0.79626706304521633</v>
      </c>
      <c r="C6">
        <f t="shared" si="0"/>
        <v>0.71066038963849099</v>
      </c>
      <c r="D6">
        <f t="shared" si="1"/>
        <v>8.5606673406725342E-2</v>
      </c>
      <c r="E6">
        <f t="shared" si="2"/>
        <v>7.3285025317657362E-3</v>
      </c>
    </row>
    <row r="7" spans="1:8" x14ac:dyDescent="0.25">
      <c r="A7">
        <v>0.71932345711250001</v>
      </c>
      <c r="B7">
        <v>0.75032857863876157</v>
      </c>
      <c r="C7">
        <f t="shared" si="0"/>
        <v>0.73675153269499671</v>
      </c>
      <c r="D7">
        <f t="shared" si="1"/>
        <v>1.3577045943764854E-2</v>
      </c>
      <c r="E7">
        <f t="shared" si="2"/>
        <v>1.8433617655910168E-4</v>
      </c>
    </row>
    <row r="8" spans="1:8" x14ac:dyDescent="0.25">
      <c r="A8">
        <v>0.82998858743750004</v>
      </c>
      <c r="B8">
        <v>0.72367291484736185</v>
      </c>
      <c r="C8">
        <f t="shared" si="0"/>
        <v>0.73442469832060453</v>
      </c>
      <c r="D8">
        <f t="shared" si="1"/>
        <v>-1.0751783473242682E-2</v>
      </c>
      <c r="E8">
        <f t="shared" si="2"/>
        <v>1.1560084785549448E-4</v>
      </c>
    </row>
    <row r="9" spans="1:8" x14ac:dyDescent="0.25">
      <c r="A9">
        <v>0.94065371776250006</v>
      </c>
      <c r="B9">
        <v>0.68227156470327299</v>
      </c>
      <c r="C9">
        <f t="shared" si="0"/>
        <v>0.70796934995903726</v>
      </c>
      <c r="D9">
        <f t="shared" si="1"/>
        <v>-2.5697785255764272E-2</v>
      </c>
      <c r="E9">
        <f t="shared" si="2"/>
        <v>6.6037616705137562E-4</v>
      </c>
    </row>
    <row r="10" spans="1:8" x14ac:dyDescent="0.25">
      <c r="A10">
        <v>1.0513188480875</v>
      </c>
      <c r="B10">
        <v>0.66128731873983071</v>
      </c>
      <c r="C10">
        <f t="shared" si="0"/>
        <v>0.66250163351840541</v>
      </c>
      <c r="D10">
        <f t="shared" si="1"/>
        <v>-1.2143147785746988E-3</v>
      </c>
      <c r="E10">
        <f t="shared" si="2"/>
        <v>1.4745603814649199E-6</v>
      </c>
    </row>
    <row r="11" spans="1:8" x14ac:dyDescent="0.25">
      <c r="A11">
        <v>1.1619839784125001</v>
      </c>
      <c r="B11">
        <v>0.60230457332907394</v>
      </c>
      <c r="C11">
        <f t="shared" si="0"/>
        <v>0.60345240566895952</v>
      </c>
      <c r="D11">
        <f t="shared" si="1"/>
        <v>-1.1478323398855794E-3</v>
      </c>
      <c r="E11">
        <f t="shared" si="2"/>
        <v>1.3175190804872043E-6</v>
      </c>
    </row>
    <row r="12" spans="1:8" x14ac:dyDescent="0.25">
      <c r="A12">
        <v>1.2726491087375003</v>
      </c>
      <c r="B12">
        <v>0.55182895466025317</v>
      </c>
      <c r="C12">
        <f t="shared" si="0"/>
        <v>0.53610610965191885</v>
      </c>
      <c r="D12">
        <f t="shared" si="1"/>
        <v>1.5722845008334319E-2</v>
      </c>
      <c r="E12">
        <f t="shared" si="2"/>
        <v>2.4720785515610342E-4</v>
      </c>
    </row>
    <row r="13" spans="1:8" x14ac:dyDescent="0.25">
      <c r="A13">
        <v>1.3833142390625</v>
      </c>
      <c r="B13">
        <v>0.46335483654411808</v>
      </c>
      <c r="C13">
        <f t="shared" si="0"/>
        <v>0.46523316723246982</v>
      </c>
      <c r="D13">
        <f t="shared" si="1"/>
        <v>-1.8783306883517481E-3</v>
      </c>
      <c r="E13">
        <f t="shared" si="2"/>
        <v>3.528126174803952E-6</v>
      </c>
    </row>
    <row r="14" spans="1:8" x14ac:dyDescent="0.25">
      <c r="A14">
        <v>1.4939793693875001</v>
      </c>
      <c r="B14">
        <v>0.34312077859142159</v>
      </c>
      <c r="C14">
        <f t="shared" si="0"/>
        <v>0.39483793827377378</v>
      </c>
      <c r="D14">
        <f t="shared" si="1"/>
        <v>-5.1717159682352187E-2</v>
      </c>
      <c r="E14">
        <f t="shared" si="2"/>
        <v>2.6746646056099144E-3</v>
      </c>
    </row>
    <row r="15" spans="1:8" x14ac:dyDescent="0.25">
      <c r="A15">
        <v>1.6046444997125</v>
      </c>
      <c r="B15">
        <v>0.29945086131614973</v>
      </c>
      <c r="C15">
        <f t="shared" si="0"/>
        <v>0.32802562837981747</v>
      </c>
      <c r="D15">
        <f t="shared" si="1"/>
        <v>-2.8574767063667739E-2</v>
      </c>
      <c r="E15">
        <f t="shared" si="2"/>
        <v>8.1651731274287056E-4</v>
      </c>
    </row>
    <row r="16" spans="1:8" x14ac:dyDescent="0.25">
      <c r="A16">
        <v>1.7153096300375001</v>
      </c>
      <c r="B16">
        <v>0.22061815350754213</v>
      </c>
      <c r="C16">
        <f t="shared" si="0"/>
        <v>0.2669766228566488</v>
      </c>
      <c r="D16">
        <f t="shared" si="1"/>
        <v>-4.6358469349106673E-2</v>
      </c>
      <c r="E16">
        <f t="shared" si="2"/>
        <v>2.1491076803920629E-3</v>
      </c>
    </row>
    <row r="17" spans="1:5" x14ac:dyDescent="0.25">
      <c r="A17">
        <v>1.8259747603625001</v>
      </c>
      <c r="B17">
        <v>0.18602250475700211</v>
      </c>
      <c r="C17">
        <f t="shared" si="0"/>
        <v>0.2130067287148352</v>
      </c>
      <c r="D17">
        <f t="shared" si="1"/>
        <v>-2.6984223957833092E-2</v>
      </c>
      <c r="E17">
        <f t="shared" si="2"/>
        <v>7.2814834260649338E-4</v>
      </c>
    </row>
    <row r="18" spans="1:5" x14ac:dyDescent="0.25">
      <c r="A18">
        <v>1.9366398906875002</v>
      </c>
      <c r="B18">
        <v>0.14915828887527913</v>
      </c>
      <c r="C18">
        <f t="shared" si="0"/>
        <v>0.16668694480557655</v>
      </c>
      <c r="D18">
        <f t="shared" si="1"/>
        <v>-1.7528655930297427E-2</v>
      </c>
      <c r="E18">
        <f t="shared" si="2"/>
        <v>3.0725377872275117E-4</v>
      </c>
    </row>
    <row r="19" spans="1:5" x14ac:dyDescent="0.25">
      <c r="A19">
        <v>2.0473050210124999</v>
      </c>
      <c r="B19">
        <v>0.12023405795269648</v>
      </c>
      <c r="C19">
        <f t="shared" si="0"/>
        <v>0.12799608088211534</v>
      </c>
      <c r="D19">
        <f t="shared" si="1"/>
        <v>-7.7620229294188547E-3</v>
      </c>
      <c r="E19">
        <f t="shared" si="2"/>
        <v>6.0248999956824059E-5</v>
      </c>
    </row>
    <row r="20" spans="1:5" x14ac:dyDescent="0.25">
      <c r="A20">
        <v>2.1579701513375005</v>
      </c>
      <c r="B20">
        <v>0.10378694625162008</v>
      </c>
      <c r="C20">
        <f t="shared" si="0"/>
        <v>9.6482698212109266E-2</v>
      </c>
      <c r="D20">
        <f t="shared" si="1"/>
        <v>7.3042480395108106E-3</v>
      </c>
      <c r="E20">
        <f t="shared" si="2"/>
        <v>5.3352039422697522E-5</v>
      </c>
    </row>
    <row r="21" spans="1:5" x14ac:dyDescent="0.25">
      <c r="A21">
        <v>2.2686352816625002</v>
      </c>
      <c r="B21">
        <v>6.9191297501080051E-2</v>
      </c>
      <c r="C21">
        <f t="shared" si="0"/>
        <v>7.1418105902511964E-2</v>
      </c>
      <c r="D21">
        <f t="shared" si="1"/>
        <v>-2.2268084014319123E-3</v>
      </c>
      <c r="E21">
        <f t="shared" si="2"/>
        <v>4.9586756566877487E-6</v>
      </c>
    </row>
    <row r="22" spans="1:5" x14ac:dyDescent="0.25">
      <c r="A22">
        <v>2.3793004119875003</v>
      </c>
      <c r="B22">
        <v>6.8057013935488575E-2</v>
      </c>
      <c r="C22">
        <f t="shared" si="0"/>
        <v>5.1928221907544619E-2</v>
      </c>
      <c r="D22">
        <f t="shared" si="1"/>
        <v>1.6128792027943956E-2</v>
      </c>
      <c r="E22">
        <f t="shared" si="2"/>
        <v>2.6013793228066848E-4</v>
      </c>
    </row>
    <row r="23" spans="1:5" x14ac:dyDescent="0.25">
      <c r="A23">
        <v>2.4899655423125004</v>
      </c>
      <c r="B23">
        <v>4.7639909754842003E-2</v>
      </c>
      <c r="C23">
        <f t="shared" si="0"/>
        <v>3.7097940139969109E-2</v>
      </c>
      <c r="D23">
        <f t="shared" si="1"/>
        <v>1.0541969614872894E-2</v>
      </c>
      <c r="E23">
        <f t="shared" si="2"/>
        <v>1.1113312336090336E-4</v>
      </c>
    </row>
    <row r="24" spans="1:5" x14ac:dyDescent="0.25">
      <c r="A24">
        <v>2.6006306726375001</v>
      </c>
      <c r="B24">
        <v>3.1192798053765597E-2</v>
      </c>
      <c r="C24">
        <f t="shared" si="0"/>
        <v>2.6046520651264709E-2</v>
      </c>
      <c r="D24">
        <f t="shared" si="1"/>
        <v>5.146277402500888E-3</v>
      </c>
      <c r="E24">
        <f t="shared" si="2"/>
        <v>2.6484171103491285E-5</v>
      </c>
    </row>
    <row r="25" spans="1:5" x14ac:dyDescent="0.25">
      <c r="A25">
        <v>2.7112958029625003</v>
      </c>
      <c r="B25">
        <v>3.0625656270969859E-2</v>
      </c>
      <c r="C25">
        <f t="shared" si="0"/>
        <v>1.7976077949936938E-2</v>
      </c>
      <c r="D25">
        <f t="shared" si="1"/>
        <v>1.2649578321032921E-2</v>
      </c>
      <c r="E25">
        <f t="shared" si="2"/>
        <v>1.6001183169994605E-4</v>
      </c>
    </row>
    <row r="26" spans="1:5" x14ac:dyDescent="0.25">
      <c r="A26">
        <v>2.8219609332875004</v>
      </c>
      <c r="B26">
        <v>1.7581395266667882E-2</v>
      </c>
      <c r="C26">
        <f t="shared" si="0"/>
        <v>1.2197425448656251E-2</v>
      </c>
      <c r="D26">
        <f t="shared" si="1"/>
        <v>5.3839698180116313E-3</v>
      </c>
      <c r="E26">
        <f t="shared" si="2"/>
        <v>2.8987131001260199E-5</v>
      </c>
    </row>
    <row r="27" spans="1:5" x14ac:dyDescent="0.25">
      <c r="A27">
        <v>2.9326260636125001</v>
      </c>
      <c r="B27">
        <v>1.5312828135484929E-2</v>
      </c>
      <c r="C27">
        <f t="shared" si="0"/>
        <v>8.1385003508913645E-3</v>
      </c>
      <c r="D27">
        <f t="shared" si="1"/>
        <v>7.1743277845935649E-3</v>
      </c>
      <c r="E27">
        <f t="shared" si="2"/>
        <v>5.1470979160791212E-5</v>
      </c>
    </row>
    <row r="28" spans="1:5" x14ac:dyDescent="0.25">
      <c r="A28">
        <v>3.0432911939375002</v>
      </c>
      <c r="B28">
        <v>1.1342835655914763E-2</v>
      </c>
      <c r="C28">
        <f t="shared" si="0"/>
        <v>5.3406228974226958E-3</v>
      </c>
      <c r="D28">
        <f t="shared" si="1"/>
        <v>6.0022127584920667E-3</v>
      </c>
      <c r="E28">
        <f t="shared" si="2"/>
        <v>3.6026557998204944E-5</v>
      </c>
    </row>
    <row r="29" spans="1:5" x14ac:dyDescent="0.25">
      <c r="A29">
        <v>3.1539563242625004</v>
      </c>
      <c r="B29">
        <v>7.9399849591403338E-3</v>
      </c>
      <c r="C29">
        <f t="shared" si="0"/>
        <v>3.4472542330401491E-3</v>
      </c>
      <c r="D29">
        <f t="shared" si="1"/>
        <v>4.4927307261001847E-3</v>
      </c>
      <c r="E29">
        <f t="shared" si="2"/>
        <v>2.0184629377244693E-5</v>
      </c>
    </row>
    <row r="30" spans="1:5" x14ac:dyDescent="0.25">
      <c r="A30">
        <v>3.2646214545875001</v>
      </c>
      <c r="B30">
        <v>5.1042760451616431E-3</v>
      </c>
      <c r="C30">
        <f t="shared" si="0"/>
        <v>2.1890017878100211E-3</v>
      </c>
      <c r="D30">
        <f t="shared" si="1"/>
        <v>2.915274257351622E-3</v>
      </c>
      <c r="E30">
        <f t="shared" si="2"/>
        <v>8.4988239955770511E-6</v>
      </c>
    </row>
    <row r="31" spans="1:5" x14ac:dyDescent="0.25">
      <c r="A31">
        <v>3.3752865849125002</v>
      </c>
      <c r="B31">
        <v>2.2685671311829525E-3</v>
      </c>
      <c r="C31">
        <f t="shared" si="0"/>
        <v>1.3676136833944488E-3</v>
      </c>
      <c r="D31">
        <f t="shared" si="1"/>
        <v>9.0095344778850367E-4</v>
      </c>
      <c r="E31">
        <f t="shared" si="2"/>
        <v>8.1171711508199198E-7</v>
      </c>
    </row>
    <row r="32" spans="1:5" x14ac:dyDescent="0.25">
      <c r="A32">
        <v>3.4859517152375004</v>
      </c>
      <c r="B32">
        <v>1.7014253483872144E-3</v>
      </c>
      <c r="C32">
        <f t="shared" si="0"/>
        <v>8.4076476160549962E-4</v>
      </c>
      <c r="D32">
        <f t="shared" si="1"/>
        <v>8.6066058678171476E-4</v>
      </c>
      <c r="E32">
        <f t="shared" si="2"/>
        <v>7.4073664563944561E-7</v>
      </c>
    </row>
    <row r="33" spans="1:5" x14ac:dyDescent="0.25">
      <c r="A33">
        <v>3.5966168455625001</v>
      </c>
      <c r="B33">
        <v>5.6714178279573813E-4</v>
      </c>
      <c r="C33">
        <f t="shared" si="0"/>
        <v>5.0865706766472585E-4</v>
      </c>
      <c r="D33">
        <f t="shared" si="1"/>
        <v>5.8484715131012274E-5</v>
      </c>
      <c r="E33">
        <f t="shared" si="2"/>
        <v>3.420461903955656E-9</v>
      </c>
    </row>
    <row r="34" spans="1:5" x14ac:dyDescent="0.25">
      <c r="A34">
        <v>3.7072819758875002</v>
      </c>
      <c r="B34">
        <v>0</v>
      </c>
      <c r="C34">
        <f t="shared" si="0"/>
        <v>3.0287113874503973E-4</v>
      </c>
      <c r="D34">
        <f t="shared" si="1"/>
        <v>-3.0287113874503973E-4</v>
      </c>
      <c r="E34">
        <f t="shared" si="2"/>
        <v>9.1730926684717108E-8</v>
      </c>
    </row>
    <row r="35" spans="1:5" x14ac:dyDescent="0.25">
      <c r="A35">
        <v>3.8179471062125003</v>
      </c>
      <c r="B35">
        <v>0</v>
      </c>
      <c r="C35">
        <f t="shared" si="0"/>
        <v>1.7750593780199774E-4</v>
      </c>
      <c r="D35">
        <f t="shared" si="1"/>
        <v>-1.7750593780199774E-4</v>
      </c>
      <c r="E35">
        <f t="shared" si="2"/>
        <v>3.1508357954966688E-8</v>
      </c>
    </row>
    <row r="36" spans="1:5" x14ac:dyDescent="0.25">
      <c r="A36">
        <v>3.9286122365375</v>
      </c>
      <c r="B36">
        <v>0</v>
      </c>
      <c r="C36">
        <f t="shared" si="0"/>
        <v>1.0240651063535851E-4</v>
      </c>
      <c r="D36">
        <f t="shared" si="1"/>
        <v>-1.0240651063535851E-4</v>
      </c>
      <c r="E36">
        <f t="shared" si="2"/>
        <v>1.0487093420509796E-8</v>
      </c>
    </row>
    <row r="37" spans="1:5" x14ac:dyDescent="0.25">
      <c r="A37">
        <v>4.0392773668625006</v>
      </c>
      <c r="B37">
        <v>0</v>
      </c>
      <c r="C37">
        <f t="shared" si="0"/>
        <v>5.8161717357520554E-5</v>
      </c>
      <c r="D37">
        <f t="shared" si="1"/>
        <v>-5.8161717357520554E-5</v>
      </c>
      <c r="E37">
        <f t="shared" si="2"/>
        <v>3.3827853659761079E-9</v>
      </c>
    </row>
    <row r="38" spans="1:5" x14ac:dyDescent="0.25">
      <c r="A38">
        <v>4.1499424971875003</v>
      </c>
      <c r="B38">
        <v>0</v>
      </c>
      <c r="C38">
        <f t="shared" si="0"/>
        <v>3.2521840935635054E-5</v>
      </c>
      <c r="D38">
        <f t="shared" si="1"/>
        <v>-3.2521840935635054E-5</v>
      </c>
      <c r="E38">
        <f t="shared" si="2"/>
        <v>1.0576701378427478E-9</v>
      </c>
    </row>
    <row r="39" spans="1:5" x14ac:dyDescent="0.25">
      <c r="A39">
        <v>4.2606076275125009</v>
      </c>
      <c r="B39">
        <v>0</v>
      </c>
      <c r="C39">
        <f t="shared" si="0"/>
        <v>1.7904934016135336E-5</v>
      </c>
      <c r="D39">
        <f t="shared" si="1"/>
        <v>-1.7904934016135336E-5</v>
      </c>
      <c r="E39">
        <f t="shared" si="2"/>
        <v>3.2058666212216023E-10</v>
      </c>
    </row>
    <row r="40" spans="1:5" x14ac:dyDescent="0.25">
      <c r="A40">
        <v>4.3712727578375006</v>
      </c>
      <c r="B40">
        <v>5.6714178279573813E-4</v>
      </c>
      <c r="C40">
        <f t="shared" si="0"/>
        <v>9.7064368595415479E-6</v>
      </c>
      <c r="D40">
        <f t="shared" si="1"/>
        <v>5.5743534593619658E-4</v>
      </c>
      <c r="E40">
        <f t="shared" si="2"/>
        <v>3.1073416489900715E-7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0D7B-0E6A-4B00-9670-E3413B2F964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5.423080055E-2</v>
      </c>
      <c r="B1">
        <v>2.2674096954911925E-2</v>
      </c>
      <c r="C1">
        <f>$H$3*(1+$H$1)*(A1^($H$1))*EXP(-$H$3*(A1^(1+$H$1)))</f>
        <v>8.2327669184885793E-2</v>
      </c>
      <c r="D1">
        <f>B1-C1</f>
        <v>-5.9653572229973868E-2</v>
      </c>
      <c r="E1">
        <f>D1^2</f>
        <v>3.5585486797967093E-3</v>
      </c>
      <c r="G1" t="s">
        <v>0</v>
      </c>
      <c r="H1">
        <v>1.0124888489872972</v>
      </c>
    </row>
    <row r="2" spans="1:8" x14ac:dyDescent="0.25">
      <c r="A2">
        <v>0.16229289764999999</v>
      </c>
      <c r="B2">
        <v>0.19243913056604739</v>
      </c>
      <c r="C2">
        <f t="shared" ref="C2:C40" si="0">$H$3*(1+$H$1)*(A2^($H$1))*EXP(-$H$3*(A2^(1+$H$1)))</f>
        <v>0.24532573528305998</v>
      </c>
      <c r="D2">
        <f t="shared" ref="D2:D40" si="1">B2-C2</f>
        <v>-5.2886604717012592E-2</v>
      </c>
      <c r="E2">
        <f t="shared" ref="E2:E40" si="2">D2^2</f>
        <v>2.7969929584935383E-3</v>
      </c>
    </row>
    <row r="3" spans="1:8" x14ac:dyDescent="0.25">
      <c r="A3">
        <v>0.27035499474999997</v>
      </c>
      <c r="B3">
        <v>0.37383190620534279</v>
      </c>
      <c r="C3">
        <f t="shared" si="0"/>
        <v>0.39666898874638984</v>
      </c>
      <c r="D3">
        <f t="shared" si="1"/>
        <v>-2.2837082541047049E-2</v>
      </c>
      <c r="E3">
        <f t="shared" si="2"/>
        <v>5.2153233898659596E-4</v>
      </c>
      <c r="G3" t="s">
        <v>1</v>
      </c>
      <c r="H3">
        <f>(_xlfn.GAMMA((2+$H$1)/(1+$H$1)))^(1+$H$1)</f>
        <v>0.78404277445108228</v>
      </c>
    </row>
    <row r="4" spans="1:8" x14ac:dyDescent="0.25">
      <c r="A4">
        <v>0.37841709184999994</v>
      </c>
      <c r="B4">
        <v>0.58196848850940608</v>
      </c>
      <c r="C4">
        <f t="shared" si="0"/>
        <v>0.52796033945587584</v>
      </c>
      <c r="D4">
        <f t="shared" si="1"/>
        <v>5.4008149053530241E-2</v>
      </c>
      <c r="E4">
        <f t="shared" si="2"/>
        <v>2.9168801641883393E-3</v>
      </c>
    </row>
    <row r="5" spans="1:8" x14ac:dyDescent="0.25">
      <c r="A5">
        <v>0.48647918894999997</v>
      </c>
      <c r="B5">
        <v>0.69301342487833373</v>
      </c>
      <c r="C5">
        <f t="shared" si="0"/>
        <v>0.63294580270750811</v>
      </c>
      <c r="D5">
        <f t="shared" si="1"/>
        <v>6.0067622170825619E-2</v>
      </c>
      <c r="E5">
        <f t="shared" si="2"/>
        <v>3.6081192332570616E-3</v>
      </c>
      <c r="G5" t="s">
        <v>2</v>
      </c>
      <c r="H5">
        <f>SUM(E1:E40)</f>
        <v>3.9065051964680873E-2</v>
      </c>
    </row>
    <row r="6" spans="1:8" x14ac:dyDescent="0.25">
      <c r="A6">
        <v>0.5945412860499999</v>
      </c>
      <c r="B6">
        <v>0.81219778066697335</v>
      </c>
      <c r="C6">
        <f t="shared" si="0"/>
        <v>0.70770534696966714</v>
      </c>
      <c r="D6">
        <f t="shared" si="1"/>
        <v>0.10449243369730621</v>
      </c>
      <c r="E6">
        <f t="shared" si="2"/>
        <v>1.0918668699985933E-2</v>
      </c>
    </row>
    <row r="7" spans="1:8" x14ac:dyDescent="0.25">
      <c r="A7">
        <v>0.70260338315000004</v>
      </c>
      <c r="B7">
        <v>0.79533755472614143</v>
      </c>
      <c r="C7">
        <f t="shared" si="0"/>
        <v>0.75078807038580286</v>
      </c>
      <c r="D7">
        <f t="shared" si="1"/>
        <v>4.4549484340338563E-2</v>
      </c>
      <c r="E7">
        <f t="shared" si="2"/>
        <v>1.9846565549900708E-3</v>
      </c>
    </row>
    <row r="8" spans="1:8" x14ac:dyDescent="0.25">
      <c r="A8">
        <v>0.81066548024999996</v>
      </c>
      <c r="B8">
        <v>0.78429119979938944</v>
      </c>
      <c r="C8">
        <f t="shared" si="0"/>
        <v>0.76311399883464659</v>
      </c>
      <c r="D8">
        <f t="shared" si="1"/>
        <v>2.1177200964742848E-2</v>
      </c>
      <c r="E8">
        <f t="shared" si="2"/>
        <v>4.4847384070110542E-4</v>
      </c>
    </row>
    <row r="9" spans="1:8" x14ac:dyDescent="0.25">
      <c r="A9">
        <v>0.91872757734999988</v>
      </c>
      <c r="B9">
        <v>0.71045503792057374</v>
      </c>
      <c r="C9">
        <f t="shared" si="0"/>
        <v>0.74764800533399423</v>
      </c>
      <c r="D9">
        <f t="shared" si="1"/>
        <v>-3.7192967413420486E-2</v>
      </c>
      <c r="E9">
        <f t="shared" si="2"/>
        <v>1.3833168250157581E-3</v>
      </c>
    </row>
    <row r="10" spans="1:8" x14ac:dyDescent="0.25">
      <c r="A10">
        <v>1.02678967445</v>
      </c>
      <c r="B10">
        <v>0.71394336052902174</v>
      </c>
      <c r="C10">
        <f t="shared" si="0"/>
        <v>0.70890116074265841</v>
      </c>
      <c r="D10">
        <f t="shared" si="1"/>
        <v>5.0421997863633328E-3</v>
      </c>
      <c r="E10">
        <f t="shared" si="2"/>
        <v>2.5423778685602439E-5</v>
      </c>
    </row>
    <row r="11" spans="1:8" x14ac:dyDescent="0.25">
      <c r="A11">
        <v>1.1348517715500002</v>
      </c>
      <c r="B11">
        <v>0.61859587589811005</v>
      </c>
      <c r="C11">
        <f t="shared" si="0"/>
        <v>0.65233708221339093</v>
      </c>
      <c r="D11">
        <f t="shared" si="1"/>
        <v>-3.3741206315280881E-2</v>
      </c>
      <c r="E11">
        <f t="shared" si="2"/>
        <v>1.1384690036103503E-3</v>
      </c>
    </row>
    <row r="12" spans="1:8" x14ac:dyDescent="0.25">
      <c r="A12">
        <v>1.2429138686500001</v>
      </c>
      <c r="B12">
        <v>0.57731739169814211</v>
      </c>
      <c r="C12">
        <f t="shared" si="0"/>
        <v>0.58376561672135618</v>
      </c>
      <c r="D12">
        <f t="shared" si="1"/>
        <v>-6.4482250232140714E-3</v>
      </c>
      <c r="E12">
        <f t="shared" si="2"/>
        <v>4.1579605950004111E-5</v>
      </c>
    </row>
    <row r="13" spans="1:8" x14ac:dyDescent="0.25">
      <c r="A13">
        <v>1.35097596575</v>
      </c>
      <c r="B13">
        <v>0.5284808751798703</v>
      </c>
      <c r="C13">
        <f t="shared" si="0"/>
        <v>0.50879693119212044</v>
      </c>
      <c r="D13">
        <f t="shared" si="1"/>
        <v>1.9683943987749863E-2</v>
      </c>
      <c r="E13">
        <f t="shared" si="2"/>
        <v>3.8745765091287402E-4</v>
      </c>
    </row>
    <row r="14" spans="1:8" x14ac:dyDescent="0.25">
      <c r="A14">
        <v>1.4590380628499999</v>
      </c>
      <c r="B14">
        <v>0.36918080939407882</v>
      </c>
      <c r="C14">
        <f t="shared" si="0"/>
        <v>0.43240983581120895</v>
      </c>
      <c r="D14">
        <f t="shared" si="1"/>
        <v>-6.322902641713013E-2</v>
      </c>
      <c r="E14">
        <f t="shared" si="2"/>
        <v>3.9979097816581401E-3</v>
      </c>
    </row>
    <row r="15" spans="1:8" x14ac:dyDescent="0.25">
      <c r="A15">
        <v>1.5671001599499998</v>
      </c>
      <c r="B15">
        <v>0.35057642214902285</v>
      </c>
      <c r="C15">
        <f t="shared" si="0"/>
        <v>0.35866387103602043</v>
      </c>
      <c r="D15">
        <f t="shared" si="1"/>
        <v>-8.0874488869975836E-3</v>
      </c>
      <c r="E15">
        <f t="shared" si="2"/>
        <v>6.5406829499798456E-5</v>
      </c>
    </row>
    <row r="16" spans="1:8" x14ac:dyDescent="0.25">
      <c r="A16">
        <v>1.6751622570499998</v>
      </c>
      <c r="B16">
        <v>0.24011287288150324</v>
      </c>
      <c r="C16">
        <f t="shared" si="0"/>
        <v>0.29056028405505985</v>
      </c>
      <c r="D16">
        <f t="shared" si="1"/>
        <v>-5.0447411173556611E-2</v>
      </c>
      <c r="E16">
        <f t="shared" si="2"/>
        <v>2.5449412941138845E-3</v>
      </c>
    </row>
    <row r="17" spans="1:5" x14ac:dyDescent="0.25">
      <c r="A17">
        <v>1.7832243541499999</v>
      </c>
      <c r="B17">
        <v>0.18895080795759939</v>
      </c>
      <c r="C17">
        <f t="shared" si="0"/>
        <v>0.23003655604300727</v>
      </c>
      <c r="D17">
        <f t="shared" si="1"/>
        <v>-4.108574808540788E-2</v>
      </c>
      <c r="E17">
        <f t="shared" si="2"/>
        <v>1.6880386957375973E-3</v>
      </c>
    </row>
    <row r="18" spans="1:5" x14ac:dyDescent="0.25">
      <c r="A18">
        <v>1.8912864512500001</v>
      </c>
      <c r="B18">
        <v>0.16453254969846345</v>
      </c>
      <c r="C18">
        <f t="shared" si="0"/>
        <v>0.17806516749614437</v>
      </c>
      <c r="D18">
        <f t="shared" si="1"/>
        <v>-1.3532617797680918E-2</v>
      </c>
      <c r="E18">
        <f t="shared" si="2"/>
        <v>1.8313174445811034E-4</v>
      </c>
    </row>
    <row r="19" spans="1:5" x14ac:dyDescent="0.25">
      <c r="A19">
        <v>1.99934854835</v>
      </c>
      <c r="B19">
        <v>0.12499822680271959</v>
      </c>
      <c r="C19">
        <f t="shared" si="0"/>
        <v>0.13482066767830583</v>
      </c>
      <c r="D19">
        <f t="shared" si="1"/>
        <v>-9.8224408755862441E-3</v>
      </c>
      <c r="E19">
        <f t="shared" si="2"/>
        <v>9.6480344754387457E-5</v>
      </c>
    </row>
    <row r="20" spans="1:5" x14ac:dyDescent="0.25">
      <c r="A20">
        <v>2.1074106454499999</v>
      </c>
      <c r="B20">
        <v>0.10523106535484766</v>
      </c>
      <c r="C20">
        <f t="shared" si="0"/>
        <v>9.9879219038823686E-2</v>
      </c>
      <c r="D20">
        <f t="shared" si="1"/>
        <v>5.3518463160239782E-3</v>
      </c>
      <c r="E20">
        <f t="shared" si="2"/>
        <v>2.8642258990339426E-5</v>
      </c>
    </row>
    <row r="21" spans="1:5" x14ac:dyDescent="0.25">
      <c r="A21">
        <v>2.2154727425500003</v>
      </c>
      <c r="B21">
        <v>7.7905871588671752E-2</v>
      </c>
      <c r="C21">
        <f t="shared" si="0"/>
        <v>7.2419963695640063E-2</v>
      </c>
      <c r="D21">
        <f t="shared" si="1"/>
        <v>5.4859078930316885E-3</v>
      </c>
      <c r="E21">
        <f t="shared" si="2"/>
        <v>3.009518541082738E-5</v>
      </c>
    </row>
    <row r="22" spans="1:5" x14ac:dyDescent="0.25">
      <c r="A22">
        <v>2.3235348396499997</v>
      </c>
      <c r="B22">
        <v>6.3371194053471788E-2</v>
      </c>
      <c r="C22">
        <f t="shared" si="0"/>
        <v>5.1405687300704425E-2</v>
      </c>
      <c r="D22">
        <f t="shared" si="1"/>
        <v>1.1965506752767363E-2</v>
      </c>
      <c r="E22">
        <f t="shared" si="2"/>
        <v>1.4317335185052137E-4</v>
      </c>
    </row>
    <row r="23" spans="1:5" x14ac:dyDescent="0.25">
      <c r="A23">
        <v>2.4315969367500001</v>
      </c>
      <c r="B23">
        <v>4.534819390982385E-2</v>
      </c>
      <c r="C23">
        <f t="shared" si="0"/>
        <v>3.5729268927103056E-2</v>
      </c>
      <c r="D23">
        <f t="shared" si="1"/>
        <v>9.6189249827207945E-3</v>
      </c>
      <c r="E23">
        <f t="shared" si="2"/>
        <v>9.2523717823210237E-5</v>
      </c>
    </row>
    <row r="24" spans="1:5" x14ac:dyDescent="0.25">
      <c r="A24">
        <v>2.5396590338499996</v>
      </c>
      <c r="B24">
        <v>3.5464613185887887E-2</v>
      </c>
      <c r="C24">
        <f t="shared" si="0"/>
        <v>2.4320660133276994E-2</v>
      </c>
      <c r="D24">
        <f t="shared" si="1"/>
        <v>1.1143953052610893E-2</v>
      </c>
      <c r="E24">
        <f t="shared" si="2"/>
        <v>1.2418768963879564E-4</v>
      </c>
    </row>
    <row r="25" spans="1:5" x14ac:dyDescent="0.25">
      <c r="A25">
        <v>2.6477211309499999</v>
      </c>
      <c r="B25">
        <v>2.8487967968991907E-2</v>
      </c>
      <c r="C25">
        <f t="shared" si="0"/>
        <v>1.6215594429280351E-2</v>
      </c>
      <c r="D25">
        <f t="shared" si="1"/>
        <v>1.2272373539711556E-2</v>
      </c>
      <c r="E25">
        <f t="shared" si="2"/>
        <v>1.5061115229821236E-4</v>
      </c>
    </row>
    <row r="26" spans="1:5" x14ac:dyDescent="0.25">
      <c r="A26">
        <v>2.7557832280500003</v>
      </c>
      <c r="B26">
        <v>1.8023000143647942E-2</v>
      </c>
      <c r="C26">
        <f t="shared" si="0"/>
        <v>1.059146839290075E-2</v>
      </c>
      <c r="D26">
        <f t="shared" si="1"/>
        <v>7.4315317507471917E-3</v>
      </c>
      <c r="E26">
        <f t="shared" si="2"/>
        <v>5.522766416236362E-5</v>
      </c>
    </row>
    <row r="27" spans="1:5" x14ac:dyDescent="0.25">
      <c r="A27">
        <v>2.8638453251500002</v>
      </c>
      <c r="B27">
        <v>1.6860225940831947E-2</v>
      </c>
      <c r="C27">
        <f t="shared" si="0"/>
        <v>6.7779376442794722E-3</v>
      </c>
      <c r="D27">
        <f t="shared" si="1"/>
        <v>1.0082288296552475E-2</v>
      </c>
      <c r="E27">
        <f t="shared" si="2"/>
        <v>1.0165253729479902E-4</v>
      </c>
    </row>
    <row r="28" spans="1:5" x14ac:dyDescent="0.25">
      <c r="A28">
        <v>2.9719074222500002</v>
      </c>
      <c r="B28">
        <v>7.5580323183039753E-3</v>
      </c>
      <c r="C28">
        <f t="shared" si="0"/>
        <v>4.2501401438809648E-3</v>
      </c>
      <c r="D28">
        <f t="shared" si="1"/>
        <v>3.3078921744230105E-3</v>
      </c>
      <c r="E28">
        <f t="shared" si="2"/>
        <v>1.0942150637608993E-5</v>
      </c>
    </row>
    <row r="29" spans="1:5" x14ac:dyDescent="0.25">
      <c r="A29">
        <v>3.0799695193499996</v>
      </c>
      <c r="B29">
        <v>6.9766452168959778E-3</v>
      </c>
      <c r="C29">
        <f t="shared" si="0"/>
        <v>2.6116452409150758E-3</v>
      </c>
      <c r="D29">
        <f t="shared" si="1"/>
        <v>4.3649999759809016E-3</v>
      </c>
      <c r="E29">
        <f t="shared" si="2"/>
        <v>1.9053224790313271E-5</v>
      </c>
    </row>
    <row r="30" spans="1:5" x14ac:dyDescent="0.25">
      <c r="A30">
        <v>3.18803161645</v>
      </c>
      <c r="B30">
        <v>2.9069355070399905E-3</v>
      </c>
      <c r="C30">
        <f t="shared" si="0"/>
        <v>1.572775851067076E-3</v>
      </c>
      <c r="D30">
        <f t="shared" si="1"/>
        <v>1.3341596559729146E-3</v>
      </c>
      <c r="E30">
        <f t="shared" si="2"/>
        <v>1.7799819876257658E-6</v>
      </c>
    </row>
    <row r="31" spans="1:5" x14ac:dyDescent="0.25">
      <c r="A31">
        <v>3.2960937135499995</v>
      </c>
      <c r="B31">
        <v>1.7441613042239945E-3</v>
      </c>
      <c r="C31">
        <f t="shared" si="0"/>
        <v>9.2831159292436837E-4</v>
      </c>
      <c r="D31">
        <f t="shared" si="1"/>
        <v>8.1584971129962608E-4</v>
      </c>
      <c r="E31">
        <f t="shared" si="2"/>
        <v>6.656107514276832E-7</v>
      </c>
    </row>
    <row r="32" spans="1:5" x14ac:dyDescent="0.25">
      <c r="A32">
        <v>3.4041558106499998</v>
      </c>
      <c r="B32">
        <v>5.8138710140799815E-4</v>
      </c>
      <c r="C32">
        <f t="shared" si="0"/>
        <v>5.370617283996413E-4</v>
      </c>
      <c r="D32">
        <f t="shared" si="1"/>
        <v>4.4325373008356848E-5</v>
      </c>
      <c r="E32">
        <f t="shared" si="2"/>
        <v>1.9647386923299698E-9</v>
      </c>
    </row>
    <row r="33" spans="1:5" x14ac:dyDescent="0.25">
      <c r="A33">
        <v>3.5122179077499998</v>
      </c>
      <c r="B33">
        <v>0</v>
      </c>
      <c r="C33">
        <f t="shared" si="0"/>
        <v>3.0456807080308682E-4</v>
      </c>
      <c r="D33">
        <f t="shared" si="1"/>
        <v>-3.0456807080308682E-4</v>
      </c>
      <c r="E33">
        <f t="shared" si="2"/>
        <v>9.2761709752714105E-8</v>
      </c>
    </row>
    <row r="34" spans="1:5" x14ac:dyDescent="0.25">
      <c r="A34">
        <v>3.6202800048499997</v>
      </c>
      <c r="B34">
        <v>0</v>
      </c>
      <c r="C34">
        <f t="shared" si="0"/>
        <v>1.6931597533859557E-4</v>
      </c>
      <c r="D34">
        <f t="shared" si="1"/>
        <v>-1.6931597533859557E-4</v>
      </c>
      <c r="E34">
        <f t="shared" si="2"/>
        <v>2.8667899504859906E-8</v>
      </c>
    </row>
    <row r="35" spans="1:5" x14ac:dyDescent="0.25">
      <c r="A35">
        <v>3.7283421019499996</v>
      </c>
      <c r="B35">
        <v>0</v>
      </c>
      <c r="C35">
        <f t="shared" si="0"/>
        <v>9.2275473728361165E-5</v>
      </c>
      <c r="D35">
        <f t="shared" si="1"/>
        <v>-9.2275473728361165E-5</v>
      </c>
      <c r="E35">
        <f t="shared" si="2"/>
        <v>8.5147630517934717E-9</v>
      </c>
    </row>
    <row r="36" spans="1:5" x14ac:dyDescent="0.25">
      <c r="A36">
        <v>3.8364041990499995</v>
      </c>
      <c r="B36">
        <v>0</v>
      </c>
      <c r="C36">
        <f t="shared" si="0"/>
        <v>4.9302482560295444E-5</v>
      </c>
      <c r="D36">
        <f t="shared" si="1"/>
        <v>-4.9302482560295444E-5</v>
      </c>
      <c r="E36">
        <f t="shared" si="2"/>
        <v>2.4307347866082365E-9</v>
      </c>
    </row>
    <row r="37" spans="1:5" x14ac:dyDescent="0.25">
      <c r="A37">
        <v>3.9444662961499999</v>
      </c>
      <c r="B37">
        <v>0</v>
      </c>
      <c r="C37">
        <f t="shared" si="0"/>
        <v>2.5826350716287835E-5</v>
      </c>
      <c r="D37">
        <f t="shared" si="1"/>
        <v>-2.5826350716287835E-5</v>
      </c>
      <c r="E37">
        <f t="shared" si="2"/>
        <v>6.6700039132070123E-10</v>
      </c>
    </row>
    <row r="38" spans="1:5" x14ac:dyDescent="0.25">
      <c r="A38">
        <v>4.0525283932500002</v>
      </c>
      <c r="B38">
        <v>0</v>
      </c>
      <c r="C38">
        <f t="shared" si="0"/>
        <v>1.3264322156541468E-5</v>
      </c>
      <c r="D38">
        <f t="shared" si="1"/>
        <v>-1.3264322156541468E-5</v>
      </c>
      <c r="E38">
        <f t="shared" si="2"/>
        <v>1.7594224227251691E-10</v>
      </c>
    </row>
    <row r="39" spans="1:5" x14ac:dyDescent="0.25">
      <c r="A39">
        <v>4.1605904903499997</v>
      </c>
      <c r="B39">
        <v>0</v>
      </c>
      <c r="C39">
        <f t="shared" si="0"/>
        <v>6.6795842864893304E-6</v>
      </c>
      <c r="D39">
        <f t="shared" si="1"/>
        <v>-6.6795842864893304E-6</v>
      </c>
      <c r="E39">
        <f t="shared" si="2"/>
        <v>4.4616846240315179E-11</v>
      </c>
    </row>
    <row r="40" spans="1:5" x14ac:dyDescent="0.25">
      <c r="A40">
        <v>4.2686525874500001</v>
      </c>
      <c r="B40">
        <v>5.8138710140799815E-4</v>
      </c>
      <c r="C40">
        <f t="shared" si="0"/>
        <v>3.2981430981102537E-6</v>
      </c>
      <c r="D40">
        <f t="shared" si="1"/>
        <v>5.7808895830988786E-4</v>
      </c>
      <c r="E40">
        <f t="shared" si="2"/>
        <v>3.3418684371981128E-7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C8B-53F8-4D4C-AA8A-E32C4379CB1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5.2873346116729995E-2</v>
      </c>
      <c r="B1">
        <v>7.725462669285638E-3</v>
      </c>
      <c r="C1">
        <f>$H$3*(1+$H$1)*(A1^($H$1))*EXP(-$H$3*(A1^(1+$H$1)))</f>
        <v>5.9009653590868093E-2</v>
      </c>
      <c r="D1">
        <f>B1-C1</f>
        <v>-5.1284190921582457E-2</v>
      </c>
      <c r="E1">
        <f>D1^2</f>
        <v>2.6300682384813204E-3</v>
      </c>
      <c r="G1" t="s">
        <v>0</v>
      </c>
      <c r="H1">
        <v>1.1315298519725745</v>
      </c>
    </row>
    <row r="2" spans="1:8" x14ac:dyDescent="0.25">
      <c r="A2">
        <v>0.15862003829098997</v>
      </c>
      <c r="B2">
        <v>0.1135048746025813</v>
      </c>
      <c r="C2">
        <f t="shared" ref="C2:C40" si="0">$H$3*(1+$H$1)*(A2^($H$1))*EXP(-$H$3*(A2^(1+$H$1)))</f>
        <v>0.20175122945040139</v>
      </c>
      <c r="D2">
        <f t="shared" ref="D2:D40" si="1">B2-C2</f>
        <v>-8.8246354847820091E-2</v>
      </c>
      <c r="E2">
        <f t="shared" ref="E2:E40" si="2">D2^2</f>
        <v>7.7874191439273807E-3</v>
      </c>
    </row>
    <row r="3" spans="1:8" x14ac:dyDescent="0.25">
      <c r="A3">
        <v>0.26436673046524994</v>
      </c>
      <c r="B3">
        <v>0.32922356298340333</v>
      </c>
      <c r="C3">
        <f t="shared" si="0"/>
        <v>0.3489770883085167</v>
      </c>
      <c r="D3">
        <f t="shared" si="1"/>
        <v>-1.9753525325113375E-2</v>
      </c>
      <c r="E3">
        <f t="shared" si="2"/>
        <v>3.9020176276989544E-4</v>
      </c>
      <c r="G3" t="s">
        <v>1</v>
      </c>
      <c r="H3">
        <f>(_xlfn.GAMMA((2+$H$1)/(1+$H$1)))^(1+$H$1)</f>
        <v>0.77190518587446688</v>
      </c>
    </row>
    <row r="4" spans="1:8" x14ac:dyDescent="0.25">
      <c r="A4">
        <v>0.37011342263950997</v>
      </c>
      <c r="B4">
        <v>0.54434798500504955</v>
      </c>
      <c r="C4">
        <f t="shared" si="0"/>
        <v>0.48698915868943782</v>
      </c>
      <c r="D4">
        <f t="shared" si="1"/>
        <v>5.7358826315611733E-2</v>
      </c>
      <c r="E4">
        <f t="shared" si="2"/>
        <v>3.2900349563045128E-3</v>
      </c>
    </row>
    <row r="5" spans="1:8" x14ac:dyDescent="0.25">
      <c r="A5">
        <v>0.47586011481376994</v>
      </c>
      <c r="B5">
        <v>0.66022992504433409</v>
      </c>
      <c r="C5">
        <f t="shared" si="0"/>
        <v>0.60599140330292989</v>
      </c>
      <c r="D5">
        <f t="shared" si="1"/>
        <v>5.42385217414042E-2</v>
      </c>
      <c r="E5">
        <f t="shared" si="2"/>
        <v>2.9418172406927763E-3</v>
      </c>
      <c r="G5" t="s">
        <v>2</v>
      </c>
      <c r="H5">
        <f>SUM(E1:E40)</f>
        <v>4.3675753118382857E-2</v>
      </c>
    </row>
    <row r="6" spans="1:8" x14ac:dyDescent="0.25">
      <c r="A6">
        <v>0.58160680698802991</v>
      </c>
      <c r="B6">
        <v>0.80166531852817891</v>
      </c>
      <c r="C6">
        <f t="shared" si="0"/>
        <v>0.69876354733371615</v>
      </c>
      <c r="D6">
        <f t="shared" si="1"/>
        <v>0.10290177119446275</v>
      </c>
      <c r="E6">
        <f t="shared" si="2"/>
        <v>1.0588774514957565E-2</v>
      </c>
    </row>
    <row r="7" spans="1:8" x14ac:dyDescent="0.25">
      <c r="A7">
        <v>0.68735349916228994</v>
      </c>
      <c r="B7">
        <v>0.83375570192367299</v>
      </c>
      <c r="C7">
        <f t="shared" si="0"/>
        <v>0.76077723062045144</v>
      </c>
      <c r="D7">
        <f t="shared" si="1"/>
        <v>7.2978471303221548E-2</v>
      </c>
      <c r="E7">
        <f t="shared" si="2"/>
        <v>5.3258572737551312E-3</v>
      </c>
    </row>
    <row r="8" spans="1:8" x14ac:dyDescent="0.25">
      <c r="A8">
        <v>0.79310019133654985</v>
      </c>
      <c r="B8">
        <v>0.80582518304240958</v>
      </c>
      <c r="C8">
        <f t="shared" si="0"/>
        <v>0.79033141161926312</v>
      </c>
      <c r="D8">
        <f t="shared" si="1"/>
        <v>1.5493771423146452E-2</v>
      </c>
      <c r="E8">
        <f t="shared" si="2"/>
        <v>2.4005695291270962E-4</v>
      </c>
    </row>
    <row r="9" spans="1:8" x14ac:dyDescent="0.25">
      <c r="A9">
        <v>0.89884688351080988</v>
      </c>
      <c r="B9">
        <v>0.79809972037312393</v>
      </c>
      <c r="C9">
        <f t="shared" si="0"/>
        <v>0.7884562660289538</v>
      </c>
      <c r="D9">
        <f t="shared" si="1"/>
        <v>9.6434543441701326E-3</v>
      </c>
      <c r="E9">
        <f t="shared" si="2"/>
        <v>9.29962116880938E-5</v>
      </c>
    </row>
    <row r="10" spans="1:8" x14ac:dyDescent="0.25">
      <c r="A10">
        <v>1.0045935756850699</v>
      </c>
      <c r="B10">
        <v>0.74936987892070683</v>
      </c>
      <c r="C10">
        <f t="shared" si="0"/>
        <v>0.75854697905994251</v>
      </c>
      <c r="D10">
        <f t="shared" si="1"/>
        <v>-9.1771001392356721E-3</v>
      </c>
      <c r="E10">
        <f t="shared" si="2"/>
        <v>8.4219166965559394E-5</v>
      </c>
    </row>
    <row r="11" spans="1:8" x14ac:dyDescent="0.25">
      <c r="A11">
        <v>1.1103402678593299</v>
      </c>
      <c r="B11">
        <v>0.69291457479900409</v>
      </c>
      <c r="C11">
        <f t="shared" si="0"/>
        <v>0.70577444556349278</v>
      </c>
      <c r="D11">
        <f t="shared" si="1"/>
        <v>-1.285987076448869E-2</v>
      </c>
      <c r="E11">
        <f t="shared" si="2"/>
        <v>1.6537627607935093E-4</v>
      </c>
    </row>
    <row r="12" spans="1:8" x14ac:dyDescent="0.25">
      <c r="A12">
        <v>1.21608696003359</v>
      </c>
      <c r="B12">
        <v>0.59129502737993922</v>
      </c>
      <c r="C12">
        <f t="shared" si="0"/>
        <v>0.6363641784945151</v>
      </c>
      <c r="D12">
        <f t="shared" si="1"/>
        <v>-4.5069151114575878E-2</v>
      </c>
      <c r="E12">
        <f t="shared" si="2"/>
        <v>2.0312283821884761E-3</v>
      </c>
    </row>
    <row r="13" spans="1:8" x14ac:dyDescent="0.25">
      <c r="A13">
        <v>1.32183365220785</v>
      </c>
      <c r="B13">
        <v>0.56039317670279665</v>
      </c>
      <c r="C13">
        <f t="shared" si="0"/>
        <v>0.55685111973206569</v>
      </c>
      <c r="D13">
        <f t="shared" si="1"/>
        <v>3.5420569707309557E-3</v>
      </c>
      <c r="E13">
        <f t="shared" si="2"/>
        <v>1.2546167583903755E-5</v>
      </c>
    </row>
    <row r="14" spans="1:8" x14ac:dyDescent="0.25">
      <c r="A14">
        <v>1.4275803443821098</v>
      </c>
      <c r="B14">
        <v>0.44807683481856697</v>
      </c>
      <c r="C14">
        <f t="shared" si="0"/>
        <v>0.47341106937204541</v>
      </c>
      <c r="D14">
        <f t="shared" si="1"/>
        <v>-2.5334234553478441E-2</v>
      </c>
      <c r="E14">
        <f t="shared" si="2"/>
        <v>6.4182344041066098E-4</v>
      </c>
    </row>
    <row r="15" spans="1:8" x14ac:dyDescent="0.25">
      <c r="A15">
        <v>1.5333270365563698</v>
      </c>
      <c r="B15">
        <v>0.35358848370961188</v>
      </c>
      <c r="C15">
        <f t="shared" si="0"/>
        <v>0.39134475390878026</v>
      </c>
      <c r="D15">
        <f t="shared" si="1"/>
        <v>-3.7756270199168385E-2</v>
      </c>
      <c r="E15">
        <f t="shared" si="2"/>
        <v>1.4255359393526106E-3</v>
      </c>
    </row>
    <row r="16" spans="1:8" x14ac:dyDescent="0.25">
      <c r="A16">
        <v>1.6390737287306298</v>
      </c>
      <c r="B16">
        <v>0.25850586624148097</v>
      </c>
      <c r="C16">
        <f t="shared" si="0"/>
        <v>0.31475586025408581</v>
      </c>
      <c r="D16">
        <f t="shared" si="1"/>
        <v>-5.6249994012604831E-2</v>
      </c>
      <c r="E16">
        <f t="shared" si="2"/>
        <v>3.1640618264180795E-3</v>
      </c>
    </row>
    <row r="17" spans="1:5" x14ac:dyDescent="0.25">
      <c r="A17">
        <v>1.7448204209048899</v>
      </c>
      <c r="B17">
        <v>0.21334162294411876</v>
      </c>
      <c r="C17">
        <f t="shared" si="0"/>
        <v>0.24642807344942358</v>
      </c>
      <c r="D17">
        <f t="shared" si="1"/>
        <v>-3.3086450505304815E-2</v>
      </c>
      <c r="E17">
        <f t="shared" si="2"/>
        <v>1.0947132070399852E-3</v>
      </c>
    </row>
    <row r="18" spans="1:5" x14ac:dyDescent="0.25">
      <c r="A18">
        <v>1.8505671130791499</v>
      </c>
      <c r="B18">
        <v>0.16817737964675658</v>
      </c>
      <c r="C18">
        <f t="shared" si="0"/>
        <v>0.18787553894498779</v>
      </c>
      <c r="D18">
        <f t="shared" si="1"/>
        <v>-1.969815929823121E-2</v>
      </c>
      <c r="E18">
        <f t="shared" si="2"/>
        <v>3.8801747973849269E-4</v>
      </c>
    </row>
    <row r="19" spans="1:5" x14ac:dyDescent="0.25">
      <c r="A19">
        <v>1.9563138052534099</v>
      </c>
      <c r="B19">
        <v>0.12182460363104275</v>
      </c>
      <c r="C19">
        <f t="shared" si="0"/>
        <v>0.13952096518265714</v>
      </c>
      <c r="D19">
        <f t="shared" si="1"/>
        <v>-1.7696361551614387E-2</v>
      </c>
      <c r="E19">
        <f t="shared" si="2"/>
        <v>3.1316121216545595E-4</v>
      </c>
    </row>
    <row r="20" spans="1:5" x14ac:dyDescent="0.25">
      <c r="A20">
        <v>2.0620604974276699</v>
      </c>
      <c r="B20">
        <v>0.1135048746025813</v>
      </c>
      <c r="C20">
        <f t="shared" si="0"/>
        <v>0.10094742328329787</v>
      </c>
      <c r="D20">
        <f t="shared" si="1"/>
        <v>1.255745131928343E-2</v>
      </c>
      <c r="E20">
        <f t="shared" si="2"/>
        <v>1.5768958363617316E-4</v>
      </c>
    </row>
    <row r="21" spans="1:5" x14ac:dyDescent="0.25">
      <c r="A21">
        <v>2.1678071896019295</v>
      </c>
      <c r="B21">
        <v>8.2603023925438737E-2</v>
      </c>
      <c r="C21">
        <f t="shared" si="0"/>
        <v>7.1172591798718696E-2</v>
      </c>
      <c r="D21">
        <f t="shared" si="1"/>
        <v>1.1430432126720041E-2</v>
      </c>
      <c r="E21">
        <f t="shared" si="2"/>
        <v>1.3065477860355366E-4</v>
      </c>
    </row>
    <row r="22" spans="1:5" x14ac:dyDescent="0.25">
      <c r="A22">
        <v>2.2735538817761896</v>
      </c>
      <c r="B22">
        <v>5.8238103199230194E-2</v>
      </c>
      <c r="C22">
        <f t="shared" si="0"/>
        <v>4.8904606410703488E-2</v>
      </c>
      <c r="D22">
        <f t="shared" si="1"/>
        <v>9.3334967885267059E-3</v>
      </c>
      <c r="E22">
        <f t="shared" si="2"/>
        <v>8.7114162301438327E-5</v>
      </c>
    </row>
    <row r="23" spans="1:5" x14ac:dyDescent="0.25">
      <c r="A23">
        <v>2.3793005739504496</v>
      </c>
      <c r="B23">
        <v>5.0512640529944551E-2</v>
      </c>
      <c r="C23">
        <f t="shared" si="0"/>
        <v>3.2752900245063499E-2</v>
      </c>
      <c r="D23">
        <f t="shared" si="1"/>
        <v>1.7759740284881052E-2</v>
      </c>
      <c r="E23">
        <f t="shared" si="2"/>
        <v>3.1540837498642693E-4</v>
      </c>
    </row>
    <row r="24" spans="1:5" x14ac:dyDescent="0.25">
      <c r="A24">
        <v>2.4850472661247096</v>
      </c>
      <c r="B24">
        <v>3.1496117036318369E-2</v>
      </c>
      <c r="C24">
        <f t="shared" si="0"/>
        <v>2.1381832535340189E-2</v>
      </c>
      <c r="D24">
        <f t="shared" si="1"/>
        <v>1.011428450097818E-2</v>
      </c>
      <c r="E24">
        <f t="shared" si="2"/>
        <v>1.0229875096672743E-4</v>
      </c>
    </row>
    <row r="25" spans="1:5" x14ac:dyDescent="0.25">
      <c r="A25">
        <v>2.5907939582989696</v>
      </c>
      <c r="B25">
        <v>2.020505621197782E-2</v>
      </c>
      <c r="C25">
        <f t="shared" si="0"/>
        <v>1.3606866402218273E-2</v>
      </c>
      <c r="D25">
        <f t="shared" si="1"/>
        <v>6.5981898097595467E-3</v>
      </c>
      <c r="E25">
        <f t="shared" si="2"/>
        <v>4.3536108765614724E-5</v>
      </c>
    </row>
    <row r="26" spans="1:5" x14ac:dyDescent="0.25">
      <c r="A26">
        <v>2.6965406504732297</v>
      </c>
      <c r="B26">
        <v>2.079932257115364E-2</v>
      </c>
      <c r="C26">
        <f t="shared" si="0"/>
        <v>8.4412081008728903E-3</v>
      </c>
      <c r="D26">
        <f t="shared" si="1"/>
        <v>1.235811447028075E-2</v>
      </c>
      <c r="E26">
        <f t="shared" si="2"/>
        <v>1.5272299326056247E-4</v>
      </c>
    </row>
    <row r="27" spans="1:5" x14ac:dyDescent="0.25">
      <c r="A27">
        <v>2.8022873426474897</v>
      </c>
      <c r="B27">
        <v>1.2479593542692183E-2</v>
      </c>
      <c r="C27">
        <f t="shared" si="0"/>
        <v>5.10497195305971E-3</v>
      </c>
      <c r="D27">
        <f t="shared" si="1"/>
        <v>7.3746215896324735E-3</v>
      </c>
      <c r="E27">
        <f t="shared" si="2"/>
        <v>5.4385043590273388E-5</v>
      </c>
    </row>
    <row r="28" spans="1:5" x14ac:dyDescent="0.25">
      <c r="A28">
        <v>2.9080340348217497</v>
      </c>
      <c r="B28">
        <v>6.5369299509340012E-3</v>
      </c>
      <c r="C28">
        <f t="shared" si="0"/>
        <v>3.0097343252035308E-3</v>
      </c>
      <c r="D28">
        <f t="shared" si="1"/>
        <v>3.5271956257304704E-3</v>
      </c>
      <c r="E28">
        <f t="shared" si="2"/>
        <v>1.2441108982172164E-5</v>
      </c>
    </row>
    <row r="29" spans="1:5" x14ac:dyDescent="0.25">
      <c r="A29">
        <v>3.0137807269960097</v>
      </c>
      <c r="B29">
        <v>4.7541308734065464E-3</v>
      </c>
      <c r="C29">
        <f t="shared" si="0"/>
        <v>1.7298500932123066E-3</v>
      </c>
      <c r="D29">
        <f t="shared" si="1"/>
        <v>3.0242807801942398E-3</v>
      </c>
      <c r="E29">
        <f t="shared" si="2"/>
        <v>9.1462742374522796E-6</v>
      </c>
    </row>
    <row r="30" spans="1:5" x14ac:dyDescent="0.25">
      <c r="A30">
        <v>3.1195274191702698</v>
      </c>
      <c r="B30">
        <v>2.3770654367032732E-3</v>
      </c>
      <c r="C30">
        <f t="shared" si="0"/>
        <v>9.6923734435525055E-4</v>
      </c>
      <c r="D30">
        <f t="shared" si="1"/>
        <v>1.4078280923480227E-3</v>
      </c>
      <c r="E30">
        <f t="shared" si="2"/>
        <v>1.9819799376042727E-6</v>
      </c>
    </row>
    <row r="31" spans="1:5" x14ac:dyDescent="0.25">
      <c r="A31">
        <v>3.2252741113445298</v>
      </c>
      <c r="B31">
        <v>5.942663591758183E-4</v>
      </c>
      <c r="C31">
        <f t="shared" si="0"/>
        <v>5.2940252599106288E-4</v>
      </c>
      <c r="D31">
        <f t="shared" si="1"/>
        <v>6.486383318475542E-5</v>
      </c>
      <c r="E31">
        <f t="shared" si="2"/>
        <v>4.2073168554197785E-9</v>
      </c>
    </row>
    <row r="32" spans="1:5" x14ac:dyDescent="0.25">
      <c r="A32">
        <v>3.3310208035187898</v>
      </c>
      <c r="B32">
        <v>0</v>
      </c>
      <c r="C32">
        <f t="shared" si="0"/>
        <v>2.818813807538804E-4</v>
      </c>
      <c r="D32">
        <f t="shared" si="1"/>
        <v>-2.818813807538804E-4</v>
      </c>
      <c r="E32">
        <f t="shared" si="2"/>
        <v>7.9457112815714093E-8</v>
      </c>
    </row>
    <row r="33" spans="1:5" x14ac:dyDescent="0.25">
      <c r="A33">
        <v>3.4367674956930498</v>
      </c>
      <c r="B33">
        <v>0</v>
      </c>
      <c r="C33">
        <f t="shared" si="0"/>
        <v>1.4630510130833501E-4</v>
      </c>
      <c r="D33">
        <f t="shared" si="1"/>
        <v>-1.4630510130833501E-4</v>
      </c>
      <c r="E33">
        <f t="shared" si="2"/>
        <v>2.1405182668842173E-8</v>
      </c>
    </row>
    <row r="34" spans="1:5" x14ac:dyDescent="0.25">
      <c r="A34">
        <v>3.5425141878673094</v>
      </c>
      <c r="B34">
        <v>0</v>
      </c>
      <c r="C34">
        <f t="shared" si="0"/>
        <v>7.4020437747585643E-5</v>
      </c>
      <c r="D34">
        <f t="shared" si="1"/>
        <v>-7.4020437747585643E-5</v>
      </c>
      <c r="E34">
        <f t="shared" si="2"/>
        <v>5.4790252043442016E-9</v>
      </c>
    </row>
    <row r="35" spans="1:5" x14ac:dyDescent="0.25">
      <c r="A35">
        <v>3.6482608800415699</v>
      </c>
      <c r="B35">
        <v>0</v>
      </c>
      <c r="C35">
        <f t="shared" si="0"/>
        <v>3.6502939008681118E-5</v>
      </c>
      <c r="D35">
        <f t="shared" si="1"/>
        <v>-3.6502939008681118E-5</v>
      </c>
      <c r="E35">
        <f t="shared" si="2"/>
        <v>1.3324645562714935E-9</v>
      </c>
    </row>
    <row r="36" spans="1:5" x14ac:dyDescent="0.25">
      <c r="A36">
        <v>3.7540075722158299</v>
      </c>
      <c r="B36">
        <v>0</v>
      </c>
      <c r="C36">
        <f t="shared" si="0"/>
        <v>1.7545738914019011E-5</v>
      </c>
      <c r="D36">
        <f t="shared" si="1"/>
        <v>-1.7545738914019011E-5</v>
      </c>
      <c r="E36">
        <f t="shared" si="2"/>
        <v>3.0785295403892103E-10</v>
      </c>
    </row>
    <row r="37" spans="1:5" x14ac:dyDescent="0.25">
      <c r="A37">
        <v>3.85975426439009</v>
      </c>
      <c r="B37">
        <v>0</v>
      </c>
      <c r="C37">
        <f t="shared" si="0"/>
        <v>8.2198846593224538E-6</v>
      </c>
      <c r="D37">
        <f t="shared" si="1"/>
        <v>-8.2198846593224538E-6</v>
      </c>
      <c r="E37">
        <f t="shared" si="2"/>
        <v>6.7566503812564612E-11</v>
      </c>
    </row>
    <row r="38" spans="1:5" x14ac:dyDescent="0.25">
      <c r="A38">
        <v>3.96550095656435</v>
      </c>
      <c r="B38">
        <v>0</v>
      </c>
      <c r="C38">
        <f t="shared" si="0"/>
        <v>3.7531136452460965E-6</v>
      </c>
      <c r="D38">
        <f t="shared" si="1"/>
        <v>-3.7531136452460965E-6</v>
      </c>
      <c r="E38">
        <f t="shared" si="2"/>
        <v>1.4085862034132442E-11</v>
      </c>
    </row>
    <row r="39" spans="1:5" x14ac:dyDescent="0.25">
      <c r="A39">
        <v>4.0712476487386091</v>
      </c>
      <c r="B39">
        <v>0</v>
      </c>
      <c r="C39">
        <f t="shared" si="0"/>
        <v>1.6700543229392217E-6</v>
      </c>
      <c r="D39">
        <f t="shared" si="1"/>
        <v>-1.6700543229392217E-6</v>
      </c>
      <c r="E39">
        <f t="shared" si="2"/>
        <v>2.7890814415679823E-12</v>
      </c>
    </row>
    <row r="40" spans="1:5" x14ac:dyDescent="0.25">
      <c r="A40">
        <v>4.17699434091287</v>
      </c>
      <c r="B40">
        <v>5.942663591758183E-4</v>
      </c>
      <c r="C40">
        <f t="shared" si="0"/>
        <v>7.2420700118262377E-7</v>
      </c>
      <c r="D40">
        <f t="shared" si="1"/>
        <v>5.935421521746357E-4</v>
      </c>
      <c r="E40">
        <f t="shared" si="2"/>
        <v>3.5229228640809843E-7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7C8E-F857-4BA7-AB67-183262A6663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5.1467522325000001E-2</v>
      </c>
      <c r="B1">
        <v>7.9316173940974719E-3</v>
      </c>
      <c r="C1">
        <f>$H$3*(1+$H$1)*(A1^($H$1))*EXP(-$H$3*(A1^(1+$H$1)))</f>
        <v>4.0069438717035132E-2</v>
      </c>
      <c r="D1">
        <f>B1-C1</f>
        <v>-3.213782132293766E-2</v>
      </c>
      <c r="E1">
        <f>D1^2</f>
        <v>1.0328395593850665E-3</v>
      </c>
      <c r="G1" t="s">
        <v>0</v>
      </c>
      <c r="H1">
        <v>1.2673042493109881</v>
      </c>
    </row>
    <row r="2" spans="1:8" x14ac:dyDescent="0.25">
      <c r="A2">
        <v>0.15440101297500003</v>
      </c>
      <c r="B2">
        <v>5.3080824098959999E-2</v>
      </c>
      <c r="C2">
        <f t="shared" ref="C2:C40" si="0">$H$3*(1+$H$1)*(A2^($H$1))*EXP(-$H$3*(A2^(1+$H$1)))</f>
        <v>0.15962023995810387</v>
      </c>
      <c r="D2">
        <f t="shared" ref="D2:D40" si="1">B2-C2</f>
        <v>-0.10653941585914387</v>
      </c>
      <c r="E2">
        <f t="shared" ref="E2:E40" si="2">D2^2</f>
        <v>1.1350647131607595E-2</v>
      </c>
    </row>
    <row r="3" spans="1:8" x14ac:dyDescent="0.25">
      <c r="A3">
        <v>0.25733450362499999</v>
      </c>
      <c r="B3">
        <v>0.25747250310070252</v>
      </c>
      <c r="C3">
        <f t="shared" si="0"/>
        <v>0.29772259722301264</v>
      </c>
      <c r="D3">
        <f t="shared" si="1"/>
        <v>-4.0250094122310121E-2</v>
      </c>
      <c r="E3">
        <f t="shared" si="2"/>
        <v>1.6200700768548237E-3</v>
      </c>
      <c r="G3" t="s">
        <v>1</v>
      </c>
      <c r="H3">
        <f>(_xlfn.GAMMA((2+$H$1)/(1+$H$1)))^(1+$H$1)</f>
        <v>0.75958820316437758</v>
      </c>
    </row>
    <row r="4" spans="1:8" x14ac:dyDescent="0.25">
      <c r="A4">
        <v>0.360267994275</v>
      </c>
      <c r="B4">
        <v>0.47223629715626486</v>
      </c>
      <c r="C4">
        <f t="shared" si="0"/>
        <v>0.43813387091547773</v>
      </c>
      <c r="D4">
        <f t="shared" si="1"/>
        <v>3.4102426240787131E-2</v>
      </c>
      <c r="E4">
        <f t="shared" si="2"/>
        <v>1.1629754755083266E-3</v>
      </c>
    </row>
    <row r="5" spans="1:8" x14ac:dyDescent="0.25">
      <c r="A5">
        <v>0.46320148492500002</v>
      </c>
      <c r="B5">
        <v>0.64246100892189517</v>
      </c>
      <c r="C5">
        <f t="shared" si="0"/>
        <v>0.56871990475650547</v>
      </c>
      <c r="D5">
        <f t="shared" si="1"/>
        <v>7.3741104165389704E-2</v>
      </c>
      <c r="E5">
        <f t="shared" si="2"/>
        <v>5.4377504435308543E-3</v>
      </c>
      <c r="G5" t="s">
        <v>2</v>
      </c>
      <c r="H5">
        <f>SUM(E1:E40)</f>
        <v>5.7070578454698699E-2</v>
      </c>
    </row>
    <row r="6" spans="1:8" x14ac:dyDescent="0.25">
      <c r="A6">
        <v>0.56613497557500003</v>
      </c>
      <c r="B6">
        <v>0.75289352802432918</v>
      </c>
      <c r="C6">
        <f t="shared" si="0"/>
        <v>0.67943449702013003</v>
      </c>
      <c r="D6">
        <f t="shared" si="1"/>
        <v>7.3459031004199149E-2</v>
      </c>
      <c r="E6">
        <f t="shared" si="2"/>
        <v>5.3962292360758921E-3</v>
      </c>
    </row>
    <row r="7" spans="1:8" x14ac:dyDescent="0.25">
      <c r="A7">
        <v>0.66906846622499994</v>
      </c>
      <c r="B7">
        <v>0.87979940632988873</v>
      </c>
      <c r="C7">
        <f t="shared" si="0"/>
        <v>0.76255862731142698</v>
      </c>
      <c r="D7">
        <f t="shared" si="1"/>
        <v>0.11724077901846175</v>
      </c>
      <c r="E7">
        <f t="shared" si="2"/>
        <v>1.3745400264855781E-2</v>
      </c>
    </row>
    <row r="8" spans="1:8" x14ac:dyDescent="0.25">
      <c r="A8">
        <v>0.77200195687500006</v>
      </c>
      <c r="B8">
        <v>0.86576654478648551</v>
      </c>
      <c r="C8">
        <f t="shared" si="0"/>
        <v>0.81320266280319342</v>
      </c>
      <c r="D8">
        <f t="shared" si="1"/>
        <v>5.2563881983292093E-2</v>
      </c>
      <c r="E8">
        <f t="shared" si="2"/>
        <v>2.7629616891534591E-3</v>
      </c>
    </row>
    <row r="9" spans="1:8" x14ac:dyDescent="0.25">
      <c r="A9">
        <v>0.87493544752500008</v>
      </c>
      <c r="B9">
        <v>0.84502231467884603</v>
      </c>
      <c r="C9">
        <f t="shared" si="0"/>
        <v>0.82962648160196073</v>
      </c>
      <c r="D9">
        <f t="shared" si="1"/>
        <v>1.5395833076885301E-2</v>
      </c>
      <c r="E9">
        <f t="shared" si="2"/>
        <v>2.3703167613131553E-4</v>
      </c>
    </row>
    <row r="10" spans="1:8" x14ac:dyDescent="0.25">
      <c r="A10">
        <v>0.97786893817500009</v>
      </c>
      <c r="B10">
        <v>0.81268572068752554</v>
      </c>
      <c r="C10">
        <f t="shared" si="0"/>
        <v>0.81321789323887717</v>
      </c>
      <c r="D10">
        <f t="shared" si="1"/>
        <v>-5.3217255135162844E-4</v>
      </c>
      <c r="E10">
        <f t="shared" si="2"/>
        <v>2.8320762441210161E-7</v>
      </c>
    </row>
    <row r="11" spans="1:8" x14ac:dyDescent="0.25">
      <c r="A11">
        <v>1.0808024288250002</v>
      </c>
      <c r="B11">
        <v>0.76448589190801008</v>
      </c>
      <c r="C11">
        <f t="shared" si="0"/>
        <v>0.7680993960663548</v>
      </c>
      <c r="D11">
        <f t="shared" si="1"/>
        <v>-3.6135041583447158E-3</v>
      </c>
      <c r="E11">
        <f t="shared" si="2"/>
        <v>1.3057412302374553E-5</v>
      </c>
    </row>
    <row r="12" spans="1:8" x14ac:dyDescent="0.25">
      <c r="A12">
        <v>1.1837359194750001</v>
      </c>
      <c r="B12">
        <v>0.62842814737849195</v>
      </c>
      <c r="C12">
        <f t="shared" si="0"/>
        <v>0.70042345066738554</v>
      </c>
      <c r="D12">
        <f t="shared" si="1"/>
        <v>-7.1995303288893586E-2</v>
      </c>
      <c r="E12">
        <f t="shared" si="2"/>
        <v>5.1833236956597712E-3</v>
      </c>
    </row>
    <row r="13" spans="1:8" x14ac:dyDescent="0.25">
      <c r="A13">
        <v>1.286669410125</v>
      </c>
      <c r="B13">
        <v>0.59365105572744925</v>
      </c>
      <c r="C13">
        <f t="shared" si="0"/>
        <v>0.61747798627599382</v>
      </c>
      <c r="D13">
        <f t="shared" si="1"/>
        <v>-2.3826930548544567E-2</v>
      </c>
      <c r="E13">
        <f t="shared" si="2"/>
        <v>5.6772261936516636E-4</v>
      </c>
    </row>
    <row r="14" spans="1:8" x14ac:dyDescent="0.25">
      <c r="A14">
        <v>1.3896029007749999</v>
      </c>
      <c r="B14">
        <v>0.51799562827605794</v>
      </c>
      <c r="C14">
        <f t="shared" si="0"/>
        <v>0.52675247474273901</v>
      </c>
      <c r="D14">
        <f t="shared" si="1"/>
        <v>-8.7568464666810675E-3</v>
      </c>
      <c r="E14">
        <f t="shared" si="2"/>
        <v>7.6682360041024699E-5</v>
      </c>
    </row>
    <row r="15" spans="1:8" x14ac:dyDescent="0.25">
      <c r="A15">
        <v>1.4925363914249998</v>
      </c>
      <c r="B15">
        <v>0.39353024763022071</v>
      </c>
      <c r="C15">
        <f t="shared" si="0"/>
        <v>0.43510901370272553</v>
      </c>
      <c r="D15">
        <f t="shared" si="1"/>
        <v>-4.1578766072504825E-2</v>
      </c>
      <c r="E15">
        <f t="shared" si="2"/>
        <v>1.7287937881120784E-3</v>
      </c>
    </row>
    <row r="16" spans="1:8" x14ac:dyDescent="0.25">
      <c r="A16">
        <v>1.5954698820750002</v>
      </c>
      <c r="B16">
        <v>0.29224959475174528</v>
      </c>
      <c r="C16">
        <f t="shared" si="0"/>
        <v>0.34816781002209651</v>
      </c>
      <c r="D16">
        <f t="shared" si="1"/>
        <v>-5.5918215270351235E-2</v>
      </c>
      <c r="E16">
        <f t="shared" si="2"/>
        <v>3.1268467990213421E-3</v>
      </c>
    </row>
    <row r="17" spans="1:5" x14ac:dyDescent="0.25">
      <c r="A17">
        <v>1.6984033727250001</v>
      </c>
      <c r="B17">
        <v>0.23306752650347953</v>
      </c>
      <c r="C17">
        <f t="shared" si="0"/>
        <v>0.26996370928270053</v>
      </c>
      <c r="D17">
        <f t="shared" si="1"/>
        <v>-3.6896182779220993E-2</v>
      </c>
      <c r="E17">
        <f t="shared" si="2"/>
        <v>1.3613283036776837E-3</v>
      </c>
    </row>
    <row r="18" spans="1:5" x14ac:dyDescent="0.25">
      <c r="A18">
        <v>1.801336863375</v>
      </c>
      <c r="B18">
        <v>0.17510570708507495</v>
      </c>
      <c r="C18">
        <f t="shared" si="0"/>
        <v>0.20287422715803111</v>
      </c>
      <c r="D18">
        <f t="shared" si="1"/>
        <v>-2.776852007295616E-2</v>
      </c>
      <c r="E18">
        <f t="shared" si="2"/>
        <v>7.7109070704216916E-4</v>
      </c>
    </row>
    <row r="19" spans="1:5" x14ac:dyDescent="0.25">
      <c r="A19">
        <v>1.9042703540249999</v>
      </c>
      <c r="B19">
        <v>0.13178687362500413</v>
      </c>
      <c r="C19">
        <f t="shared" si="0"/>
        <v>0.14777290780918109</v>
      </c>
      <c r="D19">
        <f t="shared" si="1"/>
        <v>-1.5986034184176962E-2</v>
      </c>
      <c r="E19">
        <f t="shared" si="2"/>
        <v>2.5555328893767435E-4</v>
      </c>
    </row>
    <row r="20" spans="1:5" x14ac:dyDescent="0.25">
      <c r="A20">
        <v>2.0072038446749998</v>
      </c>
      <c r="B20">
        <v>0.12202488298611494</v>
      </c>
      <c r="C20">
        <f t="shared" si="0"/>
        <v>0.10433328386805087</v>
      </c>
      <c r="D20">
        <f t="shared" si="1"/>
        <v>1.7691599118064075E-2</v>
      </c>
      <c r="E20">
        <f t="shared" si="2"/>
        <v>3.1299267935428556E-4</v>
      </c>
    </row>
    <row r="21" spans="1:5" x14ac:dyDescent="0.25">
      <c r="A21">
        <v>2.1101373353250001</v>
      </c>
      <c r="B21">
        <v>8.0536422770835864E-2</v>
      </c>
      <c r="C21">
        <f t="shared" si="0"/>
        <v>7.1400802417674117E-2</v>
      </c>
      <c r="D21">
        <f t="shared" si="1"/>
        <v>9.1356203531617469E-3</v>
      </c>
      <c r="E21">
        <f t="shared" si="2"/>
        <v>8.3459559237103161E-5</v>
      </c>
    </row>
    <row r="22" spans="1:5" x14ac:dyDescent="0.25">
      <c r="A22">
        <v>2.2130708259750005</v>
      </c>
      <c r="B22">
        <v>5.3690948513890578E-2</v>
      </c>
      <c r="C22">
        <f t="shared" si="0"/>
        <v>4.7359892825563153E-2</v>
      </c>
      <c r="D22">
        <f t="shared" si="1"/>
        <v>6.3310556883274249E-3</v>
      </c>
      <c r="E22">
        <f t="shared" si="2"/>
        <v>4.0082266128703046E-5</v>
      </c>
    </row>
    <row r="23" spans="1:5" x14ac:dyDescent="0.25">
      <c r="A23">
        <v>2.3160043166249999</v>
      </c>
      <c r="B23">
        <v>5.0640326439237701E-2</v>
      </c>
      <c r="C23">
        <f t="shared" si="0"/>
        <v>3.04444305177358E-2</v>
      </c>
      <c r="D23">
        <f t="shared" si="1"/>
        <v>2.0195895921501901E-2</v>
      </c>
      <c r="E23">
        <f t="shared" si="2"/>
        <v>4.0787421207213711E-4</v>
      </c>
    </row>
    <row r="24" spans="1:5" x14ac:dyDescent="0.25">
      <c r="A24">
        <v>2.4189378072749994</v>
      </c>
      <c r="B24">
        <v>3.1116345161459311E-2</v>
      </c>
      <c r="C24">
        <f t="shared" si="0"/>
        <v>1.8964716299851893E-2</v>
      </c>
      <c r="D24">
        <f t="shared" si="1"/>
        <v>1.2151628861607418E-2</v>
      </c>
      <c r="E24">
        <f t="shared" si="2"/>
        <v>1.4766208399025039E-4</v>
      </c>
    </row>
    <row r="25" spans="1:5" x14ac:dyDescent="0.25">
      <c r="A25">
        <v>2.5218712979250002</v>
      </c>
      <c r="B25">
        <v>2.1354354522570115E-2</v>
      </c>
      <c r="C25">
        <f t="shared" si="0"/>
        <v>1.1446426517797276E-2</v>
      </c>
      <c r="D25">
        <f t="shared" si="1"/>
        <v>9.9079280047728382E-3</v>
      </c>
      <c r="E25">
        <f t="shared" si="2"/>
        <v>9.816703734776187E-5</v>
      </c>
    </row>
    <row r="26" spans="1:5" x14ac:dyDescent="0.25">
      <c r="A26">
        <v>2.6248047885750001</v>
      </c>
      <c r="B26">
        <v>1.6473359203125516E-2</v>
      </c>
      <c r="C26">
        <f t="shared" si="0"/>
        <v>6.6929245245477293E-3</v>
      </c>
      <c r="D26">
        <f t="shared" si="1"/>
        <v>9.780434678577787E-3</v>
      </c>
      <c r="E26">
        <f t="shared" si="2"/>
        <v>9.5656902501926985E-5</v>
      </c>
    </row>
    <row r="27" spans="1:5" x14ac:dyDescent="0.25">
      <c r="A27">
        <v>2.727738279225</v>
      </c>
      <c r="B27">
        <v>9.7619906388891949E-3</v>
      </c>
      <c r="C27">
        <f t="shared" si="0"/>
        <v>3.7906762493929514E-3</v>
      </c>
      <c r="D27">
        <f t="shared" si="1"/>
        <v>5.9713143894962436E-3</v>
      </c>
      <c r="E27">
        <f t="shared" si="2"/>
        <v>3.5656595538204897E-5</v>
      </c>
    </row>
    <row r="28" spans="1:5" x14ac:dyDescent="0.25">
      <c r="A28">
        <v>2.8306717698749999</v>
      </c>
      <c r="B28">
        <v>6.101244149305747E-3</v>
      </c>
      <c r="C28">
        <f t="shared" si="0"/>
        <v>2.079220886421694E-3</v>
      </c>
      <c r="D28">
        <f t="shared" si="1"/>
        <v>4.0220232628840526E-3</v>
      </c>
      <c r="E28">
        <f t="shared" si="2"/>
        <v>1.617667112718048E-5</v>
      </c>
    </row>
    <row r="29" spans="1:5" x14ac:dyDescent="0.25">
      <c r="A29">
        <v>2.9336052605249998</v>
      </c>
      <c r="B29">
        <v>2.4404976597222987E-3</v>
      </c>
      <c r="C29">
        <f t="shared" si="0"/>
        <v>1.1043152652494071E-3</v>
      </c>
      <c r="D29">
        <f t="shared" si="1"/>
        <v>1.3361823944728916E-3</v>
      </c>
      <c r="E29">
        <f t="shared" si="2"/>
        <v>1.7853833912993102E-6</v>
      </c>
    </row>
    <row r="30" spans="1:5" x14ac:dyDescent="0.25">
      <c r="A30">
        <v>3.0365387511749997</v>
      </c>
      <c r="B30">
        <v>6.1012441493057468E-4</v>
      </c>
      <c r="C30">
        <f t="shared" si="0"/>
        <v>5.6782827651729478E-4</v>
      </c>
      <c r="D30">
        <f t="shared" si="1"/>
        <v>4.2296138413279905E-5</v>
      </c>
      <c r="E30">
        <f t="shared" si="2"/>
        <v>1.7889633246753318E-9</v>
      </c>
    </row>
    <row r="31" spans="1:5" x14ac:dyDescent="0.25">
      <c r="A31">
        <v>3.1394722418250001</v>
      </c>
      <c r="B31">
        <v>0</v>
      </c>
      <c r="C31">
        <f t="shared" si="0"/>
        <v>2.8261397738815438E-4</v>
      </c>
      <c r="D31">
        <f t="shared" si="1"/>
        <v>-2.8261397738815438E-4</v>
      </c>
      <c r="E31">
        <f t="shared" si="2"/>
        <v>7.987066021515223E-8</v>
      </c>
    </row>
    <row r="32" spans="1:5" x14ac:dyDescent="0.25">
      <c r="A32">
        <v>3.2424057324750004</v>
      </c>
      <c r="B32">
        <v>0</v>
      </c>
      <c r="C32">
        <f t="shared" si="0"/>
        <v>1.3612653673309902E-4</v>
      </c>
      <c r="D32">
        <f t="shared" si="1"/>
        <v>-1.3612653673309902E-4</v>
      </c>
      <c r="E32">
        <f t="shared" si="2"/>
        <v>1.8530434002947758E-8</v>
      </c>
    </row>
    <row r="33" spans="1:5" x14ac:dyDescent="0.25">
      <c r="A33">
        <v>3.3453392231250003</v>
      </c>
      <c r="B33">
        <v>0</v>
      </c>
      <c r="C33">
        <f t="shared" si="0"/>
        <v>6.3442952998559888E-5</v>
      </c>
      <c r="D33">
        <f t="shared" si="1"/>
        <v>-6.3442952998559888E-5</v>
      </c>
      <c r="E33">
        <f t="shared" si="2"/>
        <v>4.0250082851774791E-9</v>
      </c>
    </row>
    <row r="34" spans="1:5" x14ac:dyDescent="0.25">
      <c r="A34">
        <v>3.4482727137749998</v>
      </c>
      <c r="B34">
        <v>0</v>
      </c>
      <c r="C34">
        <f t="shared" si="0"/>
        <v>2.8604454417303146E-5</v>
      </c>
      <c r="D34">
        <f t="shared" si="1"/>
        <v>-2.8604454417303146E-5</v>
      </c>
      <c r="E34">
        <f t="shared" si="2"/>
        <v>8.1821481251157349E-10</v>
      </c>
    </row>
    <row r="35" spans="1:5" x14ac:dyDescent="0.25">
      <c r="A35">
        <v>3.5512062044250001</v>
      </c>
      <c r="B35">
        <v>0</v>
      </c>
      <c r="C35">
        <f t="shared" si="0"/>
        <v>1.2474165111786666E-5</v>
      </c>
      <c r="D35">
        <f t="shared" si="1"/>
        <v>-1.2474165111786666E-5</v>
      </c>
      <c r="E35">
        <f t="shared" si="2"/>
        <v>1.5560479523611565E-10</v>
      </c>
    </row>
    <row r="36" spans="1:5" x14ac:dyDescent="0.25">
      <c r="A36">
        <v>3.654139695075</v>
      </c>
      <c r="B36">
        <v>0</v>
      </c>
      <c r="C36">
        <f t="shared" si="0"/>
        <v>5.2605907165579727E-6</v>
      </c>
      <c r="D36">
        <f t="shared" si="1"/>
        <v>-5.2605907165579727E-6</v>
      </c>
      <c r="E36">
        <f t="shared" si="2"/>
        <v>2.7673814687135924E-11</v>
      </c>
    </row>
    <row r="37" spans="1:5" x14ac:dyDescent="0.25">
      <c r="A37">
        <v>3.7570731857250004</v>
      </c>
      <c r="B37">
        <v>0</v>
      </c>
      <c r="C37">
        <f t="shared" si="0"/>
        <v>2.1449659188084112E-6</v>
      </c>
      <c r="D37">
        <f t="shared" si="1"/>
        <v>-2.1449659188084112E-6</v>
      </c>
      <c r="E37">
        <f t="shared" si="2"/>
        <v>4.6008787928496115E-12</v>
      </c>
    </row>
    <row r="38" spans="1:5" x14ac:dyDescent="0.25">
      <c r="A38">
        <v>3.8600066763749998</v>
      </c>
      <c r="B38">
        <v>0</v>
      </c>
      <c r="C38">
        <f t="shared" si="0"/>
        <v>8.4544801089499192E-7</v>
      </c>
      <c r="D38">
        <f t="shared" si="1"/>
        <v>-8.4544801089499192E-7</v>
      </c>
      <c r="E38">
        <f t="shared" si="2"/>
        <v>7.1478233912629842E-13</v>
      </c>
    </row>
    <row r="39" spans="1:5" x14ac:dyDescent="0.25">
      <c r="A39">
        <v>3.9629401670249997</v>
      </c>
      <c r="B39">
        <v>0</v>
      </c>
      <c r="C39">
        <f t="shared" si="0"/>
        <v>3.220713235384354E-7</v>
      </c>
      <c r="D39">
        <f t="shared" si="1"/>
        <v>-3.220713235384354E-7</v>
      </c>
      <c r="E39">
        <f t="shared" si="2"/>
        <v>1.0372993744579953E-13</v>
      </c>
    </row>
    <row r="40" spans="1:5" x14ac:dyDescent="0.25">
      <c r="A40">
        <v>4.0658736576750005</v>
      </c>
      <c r="B40">
        <v>6.1012441493057468E-4</v>
      </c>
      <c r="C40">
        <f t="shared" si="0"/>
        <v>1.1855890954039546E-7</v>
      </c>
      <c r="D40">
        <f t="shared" si="1"/>
        <v>6.1000585602103427E-4</v>
      </c>
      <c r="E40">
        <f t="shared" si="2"/>
        <v>3.7210714437995482E-7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3CAE-10E0-4E6F-879F-971A644A34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4.98228057E-2</v>
      </c>
      <c r="B1">
        <v>1.2598847063951623E-2</v>
      </c>
      <c r="C1">
        <f>$H$3*(1+$H$1)*(A1^($H$1))*EXP(-$H$3*(A1^(1+$H$1)))</f>
        <v>2.4208805111561763E-2</v>
      </c>
      <c r="D1">
        <f>B1-C1</f>
        <v>-1.160995804761014E-2</v>
      </c>
      <c r="E1">
        <f>D1^2</f>
        <v>1.3479112586726745E-4</v>
      </c>
      <c r="G1" t="s">
        <v>0</v>
      </c>
      <c r="H1">
        <v>1.440136702116606</v>
      </c>
    </row>
    <row r="2" spans="1:8" x14ac:dyDescent="0.25">
      <c r="A2">
        <v>0.1494679531</v>
      </c>
      <c r="B2">
        <v>2.582763648110083E-2</v>
      </c>
      <c r="C2">
        <f t="shared" ref="C2:C40" si="0">$H$3*(1+$H$1)*(A2^($H$1))*EXP(-$H$3*(A2^(1+$H$1)))</f>
        <v>0.11699602730662115</v>
      </c>
      <c r="D2">
        <f t="shared" ref="D2:D40" si="1">B2-C2</f>
        <v>-9.1168390825520321E-2</v>
      </c>
      <c r="E2">
        <f t="shared" ref="E2:E40" si="2">D2^2</f>
        <v>8.3116754857148183E-3</v>
      </c>
    </row>
    <row r="3" spans="1:8" x14ac:dyDescent="0.25">
      <c r="A3">
        <v>0.24911310050000002</v>
      </c>
      <c r="B3">
        <v>0.15937541535898805</v>
      </c>
      <c r="C3">
        <f t="shared" si="0"/>
        <v>0.23982512745539933</v>
      </c>
      <c r="D3">
        <f t="shared" si="1"/>
        <v>-8.0449712096411274E-2</v>
      </c>
      <c r="E3">
        <f t="shared" si="2"/>
        <v>6.4721561763954622E-3</v>
      </c>
      <c r="G3" t="s">
        <v>1</v>
      </c>
      <c r="H3">
        <f>(_xlfn.GAMMA((2+$H$1)/(1+$H$1)))^(1+$H$1)</f>
        <v>0.74585680711998015</v>
      </c>
    </row>
    <row r="4" spans="1:8" x14ac:dyDescent="0.25">
      <c r="A4">
        <v>0.34875824789999998</v>
      </c>
      <c r="B4">
        <v>0.33701915896070594</v>
      </c>
      <c r="C4">
        <f t="shared" si="0"/>
        <v>0.377103273852333</v>
      </c>
      <c r="D4">
        <f t="shared" si="1"/>
        <v>-4.0084114891627054E-2</v>
      </c>
      <c r="E4">
        <f t="shared" si="2"/>
        <v>1.6067362666451577E-3</v>
      </c>
    </row>
    <row r="5" spans="1:8" x14ac:dyDescent="0.25">
      <c r="A5">
        <v>0.44840339530000001</v>
      </c>
      <c r="B5">
        <v>0.61608362142723438</v>
      </c>
      <c r="C5">
        <f t="shared" si="0"/>
        <v>0.51602114230688156</v>
      </c>
      <c r="D5">
        <f t="shared" si="1"/>
        <v>0.10006247912035282</v>
      </c>
      <c r="E5">
        <f t="shared" si="2"/>
        <v>1.0012499727711044E-2</v>
      </c>
      <c r="G5" t="s">
        <v>2</v>
      </c>
      <c r="H5">
        <f>SUM(E1:E40)</f>
        <v>7.7569567555147254E-2</v>
      </c>
    </row>
    <row r="6" spans="1:8" x14ac:dyDescent="0.25">
      <c r="A6">
        <v>0.54804854270000003</v>
      </c>
      <c r="B6">
        <v>0.74207209206675062</v>
      </c>
      <c r="C6">
        <f t="shared" si="0"/>
        <v>0.64456597724697307</v>
      </c>
      <c r="D6">
        <f t="shared" si="1"/>
        <v>9.7506114819777556E-2</v>
      </c>
      <c r="E6">
        <f t="shared" si="2"/>
        <v>9.5074424272476449E-3</v>
      </c>
    </row>
    <row r="7" spans="1:8" x14ac:dyDescent="0.25">
      <c r="A7">
        <v>0.6476936901</v>
      </c>
      <c r="B7">
        <v>0.85672160034871048</v>
      </c>
      <c r="C7">
        <f t="shared" si="0"/>
        <v>0.75192409235406665</v>
      </c>
      <c r="D7">
        <f t="shared" si="1"/>
        <v>0.10479750799464382</v>
      </c>
      <c r="E7">
        <f t="shared" si="2"/>
        <v>1.0982517681887436E-2</v>
      </c>
    </row>
    <row r="8" spans="1:8" x14ac:dyDescent="0.25">
      <c r="A8">
        <v>0.74733883750000007</v>
      </c>
      <c r="B8">
        <v>0.92475537449404921</v>
      </c>
      <c r="C8">
        <f t="shared" si="0"/>
        <v>0.82940775090886765</v>
      </c>
      <c r="D8">
        <f t="shared" si="1"/>
        <v>9.5347623585181562E-2</v>
      </c>
      <c r="E8">
        <f t="shared" si="2"/>
        <v>9.0911693233414713E-3</v>
      </c>
    </row>
    <row r="9" spans="1:8" x14ac:dyDescent="0.25">
      <c r="A9">
        <v>0.84698398490000004</v>
      </c>
      <c r="B9">
        <v>0.93294462508561782</v>
      </c>
      <c r="C9">
        <f t="shared" si="0"/>
        <v>0.87137319825412729</v>
      </c>
      <c r="D9">
        <f t="shared" si="1"/>
        <v>6.1571426831490528E-2</v>
      </c>
      <c r="E9">
        <f t="shared" si="2"/>
        <v>3.7910406020655917E-3</v>
      </c>
    </row>
    <row r="10" spans="1:8" x14ac:dyDescent="0.25">
      <c r="A10">
        <v>0.94662913230000001</v>
      </c>
      <c r="B10">
        <v>0.86617073564667413</v>
      </c>
      <c r="C10">
        <f t="shared" si="0"/>
        <v>0.87583132689440402</v>
      </c>
      <c r="D10">
        <f t="shared" si="1"/>
        <v>-9.6605912477298883E-3</v>
      </c>
      <c r="E10">
        <f t="shared" si="2"/>
        <v>9.3327023255715316E-5</v>
      </c>
    </row>
    <row r="11" spans="1:8" x14ac:dyDescent="0.25">
      <c r="A11">
        <v>1.0462742797</v>
      </c>
      <c r="B11">
        <v>0.8365634450463878</v>
      </c>
      <c r="C11">
        <f t="shared" si="0"/>
        <v>0.84457391987529629</v>
      </c>
      <c r="D11">
        <f t="shared" si="1"/>
        <v>-8.0104748289084871E-3</v>
      </c>
      <c r="E11">
        <f t="shared" si="2"/>
        <v>6.4167706984576456E-5</v>
      </c>
    </row>
    <row r="12" spans="1:8" x14ac:dyDescent="0.25">
      <c r="A12">
        <v>1.1459194270999999</v>
      </c>
      <c r="B12">
        <v>0.73829243794756516</v>
      </c>
      <c r="C12">
        <f t="shared" si="0"/>
        <v>0.78275978471834973</v>
      </c>
      <c r="D12">
        <f t="shared" si="1"/>
        <v>-4.4467346770784566E-2</v>
      </c>
      <c r="E12">
        <f t="shared" si="2"/>
        <v>1.9773449288332046E-3</v>
      </c>
    </row>
    <row r="13" spans="1:8" x14ac:dyDescent="0.25">
      <c r="A13">
        <v>1.2455645744999999</v>
      </c>
      <c r="B13">
        <v>0.63057229555077876</v>
      </c>
      <c r="C13">
        <f t="shared" si="0"/>
        <v>0.69802874940800397</v>
      </c>
      <c r="D13">
        <f t="shared" si="1"/>
        <v>-6.7456453857225207E-2</v>
      </c>
      <c r="E13">
        <f t="shared" si="2"/>
        <v>4.5503731669919532E-3</v>
      </c>
    </row>
    <row r="14" spans="1:8" x14ac:dyDescent="0.25">
      <c r="A14">
        <v>1.3452097219000001</v>
      </c>
      <c r="B14">
        <v>0.58584638847375048</v>
      </c>
      <c r="C14">
        <f t="shared" si="0"/>
        <v>0.59931448570636314</v>
      </c>
      <c r="D14">
        <f t="shared" si="1"/>
        <v>-1.3468097232612664E-2</v>
      </c>
      <c r="E14">
        <f t="shared" si="2"/>
        <v>1.8138964306710888E-4</v>
      </c>
    </row>
    <row r="15" spans="1:8" x14ac:dyDescent="0.25">
      <c r="A15">
        <v>1.4448548693000001</v>
      </c>
      <c r="B15">
        <v>0.44725907077028265</v>
      </c>
      <c r="C15">
        <f t="shared" si="0"/>
        <v>0.4955851167410471</v>
      </c>
      <c r="D15">
        <f t="shared" si="1"/>
        <v>-4.8326045970764453E-2</v>
      </c>
      <c r="E15">
        <f t="shared" si="2"/>
        <v>2.3354067191684392E-3</v>
      </c>
    </row>
    <row r="16" spans="1:8" x14ac:dyDescent="0.25">
      <c r="A16">
        <v>1.5445000167</v>
      </c>
      <c r="B16">
        <v>0.33449938954791564</v>
      </c>
      <c r="C16">
        <f t="shared" si="0"/>
        <v>0.39474033004492753</v>
      </c>
      <c r="D16">
        <f t="shared" si="1"/>
        <v>-6.0240940497011897E-2</v>
      </c>
      <c r="E16">
        <f t="shared" si="2"/>
        <v>3.6289709119645278E-3</v>
      </c>
    </row>
    <row r="17" spans="1:5" x14ac:dyDescent="0.25">
      <c r="A17">
        <v>1.6441451641</v>
      </c>
      <c r="B17">
        <v>0.25890630716420587</v>
      </c>
      <c r="C17">
        <f t="shared" si="0"/>
        <v>0.30283887505316048</v>
      </c>
      <c r="D17">
        <f t="shared" si="1"/>
        <v>-4.393256788895461E-2</v>
      </c>
      <c r="E17">
        <f t="shared" si="2"/>
        <v>1.9300705213176057E-3</v>
      </c>
    </row>
    <row r="18" spans="1:5" x14ac:dyDescent="0.25">
      <c r="A18">
        <v>1.7437903115</v>
      </c>
      <c r="B18">
        <v>0.18268328242729856</v>
      </c>
      <c r="C18">
        <f t="shared" si="0"/>
        <v>0.2237401325239109</v>
      </c>
      <c r="D18">
        <f t="shared" si="1"/>
        <v>-4.1056850096612335E-2</v>
      </c>
      <c r="E18">
        <f t="shared" si="2"/>
        <v>1.6856649398556962E-3</v>
      </c>
    </row>
    <row r="19" spans="1:5" x14ac:dyDescent="0.25">
      <c r="A19">
        <v>1.8434354589000002</v>
      </c>
      <c r="B19">
        <v>0.16189518477177836</v>
      </c>
      <c r="C19">
        <f t="shared" si="0"/>
        <v>0.15914575903008177</v>
      </c>
      <c r="D19">
        <f t="shared" si="1"/>
        <v>2.7494257416965928E-3</v>
      </c>
      <c r="E19">
        <f t="shared" si="2"/>
        <v>7.5593419091038599E-6</v>
      </c>
    </row>
    <row r="20" spans="1:5" x14ac:dyDescent="0.25">
      <c r="A20">
        <v>1.9430806063000001</v>
      </c>
      <c r="B20">
        <v>0.11905910475434285</v>
      </c>
      <c r="C20">
        <f t="shared" si="0"/>
        <v>0.10894896787291619</v>
      </c>
      <c r="D20">
        <f t="shared" si="1"/>
        <v>1.011013688142666E-2</v>
      </c>
      <c r="E20">
        <f t="shared" si="2"/>
        <v>1.0221486776118358E-4</v>
      </c>
    </row>
    <row r="21" spans="1:5" x14ac:dyDescent="0.25">
      <c r="A21">
        <v>2.0427257537000001</v>
      </c>
      <c r="B21">
        <v>8.5042217681673457E-2</v>
      </c>
      <c r="C21">
        <f t="shared" si="0"/>
        <v>7.1757007994769154E-2</v>
      </c>
      <c r="D21">
        <f t="shared" si="1"/>
        <v>1.3285209686904303E-2</v>
      </c>
      <c r="E21">
        <f t="shared" si="2"/>
        <v>1.7649679642501594E-4</v>
      </c>
    </row>
    <row r="22" spans="1:5" x14ac:dyDescent="0.25">
      <c r="A22">
        <v>2.1423709011000001</v>
      </c>
      <c r="B22">
        <v>5.921458120057263E-2</v>
      </c>
      <c r="C22">
        <f t="shared" si="0"/>
        <v>4.5450493181545981E-2</v>
      </c>
      <c r="D22">
        <f t="shared" si="1"/>
        <v>1.3764088019026649E-2</v>
      </c>
      <c r="E22">
        <f t="shared" si="2"/>
        <v>1.8945011899551293E-4</v>
      </c>
    </row>
    <row r="23" spans="1:5" x14ac:dyDescent="0.25">
      <c r="A23">
        <v>2.2420160485</v>
      </c>
      <c r="B23">
        <v>4.220613766423794E-2</v>
      </c>
      <c r="C23">
        <f t="shared" si="0"/>
        <v>2.7672828525745468E-2</v>
      </c>
      <c r="D23">
        <f t="shared" si="1"/>
        <v>1.4533309138492472E-2</v>
      </c>
      <c r="E23">
        <f t="shared" si="2"/>
        <v>2.112170745149888E-4</v>
      </c>
    </row>
    <row r="24" spans="1:5" x14ac:dyDescent="0.25">
      <c r="A24">
        <v>2.3416611959000004</v>
      </c>
      <c r="B24">
        <v>3.275700236627422E-2</v>
      </c>
      <c r="C24">
        <f t="shared" si="0"/>
        <v>1.6188534031644275E-2</v>
      </c>
      <c r="D24">
        <f t="shared" si="1"/>
        <v>1.6568468334629945E-2</v>
      </c>
      <c r="E24">
        <f t="shared" si="2"/>
        <v>2.7451414295563518E-4</v>
      </c>
    </row>
    <row r="25" spans="1:5" x14ac:dyDescent="0.25">
      <c r="A25">
        <v>2.4413063433</v>
      </c>
      <c r="B25">
        <v>2.0788097655520178E-2</v>
      </c>
      <c r="C25">
        <f t="shared" si="0"/>
        <v>9.0947753626244784E-3</v>
      </c>
      <c r="D25">
        <f t="shared" si="1"/>
        <v>1.16933222928957E-2</v>
      </c>
      <c r="E25">
        <f t="shared" si="2"/>
        <v>1.3673378624553154E-4</v>
      </c>
    </row>
    <row r="26" spans="1:5" x14ac:dyDescent="0.25">
      <c r="A26">
        <v>2.5409514907000004</v>
      </c>
      <c r="B26">
        <v>1.3858731770346787E-2</v>
      </c>
      <c r="C26">
        <f t="shared" si="0"/>
        <v>4.9044842315800093E-3</v>
      </c>
      <c r="D26">
        <f t="shared" si="1"/>
        <v>8.954247538766778E-3</v>
      </c>
      <c r="E26">
        <f t="shared" si="2"/>
        <v>8.0178548985510904E-5</v>
      </c>
    </row>
    <row r="27" spans="1:5" x14ac:dyDescent="0.25">
      <c r="A27">
        <v>2.6405966380999999</v>
      </c>
      <c r="B27">
        <v>8.1892505915685549E-3</v>
      </c>
      <c r="C27">
        <f t="shared" si="0"/>
        <v>2.5374322506504835E-3</v>
      </c>
      <c r="D27">
        <f t="shared" si="1"/>
        <v>5.651818340918071E-3</v>
      </c>
      <c r="E27">
        <f t="shared" si="2"/>
        <v>3.1943050558737897E-5</v>
      </c>
    </row>
    <row r="28" spans="1:5" x14ac:dyDescent="0.25">
      <c r="A28">
        <v>2.7402417855000003</v>
      </c>
      <c r="B28">
        <v>2.5197694127903248E-3</v>
      </c>
      <c r="C28">
        <f t="shared" si="0"/>
        <v>1.2588549520668923E-3</v>
      </c>
      <c r="D28">
        <f t="shared" si="1"/>
        <v>1.2609144607234324E-3</v>
      </c>
      <c r="E28">
        <f t="shared" si="2"/>
        <v>1.5899052772614645E-6</v>
      </c>
    </row>
    <row r="29" spans="1:5" x14ac:dyDescent="0.25">
      <c r="A29">
        <v>2.8398869328999998</v>
      </c>
      <c r="B29">
        <v>1.2598847063951624E-3</v>
      </c>
      <c r="C29">
        <f t="shared" si="0"/>
        <v>5.9857127624553458E-4</v>
      </c>
      <c r="D29">
        <f t="shared" si="1"/>
        <v>6.6131343014962779E-4</v>
      </c>
      <c r="E29">
        <f t="shared" si="2"/>
        <v>4.3733545289626662E-7</v>
      </c>
    </row>
    <row r="30" spans="1:5" x14ac:dyDescent="0.25">
      <c r="A30">
        <v>2.9395320803000002</v>
      </c>
      <c r="B30">
        <v>0</v>
      </c>
      <c r="C30">
        <f t="shared" si="0"/>
        <v>2.7264213042312257E-4</v>
      </c>
      <c r="D30">
        <f t="shared" si="1"/>
        <v>-2.7264213042312257E-4</v>
      </c>
      <c r="E30">
        <f t="shared" si="2"/>
        <v>7.4333731281658982E-8</v>
      </c>
    </row>
    <row r="31" spans="1:5" x14ac:dyDescent="0.25">
      <c r="A31">
        <v>3.0391772276999998</v>
      </c>
      <c r="B31">
        <v>0</v>
      </c>
      <c r="C31">
        <f t="shared" si="0"/>
        <v>1.1890077041756963E-4</v>
      </c>
      <c r="D31">
        <f t="shared" si="1"/>
        <v>-1.1890077041756963E-4</v>
      </c>
      <c r="E31">
        <f t="shared" si="2"/>
        <v>1.4137393205891601E-8</v>
      </c>
    </row>
    <row r="32" spans="1:5" x14ac:dyDescent="0.25">
      <c r="A32">
        <v>3.1388223751000002</v>
      </c>
      <c r="B32">
        <v>0</v>
      </c>
      <c r="C32">
        <f t="shared" si="0"/>
        <v>4.9621380835203228E-5</v>
      </c>
      <c r="D32">
        <f t="shared" si="1"/>
        <v>-4.9621380835203228E-5</v>
      </c>
      <c r="E32">
        <f t="shared" si="2"/>
        <v>2.4622814359922741E-9</v>
      </c>
    </row>
    <row r="33" spans="1:5" x14ac:dyDescent="0.25">
      <c r="A33">
        <v>3.2384675224999997</v>
      </c>
      <c r="B33">
        <v>0</v>
      </c>
      <c r="C33">
        <f t="shared" si="0"/>
        <v>1.9807237032081522E-5</v>
      </c>
      <c r="D33">
        <f t="shared" si="1"/>
        <v>-1.9807237032081522E-5</v>
      </c>
      <c r="E33">
        <f t="shared" si="2"/>
        <v>3.9232663884506164E-10</v>
      </c>
    </row>
    <row r="34" spans="1:5" x14ac:dyDescent="0.25">
      <c r="A34">
        <v>3.3381126699000001</v>
      </c>
      <c r="B34">
        <v>0</v>
      </c>
      <c r="C34">
        <f t="shared" si="0"/>
        <v>7.5583857548573559E-6</v>
      </c>
      <c r="D34">
        <f t="shared" si="1"/>
        <v>-7.5583857548573559E-6</v>
      </c>
      <c r="E34">
        <f t="shared" si="2"/>
        <v>5.71291952192306E-11</v>
      </c>
    </row>
    <row r="35" spans="1:5" x14ac:dyDescent="0.25">
      <c r="A35">
        <v>3.4377578173000005</v>
      </c>
      <c r="B35">
        <v>0</v>
      </c>
      <c r="C35">
        <f t="shared" si="0"/>
        <v>2.7559071647520288E-6</v>
      </c>
      <c r="D35">
        <f t="shared" si="1"/>
        <v>-2.7559071647520288E-6</v>
      </c>
      <c r="E35">
        <f t="shared" si="2"/>
        <v>7.5950243007315655E-12</v>
      </c>
    </row>
    <row r="36" spans="1:5" x14ac:dyDescent="0.25">
      <c r="A36">
        <v>3.5374029647</v>
      </c>
      <c r="B36">
        <v>0</v>
      </c>
      <c r="C36">
        <f t="shared" si="0"/>
        <v>9.5964808116754621E-7</v>
      </c>
      <c r="D36">
        <f t="shared" si="1"/>
        <v>-9.5964808116754621E-7</v>
      </c>
      <c r="E36">
        <f t="shared" si="2"/>
        <v>9.2092443968855331E-13</v>
      </c>
    </row>
    <row r="37" spans="1:5" x14ac:dyDescent="0.25">
      <c r="A37">
        <v>3.6370481121000005</v>
      </c>
      <c r="B37">
        <v>0</v>
      </c>
      <c r="C37">
        <f t="shared" si="0"/>
        <v>3.1897319068328553E-7</v>
      </c>
      <c r="D37">
        <f t="shared" si="1"/>
        <v>-3.1897319068328553E-7</v>
      </c>
      <c r="E37">
        <f t="shared" si="2"/>
        <v>1.0174389637467563E-13</v>
      </c>
    </row>
    <row r="38" spans="1:5" x14ac:dyDescent="0.25">
      <c r="A38">
        <v>3.7366932595</v>
      </c>
      <c r="B38">
        <v>0</v>
      </c>
      <c r="C38">
        <f t="shared" si="0"/>
        <v>1.0115223989948341E-7</v>
      </c>
      <c r="D38">
        <f t="shared" si="1"/>
        <v>-1.0115223989948341E-7</v>
      </c>
      <c r="E38">
        <f t="shared" si="2"/>
        <v>1.0231775636682643E-14</v>
      </c>
    </row>
    <row r="39" spans="1:5" x14ac:dyDescent="0.25">
      <c r="A39">
        <v>3.8363384069000004</v>
      </c>
      <c r="B39">
        <v>0</v>
      </c>
      <c r="C39">
        <f t="shared" si="0"/>
        <v>3.0588762421892169E-8</v>
      </c>
      <c r="D39">
        <f t="shared" si="1"/>
        <v>-3.0588762421892169E-8</v>
      </c>
      <c r="E39">
        <f t="shared" si="2"/>
        <v>9.3567238650296249E-16</v>
      </c>
    </row>
    <row r="40" spans="1:5" x14ac:dyDescent="0.25">
      <c r="A40">
        <v>3.9359835542999999</v>
      </c>
      <c r="B40">
        <v>6.2994235319758119E-4</v>
      </c>
      <c r="C40">
        <f t="shared" si="0"/>
        <v>8.8165965833054613E-9</v>
      </c>
      <c r="D40">
        <f t="shared" si="1"/>
        <v>6.2993353660099785E-4</v>
      </c>
      <c r="E40">
        <f t="shared" si="2"/>
        <v>3.968162605346407E-7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1E17-1622-403E-A02E-3EE77768E54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4.8489187553250004E-2</v>
      </c>
      <c r="B1">
        <v>1.4884291412882758E-2</v>
      </c>
      <c r="C1">
        <f>$H$3*(1+$H$1)*(A1^($H$1))*EXP(-$H$3*(A1^(1+$H$1)))</f>
        <v>1.2652815279011164E-2</v>
      </c>
      <c r="D1">
        <f>B1-C1</f>
        <v>2.231476133871594E-3</v>
      </c>
      <c r="E1">
        <f>D1^2</f>
        <v>4.9794857360385157E-6</v>
      </c>
      <c r="G1" t="s">
        <v>0</v>
      </c>
      <c r="H1">
        <v>1.6639024615663034</v>
      </c>
    </row>
    <row r="2" spans="1:8" x14ac:dyDescent="0.25">
      <c r="A2">
        <v>0.14546755277974999</v>
      </c>
      <c r="B2">
        <v>3.8828586294476762E-3</v>
      </c>
      <c r="C2">
        <f t="shared" ref="C2:C40" si="0">$H$3*(1+$H$1)*(A2^($H$1))*EXP(-$H$3*(A2^(1+$H$1)))</f>
        <v>7.839766796529285E-2</v>
      </c>
      <c r="D2">
        <f t="shared" ref="D2:D40" si="1">B2-C2</f>
        <v>-7.4514809335845172E-2</v>
      </c>
      <c r="E2">
        <f t="shared" ref="E2:E40" si="2">D2^2</f>
        <v>5.5524568103573592E-3</v>
      </c>
    </row>
    <row r="3" spans="1:8" x14ac:dyDescent="0.25">
      <c r="A3">
        <v>0.24244591800624998</v>
      </c>
      <c r="B3">
        <v>7.7010029484045575E-2</v>
      </c>
      <c r="C3">
        <f t="shared" si="0"/>
        <v>0.18114408222935902</v>
      </c>
      <c r="D3">
        <f t="shared" si="1"/>
        <v>-0.10413405274531344</v>
      </c>
      <c r="E3">
        <f t="shared" si="2"/>
        <v>1.0843900941163722E-2</v>
      </c>
      <c r="G3" t="s">
        <v>1</v>
      </c>
      <c r="H3">
        <f>(_xlfn.GAMMA((2+$H$1)/(1+$H$1)))^(1+$H$1)</f>
        <v>0.73068058536264313</v>
      </c>
    </row>
    <row r="4" spans="1:8" x14ac:dyDescent="0.25">
      <c r="A4">
        <v>0.33942428323274998</v>
      </c>
      <c r="B4">
        <v>0.25950438506808637</v>
      </c>
      <c r="C4">
        <f t="shared" si="0"/>
        <v>0.30946056629481455</v>
      </c>
      <c r="D4">
        <f t="shared" si="1"/>
        <v>-4.995618122672818E-2</v>
      </c>
      <c r="E4">
        <f t="shared" si="2"/>
        <v>2.4956200427577089E-3</v>
      </c>
    </row>
    <row r="5" spans="1:8" x14ac:dyDescent="0.25">
      <c r="A5">
        <v>0.43640264845925003</v>
      </c>
      <c r="B5">
        <v>0.47565018210734034</v>
      </c>
      <c r="C5">
        <f t="shared" si="0"/>
        <v>0.45206748515354428</v>
      </c>
      <c r="D5">
        <f t="shared" si="1"/>
        <v>2.3582696953796056E-2</v>
      </c>
      <c r="E5">
        <f t="shared" si="2"/>
        <v>5.5614359561458179E-4</v>
      </c>
      <c r="G5" t="s">
        <v>2</v>
      </c>
      <c r="H5">
        <f>SUM(E1:E40)</f>
        <v>9.5266829968906994E-2</v>
      </c>
    </row>
    <row r="6" spans="1:8" x14ac:dyDescent="0.25">
      <c r="A6">
        <v>0.53338101368574997</v>
      </c>
      <c r="B6">
        <v>0.72544742060180756</v>
      </c>
      <c r="C6">
        <f t="shared" si="0"/>
        <v>0.5964631305698701</v>
      </c>
      <c r="D6">
        <f t="shared" si="1"/>
        <v>0.12898429003193745</v>
      </c>
      <c r="E6">
        <f t="shared" si="2"/>
        <v>1.6636947075042961E-2</v>
      </c>
    </row>
    <row r="7" spans="1:8" x14ac:dyDescent="0.25">
      <c r="A7">
        <v>0.63035937891224991</v>
      </c>
      <c r="B7">
        <v>0.83028460359689471</v>
      </c>
      <c r="C7">
        <f t="shared" si="0"/>
        <v>0.72939327267468224</v>
      </c>
      <c r="D7">
        <f t="shared" si="1"/>
        <v>0.10089133092221247</v>
      </c>
      <c r="E7">
        <f t="shared" si="2"/>
        <v>1.0179060655255387E-2</v>
      </c>
    </row>
    <row r="8" spans="1:8" x14ac:dyDescent="0.25">
      <c r="A8">
        <v>0.72733774413874996</v>
      </c>
      <c r="B8">
        <v>0.95971322457848396</v>
      </c>
      <c r="C8">
        <f t="shared" si="0"/>
        <v>0.83810296453991762</v>
      </c>
      <c r="D8">
        <f t="shared" si="1"/>
        <v>0.12161026003856634</v>
      </c>
      <c r="E8">
        <f t="shared" si="2"/>
        <v>1.4789055346647725E-2</v>
      </c>
    </row>
    <row r="9" spans="1:8" x14ac:dyDescent="0.25">
      <c r="A9">
        <v>0.82431610936525002</v>
      </c>
      <c r="B9">
        <v>1.0108375298662118</v>
      </c>
      <c r="C9">
        <f t="shared" si="0"/>
        <v>0.91193986194200305</v>
      </c>
      <c r="D9">
        <f t="shared" si="1"/>
        <v>9.8897667924208732E-2</v>
      </c>
      <c r="E9">
        <f t="shared" si="2"/>
        <v>9.7807487208470649E-3</v>
      </c>
    </row>
    <row r="10" spans="1:8" x14ac:dyDescent="0.25">
      <c r="A10">
        <v>0.92129447459174996</v>
      </c>
      <c r="B10">
        <v>0.97265608667664294</v>
      </c>
      <c r="C10">
        <f t="shared" si="0"/>
        <v>0.94390978487326993</v>
      </c>
      <c r="D10">
        <f t="shared" si="1"/>
        <v>2.8746301803373009E-2</v>
      </c>
      <c r="E10">
        <f t="shared" si="2"/>
        <v>8.2634986737060631E-4</v>
      </c>
    </row>
    <row r="11" spans="1:8" x14ac:dyDescent="0.25">
      <c r="A11">
        <v>1.0182728398182499</v>
      </c>
      <c r="B11">
        <v>0.92541464001836282</v>
      </c>
      <c r="C11">
        <f t="shared" si="0"/>
        <v>0.9317900023627802</v>
      </c>
      <c r="D11">
        <f t="shared" si="1"/>
        <v>-6.375362344417379E-3</v>
      </c>
      <c r="E11">
        <f t="shared" si="2"/>
        <v>4.064524502261506E-5</v>
      </c>
    </row>
    <row r="12" spans="1:8" x14ac:dyDescent="0.25">
      <c r="A12">
        <v>1.1152512050447498</v>
      </c>
      <c r="B12">
        <v>0.82575460186253913</v>
      </c>
      <c r="C12">
        <f t="shared" si="0"/>
        <v>0.87848660711504212</v>
      </c>
      <c r="D12">
        <f t="shared" si="1"/>
        <v>-5.2732005252502989E-2</v>
      </c>
      <c r="E12">
        <f t="shared" si="2"/>
        <v>2.7806643779500029E-3</v>
      </c>
    </row>
    <row r="13" spans="1:8" x14ac:dyDescent="0.25">
      <c r="A13">
        <v>1.21222957027125</v>
      </c>
      <c r="B13">
        <v>0.719623132657636</v>
      </c>
      <c r="C13">
        <f t="shared" si="0"/>
        <v>0.79149372410807783</v>
      </c>
      <c r="D13">
        <f t="shared" si="1"/>
        <v>-7.1870591450441834E-2</v>
      </c>
      <c r="E13">
        <f t="shared" si="2"/>
        <v>5.1653819154363232E-3</v>
      </c>
    </row>
    <row r="14" spans="1:8" x14ac:dyDescent="0.25">
      <c r="A14">
        <v>1.3092079354977499</v>
      </c>
      <c r="B14">
        <v>0.64326024627849832</v>
      </c>
      <c r="C14">
        <f t="shared" si="0"/>
        <v>0.68153870247291126</v>
      </c>
      <c r="D14">
        <f t="shared" si="1"/>
        <v>-3.8278456194412946E-2</v>
      </c>
      <c r="E14">
        <f t="shared" si="2"/>
        <v>1.4652402086275909E-3</v>
      </c>
    </row>
    <row r="15" spans="1:8" x14ac:dyDescent="0.25">
      <c r="A15">
        <v>1.4061863007242499</v>
      </c>
      <c r="B15">
        <v>0.49830019077911847</v>
      </c>
      <c r="C15">
        <f t="shared" si="0"/>
        <v>0.56071200065155935</v>
      </c>
      <c r="D15">
        <f t="shared" si="1"/>
        <v>-6.2411809872440882E-2</v>
      </c>
      <c r="E15">
        <f t="shared" si="2"/>
        <v>3.895234011553709E-3</v>
      </c>
    </row>
    <row r="16" spans="1:8" x14ac:dyDescent="0.25">
      <c r="A16">
        <v>1.50316466595075</v>
      </c>
      <c r="B16">
        <v>0.37599014395151664</v>
      </c>
      <c r="C16">
        <f t="shared" si="0"/>
        <v>0.44051173546874117</v>
      </c>
      <c r="D16">
        <f t="shared" si="1"/>
        <v>-6.452159151722453E-2</v>
      </c>
      <c r="E16">
        <f t="shared" si="2"/>
        <v>4.1630357719155808E-3</v>
      </c>
    </row>
    <row r="17" spans="1:5" x14ac:dyDescent="0.25">
      <c r="A17">
        <v>1.6001430311772498</v>
      </c>
      <c r="B17">
        <v>0.28668439547422009</v>
      </c>
      <c r="C17">
        <f t="shared" si="0"/>
        <v>0.33023524923631159</v>
      </c>
      <c r="D17">
        <f t="shared" si="1"/>
        <v>-4.3550853762091501E-2</v>
      </c>
      <c r="E17">
        <f t="shared" si="2"/>
        <v>1.8966768634070795E-3</v>
      </c>
    </row>
    <row r="18" spans="1:5" x14ac:dyDescent="0.25">
      <c r="A18">
        <v>1.6971213964037499</v>
      </c>
      <c r="B18">
        <v>0.18702435731839639</v>
      </c>
      <c r="C18">
        <f t="shared" si="0"/>
        <v>0.23602481336907274</v>
      </c>
      <c r="D18">
        <f t="shared" si="1"/>
        <v>-4.900045605067635E-2</v>
      </c>
      <c r="E18">
        <f t="shared" si="2"/>
        <v>2.4010446931742647E-3</v>
      </c>
    </row>
    <row r="19" spans="1:5" x14ac:dyDescent="0.25">
      <c r="A19">
        <v>1.7940997616302501</v>
      </c>
      <c r="B19">
        <v>0.16761006417115804</v>
      </c>
      <c r="C19">
        <f t="shared" si="0"/>
        <v>0.16067036669717322</v>
      </c>
      <c r="D19">
        <f t="shared" si="1"/>
        <v>6.9396974739848183E-3</v>
      </c>
      <c r="E19">
        <f t="shared" si="2"/>
        <v>4.8159401030431266E-5</v>
      </c>
    </row>
    <row r="20" spans="1:5" x14ac:dyDescent="0.25">
      <c r="A20">
        <v>1.8910781268567498</v>
      </c>
      <c r="B20">
        <v>0.12166290372269385</v>
      </c>
      <c r="C20">
        <f t="shared" si="0"/>
        <v>0.10406396533045496</v>
      </c>
      <c r="D20">
        <f t="shared" si="1"/>
        <v>1.7598938392238889E-2</v>
      </c>
      <c r="E20">
        <f t="shared" si="2"/>
        <v>3.0972263253381993E-4</v>
      </c>
    </row>
    <row r="21" spans="1:5" x14ac:dyDescent="0.25">
      <c r="A21">
        <v>1.98805649208325</v>
      </c>
      <c r="B21">
        <v>7.3127170854597898E-2</v>
      </c>
      <c r="C21">
        <f t="shared" si="0"/>
        <v>6.4057406411226439E-2</v>
      </c>
      <c r="D21">
        <f t="shared" si="1"/>
        <v>9.0697644433714586E-3</v>
      </c>
      <c r="E21">
        <f t="shared" si="2"/>
        <v>8.2260627058245188E-5</v>
      </c>
    </row>
    <row r="22" spans="1:5" x14ac:dyDescent="0.25">
      <c r="A22">
        <v>2.0850348573097497</v>
      </c>
      <c r="B22">
        <v>5.6948593231899249E-2</v>
      </c>
      <c r="C22">
        <f t="shared" si="0"/>
        <v>3.7431934390027066E-2</v>
      </c>
      <c r="D22">
        <f t="shared" si="1"/>
        <v>1.9516658841872182E-2</v>
      </c>
      <c r="E22">
        <f t="shared" si="2"/>
        <v>3.8089997235002762E-4</v>
      </c>
    </row>
    <row r="23" spans="1:5" x14ac:dyDescent="0.25">
      <c r="A23">
        <v>2.1820132225362499</v>
      </c>
      <c r="B23">
        <v>4.4652874238648277E-2</v>
      </c>
      <c r="C23">
        <f t="shared" si="0"/>
        <v>2.0739822179125088E-2</v>
      </c>
      <c r="D23">
        <f t="shared" si="1"/>
        <v>2.3913052059523189E-2</v>
      </c>
      <c r="E23">
        <f t="shared" si="2"/>
        <v>5.7183405880146621E-4</v>
      </c>
    </row>
    <row r="24" spans="1:5" x14ac:dyDescent="0.25">
      <c r="A24">
        <v>2.2789915877627496</v>
      </c>
      <c r="B24">
        <v>2.6532867301225789E-2</v>
      </c>
      <c r="C24">
        <f t="shared" si="0"/>
        <v>1.0882620742604172E-2</v>
      </c>
      <c r="D24">
        <f t="shared" si="1"/>
        <v>1.5650246558621617E-2</v>
      </c>
      <c r="E24">
        <f t="shared" si="2"/>
        <v>2.449302173456478E-4</v>
      </c>
    </row>
    <row r="25" spans="1:5" x14ac:dyDescent="0.25">
      <c r="A25">
        <v>2.3759699529892497</v>
      </c>
      <c r="B25">
        <v>1.6178577622698649E-2</v>
      </c>
      <c r="C25">
        <f t="shared" si="0"/>
        <v>5.4012752296420862E-3</v>
      </c>
      <c r="D25">
        <f t="shared" si="1"/>
        <v>1.0777302393056562E-2</v>
      </c>
      <c r="E25">
        <f t="shared" si="2"/>
        <v>1.161502468713827E-4</v>
      </c>
    </row>
    <row r="26" spans="1:5" x14ac:dyDescent="0.25">
      <c r="A26">
        <v>2.4729483182157503</v>
      </c>
      <c r="B26">
        <v>7.7657172588953523E-3</v>
      </c>
      <c r="C26">
        <f t="shared" si="0"/>
        <v>2.5325442933534208E-3</v>
      </c>
      <c r="D26">
        <f t="shared" si="1"/>
        <v>5.2331729655419315E-3</v>
      </c>
      <c r="E26">
        <f t="shared" si="2"/>
        <v>2.7386099287278935E-5</v>
      </c>
    </row>
    <row r="27" spans="1:5" x14ac:dyDescent="0.25">
      <c r="A27">
        <v>2.5699266834422501</v>
      </c>
      <c r="B27">
        <v>4.530001734355622E-3</v>
      </c>
      <c r="C27">
        <f t="shared" si="0"/>
        <v>1.1204073318613994E-3</v>
      </c>
      <c r="D27">
        <f t="shared" si="1"/>
        <v>3.4095944024942226E-3</v>
      </c>
      <c r="E27">
        <f t="shared" si="2"/>
        <v>1.1625333989519934E-5</v>
      </c>
    </row>
    <row r="28" spans="1:5" x14ac:dyDescent="0.25">
      <c r="A28">
        <v>2.6669050486687498</v>
      </c>
      <c r="B28">
        <v>0</v>
      </c>
      <c r="C28">
        <f t="shared" si="0"/>
        <v>4.6710141988539781E-4</v>
      </c>
      <c r="D28">
        <f t="shared" si="1"/>
        <v>-4.6710141988539781E-4</v>
      </c>
      <c r="E28">
        <f t="shared" si="2"/>
        <v>2.181837364589547E-7</v>
      </c>
    </row>
    <row r="29" spans="1:5" x14ac:dyDescent="0.25">
      <c r="A29">
        <v>2.7638834138952495</v>
      </c>
      <c r="B29">
        <v>0</v>
      </c>
      <c r="C29">
        <f t="shared" si="0"/>
        <v>1.8328208879831142E-4</v>
      </c>
      <c r="D29">
        <f t="shared" si="1"/>
        <v>-1.8328208879831142E-4</v>
      </c>
      <c r="E29">
        <f t="shared" si="2"/>
        <v>3.3592324074272115E-8</v>
      </c>
    </row>
    <row r="30" spans="1:5" x14ac:dyDescent="0.25">
      <c r="A30">
        <v>2.8608617791217501</v>
      </c>
      <c r="B30">
        <v>0</v>
      </c>
      <c r="C30">
        <f t="shared" si="0"/>
        <v>6.7602004447788174E-5</v>
      </c>
      <c r="D30">
        <f t="shared" si="1"/>
        <v>-6.7602004447788174E-5</v>
      </c>
      <c r="E30">
        <f t="shared" si="2"/>
        <v>4.5700310053587718E-9</v>
      </c>
    </row>
    <row r="31" spans="1:5" x14ac:dyDescent="0.25">
      <c r="A31">
        <v>2.9578401443482498</v>
      </c>
      <c r="B31">
        <v>0</v>
      </c>
      <c r="C31">
        <f t="shared" si="0"/>
        <v>2.3409249432624168E-5</v>
      </c>
      <c r="D31">
        <f t="shared" si="1"/>
        <v>-2.3409249432624168E-5</v>
      </c>
      <c r="E31">
        <f t="shared" si="2"/>
        <v>5.4799295899881496E-10</v>
      </c>
    </row>
    <row r="32" spans="1:5" x14ac:dyDescent="0.25">
      <c r="A32">
        <v>3.0548185095747495</v>
      </c>
      <c r="B32">
        <v>0</v>
      </c>
      <c r="C32">
        <f t="shared" si="0"/>
        <v>7.6008560063731157E-6</v>
      </c>
      <c r="D32">
        <f t="shared" si="1"/>
        <v>-7.6008560063731157E-6</v>
      </c>
      <c r="E32">
        <f t="shared" si="2"/>
        <v>5.7773012029618266E-11</v>
      </c>
    </row>
    <row r="33" spans="1:5" x14ac:dyDescent="0.25">
      <c r="A33">
        <v>3.1517968748012497</v>
      </c>
      <c r="B33">
        <v>0</v>
      </c>
      <c r="C33">
        <f t="shared" si="0"/>
        <v>2.3112389448997822E-6</v>
      </c>
      <c r="D33">
        <f t="shared" si="1"/>
        <v>-2.3112389448997822E-6</v>
      </c>
      <c r="E33">
        <f t="shared" si="2"/>
        <v>5.3418254604214586E-12</v>
      </c>
    </row>
    <row r="34" spans="1:5" x14ac:dyDescent="0.25">
      <c r="A34">
        <v>3.2487752400277499</v>
      </c>
      <c r="B34">
        <v>0</v>
      </c>
      <c r="C34">
        <f t="shared" si="0"/>
        <v>6.5734985024905302E-7</v>
      </c>
      <c r="D34">
        <f t="shared" si="1"/>
        <v>-6.5734985024905302E-7</v>
      </c>
      <c r="E34">
        <f t="shared" si="2"/>
        <v>4.3210882562245244E-13</v>
      </c>
    </row>
    <row r="35" spans="1:5" x14ac:dyDescent="0.25">
      <c r="A35">
        <v>3.3457536052542496</v>
      </c>
      <c r="B35">
        <v>0</v>
      </c>
      <c r="C35">
        <f t="shared" si="0"/>
        <v>1.7465531902629213E-7</v>
      </c>
      <c r="D35">
        <f t="shared" si="1"/>
        <v>-1.7465531902629213E-7</v>
      </c>
      <c r="E35">
        <f t="shared" si="2"/>
        <v>3.0504480464175883E-14</v>
      </c>
    </row>
    <row r="36" spans="1:5" x14ac:dyDescent="0.25">
      <c r="A36">
        <v>3.4427319704807497</v>
      </c>
      <c r="B36">
        <v>0</v>
      </c>
      <c r="C36">
        <f t="shared" si="0"/>
        <v>4.3297920455502068E-8</v>
      </c>
      <c r="D36">
        <f t="shared" si="1"/>
        <v>-4.3297920455502068E-8</v>
      </c>
      <c r="E36">
        <f t="shared" si="2"/>
        <v>1.8747099157709846E-15</v>
      </c>
    </row>
    <row r="37" spans="1:5" x14ac:dyDescent="0.25">
      <c r="A37">
        <v>3.5397103357072499</v>
      </c>
      <c r="B37">
        <v>0</v>
      </c>
      <c r="C37">
        <f t="shared" si="0"/>
        <v>1.0002789825618437E-8</v>
      </c>
      <c r="D37">
        <f t="shared" si="1"/>
        <v>-1.0002789825618437E-8</v>
      </c>
      <c r="E37">
        <f t="shared" si="2"/>
        <v>1.0005580429549571E-16</v>
      </c>
    </row>
    <row r="38" spans="1:5" x14ac:dyDescent="0.25">
      <c r="A38">
        <v>3.6366887009337501</v>
      </c>
      <c r="B38">
        <v>0</v>
      </c>
      <c r="C38">
        <f t="shared" si="0"/>
        <v>2.1508772669550575E-9</v>
      </c>
      <c r="D38">
        <f t="shared" si="1"/>
        <v>-2.1508772669550575E-9</v>
      </c>
      <c r="E38">
        <f t="shared" si="2"/>
        <v>4.6262730175040576E-18</v>
      </c>
    </row>
    <row r="39" spans="1:5" x14ac:dyDescent="0.25">
      <c r="A39">
        <v>3.7336670661602498</v>
      </c>
      <c r="B39">
        <v>0</v>
      </c>
      <c r="C39">
        <f t="shared" si="0"/>
        <v>4.2995665289087113E-10</v>
      </c>
      <c r="D39">
        <f t="shared" si="1"/>
        <v>-4.2995665289087113E-10</v>
      </c>
      <c r="E39">
        <f t="shared" si="2"/>
        <v>1.8486272336512104E-19</v>
      </c>
    </row>
    <row r="40" spans="1:5" x14ac:dyDescent="0.25">
      <c r="A40">
        <v>3.83064543138675</v>
      </c>
      <c r="B40">
        <v>6.4714310490794603E-4</v>
      </c>
      <c r="C40">
        <f t="shared" si="0"/>
        <v>7.9804099886788468E-11</v>
      </c>
      <c r="D40">
        <f t="shared" si="1"/>
        <v>6.4714302510384617E-4</v>
      </c>
      <c r="E40">
        <f t="shared" si="2"/>
        <v>4.1879409494055728E-7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4DB1-126A-40D7-8F3A-DBBC9F65B6A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0.25959520066249997</v>
      </c>
      <c r="B1">
        <v>4.0853032471509371E-2</v>
      </c>
      <c r="C1">
        <f>$H$3*(1+$H$1)*(A1^($H$1))*EXP(-$H$3*(A1^(1+$H$1)))</f>
        <v>0.1494679661903755</v>
      </c>
      <c r="D1">
        <f>B1-C1</f>
        <v>-0.10861493371886613</v>
      </c>
      <c r="E1">
        <f>D1^2</f>
        <v>1.1797203826753682E-2</v>
      </c>
      <c r="G1" t="s">
        <v>0</v>
      </c>
      <c r="H1">
        <v>1.9530215581879249</v>
      </c>
    </row>
    <row r="2" spans="1:8" x14ac:dyDescent="0.25">
      <c r="A2">
        <v>0.35036267198750004</v>
      </c>
      <c r="B2">
        <v>0.16895152411946246</v>
      </c>
      <c r="C2">
        <f t="shared" ref="C2:C40" si="0">$H$3*(1+$H$1)*(A2^($H$1))*EXP(-$H$3*(A2^(1+$H$1)))</f>
        <v>0.2634132432031499</v>
      </c>
      <c r="D2">
        <f t="shared" ref="D2:D40" si="1">B2-C2</f>
        <v>-9.4461719083687445E-2</v>
      </c>
      <c r="E2">
        <f t="shared" ref="E2:E40" si="2">D2^2</f>
        <v>8.9230163722454816E-3</v>
      </c>
    </row>
    <row r="3" spans="1:8" x14ac:dyDescent="0.25">
      <c r="A3">
        <v>0.4411301433125</v>
      </c>
      <c r="B3">
        <v>0.39468183913153115</v>
      </c>
      <c r="C3">
        <f t="shared" si="0"/>
        <v>0.40029046171292187</v>
      </c>
      <c r="D3">
        <f t="shared" si="1"/>
        <v>-5.6086225813907209E-3</v>
      </c>
      <c r="E3">
        <f t="shared" si="2"/>
        <v>3.1456647260485916E-5</v>
      </c>
      <c r="G3" t="s">
        <v>1</v>
      </c>
      <c r="H3">
        <f>(_xlfn.GAMMA((2+$H$1)/(1+$H$1)))^(1+$H$1)</f>
        <v>0.71442337402507083</v>
      </c>
    </row>
    <row r="4" spans="1:8" x14ac:dyDescent="0.25">
      <c r="A4">
        <v>0.53189761463750007</v>
      </c>
      <c r="B4">
        <v>0.62318185126031234</v>
      </c>
      <c r="C4">
        <f t="shared" si="0"/>
        <v>0.55038051339279126</v>
      </c>
      <c r="D4">
        <f t="shared" si="1"/>
        <v>7.2801337867521076E-2</v>
      </c>
      <c r="E4">
        <f t="shared" si="2"/>
        <v>5.3000347953009582E-3</v>
      </c>
    </row>
    <row r="5" spans="1:8" x14ac:dyDescent="0.25">
      <c r="A5">
        <v>0.62266508596250003</v>
      </c>
      <c r="B5">
        <v>0.87937883455621857</v>
      </c>
      <c r="C5">
        <f t="shared" si="0"/>
        <v>0.70114432890722878</v>
      </c>
      <c r="D5">
        <f t="shared" si="1"/>
        <v>0.17823450564898979</v>
      </c>
      <c r="E5">
        <f t="shared" si="2"/>
        <v>3.1767539003939776E-2</v>
      </c>
      <c r="G5" t="s">
        <v>2</v>
      </c>
      <c r="H5">
        <f>SUM(E1:E40)</f>
        <v>0.13709087417718663</v>
      </c>
    </row>
    <row r="6" spans="1:8" x14ac:dyDescent="0.25">
      <c r="A6">
        <v>0.71343255728749999</v>
      </c>
      <c r="B6">
        <v>0.96593186945348419</v>
      </c>
      <c r="C6">
        <f t="shared" si="0"/>
        <v>0.8382013299445914</v>
      </c>
      <c r="D6">
        <f t="shared" si="1"/>
        <v>0.12773053950889279</v>
      </c>
      <c r="E6">
        <f t="shared" si="2"/>
        <v>1.6315090723232822E-2</v>
      </c>
    </row>
    <row r="7" spans="1:8" x14ac:dyDescent="0.25">
      <c r="A7">
        <v>0.80420002861249995</v>
      </c>
      <c r="B7">
        <v>1.0656409656551342</v>
      </c>
      <c r="C7">
        <f t="shared" si="0"/>
        <v>0.94702693847801556</v>
      </c>
      <c r="D7">
        <f t="shared" si="1"/>
        <v>0.11861402717711866</v>
      </c>
      <c r="E7">
        <f t="shared" si="2"/>
        <v>1.4069287443174245E-2</v>
      </c>
    </row>
    <row r="8" spans="1:8" x14ac:dyDescent="0.25">
      <c r="A8">
        <v>0.89496749993750002</v>
      </c>
      <c r="B8">
        <v>1.1418076363647278</v>
      </c>
      <c r="C8">
        <f t="shared" si="0"/>
        <v>1.0151366639045984</v>
      </c>
      <c r="D8">
        <f t="shared" si="1"/>
        <v>0.12667097246012937</v>
      </c>
      <c r="E8">
        <f t="shared" si="2"/>
        <v>1.6045535263994853E-2</v>
      </c>
    </row>
    <row r="9" spans="1:8" x14ac:dyDescent="0.25">
      <c r="A9">
        <v>0.98573497126250009</v>
      </c>
      <c r="B9">
        <v>1.0310197516962278</v>
      </c>
      <c r="C9">
        <f t="shared" si="0"/>
        <v>1.0343189439864782</v>
      </c>
      <c r="D9">
        <f t="shared" si="1"/>
        <v>-3.2991922902503301E-3</v>
      </c>
      <c r="E9">
        <f t="shared" si="2"/>
        <v>1.0884669768047219E-5</v>
      </c>
    </row>
    <row r="10" spans="1:8" x14ac:dyDescent="0.25">
      <c r="A10">
        <v>1.0765024425875001</v>
      </c>
      <c r="B10">
        <v>0.96731671801184049</v>
      </c>
      <c r="C10">
        <f t="shared" si="0"/>
        <v>1.0023524000887754</v>
      </c>
      <c r="D10">
        <f t="shared" si="1"/>
        <v>-3.503568207693486E-2</v>
      </c>
      <c r="E10">
        <f t="shared" si="2"/>
        <v>1.2274990185960546E-3</v>
      </c>
    </row>
    <row r="11" spans="1:8" x14ac:dyDescent="0.25">
      <c r="A11">
        <v>1.1672699139125</v>
      </c>
      <c r="B11">
        <v>0.83437125640964049</v>
      </c>
      <c r="C11">
        <f t="shared" si="0"/>
        <v>0.9236759409291827</v>
      </c>
      <c r="D11">
        <f t="shared" si="1"/>
        <v>-8.930468451954221E-2</v>
      </c>
      <c r="E11">
        <f t="shared" si="2"/>
        <v>7.9753266771349623E-3</v>
      </c>
    </row>
    <row r="12" spans="1:8" x14ac:dyDescent="0.25">
      <c r="A12">
        <v>1.2580373852375</v>
      </c>
      <c r="B12">
        <v>0.71942882606607172</v>
      </c>
      <c r="C12">
        <f t="shared" si="0"/>
        <v>0.80870646311771122</v>
      </c>
      <c r="D12">
        <f t="shared" si="1"/>
        <v>-8.9277637051639491E-2</v>
      </c>
      <c r="E12">
        <f t="shared" si="2"/>
        <v>7.9704964775242724E-3</v>
      </c>
    </row>
    <row r="13" spans="1:8" x14ac:dyDescent="0.25">
      <c r="A13">
        <v>1.3488048565624999</v>
      </c>
      <c r="B13">
        <v>0.61348791135181868</v>
      </c>
      <c r="C13">
        <f t="shared" si="0"/>
        <v>0.67187404799885975</v>
      </c>
      <c r="D13">
        <f t="shared" si="1"/>
        <v>-5.8386136647041065E-2</v>
      </c>
      <c r="E13">
        <f t="shared" si="2"/>
        <v>3.4089409525669516E-3</v>
      </c>
    </row>
    <row r="14" spans="1:8" x14ac:dyDescent="0.25">
      <c r="A14">
        <v>1.4395723278874999</v>
      </c>
      <c r="B14">
        <v>0.45976972137427491</v>
      </c>
      <c r="C14">
        <f t="shared" si="0"/>
        <v>0.52884452973207452</v>
      </c>
      <c r="D14">
        <f t="shared" si="1"/>
        <v>-6.9074808357799611E-2</v>
      </c>
      <c r="E14">
        <f t="shared" si="2"/>
        <v>4.7713291496667429E-3</v>
      </c>
    </row>
    <row r="15" spans="1:8" x14ac:dyDescent="0.25">
      <c r="A15">
        <v>1.5303397992124999</v>
      </c>
      <c r="B15">
        <v>0.33028638116796555</v>
      </c>
      <c r="C15">
        <f t="shared" si="0"/>
        <v>0.3936650943678795</v>
      </c>
      <c r="D15">
        <f t="shared" si="1"/>
        <v>-6.337871319991395E-2</v>
      </c>
      <c r="E15">
        <f t="shared" si="2"/>
        <v>4.0168612868769467E-3</v>
      </c>
    </row>
    <row r="16" spans="1:8" x14ac:dyDescent="0.25">
      <c r="A16">
        <v>1.6211072705375003</v>
      </c>
      <c r="B16">
        <v>0.23888637631645307</v>
      </c>
      <c r="C16">
        <f t="shared" si="0"/>
        <v>0.27658096826090206</v>
      </c>
      <c r="D16">
        <f t="shared" si="1"/>
        <v>-3.7694591944448991E-2</v>
      </c>
      <c r="E16">
        <f t="shared" si="2"/>
        <v>1.4208822618585186E-3</v>
      </c>
    </row>
    <row r="17" spans="1:5" x14ac:dyDescent="0.25">
      <c r="A17">
        <v>1.7118747418625002</v>
      </c>
      <c r="B17">
        <v>0.18141516114466871</v>
      </c>
      <c r="C17">
        <f t="shared" si="0"/>
        <v>0.18301710430558149</v>
      </c>
      <c r="D17">
        <f t="shared" si="1"/>
        <v>-1.6019431609127777E-3</v>
      </c>
      <c r="E17">
        <f t="shared" si="2"/>
        <v>2.5662218907952213E-6</v>
      </c>
    </row>
    <row r="18" spans="1:5" x14ac:dyDescent="0.25">
      <c r="A18">
        <v>1.8026422131875002</v>
      </c>
      <c r="B18">
        <v>0.13156061304384373</v>
      </c>
      <c r="C18">
        <f t="shared" si="0"/>
        <v>0.11380604148781134</v>
      </c>
      <c r="D18">
        <f t="shared" si="1"/>
        <v>1.7754571556032384E-2</v>
      </c>
      <c r="E18">
        <f t="shared" si="2"/>
        <v>3.1522481113827419E-4</v>
      </c>
    </row>
    <row r="19" spans="1:5" x14ac:dyDescent="0.25">
      <c r="A19">
        <v>1.8934096845124999</v>
      </c>
      <c r="B19">
        <v>8.655303489726561E-2</v>
      </c>
      <c r="C19">
        <f t="shared" si="0"/>
        <v>6.6349239864185144E-2</v>
      </c>
      <c r="D19">
        <f t="shared" si="1"/>
        <v>2.0203795033080466E-2</v>
      </c>
      <c r="E19">
        <f t="shared" si="2"/>
        <v>4.0819333373872687E-4</v>
      </c>
    </row>
    <row r="20" spans="1:5" x14ac:dyDescent="0.25">
      <c r="A20">
        <v>1.9841771558375001</v>
      </c>
      <c r="B20">
        <v>5.2624245217537488E-2</v>
      </c>
      <c r="C20">
        <f t="shared" si="0"/>
        <v>3.6179809211495967E-2</v>
      </c>
      <c r="D20">
        <f t="shared" si="1"/>
        <v>1.6444436006041521E-2</v>
      </c>
      <c r="E20">
        <f t="shared" si="2"/>
        <v>2.7041947555679483E-4</v>
      </c>
    </row>
    <row r="21" spans="1:5" x14ac:dyDescent="0.25">
      <c r="A21">
        <v>2.0749446271625001</v>
      </c>
      <c r="B21">
        <v>4.4315153867399995E-2</v>
      </c>
      <c r="C21">
        <f t="shared" si="0"/>
        <v>1.8407494295982055E-2</v>
      </c>
      <c r="D21">
        <f t="shared" si="1"/>
        <v>2.590765957141794E-2</v>
      </c>
      <c r="E21">
        <f t="shared" si="2"/>
        <v>6.7120682446848365E-4</v>
      </c>
    </row>
    <row r="22" spans="1:5" x14ac:dyDescent="0.25">
      <c r="A22">
        <v>2.1657120984875</v>
      </c>
      <c r="B22">
        <v>2.4234849771234371E-2</v>
      </c>
      <c r="C22">
        <f t="shared" si="0"/>
        <v>8.7164524690775021E-3</v>
      </c>
      <c r="D22">
        <f t="shared" si="1"/>
        <v>1.5518397302156869E-2</v>
      </c>
      <c r="E22">
        <f t="shared" si="2"/>
        <v>2.4082065482758957E-4</v>
      </c>
    </row>
    <row r="23" spans="1:5" x14ac:dyDescent="0.25">
      <c r="A23">
        <v>2.2564795698125</v>
      </c>
      <c r="B23">
        <v>1.4540909862740623E-2</v>
      </c>
      <c r="C23">
        <f t="shared" si="0"/>
        <v>3.8318097190001852E-3</v>
      </c>
      <c r="D23">
        <f t="shared" si="1"/>
        <v>1.0709100143740439E-2</v>
      </c>
      <c r="E23">
        <f t="shared" si="2"/>
        <v>1.1468482588866148E-4</v>
      </c>
    </row>
    <row r="24" spans="1:5" x14ac:dyDescent="0.25">
      <c r="A24">
        <v>2.3472470411374999</v>
      </c>
      <c r="B24">
        <v>5.5393942334249994E-3</v>
      </c>
      <c r="C24">
        <f t="shared" si="0"/>
        <v>1.5598261433665862E-3</v>
      </c>
      <c r="D24">
        <f t="shared" si="1"/>
        <v>3.9795680900584132E-3</v>
      </c>
      <c r="E24">
        <f t="shared" si="2"/>
        <v>1.5836962183411165E-5</v>
      </c>
    </row>
    <row r="25" spans="1:5" x14ac:dyDescent="0.25">
      <c r="A25">
        <v>2.4380145124624999</v>
      </c>
      <c r="B25">
        <v>6.9242427917812492E-4</v>
      </c>
      <c r="C25">
        <f t="shared" si="0"/>
        <v>5.8645472195651359E-4</v>
      </c>
      <c r="D25">
        <f t="shared" si="1"/>
        <v>1.0596955722161133E-4</v>
      </c>
      <c r="E25">
        <f t="shared" si="2"/>
        <v>1.1229547057744358E-8</v>
      </c>
    </row>
    <row r="26" spans="1:5" x14ac:dyDescent="0.25">
      <c r="A26">
        <v>2.5287819837874999</v>
      </c>
      <c r="B26">
        <v>0</v>
      </c>
      <c r="C26">
        <f t="shared" si="0"/>
        <v>2.0311759333838016E-4</v>
      </c>
      <c r="D26">
        <f t="shared" si="1"/>
        <v>-2.0311759333838016E-4</v>
      </c>
      <c r="E26">
        <f t="shared" si="2"/>
        <v>4.1256756723575578E-8</v>
      </c>
    </row>
    <row r="27" spans="1:5" x14ac:dyDescent="0.25">
      <c r="A27">
        <v>2.6195494551124998</v>
      </c>
      <c r="B27">
        <v>0</v>
      </c>
      <c r="C27">
        <f t="shared" si="0"/>
        <v>6.463628790103096E-5</v>
      </c>
      <c r="D27">
        <f t="shared" si="1"/>
        <v>-6.463628790103096E-5</v>
      </c>
      <c r="E27">
        <f t="shared" si="2"/>
        <v>4.1778497136249612E-9</v>
      </c>
    </row>
    <row r="28" spans="1:5" x14ac:dyDescent="0.25">
      <c r="A28">
        <v>2.7103169264374998</v>
      </c>
      <c r="B28">
        <v>0</v>
      </c>
      <c r="C28">
        <f t="shared" si="0"/>
        <v>1.884845273318436E-5</v>
      </c>
      <c r="D28">
        <f t="shared" si="1"/>
        <v>-1.884845273318436E-5</v>
      </c>
      <c r="E28">
        <f t="shared" si="2"/>
        <v>3.5526417043508494E-10</v>
      </c>
    </row>
    <row r="29" spans="1:5" x14ac:dyDescent="0.25">
      <c r="A29">
        <v>2.8010843977624997</v>
      </c>
      <c r="B29">
        <v>0</v>
      </c>
      <c r="C29">
        <f t="shared" si="0"/>
        <v>5.0233643554740695E-6</v>
      </c>
      <c r="D29">
        <f t="shared" si="1"/>
        <v>-5.0233643554740695E-6</v>
      </c>
      <c r="E29">
        <f t="shared" si="2"/>
        <v>2.5234189447847414E-11</v>
      </c>
    </row>
    <row r="30" spans="1:5" x14ac:dyDescent="0.25">
      <c r="A30">
        <v>2.8918518690875001</v>
      </c>
      <c r="B30">
        <v>0</v>
      </c>
      <c r="C30">
        <f t="shared" si="0"/>
        <v>1.220332180783893E-6</v>
      </c>
      <c r="D30">
        <f t="shared" si="1"/>
        <v>-1.220332180783893E-6</v>
      </c>
      <c r="E30">
        <f t="shared" si="2"/>
        <v>1.4892106314567722E-12</v>
      </c>
    </row>
    <row r="31" spans="1:5" x14ac:dyDescent="0.25">
      <c r="A31">
        <v>2.9826193404125001</v>
      </c>
      <c r="B31">
        <v>0</v>
      </c>
      <c r="C31">
        <f t="shared" si="0"/>
        <v>2.6950498972098853E-7</v>
      </c>
      <c r="D31">
        <f t="shared" si="1"/>
        <v>-2.6950498972098853E-7</v>
      </c>
      <c r="E31">
        <f t="shared" si="2"/>
        <v>7.2632939484510135E-14</v>
      </c>
    </row>
    <row r="32" spans="1:5" x14ac:dyDescent="0.25">
      <c r="A32">
        <v>3.0733868117375005</v>
      </c>
      <c r="B32">
        <v>0</v>
      </c>
      <c r="C32">
        <f t="shared" si="0"/>
        <v>5.3963325455960918E-8</v>
      </c>
      <c r="D32">
        <f t="shared" si="1"/>
        <v>-5.3963325455960918E-8</v>
      </c>
      <c r="E32">
        <f t="shared" si="2"/>
        <v>2.9120404942659596E-15</v>
      </c>
    </row>
    <row r="33" spans="1:5" x14ac:dyDescent="0.25">
      <c r="A33">
        <v>3.1641542830625005</v>
      </c>
      <c r="B33">
        <v>0</v>
      </c>
      <c r="C33">
        <f t="shared" si="0"/>
        <v>9.7703222597378797E-9</v>
      </c>
      <c r="D33">
        <f t="shared" si="1"/>
        <v>-9.7703222597378797E-9</v>
      </c>
      <c r="E33">
        <f t="shared" si="2"/>
        <v>9.5459197059129502E-17</v>
      </c>
    </row>
    <row r="34" spans="1:5" x14ac:dyDescent="0.25">
      <c r="A34">
        <v>3.2549217543875004</v>
      </c>
      <c r="B34">
        <v>0</v>
      </c>
      <c r="C34">
        <f t="shared" si="0"/>
        <v>1.5952556727107729E-9</v>
      </c>
      <c r="D34">
        <f t="shared" si="1"/>
        <v>-1.5952556727107729E-9</v>
      </c>
      <c r="E34">
        <f t="shared" si="2"/>
        <v>2.5448406613159006E-18</v>
      </c>
    </row>
    <row r="35" spans="1:5" x14ac:dyDescent="0.25">
      <c r="A35">
        <v>3.3456892257125004</v>
      </c>
      <c r="B35">
        <v>0</v>
      </c>
      <c r="C35">
        <f t="shared" si="0"/>
        <v>2.342577900428051E-10</v>
      </c>
      <c r="D35">
        <f t="shared" si="1"/>
        <v>-2.342577900428051E-10</v>
      </c>
      <c r="E35">
        <f t="shared" si="2"/>
        <v>5.4876712195738957E-20</v>
      </c>
    </row>
    <row r="36" spans="1:5" x14ac:dyDescent="0.25">
      <c r="A36">
        <v>3.4364566970375003</v>
      </c>
      <c r="B36">
        <v>0</v>
      </c>
      <c r="C36">
        <f t="shared" si="0"/>
        <v>3.0855296661822713E-11</v>
      </c>
      <c r="D36">
        <f t="shared" si="1"/>
        <v>-3.0855296661822713E-11</v>
      </c>
      <c r="E36">
        <f t="shared" si="2"/>
        <v>9.5204933208908782E-22</v>
      </c>
    </row>
    <row r="37" spans="1:5" x14ac:dyDescent="0.25">
      <c r="A37">
        <v>3.5272241683625003</v>
      </c>
      <c r="B37">
        <v>0</v>
      </c>
      <c r="C37">
        <f t="shared" si="0"/>
        <v>3.6355132224206679E-12</v>
      </c>
      <c r="D37">
        <f t="shared" si="1"/>
        <v>-3.6355132224206679E-12</v>
      </c>
      <c r="E37">
        <f t="shared" si="2"/>
        <v>1.3216956390395509E-23</v>
      </c>
    </row>
    <row r="38" spans="1:5" x14ac:dyDescent="0.25">
      <c r="A38">
        <v>3.6179916396875003</v>
      </c>
      <c r="B38">
        <v>0</v>
      </c>
      <c r="C38">
        <f t="shared" si="0"/>
        <v>3.821461044833367E-13</v>
      </c>
      <c r="D38">
        <f t="shared" si="1"/>
        <v>-3.821461044833367E-13</v>
      </c>
      <c r="E38">
        <f t="shared" si="2"/>
        <v>1.460356451717893E-25</v>
      </c>
    </row>
    <row r="39" spans="1:5" x14ac:dyDescent="0.25">
      <c r="A39">
        <v>3.7087591110125002</v>
      </c>
      <c r="B39">
        <v>0</v>
      </c>
      <c r="C39">
        <f t="shared" si="0"/>
        <v>3.5739416401851285E-14</v>
      </c>
      <c r="D39">
        <f t="shared" si="1"/>
        <v>-3.5739416401851285E-14</v>
      </c>
      <c r="E39">
        <f t="shared" si="2"/>
        <v>1.2773058847449166E-27</v>
      </c>
    </row>
    <row r="40" spans="1:5" x14ac:dyDescent="0.25">
      <c r="A40">
        <v>3.7995265823375002</v>
      </c>
      <c r="B40">
        <v>6.9242427917812492E-4</v>
      </c>
      <c r="C40">
        <f t="shared" si="0"/>
        <v>2.9658268171842029E-15</v>
      </c>
      <c r="D40">
        <f t="shared" si="1"/>
        <v>6.9242427917515909E-4</v>
      </c>
      <c r="E40">
        <f t="shared" si="2"/>
        <v>4.7945138239123865E-7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2671-34C9-4A4B-BD4C-364F482274D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4.5905053829230005E-2</v>
      </c>
      <c r="B1">
        <v>1.3688635067553715E-3</v>
      </c>
      <c r="C1">
        <f>$H$3*(1+$H$1)*(A1^($H$1))*EXP(-$H$3*(A1^(1+$H$1)))</f>
        <v>1.4444085587176983E-3</v>
      </c>
      <c r="D1">
        <f>B1-C1</f>
        <v>-7.5545051962326798E-5</v>
      </c>
      <c r="E1">
        <f>D1^2</f>
        <v>5.7070548759906563E-9</v>
      </c>
      <c r="G1" t="s">
        <v>0</v>
      </c>
      <c r="H1">
        <v>2.4016307452217527</v>
      </c>
    </row>
    <row r="2" spans="1:8" x14ac:dyDescent="0.25">
      <c r="A2">
        <v>0.13771516142849002</v>
      </c>
      <c r="B2">
        <v>0</v>
      </c>
      <c r="C2">
        <f t="shared" ref="C2:C40" si="0">$H$3*(1+$H$1)*(A2^($H$1))*EXP(-$H$3*(A2^(1+$H$1)))</f>
        <v>2.0193530320860267E-2</v>
      </c>
      <c r="D2">
        <f t="shared" ref="D2:D40" si="1">B2-C2</f>
        <v>-2.0193530320860267E-2</v>
      </c>
      <c r="E2">
        <f t="shared" ref="E2:E40" si="2">D2^2</f>
        <v>4.0777866681950296E-4</v>
      </c>
    </row>
    <row r="3" spans="1:8" x14ac:dyDescent="0.25">
      <c r="A3">
        <v>0.22952526902775</v>
      </c>
      <c r="B3">
        <v>6.8443175337768575E-4</v>
      </c>
      <c r="C3">
        <f t="shared" si="0"/>
        <v>6.8603557543464172E-2</v>
      </c>
      <c r="D3">
        <f t="shared" si="1"/>
        <v>-6.7919125790086493E-2</v>
      </c>
      <c r="E3">
        <f t="shared" si="2"/>
        <v>4.6130076480895921E-3</v>
      </c>
      <c r="G3" t="s">
        <v>1</v>
      </c>
      <c r="H3">
        <f>(_xlfn.GAMMA((2+$H$1)/(1+$H$1)))^(1+$H$1)</f>
        <v>0.69458965814433038</v>
      </c>
    </row>
    <row r="4" spans="1:8" x14ac:dyDescent="0.25">
      <c r="A4">
        <v>0.32133537662701006</v>
      </c>
      <c r="B4">
        <v>3.9697041695905773E-2</v>
      </c>
      <c r="C4">
        <f t="shared" si="0"/>
        <v>0.15239400705181444</v>
      </c>
      <c r="D4">
        <f t="shared" si="1"/>
        <v>-0.11269696535590867</v>
      </c>
      <c r="E4">
        <f t="shared" si="2"/>
        <v>1.2700606000430879E-2</v>
      </c>
    </row>
    <row r="5" spans="1:8" x14ac:dyDescent="0.25">
      <c r="A5">
        <v>0.41314548422627007</v>
      </c>
      <c r="B5">
        <v>0.18479657341197514</v>
      </c>
      <c r="C5">
        <f t="shared" si="0"/>
        <v>0.27322548237914679</v>
      </c>
      <c r="D5">
        <f t="shared" si="1"/>
        <v>-8.8428908967171649E-2</v>
      </c>
      <c r="E5">
        <f t="shared" si="2"/>
        <v>7.8196719411243298E-3</v>
      </c>
      <c r="G5" t="s">
        <v>2</v>
      </c>
      <c r="H5">
        <f>SUM(E1:E40)</f>
        <v>0.18220532305208473</v>
      </c>
    </row>
    <row r="6" spans="1:8" x14ac:dyDescent="0.25">
      <c r="A6">
        <v>0.50495559182552996</v>
      </c>
      <c r="B6">
        <v>0.4209255283272767</v>
      </c>
      <c r="C6">
        <f t="shared" si="0"/>
        <v>0.42778054681043431</v>
      </c>
      <c r="D6">
        <f t="shared" si="1"/>
        <v>-6.8550184831576155E-3</v>
      </c>
      <c r="E6">
        <f t="shared" si="2"/>
        <v>4.6991278404432535E-5</v>
      </c>
    </row>
    <row r="7" spans="1:8" x14ac:dyDescent="0.25">
      <c r="A7">
        <v>0.59676569942479007</v>
      </c>
      <c r="B7">
        <v>0.72207549981345842</v>
      </c>
      <c r="C7">
        <f t="shared" si="0"/>
        <v>0.60656037468561153</v>
      </c>
      <c r="D7">
        <f t="shared" si="1"/>
        <v>0.1155151251278469</v>
      </c>
      <c r="E7">
        <f t="shared" si="2"/>
        <v>1.3343744133302126E-2</v>
      </c>
    </row>
    <row r="8" spans="1:8" x14ac:dyDescent="0.25">
      <c r="A8">
        <v>0.68857580702404997</v>
      </c>
      <c r="B8">
        <v>0.97394638505644671</v>
      </c>
      <c r="C8">
        <f t="shared" si="0"/>
        <v>0.79333609557348317</v>
      </c>
      <c r="D8">
        <f t="shared" si="1"/>
        <v>0.18061028948296354</v>
      </c>
      <c r="E8">
        <f t="shared" si="2"/>
        <v>3.2620076667119892E-2</v>
      </c>
    </row>
    <row r="9" spans="1:8" x14ac:dyDescent="0.25">
      <c r="A9">
        <v>0.78038591462331008</v>
      </c>
      <c r="B9">
        <v>1.151898640934645</v>
      </c>
      <c r="C9">
        <f t="shared" si="0"/>
        <v>0.96606883906541863</v>
      </c>
      <c r="D9">
        <f t="shared" si="1"/>
        <v>0.18582980186922637</v>
      </c>
      <c r="E9">
        <f t="shared" si="2"/>
        <v>3.4532715262755927E-2</v>
      </c>
    </row>
    <row r="10" spans="1:8" x14ac:dyDescent="0.25">
      <c r="A10">
        <v>0.87219602222256998</v>
      </c>
      <c r="B10">
        <v>1.2525101086811647</v>
      </c>
      <c r="C10">
        <f t="shared" si="0"/>
        <v>1.0998627777659589</v>
      </c>
      <c r="D10">
        <f t="shared" si="1"/>
        <v>0.15264733091520588</v>
      </c>
      <c r="E10">
        <f t="shared" si="2"/>
        <v>2.3301207635536367E-2</v>
      </c>
    </row>
    <row r="11" spans="1:8" x14ac:dyDescent="0.25">
      <c r="A11">
        <v>0.96400612982183009</v>
      </c>
      <c r="B11">
        <v>1.225817270299435</v>
      </c>
      <c r="C11">
        <f t="shared" si="0"/>
        <v>1.171896134748545</v>
      </c>
      <c r="D11">
        <f t="shared" si="1"/>
        <v>5.3921135550889954E-2</v>
      </c>
      <c r="E11">
        <f t="shared" si="2"/>
        <v>2.9074888590974483E-3</v>
      </c>
    </row>
    <row r="12" spans="1:8" x14ac:dyDescent="0.25">
      <c r="A12">
        <v>1.05581623742109</v>
      </c>
      <c r="B12">
        <v>1.1108327357319838</v>
      </c>
      <c r="C12">
        <f t="shared" si="0"/>
        <v>1.167335372936861</v>
      </c>
      <c r="D12">
        <f t="shared" si="1"/>
        <v>-5.6502637204877137E-2</v>
      </c>
      <c r="E12">
        <f t="shared" si="2"/>
        <v>3.1925480111059659E-3</v>
      </c>
    </row>
    <row r="13" spans="1:8" x14ac:dyDescent="0.25">
      <c r="A13">
        <v>1.1476263450203501</v>
      </c>
      <c r="B13">
        <v>0.99721706467128812</v>
      </c>
      <c r="C13">
        <f t="shared" si="0"/>
        <v>1.0843313618775736</v>
      </c>
      <c r="D13">
        <f t="shared" si="1"/>
        <v>-8.7114297206285496E-2</v>
      </c>
      <c r="E13">
        <f t="shared" si="2"/>
        <v>7.5889007777450411E-3</v>
      </c>
    </row>
    <row r="14" spans="1:8" x14ac:dyDescent="0.25">
      <c r="A14">
        <v>1.23943645261961</v>
      </c>
      <c r="B14">
        <v>0.81105162775255757</v>
      </c>
      <c r="C14">
        <f t="shared" si="0"/>
        <v>0.9359003429793632</v>
      </c>
      <c r="D14">
        <f t="shared" si="1"/>
        <v>-0.12484871522680563</v>
      </c>
      <c r="E14">
        <f t="shared" si="2"/>
        <v>1.5587201693784008E-2</v>
      </c>
    </row>
    <row r="15" spans="1:8" x14ac:dyDescent="0.25">
      <c r="A15">
        <v>1.3312465602188701</v>
      </c>
      <c r="B15">
        <v>0.64131255291489153</v>
      </c>
      <c r="C15">
        <f t="shared" si="0"/>
        <v>0.74728626044710045</v>
      </c>
      <c r="D15">
        <f t="shared" si="1"/>
        <v>-0.10597370753220892</v>
      </c>
      <c r="E15">
        <f t="shared" si="2"/>
        <v>1.1230426688122153E-2</v>
      </c>
    </row>
    <row r="16" spans="1:8" x14ac:dyDescent="0.25">
      <c r="A16">
        <v>1.42305666781813</v>
      </c>
      <c r="B16">
        <v>0.46815131931033704</v>
      </c>
      <c r="C16">
        <f t="shared" si="0"/>
        <v>0.54921716457531655</v>
      </c>
      <c r="D16">
        <f t="shared" si="1"/>
        <v>-8.1065845264979508E-2</v>
      </c>
      <c r="E16">
        <f t="shared" si="2"/>
        <v>6.5716712685256005E-3</v>
      </c>
    </row>
    <row r="17" spans="1:5" x14ac:dyDescent="0.25">
      <c r="A17">
        <v>1.5148667754173899</v>
      </c>
      <c r="B17">
        <v>0.3203140605807569</v>
      </c>
      <c r="C17">
        <f t="shared" si="0"/>
        <v>0.36947398158445471</v>
      </c>
      <c r="D17">
        <f t="shared" si="1"/>
        <v>-4.9159921003697815E-2</v>
      </c>
      <c r="E17">
        <f t="shared" si="2"/>
        <v>2.4166978330898096E-3</v>
      </c>
    </row>
    <row r="18" spans="1:5" x14ac:dyDescent="0.25">
      <c r="A18">
        <v>1.60667688301665</v>
      </c>
      <c r="B18">
        <v>0.21354270705383793</v>
      </c>
      <c r="C18">
        <f t="shared" si="0"/>
        <v>0.22615146707673997</v>
      </c>
      <c r="D18">
        <f t="shared" si="1"/>
        <v>-1.2608760022902038E-2</v>
      </c>
      <c r="E18">
        <f t="shared" si="2"/>
        <v>1.589808293151326E-4</v>
      </c>
    </row>
    <row r="19" spans="1:5" x14ac:dyDescent="0.25">
      <c r="A19">
        <v>1.6984869906159101</v>
      </c>
      <c r="B19">
        <v>0.15399714450997928</v>
      </c>
      <c r="C19">
        <f t="shared" si="0"/>
        <v>0.12514729951561185</v>
      </c>
      <c r="D19">
        <f t="shared" si="1"/>
        <v>2.8849844994367435E-2</v>
      </c>
      <c r="E19">
        <f t="shared" si="2"/>
        <v>8.3231355619902781E-4</v>
      </c>
    </row>
    <row r="20" spans="1:5" x14ac:dyDescent="0.25">
      <c r="A20">
        <v>1.79029709821517</v>
      </c>
      <c r="B20">
        <v>8.3500673912077661E-2</v>
      </c>
      <c r="C20">
        <f t="shared" si="0"/>
        <v>6.2192655384931746E-2</v>
      </c>
      <c r="D20">
        <f t="shared" si="1"/>
        <v>2.1308018527145915E-2</v>
      </c>
      <c r="E20">
        <f t="shared" si="2"/>
        <v>4.5403165355319358E-4</v>
      </c>
    </row>
    <row r="21" spans="1:5" x14ac:dyDescent="0.25">
      <c r="A21">
        <v>1.8821072058144301</v>
      </c>
      <c r="B21">
        <v>6.0229994297236342E-2</v>
      </c>
      <c r="C21">
        <f t="shared" si="0"/>
        <v>2.7562303164510749E-2</v>
      </c>
      <c r="D21">
        <f t="shared" si="1"/>
        <v>3.2667691132725593E-2</v>
      </c>
      <c r="E21">
        <f t="shared" si="2"/>
        <v>1.0671780439431584E-3</v>
      </c>
    </row>
    <row r="22" spans="1:5" x14ac:dyDescent="0.25">
      <c r="A22">
        <v>1.9739173134136903</v>
      </c>
      <c r="B22">
        <v>3.6274882929017344E-2</v>
      </c>
      <c r="C22">
        <f t="shared" si="0"/>
        <v>1.0814356580596865E-2</v>
      </c>
      <c r="D22">
        <f t="shared" si="1"/>
        <v>2.5460526348420477E-2</v>
      </c>
      <c r="E22">
        <f t="shared" si="2"/>
        <v>6.4823840193861334E-4</v>
      </c>
    </row>
    <row r="23" spans="1:5" x14ac:dyDescent="0.25">
      <c r="A23">
        <v>2.0657274210129501</v>
      </c>
      <c r="B23">
        <v>1.5741930327686771E-2</v>
      </c>
      <c r="C23">
        <f t="shared" si="0"/>
        <v>3.7285620076021168E-3</v>
      </c>
      <c r="D23">
        <f t="shared" si="1"/>
        <v>1.2013368320084655E-2</v>
      </c>
      <c r="E23">
        <f t="shared" si="2"/>
        <v>1.443210183940136E-4</v>
      </c>
    </row>
    <row r="24" spans="1:5" x14ac:dyDescent="0.25">
      <c r="A24">
        <v>2.15753752861221</v>
      </c>
      <c r="B24">
        <v>5.475454027021486E-3</v>
      </c>
      <c r="C24">
        <f t="shared" si="0"/>
        <v>1.1209575054667159E-3</v>
      </c>
      <c r="D24">
        <f t="shared" si="1"/>
        <v>4.3544965215547701E-3</v>
      </c>
      <c r="E24">
        <f t="shared" si="2"/>
        <v>1.8961639956232592E-5</v>
      </c>
    </row>
    <row r="25" spans="1:5" x14ac:dyDescent="0.25">
      <c r="A25">
        <v>2.2493476362114699</v>
      </c>
      <c r="B25">
        <v>0</v>
      </c>
      <c r="C25">
        <f t="shared" si="0"/>
        <v>2.9154604717540427E-4</v>
      </c>
      <c r="D25">
        <f t="shared" si="1"/>
        <v>-2.9154604717540427E-4</v>
      </c>
      <c r="E25">
        <f t="shared" si="2"/>
        <v>8.4999097623603047E-8</v>
      </c>
    </row>
    <row r="26" spans="1:5" x14ac:dyDescent="0.25">
      <c r="A26">
        <v>2.3411577438107303</v>
      </c>
      <c r="B26">
        <v>0</v>
      </c>
      <c r="C26">
        <f t="shared" si="0"/>
        <v>6.5069227690221844E-5</v>
      </c>
      <c r="D26">
        <f t="shared" si="1"/>
        <v>-6.5069227690221844E-5</v>
      </c>
      <c r="E26">
        <f t="shared" si="2"/>
        <v>4.2340043922019333E-9</v>
      </c>
    </row>
    <row r="27" spans="1:5" x14ac:dyDescent="0.25">
      <c r="A27">
        <v>2.4329678514099902</v>
      </c>
      <c r="B27">
        <v>0</v>
      </c>
      <c r="C27">
        <f t="shared" si="0"/>
        <v>1.235938111188495E-5</v>
      </c>
      <c r="D27">
        <f t="shared" si="1"/>
        <v>-1.235938111188495E-5</v>
      </c>
      <c r="E27">
        <f t="shared" si="2"/>
        <v>1.5275430146881845E-10</v>
      </c>
    </row>
    <row r="28" spans="1:5" x14ac:dyDescent="0.25">
      <c r="A28">
        <v>2.5247779590092501</v>
      </c>
      <c r="B28">
        <v>0</v>
      </c>
      <c r="C28">
        <f t="shared" si="0"/>
        <v>1.9810631801604855E-6</v>
      </c>
      <c r="D28">
        <f t="shared" si="1"/>
        <v>-1.9810631801604855E-6</v>
      </c>
      <c r="E28">
        <f t="shared" si="2"/>
        <v>3.9246113237875759E-12</v>
      </c>
    </row>
    <row r="29" spans="1:5" x14ac:dyDescent="0.25">
      <c r="A29">
        <v>2.61658806660851</v>
      </c>
      <c r="B29">
        <v>0</v>
      </c>
      <c r="C29">
        <f t="shared" si="0"/>
        <v>2.6566708288773465E-7</v>
      </c>
      <c r="D29">
        <f t="shared" si="1"/>
        <v>-2.6566708288773465E-7</v>
      </c>
      <c r="E29">
        <f t="shared" si="2"/>
        <v>7.0578998930078472E-14</v>
      </c>
    </row>
    <row r="30" spans="1:5" x14ac:dyDescent="0.25">
      <c r="A30">
        <v>2.7083981742077698</v>
      </c>
      <c r="B30">
        <v>0</v>
      </c>
      <c r="C30">
        <f t="shared" si="0"/>
        <v>2.9546404712938329E-8</v>
      </c>
      <c r="D30">
        <f t="shared" si="1"/>
        <v>-2.9546404712938329E-8</v>
      </c>
      <c r="E30">
        <f t="shared" si="2"/>
        <v>8.729900314607443E-16</v>
      </c>
    </row>
    <row r="31" spans="1:5" x14ac:dyDescent="0.25">
      <c r="A31">
        <v>2.8002082818070297</v>
      </c>
      <c r="B31">
        <v>0</v>
      </c>
      <c r="C31">
        <f t="shared" si="0"/>
        <v>2.7009944950430887E-9</v>
      </c>
      <c r="D31">
        <f t="shared" si="1"/>
        <v>-2.7009944950430887E-9</v>
      </c>
      <c r="E31">
        <f t="shared" si="2"/>
        <v>7.2953712622530693E-18</v>
      </c>
    </row>
    <row r="32" spans="1:5" x14ac:dyDescent="0.25">
      <c r="A32">
        <v>2.8920183894062905</v>
      </c>
      <c r="B32">
        <v>0</v>
      </c>
      <c r="C32">
        <f t="shared" si="0"/>
        <v>2.0112080496319904E-10</v>
      </c>
      <c r="D32">
        <f t="shared" si="1"/>
        <v>-2.0112080496319904E-10</v>
      </c>
      <c r="E32">
        <f t="shared" si="2"/>
        <v>4.0449578189045147E-20</v>
      </c>
    </row>
    <row r="33" spans="1:5" x14ac:dyDescent="0.25">
      <c r="A33">
        <v>2.9838284970055504</v>
      </c>
      <c r="B33">
        <v>0</v>
      </c>
      <c r="C33">
        <f t="shared" si="0"/>
        <v>1.2086655026459346E-11</v>
      </c>
      <c r="D33">
        <f t="shared" si="1"/>
        <v>-1.2086655026459346E-11</v>
      </c>
      <c r="E33">
        <f t="shared" si="2"/>
        <v>1.4608722972863499E-22</v>
      </c>
    </row>
    <row r="34" spans="1:5" x14ac:dyDescent="0.25">
      <c r="A34">
        <v>3.0756386046048099</v>
      </c>
      <c r="B34">
        <v>0</v>
      </c>
      <c r="C34">
        <f t="shared" si="0"/>
        <v>5.807832368898377E-13</v>
      </c>
      <c r="D34">
        <f t="shared" si="1"/>
        <v>-5.807832368898377E-13</v>
      </c>
      <c r="E34">
        <f t="shared" si="2"/>
        <v>3.3730916825223733E-25</v>
      </c>
    </row>
    <row r="35" spans="1:5" x14ac:dyDescent="0.25">
      <c r="A35">
        <v>3.1674487122040702</v>
      </c>
      <c r="B35">
        <v>0</v>
      </c>
      <c r="C35">
        <f t="shared" si="0"/>
        <v>2.2103800270569814E-14</v>
      </c>
      <c r="D35">
        <f t="shared" si="1"/>
        <v>-2.2103800270569814E-14</v>
      </c>
      <c r="E35">
        <f t="shared" si="2"/>
        <v>4.885779864012422E-28</v>
      </c>
    </row>
    <row r="36" spans="1:5" x14ac:dyDescent="0.25">
      <c r="A36">
        <v>3.2592588198033301</v>
      </c>
      <c r="B36">
        <v>0</v>
      </c>
      <c r="C36">
        <f t="shared" si="0"/>
        <v>6.5992647010348928E-16</v>
      </c>
      <c r="D36">
        <f t="shared" si="1"/>
        <v>-6.5992647010348928E-16</v>
      </c>
      <c r="E36">
        <f t="shared" si="2"/>
        <v>4.3550294594325154E-31</v>
      </c>
    </row>
    <row r="37" spans="1:5" x14ac:dyDescent="0.25">
      <c r="A37">
        <v>3.35106892740259</v>
      </c>
      <c r="B37">
        <v>0</v>
      </c>
      <c r="C37">
        <f t="shared" si="0"/>
        <v>1.5306531582083741E-17</v>
      </c>
      <c r="D37">
        <f t="shared" si="1"/>
        <v>-1.5306531582083741E-17</v>
      </c>
      <c r="E37">
        <f t="shared" si="2"/>
        <v>2.3428990907332702E-34</v>
      </c>
    </row>
    <row r="38" spans="1:5" x14ac:dyDescent="0.25">
      <c r="A38">
        <v>3.4428790350018499</v>
      </c>
      <c r="B38">
        <v>0</v>
      </c>
      <c r="C38">
        <f t="shared" si="0"/>
        <v>2.7310838284778051E-19</v>
      </c>
      <c r="D38">
        <f t="shared" si="1"/>
        <v>-2.7310838284778051E-19</v>
      </c>
      <c r="E38">
        <f t="shared" si="2"/>
        <v>7.4588188781729851E-38</v>
      </c>
    </row>
    <row r="39" spans="1:5" x14ac:dyDescent="0.25">
      <c r="A39">
        <v>3.5346891426011098</v>
      </c>
      <c r="B39">
        <v>0</v>
      </c>
      <c r="C39">
        <f t="shared" si="0"/>
        <v>3.7114470770246629E-21</v>
      </c>
      <c r="D39">
        <f t="shared" si="1"/>
        <v>-3.7114470770246629E-21</v>
      </c>
      <c r="E39">
        <f t="shared" si="2"/>
        <v>1.3774839405554914E-41</v>
      </c>
    </row>
    <row r="40" spans="1:5" x14ac:dyDescent="0.25">
      <c r="A40">
        <v>3.6264992502003697</v>
      </c>
      <c r="B40">
        <v>6.8443175337768575E-4</v>
      </c>
      <c r="C40">
        <f t="shared" si="0"/>
        <v>3.802982334111775E-23</v>
      </c>
      <c r="D40">
        <f t="shared" si="1"/>
        <v>6.8443175337768575E-4</v>
      </c>
      <c r="E40">
        <f t="shared" si="2"/>
        <v>4.6844682503165326E-7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47EC-ABF2-412F-97EB-7E6A373063A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0.3918294201875</v>
      </c>
      <c r="B1">
        <v>2.783684443330655E-2</v>
      </c>
      <c r="C1">
        <f>$H$3*(1+$H$1)*(A1^($H$1))*EXP(-$H$3*(A1^(1+$H$1)))</f>
        <v>0.14490411217941884</v>
      </c>
      <c r="D1">
        <f>B1-C1</f>
        <v>-0.11706726774611229</v>
      </c>
      <c r="E1">
        <f>D1^2</f>
        <v>1.3704745177539942E-2</v>
      </c>
      <c r="G1" t="s">
        <v>0</v>
      </c>
      <c r="H1">
        <v>3.1370026317326736</v>
      </c>
    </row>
    <row r="2" spans="1:8" x14ac:dyDescent="0.25">
      <c r="A2">
        <v>0.47310456056250005</v>
      </c>
      <c r="B2">
        <v>0.11985308019895875</v>
      </c>
      <c r="C2">
        <f t="shared" ref="C2:C40" si="0">$H$3*(1+$H$1)*(A2^($H$1))*EXP(-$H$3*(A2^(1+$H$1)))</f>
        <v>0.25747682834402275</v>
      </c>
      <c r="D2">
        <f t="shared" ref="D2:D40" si="1">B2-C2</f>
        <v>-0.13762374814506401</v>
      </c>
      <c r="E2">
        <f t="shared" ref="E2:E40" si="2">D2^2</f>
        <v>1.8940296053496009E-2</v>
      </c>
    </row>
    <row r="3" spans="1:8" x14ac:dyDescent="0.25">
      <c r="A3">
        <v>0.55437970093750011</v>
      </c>
      <c r="B3">
        <v>0.38043687392185616</v>
      </c>
      <c r="C3">
        <f t="shared" si="0"/>
        <v>0.41162774037159555</v>
      </c>
      <c r="D3">
        <f t="shared" si="1"/>
        <v>-3.1190866449739396E-2</v>
      </c>
      <c r="E3">
        <f t="shared" si="2"/>
        <v>9.7287014988547873E-4</v>
      </c>
      <c r="G3" t="s">
        <v>1</v>
      </c>
      <c r="H3">
        <f>(_xlfn.GAMMA((2+$H$1)/(1+$H$1)))^(1+$H$1)</f>
        <v>0.67126577610028271</v>
      </c>
    </row>
    <row r="4" spans="1:8" x14ac:dyDescent="0.25">
      <c r="A4">
        <v>0.63565484131250005</v>
      </c>
      <c r="B4">
        <v>0.69128163676044596</v>
      </c>
      <c r="C4">
        <f t="shared" si="0"/>
        <v>0.60472030788144049</v>
      </c>
      <c r="D4">
        <f t="shared" si="1"/>
        <v>8.6561328879005472E-2</v>
      </c>
      <c r="E4">
        <f t="shared" si="2"/>
        <v>7.4928636572993467E-3</v>
      </c>
    </row>
    <row r="5" spans="1:8" x14ac:dyDescent="0.25">
      <c r="A5">
        <v>0.71692998168750011</v>
      </c>
      <c r="B5">
        <v>1.0516141230360252</v>
      </c>
      <c r="C5">
        <f t="shared" si="0"/>
        <v>0.82532703207107572</v>
      </c>
      <c r="D5">
        <f t="shared" si="1"/>
        <v>0.22628709096494948</v>
      </c>
      <c r="E5">
        <f t="shared" si="2"/>
        <v>5.120584753737932E-2</v>
      </c>
      <c r="G5" t="s">
        <v>2</v>
      </c>
      <c r="H5">
        <f>SUM(E1:E40)</f>
        <v>0.31820736429322932</v>
      </c>
    </row>
    <row r="6" spans="1:8" x14ac:dyDescent="0.25">
      <c r="A6">
        <v>0.79820512206250005</v>
      </c>
      <c r="B6">
        <v>1.3021457229357842</v>
      </c>
      <c r="C6">
        <f t="shared" si="0"/>
        <v>1.0514054909667623</v>
      </c>
      <c r="D6">
        <f t="shared" si="1"/>
        <v>0.25074023196902195</v>
      </c>
      <c r="E6">
        <f t="shared" si="2"/>
        <v>6.2870663927878934E-2</v>
      </c>
    </row>
    <row r="7" spans="1:8" x14ac:dyDescent="0.25">
      <c r="A7">
        <v>0.87948026243749999</v>
      </c>
      <c r="B7">
        <v>1.4830852117522768</v>
      </c>
      <c r="C7">
        <f t="shared" si="0"/>
        <v>1.2509632954158127</v>
      </c>
      <c r="D7">
        <f t="shared" si="1"/>
        <v>0.23212191633646406</v>
      </c>
      <c r="E7">
        <f t="shared" si="2"/>
        <v>5.3880584043712425E-2</v>
      </c>
    </row>
    <row r="8" spans="1:8" x14ac:dyDescent="0.25">
      <c r="A8">
        <v>0.96075540281250005</v>
      </c>
      <c r="B8">
        <v>1.5016431080411476</v>
      </c>
      <c r="C8">
        <f t="shared" si="0"/>
        <v>1.386780247615323</v>
      </c>
      <c r="D8">
        <f t="shared" si="1"/>
        <v>0.11486286042582461</v>
      </c>
      <c r="E8">
        <f t="shared" si="2"/>
        <v>1.3193476705202465E-2</v>
      </c>
    </row>
    <row r="9" spans="1:8" x14ac:dyDescent="0.25">
      <c r="A9">
        <v>1.0420305431875001</v>
      </c>
      <c r="B9">
        <v>1.3678716056255358</v>
      </c>
      <c r="C9">
        <f t="shared" si="0"/>
        <v>1.4256417276324846</v>
      </c>
      <c r="D9">
        <f t="shared" si="1"/>
        <v>-5.7770122006948865E-2</v>
      </c>
      <c r="E9">
        <f t="shared" si="2"/>
        <v>3.3373869966977577E-3</v>
      </c>
    </row>
    <row r="10" spans="1:8" x14ac:dyDescent="0.25">
      <c r="A10">
        <v>1.1233056835625002</v>
      </c>
      <c r="B10">
        <v>1.2348733488886265</v>
      </c>
      <c r="C10">
        <f t="shared" si="0"/>
        <v>1.3501313453392505</v>
      </c>
      <c r="D10">
        <f t="shared" si="1"/>
        <v>-0.11525799645062396</v>
      </c>
      <c r="E10">
        <f t="shared" si="2"/>
        <v>1.3284405745812045E-2</v>
      </c>
    </row>
    <row r="11" spans="1:8" x14ac:dyDescent="0.25">
      <c r="A11">
        <v>1.2045808239375</v>
      </c>
      <c r="B11">
        <v>0.96346411566388779</v>
      </c>
      <c r="C11">
        <f t="shared" si="0"/>
        <v>1.1681956659714785</v>
      </c>
      <c r="D11">
        <f t="shared" si="1"/>
        <v>-0.20473155030759072</v>
      </c>
      <c r="E11">
        <f t="shared" si="2"/>
        <v>4.1915007691349551E-2</v>
      </c>
    </row>
    <row r="12" spans="1:8" x14ac:dyDescent="0.25">
      <c r="A12">
        <v>1.2858559643125003</v>
      </c>
      <c r="B12">
        <v>0.78020488981128633</v>
      </c>
      <c r="C12">
        <f t="shared" si="0"/>
        <v>0.91454413803179968</v>
      </c>
      <c r="D12">
        <f t="shared" si="1"/>
        <v>-0.13433924822051335</v>
      </c>
      <c r="E12">
        <f t="shared" si="2"/>
        <v>1.80470336124527E-2</v>
      </c>
    </row>
    <row r="13" spans="1:8" x14ac:dyDescent="0.25">
      <c r="A13">
        <v>1.3671311046875001</v>
      </c>
      <c r="B13">
        <v>0.53585925534115109</v>
      </c>
      <c r="C13">
        <f t="shared" si="0"/>
        <v>0.64067142838084001</v>
      </c>
      <c r="D13">
        <f t="shared" si="1"/>
        <v>-0.10481217303968893</v>
      </c>
      <c r="E13">
        <f t="shared" si="2"/>
        <v>1.0985591617301695E-2</v>
      </c>
    </row>
    <row r="14" spans="1:8" x14ac:dyDescent="0.25">
      <c r="A14">
        <v>1.4484062450625002</v>
      </c>
      <c r="B14">
        <v>0.34177458998670818</v>
      </c>
      <c r="C14">
        <f t="shared" si="0"/>
        <v>0.39669101930784706</v>
      </c>
      <c r="D14">
        <f t="shared" si="1"/>
        <v>-5.4916429321138882E-2</v>
      </c>
      <c r="E14">
        <f t="shared" si="2"/>
        <v>3.0158142093836423E-3</v>
      </c>
    </row>
    <row r="15" spans="1:8" x14ac:dyDescent="0.25">
      <c r="A15">
        <v>1.5296813854375002</v>
      </c>
      <c r="B15">
        <v>0.22733422953867016</v>
      </c>
      <c r="C15">
        <f t="shared" si="0"/>
        <v>0.21417977335432886</v>
      </c>
      <c r="D15">
        <f t="shared" si="1"/>
        <v>1.3154456184341301E-2</v>
      </c>
      <c r="E15">
        <f t="shared" si="2"/>
        <v>1.7303971750575511E-4</v>
      </c>
    </row>
    <row r="16" spans="1:8" x14ac:dyDescent="0.25">
      <c r="A16">
        <v>1.6109565258125</v>
      </c>
      <c r="B16">
        <v>0.1476899246322653</v>
      </c>
      <c r="C16">
        <f t="shared" si="0"/>
        <v>9.9364780881358084E-2</v>
      </c>
      <c r="D16">
        <f t="shared" si="1"/>
        <v>4.8325143750907212E-2</v>
      </c>
      <c r="E16">
        <f t="shared" si="2"/>
        <v>2.3353195185458462E-3</v>
      </c>
    </row>
    <row r="17" spans="1:5" x14ac:dyDescent="0.25">
      <c r="A17">
        <v>1.6922316661875001</v>
      </c>
      <c r="B17">
        <v>7.8097813548998932E-2</v>
      </c>
      <c r="C17">
        <f t="shared" si="0"/>
        <v>3.8989026561608998E-2</v>
      </c>
      <c r="D17">
        <f t="shared" si="1"/>
        <v>3.9108786987389933E-2</v>
      </c>
      <c r="E17">
        <f t="shared" si="2"/>
        <v>1.5294972196250403E-3</v>
      </c>
    </row>
    <row r="18" spans="1:5" x14ac:dyDescent="0.25">
      <c r="A18">
        <v>1.7735068065625001</v>
      </c>
      <c r="B18">
        <v>4.5621495043474625E-2</v>
      </c>
      <c r="C18">
        <f t="shared" si="0"/>
        <v>1.2721975406525771E-2</v>
      </c>
      <c r="D18">
        <f t="shared" si="1"/>
        <v>3.2899519636948857E-2</v>
      </c>
      <c r="E18">
        <f t="shared" si="2"/>
        <v>1.0823783923419835E-3</v>
      </c>
    </row>
    <row r="19" spans="1:5" x14ac:dyDescent="0.25">
      <c r="A19">
        <v>1.8547819469375002</v>
      </c>
      <c r="B19">
        <v>1.8557896288871032E-2</v>
      </c>
      <c r="C19">
        <f t="shared" si="0"/>
        <v>3.3903177539725917E-3</v>
      </c>
      <c r="D19">
        <f t="shared" si="1"/>
        <v>1.5167578534898441E-2</v>
      </c>
      <c r="E19">
        <f t="shared" si="2"/>
        <v>2.3005543861231192E-4</v>
      </c>
    </row>
    <row r="20" spans="1:5" x14ac:dyDescent="0.25">
      <c r="A20">
        <v>1.9360570873125003</v>
      </c>
      <c r="B20">
        <v>3.8662283935147986E-3</v>
      </c>
      <c r="C20">
        <f t="shared" si="0"/>
        <v>7.2393775666134135E-4</v>
      </c>
      <c r="D20">
        <f t="shared" si="1"/>
        <v>3.1422906368534574E-3</v>
      </c>
      <c r="E20">
        <f t="shared" si="2"/>
        <v>9.8739904464569075E-6</v>
      </c>
    </row>
    <row r="21" spans="1:5" x14ac:dyDescent="0.25">
      <c r="A21">
        <v>2.0173322276875001</v>
      </c>
      <c r="B21">
        <v>0</v>
      </c>
      <c r="C21">
        <f t="shared" si="0"/>
        <v>1.2138679272201404E-4</v>
      </c>
      <c r="D21">
        <f t="shared" si="1"/>
        <v>-1.2138679272201404E-4</v>
      </c>
      <c r="E21">
        <f t="shared" si="2"/>
        <v>1.4734753447337201E-8</v>
      </c>
    </row>
    <row r="22" spans="1:5" x14ac:dyDescent="0.25">
      <c r="A22">
        <v>2.0986073680624999</v>
      </c>
      <c r="B22">
        <v>0</v>
      </c>
      <c r="C22">
        <f t="shared" si="0"/>
        <v>1.5646629566120213E-5</v>
      </c>
      <c r="D22">
        <f t="shared" si="1"/>
        <v>-1.5646629566120213E-5</v>
      </c>
      <c r="E22">
        <f t="shared" si="2"/>
        <v>2.4481701677938717E-10</v>
      </c>
    </row>
    <row r="23" spans="1:5" x14ac:dyDescent="0.25">
      <c r="A23">
        <v>2.1798825084375002</v>
      </c>
      <c r="B23">
        <v>0</v>
      </c>
      <c r="C23">
        <f t="shared" si="0"/>
        <v>1.5161977481993063E-6</v>
      </c>
      <c r="D23">
        <f t="shared" si="1"/>
        <v>-1.5161977481993063E-6</v>
      </c>
      <c r="E23">
        <f t="shared" si="2"/>
        <v>2.2988556116446468E-12</v>
      </c>
    </row>
    <row r="24" spans="1:5" x14ac:dyDescent="0.25">
      <c r="A24">
        <v>2.2611576488125005</v>
      </c>
      <c r="B24">
        <v>0</v>
      </c>
      <c r="C24">
        <f t="shared" si="0"/>
        <v>1.0789979909519997E-7</v>
      </c>
      <c r="D24">
        <f t="shared" si="1"/>
        <v>-1.0789979909519997E-7</v>
      </c>
      <c r="E24">
        <f t="shared" si="2"/>
        <v>1.1642366644784517E-14</v>
      </c>
    </row>
    <row r="25" spans="1:5" x14ac:dyDescent="0.25">
      <c r="A25">
        <v>2.3424327891875003</v>
      </c>
      <c r="B25">
        <v>0</v>
      </c>
      <c r="C25">
        <f t="shared" si="0"/>
        <v>5.5029688274236542E-9</v>
      </c>
      <c r="D25">
        <f t="shared" si="1"/>
        <v>-5.5029688274236542E-9</v>
      </c>
      <c r="E25">
        <f t="shared" si="2"/>
        <v>3.0282665915596466E-17</v>
      </c>
    </row>
    <row r="26" spans="1:5" x14ac:dyDescent="0.25">
      <c r="A26">
        <v>2.4237079295625001</v>
      </c>
      <c r="B26">
        <v>0</v>
      </c>
      <c r="C26">
        <f t="shared" si="0"/>
        <v>1.9606710218190402E-10</v>
      </c>
      <c r="D26">
        <f t="shared" si="1"/>
        <v>-1.9606710218190402E-10</v>
      </c>
      <c r="E26">
        <f t="shared" si="2"/>
        <v>3.8442308558009194E-20</v>
      </c>
    </row>
    <row r="27" spans="1:5" x14ac:dyDescent="0.25">
      <c r="A27">
        <v>2.5049830699375004</v>
      </c>
      <c r="B27">
        <v>0</v>
      </c>
      <c r="C27">
        <f t="shared" si="0"/>
        <v>4.7522653388941532E-12</v>
      </c>
      <c r="D27">
        <f t="shared" si="1"/>
        <v>-4.7522653388941532E-12</v>
      </c>
      <c r="E27">
        <f t="shared" si="2"/>
        <v>2.258402585125476E-23</v>
      </c>
    </row>
    <row r="28" spans="1:5" x14ac:dyDescent="0.25">
      <c r="A28">
        <v>2.5862582103125002</v>
      </c>
      <c r="B28">
        <v>0</v>
      </c>
      <c r="C28">
        <f t="shared" si="0"/>
        <v>7.6221713222651223E-14</v>
      </c>
      <c r="D28">
        <f t="shared" si="1"/>
        <v>-7.6221713222651223E-14</v>
      </c>
      <c r="E28">
        <f t="shared" si="2"/>
        <v>5.8097495665960841E-27</v>
      </c>
    </row>
    <row r="29" spans="1:5" x14ac:dyDescent="0.25">
      <c r="A29">
        <v>2.6675333506875001</v>
      </c>
      <c r="B29">
        <v>0</v>
      </c>
      <c r="C29">
        <f t="shared" si="0"/>
        <v>7.8608340176675411E-16</v>
      </c>
      <c r="D29">
        <f t="shared" si="1"/>
        <v>-7.8608340176675411E-16</v>
      </c>
      <c r="E29">
        <f t="shared" si="2"/>
        <v>6.1792711453319213E-31</v>
      </c>
    </row>
    <row r="30" spans="1:5" x14ac:dyDescent="0.25">
      <c r="A30">
        <v>2.7488084910625004</v>
      </c>
      <c r="B30">
        <v>0</v>
      </c>
      <c r="C30">
        <f t="shared" si="0"/>
        <v>5.0598236433203308E-18</v>
      </c>
      <c r="D30">
        <f t="shared" si="1"/>
        <v>-5.0598236433203308E-18</v>
      </c>
      <c r="E30">
        <f t="shared" si="2"/>
        <v>2.5601815301503429E-35</v>
      </c>
    </row>
    <row r="31" spans="1:5" x14ac:dyDescent="0.25">
      <c r="A31">
        <v>2.8300836314375002</v>
      </c>
      <c r="B31">
        <v>0</v>
      </c>
      <c r="C31">
        <f t="shared" si="0"/>
        <v>1.9709609283594677E-20</v>
      </c>
      <c r="D31">
        <f t="shared" si="1"/>
        <v>-1.9709609283594677E-20</v>
      </c>
      <c r="E31">
        <f t="shared" si="2"/>
        <v>3.8846869811196149E-40</v>
      </c>
    </row>
    <row r="32" spans="1:5" x14ac:dyDescent="0.25">
      <c r="A32">
        <v>2.9113587718125</v>
      </c>
      <c r="B32">
        <v>0</v>
      </c>
      <c r="C32">
        <f t="shared" si="0"/>
        <v>4.5001666484740089E-23</v>
      </c>
      <c r="D32">
        <f t="shared" si="1"/>
        <v>-4.5001666484740089E-23</v>
      </c>
      <c r="E32">
        <f t="shared" si="2"/>
        <v>2.0251499864037794E-45</v>
      </c>
    </row>
    <row r="33" spans="1:5" x14ac:dyDescent="0.25">
      <c r="A33">
        <v>2.9926339121875003</v>
      </c>
      <c r="B33">
        <v>0</v>
      </c>
      <c r="C33">
        <f t="shared" si="0"/>
        <v>5.827081006818721E-26</v>
      </c>
      <c r="D33">
        <f t="shared" si="1"/>
        <v>-5.827081006818721E-26</v>
      </c>
      <c r="E33">
        <f t="shared" si="2"/>
        <v>3.3954873060027479E-51</v>
      </c>
    </row>
    <row r="34" spans="1:5" x14ac:dyDescent="0.25">
      <c r="A34">
        <v>3.0739090525625001</v>
      </c>
      <c r="B34">
        <v>0</v>
      </c>
      <c r="C34">
        <f t="shared" si="0"/>
        <v>4.1356139065566349E-29</v>
      </c>
      <c r="D34">
        <f t="shared" si="1"/>
        <v>-4.1356139065566349E-29</v>
      </c>
      <c r="E34">
        <f t="shared" si="2"/>
        <v>1.7103302384104631E-57</v>
      </c>
    </row>
    <row r="35" spans="1:5" x14ac:dyDescent="0.25">
      <c r="A35">
        <v>3.1551841929375</v>
      </c>
      <c r="B35">
        <v>0</v>
      </c>
      <c r="C35">
        <f t="shared" si="0"/>
        <v>1.5531715088324006E-32</v>
      </c>
      <c r="D35">
        <f t="shared" si="1"/>
        <v>-1.5531715088324006E-32</v>
      </c>
      <c r="E35">
        <f t="shared" si="2"/>
        <v>2.4123417358487158E-64</v>
      </c>
    </row>
    <row r="36" spans="1:5" x14ac:dyDescent="0.25">
      <c r="A36">
        <v>3.2364593333125002</v>
      </c>
      <c r="B36">
        <v>0</v>
      </c>
      <c r="C36">
        <f t="shared" si="0"/>
        <v>2.9767443140524331E-36</v>
      </c>
      <c r="D36">
        <f t="shared" si="1"/>
        <v>-2.9767443140524331E-36</v>
      </c>
      <c r="E36">
        <f t="shared" si="2"/>
        <v>8.8610067112434906E-72</v>
      </c>
    </row>
    <row r="37" spans="1:5" x14ac:dyDescent="0.25">
      <c r="A37">
        <v>3.3177344736875005</v>
      </c>
      <c r="B37">
        <v>0</v>
      </c>
      <c r="C37">
        <f t="shared" si="0"/>
        <v>2.804693584135327E-40</v>
      </c>
      <c r="D37">
        <f t="shared" si="1"/>
        <v>-2.804693584135327E-40</v>
      </c>
      <c r="E37">
        <f t="shared" si="2"/>
        <v>7.8663061008898662E-80</v>
      </c>
    </row>
    <row r="38" spans="1:5" x14ac:dyDescent="0.25">
      <c r="A38">
        <v>3.3990096140624999</v>
      </c>
      <c r="B38">
        <v>0</v>
      </c>
      <c r="C38">
        <f t="shared" si="0"/>
        <v>1.2501316814426653E-44</v>
      </c>
      <c r="D38">
        <f t="shared" si="1"/>
        <v>-1.2501316814426653E-44</v>
      </c>
      <c r="E38">
        <f t="shared" si="2"/>
        <v>1.5628292209466656E-88</v>
      </c>
    </row>
    <row r="39" spans="1:5" x14ac:dyDescent="0.25">
      <c r="A39">
        <v>3.4802847544375002</v>
      </c>
      <c r="B39">
        <v>0</v>
      </c>
      <c r="C39">
        <f t="shared" si="0"/>
        <v>2.5338537164181063E-49</v>
      </c>
      <c r="D39">
        <f t="shared" si="1"/>
        <v>-2.5338537164181063E-49</v>
      </c>
      <c r="E39">
        <f t="shared" si="2"/>
        <v>6.4204146562058492E-98</v>
      </c>
    </row>
    <row r="40" spans="1:5" x14ac:dyDescent="0.25">
      <c r="A40">
        <v>3.5615598948125</v>
      </c>
      <c r="B40">
        <v>7.7324567870295971E-4</v>
      </c>
      <c r="C40">
        <f t="shared" si="0"/>
        <v>2.242408564405435E-54</v>
      </c>
      <c r="D40">
        <f t="shared" si="1"/>
        <v>7.7324567870295971E-4</v>
      </c>
      <c r="E40">
        <f t="shared" si="2"/>
        <v>5.9790887963280079E-7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F4A3-FE71-48C7-B684-50A865CB0DE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4.3583629055855881E-2</v>
      </c>
      <c r="B1">
        <v>2.883186100723913E-3</v>
      </c>
      <c r="C1">
        <f>$H$3*(1+$H$1)*(A1^($H$1))*EXP(-$H$3*(A1^(1+$H$1)))</f>
        <v>2.3383362264916039E-5</v>
      </c>
      <c r="D1">
        <f>B1-C1</f>
        <v>2.8598027384589969E-3</v>
      </c>
      <c r="E1">
        <f>D1^2</f>
        <v>8.1784717028975777E-6</v>
      </c>
      <c r="G1" t="s">
        <v>0</v>
      </c>
      <c r="H1">
        <v>3.767932567463506</v>
      </c>
    </row>
    <row r="2" spans="1:8" x14ac:dyDescent="0.25">
      <c r="A2">
        <v>0.13075088715570762</v>
      </c>
      <c r="B2">
        <v>0</v>
      </c>
      <c r="C2">
        <f t="shared" ref="C2:C40" si="0">$H$3*(1+$H$1)*(A2^($H$1))*EXP(-$H$3*(A2^(1+$H$1)))</f>
        <v>1.4677438994282802E-3</v>
      </c>
      <c r="D2">
        <f t="shared" ref="D2:D40" si="1">B2-C2</f>
        <v>-1.4677438994282802E-3</v>
      </c>
      <c r="E2">
        <f t="shared" ref="E2:E40" si="2">D2^2</f>
        <v>2.1542721543089335E-6</v>
      </c>
    </row>
    <row r="3" spans="1:8" x14ac:dyDescent="0.25">
      <c r="A3">
        <v>0.21791814525555936</v>
      </c>
      <c r="B3">
        <v>0</v>
      </c>
      <c r="C3">
        <f t="shared" si="0"/>
        <v>1.0054933840434696E-2</v>
      </c>
      <c r="D3">
        <f t="shared" si="1"/>
        <v>-1.0054933840434696E-2</v>
      </c>
      <c r="E3">
        <f t="shared" si="2"/>
        <v>1.0110169453551883E-4</v>
      </c>
      <c r="G3" t="s">
        <v>1</v>
      </c>
      <c r="H3">
        <f>(_xlfn.GAMMA((2+$H$1)/(1+$H$1)))^(1+$H$1)</f>
        <v>0.65692329170043962</v>
      </c>
    </row>
    <row r="4" spans="1:8" x14ac:dyDescent="0.25">
      <c r="A4">
        <v>0.30508540335541112</v>
      </c>
      <c r="B4">
        <v>0</v>
      </c>
      <c r="C4">
        <f t="shared" si="0"/>
        <v>3.5660402125814249E-2</v>
      </c>
      <c r="D4">
        <f t="shared" si="1"/>
        <v>-3.5660402125814249E-2</v>
      </c>
      <c r="E4">
        <f t="shared" si="2"/>
        <v>1.2716642797747774E-3</v>
      </c>
    </row>
    <row r="5" spans="1:8" x14ac:dyDescent="0.25">
      <c r="A5">
        <v>0.39225266145526289</v>
      </c>
      <c r="B5">
        <v>2.1623895755429347E-3</v>
      </c>
      <c r="C5">
        <f t="shared" si="0"/>
        <v>9.1440073063673868E-2</v>
      </c>
      <c r="D5">
        <f t="shared" si="1"/>
        <v>-8.9277683488130935E-2</v>
      </c>
      <c r="E5">
        <f t="shared" si="2"/>
        <v>7.9705047690068875E-3</v>
      </c>
      <c r="G5" t="s">
        <v>2</v>
      </c>
      <c r="H5">
        <f>SUM(E1:E40)</f>
        <v>0.38544037238743645</v>
      </c>
    </row>
    <row r="6" spans="1:8" x14ac:dyDescent="0.25">
      <c r="A6">
        <v>0.47941991955511465</v>
      </c>
      <c r="B6">
        <v>5.0455756762668474E-2</v>
      </c>
      <c r="C6">
        <f t="shared" si="0"/>
        <v>0.19241307687012149</v>
      </c>
      <c r="D6">
        <f t="shared" si="1"/>
        <v>-0.14195732010745302</v>
      </c>
      <c r="E6">
        <f t="shared" si="2"/>
        <v>2.0151880732089886E-2</v>
      </c>
    </row>
    <row r="7" spans="1:8" x14ac:dyDescent="0.25">
      <c r="A7">
        <v>0.56658717765496636</v>
      </c>
      <c r="B7">
        <v>0.23714205678454184</v>
      </c>
      <c r="C7">
        <f t="shared" si="0"/>
        <v>0.35250432917523455</v>
      </c>
      <c r="D7">
        <f t="shared" si="1"/>
        <v>-0.11536227239069272</v>
      </c>
      <c r="E7">
        <f t="shared" si="2"/>
        <v>1.3308453891144384E-2</v>
      </c>
    </row>
    <row r="8" spans="1:8" x14ac:dyDescent="0.25">
      <c r="A8">
        <v>0.65375443575481818</v>
      </c>
      <c r="B8">
        <v>0.65592483791469014</v>
      </c>
      <c r="C8">
        <f t="shared" si="0"/>
        <v>0.57907900938760226</v>
      </c>
      <c r="D8">
        <f t="shared" si="1"/>
        <v>7.6845828527087878E-2</v>
      </c>
      <c r="E8">
        <f t="shared" si="2"/>
        <v>5.9052813620145929E-3</v>
      </c>
    </row>
    <row r="9" spans="1:8" x14ac:dyDescent="0.25">
      <c r="A9">
        <v>0.74092169385466988</v>
      </c>
      <c r="B9">
        <v>1.0761492120952005</v>
      </c>
      <c r="C9">
        <f t="shared" si="0"/>
        <v>0.86469247568125218</v>
      </c>
      <c r="D9">
        <f t="shared" si="1"/>
        <v>0.21145673641394835</v>
      </c>
      <c r="E9">
        <f t="shared" si="2"/>
        <v>4.471395137483803E-2</v>
      </c>
    </row>
    <row r="10" spans="1:8" x14ac:dyDescent="0.25">
      <c r="A10">
        <v>0.82808895195452159</v>
      </c>
      <c r="B10">
        <v>1.5194390750815021</v>
      </c>
      <c r="C10">
        <f t="shared" si="0"/>
        <v>1.1778796260725313</v>
      </c>
      <c r="D10">
        <f t="shared" si="1"/>
        <v>0.34155944900897084</v>
      </c>
      <c r="E10">
        <f t="shared" si="2"/>
        <v>0.11666285720731175</v>
      </c>
    </row>
    <row r="11" spans="1:8" x14ac:dyDescent="0.25">
      <c r="A11">
        <v>0.91525621005437341</v>
      </c>
      <c r="B11">
        <v>1.6787351071464982</v>
      </c>
      <c r="C11">
        <f t="shared" si="0"/>
        <v>1.4584752956093143</v>
      </c>
      <c r="D11">
        <f t="shared" si="1"/>
        <v>0.22025981153718388</v>
      </c>
      <c r="E11">
        <f t="shared" si="2"/>
        <v>4.8514384578395763E-2</v>
      </c>
    </row>
    <row r="12" spans="1:8" x14ac:dyDescent="0.25">
      <c r="A12">
        <v>1.002423468154225</v>
      </c>
      <c r="B12">
        <v>1.6787351071464982</v>
      </c>
      <c r="C12">
        <f t="shared" si="0"/>
        <v>1.6262820375101386</v>
      </c>
      <c r="D12">
        <f t="shared" si="1"/>
        <v>5.245306963635965E-2</v>
      </c>
      <c r="E12">
        <f t="shared" si="2"/>
        <v>2.7513245142767946E-3</v>
      </c>
    </row>
    <row r="13" spans="1:8" x14ac:dyDescent="0.25">
      <c r="A13">
        <v>1.0895907262540767</v>
      </c>
      <c r="B13">
        <v>1.4653793356929288</v>
      </c>
      <c r="C13">
        <f t="shared" si="0"/>
        <v>1.6097025065613597</v>
      </c>
      <c r="D13">
        <f t="shared" si="1"/>
        <v>-0.14432317086843094</v>
      </c>
      <c r="E13">
        <f t="shared" si="2"/>
        <v>2.0829177649518311E-2</v>
      </c>
    </row>
    <row r="14" spans="1:8" x14ac:dyDescent="0.25">
      <c r="A14">
        <v>1.1767579843539286</v>
      </c>
      <c r="B14">
        <v>1.1366961202104027</v>
      </c>
      <c r="C14">
        <f t="shared" si="0"/>
        <v>1.3876388957836001</v>
      </c>
      <c r="D14">
        <f t="shared" si="1"/>
        <v>-0.25094277557319744</v>
      </c>
      <c r="E14">
        <f t="shared" si="2"/>
        <v>6.297227661238014E-2</v>
      </c>
    </row>
    <row r="15" spans="1:8" x14ac:dyDescent="0.25">
      <c r="A15">
        <v>1.2639252424537804</v>
      </c>
      <c r="B15">
        <v>0.86135184759126893</v>
      </c>
      <c r="C15">
        <f t="shared" si="0"/>
        <v>1.0175582557857104</v>
      </c>
      <c r="D15">
        <f t="shared" si="1"/>
        <v>-0.15620640819444143</v>
      </c>
      <c r="E15">
        <f t="shared" si="2"/>
        <v>2.4400441961008459E-2</v>
      </c>
    </row>
    <row r="16" spans="1:8" x14ac:dyDescent="0.25">
      <c r="A16">
        <v>1.3510925005536323</v>
      </c>
      <c r="B16">
        <v>0.52546066685693316</v>
      </c>
      <c r="C16">
        <f t="shared" si="0"/>
        <v>0.61719634436444337</v>
      </c>
      <c r="D16">
        <f t="shared" si="1"/>
        <v>-9.1735677507510216E-2</v>
      </c>
      <c r="E16">
        <f t="shared" si="2"/>
        <v>8.4154345277619152E-3</v>
      </c>
    </row>
    <row r="17" spans="1:5" x14ac:dyDescent="0.25">
      <c r="A17">
        <v>1.438259758653484</v>
      </c>
      <c r="B17">
        <v>0.2847146274464864</v>
      </c>
      <c r="C17">
        <f t="shared" si="0"/>
        <v>0.29973616958673366</v>
      </c>
      <c r="D17">
        <f t="shared" si="1"/>
        <v>-1.5021542140247257E-2</v>
      </c>
      <c r="E17">
        <f t="shared" si="2"/>
        <v>2.2564672827122414E-4</v>
      </c>
    </row>
    <row r="18" spans="1:5" x14ac:dyDescent="0.25">
      <c r="A18">
        <v>1.5254270167533355</v>
      </c>
      <c r="B18">
        <v>0.17587435214415867</v>
      </c>
      <c r="C18">
        <f t="shared" si="0"/>
        <v>0.1123001973425167</v>
      </c>
      <c r="D18">
        <f t="shared" si="1"/>
        <v>6.3574154801641969E-2</v>
      </c>
      <c r="E18">
        <f t="shared" si="2"/>
        <v>4.0416731587431367E-3</v>
      </c>
    </row>
    <row r="19" spans="1:5" x14ac:dyDescent="0.25">
      <c r="A19">
        <v>1.6125942748531874</v>
      </c>
      <c r="B19">
        <v>8.0008414295088578E-2</v>
      </c>
      <c r="C19">
        <f t="shared" si="0"/>
        <v>3.1129576536942063E-2</v>
      </c>
      <c r="D19">
        <f t="shared" si="1"/>
        <v>4.8878837758146512E-2</v>
      </c>
      <c r="E19">
        <f t="shared" si="2"/>
        <v>2.3891407805872091E-3</v>
      </c>
    </row>
    <row r="20" spans="1:5" x14ac:dyDescent="0.25">
      <c r="A20">
        <v>1.6997615329530391</v>
      </c>
      <c r="B20">
        <v>3.3877436683505978E-2</v>
      </c>
      <c r="C20">
        <f t="shared" si="0"/>
        <v>6.0930499255985766E-3</v>
      </c>
      <c r="D20">
        <f t="shared" si="1"/>
        <v>2.7784386757907401E-2</v>
      </c>
      <c r="E20">
        <f t="shared" si="2"/>
        <v>7.7197214751298013E-4</v>
      </c>
    </row>
    <row r="21" spans="1:5" x14ac:dyDescent="0.25">
      <c r="A21">
        <v>1.7869287910528908</v>
      </c>
      <c r="B21">
        <v>6.4871687266288038E-3</v>
      </c>
      <c r="C21">
        <f t="shared" si="0"/>
        <v>7.9966520302872358E-4</v>
      </c>
      <c r="D21">
        <f t="shared" si="1"/>
        <v>5.68750352360008E-3</v>
      </c>
      <c r="E21">
        <f t="shared" si="2"/>
        <v>3.2347696330963322E-5</v>
      </c>
    </row>
    <row r="22" spans="1:5" x14ac:dyDescent="0.25">
      <c r="A22">
        <v>1.8740960491527427</v>
      </c>
      <c r="B22">
        <v>0</v>
      </c>
      <c r="C22">
        <f t="shared" si="0"/>
        <v>6.6480184762508069E-5</v>
      </c>
      <c r="D22">
        <f t="shared" si="1"/>
        <v>-6.6480184762508069E-5</v>
      </c>
      <c r="E22">
        <f t="shared" si="2"/>
        <v>4.4196149660572099E-9</v>
      </c>
    </row>
    <row r="23" spans="1:5" x14ac:dyDescent="0.25">
      <c r="A23">
        <v>1.9612633072525942</v>
      </c>
      <c r="B23">
        <v>0</v>
      </c>
      <c r="C23">
        <f t="shared" si="0"/>
        <v>3.2897900619594072E-6</v>
      </c>
      <c r="D23">
        <f t="shared" si="1"/>
        <v>-3.2897900619594072E-6</v>
      </c>
      <c r="E23">
        <f t="shared" si="2"/>
        <v>1.0822718651766881E-11</v>
      </c>
    </row>
    <row r="24" spans="1:5" x14ac:dyDescent="0.25">
      <c r="A24">
        <v>2.0484305653524459</v>
      </c>
      <c r="B24">
        <v>0</v>
      </c>
      <c r="C24">
        <f t="shared" si="0"/>
        <v>9.0557778769161435E-8</v>
      </c>
      <c r="D24">
        <f t="shared" si="1"/>
        <v>-9.0557778769161435E-8</v>
      </c>
      <c r="E24">
        <f t="shared" si="2"/>
        <v>8.2007112956043854E-15</v>
      </c>
    </row>
    <row r="25" spans="1:5" x14ac:dyDescent="0.25">
      <c r="A25">
        <v>2.1355978234522976</v>
      </c>
      <c r="B25">
        <v>0</v>
      </c>
      <c r="C25">
        <f t="shared" si="0"/>
        <v>1.2885084259605335E-9</v>
      </c>
      <c r="D25">
        <f t="shared" si="1"/>
        <v>-1.2885084259605335E-9</v>
      </c>
      <c r="E25">
        <f t="shared" si="2"/>
        <v>1.6602539637712918E-18</v>
      </c>
    </row>
    <row r="26" spans="1:5" x14ac:dyDescent="0.25">
      <c r="A26">
        <v>2.2227650815521498</v>
      </c>
      <c r="B26">
        <v>0</v>
      </c>
      <c r="C26">
        <f t="shared" si="0"/>
        <v>8.7544998474259951E-12</v>
      </c>
      <c r="D26">
        <f t="shared" si="1"/>
        <v>-8.7544998474259951E-12</v>
      </c>
      <c r="E26">
        <f t="shared" si="2"/>
        <v>7.6641267578581773E-23</v>
      </c>
    </row>
    <row r="27" spans="1:5" x14ac:dyDescent="0.25">
      <c r="A27">
        <v>2.3099323396520015</v>
      </c>
      <c r="B27">
        <v>0</v>
      </c>
      <c r="C27">
        <f t="shared" si="0"/>
        <v>2.608052258972784E-14</v>
      </c>
      <c r="D27">
        <f t="shared" si="1"/>
        <v>-2.608052258972784E-14</v>
      </c>
      <c r="E27">
        <f t="shared" si="2"/>
        <v>6.8019365855330417E-28</v>
      </c>
    </row>
    <row r="28" spans="1:5" x14ac:dyDescent="0.25">
      <c r="A28">
        <v>2.3970995977518532</v>
      </c>
      <c r="B28">
        <v>0</v>
      </c>
      <c r="C28">
        <f t="shared" si="0"/>
        <v>3.1088746698392502E-17</v>
      </c>
      <c r="D28">
        <f t="shared" si="1"/>
        <v>-3.1088746698392502E-17</v>
      </c>
      <c r="E28">
        <f t="shared" si="2"/>
        <v>9.665101712768107E-34</v>
      </c>
    </row>
    <row r="29" spans="1:5" x14ac:dyDescent="0.25">
      <c r="A29">
        <v>2.4842668558517049</v>
      </c>
      <c r="B29">
        <v>0</v>
      </c>
      <c r="C29">
        <f t="shared" si="0"/>
        <v>1.3445568971362233E-20</v>
      </c>
      <c r="D29">
        <f t="shared" si="1"/>
        <v>-1.3445568971362233E-20</v>
      </c>
      <c r="E29">
        <f t="shared" si="2"/>
        <v>1.8078332496365886E-40</v>
      </c>
    </row>
    <row r="30" spans="1:5" x14ac:dyDescent="0.25">
      <c r="A30">
        <v>2.5714341139515566</v>
      </c>
      <c r="B30">
        <v>0</v>
      </c>
      <c r="C30">
        <f t="shared" si="0"/>
        <v>1.9005553739208196E-24</v>
      </c>
      <c r="D30">
        <f t="shared" si="1"/>
        <v>-1.9005553739208196E-24</v>
      </c>
      <c r="E30">
        <f t="shared" si="2"/>
        <v>3.6121107293393064E-48</v>
      </c>
    </row>
    <row r="31" spans="1:5" x14ac:dyDescent="0.25">
      <c r="A31">
        <v>2.6586013720514083</v>
      </c>
      <c r="B31">
        <v>0</v>
      </c>
      <c r="C31">
        <f t="shared" si="0"/>
        <v>7.8562685885452807E-29</v>
      </c>
      <c r="D31">
        <f t="shared" si="1"/>
        <v>-7.8562685885452807E-29</v>
      </c>
      <c r="E31">
        <f t="shared" si="2"/>
        <v>6.1720956135363256E-57</v>
      </c>
    </row>
    <row r="32" spans="1:5" x14ac:dyDescent="0.25">
      <c r="A32">
        <v>2.74576863015126</v>
      </c>
      <c r="B32">
        <v>0</v>
      </c>
      <c r="C32">
        <f t="shared" si="0"/>
        <v>8.4390229450402406E-34</v>
      </c>
      <c r="D32">
        <f t="shared" si="1"/>
        <v>-8.4390229450402406E-34</v>
      </c>
      <c r="E32">
        <f t="shared" si="2"/>
        <v>7.121710826691566E-67</v>
      </c>
    </row>
    <row r="33" spans="1:5" x14ac:dyDescent="0.25">
      <c r="A33">
        <v>2.8329358882511118</v>
      </c>
      <c r="B33">
        <v>0</v>
      </c>
      <c r="C33">
        <f t="shared" si="0"/>
        <v>2.078424506378872E-39</v>
      </c>
      <c r="D33">
        <f t="shared" si="1"/>
        <v>-2.078424506378872E-39</v>
      </c>
      <c r="E33">
        <f t="shared" si="2"/>
        <v>4.3198484287162577E-78</v>
      </c>
    </row>
    <row r="34" spans="1:5" x14ac:dyDescent="0.25">
      <c r="A34">
        <v>2.9201031463509635</v>
      </c>
      <c r="B34">
        <v>0</v>
      </c>
      <c r="C34">
        <f t="shared" si="0"/>
        <v>1.0280489310318221E-45</v>
      </c>
      <c r="D34">
        <f t="shared" si="1"/>
        <v>-1.0280489310318221E-45</v>
      </c>
      <c r="E34">
        <f t="shared" si="2"/>
        <v>1.0568846045956721E-90</v>
      </c>
    </row>
    <row r="35" spans="1:5" x14ac:dyDescent="0.25">
      <c r="A35">
        <v>3.0072704044508152</v>
      </c>
      <c r="B35">
        <v>0</v>
      </c>
      <c r="C35">
        <f t="shared" si="0"/>
        <v>8.8791574211895415E-53</v>
      </c>
      <c r="D35">
        <f t="shared" si="1"/>
        <v>-8.8791574211895415E-53</v>
      </c>
      <c r="E35">
        <f t="shared" si="2"/>
        <v>7.8839436510265307E-105</v>
      </c>
    </row>
    <row r="36" spans="1:5" x14ac:dyDescent="0.25">
      <c r="A36">
        <v>3.0944376625506669</v>
      </c>
      <c r="B36">
        <v>0</v>
      </c>
      <c r="C36">
        <f t="shared" si="0"/>
        <v>1.1554312370089424E-60</v>
      </c>
      <c r="D36">
        <f t="shared" si="1"/>
        <v>-1.1554312370089424E-60</v>
      </c>
      <c r="E36">
        <f t="shared" si="2"/>
        <v>1.3350213434560147E-120</v>
      </c>
    </row>
    <row r="37" spans="1:5" x14ac:dyDescent="0.25">
      <c r="A37">
        <v>3.1816049206505186</v>
      </c>
      <c r="B37">
        <v>0</v>
      </c>
      <c r="C37">
        <f t="shared" si="0"/>
        <v>1.9394887160954704E-69</v>
      </c>
      <c r="D37">
        <f t="shared" si="1"/>
        <v>-1.9394887160954704E-69</v>
      </c>
      <c r="E37">
        <f t="shared" si="2"/>
        <v>3.7616164798616562E-138</v>
      </c>
    </row>
    <row r="38" spans="1:5" x14ac:dyDescent="0.25">
      <c r="A38">
        <v>3.2687721787503707</v>
      </c>
      <c r="B38">
        <v>0</v>
      </c>
      <c r="C38">
        <f t="shared" si="0"/>
        <v>3.5670077352849802E-79</v>
      </c>
      <c r="D38">
        <f t="shared" si="1"/>
        <v>-3.5670077352849802E-79</v>
      </c>
      <c r="E38">
        <f t="shared" si="2"/>
        <v>1.2723544183582884E-157</v>
      </c>
    </row>
    <row r="39" spans="1:5" x14ac:dyDescent="0.25">
      <c r="A39">
        <v>3.3559394368502224</v>
      </c>
      <c r="B39">
        <v>0</v>
      </c>
      <c r="C39">
        <f t="shared" si="0"/>
        <v>6.0557794613288865E-90</v>
      </c>
      <c r="D39">
        <f t="shared" si="1"/>
        <v>-6.0557794613288865E-90</v>
      </c>
      <c r="E39">
        <f t="shared" si="2"/>
        <v>3.6672464884252776E-179</v>
      </c>
    </row>
    <row r="40" spans="1:5" x14ac:dyDescent="0.25">
      <c r="A40">
        <v>3.4431066949500742</v>
      </c>
      <c r="B40">
        <v>7.2079652518097824E-4</v>
      </c>
      <c r="C40">
        <f t="shared" si="0"/>
        <v>7.929763791555847E-102</v>
      </c>
      <c r="D40">
        <f t="shared" si="1"/>
        <v>7.2079652518097824E-4</v>
      </c>
      <c r="E40">
        <f t="shared" si="2"/>
        <v>5.1954763071297256E-7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9056-C53C-4F30-AB7D-F3B3317D0D6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0.53095797866250005</v>
      </c>
      <c r="B1">
        <v>2.2918509012894075E-2</v>
      </c>
      <c r="C1">
        <f>$H$3*(1+$H$1)*(A1^($H$1))*EXP(-$H$3*(A1^(1+$H$1)))</f>
        <v>0.17460629274199965</v>
      </c>
      <c r="D1">
        <f>B1-C1</f>
        <v>-0.15168778372910557</v>
      </c>
      <c r="E1">
        <f>D1^2</f>
        <v>2.3009183732647907E-2</v>
      </c>
      <c r="G1" t="s">
        <v>0</v>
      </c>
      <c r="H1">
        <v>4.8041562192626461</v>
      </c>
    </row>
    <row r="2" spans="1:8" x14ac:dyDescent="0.25">
      <c r="A2">
        <v>0.60499562998750001</v>
      </c>
      <c r="B2">
        <v>0.16467373142597963</v>
      </c>
      <c r="C2">
        <f t="shared" ref="C2:C40" si="0">$H$3*(1+$H$1)*(A2^($H$1))*EXP(-$H$3*(A2^(1+$H$1)))</f>
        <v>0.32094259018606558</v>
      </c>
      <c r="D2">
        <f t="shared" ref="D2:D40" si="1">B2-C2</f>
        <v>-0.15626885876008595</v>
      </c>
      <c r="E2">
        <f t="shared" ref="E2:E40" si="2">D2^2</f>
        <v>2.4419956218179693E-2</v>
      </c>
    </row>
    <row r="3" spans="1:8" x14ac:dyDescent="0.25">
      <c r="A3">
        <v>0.67903328131250007</v>
      </c>
      <c r="B3">
        <v>0.52373037262798683</v>
      </c>
      <c r="C3">
        <f t="shared" si="0"/>
        <v>0.54068874301394898</v>
      </c>
      <c r="D3">
        <f t="shared" si="1"/>
        <v>-1.6958370385962152E-2</v>
      </c>
      <c r="E3">
        <f t="shared" si="2"/>
        <v>2.8758632614747811E-4</v>
      </c>
      <c r="G3" t="s">
        <v>1</v>
      </c>
      <c r="H3">
        <f>(_xlfn.GAMMA((2+$H$1)/(1+$H$1)))^(1+$H$1)</f>
        <v>0.64006667157671626</v>
      </c>
    </row>
    <row r="4" spans="1:8" x14ac:dyDescent="0.25">
      <c r="A4">
        <v>0.75307093263750002</v>
      </c>
      <c r="B4">
        <v>1.0406700759188199</v>
      </c>
      <c r="C4">
        <f t="shared" si="0"/>
        <v>0.84075025098729739</v>
      </c>
      <c r="D4">
        <f t="shared" si="1"/>
        <v>0.19991982493152249</v>
      </c>
      <c r="E4">
        <f t="shared" si="2"/>
        <v>3.9967936400650605E-2</v>
      </c>
    </row>
    <row r="5" spans="1:8" x14ac:dyDescent="0.25">
      <c r="A5">
        <v>0.82710858396250009</v>
      </c>
      <c r="B5">
        <v>1.6034467972354409</v>
      </c>
      <c r="C5">
        <f t="shared" si="0"/>
        <v>1.2065688468915658</v>
      </c>
      <c r="D5">
        <f t="shared" si="1"/>
        <v>0.39687795034387507</v>
      </c>
      <c r="E5">
        <f t="shared" si="2"/>
        <v>0.15751210746915537</v>
      </c>
      <c r="G5" t="s">
        <v>2</v>
      </c>
      <c r="H5">
        <f>SUM(E1:E40)</f>
        <v>0.62401572380136627</v>
      </c>
    </row>
    <row r="6" spans="1:8" x14ac:dyDescent="0.25">
      <c r="A6">
        <v>0.90114623528750004</v>
      </c>
      <c r="B6">
        <v>1.9523174344317173</v>
      </c>
      <c r="C6">
        <f t="shared" si="0"/>
        <v>1.5880603134901865</v>
      </c>
      <c r="D6">
        <f t="shared" si="1"/>
        <v>0.36425712094153084</v>
      </c>
      <c r="E6">
        <f t="shared" si="2"/>
        <v>0.13268325015661303</v>
      </c>
    </row>
    <row r="7" spans="1:8" x14ac:dyDescent="0.25">
      <c r="A7">
        <v>0.97518388661249999</v>
      </c>
      <c r="B7">
        <v>2.0855843201733606</v>
      </c>
      <c r="C7">
        <f t="shared" si="0"/>
        <v>1.8935762948525323</v>
      </c>
      <c r="D7">
        <f t="shared" si="1"/>
        <v>0.19200802532082828</v>
      </c>
      <c r="E7">
        <f t="shared" si="2"/>
        <v>3.6867081787603832E-2</v>
      </c>
    </row>
    <row r="8" spans="1:8" x14ac:dyDescent="0.25">
      <c r="A8">
        <v>1.0492215379375001</v>
      </c>
      <c r="B8">
        <v>1.8844107410601794</v>
      </c>
      <c r="C8">
        <f t="shared" si="0"/>
        <v>2.0082820666097398</v>
      </c>
      <c r="D8">
        <f t="shared" si="1"/>
        <v>-0.12387132554956048</v>
      </c>
      <c r="E8">
        <f t="shared" si="2"/>
        <v>1.5344105293405196E-2</v>
      </c>
    </row>
    <row r="9" spans="1:8" x14ac:dyDescent="0.25">
      <c r="A9">
        <v>1.1232591892624999</v>
      </c>
      <c r="B9">
        <v>1.550819109872499</v>
      </c>
      <c r="C9">
        <f t="shared" si="0"/>
        <v>1.8480602033700051</v>
      </c>
      <c r="D9">
        <f t="shared" si="1"/>
        <v>-0.29724109349750605</v>
      </c>
      <c r="E9">
        <f t="shared" si="2"/>
        <v>8.8352267663593137E-2</v>
      </c>
    </row>
    <row r="10" spans="1:8" x14ac:dyDescent="0.25">
      <c r="A10">
        <v>1.1972968405875002</v>
      </c>
      <c r="B10">
        <v>1.173088127993319</v>
      </c>
      <c r="C10">
        <f t="shared" si="0"/>
        <v>1.4293944481576455</v>
      </c>
      <c r="D10">
        <f t="shared" si="1"/>
        <v>-0.25630632016432653</v>
      </c>
      <c r="E10">
        <f t="shared" si="2"/>
        <v>6.5692929756178256E-2</v>
      </c>
    </row>
    <row r="11" spans="1:8" x14ac:dyDescent="0.25">
      <c r="A11">
        <v>1.2713344919125</v>
      </c>
      <c r="B11">
        <v>0.73254345474546612</v>
      </c>
      <c r="C11">
        <f t="shared" si="0"/>
        <v>0.89334780612430564</v>
      </c>
      <c r="D11">
        <f t="shared" si="1"/>
        <v>-0.16080435137883953</v>
      </c>
      <c r="E11">
        <f t="shared" si="2"/>
        <v>2.5858039422369288E-2</v>
      </c>
    </row>
    <row r="12" spans="1:8" x14ac:dyDescent="0.25">
      <c r="A12">
        <v>1.3453721432374999</v>
      </c>
      <c r="B12">
        <v>0.39216115422063191</v>
      </c>
      <c r="C12">
        <f t="shared" si="0"/>
        <v>0.43011319608144805</v>
      </c>
      <c r="D12">
        <f t="shared" si="1"/>
        <v>-3.7952041860816133E-2</v>
      </c>
      <c r="E12">
        <f t="shared" si="2"/>
        <v>1.4403574814051401E-3</v>
      </c>
    </row>
    <row r="13" spans="1:8" x14ac:dyDescent="0.25">
      <c r="A13">
        <v>1.4194097945625002</v>
      </c>
      <c r="B13">
        <v>0.23682459313323875</v>
      </c>
      <c r="C13">
        <f t="shared" si="0"/>
        <v>0.15070229458990064</v>
      </c>
      <c r="D13">
        <f t="shared" si="1"/>
        <v>8.6122298543338111E-2</v>
      </c>
      <c r="E13">
        <f t="shared" si="2"/>
        <v>7.4170503063878575E-3</v>
      </c>
    </row>
    <row r="14" spans="1:8" x14ac:dyDescent="0.25">
      <c r="A14">
        <v>1.4934474458875</v>
      </c>
      <c r="B14">
        <v>9.9313539055874325E-2</v>
      </c>
      <c r="C14">
        <f t="shared" si="0"/>
        <v>3.5937744984905859E-2</v>
      </c>
      <c r="D14">
        <f t="shared" si="1"/>
        <v>6.3375794070968466E-2</v>
      </c>
      <c r="E14">
        <f t="shared" si="2"/>
        <v>4.0164912741258016E-3</v>
      </c>
    </row>
    <row r="15" spans="1:8" x14ac:dyDescent="0.25">
      <c r="A15">
        <v>1.5674850972124998</v>
      </c>
      <c r="B15">
        <v>3.9046348688634346E-2</v>
      </c>
      <c r="C15">
        <f t="shared" si="0"/>
        <v>5.3954078460651299E-3</v>
      </c>
      <c r="D15">
        <f t="shared" si="1"/>
        <v>3.3650940842569213E-2</v>
      </c>
      <c r="E15">
        <f t="shared" si="2"/>
        <v>1.1323858195900927E-3</v>
      </c>
    </row>
    <row r="16" spans="1:8" x14ac:dyDescent="0.25">
      <c r="A16">
        <v>1.6415227485374999</v>
      </c>
      <c r="B16">
        <v>4.2441683357211249E-3</v>
      </c>
      <c r="C16">
        <f t="shared" si="0"/>
        <v>4.6610831042947533E-4</v>
      </c>
      <c r="D16">
        <f t="shared" si="1"/>
        <v>3.7780600252916496E-3</v>
      </c>
      <c r="E16">
        <f t="shared" si="2"/>
        <v>1.427373755470674E-5</v>
      </c>
    </row>
    <row r="17" spans="1:5" x14ac:dyDescent="0.25">
      <c r="A17">
        <v>1.7155603998625</v>
      </c>
      <c r="B17">
        <v>0</v>
      </c>
      <c r="C17">
        <f t="shared" si="0"/>
        <v>2.0903995934783621E-5</v>
      </c>
      <c r="D17">
        <f t="shared" si="1"/>
        <v>-2.0903995934783621E-5</v>
      </c>
      <c r="E17">
        <f t="shared" si="2"/>
        <v>4.3697704604145016E-10</v>
      </c>
    </row>
    <row r="18" spans="1:5" x14ac:dyDescent="0.25">
      <c r="A18">
        <v>1.7895980511874998</v>
      </c>
      <c r="B18">
        <v>0</v>
      </c>
      <c r="C18">
        <f t="shared" si="0"/>
        <v>4.3292424118786907E-7</v>
      </c>
      <c r="D18">
        <f t="shared" si="1"/>
        <v>-4.3292424118786907E-7</v>
      </c>
      <c r="E18">
        <f t="shared" si="2"/>
        <v>1.8742339860809223E-13</v>
      </c>
    </row>
    <row r="19" spans="1:5" x14ac:dyDescent="0.25">
      <c r="A19">
        <v>1.8636357025125001</v>
      </c>
      <c r="B19">
        <v>0</v>
      </c>
      <c r="C19">
        <f t="shared" si="0"/>
        <v>3.6271829674459128E-9</v>
      </c>
      <c r="D19">
        <f t="shared" si="1"/>
        <v>-3.6271829674459128E-9</v>
      </c>
      <c r="E19">
        <f t="shared" si="2"/>
        <v>1.3156456279329739E-17</v>
      </c>
    </row>
    <row r="20" spans="1:5" x14ac:dyDescent="0.25">
      <c r="A20">
        <v>1.9376733538374999</v>
      </c>
      <c r="B20">
        <v>0</v>
      </c>
      <c r="C20">
        <f t="shared" si="0"/>
        <v>1.0594908016724132E-11</v>
      </c>
      <c r="D20">
        <f t="shared" si="1"/>
        <v>-1.0594908016724132E-11</v>
      </c>
      <c r="E20">
        <f t="shared" si="2"/>
        <v>1.1225207588284528E-22</v>
      </c>
    </row>
    <row r="21" spans="1:5" x14ac:dyDescent="0.25">
      <c r="A21">
        <v>2.0117110051624998</v>
      </c>
      <c r="B21">
        <v>0</v>
      </c>
      <c r="C21">
        <f t="shared" si="0"/>
        <v>9.1351878921906443E-15</v>
      </c>
      <c r="D21">
        <f t="shared" si="1"/>
        <v>-9.1351878921906443E-15</v>
      </c>
      <c r="E21">
        <f t="shared" si="2"/>
        <v>8.3451657825626548E-29</v>
      </c>
    </row>
    <row r="22" spans="1:5" x14ac:dyDescent="0.25">
      <c r="A22">
        <v>2.0857486564874996</v>
      </c>
      <c r="B22">
        <v>0</v>
      </c>
      <c r="C22">
        <f t="shared" si="0"/>
        <v>1.9316493118279719E-18</v>
      </c>
      <c r="D22">
        <f t="shared" si="1"/>
        <v>-1.9316493118279719E-18</v>
      </c>
      <c r="E22">
        <f t="shared" si="2"/>
        <v>3.7312690638854773E-36</v>
      </c>
    </row>
    <row r="23" spans="1:5" x14ac:dyDescent="0.25">
      <c r="A23">
        <v>2.1597863078124999</v>
      </c>
      <c r="B23">
        <v>0</v>
      </c>
      <c r="C23">
        <f t="shared" si="0"/>
        <v>8.1551745561018759E-23</v>
      </c>
      <c r="D23">
        <f t="shared" si="1"/>
        <v>-8.1551745561018759E-23</v>
      </c>
      <c r="E23">
        <f t="shared" si="2"/>
        <v>6.650687204049143E-45</v>
      </c>
    </row>
    <row r="24" spans="1:5" x14ac:dyDescent="0.25">
      <c r="A24">
        <v>2.2338239591375002</v>
      </c>
      <c r="B24">
        <v>0</v>
      </c>
      <c r="C24">
        <f t="shared" si="0"/>
        <v>5.4771439205591223E-28</v>
      </c>
      <c r="D24">
        <f t="shared" si="1"/>
        <v>-5.4771439205591223E-28</v>
      </c>
      <c r="E24">
        <f t="shared" si="2"/>
        <v>2.9999105526517755E-55</v>
      </c>
    </row>
    <row r="25" spans="1:5" x14ac:dyDescent="0.25">
      <c r="A25">
        <v>2.3078616104625</v>
      </c>
      <c r="B25">
        <v>0</v>
      </c>
      <c r="C25">
        <f t="shared" si="0"/>
        <v>4.5564380410857505E-34</v>
      </c>
      <c r="D25">
        <f t="shared" si="1"/>
        <v>-4.5564380410857505E-34</v>
      </c>
      <c r="E25">
        <f t="shared" si="2"/>
        <v>2.0761127622253352E-67</v>
      </c>
    </row>
    <row r="26" spans="1:5" x14ac:dyDescent="0.25">
      <c r="A26">
        <v>2.3818992617874999</v>
      </c>
      <c r="B26">
        <v>0</v>
      </c>
      <c r="C26">
        <f t="shared" si="0"/>
        <v>3.5675642363544726E-41</v>
      </c>
      <c r="D26">
        <f t="shared" si="1"/>
        <v>-3.5675642363544726E-41</v>
      </c>
      <c r="E26">
        <f t="shared" si="2"/>
        <v>1.272751458051547E-81</v>
      </c>
    </row>
    <row r="27" spans="1:5" x14ac:dyDescent="0.25">
      <c r="A27">
        <v>2.4559369131124997</v>
      </c>
      <c r="B27">
        <v>0</v>
      </c>
      <c r="C27">
        <f t="shared" si="0"/>
        <v>1.9465605241400441E-49</v>
      </c>
      <c r="D27">
        <f t="shared" si="1"/>
        <v>-1.9465605241400441E-49</v>
      </c>
      <c r="E27">
        <f t="shared" si="2"/>
        <v>3.7890978741403636E-98</v>
      </c>
    </row>
    <row r="28" spans="1:5" x14ac:dyDescent="0.25">
      <c r="A28">
        <v>2.5299745644375</v>
      </c>
      <c r="B28">
        <v>0</v>
      </c>
      <c r="C28">
        <f t="shared" si="0"/>
        <v>5.3318972077868121E-59</v>
      </c>
      <c r="D28">
        <f t="shared" si="1"/>
        <v>-5.3318972077868121E-59</v>
      </c>
      <c r="E28">
        <f t="shared" si="2"/>
        <v>2.8429127834404804E-117</v>
      </c>
    </row>
    <row r="29" spans="1:5" x14ac:dyDescent="0.25">
      <c r="A29">
        <v>2.6040122157625003</v>
      </c>
      <c r="B29">
        <v>0</v>
      </c>
      <c r="C29">
        <f t="shared" si="0"/>
        <v>5.1309843044166531E-70</v>
      </c>
      <c r="D29">
        <f t="shared" si="1"/>
        <v>-5.1309843044166531E-70</v>
      </c>
      <c r="E29">
        <f t="shared" si="2"/>
        <v>2.6326999932170045E-139</v>
      </c>
    </row>
    <row r="30" spans="1:5" x14ac:dyDescent="0.25">
      <c r="A30">
        <v>2.6780498670875001</v>
      </c>
      <c r="B30">
        <v>0</v>
      </c>
      <c r="C30">
        <f t="shared" si="0"/>
        <v>1.1774452038285751E-82</v>
      </c>
      <c r="D30">
        <f t="shared" si="1"/>
        <v>-1.1774452038285751E-82</v>
      </c>
      <c r="E30">
        <f t="shared" si="2"/>
        <v>1.3863772080189149E-164</v>
      </c>
    </row>
    <row r="31" spans="1:5" x14ac:dyDescent="0.25">
      <c r="A31">
        <v>2.7520875184125</v>
      </c>
      <c r="B31">
        <v>0</v>
      </c>
      <c r="C31">
        <f t="shared" si="0"/>
        <v>4.2348626757515024E-97</v>
      </c>
      <c r="D31">
        <f t="shared" si="1"/>
        <v>-4.2348626757515024E-97</v>
      </c>
      <c r="E31">
        <f t="shared" si="2"/>
        <v>1.7934061882473175E-193</v>
      </c>
    </row>
    <row r="32" spans="1:5" x14ac:dyDescent="0.25">
      <c r="A32">
        <v>2.8261251697374998</v>
      </c>
      <c r="B32">
        <v>0</v>
      </c>
      <c r="C32">
        <f t="shared" si="0"/>
        <v>1.5168120515059901E-113</v>
      </c>
      <c r="D32">
        <f t="shared" si="1"/>
        <v>-1.5168120515059901E-113</v>
      </c>
      <c r="E32">
        <f t="shared" si="2"/>
        <v>2.3007187995938103E-226</v>
      </c>
    </row>
    <row r="33" spans="1:5" x14ac:dyDescent="0.25">
      <c r="A33">
        <v>2.9001628210625001</v>
      </c>
      <c r="B33">
        <v>0</v>
      </c>
      <c r="C33">
        <f t="shared" si="0"/>
        <v>3.3174985614636938E-132</v>
      </c>
      <c r="D33">
        <f t="shared" si="1"/>
        <v>-3.3174985614636938E-132</v>
      </c>
      <c r="E33">
        <f t="shared" si="2"/>
        <v>1.1005796705313677E-263</v>
      </c>
    </row>
    <row r="34" spans="1:5" x14ac:dyDescent="0.25">
      <c r="A34">
        <v>2.9742004723874995</v>
      </c>
      <c r="B34">
        <v>0</v>
      </c>
      <c r="C34">
        <f t="shared" si="0"/>
        <v>2.6173994848585917E-153</v>
      </c>
      <c r="D34">
        <f t="shared" si="1"/>
        <v>-2.6173994848585917E-153</v>
      </c>
      <c r="E34">
        <f t="shared" si="2"/>
        <v>6.8507800633380217E-306</v>
      </c>
    </row>
    <row r="35" spans="1:5" x14ac:dyDescent="0.25">
      <c r="A35">
        <v>3.0482381237124994</v>
      </c>
      <c r="B35">
        <v>0</v>
      </c>
      <c r="C35">
        <f t="shared" si="0"/>
        <v>4.2318639784786894E-177</v>
      </c>
      <c r="D35">
        <f t="shared" si="1"/>
        <v>-4.2318639784786894E-177</v>
      </c>
      <c r="E35">
        <f t="shared" si="2"/>
        <v>0</v>
      </c>
    </row>
    <row r="36" spans="1:5" x14ac:dyDescent="0.25">
      <c r="A36">
        <v>3.1222757750375001</v>
      </c>
      <c r="B36">
        <v>0</v>
      </c>
      <c r="C36">
        <f t="shared" si="0"/>
        <v>7.6464084587980807E-204</v>
      </c>
      <c r="D36">
        <f t="shared" si="1"/>
        <v>-7.6464084587980807E-204</v>
      </c>
      <c r="E36">
        <f t="shared" si="2"/>
        <v>0</v>
      </c>
    </row>
    <row r="37" spans="1:5" x14ac:dyDescent="0.25">
      <c r="A37">
        <v>3.1963134263624999</v>
      </c>
      <c r="B37">
        <v>0</v>
      </c>
      <c r="C37">
        <f t="shared" si="0"/>
        <v>8.0675902970257338E-234</v>
      </c>
      <c r="D37">
        <f t="shared" si="1"/>
        <v>-8.0675902970257338E-234</v>
      </c>
      <c r="E37">
        <f t="shared" si="2"/>
        <v>0</v>
      </c>
    </row>
    <row r="38" spans="1:5" x14ac:dyDescent="0.25">
      <c r="A38">
        <v>3.2703510776875002</v>
      </c>
      <c r="B38">
        <v>0</v>
      </c>
      <c r="C38">
        <f t="shared" si="0"/>
        <v>2.4837116265825016E-267</v>
      </c>
      <c r="D38">
        <f t="shared" si="1"/>
        <v>-2.4837116265825016E-267</v>
      </c>
      <c r="E38">
        <f t="shared" si="2"/>
        <v>0</v>
      </c>
    </row>
    <row r="39" spans="1:5" x14ac:dyDescent="0.25">
      <c r="A39">
        <v>3.3443887290124996</v>
      </c>
      <c r="B39">
        <v>0</v>
      </c>
      <c r="C39">
        <f t="shared" si="0"/>
        <v>1.0641855221766963E-304</v>
      </c>
      <c r="D39">
        <f t="shared" si="1"/>
        <v>-1.0641855221766963E-304</v>
      </c>
      <c r="E39">
        <f t="shared" si="2"/>
        <v>0</v>
      </c>
    </row>
    <row r="40" spans="1:5" x14ac:dyDescent="0.25">
      <c r="A40">
        <v>3.4184263803374995</v>
      </c>
      <c r="B40">
        <v>8.4883366714422496E-4</v>
      </c>
      <c r="C40">
        <f t="shared" si="0"/>
        <v>0</v>
      </c>
      <c r="D40">
        <f t="shared" si="1"/>
        <v>8.4883366714422496E-4</v>
      </c>
      <c r="E40">
        <f t="shared" si="2"/>
        <v>7.2051859447751295E-7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AE59-0684-4C7E-8430-C977089D6DE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4.1327228562500005E-2</v>
      </c>
      <c r="B1">
        <v>1.7481489371533401E-2</v>
      </c>
      <c r="C1">
        <f>$H$3*(1+$H$1)*(A1^($H$1))*EXP(-$H$3*(A1^(1+$H$1)))</f>
        <v>6.8851797272770641E-10</v>
      </c>
      <c r="D1">
        <f>B1-C1</f>
        <v>1.7481488683015429E-2</v>
      </c>
      <c r="E1">
        <f>D1^2</f>
        <v>3.0560244657439653E-4</v>
      </c>
      <c r="G1" t="s">
        <v>0</v>
      </c>
      <c r="H1">
        <v>7.1275738986750392</v>
      </c>
    </row>
    <row r="2" spans="1:8" x14ac:dyDescent="0.25">
      <c r="A2">
        <v>0.12389248568750003</v>
      </c>
      <c r="B2">
        <v>0</v>
      </c>
      <c r="C2">
        <f t="shared" ref="C2:C40" si="0">$H$3*(1+$H$1)*(A2^($H$1))*EXP(-$H$3*(A2^(1+$H$1)))</f>
        <v>1.7234726767566495E-6</v>
      </c>
      <c r="D2">
        <f t="shared" ref="D2:D40" si="1">B2-C2</f>
        <v>-1.7234726767566495E-6</v>
      </c>
      <c r="E2">
        <f t="shared" ref="E2:E40" si="2">D2^2</f>
        <v>2.9703580675267305E-12</v>
      </c>
    </row>
    <row r="3" spans="1:8" x14ac:dyDescent="0.25">
      <c r="A3">
        <v>0.20645774281250001</v>
      </c>
      <c r="B3">
        <v>0</v>
      </c>
      <c r="C3">
        <f t="shared" si="0"/>
        <v>6.5644943797823162E-5</v>
      </c>
      <c r="D3">
        <f t="shared" si="1"/>
        <v>-6.5644943797823162E-5</v>
      </c>
      <c r="E3">
        <f t="shared" si="2"/>
        <v>4.3092586462193615E-9</v>
      </c>
      <c r="G3" t="s">
        <v>1</v>
      </c>
      <c r="H3">
        <f>(_xlfn.GAMMA((2+$H$1)/(1+$H$1)))^(1+$H$1)</f>
        <v>0.61777810463230187</v>
      </c>
    </row>
    <row r="4" spans="1:8" x14ac:dyDescent="0.25">
      <c r="A4">
        <v>0.28902299993750002</v>
      </c>
      <c r="B4">
        <v>0</v>
      </c>
      <c r="C4">
        <f t="shared" si="0"/>
        <v>7.2200160813926226E-4</v>
      </c>
      <c r="D4">
        <f t="shared" si="1"/>
        <v>-7.2200160813926226E-4</v>
      </c>
      <c r="E4">
        <f t="shared" si="2"/>
        <v>5.2128632215568077E-7</v>
      </c>
    </row>
    <row r="5" spans="1:8" x14ac:dyDescent="0.25">
      <c r="A5">
        <v>0.37158825706250004</v>
      </c>
      <c r="B5">
        <v>0</v>
      </c>
      <c r="C5">
        <f t="shared" si="0"/>
        <v>4.3280521267375369E-3</v>
      </c>
      <c r="D5">
        <f t="shared" si="1"/>
        <v>-4.3280521267375369E-3</v>
      </c>
      <c r="E5">
        <f t="shared" si="2"/>
        <v>1.8732035211757317E-5</v>
      </c>
      <c r="G5" t="s">
        <v>2</v>
      </c>
      <c r="H5">
        <f>SUM(E1:E40)</f>
        <v>0.9182213485905546</v>
      </c>
    </row>
    <row r="6" spans="1:8" x14ac:dyDescent="0.25">
      <c r="A6">
        <v>0.45415351418749994</v>
      </c>
      <c r="B6">
        <v>0</v>
      </c>
      <c r="C6">
        <f t="shared" si="0"/>
        <v>1.807345405388373E-2</v>
      </c>
      <c r="D6">
        <f t="shared" si="1"/>
        <v>-1.807345405388373E-2</v>
      </c>
      <c r="E6">
        <f t="shared" si="2"/>
        <v>3.2664974143784621E-4</v>
      </c>
    </row>
    <row r="7" spans="1:8" x14ac:dyDescent="0.25">
      <c r="A7">
        <v>0.5367187713124999</v>
      </c>
      <c r="B7">
        <v>0</v>
      </c>
      <c r="C7">
        <f t="shared" si="0"/>
        <v>5.9270302732766261E-2</v>
      </c>
      <c r="D7">
        <f t="shared" si="1"/>
        <v>-5.9270302732766261E-2</v>
      </c>
      <c r="E7">
        <f t="shared" si="2"/>
        <v>3.5129687860337598E-3</v>
      </c>
    </row>
    <row r="8" spans="1:8" x14ac:dyDescent="0.25">
      <c r="A8">
        <v>0.61928402843749997</v>
      </c>
      <c r="B8">
        <v>8.3607123081246709E-3</v>
      </c>
      <c r="C8">
        <f t="shared" si="0"/>
        <v>0.16293457577460421</v>
      </c>
      <c r="D8">
        <f t="shared" si="1"/>
        <v>-0.15457386346647956</v>
      </c>
      <c r="E8">
        <f t="shared" si="2"/>
        <v>2.3893079266953863E-2</v>
      </c>
    </row>
    <row r="9" spans="1:8" x14ac:dyDescent="0.25">
      <c r="A9">
        <v>0.70184928556250004</v>
      </c>
      <c r="B9">
        <v>0.18013534700232245</v>
      </c>
      <c r="C9">
        <f t="shared" si="0"/>
        <v>0.38885353890188284</v>
      </c>
      <c r="D9">
        <f t="shared" si="1"/>
        <v>-0.2087181918995604</v>
      </c>
      <c r="E9">
        <f t="shared" si="2"/>
        <v>4.3563283629821717E-2</v>
      </c>
    </row>
    <row r="10" spans="1:8" x14ac:dyDescent="0.25">
      <c r="A10">
        <v>0.78441454268749999</v>
      </c>
      <c r="B10">
        <v>0.90523712354331665</v>
      </c>
      <c r="C10">
        <f t="shared" si="0"/>
        <v>0.81634763657977405</v>
      </c>
      <c r="D10">
        <f t="shared" si="1"/>
        <v>8.8889486963542597E-2</v>
      </c>
      <c r="E10">
        <f t="shared" si="2"/>
        <v>7.9013408926418092E-3</v>
      </c>
    </row>
    <row r="11" spans="1:8" x14ac:dyDescent="0.25">
      <c r="A11">
        <v>0.86697979981249995</v>
      </c>
      <c r="B11">
        <v>2.0400138031824198</v>
      </c>
      <c r="C11">
        <f t="shared" si="0"/>
        <v>1.4957220956440946</v>
      </c>
      <c r="D11">
        <f t="shared" si="1"/>
        <v>0.54429170753832512</v>
      </c>
      <c r="E11">
        <f t="shared" si="2"/>
        <v>0.29625346289498566</v>
      </c>
    </row>
    <row r="12" spans="1:8" x14ac:dyDescent="0.25">
      <c r="A12">
        <v>0.94954505693749991</v>
      </c>
      <c r="B12">
        <v>2.7613152559469936</v>
      </c>
      <c r="C12">
        <f t="shared" si="0"/>
        <v>2.3141311107413363</v>
      </c>
      <c r="D12">
        <f t="shared" si="1"/>
        <v>0.4471841452056573</v>
      </c>
      <c r="E12">
        <f t="shared" si="2"/>
        <v>0.19997365972331441</v>
      </c>
    </row>
    <row r="13" spans="1:8" x14ac:dyDescent="0.25">
      <c r="A13">
        <v>1.0321103140624999</v>
      </c>
      <c r="B13">
        <v>2.7263522772039268</v>
      </c>
      <c r="C13">
        <f t="shared" si="0"/>
        <v>2.8297578628577313</v>
      </c>
      <c r="D13">
        <f t="shared" si="1"/>
        <v>-0.10340558565380453</v>
      </c>
      <c r="E13">
        <f t="shared" si="2"/>
        <v>1.0692715144406307E-2</v>
      </c>
    </row>
    <row r="14" spans="1:8" x14ac:dyDescent="0.25">
      <c r="A14">
        <v>1.1146755711874998</v>
      </c>
      <c r="B14">
        <v>1.9343648021979352</v>
      </c>
      <c r="C14">
        <f t="shared" si="0"/>
        <v>2.4461476835415561</v>
      </c>
      <c r="D14">
        <f t="shared" si="1"/>
        <v>-0.51178288134362093</v>
      </c>
      <c r="E14">
        <f t="shared" si="2"/>
        <v>0.26192171763637878</v>
      </c>
    </row>
    <row r="15" spans="1:8" x14ac:dyDescent="0.25">
      <c r="A15">
        <v>1.1972408283124998</v>
      </c>
      <c r="B15">
        <v>1.0268474843887663</v>
      </c>
      <c r="C15">
        <f t="shared" si="0"/>
        <v>1.2564528033245477</v>
      </c>
      <c r="D15">
        <f t="shared" si="1"/>
        <v>-0.2296053189357814</v>
      </c>
      <c r="E15">
        <f t="shared" si="2"/>
        <v>5.2718602483601898E-2</v>
      </c>
    </row>
    <row r="16" spans="1:8" x14ac:dyDescent="0.25">
      <c r="A16">
        <v>1.2798060854375</v>
      </c>
      <c r="B16">
        <v>0.39295347848185952</v>
      </c>
      <c r="C16">
        <f t="shared" si="0"/>
        <v>0.29633631930986393</v>
      </c>
      <c r="D16">
        <f t="shared" si="1"/>
        <v>9.6617159171995592E-2</v>
      </c>
      <c r="E16">
        <f t="shared" si="2"/>
        <v>9.3348754464667328E-3</v>
      </c>
    </row>
    <row r="17" spans="1:5" x14ac:dyDescent="0.25">
      <c r="A17">
        <v>1.3623713425625001</v>
      </c>
      <c r="B17">
        <v>0.11020938951618885</v>
      </c>
      <c r="C17">
        <f t="shared" si="0"/>
        <v>2.2172691849341414E-2</v>
      </c>
      <c r="D17">
        <f t="shared" si="1"/>
        <v>8.8036697666847435E-2</v>
      </c>
      <c r="E17">
        <f t="shared" si="2"/>
        <v>7.7504601360839009E-3</v>
      </c>
    </row>
    <row r="18" spans="1:5" x14ac:dyDescent="0.25">
      <c r="A18">
        <v>1.4449365996874999</v>
      </c>
      <c r="B18">
        <v>7.6006475528406095E-3</v>
      </c>
      <c r="C18">
        <f t="shared" si="0"/>
        <v>3.1401393465100137E-4</v>
      </c>
      <c r="D18">
        <f t="shared" si="1"/>
        <v>7.2866336181896078E-3</v>
      </c>
      <c r="E18">
        <f t="shared" si="2"/>
        <v>5.3095029485730974E-5</v>
      </c>
    </row>
    <row r="19" spans="1:5" x14ac:dyDescent="0.25">
      <c r="A19">
        <v>1.5275018568125001</v>
      </c>
      <c r="B19">
        <v>0</v>
      </c>
      <c r="C19">
        <f t="shared" si="0"/>
        <v>4.1558207338226948E-7</v>
      </c>
      <c r="D19">
        <f t="shared" si="1"/>
        <v>-4.1558207338226948E-7</v>
      </c>
      <c r="E19">
        <f t="shared" si="2"/>
        <v>1.7270845971670602E-13</v>
      </c>
    </row>
    <row r="20" spans="1:5" x14ac:dyDescent="0.25">
      <c r="A20">
        <v>1.6100671139374998</v>
      </c>
      <c r="B20">
        <v>0</v>
      </c>
      <c r="C20">
        <f t="shared" si="0"/>
        <v>1.9944036017227201E-11</v>
      </c>
      <c r="D20">
        <f t="shared" si="1"/>
        <v>-1.9944036017227201E-11</v>
      </c>
      <c r="E20">
        <f t="shared" si="2"/>
        <v>3.9776457265645581E-22</v>
      </c>
    </row>
    <row r="21" spans="1:5" x14ac:dyDescent="0.25">
      <c r="A21">
        <v>1.6926323710625</v>
      </c>
      <c r="B21">
        <v>0</v>
      </c>
      <c r="C21">
        <f t="shared" si="0"/>
        <v>9.9517470795764264E-18</v>
      </c>
      <c r="D21">
        <f t="shared" si="1"/>
        <v>-9.9517470795764264E-18</v>
      </c>
      <c r="E21">
        <f t="shared" si="2"/>
        <v>9.9037269935857928E-35</v>
      </c>
    </row>
    <row r="22" spans="1:5" x14ac:dyDescent="0.25">
      <c r="A22">
        <v>1.7751976281875002</v>
      </c>
      <c r="B22">
        <v>0</v>
      </c>
      <c r="C22">
        <f t="shared" si="0"/>
        <v>1.016930815675107E-26</v>
      </c>
      <c r="D22">
        <f t="shared" si="1"/>
        <v>-1.016930815675107E-26</v>
      </c>
      <c r="E22">
        <f t="shared" si="2"/>
        <v>1.0341482838696385E-52</v>
      </c>
    </row>
    <row r="23" spans="1:5" x14ac:dyDescent="0.25">
      <c r="A23">
        <v>1.8577628853124999</v>
      </c>
      <c r="B23">
        <v>0</v>
      </c>
      <c r="C23">
        <f t="shared" si="0"/>
        <v>2.6425631575626667E-39</v>
      </c>
      <c r="D23">
        <f t="shared" si="1"/>
        <v>-2.6425631575626667E-39</v>
      </c>
      <c r="E23">
        <f t="shared" si="2"/>
        <v>6.9831400417075714E-78</v>
      </c>
    </row>
    <row r="24" spans="1:5" x14ac:dyDescent="0.25">
      <c r="A24">
        <v>1.9403281424374996</v>
      </c>
      <c r="B24">
        <v>0</v>
      </c>
      <c r="C24">
        <f t="shared" si="0"/>
        <v>1.2371743316238923E-56</v>
      </c>
      <c r="D24">
        <f t="shared" si="1"/>
        <v>-1.2371743316238923E-56</v>
      </c>
      <c r="E24">
        <f t="shared" si="2"/>
        <v>1.5306003268290246E-112</v>
      </c>
    </row>
    <row r="25" spans="1:5" x14ac:dyDescent="0.25">
      <c r="A25">
        <v>2.0228933995624998</v>
      </c>
      <c r="B25">
        <v>0</v>
      </c>
      <c r="C25">
        <f t="shared" si="0"/>
        <v>3.7582021977512897E-80</v>
      </c>
      <c r="D25">
        <f t="shared" si="1"/>
        <v>-3.7582021977512897E-80</v>
      </c>
      <c r="E25">
        <f t="shared" si="2"/>
        <v>1.4124083759182623E-159</v>
      </c>
    </row>
    <row r="26" spans="1:5" x14ac:dyDescent="0.25">
      <c r="A26">
        <v>2.1054586566875</v>
      </c>
      <c r="B26">
        <v>0</v>
      </c>
      <c r="C26">
        <f t="shared" si="0"/>
        <v>1.187587241530421E-111</v>
      </c>
      <c r="D26">
        <f t="shared" si="1"/>
        <v>-1.187587241530421E-111</v>
      </c>
      <c r="E26">
        <f t="shared" si="2"/>
        <v>1.4103634562458347E-222</v>
      </c>
    </row>
    <row r="27" spans="1:5" x14ac:dyDescent="0.25">
      <c r="A27">
        <v>2.1880239138124997</v>
      </c>
      <c r="B27">
        <v>0</v>
      </c>
      <c r="C27">
        <f t="shared" si="0"/>
        <v>2.3943296481497525E-153</v>
      </c>
      <c r="D27">
        <f t="shared" si="1"/>
        <v>-2.3943296481497525E-153</v>
      </c>
      <c r="E27">
        <f t="shared" si="2"/>
        <v>5.7328144640089181E-306</v>
      </c>
    </row>
    <row r="28" spans="1:5" x14ac:dyDescent="0.25">
      <c r="A28">
        <v>2.2705891709374999</v>
      </c>
      <c r="B28">
        <v>0</v>
      </c>
      <c r="C28">
        <f t="shared" si="0"/>
        <v>6.0837211214493366E-208</v>
      </c>
      <c r="D28">
        <f t="shared" si="1"/>
        <v>-6.0837211214493366E-208</v>
      </c>
      <c r="E28">
        <f t="shared" si="2"/>
        <v>0</v>
      </c>
    </row>
    <row r="29" spans="1:5" x14ac:dyDescent="0.25">
      <c r="A29">
        <v>2.3531544280624996</v>
      </c>
      <c r="B29">
        <v>0</v>
      </c>
      <c r="C29">
        <f t="shared" si="0"/>
        <v>1.0201859115181512E-278</v>
      </c>
      <c r="D29">
        <f t="shared" si="1"/>
        <v>-1.0201859115181512E-278</v>
      </c>
      <c r="E29">
        <f t="shared" si="2"/>
        <v>0</v>
      </c>
    </row>
    <row r="30" spans="1:5" x14ac:dyDescent="0.25">
      <c r="A30">
        <v>2.4357196851875003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2.5182849423125004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2.6008501994375002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2.6834154565624999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2.7659807136875001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2.8485459708125003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2.9311112279375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3.0136764850625002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3.0962417421874999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3.1788069993125001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3.2613722564374998</v>
      </c>
      <c r="B40">
        <v>7.6006475528406095E-4</v>
      </c>
      <c r="C40">
        <f t="shared" si="0"/>
        <v>0</v>
      </c>
      <c r="D40">
        <f t="shared" si="1"/>
        <v>7.6006475528406095E-4</v>
      </c>
      <c r="E40">
        <f t="shared" si="2"/>
        <v>5.7769843222501951E-7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271F-69F3-4878-995F-2E1437232BF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0.77918999742500006</v>
      </c>
      <c r="B1">
        <v>8.6220221979197431E-2</v>
      </c>
      <c r="C1">
        <f>$H$3*(1+$H$1)*(A1^($H$1))*EXP(-$H$3*(A1^(1+$H$1)))</f>
        <v>0.39605237447722735</v>
      </c>
      <c r="D1">
        <f>B1-C1</f>
        <v>-0.30983215249802992</v>
      </c>
      <c r="E1">
        <f>D1^2</f>
        <v>9.5995962721562467E-2</v>
      </c>
      <c r="G1" t="s">
        <v>0</v>
      </c>
      <c r="H1">
        <v>11.751431389944532</v>
      </c>
    </row>
    <row r="2" spans="1:8" x14ac:dyDescent="0.25">
      <c r="A2">
        <v>0.84260402627500008</v>
      </c>
      <c r="B2">
        <v>0.92166444184659324</v>
      </c>
      <c r="C2">
        <f t="shared" ref="C2:C40" si="0">$H$3*(1+$H$1)*(A2^($H$1))*EXP(-$H$3*(A2^(1+$H$1)))</f>
        <v>0.95196692844284758</v>
      </c>
      <c r="D2">
        <f t="shared" ref="D2:D40" si="1">B2-C2</f>
        <v>-3.0302486596254341E-2</v>
      </c>
      <c r="E2">
        <f t="shared" ref="E2:E40" si="2">D2^2</f>
        <v>9.1824069391617405E-4</v>
      </c>
    </row>
    <row r="3" spans="1:8" x14ac:dyDescent="0.25">
      <c r="A3">
        <v>0.906018055125</v>
      </c>
      <c r="B3">
        <v>2.7798588810534346</v>
      </c>
      <c r="C3">
        <f t="shared" si="0"/>
        <v>2.0158508934125137</v>
      </c>
      <c r="D3">
        <f t="shared" si="1"/>
        <v>0.76400798764092093</v>
      </c>
      <c r="E3">
        <f t="shared" si="2"/>
        <v>0.58370820517912958</v>
      </c>
      <c r="G3" t="s">
        <v>1</v>
      </c>
      <c r="H3">
        <f>(_xlfn.GAMMA((2+$H$1)/(1+$H$1)))^(1+$H$1)</f>
        <v>0.59746664932526472</v>
      </c>
    </row>
    <row r="4" spans="1:8" x14ac:dyDescent="0.25">
      <c r="A4">
        <v>0.96943208397500014</v>
      </c>
      <c r="B4">
        <v>4.3387601359186938</v>
      </c>
      <c r="C4">
        <f t="shared" si="0"/>
        <v>3.5381797518459064</v>
      </c>
      <c r="D4">
        <f t="shared" si="1"/>
        <v>0.80058038407278742</v>
      </c>
      <c r="E4">
        <f t="shared" si="2"/>
        <v>0.64092895136213179</v>
      </c>
    </row>
    <row r="5" spans="1:8" x14ac:dyDescent="0.25">
      <c r="A5">
        <v>1.0328461128250002</v>
      </c>
      <c r="B5">
        <v>4.0751442848098831</v>
      </c>
      <c r="C5">
        <f t="shared" si="0"/>
        <v>4.5186031542169944</v>
      </c>
      <c r="D5">
        <f t="shared" si="1"/>
        <v>-0.44345886940711132</v>
      </c>
      <c r="E5">
        <f t="shared" si="2"/>
        <v>0.19665576885583341</v>
      </c>
      <c r="G5" t="s">
        <v>2</v>
      </c>
      <c r="H5">
        <f>SUM(E1:E40)</f>
        <v>2.1240460853798169</v>
      </c>
    </row>
    <row r="6" spans="1:8" x14ac:dyDescent="0.25">
      <c r="A6">
        <v>1.096260141675</v>
      </c>
      <c r="B6">
        <v>2.4984043633282385</v>
      </c>
      <c r="C6">
        <f t="shared" si="0"/>
        <v>3.260481533272209</v>
      </c>
      <c r="D6">
        <f t="shared" si="1"/>
        <v>-0.76207716994397057</v>
      </c>
      <c r="E6">
        <f t="shared" si="2"/>
        <v>0.58076161294981143</v>
      </c>
    </row>
    <row r="7" spans="1:8" x14ac:dyDescent="0.25">
      <c r="A7">
        <v>1.159674170525</v>
      </c>
      <c r="B7">
        <v>0.87310362716865453</v>
      </c>
      <c r="C7">
        <f t="shared" si="0"/>
        <v>0.83576474623848962</v>
      </c>
      <c r="D7">
        <f t="shared" si="1"/>
        <v>3.7338880930164908E-2</v>
      </c>
      <c r="E7">
        <f t="shared" si="2"/>
        <v>1.3941920291170326E-3</v>
      </c>
    </row>
    <row r="8" spans="1:8" x14ac:dyDescent="0.25">
      <c r="A8">
        <v>1.223088199375</v>
      </c>
      <c r="B8">
        <v>0.18730599947204959</v>
      </c>
      <c r="C8">
        <f t="shared" si="0"/>
        <v>3.361753056071648E-2</v>
      </c>
      <c r="D8">
        <f t="shared" si="1"/>
        <v>0.15368846891133311</v>
      </c>
      <c r="E8">
        <f t="shared" si="2"/>
        <v>2.3620145476309806E-2</v>
      </c>
    </row>
    <row r="9" spans="1:8" x14ac:dyDescent="0.25">
      <c r="A9">
        <v>1.286502228225</v>
      </c>
      <c r="B9">
        <v>7.9282962739491893E-3</v>
      </c>
      <c r="C9">
        <f t="shared" si="0"/>
        <v>5.2767237618078979E-5</v>
      </c>
      <c r="D9">
        <f t="shared" si="1"/>
        <v>7.8755290363311109E-3</v>
      </c>
      <c r="E9">
        <f t="shared" si="2"/>
        <v>6.2023957602094434E-5</v>
      </c>
    </row>
    <row r="10" spans="1:8" x14ac:dyDescent="0.25">
      <c r="A10">
        <v>1.3499162570750001</v>
      </c>
      <c r="B10">
        <v>0</v>
      </c>
      <c r="C10">
        <f t="shared" si="0"/>
        <v>3.2289757081580825E-10</v>
      </c>
      <c r="D10">
        <f t="shared" si="1"/>
        <v>-3.2289757081580825E-10</v>
      </c>
      <c r="E10">
        <f t="shared" si="2"/>
        <v>1.042628412387499E-19</v>
      </c>
    </row>
    <row r="11" spans="1:8" x14ac:dyDescent="0.25">
      <c r="A11">
        <v>1.4133302859250001</v>
      </c>
      <c r="B11">
        <v>0</v>
      </c>
      <c r="C11">
        <f t="shared" si="0"/>
        <v>1.8697305209865326E-19</v>
      </c>
      <c r="D11">
        <f t="shared" si="1"/>
        <v>-1.8697305209865326E-19</v>
      </c>
      <c r="E11">
        <f t="shared" si="2"/>
        <v>3.4958922211085708E-38</v>
      </c>
    </row>
    <row r="12" spans="1:8" x14ac:dyDescent="0.25">
      <c r="A12">
        <v>1.4767443147750001</v>
      </c>
      <c r="B12">
        <v>0</v>
      </c>
      <c r="C12">
        <f t="shared" si="0"/>
        <v>2.896399781579619E-35</v>
      </c>
      <c r="D12">
        <f t="shared" si="1"/>
        <v>-2.896399781579619E-35</v>
      </c>
      <c r="E12">
        <f t="shared" si="2"/>
        <v>8.3891316947344644E-70</v>
      </c>
    </row>
    <row r="13" spans="1:8" x14ac:dyDescent="0.25">
      <c r="A13">
        <v>1.5401583436250001</v>
      </c>
      <c r="B13">
        <v>0</v>
      </c>
      <c r="C13">
        <f t="shared" si="0"/>
        <v>1.3750837494178841E-61</v>
      </c>
      <c r="D13">
        <f t="shared" si="1"/>
        <v>-1.3750837494178841E-61</v>
      </c>
      <c r="E13">
        <f t="shared" si="2"/>
        <v>1.8908553179131463E-122</v>
      </c>
    </row>
    <row r="14" spans="1:8" x14ac:dyDescent="0.25">
      <c r="A14">
        <v>1.603572372475</v>
      </c>
      <c r="B14">
        <v>0</v>
      </c>
      <c r="C14">
        <f t="shared" si="0"/>
        <v>2.0883387145963313E-104</v>
      </c>
      <c r="D14">
        <f t="shared" si="1"/>
        <v>-2.0883387145963313E-104</v>
      </c>
      <c r="E14">
        <f t="shared" si="2"/>
        <v>4.3611585868818576E-208</v>
      </c>
    </row>
    <row r="15" spans="1:8" x14ac:dyDescent="0.25">
      <c r="A15">
        <v>1.666986401325</v>
      </c>
      <c r="B15">
        <v>0</v>
      </c>
      <c r="C15">
        <f t="shared" si="0"/>
        <v>1.2075348990133599E-172</v>
      </c>
      <c r="D15">
        <f t="shared" si="1"/>
        <v>-1.2075348990133599E-172</v>
      </c>
      <c r="E15">
        <f t="shared" si="2"/>
        <v>0</v>
      </c>
    </row>
    <row r="16" spans="1:8" x14ac:dyDescent="0.25">
      <c r="A16">
        <v>1.730400430175</v>
      </c>
      <c r="B16">
        <v>0</v>
      </c>
      <c r="C16">
        <f t="shared" si="0"/>
        <v>2.0757366678772711E-279</v>
      </c>
      <c r="D16">
        <f t="shared" si="1"/>
        <v>-2.0757366678772711E-279</v>
      </c>
      <c r="E16">
        <f t="shared" si="2"/>
        <v>0</v>
      </c>
    </row>
    <row r="17" spans="1:5" x14ac:dyDescent="0.25">
      <c r="A17">
        <v>1.793814459025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1.8572284878750001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1.9206425167250001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1.9840565455749999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2.0474705744249997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2.1108846032750002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2.1742986321249997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2.2377126609750002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2.3011266898249998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2.3645407186750003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2.4279547475249998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2.4913687763749999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2.5547828052249999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2.6181968340749999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2.6816108629249999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2.7450248917750004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2.808438920625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2.8718529494749996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2.9352669783250001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2.9986810071750001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3.0620950360250001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3.1255090648750001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3.1889230937250002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3.2523371225749997</v>
      </c>
      <c r="B40">
        <v>9.9103703424364867E-4</v>
      </c>
      <c r="C40">
        <f t="shared" si="0"/>
        <v>0</v>
      </c>
      <c r="D40">
        <f t="shared" si="1"/>
        <v>9.9103703424364867E-4</v>
      </c>
      <c r="E40">
        <f t="shared" si="2"/>
        <v>9.8215440324244685E-7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36D1-80B4-46F4-9A2E-0318C032B61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0.84892564607499987</v>
      </c>
      <c r="B1">
        <v>0.24639213191140419</v>
      </c>
      <c r="C1">
        <f>$H$3*(1+$H$1)*(A1^($H$1))*EXP(-$H$3*(A1^(1+$H$1)))</f>
        <v>0.64382755069226016</v>
      </c>
      <c r="D1">
        <f>B1-C1</f>
        <v>-0.39743541878085598</v>
      </c>
      <c r="E1">
        <f>D1^2</f>
        <v>0.15795491210151436</v>
      </c>
      <c r="G1" t="s">
        <v>0</v>
      </c>
      <c r="H1">
        <v>16.837256666737314</v>
      </c>
    </row>
    <row r="2" spans="1:8" x14ac:dyDescent="0.25">
      <c r="A2">
        <v>0.90963077022499994</v>
      </c>
      <c r="B2">
        <v>2.4194050936006368</v>
      </c>
      <c r="C2">
        <f t="shared" ref="C2:C40" si="0">$H$3*(1+$H$1)*(A2^($H$1))*EXP(-$H$3*(A2^(1+$H$1)))</f>
        <v>1.9074930761274462</v>
      </c>
      <c r="D2">
        <f t="shared" ref="D2:D40" si="1">B2-C2</f>
        <v>0.51191201747319059</v>
      </c>
      <c r="E2">
        <f t="shared" ref="E2:E40" si="2">D2^2</f>
        <v>0.26205391363347219</v>
      </c>
    </row>
    <row r="3" spans="1:8" x14ac:dyDescent="0.25">
      <c r="A3">
        <v>0.97033589437500001</v>
      </c>
      <c r="B3">
        <v>5.7746861840412294</v>
      </c>
      <c r="C3">
        <f t="shared" si="0"/>
        <v>4.4761049682629759</v>
      </c>
      <c r="D3">
        <f t="shared" si="1"/>
        <v>1.2985812157782535</v>
      </c>
      <c r="E3">
        <f t="shared" si="2"/>
        <v>1.6863131739721269</v>
      </c>
      <c r="G3" t="s">
        <v>1</v>
      </c>
      <c r="H3">
        <f>(_xlfn.GAMMA((2+$H$1)/(1+$H$1)))^(1+$H$1)</f>
        <v>0.58724110799804208</v>
      </c>
    </row>
    <row r="4" spans="1:8" x14ac:dyDescent="0.25">
      <c r="A4">
        <v>1.0310410185250001</v>
      </c>
      <c r="B4">
        <v>5.4465084285121739</v>
      </c>
      <c r="C4">
        <f t="shared" si="0"/>
        <v>6.3638667671029969</v>
      </c>
      <c r="D4">
        <f t="shared" si="1"/>
        <v>-0.91735833859082305</v>
      </c>
      <c r="E4">
        <f t="shared" si="2"/>
        <v>0.84154632138211516</v>
      </c>
    </row>
    <row r="5" spans="1:8" x14ac:dyDescent="0.25">
      <c r="A5">
        <v>1.0917461426749999</v>
      </c>
      <c r="B5">
        <v>2.2371991473132118</v>
      </c>
      <c r="C5">
        <f t="shared" si="0"/>
        <v>2.762939011646373</v>
      </c>
      <c r="D5">
        <f t="shared" si="1"/>
        <v>-0.52573986433316122</v>
      </c>
      <c r="E5">
        <f t="shared" si="2"/>
        <v>0.27640240494905077</v>
      </c>
      <c r="G5" t="s">
        <v>2</v>
      </c>
      <c r="H5">
        <f>SUM(E1:E40)</f>
        <v>3.3001820913017768</v>
      </c>
    </row>
    <row r="6" spans="1:8" x14ac:dyDescent="0.25">
      <c r="A6">
        <v>1.152451266825</v>
      </c>
      <c r="B6">
        <v>0.34681245458117815</v>
      </c>
      <c r="C6">
        <f t="shared" si="0"/>
        <v>7.1296162406401506E-2</v>
      </c>
      <c r="D6">
        <f t="shared" si="1"/>
        <v>0.27551629217477663</v>
      </c>
      <c r="E6">
        <f t="shared" si="2"/>
        <v>7.5909227253736888E-2</v>
      </c>
    </row>
    <row r="7" spans="1:8" x14ac:dyDescent="0.25">
      <c r="A7">
        <v>1.2131563909750001</v>
      </c>
      <c r="B7">
        <v>1.0352610584512781E-3</v>
      </c>
      <c r="C7">
        <f t="shared" si="0"/>
        <v>2.6699964903076005E-6</v>
      </c>
      <c r="D7">
        <f t="shared" si="1"/>
        <v>1.0325910619609704E-3</v>
      </c>
      <c r="E7">
        <f t="shared" si="2"/>
        <v>1.0662443012416847E-6</v>
      </c>
    </row>
    <row r="8" spans="1:8" x14ac:dyDescent="0.25">
      <c r="A8">
        <v>1.2738615151250001</v>
      </c>
      <c r="B8">
        <v>0</v>
      </c>
      <c r="C8">
        <f t="shared" si="0"/>
        <v>4.5824086995452653E-17</v>
      </c>
      <c r="D8">
        <f t="shared" si="1"/>
        <v>-4.5824086995452653E-17</v>
      </c>
      <c r="E8">
        <f t="shared" si="2"/>
        <v>2.0998469489668129E-33</v>
      </c>
    </row>
    <row r="9" spans="1:8" x14ac:dyDescent="0.25">
      <c r="A9">
        <v>1.3345666392750002</v>
      </c>
      <c r="B9">
        <v>0</v>
      </c>
      <c r="C9">
        <f t="shared" si="0"/>
        <v>1.7555230450279512E-41</v>
      </c>
      <c r="D9">
        <f t="shared" si="1"/>
        <v>-1.7555230450279512E-41</v>
      </c>
      <c r="E9">
        <f t="shared" si="2"/>
        <v>3.0818611616242098E-82</v>
      </c>
    </row>
    <row r="10" spans="1:8" x14ac:dyDescent="0.25">
      <c r="A10">
        <v>1.3952717634249998</v>
      </c>
      <c r="B10">
        <v>0</v>
      </c>
      <c r="C10">
        <f t="shared" si="0"/>
        <v>2.6506420373957569E-94</v>
      </c>
      <c r="D10">
        <f t="shared" si="1"/>
        <v>-2.6506420373957569E-94</v>
      </c>
      <c r="E10">
        <f t="shared" si="2"/>
        <v>7.0259032104095284E-188</v>
      </c>
    </row>
    <row r="11" spans="1:8" x14ac:dyDescent="0.25">
      <c r="A11">
        <v>1.4559768875749999</v>
      </c>
      <c r="B11">
        <v>0</v>
      </c>
      <c r="C11">
        <f t="shared" si="0"/>
        <v>2.2776875929262184E-204</v>
      </c>
      <c r="D11">
        <f t="shared" si="1"/>
        <v>-2.2776875929262184E-204</v>
      </c>
      <c r="E11">
        <f t="shared" si="2"/>
        <v>0</v>
      </c>
    </row>
    <row r="12" spans="1:8" x14ac:dyDescent="0.25">
      <c r="A12">
        <v>1.5166820117249999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1.577387135875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1.6380922600250001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1.6987973841750001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1.7595025083250002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1.8202076324750001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1.8809127566249999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1.941617880775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2.002323004925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2.0630281290750001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2.1237332532250002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2.1844383773749998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2.2451435015249999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2.3058486256749999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2.3665537498250004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2.4272588739750005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2.4879639981250001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2.5486691222750002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2.6093742464250003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2.6700793705750003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2.7307844947250004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2.7914896188750005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2.8521947430250001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2.9128998671750002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2.9736049913250002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3.0343101154750003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3.0950152396249999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3.155720363775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3.216425487925</v>
      </c>
      <c r="B40">
        <v>1.0352610584512781E-3</v>
      </c>
      <c r="C40">
        <f t="shared" si="0"/>
        <v>0</v>
      </c>
      <c r="D40">
        <f t="shared" si="1"/>
        <v>1.0352610584512781E-3</v>
      </c>
      <c r="E40">
        <f t="shared" si="2"/>
        <v>1.0717654591456607E-6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BA2B-1FB6-4838-BEF9-29FAC8FB6AA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3.9291789262500008E-2</v>
      </c>
      <c r="B1">
        <v>1.8388115072838076E-2</v>
      </c>
      <c r="C1">
        <f>$H$3*(1+$H$1)*(A1^($H$1))*EXP(-$H$3*(A1^(1+$H$1)))</f>
        <v>4.9009260134960758E-46</v>
      </c>
      <c r="D1">
        <f>B1-C1</f>
        <v>1.8388115072838076E-2</v>
      </c>
      <c r="E1">
        <f>D1^2</f>
        <v>3.3812277593193486E-4</v>
      </c>
      <c r="G1" t="s">
        <v>0</v>
      </c>
      <c r="H1">
        <v>33.152762588176046</v>
      </c>
    </row>
    <row r="2" spans="1:8" x14ac:dyDescent="0.25">
      <c r="A2">
        <v>0.11778616778750003</v>
      </c>
      <c r="B2">
        <v>0</v>
      </c>
      <c r="C2">
        <f t="shared" ref="C2:C40" si="0">$H$3*(1+$H$1)*(A2^($H$1))*EXP(-$H$3*(A2^(1+$H$1)))</f>
        <v>3.1424345332424474E-30</v>
      </c>
      <c r="D2">
        <f t="shared" ref="D2:D40" si="1">B2-C2</f>
        <v>-3.1424345332424474E-30</v>
      </c>
      <c r="E2">
        <f t="shared" ref="E2:E40" si="2">D2^2</f>
        <v>9.8748947957146782E-60</v>
      </c>
    </row>
    <row r="3" spans="1:8" x14ac:dyDescent="0.25">
      <c r="A3">
        <v>0.19628054631250003</v>
      </c>
      <c r="B3">
        <v>0</v>
      </c>
      <c r="C3">
        <f t="shared" si="0"/>
        <v>7.0792012137581308E-23</v>
      </c>
      <c r="D3">
        <f t="shared" si="1"/>
        <v>-7.0792012137581308E-23</v>
      </c>
      <c r="E3">
        <f t="shared" si="2"/>
        <v>5.0115089824874592E-45</v>
      </c>
      <c r="G3" t="s">
        <v>1</v>
      </c>
      <c r="H3">
        <f>(_xlfn.GAMMA((2+$H$1)/(1+$H$1)))^(1+$H$1)</f>
        <v>0.57495095614198011</v>
      </c>
    </row>
    <row r="4" spans="1:8" x14ac:dyDescent="0.25">
      <c r="A4">
        <v>0.27477492483750005</v>
      </c>
      <c r="B4">
        <v>0</v>
      </c>
      <c r="C4">
        <f t="shared" si="0"/>
        <v>4.9385283883065829E-18</v>
      </c>
      <c r="D4">
        <f t="shared" si="1"/>
        <v>-4.9385283883065829E-18</v>
      </c>
      <c r="E4">
        <f t="shared" si="2"/>
        <v>2.4389062642110014E-35</v>
      </c>
    </row>
    <row r="5" spans="1:8" x14ac:dyDescent="0.25">
      <c r="A5">
        <v>0.35326930336250006</v>
      </c>
      <c r="B5">
        <v>0</v>
      </c>
      <c r="C5">
        <f t="shared" si="0"/>
        <v>2.048891170283905E-14</v>
      </c>
      <c r="D5">
        <f t="shared" si="1"/>
        <v>-2.048891170283905E-14</v>
      </c>
      <c r="E5">
        <f t="shared" si="2"/>
        <v>4.1979550276673498E-28</v>
      </c>
      <c r="G5" t="s">
        <v>2</v>
      </c>
      <c r="H5">
        <f>SUM(E1:E40)</f>
        <v>4.7183355984163038</v>
      </c>
    </row>
    <row r="6" spans="1:8" x14ac:dyDescent="0.25">
      <c r="A6">
        <v>0.43176368188750003</v>
      </c>
      <c r="B6">
        <v>0</v>
      </c>
      <c r="C6">
        <f t="shared" si="0"/>
        <v>1.5865635520779019E-11</v>
      </c>
      <c r="D6">
        <f t="shared" si="1"/>
        <v>-1.5865635520779019E-11</v>
      </c>
      <c r="E6">
        <f t="shared" si="2"/>
        <v>2.5171839047820493E-22</v>
      </c>
    </row>
    <row r="7" spans="1:8" x14ac:dyDescent="0.25">
      <c r="A7">
        <v>0.51025806041249999</v>
      </c>
      <c r="B7">
        <v>0</v>
      </c>
      <c r="C7">
        <f t="shared" si="0"/>
        <v>4.031658167945309E-9</v>
      </c>
      <c r="D7">
        <f t="shared" si="1"/>
        <v>-4.031658167945309E-9</v>
      </c>
      <c r="E7">
        <f t="shared" si="2"/>
        <v>1.6254267583160125E-17</v>
      </c>
    </row>
    <row r="8" spans="1:8" x14ac:dyDescent="0.25">
      <c r="A8">
        <v>0.58875243893750007</v>
      </c>
      <c r="B8">
        <v>0</v>
      </c>
      <c r="C8">
        <f t="shared" si="0"/>
        <v>4.6311697250140857E-7</v>
      </c>
      <c r="D8">
        <f t="shared" si="1"/>
        <v>-4.6311697250140857E-7</v>
      </c>
      <c r="E8">
        <f t="shared" si="2"/>
        <v>2.1447733021887043E-13</v>
      </c>
    </row>
    <row r="9" spans="1:8" x14ac:dyDescent="0.25">
      <c r="A9">
        <v>0.66724681746250014</v>
      </c>
      <c r="B9">
        <v>0</v>
      </c>
      <c r="C9">
        <f t="shared" si="0"/>
        <v>2.9354102557989344E-5</v>
      </c>
      <c r="D9">
        <f t="shared" si="1"/>
        <v>-2.9354102557989344E-5</v>
      </c>
      <c r="E9">
        <f t="shared" si="2"/>
        <v>8.6166333698495654E-10</v>
      </c>
    </row>
    <row r="10" spans="1:8" x14ac:dyDescent="0.25">
      <c r="A10">
        <v>0.74574119598749999</v>
      </c>
      <c r="B10">
        <v>0</v>
      </c>
      <c r="C10">
        <f t="shared" si="0"/>
        <v>1.1721689399526714E-3</v>
      </c>
      <c r="D10">
        <f t="shared" si="1"/>
        <v>-1.1721689399526714E-3</v>
      </c>
      <c r="E10">
        <f t="shared" si="2"/>
        <v>1.3739800237897692E-6</v>
      </c>
    </row>
    <row r="11" spans="1:8" x14ac:dyDescent="0.25">
      <c r="A11">
        <v>0.82423557451250007</v>
      </c>
      <c r="B11">
        <v>0</v>
      </c>
      <c r="C11">
        <f t="shared" si="0"/>
        <v>3.2328684695775975E-2</v>
      </c>
      <c r="D11">
        <f t="shared" si="1"/>
        <v>-3.2328684695775975E-2</v>
      </c>
      <c r="E11">
        <f t="shared" si="2"/>
        <v>1.0451438541588998E-3</v>
      </c>
    </row>
    <row r="12" spans="1:8" x14ac:dyDescent="0.25">
      <c r="A12">
        <v>0.90272995303750003</v>
      </c>
      <c r="B12">
        <v>0.12711783898179366</v>
      </c>
      <c r="C12">
        <f t="shared" si="0"/>
        <v>0.64878083864487091</v>
      </c>
      <c r="D12">
        <f t="shared" si="1"/>
        <v>-0.52166299966307728</v>
      </c>
      <c r="E12">
        <f t="shared" si="2"/>
        <v>0.27213228521747979</v>
      </c>
    </row>
    <row r="13" spans="1:8" x14ac:dyDescent="0.25">
      <c r="A13">
        <v>0.9812243315625</v>
      </c>
      <c r="B13">
        <v>9.6961330262339214</v>
      </c>
      <c r="C13">
        <f t="shared" si="0"/>
        <v>7.7526820932991862</v>
      </c>
      <c r="D13">
        <f t="shared" si="1"/>
        <v>1.9434509329347351</v>
      </c>
      <c r="E13">
        <f t="shared" si="2"/>
        <v>3.7770015287248926</v>
      </c>
    </row>
    <row r="14" spans="1:8" x14ac:dyDescent="0.25">
      <c r="A14">
        <v>1.0597187100875001</v>
      </c>
      <c r="B14">
        <v>2.8965278656040154</v>
      </c>
      <c r="C14">
        <f t="shared" si="0"/>
        <v>2.0793278505189936</v>
      </c>
      <c r="D14">
        <f t="shared" si="1"/>
        <v>0.81720001508502182</v>
      </c>
      <c r="E14">
        <f t="shared" si="2"/>
        <v>0.6678158646549599</v>
      </c>
    </row>
    <row r="15" spans="1:8" x14ac:dyDescent="0.25">
      <c r="A15">
        <v>1.1382130886124999</v>
      </c>
      <c r="B15">
        <v>7.9948326403643814E-4</v>
      </c>
      <c r="C15">
        <f t="shared" si="0"/>
        <v>2.3929729201537852E-18</v>
      </c>
      <c r="D15">
        <f t="shared" si="1"/>
        <v>7.9948326403643576E-4</v>
      </c>
      <c r="E15">
        <f t="shared" si="2"/>
        <v>6.391734894743533E-7</v>
      </c>
    </row>
    <row r="16" spans="1:8" x14ac:dyDescent="0.25">
      <c r="A16">
        <v>1.2167074671375002</v>
      </c>
      <c r="B16">
        <v>0</v>
      </c>
      <c r="C16">
        <f t="shared" si="0"/>
        <v>2.8958291474120769E-199</v>
      </c>
      <c r="D16">
        <f t="shared" si="1"/>
        <v>-2.8958291474120769E-199</v>
      </c>
      <c r="E16">
        <f t="shared" si="2"/>
        <v>0</v>
      </c>
    </row>
    <row r="17" spans="1:5" x14ac:dyDescent="0.25">
      <c r="A17">
        <v>1.2952018456625001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1.3736962241874999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1.4521906027125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1.5306849812375001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1.6091793597625001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1.6876737382875002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1.7661681168125001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1.8446624953374999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1.9231568738625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2.0016512523875001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2.0801456309125004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2.1586400094374998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2.2371343879624996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2.3156287664875004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2.3941231450125002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2.4726175235375001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2.5511119020624999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2.6296062805874998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2.7081006591125001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2.7865950376375004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2.8650894161625002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2.9435837946875001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3.0220781732124999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3.1005725517374998</v>
      </c>
      <c r="B40">
        <v>7.9948326403643814E-4</v>
      </c>
      <c r="C40">
        <f t="shared" si="0"/>
        <v>0</v>
      </c>
      <c r="D40">
        <f t="shared" si="1"/>
        <v>7.9948326403643814E-4</v>
      </c>
      <c r="E40">
        <f t="shared" si="2"/>
        <v>6.3917348947435711E-7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D766-91E5-4764-A8C8-0A668D9084C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3.9073256500000007E-2</v>
      </c>
      <c r="B1">
        <v>8.0472962416718637E-3</v>
      </c>
      <c r="C1">
        <f>$H$3*(1+$H$1)*(A1^($H$1))*EXP(-$H$3*(A1^(1+$H$1)))</f>
        <v>7.0845187892126453E-65</v>
      </c>
      <c r="D1">
        <f>B1-C1</f>
        <v>8.0472962416718637E-3</v>
      </c>
      <c r="E1">
        <f>D1^2</f>
        <v>6.4758976801226106E-5</v>
      </c>
      <c r="G1" t="s">
        <v>0</v>
      </c>
      <c r="H1">
        <v>46.575437271720297</v>
      </c>
    </row>
    <row r="2" spans="1:8" x14ac:dyDescent="0.25">
      <c r="A2">
        <v>0.11711956950000002</v>
      </c>
      <c r="B2">
        <v>0</v>
      </c>
      <c r="C2">
        <f t="shared" ref="C2:C40" si="0">$H$3*(1+$H$1)*(A2^($H$1))*EXP(-$H$3*(A2^(1+$H$1)))</f>
        <v>1.1353859356413707E-42</v>
      </c>
      <c r="D2">
        <f t="shared" ref="D2:D40" si="1">B2-C2</f>
        <v>-1.1353859356413707E-42</v>
      </c>
      <c r="E2">
        <f t="shared" ref="E2:E40" si="2">D2^2</f>
        <v>1.2891012228522307E-84</v>
      </c>
    </row>
    <row r="3" spans="1:8" x14ac:dyDescent="0.25">
      <c r="A3">
        <v>0.1951658825</v>
      </c>
      <c r="B3">
        <v>0</v>
      </c>
      <c r="C3">
        <f t="shared" si="0"/>
        <v>2.4231744025548559E-32</v>
      </c>
      <c r="D3">
        <f t="shared" si="1"/>
        <v>-2.4231744025548559E-32</v>
      </c>
      <c r="E3">
        <f t="shared" si="2"/>
        <v>5.8717741851970831E-64</v>
      </c>
      <c r="G3" t="s">
        <v>1</v>
      </c>
      <c r="H3">
        <f>(_xlfn.GAMMA((2+$H$1)/(1+$H$1)))^(1+$H$1)</f>
        <v>0.57115047314497402</v>
      </c>
    </row>
    <row r="4" spans="1:8" x14ac:dyDescent="0.25">
      <c r="A4">
        <v>0.27321219550000003</v>
      </c>
      <c r="B4">
        <v>0</v>
      </c>
      <c r="C4">
        <f t="shared" si="0"/>
        <v>1.5448211654661892E-25</v>
      </c>
      <c r="D4">
        <f t="shared" si="1"/>
        <v>-1.5448211654661892E-25</v>
      </c>
      <c r="E4">
        <f t="shared" si="2"/>
        <v>2.3864724332723149E-50</v>
      </c>
    </row>
    <row r="5" spans="1:8" x14ac:dyDescent="0.25">
      <c r="A5">
        <v>0.35125850850000007</v>
      </c>
      <c r="B5">
        <v>0</v>
      </c>
      <c r="C5">
        <f t="shared" si="0"/>
        <v>1.8685525639096945E-20</v>
      </c>
      <c r="D5">
        <f t="shared" si="1"/>
        <v>-1.8685525639096945E-20</v>
      </c>
      <c r="E5">
        <f t="shared" si="2"/>
        <v>3.491488684093493E-40</v>
      </c>
      <c r="G5" t="s">
        <v>2</v>
      </c>
      <c r="H5">
        <f>SUM(E1:E40)</f>
        <v>25.775505589126226</v>
      </c>
    </row>
    <row r="6" spans="1:8" x14ac:dyDescent="0.25">
      <c r="A6">
        <v>0.42930482149999999</v>
      </c>
      <c r="B6">
        <v>0</v>
      </c>
      <c r="C6">
        <f t="shared" si="0"/>
        <v>2.1381506522053429E-16</v>
      </c>
      <c r="D6">
        <f t="shared" si="1"/>
        <v>-2.1381506522053429E-16</v>
      </c>
      <c r="E6">
        <f t="shared" si="2"/>
        <v>4.5716882115261334E-32</v>
      </c>
    </row>
    <row r="7" spans="1:8" x14ac:dyDescent="0.25">
      <c r="A7">
        <v>0.50735113450000002</v>
      </c>
      <c r="B7">
        <v>0</v>
      </c>
      <c r="C7">
        <f t="shared" si="0"/>
        <v>5.1139229924181538E-13</v>
      </c>
      <c r="D7">
        <f t="shared" si="1"/>
        <v>-5.1139229924181538E-13</v>
      </c>
      <c r="E7">
        <f t="shared" si="2"/>
        <v>2.6152208372383044E-25</v>
      </c>
    </row>
    <row r="8" spans="1:8" x14ac:dyDescent="0.25">
      <c r="A8">
        <v>0.58539744750000011</v>
      </c>
      <c r="B8">
        <v>0</v>
      </c>
      <c r="C8">
        <f t="shared" si="0"/>
        <v>4.0091637166985614E-10</v>
      </c>
      <c r="D8">
        <f t="shared" si="1"/>
        <v>-4.0091637166985614E-10</v>
      </c>
      <c r="E8">
        <f t="shared" si="2"/>
        <v>1.6073393707292223E-19</v>
      </c>
    </row>
    <row r="9" spans="1:8" x14ac:dyDescent="0.25">
      <c r="A9">
        <v>0.66344376050000009</v>
      </c>
      <c r="B9">
        <v>0</v>
      </c>
      <c r="C9">
        <f t="shared" si="0"/>
        <v>1.3632704450765115E-7</v>
      </c>
      <c r="D9">
        <f t="shared" si="1"/>
        <v>-1.3632704450765115E-7</v>
      </c>
      <c r="E9">
        <f t="shared" si="2"/>
        <v>1.8585063064191097E-14</v>
      </c>
    </row>
    <row r="10" spans="1:8" x14ac:dyDescent="0.25">
      <c r="A10">
        <v>0.74149007350000007</v>
      </c>
      <c r="B10">
        <v>0</v>
      </c>
      <c r="C10">
        <f t="shared" si="0"/>
        <v>2.4223262868107047E-5</v>
      </c>
      <c r="D10">
        <f t="shared" si="1"/>
        <v>-2.4223262868107047E-5</v>
      </c>
      <c r="E10">
        <f t="shared" si="2"/>
        <v>5.8676646397741369E-10</v>
      </c>
    </row>
    <row r="11" spans="1:8" x14ac:dyDescent="0.25">
      <c r="A11">
        <v>0.81953638650000005</v>
      </c>
      <c r="B11">
        <v>0</v>
      </c>
      <c r="C11">
        <f t="shared" si="0"/>
        <v>2.5616345544892871E-3</v>
      </c>
      <c r="D11">
        <f t="shared" si="1"/>
        <v>-2.5616345544892871E-3</v>
      </c>
      <c r="E11">
        <f t="shared" si="2"/>
        <v>6.5619715907535286E-6</v>
      </c>
    </row>
    <row r="12" spans="1:8" x14ac:dyDescent="0.25">
      <c r="A12">
        <v>0.89758269950000003</v>
      </c>
      <c r="B12">
        <v>0</v>
      </c>
      <c r="C12">
        <f t="shared" si="0"/>
        <v>0.17664615062809036</v>
      </c>
      <c r="D12">
        <f t="shared" si="1"/>
        <v>-0.17664615062809036</v>
      </c>
      <c r="E12">
        <f t="shared" si="2"/>
        <v>3.1203862531721988E-2</v>
      </c>
    </row>
    <row r="13" spans="1:8" x14ac:dyDescent="0.25">
      <c r="A13">
        <v>0.9756290125</v>
      </c>
      <c r="B13">
        <v>12.287416631408769</v>
      </c>
      <c r="C13">
        <f t="shared" si="0"/>
        <v>7.2172516493948828</v>
      </c>
      <c r="D13">
        <f t="shared" si="1"/>
        <v>5.0701649820138863</v>
      </c>
      <c r="E13">
        <f t="shared" si="2"/>
        <v>25.706572944839873</v>
      </c>
    </row>
    <row r="14" spans="1:8" x14ac:dyDescent="0.25">
      <c r="A14">
        <v>1.0536753255</v>
      </c>
      <c r="B14">
        <v>0.5158316890911665</v>
      </c>
      <c r="C14">
        <f t="shared" si="0"/>
        <v>0.32177972429844615</v>
      </c>
      <c r="D14">
        <f t="shared" si="1"/>
        <v>0.19405196479272036</v>
      </c>
      <c r="E14">
        <f t="shared" si="2"/>
        <v>3.7656165039915181E-2</v>
      </c>
    </row>
    <row r="15" spans="1:8" x14ac:dyDescent="0.25">
      <c r="A15">
        <v>1.1317216385</v>
      </c>
      <c r="B15">
        <v>8.0472962416718648E-4</v>
      </c>
      <c r="C15">
        <f t="shared" si="0"/>
        <v>3.6400886384048166E-86</v>
      </c>
      <c r="D15">
        <f t="shared" si="1"/>
        <v>8.0472962416718648E-4</v>
      </c>
      <c r="E15">
        <f t="shared" si="2"/>
        <v>6.4758976801226122E-7</v>
      </c>
    </row>
    <row r="16" spans="1:8" x14ac:dyDescent="0.25">
      <c r="A16">
        <v>1.2097679515000002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1.2878142645000001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1.3658605774999999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1.4439068905000001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1.5219532035000001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1.5999995165000001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1.6780458295000003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1.7560921425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1.8341384555000002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1.9121847685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1.9902310815000002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2.0682773944999999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2.1463237075000001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2.2243700205000003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2.3024163335000001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2.3804626464999998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2.4585089595000005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2.5365552725000002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2.6146015855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2.6926478985000002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2.7706942115000004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2.8487405245000001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2.9267868374999999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3.0048331505000001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3.0828794635000003</v>
      </c>
      <c r="B40">
        <v>8.0472962416718648E-4</v>
      </c>
      <c r="C40">
        <f t="shared" si="0"/>
        <v>0</v>
      </c>
      <c r="D40">
        <f t="shared" si="1"/>
        <v>8.0472962416718648E-4</v>
      </c>
      <c r="E40">
        <f t="shared" si="2"/>
        <v>6.4758976801226122E-7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2024-10-06T00:49:48Z</dcterms:modified>
</cp:coreProperties>
</file>