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663" documentId="115_{0B852C3F-CCCE-4D05-82F3-DD2AFD08FC73}" xr6:coauthVersionLast="47" xr6:coauthVersionMax="47" xr10:uidLastSave="{007D04DF-5BA2-455C-B5AE-E5CFE99BFC9D}"/>
  <bookViews>
    <workbookView xWindow="-120" yWindow="-120" windowWidth="29040" windowHeight="15720" tabRatio="1000" activeTab="31" xr2:uid="{52D9C27D-0EF6-DD41-9728-0267E68F7539}"/>
  </bookViews>
  <sheets>
    <sheet name="Brody" sheetId="1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40" i="30" s="1"/>
  <c r="D40" i="30" s="1"/>
  <c r="E40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1" i="25" s="1"/>
  <c r="D1" i="25" s="1"/>
  <c r="E1" i="25" s="1"/>
  <c r="H3" i="24"/>
  <c r="C5" i="24" s="1"/>
  <c r="D5" i="24" s="1"/>
  <c r="E5" i="24" s="1"/>
  <c r="H3" i="23"/>
  <c r="C5" i="23" s="1"/>
  <c r="D5" i="23" s="1"/>
  <c r="E5" i="23" s="1"/>
  <c r="H3" i="22"/>
  <c r="C1" i="22" s="1"/>
  <c r="D1" i="22" s="1"/>
  <c r="E1" i="22" s="1"/>
  <c r="H3" i="21"/>
  <c r="C5" i="21" s="1"/>
  <c r="D5" i="21" s="1"/>
  <c r="E5" i="21" s="1"/>
  <c r="H3" i="20"/>
  <c r="C5" i="20" s="1"/>
  <c r="D5" i="20" s="1"/>
  <c r="E5" i="20" s="1"/>
  <c r="H3" i="19"/>
  <c r="C1" i="19" s="1"/>
  <c r="D1" i="19" s="1"/>
  <c r="E1" i="19" s="1"/>
  <c r="H3" i="18"/>
  <c r="C5" i="18" s="1"/>
  <c r="D5" i="18" s="1"/>
  <c r="E5" i="18" s="1"/>
  <c r="H3" i="17"/>
  <c r="C5" i="17" s="1"/>
  <c r="D5" i="17" s="1"/>
  <c r="E5" i="17" s="1"/>
  <c r="H3" i="16"/>
  <c r="C40" i="16" s="1"/>
  <c r="D40" i="16" s="1"/>
  <c r="E40" i="16" s="1"/>
  <c r="H3" i="15"/>
  <c r="C5" i="15" s="1"/>
  <c r="D5" i="15" s="1"/>
  <c r="E5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40" i="6" s="1"/>
  <c r="D40" i="6" s="1"/>
  <c r="E40" i="6" s="1"/>
  <c r="H3" i="5"/>
  <c r="C5" i="5" s="1"/>
  <c r="D5" i="5" s="1"/>
  <c r="E5" i="5" s="1"/>
  <c r="H3" i="4"/>
  <c r="C5" i="4" s="1"/>
  <c r="D5" i="4" s="1"/>
  <c r="E5" i="4" s="1"/>
  <c r="H3" i="3"/>
  <c r="C5" i="3" s="1"/>
  <c r="D5" i="3" s="1"/>
  <c r="E5" i="3" s="1"/>
  <c r="H3" i="2"/>
  <c r="C5" i="2" s="1"/>
  <c r="D5" i="2" s="1"/>
  <c r="E5" i="2" s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C4" i="30" l="1"/>
  <c r="D4" i="30" s="1"/>
  <c r="E4" i="30" s="1"/>
  <c r="C27" i="30"/>
  <c r="D27" i="30" s="1"/>
  <c r="E27" i="30" s="1"/>
  <c r="C31" i="30"/>
  <c r="D31" i="30" s="1"/>
  <c r="E31" i="30" s="1"/>
  <c r="C1" i="30"/>
  <c r="D1" i="30" s="1"/>
  <c r="E1" i="30" s="1"/>
  <c r="C35" i="30"/>
  <c r="D35" i="30" s="1"/>
  <c r="E35" i="30" s="1"/>
  <c r="C2" i="30"/>
  <c r="D2" i="30" s="1"/>
  <c r="E2" i="30" s="1"/>
  <c r="C39" i="30"/>
  <c r="D39" i="30" s="1"/>
  <c r="E39" i="30" s="1"/>
  <c r="C5" i="30"/>
  <c r="D5" i="30" s="1"/>
  <c r="E5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38" i="29"/>
  <c r="D38" i="29" s="1"/>
  <c r="E38" i="29" s="1"/>
  <c r="C17" i="29"/>
  <c r="D17" i="29" s="1"/>
  <c r="E17" i="29" s="1"/>
  <c r="C14" i="29"/>
  <c r="D14" i="29" s="1"/>
  <c r="E14" i="29" s="1"/>
  <c r="C18" i="29"/>
  <c r="D18" i="29" s="1"/>
  <c r="E18" i="29" s="1"/>
  <c r="C21" i="29"/>
  <c r="D21" i="29" s="1"/>
  <c r="E21" i="29" s="1"/>
  <c r="C22" i="29"/>
  <c r="D22" i="29" s="1"/>
  <c r="E22" i="29" s="1"/>
  <c r="C2" i="29"/>
  <c r="D2" i="29" s="1"/>
  <c r="E2" i="29" s="1"/>
  <c r="C25" i="29"/>
  <c r="D25" i="29" s="1"/>
  <c r="E25" i="29" s="1"/>
  <c r="C3" i="29"/>
  <c r="D3" i="29" s="1"/>
  <c r="E3" i="29" s="1"/>
  <c r="C26" i="29"/>
  <c r="D26" i="29" s="1"/>
  <c r="E26" i="29" s="1"/>
  <c r="C29" i="29"/>
  <c r="D29" i="29" s="1"/>
  <c r="E29" i="29" s="1"/>
  <c r="C6" i="29"/>
  <c r="D6" i="29" s="1"/>
  <c r="E6" i="29" s="1"/>
  <c r="C30" i="29"/>
  <c r="D30" i="29" s="1"/>
  <c r="E30" i="29" s="1"/>
  <c r="C9" i="29"/>
  <c r="D9" i="29" s="1"/>
  <c r="E9" i="29" s="1"/>
  <c r="C33" i="29"/>
  <c r="D33" i="29" s="1"/>
  <c r="E33" i="29" s="1"/>
  <c r="C10" i="29"/>
  <c r="D10" i="29" s="1"/>
  <c r="E10" i="29" s="1"/>
  <c r="C34" i="29"/>
  <c r="D34" i="29" s="1"/>
  <c r="E34" i="29" s="1"/>
  <c r="C13" i="29"/>
  <c r="D13" i="29" s="1"/>
  <c r="E13" i="29" s="1"/>
  <c r="C37" i="29"/>
  <c r="D37" i="29" s="1"/>
  <c r="E37" i="29" s="1"/>
  <c r="C2" i="28"/>
  <c r="D2" i="28" s="1"/>
  <c r="E2" i="28" s="1"/>
  <c r="C37" i="27"/>
  <c r="D37" i="27" s="1"/>
  <c r="E37" i="27" s="1"/>
  <c r="C38" i="27"/>
  <c r="D38" i="27" s="1"/>
  <c r="E38" i="27" s="1"/>
  <c r="C22" i="27"/>
  <c r="D22" i="27" s="1"/>
  <c r="E22" i="27" s="1"/>
  <c r="C13" i="27"/>
  <c r="D13" i="27" s="1"/>
  <c r="E13" i="27" s="1"/>
  <c r="C14" i="27"/>
  <c r="D14" i="27" s="1"/>
  <c r="E14" i="27" s="1"/>
  <c r="C10" i="27"/>
  <c r="D10" i="27" s="1"/>
  <c r="E10" i="27" s="1"/>
  <c r="C34" i="27"/>
  <c r="D34" i="27" s="1"/>
  <c r="E34" i="27" s="1"/>
  <c r="C17" i="27"/>
  <c r="D17" i="27" s="1"/>
  <c r="E17" i="27" s="1"/>
  <c r="C18" i="27"/>
  <c r="D18" i="27" s="1"/>
  <c r="E18" i="27" s="1"/>
  <c r="C21" i="27"/>
  <c r="D21" i="27" s="1"/>
  <c r="E21" i="27" s="1"/>
  <c r="C2" i="27"/>
  <c r="D2" i="27" s="1"/>
  <c r="E2" i="27" s="1"/>
  <c r="C25" i="27"/>
  <c r="D25" i="27" s="1"/>
  <c r="E25" i="27" s="1"/>
  <c r="C26" i="27"/>
  <c r="D26" i="27" s="1"/>
  <c r="E26" i="27" s="1"/>
  <c r="C29" i="27"/>
  <c r="D29" i="27" s="1"/>
  <c r="E29" i="27" s="1"/>
  <c r="C6" i="27"/>
  <c r="D6" i="27" s="1"/>
  <c r="E6" i="27" s="1"/>
  <c r="C30" i="27"/>
  <c r="D30" i="27" s="1"/>
  <c r="E30" i="27" s="1"/>
  <c r="C9" i="27"/>
  <c r="D9" i="27" s="1"/>
  <c r="E9" i="27" s="1"/>
  <c r="C33" i="27"/>
  <c r="D33" i="27" s="1"/>
  <c r="E33" i="27" s="1"/>
  <c r="C2" i="26"/>
  <c r="D2" i="26" s="1"/>
  <c r="E2" i="26" s="1"/>
  <c r="C2" i="25"/>
  <c r="D2" i="25" s="1"/>
  <c r="E2" i="25" s="1"/>
  <c r="C3" i="25"/>
  <c r="D3" i="25" s="1"/>
  <c r="E3" i="25" s="1"/>
  <c r="C5" i="25"/>
  <c r="D5" i="25" s="1"/>
  <c r="E5" i="25" s="1"/>
  <c r="C3" i="24"/>
  <c r="D3" i="24" s="1"/>
  <c r="E3" i="24" s="1"/>
  <c r="C2" i="24"/>
  <c r="D2" i="24" s="1"/>
  <c r="E2" i="24" s="1"/>
  <c r="C38" i="24"/>
  <c r="D38" i="24" s="1"/>
  <c r="E38" i="24" s="1"/>
  <c r="C4" i="24"/>
  <c r="D4" i="24" s="1"/>
  <c r="E4" i="24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1" i="24"/>
  <c r="D1" i="24" s="1"/>
  <c r="E1" i="24" s="1"/>
  <c r="C34" i="24"/>
  <c r="D34" i="24" s="1"/>
  <c r="E34" i="24" s="1"/>
  <c r="C2" i="23"/>
  <c r="D2" i="23" s="1"/>
  <c r="E2" i="23" s="1"/>
  <c r="C5" i="22"/>
  <c r="D5" i="22" s="1"/>
  <c r="E5" i="22" s="1"/>
  <c r="C11" i="22"/>
  <c r="D11" i="22" s="1"/>
  <c r="E11" i="22" s="1"/>
  <c r="C31" i="22"/>
  <c r="D31" i="22" s="1"/>
  <c r="E31" i="22" s="1"/>
  <c r="C39" i="22"/>
  <c r="D39" i="22" s="1"/>
  <c r="E39" i="22" s="1"/>
  <c r="C7" i="22"/>
  <c r="D7" i="22" s="1"/>
  <c r="E7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5" i="22"/>
  <c r="D35" i="22" s="1"/>
  <c r="E35" i="22" s="1"/>
  <c r="C2" i="22"/>
  <c r="D2" i="22" s="1"/>
  <c r="E2" i="22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30" i="21"/>
  <c r="D30" i="21" s="1"/>
  <c r="E30" i="21" s="1"/>
  <c r="C1" i="21"/>
  <c r="D1" i="21" s="1"/>
  <c r="E1" i="21" s="1"/>
  <c r="C34" i="21"/>
  <c r="D34" i="21" s="1"/>
  <c r="E34" i="21" s="1"/>
  <c r="C2" i="21"/>
  <c r="D2" i="21" s="1"/>
  <c r="E2" i="21" s="1"/>
  <c r="C38" i="21"/>
  <c r="D38" i="21" s="1"/>
  <c r="E38" i="21" s="1"/>
  <c r="C3" i="21"/>
  <c r="D3" i="21" s="1"/>
  <c r="E3" i="21" s="1"/>
  <c r="C4" i="21"/>
  <c r="D4" i="21" s="1"/>
  <c r="E4" i="21" s="1"/>
  <c r="C2" i="20"/>
  <c r="D2" i="20" s="1"/>
  <c r="E2" i="20" s="1"/>
  <c r="C17" i="18"/>
  <c r="D17" i="18" s="1"/>
  <c r="E17" i="18" s="1"/>
  <c r="C21" i="18"/>
  <c r="D21" i="18" s="1"/>
  <c r="E21" i="18" s="1"/>
  <c r="C1" i="18"/>
  <c r="D1" i="18" s="1"/>
  <c r="E1" i="18" s="1"/>
  <c r="C2" i="18"/>
  <c r="D2" i="18" s="1"/>
  <c r="E2" i="18" s="1"/>
  <c r="C4" i="18"/>
  <c r="D4" i="18" s="1"/>
  <c r="E4" i="18" s="1"/>
  <c r="C9" i="18"/>
  <c r="D9" i="18" s="1"/>
  <c r="E9" i="18" s="1"/>
  <c r="C13" i="18"/>
  <c r="D13" i="18" s="1"/>
  <c r="E13" i="18" s="1"/>
  <c r="C13" i="17"/>
  <c r="D13" i="17" s="1"/>
  <c r="E13" i="17" s="1"/>
  <c r="C17" i="17"/>
  <c r="D17" i="17" s="1"/>
  <c r="E17" i="17" s="1"/>
  <c r="C21" i="17"/>
  <c r="D21" i="17" s="1"/>
  <c r="E21" i="17" s="1"/>
  <c r="C25" i="17"/>
  <c r="D25" i="17" s="1"/>
  <c r="E25" i="17" s="1"/>
  <c r="C29" i="17"/>
  <c r="D29" i="17" s="1"/>
  <c r="E29" i="17" s="1"/>
  <c r="C33" i="17"/>
  <c r="D33" i="17" s="1"/>
  <c r="E33" i="17" s="1"/>
  <c r="C2" i="17"/>
  <c r="D2" i="17" s="1"/>
  <c r="E2" i="17" s="1"/>
  <c r="C9" i="17"/>
  <c r="D9" i="17" s="1"/>
  <c r="E9" i="17" s="1"/>
  <c r="C2" i="16"/>
  <c r="D2" i="16" s="1"/>
  <c r="E2" i="16" s="1"/>
  <c r="C1" i="14"/>
  <c r="D1" i="14" s="1"/>
  <c r="E1" i="14" s="1"/>
  <c r="C2" i="14"/>
  <c r="D2" i="14" s="1"/>
  <c r="E2" i="14" s="1"/>
  <c r="C4" i="14"/>
  <c r="D4" i="14" s="1"/>
  <c r="E4" i="14" s="1"/>
  <c r="C2" i="13"/>
  <c r="D2" i="13" s="1"/>
  <c r="E2" i="13" s="1"/>
  <c r="C9" i="9"/>
  <c r="D9" i="9" s="1"/>
  <c r="E9" i="9" s="1"/>
  <c r="C21" i="9"/>
  <c r="D21" i="9" s="1"/>
  <c r="E21" i="9" s="1"/>
  <c r="C29" i="9"/>
  <c r="D29" i="9" s="1"/>
  <c r="E29" i="9" s="1"/>
  <c r="C33" i="9"/>
  <c r="D33" i="9" s="1"/>
  <c r="E33" i="9" s="1"/>
  <c r="C17" i="9"/>
  <c r="D17" i="9" s="1"/>
  <c r="E17" i="9" s="1"/>
  <c r="C37" i="9"/>
  <c r="D37" i="9" s="1"/>
  <c r="E37" i="9" s="1"/>
  <c r="C25" i="9"/>
  <c r="D25" i="9" s="1"/>
  <c r="E25" i="9" s="1"/>
  <c r="C13" i="9"/>
  <c r="D13" i="9" s="1"/>
  <c r="E13" i="9" s="1"/>
  <c r="C2" i="9"/>
  <c r="D2" i="9" s="1"/>
  <c r="E2" i="9" s="1"/>
  <c r="C2" i="3"/>
  <c r="D2" i="3" s="1"/>
  <c r="E2" i="3" s="1"/>
  <c r="C17" i="3"/>
  <c r="D17" i="3" s="1"/>
  <c r="E17" i="3" s="1"/>
  <c r="C21" i="3"/>
  <c r="D21" i="3" s="1"/>
  <c r="E21" i="3" s="1"/>
  <c r="C25" i="3"/>
  <c r="D25" i="3" s="1"/>
  <c r="E25" i="3" s="1"/>
  <c r="C29" i="3"/>
  <c r="D29" i="3" s="1"/>
  <c r="E29" i="3" s="1"/>
  <c r="C33" i="3"/>
  <c r="D33" i="3" s="1"/>
  <c r="E33" i="3" s="1"/>
  <c r="C37" i="3"/>
  <c r="D37" i="3" s="1"/>
  <c r="E37" i="3" s="1"/>
  <c r="C9" i="3"/>
  <c r="D9" i="3" s="1"/>
  <c r="E9" i="3" s="1"/>
  <c r="C13" i="3"/>
  <c r="D13" i="3" s="1"/>
  <c r="E13" i="3" s="1"/>
  <c r="C2" i="32"/>
  <c r="D2" i="32" s="1"/>
  <c r="E2" i="32" s="1"/>
  <c r="C9" i="32"/>
  <c r="D9" i="32" s="1"/>
  <c r="E9" i="32" s="1"/>
  <c r="C13" i="32"/>
  <c r="D13" i="32" s="1"/>
  <c r="E13" i="32" s="1"/>
  <c r="C17" i="32"/>
  <c r="D17" i="32" s="1"/>
  <c r="E17" i="32" s="1"/>
  <c r="C21" i="32"/>
  <c r="D21" i="32" s="1"/>
  <c r="E21" i="32" s="1"/>
  <c r="C25" i="32"/>
  <c r="D25" i="32" s="1"/>
  <c r="E25" i="32" s="1"/>
  <c r="C29" i="32"/>
  <c r="D29" i="32" s="1"/>
  <c r="E29" i="32" s="1"/>
  <c r="C33" i="32"/>
  <c r="D33" i="32" s="1"/>
  <c r="E33" i="32" s="1"/>
  <c r="C37" i="32"/>
  <c r="D37" i="32" s="1"/>
  <c r="E37" i="32" s="1"/>
  <c r="C6" i="32"/>
  <c r="D6" i="32" s="1"/>
  <c r="E6" i="32" s="1"/>
  <c r="C10" i="32"/>
  <c r="D10" i="32" s="1"/>
  <c r="E10" i="32" s="1"/>
  <c r="C14" i="32"/>
  <c r="D14" i="32" s="1"/>
  <c r="E14" i="32" s="1"/>
  <c r="C18" i="32"/>
  <c r="D18" i="32" s="1"/>
  <c r="E18" i="32" s="1"/>
  <c r="C22" i="32"/>
  <c r="D22" i="32" s="1"/>
  <c r="E22" i="32" s="1"/>
  <c r="C26" i="32"/>
  <c r="D26" i="32" s="1"/>
  <c r="E26" i="32" s="1"/>
  <c r="C30" i="32"/>
  <c r="D30" i="32" s="1"/>
  <c r="E30" i="32" s="1"/>
  <c r="C34" i="32"/>
  <c r="D34" i="32" s="1"/>
  <c r="E34" i="32" s="1"/>
  <c r="C38" i="32"/>
  <c r="D38" i="32" s="1"/>
  <c r="E38" i="32" s="1"/>
  <c r="C3" i="32"/>
  <c r="D3" i="32" s="1"/>
  <c r="E3" i="3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9" i="31"/>
  <c r="D9" i="31" s="1"/>
  <c r="E9" i="31" s="1"/>
  <c r="C13" i="31"/>
  <c r="D13" i="31" s="1"/>
  <c r="E13" i="31" s="1"/>
  <c r="C17" i="31"/>
  <c r="D17" i="31" s="1"/>
  <c r="E17" i="31" s="1"/>
  <c r="C21" i="31"/>
  <c r="D21" i="31" s="1"/>
  <c r="E21" i="31" s="1"/>
  <c r="C25" i="31"/>
  <c r="D25" i="31" s="1"/>
  <c r="E25" i="31" s="1"/>
  <c r="C29" i="31"/>
  <c r="D29" i="31" s="1"/>
  <c r="E29" i="31" s="1"/>
  <c r="C33" i="31"/>
  <c r="D33" i="31" s="1"/>
  <c r="E33" i="31" s="1"/>
  <c r="C37" i="31"/>
  <c r="D37" i="31" s="1"/>
  <c r="E37" i="31" s="1"/>
  <c r="C6" i="31"/>
  <c r="D6" i="31" s="1"/>
  <c r="E6" i="31" s="1"/>
  <c r="C10" i="31"/>
  <c r="D10" i="31" s="1"/>
  <c r="E10" i="31" s="1"/>
  <c r="C14" i="31"/>
  <c r="D14" i="31" s="1"/>
  <c r="E14" i="31" s="1"/>
  <c r="C18" i="31"/>
  <c r="D18" i="31" s="1"/>
  <c r="E18" i="31" s="1"/>
  <c r="C22" i="31"/>
  <c r="D22" i="31" s="1"/>
  <c r="E22" i="31" s="1"/>
  <c r="C26" i="31"/>
  <c r="D26" i="31" s="1"/>
  <c r="E26" i="31" s="1"/>
  <c r="C30" i="31"/>
  <c r="D30" i="31" s="1"/>
  <c r="E30" i="31" s="1"/>
  <c r="C34" i="31"/>
  <c r="D34" i="31" s="1"/>
  <c r="E34" i="31" s="1"/>
  <c r="C38" i="31"/>
  <c r="D38" i="31" s="1"/>
  <c r="E38" i="31" s="1"/>
  <c r="C2" i="31"/>
  <c r="D2" i="31" s="1"/>
  <c r="E2" i="31" s="1"/>
  <c r="C3" i="31"/>
  <c r="D3" i="31" s="1"/>
  <c r="E3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1" i="31"/>
  <c r="D1" i="31" s="1"/>
  <c r="E1" i="31" s="1"/>
  <c r="C9" i="30"/>
  <c r="D9" i="30" s="1"/>
  <c r="E9" i="30" s="1"/>
  <c r="C13" i="30"/>
  <c r="D13" i="30" s="1"/>
  <c r="E13" i="30" s="1"/>
  <c r="C17" i="30"/>
  <c r="D17" i="30" s="1"/>
  <c r="E17" i="30" s="1"/>
  <c r="C21" i="30"/>
  <c r="D21" i="30" s="1"/>
  <c r="E21" i="30" s="1"/>
  <c r="C25" i="30"/>
  <c r="D25" i="30" s="1"/>
  <c r="E25" i="30" s="1"/>
  <c r="C29" i="30"/>
  <c r="D29" i="30" s="1"/>
  <c r="E29" i="30" s="1"/>
  <c r="C33" i="30"/>
  <c r="D33" i="30" s="1"/>
  <c r="E33" i="30" s="1"/>
  <c r="C37" i="30"/>
  <c r="D37" i="30" s="1"/>
  <c r="E37" i="30" s="1"/>
  <c r="C6" i="30"/>
  <c r="D6" i="30" s="1"/>
  <c r="E6" i="30" s="1"/>
  <c r="C10" i="30"/>
  <c r="D10" i="30" s="1"/>
  <c r="E10" i="30" s="1"/>
  <c r="C14" i="30"/>
  <c r="D14" i="30" s="1"/>
  <c r="E14" i="30" s="1"/>
  <c r="C18" i="30"/>
  <c r="D18" i="30" s="1"/>
  <c r="E18" i="30" s="1"/>
  <c r="C22" i="30"/>
  <c r="D22" i="30" s="1"/>
  <c r="E22" i="30" s="1"/>
  <c r="C26" i="30"/>
  <c r="D26" i="30" s="1"/>
  <c r="E26" i="30" s="1"/>
  <c r="C30" i="30"/>
  <c r="D30" i="30" s="1"/>
  <c r="E30" i="30" s="1"/>
  <c r="C34" i="30"/>
  <c r="D34" i="30" s="1"/>
  <c r="E34" i="30" s="1"/>
  <c r="C38" i="30"/>
  <c r="D38" i="30" s="1"/>
  <c r="E38" i="30" s="1"/>
  <c r="C3" i="30"/>
  <c r="D3" i="30" s="1"/>
  <c r="E3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1" i="29"/>
  <c r="D1" i="29" s="1"/>
  <c r="E1" i="29" s="1"/>
  <c r="C9" i="28"/>
  <c r="D9" i="28" s="1"/>
  <c r="E9" i="28" s="1"/>
  <c r="C13" i="28"/>
  <c r="D13" i="28" s="1"/>
  <c r="E13" i="28" s="1"/>
  <c r="C17" i="28"/>
  <c r="D17" i="28" s="1"/>
  <c r="E17" i="28" s="1"/>
  <c r="C21" i="28"/>
  <c r="D21" i="28" s="1"/>
  <c r="E21" i="28" s="1"/>
  <c r="C25" i="28"/>
  <c r="D25" i="28" s="1"/>
  <c r="E25" i="28" s="1"/>
  <c r="C29" i="28"/>
  <c r="D29" i="28" s="1"/>
  <c r="E29" i="28" s="1"/>
  <c r="C33" i="28"/>
  <c r="D33" i="28" s="1"/>
  <c r="E33" i="28" s="1"/>
  <c r="C37" i="28"/>
  <c r="D37" i="28" s="1"/>
  <c r="E37" i="28" s="1"/>
  <c r="C6" i="28"/>
  <c r="D6" i="28" s="1"/>
  <c r="E6" i="28" s="1"/>
  <c r="C10" i="28"/>
  <c r="D10" i="28" s="1"/>
  <c r="E10" i="28" s="1"/>
  <c r="C14" i="28"/>
  <c r="D14" i="28" s="1"/>
  <c r="E14" i="28" s="1"/>
  <c r="C18" i="28"/>
  <c r="D18" i="28" s="1"/>
  <c r="E18" i="28" s="1"/>
  <c r="C22" i="28"/>
  <c r="D22" i="28" s="1"/>
  <c r="E22" i="28" s="1"/>
  <c r="C26" i="28"/>
  <c r="D26" i="28" s="1"/>
  <c r="E26" i="28" s="1"/>
  <c r="C30" i="28"/>
  <c r="D30" i="28" s="1"/>
  <c r="E30" i="28" s="1"/>
  <c r="C34" i="28"/>
  <c r="D34" i="28" s="1"/>
  <c r="E34" i="28" s="1"/>
  <c r="C38" i="28"/>
  <c r="D38" i="28" s="1"/>
  <c r="E38" i="28" s="1"/>
  <c r="C3" i="28"/>
  <c r="D3" i="28" s="1"/>
  <c r="E3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4" i="28"/>
  <c r="D4" i="28" s="1"/>
  <c r="E4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" i="28"/>
  <c r="D1" i="28" s="1"/>
  <c r="E1" i="28" s="1"/>
  <c r="C3" i="27"/>
  <c r="D3" i="27" s="1"/>
  <c r="E3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9" i="26"/>
  <c r="D9" i="26" s="1"/>
  <c r="E9" i="26" s="1"/>
  <c r="C13" i="26"/>
  <c r="D13" i="26" s="1"/>
  <c r="E13" i="26" s="1"/>
  <c r="C17" i="26"/>
  <c r="D17" i="26" s="1"/>
  <c r="E17" i="26" s="1"/>
  <c r="C21" i="26"/>
  <c r="D21" i="26" s="1"/>
  <c r="E21" i="26" s="1"/>
  <c r="C25" i="26"/>
  <c r="D25" i="26" s="1"/>
  <c r="E25" i="26" s="1"/>
  <c r="C29" i="26"/>
  <c r="D29" i="26" s="1"/>
  <c r="E29" i="26" s="1"/>
  <c r="C33" i="26"/>
  <c r="D33" i="26" s="1"/>
  <c r="E33" i="26" s="1"/>
  <c r="C37" i="26"/>
  <c r="D37" i="26" s="1"/>
  <c r="E37" i="26" s="1"/>
  <c r="C10" i="26"/>
  <c r="D10" i="26" s="1"/>
  <c r="E10" i="26" s="1"/>
  <c r="C14" i="26"/>
  <c r="D14" i="26" s="1"/>
  <c r="E14" i="26" s="1"/>
  <c r="C26" i="26"/>
  <c r="D26" i="26" s="1"/>
  <c r="E26" i="26" s="1"/>
  <c r="C30" i="26"/>
  <c r="D30" i="26" s="1"/>
  <c r="E30" i="26" s="1"/>
  <c r="C38" i="26"/>
  <c r="D38" i="26" s="1"/>
  <c r="E38" i="26" s="1"/>
  <c r="C3" i="26"/>
  <c r="D3" i="26" s="1"/>
  <c r="E3" i="26" s="1"/>
  <c r="C22" i="26"/>
  <c r="D22" i="26" s="1"/>
  <c r="E22" i="26" s="1"/>
  <c r="C18" i="26"/>
  <c r="D18" i="26" s="1"/>
  <c r="E18" i="26" s="1"/>
  <c r="C34" i="26"/>
  <c r="D34" i="26" s="1"/>
  <c r="E34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6" i="26"/>
  <c r="D6" i="26" s="1"/>
  <c r="E6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9" i="25"/>
  <c r="D9" i="25" s="1"/>
  <c r="E9" i="25" s="1"/>
  <c r="C13" i="25"/>
  <c r="D13" i="25" s="1"/>
  <c r="E13" i="25" s="1"/>
  <c r="C17" i="25"/>
  <c r="D17" i="25" s="1"/>
  <c r="E17" i="25" s="1"/>
  <c r="C21" i="25"/>
  <c r="D21" i="25" s="1"/>
  <c r="E21" i="25" s="1"/>
  <c r="C25" i="25"/>
  <c r="D25" i="25" s="1"/>
  <c r="E25" i="25" s="1"/>
  <c r="C29" i="25"/>
  <c r="D29" i="25" s="1"/>
  <c r="E29" i="25" s="1"/>
  <c r="C33" i="25"/>
  <c r="D33" i="25" s="1"/>
  <c r="E33" i="25" s="1"/>
  <c r="C37" i="25"/>
  <c r="D37" i="25" s="1"/>
  <c r="E37" i="25" s="1"/>
  <c r="C6" i="25"/>
  <c r="D6" i="25" s="1"/>
  <c r="E6" i="25" s="1"/>
  <c r="C10" i="25"/>
  <c r="D10" i="25" s="1"/>
  <c r="E10" i="25" s="1"/>
  <c r="C14" i="25"/>
  <c r="D14" i="25" s="1"/>
  <c r="E14" i="25" s="1"/>
  <c r="C18" i="25"/>
  <c r="D18" i="25" s="1"/>
  <c r="E18" i="25" s="1"/>
  <c r="C22" i="25"/>
  <c r="D22" i="25" s="1"/>
  <c r="E22" i="25" s="1"/>
  <c r="C26" i="25"/>
  <c r="D26" i="25" s="1"/>
  <c r="E26" i="25" s="1"/>
  <c r="C30" i="25"/>
  <c r="D30" i="25" s="1"/>
  <c r="E30" i="25" s="1"/>
  <c r="C34" i="25"/>
  <c r="D34" i="25" s="1"/>
  <c r="E34" i="25" s="1"/>
  <c r="C38" i="25"/>
  <c r="D38" i="25" s="1"/>
  <c r="E38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9" i="24"/>
  <c r="D9" i="24" s="1"/>
  <c r="E9" i="24" s="1"/>
  <c r="C13" i="24"/>
  <c r="D13" i="24" s="1"/>
  <c r="E13" i="24" s="1"/>
  <c r="C17" i="24"/>
  <c r="D17" i="24" s="1"/>
  <c r="E17" i="24" s="1"/>
  <c r="C21" i="24"/>
  <c r="D21" i="24" s="1"/>
  <c r="E21" i="24" s="1"/>
  <c r="C25" i="24"/>
  <c r="D25" i="24" s="1"/>
  <c r="E25" i="24" s="1"/>
  <c r="C29" i="24"/>
  <c r="D29" i="24" s="1"/>
  <c r="E29" i="24" s="1"/>
  <c r="C33" i="24"/>
  <c r="D33" i="24" s="1"/>
  <c r="E33" i="24" s="1"/>
  <c r="C37" i="24"/>
  <c r="D37" i="24" s="1"/>
  <c r="E37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9" i="23"/>
  <c r="D9" i="23" s="1"/>
  <c r="E9" i="23" s="1"/>
  <c r="C13" i="23"/>
  <c r="D13" i="23" s="1"/>
  <c r="E13" i="23" s="1"/>
  <c r="C17" i="23"/>
  <c r="D17" i="23" s="1"/>
  <c r="E17" i="23" s="1"/>
  <c r="C21" i="23"/>
  <c r="D21" i="23" s="1"/>
  <c r="E21" i="23" s="1"/>
  <c r="C25" i="23"/>
  <c r="D25" i="23" s="1"/>
  <c r="E25" i="23" s="1"/>
  <c r="C29" i="23"/>
  <c r="D29" i="23" s="1"/>
  <c r="E29" i="23" s="1"/>
  <c r="C33" i="23"/>
  <c r="D33" i="23" s="1"/>
  <c r="E33" i="23" s="1"/>
  <c r="C37" i="23"/>
  <c r="D37" i="23" s="1"/>
  <c r="E37" i="23" s="1"/>
  <c r="C6" i="23"/>
  <c r="D6" i="23" s="1"/>
  <c r="E6" i="23" s="1"/>
  <c r="C10" i="23"/>
  <c r="D10" i="23" s="1"/>
  <c r="E10" i="23" s="1"/>
  <c r="C14" i="23"/>
  <c r="D14" i="23" s="1"/>
  <c r="E14" i="23" s="1"/>
  <c r="C18" i="23"/>
  <c r="D18" i="23" s="1"/>
  <c r="E18" i="23" s="1"/>
  <c r="C22" i="23"/>
  <c r="D22" i="23" s="1"/>
  <c r="E22" i="23" s="1"/>
  <c r="C26" i="23"/>
  <c r="D26" i="23" s="1"/>
  <c r="E26" i="23" s="1"/>
  <c r="C30" i="23"/>
  <c r="D30" i="23" s="1"/>
  <c r="E30" i="23" s="1"/>
  <c r="C34" i="23"/>
  <c r="D34" i="23" s="1"/>
  <c r="E34" i="23" s="1"/>
  <c r="C38" i="23"/>
  <c r="D38" i="23" s="1"/>
  <c r="E38" i="23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9" i="22"/>
  <c r="D9" i="22" s="1"/>
  <c r="E9" i="22" s="1"/>
  <c r="C13" i="22"/>
  <c r="D13" i="22" s="1"/>
  <c r="E13" i="22" s="1"/>
  <c r="C17" i="22"/>
  <c r="D17" i="22" s="1"/>
  <c r="E17" i="22" s="1"/>
  <c r="C21" i="22"/>
  <c r="D21" i="22" s="1"/>
  <c r="E21" i="22" s="1"/>
  <c r="C25" i="22"/>
  <c r="D25" i="22" s="1"/>
  <c r="E25" i="22" s="1"/>
  <c r="C29" i="22"/>
  <c r="D29" i="22" s="1"/>
  <c r="E29" i="22" s="1"/>
  <c r="C33" i="22"/>
  <c r="D33" i="22" s="1"/>
  <c r="E33" i="22" s="1"/>
  <c r="C37" i="22"/>
  <c r="D37" i="22" s="1"/>
  <c r="E37" i="22" s="1"/>
  <c r="C6" i="22"/>
  <c r="D6" i="22" s="1"/>
  <c r="E6" i="22" s="1"/>
  <c r="C10" i="22"/>
  <c r="D10" i="22" s="1"/>
  <c r="E10" i="22" s="1"/>
  <c r="C14" i="22"/>
  <c r="D14" i="22" s="1"/>
  <c r="E14" i="22" s="1"/>
  <c r="C18" i="22"/>
  <c r="D18" i="22" s="1"/>
  <c r="E18" i="22" s="1"/>
  <c r="C22" i="22"/>
  <c r="D22" i="22" s="1"/>
  <c r="E22" i="22" s="1"/>
  <c r="C26" i="22"/>
  <c r="D26" i="22" s="1"/>
  <c r="E26" i="22" s="1"/>
  <c r="C30" i="22"/>
  <c r="D30" i="22" s="1"/>
  <c r="E30" i="22" s="1"/>
  <c r="C34" i="22"/>
  <c r="D34" i="22" s="1"/>
  <c r="E34" i="22" s="1"/>
  <c r="C38" i="22"/>
  <c r="D38" i="22" s="1"/>
  <c r="E38" i="22" s="1"/>
  <c r="C3" i="22"/>
  <c r="D3" i="22" s="1"/>
  <c r="E3" i="22" s="1"/>
  <c r="C4" i="22"/>
  <c r="D4" i="22" s="1"/>
  <c r="E4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9" i="21"/>
  <c r="D9" i="21" s="1"/>
  <c r="E9" i="21" s="1"/>
  <c r="C13" i="21"/>
  <c r="D13" i="21" s="1"/>
  <c r="E13" i="21" s="1"/>
  <c r="C17" i="21"/>
  <c r="D17" i="21" s="1"/>
  <c r="E17" i="21" s="1"/>
  <c r="C21" i="21"/>
  <c r="D21" i="21" s="1"/>
  <c r="E21" i="21" s="1"/>
  <c r="C25" i="21"/>
  <c r="D25" i="21" s="1"/>
  <c r="E25" i="21" s="1"/>
  <c r="C29" i="21"/>
  <c r="D29" i="21" s="1"/>
  <c r="E29" i="21" s="1"/>
  <c r="C33" i="21"/>
  <c r="D33" i="21" s="1"/>
  <c r="E33" i="21" s="1"/>
  <c r="C37" i="21"/>
  <c r="D37" i="21" s="1"/>
  <c r="E37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9" i="20"/>
  <c r="D9" i="20" s="1"/>
  <c r="E9" i="20" s="1"/>
  <c r="C13" i="20"/>
  <c r="D13" i="20" s="1"/>
  <c r="E13" i="20" s="1"/>
  <c r="C17" i="20"/>
  <c r="D17" i="20" s="1"/>
  <c r="E17" i="20" s="1"/>
  <c r="C21" i="20"/>
  <c r="D21" i="20" s="1"/>
  <c r="E21" i="20" s="1"/>
  <c r="C25" i="20"/>
  <c r="D25" i="20" s="1"/>
  <c r="E25" i="20" s="1"/>
  <c r="C29" i="20"/>
  <c r="D29" i="20" s="1"/>
  <c r="E29" i="20" s="1"/>
  <c r="C33" i="20"/>
  <c r="D33" i="20" s="1"/>
  <c r="E33" i="20" s="1"/>
  <c r="C37" i="20"/>
  <c r="D37" i="20" s="1"/>
  <c r="E37" i="20" s="1"/>
  <c r="C6" i="20"/>
  <c r="D6" i="20" s="1"/>
  <c r="E6" i="20" s="1"/>
  <c r="C10" i="20"/>
  <c r="D10" i="20" s="1"/>
  <c r="E10" i="20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3" i="20"/>
  <c r="D3" i="20" s="1"/>
  <c r="E3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5" i="19"/>
  <c r="D5" i="19" s="1"/>
  <c r="E5" i="19" s="1"/>
  <c r="C9" i="19"/>
  <c r="D9" i="19" s="1"/>
  <c r="E9" i="19" s="1"/>
  <c r="C13" i="19"/>
  <c r="D13" i="19" s="1"/>
  <c r="E13" i="19" s="1"/>
  <c r="C17" i="19"/>
  <c r="D17" i="19" s="1"/>
  <c r="E17" i="19" s="1"/>
  <c r="C21" i="19"/>
  <c r="D21" i="19" s="1"/>
  <c r="E21" i="19" s="1"/>
  <c r="C25" i="19"/>
  <c r="D25" i="19" s="1"/>
  <c r="E25" i="19" s="1"/>
  <c r="C29" i="19"/>
  <c r="D29" i="19" s="1"/>
  <c r="E29" i="19" s="1"/>
  <c r="C33" i="19"/>
  <c r="D33" i="19" s="1"/>
  <c r="E33" i="19" s="1"/>
  <c r="C37" i="19"/>
  <c r="D37" i="19" s="1"/>
  <c r="E37" i="19" s="1"/>
  <c r="C2" i="19"/>
  <c r="D2" i="19" s="1"/>
  <c r="E2" i="19" s="1"/>
  <c r="C6" i="19"/>
  <c r="D6" i="19" s="1"/>
  <c r="E6" i="19" s="1"/>
  <c r="C10" i="19"/>
  <c r="D10" i="19" s="1"/>
  <c r="E10" i="19" s="1"/>
  <c r="C14" i="19"/>
  <c r="D14" i="19" s="1"/>
  <c r="E14" i="19" s="1"/>
  <c r="C18" i="19"/>
  <c r="D18" i="19" s="1"/>
  <c r="E18" i="19" s="1"/>
  <c r="C22" i="19"/>
  <c r="D22" i="19" s="1"/>
  <c r="E22" i="19" s="1"/>
  <c r="C26" i="19"/>
  <c r="D26" i="19" s="1"/>
  <c r="E26" i="19" s="1"/>
  <c r="C30" i="19"/>
  <c r="D30" i="19" s="1"/>
  <c r="E30" i="19" s="1"/>
  <c r="C34" i="19"/>
  <c r="D34" i="19" s="1"/>
  <c r="E34" i="19" s="1"/>
  <c r="C38" i="19"/>
  <c r="D38" i="19" s="1"/>
  <c r="E38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40" i="19"/>
  <c r="D40" i="19" s="1"/>
  <c r="E40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25" i="18"/>
  <c r="D25" i="18" s="1"/>
  <c r="E25" i="18" s="1"/>
  <c r="C29" i="18"/>
  <c r="D29" i="18" s="1"/>
  <c r="E29" i="18" s="1"/>
  <c r="C33" i="18"/>
  <c r="D33" i="18" s="1"/>
  <c r="E33" i="18" s="1"/>
  <c r="C37" i="18"/>
  <c r="D37" i="18" s="1"/>
  <c r="E37" i="18" s="1"/>
  <c r="C6" i="18"/>
  <c r="D6" i="18" s="1"/>
  <c r="E6" i="18" s="1"/>
  <c r="C10" i="18"/>
  <c r="D10" i="18" s="1"/>
  <c r="E10" i="18" s="1"/>
  <c r="C14" i="18"/>
  <c r="D14" i="18" s="1"/>
  <c r="E14" i="18" s="1"/>
  <c r="C18" i="18"/>
  <c r="D18" i="18" s="1"/>
  <c r="E18" i="18" s="1"/>
  <c r="C22" i="18"/>
  <c r="D22" i="18" s="1"/>
  <c r="E22" i="18" s="1"/>
  <c r="C26" i="18"/>
  <c r="D26" i="18" s="1"/>
  <c r="E26" i="18" s="1"/>
  <c r="C30" i="18"/>
  <c r="D30" i="18" s="1"/>
  <c r="E30" i="18" s="1"/>
  <c r="C34" i="18"/>
  <c r="D34" i="18" s="1"/>
  <c r="E34" i="18" s="1"/>
  <c r="C38" i="18"/>
  <c r="D38" i="18" s="1"/>
  <c r="E38" i="18" s="1"/>
  <c r="C3" i="18"/>
  <c r="D3" i="18" s="1"/>
  <c r="E3" i="18" s="1"/>
  <c r="C7" i="18"/>
  <c r="D7" i="18" s="1"/>
  <c r="E7" i="18" s="1"/>
  <c r="C11" i="18"/>
  <c r="D11" i="18" s="1"/>
  <c r="E11" i="18" s="1"/>
  <c r="C15" i="18"/>
  <c r="D15" i="18" s="1"/>
  <c r="E15" i="18" s="1"/>
  <c r="C19" i="18"/>
  <c r="D19" i="18" s="1"/>
  <c r="E19" i="18" s="1"/>
  <c r="C23" i="18"/>
  <c r="D23" i="18" s="1"/>
  <c r="E23" i="18" s="1"/>
  <c r="C27" i="18"/>
  <c r="D27" i="18" s="1"/>
  <c r="E27" i="18" s="1"/>
  <c r="C31" i="18"/>
  <c r="D31" i="18" s="1"/>
  <c r="E31" i="18" s="1"/>
  <c r="C35" i="18"/>
  <c r="D35" i="18" s="1"/>
  <c r="E35" i="18" s="1"/>
  <c r="C39" i="18"/>
  <c r="D39" i="18" s="1"/>
  <c r="E39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37" i="17"/>
  <c r="D37" i="17" s="1"/>
  <c r="E37" i="17" s="1"/>
  <c r="C3" i="17"/>
  <c r="D3" i="17" s="1"/>
  <c r="E3" i="17" s="1"/>
  <c r="C6" i="17"/>
  <c r="D6" i="17" s="1"/>
  <c r="E6" i="17" s="1"/>
  <c r="C14" i="17"/>
  <c r="D14" i="17" s="1"/>
  <c r="E14" i="17" s="1"/>
  <c r="C22" i="17"/>
  <c r="D22" i="17" s="1"/>
  <c r="E22" i="17" s="1"/>
  <c r="C26" i="17"/>
  <c r="D26" i="17" s="1"/>
  <c r="E26" i="17" s="1"/>
  <c r="C30" i="17"/>
  <c r="D30" i="17" s="1"/>
  <c r="E30" i="17" s="1"/>
  <c r="C38" i="17"/>
  <c r="D38" i="17" s="1"/>
  <c r="E38" i="17" s="1"/>
  <c r="C10" i="17"/>
  <c r="D10" i="17" s="1"/>
  <c r="E10" i="17" s="1"/>
  <c r="C18" i="17"/>
  <c r="D18" i="17" s="1"/>
  <c r="E18" i="17" s="1"/>
  <c r="C34" i="17"/>
  <c r="D34" i="17" s="1"/>
  <c r="E34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1" i="17"/>
  <c r="D1" i="17" s="1"/>
  <c r="E1" i="17" s="1"/>
  <c r="C4" i="17"/>
  <c r="D4" i="17" s="1"/>
  <c r="E4" i="17" s="1"/>
  <c r="C12" i="16"/>
  <c r="D12" i="16" s="1"/>
  <c r="E12" i="16" s="1"/>
  <c r="C20" i="16"/>
  <c r="D20" i="16" s="1"/>
  <c r="E20" i="16" s="1"/>
  <c r="C24" i="16"/>
  <c r="D24" i="16" s="1"/>
  <c r="E24" i="16" s="1"/>
  <c r="C32" i="16"/>
  <c r="D32" i="16" s="1"/>
  <c r="E32" i="16" s="1"/>
  <c r="C36" i="16"/>
  <c r="D36" i="16" s="1"/>
  <c r="E36" i="16" s="1"/>
  <c r="C1" i="16"/>
  <c r="D1" i="16" s="1"/>
  <c r="E1" i="16" s="1"/>
  <c r="C5" i="16"/>
  <c r="D5" i="16" s="1"/>
  <c r="E5" i="16" s="1"/>
  <c r="C9" i="16"/>
  <c r="D9" i="16" s="1"/>
  <c r="E9" i="16" s="1"/>
  <c r="C13" i="16"/>
  <c r="D13" i="16" s="1"/>
  <c r="E13" i="16" s="1"/>
  <c r="C17" i="16"/>
  <c r="D17" i="16" s="1"/>
  <c r="E17" i="16" s="1"/>
  <c r="C21" i="16"/>
  <c r="D21" i="16" s="1"/>
  <c r="E21" i="16" s="1"/>
  <c r="C25" i="16"/>
  <c r="D25" i="16" s="1"/>
  <c r="E25" i="16" s="1"/>
  <c r="C29" i="16"/>
  <c r="D29" i="16" s="1"/>
  <c r="E29" i="16" s="1"/>
  <c r="C33" i="16"/>
  <c r="D33" i="16" s="1"/>
  <c r="E33" i="16" s="1"/>
  <c r="C37" i="16"/>
  <c r="D37" i="16" s="1"/>
  <c r="E37" i="16" s="1"/>
  <c r="C6" i="16"/>
  <c r="D6" i="16" s="1"/>
  <c r="E6" i="16" s="1"/>
  <c r="C10" i="16"/>
  <c r="D10" i="16" s="1"/>
  <c r="E10" i="16" s="1"/>
  <c r="C14" i="16"/>
  <c r="D14" i="16" s="1"/>
  <c r="E14" i="16" s="1"/>
  <c r="C18" i="16"/>
  <c r="D18" i="16" s="1"/>
  <c r="E18" i="16" s="1"/>
  <c r="C22" i="16"/>
  <c r="D22" i="16" s="1"/>
  <c r="E22" i="16" s="1"/>
  <c r="C26" i="16"/>
  <c r="D26" i="16" s="1"/>
  <c r="E26" i="16" s="1"/>
  <c r="C30" i="16"/>
  <c r="D30" i="16" s="1"/>
  <c r="E30" i="16" s="1"/>
  <c r="C34" i="16"/>
  <c r="D34" i="16" s="1"/>
  <c r="E34" i="16" s="1"/>
  <c r="C38" i="16"/>
  <c r="D38" i="16" s="1"/>
  <c r="E38" i="16" s="1"/>
  <c r="C3" i="16"/>
  <c r="D3" i="16" s="1"/>
  <c r="E3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8" i="16"/>
  <c r="D8" i="16" s="1"/>
  <c r="E8" i="16" s="1"/>
  <c r="C16" i="16"/>
  <c r="D16" i="16" s="1"/>
  <c r="E16" i="16" s="1"/>
  <c r="C28" i="16"/>
  <c r="D28" i="16" s="1"/>
  <c r="E28" i="16" s="1"/>
  <c r="C20" i="15"/>
  <c r="D20" i="15" s="1"/>
  <c r="E20" i="15" s="1"/>
  <c r="C1" i="15"/>
  <c r="D1" i="15" s="1"/>
  <c r="E1" i="15" s="1"/>
  <c r="C9" i="15"/>
  <c r="D9" i="15" s="1"/>
  <c r="E9" i="15" s="1"/>
  <c r="C13" i="15"/>
  <c r="D13" i="15" s="1"/>
  <c r="E13" i="15" s="1"/>
  <c r="C17" i="15"/>
  <c r="D17" i="15" s="1"/>
  <c r="E17" i="15" s="1"/>
  <c r="C21" i="15"/>
  <c r="D21" i="15" s="1"/>
  <c r="E21" i="15" s="1"/>
  <c r="C25" i="15"/>
  <c r="D25" i="15" s="1"/>
  <c r="E25" i="15" s="1"/>
  <c r="C29" i="15"/>
  <c r="D29" i="15" s="1"/>
  <c r="E29" i="15" s="1"/>
  <c r="C33" i="15"/>
  <c r="D33" i="15" s="1"/>
  <c r="E33" i="15" s="1"/>
  <c r="C37" i="15"/>
  <c r="D37" i="15" s="1"/>
  <c r="E37" i="15" s="1"/>
  <c r="C2" i="15"/>
  <c r="D2" i="15" s="1"/>
  <c r="E2" i="15" s="1"/>
  <c r="C6" i="15"/>
  <c r="D6" i="15" s="1"/>
  <c r="E6" i="15" s="1"/>
  <c r="C10" i="15"/>
  <c r="D10" i="15" s="1"/>
  <c r="E10" i="15" s="1"/>
  <c r="C14" i="15"/>
  <c r="D14" i="15" s="1"/>
  <c r="E14" i="15" s="1"/>
  <c r="C18" i="15"/>
  <c r="D18" i="15" s="1"/>
  <c r="E18" i="15" s="1"/>
  <c r="C22" i="15"/>
  <c r="D22" i="15" s="1"/>
  <c r="E22" i="15" s="1"/>
  <c r="C26" i="15"/>
  <c r="D26" i="15" s="1"/>
  <c r="E26" i="15" s="1"/>
  <c r="C30" i="15"/>
  <c r="D30" i="15" s="1"/>
  <c r="E30" i="15" s="1"/>
  <c r="C34" i="15"/>
  <c r="D34" i="15" s="1"/>
  <c r="E34" i="15" s="1"/>
  <c r="C38" i="15"/>
  <c r="D38" i="15" s="1"/>
  <c r="E38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3" i="15"/>
  <c r="D3" i="15" s="1"/>
  <c r="E3" i="15" s="1"/>
  <c r="C8" i="15"/>
  <c r="D8" i="15" s="1"/>
  <c r="E8" i="15" s="1"/>
  <c r="C12" i="15"/>
  <c r="D12" i="15" s="1"/>
  <c r="E12" i="15" s="1"/>
  <c r="C16" i="15"/>
  <c r="D16" i="15" s="1"/>
  <c r="E16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40" i="15"/>
  <c r="D40" i="15" s="1"/>
  <c r="E40" i="15" s="1"/>
  <c r="C9" i="14"/>
  <c r="D9" i="14" s="1"/>
  <c r="E9" i="14" s="1"/>
  <c r="C13" i="14"/>
  <c r="D13" i="14" s="1"/>
  <c r="E13" i="14" s="1"/>
  <c r="C17" i="14"/>
  <c r="D17" i="14" s="1"/>
  <c r="E17" i="14" s="1"/>
  <c r="C21" i="14"/>
  <c r="D21" i="14" s="1"/>
  <c r="E21" i="14" s="1"/>
  <c r="C25" i="14"/>
  <c r="D25" i="14" s="1"/>
  <c r="E25" i="14" s="1"/>
  <c r="C29" i="14"/>
  <c r="D29" i="14" s="1"/>
  <c r="E29" i="14" s="1"/>
  <c r="C33" i="14"/>
  <c r="D33" i="14" s="1"/>
  <c r="E33" i="14" s="1"/>
  <c r="C37" i="14"/>
  <c r="D37" i="14" s="1"/>
  <c r="E37" i="14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3" i="14"/>
  <c r="D3" i="14" s="1"/>
  <c r="E3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9" i="13"/>
  <c r="D9" i="13" s="1"/>
  <c r="E9" i="13" s="1"/>
  <c r="C13" i="13"/>
  <c r="D13" i="13" s="1"/>
  <c r="E13" i="13" s="1"/>
  <c r="C17" i="13"/>
  <c r="D17" i="13" s="1"/>
  <c r="E17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7" i="13"/>
  <c r="D37" i="13" s="1"/>
  <c r="E37" i="13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3" i="13"/>
  <c r="D3" i="13" s="1"/>
  <c r="E3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1" i="13"/>
  <c r="D1" i="13" s="1"/>
  <c r="E1" i="13" s="1"/>
  <c r="C9" i="12"/>
  <c r="D9" i="12" s="1"/>
  <c r="E9" i="12" s="1"/>
  <c r="C13" i="12"/>
  <c r="D13" i="12" s="1"/>
  <c r="E13" i="12" s="1"/>
  <c r="C17" i="12"/>
  <c r="D17" i="12" s="1"/>
  <c r="E17" i="12" s="1"/>
  <c r="C21" i="12"/>
  <c r="D21" i="12" s="1"/>
  <c r="E21" i="12" s="1"/>
  <c r="C25" i="12"/>
  <c r="D25" i="12" s="1"/>
  <c r="E25" i="12" s="1"/>
  <c r="C29" i="12"/>
  <c r="D29" i="12" s="1"/>
  <c r="E29" i="12" s="1"/>
  <c r="C33" i="12"/>
  <c r="D33" i="12" s="1"/>
  <c r="E33" i="12" s="1"/>
  <c r="C37" i="12"/>
  <c r="D37" i="12" s="1"/>
  <c r="E37" i="12" s="1"/>
  <c r="C2" i="12"/>
  <c r="D2" i="12" s="1"/>
  <c r="E2" i="12" s="1"/>
  <c r="C6" i="12"/>
  <c r="D6" i="12" s="1"/>
  <c r="E6" i="12" s="1"/>
  <c r="C18" i="12"/>
  <c r="D18" i="12" s="1"/>
  <c r="E18" i="12" s="1"/>
  <c r="C22" i="12"/>
  <c r="D22" i="12" s="1"/>
  <c r="E22" i="12" s="1"/>
  <c r="C30" i="12"/>
  <c r="D30" i="12" s="1"/>
  <c r="E30" i="12" s="1"/>
  <c r="C38" i="12"/>
  <c r="D38" i="12" s="1"/>
  <c r="E38" i="12" s="1"/>
  <c r="C3" i="12"/>
  <c r="D3" i="12" s="1"/>
  <c r="E3" i="12" s="1"/>
  <c r="C14" i="12"/>
  <c r="D14" i="12" s="1"/>
  <c r="E14" i="12" s="1"/>
  <c r="C34" i="12"/>
  <c r="D34" i="12" s="1"/>
  <c r="E34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10" i="12"/>
  <c r="D10" i="12" s="1"/>
  <c r="E10" i="12" s="1"/>
  <c r="C26" i="12"/>
  <c r="D26" i="12" s="1"/>
  <c r="E26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1" i="12"/>
  <c r="D1" i="12" s="1"/>
  <c r="E1" i="12" s="1"/>
  <c r="C9" i="11"/>
  <c r="D9" i="11" s="1"/>
  <c r="E9" i="11" s="1"/>
  <c r="C13" i="11"/>
  <c r="D13" i="11" s="1"/>
  <c r="E13" i="11" s="1"/>
  <c r="C17" i="11"/>
  <c r="D17" i="11" s="1"/>
  <c r="E17" i="11" s="1"/>
  <c r="C21" i="11"/>
  <c r="D21" i="11" s="1"/>
  <c r="E21" i="11" s="1"/>
  <c r="C25" i="11"/>
  <c r="D25" i="11" s="1"/>
  <c r="E25" i="11" s="1"/>
  <c r="C29" i="11"/>
  <c r="D29" i="11" s="1"/>
  <c r="E29" i="11" s="1"/>
  <c r="C33" i="11"/>
  <c r="D33" i="11" s="1"/>
  <c r="E33" i="11" s="1"/>
  <c r="C37" i="11"/>
  <c r="D37" i="11" s="1"/>
  <c r="E37" i="11" s="1"/>
  <c r="C2" i="11"/>
  <c r="D2" i="11" s="1"/>
  <c r="E2" i="11" s="1"/>
  <c r="C30" i="11"/>
  <c r="D30" i="11" s="1"/>
  <c r="E30" i="11" s="1"/>
  <c r="C6" i="11"/>
  <c r="D6" i="11" s="1"/>
  <c r="E6" i="11" s="1"/>
  <c r="C10" i="11"/>
  <c r="D10" i="11" s="1"/>
  <c r="E10" i="11" s="1"/>
  <c r="C14" i="11"/>
  <c r="D14" i="11" s="1"/>
  <c r="E14" i="11" s="1"/>
  <c r="C18" i="11"/>
  <c r="D18" i="11" s="1"/>
  <c r="E18" i="11" s="1"/>
  <c r="C22" i="11"/>
  <c r="D22" i="11" s="1"/>
  <c r="E22" i="11" s="1"/>
  <c r="C26" i="11"/>
  <c r="D26" i="11" s="1"/>
  <c r="E26" i="11" s="1"/>
  <c r="C34" i="11"/>
  <c r="D34" i="11" s="1"/>
  <c r="E34" i="11" s="1"/>
  <c r="C38" i="11"/>
  <c r="D38" i="11" s="1"/>
  <c r="E38" i="11" s="1"/>
  <c r="C3" i="11"/>
  <c r="D3" i="11" s="1"/>
  <c r="E3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1" i="11"/>
  <c r="D1" i="11" s="1"/>
  <c r="E1" i="11" s="1"/>
  <c r="C9" i="10"/>
  <c r="D9" i="10" s="1"/>
  <c r="E9" i="10" s="1"/>
  <c r="C13" i="10"/>
  <c r="D13" i="10" s="1"/>
  <c r="E13" i="10" s="1"/>
  <c r="C17" i="10"/>
  <c r="D17" i="10" s="1"/>
  <c r="E17" i="10" s="1"/>
  <c r="C21" i="10"/>
  <c r="D21" i="10" s="1"/>
  <c r="E21" i="10" s="1"/>
  <c r="C25" i="10"/>
  <c r="D25" i="10" s="1"/>
  <c r="E25" i="10" s="1"/>
  <c r="C29" i="10"/>
  <c r="D29" i="10" s="1"/>
  <c r="E29" i="10" s="1"/>
  <c r="C33" i="10"/>
  <c r="D33" i="10" s="1"/>
  <c r="E33" i="10" s="1"/>
  <c r="C37" i="10"/>
  <c r="D37" i="10" s="1"/>
  <c r="E37" i="10" s="1"/>
  <c r="C2" i="10"/>
  <c r="D2" i="10" s="1"/>
  <c r="E2" i="10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3" i="10"/>
  <c r="D3" i="10" s="1"/>
  <c r="E3" i="10" s="1"/>
  <c r="C7" i="10"/>
  <c r="D7" i="10" s="1"/>
  <c r="E7" i="10" s="1"/>
  <c r="C11" i="10"/>
  <c r="D11" i="10" s="1"/>
  <c r="E11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1" i="10"/>
  <c r="D1" i="10" s="1"/>
  <c r="E1" i="10" s="1"/>
  <c r="C6" i="9"/>
  <c r="D6" i="9" s="1"/>
  <c r="E6" i="9" s="1"/>
  <c r="C10" i="9"/>
  <c r="D10" i="9" s="1"/>
  <c r="E10" i="9" s="1"/>
  <c r="C14" i="9"/>
  <c r="D14" i="9" s="1"/>
  <c r="E14" i="9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3" i="9"/>
  <c r="D3" i="9" s="1"/>
  <c r="E3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12" i="8"/>
  <c r="D12" i="8" s="1"/>
  <c r="E12" i="8" s="1"/>
  <c r="C28" i="8"/>
  <c r="D28" i="8" s="1"/>
  <c r="E28" i="8" s="1"/>
  <c r="C9" i="8"/>
  <c r="D9" i="8" s="1"/>
  <c r="E9" i="8" s="1"/>
  <c r="C13" i="8"/>
  <c r="D13" i="8" s="1"/>
  <c r="E13" i="8" s="1"/>
  <c r="C17" i="8"/>
  <c r="D17" i="8" s="1"/>
  <c r="E17" i="8" s="1"/>
  <c r="C21" i="8"/>
  <c r="D21" i="8" s="1"/>
  <c r="E21" i="8" s="1"/>
  <c r="C25" i="8"/>
  <c r="D25" i="8" s="1"/>
  <c r="E25" i="8" s="1"/>
  <c r="C29" i="8"/>
  <c r="D29" i="8" s="1"/>
  <c r="E29" i="8" s="1"/>
  <c r="C33" i="8"/>
  <c r="D33" i="8" s="1"/>
  <c r="E33" i="8" s="1"/>
  <c r="C37" i="8"/>
  <c r="D37" i="8" s="1"/>
  <c r="E37" i="8" s="1"/>
  <c r="C2" i="8"/>
  <c r="D2" i="8" s="1"/>
  <c r="E2" i="8" s="1"/>
  <c r="C6" i="8"/>
  <c r="D6" i="8" s="1"/>
  <c r="E6" i="8" s="1"/>
  <c r="C10" i="8"/>
  <c r="D10" i="8" s="1"/>
  <c r="E10" i="8" s="1"/>
  <c r="C14" i="8"/>
  <c r="D14" i="8" s="1"/>
  <c r="E14" i="8" s="1"/>
  <c r="C18" i="8"/>
  <c r="D18" i="8" s="1"/>
  <c r="E18" i="8" s="1"/>
  <c r="C22" i="8"/>
  <c r="D22" i="8" s="1"/>
  <c r="E22" i="8" s="1"/>
  <c r="C26" i="8"/>
  <c r="D26" i="8" s="1"/>
  <c r="E26" i="8" s="1"/>
  <c r="C30" i="8"/>
  <c r="D30" i="8" s="1"/>
  <c r="E30" i="8" s="1"/>
  <c r="C34" i="8"/>
  <c r="D34" i="8" s="1"/>
  <c r="E34" i="8" s="1"/>
  <c r="C38" i="8"/>
  <c r="D38" i="8" s="1"/>
  <c r="E38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8" i="8"/>
  <c r="D8" i="8" s="1"/>
  <c r="E8" i="8" s="1"/>
  <c r="C20" i="8"/>
  <c r="D20" i="8" s="1"/>
  <c r="E20" i="8" s="1"/>
  <c r="C32" i="8"/>
  <c r="D32" i="8" s="1"/>
  <c r="E32" i="8" s="1"/>
  <c r="C36" i="8"/>
  <c r="D36" i="8" s="1"/>
  <c r="E36" i="8" s="1"/>
  <c r="C40" i="8"/>
  <c r="D40" i="8" s="1"/>
  <c r="E40" i="8" s="1"/>
  <c r="C16" i="8"/>
  <c r="D16" i="8" s="1"/>
  <c r="E16" i="8" s="1"/>
  <c r="C24" i="8"/>
  <c r="D24" i="8" s="1"/>
  <c r="E24" i="8" s="1"/>
  <c r="C1" i="8"/>
  <c r="D1" i="8" s="1"/>
  <c r="E1" i="8" s="1"/>
  <c r="C9" i="7"/>
  <c r="D9" i="7" s="1"/>
  <c r="E9" i="7" s="1"/>
  <c r="C13" i="7"/>
  <c r="D13" i="7" s="1"/>
  <c r="E13" i="7" s="1"/>
  <c r="C17" i="7"/>
  <c r="D17" i="7" s="1"/>
  <c r="E17" i="7" s="1"/>
  <c r="C21" i="7"/>
  <c r="D21" i="7" s="1"/>
  <c r="E21" i="7" s="1"/>
  <c r="C25" i="7"/>
  <c r="D25" i="7" s="1"/>
  <c r="E25" i="7" s="1"/>
  <c r="C29" i="7"/>
  <c r="D29" i="7" s="1"/>
  <c r="E29" i="7" s="1"/>
  <c r="C33" i="7"/>
  <c r="D33" i="7" s="1"/>
  <c r="E33" i="7" s="1"/>
  <c r="C37" i="7"/>
  <c r="D37" i="7" s="1"/>
  <c r="E37" i="7" s="1"/>
  <c r="C6" i="7"/>
  <c r="D6" i="7" s="1"/>
  <c r="E6" i="7" s="1"/>
  <c r="C10" i="7"/>
  <c r="D10" i="7" s="1"/>
  <c r="E10" i="7" s="1"/>
  <c r="C14" i="7"/>
  <c r="D14" i="7" s="1"/>
  <c r="E14" i="7" s="1"/>
  <c r="C18" i="7"/>
  <c r="D18" i="7" s="1"/>
  <c r="E18" i="7" s="1"/>
  <c r="C22" i="7"/>
  <c r="D22" i="7" s="1"/>
  <c r="E22" i="7" s="1"/>
  <c r="C26" i="7"/>
  <c r="D26" i="7" s="1"/>
  <c r="E26" i="7" s="1"/>
  <c r="C30" i="7"/>
  <c r="D30" i="7" s="1"/>
  <c r="E30" i="7" s="1"/>
  <c r="C34" i="7"/>
  <c r="D34" i="7" s="1"/>
  <c r="E34" i="7" s="1"/>
  <c r="C38" i="7"/>
  <c r="D38" i="7" s="1"/>
  <c r="E38" i="7" s="1"/>
  <c r="C3" i="7"/>
  <c r="D3" i="7" s="1"/>
  <c r="E3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40" i="7"/>
  <c r="D40" i="7" s="1"/>
  <c r="E40" i="7" s="1"/>
  <c r="C20" i="7"/>
  <c r="D20" i="7" s="1"/>
  <c r="E20" i="7" s="1"/>
  <c r="C2" i="7"/>
  <c r="D2" i="7" s="1"/>
  <c r="E2" i="7" s="1"/>
  <c r="C8" i="7"/>
  <c r="D8" i="7" s="1"/>
  <c r="E8" i="7" s="1"/>
  <c r="C12" i="7"/>
  <c r="D12" i="7" s="1"/>
  <c r="E12" i="7" s="1"/>
  <c r="C16" i="7"/>
  <c r="D16" i="7" s="1"/>
  <c r="E16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1" i="7"/>
  <c r="D1" i="7" s="1"/>
  <c r="E1" i="7" s="1"/>
  <c r="C16" i="6"/>
  <c r="D16" i="6" s="1"/>
  <c r="E16" i="6" s="1"/>
  <c r="C32" i="6"/>
  <c r="D32" i="6" s="1"/>
  <c r="E32" i="6" s="1"/>
  <c r="C1" i="6"/>
  <c r="D1" i="6" s="1"/>
  <c r="E1" i="6" s="1"/>
  <c r="C5" i="6"/>
  <c r="D5" i="6" s="1"/>
  <c r="E5" i="6" s="1"/>
  <c r="C9" i="6"/>
  <c r="D9" i="6" s="1"/>
  <c r="E9" i="6" s="1"/>
  <c r="C13" i="6"/>
  <c r="D13" i="6" s="1"/>
  <c r="E13" i="6" s="1"/>
  <c r="C17" i="6"/>
  <c r="D17" i="6" s="1"/>
  <c r="E17" i="6" s="1"/>
  <c r="C21" i="6"/>
  <c r="D21" i="6" s="1"/>
  <c r="E21" i="6" s="1"/>
  <c r="C25" i="6"/>
  <c r="D25" i="6" s="1"/>
  <c r="E25" i="6" s="1"/>
  <c r="C29" i="6"/>
  <c r="D29" i="6" s="1"/>
  <c r="E29" i="6" s="1"/>
  <c r="C33" i="6"/>
  <c r="D33" i="6" s="1"/>
  <c r="E33" i="6" s="1"/>
  <c r="C37" i="6"/>
  <c r="D37" i="6" s="1"/>
  <c r="E37" i="6" s="1"/>
  <c r="C24" i="6"/>
  <c r="D24" i="6" s="1"/>
  <c r="E24" i="6" s="1"/>
  <c r="C2" i="6"/>
  <c r="D2" i="6" s="1"/>
  <c r="E2" i="6" s="1"/>
  <c r="C8" i="6"/>
  <c r="D8" i="6" s="1"/>
  <c r="E8" i="6" s="1"/>
  <c r="C28" i="6"/>
  <c r="D28" i="6" s="1"/>
  <c r="E28" i="6" s="1"/>
  <c r="C6" i="6"/>
  <c r="D6" i="6" s="1"/>
  <c r="E6" i="6" s="1"/>
  <c r="C10" i="6"/>
  <c r="D10" i="6" s="1"/>
  <c r="E10" i="6" s="1"/>
  <c r="C14" i="6"/>
  <c r="D14" i="6" s="1"/>
  <c r="E14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C34" i="6"/>
  <c r="D34" i="6" s="1"/>
  <c r="E34" i="6" s="1"/>
  <c r="C38" i="6"/>
  <c r="D38" i="6" s="1"/>
  <c r="E38" i="6" s="1"/>
  <c r="C3" i="6"/>
  <c r="D3" i="6" s="1"/>
  <c r="E3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12" i="6"/>
  <c r="D12" i="6" s="1"/>
  <c r="E12" i="6" s="1"/>
  <c r="C20" i="6"/>
  <c r="D20" i="6" s="1"/>
  <c r="E20" i="6" s="1"/>
  <c r="C36" i="6"/>
  <c r="D36" i="6" s="1"/>
  <c r="E36" i="6" s="1"/>
  <c r="C12" i="5"/>
  <c r="D12" i="5" s="1"/>
  <c r="E12" i="5" s="1"/>
  <c r="C20" i="5"/>
  <c r="D20" i="5" s="1"/>
  <c r="E20" i="5" s="1"/>
  <c r="C36" i="5"/>
  <c r="D36" i="5" s="1"/>
  <c r="E36" i="5" s="1"/>
  <c r="C9" i="5"/>
  <c r="D9" i="5" s="1"/>
  <c r="E9" i="5" s="1"/>
  <c r="C13" i="5"/>
  <c r="D13" i="5" s="1"/>
  <c r="E13" i="5" s="1"/>
  <c r="C17" i="5"/>
  <c r="D17" i="5" s="1"/>
  <c r="E17" i="5" s="1"/>
  <c r="C21" i="5"/>
  <c r="D21" i="5" s="1"/>
  <c r="E21" i="5" s="1"/>
  <c r="C25" i="5"/>
  <c r="D25" i="5" s="1"/>
  <c r="E25" i="5" s="1"/>
  <c r="C29" i="5"/>
  <c r="D29" i="5" s="1"/>
  <c r="E29" i="5" s="1"/>
  <c r="C33" i="5"/>
  <c r="D33" i="5" s="1"/>
  <c r="E33" i="5" s="1"/>
  <c r="C37" i="5"/>
  <c r="D37" i="5" s="1"/>
  <c r="E37" i="5" s="1"/>
  <c r="C2" i="5"/>
  <c r="D2" i="5" s="1"/>
  <c r="E2" i="5" s="1"/>
  <c r="C6" i="5"/>
  <c r="D6" i="5" s="1"/>
  <c r="E6" i="5" s="1"/>
  <c r="C10" i="5"/>
  <c r="D10" i="5" s="1"/>
  <c r="E10" i="5" s="1"/>
  <c r="C14" i="5"/>
  <c r="D14" i="5" s="1"/>
  <c r="E14" i="5" s="1"/>
  <c r="C18" i="5"/>
  <c r="D18" i="5" s="1"/>
  <c r="E18" i="5" s="1"/>
  <c r="C22" i="5"/>
  <c r="D22" i="5" s="1"/>
  <c r="E22" i="5" s="1"/>
  <c r="C26" i="5"/>
  <c r="D26" i="5" s="1"/>
  <c r="E26" i="5" s="1"/>
  <c r="C30" i="5"/>
  <c r="D30" i="5" s="1"/>
  <c r="E30" i="5" s="1"/>
  <c r="C34" i="5"/>
  <c r="D34" i="5" s="1"/>
  <c r="E34" i="5" s="1"/>
  <c r="C38" i="5"/>
  <c r="D38" i="5" s="1"/>
  <c r="E38" i="5" s="1"/>
  <c r="C3" i="5"/>
  <c r="D3" i="5" s="1"/>
  <c r="E3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28" i="5"/>
  <c r="D28" i="5" s="1"/>
  <c r="E28" i="5" s="1"/>
  <c r="C40" i="5"/>
  <c r="D40" i="5" s="1"/>
  <c r="E40" i="5" s="1"/>
  <c r="C8" i="5"/>
  <c r="D8" i="5" s="1"/>
  <c r="E8" i="5" s="1"/>
  <c r="C16" i="5"/>
  <c r="D16" i="5" s="1"/>
  <c r="E16" i="5" s="1"/>
  <c r="C24" i="5"/>
  <c r="D24" i="5" s="1"/>
  <c r="E24" i="5" s="1"/>
  <c r="C32" i="5"/>
  <c r="D32" i="5" s="1"/>
  <c r="E32" i="5" s="1"/>
  <c r="C1" i="5"/>
  <c r="D1" i="5" s="1"/>
  <c r="E1" i="5" s="1"/>
  <c r="C8" i="4"/>
  <c r="D8" i="4" s="1"/>
  <c r="E8" i="4" s="1"/>
  <c r="C16" i="4"/>
  <c r="D16" i="4" s="1"/>
  <c r="E16" i="4" s="1"/>
  <c r="C24" i="4"/>
  <c r="D24" i="4" s="1"/>
  <c r="E24" i="4" s="1"/>
  <c r="C36" i="4"/>
  <c r="D36" i="4" s="1"/>
  <c r="E36" i="4" s="1"/>
  <c r="C1" i="4"/>
  <c r="D1" i="4" s="1"/>
  <c r="E1" i="4" s="1"/>
  <c r="C9" i="4"/>
  <c r="D9" i="4" s="1"/>
  <c r="E9" i="4" s="1"/>
  <c r="C13" i="4"/>
  <c r="D13" i="4" s="1"/>
  <c r="E13" i="4" s="1"/>
  <c r="C17" i="4"/>
  <c r="D17" i="4" s="1"/>
  <c r="E17" i="4" s="1"/>
  <c r="C21" i="4"/>
  <c r="D21" i="4" s="1"/>
  <c r="E21" i="4" s="1"/>
  <c r="C25" i="4"/>
  <c r="D25" i="4" s="1"/>
  <c r="E25" i="4" s="1"/>
  <c r="C29" i="4"/>
  <c r="D29" i="4" s="1"/>
  <c r="E29" i="4" s="1"/>
  <c r="C33" i="4"/>
  <c r="D33" i="4" s="1"/>
  <c r="E33" i="4" s="1"/>
  <c r="C37" i="4"/>
  <c r="D37" i="4" s="1"/>
  <c r="E37" i="4" s="1"/>
  <c r="C2" i="4"/>
  <c r="D2" i="4" s="1"/>
  <c r="E2" i="4" s="1"/>
  <c r="C6" i="4"/>
  <c r="D6" i="4" s="1"/>
  <c r="E6" i="4" s="1"/>
  <c r="C10" i="4"/>
  <c r="D10" i="4" s="1"/>
  <c r="E10" i="4" s="1"/>
  <c r="C14" i="4"/>
  <c r="D14" i="4" s="1"/>
  <c r="E14" i="4" s="1"/>
  <c r="C18" i="4"/>
  <c r="D18" i="4" s="1"/>
  <c r="E18" i="4" s="1"/>
  <c r="C22" i="4"/>
  <c r="D22" i="4" s="1"/>
  <c r="E22" i="4" s="1"/>
  <c r="C26" i="4"/>
  <c r="D26" i="4" s="1"/>
  <c r="E26" i="4" s="1"/>
  <c r="C30" i="4"/>
  <c r="D30" i="4" s="1"/>
  <c r="E30" i="4" s="1"/>
  <c r="C34" i="4"/>
  <c r="D34" i="4" s="1"/>
  <c r="E34" i="4" s="1"/>
  <c r="C38" i="4"/>
  <c r="D38" i="4" s="1"/>
  <c r="E38" i="4" s="1"/>
  <c r="C3" i="4"/>
  <c r="D3" i="4" s="1"/>
  <c r="E3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40" i="4"/>
  <c r="D40" i="4" s="1"/>
  <c r="E40" i="4" s="1"/>
  <c r="C12" i="4"/>
  <c r="D12" i="4" s="1"/>
  <c r="E12" i="4" s="1"/>
  <c r="C20" i="4"/>
  <c r="D20" i="4" s="1"/>
  <c r="E20" i="4" s="1"/>
  <c r="C28" i="4"/>
  <c r="D28" i="4" s="1"/>
  <c r="E28" i="4" s="1"/>
  <c r="C32" i="4"/>
  <c r="D32" i="4" s="1"/>
  <c r="E32" i="4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3" i="3"/>
  <c r="D3" i="3" s="1"/>
  <c r="E3" i="3" s="1"/>
  <c r="C11" i="3"/>
  <c r="D11" i="3" s="1"/>
  <c r="E11" i="3" s="1"/>
  <c r="C23" i="3"/>
  <c r="D23" i="3" s="1"/>
  <c r="E23" i="3" s="1"/>
  <c r="C39" i="3"/>
  <c r="D39" i="3" s="1"/>
  <c r="E39" i="3" s="1"/>
  <c r="C4" i="3"/>
  <c r="D4" i="3" s="1"/>
  <c r="E4" i="3" s="1"/>
  <c r="C15" i="3"/>
  <c r="D15" i="3" s="1"/>
  <c r="E15" i="3" s="1"/>
  <c r="C19" i="3"/>
  <c r="D19" i="3" s="1"/>
  <c r="E19" i="3" s="1"/>
  <c r="C35" i="3"/>
  <c r="D35" i="3" s="1"/>
  <c r="E35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27" i="3"/>
  <c r="D27" i="3" s="1"/>
  <c r="E27" i="3" s="1"/>
  <c r="C1" i="3"/>
  <c r="D1" i="3" s="1"/>
  <c r="E1" i="3" s="1"/>
  <c r="C7" i="3"/>
  <c r="D7" i="3" s="1"/>
  <c r="E7" i="3" s="1"/>
  <c r="C31" i="3"/>
  <c r="D31" i="3" s="1"/>
  <c r="E31" i="3" s="1"/>
  <c r="C12" i="2"/>
  <c r="D12" i="2" s="1"/>
  <c r="E12" i="2" s="1"/>
  <c r="C16" i="2"/>
  <c r="D16" i="2" s="1"/>
  <c r="E16" i="2" s="1"/>
  <c r="C24" i="2"/>
  <c r="D24" i="2" s="1"/>
  <c r="E24" i="2" s="1"/>
  <c r="C28" i="2"/>
  <c r="D28" i="2" s="1"/>
  <c r="E28" i="2" s="1"/>
  <c r="C36" i="2"/>
  <c r="D36" i="2" s="1"/>
  <c r="E36" i="2" s="1"/>
  <c r="C1" i="2"/>
  <c r="D1" i="2" s="1"/>
  <c r="E1" i="2" s="1"/>
  <c r="C9" i="2"/>
  <c r="D9" i="2" s="1"/>
  <c r="E9" i="2" s="1"/>
  <c r="C13" i="2"/>
  <c r="D13" i="2" s="1"/>
  <c r="E13" i="2" s="1"/>
  <c r="C17" i="2"/>
  <c r="D17" i="2" s="1"/>
  <c r="E17" i="2" s="1"/>
  <c r="C21" i="2"/>
  <c r="D21" i="2" s="1"/>
  <c r="E21" i="2" s="1"/>
  <c r="C25" i="2"/>
  <c r="D25" i="2" s="1"/>
  <c r="E25" i="2" s="1"/>
  <c r="C29" i="2"/>
  <c r="D29" i="2" s="1"/>
  <c r="E29" i="2" s="1"/>
  <c r="C33" i="2"/>
  <c r="D33" i="2" s="1"/>
  <c r="E33" i="2" s="1"/>
  <c r="C37" i="2"/>
  <c r="D37" i="2" s="1"/>
  <c r="E37" i="2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34" i="2"/>
  <c r="D34" i="2" s="1"/>
  <c r="E34" i="2" s="1"/>
  <c r="C38" i="2"/>
  <c r="D38" i="2" s="1"/>
  <c r="E38" i="2" s="1"/>
  <c r="C2" i="2"/>
  <c r="D2" i="2" s="1"/>
  <c r="E2" i="2" s="1"/>
  <c r="C3" i="2"/>
  <c r="D3" i="2" s="1"/>
  <c r="E3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40" i="2"/>
  <c r="D40" i="2" s="1"/>
  <c r="E40" i="2" s="1"/>
  <c r="C8" i="2"/>
  <c r="D8" i="2" s="1"/>
  <c r="E8" i="2" s="1"/>
  <c r="C20" i="2"/>
  <c r="D20" i="2" s="1"/>
  <c r="E20" i="2" s="1"/>
  <c r="C32" i="2"/>
  <c r="D32" i="2" s="1"/>
  <c r="E32" i="2" s="1"/>
  <c r="H5" i="30" l="1"/>
  <c r="H5" i="25"/>
  <c r="H5" i="24"/>
  <c r="H5" i="22"/>
  <c r="H5" i="21"/>
  <c r="H5" i="19"/>
  <c r="H5" i="18"/>
  <c r="H5" i="14"/>
  <c r="H5" i="32"/>
  <c r="H5" i="31"/>
  <c r="H5" i="29"/>
  <c r="H5" i="28"/>
  <c r="H5" i="27"/>
  <c r="H5" i="26"/>
  <c r="H5" i="23"/>
  <c r="H5" i="20"/>
  <c r="H5" i="17"/>
  <c r="H5" i="16"/>
  <c r="H5" i="15"/>
  <c r="H5" i="13"/>
  <c r="H5" i="12"/>
  <c r="H5" i="11"/>
  <c r="H5" i="10"/>
  <c r="H5" i="9"/>
  <c r="H5" i="8"/>
  <c r="H5" i="7"/>
  <c r="H5" i="6"/>
  <c r="H5" i="5"/>
  <c r="H5" i="4"/>
  <c r="H5" i="3"/>
  <c r="H5" i="2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<sst xmlns="http://schemas.openxmlformats.org/spreadsheetml/2006/main" count="93" uniqueCount="3">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</sst>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6694-49AB-4BA7-852F-12B5262DCCAF}">
  <dimension ref="A1:B31"/>
  <sheetViews>
    <sheetView workbookViewId="0">
      <selection activeCell="M12" sqref="M12"/>
    </sheetView>
  </sheetViews>
  <sheetFormatPr defaultColWidth="11" defaultRowHeight="15.75" x14ac:dyDescent="0.25"/>
  <sheetData>
    <row r="1" spans="1:2" x14ac:dyDescent="0.25">
      <c r="A1">
        <v>1E-4</v>
      </c>
      <c r="B1">
        <f>'0.0001'!$H$1</f>
        <v>5.9519396928268832E-2</v>
      </c>
    </row>
    <row r="2" spans="1:2" x14ac:dyDescent="0.25">
      <c r="A2">
        <v>1E-3</v>
      </c>
      <c r="B2">
        <f>'0.001'!$H$1</f>
        <v>7.6030884490700085E-2</v>
      </c>
    </row>
    <row r="3" spans="1:2" x14ac:dyDescent="0.25">
      <c r="A3">
        <v>5.0000000000000001E-3</v>
      </c>
      <c r="B3">
        <f>'0.005'!$H$1</f>
        <v>0.12824008714263777</v>
      </c>
    </row>
    <row r="4" spans="1:2" x14ac:dyDescent="0.25">
      <c r="A4">
        <v>0.01</v>
      </c>
      <c r="B4">
        <f>'0.01'!$H$1</f>
        <v>0.14746463605788057</v>
      </c>
    </row>
    <row r="5" spans="1:2" x14ac:dyDescent="0.25">
      <c r="A5">
        <v>2.5000000000000001E-2</v>
      </c>
      <c r="B5">
        <f>'0.025'!$H$1</f>
        <v>0.19206898580918375</v>
      </c>
    </row>
    <row r="6" spans="1:2" x14ac:dyDescent="0.25">
      <c r="A6">
        <v>0.05</v>
      </c>
      <c r="B6">
        <f>'0.05'!$H$1</f>
        <v>0.23142781692334494</v>
      </c>
    </row>
    <row r="7" spans="1:2" x14ac:dyDescent="0.25">
      <c r="A7">
        <v>7.4999999999999997E-2</v>
      </c>
      <c r="B7">
        <f>'0.075'!$H$1</f>
        <v>0.26346254075441866</v>
      </c>
    </row>
    <row r="8" spans="1:2" x14ac:dyDescent="0.25">
      <c r="A8">
        <v>0.1</v>
      </c>
      <c r="B8">
        <f>'0.1'!$H$1</f>
        <v>0.28882948184079893</v>
      </c>
    </row>
    <row r="9" spans="1:2" x14ac:dyDescent="0.25">
      <c r="A9">
        <v>0.15</v>
      </c>
      <c r="B9">
        <f>'0.15'!$H$1</f>
        <v>0.32968835961997539</v>
      </c>
    </row>
    <row r="10" spans="1:2" x14ac:dyDescent="0.25">
      <c r="A10">
        <v>0.2</v>
      </c>
      <c r="B10">
        <f>'0.2'!$H$1</f>
        <v>0.37682702137284646</v>
      </c>
    </row>
    <row r="11" spans="1:2" x14ac:dyDescent="0.25">
      <c r="A11">
        <v>0.25</v>
      </c>
      <c r="B11">
        <f>'0.25'!$H$1</f>
        <v>0.42601247535804992</v>
      </c>
    </row>
    <row r="12" spans="1:2" x14ac:dyDescent="0.25">
      <c r="A12">
        <v>0.3</v>
      </c>
      <c r="B12">
        <f>'0.3'!$H$1</f>
        <v>0.4769003457473977</v>
      </c>
    </row>
    <row r="13" spans="1:2" x14ac:dyDescent="0.25">
      <c r="A13">
        <v>0.35</v>
      </c>
      <c r="B13">
        <f>'0.35'!$H$1</f>
        <v>0.53264632627920394</v>
      </c>
    </row>
    <row r="14" spans="1:2" x14ac:dyDescent="0.25">
      <c r="A14">
        <v>0.4</v>
      </c>
      <c r="B14">
        <f>'0.4'!$H$1</f>
        <v>0.58376592225257529</v>
      </c>
    </row>
    <row r="15" spans="1:2" x14ac:dyDescent="0.25">
      <c r="A15">
        <v>0.45</v>
      </c>
      <c r="B15">
        <f>'0.45'!$H$1</f>
        <v>0.64828755701514518</v>
      </c>
    </row>
    <row r="16" spans="1:2" x14ac:dyDescent="0.25">
      <c r="A16">
        <v>0.5</v>
      </c>
      <c r="B16">
        <f>'0.5'!$H$1</f>
        <v>0.71785477747818871</v>
      </c>
    </row>
    <row r="17" spans="1:2" x14ac:dyDescent="0.25">
      <c r="A17">
        <v>0.55000000000000004</v>
      </c>
      <c r="B17">
        <f>'0.55'!$H$1</f>
        <v>0.80497675062672114</v>
      </c>
    </row>
    <row r="18" spans="1:2" x14ac:dyDescent="0.25">
      <c r="A18">
        <v>0.6</v>
      </c>
      <c r="B18">
        <f>'0.6'!$H$1</f>
        <v>0.90245386013896467</v>
      </c>
    </row>
    <row r="19" spans="1:2" x14ac:dyDescent="0.25">
      <c r="A19">
        <v>0.65</v>
      </c>
      <c r="B19">
        <f>'0.65'!$H$1</f>
        <v>1.0190927644120207</v>
      </c>
    </row>
    <row r="20" spans="1:2" x14ac:dyDescent="0.25">
      <c r="A20">
        <v>0.7</v>
      </c>
      <c r="B20">
        <f>'0.7'!$H$1</f>
        <v>1.1562850909828455</v>
      </c>
    </row>
    <row r="21" spans="1:2" x14ac:dyDescent="0.25">
      <c r="A21">
        <v>0.75</v>
      </c>
      <c r="B21">
        <f>'0.75'!$H$1</f>
        <v>1.3387576665483583</v>
      </c>
    </row>
    <row r="22" spans="1:2" x14ac:dyDescent="0.25">
      <c r="A22">
        <v>0.8</v>
      </c>
      <c r="B22">
        <f>'0.8'!$H$1</f>
        <v>1.5937201277089397</v>
      </c>
    </row>
    <row r="23" spans="1:2" x14ac:dyDescent="0.25">
      <c r="A23">
        <v>0.85</v>
      </c>
      <c r="B23">
        <f>'0.85'!$H$1</f>
        <v>1.9627436585530083</v>
      </c>
    </row>
    <row r="24" spans="1:2" x14ac:dyDescent="0.25">
      <c r="A24">
        <v>0.9</v>
      </c>
      <c r="B24">
        <f>'0.9'!$H$1</f>
        <v>2.579596313325613</v>
      </c>
    </row>
    <row r="25" spans="1:2" x14ac:dyDescent="0.25">
      <c r="A25">
        <v>0.92500000000000004</v>
      </c>
      <c r="B25">
        <f>'0.925'!$H$1</f>
        <v>3.0977368924567164</v>
      </c>
    </row>
    <row r="26" spans="1:2" x14ac:dyDescent="0.25">
      <c r="A26">
        <v>0.95</v>
      </c>
      <c r="B26">
        <f>'0.95'!$H$1</f>
        <v>3.9926242688787759</v>
      </c>
    </row>
    <row r="27" spans="1:2" x14ac:dyDescent="0.25">
      <c r="A27">
        <v>0.97499999999999998</v>
      </c>
      <c r="B27">
        <f>'0.975'!$H$1</f>
        <v>5.9971603911280509</v>
      </c>
    </row>
    <row r="28" spans="1:2" x14ac:dyDescent="0.25">
      <c r="A28">
        <v>0.99</v>
      </c>
      <c r="B28">
        <f>'0.99'!$H$1</f>
        <v>9.9477497759474556</v>
      </c>
    </row>
    <row r="29" spans="1:2" x14ac:dyDescent="0.25">
      <c r="A29">
        <v>0.995</v>
      </c>
      <c r="B29">
        <f>'0.995'!$H$1</f>
        <v>14.147528844741148</v>
      </c>
    </row>
    <row r="30" spans="1:2" x14ac:dyDescent="0.25">
      <c r="A30">
        <v>0.999</v>
      </c>
      <c r="B30">
        <f>'0.999'!$H$1</f>
        <v>30.578120742088352</v>
      </c>
    </row>
    <row r="31" spans="1:2" x14ac:dyDescent="0.25">
      <c r="A31">
        <v>0.99990000000000001</v>
      </c>
      <c r="B31">
        <f>'0.9999'!$H$1</f>
        <v>50.231473179192101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6A06-490D-48EC-BFC7-018C3A9FC57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9.3003064974999994E-2</v>
      </c>
      <c r="B1">
        <v>0.82673518765866882</v>
      </c>
      <c r="C1">
        <f>$H$3*(1+$H$1)*(A1^($H$1))*EXP(-$H$3*(A1^(1+$H$1)))</f>
        <v>0.82990386472731947</v>
      </c>
      <c r="D1">
        <f>B1-C1</f>
        <v>-3.1686770686506494E-3</v>
      </c>
      <c r="E1">
        <f>D1^2</f>
        <v>1.0040514365392471E-5</v>
      </c>
      <c r="G1" t="s">
        <v>0</v>
      </c>
      <c r="H1">
        <v>5.9519396928268832E-2</v>
      </c>
    </row>
    <row r="2" spans="1:8" x14ac:dyDescent="0.25">
      <c r="A2">
        <v>0.27886399492499997</v>
      </c>
      <c r="B2">
        <v>0.72605391020779708</v>
      </c>
      <c r="C2">
        <f t="shared" ref="C2:C40" si="0">$H$3*(1+$H$1)*(A2^($H$1))*EXP(-$H$3*(A2^(1+$H$1)))</f>
        <v>0.74485055205047179</v>
      </c>
      <c r="D2">
        <f t="shared" ref="D2:D40" si="1">B2-C2</f>
        <v>-1.8796641842674711E-2</v>
      </c>
      <c r="E2">
        <f t="shared" ref="E2:E40" si="2">D2^2</f>
        <v>3.5331374456178973E-4</v>
      </c>
    </row>
    <row r="3" spans="1:8" x14ac:dyDescent="0.25">
      <c r="A3">
        <v>0.46472492487499995</v>
      </c>
      <c r="B3">
        <v>0.62199406639951349</v>
      </c>
      <c r="C3">
        <f t="shared" si="0"/>
        <v>0.64062457727275834</v>
      </c>
      <c r="D3">
        <f t="shared" si="1"/>
        <v>-1.8630510873244854E-2</v>
      </c>
      <c r="E3">
        <f t="shared" si="2"/>
        <v>3.4709593539809477E-4</v>
      </c>
      <c r="G3" t="s">
        <v>1</v>
      </c>
      <c r="H3">
        <f>(_xlfn.GAMMA((2+$H$1)/(1+$H$1)))^(1+$H$1)</f>
        <v>0.97621462797549086</v>
      </c>
    </row>
    <row r="4" spans="1:8" x14ac:dyDescent="0.25">
      <c r="A4">
        <v>0.65058585482499998</v>
      </c>
      <c r="B4">
        <v>0.5334756278353241</v>
      </c>
      <c r="C4">
        <f t="shared" si="0"/>
        <v>0.54285603821761419</v>
      </c>
      <c r="D4">
        <f t="shared" si="1"/>
        <v>-9.3804103822900942E-3</v>
      </c>
      <c r="E4">
        <f t="shared" si="2"/>
        <v>8.7992098940175789E-5</v>
      </c>
    </row>
    <row r="5" spans="1:8" x14ac:dyDescent="0.25">
      <c r="A5">
        <v>0.8364467847749999</v>
      </c>
      <c r="B5">
        <v>0.44056505300649945</v>
      </c>
      <c r="C5">
        <f t="shared" si="0"/>
        <v>0.45620867041789759</v>
      </c>
      <c r="D5">
        <f t="shared" si="1"/>
        <v>-1.5643617411398136E-2</v>
      </c>
      <c r="E5">
        <f t="shared" si="2"/>
        <v>2.4472276571419892E-4</v>
      </c>
      <c r="G5" t="s">
        <v>2</v>
      </c>
      <c r="H5">
        <f>SUM(E1:E40)</f>
        <v>2.8022809853950519E-3</v>
      </c>
    </row>
    <row r="6" spans="1:8" x14ac:dyDescent="0.25">
      <c r="A6">
        <v>1.0223077147249999</v>
      </c>
      <c r="B6">
        <v>0.36488516660047504</v>
      </c>
      <c r="C6">
        <f t="shared" si="0"/>
        <v>0.38127004555276928</v>
      </c>
      <c r="D6">
        <f t="shared" si="1"/>
        <v>-1.6384878952294235E-2</v>
      </c>
      <c r="E6">
        <f t="shared" si="2"/>
        <v>2.6846425828133463E-4</v>
      </c>
    </row>
    <row r="7" spans="1:8" x14ac:dyDescent="0.25">
      <c r="A7">
        <v>1.2081686446749997</v>
      </c>
      <c r="B7">
        <v>0.31555809778226268</v>
      </c>
      <c r="C7">
        <f t="shared" si="0"/>
        <v>0.31733925054611689</v>
      </c>
      <c r="D7">
        <f t="shared" si="1"/>
        <v>-1.7811527638542102E-3</v>
      </c>
      <c r="E7">
        <f t="shared" si="2"/>
        <v>3.172505168185492E-6</v>
      </c>
    </row>
    <row r="8" spans="1:8" x14ac:dyDescent="0.25">
      <c r="A8">
        <v>1.3940295746249998</v>
      </c>
      <c r="B8">
        <v>0.27839386785073278</v>
      </c>
      <c r="C8">
        <f t="shared" si="0"/>
        <v>0.26328123191408892</v>
      </c>
      <c r="D8">
        <f t="shared" si="1"/>
        <v>1.5112635936643859E-2</v>
      </c>
      <c r="E8">
        <f t="shared" si="2"/>
        <v>2.2839176495353941E-4</v>
      </c>
    </row>
    <row r="9" spans="1:8" x14ac:dyDescent="0.25">
      <c r="A9">
        <v>1.579890504575</v>
      </c>
      <c r="B9">
        <v>0.23954035474049704</v>
      </c>
      <c r="C9">
        <f t="shared" si="0"/>
        <v>0.21785864401643187</v>
      </c>
      <c r="D9">
        <f t="shared" si="1"/>
        <v>2.1681710724065162E-2</v>
      </c>
      <c r="E9">
        <f t="shared" si="2"/>
        <v>4.7009657992204222E-4</v>
      </c>
    </row>
    <row r="10" spans="1:8" x14ac:dyDescent="0.25">
      <c r="A10">
        <v>1.7657514345249998</v>
      </c>
      <c r="B10">
        <v>0.18345615320746106</v>
      </c>
      <c r="C10">
        <f t="shared" si="0"/>
        <v>0.17987361723393402</v>
      </c>
      <c r="D10">
        <f t="shared" si="1"/>
        <v>3.5825359735270346E-3</v>
      </c>
      <c r="E10">
        <f t="shared" si="2"/>
        <v>1.2834564001615298E-5</v>
      </c>
    </row>
    <row r="11" spans="1:8" x14ac:dyDescent="0.25">
      <c r="A11">
        <v>1.9516123644749999</v>
      </c>
      <c r="B11">
        <v>0.16081975861280196</v>
      </c>
      <c r="C11">
        <f t="shared" si="0"/>
        <v>0.14822797684173311</v>
      </c>
      <c r="D11">
        <f t="shared" si="1"/>
        <v>1.2591781771068844E-2</v>
      </c>
      <c r="E11">
        <f t="shared" si="2"/>
        <v>1.5855296817022163E-4</v>
      </c>
    </row>
    <row r="12" spans="1:8" x14ac:dyDescent="0.25">
      <c r="A12">
        <v>2.1374732944249999</v>
      </c>
      <c r="B12">
        <v>0.12973694812461334</v>
      </c>
      <c r="C12">
        <f t="shared" si="0"/>
        <v>0.121945070864837</v>
      </c>
      <c r="D12">
        <f t="shared" si="1"/>
        <v>7.7918772597763419E-3</v>
      </c>
      <c r="E12">
        <f t="shared" si="2"/>
        <v>6.0713351231419674E-5</v>
      </c>
    </row>
    <row r="13" spans="1:8" x14ac:dyDescent="0.25">
      <c r="A13">
        <v>2.3233342243749999</v>
      </c>
      <c r="B13">
        <v>0.11284411633755431</v>
      </c>
      <c r="C13">
        <f t="shared" si="0"/>
        <v>0.10017273733300786</v>
      </c>
      <c r="D13">
        <f t="shared" si="1"/>
        <v>1.2671379004546457E-2</v>
      </c>
      <c r="E13">
        <f t="shared" si="2"/>
        <v>1.6056384587686076E-4</v>
      </c>
    </row>
    <row r="14" spans="1:8" x14ac:dyDescent="0.25">
      <c r="A14">
        <v>2.509195154325</v>
      </c>
      <c r="B14">
        <v>7.9734166034918619E-2</v>
      </c>
      <c r="C14">
        <f t="shared" si="0"/>
        <v>8.2177039880466027E-2</v>
      </c>
      <c r="D14">
        <f t="shared" si="1"/>
        <v>-2.4428738455474081E-3</v>
      </c>
      <c r="E14">
        <f t="shared" si="2"/>
        <v>5.9676326252595821E-6</v>
      </c>
    </row>
    <row r="15" spans="1:8" x14ac:dyDescent="0.25">
      <c r="A15">
        <v>2.6950560842749995</v>
      </c>
      <c r="B15">
        <v>7.905845276343626E-2</v>
      </c>
      <c r="C15">
        <f t="shared" si="0"/>
        <v>6.7331782535524132E-2</v>
      </c>
      <c r="D15">
        <f t="shared" si="1"/>
        <v>1.1726670227912128E-2</v>
      </c>
      <c r="E15">
        <f t="shared" si="2"/>
        <v>1.3751479463420068E-4</v>
      </c>
    </row>
    <row r="16" spans="1:8" x14ac:dyDescent="0.25">
      <c r="A16">
        <v>2.880917014225</v>
      </c>
      <c r="B16">
        <v>6.419276079082431E-2</v>
      </c>
      <c r="C16">
        <f t="shared" si="0"/>
        <v>5.5106485395345316E-2</v>
      </c>
      <c r="D16">
        <f t="shared" si="1"/>
        <v>9.0862753954789946E-3</v>
      </c>
      <c r="E16">
        <f t="shared" si="2"/>
        <v>8.2560400562486957E-5</v>
      </c>
    </row>
    <row r="17" spans="1:5" x14ac:dyDescent="0.25">
      <c r="A17">
        <v>3.0667779441749996</v>
      </c>
      <c r="B17">
        <v>5.0340638725435906E-2</v>
      </c>
      <c r="C17">
        <f t="shared" si="0"/>
        <v>4.5054260262824442E-2</v>
      </c>
      <c r="D17">
        <f t="shared" si="1"/>
        <v>5.2863784626114643E-3</v>
      </c>
      <c r="E17">
        <f t="shared" si="2"/>
        <v>2.7945797249962348E-5</v>
      </c>
    </row>
    <row r="18" spans="1:5" x14ac:dyDescent="0.25">
      <c r="A18">
        <v>3.2526388741250001</v>
      </c>
      <c r="B18">
        <v>4.2907792739129931E-2</v>
      </c>
      <c r="C18">
        <f t="shared" si="0"/>
        <v>3.6800336535063649E-2</v>
      </c>
      <c r="D18">
        <f t="shared" si="1"/>
        <v>6.1074562040662819E-3</v>
      </c>
      <c r="E18">
        <f t="shared" si="2"/>
        <v>3.730102128458772E-5</v>
      </c>
    </row>
    <row r="19" spans="1:5" x14ac:dyDescent="0.25">
      <c r="A19">
        <v>3.4384998040749997</v>
      </c>
      <c r="B19">
        <v>3.3109950302635693E-2</v>
      </c>
      <c r="C19">
        <f t="shared" si="0"/>
        <v>3.0031597158279653E-2</v>
      </c>
      <c r="D19">
        <f t="shared" si="1"/>
        <v>3.07835314435604E-3</v>
      </c>
      <c r="E19">
        <f t="shared" si="2"/>
        <v>9.4762580813667179E-6</v>
      </c>
    </row>
    <row r="20" spans="1:5" x14ac:dyDescent="0.25">
      <c r="A20">
        <v>3.6243607340250001</v>
      </c>
      <c r="B20">
        <v>2.0947111415953196E-2</v>
      </c>
      <c r="C20">
        <f t="shared" si="0"/>
        <v>2.4487261532533451E-2</v>
      </c>
      <c r="D20">
        <f t="shared" si="1"/>
        <v>-3.5401501165802547E-3</v>
      </c>
      <c r="E20">
        <f t="shared" si="2"/>
        <v>1.2532662847923191E-5</v>
      </c>
    </row>
    <row r="21" spans="1:5" x14ac:dyDescent="0.25">
      <c r="A21">
        <v>3.8102216639749997</v>
      </c>
      <c r="B21">
        <v>2.1960681323176738E-2</v>
      </c>
      <c r="C21">
        <f t="shared" si="0"/>
        <v>1.995072630678674E-2</v>
      </c>
      <c r="D21">
        <f t="shared" si="1"/>
        <v>2.0099550163899978E-3</v>
      </c>
      <c r="E21">
        <f t="shared" si="2"/>
        <v>4.0399191679113158E-6</v>
      </c>
    </row>
    <row r="22" spans="1:5" x14ac:dyDescent="0.25">
      <c r="A22">
        <v>3.9960825939250002</v>
      </c>
      <c r="B22">
        <v>1.4527835336870765E-2</v>
      </c>
      <c r="C22">
        <f t="shared" si="0"/>
        <v>1.6242506328300283E-2</v>
      </c>
      <c r="D22">
        <f t="shared" si="1"/>
        <v>-1.7146709914295181E-3</v>
      </c>
      <c r="E22">
        <f t="shared" si="2"/>
        <v>2.9400966088498866E-6</v>
      </c>
    </row>
    <row r="23" spans="1:5" x14ac:dyDescent="0.25">
      <c r="A23">
        <v>4.1819435238750007</v>
      </c>
      <c r="B23">
        <v>8.1085592577883336E-3</v>
      </c>
      <c r="C23">
        <f t="shared" si="0"/>
        <v>1.3214183472363566E-2</v>
      </c>
      <c r="D23">
        <f t="shared" si="1"/>
        <v>-5.1056242145752322E-3</v>
      </c>
      <c r="E23">
        <f t="shared" si="2"/>
        <v>2.6067398620456955E-5</v>
      </c>
    </row>
    <row r="24" spans="1:5" x14ac:dyDescent="0.25">
      <c r="A24">
        <v>4.3678044538250003</v>
      </c>
      <c r="B24">
        <v>1.0135699072235417E-2</v>
      </c>
      <c r="C24">
        <f t="shared" si="0"/>
        <v>1.0743256863966402E-2</v>
      </c>
      <c r="D24">
        <f t="shared" si="1"/>
        <v>-6.0755779173098448E-4</v>
      </c>
      <c r="E24">
        <f t="shared" si="2"/>
        <v>3.6912647029303034E-7</v>
      </c>
    </row>
    <row r="25" spans="1:5" x14ac:dyDescent="0.25">
      <c r="A25">
        <v>4.5536653837749999</v>
      </c>
      <c r="B25">
        <v>5.0678495361177085E-3</v>
      </c>
      <c r="C25">
        <f t="shared" si="0"/>
        <v>8.7287857094249261E-3</v>
      </c>
      <c r="D25">
        <f t="shared" si="1"/>
        <v>-3.6609361733072176E-3</v>
      </c>
      <c r="E25">
        <f t="shared" si="2"/>
        <v>1.3402453665029295E-5</v>
      </c>
    </row>
    <row r="26" spans="1:5" x14ac:dyDescent="0.25">
      <c r="A26">
        <v>4.7395263137249994</v>
      </c>
      <c r="B26">
        <v>4.0542796288941668E-3</v>
      </c>
      <c r="C26">
        <f t="shared" si="0"/>
        <v>7.0877204158096528E-3</v>
      </c>
      <c r="D26">
        <f t="shared" si="1"/>
        <v>-3.033440786915486E-3</v>
      </c>
      <c r="E26">
        <f t="shared" si="2"/>
        <v>9.2017630077224428E-6</v>
      </c>
    </row>
    <row r="27" spans="1:5" x14ac:dyDescent="0.25">
      <c r="A27">
        <v>4.9253872436749999</v>
      </c>
      <c r="B27">
        <v>3.0407097216706251E-3</v>
      </c>
      <c r="C27">
        <f t="shared" si="0"/>
        <v>5.7518257003094236E-3</v>
      </c>
      <c r="D27">
        <f t="shared" si="1"/>
        <v>-2.7111159786387985E-3</v>
      </c>
      <c r="E27">
        <f t="shared" si="2"/>
        <v>7.3501498496306101E-6</v>
      </c>
    </row>
    <row r="28" spans="1:5" x14ac:dyDescent="0.25">
      <c r="A28">
        <v>5.1112481736249995</v>
      </c>
      <c r="B28">
        <v>3.7164229931529865E-3</v>
      </c>
      <c r="C28">
        <f t="shared" si="0"/>
        <v>4.6651090218103649E-3</v>
      </c>
      <c r="D28">
        <f t="shared" si="1"/>
        <v>-9.4868602865737835E-4</v>
      </c>
      <c r="E28">
        <f t="shared" si="2"/>
        <v>9.000051809697081E-7</v>
      </c>
    </row>
    <row r="29" spans="1:5" x14ac:dyDescent="0.25">
      <c r="A29">
        <v>5.297109103575</v>
      </c>
      <c r="B29">
        <v>1.3514265429647222E-3</v>
      </c>
      <c r="C29">
        <f t="shared" si="0"/>
        <v>3.7816777185371016E-3</v>
      </c>
      <c r="D29">
        <f t="shared" si="1"/>
        <v>-2.4302511755723791E-3</v>
      </c>
      <c r="E29">
        <f t="shared" si="2"/>
        <v>5.906120776370931E-6</v>
      </c>
    </row>
    <row r="30" spans="1:5" x14ac:dyDescent="0.25">
      <c r="A30">
        <v>5.4829700335249996</v>
      </c>
      <c r="B30">
        <v>1.0135699072235417E-3</v>
      </c>
      <c r="C30">
        <f t="shared" si="0"/>
        <v>3.0639580143479871E-3</v>
      </c>
      <c r="D30">
        <f t="shared" si="1"/>
        <v>-2.0503881071244454E-3</v>
      </c>
      <c r="E30">
        <f t="shared" si="2"/>
        <v>4.2040913898373659E-6</v>
      </c>
    </row>
    <row r="31" spans="1:5" x14ac:dyDescent="0.25">
      <c r="A31">
        <v>5.6688309634749992</v>
      </c>
      <c r="B31">
        <v>1.0135699072235417E-3</v>
      </c>
      <c r="C31">
        <f t="shared" si="0"/>
        <v>2.481218178509821E-3</v>
      </c>
      <c r="D31">
        <f t="shared" si="1"/>
        <v>-1.4676482712862792E-3</v>
      </c>
      <c r="E31">
        <f t="shared" si="2"/>
        <v>2.1539914482096037E-6</v>
      </c>
    </row>
    <row r="32" spans="1:5" x14ac:dyDescent="0.25">
      <c r="A32">
        <v>5.8546918934249996</v>
      </c>
      <c r="B32">
        <v>6.757132714823611E-4</v>
      </c>
      <c r="C32">
        <f t="shared" si="0"/>
        <v>2.0083464013921646E-3</v>
      </c>
      <c r="D32">
        <f t="shared" si="1"/>
        <v>-1.3326331299098036E-3</v>
      </c>
      <c r="E32">
        <f t="shared" si="2"/>
        <v>1.7759110589331994E-6</v>
      </c>
    </row>
    <row r="33" spans="1:5" x14ac:dyDescent="0.25">
      <c r="A33">
        <v>6.0405528233749992</v>
      </c>
      <c r="B33">
        <v>6.757132714823611E-4</v>
      </c>
      <c r="C33">
        <f t="shared" si="0"/>
        <v>1.6248413147950148E-3</v>
      </c>
      <c r="D33">
        <f t="shared" si="1"/>
        <v>-9.4912804331265374E-4</v>
      </c>
      <c r="E33">
        <f t="shared" si="2"/>
        <v>9.0084404260250672E-7</v>
      </c>
    </row>
    <row r="34" spans="1:5" x14ac:dyDescent="0.25">
      <c r="A34">
        <v>6.2264137533249997</v>
      </c>
      <c r="B34">
        <v>3.3785663574118055E-4</v>
      </c>
      <c r="C34">
        <f t="shared" si="0"/>
        <v>1.3139795471804284E-3</v>
      </c>
      <c r="D34">
        <f t="shared" si="1"/>
        <v>-9.7612291143924792E-4</v>
      </c>
      <c r="E34">
        <f t="shared" si="2"/>
        <v>9.5281593823663381E-7</v>
      </c>
    </row>
    <row r="35" spans="1:5" x14ac:dyDescent="0.25">
      <c r="A35">
        <v>6.4122746832750002</v>
      </c>
      <c r="B35">
        <v>0</v>
      </c>
      <c r="C35">
        <f t="shared" si="0"/>
        <v>1.0621303097949459E-3</v>
      </c>
      <c r="D35">
        <f t="shared" si="1"/>
        <v>-1.0621303097949459E-3</v>
      </c>
      <c r="E35">
        <f t="shared" si="2"/>
        <v>1.1281207949851077E-6</v>
      </c>
    </row>
    <row r="36" spans="1:5" x14ac:dyDescent="0.25">
      <c r="A36">
        <v>6.5981356132250006</v>
      </c>
      <c r="B36">
        <v>0</v>
      </c>
      <c r="C36">
        <f t="shared" si="0"/>
        <v>8.5819183068486444E-4</v>
      </c>
      <c r="D36">
        <f t="shared" si="1"/>
        <v>-8.5819183068486444E-4</v>
      </c>
      <c r="E36">
        <f t="shared" si="2"/>
        <v>7.3649321825423908E-7</v>
      </c>
    </row>
    <row r="37" spans="1:5" x14ac:dyDescent="0.25">
      <c r="A37">
        <v>6.7839965431750002</v>
      </c>
      <c r="B37">
        <v>0</v>
      </c>
      <c r="C37">
        <f t="shared" si="0"/>
        <v>6.9312857062910841E-4</v>
      </c>
      <c r="D37">
        <f t="shared" si="1"/>
        <v>-6.9312857062910841E-4</v>
      </c>
      <c r="E37">
        <f t="shared" si="2"/>
        <v>4.8042721542235088E-7</v>
      </c>
    </row>
    <row r="38" spans="1:5" x14ac:dyDescent="0.25">
      <c r="A38">
        <v>6.9698574731249998</v>
      </c>
      <c r="B38">
        <v>0</v>
      </c>
      <c r="C38">
        <f t="shared" si="0"/>
        <v>5.5959165044644856E-4</v>
      </c>
      <c r="D38">
        <f t="shared" si="1"/>
        <v>-5.5959165044644856E-4</v>
      </c>
      <c r="E38">
        <f t="shared" si="2"/>
        <v>3.1314281524938027E-7</v>
      </c>
    </row>
    <row r="39" spans="1:5" x14ac:dyDescent="0.25">
      <c r="A39">
        <v>7.1557184030749994</v>
      </c>
      <c r="B39">
        <v>0</v>
      </c>
      <c r="C39">
        <f t="shared" si="0"/>
        <v>4.5160787236448645E-4</v>
      </c>
      <c r="D39">
        <f t="shared" si="1"/>
        <v>-4.5160787236448645E-4</v>
      </c>
      <c r="E39">
        <f t="shared" si="2"/>
        <v>2.0394967038157827E-7</v>
      </c>
    </row>
    <row r="40" spans="1:5" x14ac:dyDescent="0.25">
      <c r="A40">
        <v>7.341579333024999</v>
      </c>
      <c r="B40">
        <v>3.3785663574118055E-4</v>
      </c>
      <c r="C40">
        <f t="shared" si="0"/>
        <v>3.6432520291436785E-4</v>
      </c>
      <c r="D40">
        <f t="shared" si="1"/>
        <v>-2.64685671731873E-5</v>
      </c>
      <c r="E40">
        <f t="shared" si="2"/>
        <v>7.0058504820152833E-10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4B69-1A42-4731-9180-44CBEBABAE5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9.2706013925000011E-2</v>
      </c>
      <c r="B1">
        <v>0.79641836731323212</v>
      </c>
      <c r="C1">
        <f>$H$3*(1+$H$1)*(A1^($H$1))*EXP(-$H$3*(A1^(1+$H$1)))</f>
        <v>0.80816589500187919</v>
      </c>
      <c r="D1">
        <f>B1-C1</f>
        <v>-1.1747527688647064E-2</v>
      </c>
      <c r="E1">
        <f>D1^2</f>
        <v>1.3800440679552942E-4</v>
      </c>
      <c r="G1" t="s">
        <v>0</v>
      </c>
      <c r="H1">
        <v>7.6030884490700085E-2</v>
      </c>
    </row>
    <row r="2" spans="1:8" x14ac:dyDescent="0.25">
      <c r="A2">
        <v>0.27801864177500002</v>
      </c>
      <c r="B2">
        <v>0.7427577694302937</v>
      </c>
      <c r="C2">
        <f t="shared" ref="C2:C40" si="0">$H$3*(1+$H$1)*(A2^($H$1))*EXP(-$H$3*(A2^(1+$H$1)))</f>
        <v>0.74147188909158057</v>
      </c>
      <c r="D2">
        <f t="shared" ref="D2:D40" si="1">B2-C2</f>
        <v>1.2858803387131301E-3</v>
      </c>
      <c r="E2">
        <f t="shared" ref="E2:E40" si="2">D2^2</f>
        <v>1.6534882454889942E-6</v>
      </c>
    </row>
    <row r="3" spans="1:8" x14ac:dyDescent="0.25">
      <c r="A3">
        <v>0.46333126962500004</v>
      </c>
      <c r="B3">
        <v>0.62898371695697475</v>
      </c>
      <c r="C3">
        <f t="shared" si="0"/>
        <v>0.6443411568051346</v>
      </c>
      <c r="D3">
        <f t="shared" si="1"/>
        <v>-1.5357439848159848E-2</v>
      </c>
      <c r="E3">
        <f t="shared" si="2"/>
        <v>2.3585095868984798E-4</v>
      </c>
      <c r="G3" t="s">
        <v>1</v>
      </c>
      <c r="H3">
        <f>(_xlfn.GAMMA((2+$H$1)/(1+$H$1)))^(1+$H$1)</f>
        <v>0.97007085489897238</v>
      </c>
    </row>
    <row r="4" spans="1:8" x14ac:dyDescent="0.25">
      <c r="A4">
        <v>0.64864389747500006</v>
      </c>
      <c r="B4">
        <v>0.53830409901555343</v>
      </c>
      <c r="C4">
        <f t="shared" si="0"/>
        <v>0.5494281718873244</v>
      </c>
      <c r="D4">
        <f t="shared" si="1"/>
        <v>-1.1124072871770974E-2</v>
      </c>
      <c r="E4">
        <f t="shared" si="2"/>
        <v>1.2374499725647091E-4</v>
      </c>
    </row>
    <row r="5" spans="1:8" x14ac:dyDescent="0.25">
      <c r="A5">
        <v>0.83395652532500009</v>
      </c>
      <c r="B5">
        <v>0.44864335318583354</v>
      </c>
      <c r="C5">
        <f t="shared" si="0"/>
        <v>0.4635609058419598</v>
      </c>
      <c r="D5">
        <f t="shared" si="1"/>
        <v>-1.4917552656126265E-2</v>
      </c>
      <c r="E5">
        <f t="shared" si="2"/>
        <v>2.2253337724829978E-4</v>
      </c>
      <c r="G5" t="s">
        <v>2</v>
      </c>
      <c r="H5">
        <f>SUM(E1:E40)</f>
        <v>2.6583803645048722E-3</v>
      </c>
    </row>
    <row r="6" spans="1:8" x14ac:dyDescent="0.25">
      <c r="A6">
        <v>1.019269153175</v>
      </c>
      <c r="B6">
        <v>0.36339771984015284</v>
      </c>
      <c r="C6">
        <f t="shared" si="0"/>
        <v>0.38834737866342622</v>
      </c>
      <c r="D6">
        <f t="shared" si="1"/>
        <v>-2.494965882327338E-2</v>
      </c>
      <c r="E6">
        <f t="shared" si="2"/>
        <v>6.2248547539774319E-4</v>
      </c>
    </row>
    <row r="7" spans="1:8" x14ac:dyDescent="0.25">
      <c r="A7">
        <v>1.2045817810249999</v>
      </c>
      <c r="B7">
        <v>0.31211449021785087</v>
      </c>
      <c r="C7">
        <f t="shared" si="0"/>
        <v>0.32363490171382764</v>
      </c>
      <c r="D7">
        <f t="shared" si="1"/>
        <v>-1.1520411495976768E-2</v>
      </c>
      <c r="E7">
        <f t="shared" si="2"/>
        <v>1.3271988103663368E-4</v>
      </c>
    </row>
    <row r="8" spans="1:8" x14ac:dyDescent="0.25">
      <c r="A8">
        <v>1.389894408875</v>
      </c>
      <c r="B8">
        <v>0.28664268742531679</v>
      </c>
      <c r="C8">
        <f t="shared" si="0"/>
        <v>0.26859586937518559</v>
      </c>
      <c r="D8">
        <f t="shared" si="1"/>
        <v>1.8046818050131197E-2</v>
      </c>
      <c r="E8">
        <f t="shared" si="2"/>
        <v>3.2568764173454117E-4</v>
      </c>
    </row>
    <row r="9" spans="1:8" x14ac:dyDescent="0.25">
      <c r="A9">
        <v>1.5752070367250002</v>
      </c>
      <c r="B9">
        <v>0.23671795395195003</v>
      </c>
      <c r="C9">
        <f t="shared" si="0"/>
        <v>0.22216495876747278</v>
      </c>
      <c r="D9">
        <f t="shared" si="1"/>
        <v>1.4552995184477252E-2</v>
      </c>
      <c r="E9">
        <f t="shared" si="2"/>
        <v>2.1178966883941808E-4</v>
      </c>
    </row>
    <row r="10" spans="1:8" x14ac:dyDescent="0.25">
      <c r="A10">
        <v>1.7605196645749999</v>
      </c>
      <c r="B10">
        <v>0.18781209259028459</v>
      </c>
      <c r="C10">
        <f t="shared" si="0"/>
        <v>0.18323658296328857</v>
      </c>
      <c r="D10">
        <f t="shared" si="1"/>
        <v>4.575509626996016E-3</v>
      </c>
      <c r="E10">
        <f t="shared" si="2"/>
        <v>2.0935288346733221E-5</v>
      </c>
    </row>
    <row r="11" spans="1:8" x14ac:dyDescent="0.25">
      <c r="A11">
        <v>1.9458322924250002</v>
      </c>
      <c r="B11">
        <v>0.15826480135094506</v>
      </c>
      <c r="C11">
        <f t="shared" si="0"/>
        <v>0.15075714489061801</v>
      </c>
      <c r="D11">
        <f t="shared" si="1"/>
        <v>7.5076564603270557E-3</v>
      </c>
      <c r="E11">
        <f t="shared" si="2"/>
        <v>5.6364905526290573E-5</v>
      </c>
    </row>
    <row r="12" spans="1:8" x14ac:dyDescent="0.25">
      <c r="A12">
        <v>2.1311449202750001</v>
      </c>
      <c r="B12">
        <v>0.13584961489351507</v>
      </c>
      <c r="C12">
        <f t="shared" si="0"/>
        <v>0.12376619683602348</v>
      </c>
      <c r="D12">
        <f t="shared" si="1"/>
        <v>1.2083418057491593E-2</v>
      </c>
      <c r="E12">
        <f t="shared" si="2"/>
        <v>1.4600899195211392E-4</v>
      </c>
    </row>
    <row r="13" spans="1:8" x14ac:dyDescent="0.25">
      <c r="A13">
        <v>2.3164575481250003</v>
      </c>
      <c r="B13">
        <v>0.11105706017544857</v>
      </c>
      <c r="C13">
        <f t="shared" si="0"/>
        <v>0.10141136596468386</v>
      </c>
      <c r="D13">
        <f t="shared" si="1"/>
        <v>9.6456942107647076E-3</v>
      </c>
      <c r="E13">
        <f t="shared" si="2"/>
        <v>9.3039416807579799E-5</v>
      </c>
    </row>
    <row r="14" spans="1:8" x14ac:dyDescent="0.25">
      <c r="A14">
        <v>2.501770175975</v>
      </c>
      <c r="B14">
        <v>8.184939297334283E-2</v>
      </c>
      <c r="C14">
        <f t="shared" si="0"/>
        <v>8.2949551839255134E-2</v>
      </c>
      <c r="D14">
        <f t="shared" si="1"/>
        <v>-1.1001588659123041E-3</v>
      </c>
      <c r="E14">
        <f t="shared" si="2"/>
        <v>1.210349530245447E-6</v>
      </c>
    </row>
    <row r="15" spans="1:8" x14ac:dyDescent="0.25">
      <c r="A15">
        <v>2.6870828038249996</v>
      </c>
      <c r="B15">
        <v>7.9472024712706313E-2</v>
      </c>
      <c r="C15">
        <f t="shared" si="0"/>
        <v>6.7741076836081049E-2</v>
      </c>
      <c r="D15">
        <f t="shared" si="1"/>
        <v>1.1730947876625264E-2</v>
      </c>
      <c r="E15">
        <f t="shared" si="2"/>
        <v>1.3761513808409879E-4</v>
      </c>
    </row>
    <row r="16" spans="1:8" x14ac:dyDescent="0.25">
      <c r="A16">
        <v>2.8723954316750002</v>
      </c>
      <c r="B16">
        <v>6.3170070925484503E-2</v>
      </c>
      <c r="C16">
        <f t="shared" si="0"/>
        <v>5.5240490861072279E-2</v>
      </c>
      <c r="D16">
        <f t="shared" si="1"/>
        <v>7.9295800644122241E-3</v>
      </c>
      <c r="E16">
        <f t="shared" si="2"/>
        <v>6.2878239997923773E-5</v>
      </c>
    </row>
    <row r="17" spans="1:5" x14ac:dyDescent="0.25">
      <c r="A17">
        <v>3.0577080595249999</v>
      </c>
      <c r="B17">
        <v>4.9585109436133E-2</v>
      </c>
      <c r="C17">
        <f t="shared" si="0"/>
        <v>4.4986113808769254E-2</v>
      </c>
      <c r="D17">
        <f t="shared" si="1"/>
        <v>4.5989956273637458E-3</v>
      </c>
      <c r="E17">
        <f t="shared" si="2"/>
        <v>2.1150760780510854E-5</v>
      </c>
    </row>
    <row r="18" spans="1:5" x14ac:dyDescent="0.25">
      <c r="A18">
        <v>3.243020687375</v>
      </c>
      <c r="B18">
        <v>4.1094508505288313E-2</v>
      </c>
      <c r="C18">
        <f t="shared" si="0"/>
        <v>3.6589482415793795E-2</v>
      </c>
      <c r="D18">
        <f t="shared" si="1"/>
        <v>4.5050260894945182E-3</v>
      </c>
      <c r="E18">
        <f t="shared" si="2"/>
        <v>2.0295260067026272E-5</v>
      </c>
    </row>
    <row r="19" spans="1:5" x14ac:dyDescent="0.25">
      <c r="A19">
        <v>3.4283333152250002</v>
      </c>
      <c r="B19">
        <v>3.4981275835080129E-2</v>
      </c>
      <c r="C19">
        <f t="shared" si="0"/>
        <v>2.9725333905483903E-2</v>
      </c>
      <c r="D19">
        <f t="shared" si="1"/>
        <v>5.2559419295962265E-3</v>
      </c>
      <c r="E19">
        <f t="shared" si="2"/>
        <v>2.7624925567287705E-5</v>
      </c>
    </row>
    <row r="20" spans="1:5" x14ac:dyDescent="0.25">
      <c r="A20">
        <v>3.6136459430749999</v>
      </c>
      <c r="B20">
        <v>2.2415186457429986E-2</v>
      </c>
      <c r="C20">
        <f t="shared" si="0"/>
        <v>2.4122442783177527E-2</v>
      </c>
      <c r="D20">
        <f t="shared" si="1"/>
        <v>-1.7072563257475408E-3</v>
      </c>
      <c r="E20">
        <f t="shared" si="2"/>
        <v>2.9147241618049931E-6</v>
      </c>
    </row>
    <row r="21" spans="1:5" x14ac:dyDescent="0.25">
      <c r="A21">
        <v>3.7989585709250004</v>
      </c>
      <c r="B21">
        <v>2.1056690308494837E-2</v>
      </c>
      <c r="C21">
        <f t="shared" si="0"/>
        <v>1.9555439811060706E-2</v>
      </c>
      <c r="D21">
        <f t="shared" si="1"/>
        <v>1.5012504974341312E-3</v>
      </c>
      <c r="E21">
        <f t="shared" si="2"/>
        <v>2.2537530560462263E-6</v>
      </c>
    </row>
    <row r="22" spans="1:5" x14ac:dyDescent="0.25">
      <c r="A22">
        <v>3.9842711987750006</v>
      </c>
      <c r="B22">
        <v>1.4943457638286658E-2</v>
      </c>
      <c r="C22">
        <f t="shared" si="0"/>
        <v>1.5837632583628896E-2</v>
      </c>
      <c r="D22">
        <f t="shared" si="1"/>
        <v>-8.9417494534223783E-4</v>
      </c>
      <c r="E22">
        <f t="shared" si="2"/>
        <v>7.9954883287779404E-7</v>
      </c>
    </row>
    <row r="23" spans="1:5" x14ac:dyDescent="0.25">
      <c r="A23">
        <v>4.1695838266250007</v>
      </c>
      <c r="B23">
        <v>9.169849005312267E-3</v>
      </c>
      <c r="C23">
        <f t="shared" si="0"/>
        <v>1.281478514185197E-2</v>
      </c>
      <c r="D23">
        <f t="shared" si="1"/>
        <v>-3.6449361365397028E-3</v>
      </c>
      <c r="E23">
        <f t="shared" si="2"/>
        <v>1.3285559439452975E-5</v>
      </c>
    </row>
    <row r="24" spans="1:5" x14ac:dyDescent="0.25">
      <c r="A24">
        <v>4.354896454475</v>
      </c>
      <c r="B24">
        <v>9.5094730425460544E-3</v>
      </c>
      <c r="C24">
        <f t="shared" si="0"/>
        <v>1.0359781435264063E-2</v>
      </c>
      <c r="D24">
        <f t="shared" si="1"/>
        <v>-8.5030839271800843E-4</v>
      </c>
      <c r="E24">
        <f t="shared" si="2"/>
        <v>7.2302436272668287E-7</v>
      </c>
    </row>
    <row r="25" spans="1:5" x14ac:dyDescent="0.25">
      <c r="A25">
        <v>4.5402090823250001</v>
      </c>
      <c r="B25">
        <v>4.7547365212730272E-3</v>
      </c>
      <c r="C25">
        <f t="shared" si="0"/>
        <v>8.3680828417569773E-3</v>
      </c>
      <c r="D25">
        <f t="shared" si="1"/>
        <v>-3.6133463204839501E-3</v>
      </c>
      <c r="E25">
        <f t="shared" si="2"/>
        <v>1.30562716317549E-5</v>
      </c>
    </row>
    <row r="26" spans="1:5" x14ac:dyDescent="0.25">
      <c r="A26">
        <v>4.7255217101750002</v>
      </c>
      <c r="B26">
        <v>4.4151124840392398E-3</v>
      </c>
      <c r="C26">
        <f t="shared" si="0"/>
        <v>6.753886264668725E-3</v>
      </c>
      <c r="D26">
        <f t="shared" si="1"/>
        <v>-2.3387737806294853E-3</v>
      </c>
      <c r="E26">
        <f t="shared" si="2"/>
        <v>5.4698627969599357E-6</v>
      </c>
    </row>
    <row r="27" spans="1:5" x14ac:dyDescent="0.25">
      <c r="A27">
        <v>4.9108343380250004</v>
      </c>
      <c r="B27">
        <v>3.3962403723378767E-3</v>
      </c>
      <c r="C27">
        <f t="shared" si="0"/>
        <v>5.4468920332750199E-3</v>
      </c>
      <c r="D27">
        <f t="shared" si="1"/>
        <v>-2.0506516609371432E-3</v>
      </c>
      <c r="E27">
        <f t="shared" si="2"/>
        <v>4.205172234504264E-6</v>
      </c>
    </row>
    <row r="28" spans="1:5" x14ac:dyDescent="0.25">
      <c r="A28">
        <v>5.0961469658749996</v>
      </c>
      <c r="B28">
        <v>3.3962403723378767E-3</v>
      </c>
      <c r="C28">
        <f t="shared" si="0"/>
        <v>4.3895970716819601E-3</v>
      </c>
      <c r="D28">
        <f t="shared" si="1"/>
        <v>-9.9335669934408344E-4</v>
      </c>
      <c r="E28">
        <f t="shared" si="2"/>
        <v>9.8675753213177177E-7</v>
      </c>
    </row>
    <row r="29" spans="1:5" x14ac:dyDescent="0.25">
      <c r="A29">
        <v>5.2814595937249997</v>
      </c>
      <c r="B29">
        <v>1.3584961489351507E-3</v>
      </c>
      <c r="C29">
        <f t="shared" si="0"/>
        <v>3.535036764471955E-3</v>
      </c>
      <c r="D29">
        <f t="shared" si="1"/>
        <v>-2.1765406155368041E-3</v>
      </c>
      <c r="E29">
        <f t="shared" si="2"/>
        <v>4.7373290510813295E-6</v>
      </c>
    </row>
    <row r="30" spans="1:5" x14ac:dyDescent="0.25">
      <c r="A30">
        <v>5.4667722215750008</v>
      </c>
      <c r="B30">
        <v>1.6981201861689383E-3</v>
      </c>
      <c r="C30">
        <f t="shared" si="0"/>
        <v>2.844907510726846E-3</v>
      </c>
      <c r="D30">
        <f t="shared" si="1"/>
        <v>-1.1467873245579077E-3</v>
      </c>
      <c r="E30">
        <f t="shared" si="2"/>
        <v>1.315121167766684E-6</v>
      </c>
    </row>
    <row r="31" spans="1:5" x14ac:dyDescent="0.25">
      <c r="A31">
        <v>5.652084849425</v>
      </c>
      <c r="B31">
        <v>1.0188721117013631E-3</v>
      </c>
      <c r="C31">
        <f t="shared" si="0"/>
        <v>2.288010440692594E-3</v>
      </c>
      <c r="D31">
        <f t="shared" si="1"/>
        <v>-1.2691383289912309E-3</v>
      </c>
      <c r="E31">
        <f t="shared" si="2"/>
        <v>1.6107120981146539E-6</v>
      </c>
    </row>
    <row r="32" spans="1:5" x14ac:dyDescent="0.25">
      <c r="A32">
        <v>5.8373974772750001</v>
      </c>
      <c r="B32">
        <v>3.3962403723378768E-4</v>
      </c>
      <c r="C32">
        <f t="shared" si="0"/>
        <v>1.8389647791230857E-3</v>
      </c>
      <c r="D32">
        <f t="shared" si="1"/>
        <v>-1.4993407418892981E-3</v>
      </c>
      <c r="E32">
        <f t="shared" si="2"/>
        <v>2.2480226602891507E-6</v>
      </c>
    </row>
    <row r="33" spans="1:5" x14ac:dyDescent="0.25">
      <c r="A33">
        <v>6.0227101051250003</v>
      </c>
      <c r="B33">
        <v>1.0188721117013631E-3</v>
      </c>
      <c r="C33">
        <f t="shared" si="0"/>
        <v>1.4771466700683855E-3</v>
      </c>
      <c r="D33">
        <f t="shared" si="1"/>
        <v>-4.5827455836702237E-4</v>
      </c>
      <c r="E33">
        <f t="shared" si="2"/>
        <v>2.1001557084648938E-7</v>
      </c>
    </row>
    <row r="34" spans="1:5" x14ac:dyDescent="0.25">
      <c r="A34">
        <v>6.2080227329749995</v>
      </c>
      <c r="B34">
        <v>3.3962403723378768E-4</v>
      </c>
      <c r="C34">
        <f t="shared" si="0"/>
        <v>1.1858158418456748E-3</v>
      </c>
      <c r="D34">
        <f t="shared" si="1"/>
        <v>-8.4619180461188714E-4</v>
      </c>
      <c r="E34">
        <f t="shared" si="2"/>
        <v>7.1604057019232222E-7</v>
      </c>
    </row>
    <row r="35" spans="1:5" x14ac:dyDescent="0.25">
      <c r="A35">
        <v>6.3933353608249996</v>
      </c>
      <c r="B35">
        <v>0</v>
      </c>
      <c r="C35">
        <f t="shared" si="0"/>
        <v>9.5139827413727939E-4</v>
      </c>
      <c r="D35">
        <f t="shared" si="1"/>
        <v>-9.5139827413727939E-4</v>
      </c>
      <c r="E35">
        <f t="shared" si="2"/>
        <v>9.0515867603139385E-7</v>
      </c>
    </row>
    <row r="36" spans="1:5" x14ac:dyDescent="0.25">
      <c r="A36">
        <v>6.5786479886749998</v>
      </c>
      <c r="B36">
        <v>0</v>
      </c>
      <c r="C36">
        <f t="shared" si="0"/>
        <v>7.6289806166336346E-4</v>
      </c>
      <c r="D36">
        <f t="shared" si="1"/>
        <v>-7.6289806166336346E-4</v>
      </c>
      <c r="E36">
        <f t="shared" si="2"/>
        <v>5.8201345248971716E-7</v>
      </c>
    </row>
    <row r="37" spans="1:5" x14ac:dyDescent="0.25">
      <c r="A37">
        <v>6.7639606165250008</v>
      </c>
      <c r="B37">
        <v>0</v>
      </c>
      <c r="C37">
        <f t="shared" si="0"/>
        <v>6.1141600534753517E-4</v>
      </c>
      <c r="D37">
        <f t="shared" si="1"/>
        <v>-6.1141600534753517E-4</v>
      </c>
      <c r="E37">
        <f t="shared" si="2"/>
        <v>3.7382953159513715E-7</v>
      </c>
    </row>
    <row r="38" spans="1:5" x14ac:dyDescent="0.25">
      <c r="A38">
        <v>6.949273244375</v>
      </c>
      <c r="B38">
        <v>0</v>
      </c>
      <c r="C38">
        <f t="shared" si="0"/>
        <v>4.8975616895628607E-4</v>
      </c>
      <c r="D38">
        <f t="shared" si="1"/>
        <v>-4.8975616895628607E-4</v>
      </c>
      <c r="E38">
        <f t="shared" si="2"/>
        <v>2.3986110503073821E-7</v>
      </c>
    </row>
    <row r="39" spans="1:5" x14ac:dyDescent="0.25">
      <c r="A39">
        <v>7.1345858722249993</v>
      </c>
      <c r="B39">
        <v>0</v>
      </c>
      <c r="C39">
        <f t="shared" si="0"/>
        <v>3.921047873669029E-4</v>
      </c>
      <c r="D39">
        <f t="shared" si="1"/>
        <v>-3.921047873669029E-4</v>
      </c>
      <c r="E39">
        <f t="shared" si="2"/>
        <v>1.5374616427604414E-7</v>
      </c>
    </row>
    <row r="40" spans="1:5" x14ac:dyDescent="0.25">
      <c r="A40">
        <v>7.3198985000750003</v>
      </c>
      <c r="B40">
        <v>3.3962403723378768E-4</v>
      </c>
      <c r="C40">
        <f t="shared" si="0"/>
        <v>3.1376857134336901E-4</v>
      </c>
      <c r="D40">
        <f t="shared" si="1"/>
        <v>2.5855465890418667E-5</v>
      </c>
      <c r="E40">
        <f t="shared" si="2"/>
        <v>6.6850511641060315E-10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17AF-FB52-4CBA-85F7-98DE4B6A5F6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9.2201045237499987E-2</v>
      </c>
      <c r="B1">
        <v>0.68769436928842909</v>
      </c>
      <c r="C1">
        <f>$H$3*(1+$H$1)*(A1^($H$1))*EXP(-$H$3*(A1^(1+$H$1)))</f>
        <v>0.74149850731218281</v>
      </c>
      <c r="D1">
        <f>B1-C1</f>
        <v>-5.3804138023753723E-2</v>
      </c>
      <c r="E1">
        <f>D1^2</f>
        <v>2.8948852684791411E-3</v>
      </c>
      <c r="G1" t="s">
        <v>0</v>
      </c>
      <c r="H1">
        <v>0.12824008714263777</v>
      </c>
    </row>
    <row r="2" spans="1:8" x14ac:dyDescent="0.25">
      <c r="A2">
        <v>0.27640175571250003</v>
      </c>
      <c r="B2">
        <v>0.82489195561793205</v>
      </c>
      <c r="C2">
        <f t="shared" ref="C2:C40" si="0">$H$3*(1+$H$1)*(A2^($H$1))*EXP(-$H$3*(A2^(1+$H$1)))</f>
        <v>0.72852661608699587</v>
      </c>
      <c r="D2">
        <f t="shared" ref="D2:D40" si="1">B2-C2</f>
        <v>9.6365339530936178E-2</v>
      </c>
      <c r="E2">
        <f t="shared" ref="E2:E40" si="2">D2^2</f>
        <v>9.2862786629126105E-3</v>
      </c>
    </row>
    <row r="3" spans="1:8" x14ac:dyDescent="0.25">
      <c r="A3">
        <v>0.4606024661875</v>
      </c>
      <c r="B3">
        <v>0.65595462916742464</v>
      </c>
      <c r="C3">
        <f t="shared" si="0"/>
        <v>0.65372335671793647</v>
      </c>
      <c r="D3">
        <f t="shared" si="1"/>
        <v>2.2312724494881753E-3</v>
      </c>
      <c r="E3">
        <f t="shared" si="2"/>
        <v>4.978576743844962E-6</v>
      </c>
      <c r="G3" t="s">
        <v>1</v>
      </c>
      <c r="H3">
        <f>(_xlfn.GAMMA((2+$H$1)/(1+$H$1)))^(1+$H$1)</f>
        <v>0.95179851845159746</v>
      </c>
    </row>
    <row r="4" spans="1:8" x14ac:dyDescent="0.25">
      <c r="A4">
        <v>0.64480317666249998</v>
      </c>
      <c r="B4">
        <v>0.54708390767709769</v>
      </c>
      <c r="C4">
        <f t="shared" si="0"/>
        <v>0.56827126509019765</v>
      </c>
      <c r="D4">
        <f t="shared" si="1"/>
        <v>-2.1187357413099961E-2</v>
      </c>
      <c r="E4">
        <f t="shared" si="2"/>
        <v>4.4890411415044189E-4</v>
      </c>
    </row>
    <row r="5" spans="1:8" x14ac:dyDescent="0.25">
      <c r="A5">
        <v>0.82900388713750006</v>
      </c>
      <c r="B5">
        <v>0.46551618844139814</v>
      </c>
      <c r="C5">
        <f t="shared" si="0"/>
        <v>0.48525186841803075</v>
      </c>
      <c r="D5">
        <f t="shared" si="1"/>
        <v>-1.9735679976632614E-2</v>
      </c>
      <c r="E5">
        <f t="shared" si="2"/>
        <v>3.8949706414005751E-4</v>
      </c>
      <c r="G5" t="s">
        <v>2</v>
      </c>
      <c r="H5">
        <f>SUM(E1:E40)</f>
        <v>1.6371637415512997E-2</v>
      </c>
    </row>
    <row r="6" spans="1:8" x14ac:dyDescent="0.25">
      <c r="A6">
        <v>1.0132045976124999</v>
      </c>
      <c r="B6">
        <v>0.3644950800992765</v>
      </c>
      <c r="C6">
        <f t="shared" si="0"/>
        <v>0.40940475619813554</v>
      </c>
      <c r="D6">
        <f t="shared" si="1"/>
        <v>-4.4909676098859042E-2</v>
      </c>
      <c r="E6">
        <f t="shared" si="2"/>
        <v>2.016879007304431E-3</v>
      </c>
    </row>
    <row r="7" spans="1:8" x14ac:dyDescent="0.25">
      <c r="A7">
        <v>1.1974053080874998</v>
      </c>
      <c r="B7">
        <v>0.31705611368186132</v>
      </c>
      <c r="C7">
        <f t="shared" si="0"/>
        <v>0.34233505649870821</v>
      </c>
      <c r="D7">
        <f t="shared" si="1"/>
        <v>-2.5278942816846894E-2</v>
      </c>
      <c r="E7">
        <f t="shared" si="2"/>
        <v>6.3902494993741516E-4</v>
      </c>
    </row>
    <row r="8" spans="1:8" x14ac:dyDescent="0.25">
      <c r="A8">
        <v>1.3816060185625001</v>
      </c>
      <c r="B8">
        <v>0.27576032277173729</v>
      </c>
      <c r="C8">
        <f t="shared" si="0"/>
        <v>0.28423404125415003</v>
      </c>
      <c r="D8">
        <f t="shared" si="1"/>
        <v>-8.4737184824127398E-3</v>
      </c>
      <c r="E8">
        <f t="shared" si="2"/>
        <v>7.1803904919183264E-5</v>
      </c>
    </row>
    <row r="9" spans="1:8" x14ac:dyDescent="0.25">
      <c r="A9">
        <v>1.5658067290375</v>
      </c>
      <c r="B9">
        <v>0.23787740714344172</v>
      </c>
      <c r="C9">
        <f t="shared" si="0"/>
        <v>0.23462121161344099</v>
      </c>
      <c r="D9">
        <f t="shared" si="1"/>
        <v>3.2561955300007273E-3</v>
      </c>
      <c r="E9">
        <f t="shared" si="2"/>
        <v>1.0602809329596718E-5</v>
      </c>
    </row>
    <row r="10" spans="1:8" x14ac:dyDescent="0.25">
      <c r="A10">
        <v>1.7500074395125</v>
      </c>
      <c r="B10">
        <v>0.19453389106422062</v>
      </c>
      <c r="C10">
        <f t="shared" si="0"/>
        <v>0.19271123556839925</v>
      </c>
      <c r="D10">
        <f t="shared" si="1"/>
        <v>1.8226554958213625E-3</v>
      </c>
      <c r="E10">
        <f t="shared" si="2"/>
        <v>3.322073056447817E-6</v>
      </c>
    </row>
    <row r="11" spans="1:8" x14ac:dyDescent="0.25">
      <c r="A11">
        <v>1.9342081499875001</v>
      </c>
      <c r="B11">
        <v>0.15903998813320494</v>
      </c>
      <c r="C11">
        <f t="shared" si="0"/>
        <v>0.15760811920254492</v>
      </c>
      <c r="D11">
        <f t="shared" si="1"/>
        <v>1.4318689306600241E-3</v>
      </c>
      <c r="E11">
        <f t="shared" si="2"/>
        <v>2.050248634589481E-6</v>
      </c>
    </row>
    <row r="12" spans="1:8" x14ac:dyDescent="0.25">
      <c r="A12">
        <v>2.1184088604625</v>
      </c>
      <c r="B12">
        <v>0.1358324362167716</v>
      </c>
      <c r="C12">
        <f t="shared" si="0"/>
        <v>0.12841020833788952</v>
      </c>
      <c r="D12">
        <f t="shared" si="1"/>
        <v>7.4222278788820817E-3</v>
      </c>
      <c r="E12">
        <f t="shared" si="2"/>
        <v>5.5089466686054405E-5</v>
      </c>
    </row>
    <row r="13" spans="1:8" x14ac:dyDescent="0.25">
      <c r="A13">
        <v>2.3026095709374998</v>
      </c>
      <c r="B13">
        <v>0.10989458407487551</v>
      </c>
      <c r="C13">
        <f t="shared" si="0"/>
        <v>0.10426583518566415</v>
      </c>
      <c r="D13">
        <f t="shared" si="1"/>
        <v>5.6287488892113602E-3</v>
      </c>
      <c r="E13">
        <f t="shared" si="2"/>
        <v>3.1682814057798119E-5</v>
      </c>
    </row>
    <row r="14" spans="1:8" x14ac:dyDescent="0.25">
      <c r="A14">
        <v>2.4868102814124997</v>
      </c>
      <c r="B14">
        <v>7.9861281594785311E-2</v>
      </c>
      <c r="C14">
        <f t="shared" si="0"/>
        <v>8.4400558210761353E-2</v>
      </c>
      <c r="D14">
        <f t="shared" si="1"/>
        <v>-4.5392766159760428E-3</v>
      </c>
      <c r="E14">
        <f t="shared" si="2"/>
        <v>2.0605032196346914E-5</v>
      </c>
    </row>
    <row r="15" spans="1:8" x14ac:dyDescent="0.25">
      <c r="A15">
        <v>2.6710109918875</v>
      </c>
      <c r="B15">
        <v>8.3956731932979423E-2</v>
      </c>
      <c r="C15">
        <f t="shared" si="0"/>
        <v>6.8127803382184951E-2</v>
      </c>
      <c r="D15">
        <f t="shared" si="1"/>
        <v>1.5828928550794472E-2</v>
      </c>
      <c r="E15">
        <f t="shared" si="2"/>
        <v>2.5055497906615638E-4</v>
      </c>
    </row>
    <row r="16" spans="1:8" x14ac:dyDescent="0.25">
      <c r="A16">
        <v>2.8552117023624999</v>
      </c>
      <c r="B16">
        <v>6.484463035474021E-2</v>
      </c>
      <c r="C16">
        <f t="shared" si="0"/>
        <v>5.4849875372753466E-2</v>
      </c>
      <c r="D16">
        <f t="shared" si="1"/>
        <v>9.9947549819867434E-3</v>
      </c>
      <c r="E16">
        <f t="shared" si="2"/>
        <v>9.9895127149948832E-5</v>
      </c>
    </row>
    <row r="17" spans="1:5" x14ac:dyDescent="0.25">
      <c r="A17">
        <v>3.0394124128374997</v>
      </c>
      <c r="B17">
        <v>4.8804116530146574E-2</v>
      </c>
      <c r="C17">
        <f t="shared" si="0"/>
        <v>4.4053567624611108E-2</v>
      </c>
      <c r="D17">
        <f t="shared" si="1"/>
        <v>4.7505489055354663E-3</v>
      </c>
      <c r="E17">
        <f t="shared" si="2"/>
        <v>2.2567714903884215E-5</v>
      </c>
    </row>
    <row r="18" spans="1:5" x14ac:dyDescent="0.25">
      <c r="A18">
        <v>3.2236131233125001</v>
      </c>
      <c r="B18">
        <v>4.0954503381941183E-2</v>
      </c>
      <c r="C18">
        <f t="shared" si="0"/>
        <v>3.5302971406644124E-2</v>
      </c>
      <c r="D18">
        <f t="shared" si="1"/>
        <v>5.6515319752970597E-3</v>
      </c>
      <c r="E18">
        <f t="shared" si="2"/>
        <v>3.1939813667805083E-5</v>
      </c>
    </row>
    <row r="19" spans="1:5" x14ac:dyDescent="0.25">
      <c r="A19">
        <v>3.4078138337874999</v>
      </c>
      <c r="B19">
        <v>3.4811327874650008E-2</v>
      </c>
      <c r="C19">
        <f t="shared" si="0"/>
        <v>2.8231081667570095E-2</v>
      </c>
      <c r="D19">
        <f t="shared" si="1"/>
        <v>6.5802462070799136E-3</v>
      </c>
      <c r="E19">
        <f t="shared" si="2"/>
        <v>4.3299640145789587E-5</v>
      </c>
    </row>
    <row r="20" spans="1:5" x14ac:dyDescent="0.25">
      <c r="A20">
        <v>3.5920145442624998</v>
      </c>
      <c r="B20">
        <v>2.2183689331884807E-2</v>
      </c>
      <c r="C20">
        <f t="shared" si="0"/>
        <v>2.2531166669727248E-2</v>
      </c>
      <c r="D20">
        <f t="shared" si="1"/>
        <v>-3.4747733784244034E-4</v>
      </c>
      <c r="E20">
        <f t="shared" si="2"/>
        <v>1.2074050031406941E-7</v>
      </c>
    </row>
    <row r="21" spans="1:5" x14ac:dyDescent="0.25">
      <c r="A21">
        <v>3.7762152547375001</v>
      </c>
      <c r="B21">
        <v>2.3207551916433339E-2</v>
      </c>
      <c r="C21">
        <f t="shared" si="0"/>
        <v>1.7948466491722406E-2</v>
      </c>
      <c r="D21">
        <f t="shared" si="1"/>
        <v>5.2590854247109332E-3</v>
      </c>
      <c r="E21">
        <f t="shared" si="2"/>
        <v>2.7657979504406976E-5</v>
      </c>
    </row>
    <row r="22" spans="1:5" x14ac:dyDescent="0.25">
      <c r="A22">
        <v>3.9604159652125004</v>
      </c>
      <c r="B22">
        <v>1.4675363711862257E-2</v>
      </c>
      <c r="C22">
        <f t="shared" si="0"/>
        <v>1.4272528680158164E-2</v>
      </c>
      <c r="D22">
        <f t="shared" si="1"/>
        <v>4.0283503170409317E-4</v>
      </c>
      <c r="E22">
        <f t="shared" si="2"/>
        <v>1.6227606276803776E-7</v>
      </c>
    </row>
    <row r="23" spans="1:5" x14ac:dyDescent="0.25">
      <c r="A23">
        <v>4.1446166756874998</v>
      </c>
      <c r="B23">
        <v>9.2147632609367661E-3</v>
      </c>
      <c r="C23">
        <f t="shared" si="0"/>
        <v>1.1330326278837744E-2</v>
      </c>
      <c r="D23">
        <f t="shared" si="1"/>
        <v>-2.1155630179009784E-3</v>
      </c>
      <c r="E23">
        <f t="shared" si="2"/>
        <v>4.4756068827102957E-6</v>
      </c>
    </row>
    <row r="24" spans="1:5" x14ac:dyDescent="0.25">
      <c r="A24">
        <v>4.3288173861624992</v>
      </c>
      <c r="B24">
        <v>8.1909006763882363E-3</v>
      </c>
      <c r="C24">
        <f t="shared" si="0"/>
        <v>8.9802017149830174E-3</v>
      </c>
      <c r="D24">
        <f t="shared" si="1"/>
        <v>-7.8930103859478108E-4</v>
      </c>
      <c r="E24">
        <f t="shared" si="2"/>
        <v>6.2299612952680012E-7</v>
      </c>
    </row>
    <row r="25" spans="1:5" x14ac:dyDescent="0.25">
      <c r="A25">
        <v>4.5130180966374995</v>
      </c>
      <c r="B25">
        <v>6.1431755072911777E-3</v>
      </c>
      <c r="C25">
        <f t="shared" si="0"/>
        <v>7.1066185549461328E-3</v>
      </c>
      <c r="D25">
        <f t="shared" si="1"/>
        <v>-9.6344304765495509E-4</v>
      </c>
      <c r="E25">
        <f t="shared" si="2"/>
        <v>9.2822250607466804E-7</v>
      </c>
    </row>
    <row r="26" spans="1:5" x14ac:dyDescent="0.25">
      <c r="A26">
        <v>4.6972188071124998</v>
      </c>
      <c r="B26">
        <v>2.7303002254627454E-3</v>
      </c>
      <c r="C26">
        <f t="shared" si="0"/>
        <v>5.6156681003534355E-3</v>
      </c>
      <c r="D26">
        <f t="shared" si="1"/>
        <v>-2.8853678748906901E-3</v>
      </c>
      <c r="E26">
        <f t="shared" si="2"/>
        <v>8.3253477734512171E-6</v>
      </c>
    </row>
    <row r="27" spans="1:5" x14ac:dyDescent="0.25">
      <c r="A27">
        <v>4.8814195175874993</v>
      </c>
      <c r="B27">
        <v>4.7780253945598049E-3</v>
      </c>
      <c r="C27">
        <f t="shared" si="0"/>
        <v>4.4312599403974456E-3</v>
      </c>
      <c r="D27">
        <f t="shared" si="1"/>
        <v>3.4676545416235938E-4</v>
      </c>
      <c r="E27">
        <f t="shared" si="2"/>
        <v>1.2024628020042736E-7</v>
      </c>
    </row>
    <row r="28" spans="1:5" x14ac:dyDescent="0.25">
      <c r="A28">
        <v>5.0656202280624996</v>
      </c>
      <c r="B28">
        <v>2.7303002254627454E-3</v>
      </c>
      <c r="C28">
        <f t="shared" si="0"/>
        <v>3.4919187085666226E-3</v>
      </c>
      <c r="D28">
        <f t="shared" si="1"/>
        <v>-7.6161848310387715E-4</v>
      </c>
      <c r="E28">
        <f t="shared" si="2"/>
        <v>5.8006271380545084E-7</v>
      </c>
    </row>
    <row r="29" spans="1:5" x14ac:dyDescent="0.25">
      <c r="A29">
        <v>5.2498209385374999</v>
      </c>
      <c r="B29">
        <v>1.7064376409142159E-3</v>
      </c>
      <c r="C29">
        <f t="shared" si="0"/>
        <v>2.7481092491831202E-3</v>
      </c>
      <c r="D29">
        <f t="shared" si="1"/>
        <v>-1.0416716082689043E-3</v>
      </c>
      <c r="E29">
        <f t="shared" si="2"/>
        <v>1.0850797394735256E-6</v>
      </c>
    </row>
    <row r="30" spans="1:5" x14ac:dyDescent="0.25">
      <c r="A30">
        <v>5.4340216490124993</v>
      </c>
      <c r="B30">
        <v>1.0238625845485295E-3</v>
      </c>
      <c r="C30">
        <f t="shared" si="0"/>
        <v>2.1600163952043678E-3</v>
      </c>
      <c r="D30">
        <f t="shared" si="1"/>
        <v>-1.1361538106558382E-3</v>
      </c>
      <c r="E30">
        <f t="shared" si="2"/>
        <v>1.2908454814677823E-6</v>
      </c>
    </row>
    <row r="31" spans="1:5" x14ac:dyDescent="0.25">
      <c r="A31">
        <v>5.6182223594874996</v>
      </c>
      <c r="B31">
        <v>1.3651501127313727E-3</v>
      </c>
      <c r="C31">
        <f t="shared" si="0"/>
        <v>1.6957117475394842E-3</v>
      </c>
      <c r="D31">
        <f t="shared" si="1"/>
        <v>-3.3056163480811151E-4</v>
      </c>
      <c r="E31">
        <f t="shared" si="2"/>
        <v>1.0927099440701127E-7</v>
      </c>
    </row>
    <row r="32" spans="1:5" x14ac:dyDescent="0.25">
      <c r="A32">
        <v>5.8024230699624999</v>
      </c>
      <c r="B32">
        <v>3.4128752818284318E-4</v>
      </c>
      <c r="C32">
        <f t="shared" si="0"/>
        <v>1.3296470234152036E-3</v>
      </c>
      <c r="D32">
        <f t="shared" si="1"/>
        <v>-9.883594952323604E-4</v>
      </c>
      <c r="E32">
        <f t="shared" si="2"/>
        <v>9.7685449181596622E-7</v>
      </c>
    </row>
    <row r="33" spans="1:5" x14ac:dyDescent="0.25">
      <c r="A33">
        <v>5.9866237804374993</v>
      </c>
      <c r="B33">
        <v>1.0238625845485295E-3</v>
      </c>
      <c r="C33">
        <f t="shared" si="0"/>
        <v>1.0414209414048542E-3</v>
      </c>
      <c r="D33">
        <f t="shared" si="1"/>
        <v>-1.7558356856324639E-5</v>
      </c>
      <c r="E33">
        <f t="shared" si="2"/>
        <v>3.0829589549404244E-10</v>
      </c>
    </row>
    <row r="34" spans="1:5" x14ac:dyDescent="0.25">
      <c r="A34">
        <v>6.1708244909124996</v>
      </c>
      <c r="B34">
        <v>0</v>
      </c>
      <c r="C34">
        <f t="shared" si="0"/>
        <v>8.1477376592915124E-4</v>
      </c>
      <c r="D34">
        <f t="shared" si="1"/>
        <v>-8.1477376592915124E-4</v>
      </c>
      <c r="E34">
        <f t="shared" si="2"/>
        <v>6.6385628964637132E-7</v>
      </c>
    </row>
    <row r="35" spans="1:5" x14ac:dyDescent="0.25">
      <c r="A35">
        <v>6.3550252013874999</v>
      </c>
      <c r="B35">
        <v>3.4128752818284318E-4</v>
      </c>
      <c r="C35">
        <f t="shared" si="0"/>
        <v>6.3677027730828413E-4</v>
      </c>
      <c r="D35">
        <f t="shared" si="1"/>
        <v>-2.9548274912544095E-4</v>
      </c>
      <c r="E35">
        <f t="shared" si="2"/>
        <v>8.7310055030728271E-8</v>
      </c>
    </row>
    <row r="36" spans="1:5" x14ac:dyDescent="0.25">
      <c r="A36">
        <v>6.5392259118625002</v>
      </c>
      <c r="B36">
        <v>0</v>
      </c>
      <c r="C36">
        <f t="shared" si="0"/>
        <v>4.9713793083395357E-4</v>
      </c>
      <c r="D36">
        <f t="shared" si="1"/>
        <v>-4.9713793083395357E-4</v>
      </c>
      <c r="E36">
        <f t="shared" si="2"/>
        <v>2.4714612227386481E-7</v>
      </c>
    </row>
    <row r="37" spans="1:5" x14ac:dyDescent="0.25">
      <c r="A37">
        <v>6.7234266223375005</v>
      </c>
      <c r="B37">
        <v>0</v>
      </c>
      <c r="C37">
        <f t="shared" si="0"/>
        <v>3.8773227221128851E-4</v>
      </c>
      <c r="D37">
        <f t="shared" si="1"/>
        <v>-3.8773227221128851E-4</v>
      </c>
      <c r="E37">
        <f t="shared" si="2"/>
        <v>1.5033631491412873E-7</v>
      </c>
    </row>
    <row r="38" spans="1:5" x14ac:dyDescent="0.25">
      <c r="A38">
        <v>6.9076273328124991</v>
      </c>
      <c r="B38">
        <v>0</v>
      </c>
      <c r="C38">
        <f t="shared" si="0"/>
        <v>3.0210629360834565E-4</v>
      </c>
      <c r="D38">
        <f t="shared" si="1"/>
        <v>-3.0210629360834565E-4</v>
      </c>
      <c r="E38">
        <f t="shared" si="2"/>
        <v>9.1268212637771944E-8</v>
      </c>
    </row>
    <row r="39" spans="1:5" x14ac:dyDescent="0.25">
      <c r="A39">
        <v>7.0918280432874994</v>
      </c>
      <c r="B39">
        <v>0</v>
      </c>
      <c r="C39">
        <f t="shared" si="0"/>
        <v>2.3516438314854187E-4</v>
      </c>
      <c r="D39">
        <f t="shared" si="1"/>
        <v>-2.3516438314854187E-4</v>
      </c>
      <c r="E39">
        <f t="shared" si="2"/>
        <v>5.5302287101634203E-8</v>
      </c>
    </row>
    <row r="40" spans="1:5" x14ac:dyDescent="0.25">
      <c r="A40">
        <v>7.2760287537624997</v>
      </c>
      <c r="B40">
        <v>3.4128752818284318E-4</v>
      </c>
      <c r="C40">
        <f t="shared" si="0"/>
        <v>1.8288489710274403E-4</v>
      </c>
      <c r="D40">
        <f t="shared" si="1"/>
        <v>1.5840263108009915E-4</v>
      </c>
      <c r="E40">
        <f t="shared" si="2"/>
        <v>2.5091393533097995E-8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E536-ACDC-47A4-BC25-101D011EC43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9.1996955475000003E-2</v>
      </c>
      <c r="B1">
        <v>0.67254765571381303</v>
      </c>
      <c r="C1">
        <f>$H$3*(1+$H$1)*(A1^($H$1))*EXP(-$H$3*(A1^(1+$H$1)))</f>
        <v>0.71781684667268841</v>
      </c>
      <c r="D1">
        <f>B1-C1</f>
        <v>-4.5269190958875383E-2</v>
      </c>
      <c r="E1">
        <f>D1^2</f>
        <v>2.0492996500711246E-3</v>
      </c>
      <c r="G1" t="s">
        <v>0</v>
      </c>
      <c r="H1">
        <v>0.14746463605788057</v>
      </c>
    </row>
    <row r="2" spans="1:8" x14ac:dyDescent="0.25">
      <c r="A2">
        <v>0.27510424842500003</v>
      </c>
      <c r="B2">
        <v>0.78326778455966506</v>
      </c>
      <c r="C2">
        <f t="shared" ref="C2:C40" si="0">$H$3*(1+$H$1)*(A2^($H$1))*EXP(-$H$3*(A2^(1+$H$1)))</f>
        <v>0.72335478296298572</v>
      </c>
      <c r="D2">
        <f t="shared" ref="D2:D40" si="1">B2-C2</f>
        <v>5.9913001596679338E-2</v>
      </c>
      <c r="E2">
        <f t="shared" ref="E2:E40" si="2">D2^2</f>
        <v>3.5895677603237008E-3</v>
      </c>
    </row>
    <row r="3" spans="1:8" x14ac:dyDescent="0.25">
      <c r="A3">
        <v>0.45821154137499998</v>
      </c>
      <c r="B3">
        <v>0.69757109040652887</v>
      </c>
      <c r="C3">
        <f t="shared" si="0"/>
        <v>0.65722617269099415</v>
      </c>
      <c r="D3">
        <f t="shared" si="1"/>
        <v>4.0344917715534723E-2</v>
      </c>
      <c r="E3">
        <f t="shared" si="2"/>
        <v>1.6277123854732676E-3</v>
      </c>
      <c r="G3" t="s">
        <v>1</v>
      </c>
      <c r="H3">
        <f>(_xlfn.GAMMA((2+$H$1)/(1+$H$1)))^(1+$H$1)</f>
        <v>0.94547879856781936</v>
      </c>
    </row>
    <row r="4" spans="1:8" x14ac:dyDescent="0.25">
      <c r="A4">
        <v>0.64131883432500003</v>
      </c>
      <c r="B4">
        <v>0.57656735826230054</v>
      </c>
      <c r="C4">
        <f t="shared" si="0"/>
        <v>0.5758417432652897</v>
      </c>
      <c r="D4">
        <f t="shared" si="1"/>
        <v>7.2561499701084831E-4</v>
      </c>
      <c r="E4">
        <f t="shared" si="2"/>
        <v>5.2651712388705337E-7</v>
      </c>
    </row>
    <row r="5" spans="1:8" x14ac:dyDescent="0.25">
      <c r="A5">
        <v>0.82442612727499998</v>
      </c>
      <c r="B5">
        <v>0.46584722941644852</v>
      </c>
      <c r="C5">
        <f t="shared" si="0"/>
        <v>0.4943172527592461</v>
      </c>
      <c r="D5">
        <f t="shared" si="1"/>
        <v>-2.8470023342797579E-2</v>
      </c>
      <c r="E5">
        <f t="shared" si="2"/>
        <v>8.1054222913943901E-4</v>
      </c>
      <c r="G5" t="s">
        <v>2</v>
      </c>
      <c r="H5">
        <f>SUM(E1:E40)</f>
        <v>1.2031601504710403E-2</v>
      </c>
    </row>
    <row r="6" spans="1:8" x14ac:dyDescent="0.25">
      <c r="A6">
        <v>1.0075334202249999</v>
      </c>
      <c r="B6">
        <v>0.38083610881653734</v>
      </c>
      <c r="C6">
        <f t="shared" si="0"/>
        <v>0.41850828872804319</v>
      </c>
      <c r="D6">
        <f t="shared" si="1"/>
        <v>-3.7672179911505843E-2</v>
      </c>
      <c r="E6">
        <f t="shared" si="2"/>
        <v>1.4191931392848645E-3</v>
      </c>
    </row>
    <row r="7" spans="1:8" x14ac:dyDescent="0.25">
      <c r="A7">
        <v>1.1906407131749999</v>
      </c>
      <c r="B7">
        <v>0.31879170224966674</v>
      </c>
      <c r="C7">
        <f t="shared" si="0"/>
        <v>0.35069250364762156</v>
      </c>
      <c r="D7">
        <f t="shared" si="1"/>
        <v>-3.1900801397954814E-2</v>
      </c>
      <c r="E7">
        <f t="shared" si="2"/>
        <v>1.0176611298317558E-3</v>
      </c>
    </row>
    <row r="8" spans="1:8" x14ac:dyDescent="0.25">
      <c r="A8">
        <v>1.373748006125</v>
      </c>
      <c r="B8">
        <v>0.26223188410859682</v>
      </c>
      <c r="C8">
        <f t="shared" si="0"/>
        <v>0.29147556491907411</v>
      </c>
      <c r="D8">
        <f t="shared" si="1"/>
        <v>-2.9243680810477291E-2</v>
      </c>
      <c r="E8">
        <f t="shared" si="2"/>
        <v>8.5519286734507777E-4</v>
      </c>
    </row>
    <row r="9" spans="1:8" x14ac:dyDescent="0.25">
      <c r="A9">
        <v>1.556855299075</v>
      </c>
      <c r="B9">
        <v>0.24783483949086996</v>
      </c>
      <c r="C9">
        <f t="shared" si="0"/>
        <v>0.24062931524793685</v>
      </c>
      <c r="D9">
        <f t="shared" si="1"/>
        <v>7.205524242933109E-3</v>
      </c>
      <c r="E9">
        <f t="shared" si="2"/>
        <v>5.1919579615496755E-5</v>
      </c>
    </row>
    <row r="10" spans="1:8" x14ac:dyDescent="0.25">
      <c r="A10">
        <v>1.7399625920249999</v>
      </c>
      <c r="B10">
        <v>0.19367452878608787</v>
      </c>
      <c r="C10">
        <f t="shared" si="0"/>
        <v>0.19751616462016217</v>
      </c>
      <c r="D10">
        <f t="shared" si="1"/>
        <v>-3.8416358340742918E-3</v>
      </c>
      <c r="E10">
        <f t="shared" si="2"/>
        <v>1.4758165881643679E-5</v>
      </c>
    </row>
    <row r="11" spans="1:8" x14ac:dyDescent="0.25">
      <c r="A11">
        <v>1.9230698849750001</v>
      </c>
      <c r="B11">
        <v>0.15768191724177064</v>
      </c>
      <c r="C11">
        <f t="shared" si="0"/>
        <v>0.16132014835305336</v>
      </c>
      <c r="D11">
        <f t="shared" si="1"/>
        <v>-3.6382311112827248E-3</v>
      </c>
      <c r="E11">
        <f t="shared" si="2"/>
        <v>1.3236725619105531E-5</v>
      </c>
    </row>
    <row r="12" spans="1:8" x14ac:dyDescent="0.25">
      <c r="A12">
        <v>2.1061771779249998</v>
      </c>
      <c r="B12">
        <v>0.13163012221921724</v>
      </c>
      <c r="C12">
        <f t="shared" si="0"/>
        <v>0.13117639932843289</v>
      </c>
      <c r="D12">
        <f t="shared" si="1"/>
        <v>4.5372289078435268E-4</v>
      </c>
      <c r="E12">
        <f t="shared" si="2"/>
        <v>2.0586446162170964E-7</v>
      </c>
    </row>
    <row r="13" spans="1:8" x14ac:dyDescent="0.25">
      <c r="A13">
        <v>2.2892844708749998</v>
      </c>
      <c r="B13">
        <v>0.11723307760149035</v>
      </c>
      <c r="C13">
        <f t="shared" si="0"/>
        <v>0.10624321292894809</v>
      </c>
      <c r="D13">
        <f t="shared" si="1"/>
        <v>1.098986467254226E-2</v>
      </c>
      <c r="E13">
        <f t="shared" si="2"/>
        <v>1.2077712552079239E-4</v>
      </c>
    </row>
    <row r="14" spans="1:8" x14ac:dyDescent="0.25">
      <c r="A14">
        <v>2.4723917638249997</v>
      </c>
      <c r="B14">
        <v>8.1240466057173139E-2</v>
      </c>
      <c r="C14">
        <f t="shared" si="0"/>
        <v>8.5740279368664296E-2</v>
      </c>
      <c r="D14">
        <f t="shared" si="1"/>
        <v>-4.4998133114911576E-3</v>
      </c>
      <c r="E14">
        <f t="shared" si="2"/>
        <v>2.0248319838273016E-5</v>
      </c>
    </row>
    <row r="15" spans="1:8" x14ac:dyDescent="0.25">
      <c r="A15">
        <v>2.6554990567749996</v>
      </c>
      <c r="B15">
        <v>8.3639973493460959E-2</v>
      </c>
      <c r="C15">
        <f t="shared" si="0"/>
        <v>6.8966595452656793E-2</v>
      </c>
      <c r="D15">
        <f t="shared" si="1"/>
        <v>1.4673378040804166E-2</v>
      </c>
      <c r="E15">
        <f t="shared" si="2"/>
        <v>2.1530802312835391E-4</v>
      </c>
    </row>
    <row r="16" spans="1:8" x14ac:dyDescent="0.25">
      <c r="A16">
        <v>2.838606349725</v>
      </c>
      <c r="B16">
        <v>6.4786700779770987E-2</v>
      </c>
      <c r="C16">
        <f t="shared" si="0"/>
        <v>5.530618013448927E-2</v>
      </c>
      <c r="D16">
        <f t="shared" si="1"/>
        <v>9.4805206452817162E-3</v>
      </c>
      <c r="E16">
        <f t="shared" si="2"/>
        <v>8.9880271705612843E-5</v>
      </c>
    </row>
    <row r="17" spans="1:5" x14ac:dyDescent="0.25">
      <c r="A17">
        <v>3.021713642675</v>
      </c>
      <c r="B17">
        <v>5.1075229715269191E-2</v>
      </c>
      <c r="C17">
        <f t="shared" si="0"/>
        <v>4.4226626109235584E-2</v>
      </c>
      <c r="D17">
        <f t="shared" si="1"/>
        <v>6.848603606033607E-3</v>
      </c>
      <c r="E17">
        <f t="shared" si="2"/>
        <v>4.6903371352576525E-5</v>
      </c>
    </row>
    <row r="18" spans="1:5" x14ac:dyDescent="0.25">
      <c r="A18">
        <v>3.2048209356250004</v>
      </c>
      <c r="B18">
        <v>3.9077692533830116E-2</v>
      </c>
      <c r="C18">
        <f t="shared" si="0"/>
        <v>3.5273652087525732E-2</v>
      </c>
      <c r="D18">
        <f t="shared" si="1"/>
        <v>3.8040404463043839E-3</v>
      </c>
      <c r="E18">
        <f t="shared" si="2"/>
        <v>1.4470723717119657E-5</v>
      </c>
    </row>
    <row r="19" spans="1:5" x14ac:dyDescent="0.25">
      <c r="A19">
        <v>3.3879282285750003</v>
      </c>
      <c r="B19">
        <v>3.3593104108029397E-2</v>
      </c>
      <c r="C19">
        <f t="shared" si="0"/>
        <v>2.8063651128842442E-2</v>
      </c>
      <c r="D19">
        <f t="shared" si="1"/>
        <v>5.5294529791869544E-3</v>
      </c>
      <c r="E19">
        <f t="shared" si="2"/>
        <v>3.0574850249039485E-5</v>
      </c>
    </row>
    <row r="20" spans="1:5" x14ac:dyDescent="0.25">
      <c r="A20">
        <v>3.5710355215249998</v>
      </c>
      <c r="B20">
        <v>2.7080155352391045E-2</v>
      </c>
      <c r="C20">
        <f t="shared" si="0"/>
        <v>2.2275480877281421E-2</v>
      </c>
      <c r="D20">
        <f t="shared" si="1"/>
        <v>4.8046744751096236E-3</v>
      </c>
      <c r="E20">
        <f t="shared" si="2"/>
        <v>2.3084896811769938E-5</v>
      </c>
    </row>
    <row r="21" spans="1:5" x14ac:dyDescent="0.25">
      <c r="A21">
        <v>3.7541428144750002</v>
      </c>
      <c r="B21">
        <v>1.7824912383852334E-2</v>
      </c>
      <c r="C21">
        <f t="shared" si="0"/>
        <v>1.7642254606017906E-2</v>
      </c>
      <c r="D21">
        <f t="shared" si="1"/>
        <v>1.8265777783442808E-4</v>
      </c>
      <c r="E21">
        <f t="shared" si="2"/>
        <v>3.3363863803411286E-8</v>
      </c>
    </row>
    <row r="22" spans="1:5" x14ac:dyDescent="0.25">
      <c r="A22">
        <v>3.9372501074250001</v>
      </c>
      <c r="B22">
        <v>1.6796552054014698E-2</v>
      </c>
      <c r="C22">
        <f t="shared" si="0"/>
        <v>1.3943574212479952E-2</v>
      </c>
      <c r="D22">
        <f t="shared" si="1"/>
        <v>2.852977841534746E-3</v>
      </c>
      <c r="E22">
        <f t="shared" si="2"/>
        <v>8.1394825642882585E-6</v>
      </c>
    </row>
    <row r="23" spans="1:5" x14ac:dyDescent="0.25">
      <c r="A23">
        <v>4.1203574003750001</v>
      </c>
      <c r="B23">
        <v>9.5980297451512576E-3</v>
      </c>
      <c r="C23">
        <f t="shared" si="0"/>
        <v>1.0998439743108287E-2</v>
      </c>
      <c r="D23">
        <f t="shared" si="1"/>
        <v>-1.4004099979570295E-3</v>
      </c>
      <c r="E23">
        <f t="shared" si="2"/>
        <v>1.9611481623780077E-6</v>
      </c>
    </row>
    <row r="24" spans="1:5" x14ac:dyDescent="0.25">
      <c r="A24">
        <v>4.303464693325</v>
      </c>
      <c r="B24">
        <v>7.8840958620885332E-3</v>
      </c>
      <c r="C24">
        <f t="shared" si="0"/>
        <v>8.658937466853452E-3</v>
      </c>
      <c r="D24">
        <f t="shared" si="1"/>
        <v>-7.7484160476491877E-4</v>
      </c>
      <c r="E24">
        <f t="shared" si="2"/>
        <v>6.0037951247467463E-7</v>
      </c>
    </row>
    <row r="25" spans="1:5" x14ac:dyDescent="0.25">
      <c r="A25">
        <v>4.486571986275</v>
      </c>
      <c r="B25">
        <v>6.5129487556383533E-3</v>
      </c>
      <c r="C25">
        <f t="shared" si="0"/>
        <v>6.8047254822754125E-3</v>
      </c>
      <c r="D25">
        <f t="shared" si="1"/>
        <v>-2.9177672663705922E-4</v>
      </c>
      <c r="E25">
        <f t="shared" si="2"/>
        <v>8.5133658207037183E-8</v>
      </c>
    </row>
    <row r="26" spans="1:5" x14ac:dyDescent="0.25">
      <c r="A26">
        <v>4.6696792792249999</v>
      </c>
      <c r="B26">
        <v>2.742294212900359E-3</v>
      </c>
      <c r="C26">
        <f t="shared" si="0"/>
        <v>5.3382859341001695E-3</v>
      </c>
      <c r="D26">
        <f t="shared" si="1"/>
        <v>-2.5959917211998106E-3</v>
      </c>
      <c r="E26">
        <f t="shared" si="2"/>
        <v>6.739173016537955E-6</v>
      </c>
    </row>
    <row r="27" spans="1:5" x14ac:dyDescent="0.25">
      <c r="A27">
        <v>4.8527865721750008</v>
      </c>
      <c r="B27">
        <v>4.4562280959630834E-3</v>
      </c>
      <c r="C27">
        <f t="shared" si="0"/>
        <v>4.1808850134209888E-3</v>
      </c>
      <c r="D27">
        <f t="shared" si="1"/>
        <v>2.7534308254209463E-4</v>
      </c>
      <c r="E27">
        <f t="shared" si="2"/>
        <v>7.5813813103782741E-8</v>
      </c>
    </row>
    <row r="28" spans="1:5" x14ac:dyDescent="0.25">
      <c r="A28">
        <v>5.0358938651250007</v>
      </c>
      <c r="B28">
        <v>2.742294212900359E-3</v>
      </c>
      <c r="C28">
        <f t="shared" si="0"/>
        <v>3.269168436659893E-3</v>
      </c>
      <c r="D28">
        <f t="shared" si="1"/>
        <v>-5.26874223759534E-4</v>
      </c>
      <c r="E28">
        <f t="shared" si="2"/>
        <v>2.775964476622115E-7</v>
      </c>
    </row>
    <row r="29" spans="1:5" x14ac:dyDescent="0.25">
      <c r="A29">
        <v>5.2190011580749998</v>
      </c>
      <c r="B29">
        <v>1.7139338830627245E-3</v>
      </c>
      <c r="C29">
        <f t="shared" si="0"/>
        <v>2.5523158600649341E-3</v>
      </c>
      <c r="D29">
        <f t="shared" si="1"/>
        <v>-8.3838197700220963E-4</v>
      </c>
      <c r="E29">
        <f t="shared" si="2"/>
        <v>7.028843393621335E-7</v>
      </c>
    </row>
    <row r="30" spans="1:5" x14ac:dyDescent="0.25">
      <c r="A30">
        <v>5.4021084510250006</v>
      </c>
      <c r="B30">
        <v>1.0283603298376347E-3</v>
      </c>
      <c r="C30">
        <f t="shared" si="0"/>
        <v>1.9896791599659067E-3</v>
      </c>
      <c r="D30">
        <f t="shared" si="1"/>
        <v>-9.6131883012827196E-4</v>
      </c>
      <c r="E30">
        <f t="shared" si="2"/>
        <v>9.2413389315918946E-7</v>
      </c>
    </row>
    <row r="31" spans="1:5" x14ac:dyDescent="0.25">
      <c r="A31">
        <v>5.5852157439750005</v>
      </c>
      <c r="B31">
        <v>1.3711471064501795E-3</v>
      </c>
      <c r="C31">
        <f t="shared" si="0"/>
        <v>1.5488343100811897E-3</v>
      </c>
      <c r="D31">
        <f t="shared" si="1"/>
        <v>-1.7768720363101021E-4</v>
      </c>
      <c r="E31">
        <f t="shared" si="2"/>
        <v>3.157274233420809E-8</v>
      </c>
    </row>
    <row r="32" spans="1:5" x14ac:dyDescent="0.25">
      <c r="A32">
        <v>5.7683230369250005</v>
      </c>
      <c r="B32">
        <v>6.8557355322508974E-4</v>
      </c>
      <c r="C32">
        <f t="shared" si="0"/>
        <v>1.2039831267533485E-3</v>
      </c>
      <c r="D32">
        <f t="shared" si="1"/>
        <v>-5.184095735282588E-4</v>
      </c>
      <c r="E32">
        <f t="shared" si="2"/>
        <v>2.6874848592575114E-7</v>
      </c>
    </row>
    <row r="33" spans="1:5" x14ac:dyDescent="0.25">
      <c r="A33">
        <v>5.9514303298749995</v>
      </c>
      <c r="B33">
        <v>6.8557355322508974E-4</v>
      </c>
      <c r="C33">
        <f t="shared" si="0"/>
        <v>9.3464839360618936E-4</v>
      </c>
      <c r="D33">
        <f t="shared" si="1"/>
        <v>-2.4907484038109962E-4</v>
      </c>
      <c r="E33">
        <f t="shared" si="2"/>
        <v>6.2038276110870258E-8</v>
      </c>
    </row>
    <row r="34" spans="1:5" x14ac:dyDescent="0.25">
      <c r="A34">
        <v>6.1345376228249995</v>
      </c>
      <c r="B34">
        <v>3.4278677661254487E-4</v>
      </c>
      <c r="C34">
        <f t="shared" si="0"/>
        <v>7.2461316224976607E-4</v>
      </c>
      <c r="D34">
        <f t="shared" si="1"/>
        <v>-3.818263856372212E-4</v>
      </c>
      <c r="E34">
        <f t="shared" si="2"/>
        <v>1.4579138876878395E-7</v>
      </c>
    </row>
    <row r="35" spans="1:5" x14ac:dyDescent="0.25">
      <c r="A35">
        <v>6.3176449157749994</v>
      </c>
      <c r="B35">
        <v>3.4278677661254487E-4</v>
      </c>
      <c r="C35">
        <f t="shared" si="0"/>
        <v>5.6106195968713332E-4</v>
      </c>
      <c r="D35">
        <f t="shared" si="1"/>
        <v>-2.1827518307458845E-4</v>
      </c>
      <c r="E35">
        <f t="shared" si="2"/>
        <v>4.7644055546245103E-8</v>
      </c>
    </row>
    <row r="36" spans="1:5" x14ac:dyDescent="0.25">
      <c r="A36">
        <v>6.5007522087250003</v>
      </c>
      <c r="B36">
        <v>0</v>
      </c>
      <c r="C36">
        <f t="shared" si="0"/>
        <v>4.3388799672049579E-4</v>
      </c>
      <c r="D36">
        <f t="shared" si="1"/>
        <v>-4.3388799672049579E-4</v>
      </c>
      <c r="E36">
        <f t="shared" si="2"/>
        <v>1.8825879369812496E-7</v>
      </c>
    </row>
    <row r="37" spans="1:5" x14ac:dyDescent="0.25">
      <c r="A37">
        <v>6.6838595016750002</v>
      </c>
      <c r="B37">
        <v>0</v>
      </c>
      <c r="C37">
        <f t="shared" si="0"/>
        <v>3.351361626134026E-4</v>
      </c>
      <c r="D37">
        <f t="shared" si="1"/>
        <v>-3.351361626134026E-4</v>
      </c>
      <c r="E37">
        <f t="shared" si="2"/>
        <v>1.1231624749123703E-7</v>
      </c>
    </row>
    <row r="38" spans="1:5" x14ac:dyDescent="0.25">
      <c r="A38">
        <v>6.8669667946250001</v>
      </c>
      <c r="B38">
        <v>0</v>
      </c>
      <c r="C38">
        <f t="shared" si="0"/>
        <v>2.5855658273950309E-4</v>
      </c>
      <c r="D38">
        <f t="shared" si="1"/>
        <v>-2.5855658273950309E-4</v>
      </c>
      <c r="E38">
        <f t="shared" si="2"/>
        <v>6.6851506477929503E-8</v>
      </c>
    </row>
    <row r="39" spans="1:5" x14ac:dyDescent="0.25">
      <c r="A39">
        <v>7.0500740875750001</v>
      </c>
      <c r="B39">
        <v>0</v>
      </c>
      <c r="C39">
        <f t="shared" si="0"/>
        <v>1.9924782791921807E-4</v>
      </c>
      <c r="D39">
        <f t="shared" si="1"/>
        <v>-1.9924782791921807E-4</v>
      </c>
      <c r="E39">
        <f t="shared" si="2"/>
        <v>3.9699696930526335E-8</v>
      </c>
    </row>
    <row r="40" spans="1:5" x14ac:dyDescent="0.25">
      <c r="A40">
        <v>7.233181380525</v>
      </c>
      <c r="B40">
        <v>3.4278677661254487E-4</v>
      </c>
      <c r="C40">
        <f t="shared" si="0"/>
        <v>1.5337254372937168E-4</v>
      </c>
      <c r="D40">
        <f t="shared" si="1"/>
        <v>1.8941423288317319E-4</v>
      </c>
      <c r="E40">
        <f t="shared" si="2"/>
        <v>3.5877751618720969E-8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C2B9-58CD-4F4F-987A-85FE87AC743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9.0312146075000002E-2</v>
      </c>
      <c r="B1">
        <v>0.65897418527292329</v>
      </c>
      <c r="C1">
        <f>$H$3*(1+$H$1)*(A1^($H$1))*EXP(-$H$3*(A1^(1+$H$1)))</f>
        <v>0.66363544835967003</v>
      </c>
      <c r="D1">
        <f>B1-C1</f>
        <v>-4.6612630867467475E-3</v>
      </c>
      <c r="E1">
        <f>D1^2</f>
        <v>2.1727373563867818E-5</v>
      </c>
      <c r="G1" t="s">
        <v>0</v>
      </c>
      <c r="H1">
        <v>0.19206898580918375</v>
      </c>
    </row>
    <row r="2" spans="1:8" x14ac:dyDescent="0.25">
      <c r="A2">
        <v>0.27086143822499997</v>
      </c>
      <c r="B2">
        <v>0.65375527673063505</v>
      </c>
      <c r="C2">
        <f t="shared" ref="C2:C40" si="0">$H$3*(1+$H$1)*(A2^($H$1))*EXP(-$H$3*(A2^(1+$H$1)))</f>
        <v>0.7100678927815709</v>
      </c>
      <c r="D2">
        <f t="shared" ref="D2:D40" si="1">B2-C2</f>
        <v>-5.6312616050935849E-2</v>
      </c>
      <c r="E2">
        <f t="shared" ref="E2:E40" si="2">D2^2</f>
        <v>3.1711107265001179E-3</v>
      </c>
    </row>
    <row r="3" spans="1:8" x14ac:dyDescent="0.25">
      <c r="A3">
        <v>0.45141073037500001</v>
      </c>
      <c r="B3">
        <v>0.74630392154721248</v>
      </c>
      <c r="C3">
        <f t="shared" si="0"/>
        <v>0.66438203606220458</v>
      </c>
      <c r="D3">
        <f t="shared" si="1"/>
        <v>8.1921885485007895E-2</v>
      </c>
      <c r="E3">
        <f t="shared" si="2"/>
        <v>6.7111953214187472E-3</v>
      </c>
      <c r="G3" t="s">
        <v>1</v>
      </c>
      <c r="H3">
        <f>(_xlfn.GAMMA((2+$H$1)/(1+$H$1)))^(1+$H$1)</f>
        <v>0.93158195584282943</v>
      </c>
    </row>
    <row r="4" spans="1:8" x14ac:dyDescent="0.25">
      <c r="A4">
        <v>0.63196002252500005</v>
      </c>
      <c r="B4">
        <v>0.64331745964605869</v>
      </c>
      <c r="C4">
        <f t="shared" si="0"/>
        <v>0.59310900968425706</v>
      </c>
      <c r="D4">
        <f t="shared" si="1"/>
        <v>5.0208449961801627E-2</v>
      </c>
      <c r="E4">
        <f t="shared" si="2"/>
        <v>2.5208884475667378E-3</v>
      </c>
    </row>
    <row r="5" spans="1:8" x14ac:dyDescent="0.25">
      <c r="A5">
        <v>0.81250931467499998</v>
      </c>
      <c r="B5">
        <v>0.50727791031041303</v>
      </c>
      <c r="C5">
        <f t="shared" si="0"/>
        <v>0.51561885721766287</v>
      </c>
      <c r="D5">
        <f t="shared" si="1"/>
        <v>-8.3409469072498466E-3</v>
      </c>
      <c r="E5">
        <f t="shared" si="2"/>
        <v>6.9571395309560776E-5</v>
      </c>
      <c r="G5" t="s">
        <v>2</v>
      </c>
      <c r="H5">
        <f>SUM(E1:E40)</f>
        <v>1.7959931617160602E-2</v>
      </c>
    </row>
    <row r="6" spans="1:8" x14ac:dyDescent="0.25">
      <c r="A6">
        <v>0.99305860682500002</v>
      </c>
      <c r="B6">
        <v>0.40185595775619137</v>
      </c>
      <c r="C6">
        <f t="shared" si="0"/>
        <v>0.44025676647600226</v>
      </c>
      <c r="D6">
        <f t="shared" si="1"/>
        <v>-3.8400808719810886E-2</v>
      </c>
      <c r="E6">
        <f t="shared" si="2"/>
        <v>1.4746221103355038E-3</v>
      </c>
    </row>
    <row r="7" spans="1:8" x14ac:dyDescent="0.25">
      <c r="A7">
        <v>1.1736078989749998</v>
      </c>
      <c r="B7">
        <v>0.33192258328952945</v>
      </c>
      <c r="C7">
        <f t="shared" si="0"/>
        <v>0.37087737484315425</v>
      </c>
      <c r="D7">
        <f t="shared" si="1"/>
        <v>-3.8954791553624801E-2</v>
      </c>
      <c r="E7">
        <f t="shared" si="2"/>
        <v>1.5174757849863582E-3</v>
      </c>
    </row>
    <row r="8" spans="1:8" x14ac:dyDescent="0.25">
      <c r="A8">
        <v>1.3541571911250001</v>
      </c>
      <c r="B8">
        <v>0.27173117143513892</v>
      </c>
      <c r="C8">
        <f t="shared" si="0"/>
        <v>0.30909765985051918</v>
      </c>
      <c r="D8">
        <f t="shared" si="1"/>
        <v>-3.7366488415380261E-2</v>
      </c>
      <c r="E8">
        <f t="shared" si="2"/>
        <v>1.3962544564967473E-3</v>
      </c>
    </row>
    <row r="9" spans="1:8" x14ac:dyDescent="0.25">
      <c r="A9">
        <v>1.5347064832749999</v>
      </c>
      <c r="B9">
        <v>0.24250528359832499</v>
      </c>
      <c r="C9">
        <f t="shared" si="0"/>
        <v>0.25532665441778957</v>
      </c>
      <c r="D9">
        <f t="shared" si="1"/>
        <v>-1.2821370819464578E-2</v>
      </c>
      <c r="E9">
        <f t="shared" si="2"/>
        <v>1.6438754969021779E-4</v>
      </c>
    </row>
    <row r="10" spans="1:8" x14ac:dyDescent="0.25">
      <c r="A10">
        <v>1.7152557754250002</v>
      </c>
      <c r="B10">
        <v>0.2052770693300025</v>
      </c>
      <c r="C10">
        <f t="shared" si="0"/>
        <v>0.20931201258852331</v>
      </c>
      <c r="D10">
        <f t="shared" si="1"/>
        <v>-4.0349432585208012E-3</v>
      </c>
      <c r="E10">
        <f t="shared" si="2"/>
        <v>1.6280767099482459E-5</v>
      </c>
    </row>
    <row r="11" spans="1:8" x14ac:dyDescent="0.25">
      <c r="A11">
        <v>1.895805067575</v>
      </c>
      <c r="B11">
        <v>0.160394455866324</v>
      </c>
      <c r="C11">
        <f t="shared" si="0"/>
        <v>0.17045409415388718</v>
      </c>
      <c r="D11">
        <f t="shared" si="1"/>
        <v>-1.0059638287563177E-2</v>
      </c>
      <c r="E11">
        <f t="shared" si="2"/>
        <v>1.0119632247660702E-4</v>
      </c>
    </row>
    <row r="12" spans="1:8" x14ac:dyDescent="0.25">
      <c r="A12">
        <v>2.0763543597250003</v>
      </c>
      <c r="B12">
        <v>0.12942893184874735</v>
      </c>
      <c r="C12">
        <f t="shared" si="0"/>
        <v>0.13799320261944281</v>
      </c>
      <c r="D12">
        <f t="shared" si="1"/>
        <v>-8.5642707706954646E-3</v>
      </c>
      <c r="E12">
        <f t="shared" si="2"/>
        <v>7.3346733833788683E-5</v>
      </c>
    </row>
    <row r="13" spans="1:8" x14ac:dyDescent="0.25">
      <c r="A13">
        <v>2.2569036518750001</v>
      </c>
      <c r="B13">
        <v>0.12316624159800151</v>
      </c>
      <c r="C13">
        <f t="shared" si="0"/>
        <v>0.1111219635395191</v>
      </c>
      <c r="D13">
        <f t="shared" si="1"/>
        <v>1.2044278058482405E-2</v>
      </c>
      <c r="E13">
        <f t="shared" si="2"/>
        <v>1.4506463395004069E-4</v>
      </c>
    </row>
    <row r="14" spans="1:8" x14ac:dyDescent="0.25">
      <c r="A14">
        <v>2.4374529440249999</v>
      </c>
      <c r="B14">
        <v>8.0719118787390812E-2</v>
      </c>
      <c r="C14">
        <f t="shared" si="0"/>
        <v>8.9051444881536199E-2</v>
      </c>
      <c r="D14">
        <f t="shared" si="1"/>
        <v>-8.3323260941453869E-3</v>
      </c>
      <c r="E14">
        <f t="shared" si="2"/>
        <v>6.9427658139176117E-5</v>
      </c>
    </row>
    <row r="15" spans="1:8" x14ac:dyDescent="0.25">
      <c r="A15">
        <v>2.6180022361750002</v>
      </c>
      <c r="B15">
        <v>8.4546318385068833E-2</v>
      </c>
      <c r="C15">
        <f t="shared" si="0"/>
        <v>7.1048030266082446E-2</v>
      </c>
      <c r="D15">
        <f t="shared" si="1"/>
        <v>1.3498288118986387E-2</v>
      </c>
      <c r="E15">
        <f t="shared" si="2"/>
        <v>1.8220378214316906E-4</v>
      </c>
    </row>
    <row r="16" spans="1:8" x14ac:dyDescent="0.25">
      <c r="A16">
        <v>2.798551528325</v>
      </c>
      <c r="B16">
        <v>6.7845811049746588E-2</v>
      </c>
      <c r="C16">
        <f t="shared" si="0"/>
        <v>5.6451701078316242E-2</v>
      </c>
      <c r="D16">
        <f t="shared" si="1"/>
        <v>1.1394109971430345E-2</v>
      </c>
      <c r="E16">
        <f t="shared" si="2"/>
        <v>1.2982574204104842E-4</v>
      </c>
    </row>
    <row r="17" spans="1:5" x14ac:dyDescent="0.25">
      <c r="A17">
        <v>2.9791008204750002</v>
      </c>
      <c r="B17">
        <v>4.8013958589051435E-2</v>
      </c>
      <c r="C17">
        <f t="shared" si="0"/>
        <v>4.468261988249151E-2</v>
      </c>
      <c r="D17">
        <f t="shared" si="1"/>
        <v>3.3313387065599248E-3</v>
      </c>
      <c r="E17">
        <f t="shared" si="2"/>
        <v>1.1097817577824352E-5</v>
      </c>
    </row>
    <row r="18" spans="1:5" x14ac:dyDescent="0.25">
      <c r="A18">
        <v>3.1596501126250001</v>
      </c>
      <c r="B18">
        <v>4.4534686227525967E-2</v>
      </c>
      <c r="C18">
        <f t="shared" si="0"/>
        <v>3.5240549345598657E-2</v>
      </c>
      <c r="D18">
        <f t="shared" si="1"/>
        <v>9.2941368819273104E-3</v>
      </c>
      <c r="E18">
        <f t="shared" si="2"/>
        <v>8.6380980380001502E-5</v>
      </c>
    </row>
    <row r="19" spans="1:5" x14ac:dyDescent="0.25">
      <c r="A19">
        <v>3.3401994047750003</v>
      </c>
      <c r="B19">
        <v>3.1661378489881743E-2</v>
      </c>
      <c r="C19">
        <f t="shared" si="0"/>
        <v>2.7700104523358356E-2</v>
      </c>
      <c r="D19">
        <f t="shared" si="1"/>
        <v>3.9612739665233869E-3</v>
      </c>
      <c r="E19">
        <f t="shared" si="2"/>
        <v>1.5691691437855928E-5</v>
      </c>
    </row>
    <row r="20" spans="1:5" x14ac:dyDescent="0.25">
      <c r="A20">
        <v>3.5207486969250001</v>
      </c>
      <c r="B20">
        <v>2.8530033364508822E-2</v>
      </c>
      <c r="C20">
        <f t="shared" si="0"/>
        <v>2.1703810213965617E-2</v>
      </c>
      <c r="D20">
        <f t="shared" si="1"/>
        <v>6.8262231505432057E-3</v>
      </c>
      <c r="E20">
        <f t="shared" si="2"/>
        <v>4.6597322501012008E-5</v>
      </c>
    </row>
    <row r="21" spans="1:5" x14ac:dyDescent="0.25">
      <c r="A21">
        <v>3.701297989075</v>
      </c>
      <c r="B21">
        <v>1.7744289043779879E-2</v>
      </c>
      <c r="C21">
        <f t="shared" si="0"/>
        <v>1.6954240189282595E-2</v>
      </c>
      <c r="D21">
        <f t="shared" si="1"/>
        <v>7.9004885449728349E-4</v>
      </c>
      <c r="E21">
        <f t="shared" si="2"/>
        <v>6.2417719249246977E-7</v>
      </c>
    </row>
    <row r="22" spans="1:5" x14ac:dyDescent="0.25">
      <c r="A22">
        <v>3.8818472812250002</v>
      </c>
      <c r="B22">
        <v>1.7744289043779879E-2</v>
      </c>
      <c r="C22">
        <f t="shared" si="0"/>
        <v>1.3206042221011509E-2</v>
      </c>
      <c r="D22">
        <f t="shared" si="1"/>
        <v>4.53824682276837E-3</v>
      </c>
      <c r="E22">
        <f t="shared" si="2"/>
        <v>2.0595684224367206E-5</v>
      </c>
    </row>
    <row r="23" spans="1:5" x14ac:dyDescent="0.25">
      <c r="A23">
        <v>4.0623965733749996</v>
      </c>
      <c r="B23">
        <v>1.2873307737644226E-2</v>
      </c>
      <c r="C23">
        <f t="shared" si="0"/>
        <v>1.0258331841619632E-2</v>
      </c>
      <c r="D23">
        <f t="shared" si="1"/>
        <v>2.6149758960245933E-3</v>
      </c>
      <c r="E23">
        <f t="shared" si="2"/>
        <v>6.8380989367896246E-6</v>
      </c>
    </row>
    <row r="24" spans="1:5" x14ac:dyDescent="0.25">
      <c r="A24">
        <v>4.2429458655249999</v>
      </c>
      <c r="B24">
        <v>5.5668357784407459E-3</v>
      </c>
      <c r="C24">
        <f t="shared" si="0"/>
        <v>7.9477220074730438E-3</v>
      </c>
      <c r="D24">
        <f t="shared" si="1"/>
        <v>-2.3808862290322979E-3</v>
      </c>
      <c r="E24">
        <f t="shared" si="2"/>
        <v>5.6686192355956359E-6</v>
      </c>
    </row>
    <row r="25" spans="1:5" x14ac:dyDescent="0.25">
      <c r="A25">
        <v>4.4234951576750001</v>
      </c>
      <c r="B25">
        <v>5.9147630145932927E-3</v>
      </c>
      <c r="C25">
        <f t="shared" si="0"/>
        <v>6.1421132719409015E-3</v>
      </c>
      <c r="D25">
        <f t="shared" si="1"/>
        <v>-2.273502573476088E-4</v>
      </c>
      <c r="E25">
        <f t="shared" si="2"/>
        <v>5.1688139516023947E-8</v>
      </c>
    </row>
    <row r="26" spans="1:5" x14ac:dyDescent="0.25">
      <c r="A26">
        <v>4.6040444498250004</v>
      </c>
      <c r="B26">
        <v>3.8271995976780129E-3</v>
      </c>
      <c r="C26">
        <f t="shared" si="0"/>
        <v>4.7352774110221334E-3</v>
      </c>
      <c r="D26">
        <f t="shared" si="1"/>
        <v>-9.0807781334412054E-4</v>
      </c>
      <c r="E26">
        <f t="shared" si="2"/>
        <v>8.2460531508783946E-7</v>
      </c>
    </row>
    <row r="27" spans="1:5" x14ac:dyDescent="0.25">
      <c r="A27">
        <v>4.7845937419749998</v>
      </c>
      <c r="B27">
        <v>3.4792723615254661E-3</v>
      </c>
      <c r="C27">
        <f t="shared" si="0"/>
        <v>3.6422109343735155E-3</v>
      </c>
      <c r="D27">
        <f t="shared" si="1"/>
        <v>-1.6293857284804944E-4</v>
      </c>
      <c r="E27">
        <f t="shared" si="2"/>
        <v>2.6548978521759112E-8</v>
      </c>
    </row>
    <row r="28" spans="1:5" x14ac:dyDescent="0.25">
      <c r="A28">
        <v>4.965143034125</v>
      </c>
      <c r="B28">
        <v>3.1313451253729197E-3</v>
      </c>
      <c r="C28">
        <f t="shared" si="0"/>
        <v>2.7952024075943924E-3</v>
      </c>
      <c r="D28">
        <f t="shared" si="1"/>
        <v>3.3614271777852736E-4</v>
      </c>
      <c r="E28">
        <f t="shared" si="2"/>
        <v>1.129919267155347E-7</v>
      </c>
    </row>
    <row r="29" spans="1:5" x14ac:dyDescent="0.25">
      <c r="A29">
        <v>5.1456923262750003</v>
      </c>
      <c r="B29">
        <v>1.739636180762733E-3</v>
      </c>
      <c r="C29">
        <f t="shared" si="0"/>
        <v>2.1405411051254332E-3</v>
      </c>
      <c r="D29">
        <f t="shared" si="1"/>
        <v>-4.009049243627002E-4</v>
      </c>
      <c r="E29">
        <f t="shared" si="2"/>
        <v>1.6072475837826236E-7</v>
      </c>
    </row>
    <row r="30" spans="1:5" x14ac:dyDescent="0.25">
      <c r="A30">
        <v>5.3262416184249997</v>
      </c>
      <c r="B30">
        <v>1.3917089446101865E-3</v>
      </c>
      <c r="C30">
        <f t="shared" si="0"/>
        <v>1.6357886327785683E-3</v>
      </c>
      <c r="D30">
        <f t="shared" si="1"/>
        <v>-2.4407968816838178E-4</v>
      </c>
      <c r="E30">
        <f t="shared" si="2"/>
        <v>5.9574894176374489E-8</v>
      </c>
    </row>
    <row r="31" spans="1:5" x14ac:dyDescent="0.25">
      <c r="A31">
        <v>5.5067909105750008</v>
      </c>
      <c r="B31">
        <v>6.9585447230509324E-4</v>
      </c>
      <c r="C31">
        <f t="shared" si="0"/>
        <v>1.2475359052184724E-3</v>
      </c>
      <c r="D31">
        <f t="shared" si="1"/>
        <v>-5.5168143291337913E-4</v>
      </c>
      <c r="E31">
        <f t="shared" si="2"/>
        <v>3.0435240342135922E-7</v>
      </c>
    </row>
    <row r="32" spans="1:5" x14ac:dyDescent="0.25">
      <c r="A32">
        <v>5.6873402027250002</v>
      </c>
      <c r="B32">
        <v>1.0437817084576399E-3</v>
      </c>
      <c r="C32">
        <f t="shared" si="0"/>
        <v>9.4957254280202217E-4</v>
      </c>
      <c r="D32">
        <f t="shared" si="1"/>
        <v>9.4209165655617742E-5</v>
      </c>
      <c r="E32">
        <f t="shared" si="2"/>
        <v>8.8753668935276256E-9</v>
      </c>
    </row>
    <row r="33" spans="1:5" x14ac:dyDescent="0.25">
      <c r="A33">
        <v>5.8678894948749996</v>
      </c>
      <c r="B33">
        <v>6.9585447230509324E-4</v>
      </c>
      <c r="C33">
        <f t="shared" si="0"/>
        <v>7.2140253535897525E-4</v>
      </c>
      <c r="D33">
        <f t="shared" si="1"/>
        <v>-2.5548063053882014E-5</v>
      </c>
      <c r="E33">
        <f t="shared" si="2"/>
        <v>6.527035258051312E-10</v>
      </c>
    </row>
    <row r="34" spans="1:5" x14ac:dyDescent="0.25">
      <c r="A34">
        <v>6.0484387870250007</v>
      </c>
      <c r="B34">
        <v>3.4792723615254662E-4</v>
      </c>
      <c r="C34">
        <f t="shared" si="0"/>
        <v>5.4704769596893509E-4</v>
      </c>
      <c r="D34">
        <f t="shared" si="1"/>
        <v>-1.9912045981638847E-4</v>
      </c>
      <c r="E34">
        <f t="shared" si="2"/>
        <v>3.9648957517489978E-8</v>
      </c>
    </row>
    <row r="35" spans="1:5" x14ac:dyDescent="0.25">
      <c r="A35">
        <v>6.2289880791750001</v>
      </c>
      <c r="B35">
        <v>3.4792723615254662E-4</v>
      </c>
      <c r="C35">
        <f t="shared" si="0"/>
        <v>4.1408821946990309E-4</v>
      </c>
      <c r="D35">
        <f t="shared" si="1"/>
        <v>-6.6160983317356471E-5</v>
      </c>
      <c r="E35">
        <f t="shared" si="2"/>
        <v>4.3772757135195213E-9</v>
      </c>
    </row>
    <row r="36" spans="1:5" x14ac:dyDescent="0.25">
      <c r="A36">
        <v>6.4095373713250003</v>
      </c>
      <c r="B36">
        <v>0</v>
      </c>
      <c r="C36">
        <f t="shared" si="0"/>
        <v>3.1289709602037315E-4</v>
      </c>
      <c r="D36">
        <f t="shared" si="1"/>
        <v>-3.1289709602037315E-4</v>
      </c>
      <c r="E36">
        <f t="shared" si="2"/>
        <v>9.7904592697982615E-8</v>
      </c>
    </row>
    <row r="37" spans="1:5" x14ac:dyDescent="0.25">
      <c r="A37">
        <v>6.5900866634750006</v>
      </c>
      <c r="B37">
        <v>0</v>
      </c>
      <c r="C37">
        <f t="shared" si="0"/>
        <v>2.3603194545087576E-4</v>
      </c>
      <c r="D37">
        <f t="shared" si="1"/>
        <v>-2.3603194545087576E-4</v>
      </c>
      <c r="E37">
        <f t="shared" si="2"/>
        <v>5.5711079273325188E-8</v>
      </c>
    </row>
    <row r="38" spans="1:5" x14ac:dyDescent="0.25">
      <c r="A38">
        <v>6.770635955625</v>
      </c>
      <c r="B38">
        <v>0</v>
      </c>
      <c r="C38">
        <f t="shared" si="0"/>
        <v>1.7775390882439067E-4</v>
      </c>
      <c r="D38">
        <f t="shared" si="1"/>
        <v>-1.7775390882439067E-4</v>
      </c>
      <c r="E38">
        <f t="shared" si="2"/>
        <v>3.1596452102349789E-8</v>
      </c>
    </row>
    <row r="39" spans="1:5" x14ac:dyDescent="0.25">
      <c r="A39">
        <v>6.9511852477749994</v>
      </c>
      <c r="B39">
        <v>0</v>
      </c>
      <c r="C39">
        <f t="shared" si="0"/>
        <v>1.3364852565361741E-4</v>
      </c>
      <c r="D39">
        <f t="shared" si="1"/>
        <v>-1.3364852565361741E-4</v>
      </c>
      <c r="E39">
        <f t="shared" si="2"/>
        <v>1.7861928409385633E-8</v>
      </c>
    </row>
    <row r="40" spans="1:5" x14ac:dyDescent="0.25">
      <c r="A40">
        <v>7.1317345399250005</v>
      </c>
      <c r="B40">
        <v>3.4792723615254662E-4</v>
      </c>
      <c r="C40">
        <f t="shared" si="0"/>
        <v>1.0032806096413303E-4</v>
      </c>
      <c r="D40">
        <f t="shared" si="1"/>
        <v>2.4759917518841362E-4</v>
      </c>
      <c r="E40">
        <f t="shared" si="2"/>
        <v>6.1305351553982743E-8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DBDC-3A2D-4F54-8939-C7523769593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8.8432855687500006E-2</v>
      </c>
      <c r="B1">
        <v>0.62943091176688581</v>
      </c>
      <c r="C1">
        <f>$H$3*(1+$H$1)*(A1^($H$1))*EXP(-$H$3*(A1^(1+$H$1)))</f>
        <v>0.61704791877805276</v>
      </c>
      <c r="D1">
        <f>B1-C1</f>
        <v>1.2382992988833053E-2</v>
      </c>
      <c r="E1">
        <f>D1^2</f>
        <v>1.5333851536148853E-4</v>
      </c>
      <c r="G1" t="s">
        <v>0</v>
      </c>
      <c r="H1">
        <v>0.23142781692334494</v>
      </c>
    </row>
    <row r="2" spans="1:8" x14ac:dyDescent="0.25">
      <c r="A2">
        <v>0.2650921590625</v>
      </c>
      <c r="B2">
        <v>0.657508292924189</v>
      </c>
      <c r="C2">
        <f t="shared" ref="C2:C40" si="0">$H$3*(1+$H$1)*(A2^($H$1))*EXP(-$H$3*(A2^(1+$H$1)))</f>
        <v>0.69648072408935235</v>
      </c>
      <c r="D2">
        <f t="shared" ref="D2:D40" si="1">B2-C2</f>
        <v>-3.8972431165163357E-2</v>
      </c>
      <c r="E2">
        <f t="shared" ref="E2:E40" si="2">D2^2</f>
        <v>1.5188503909233961E-3</v>
      </c>
    </row>
    <row r="3" spans="1:8" x14ac:dyDescent="0.25">
      <c r="A3">
        <v>0.44175146243750002</v>
      </c>
      <c r="B3">
        <v>0.63724992930436264</v>
      </c>
      <c r="C3">
        <f t="shared" si="0"/>
        <v>0.66992905707736439</v>
      </c>
      <c r="D3">
        <f t="shared" si="1"/>
        <v>-3.2679127773001748E-2</v>
      </c>
      <c r="E3">
        <f t="shared" si="2"/>
        <v>1.0679253920041743E-3</v>
      </c>
      <c r="G3" t="s">
        <v>1</v>
      </c>
      <c r="H3">
        <f>(_xlfn.GAMMA((2+$H$1)/(1+$H$1)))^(1+$H$1)</f>
        <v>0.9201353879081694</v>
      </c>
    </row>
    <row r="4" spans="1:8" x14ac:dyDescent="0.25">
      <c r="A4">
        <v>0.61841076581249999</v>
      </c>
      <c r="B4">
        <v>0.67705583676788106</v>
      </c>
      <c r="C4">
        <f t="shared" si="0"/>
        <v>0.60932106076144155</v>
      </c>
      <c r="D4">
        <f t="shared" si="1"/>
        <v>6.7734776006439512E-2</v>
      </c>
      <c r="E4">
        <f t="shared" si="2"/>
        <v>4.5879998806425334E-3</v>
      </c>
    </row>
    <row r="5" spans="1:8" x14ac:dyDescent="0.25">
      <c r="A5">
        <v>0.79507006918750012</v>
      </c>
      <c r="B5">
        <v>0.58678172519883032</v>
      </c>
      <c r="C5">
        <f t="shared" si="0"/>
        <v>0.53692835754293722</v>
      </c>
      <c r="D5">
        <f t="shared" si="1"/>
        <v>4.9853367655893099E-2</v>
      </c>
      <c r="E5">
        <f t="shared" si="2"/>
        <v>2.4853582666336483E-3</v>
      </c>
      <c r="G5" t="s">
        <v>2</v>
      </c>
      <c r="H5">
        <f>SUM(E1:E40)</f>
        <v>1.3975759824655523E-2</v>
      </c>
    </row>
    <row r="6" spans="1:8" x14ac:dyDescent="0.25">
      <c r="A6">
        <v>0.97172937256250003</v>
      </c>
      <c r="B6">
        <v>0.45741252594239523</v>
      </c>
      <c r="C6">
        <f t="shared" si="0"/>
        <v>0.46305702754623917</v>
      </c>
      <c r="D6">
        <f t="shared" si="1"/>
        <v>-5.6445016038439433E-3</v>
      </c>
      <c r="E6">
        <f t="shared" si="2"/>
        <v>3.1860398355796845E-5</v>
      </c>
    </row>
    <row r="7" spans="1:8" x14ac:dyDescent="0.25">
      <c r="A7">
        <v>1.1483886759374999</v>
      </c>
      <c r="B7">
        <v>0.35789775728359907</v>
      </c>
      <c r="C7">
        <f t="shared" si="0"/>
        <v>0.39294115282426306</v>
      </c>
      <c r="D7">
        <f t="shared" si="1"/>
        <v>-3.5043395540663991E-2</v>
      </c>
      <c r="E7">
        <f t="shared" si="2"/>
        <v>1.2280395710194288E-3</v>
      </c>
    </row>
    <row r="8" spans="1:8" x14ac:dyDescent="0.25">
      <c r="A8">
        <v>1.3250479793125001</v>
      </c>
      <c r="B8">
        <v>0.29570102687185146</v>
      </c>
      <c r="C8">
        <f t="shared" si="0"/>
        <v>0.32916168267055729</v>
      </c>
      <c r="D8">
        <f t="shared" si="1"/>
        <v>-3.346065579870583E-2</v>
      </c>
      <c r="E8">
        <f t="shared" si="2"/>
        <v>1.1196154864794661E-3</v>
      </c>
    </row>
    <row r="9" spans="1:8" x14ac:dyDescent="0.25">
      <c r="A9">
        <v>1.5017072826875002</v>
      </c>
      <c r="B9">
        <v>0.25127479086346033</v>
      </c>
      <c r="C9">
        <f t="shared" si="0"/>
        <v>0.27278459757163942</v>
      </c>
      <c r="D9">
        <f t="shared" si="1"/>
        <v>-2.1509806708179091E-2</v>
      </c>
      <c r="E9">
        <f t="shared" si="2"/>
        <v>4.626717846232262E-4</v>
      </c>
    </row>
    <row r="10" spans="1:8" x14ac:dyDescent="0.25">
      <c r="A10">
        <v>1.6783665860624999</v>
      </c>
      <c r="B10">
        <v>0.20471609552666639</v>
      </c>
      <c r="C10">
        <f t="shared" si="0"/>
        <v>0.22398835261189509</v>
      </c>
      <c r="D10">
        <f t="shared" si="1"/>
        <v>-1.92722570852287E-2</v>
      </c>
      <c r="E10">
        <f t="shared" si="2"/>
        <v>3.7141989315914783E-4</v>
      </c>
    </row>
    <row r="11" spans="1:8" x14ac:dyDescent="0.25">
      <c r="A11">
        <v>1.8550258894375</v>
      </c>
      <c r="B11">
        <v>0.16419936828701368</v>
      </c>
      <c r="C11">
        <f t="shared" si="0"/>
        <v>0.18244042065745339</v>
      </c>
      <c r="D11">
        <f t="shared" si="1"/>
        <v>-1.8241052370439714E-2</v>
      </c>
      <c r="E11">
        <f t="shared" si="2"/>
        <v>3.327359915811243E-4</v>
      </c>
    </row>
    <row r="12" spans="1:8" x14ac:dyDescent="0.25">
      <c r="A12">
        <v>2.0316851928125002</v>
      </c>
      <c r="B12">
        <v>0.13150165858483778</v>
      </c>
      <c r="C12">
        <f t="shared" si="0"/>
        <v>0.14753268283035711</v>
      </c>
      <c r="D12">
        <f t="shared" si="1"/>
        <v>-1.6031024245519332E-2</v>
      </c>
      <c r="E12">
        <f t="shared" si="2"/>
        <v>2.5699373836042869E-4</v>
      </c>
    </row>
    <row r="13" spans="1:8" x14ac:dyDescent="0.25">
      <c r="A13">
        <v>2.2083444961875003</v>
      </c>
      <c r="B13">
        <v>0.12688133003996513</v>
      </c>
      <c r="C13">
        <f t="shared" si="0"/>
        <v>0.11853036848011593</v>
      </c>
      <c r="D13">
        <f t="shared" si="1"/>
        <v>8.3509615598491987E-3</v>
      </c>
      <c r="E13">
        <f t="shared" si="2"/>
        <v>6.9738558974078967E-5</v>
      </c>
    </row>
    <row r="14" spans="1:8" x14ac:dyDescent="0.25">
      <c r="A14">
        <v>2.3850037995625</v>
      </c>
      <c r="B14">
        <v>9.7737719218460528E-2</v>
      </c>
      <c r="C14">
        <f t="shared" si="0"/>
        <v>9.4665360649403021E-2</v>
      </c>
      <c r="D14">
        <f t="shared" si="1"/>
        <v>3.0723585690575067E-3</v>
      </c>
      <c r="E14">
        <f t="shared" si="2"/>
        <v>9.4393871768610902E-6</v>
      </c>
    </row>
    <row r="15" spans="1:8" x14ac:dyDescent="0.25">
      <c r="A15">
        <v>2.5616631029375001</v>
      </c>
      <c r="B15">
        <v>8.2810503919641093E-2</v>
      </c>
      <c r="C15">
        <f t="shared" si="0"/>
        <v>7.5192794052892059E-2</v>
      </c>
      <c r="D15">
        <f t="shared" si="1"/>
        <v>7.6177098667490339E-3</v>
      </c>
      <c r="E15">
        <f t="shared" si="2"/>
        <v>5.8029503613965583E-5</v>
      </c>
    </row>
    <row r="16" spans="1:8" x14ac:dyDescent="0.25">
      <c r="A16">
        <v>2.7383224063125002</v>
      </c>
      <c r="B16">
        <v>6.6817058956620282E-2</v>
      </c>
      <c r="C16">
        <f t="shared" si="0"/>
        <v>5.9423252030231591E-2</v>
      </c>
      <c r="D16">
        <f t="shared" si="1"/>
        <v>7.3938069263886907E-3</v>
      </c>
      <c r="E16">
        <f t="shared" si="2"/>
        <v>5.4668380864713376E-5</v>
      </c>
    </row>
    <row r="17" spans="1:5" x14ac:dyDescent="0.25">
      <c r="A17">
        <v>2.9149817096874999</v>
      </c>
      <c r="B17">
        <v>5.1534433769733733E-2</v>
      </c>
      <c r="C17">
        <f t="shared" si="0"/>
        <v>4.6738843573440096E-2</v>
      </c>
      <c r="D17">
        <f t="shared" si="1"/>
        <v>4.7955901962936365E-3</v>
      </c>
      <c r="E17">
        <f t="shared" si="2"/>
        <v>2.2997685330787637E-5</v>
      </c>
    </row>
    <row r="18" spans="1:5" x14ac:dyDescent="0.25">
      <c r="A18">
        <v>3.0916410130625001</v>
      </c>
      <c r="B18">
        <v>4.3004596456122632E-2</v>
      </c>
      <c r="C18">
        <f t="shared" si="0"/>
        <v>3.6598831853378033E-2</v>
      </c>
      <c r="D18">
        <f t="shared" si="1"/>
        <v>6.4057646027445986E-3</v>
      </c>
      <c r="E18">
        <f t="shared" si="2"/>
        <v>4.1033820145775666E-5</v>
      </c>
    </row>
    <row r="19" spans="1:5" x14ac:dyDescent="0.25">
      <c r="A19">
        <v>3.2683003164375002</v>
      </c>
      <c r="B19">
        <v>3.3408529478310141E-2</v>
      </c>
      <c r="C19">
        <f t="shared" si="0"/>
        <v>2.8538719033409089E-2</v>
      </c>
      <c r="D19">
        <f t="shared" si="1"/>
        <v>4.8698104449010522E-3</v>
      </c>
      <c r="E19">
        <f t="shared" si="2"/>
        <v>2.3715053769267385E-5</v>
      </c>
    </row>
    <row r="20" spans="1:5" x14ac:dyDescent="0.25">
      <c r="A20">
        <v>3.4449596198124999</v>
      </c>
      <c r="B20">
        <v>2.8788200933437463E-2</v>
      </c>
      <c r="C20">
        <f t="shared" si="0"/>
        <v>2.2165464263700856E-2</v>
      </c>
      <c r="D20">
        <f t="shared" si="1"/>
        <v>6.622736669736607E-3</v>
      </c>
      <c r="E20">
        <f t="shared" si="2"/>
        <v>4.3860640996673922E-5</v>
      </c>
    </row>
    <row r="21" spans="1:5" x14ac:dyDescent="0.25">
      <c r="A21">
        <v>3.6216189231875</v>
      </c>
      <c r="B21">
        <v>1.9192133955624975E-2</v>
      </c>
      <c r="C21">
        <f t="shared" si="0"/>
        <v>1.7150646650255872E-2</v>
      </c>
      <c r="D21">
        <f t="shared" si="1"/>
        <v>2.0414873053691031E-3</v>
      </c>
      <c r="E21">
        <f t="shared" si="2"/>
        <v>4.1676704179832016E-6</v>
      </c>
    </row>
    <row r="22" spans="1:5" x14ac:dyDescent="0.25">
      <c r="A22">
        <v>3.7982782265625001</v>
      </c>
      <c r="B22">
        <v>1.8125904291423588E-2</v>
      </c>
      <c r="C22">
        <f t="shared" si="0"/>
        <v>1.3222773052209008E-2</v>
      </c>
      <c r="D22">
        <f t="shared" si="1"/>
        <v>4.9031312392145802E-3</v>
      </c>
      <c r="E22">
        <f t="shared" si="2"/>
        <v>2.4040695948961905E-5</v>
      </c>
    </row>
    <row r="23" spans="1:5" x14ac:dyDescent="0.25">
      <c r="A23">
        <v>3.9749375299375003</v>
      </c>
      <c r="B23">
        <v>1.2083936194282392E-2</v>
      </c>
      <c r="C23">
        <f t="shared" si="0"/>
        <v>1.0159499150574236E-2</v>
      </c>
      <c r="D23">
        <f t="shared" si="1"/>
        <v>1.9244370437081562E-3</v>
      </c>
      <c r="E23">
        <f t="shared" si="2"/>
        <v>3.7034579351961878E-6</v>
      </c>
    </row>
    <row r="24" spans="1:5" x14ac:dyDescent="0.25">
      <c r="A24">
        <v>4.1515968333124995</v>
      </c>
      <c r="B24">
        <v>6.7527878732754542E-3</v>
      </c>
      <c r="C24">
        <f t="shared" si="0"/>
        <v>7.780230987464532E-3</v>
      </c>
      <c r="D24">
        <f t="shared" si="1"/>
        <v>-1.0274431141890777E-3</v>
      </c>
      <c r="E24">
        <f t="shared" si="2"/>
        <v>1.0556393528945501E-6</v>
      </c>
    </row>
    <row r="25" spans="1:5" x14ac:dyDescent="0.25">
      <c r="A25">
        <v>4.3282561366875001</v>
      </c>
      <c r="B25">
        <v>5.331148321006938E-3</v>
      </c>
      <c r="C25">
        <f t="shared" si="0"/>
        <v>5.9393670712402898E-3</v>
      </c>
      <c r="D25">
        <f t="shared" si="1"/>
        <v>-6.0821875023335178E-4</v>
      </c>
      <c r="E25">
        <f t="shared" si="2"/>
        <v>3.6993004813542034E-7</v>
      </c>
    </row>
    <row r="26" spans="1:5" x14ac:dyDescent="0.25">
      <c r="A26">
        <v>4.5049154400625007</v>
      </c>
      <c r="B26">
        <v>3.5540988806712919E-3</v>
      </c>
      <c r="C26">
        <f t="shared" si="0"/>
        <v>4.5203019230014279E-3</v>
      </c>
      <c r="D26">
        <f t="shared" si="1"/>
        <v>-9.6620304233013604E-4</v>
      </c>
      <c r="E26">
        <f t="shared" si="2"/>
        <v>9.3354831900801069E-7</v>
      </c>
    </row>
    <row r="27" spans="1:5" x14ac:dyDescent="0.25">
      <c r="A27">
        <v>4.6815747434374995</v>
      </c>
      <c r="B27">
        <v>3.9095087687384209E-3</v>
      </c>
      <c r="C27">
        <f t="shared" si="0"/>
        <v>3.4302212875641914E-3</v>
      </c>
      <c r="D27">
        <f t="shared" si="1"/>
        <v>4.7928748117422948E-4</v>
      </c>
      <c r="E27">
        <f t="shared" si="2"/>
        <v>2.2971648961033739E-7</v>
      </c>
    </row>
    <row r="28" spans="1:5" x14ac:dyDescent="0.25">
      <c r="A28">
        <v>4.8582340468125</v>
      </c>
      <c r="B28">
        <v>2.8432791045370333E-3</v>
      </c>
      <c r="C28">
        <f t="shared" si="0"/>
        <v>2.5956629058988155E-3</v>
      </c>
      <c r="D28">
        <f t="shared" si="1"/>
        <v>2.4761619863821784E-4</v>
      </c>
      <c r="E28">
        <f t="shared" si="2"/>
        <v>6.1313781828041346E-8</v>
      </c>
    </row>
    <row r="29" spans="1:5" x14ac:dyDescent="0.25">
      <c r="A29">
        <v>5.0348933501875006</v>
      </c>
      <c r="B29">
        <v>1.7770494403356459E-3</v>
      </c>
      <c r="C29">
        <f t="shared" si="0"/>
        <v>1.9587842762960879E-3</v>
      </c>
      <c r="D29">
        <f t="shared" si="1"/>
        <v>-1.8173483596044195E-4</v>
      </c>
      <c r="E29">
        <f t="shared" si="2"/>
        <v>3.3027550601568747E-8</v>
      </c>
    </row>
    <row r="30" spans="1:5" x14ac:dyDescent="0.25">
      <c r="A30">
        <v>5.2115526535624994</v>
      </c>
      <c r="B30">
        <v>1.0662296642013876E-3</v>
      </c>
      <c r="C30">
        <f t="shared" si="0"/>
        <v>1.4742625750384724E-3</v>
      </c>
      <c r="D30">
        <f t="shared" si="1"/>
        <v>-4.080329108370848E-4</v>
      </c>
      <c r="E30">
        <f t="shared" si="2"/>
        <v>1.6649085632618441E-7</v>
      </c>
    </row>
    <row r="31" spans="1:5" x14ac:dyDescent="0.25">
      <c r="A31">
        <v>5.3882119569375</v>
      </c>
      <c r="B31">
        <v>1.4216395522685167E-3</v>
      </c>
      <c r="C31">
        <f t="shared" si="0"/>
        <v>1.1067463418378413E-3</v>
      </c>
      <c r="D31">
        <f t="shared" si="1"/>
        <v>3.1489321043067539E-4</v>
      </c>
      <c r="E31">
        <f t="shared" si="2"/>
        <v>9.9157733975337612E-8</v>
      </c>
    </row>
    <row r="32" spans="1:5" x14ac:dyDescent="0.25">
      <c r="A32">
        <v>5.5648712603125006</v>
      </c>
      <c r="B32">
        <v>1.0662296642013876E-3</v>
      </c>
      <c r="C32">
        <f t="shared" si="0"/>
        <v>8.2877972510726284E-4</v>
      </c>
      <c r="D32">
        <f t="shared" si="1"/>
        <v>2.3744993909412477E-4</v>
      </c>
      <c r="E32">
        <f t="shared" si="2"/>
        <v>5.6382473575803558E-8</v>
      </c>
    </row>
    <row r="33" spans="1:5" x14ac:dyDescent="0.25">
      <c r="A33">
        <v>5.7415305636875003</v>
      </c>
      <c r="B33">
        <v>3.5540988806712916E-4</v>
      </c>
      <c r="C33">
        <f t="shared" si="0"/>
        <v>6.1912527054328959E-4</v>
      </c>
      <c r="D33">
        <f t="shared" si="1"/>
        <v>-2.6371538247616042E-4</v>
      </c>
      <c r="E33">
        <f t="shared" si="2"/>
        <v>6.9545802954547583E-8</v>
      </c>
    </row>
    <row r="34" spans="1:5" x14ac:dyDescent="0.25">
      <c r="A34">
        <v>5.9181898670624999</v>
      </c>
      <c r="B34">
        <v>3.5540988806712916E-4</v>
      </c>
      <c r="C34">
        <f t="shared" si="0"/>
        <v>4.6141853460331979E-4</v>
      </c>
      <c r="D34">
        <f t="shared" si="1"/>
        <v>-1.0600864653619063E-4</v>
      </c>
      <c r="E34">
        <f t="shared" si="2"/>
        <v>1.1237833140435001E-8</v>
      </c>
    </row>
    <row r="35" spans="1:5" x14ac:dyDescent="0.25">
      <c r="A35">
        <v>6.0948491704375005</v>
      </c>
      <c r="B35">
        <v>0</v>
      </c>
      <c r="C35">
        <f t="shared" si="0"/>
        <v>3.4309595458770816E-4</v>
      </c>
      <c r="D35">
        <f t="shared" si="1"/>
        <v>-3.4309595458770816E-4</v>
      </c>
      <c r="E35">
        <f t="shared" si="2"/>
        <v>1.177148340544507E-7</v>
      </c>
    </row>
    <row r="36" spans="1:5" x14ac:dyDescent="0.25">
      <c r="A36">
        <v>6.2715084738125002</v>
      </c>
      <c r="B36">
        <v>7.1081977613425833E-4</v>
      </c>
      <c r="C36">
        <f t="shared" si="0"/>
        <v>2.5454560402945293E-4</v>
      </c>
      <c r="D36">
        <f t="shared" si="1"/>
        <v>4.562741721048054E-4</v>
      </c>
      <c r="E36">
        <f t="shared" si="2"/>
        <v>2.0818612012992558E-7</v>
      </c>
    </row>
    <row r="37" spans="1:5" x14ac:dyDescent="0.25">
      <c r="A37">
        <v>6.4481677771874999</v>
      </c>
      <c r="B37">
        <v>0</v>
      </c>
      <c r="C37">
        <f t="shared" si="0"/>
        <v>1.8843821959314703E-4</v>
      </c>
      <c r="D37">
        <f t="shared" si="1"/>
        <v>-1.8843821959314703E-4</v>
      </c>
      <c r="E37">
        <f t="shared" si="2"/>
        <v>3.5508962603435098E-8</v>
      </c>
    </row>
    <row r="38" spans="1:5" x14ac:dyDescent="0.25">
      <c r="A38">
        <v>6.6248270805625005</v>
      </c>
      <c r="B38">
        <v>0</v>
      </c>
      <c r="C38">
        <f t="shared" si="0"/>
        <v>1.3920293711440455E-4</v>
      </c>
      <c r="D38">
        <f t="shared" si="1"/>
        <v>-1.3920293711440455E-4</v>
      </c>
      <c r="E38">
        <f t="shared" si="2"/>
        <v>1.9377457701276866E-8</v>
      </c>
    </row>
    <row r="39" spans="1:5" x14ac:dyDescent="0.25">
      <c r="A39">
        <v>6.8014863839375002</v>
      </c>
      <c r="B39">
        <v>0</v>
      </c>
      <c r="C39">
        <f t="shared" si="0"/>
        <v>1.0261840063456837E-4</v>
      </c>
      <c r="D39">
        <f t="shared" si="1"/>
        <v>-1.0261840063456837E-4</v>
      </c>
      <c r="E39">
        <f t="shared" si="2"/>
        <v>1.0530536148796782E-8</v>
      </c>
    </row>
    <row r="40" spans="1:5" x14ac:dyDescent="0.25">
      <c r="A40">
        <v>6.9781456873124998</v>
      </c>
      <c r="B40">
        <v>3.5540988806712916E-4</v>
      </c>
      <c r="C40">
        <f t="shared" si="0"/>
        <v>7.5495285521984983E-5</v>
      </c>
      <c r="D40">
        <f t="shared" si="1"/>
        <v>2.7991460254514418E-4</v>
      </c>
      <c r="E40">
        <f t="shared" si="2"/>
        <v>7.8352184718006038E-8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B758-FCE6-46D7-9441-4A4C1A4C1F8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8.6704007100000008E-2</v>
      </c>
      <c r="B1">
        <v>0.58534325046603852</v>
      </c>
      <c r="C1">
        <f>$H$3*(1+$H$1)*(A1^($H$1))*EXP(-$H$3*(A1^(1+$H$1)))</f>
        <v>0.58000818546854715</v>
      </c>
      <c r="D1">
        <f>B1-C1</f>
        <v>5.3350649974913678E-3</v>
      </c>
      <c r="E1">
        <f>D1^2</f>
        <v>2.8462918527457568E-5</v>
      </c>
      <c r="G1" t="s">
        <v>0</v>
      </c>
      <c r="H1">
        <v>0.26346254075441866</v>
      </c>
    </row>
    <row r="2" spans="1:8" x14ac:dyDescent="0.25">
      <c r="A2">
        <v>0.26010852130000001</v>
      </c>
      <c r="B2">
        <v>0.68603967597937932</v>
      </c>
      <c r="C2">
        <f t="shared" ref="C2:C40" si="0">$H$3*(1+$H$1)*(A2^($H$1))*EXP(-$H$3*(A2^(1+$H$1)))</f>
        <v>0.68384154900036331</v>
      </c>
      <c r="D2">
        <f t="shared" ref="D2:D40" si="1">B2-C2</f>
        <v>2.1981269790160018E-3</v>
      </c>
      <c r="E2">
        <f t="shared" ref="E2:E40" si="2">D2^2</f>
        <v>4.8317622158780148E-6</v>
      </c>
    </row>
    <row r="3" spans="1:8" x14ac:dyDescent="0.25">
      <c r="A3">
        <v>0.43351303549999998</v>
      </c>
      <c r="B3">
        <v>0.60635185722781471</v>
      </c>
      <c r="C3">
        <f t="shared" si="0"/>
        <v>0.67287881387299986</v>
      </c>
      <c r="D3">
        <f t="shared" si="1"/>
        <v>-6.6526956645185154E-2</v>
      </c>
      <c r="E3">
        <f t="shared" si="2"/>
        <v>4.4258359604703451E-3</v>
      </c>
      <c r="G3" t="s">
        <v>1</v>
      </c>
      <c r="H3">
        <f>(_xlfn.GAMMA((2+$H$1)/(1+$H$1)))^(1+$H$1)</f>
        <v>0.91133266856921213</v>
      </c>
    </row>
    <row r="4" spans="1:8" x14ac:dyDescent="0.25">
      <c r="A4">
        <v>0.6069175497</v>
      </c>
      <c r="B4">
        <v>0.63641589793863229</v>
      </c>
      <c r="C4">
        <f t="shared" si="0"/>
        <v>0.62159047273728174</v>
      </c>
      <c r="D4">
        <f t="shared" si="1"/>
        <v>1.4825425201350551E-2</v>
      </c>
      <c r="E4">
        <f t="shared" si="2"/>
        <v>2.1979323240084E-4</v>
      </c>
    </row>
    <row r="5" spans="1:8" x14ac:dyDescent="0.25">
      <c r="A5">
        <v>0.78032206390000003</v>
      </c>
      <c r="B5">
        <v>0.62880933342143741</v>
      </c>
      <c r="C5">
        <f t="shared" si="0"/>
        <v>0.55405674259251492</v>
      </c>
      <c r="D5">
        <f t="shared" si="1"/>
        <v>7.4752590828922494E-2</v>
      </c>
      <c r="E5">
        <f t="shared" si="2"/>
        <v>5.5879498356363076E-3</v>
      </c>
      <c r="G5" t="s">
        <v>2</v>
      </c>
      <c r="H5">
        <f>SUM(E1:E40)</f>
        <v>1.3181435714969332E-2</v>
      </c>
    </row>
    <row r="6" spans="1:8" x14ac:dyDescent="0.25">
      <c r="A6">
        <v>0.95372657809999994</v>
      </c>
      <c r="B6">
        <v>0.48464682495269773</v>
      </c>
      <c r="C6">
        <f t="shared" si="0"/>
        <v>0.48197932130460647</v>
      </c>
      <c r="D6">
        <f t="shared" si="1"/>
        <v>2.6675036480912628E-3</v>
      </c>
      <c r="E6">
        <f t="shared" si="2"/>
        <v>7.1155757125801956E-6</v>
      </c>
    </row>
    <row r="7" spans="1:8" x14ac:dyDescent="0.25">
      <c r="A7">
        <v>1.1271310923</v>
      </c>
      <c r="B7">
        <v>0.40568344091705644</v>
      </c>
      <c r="C7">
        <f t="shared" si="0"/>
        <v>0.41166062000545356</v>
      </c>
      <c r="D7">
        <f t="shared" si="1"/>
        <v>-5.9771790883971221E-3</v>
      </c>
      <c r="E7">
        <f t="shared" si="2"/>
        <v>3.5726669854771853E-5</v>
      </c>
    </row>
    <row r="8" spans="1:8" x14ac:dyDescent="0.25">
      <c r="A8">
        <v>1.3005356065</v>
      </c>
      <c r="B8">
        <v>0.32092457915402856</v>
      </c>
      <c r="C8">
        <f t="shared" si="0"/>
        <v>0.34647587341673364</v>
      </c>
      <c r="D8">
        <f t="shared" si="1"/>
        <v>-2.5551294262705082E-2</v>
      </c>
      <c r="E8">
        <f t="shared" si="2"/>
        <v>6.5286863849934565E-4</v>
      </c>
    </row>
    <row r="9" spans="1:8" x14ac:dyDescent="0.25">
      <c r="A9">
        <v>1.4739401207</v>
      </c>
      <c r="B9">
        <v>0.26948971432347318</v>
      </c>
      <c r="C9">
        <f t="shared" si="0"/>
        <v>0.28806041534366655</v>
      </c>
      <c r="D9">
        <f t="shared" si="1"/>
        <v>-1.857070102019337E-2</v>
      </c>
      <c r="E9">
        <f t="shared" si="2"/>
        <v>3.4487093638141105E-4</v>
      </c>
    </row>
    <row r="10" spans="1:8" x14ac:dyDescent="0.25">
      <c r="A10">
        <v>1.6473446349</v>
      </c>
      <c r="B10">
        <v>0.20718832875406809</v>
      </c>
      <c r="C10">
        <f t="shared" si="0"/>
        <v>0.23698348056208496</v>
      </c>
      <c r="D10">
        <f t="shared" si="1"/>
        <v>-2.9795151808016868E-2</v>
      </c>
      <c r="E10">
        <f t="shared" si="2"/>
        <v>8.8775107126277085E-4</v>
      </c>
    </row>
    <row r="11" spans="1:8" x14ac:dyDescent="0.25">
      <c r="A11">
        <v>1.8207491491000001</v>
      </c>
      <c r="B11">
        <v>0.16879328881013239</v>
      </c>
      <c r="C11">
        <f t="shared" si="0"/>
        <v>0.1931664191182707</v>
      </c>
      <c r="D11">
        <f t="shared" si="1"/>
        <v>-2.4373130308138313E-2</v>
      </c>
      <c r="E11">
        <f t="shared" si="2"/>
        <v>5.9404948101749041E-4</v>
      </c>
    </row>
    <row r="12" spans="1:8" x14ac:dyDescent="0.25">
      <c r="A12">
        <v>1.9941536633000001</v>
      </c>
      <c r="B12">
        <v>0.144886943184663</v>
      </c>
      <c r="C12">
        <f t="shared" si="0"/>
        <v>0.15615369742906132</v>
      </c>
      <c r="D12">
        <f t="shared" si="1"/>
        <v>-1.1266754244398325E-2</v>
      </c>
      <c r="E12">
        <f t="shared" si="2"/>
        <v>1.2693975120366767E-4</v>
      </c>
    </row>
    <row r="13" spans="1:8" x14ac:dyDescent="0.25">
      <c r="A13">
        <v>2.1675581775000001</v>
      </c>
      <c r="B13">
        <v>0.12894937943435009</v>
      </c>
      <c r="C13">
        <f t="shared" si="0"/>
        <v>0.12529096782270341</v>
      </c>
      <c r="D13">
        <f t="shared" si="1"/>
        <v>3.6584116116466781E-3</v>
      </c>
      <c r="E13">
        <f t="shared" si="2"/>
        <v>1.3383975520231244E-5</v>
      </c>
    </row>
    <row r="14" spans="1:8" x14ac:dyDescent="0.25">
      <c r="A14">
        <v>2.3409626917000002</v>
      </c>
      <c r="B14">
        <v>0.10359416437703405</v>
      </c>
      <c r="C14">
        <f t="shared" si="0"/>
        <v>9.9841306460281887E-2</v>
      </c>
      <c r="D14">
        <f t="shared" si="1"/>
        <v>3.7528579167521586E-3</v>
      </c>
      <c r="E14">
        <f t="shared" si="2"/>
        <v>1.4083942543329352E-5</v>
      </c>
    </row>
    <row r="15" spans="1:8" x14ac:dyDescent="0.25">
      <c r="A15">
        <v>2.5143672059000002</v>
      </c>
      <c r="B15">
        <v>8.0774470825449626E-2</v>
      </c>
      <c r="C15">
        <f t="shared" si="0"/>
        <v>7.9059236943138919E-2</v>
      </c>
      <c r="D15">
        <f t="shared" si="1"/>
        <v>1.7152338823107072E-3</v>
      </c>
      <c r="E15">
        <f t="shared" si="2"/>
        <v>2.9420272710266607E-6</v>
      </c>
    </row>
    <row r="16" spans="1:8" x14ac:dyDescent="0.25">
      <c r="A16">
        <v>2.6877717200999998</v>
      </c>
      <c r="B16">
        <v>6.5199124433098346E-2</v>
      </c>
      <c r="C16">
        <f t="shared" si="0"/>
        <v>6.2235713402593269E-2</v>
      </c>
      <c r="D16">
        <f t="shared" si="1"/>
        <v>2.9634110305050768E-3</v>
      </c>
      <c r="E16">
        <f t="shared" si="2"/>
        <v>8.7818049357191608E-6</v>
      </c>
    </row>
    <row r="17" spans="1:5" x14ac:dyDescent="0.25">
      <c r="A17">
        <v>2.8611762343000002</v>
      </c>
      <c r="B17">
        <v>5.7230342557941891E-2</v>
      </c>
      <c r="C17">
        <f t="shared" si="0"/>
        <v>4.8723237203242141E-2</v>
      </c>
      <c r="D17">
        <f t="shared" si="1"/>
        <v>8.5071053546997497E-3</v>
      </c>
      <c r="E17">
        <f t="shared" si="2"/>
        <v>7.2370841515961149E-5</v>
      </c>
    </row>
    <row r="18" spans="1:5" x14ac:dyDescent="0.25">
      <c r="A18">
        <v>3.0345807485000003</v>
      </c>
      <c r="B18">
        <v>4.0568344091705642E-2</v>
      </c>
      <c r="C18">
        <f t="shared" si="0"/>
        <v>3.794760845809303E-2</v>
      </c>
      <c r="D18">
        <f t="shared" si="1"/>
        <v>2.6207356336126128E-3</v>
      </c>
      <c r="E18">
        <f t="shared" si="2"/>
        <v>6.868255261286903E-6</v>
      </c>
    </row>
    <row r="19" spans="1:5" x14ac:dyDescent="0.25">
      <c r="A19">
        <v>3.2079852627000003</v>
      </c>
      <c r="B19">
        <v>3.5135083722280781E-2</v>
      </c>
      <c r="C19">
        <f t="shared" si="0"/>
        <v>2.9410938978885352E-2</v>
      </c>
      <c r="D19">
        <f t="shared" si="1"/>
        <v>5.724144743395429E-3</v>
      </c>
      <c r="E19">
        <f t="shared" si="2"/>
        <v>3.2765833043341525E-5</v>
      </c>
    </row>
    <row r="20" spans="1:5" x14ac:dyDescent="0.25">
      <c r="A20">
        <v>3.3813897768999999</v>
      </c>
      <c r="B20">
        <v>3.042625806877923E-2</v>
      </c>
      <c r="C20">
        <f t="shared" si="0"/>
        <v>2.268920184879893E-2</v>
      </c>
      <c r="D20">
        <f t="shared" si="1"/>
        <v>7.7370562199803004E-3</v>
      </c>
      <c r="E20">
        <f t="shared" si="2"/>
        <v>5.9862038951135852E-5</v>
      </c>
    </row>
    <row r="21" spans="1:5" x14ac:dyDescent="0.25">
      <c r="A21">
        <v>3.5547942911000003</v>
      </c>
      <c r="B21">
        <v>1.7386433182159561E-2</v>
      </c>
      <c r="C21">
        <f t="shared" si="0"/>
        <v>1.7426606255432953E-2</v>
      </c>
      <c r="D21">
        <f t="shared" si="1"/>
        <v>-4.0173073273391813E-5</v>
      </c>
      <c r="E21">
        <f t="shared" si="2"/>
        <v>1.6138758162293075E-9</v>
      </c>
    </row>
    <row r="22" spans="1:5" x14ac:dyDescent="0.25">
      <c r="A22">
        <v>3.7281988052999999</v>
      </c>
      <c r="B22">
        <v>1.9559737329929505E-2</v>
      </c>
      <c r="C22">
        <f t="shared" si="0"/>
        <v>1.3328364620142646E-2</v>
      </c>
      <c r="D22">
        <f t="shared" si="1"/>
        <v>6.2313727097868584E-3</v>
      </c>
      <c r="E22">
        <f t="shared" si="2"/>
        <v>3.8830005848276412E-5</v>
      </c>
    </row>
    <row r="23" spans="1:5" x14ac:dyDescent="0.25">
      <c r="A23">
        <v>3.9016033194999999</v>
      </c>
      <c r="B23">
        <v>1.303982488661967E-2</v>
      </c>
      <c r="C23">
        <f t="shared" si="0"/>
        <v>1.0152894145488393E-2</v>
      </c>
      <c r="D23">
        <f t="shared" si="1"/>
        <v>2.8869307411312772E-3</v>
      </c>
      <c r="E23">
        <f t="shared" si="2"/>
        <v>8.3343691040887851E-6</v>
      </c>
    </row>
    <row r="24" spans="1:5" x14ac:dyDescent="0.25">
      <c r="A24">
        <v>4.0750078337</v>
      </c>
      <c r="B24">
        <v>6.8821298012714926E-3</v>
      </c>
      <c r="C24">
        <f t="shared" si="0"/>
        <v>7.7041173287080451E-3</v>
      </c>
      <c r="D24">
        <f t="shared" si="1"/>
        <v>-8.2198752743655248E-4</v>
      </c>
      <c r="E24">
        <f t="shared" si="2"/>
        <v>6.7566349526125712E-7</v>
      </c>
    </row>
    <row r="25" spans="1:5" x14ac:dyDescent="0.25">
      <c r="A25">
        <v>4.2484123479000004</v>
      </c>
      <c r="B25">
        <v>6.8821298012714926E-3</v>
      </c>
      <c r="C25">
        <f t="shared" si="0"/>
        <v>5.8242587952667783E-3</v>
      </c>
      <c r="D25">
        <f t="shared" si="1"/>
        <v>1.0578710060047142E-3</v>
      </c>
      <c r="E25">
        <f t="shared" si="2"/>
        <v>1.1190910653454261E-6</v>
      </c>
    </row>
    <row r="26" spans="1:5" x14ac:dyDescent="0.25">
      <c r="A26">
        <v>4.4218168621</v>
      </c>
      <c r="B26">
        <v>2.5355215057316026E-3</v>
      </c>
      <c r="C26">
        <f t="shared" si="0"/>
        <v>4.3873507987119273E-3</v>
      </c>
      <c r="D26">
        <f t="shared" si="1"/>
        <v>-1.8518292929803246E-3</v>
      </c>
      <c r="E26">
        <f t="shared" si="2"/>
        <v>3.4292717303400088E-6</v>
      </c>
    </row>
    <row r="27" spans="1:5" x14ac:dyDescent="0.25">
      <c r="A27">
        <v>4.5952213763000005</v>
      </c>
      <c r="B27">
        <v>3.9843909375782329E-3</v>
      </c>
      <c r="C27">
        <f t="shared" si="0"/>
        <v>3.2935352716337734E-3</v>
      </c>
      <c r="D27">
        <f t="shared" si="1"/>
        <v>6.908556659444595E-4</v>
      </c>
      <c r="E27">
        <f t="shared" si="2"/>
        <v>4.7728155116756266E-7</v>
      </c>
    </row>
    <row r="28" spans="1:5" x14ac:dyDescent="0.25">
      <c r="A28">
        <v>4.7686258905000001</v>
      </c>
      <c r="B28">
        <v>2.8977388636932601E-3</v>
      </c>
      <c r="C28">
        <f t="shared" si="0"/>
        <v>2.4641698199666263E-3</v>
      </c>
      <c r="D28">
        <f t="shared" si="1"/>
        <v>4.3356904372663383E-4</v>
      </c>
      <c r="E28">
        <f t="shared" si="2"/>
        <v>1.8798211567802771E-7</v>
      </c>
    </row>
    <row r="29" spans="1:5" x14ac:dyDescent="0.25">
      <c r="A29">
        <v>4.9420304046999997</v>
      </c>
      <c r="B29">
        <v>1.4488694318466301E-3</v>
      </c>
      <c r="C29">
        <f t="shared" si="0"/>
        <v>1.8376959204493993E-3</v>
      </c>
      <c r="D29">
        <f t="shared" si="1"/>
        <v>-3.8882648860276924E-4</v>
      </c>
      <c r="E29">
        <f t="shared" si="2"/>
        <v>1.5118603823915943E-7</v>
      </c>
    </row>
    <row r="30" spans="1:5" x14ac:dyDescent="0.25">
      <c r="A30">
        <v>5.1154349189000001</v>
      </c>
      <c r="B30">
        <v>1.4488694318466301E-3</v>
      </c>
      <c r="C30">
        <f t="shared" si="0"/>
        <v>1.366200321904501E-3</v>
      </c>
      <c r="D30">
        <f t="shared" si="1"/>
        <v>8.2669109942129027E-5</v>
      </c>
      <c r="E30">
        <f t="shared" si="2"/>
        <v>6.8341817386238167E-9</v>
      </c>
    </row>
    <row r="31" spans="1:5" x14ac:dyDescent="0.25">
      <c r="A31">
        <v>5.2888394330999997</v>
      </c>
      <c r="B31">
        <v>7.2443471592331503E-4</v>
      </c>
      <c r="C31">
        <f t="shared" si="0"/>
        <v>1.0125882234635782E-3</v>
      </c>
      <c r="D31">
        <f t="shared" si="1"/>
        <v>-2.8815350754026316E-4</v>
      </c>
      <c r="E31">
        <f t="shared" si="2"/>
        <v>8.3032443907756492E-8</v>
      </c>
    </row>
    <row r="32" spans="1:5" x14ac:dyDescent="0.25">
      <c r="A32">
        <v>5.4622439473000002</v>
      </c>
      <c r="B32">
        <v>1.0866520738849726E-3</v>
      </c>
      <c r="C32">
        <f t="shared" si="0"/>
        <v>7.4828406398136967E-4</v>
      </c>
      <c r="D32">
        <f t="shared" si="1"/>
        <v>3.3836800990360292E-4</v>
      </c>
      <c r="E32">
        <f t="shared" si="2"/>
        <v>1.1449291012612472E-7</v>
      </c>
    </row>
    <row r="33" spans="1:5" x14ac:dyDescent="0.25">
      <c r="A33">
        <v>5.6356484614999998</v>
      </c>
      <c r="B33">
        <v>1.0866520738849726E-3</v>
      </c>
      <c r="C33">
        <f t="shared" si="0"/>
        <v>5.5137902073718352E-4</v>
      </c>
      <c r="D33">
        <f t="shared" si="1"/>
        <v>5.3527305314778908E-4</v>
      </c>
      <c r="E33">
        <f t="shared" si="2"/>
        <v>2.8651724142615583E-7</v>
      </c>
    </row>
    <row r="34" spans="1:5" x14ac:dyDescent="0.25">
      <c r="A34">
        <v>5.8090529757000002</v>
      </c>
      <c r="B34">
        <v>3.6221735796165751E-4</v>
      </c>
      <c r="C34">
        <f t="shared" si="0"/>
        <v>4.0515099924932143E-4</v>
      </c>
      <c r="D34">
        <f t="shared" si="1"/>
        <v>-4.2933641287663912E-5</v>
      </c>
      <c r="E34">
        <f t="shared" si="2"/>
        <v>1.8432975542177994E-9</v>
      </c>
    </row>
    <row r="35" spans="1:5" x14ac:dyDescent="0.25">
      <c r="A35">
        <v>5.9824574898999998</v>
      </c>
      <c r="B35">
        <v>0</v>
      </c>
      <c r="C35">
        <f t="shared" si="0"/>
        <v>2.9689123896087027E-4</v>
      </c>
      <c r="D35">
        <f t="shared" si="1"/>
        <v>-2.9689123896087027E-4</v>
      </c>
      <c r="E35">
        <f t="shared" si="2"/>
        <v>8.8144407771720567E-8</v>
      </c>
    </row>
    <row r="36" spans="1:5" x14ac:dyDescent="0.25">
      <c r="A36">
        <v>6.1558620041000012</v>
      </c>
      <c r="B36">
        <v>7.2443471592331503E-4</v>
      </c>
      <c r="C36">
        <f t="shared" si="0"/>
        <v>2.1698050349124886E-4</v>
      </c>
      <c r="D36">
        <f t="shared" si="1"/>
        <v>5.0745421243206614E-4</v>
      </c>
      <c r="E36">
        <f t="shared" si="2"/>
        <v>2.575097777150485E-7</v>
      </c>
    </row>
    <row r="37" spans="1:5" x14ac:dyDescent="0.25">
      <c r="A37">
        <v>6.3292665183000008</v>
      </c>
      <c r="B37">
        <v>0</v>
      </c>
      <c r="C37">
        <f t="shared" si="0"/>
        <v>1.5816644382912241E-4</v>
      </c>
      <c r="D37">
        <f t="shared" si="1"/>
        <v>-1.5816644382912241E-4</v>
      </c>
      <c r="E37">
        <f t="shared" si="2"/>
        <v>2.5016623953550934E-8</v>
      </c>
    </row>
    <row r="38" spans="1:5" x14ac:dyDescent="0.25">
      <c r="A38">
        <v>6.5026710325000003</v>
      </c>
      <c r="B38">
        <v>0</v>
      </c>
      <c r="C38">
        <f t="shared" si="0"/>
        <v>1.1500169722743401E-4</v>
      </c>
      <c r="D38">
        <f t="shared" si="1"/>
        <v>-1.1500169722743401E-4</v>
      </c>
      <c r="E38">
        <f t="shared" si="2"/>
        <v>1.3225390365190403E-8</v>
      </c>
    </row>
    <row r="39" spans="1:5" x14ac:dyDescent="0.25">
      <c r="A39">
        <v>6.6760755466999999</v>
      </c>
      <c r="B39">
        <v>0</v>
      </c>
      <c r="C39">
        <f t="shared" si="0"/>
        <v>8.3409400668437895E-5</v>
      </c>
      <c r="D39">
        <f t="shared" si="1"/>
        <v>-8.3409400668437895E-5</v>
      </c>
      <c r="E39">
        <f t="shared" si="2"/>
        <v>6.9571281198680083E-9</v>
      </c>
    </row>
    <row r="40" spans="1:5" x14ac:dyDescent="0.25">
      <c r="A40">
        <v>6.8494800608999995</v>
      </c>
      <c r="B40">
        <v>3.6221735796165751E-4</v>
      </c>
      <c r="C40">
        <f t="shared" si="0"/>
        <v>6.0348980113991471E-5</v>
      </c>
      <c r="D40">
        <f t="shared" si="1"/>
        <v>3.0186837784766603E-4</v>
      </c>
      <c r="E40">
        <f t="shared" si="2"/>
        <v>9.1124517544381271E-8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E17-974E-4171-B51E-915B2331D15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8.7187918562499994E-2</v>
      </c>
      <c r="B1">
        <v>0.54648060057718539</v>
      </c>
      <c r="C1">
        <f>$H$3*(1+$H$1)*(A1^($H$1))*EXP(-$H$3*(A1^(1+$H$1)))</f>
        <v>0.55427356054935151</v>
      </c>
      <c r="D1">
        <f>B1-C1</f>
        <v>-7.7929599721661136E-3</v>
      </c>
      <c r="E1">
        <f>D1^2</f>
        <v>6.0730225127783274E-5</v>
      </c>
      <c r="G1" t="s">
        <v>0</v>
      </c>
      <c r="H1">
        <v>0.28882948184079893</v>
      </c>
    </row>
    <row r="2" spans="1:8" x14ac:dyDescent="0.25">
      <c r="A2">
        <v>0.25932632768750002</v>
      </c>
      <c r="B2">
        <v>0.7126896067687758</v>
      </c>
      <c r="C2">
        <f t="shared" ref="C2:C40" si="0">$H$3*(1+$H$1)*(A2^($H$1))*EXP(-$H$3*(A2^(1+$H$1)))</f>
        <v>0.67358050953299442</v>
      </c>
      <c r="D2">
        <f t="shared" ref="D2:D40" si="1">B2-C2</f>
        <v>3.9109097235781376E-2</v>
      </c>
      <c r="E2">
        <f t="shared" ref="E2:E40" si="2">D2^2</f>
        <v>1.5295214865978025E-3</v>
      </c>
    </row>
    <row r="3" spans="1:8" x14ac:dyDescent="0.25">
      <c r="A3">
        <v>0.43146473681249997</v>
      </c>
      <c r="B3">
        <v>0.59798712777062324</v>
      </c>
      <c r="C3">
        <f t="shared" si="0"/>
        <v>0.67339058874955604</v>
      </c>
      <c r="D3">
        <f t="shared" si="1"/>
        <v>-7.5403460978932801E-2</v>
      </c>
      <c r="E3">
        <f t="shared" si="2"/>
        <v>5.6856819276014416E-3</v>
      </c>
      <c r="G3" t="s">
        <v>1</v>
      </c>
      <c r="H3">
        <f>(_xlfn.GAMMA((2+$H$1)/(1+$H$1)))^(1+$H$1)</f>
        <v>0.90466517882634778</v>
      </c>
    </row>
    <row r="4" spans="1:8" x14ac:dyDescent="0.25">
      <c r="A4">
        <v>0.60360314593749997</v>
      </c>
      <c r="B4">
        <v>0.61332949757292399</v>
      </c>
      <c r="C4">
        <f t="shared" si="0"/>
        <v>0.62861415107020846</v>
      </c>
      <c r="D4">
        <f t="shared" si="1"/>
        <v>-1.5284653497284473E-2</v>
      </c>
      <c r="E4">
        <f t="shared" si="2"/>
        <v>2.3362063253205048E-4</v>
      </c>
    </row>
    <row r="5" spans="1:8" x14ac:dyDescent="0.25">
      <c r="A5">
        <v>0.77574155506249998</v>
      </c>
      <c r="B5">
        <v>0.61332949757292399</v>
      </c>
      <c r="C5">
        <f t="shared" si="0"/>
        <v>0.56441989226277522</v>
      </c>
      <c r="D5">
        <f t="shared" si="1"/>
        <v>4.8909605310148763E-2</v>
      </c>
      <c r="E5">
        <f t="shared" si="2"/>
        <v>2.3921494915945321E-3</v>
      </c>
      <c r="G5" t="s">
        <v>2</v>
      </c>
      <c r="H5">
        <f>SUM(E1:E40)</f>
        <v>1.2355774227958033E-2</v>
      </c>
    </row>
    <row r="6" spans="1:8" x14ac:dyDescent="0.25">
      <c r="A6">
        <v>0.94787996418749998</v>
      </c>
      <c r="B6">
        <v>0.51762233356809606</v>
      </c>
      <c r="C6">
        <f t="shared" si="0"/>
        <v>0.49347909972327142</v>
      </c>
      <c r="D6">
        <f t="shared" si="1"/>
        <v>2.4143233844824641E-2</v>
      </c>
      <c r="E6">
        <f t="shared" si="2"/>
        <v>5.8289574048588598E-4</v>
      </c>
    </row>
    <row r="7" spans="1:8" x14ac:dyDescent="0.25">
      <c r="A7">
        <v>1.1200183733125</v>
      </c>
      <c r="B7">
        <v>0.42008869696775614</v>
      </c>
      <c r="C7">
        <f t="shared" si="0"/>
        <v>0.42287442965440353</v>
      </c>
      <c r="D7">
        <f t="shared" si="1"/>
        <v>-2.7857326866473908E-3</v>
      </c>
      <c r="E7">
        <f t="shared" si="2"/>
        <v>7.7603066014556908E-6</v>
      </c>
    </row>
    <row r="8" spans="1:8" x14ac:dyDescent="0.25">
      <c r="A8">
        <v>1.2921567824375</v>
      </c>
      <c r="B8">
        <v>0.34995214930009599</v>
      </c>
      <c r="C8">
        <f t="shared" si="0"/>
        <v>0.35657241837601217</v>
      </c>
      <c r="D8">
        <f t="shared" si="1"/>
        <v>-6.6202690759161742E-3</v>
      </c>
      <c r="E8">
        <f t="shared" si="2"/>
        <v>4.3827962637531996E-5</v>
      </c>
    </row>
    <row r="9" spans="1:8" x14ac:dyDescent="0.25">
      <c r="A9">
        <v>1.4642951915625</v>
      </c>
      <c r="B9">
        <v>0.28639090297627895</v>
      </c>
      <c r="C9">
        <f t="shared" si="0"/>
        <v>0.29663322808291637</v>
      </c>
      <c r="D9">
        <f t="shared" si="1"/>
        <v>-1.0242325106637418E-2</v>
      </c>
      <c r="E9">
        <f t="shared" si="2"/>
        <v>1.0490522359005519E-4</v>
      </c>
    </row>
    <row r="10" spans="1:8" x14ac:dyDescent="0.25">
      <c r="A10">
        <v>1.6364336006875</v>
      </c>
      <c r="B10">
        <v>0.21333199915579962</v>
      </c>
      <c r="C10">
        <f t="shared" si="0"/>
        <v>0.24391434554530295</v>
      </c>
      <c r="D10">
        <f t="shared" si="1"/>
        <v>-3.0582346389503329E-2</v>
      </c>
      <c r="E10">
        <f t="shared" si="2"/>
        <v>9.3527991068756726E-4</v>
      </c>
    </row>
    <row r="11" spans="1:8" x14ac:dyDescent="0.25">
      <c r="A11">
        <v>1.8085720098125</v>
      </c>
      <c r="B11">
        <v>0.18009019791748154</v>
      </c>
      <c r="C11">
        <f t="shared" si="0"/>
        <v>0.19851923414480604</v>
      </c>
      <c r="D11">
        <f t="shared" si="1"/>
        <v>-1.8429036227324502E-2</v>
      </c>
      <c r="E11">
        <f t="shared" si="2"/>
        <v>3.396293762680389E-4</v>
      </c>
    </row>
    <row r="12" spans="1:8" x14ac:dyDescent="0.25">
      <c r="A12">
        <v>1.9807104189375</v>
      </c>
      <c r="B12">
        <v>0.14392604052634428</v>
      </c>
      <c r="C12">
        <f t="shared" si="0"/>
        <v>0.16009589034298741</v>
      </c>
      <c r="D12">
        <f t="shared" si="1"/>
        <v>-1.6169849816643128E-2</v>
      </c>
      <c r="E12">
        <f t="shared" si="2"/>
        <v>2.6146404309279381E-4</v>
      </c>
    </row>
    <row r="13" spans="1:8" x14ac:dyDescent="0.25">
      <c r="A13">
        <v>2.1528488280625</v>
      </c>
      <c r="B13">
        <v>0.130775437838658</v>
      </c>
      <c r="C13">
        <f t="shared" si="0"/>
        <v>0.12803810760831386</v>
      </c>
      <c r="D13">
        <f t="shared" si="1"/>
        <v>2.7373302303441427E-3</v>
      </c>
      <c r="E13">
        <f t="shared" si="2"/>
        <v>7.492976789955917E-6</v>
      </c>
    </row>
    <row r="14" spans="1:8" x14ac:dyDescent="0.25">
      <c r="A14">
        <v>2.3249872371875</v>
      </c>
      <c r="B14">
        <v>9.9360109195851878E-2</v>
      </c>
      <c r="C14">
        <f t="shared" si="0"/>
        <v>0.1016202008670299</v>
      </c>
      <c r="D14">
        <f t="shared" si="1"/>
        <v>-2.2600916711780217E-3</v>
      </c>
      <c r="E14">
        <f t="shared" si="2"/>
        <v>5.1080143621282631E-6</v>
      </c>
    </row>
    <row r="15" spans="1:8" x14ac:dyDescent="0.25">
      <c r="A15">
        <v>2.4971256463125</v>
      </c>
      <c r="B15">
        <v>8.2921855836244035E-2</v>
      </c>
      <c r="C15">
        <f t="shared" si="0"/>
        <v>8.0085090424188127E-2</v>
      </c>
      <c r="D15">
        <f t="shared" si="1"/>
        <v>2.8367654120559083E-3</v>
      </c>
      <c r="E15">
        <f t="shared" si="2"/>
        <v>8.047238003036727E-6</v>
      </c>
    </row>
    <row r="16" spans="1:8" x14ac:dyDescent="0.25">
      <c r="A16">
        <v>2.6692640554375</v>
      </c>
      <c r="B16">
        <v>6.7944780553045772E-2</v>
      </c>
      <c r="C16">
        <f t="shared" si="0"/>
        <v>6.2699509138627346E-2</v>
      </c>
      <c r="D16">
        <f t="shared" si="1"/>
        <v>5.2452714144184259E-3</v>
      </c>
      <c r="E16">
        <f t="shared" si="2"/>
        <v>2.7512872210915075E-5</v>
      </c>
    </row>
    <row r="17" spans="1:5" x14ac:dyDescent="0.25">
      <c r="A17">
        <v>2.8414024645625</v>
      </c>
      <c r="B17">
        <v>5.3698294308052306E-2</v>
      </c>
      <c r="C17">
        <f t="shared" si="0"/>
        <v>4.8786205961503161E-2</v>
      </c>
      <c r="D17">
        <f t="shared" si="1"/>
        <v>4.9120883465491455E-3</v>
      </c>
      <c r="E17">
        <f t="shared" si="2"/>
        <v>2.4128611924303919E-5</v>
      </c>
    </row>
    <row r="18" spans="1:5" x14ac:dyDescent="0.25">
      <c r="A18">
        <v>3.0135408736875</v>
      </c>
      <c r="B18">
        <v>4.1278280658570816E-2</v>
      </c>
      <c r="C18">
        <f t="shared" si="0"/>
        <v>3.774033742234003E-2</v>
      </c>
      <c r="D18">
        <f t="shared" si="1"/>
        <v>3.5379432362307867E-3</v>
      </c>
      <c r="E18">
        <f t="shared" si="2"/>
        <v>1.2517042342791171E-5</v>
      </c>
    </row>
    <row r="19" spans="1:5" x14ac:dyDescent="0.25">
      <c r="A19">
        <v>3.1856792828125</v>
      </c>
      <c r="B19">
        <v>3.1050034123703715E-2</v>
      </c>
      <c r="C19">
        <f t="shared" si="0"/>
        <v>2.9035292618771042E-2</v>
      </c>
      <c r="D19">
        <f t="shared" si="1"/>
        <v>2.0147415049326725E-3</v>
      </c>
      <c r="E19">
        <f t="shared" si="2"/>
        <v>4.05918333169837E-6</v>
      </c>
    </row>
    <row r="20" spans="1:5" x14ac:dyDescent="0.25">
      <c r="A20">
        <v>3.3578176919375</v>
      </c>
      <c r="B20">
        <v>2.8492972489986938E-2</v>
      </c>
      <c r="C20">
        <f t="shared" si="0"/>
        <v>2.2221746992599697E-2</v>
      </c>
      <c r="D20">
        <f t="shared" si="1"/>
        <v>6.2712254973872408E-3</v>
      </c>
      <c r="E20">
        <f t="shared" si="2"/>
        <v>3.9328269239079843E-5</v>
      </c>
    </row>
    <row r="21" spans="1:5" x14ac:dyDescent="0.25">
      <c r="A21">
        <v>3.5299561010625</v>
      </c>
      <c r="B21">
        <v>2.0456493069734211E-2</v>
      </c>
      <c r="C21">
        <f t="shared" si="0"/>
        <v>1.6922649266137745E-2</v>
      </c>
      <c r="D21">
        <f t="shared" si="1"/>
        <v>3.5338438035964655E-3</v>
      </c>
      <c r="E21">
        <f t="shared" si="2"/>
        <v>1.2488052028217134E-5</v>
      </c>
    </row>
    <row r="22" spans="1:5" x14ac:dyDescent="0.25">
      <c r="A22">
        <v>3.7020945101875</v>
      </c>
      <c r="B22">
        <v>1.6438253359607847E-2</v>
      </c>
      <c r="C22">
        <f t="shared" si="0"/>
        <v>1.2826026877085527E-2</v>
      </c>
      <c r="D22">
        <f t="shared" si="1"/>
        <v>3.6122264825223203E-3</v>
      </c>
      <c r="E22">
        <f t="shared" si="2"/>
        <v>1.3048180161035575E-5</v>
      </c>
    </row>
    <row r="23" spans="1:5" x14ac:dyDescent="0.25">
      <c r="A23">
        <v>3.8742329193125</v>
      </c>
      <c r="B23">
        <v>1.3150602687686279E-2</v>
      </c>
      <c r="C23">
        <f t="shared" si="0"/>
        <v>9.6768859806821671E-3</v>
      </c>
      <c r="D23">
        <f t="shared" si="1"/>
        <v>3.4737167070041115E-3</v>
      </c>
      <c r="E23">
        <f t="shared" si="2"/>
        <v>1.2066707760519487E-5</v>
      </c>
    </row>
    <row r="24" spans="1:5" x14ac:dyDescent="0.25">
      <c r="A24">
        <v>4.0463713284375</v>
      </c>
      <c r="B24">
        <v>5.8447123056383464E-3</v>
      </c>
      <c r="C24">
        <f t="shared" si="0"/>
        <v>7.2690353733427379E-3</v>
      </c>
      <c r="D24">
        <f t="shared" si="1"/>
        <v>-1.4243230677043915E-3</v>
      </c>
      <c r="E24">
        <f t="shared" si="2"/>
        <v>2.0286962011948487E-6</v>
      </c>
    </row>
    <row r="25" spans="1:5" x14ac:dyDescent="0.25">
      <c r="A25">
        <v>4.2185097375624991</v>
      </c>
      <c r="B25">
        <v>6.9405958629455361E-3</v>
      </c>
      <c r="C25">
        <f t="shared" si="0"/>
        <v>5.4373423071951525E-3</v>
      </c>
      <c r="D25">
        <f t="shared" si="1"/>
        <v>1.5032535557503836E-3</v>
      </c>
      <c r="E25">
        <f t="shared" si="2"/>
        <v>2.2597712528761716E-6</v>
      </c>
    </row>
    <row r="26" spans="1:5" x14ac:dyDescent="0.25">
      <c r="A26">
        <v>4.3906481466875</v>
      </c>
      <c r="B26">
        <v>2.1917671146143799E-3</v>
      </c>
      <c r="C26">
        <f t="shared" si="0"/>
        <v>4.050702359328002E-3</v>
      </c>
      <c r="D26">
        <f t="shared" si="1"/>
        <v>-1.8589352447136221E-3</v>
      </c>
      <c r="E26">
        <f t="shared" si="2"/>
        <v>3.4556402440384941E-6</v>
      </c>
    </row>
    <row r="27" spans="1:5" x14ac:dyDescent="0.25">
      <c r="A27">
        <v>4.5627865558125</v>
      </c>
      <c r="B27">
        <v>4.7488287483311558E-3</v>
      </c>
      <c r="C27">
        <f t="shared" si="0"/>
        <v>3.0058515341721422E-3</v>
      </c>
      <c r="D27">
        <f t="shared" si="1"/>
        <v>1.7429772141590136E-3</v>
      </c>
      <c r="E27">
        <f t="shared" si="2"/>
        <v>3.0379695690775158E-6</v>
      </c>
    </row>
    <row r="28" spans="1:5" x14ac:dyDescent="0.25">
      <c r="A28">
        <v>4.7349249649375</v>
      </c>
      <c r="B28">
        <v>1.8264725955119833E-3</v>
      </c>
      <c r="C28">
        <f t="shared" si="0"/>
        <v>2.2220478051703037E-3</v>
      </c>
      <c r="D28">
        <f t="shared" si="1"/>
        <v>-3.9557520965832044E-4</v>
      </c>
      <c r="E28">
        <f t="shared" si="2"/>
        <v>1.5647974649622418E-7</v>
      </c>
    </row>
    <row r="29" spans="1:5" x14ac:dyDescent="0.25">
      <c r="A29">
        <v>4.9070633740624992</v>
      </c>
      <c r="B29">
        <v>1.8264725955119833E-3</v>
      </c>
      <c r="C29">
        <f t="shared" si="0"/>
        <v>1.6365866531934858E-3</v>
      </c>
      <c r="D29">
        <f t="shared" si="1"/>
        <v>1.8988594231849742E-4</v>
      </c>
      <c r="E29">
        <f t="shared" si="2"/>
        <v>3.6056671090183731E-8</v>
      </c>
    </row>
    <row r="30" spans="1:5" x14ac:dyDescent="0.25">
      <c r="A30">
        <v>5.0792017831875</v>
      </c>
      <c r="B30">
        <v>1.09588355730719E-3</v>
      </c>
      <c r="C30">
        <f t="shared" si="0"/>
        <v>1.2010795432667958E-3</v>
      </c>
      <c r="D30">
        <f t="shared" si="1"/>
        <v>-1.0519598595960583E-4</v>
      </c>
      <c r="E30">
        <f t="shared" si="2"/>
        <v>1.1066195462013586E-8</v>
      </c>
    </row>
    <row r="31" spans="1:5" x14ac:dyDescent="0.25">
      <c r="A31">
        <v>5.2513401923124992</v>
      </c>
      <c r="B31">
        <v>3.6529451910239665E-4</v>
      </c>
      <c r="C31">
        <f t="shared" si="0"/>
        <v>8.7840717408553136E-4</v>
      </c>
      <c r="D31">
        <f t="shared" si="1"/>
        <v>-5.1311265498313471E-4</v>
      </c>
      <c r="E31">
        <f t="shared" si="2"/>
        <v>2.6328459670384145E-7</v>
      </c>
    </row>
    <row r="32" spans="1:5" x14ac:dyDescent="0.25">
      <c r="A32">
        <v>5.4234786014375</v>
      </c>
      <c r="B32">
        <v>1.4611780764095866E-3</v>
      </c>
      <c r="C32">
        <f t="shared" si="0"/>
        <v>6.4025442707652642E-4</v>
      </c>
      <c r="D32">
        <f t="shared" si="1"/>
        <v>8.2092364933306018E-4</v>
      </c>
      <c r="E32">
        <f t="shared" si="2"/>
        <v>6.7391563803430917E-7</v>
      </c>
    </row>
    <row r="33" spans="1:5" x14ac:dyDescent="0.25">
      <c r="A33">
        <v>5.5956170105625</v>
      </c>
      <c r="B33">
        <v>7.305890382047933E-4</v>
      </c>
      <c r="C33">
        <f t="shared" si="0"/>
        <v>4.6513666429819729E-4</v>
      </c>
      <c r="D33">
        <f t="shared" si="1"/>
        <v>2.6545237390659601E-4</v>
      </c>
      <c r="E33">
        <f t="shared" si="2"/>
        <v>7.0464962812647258E-8</v>
      </c>
    </row>
    <row r="34" spans="1:5" x14ac:dyDescent="0.25">
      <c r="A34">
        <v>5.7677554196875001</v>
      </c>
      <c r="B34">
        <v>0</v>
      </c>
      <c r="C34">
        <f t="shared" si="0"/>
        <v>3.3683415006298954E-4</v>
      </c>
      <c r="D34">
        <f t="shared" si="1"/>
        <v>-3.3683415006298954E-4</v>
      </c>
      <c r="E34">
        <f t="shared" si="2"/>
        <v>1.1345724464865655E-7</v>
      </c>
    </row>
    <row r="35" spans="1:5" x14ac:dyDescent="0.25">
      <c r="A35">
        <v>5.9398938288124992</v>
      </c>
      <c r="B35">
        <v>7.305890382047933E-4</v>
      </c>
      <c r="C35">
        <f t="shared" si="0"/>
        <v>2.4316068695671948E-4</v>
      </c>
      <c r="D35">
        <f t="shared" si="1"/>
        <v>4.8742835124807385E-4</v>
      </c>
      <c r="E35">
        <f t="shared" si="2"/>
        <v>2.3758639760041566E-7</v>
      </c>
    </row>
    <row r="36" spans="1:5" x14ac:dyDescent="0.25">
      <c r="A36">
        <v>6.1120322379375001</v>
      </c>
      <c r="B36">
        <v>3.6529451910239665E-4</v>
      </c>
      <c r="C36">
        <f t="shared" si="0"/>
        <v>1.7500260103412674E-4</v>
      </c>
      <c r="D36">
        <f t="shared" si="1"/>
        <v>1.9029191806826991E-4</v>
      </c>
      <c r="E36">
        <f t="shared" si="2"/>
        <v>3.6211014082101147E-8</v>
      </c>
    </row>
    <row r="37" spans="1:5" x14ac:dyDescent="0.25">
      <c r="A37">
        <v>6.2841706470625001</v>
      </c>
      <c r="B37">
        <v>0</v>
      </c>
      <c r="C37">
        <f t="shared" si="0"/>
        <v>1.2557406510023687E-4</v>
      </c>
      <c r="D37">
        <f t="shared" si="1"/>
        <v>-1.2557406510023687E-4</v>
      </c>
      <c r="E37">
        <f t="shared" si="2"/>
        <v>1.576884582579853E-8</v>
      </c>
    </row>
    <row r="38" spans="1:5" x14ac:dyDescent="0.25">
      <c r="A38">
        <v>6.4563090561875001</v>
      </c>
      <c r="B38">
        <v>0</v>
      </c>
      <c r="C38">
        <f t="shared" si="0"/>
        <v>8.9843878560364E-5</v>
      </c>
      <c r="D38">
        <f t="shared" si="1"/>
        <v>-8.9843878560364E-5</v>
      </c>
      <c r="E38">
        <f t="shared" si="2"/>
        <v>8.0719225147694334E-9</v>
      </c>
    </row>
    <row r="39" spans="1:5" x14ac:dyDescent="0.25">
      <c r="A39">
        <v>6.6284474653124992</v>
      </c>
      <c r="B39">
        <v>0</v>
      </c>
      <c r="C39">
        <f t="shared" si="0"/>
        <v>6.4096955722088591E-5</v>
      </c>
      <c r="D39">
        <f t="shared" si="1"/>
        <v>-6.4096955722088591E-5</v>
      </c>
      <c r="E39">
        <f t="shared" si="2"/>
        <v>4.1084197328393855E-9</v>
      </c>
    </row>
    <row r="40" spans="1:5" x14ac:dyDescent="0.25">
      <c r="A40">
        <v>6.8005858744375001</v>
      </c>
      <c r="B40">
        <v>3.6529451910239665E-4</v>
      </c>
      <c r="C40">
        <f t="shared" si="0"/>
        <v>4.5600813775609036E-5</v>
      </c>
      <c r="D40">
        <f t="shared" si="1"/>
        <v>3.1969370532678761E-4</v>
      </c>
      <c r="E40">
        <f t="shared" si="2"/>
        <v>1.0220406522557091E-7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23D9-0CFF-4B56-B5A8-A634C99C642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8.2021560000000007E-2</v>
      </c>
      <c r="B1">
        <v>0.50507480736188526</v>
      </c>
      <c r="C1">
        <f>$H$3*(1+$H$1)*(A1^($H$1))*EXP(-$H$3*(A1^(1+$H$1)))</f>
        <v>0.50497454693609278</v>
      </c>
      <c r="D1">
        <f>B1-C1</f>
        <v>1.0026042579247552E-4</v>
      </c>
      <c r="E1">
        <f>D1^2</f>
        <v>1.0052152980088489E-8</v>
      </c>
      <c r="G1" t="s">
        <v>0</v>
      </c>
      <c r="H1">
        <v>0.32968835961997539</v>
      </c>
    </row>
    <row r="2" spans="1:8" x14ac:dyDescent="0.25">
      <c r="A2">
        <v>0.24594608000000001</v>
      </c>
      <c r="B2">
        <v>0.6430315074000329</v>
      </c>
      <c r="C2">
        <f t="shared" ref="C2:C40" si="0">$H$3*(1+$H$1)*(A2^($H$1))*EXP(-$H$3*(A2^(1+$H$1)))</f>
        <v>0.65208864247896725</v>
      </c>
      <c r="D2">
        <f t="shared" ref="D2:D40" si="1">B2-C2</f>
        <v>-9.057135078934353E-3</v>
      </c>
      <c r="E2">
        <f t="shared" ref="E2:E40" si="2">D2^2</f>
        <v>8.2031695838063182E-5</v>
      </c>
    </row>
    <row r="3" spans="1:8" x14ac:dyDescent="0.25">
      <c r="A3">
        <v>0.40987059999999997</v>
      </c>
      <c r="B3">
        <v>0.69208277852470768</v>
      </c>
      <c r="C3">
        <f t="shared" si="0"/>
        <v>0.67444365352566915</v>
      </c>
      <c r="D3">
        <f t="shared" si="1"/>
        <v>1.7639124999038525E-2</v>
      </c>
      <c r="E3">
        <f t="shared" si="2"/>
        <v>3.111387307317058E-4</v>
      </c>
      <c r="G3" t="s">
        <v>1</v>
      </c>
      <c r="H3">
        <f>(_xlfn.GAMMA((2+$H$1)/(1+$H$1)))^(1+$H$1)</f>
        <v>0.89444799258393903</v>
      </c>
    </row>
    <row r="4" spans="1:8" x14ac:dyDescent="0.25">
      <c r="A4">
        <v>0.57379511999999999</v>
      </c>
      <c r="B4">
        <v>0.59972843211028104</v>
      </c>
      <c r="C4">
        <f t="shared" si="0"/>
        <v>0.64591752957704796</v>
      </c>
      <c r="D4">
        <f t="shared" si="1"/>
        <v>-4.6189097466766915E-2</v>
      </c>
      <c r="E4">
        <f t="shared" si="2"/>
        <v>2.1334327247944937E-3</v>
      </c>
    </row>
    <row r="5" spans="1:8" x14ac:dyDescent="0.25">
      <c r="A5">
        <v>0.73771964000000001</v>
      </c>
      <c r="B5">
        <v>0.55949106126582127</v>
      </c>
      <c r="C5">
        <f t="shared" si="0"/>
        <v>0.59227822108059047</v>
      </c>
      <c r="D5">
        <f t="shared" si="1"/>
        <v>-3.2787159814769207E-2</v>
      </c>
      <c r="E5">
        <f t="shared" si="2"/>
        <v>1.0749978487192167E-3</v>
      </c>
      <c r="G5" t="s">
        <v>2</v>
      </c>
      <c r="H5">
        <f>SUM(E1:E40)</f>
        <v>6.0767173524017507E-3</v>
      </c>
    </row>
    <row r="6" spans="1:8" x14ac:dyDescent="0.25">
      <c r="A6">
        <v>0.90164416000000003</v>
      </c>
      <c r="B6">
        <v>0.56753853543471322</v>
      </c>
      <c r="C6">
        <f t="shared" si="0"/>
        <v>0.52721430479700548</v>
      </c>
      <c r="D6">
        <f t="shared" si="1"/>
        <v>4.0324230637707736E-2</v>
      </c>
      <c r="E6">
        <f t="shared" si="2"/>
        <v>1.6260435765230474E-3</v>
      </c>
    </row>
    <row r="7" spans="1:8" x14ac:dyDescent="0.25">
      <c r="A7">
        <v>1.0655686799999999</v>
      </c>
      <c r="B7">
        <v>0.47058563235234829</v>
      </c>
      <c r="C7">
        <f t="shared" si="0"/>
        <v>0.45889769103830852</v>
      </c>
      <c r="D7">
        <f t="shared" si="1"/>
        <v>1.1687941314039774E-2</v>
      </c>
      <c r="E7">
        <f t="shared" si="2"/>
        <v>1.3660797216043778E-4</v>
      </c>
    </row>
    <row r="8" spans="1:8" x14ac:dyDescent="0.25">
      <c r="A8">
        <v>1.2294931999999998</v>
      </c>
      <c r="B8">
        <v>0.40199049538893594</v>
      </c>
      <c r="C8">
        <f t="shared" si="0"/>
        <v>0.39230178699056939</v>
      </c>
      <c r="D8">
        <f t="shared" si="1"/>
        <v>9.6887083983665523E-3</v>
      </c>
      <c r="E8">
        <f t="shared" si="2"/>
        <v>9.387107042857856E-5</v>
      </c>
    </row>
    <row r="9" spans="1:8" x14ac:dyDescent="0.25">
      <c r="A9">
        <v>1.39341772</v>
      </c>
      <c r="B9">
        <v>0.3222821798113395</v>
      </c>
      <c r="C9">
        <f t="shared" si="0"/>
        <v>0.33034352252620292</v>
      </c>
      <c r="D9">
        <f t="shared" si="1"/>
        <v>-8.0613427148634176E-3</v>
      </c>
      <c r="E9">
        <f t="shared" si="2"/>
        <v>6.4985246366481498E-5</v>
      </c>
    </row>
    <row r="10" spans="1:8" x14ac:dyDescent="0.25">
      <c r="A10">
        <v>1.5573422400000001</v>
      </c>
      <c r="B10">
        <v>0.27438054785364935</v>
      </c>
      <c r="C10">
        <f t="shared" si="0"/>
        <v>0.27456652176674529</v>
      </c>
      <c r="D10">
        <f t="shared" si="1"/>
        <v>-1.8597391309593814E-4</v>
      </c>
      <c r="E10">
        <f t="shared" si="2"/>
        <v>3.4586296352215547E-8</v>
      </c>
    </row>
    <row r="11" spans="1:8" x14ac:dyDescent="0.25">
      <c r="A11">
        <v>1.7212667600000002</v>
      </c>
      <c r="B11">
        <v>0.21230003283648285</v>
      </c>
      <c r="C11">
        <f t="shared" si="0"/>
        <v>0.22559540888739338</v>
      </c>
      <c r="D11">
        <f t="shared" si="1"/>
        <v>-1.3295376050910523E-2</v>
      </c>
      <c r="E11">
        <f t="shared" si="2"/>
        <v>1.767670243351251E-4</v>
      </c>
    </row>
    <row r="12" spans="1:8" x14ac:dyDescent="0.25">
      <c r="A12">
        <v>1.8851912800000001</v>
      </c>
      <c r="B12">
        <v>0.17091302282503856</v>
      </c>
      <c r="C12">
        <f t="shared" si="0"/>
        <v>0.18345348906990039</v>
      </c>
      <c r="D12">
        <f t="shared" si="1"/>
        <v>-1.2540466244861825E-2</v>
      </c>
      <c r="E12">
        <f t="shared" si="2"/>
        <v>1.5726329363851884E-4</v>
      </c>
    </row>
    <row r="13" spans="1:8" x14ac:dyDescent="0.25">
      <c r="A13">
        <v>2.0491158</v>
      </c>
      <c r="B13">
        <v>0.13872312614947074</v>
      </c>
      <c r="C13">
        <f t="shared" si="0"/>
        <v>0.14778870749779888</v>
      </c>
      <c r="D13">
        <f t="shared" si="1"/>
        <v>-9.0655813483281333E-3</v>
      </c>
      <c r="E13">
        <f t="shared" si="2"/>
        <v>8.2184765183154941E-5</v>
      </c>
    </row>
    <row r="14" spans="1:8" x14ac:dyDescent="0.25">
      <c r="A14">
        <v>2.2130403200000002</v>
      </c>
      <c r="B14">
        <v>0.11189821225316425</v>
      </c>
      <c r="C14">
        <f t="shared" si="0"/>
        <v>0.11803384933885207</v>
      </c>
      <c r="D14">
        <f t="shared" si="1"/>
        <v>-6.1356370856878173E-3</v>
      </c>
      <c r="E14">
        <f t="shared" si="2"/>
        <v>3.7646042447267691E-5</v>
      </c>
    </row>
    <row r="15" spans="1:8" x14ac:dyDescent="0.25">
      <c r="A15">
        <v>2.3769648399999999</v>
      </c>
      <c r="B15">
        <v>9.0438281136119056E-2</v>
      </c>
      <c r="C15">
        <f t="shared" si="0"/>
        <v>9.3518167462839072E-2</v>
      </c>
      <c r="D15">
        <f t="shared" si="1"/>
        <v>-3.0798863267200161E-3</v>
      </c>
      <c r="E15">
        <f t="shared" si="2"/>
        <v>9.4856997855169138E-6</v>
      </c>
    </row>
    <row r="16" spans="1:8" x14ac:dyDescent="0.25">
      <c r="A16">
        <v>2.54088936</v>
      </c>
      <c r="B16">
        <v>7.5109758909658195E-2</v>
      </c>
      <c r="C16">
        <f t="shared" si="0"/>
        <v>7.3542867382255059E-2</v>
      </c>
      <c r="D16">
        <f t="shared" si="1"/>
        <v>1.5668915274031359E-3</v>
      </c>
      <c r="E16">
        <f t="shared" si="2"/>
        <v>2.4551490586477319E-6</v>
      </c>
    </row>
    <row r="17" spans="1:5" x14ac:dyDescent="0.25">
      <c r="A17">
        <v>2.7048138799999997</v>
      </c>
      <c r="B17">
        <v>6.2080515017166465E-2</v>
      </c>
      <c r="C17">
        <f t="shared" si="0"/>
        <v>5.7429872012973164E-2</v>
      </c>
      <c r="D17">
        <f t="shared" si="1"/>
        <v>4.6506430041933014E-3</v>
      </c>
      <c r="E17">
        <f t="shared" si="2"/>
        <v>2.1628480352452097E-5</v>
      </c>
    </row>
    <row r="18" spans="1:5" x14ac:dyDescent="0.25">
      <c r="A18">
        <v>2.8687383999999998</v>
      </c>
      <c r="B18">
        <v>4.6751992790705611E-2</v>
      </c>
      <c r="C18">
        <f t="shared" si="0"/>
        <v>4.4551141902507432E-2</v>
      </c>
      <c r="D18">
        <f t="shared" si="1"/>
        <v>2.2008508881981789E-3</v>
      </c>
      <c r="E18">
        <f t="shared" si="2"/>
        <v>4.8437446320827128E-6</v>
      </c>
    </row>
    <row r="19" spans="1:5" x14ac:dyDescent="0.25">
      <c r="A19">
        <v>3.0326629199999999</v>
      </c>
      <c r="B19">
        <v>3.717166639916758E-2</v>
      </c>
      <c r="C19">
        <f t="shared" si="0"/>
        <v>3.4344173273449477E-2</v>
      </c>
      <c r="D19">
        <f t="shared" si="1"/>
        <v>2.827493125718103E-3</v>
      </c>
      <c r="E19">
        <f t="shared" si="2"/>
        <v>7.9947173759831273E-6</v>
      </c>
    </row>
    <row r="20" spans="1:5" x14ac:dyDescent="0.25">
      <c r="A20">
        <v>3.1965874400000001</v>
      </c>
      <c r="B20">
        <v>2.7591340007629542E-2</v>
      </c>
      <c r="C20">
        <f t="shared" si="0"/>
        <v>2.6317976997347628E-2</v>
      </c>
      <c r="D20">
        <f t="shared" si="1"/>
        <v>1.2733630102819138E-3</v>
      </c>
      <c r="E20">
        <f t="shared" si="2"/>
        <v>1.6214533559542173E-6</v>
      </c>
    </row>
    <row r="21" spans="1:5" x14ac:dyDescent="0.25">
      <c r="A21">
        <v>3.3605119600000002</v>
      </c>
      <c r="B21">
        <v>2.1459931117045198E-2</v>
      </c>
      <c r="C21">
        <f t="shared" si="0"/>
        <v>2.0052779049959092E-2</v>
      </c>
      <c r="D21">
        <f t="shared" si="1"/>
        <v>1.4071520670861058E-3</v>
      </c>
      <c r="E21">
        <f t="shared" si="2"/>
        <v>1.9800769399047004E-6</v>
      </c>
    </row>
    <row r="22" spans="1:5" x14ac:dyDescent="0.25">
      <c r="A22">
        <v>3.5244364800000003</v>
      </c>
      <c r="B22">
        <v>1.9927078894399115E-2</v>
      </c>
      <c r="C22">
        <f t="shared" si="0"/>
        <v>1.5195831867962639E-2</v>
      </c>
      <c r="D22">
        <f t="shared" si="1"/>
        <v>4.7312470264364755E-3</v>
      </c>
      <c r="E22">
        <f t="shared" si="2"/>
        <v>2.2384698425163991E-5</v>
      </c>
    </row>
    <row r="23" spans="1:5" x14ac:dyDescent="0.25">
      <c r="A23">
        <v>3.688361</v>
      </c>
      <c r="B23">
        <v>1.6094948337783899E-2</v>
      </c>
      <c r="C23">
        <f t="shared" si="0"/>
        <v>1.1455053424134878E-2</v>
      </c>
      <c r="D23">
        <f t="shared" si="1"/>
        <v>4.6398949136490213E-3</v>
      </c>
      <c r="E23">
        <f t="shared" si="2"/>
        <v>2.152862480970606E-5</v>
      </c>
    </row>
    <row r="24" spans="1:5" x14ac:dyDescent="0.25">
      <c r="A24">
        <v>3.8522855199999997</v>
      </c>
      <c r="B24">
        <v>7.2810480575689071E-3</v>
      </c>
      <c r="C24">
        <f t="shared" si="0"/>
        <v>8.5916888186918488E-3</v>
      </c>
      <c r="D24">
        <f t="shared" si="1"/>
        <v>-1.3106407611229417E-3</v>
      </c>
      <c r="E24">
        <f t="shared" si="2"/>
        <v>1.7177792047169239E-6</v>
      </c>
    </row>
    <row r="25" spans="1:5" x14ac:dyDescent="0.25">
      <c r="A25">
        <v>4.0162100399999998</v>
      </c>
      <c r="B25">
        <v>7.664261113230428E-3</v>
      </c>
      <c r="C25">
        <f t="shared" si="0"/>
        <v>6.4127924682591013E-3</v>
      </c>
      <c r="D25">
        <f t="shared" si="1"/>
        <v>1.2514686449713267E-3</v>
      </c>
      <c r="E25">
        <f t="shared" si="2"/>
        <v>1.5661737693463687E-6</v>
      </c>
    </row>
    <row r="26" spans="1:5" x14ac:dyDescent="0.25">
      <c r="A26">
        <v>4.1801345600000008</v>
      </c>
      <c r="B26">
        <v>4.2153436122767353E-3</v>
      </c>
      <c r="C26">
        <f t="shared" si="0"/>
        <v>4.7640345518378492E-3</v>
      </c>
      <c r="D26">
        <f t="shared" si="1"/>
        <v>-5.4869093956111392E-4</v>
      </c>
      <c r="E26">
        <f t="shared" si="2"/>
        <v>3.0106174715645795E-7</v>
      </c>
    </row>
    <row r="27" spans="1:5" x14ac:dyDescent="0.25">
      <c r="A27">
        <v>4.344059080000001</v>
      </c>
      <c r="B27">
        <v>3.4489175009536927E-3</v>
      </c>
      <c r="C27">
        <f t="shared" si="0"/>
        <v>3.5231226867216583E-3</v>
      </c>
      <c r="D27">
        <f t="shared" si="1"/>
        <v>-7.4205185767965611E-5</v>
      </c>
      <c r="E27">
        <f t="shared" si="2"/>
        <v>5.5064095948582864E-9</v>
      </c>
    </row>
    <row r="28" spans="1:5" x14ac:dyDescent="0.25">
      <c r="A28">
        <v>4.5079836000000011</v>
      </c>
      <c r="B28">
        <v>3.0657044452921715E-3</v>
      </c>
      <c r="C28">
        <f t="shared" si="0"/>
        <v>2.5939809658694739E-3</v>
      </c>
      <c r="D28">
        <f t="shared" si="1"/>
        <v>4.7172347942269757E-4</v>
      </c>
      <c r="E28">
        <f t="shared" si="2"/>
        <v>2.2252304103865618E-7</v>
      </c>
    </row>
    <row r="29" spans="1:5" x14ac:dyDescent="0.25">
      <c r="A29">
        <v>4.6719081200000003</v>
      </c>
      <c r="B29">
        <v>1.916065278307607E-3</v>
      </c>
      <c r="C29">
        <f t="shared" si="0"/>
        <v>1.9017283496297183E-3</v>
      </c>
      <c r="D29">
        <f t="shared" si="1"/>
        <v>1.4336928677888706E-5</v>
      </c>
      <c r="E29">
        <f t="shared" si="2"/>
        <v>2.055475239148676E-10</v>
      </c>
    </row>
    <row r="30" spans="1:5" x14ac:dyDescent="0.25">
      <c r="A30">
        <v>4.8358326399999996</v>
      </c>
      <c r="B30">
        <v>1.1496391669845642E-3</v>
      </c>
      <c r="C30">
        <f t="shared" si="0"/>
        <v>1.3884344960442534E-3</v>
      </c>
      <c r="D30">
        <f t="shared" si="1"/>
        <v>-2.387953290596892E-4</v>
      </c>
      <c r="E30">
        <f t="shared" si="2"/>
        <v>5.7023209180725243E-8</v>
      </c>
    </row>
    <row r="31" spans="1:5" x14ac:dyDescent="0.25">
      <c r="A31">
        <v>4.9997571599999997</v>
      </c>
      <c r="B31">
        <v>7.6642611132304286E-4</v>
      </c>
      <c r="C31">
        <f t="shared" si="0"/>
        <v>1.0095934253213283E-3</v>
      </c>
      <c r="D31">
        <f t="shared" si="1"/>
        <v>-2.4316731399828546E-4</v>
      </c>
      <c r="E31">
        <f t="shared" si="2"/>
        <v>5.9130342597140755E-8</v>
      </c>
    </row>
    <row r="32" spans="1:5" x14ac:dyDescent="0.25">
      <c r="A32">
        <v>5.1636816799999998</v>
      </c>
      <c r="B32">
        <v>1.916065278307607E-3</v>
      </c>
      <c r="C32">
        <f t="shared" si="0"/>
        <v>7.3123611291597281E-4</v>
      </c>
      <c r="D32">
        <f t="shared" si="1"/>
        <v>1.1848291653916341E-3</v>
      </c>
      <c r="E32">
        <f t="shared" si="2"/>
        <v>1.4038201511626362E-6</v>
      </c>
    </row>
    <row r="33" spans="1:5" x14ac:dyDescent="0.25">
      <c r="A33">
        <v>5.3276062</v>
      </c>
      <c r="B33">
        <v>3.8321305566152143E-4</v>
      </c>
      <c r="C33">
        <f t="shared" si="0"/>
        <v>5.2759621560543831E-4</v>
      </c>
      <c r="D33">
        <f t="shared" si="1"/>
        <v>-1.4438315994391688E-4</v>
      </c>
      <c r="E33">
        <f t="shared" si="2"/>
        <v>2.0846496875390683E-8</v>
      </c>
    </row>
    <row r="34" spans="1:5" x14ac:dyDescent="0.25">
      <c r="A34">
        <v>5.4915307199999992</v>
      </c>
      <c r="B34">
        <v>3.8321305566152143E-4</v>
      </c>
      <c r="C34">
        <f t="shared" si="0"/>
        <v>3.7924421247739542E-4</v>
      </c>
      <c r="D34">
        <f t="shared" si="1"/>
        <v>3.9688431841260088E-6</v>
      </c>
      <c r="E34">
        <f t="shared" si="2"/>
        <v>1.5751716220183478E-11</v>
      </c>
    </row>
    <row r="35" spans="1:5" x14ac:dyDescent="0.25">
      <c r="A35">
        <v>5.6554552399999993</v>
      </c>
      <c r="B35">
        <v>7.6642611132304286E-4</v>
      </c>
      <c r="C35">
        <f t="shared" si="0"/>
        <v>2.7161107449879466E-4</v>
      </c>
      <c r="D35">
        <f t="shared" si="1"/>
        <v>4.948150368242482E-4</v>
      </c>
      <c r="E35">
        <f t="shared" si="2"/>
        <v>2.4484192066738212E-7</v>
      </c>
    </row>
    <row r="36" spans="1:5" x14ac:dyDescent="0.25">
      <c r="A36">
        <v>5.8193797600000003</v>
      </c>
      <c r="B36">
        <v>3.8321305566152143E-4</v>
      </c>
      <c r="C36">
        <f t="shared" si="0"/>
        <v>1.938309101016082E-4</v>
      </c>
      <c r="D36">
        <f t="shared" si="1"/>
        <v>1.8938214555991323E-4</v>
      </c>
      <c r="E36">
        <f t="shared" si="2"/>
        <v>3.5865597056876164E-8</v>
      </c>
    </row>
    <row r="37" spans="1:5" x14ac:dyDescent="0.25">
      <c r="A37">
        <v>5.9833042800000005</v>
      </c>
      <c r="B37">
        <v>0</v>
      </c>
      <c r="C37">
        <f t="shared" si="0"/>
        <v>1.3784134951944766E-4</v>
      </c>
      <c r="D37">
        <f t="shared" si="1"/>
        <v>-1.3784134951944766E-4</v>
      </c>
      <c r="E37">
        <f t="shared" si="2"/>
        <v>1.9000237637342534E-8</v>
      </c>
    </row>
    <row r="38" spans="1:5" x14ac:dyDescent="0.25">
      <c r="A38">
        <v>6.1472288000000006</v>
      </c>
      <c r="B38">
        <v>0</v>
      </c>
      <c r="C38">
        <f t="shared" si="0"/>
        <v>9.7689749529091577E-5</v>
      </c>
      <c r="D38">
        <f t="shared" si="1"/>
        <v>-9.7689749529091577E-5</v>
      </c>
      <c r="E38">
        <f t="shared" si="2"/>
        <v>9.5432871630566485E-9</v>
      </c>
    </row>
    <row r="39" spans="1:5" x14ac:dyDescent="0.25">
      <c r="A39">
        <v>6.3111533199999998</v>
      </c>
      <c r="B39">
        <v>0</v>
      </c>
      <c r="C39">
        <f t="shared" si="0"/>
        <v>6.9002036159187475E-5</v>
      </c>
      <c r="D39">
        <f t="shared" si="1"/>
        <v>-6.9002036159187475E-5</v>
      </c>
      <c r="E39">
        <f t="shared" si="2"/>
        <v>4.7612809941138157E-9</v>
      </c>
    </row>
    <row r="40" spans="1:5" x14ac:dyDescent="0.25">
      <c r="A40">
        <v>6.47507784</v>
      </c>
      <c r="B40">
        <v>3.8321305566152143E-4</v>
      </c>
      <c r="C40">
        <f t="shared" si="0"/>
        <v>4.8578842695575058E-5</v>
      </c>
      <c r="D40">
        <f t="shared" si="1"/>
        <v>3.3463421296594636E-4</v>
      </c>
      <c r="E40">
        <f t="shared" si="2"/>
        <v>1.1198005648733835E-7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8968-5771-435F-8296-500FFCFDE1B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7.9187978662499992E-2</v>
      </c>
      <c r="B1">
        <v>0.42973798951942299</v>
      </c>
      <c r="C1">
        <f>$H$3*(1+$H$1)*(A1^($H$1))*EXP(-$H$3*(A1^(1+$H$1)))</f>
        <v>0.45534042125108037</v>
      </c>
      <c r="D1">
        <f>B1-C1</f>
        <v>-2.5602431731657382E-2</v>
      </c>
      <c r="E1">
        <f>D1^2</f>
        <v>6.5548451057417681E-4</v>
      </c>
      <c r="G1" t="s">
        <v>0</v>
      </c>
      <c r="H1">
        <v>0.37682702137284646</v>
      </c>
    </row>
    <row r="2" spans="1:8" x14ac:dyDescent="0.25">
      <c r="A2">
        <v>0.2374315359875</v>
      </c>
      <c r="B2">
        <v>0.65374189533176552</v>
      </c>
      <c r="C2">
        <f t="shared" ref="C2:C40" si="0">$H$3*(1+$H$1)*(A2^($H$1))*EXP(-$H$3*(A2^(1+$H$1)))</f>
        <v>0.62623101116246516</v>
      </c>
      <c r="D2">
        <f t="shared" ref="D2:D40" si="1">B2-C2</f>
        <v>2.7510884169300365E-2</v>
      </c>
      <c r="E2">
        <f t="shared" ref="E2:E40" si="2">D2^2</f>
        <v>7.5684874777666141E-4</v>
      </c>
    </row>
    <row r="3" spans="1:8" x14ac:dyDescent="0.25">
      <c r="A3">
        <v>0.39567509331249995</v>
      </c>
      <c r="B3">
        <v>0.68511832894732405</v>
      </c>
      <c r="C3">
        <f t="shared" si="0"/>
        <v>0.67028822343871242</v>
      </c>
      <c r="D3">
        <f t="shared" si="1"/>
        <v>1.4830105508611635E-2</v>
      </c>
      <c r="E3">
        <f t="shared" si="2"/>
        <v>2.1993202939655317E-4</v>
      </c>
      <c r="G3" t="s">
        <v>1</v>
      </c>
      <c r="H3">
        <f>(_xlfn.GAMMA((2+$H$1)/(1+$H$1)))^(1+$H$1)</f>
        <v>0.88339630405275893</v>
      </c>
    </row>
    <row r="4" spans="1:8" x14ac:dyDescent="0.25">
      <c r="A4">
        <v>0.55391865063750001</v>
      </c>
      <c r="B4">
        <v>0.6410324538672354</v>
      </c>
      <c r="C4">
        <f t="shared" si="0"/>
        <v>0.65804635073037387</v>
      </c>
      <c r="D4">
        <f t="shared" si="1"/>
        <v>-1.7013896863138478E-2</v>
      </c>
      <c r="E4">
        <f t="shared" si="2"/>
        <v>2.8947268646951332E-4</v>
      </c>
    </row>
    <row r="5" spans="1:8" x14ac:dyDescent="0.25">
      <c r="A5">
        <v>0.71216220796249996</v>
      </c>
      <c r="B5">
        <v>0.56874750553772058</v>
      </c>
      <c r="C5">
        <f t="shared" si="0"/>
        <v>0.61526886962630833</v>
      </c>
      <c r="D5">
        <f t="shared" si="1"/>
        <v>-4.6521364088587758E-2</v>
      </c>
      <c r="E5">
        <f t="shared" si="2"/>
        <v>2.1642373166629427E-3</v>
      </c>
      <c r="G5" t="s">
        <v>2</v>
      </c>
      <c r="H5">
        <f>SUM(E1:E40)</f>
        <v>6.8875317276392021E-3</v>
      </c>
    </row>
    <row r="6" spans="1:8" x14ac:dyDescent="0.25">
      <c r="A6">
        <v>0.87040576528749991</v>
      </c>
      <c r="B6">
        <v>0.52783899082376451</v>
      </c>
      <c r="C6">
        <f t="shared" si="0"/>
        <v>0.55641943440250907</v>
      </c>
      <c r="D6">
        <f t="shared" si="1"/>
        <v>-2.8580443578744563E-2</v>
      </c>
      <c r="E6">
        <f t="shared" si="2"/>
        <v>8.1684175515780132E-4</v>
      </c>
    </row>
    <row r="7" spans="1:8" x14ac:dyDescent="0.25">
      <c r="A7">
        <v>1.0286493226125</v>
      </c>
      <c r="B7">
        <v>0.51870407977113353</v>
      </c>
      <c r="C7">
        <f t="shared" si="0"/>
        <v>0.49066940399326547</v>
      </c>
      <c r="D7">
        <f t="shared" si="1"/>
        <v>2.8034675777868057E-2</v>
      </c>
      <c r="E7">
        <f t="shared" si="2"/>
        <v>7.8594304597018197E-4</v>
      </c>
    </row>
    <row r="8" spans="1:8" x14ac:dyDescent="0.25">
      <c r="A8">
        <v>1.1868928799375</v>
      </c>
      <c r="B8">
        <v>0.4440361111670193</v>
      </c>
      <c r="C8">
        <f t="shared" si="0"/>
        <v>0.42398340293025744</v>
      </c>
      <c r="D8">
        <f t="shared" si="1"/>
        <v>2.0052708236761863E-2</v>
      </c>
      <c r="E8">
        <f t="shared" si="2"/>
        <v>4.0211110762869705E-4</v>
      </c>
    </row>
    <row r="9" spans="1:8" x14ac:dyDescent="0.25">
      <c r="A9">
        <v>1.3451364372625001</v>
      </c>
      <c r="B9">
        <v>0.3701624826544383</v>
      </c>
      <c r="C9">
        <f t="shared" si="0"/>
        <v>0.36015306077228809</v>
      </c>
      <c r="D9">
        <f t="shared" si="1"/>
        <v>1.0009421882150205E-2</v>
      </c>
      <c r="E9">
        <f t="shared" si="2"/>
        <v>1.0018852641486734E-4</v>
      </c>
    </row>
    <row r="10" spans="1:8" x14ac:dyDescent="0.25">
      <c r="A10">
        <v>1.5033799945874999</v>
      </c>
      <c r="B10">
        <v>0.30939546565215387</v>
      </c>
      <c r="C10">
        <f t="shared" si="0"/>
        <v>0.30143680991927208</v>
      </c>
      <c r="D10">
        <f t="shared" si="1"/>
        <v>7.958655732881792E-3</v>
      </c>
      <c r="E10">
        <f t="shared" si="2"/>
        <v>6.3340201074532214E-5</v>
      </c>
    </row>
    <row r="11" spans="1:8" x14ac:dyDescent="0.25">
      <c r="A11">
        <v>1.6616235519125002</v>
      </c>
      <c r="B11">
        <v>0.23790485741417225</v>
      </c>
      <c r="C11">
        <f t="shared" si="0"/>
        <v>0.24900752679242527</v>
      </c>
      <c r="D11">
        <f t="shared" si="1"/>
        <v>-1.1102669378253022E-2</v>
      </c>
      <c r="E11">
        <f t="shared" si="2"/>
        <v>1.2326926732279735E-4</v>
      </c>
    </row>
    <row r="12" spans="1:8" x14ac:dyDescent="0.25">
      <c r="A12">
        <v>1.8198671092375001</v>
      </c>
      <c r="B12">
        <v>0.19183313210525074</v>
      </c>
      <c r="C12">
        <f t="shared" si="0"/>
        <v>0.20328368411790168</v>
      </c>
      <c r="D12">
        <f t="shared" si="1"/>
        <v>-1.1450552012650939E-2</v>
      </c>
      <c r="E12">
        <f t="shared" si="2"/>
        <v>1.3111514139442447E-4</v>
      </c>
    </row>
    <row r="13" spans="1:8" x14ac:dyDescent="0.25">
      <c r="A13">
        <v>1.9781106665625001</v>
      </c>
      <c r="B13">
        <v>0.15410197775742709</v>
      </c>
      <c r="C13">
        <f t="shared" si="0"/>
        <v>0.16417846034419883</v>
      </c>
      <c r="D13">
        <f t="shared" si="1"/>
        <v>-1.007648258677174E-2</v>
      </c>
      <c r="E13">
        <f t="shared" si="2"/>
        <v>1.015355013215141E-4</v>
      </c>
    </row>
    <row r="14" spans="1:8" x14ac:dyDescent="0.25">
      <c r="A14">
        <v>2.1363542238875004</v>
      </c>
      <c r="B14">
        <v>0.13027177501143322</v>
      </c>
      <c r="C14">
        <f t="shared" si="0"/>
        <v>0.13128618861568259</v>
      </c>
      <c r="D14">
        <f t="shared" si="1"/>
        <v>-1.0144136042493646E-3</v>
      </c>
      <c r="E14">
        <f t="shared" si="2"/>
        <v>1.0290349604861863E-6</v>
      </c>
    </row>
    <row r="15" spans="1:8" x14ac:dyDescent="0.25">
      <c r="A15">
        <v>2.2945977812124996</v>
      </c>
      <c r="B15">
        <v>9.3334960755142707E-2</v>
      </c>
      <c r="C15">
        <f t="shared" si="0"/>
        <v>0.10401939143873735</v>
      </c>
      <c r="D15">
        <f t="shared" si="1"/>
        <v>-1.0684430683594648E-2</v>
      </c>
      <c r="E15">
        <f t="shared" si="2"/>
        <v>1.141570590325388E-4</v>
      </c>
    </row>
    <row r="16" spans="1:8" x14ac:dyDescent="0.25">
      <c r="A16">
        <v>2.4528413385374996</v>
      </c>
      <c r="B16">
        <v>7.9831179199079505E-2</v>
      </c>
      <c r="C16">
        <f t="shared" si="0"/>
        <v>8.1706702969505968E-2</v>
      </c>
      <c r="D16">
        <f t="shared" si="1"/>
        <v>-1.8755237704264627E-3</v>
      </c>
      <c r="E16">
        <f t="shared" si="2"/>
        <v>3.5175894134346948E-6</v>
      </c>
    </row>
    <row r="17" spans="1:5" x14ac:dyDescent="0.25">
      <c r="A17">
        <v>2.6110848958624997</v>
      </c>
      <c r="B17">
        <v>7.1490608237981645E-2</v>
      </c>
      <c r="C17">
        <f t="shared" si="0"/>
        <v>6.3660186917677483E-2</v>
      </c>
      <c r="D17">
        <f t="shared" si="1"/>
        <v>7.8304213203041623E-3</v>
      </c>
      <c r="E17">
        <f t="shared" si="2"/>
        <v>6.1315498053473983E-5</v>
      </c>
    </row>
    <row r="18" spans="1:5" x14ac:dyDescent="0.25">
      <c r="A18">
        <v>2.7693284531874998</v>
      </c>
      <c r="B18">
        <v>4.7660405491987759E-2</v>
      </c>
      <c r="C18">
        <f t="shared" si="0"/>
        <v>4.9219181693997804E-2</v>
      </c>
      <c r="D18">
        <f t="shared" si="1"/>
        <v>-1.5587762020100454E-3</v>
      </c>
      <c r="E18">
        <f t="shared" si="2"/>
        <v>2.429783247952862E-6</v>
      </c>
    </row>
    <row r="19" spans="1:5" x14ac:dyDescent="0.25">
      <c r="A19">
        <v>2.9275720105124998</v>
      </c>
      <c r="B19">
        <v>3.3362283844391431E-2</v>
      </c>
      <c r="C19">
        <f t="shared" si="0"/>
        <v>3.7776601321637453E-2</v>
      </c>
      <c r="D19">
        <f t="shared" si="1"/>
        <v>-4.4143174772460214E-3</v>
      </c>
      <c r="E19">
        <f t="shared" si="2"/>
        <v>1.9486198789919678E-5</v>
      </c>
    </row>
    <row r="20" spans="1:5" x14ac:dyDescent="0.25">
      <c r="A20">
        <v>3.0858155678374999</v>
      </c>
      <c r="B20">
        <v>3.2170773707091739E-2</v>
      </c>
      <c r="C20">
        <f t="shared" si="0"/>
        <v>2.8792527755219885E-2</v>
      </c>
      <c r="D20">
        <f t="shared" si="1"/>
        <v>3.3782459518718541E-3</v>
      </c>
      <c r="E20">
        <f t="shared" si="2"/>
        <v>1.141254571133857E-5</v>
      </c>
    </row>
    <row r="21" spans="1:5" x14ac:dyDescent="0.25">
      <c r="A21">
        <v>3.2440591251624999</v>
      </c>
      <c r="B21">
        <v>2.7404733157892963E-2</v>
      </c>
      <c r="C21">
        <f t="shared" si="0"/>
        <v>2.1798945426623084E-2</v>
      </c>
      <c r="D21">
        <f t="shared" si="1"/>
        <v>5.6057877312698789E-3</v>
      </c>
      <c r="E21">
        <f t="shared" si="2"/>
        <v>3.1424856088055896E-5</v>
      </c>
    </row>
    <row r="22" spans="1:5" x14ac:dyDescent="0.25">
      <c r="A22">
        <v>3.4023026824875</v>
      </c>
      <c r="B22">
        <v>2.1050012425627929E-2</v>
      </c>
      <c r="C22">
        <f t="shared" si="0"/>
        <v>1.6398603540181664E-2</v>
      </c>
      <c r="D22">
        <f t="shared" si="1"/>
        <v>4.6514088854462642E-3</v>
      </c>
      <c r="E22">
        <f t="shared" si="2"/>
        <v>2.1635604619608458E-5</v>
      </c>
    </row>
    <row r="23" spans="1:5" x14ac:dyDescent="0.25">
      <c r="A23">
        <v>3.5605462398125001</v>
      </c>
      <c r="B23">
        <v>1.4695291693362894E-2</v>
      </c>
      <c r="C23">
        <f t="shared" si="0"/>
        <v>1.226025397182879E-2</v>
      </c>
      <c r="D23">
        <f t="shared" si="1"/>
        <v>2.4350377215341043E-3</v>
      </c>
      <c r="E23">
        <f t="shared" si="2"/>
        <v>5.9294087052940018E-6</v>
      </c>
    </row>
    <row r="24" spans="1:5" x14ac:dyDescent="0.25">
      <c r="A24">
        <v>3.7187897971374997</v>
      </c>
      <c r="B24">
        <v>9.9292511441641165E-3</v>
      </c>
      <c r="C24">
        <f t="shared" si="0"/>
        <v>9.1119028417393395E-3</v>
      </c>
      <c r="D24">
        <f t="shared" si="1"/>
        <v>8.1734830242477692E-4</v>
      </c>
      <c r="E24">
        <f t="shared" si="2"/>
        <v>6.6805824747666457E-7</v>
      </c>
    </row>
    <row r="25" spans="1:5" x14ac:dyDescent="0.25">
      <c r="A25">
        <v>3.8770333544625002</v>
      </c>
      <c r="B25">
        <v>5.9575506864984699E-3</v>
      </c>
      <c r="C25">
        <f t="shared" si="0"/>
        <v>6.7332248555788919E-3</v>
      </c>
      <c r="D25">
        <f t="shared" si="1"/>
        <v>-7.7567416908042204E-4</v>
      </c>
      <c r="E25">
        <f t="shared" si="2"/>
        <v>6.0167041657860316E-7</v>
      </c>
    </row>
    <row r="26" spans="1:5" x14ac:dyDescent="0.25">
      <c r="A26">
        <v>4.0352769117875003</v>
      </c>
      <c r="B26">
        <v>4.7660405491987759E-3</v>
      </c>
      <c r="C26">
        <f t="shared" si="0"/>
        <v>4.9479091062084608E-3</v>
      </c>
      <c r="D26">
        <f t="shared" si="1"/>
        <v>-1.8186855700968486E-4</v>
      </c>
      <c r="E26">
        <f t="shared" si="2"/>
        <v>3.3076172028784992E-8</v>
      </c>
    </row>
    <row r="27" spans="1:5" x14ac:dyDescent="0.25">
      <c r="A27">
        <v>4.1935204691125012</v>
      </c>
      <c r="B27">
        <v>4.3688705034322112E-3</v>
      </c>
      <c r="C27">
        <f t="shared" si="0"/>
        <v>3.6164181393802796E-3</v>
      </c>
      <c r="D27">
        <f t="shared" si="1"/>
        <v>7.5245236405193164E-4</v>
      </c>
      <c r="E27">
        <f t="shared" si="2"/>
        <v>5.6618456016734065E-7</v>
      </c>
    </row>
    <row r="28" spans="1:5" x14ac:dyDescent="0.25">
      <c r="A28">
        <v>4.3517640264375004</v>
      </c>
      <c r="B28">
        <v>2.3830202745993879E-3</v>
      </c>
      <c r="C28">
        <f t="shared" si="0"/>
        <v>2.6294328050676936E-3</v>
      </c>
      <c r="D28">
        <f t="shared" si="1"/>
        <v>-2.4641253046830567E-4</v>
      </c>
      <c r="E28">
        <f t="shared" si="2"/>
        <v>6.0719135171793676E-8</v>
      </c>
    </row>
    <row r="29" spans="1:5" x14ac:dyDescent="0.25">
      <c r="A29">
        <v>4.5100075837624996</v>
      </c>
      <c r="B29">
        <v>1.9858502288328233E-3</v>
      </c>
      <c r="C29">
        <f t="shared" si="0"/>
        <v>1.9021083962831576E-3</v>
      </c>
      <c r="D29">
        <f t="shared" si="1"/>
        <v>8.3741832549665733E-5</v>
      </c>
      <c r="E29">
        <f t="shared" si="2"/>
        <v>7.0126945187762553E-9</v>
      </c>
    </row>
    <row r="30" spans="1:5" x14ac:dyDescent="0.25">
      <c r="A30">
        <v>4.6682511410874996</v>
      </c>
      <c r="B30">
        <v>7.9434009153312943E-4</v>
      </c>
      <c r="C30">
        <f t="shared" si="0"/>
        <v>1.3691689302429907E-3</v>
      </c>
      <c r="D30">
        <f t="shared" si="1"/>
        <v>-5.7482883870986132E-4</v>
      </c>
      <c r="E30">
        <f t="shared" si="2"/>
        <v>3.3042819381252777E-7</v>
      </c>
    </row>
    <row r="31" spans="1:5" x14ac:dyDescent="0.25">
      <c r="A31">
        <v>4.8264946984124997</v>
      </c>
      <c r="B31">
        <v>1.5886801830662589E-3</v>
      </c>
      <c r="C31">
        <f t="shared" si="0"/>
        <v>9.8080417890672846E-4</v>
      </c>
      <c r="D31">
        <f t="shared" si="1"/>
        <v>6.0787600415953039E-4</v>
      </c>
      <c r="E31">
        <f t="shared" si="2"/>
        <v>3.6951323643295741E-7</v>
      </c>
    </row>
    <row r="32" spans="1:5" x14ac:dyDescent="0.25">
      <c r="A32">
        <v>4.9847382557374997</v>
      </c>
      <c r="B32">
        <v>1.191510137299694E-3</v>
      </c>
      <c r="C32">
        <f t="shared" si="0"/>
        <v>6.9929829320353263E-4</v>
      </c>
      <c r="D32">
        <f t="shared" si="1"/>
        <v>4.9221184409616134E-4</v>
      </c>
      <c r="E32">
        <f t="shared" si="2"/>
        <v>2.4227249946854382E-7</v>
      </c>
    </row>
    <row r="33" spans="1:5" x14ac:dyDescent="0.25">
      <c r="A33">
        <v>5.1429818130624998</v>
      </c>
      <c r="B33">
        <v>3.9717004576656471E-4</v>
      </c>
      <c r="C33">
        <f t="shared" si="0"/>
        <v>4.9630166494001949E-4</v>
      </c>
      <c r="D33">
        <f t="shared" si="1"/>
        <v>-9.9131619173454773E-5</v>
      </c>
      <c r="E33">
        <f t="shared" si="2"/>
        <v>9.8270779199508661E-9</v>
      </c>
    </row>
    <row r="34" spans="1:5" x14ac:dyDescent="0.25">
      <c r="A34">
        <v>5.301225370387499</v>
      </c>
      <c r="B34">
        <v>3.9717004576656471E-4</v>
      </c>
      <c r="C34">
        <f t="shared" si="0"/>
        <v>3.5065290651847049E-4</v>
      </c>
      <c r="D34">
        <f t="shared" si="1"/>
        <v>4.6517139248094218E-5</v>
      </c>
      <c r="E34">
        <f t="shared" si="2"/>
        <v>2.1638442438265877E-9</v>
      </c>
    </row>
    <row r="35" spans="1:5" x14ac:dyDescent="0.25">
      <c r="A35">
        <v>5.4594689277124999</v>
      </c>
      <c r="B35">
        <v>1.5886801830662589E-3</v>
      </c>
      <c r="C35">
        <f t="shared" si="0"/>
        <v>2.4666091556026156E-4</v>
      </c>
      <c r="D35">
        <f t="shared" si="1"/>
        <v>1.3420192675059972E-3</v>
      </c>
      <c r="E35">
        <f t="shared" si="2"/>
        <v>1.8010157143573334E-6</v>
      </c>
    </row>
    <row r="36" spans="1:5" x14ac:dyDescent="0.25">
      <c r="A36">
        <v>5.6177124850374991</v>
      </c>
      <c r="B36">
        <v>0</v>
      </c>
      <c r="C36">
        <f t="shared" si="0"/>
        <v>1.7276461060329124E-4</v>
      </c>
      <c r="D36">
        <f t="shared" si="1"/>
        <v>-1.7276461060329124E-4</v>
      </c>
      <c r="E36">
        <f t="shared" si="2"/>
        <v>2.9847610676906848E-8</v>
      </c>
    </row>
    <row r="37" spans="1:5" x14ac:dyDescent="0.25">
      <c r="A37">
        <v>5.7759560423625</v>
      </c>
      <c r="B37">
        <v>0</v>
      </c>
      <c r="C37">
        <f t="shared" si="0"/>
        <v>1.2049776168087317E-4</v>
      </c>
      <c r="D37">
        <f t="shared" si="1"/>
        <v>-1.2049776168087317E-4</v>
      </c>
      <c r="E37">
        <f t="shared" si="2"/>
        <v>1.4519710570100505E-8</v>
      </c>
    </row>
    <row r="38" spans="1:5" x14ac:dyDescent="0.25">
      <c r="A38">
        <v>5.9341995996874992</v>
      </c>
      <c r="B38">
        <v>0</v>
      </c>
      <c r="C38">
        <f t="shared" si="0"/>
        <v>8.3696853705376105E-5</v>
      </c>
      <c r="D38">
        <f t="shared" si="1"/>
        <v>-8.3696853705376105E-5</v>
      </c>
      <c r="E38">
        <f t="shared" si="2"/>
        <v>7.0051633201791302E-9</v>
      </c>
    </row>
    <row r="39" spans="1:5" x14ac:dyDescent="0.25">
      <c r="A39">
        <v>6.0924431570125002</v>
      </c>
      <c r="B39">
        <v>0</v>
      </c>
      <c r="C39">
        <f t="shared" si="0"/>
        <v>5.7900142193642248E-5</v>
      </c>
      <c r="D39">
        <f t="shared" si="1"/>
        <v>-5.7900142193642248E-5</v>
      </c>
      <c r="E39">
        <f t="shared" si="2"/>
        <v>3.3524264660439913E-9</v>
      </c>
    </row>
    <row r="40" spans="1:5" x14ac:dyDescent="0.25">
      <c r="A40">
        <v>6.2506867143374993</v>
      </c>
      <c r="B40">
        <v>3.9717004576656471E-4</v>
      </c>
      <c r="C40">
        <f t="shared" si="0"/>
        <v>3.9895432580739502E-5</v>
      </c>
      <c r="D40">
        <f t="shared" si="1"/>
        <v>3.5727461318582523E-4</v>
      </c>
      <c r="E40">
        <f t="shared" si="2"/>
        <v>1.2764514922708105E-7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A905-13E6-449C-82BE-8A6AD84523E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7.6623344700000012E-2</v>
      </c>
      <c r="B1">
        <v>0.37703801477775839</v>
      </c>
      <c r="C1">
        <f>$H$3*(1+$H$1)*(A1^($H$1))*EXP(-$H$3*(A1^(1+$H$1)))</f>
        <v>0.40733765983521553</v>
      </c>
      <c r="D1">
        <f>B1-C1</f>
        <v>-3.0299645057457136E-2</v>
      </c>
      <c r="E1">
        <f>D1^2</f>
        <v>9.1806849060788664E-4</v>
      </c>
      <c r="G1" t="s">
        <v>0</v>
      </c>
      <c r="H1">
        <v>0.42601247535804992</v>
      </c>
    </row>
    <row r="2" spans="1:8" x14ac:dyDescent="0.25">
      <c r="A2">
        <v>0.22973723410000002</v>
      </c>
      <c r="B2">
        <v>0.60637887469154184</v>
      </c>
      <c r="C2">
        <f t="shared" ref="C2:C40" si="0">$H$3*(1+$H$1)*(A2^($H$1))*EXP(-$H$3*(A2^(1+$H$1)))</f>
        <v>0.59744690140608192</v>
      </c>
      <c r="D2">
        <f t="shared" ref="D2:D40" si="1">B2-C2</f>
        <v>8.9319732854599154E-3</v>
      </c>
      <c r="E2">
        <f t="shared" ref="E2:E40" si="2">D2^2</f>
        <v>7.9780146772169598E-5</v>
      </c>
    </row>
    <row r="3" spans="1:8" x14ac:dyDescent="0.25">
      <c r="A3">
        <v>0.3828511235</v>
      </c>
      <c r="B3">
        <v>0.71058742284556864</v>
      </c>
      <c r="C3">
        <f t="shared" si="0"/>
        <v>0.66211321921232014</v>
      </c>
      <c r="D3">
        <f t="shared" si="1"/>
        <v>4.8474203633248503E-2</v>
      </c>
      <c r="E3">
        <f t="shared" si="2"/>
        <v>2.3497484178776422E-3</v>
      </c>
      <c r="G3" t="s">
        <v>1</v>
      </c>
      <c r="H3">
        <f>(_xlfn.GAMMA((2+$H$1)/(1+$H$1)))^(1+$H$1)</f>
        <v>0.87262574527889836</v>
      </c>
    </row>
    <row r="4" spans="1:8" x14ac:dyDescent="0.25">
      <c r="A4">
        <v>0.53596501289999998</v>
      </c>
      <c r="B4">
        <v>0.65889341864317741</v>
      </c>
      <c r="C4">
        <f t="shared" si="0"/>
        <v>0.66655407198957395</v>
      </c>
      <c r="D4">
        <f t="shared" si="1"/>
        <v>-7.6606533463965398E-3</v>
      </c>
      <c r="E4">
        <f t="shared" si="2"/>
        <v>5.8685609693656501E-5</v>
      </c>
    </row>
    <row r="5" spans="1:8" x14ac:dyDescent="0.25">
      <c r="A5">
        <v>0.68907890230000002</v>
      </c>
      <c r="B5">
        <v>0.58791673033354497</v>
      </c>
      <c r="C5">
        <f t="shared" si="0"/>
        <v>0.63564949291193618</v>
      </c>
      <c r="D5">
        <f t="shared" si="1"/>
        <v>-4.7732762578391208E-2</v>
      </c>
      <c r="E5">
        <f t="shared" si="2"/>
        <v>2.2784166233650641E-3</v>
      </c>
      <c r="G5" t="s">
        <v>2</v>
      </c>
      <c r="H5">
        <f>SUM(E1:E40)</f>
        <v>1.185399394415914E-2</v>
      </c>
    </row>
    <row r="6" spans="1:8" x14ac:dyDescent="0.25">
      <c r="A6">
        <v>0.84219279170000005</v>
      </c>
      <c r="B6">
        <v>0.58135241233959045</v>
      </c>
      <c r="C6">
        <f t="shared" si="0"/>
        <v>0.58414824364057194</v>
      </c>
      <c r="D6">
        <f t="shared" si="1"/>
        <v>-2.7958313009814884E-3</v>
      </c>
      <c r="E6">
        <f t="shared" si="2"/>
        <v>7.8166726635478411E-6</v>
      </c>
    </row>
    <row r="7" spans="1:8" x14ac:dyDescent="0.25">
      <c r="A7">
        <v>0.99530668109999998</v>
      </c>
      <c r="B7">
        <v>0.47057954619160924</v>
      </c>
      <c r="C7">
        <f t="shared" si="0"/>
        <v>0.52196126299552181</v>
      </c>
      <c r="D7">
        <f t="shared" si="1"/>
        <v>-5.1381716803912569E-2</v>
      </c>
      <c r="E7">
        <f t="shared" si="2"/>
        <v>2.6400808217174714E-3</v>
      </c>
    </row>
    <row r="8" spans="1:8" x14ac:dyDescent="0.25">
      <c r="A8">
        <v>1.1484205704999999</v>
      </c>
      <c r="B8">
        <v>0.47673359431094153</v>
      </c>
      <c r="C8">
        <f t="shared" si="0"/>
        <v>0.45593257774133233</v>
      </c>
      <c r="D8">
        <f t="shared" si="1"/>
        <v>2.0801016569609199E-2</v>
      </c>
      <c r="E8">
        <f t="shared" si="2"/>
        <v>4.3268229032915643E-4</v>
      </c>
    </row>
    <row r="9" spans="1:8" x14ac:dyDescent="0.25">
      <c r="A9">
        <v>1.3015344599000001</v>
      </c>
      <c r="B9">
        <v>0.4398093055949478</v>
      </c>
      <c r="C9">
        <f t="shared" si="0"/>
        <v>0.39070829306920718</v>
      </c>
      <c r="D9">
        <f t="shared" si="1"/>
        <v>4.9101012525740617E-2</v>
      </c>
      <c r="E9">
        <f t="shared" si="2"/>
        <v>2.410909431052937E-3</v>
      </c>
    </row>
    <row r="10" spans="1:8" x14ac:dyDescent="0.25">
      <c r="A10">
        <v>1.4546483493</v>
      </c>
      <c r="B10">
        <v>0.32821589969772225</v>
      </c>
      <c r="C10">
        <f t="shared" si="0"/>
        <v>0.32929238375511644</v>
      </c>
      <c r="D10">
        <f t="shared" si="1"/>
        <v>-1.0764840573941892E-3</v>
      </c>
      <c r="E10">
        <f t="shared" si="2"/>
        <v>1.1588179258238559E-6</v>
      </c>
    </row>
    <row r="11" spans="1:8" x14ac:dyDescent="0.25">
      <c r="A11">
        <v>1.6077622387000001</v>
      </c>
      <c r="B11">
        <v>0.27652189549533096</v>
      </c>
      <c r="C11">
        <f t="shared" si="0"/>
        <v>0.27345951961097287</v>
      </c>
      <c r="D11">
        <f t="shared" si="1"/>
        <v>3.0623758843580928E-3</v>
      </c>
      <c r="E11">
        <f t="shared" si="2"/>
        <v>9.3781460570980116E-6</v>
      </c>
    </row>
    <row r="12" spans="1:8" x14ac:dyDescent="0.25">
      <c r="A12">
        <v>1.7608761281</v>
      </c>
      <c r="B12">
        <v>0.20841709630805361</v>
      </c>
      <c r="C12">
        <f t="shared" si="0"/>
        <v>0.22408158009512388</v>
      </c>
      <c r="D12">
        <f t="shared" si="1"/>
        <v>-1.5664483787070277E-2</v>
      </c>
      <c r="E12">
        <f t="shared" si="2"/>
        <v>2.4537605231538754E-4</v>
      </c>
    </row>
    <row r="13" spans="1:8" x14ac:dyDescent="0.25">
      <c r="A13">
        <v>1.9139900175000002</v>
      </c>
      <c r="B13">
        <v>0.17436469671441493</v>
      </c>
      <c r="C13">
        <f t="shared" si="0"/>
        <v>0.18138950784636565</v>
      </c>
      <c r="D13">
        <f t="shared" si="1"/>
        <v>-7.02481113195072E-3</v>
      </c>
      <c r="E13">
        <f t="shared" si="2"/>
        <v>4.9347971439578756E-5</v>
      </c>
    </row>
    <row r="14" spans="1:8" x14ac:dyDescent="0.25">
      <c r="A14">
        <v>2.0671039068999999</v>
      </c>
      <c r="B14">
        <v>0.14359445611775348</v>
      </c>
      <c r="C14">
        <f t="shared" si="0"/>
        <v>0.1451811203788449</v>
      </c>
      <c r="D14">
        <f t="shared" si="1"/>
        <v>-1.5866642610914139E-3</v>
      </c>
      <c r="E14">
        <f t="shared" si="2"/>
        <v>2.5175034774247623E-6</v>
      </c>
    </row>
    <row r="15" spans="1:8" x14ac:dyDescent="0.25">
      <c r="A15">
        <v>2.2202177963</v>
      </c>
      <c r="B15">
        <v>0.10667016740175972</v>
      </c>
      <c r="C15">
        <f t="shared" si="0"/>
        <v>0.11498230777909482</v>
      </c>
      <c r="D15">
        <f t="shared" si="1"/>
        <v>-8.3121403773351032E-3</v>
      </c>
      <c r="E15">
        <f t="shared" si="2"/>
        <v>6.9091677652524555E-5</v>
      </c>
    </row>
    <row r="16" spans="1:8" x14ac:dyDescent="0.25">
      <c r="A16">
        <v>2.3733316857000002</v>
      </c>
      <c r="B16">
        <v>8.0412895425941947E-2</v>
      </c>
      <c r="C16">
        <f t="shared" si="0"/>
        <v>9.0168301742657733E-2</v>
      </c>
      <c r="D16">
        <f t="shared" si="1"/>
        <v>-9.7554063167157867E-3</v>
      </c>
      <c r="E16">
        <f t="shared" si="2"/>
        <v>9.5167952404218267E-5</v>
      </c>
    </row>
    <row r="17" spans="1:5" x14ac:dyDescent="0.25">
      <c r="A17">
        <v>2.5264455751000003</v>
      </c>
      <c r="B17">
        <v>7.0976688309632427E-2</v>
      </c>
      <c r="C17">
        <f t="shared" si="0"/>
        <v>7.0051518277610178E-2</v>
      </c>
      <c r="D17">
        <f t="shared" si="1"/>
        <v>9.251700320222489E-4</v>
      </c>
      <c r="E17">
        <f t="shared" si="2"/>
        <v>8.5593958815204905E-7</v>
      </c>
    </row>
    <row r="18" spans="1:5" x14ac:dyDescent="0.25">
      <c r="A18">
        <v>2.6795594645000005</v>
      </c>
      <c r="B18">
        <v>6.359183056643368E-2</v>
      </c>
      <c r="C18">
        <f t="shared" si="0"/>
        <v>5.3942226922409936E-2</v>
      </c>
      <c r="D18">
        <f t="shared" si="1"/>
        <v>9.6496036440237437E-3</v>
      </c>
      <c r="E18">
        <f t="shared" si="2"/>
        <v>9.3114850486756314E-5</v>
      </c>
    </row>
    <row r="19" spans="1:5" x14ac:dyDescent="0.25">
      <c r="A19">
        <v>2.8326733538999997</v>
      </c>
      <c r="B19">
        <v>3.4052399593638684E-2</v>
      </c>
      <c r="C19">
        <f t="shared" si="0"/>
        <v>4.1187835490775107E-2</v>
      </c>
      <c r="D19">
        <f t="shared" si="1"/>
        <v>-7.1354358971364232E-3</v>
      </c>
      <c r="E19">
        <f t="shared" si="2"/>
        <v>5.0914445442143072E-5</v>
      </c>
    </row>
    <row r="20" spans="1:5" x14ac:dyDescent="0.25">
      <c r="A20">
        <v>2.9857872432999999</v>
      </c>
      <c r="B20">
        <v>3.1180510471283611E-2</v>
      </c>
      <c r="C20">
        <f t="shared" si="0"/>
        <v>3.1195928378089061E-2</v>
      </c>
      <c r="D20">
        <f t="shared" si="1"/>
        <v>-1.5417906805450382E-5</v>
      </c>
      <c r="E20">
        <f t="shared" si="2"/>
        <v>2.3771185026155319E-10</v>
      </c>
    </row>
    <row r="21" spans="1:5" x14ac:dyDescent="0.25">
      <c r="A21">
        <v>3.1389011327</v>
      </c>
      <c r="B21">
        <v>2.7488081599684237E-2</v>
      </c>
      <c r="C21">
        <f t="shared" si="0"/>
        <v>2.3445437102179067E-2</v>
      </c>
      <c r="D21">
        <f t="shared" si="1"/>
        <v>4.0426444975051705E-3</v>
      </c>
      <c r="E21">
        <f t="shared" si="2"/>
        <v>1.6342974533208831E-5</v>
      </c>
    </row>
    <row r="22" spans="1:5" x14ac:dyDescent="0.25">
      <c r="A22">
        <v>3.2920150221000002</v>
      </c>
      <c r="B22">
        <v>2.2564843104218402E-2</v>
      </c>
      <c r="C22">
        <f t="shared" si="0"/>
        <v>1.7489533975013048E-2</v>
      </c>
      <c r="D22">
        <f t="shared" si="1"/>
        <v>5.0753091292053548E-3</v>
      </c>
      <c r="E22">
        <f t="shared" si="2"/>
        <v>2.5758762756995216E-5</v>
      </c>
    </row>
    <row r="23" spans="1:5" x14ac:dyDescent="0.25">
      <c r="A23">
        <v>3.4451289115000003</v>
      </c>
      <c r="B23">
        <v>1.5179985361019653E-2</v>
      </c>
      <c r="C23">
        <f t="shared" si="0"/>
        <v>1.2953086348250473E-2</v>
      </c>
      <c r="D23">
        <f t="shared" si="1"/>
        <v>2.2268990127691807E-3</v>
      </c>
      <c r="E23">
        <f t="shared" si="2"/>
        <v>4.9590792130723514E-6</v>
      </c>
    </row>
    <row r="24" spans="1:5" x14ac:dyDescent="0.25">
      <c r="A24">
        <v>3.5982428008999996</v>
      </c>
      <c r="B24">
        <v>1.1077286614798124E-2</v>
      </c>
      <c r="C24">
        <f t="shared" si="0"/>
        <v>9.5268310886857856E-3</v>
      </c>
      <c r="D24">
        <f t="shared" si="1"/>
        <v>1.5504555261123387E-3</v>
      </c>
      <c r="E24">
        <f t="shared" si="2"/>
        <v>2.403912338452289E-6</v>
      </c>
    </row>
    <row r="25" spans="1:5" x14ac:dyDescent="0.25">
      <c r="A25">
        <v>3.7513566902999997</v>
      </c>
      <c r="B25">
        <v>6.1540481193322919E-3</v>
      </c>
      <c r="C25">
        <f t="shared" si="0"/>
        <v>6.9598487764142907E-3</v>
      </c>
      <c r="D25">
        <f t="shared" si="1"/>
        <v>-8.058006570819988E-4</v>
      </c>
      <c r="E25">
        <f t="shared" si="2"/>
        <v>6.4931469895378105E-7</v>
      </c>
    </row>
    <row r="26" spans="1:5" x14ac:dyDescent="0.25">
      <c r="A26">
        <v>3.9044705797000003</v>
      </c>
      <c r="B26">
        <v>6.1540481193322919E-3</v>
      </c>
      <c r="C26">
        <f t="shared" si="0"/>
        <v>5.0514414060768825E-3</v>
      </c>
      <c r="D26">
        <f t="shared" si="1"/>
        <v>1.1026067132554095E-3</v>
      </c>
      <c r="E26">
        <f t="shared" si="2"/>
        <v>1.2157415641158968E-6</v>
      </c>
    </row>
    <row r="27" spans="1:5" x14ac:dyDescent="0.25">
      <c r="A27">
        <v>4.0575844691000009</v>
      </c>
      <c r="B27">
        <v>4.9232384954658332E-3</v>
      </c>
      <c r="C27">
        <f t="shared" si="0"/>
        <v>3.6431424098478942E-3</v>
      </c>
      <c r="D27">
        <f t="shared" si="1"/>
        <v>1.2800960856179391E-3</v>
      </c>
      <c r="E27">
        <f t="shared" si="2"/>
        <v>1.63864598841437E-6</v>
      </c>
    </row>
    <row r="28" spans="1:5" x14ac:dyDescent="0.25">
      <c r="A28">
        <v>4.2106983585000002</v>
      </c>
      <c r="B28">
        <v>2.0513493731107641E-3</v>
      </c>
      <c r="C28">
        <f t="shared" si="0"/>
        <v>2.6113034576001207E-3</v>
      </c>
      <c r="D28">
        <f t="shared" si="1"/>
        <v>-5.5995408448935658E-4</v>
      </c>
      <c r="E28">
        <f t="shared" si="2"/>
        <v>3.1354857673631348E-7</v>
      </c>
    </row>
    <row r="29" spans="1:5" x14ac:dyDescent="0.25">
      <c r="A29">
        <v>4.3638122479000003</v>
      </c>
      <c r="B29">
        <v>8.2053974924430561E-4</v>
      </c>
      <c r="C29">
        <f t="shared" si="0"/>
        <v>1.8604953389028168E-3</v>
      </c>
      <c r="D29">
        <f t="shared" si="1"/>
        <v>-1.0399555896585112E-3</v>
      </c>
      <c r="E29">
        <f t="shared" si="2"/>
        <v>1.0815076284619818E-6</v>
      </c>
    </row>
    <row r="30" spans="1:5" x14ac:dyDescent="0.25">
      <c r="A30">
        <v>4.5169261373000005</v>
      </c>
      <c r="B30">
        <v>1.2308096238664583E-3</v>
      </c>
      <c r="C30">
        <f t="shared" si="0"/>
        <v>1.3178159956586737E-3</v>
      </c>
      <c r="D30">
        <f t="shared" si="1"/>
        <v>-8.7006371792215436E-5</v>
      </c>
      <c r="E30">
        <f t="shared" si="2"/>
        <v>7.5701087324452224E-9</v>
      </c>
    </row>
    <row r="31" spans="1:5" x14ac:dyDescent="0.25">
      <c r="A31">
        <v>4.6700400267000006</v>
      </c>
      <c r="B31">
        <v>2.8718891223550695E-3</v>
      </c>
      <c r="C31">
        <f t="shared" si="0"/>
        <v>9.2810376982493275E-4</v>
      </c>
      <c r="D31">
        <f t="shared" si="1"/>
        <v>1.9437853525301368E-3</v>
      </c>
      <c r="E31">
        <f t="shared" si="2"/>
        <v>3.7783014967107079E-6</v>
      </c>
    </row>
    <row r="32" spans="1:5" x14ac:dyDescent="0.25">
      <c r="A32">
        <v>4.8231539161000008</v>
      </c>
      <c r="B32">
        <v>4.102698746221528E-4</v>
      </c>
      <c r="C32">
        <f t="shared" si="0"/>
        <v>6.499959737214869E-4</v>
      </c>
      <c r="D32">
        <f t="shared" si="1"/>
        <v>-2.397260990993341E-4</v>
      </c>
      <c r="E32">
        <f t="shared" si="2"/>
        <v>5.7468602589383751E-8</v>
      </c>
    </row>
    <row r="33" spans="1:5" x14ac:dyDescent="0.25">
      <c r="A33">
        <v>4.9762678055000009</v>
      </c>
      <c r="B33">
        <v>0</v>
      </c>
      <c r="C33">
        <f t="shared" si="0"/>
        <v>4.5274170609443492E-4</v>
      </c>
      <c r="D33">
        <f t="shared" si="1"/>
        <v>-4.5274170609443492E-4</v>
      </c>
      <c r="E33">
        <f t="shared" si="2"/>
        <v>2.0497505243729968E-7</v>
      </c>
    </row>
    <row r="34" spans="1:5" x14ac:dyDescent="0.25">
      <c r="A34">
        <v>5.1293816949000002</v>
      </c>
      <c r="B34">
        <v>8.2053974924430561E-4</v>
      </c>
      <c r="C34">
        <f t="shared" si="0"/>
        <v>3.1366514330313089E-4</v>
      </c>
      <c r="D34">
        <f t="shared" si="1"/>
        <v>5.0687460594117466E-4</v>
      </c>
      <c r="E34">
        <f t="shared" si="2"/>
        <v>2.5692186614802112E-7</v>
      </c>
    </row>
    <row r="35" spans="1:5" x14ac:dyDescent="0.25">
      <c r="A35">
        <v>5.2824955843000003</v>
      </c>
      <c r="B35">
        <v>1.6410794984886112E-3</v>
      </c>
      <c r="C35">
        <f t="shared" si="0"/>
        <v>2.1617492158194324E-4</v>
      </c>
      <c r="D35">
        <f t="shared" si="1"/>
        <v>1.4249045769066679E-3</v>
      </c>
      <c r="E35">
        <f t="shared" si="2"/>
        <v>2.0303530532895704E-6</v>
      </c>
    </row>
    <row r="36" spans="1:5" x14ac:dyDescent="0.25">
      <c r="A36">
        <v>5.4356094736999996</v>
      </c>
      <c r="B36">
        <v>0</v>
      </c>
      <c r="C36">
        <f t="shared" si="0"/>
        <v>1.4822192290314407E-4</v>
      </c>
      <c r="D36">
        <f t="shared" si="1"/>
        <v>-1.4822192290314407E-4</v>
      </c>
      <c r="E36">
        <f t="shared" si="2"/>
        <v>2.1969738429105584E-8</v>
      </c>
    </row>
    <row r="37" spans="1:5" x14ac:dyDescent="0.25">
      <c r="A37">
        <v>5.5887233630999997</v>
      </c>
      <c r="B37">
        <v>0</v>
      </c>
      <c r="C37">
        <f t="shared" si="0"/>
        <v>1.0111837529833825E-4</v>
      </c>
      <c r="D37">
        <f t="shared" si="1"/>
        <v>-1.0111837529833825E-4</v>
      </c>
      <c r="E37">
        <f t="shared" si="2"/>
        <v>1.0224925822975583E-8</v>
      </c>
    </row>
    <row r="38" spans="1:5" x14ac:dyDescent="0.25">
      <c r="A38">
        <v>5.7418372524999999</v>
      </c>
      <c r="B38">
        <v>0</v>
      </c>
      <c r="C38">
        <f t="shared" si="0"/>
        <v>6.8643352744490261E-5</v>
      </c>
      <c r="D38">
        <f t="shared" si="1"/>
        <v>-6.8643352744490261E-5</v>
      </c>
      <c r="E38">
        <f t="shared" si="2"/>
        <v>4.7119098760045183E-9</v>
      </c>
    </row>
    <row r="39" spans="1:5" x14ac:dyDescent="0.25">
      <c r="A39">
        <v>5.8949511419</v>
      </c>
      <c r="B39">
        <v>0</v>
      </c>
      <c r="C39">
        <f t="shared" si="0"/>
        <v>4.6372010206102506E-5</v>
      </c>
      <c r="D39">
        <f t="shared" si="1"/>
        <v>-4.6372010206102506E-5</v>
      </c>
      <c r="E39">
        <f t="shared" si="2"/>
        <v>2.150363330554875E-9</v>
      </c>
    </row>
    <row r="40" spans="1:5" x14ac:dyDescent="0.25">
      <c r="A40">
        <v>6.0480650313000002</v>
      </c>
      <c r="B40">
        <v>4.102698746221528E-4</v>
      </c>
      <c r="C40">
        <f t="shared" si="0"/>
        <v>3.1177322764572485E-5</v>
      </c>
      <c r="D40">
        <f t="shared" si="1"/>
        <v>3.7909255185758034E-4</v>
      </c>
      <c r="E40">
        <f t="shared" si="2"/>
        <v>1.4371116287389224E-7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49A2-F9F9-4EF6-907D-592EC885193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7.3892289312499984E-2</v>
      </c>
      <c r="B1">
        <v>0.31829654106504501</v>
      </c>
      <c r="C1">
        <f>$H$3*(1+$H$1)*(A1^($H$1))*EXP(-$H$3*(A1^(1+$H$1)))</f>
        <v>0.36092418926571035</v>
      </c>
      <c r="D1">
        <f>B1-C1</f>
        <v>-4.2627648200665336E-2</v>
      </c>
      <c r="E1">
        <f>D1^2</f>
        <v>1.8171163911196867E-3</v>
      </c>
      <c r="G1" t="s">
        <v>0</v>
      </c>
      <c r="H1">
        <v>0.4769003457473977</v>
      </c>
    </row>
    <row r="2" spans="1:8" x14ac:dyDescent="0.25">
      <c r="A2">
        <v>0.22167546793749998</v>
      </c>
      <c r="B2">
        <v>0.58984726167994983</v>
      </c>
      <c r="C2">
        <f t="shared" ref="C2:C40" si="0">$H$3*(1+$H$1)*(A2^($H$1))*EXP(-$H$3*(A2^(1+$H$1)))</f>
        <v>0.56555612961080326</v>
      </c>
      <c r="D2">
        <f t="shared" ref="D2:D40" si="1">B2-C2</f>
        <v>2.429113206914657E-2</v>
      </c>
      <c r="E2">
        <f t="shared" ref="E2:E40" si="2">D2^2</f>
        <v>5.9005909720072098E-4</v>
      </c>
    </row>
    <row r="3" spans="1:8" x14ac:dyDescent="0.25">
      <c r="A3">
        <v>0.36945864656249999</v>
      </c>
      <c r="B3">
        <v>0.67951424454340048</v>
      </c>
      <c r="C3">
        <f t="shared" si="0"/>
        <v>0.64967103194313025</v>
      </c>
      <c r="D3">
        <f t="shared" si="1"/>
        <v>2.984321260027023E-2</v>
      </c>
      <c r="E3">
        <f t="shared" si="2"/>
        <v>8.9061733830492781E-4</v>
      </c>
      <c r="G3" t="s">
        <v>1</v>
      </c>
      <c r="H3">
        <f>(_xlfn.GAMMA((2+$H$1)/(1+$H$1)))^(1+$H$1)</f>
        <v>0.86222027922777011</v>
      </c>
    </row>
    <row r="4" spans="1:8" x14ac:dyDescent="0.25">
      <c r="A4">
        <v>0.51724182518749995</v>
      </c>
      <c r="B4">
        <v>0.687588522621152</v>
      </c>
      <c r="C4">
        <f t="shared" si="0"/>
        <v>0.67142100690667816</v>
      </c>
      <c r="D4">
        <f t="shared" si="1"/>
        <v>1.6167515714473835E-2</v>
      </c>
      <c r="E4">
        <f t="shared" si="2"/>
        <v>2.6138856437775838E-4</v>
      </c>
    </row>
    <row r="5" spans="1:8" x14ac:dyDescent="0.25">
      <c r="A5">
        <v>0.66502500381249996</v>
      </c>
      <c r="B5">
        <v>0.63446827210962908</v>
      </c>
      <c r="C5">
        <f t="shared" si="0"/>
        <v>0.65385541625256571</v>
      </c>
      <c r="D5">
        <f t="shared" si="1"/>
        <v>-1.938714414293663E-2</v>
      </c>
      <c r="E5">
        <f t="shared" si="2"/>
        <v>3.7586135801900204E-4</v>
      </c>
      <c r="G5" t="s">
        <v>2</v>
      </c>
      <c r="H5">
        <f>SUM(E1:E40)</f>
        <v>7.5246137522187945E-3</v>
      </c>
    </row>
    <row r="6" spans="1:8" x14ac:dyDescent="0.25">
      <c r="A6">
        <v>0.81280818243749997</v>
      </c>
      <c r="B6">
        <v>0.58432275562675151</v>
      </c>
      <c r="C6">
        <f t="shared" si="0"/>
        <v>0.6114000702529172</v>
      </c>
      <c r="D6">
        <f t="shared" si="1"/>
        <v>-2.7077314626165694E-2</v>
      </c>
      <c r="E6">
        <f t="shared" si="2"/>
        <v>7.3318096736436661E-4</v>
      </c>
    </row>
    <row r="7" spans="1:8" x14ac:dyDescent="0.25">
      <c r="A7">
        <v>0.96059136106249998</v>
      </c>
      <c r="B7">
        <v>0.52780280908249122</v>
      </c>
      <c r="C7">
        <f t="shared" si="0"/>
        <v>0.5543356207561696</v>
      </c>
      <c r="D7">
        <f t="shared" si="1"/>
        <v>-2.653281167367838E-2</v>
      </c>
      <c r="E7">
        <f t="shared" si="2"/>
        <v>7.0399009531088368E-4</v>
      </c>
    </row>
    <row r="8" spans="1:8" x14ac:dyDescent="0.25">
      <c r="A8">
        <v>1.1083745396875</v>
      </c>
      <c r="B8">
        <v>0.47340767255869176</v>
      </c>
      <c r="C8">
        <f t="shared" si="0"/>
        <v>0.49019306141663183</v>
      </c>
      <c r="D8">
        <f t="shared" si="1"/>
        <v>-1.6785388857940065E-2</v>
      </c>
      <c r="E8">
        <f t="shared" si="2"/>
        <v>2.8174927911225845E-4</v>
      </c>
    </row>
    <row r="9" spans="1:8" x14ac:dyDescent="0.25">
      <c r="A9">
        <v>1.2561577183124999</v>
      </c>
      <c r="B9">
        <v>0.45768407840728098</v>
      </c>
      <c r="C9">
        <f t="shared" si="0"/>
        <v>0.42440609232473736</v>
      </c>
      <c r="D9">
        <f t="shared" si="1"/>
        <v>3.327798608254362E-2</v>
      </c>
      <c r="E9">
        <f t="shared" si="2"/>
        <v>1.107424357709967E-3</v>
      </c>
    </row>
    <row r="10" spans="1:8" x14ac:dyDescent="0.25">
      <c r="A10">
        <v>1.4039408969374998</v>
      </c>
      <c r="B10">
        <v>0.37141679157656787</v>
      </c>
      <c r="C10">
        <f t="shared" si="0"/>
        <v>0.36073835122305908</v>
      </c>
      <c r="D10">
        <f t="shared" si="1"/>
        <v>1.0678440353508789E-2</v>
      </c>
      <c r="E10">
        <f t="shared" si="2"/>
        <v>1.1402908838344491E-4</v>
      </c>
    </row>
    <row r="11" spans="1:8" x14ac:dyDescent="0.25">
      <c r="A11">
        <v>1.5517240755624999</v>
      </c>
      <c r="B11">
        <v>0.31277203501184664</v>
      </c>
      <c r="C11">
        <f t="shared" si="0"/>
        <v>0.3016257055349652</v>
      </c>
      <c r="D11">
        <f t="shared" si="1"/>
        <v>1.1146329476881434E-2</v>
      </c>
      <c r="E11">
        <f t="shared" si="2"/>
        <v>1.2424066080719593E-4</v>
      </c>
    </row>
    <row r="12" spans="1:8" x14ac:dyDescent="0.25">
      <c r="A12">
        <v>1.6995072541875</v>
      </c>
      <c r="B12">
        <v>0.23457902625888497</v>
      </c>
      <c r="C12">
        <f t="shared" si="0"/>
        <v>0.24847178621485785</v>
      </c>
      <c r="D12">
        <f t="shared" si="1"/>
        <v>-1.3892759955972889E-2</v>
      </c>
      <c r="E12">
        <f t="shared" si="2"/>
        <v>1.9300877919428382E-4</v>
      </c>
    </row>
    <row r="13" spans="1:8" x14ac:dyDescent="0.25">
      <c r="A13">
        <v>1.8472904328124999</v>
      </c>
      <c r="B13">
        <v>0.20313183795606343</v>
      </c>
      <c r="C13">
        <f t="shared" si="0"/>
        <v>0.20190493236279025</v>
      </c>
      <c r="D13">
        <f t="shared" si="1"/>
        <v>1.2269055932731809E-3</v>
      </c>
      <c r="E13">
        <f t="shared" si="2"/>
        <v>1.5052973348050162E-6</v>
      </c>
    </row>
    <row r="14" spans="1:8" x14ac:dyDescent="0.25">
      <c r="A14">
        <v>1.9950736114374998</v>
      </c>
      <c r="B14">
        <v>0.15511113149364678</v>
      </c>
      <c r="C14">
        <f t="shared" si="0"/>
        <v>0.16199694695112435</v>
      </c>
      <c r="D14">
        <f t="shared" si="1"/>
        <v>-6.8858154574775732E-3</v>
      </c>
      <c r="E14">
        <f t="shared" si="2"/>
        <v>4.7414454514437077E-5</v>
      </c>
    </row>
    <row r="15" spans="1:8" x14ac:dyDescent="0.25">
      <c r="A15">
        <v>2.1428567900625</v>
      </c>
      <c r="B15">
        <v>0.12238905717854867</v>
      </c>
      <c r="C15">
        <f t="shared" si="0"/>
        <v>0.12844352217932556</v>
      </c>
      <c r="D15">
        <f t="shared" si="1"/>
        <v>-6.0544650007768874E-3</v>
      </c>
      <c r="E15">
        <f t="shared" si="2"/>
        <v>3.6656546445632276E-5</v>
      </c>
    </row>
    <row r="16" spans="1:8" x14ac:dyDescent="0.25">
      <c r="A16">
        <v>2.2906399686874996</v>
      </c>
      <c r="B16">
        <v>8.9666982863450595E-2</v>
      </c>
      <c r="C16">
        <f t="shared" si="0"/>
        <v>0.10070770037330784</v>
      </c>
      <c r="D16">
        <f t="shared" si="1"/>
        <v>-1.1040717509857245E-2</v>
      </c>
      <c r="E16">
        <f t="shared" si="2"/>
        <v>1.2189744313246837E-4</v>
      </c>
    </row>
    <row r="17" spans="1:5" x14ac:dyDescent="0.25">
      <c r="A17">
        <v>2.4384231473125002</v>
      </c>
      <c r="B17">
        <v>7.3093464703855457E-2</v>
      </c>
      <c r="C17">
        <f t="shared" si="0"/>
        <v>7.8129410907884389E-2</v>
      </c>
      <c r="D17">
        <f t="shared" si="1"/>
        <v>-5.0359462040289321E-3</v>
      </c>
      <c r="E17">
        <f t="shared" si="2"/>
        <v>2.536075416987341E-5</v>
      </c>
    </row>
    <row r="18" spans="1:5" x14ac:dyDescent="0.25">
      <c r="A18">
        <v>2.5862063259374999</v>
      </c>
      <c r="B18">
        <v>6.4594224622011809E-2</v>
      </c>
      <c r="C18">
        <f t="shared" si="0"/>
        <v>6.0005330018190535E-2</v>
      </c>
      <c r="D18">
        <f t="shared" si="1"/>
        <v>4.5888946038212738E-3</v>
      </c>
      <c r="E18">
        <f t="shared" si="2"/>
        <v>2.1057953684980005E-5</v>
      </c>
    </row>
    <row r="19" spans="1:5" x14ac:dyDescent="0.25">
      <c r="A19">
        <v>2.7339895045624996</v>
      </c>
      <c r="B19">
        <v>4.4621010429679205E-2</v>
      </c>
      <c r="C19">
        <f t="shared" si="0"/>
        <v>4.5643918327891018E-2</v>
      </c>
      <c r="D19">
        <f t="shared" si="1"/>
        <v>-1.0229078982118139E-3</v>
      </c>
      <c r="E19">
        <f t="shared" si="2"/>
        <v>1.0463405682241108E-6</v>
      </c>
    </row>
    <row r="20" spans="1:5" x14ac:dyDescent="0.25">
      <c r="A20">
        <v>2.8817726831875001</v>
      </c>
      <c r="B20">
        <v>3.0597264294637168E-2</v>
      </c>
      <c r="C20">
        <f t="shared" si="0"/>
        <v>3.4400572533635938E-2</v>
      </c>
      <c r="D20">
        <f t="shared" si="1"/>
        <v>-3.8033082389987705E-3</v>
      </c>
      <c r="E20">
        <f t="shared" si="2"/>
        <v>1.4465153560835928E-5</v>
      </c>
    </row>
    <row r="21" spans="1:5" x14ac:dyDescent="0.25">
      <c r="A21">
        <v>3.0295558618124998</v>
      </c>
      <c r="B21">
        <v>3.1447188302821533E-2</v>
      </c>
      <c r="C21">
        <f t="shared" si="0"/>
        <v>2.569752271098831E-2</v>
      </c>
      <c r="D21">
        <f t="shared" si="1"/>
        <v>5.7496655918332223E-3</v>
      </c>
      <c r="E21">
        <f t="shared" si="2"/>
        <v>3.3058654417910881E-5</v>
      </c>
    </row>
    <row r="22" spans="1:5" x14ac:dyDescent="0.25">
      <c r="A22">
        <v>3.1773390404374999</v>
      </c>
      <c r="B22">
        <v>2.1673062208701327E-2</v>
      </c>
      <c r="C22">
        <f t="shared" si="0"/>
        <v>1.9032560739713555E-2</v>
      </c>
      <c r="D22">
        <f t="shared" si="1"/>
        <v>2.6405014689877722E-3</v>
      </c>
      <c r="E22">
        <f t="shared" si="2"/>
        <v>6.9722480077265824E-6</v>
      </c>
    </row>
    <row r="23" spans="1:5" x14ac:dyDescent="0.25">
      <c r="A23">
        <v>3.3251222190625001</v>
      </c>
      <c r="B23">
        <v>1.5723594151410766E-2</v>
      </c>
      <c r="C23">
        <f t="shared" si="0"/>
        <v>1.3980022805384624E-2</v>
      </c>
      <c r="D23">
        <f t="shared" si="1"/>
        <v>1.7435713460261428E-3</v>
      </c>
      <c r="E23">
        <f t="shared" si="2"/>
        <v>3.0400410386834155E-6</v>
      </c>
    </row>
    <row r="24" spans="1:5" x14ac:dyDescent="0.25">
      <c r="A24">
        <v>3.4729053976874997</v>
      </c>
      <c r="B24">
        <v>1.2323898118673304E-2</v>
      </c>
      <c r="C24">
        <f t="shared" si="0"/>
        <v>1.0186763835842789E-2</v>
      </c>
      <c r="D24">
        <f t="shared" si="1"/>
        <v>2.1371342828305148E-3</v>
      </c>
      <c r="E24">
        <f t="shared" si="2"/>
        <v>4.5673429428494991E-6</v>
      </c>
    </row>
    <row r="25" spans="1:5" x14ac:dyDescent="0.25">
      <c r="A25">
        <v>3.6206885763124999</v>
      </c>
      <c r="B25">
        <v>8.9242020859358409E-3</v>
      </c>
      <c r="C25">
        <f t="shared" si="0"/>
        <v>7.3652175787208779E-3</v>
      </c>
      <c r="D25">
        <f t="shared" si="1"/>
        <v>1.558984507214963E-3</v>
      </c>
      <c r="E25">
        <f t="shared" si="2"/>
        <v>2.4304326937362808E-6</v>
      </c>
    </row>
    <row r="26" spans="1:5" x14ac:dyDescent="0.25">
      <c r="A26">
        <v>3.7684717549375</v>
      </c>
      <c r="B26">
        <v>7.649316073659292E-3</v>
      </c>
      <c r="C26">
        <f t="shared" si="0"/>
        <v>5.285070053025585E-3</v>
      </c>
      <c r="D26">
        <f t="shared" si="1"/>
        <v>2.364246020633707E-3</v>
      </c>
      <c r="E26">
        <f t="shared" si="2"/>
        <v>5.5896592460823187E-6</v>
      </c>
    </row>
    <row r="27" spans="1:5" x14ac:dyDescent="0.25">
      <c r="A27">
        <v>3.9162549335625001</v>
      </c>
      <c r="B27">
        <v>3.824658036829646E-3</v>
      </c>
      <c r="C27">
        <f t="shared" si="0"/>
        <v>3.7646031370360575E-3</v>
      </c>
      <c r="D27">
        <f t="shared" si="1"/>
        <v>6.005489979358852E-5</v>
      </c>
      <c r="E27">
        <f t="shared" si="2"/>
        <v>3.6065909892179583E-9</v>
      </c>
    </row>
    <row r="28" spans="1:5" x14ac:dyDescent="0.25">
      <c r="A28">
        <v>4.0640381121875002</v>
      </c>
      <c r="B28">
        <v>1.2748860122765487E-3</v>
      </c>
      <c r="C28">
        <f t="shared" si="0"/>
        <v>2.662391438816112E-3</v>
      </c>
      <c r="D28">
        <f t="shared" si="1"/>
        <v>-1.3875054265395633E-3</v>
      </c>
      <c r="E28">
        <f t="shared" si="2"/>
        <v>1.9251713086767352E-6</v>
      </c>
    </row>
    <row r="29" spans="1:5" x14ac:dyDescent="0.25">
      <c r="A29">
        <v>4.2118212908124999</v>
      </c>
      <c r="B29">
        <v>1.2748860122765487E-3</v>
      </c>
      <c r="C29">
        <f t="shared" si="0"/>
        <v>1.8697524326764055E-3</v>
      </c>
      <c r="D29">
        <f t="shared" si="1"/>
        <v>-5.9486642039985674E-4</v>
      </c>
      <c r="E29">
        <f t="shared" si="2"/>
        <v>3.5386605811933908E-7</v>
      </c>
    </row>
    <row r="30" spans="1:5" x14ac:dyDescent="0.25">
      <c r="A30">
        <v>4.3596044694374996</v>
      </c>
      <c r="B30">
        <v>1.2748860122765487E-3</v>
      </c>
      <c r="C30">
        <f t="shared" si="0"/>
        <v>1.3041451412234752E-3</v>
      </c>
      <c r="D30">
        <f t="shared" si="1"/>
        <v>-2.92591289469265E-5</v>
      </c>
      <c r="E30">
        <f t="shared" si="2"/>
        <v>8.5609662673287217E-10</v>
      </c>
    </row>
    <row r="31" spans="1:5" x14ac:dyDescent="0.25">
      <c r="A31">
        <v>4.5073876480625001</v>
      </c>
      <c r="B31">
        <v>2.5497720245530975E-3</v>
      </c>
      <c r="C31">
        <f t="shared" si="0"/>
        <v>9.0357237001750953E-4</v>
      </c>
      <c r="D31">
        <f t="shared" si="1"/>
        <v>1.6461996545355879E-3</v>
      </c>
      <c r="E31">
        <f t="shared" si="2"/>
        <v>2.7099733025930889E-6</v>
      </c>
    </row>
    <row r="32" spans="1:5" x14ac:dyDescent="0.25">
      <c r="A32">
        <v>4.6551708266874998</v>
      </c>
      <c r="B32">
        <v>8.4992400818436579E-4</v>
      </c>
      <c r="C32">
        <f t="shared" si="0"/>
        <v>6.2195165860007035E-4</v>
      </c>
      <c r="D32">
        <f t="shared" si="1"/>
        <v>2.2797234958429544E-4</v>
      </c>
      <c r="E32">
        <f t="shared" si="2"/>
        <v>5.1971392174984211E-8</v>
      </c>
    </row>
    <row r="33" spans="1:5" x14ac:dyDescent="0.25">
      <c r="A33">
        <v>4.8029540053125004</v>
      </c>
      <c r="B33">
        <v>0</v>
      </c>
      <c r="C33">
        <f t="shared" si="0"/>
        <v>4.2536796745944351E-4</v>
      </c>
      <c r="D33">
        <f t="shared" si="1"/>
        <v>-4.2536796745944351E-4</v>
      </c>
      <c r="E33">
        <f t="shared" si="2"/>
        <v>1.809379077405782E-7</v>
      </c>
    </row>
    <row r="34" spans="1:5" x14ac:dyDescent="0.25">
      <c r="A34">
        <v>4.9507371839375001</v>
      </c>
      <c r="B34">
        <v>1.2748860122765487E-3</v>
      </c>
      <c r="C34">
        <f t="shared" si="0"/>
        <v>2.8909584477837915E-4</v>
      </c>
      <c r="D34">
        <f t="shared" si="1"/>
        <v>9.8579016749816969E-4</v>
      </c>
      <c r="E34">
        <f t="shared" si="2"/>
        <v>9.7178225433606938E-7</v>
      </c>
    </row>
    <row r="35" spans="1:5" x14ac:dyDescent="0.25">
      <c r="A35">
        <v>5.0985203625624997</v>
      </c>
      <c r="B35">
        <v>8.4992400818436579E-4</v>
      </c>
      <c r="C35">
        <f t="shared" si="0"/>
        <v>1.9527167554474296E-4</v>
      </c>
      <c r="D35">
        <f t="shared" si="1"/>
        <v>6.546523326396228E-4</v>
      </c>
      <c r="E35">
        <f t="shared" si="2"/>
        <v>4.2856967663049932E-7</v>
      </c>
    </row>
    <row r="36" spans="1:5" x14ac:dyDescent="0.25">
      <c r="A36">
        <v>5.2463035411874994</v>
      </c>
      <c r="B36">
        <v>4.2496200409218289E-4</v>
      </c>
      <c r="C36">
        <f t="shared" si="0"/>
        <v>1.3110089259523578E-4</v>
      </c>
      <c r="D36">
        <f t="shared" si="1"/>
        <v>2.9386111149694712E-4</v>
      </c>
      <c r="E36">
        <f t="shared" si="2"/>
        <v>8.6354352850221179E-8</v>
      </c>
    </row>
    <row r="37" spans="1:5" x14ac:dyDescent="0.25">
      <c r="A37">
        <v>5.3940867198124991</v>
      </c>
      <c r="B37">
        <v>0</v>
      </c>
      <c r="C37">
        <f t="shared" si="0"/>
        <v>8.7495792166333291E-5</v>
      </c>
      <c r="D37">
        <f t="shared" si="1"/>
        <v>-8.7495792166333291E-5</v>
      </c>
      <c r="E37">
        <f t="shared" si="2"/>
        <v>7.6555136468141905E-9</v>
      </c>
    </row>
    <row r="38" spans="1:5" x14ac:dyDescent="0.25">
      <c r="A38">
        <v>5.5418698984374997</v>
      </c>
      <c r="B38">
        <v>0</v>
      </c>
      <c r="C38">
        <f t="shared" si="0"/>
        <v>5.8053395138412951E-5</v>
      </c>
      <c r="D38">
        <f t="shared" si="1"/>
        <v>-5.8053395138412951E-5</v>
      </c>
      <c r="E38">
        <f t="shared" si="2"/>
        <v>3.3701966870967083E-9</v>
      </c>
    </row>
    <row r="39" spans="1:5" x14ac:dyDescent="0.25">
      <c r="A39">
        <v>5.6896530770624993</v>
      </c>
      <c r="B39">
        <v>0</v>
      </c>
      <c r="C39">
        <f t="shared" si="0"/>
        <v>3.8297347999139789E-5</v>
      </c>
      <c r="D39">
        <f t="shared" si="1"/>
        <v>-3.8297347999139789E-5</v>
      </c>
      <c r="E39">
        <f t="shared" si="2"/>
        <v>1.4666868637672164E-9</v>
      </c>
    </row>
    <row r="40" spans="1:5" x14ac:dyDescent="0.25">
      <c r="A40">
        <v>5.8374362556874999</v>
      </c>
      <c r="B40">
        <v>4.2496200409218289E-4</v>
      </c>
      <c r="C40">
        <f t="shared" si="0"/>
        <v>2.5121763347149206E-5</v>
      </c>
      <c r="D40">
        <f t="shared" si="1"/>
        <v>3.9984024074503371E-4</v>
      </c>
      <c r="E40">
        <f t="shared" si="2"/>
        <v>1.5987221811904652E-7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C80F-244B-4685-8CC5-62CD3C9F157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7.2382656275000012E-2</v>
      </c>
      <c r="B1">
        <v>0.28707000802056815</v>
      </c>
      <c r="C1">
        <f>$H$3*(1+$H$1)*(A1^($H$1))*EXP(-$H$3*(A1^(1+$H$1)))</f>
        <v>0.31743428683185954</v>
      </c>
      <c r="D1">
        <f>B1-C1</f>
        <v>-3.036427881129139E-2</v>
      </c>
      <c r="E1">
        <f>D1^2</f>
        <v>9.219894277298393E-4</v>
      </c>
      <c r="G1" t="s">
        <v>0</v>
      </c>
      <c r="H1">
        <v>0.53264632627920394</v>
      </c>
    </row>
    <row r="2" spans="1:8" x14ac:dyDescent="0.25">
      <c r="A2">
        <v>0.21552999682500001</v>
      </c>
      <c r="B2">
        <v>0.53682969389779023</v>
      </c>
      <c r="C2">
        <f t="shared" ref="C2:C40" si="0">$H$3*(1+$H$1)*(A2^($H$1))*EXP(-$H$3*(A2^(1+$H$1)))</f>
        <v>0.53146294607799605</v>
      </c>
      <c r="D2">
        <f t="shared" ref="D2:D40" si="1">B2-C2</f>
        <v>5.366747819794182E-3</v>
      </c>
      <c r="E2">
        <f t="shared" ref="E2:E40" si="2">D2^2</f>
        <v>2.8801982161265607E-5</v>
      </c>
    </row>
    <row r="3" spans="1:8" x14ac:dyDescent="0.25">
      <c r="A3">
        <v>0.35867733737499996</v>
      </c>
      <c r="B3">
        <v>0.64876066032782831</v>
      </c>
      <c r="C3">
        <f t="shared" si="0"/>
        <v>0.63337298903031303</v>
      </c>
      <c r="D3">
        <f t="shared" si="1"/>
        <v>1.5387671297515282E-2</v>
      </c>
      <c r="E3">
        <f t="shared" si="2"/>
        <v>2.3678042796037563E-4</v>
      </c>
      <c r="G3" t="s">
        <v>1</v>
      </c>
      <c r="H3">
        <f>(_xlfn.GAMMA((2+$H$1)/(1+$H$1)))^(1+$H$1)</f>
        <v>0.85159671522541902</v>
      </c>
    </row>
    <row r="4" spans="1:8" x14ac:dyDescent="0.25">
      <c r="A4">
        <v>0.50182467792499996</v>
      </c>
      <c r="B4">
        <v>0.70231194622768967</v>
      </c>
      <c r="C4">
        <f t="shared" si="0"/>
        <v>0.6723982032499084</v>
      </c>
      <c r="D4">
        <f t="shared" si="1"/>
        <v>2.9913742977781266E-2</v>
      </c>
      <c r="E4">
        <f t="shared" si="2"/>
        <v>8.9483201894075795E-4</v>
      </c>
    </row>
    <row r="5" spans="1:8" x14ac:dyDescent="0.25">
      <c r="A5">
        <v>0.64497201847500008</v>
      </c>
      <c r="B5">
        <v>0.66324584421877442</v>
      </c>
      <c r="C5">
        <f t="shared" si="0"/>
        <v>0.6689302332192838</v>
      </c>
      <c r="D5">
        <f t="shared" si="1"/>
        <v>-5.6843890005093822E-3</v>
      </c>
      <c r="E5">
        <f t="shared" si="2"/>
        <v>3.2312278309112055E-5</v>
      </c>
      <c r="G5" t="s">
        <v>2</v>
      </c>
      <c r="H5">
        <f>SUM(E1:E40)</f>
        <v>4.3886918937769094E-3</v>
      </c>
    </row>
    <row r="6" spans="1:8" x14ac:dyDescent="0.25">
      <c r="A6">
        <v>0.78811935902499997</v>
      </c>
      <c r="B6">
        <v>0.63559231133605909</v>
      </c>
      <c r="C6">
        <f t="shared" si="0"/>
        <v>0.63655252446162858</v>
      </c>
      <c r="D6">
        <f t="shared" si="1"/>
        <v>-9.6021312556948679E-4</v>
      </c>
      <c r="E6">
        <f t="shared" si="2"/>
        <v>9.22009246515923E-7</v>
      </c>
    </row>
    <row r="7" spans="1:8" x14ac:dyDescent="0.25">
      <c r="A7">
        <v>0.93126669957499997</v>
      </c>
      <c r="B7">
        <v>0.55131487778873633</v>
      </c>
      <c r="C7">
        <f t="shared" si="0"/>
        <v>0.58559765530039509</v>
      </c>
      <c r="D7">
        <f t="shared" si="1"/>
        <v>-3.4282777511658757E-2</v>
      </c>
      <c r="E7">
        <f t="shared" si="2"/>
        <v>1.1753088339138955E-3</v>
      </c>
    </row>
    <row r="8" spans="1:8" x14ac:dyDescent="0.25">
      <c r="A8">
        <v>1.074414040125</v>
      </c>
      <c r="B8">
        <v>0.50259198651919035</v>
      </c>
      <c r="C8">
        <f t="shared" si="0"/>
        <v>0.52411707445112699</v>
      </c>
      <c r="D8">
        <f t="shared" si="1"/>
        <v>-2.1525087931936637E-2</v>
      </c>
      <c r="E8">
        <f t="shared" si="2"/>
        <v>4.6332941047760428E-4</v>
      </c>
    </row>
    <row r="9" spans="1:8" x14ac:dyDescent="0.25">
      <c r="A9">
        <v>1.2175613806750001</v>
      </c>
      <c r="B9">
        <v>0.46923216907337512</v>
      </c>
      <c r="C9">
        <f t="shared" si="0"/>
        <v>0.45827412867493761</v>
      </c>
      <c r="D9">
        <f t="shared" si="1"/>
        <v>1.0958040398437507E-2</v>
      </c>
      <c r="E9">
        <f t="shared" si="2"/>
        <v>1.2007864937378845E-4</v>
      </c>
    </row>
    <row r="10" spans="1:8" x14ac:dyDescent="0.25">
      <c r="A10">
        <v>1.360708721225</v>
      </c>
      <c r="B10">
        <v>0.39153891002193697</v>
      </c>
      <c r="C10">
        <f t="shared" si="0"/>
        <v>0.39260433924945082</v>
      </c>
      <c r="D10">
        <f t="shared" si="1"/>
        <v>-1.0654292275138477E-3</v>
      </c>
      <c r="E10">
        <f t="shared" si="2"/>
        <v>1.1351394388407544E-6</v>
      </c>
    </row>
    <row r="11" spans="1:8" x14ac:dyDescent="0.25">
      <c r="A11">
        <v>1.5038560617750001</v>
      </c>
      <c r="B11">
        <v>0.34413285365156793</v>
      </c>
      <c r="C11">
        <f t="shared" si="0"/>
        <v>0.3302552370610366</v>
      </c>
      <c r="D11">
        <f t="shared" si="1"/>
        <v>1.3877616590531328E-2</v>
      </c>
      <c r="E11">
        <f t="shared" si="2"/>
        <v>1.9258824223379034E-4</v>
      </c>
    </row>
    <row r="12" spans="1:8" x14ac:dyDescent="0.25">
      <c r="A12">
        <v>1.6470034023250002</v>
      </c>
      <c r="B12">
        <v>0.27258482412962204</v>
      </c>
      <c r="C12">
        <f t="shared" si="0"/>
        <v>0.2732269422949366</v>
      </c>
      <c r="D12">
        <f t="shared" si="1"/>
        <v>-6.4211816531456467E-4</v>
      </c>
      <c r="E12">
        <f t="shared" si="2"/>
        <v>4.123157382269426E-7</v>
      </c>
    </row>
    <row r="13" spans="1:8" x14ac:dyDescent="0.25">
      <c r="A13">
        <v>1.7901507428750001</v>
      </c>
      <c r="B13">
        <v>0.22430087782646838</v>
      </c>
      <c r="C13">
        <f t="shared" si="0"/>
        <v>0.22260821151095125</v>
      </c>
      <c r="D13">
        <f t="shared" si="1"/>
        <v>1.6926663155171218E-3</v>
      </c>
      <c r="E13">
        <f t="shared" si="2"/>
        <v>2.8651192556863084E-6</v>
      </c>
    </row>
    <row r="14" spans="1:8" x14ac:dyDescent="0.25">
      <c r="A14">
        <v>1.933298083425</v>
      </c>
      <c r="B14">
        <v>0.17250537179217626</v>
      </c>
      <c r="C14">
        <f t="shared" si="0"/>
        <v>0.17879708880089365</v>
      </c>
      <c r="D14">
        <f t="shared" si="1"/>
        <v>-6.2917170087173901E-3</v>
      </c>
      <c r="E14">
        <f t="shared" si="2"/>
        <v>3.9585702917783707E-5</v>
      </c>
    </row>
    <row r="15" spans="1:8" x14ac:dyDescent="0.25">
      <c r="A15">
        <v>2.0764454239749996</v>
      </c>
      <c r="B15">
        <v>0.13212243488408412</v>
      </c>
      <c r="C15">
        <f t="shared" si="0"/>
        <v>0.14169686009051011</v>
      </c>
      <c r="D15">
        <f t="shared" si="1"/>
        <v>-9.5744252064259849E-3</v>
      </c>
      <c r="E15">
        <f t="shared" si="2"/>
        <v>9.1669618033445269E-5</v>
      </c>
    </row>
    <row r="16" spans="1:8" x14ac:dyDescent="0.25">
      <c r="A16">
        <v>2.2195927645250002</v>
      </c>
      <c r="B16">
        <v>0.10798046173250728</v>
      </c>
      <c r="C16">
        <f t="shared" si="0"/>
        <v>0.11088166186595477</v>
      </c>
      <c r="D16">
        <f t="shared" si="1"/>
        <v>-2.9012001334474957E-3</v>
      </c>
      <c r="E16">
        <f t="shared" si="2"/>
        <v>8.4169622143157667E-6</v>
      </c>
    </row>
    <row r="17" spans="1:5" x14ac:dyDescent="0.25">
      <c r="A17">
        <v>2.3627401050749999</v>
      </c>
      <c r="B17">
        <v>7.5498534219476637E-2</v>
      </c>
      <c r="C17">
        <f t="shared" si="0"/>
        <v>8.5729809005935617E-2</v>
      </c>
      <c r="D17">
        <f t="shared" si="1"/>
        <v>-1.023127478645898E-2</v>
      </c>
      <c r="E17">
        <f t="shared" si="2"/>
        <v>1.0467898375603124E-4</v>
      </c>
    </row>
    <row r="18" spans="1:5" x14ac:dyDescent="0.25">
      <c r="A18">
        <v>2.5058874456250004</v>
      </c>
      <c r="B18">
        <v>6.8036469790807436E-2</v>
      </c>
      <c r="C18">
        <f t="shared" si="0"/>
        <v>6.5525893443912159E-2</v>
      </c>
      <c r="D18">
        <f t="shared" si="1"/>
        <v>2.5105763468952769E-3</v>
      </c>
      <c r="E18">
        <f t="shared" si="2"/>
        <v>6.3029935935900334E-6</v>
      </c>
    </row>
    <row r="19" spans="1:5" x14ac:dyDescent="0.25">
      <c r="A19">
        <v>2.6490347861750001</v>
      </c>
      <c r="B19">
        <v>4.9600781202330579E-2</v>
      </c>
      <c r="C19">
        <f t="shared" si="0"/>
        <v>4.9534746014628914E-2</v>
      </c>
      <c r="D19">
        <f t="shared" si="1"/>
        <v>6.6035187701665721E-5</v>
      </c>
      <c r="E19">
        <f t="shared" si="2"/>
        <v>4.3606460147942235E-9</v>
      </c>
    </row>
    <row r="20" spans="1:5" x14ac:dyDescent="0.25">
      <c r="A20">
        <v>2.7921821267249998</v>
      </c>
      <c r="B20">
        <v>3.6432432210561402E-2</v>
      </c>
      <c r="C20">
        <f t="shared" si="0"/>
        <v>3.7051496734798253E-2</v>
      </c>
      <c r="D20">
        <f t="shared" si="1"/>
        <v>-6.1906452423685088E-4</v>
      </c>
      <c r="E20">
        <f t="shared" si="2"/>
        <v>3.8324088516859854E-7</v>
      </c>
    </row>
    <row r="21" spans="1:5" x14ac:dyDescent="0.25">
      <c r="A21">
        <v>2.9353294672750003</v>
      </c>
      <c r="B21">
        <v>3.1165092613853727E-2</v>
      </c>
      <c r="C21">
        <f t="shared" si="0"/>
        <v>2.7432380106307861E-2</v>
      </c>
      <c r="D21">
        <f t="shared" si="1"/>
        <v>3.7327125075458656E-3</v>
      </c>
      <c r="E21">
        <f t="shared" si="2"/>
        <v>1.3933142663989343E-5</v>
      </c>
    </row>
    <row r="22" spans="1:5" x14ac:dyDescent="0.25">
      <c r="A22">
        <v>3.078476807825</v>
      </c>
      <c r="B22">
        <v>2.0191468454046076E-2</v>
      </c>
      <c r="C22">
        <f t="shared" si="0"/>
        <v>2.0110813170877182E-2</v>
      </c>
      <c r="D22">
        <f t="shared" si="1"/>
        <v>8.0655283168893505E-5</v>
      </c>
      <c r="E22">
        <f t="shared" si="2"/>
        <v>6.5052747030543959E-9</v>
      </c>
    </row>
    <row r="23" spans="1:5" x14ac:dyDescent="0.25">
      <c r="A23">
        <v>3.2216241483749997</v>
      </c>
      <c r="B23">
        <v>1.755779865569224E-2</v>
      </c>
      <c r="C23">
        <f t="shared" si="0"/>
        <v>1.4602816859791708E-2</v>
      </c>
      <c r="D23">
        <f t="shared" si="1"/>
        <v>2.9549817959005319E-3</v>
      </c>
      <c r="E23">
        <f t="shared" si="2"/>
        <v>8.731917414103532E-6</v>
      </c>
    </row>
    <row r="24" spans="1:5" x14ac:dyDescent="0.25">
      <c r="A24">
        <v>3.3647714889249998</v>
      </c>
      <c r="B24">
        <v>1.3168348991769181E-2</v>
      </c>
      <c r="C24">
        <f t="shared" si="0"/>
        <v>1.0505216127343828E-2</v>
      </c>
      <c r="D24">
        <f t="shared" si="1"/>
        <v>2.6631328644253528E-3</v>
      </c>
      <c r="E24">
        <f t="shared" si="2"/>
        <v>7.0922766535823849E-6</v>
      </c>
    </row>
    <row r="25" spans="1:5" x14ac:dyDescent="0.25">
      <c r="A25">
        <v>3.5079188294749999</v>
      </c>
      <c r="B25">
        <v>1.0095734227023038E-2</v>
      </c>
      <c r="C25">
        <f t="shared" si="0"/>
        <v>7.4893626965429529E-3</v>
      </c>
      <c r="D25">
        <f t="shared" si="1"/>
        <v>2.6063715304800849E-3</v>
      </c>
      <c r="E25">
        <f t="shared" si="2"/>
        <v>6.7931725548971E-6</v>
      </c>
    </row>
    <row r="26" spans="1:5" x14ac:dyDescent="0.25">
      <c r="A26">
        <v>3.6510661700250004</v>
      </c>
      <c r="B26">
        <v>9.656789260630733E-3</v>
      </c>
      <c r="C26">
        <f t="shared" si="0"/>
        <v>5.2924587834251935E-3</v>
      </c>
      <c r="D26">
        <f t="shared" si="1"/>
        <v>4.3643304772055394E-3</v>
      </c>
      <c r="E26">
        <f t="shared" si="2"/>
        <v>1.9047380514265133E-5</v>
      </c>
    </row>
    <row r="27" spans="1:5" x14ac:dyDescent="0.25">
      <c r="A27">
        <v>3.7942135105750001</v>
      </c>
      <c r="B27">
        <v>1.755779865569224E-3</v>
      </c>
      <c r="C27">
        <f t="shared" si="0"/>
        <v>3.7079705630913965E-3</v>
      </c>
      <c r="D27">
        <f t="shared" si="1"/>
        <v>-1.9521906975221725E-3</v>
      </c>
      <c r="E27">
        <f t="shared" si="2"/>
        <v>3.8110485194921066E-6</v>
      </c>
    </row>
    <row r="28" spans="1:5" x14ac:dyDescent="0.25">
      <c r="A28">
        <v>3.9373608511249998</v>
      </c>
      <c r="B28">
        <v>1.755779865569224E-3</v>
      </c>
      <c r="C28">
        <f t="shared" si="0"/>
        <v>2.5761301465285153E-3</v>
      </c>
      <c r="D28">
        <f t="shared" si="1"/>
        <v>-8.2035028095929128E-4</v>
      </c>
      <c r="E28">
        <f t="shared" si="2"/>
        <v>6.7297458346998817E-7</v>
      </c>
    </row>
    <row r="29" spans="1:5" x14ac:dyDescent="0.25">
      <c r="A29">
        <v>4.0805081916749995</v>
      </c>
      <c r="B29">
        <v>8.77889932784612E-4</v>
      </c>
      <c r="C29">
        <f t="shared" si="0"/>
        <v>1.7751397038857873E-3</v>
      </c>
      <c r="D29">
        <f t="shared" si="1"/>
        <v>-8.9724977110117534E-4</v>
      </c>
      <c r="E29">
        <f t="shared" si="2"/>
        <v>8.050571517411115E-7</v>
      </c>
    </row>
    <row r="30" spans="1:5" x14ac:dyDescent="0.25">
      <c r="A30">
        <v>4.223655532225</v>
      </c>
      <c r="B30">
        <v>3.0726147647461423E-3</v>
      </c>
      <c r="C30">
        <f t="shared" si="0"/>
        <v>1.2134044452191991E-3</v>
      </c>
      <c r="D30">
        <f t="shared" si="1"/>
        <v>1.8592103195269431E-3</v>
      </c>
      <c r="E30">
        <f t="shared" si="2"/>
        <v>3.4566630122354781E-6</v>
      </c>
    </row>
    <row r="31" spans="1:5" x14ac:dyDescent="0.25">
      <c r="A31">
        <v>4.3668028727749997</v>
      </c>
      <c r="B31">
        <v>4.38944966392306E-4</v>
      </c>
      <c r="C31">
        <f t="shared" si="0"/>
        <v>8.2291920845743445E-4</v>
      </c>
      <c r="D31">
        <f t="shared" si="1"/>
        <v>-3.8397424206512845E-4</v>
      </c>
      <c r="E31">
        <f t="shared" si="2"/>
        <v>1.4743621856948986E-7</v>
      </c>
    </row>
    <row r="32" spans="1:5" x14ac:dyDescent="0.25">
      <c r="A32">
        <v>4.5099502133250002</v>
      </c>
      <c r="B32">
        <v>1.3168348991769181E-3</v>
      </c>
      <c r="C32">
        <f t="shared" si="0"/>
        <v>5.5380048590000081E-4</v>
      </c>
      <c r="D32">
        <f t="shared" si="1"/>
        <v>7.6303441327691725E-4</v>
      </c>
      <c r="E32">
        <f t="shared" si="2"/>
        <v>5.8222151584484932E-7</v>
      </c>
    </row>
    <row r="33" spans="1:5" x14ac:dyDescent="0.25">
      <c r="A33">
        <v>4.6530975538749999</v>
      </c>
      <c r="B33">
        <v>4.38944966392306E-4</v>
      </c>
      <c r="C33">
        <f t="shared" si="0"/>
        <v>3.6987588655498554E-4</v>
      </c>
      <c r="D33">
        <f t="shared" si="1"/>
        <v>6.9069079837320456E-5</v>
      </c>
      <c r="E33">
        <f t="shared" si="2"/>
        <v>4.770537789574147E-9</v>
      </c>
    </row>
    <row r="34" spans="1:5" x14ac:dyDescent="0.25">
      <c r="A34">
        <v>4.7962448944249996</v>
      </c>
      <c r="B34">
        <v>8.77889932784612E-4</v>
      </c>
      <c r="C34">
        <f t="shared" si="0"/>
        <v>2.452018645062903E-4</v>
      </c>
      <c r="D34">
        <f t="shared" si="1"/>
        <v>6.3268806827832176E-4</v>
      </c>
      <c r="E34">
        <f t="shared" si="2"/>
        <v>4.0029419174175432E-7</v>
      </c>
    </row>
    <row r="35" spans="1:5" x14ac:dyDescent="0.25">
      <c r="A35">
        <v>4.939392234975001</v>
      </c>
      <c r="B35">
        <v>8.77889932784612E-4</v>
      </c>
      <c r="C35">
        <f t="shared" si="0"/>
        <v>1.6136594333279069E-4</v>
      </c>
      <c r="D35">
        <f t="shared" si="1"/>
        <v>7.1652398945182131E-4</v>
      </c>
      <c r="E35">
        <f t="shared" si="2"/>
        <v>5.1340662745995375E-7</v>
      </c>
    </row>
    <row r="36" spans="1:5" x14ac:dyDescent="0.25">
      <c r="A36">
        <v>5.0825395755250007</v>
      </c>
      <c r="B36">
        <v>4.38944966392306E-4</v>
      </c>
      <c r="C36">
        <f t="shared" si="0"/>
        <v>1.0543207071111398E-4</v>
      </c>
      <c r="D36">
        <f t="shared" si="1"/>
        <v>3.3351289568119203E-4</v>
      </c>
      <c r="E36">
        <f t="shared" si="2"/>
        <v>1.1123085158565368E-7</v>
      </c>
    </row>
    <row r="37" spans="1:5" x14ac:dyDescent="0.25">
      <c r="A37">
        <v>5.2256869160750004</v>
      </c>
      <c r="B37">
        <v>0</v>
      </c>
      <c r="C37">
        <f t="shared" si="0"/>
        <v>6.8399990074180511E-5</v>
      </c>
      <c r="D37">
        <f t="shared" si="1"/>
        <v>-6.8399990074180511E-5</v>
      </c>
      <c r="E37">
        <f t="shared" si="2"/>
        <v>4.6785586421479922E-9</v>
      </c>
    </row>
    <row r="38" spans="1:5" x14ac:dyDescent="0.25">
      <c r="A38">
        <v>5.368834256625</v>
      </c>
      <c r="B38">
        <v>0</v>
      </c>
      <c r="C38">
        <f t="shared" si="0"/>
        <v>4.4066549135503313E-5</v>
      </c>
      <c r="D38">
        <f t="shared" si="1"/>
        <v>-4.4066549135503313E-5</v>
      </c>
      <c r="E38">
        <f t="shared" si="2"/>
        <v>1.9418607527117276E-9</v>
      </c>
    </row>
    <row r="39" spans="1:5" x14ac:dyDescent="0.25">
      <c r="A39">
        <v>5.5119815971749997</v>
      </c>
      <c r="B39">
        <v>0</v>
      </c>
      <c r="C39">
        <f t="shared" si="0"/>
        <v>2.8195301638240282E-5</v>
      </c>
      <c r="D39">
        <f t="shared" si="1"/>
        <v>-2.8195301638240282E-5</v>
      </c>
      <c r="E39">
        <f t="shared" si="2"/>
        <v>7.9497503447135506E-10</v>
      </c>
    </row>
    <row r="40" spans="1:5" x14ac:dyDescent="0.25">
      <c r="A40">
        <v>5.6551289377250002</v>
      </c>
      <c r="B40">
        <v>4.38944966392306E-4</v>
      </c>
      <c r="C40">
        <f t="shared" si="0"/>
        <v>1.7918517149260939E-5</v>
      </c>
      <c r="D40">
        <f t="shared" si="1"/>
        <v>4.2102644924304507E-4</v>
      </c>
      <c r="E40">
        <f t="shared" si="2"/>
        <v>1.7726327096220642E-7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7DF6-621C-411A-9123-1E896267DE7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6.93162913125E-2</v>
      </c>
      <c r="B1">
        <v>0.24118095985878354</v>
      </c>
      <c r="C1">
        <f>$H$3*(1+$H$1)*(A1^($H$1))*EXP(-$H$3*(A1^(1+$H$1)))</f>
        <v>0.27748481332262204</v>
      </c>
      <c r="D1">
        <f>B1-C1</f>
        <v>-3.6303853463838492E-2</v>
      </c>
      <c r="E1">
        <f>D1^2</f>
        <v>1.3179697763238581E-3</v>
      </c>
      <c r="G1" t="s">
        <v>0</v>
      </c>
      <c r="H1">
        <v>0.58376592225257529</v>
      </c>
    </row>
    <row r="2" spans="1:8" x14ac:dyDescent="0.25">
      <c r="A2">
        <v>0.20779407393749999</v>
      </c>
      <c r="B2">
        <v>0.50865608451420141</v>
      </c>
      <c r="C2">
        <f t="shared" ref="C2:C40" si="0">$H$3*(1+$H$1)*(A2^($H$1))*EXP(-$H$3*(A2^(1+$H$1)))</f>
        <v>0.49720241295785628</v>
      </c>
      <c r="D2">
        <f t="shared" ref="D2:D40" si="1">B2-C2</f>
        <v>1.1453671556345135E-2</v>
      </c>
      <c r="E2">
        <f t="shared" ref="E2:E40" si="2">D2^2</f>
        <v>1.3118659212062959E-4</v>
      </c>
    </row>
    <row r="3" spans="1:8" x14ac:dyDescent="0.25">
      <c r="A3">
        <v>0.34627185656249998</v>
      </c>
      <c r="B3">
        <v>0.63604677947720545</v>
      </c>
      <c r="C3">
        <f t="shared" si="0"/>
        <v>0.61400133147072999</v>
      </c>
      <c r="D3">
        <f t="shared" si="1"/>
        <v>2.2045448006475454E-2</v>
      </c>
      <c r="E3">
        <f t="shared" si="2"/>
        <v>4.8600177780621257E-4</v>
      </c>
      <c r="G3" t="s">
        <v>1</v>
      </c>
      <c r="H3">
        <f>(_xlfn.GAMMA((2+$H$1)/(1+$H$1)))^(1+$H$1)</f>
        <v>0.84249755445693153</v>
      </c>
    </row>
    <row r="4" spans="1:8" x14ac:dyDescent="0.25">
      <c r="A4">
        <v>0.48474963918749997</v>
      </c>
      <c r="B4">
        <v>0.66370098728056226</v>
      </c>
      <c r="C4">
        <f t="shared" si="0"/>
        <v>0.66904298948819307</v>
      </c>
      <c r="D4">
        <f t="shared" si="1"/>
        <v>-5.3420022076308138E-3</v>
      </c>
      <c r="E4">
        <f t="shared" si="2"/>
        <v>2.8536987586332489E-5</v>
      </c>
    </row>
    <row r="5" spans="1:8" x14ac:dyDescent="0.25">
      <c r="A5">
        <v>0.62322742181250002</v>
      </c>
      <c r="B5">
        <v>0.71855605521836829</v>
      </c>
      <c r="C5">
        <f t="shared" si="0"/>
        <v>0.67975340816870922</v>
      </c>
      <c r="D5">
        <f t="shared" si="1"/>
        <v>3.8802647049659078E-2</v>
      </c>
      <c r="E5">
        <f t="shared" si="2"/>
        <v>1.5056454180604163E-3</v>
      </c>
      <c r="G5" t="s">
        <v>2</v>
      </c>
      <c r="H5">
        <f>SUM(E1:E40)</f>
        <v>5.7757157239515904E-3</v>
      </c>
    </row>
    <row r="6" spans="1:8" x14ac:dyDescent="0.25">
      <c r="A6">
        <v>0.76170520443749989</v>
      </c>
      <c r="B6">
        <v>0.65962085826039485</v>
      </c>
      <c r="C6">
        <f t="shared" si="0"/>
        <v>0.65840796897590315</v>
      </c>
      <c r="D6">
        <f t="shared" si="1"/>
        <v>1.2128892844917027E-3</v>
      </c>
      <c r="E6">
        <f t="shared" si="2"/>
        <v>1.4711004164347947E-6</v>
      </c>
    </row>
    <row r="7" spans="1:8" x14ac:dyDescent="0.25">
      <c r="A7">
        <v>0.90018298706249988</v>
      </c>
      <c r="B7">
        <v>0.58164505920830689</v>
      </c>
      <c r="C7">
        <f t="shared" si="0"/>
        <v>0.61495131004821735</v>
      </c>
      <c r="D7">
        <f t="shared" si="1"/>
        <v>-3.3306250839910456E-2</v>
      </c>
      <c r="E7">
        <f t="shared" si="2"/>
        <v>1.109306345011036E-3</v>
      </c>
    </row>
    <row r="8" spans="1:8" x14ac:dyDescent="0.25">
      <c r="A8">
        <v>1.0386607696874999</v>
      </c>
      <c r="B8">
        <v>0.53540359697974316</v>
      </c>
      <c r="C8">
        <f t="shared" si="0"/>
        <v>0.55760865600796095</v>
      </c>
      <c r="D8">
        <f t="shared" si="1"/>
        <v>-2.2205059028217788E-2</v>
      </c>
      <c r="E8">
        <f t="shared" si="2"/>
        <v>4.9306464644663633E-4</v>
      </c>
    </row>
    <row r="9" spans="1:8" x14ac:dyDescent="0.25">
      <c r="A9">
        <v>1.1771385523125</v>
      </c>
      <c r="B9">
        <v>0.4927889161024393</v>
      </c>
      <c r="C9">
        <f t="shared" si="0"/>
        <v>0.49303791233034855</v>
      </c>
      <c r="D9">
        <f t="shared" si="1"/>
        <v>-2.4899622790924836E-4</v>
      </c>
      <c r="E9">
        <f t="shared" si="2"/>
        <v>6.1999121513034357E-8</v>
      </c>
    </row>
    <row r="10" spans="1:8" x14ac:dyDescent="0.25">
      <c r="A10">
        <v>1.3156163349375001</v>
      </c>
      <c r="B10">
        <v>0.42569346110413109</v>
      </c>
      <c r="C10">
        <f t="shared" si="0"/>
        <v>0.42641520609791661</v>
      </c>
      <c r="D10">
        <f t="shared" si="1"/>
        <v>-7.2174499378552248E-4</v>
      </c>
      <c r="E10">
        <f t="shared" si="2"/>
        <v>5.2091583605446392E-7</v>
      </c>
    </row>
    <row r="11" spans="1:8" x14ac:dyDescent="0.25">
      <c r="A11">
        <v>1.4540941175625002</v>
      </c>
      <c r="B11">
        <v>0.35905135377473035</v>
      </c>
      <c r="C11">
        <f t="shared" si="0"/>
        <v>0.36155164422290265</v>
      </c>
      <c r="D11">
        <f t="shared" si="1"/>
        <v>-2.5002904481722932E-3</v>
      </c>
      <c r="E11">
        <f t="shared" si="2"/>
        <v>6.2514523252216066E-6</v>
      </c>
    </row>
    <row r="12" spans="1:8" x14ac:dyDescent="0.25">
      <c r="A12">
        <v>1.5925719001875001</v>
      </c>
      <c r="B12">
        <v>0.30963645786381422</v>
      </c>
      <c r="C12">
        <f t="shared" si="0"/>
        <v>0.30105426059191126</v>
      </c>
      <c r="D12">
        <f t="shared" si="1"/>
        <v>8.5821972719029582E-3</v>
      </c>
      <c r="E12">
        <f t="shared" si="2"/>
        <v>7.3654110013858575E-5</v>
      </c>
    </row>
    <row r="13" spans="1:8" x14ac:dyDescent="0.25">
      <c r="A13">
        <v>1.7310496828124999</v>
      </c>
      <c r="B13">
        <v>0.26022156195289803</v>
      </c>
      <c r="C13">
        <f t="shared" si="0"/>
        <v>0.24651787605757761</v>
      </c>
      <c r="D13">
        <f t="shared" si="1"/>
        <v>1.3703685895320422E-2</v>
      </c>
      <c r="E13">
        <f t="shared" si="2"/>
        <v>1.8779100711760387E-4</v>
      </c>
    </row>
    <row r="14" spans="1:8" x14ac:dyDescent="0.25">
      <c r="A14">
        <v>1.8695274654374998</v>
      </c>
      <c r="B14">
        <v>0.19040602094114489</v>
      </c>
      <c r="C14">
        <f t="shared" si="0"/>
        <v>0.19872861675504835</v>
      </c>
      <c r="D14">
        <f t="shared" si="1"/>
        <v>-8.3225958139034606E-3</v>
      </c>
      <c r="E14">
        <f t="shared" si="2"/>
        <v>6.9265601081603404E-5</v>
      </c>
    </row>
    <row r="15" spans="1:8" x14ac:dyDescent="0.25">
      <c r="A15">
        <v>2.0080052480624997</v>
      </c>
      <c r="B15">
        <v>0.14461790638148864</v>
      </c>
      <c r="C15">
        <f t="shared" si="0"/>
        <v>0.15786163833495317</v>
      </c>
      <c r="D15">
        <f t="shared" si="1"/>
        <v>-1.3243731953464538E-2</v>
      </c>
      <c r="E15">
        <f t="shared" si="2"/>
        <v>1.7539643605521762E-4</v>
      </c>
    </row>
    <row r="16" spans="1:8" x14ac:dyDescent="0.25">
      <c r="A16">
        <v>2.1464830306875</v>
      </c>
      <c r="B16">
        <v>0.11923043692266931</v>
      </c>
      <c r="C16">
        <f t="shared" si="0"/>
        <v>0.12366019338455769</v>
      </c>
      <c r="D16">
        <f t="shared" si="1"/>
        <v>-4.4297564618883817E-3</v>
      </c>
      <c r="E16">
        <f t="shared" si="2"/>
        <v>1.9622742311641872E-5</v>
      </c>
    </row>
    <row r="17" spans="1:5" x14ac:dyDescent="0.25">
      <c r="A17">
        <v>2.2849608133124999</v>
      </c>
      <c r="B17">
        <v>8.7496100099145158E-2</v>
      </c>
      <c r="C17">
        <f t="shared" si="0"/>
        <v>9.5588273347624306E-2</v>
      </c>
      <c r="D17">
        <f t="shared" si="1"/>
        <v>-8.0921732484791481E-3</v>
      </c>
      <c r="E17">
        <f t="shared" si="2"/>
        <v>6.5483267883401574E-5</v>
      </c>
    </row>
    <row r="18" spans="1:5" x14ac:dyDescent="0.25">
      <c r="A18">
        <v>2.4234385959375002</v>
      </c>
      <c r="B18">
        <v>7.3442322363013027E-2</v>
      </c>
      <c r="C18">
        <f t="shared" si="0"/>
        <v>7.2953575894713213E-2</v>
      </c>
      <c r="D18">
        <f t="shared" si="1"/>
        <v>4.8874646829981383E-4</v>
      </c>
      <c r="E18">
        <f t="shared" si="2"/>
        <v>2.388731102755409E-7</v>
      </c>
    </row>
    <row r="19" spans="1:5" x14ac:dyDescent="0.25">
      <c r="A19">
        <v>2.5619163785625001</v>
      </c>
      <c r="B19">
        <v>4.9868243579823661E-2</v>
      </c>
      <c r="C19">
        <f t="shared" si="0"/>
        <v>5.5001043983986947E-2</v>
      </c>
      <c r="D19">
        <f t="shared" si="1"/>
        <v>-5.132800404163286E-3</v>
      </c>
      <c r="E19">
        <f t="shared" si="2"/>
        <v>2.6345639988978794E-5</v>
      </c>
    </row>
    <row r="20" spans="1:5" x14ac:dyDescent="0.25">
      <c r="A20">
        <v>2.7003941611875</v>
      </c>
      <c r="B20">
        <v>4.4428071552933809E-2</v>
      </c>
      <c r="C20">
        <f t="shared" si="0"/>
        <v>4.0979598698662092E-2</v>
      </c>
      <c r="D20">
        <f t="shared" si="1"/>
        <v>3.4484728542717169E-3</v>
      </c>
      <c r="E20">
        <f t="shared" si="2"/>
        <v>1.1891965026648922E-5</v>
      </c>
    </row>
    <row r="21" spans="1:5" x14ac:dyDescent="0.25">
      <c r="A21">
        <v>2.8388719438125003</v>
      </c>
      <c r="B21">
        <v>3.2187684492431638E-2</v>
      </c>
      <c r="C21">
        <f t="shared" si="0"/>
        <v>3.0186046109488246E-2</v>
      </c>
      <c r="D21">
        <f t="shared" si="1"/>
        <v>2.0016383829433923E-3</v>
      </c>
      <c r="E21">
        <f t="shared" si="2"/>
        <v>4.0065562160722387E-6</v>
      </c>
    </row>
    <row r="22" spans="1:5" x14ac:dyDescent="0.25">
      <c r="A22">
        <v>2.9773497264375002</v>
      </c>
      <c r="B22">
        <v>1.9947297431929467E-2</v>
      </c>
      <c r="C22">
        <f t="shared" si="0"/>
        <v>2.1990675923242706E-2</v>
      </c>
      <c r="D22">
        <f t="shared" si="1"/>
        <v>-2.0433784913132386E-3</v>
      </c>
      <c r="E22">
        <f t="shared" si="2"/>
        <v>4.1753956587615673E-6</v>
      </c>
    </row>
    <row r="23" spans="1:5" x14ac:dyDescent="0.25">
      <c r="A23">
        <v>3.1158275090625001</v>
      </c>
      <c r="B23">
        <v>1.9493949763021979E-2</v>
      </c>
      <c r="C23">
        <f t="shared" si="0"/>
        <v>1.5849012387953155E-2</v>
      </c>
      <c r="D23">
        <f t="shared" si="1"/>
        <v>3.6449373750688241E-3</v>
      </c>
      <c r="E23">
        <f t="shared" si="2"/>
        <v>1.328556846817361E-5</v>
      </c>
    </row>
    <row r="24" spans="1:5" x14ac:dyDescent="0.25">
      <c r="A24">
        <v>3.2543052916874999</v>
      </c>
      <c r="B24">
        <v>1.4960473073947099E-2</v>
      </c>
      <c r="C24">
        <f t="shared" si="0"/>
        <v>1.1303739328498236E-2</v>
      </c>
      <c r="D24">
        <f t="shared" si="1"/>
        <v>3.6567337454488629E-3</v>
      </c>
      <c r="E24">
        <f t="shared" si="2"/>
        <v>1.337170168510447E-5</v>
      </c>
    </row>
    <row r="25" spans="1:5" x14ac:dyDescent="0.25">
      <c r="A25">
        <v>3.3927830743124998</v>
      </c>
      <c r="B25">
        <v>1.2240387060502173E-2</v>
      </c>
      <c r="C25">
        <f t="shared" si="0"/>
        <v>7.9801801482642567E-3</v>
      </c>
      <c r="D25">
        <f t="shared" si="1"/>
        <v>4.2602069122379162E-3</v>
      </c>
      <c r="E25">
        <f t="shared" si="2"/>
        <v>1.814936293507972E-5</v>
      </c>
    </row>
    <row r="26" spans="1:5" x14ac:dyDescent="0.25">
      <c r="A26">
        <v>3.5312608569375001</v>
      </c>
      <c r="B26">
        <v>6.8002150336123179E-3</v>
      </c>
      <c r="C26">
        <f t="shared" si="0"/>
        <v>5.5780057109931884E-3</v>
      </c>
      <c r="D26">
        <f t="shared" si="1"/>
        <v>1.2222093226191295E-3</v>
      </c>
      <c r="E26">
        <f t="shared" si="2"/>
        <v>1.4937956282971112E-6</v>
      </c>
    </row>
    <row r="27" spans="1:5" x14ac:dyDescent="0.25">
      <c r="A27">
        <v>3.6697386395625005</v>
      </c>
      <c r="B27">
        <v>2.2667383445374393E-3</v>
      </c>
      <c r="C27">
        <f t="shared" si="0"/>
        <v>3.8611608251139292E-3</v>
      </c>
      <c r="D27">
        <f t="shared" si="1"/>
        <v>-1.5944224805764899E-3</v>
      </c>
      <c r="E27">
        <f t="shared" si="2"/>
        <v>2.5421830465676875E-6</v>
      </c>
    </row>
    <row r="28" spans="1:5" x14ac:dyDescent="0.25">
      <c r="A28">
        <v>3.8082164221874999</v>
      </c>
      <c r="B28">
        <v>2.7200860134449271E-3</v>
      </c>
      <c r="C28">
        <f t="shared" si="0"/>
        <v>2.647398899455694E-3</v>
      </c>
      <c r="D28">
        <f t="shared" si="1"/>
        <v>7.2687113989233082E-5</v>
      </c>
      <c r="E28">
        <f t="shared" si="2"/>
        <v>5.2834165400837634E-9</v>
      </c>
    </row>
    <row r="29" spans="1:5" x14ac:dyDescent="0.25">
      <c r="A29">
        <v>3.9466942048124998</v>
      </c>
      <c r="B29">
        <v>4.5334766890748788E-4</v>
      </c>
      <c r="C29">
        <f t="shared" si="0"/>
        <v>1.7983202584169536E-3</v>
      </c>
      <c r="D29">
        <f t="shared" si="1"/>
        <v>-1.3449725895094658E-3</v>
      </c>
      <c r="E29">
        <f t="shared" si="2"/>
        <v>1.808951266531798E-6</v>
      </c>
    </row>
    <row r="30" spans="1:5" x14ac:dyDescent="0.25">
      <c r="A30">
        <v>4.0851719874374997</v>
      </c>
      <c r="B30">
        <v>2.7200860134449271E-3</v>
      </c>
      <c r="C30">
        <f t="shared" si="0"/>
        <v>1.2104277693733333E-3</v>
      </c>
      <c r="D30">
        <f t="shared" si="1"/>
        <v>1.5096582440715938E-3</v>
      </c>
      <c r="E30">
        <f t="shared" si="2"/>
        <v>2.2790680138933278E-6</v>
      </c>
    </row>
    <row r="31" spans="1:5" x14ac:dyDescent="0.25">
      <c r="A31">
        <v>4.2236497700625</v>
      </c>
      <c r="B31">
        <v>1.8133906756299515E-3</v>
      </c>
      <c r="C31">
        <f t="shared" si="0"/>
        <v>8.0743572504558651E-4</v>
      </c>
      <c r="D31">
        <f t="shared" si="1"/>
        <v>1.005954950584365E-3</v>
      </c>
      <c r="E31">
        <f t="shared" si="2"/>
        <v>1.0119453626051921E-6</v>
      </c>
    </row>
    <row r="32" spans="1:5" x14ac:dyDescent="0.25">
      <c r="A32">
        <v>4.3621275526875003</v>
      </c>
      <c r="B32">
        <v>4.5334766890748788E-4</v>
      </c>
      <c r="C32">
        <f t="shared" si="0"/>
        <v>5.3387903739762137E-4</v>
      </c>
      <c r="D32">
        <f t="shared" si="1"/>
        <v>-8.0531368490133486E-5</v>
      </c>
      <c r="E32">
        <f t="shared" si="2"/>
        <v>6.4853013108936642E-9</v>
      </c>
    </row>
    <row r="33" spans="1:5" x14ac:dyDescent="0.25">
      <c r="A33">
        <v>4.5006053353124997</v>
      </c>
      <c r="B33">
        <v>1.8133906756299515E-3</v>
      </c>
      <c r="C33">
        <f t="shared" si="0"/>
        <v>3.4995174499306467E-4</v>
      </c>
      <c r="D33">
        <f t="shared" si="1"/>
        <v>1.4634389306368868E-3</v>
      </c>
      <c r="E33">
        <f t="shared" si="2"/>
        <v>2.1416535037036351E-6</v>
      </c>
    </row>
    <row r="34" spans="1:5" x14ac:dyDescent="0.25">
      <c r="A34">
        <v>4.6390831179374992</v>
      </c>
      <c r="B34">
        <v>0</v>
      </c>
      <c r="C34">
        <f t="shared" si="0"/>
        <v>2.2743891015864772E-4</v>
      </c>
      <c r="D34">
        <f t="shared" si="1"/>
        <v>-2.2743891015864772E-4</v>
      </c>
      <c r="E34">
        <f t="shared" si="2"/>
        <v>5.1728457854153432E-8</v>
      </c>
    </row>
    <row r="35" spans="1:5" x14ac:dyDescent="0.25">
      <c r="A35">
        <v>4.7775609005625004</v>
      </c>
      <c r="B35">
        <v>1.3600430067224635E-3</v>
      </c>
      <c r="C35">
        <f t="shared" si="0"/>
        <v>1.4657850583540245E-4</v>
      </c>
      <c r="D35">
        <f t="shared" si="1"/>
        <v>1.213464500887061E-3</v>
      </c>
      <c r="E35">
        <f t="shared" si="2"/>
        <v>1.472496094913084E-6</v>
      </c>
    </row>
    <row r="36" spans="1:5" x14ac:dyDescent="0.25">
      <c r="A36">
        <v>4.9160386831874998</v>
      </c>
      <c r="B36">
        <v>0</v>
      </c>
      <c r="C36">
        <f t="shared" si="0"/>
        <v>9.3687001640647212E-5</v>
      </c>
      <c r="D36">
        <f t="shared" si="1"/>
        <v>-9.3687001640647212E-5</v>
      </c>
      <c r="E36">
        <f t="shared" si="2"/>
        <v>8.7772542764146337E-9</v>
      </c>
    </row>
    <row r="37" spans="1:5" x14ac:dyDescent="0.25">
      <c r="A37">
        <v>5.0545164658125001</v>
      </c>
      <c r="B37">
        <v>0</v>
      </c>
      <c r="C37">
        <f t="shared" si="0"/>
        <v>5.9394162508037586E-5</v>
      </c>
      <c r="D37">
        <f t="shared" si="1"/>
        <v>-5.9394162508037586E-5</v>
      </c>
      <c r="E37">
        <f t="shared" si="2"/>
        <v>3.5276665400311776E-9</v>
      </c>
    </row>
    <row r="38" spans="1:5" x14ac:dyDescent="0.25">
      <c r="A38">
        <v>5.1929942484374996</v>
      </c>
      <c r="B38">
        <v>0</v>
      </c>
      <c r="C38">
        <f t="shared" si="0"/>
        <v>3.7351915773963675E-5</v>
      </c>
      <c r="D38">
        <f t="shared" si="1"/>
        <v>-3.7351915773963675E-5</v>
      </c>
      <c r="E38">
        <f t="shared" si="2"/>
        <v>1.3951656119852764E-9</v>
      </c>
    </row>
    <row r="39" spans="1:5" x14ac:dyDescent="0.25">
      <c r="A39">
        <v>5.3314720310624999</v>
      </c>
      <c r="B39">
        <v>0</v>
      </c>
      <c r="C39">
        <f t="shared" si="0"/>
        <v>2.3304173009084404E-5</v>
      </c>
      <c r="D39">
        <f t="shared" si="1"/>
        <v>-2.3304173009084404E-5</v>
      </c>
      <c r="E39">
        <f t="shared" si="2"/>
        <v>5.4308447963733802E-10</v>
      </c>
    </row>
    <row r="40" spans="1:5" x14ac:dyDescent="0.25">
      <c r="A40">
        <v>5.4699498136874993</v>
      </c>
      <c r="B40">
        <v>4.5334766890748788E-4</v>
      </c>
      <c r="C40">
        <f t="shared" si="0"/>
        <v>1.4426170576168208E-5</v>
      </c>
      <c r="D40">
        <f t="shared" si="1"/>
        <v>4.3892149833131967E-4</v>
      </c>
      <c r="E40">
        <f t="shared" si="2"/>
        <v>1.9265208169741066E-7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1DE4-290A-49E8-88B3-1F56D1380A5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6.6880802962499999E-2</v>
      </c>
      <c r="B1">
        <v>0.19390236228618518</v>
      </c>
      <c r="C1">
        <f>$H$3*(1+$H$1)*(A1^($H$1))*EXP(-$H$3*(A1^(1+$H$1)))</f>
        <v>0.23513987177429696</v>
      </c>
      <c r="D1">
        <f>B1-C1</f>
        <v>-4.1237509488111779E-2</v>
      </c>
      <c r="E1">
        <f>D1^2</f>
        <v>1.7005321887821089E-3</v>
      </c>
      <c r="G1" t="s">
        <v>0</v>
      </c>
      <c r="H1">
        <v>0.64828755701514518</v>
      </c>
    </row>
    <row r="2" spans="1:8" x14ac:dyDescent="0.25">
      <c r="A2">
        <v>0.20062886888750003</v>
      </c>
      <c r="B2">
        <v>0.47137523422598043</v>
      </c>
      <c r="C2">
        <f t="shared" ref="C2:C40" si="0">$H$3*(1+$H$1)*(A2^($H$1))*EXP(-$H$3*(A2^(1+$H$1)))</f>
        <v>0.45626799216960734</v>
      </c>
      <c r="D2">
        <f t="shared" ref="D2:D40" si="1">B2-C2</f>
        <v>1.5107242056373094E-2</v>
      </c>
      <c r="E2">
        <f t="shared" ref="E2:E40" si="2">D2^2</f>
        <v>2.2822876254984794E-4</v>
      </c>
    </row>
    <row r="3" spans="1:8" x14ac:dyDescent="0.25">
      <c r="A3">
        <v>0.33437693481250003</v>
      </c>
      <c r="B3">
        <v>0.60987692157325557</v>
      </c>
      <c r="C3">
        <f t="shared" si="0"/>
        <v>0.58782100632507095</v>
      </c>
      <c r="D3">
        <f t="shared" si="1"/>
        <v>2.2055915248184621E-2</v>
      </c>
      <c r="E3">
        <f t="shared" si="2"/>
        <v>4.8646339743510286E-4</v>
      </c>
      <c r="G3" t="s">
        <v>1</v>
      </c>
      <c r="H3">
        <f>(_xlfn.GAMMA((2+$H$1)/(1+$H$1)))^(1+$H$1)</f>
        <v>0.83180102941996859</v>
      </c>
    </row>
    <row r="4" spans="1:8" x14ac:dyDescent="0.25">
      <c r="A4">
        <v>0.46812500073750002</v>
      </c>
      <c r="B4">
        <v>0.66339960753118565</v>
      </c>
      <c r="C4">
        <f t="shared" si="0"/>
        <v>0.66064061362639015</v>
      </c>
      <c r="D4">
        <f t="shared" si="1"/>
        <v>2.7589939047955037E-3</v>
      </c>
      <c r="E4">
        <f t="shared" si="2"/>
        <v>7.6120473666987406E-6</v>
      </c>
    </row>
    <row r="5" spans="1:8" x14ac:dyDescent="0.25">
      <c r="A5">
        <v>0.60187306666250007</v>
      </c>
      <c r="B5">
        <v>0.69063044775539562</v>
      </c>
      <c r="C5">
        <f t="shared" si="0"/>
        <v>0.68811688504221091</v>
      </c>
      <c r="D5">
        <f t="shared" si="1"/>
        <v>2.5135627131847027E-3</v>
      </c>
      <c r="E5">
        <f t="shared" si="2"/>
        <v>6.3179975131124437E-6</v>
      </c>
      <c r="G5" t="s">
        <v>2</v>
      </c>
      <c r="H5">
        <f>SUM(E1:E40)</f>
        <v>4.2364754862899163E-3</v>
      </c>
    </row>
    <row r="6" spans="1:8" x14ac:dyDescent="0.25">
      <c r="A6">
        <v>0.73562113258749995</v>
      </c>
      <c r="B6">
        <v>0.69767290643407065</v>
      </c>
      <c r="C6">
        <f t="shared" si="0"/>
        <v>0.6805017500672037</v>
      </c>
      <c r="D6">
        <f t="shared" si="1"/>
        <v>1.7171156366866946E-2</v>
      </c>
      <c r="E6">
        <f t="shared" si="2"/>
        <v>2.9484861097539528E-4</v>
      </c>
    </row>
    <row r="7" spans="1:8" x14ac:dyDescent="0.25">
      <c r="A7">
        <v>0.86936919851250005</v>
      </c>
      <c r="B7">
        <v>0.65494865711677563</v>
      </c>
      <c r="C7">
        <f t="shared" si="0"/>
        <v>0.64688772673371953</v>
      </c>
      <c r="D7">
        <f t="shared" si="1"/>
        <v>8.0609303830561085E-3</v>
      </c>
      <c r="E7">
        <f t="shared" si="2"/>
        <v>6.4978598640477102E-5</v>
      </c>
    </row>
    <row r="8" spans="1:8" x14ac:dyDescent="0.25">
      <c r="A8">
        <v>1.0031172644374999</v>
      </c>
      <c r="B8">
        <v>0.56950015848218549</v>
      </c>
      <c r="C8">
        <f t="shared" si="0"/>
        <v>0.59542095736479872</v>
      </c>
      <c r="D8">
        <f t="shared" si="1"/>
        <v>-2.5920798882613227E-2</v>
      </c>
      <c r="E8">
        <f t="shared" si="2"/>
        <v>6.7188781471288312E-4</v>
      </c>
    </row>
    <row r="9" spans="1:8" x14ac:dyDescent="0.25">
      <c r="A9">
        <v>1.1368653303625003</v>
      </c>
      <c r="B9">
        <v>0.51691646701474547</v>
      </c>
      <c r="C9">
        <f t="shared" si="0"/>
        <v>0.53317097046518069</v>
      </c>
      <c r="D9">
        <f t="shared" si="1"/>
        <v>-1.625450345043522E-2</v>
      </c>
      <c r="E9">
        <f t="shared" si="2"/>
        <v>2.6420888242021046E-4</v>
      </c>
    </row>
    <row r="10" spans="1:8" x14ac:dyDescent="0.25">
      <c r="A10">
        <v>1.2706133962875001</v>
      </c>
      <c r="B10">
        <v>0.45729031686863042</v>
      </c>
      <c r="C10">
        <f t="shared" si="0"/>
        <v>0.46599427096388357</v>
      </c>
      <c r="D10">
        <f t="shared" si="1"/>
        <v>-8.7039540952531524E-3</v>
      </c>
      <c r="E10">
        <f t="shared" si="2"/>
        <v>7.5758816892274123E-5</v>
      </c>
    </row>
    <row r="11" spans="1:8" x14ac:dyDescent="0.25">
      <c r="A11">
        <v>1.4043614622125</v>
      </c>
      <c r="B11">
        <v>0.40235913917496535</v>
      </c>
      <c r="C11">
        <f t="shared" si="0"/>
        <v>0.39848082977360239</v>
      </c>
      <c r="D11">
        <f t="shared" si="1"/>
        <v>3.8783094013629671E-3</v>
      </c>
      <c r="E11">
        <f t="shared" si="2"/>
        <v>1.5041283812700376E-5</v>
      </c>
    </row>
    <row r="12" spans="1:8" x14ac:dyDescent="0.25">
      <c r="A12">
        <v>1.5381095281375001</v>
      </c>
      <c r="B12">
        <v>0.33099555789772528</v>
      </c>
      <c r="C12">
        <f t="shared" si="0"/>
        <v>0.33399415547870176</v>
      </c>
      <c r="D12">
        <f t="shared" si="1"/>
        <v>-2.9985975809764809E-3</v>
      </c>
      <c r="E12">
        <f t="shared" si="2"/>
        <v>8.9915874526380032E-6</v>
      </c>
    </row>
    <row r="13" spans="1:8" x14ac:dyDescent="0.25">
      <c r="A13">
        <v>1.6718575940625002</v>
      </c>
      <c r="B13">
        <v>0.28592382235420527</v>
      </c>
      <c r="C13">
        <f t="shared" si="0"/>
        <v>0.27478728932382607</v>
      </c>
      <c r="D13">
        <f t="shared" si="1"/>
        <v>1.1136533030379203E-2</v>
      </c>
      <c r="E13">
        <f t="shared" si="2"/>
        <v>1.2402236793672701E-4</v>
      </c>
    </row>
    <row r="14" spans="1:8" x14ac:dyDescent="0.25">
      <c r="A14">
        <v>1.8056056599875001</v>
      </c>
      <c r="B14">
        <v>0.2178467217936802</v>
      </c>
      <c r="C14">
        <f t="shared" si="0"/>
        <v>0.22216819383256636</v>
      </c>
      <c r="D14">
        <f t="shared" si="1"/>
        <v>-4.3214720388861649E-3</v>
      </c>
      <c r="E14">
        <f t="shared" si="2"/>
        <v>1.8675120582874947E-5</v>
      </c>
    </row>
    <row r="15" spans="1:8" x14ac:dyDescent="0.25">
      <c r="A15">
        <v>1.9393537259125</v>
      </c>
      <c r="B15">
        <v>0.17042750002393514</v>
      </c>
      <c r="C15">
        <f t="shared" si="0"/>
        <v>0.17668812011271232</v>
      </c>
      <c r="D15">
        <f t="shared" si="1"/>
        <v>-6.2606200887771746E-3</v>
      </c>
      <c r="E15">
        <f t="shared" si="2"/>
        <v>3.9195363896000315E-5</v>
      </c>
    </row>
    <row r="16" spans="1:8" x14ac:dyDescent="0.25">
      <c r="A16">
        <v>2.0731017918374999</v>
      </c>
      <c r="B16">
        <v>0.13709319561154013</v>
      </c>
      <c r="C16">
        <f t="shared" si="0"/>
        <v>0.13833091280423415</v>
      </c>
      <c r="D16">
        <f t="shared" si="1"/>
        <v>-1.2377171926940267E-3</v>
      </c>
      <c r="E16">
        <f t="shared" si="2"/>
        <v>1.5319438490903825E-6</v>
      </c>
    </row>
    <row r="17" spans="1:5" x14ac:dyDescent="0.25">
      <c r="A17">
        <v>2.2068498577625002</v>
      </c>
      <c r="B17">
        <v>9.530794078473509E-2</v>
      </c>
      <c r="C17">
        <f t="shared" si="0"/>
        <v>0.10668724283703554</v>
      </c>
      <c r="D17">
        <f t="shared" si="1"/>
        <v>-1.137930205230045E-2</v>
      </c>
      <c r="E17">
        <f t="shared" si="2"/>
        <v>1.2948851519748922E-4</v>
      </c>
    </row>
    <row r="18" spans="1:5" x14ac:dyDescent="0.25">
      <c r="A18">
        <v>2.3405979236875005</v>
      </c>
      <c r="B18">
        <v>8.0753526182140073E-2</v>
      </c>
      <c r="C18">
        <f t="shared" si="0"/>
        <v>8.1103895841110149E-2</v>
      </c>
      <c r="D18">
        <f t="shared" si="1"/>
        <v>-3.503696589700761E-4</v>
      </c>
      <c r="E18">
        <f t="shared" si="2"/>
        <v>1.2275889792680743E-7</v>
      </c>
    </row>
    <row r="19" spans="1:5" x14ac:dyDescent="0.25">
      <c r="A19">
        <v>2.4743459896125</v>
      </c>
      <c r="B19">
        <v>5.9156652900870056E-2</v>
      </c>
      <c r="C19">
        <f t="shared" si="0"/>
        <v>6.080359955825114E-2</v>
      </c>
      <c r="D19">
        <f t="shared" si="1"/>
        <v>-1.6469466573810834E-3</v>
      </c>
      <c r="E19">
        <f t="shared" si="2"/>
        <v>2.7124332922587238E-6</v>
      </c>
    </row>
    <row r="20" spans="1:5" x14ac:dyDescent="0.25">
      <c r="A20">
        <v>2.6080940555375003</v>
      </c>
      <c r="B20">
        <v>4.554123278876504E-2</v>
      </c>
      <c r="C20">
        <f t="shared" si="0"/>
        <v>4.4975023150978552E-2</v>
      </c>
      <c r="D20">
        <f t="shared" si="1"/>
        <v>5.6620963778648836E-4</v>
      </c>
      <c r="E20">
        <f t="shared" si="2"/>
        <v>3.2059335392230636E-7</v>
      </c>
    </row>
    <row r="21" spans="1:5" x14ac:dyDescent="0.25">
      <c r="A21">
        <v>2.7418421214625002</v>
      </c>
      <c r="B21">
        <v>3.0047823695680029E-2</v>
      </c>
      <c r="C21">
        <f t="shared" si="0"/>
        <v>3.2835425567703337E-2</v>
      </c>
      <c r="D21">
        <f t="shared" si="1"/>
        <v>-2.7876018720233084E-3</v>
      </c>
      <c r="E21">
        <f t="shared" si="2"/>
        <v>7.7707241969078542E-6</v>
      </c>
    </row>
    <row r="22" spans="1:5" x14ac:dyDescent="0.25">
      <c r="A22">
        <v>2.8755901873875001</v>
      </c>
      <c r="B22">
        <v>2.4883353997985021E-2</v>
      </c>
      <c r="C22">
        <f t="shared" si="0"/>
        <v>2.367007850692552E-2</v>
      </c>
      <c r="D22">
        <f t="shared" si="1"/>
        <v>1.2132754910595019E-3</v>
      </c>
      <c r="E22">
        <f t="shared" si="2"/>
        <v>1.4720374172056754E-6</v>
      </c>
    </row>
    <row r="23" spans="1:5" x14ac:dyDescent="0.25">
      <c r="A23">
        <v>3.0093382533125004</v>
      </c>
      <c r="B23">
        <v>1.9249387055045017E-2</v>
      </c>
      <c r="C23">
        <f t="shared" si="0"/>
        <v>1.6853265088590627E-2</v>
      </c>
      <c r="D23">
        <f t="shared" si="1"/>
        <v>2.3961219664543898E-3</v>
      </c>
      <c r="E23">
        <f t="shared" si="2"/>
        <v>5.7414004781252516E-6</v>
      </c>
    </row>
    <row r="24" spans="1:5" x14ac:dyDescent="0.25">
      <c r="A24">
        <v>3.1430863192374998</v>
      </c>
      <c r="B24">
        <v>1.4084917357350013E-2</v>
      </c>
      <c r="C24">
        <f t="shared" si="0"/>
        <v>1.185562200818917E-2</v>
      </c>
      <c r="D24">
        <f t="shared" si="1"/>
        <v>2.2292953491608435E-3</v>
      </c>
      <c r="E24">
        <f t="shared" si="2"/>
        <v>4.9697577537901672E-6</v>
      </c>
    </row>
    <row r="25" spans="1:5" x14ac:dyDescent="0.25">
      <c r="A25">
        <v>3.2768343851625001</v>
      </c>
      <c r="B25">
        <v>1.6432403583575016E-2</v>
      </c>
      <c r="C25">
        <f t="shared" si="0"/>
        <v>8.2421053547491394E-3</v>
      </c>
      <c r="D25">
        <f t="shared" si="1"/>
        <v>8.190298228825877E-3</v>
      </c>
      <c r="E25">
        <f t="shared" si="2"/>
        <v>6.7080985077108292E-5</v>
      </c>
    </row>
    <row r="26" spans="1:5" x14ac:dyDescent="0.25">
      <c r="A26">
        <v>3.4105824510875005</v>
      </c>
      <c r="B26">
        <v>6.1034641881850052E-3</v>
      </c>
      <c r="C26">
        <f t="shared" si="0"/>
        <v>5.6641341988622725E-3</v>
      </c>
      <c r="D26">
        <f t="shared" si="1"/>
        <v>4.393299893227327E-4</v>
      </c>
      <c r="E26">
        <f t="shared" si="2"/>
        <v>1.9301083951831244E-7</v>
      </c>
    </row>
    <row r="27" spans="1:5" x14ac:dyDescent="0.25">
      <c r="A27">
        <v>3.5443305170125008</v>
      </c>
      <c r="B27">
        <v>2.347486226225002E-3</v>
      </c>
      <c r="C27">
        <f t="shared" si="0"/>
        <v>3.8486655111182122E-3</v>
      </c>
      <c r="D27">
        <f t="shared" si="1"/>
        <v>-1.5011792848932102E-3</v>
      </c>
      <c r="E27">
        <f t="shared" si="2"/>
        <v>2.2535392453924901E-6</v>
      </c>
    </row>
    <row r="28" spans="1:5" x14ac:dyDescent="0.25">
      <c r="A28">
        <v>3.6780785829375002</v>
      </c>
      <c r="B28">
        <v>2.8169834714700027E-3</v>
      </c>
      <c r="C28">
        <f t="shared" si="0"/>
        <v>2.5861902262610402E-3</v>
      </c>
      <c r="D28">
        <f t="shared" si="1"/>
        <v>2.3079324520896248E-4</v>
      </c>
      <c r="E28">
        <f t="shared" si="2"/>
        <v>5.3265522034084283E-8</v>
      </c>
    </row>
    <row r="29" spans="1:5" x14ac:dyDescent="0.25">
      <c r="A29">
        <v>3.8118266488624997</v>
      </c>
      <c r="B29">
        <v>2.8169834714700027E-3</v>
      </c>
      <c r="C29">
        <f t="shared" si="0"/>
        <v>1.7189782799883169E-3</v>
      </c>
      <c r="D29">
        <f t="shared" si="1"/>
        <v>1.0980051914816857E-3</v>
      </c>
      <c r="E29">
        <f t="shared" si="2"/>
        <v>1.2056154005207333E-6</v>
      </c>
    </row>
    <row r="30" spans="1:5" x14ac:dyDescent="0.25">
      <c r="A30">
        <v>3.9455747147875</v>
      </c>
      <c r="B30">
        <v>9.389944904900009E-4</v>
      </c>
      <c r="C30">
        <f t="shared" si="0"/>
        <v>1.1303688497658708E-3</v>
      </c>
      <c r="D30">
        <f t="shared" si="1"/>
        <v>-1.9137435927586992E-4</v>
      </c>
      <c r="E30">
        <f t="shared" si="2"/>
        <v>3.6624145388249742E-8</v>
      </c>
    </row>
    <row r="31" spans="1:5" x14ac:dyDescent="0.25">
      <c r="A31">
        <v>4.0793227807125003</v>
      </c>
      <c r="B31">
        <v>1.8779889809800018E-3</v>
      </c>
      <c r="C31">
        <f t="shared" si="0"/>
        <v>7.3550390853976532E-4</v>
      </c>
      <c r="D31">
        <f t="shared" si="1"/>
        <v>1.1424850724402365E-3</v>
      </c>
      <c r="E31">
        <f t="shared" si="2"/>
        <v>1.3052721407487724E-6</v>
      </c>
    </row>
    <row r="32" spans="1:5" x14ac:dyDescent="0.25">
      <c r="A32">
        <v>4.2130708466374998</v>
      </c>
      <c r="B32">
        <v>4.6949724524500045E-4</v>
      </c>
      <c r="C32">
        <f t="shared" si="0"/>
        <v>4.7362582502220667E-4</v>
      </c>
      <c r="D32">
        <f t="shared" si="1"/>
        <v>-4.1285797772062233E-6</v>
      </c>
      <c r="E32">
        <f t="shared" si="2"/>
        <v>1.7045170976756189E-11</v>
      </c>
    </row>
    <row r="33" spans="1:5" x14ac:dyDescent="0.25">
      <c r="A33">
        <v>4.346818912562501</v>
      </c>
      <c r="B33">
        <v>1.8779889809800018E-3</v>
      </c>
      <c r="C33">
        <f t="shared" si="0"/>
        <v>3.0188241067557304E-4</v>
      </c>
      <c r="D33">
        <f t="shared" si="1"/>
        <v>1.5761065703044288E-3</v>
      </c>
      <c r="E33">
        <f t="shared" si="2"/>
        <v>2.484111920956789E-6</v>
      </c>
    </row>
    <row r="34" spans="1:5" x14ac:dyDescent="0.25">
      <c r="A34">
        <v>4.4805669784875004</v>
      </c>
      <c r="B34">
        <v>4.6949724524500045E-4</v>
      </c>
      <c r="C34">
        <f t="shared" si="0"/>
        <v>1.9048247635718236E-4</v>
      </c>
      <c r="D34">
        <f t="shared" si="1"/>
        <v>2.7901476888781806E-4</v>
      </c>
      <c r="E34">
        <f t="shared" si="2"/>
        <v>7.7849241257522526E-8</v>
      </c>
    </row>
    <row r="35" spans="1:5" x14ac:dyDescent="0.25">
      <c r="A35">
        <v>4.6143150444124998</v>
      </c>
      <c r="B35">
        <v>9.389944904900009E-4</v>
      </c>
      <c r="C35">
        <f t="shared" si="0"/>
        <v>1.1899984530848658E-4</v>
      </c>
      <c r="D35">
        <f t="shared" si="1"/>
        <v>8.1999464518151433E-4</v>
      </c>
      <c r="E35">
        <f t="shared" si="2"/>
        <v>6.7239121812635754E-7</v>
      </c>
    </row>
    <row r="36" spans="1:5" x14ac:dyDescent="0.25">
      <c r="A36">
        <v>4.7480631103375011</v>
      </c>
      <c r="B36">
        <v>0</v>
      </c>
      <c r="C36">
        <f t="shared" si="0"/>
        <v>7.3615320277685943E-5</v>
      </c>
      <c r="D36">
        <f t="shared" si="1"/>
        <v>-7.3615320277685943E-5</v>
      </c>
      <c r="E36">
        <f t="shared" si="2"/>
        <v>5.4192153795862789E-9</v>
      </c>
    </row>
    <row r="37" spans="1:5" x14ac:dyDescent="0.25">
      <c r="A37">
        <v>4.8818111762625005</v>
      </c>
      <c r="B37">
        <v>0</v>
      </c>
      <c r="C37">
        <f t="shared" si="0"/>
        <v>4.5099729671264758E-5</v>
      </c>
      <c r="D37">
        <f t="shared" si="1"/>
        <v>-4.5099729671264758E-5</v>
      </c>
      <c r="E37">
        <f t="shared" si="2"/>
        <v>2.0339856164211587E-9</v>
      </c>
    </row>
    <row r="38" spans="1:5" x14ac:dyDescent="0.25">
      <c r="A38">
        <v>5.0155592421874999</v>
      </c>
      <c r="B38">
        <v>0</v>
      </c>
      <c r="C38">
        <f t="shared" si="0"/>
        <v>2.7366200479665592E-5</v>
      </c>
      <c r="D38">
        <f t="shared" si="1"/>
        <v>-2.7366200479665592E-5</v>
      </c>
      <c r="E38">
        <f t="shared" si="2"/>
        <v>7.4890892869324927E-10</v>
      </c>
    </row>
    <row r="39" spans="1:5" x14ac:dyDescent="0.25">
      <c r="A39">
        <v>5.1493073081124994</v>
      </c>
      <c r="B39">
        <v>0</v>
      </c>
      <c r="C39">
        <f t="shared" si="0"/>
        <v>1.6448960014710908E-5</v>
      </c>
      <c r="D39">
        <f t="shared" si="1"/>
        <v>-1.6448960014710908E-5</v>
      </c>
      <c r="E39">
        <f t="shared" si="2"/>
        <v>2.7056828556555826E-10</v>
      </c>
    </row>
    <row r="40" spans="1:5" x14ac:dyDescent="0.25">
      <c r="A40">
        <v>5.2830553740375006</v>
      </c>
      <c r="B40">
        <v>4.6949724524500045E-4</v>
      </c>
      <c r="C40">
        <f t="shared" si="0"/>
        <v>9.7947221756327659E-6</v>
      </c>
      <c r="D40">
        <f t="shared" si="1"/>
        <v>4.597025230693677E-4</v>
      </c>
      <c r="E40">
        <f t="shared" si="2"/>
        <v>2.1132640971634254E-7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5FE0-3F29-4CA5-9F3C-21CB694AA86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6.5070969937500001E-2</v>
      </c>
      <c r="B1">
        <v>0.14462142180030724</v>
      </c>
      <c r="C1">
        <f>$H$3*(1+$H$1)*(A1^($H$1))*EXP(-$H$3*(A1^(1+$H$1)))</f>
        <v>0.19693757244692175</v>
      </c>
      <c r="D1">
        <f>B1-C1</f>
        <v>-5.2316150646614518E-2</v>
      </c>
      <c r="E1">
        <f>D1^2</f>
        <v>2.7369796184792648E-3</v>
      </c>
      <c r="G1" t="s">
        <v>0</v>
      </c>
      <c r="H1">
        <v>0.71785477747818871</v>
      </c>
    </row>
    <row r="2" spans="1:8" x14ac:dyDescent="0.25">
      <c r="A2">
        <v>0.1943889238125</v>
      </c>
      <c r="B2">
        <v>0.43289365183179213</v>
      </c>
      <c r="C2">
        <f t="shared" ref="C2:C40" si="0">$H$3*(1+$H$1)*(A2^($H$1))*EXP(-$H$3*(A2^(1+$H$1)))</f>
        <v>0.41436785092625456</v>
      </c>
      <c r="D2">
        <f t="shared" ref="D2:D40" si="1">B2-C2</f>
        <v>1.8525800905537571E-2</v>
      </c>
      <c r="E2">
        <f t="shared" ref="E2:E40" si="2">D2^2</f>
        <v>3.4320529919161665E-4</v>
      </c>
    </row>
    <row r="3" spans="1:8" x14ac:dyDescent="0.25">
      <c r="A3">
        <v>0.32370687768750001</v>
      </c>
      <c r="B3">
        <v>0.56975016507906273</v>
      </c>
      <c r="C3">
        <f t="shared" si="0"/>
        <v>0.55769605596974781</v>
      </c>
      <c r="D3">
        <f t="shared" si="1"/>
        <v>1.2054109109314926E-2</v>
      </c>
      <c r="E3">
        <f t="shared" si="2"/>
        <v>1.4530154641926907E-4</v>
      </c>
      <c r="G3" t="s">
        <v>1</v>
      </c>
      <c r="H3">
        <f>(_xlfn.GAMMA((2+$H$1)/(1+$H$1)))^(1+$H$1)</f>
        <v>0.8211489689509216</v>
      </c>
    </row>
    <row r="4" spans="1:8" x14ac:dyDescent="0.25">
      <c r="A4">
        <v>0.45302483156250006</v>
      </c>
      <c r="B4">
        <v>0.68234133909809391</v>
      </c>
      <c r="C4">
        <f t="shared" si="0"/>
        <v>0.64720644256852222</v>
      </c>
      <c r="D4">
        <f t="shared" si="1"/>
        <v>3.5134896529571691E-2</v>
      </c>
      <c r="E4">
        <f t="shared" si="2"/>
        <v>1.2344609541437089E-3</v>
      </c>
    </row>
    <row r="5" spans="1:8" x14ac:dyDescent="0.25">
      <c r="A5">
        <v>0.58234278543750007</v>
      </c>
      <c r="B5">
        <v>0.66875274913027982</v>
      </c>
      <c r="C5">
        <f t="shared" si="0"/>
        <v>0.6917850585136418</v>
      </c>
      <c r="D5">
        <f t="shared" si="1"/>
        <v>-2.3032309383361982E-2</v>
      </c>
      <c r="E5">
        <f t="shared" si="2"/>
        <v>5.3048727553090436E-4</v>
      </c>
      <c r="G5" t="s">
        <v>2</v>
      </c>
      <c r="H5">
        <f>SUM(E1:E40)</f>
        <v>1.0765127188181806E-2</v>
      </c>
    </row>
    <row r="6" spans="1:8" x14ac:dyDescent="0.25">
      <c r="A6">
        <v>0.71166073931250007</v>
      </c>
      <c r="B6">
        <v>0.75076959572172919</v>
      </c>
      <c r="C6">
        <f t="shared" si="0"/>
        <v>0.69912427361144491</v>
      </c>
      <c r="D6">
        <f t="shared" si="1"/>
        <v>5.1645322110284275E-2</v>
      </c>
      <c r="E6">
        <f t="shared" si="2"/>
        <v>2.6672392958750177E-3</v>
      </c>
    </row>
    <row r="7" spans="1:8" x14ac:dyDescent="0.25">
      <c r="A7">
        <v>0.84097869318750007</v>
      </c>
      <c r="B7">
        <v>0.68962094086656578</v>
      </c>
      <c r="C7">
        <f t="shared" si="0"/>
        <v>0.67696508812803557</v>
      </c>
      <c r="D7">
        <f t="shared" si="1"/>
        <v>1.2655852738530204E-2</v>
      </c>
      <c r="E7">
        <f t="shared" si="2"/>
        <v>1.6017060853936246E-4</v>
      </c>
    </row>
    <row r="8" spans="1:8" x14ac:dyDescent="0.25">
      <c r="A8">
        <v>0.97029664706249996</v>
      </c>
      <c r="B8">
        <v>0.60080979929120926</v>
      </c>
      <c r="C8">
        <f t="shared" si="0"/>
        <v>0.63297953538930907</v>
      </c>
      <c r="D8">
        <f t="shared" si="1"/>
        <v>-3.216973609809981E-2</v>
      </c>
      <c r="E8">
        <f t="shared" si="2"/>
        <v>1.034891920621386E-3</v>
      </c>
    </row>
    <row r="9" spans="1:8" x14ac:dyDescent="0.25">
      <c r="A9">
        <v>1.0996146009375001</v>
      </c>
      <c r="B9">
        <v>0.56198525652602616</v>
      </c>
      <c r="C9">
        <f t="shared" si="0"/>
        <v>0.57438669695325517</v>
      </c>
      <c r="D9">
        <f t="shared" si="1"/>
        <v>-1.2401440427229016E-2</v>
      </c>
      <c r="E9">
        <f t="shared" si="2"/>
        <v>1.5379572467011019E-4</v>
      </c>
    </row>
    <row r="10" spans="1:8" x14ac:dyDescent="0.25">
      <c r="A10">
        <v>1.2289325548124999</v>
      </c>
      <c r="B10">
        <v>0.50374844237825134</v>
      </c>
      <c r="C10">
        <f t="shared" si="0"/>
        <v>0.50759136748480538</v>
      </c>
      <c r="D10">
        <f t="shared" si="1"/>
        <v>-3.8429251065540404E-3</v>
      </c>
      <c r="E10">
        <f t="shared" si="2"/>
        <v>1.4768073374583383E-5</v>
      </c>
    </row>
    <row r="11" spans="1:8" x14ac:dyDescent="0.25">
      <c r="A11">
        <v>1.3582505086875001</v>
      </c>
      <c r="B11">
        <v>0.40959892617268223</v>
      </c>
      <c r="C11">
        <f t="shared" si="0"/>
        <v>0.43793692983119276</v>
      </c>
      <c r="D11">
        <f t="shared" si="1"/>
        <v>-2.8338003658510524E-2</v>
      </c>
      <c r="E11">
        <f t="shared" si="2"/>
        <v>8.0304245134975587E-4</v>
      </c>
    </row>
    <row r="12" spans="1:8" x14ac:dyDescent="0.25">
      <c r="A12">
        <v>1.4875684625625001</v>
      </c>
      <c r="B12">
        <v>0.3741715308994526</v>
      </c>
      <c r="C12">
        <f t="shared" si="0"/>
        <v>0.36959188691221273</v>
      </c>
      <c r="D12">
        <f t="shared" si="1"/>
        <v>4.5796439872398675E-3</v>
      </c>
      <c r="E12">
        <f t="shared" si="2"/>
        <v>2.0973139049862272E-5</v>
      </c>
    </row>
    <row r="13" spans="1:8" x14ac:dyDescent="0.25">
      <c r="A13">
        <v>1.6168864164375001</v>
      </c>
      <c r="B13">
        <v>0.30768450141407649</v>
      </c>
      <c r="C13">
        <f t="shared" si="0"/>
        <v>0.30555681676074964</v>
      </c>
      <c r="D13">
        <f t="shared" si="1"/>
        <v>2.1276846533268556E-3</v>
      </c>
      <c r="E13">
        <f t="shared" si="2"/>
        <v>4.5270419840026214E-6</v>
      </c>
    </row>
    <row r="14" spans="1:8" x14ac:dyDescent="0.25">
      <c r="A14">
        <v>1.7462043703124999</v>
      </c>
      <c r="B14">
        <v>0.26400689080324541</v>
      </c>
      <c r="C14">
        <f t="shared" si="0"/>
        <v>0.24776368280046118</v>
      </c>
      <c r="D14">
        <f t="shared" si="1"/>
        <v>1.6243208002784226E-2</v>
      </c>
      <c r="E14">
        <f t="shared" si="2"/>
        <v>2.6384180622171353E-4</v>
      </c>
    </row>
    <row r="15" spans="1:8" x14ac:dyDescent="0.25">
      <c r="A15">
        <v>1.8755223241875001</v>
      </c>
      <c r="B15">
        <v>0.18004881707353687</v>
      </c>
      <c r="C15">
        <f t="shared" si="0"/>
        <v>0.19723486657481948</v>
      </c>
      <c r="D15">
        <f t="shared" si="1"/>
        <v>-1.7186049501282608E-2</v>
      </c>
      <c r="E15">
        <f t="shared" si="2"/>
        <v>2.9536029746053617E-4</v>
      </c>
    </row>
    <row r="16" spans="1:8" x14ac:dyDescent="0.25">
      <c r="A16">
        <v>2.0048402780625003</v>
      </c>
      <c r="B16">
        <v>0.15384225070703825</v>
      </c>
      <c r="C16">
        <f t="shared" si="0"/>
        <v>0.15427106953232914</v>
      </c>
      <c r="D16">
        <f t="shared" si="1"/>
        <v>-4.2881882529088866E-4</v>
      </c>
      <c r="E16">
        <f t="shared" si="2"/>
        <v>1.8388558492385768E-7</v>
      </c>
    </row>
    <row r="17" spans="1:5" x14ac:dyDescent="0.25">
      <c r="A17">
        <v>2.1341582319375001</v>
      </c>
      <c r="B17">
        <v>0.10385565189686494</v>
      </c>
      <c r="C17">
        <f t="shared" si="0"/>
        <v>0.11864264449934223</v>
      </c>
      <c r="D17">
        <f t="shared" si="1"/>
        <v>-1.4786992602477289E-2</v>
      </c>
      <c r="E17">
        <f t="shared" si="2"/>
        <v>2.1865515022571807E-4</v>
      </c>
    </row>
    <row r="18" spans="1:5" x14ac:dyDescent="0.25">
      <c r="A18">
        <v>2.2634761858125003</v>
      </c>
      <c r="B18">
        <v>9.2693595851874769E-2</v>
      </c>
      <c r="C18">
        <f t="shared" si="0"/>
        <v>8.9765915722968298E-2</v>
      </c>
      <c r="D18">
        <f t="shared" si="1"/>
        <v>2.9276801289064708E-3</v>
      </c>
      <c r="E18">
        <f t="shared" si="2"/>
        <v>8.5713109371938102E-6</v>
      </c>
    </row>
    <row r="19" spans="1:5" x14ac:dyDescent="0.25">
      <c r="A19">
        <v>2.3927941396875001</v>
      </c>
      <c r="B19">
        <v>5.9692734501469093E-2</v>
      </c>
      <c r="C19">
        <f t="shared" si="0"/>
        <v>6.685313373753389E-2</v>
      </c>
      <c r="D19">
        <f t="shared" si="1"/>
        <v>-7.1603992360647975E-3</v>
      </c>
      <c r="E19">
        <f t="shared" si="2"/>
        <v>5.1271317219837337E-5</v>
      </c>
    </row>
    <row r="20" spans="1:5" x14ac:dyDescent="0.25">
      <c r="A20">
        <v>2.5221120935624999</v>
      </c>
      <c r="B20">
        <v>4.8530678456478939E-2</v>
      </c>
      <c r="C20">
        <f t="shared" si="0"/>
        <v>4.9030914599502227E-2</v>
      </c>
      <c r="D20">
        <f t="shared" si="1"/>
        <v>-5.0023614302328878E-4</v>
      </c>
      <c r="E20">
        <f t="shared" si="2"/>
        <v>2.5023619878681623E-7</v>
      </c>
    </row>
    <row r="21" spans="1:5" x14ac:dyDescent="0.25">
      <c r="A21">
        <v>2.6514300474375005</v>
      </c>
      <c r="B21">
        <v>3.3971474919535255E-2</v>
      </c>
      <c r="C21">
        <f t="shared" si="0"/>
        <v>3.5426821699700232E-2</v>
      </c>
      <c r="D21">
        <f t="shared" si="1"/>
        <v>-1.4553467801649775E-3</v>
      </c>
      <c r="E21">
        <f t="shared" si="2"/>
        <v>2.1180342505365672E-6</v>
      </c>
    </row>
    <row r="22" spans="1:5" x14ac:dyDescent="0.25">
      <c r="A22">
        <v>2.7807480013125003</v>
      </c>
      <c r="B22">
        <v>2.4265339228239469E-2</v>
      </c>
      <c r="C22">
        <f t="shared" si="0"/>
        <v>2.5227020744667941E-2</v>
      </c>
      <c r="D22">
        <f t="shared" si="1"/>
        <v>-9.6168151642847186E-4</v>
      </c>
      <c r="E22">
        <f t="shared" si="2"/>
        <v>9.2483133904016523E-7</v>
      </c>
    </row>
    <row r="23" spans="1:5" x14ac:dyDescent="0.25">
      <c r="A23">
        <v>2.9100659551875001</v>
      </c>
      <c r="B23">
        <v>2.378003244367468E-2</v>
      </c>
      <c r="C23">
        <f t="shared" si="0"/>
        <v>1.7709790586551935E-2</v>
      </c>
      <c r="D23">
        <f t="shared" si="1"/>
        <v>6.0702418571227448E-3</v>
      </c>
      <c r="E23">
        <f t="shared" si="2"/>
        <v>3.6847836203964993E-5</v>
      </c>
    </row>
    <row r="24" spans="1:5" x14ac:dyDescent="0.25">
      <c r="A24">
        <v>3.0393839090624999</v>
      </c>
      <c r="B24">
        <v>1.6500430675202838E-2</v>
      </c>
      <c r="C24">
        <f t="shared" si="0"/>
        <v>1.2260369336916854E-2</v>
      </c>
      <c r="D24">
        <f t="shared" si="1"/>
        <v>4.2400613382859841E-3</v>
      </c>
      <c r="E24">
        <f t="shared" si="2"/>
        <v>1.7978120152427531E-5</v>
      </c>
    </row>
    <row r="25" spans="1:5" x14ac:dyDescent="0.25">
      <c r="A25">
        <v>3.1687018629375001</v>
      </c>
      <c r="B25">
        <v>1.1647362829554945E-2</v>
      </c>
      <c r="C25">
        <f t="shared" si="0"/>
        <v>8.3724793454606795E-3</v>
      </c>
      <c r="D25">
        <f t="shared" si="1"/>
        <v>3.2748834840942657E-3</v>
      </c>
      <c r="E25">
        <f t="shared" si="2"/>
        <v>1.0724861834393396E-5</v>
      </c>
    </row>
    <row r="26" spans="1:5" x14ac:dyDescent="0.25">
      <c r="A26">
        <v>3.2980198168125003</v>
      </c>
      <c r="B26">
        <v>6.7942949839070515E-3</v>
      </c>
      <c r="C26">
        <f t="shared" si="0"/>
        <v>5.6412203490290693E-3</v>
      </c>
      <c r="D26">
        <f t="shared" si="1"/>
        <v>1.1530746348779822E-3</v>
      </c>
      <c r="E26">
        <f t="shared" si="2"/>
        <v>1.329581113598992E-6</v>
      </c>
    </row>
    <row r="27" spans="1:5" x14ac:dyDescent="0.25">
      <c r="A27">
        <v>3.4273377706875001</v>
      </c>
      <c r="B27">
        <v>3.3971474919535258E-3</v>
      </c>
      <c r="C27">
        <f t="shared" si="0"/>
        <v>3.7511126672221504E-3</v>
      </c>
      <c r="D27">
        <f t="shared" si="1"/>
        <v>-3.5396517526862462E-4</v>
      </c>
      <c r="E27">
        <f t="shared" si="2"/>
        <v>1.2529134530294815E-7</v>
      </c>
    </row>
    <row r="28" spans="1:5" x14ac:dyDescent="0.25">
      <c r="A28">
        <v>3.5566557245624999</v>
      </c>
      <c r="B28">
        <v>4.3677610610831042E-3</v>
      </c>
      <c r="C28">
        <f t="shared" si="0"/>
        <v>2.4621100821847165E-3</v>
      </c>
      <c r="D28">
        <f t="shared" si="1"/>
        <v>1.9056509788983877E-3</v>
      </c>
      <c r="E28">
        <f t="shared" si="2"/>
        <v>3.6315056533763833E-6</v>
      </c>
    </row>
    <row r="29" spans="1:5" x14ac:dyDescent="0.25">
      <c r="A29">
        <v>3.6859736784374997</v>
      </c>
      <c r="B29">
        <v>1.9412271382591576E-3</v>
      </c>
      <c r="C29">
        <f t="shared" si="0"/>
        <v>1.5955150126499382E-3</v>
      </c>
      <c r="D29">
        <f t="shared" si="1"/>
        <v>3.457121256092194E-4</v>
      </c>
      <c r="E29">
        <f t="shared" si="2"/>
        <v>1.195168737932447E-7</v>
      </c>
    </row>
    <row r="30" spans="1:5" x14ac:dyDescent="0.25">
      <c r="A30">
        <v>3.8152916323125003</v>
      </c>
      <c r="B30">
        <v>9.706135691295788E-4</v>
      </c>
      <c r="C30">
        <f t="shared" si="0"/>
        <v>1.020987452565701E-3</v>
      </c>
      <c r="D30">
        <f t="shared" si="1"/>
        <v>-5.0373883436122149E-5</v>
      </c>
      <c r="E30">
        <f t="shared" si="2"/>
        <v>2.5375281324360214E-9</v>
      </c>
    </row>
    <row r="31" spans="1:5" x14ac:dyDescent="0.25">
      <c r="A31">
        <v>3.9446095861875001</v>
      </c>
      <c r="B31">
        <v>1.4559203536943682E-3</v>
      </c>
      <c r="C31">
        <f t="shared" si="0"/>
        <v>6.4526913455524289E-4</v>
      </c>
      <c r="D31">
        <f t="shared" si="1"/>
        <v>8.1065121913912526E-4</v>
      </c>
      <c r="E31">
        <f t="shared" si="2"/>
        <v>6.5715539909175011E-7</v>
      </c>
    </row>
    <row r="32" spans="1:5" x14ac:dyDescent="0.25">
      <c r="A32">
        <v>4.0739275400625008</v>
      </c>
      <c r="B32">
        <v>1.4559203536943682E-3</v>
      </c>
      <c r="C32">
        <f t="shared" si="0"/>
        <v>4.0284008150208867E-4</v>
      </c>
      <c r="D32">
        <f t="shared" si="1"/>
        <v>1.0530802721922794E-3</v>
      </c>
      <c r="E32">
        <f t="shared" si="2"/>
        <v>1.1089780596805654E-6</v>
      </c>
    </row>
    <row r="33" spans="1:5" x14ac:dyDescent="0.25">
      <c r="A33">
        <v>4.2032454939374997</v>
      </c>
      <c r="B33">
        <v>9.706135691295788E-4</v>
      </c>
      <c r="C33">
        <f t="shared" si="0"/>
        <v>2.4846313569208375E-4</v>
      </c>
      <c r="D33">
        <f t="shared" si="1"/>
        <v>7.2215043343749506E-4</v>
      </c>
      <c r="E33">
        <f t="shared" si="2"/>
        <v>5.21501248513962E-7</v>
      </c>
    </row>
    <row r="34" spans="1:5" x14ac:dyDescent="0.25">
      <c r="A34">
        <v>4.3325634478125004</v>
      </c>
      <c r="B34">
        <v>9.706135691295788E-4</v>
      </c>
      <c r="C34">
        <f t="shared" si="0"/>
        <v>1.5142279125165628E-4</v>
      </c>
      <c r="D34">
        <f t="shared" si="1"/>
        <v>8.1919077787792247E-4</v>
      </c>
      <c r="E34">
        <f t="shared" si="2"/>
        <v>6.7107353056023567E-7</v>
      </c>
    </row>
    <row r="35" spans="1:5" x14ac:dyDescent="0.25">
      <c r="A35">
        <v>4.4618814016875001</v>
      </c>
      <c r="B35">
        <v>4.853067845647894E-4</v>
      </c>
      <c r="C35">
        <f t="shared" si="0"/>
        <v>9.1196813694172086E-5</v>
      </c>
      <c r="D35">
        <f t="shared" si="1"/>
        <v>3.9410997087061732E-4</v>
      </c>
      <c r="E35">
        <f t="shared" si="2"/>
        <v>1.5532266913963882E-7</v>
      </c>
    </row>
    <row r="36" spans="1:5" x14ac:dyDescent="0.25">
      <c r="A36">
        <v>4.5911993555624999</v>
      </c>
      <c r="B36">
        <v>0</v>
      </c>
      <c r="C36">
        <f t="shared" si="0"/>
        <v>5.4285430820047103E-5</v>
      </c>
      <c r="D36">
        <f t="shared" si="1"/>
        <v>-5.4285430820047103E-5</v>
      </c>
      <c r="E36">
        <f t="shared" si="2"/>
        <v>2.9469079993181198E-9</v>
      </c>
    </row>
    <row r="37" spans="1:5" x14ac:dyDescent="0.25">
      <c r="A37">
        <v>4.7205173094375006</v>
      </c>
      <c r="B37">
        <v>0</v>
      </c>
      <c r="C37">
        <f t="shared" si="0"/>
        <v>3.194150709190245E-5</v>
      </c>
      <c r="D37">
        <f t="shared" si="1"/>
        <v>-3.194150709190245E-5</v>
      </c>
      <c r="E37">
        <f t="shared" si="2"/>
        <v>1.0202598753020544E-9</v>
      </c>
    </row>
    <row r="38" spans="1:5" x14ac:dyDescent="0.25">
      <c r="A38">
        <v>4.8498352633125004</v>
      </c>
      <c r="B38">
        <v>0</v>
      </c>
      <c r="C38">
        <f t="shared" si="0"/>
        <v>1.8580044012837206E-5</v>
      </c>
      <c r="D38">
        <f t="shared" si="1"/>
        <v>-1.8580044012837206E-5</v>
      </c>
      <c r="E38">
        <f t="shared" si="2"/>
        <v>3.4521803551896775E-10</v>
      </c>
    </row>
    <row r="39" spans="1:5" x14ac:dyDescent="0.25">
      <c r="A39">
        <v>4.9791532171875001</v>
      </c>
      <c r="B39">
        <v>0</v>
      </c>
      <c r="C39">
        <f t="shared" si="0"/>
        <v>1.068576642295366E-5</v>
      </c>
      <c r="D39">
        <f t="shared" si="1"/>
        <v>-1.068576642295366E-5</v>
      </c>
      <c r="E39">
        <f t="shared" si="2"/>
        <v>1.1418560404592386E-10</v>
      </c>
    </row>
    <row r="40" spans="1:5" x14ac:dyDescent="0.25">
      <c r="A40">
        <v>5.1084711710625008</v>
      </c>
      <c r="B40">
        <v>4.853067845647894E-4</v>
      </c>
      <c r="C40">
        <f t="shared" si="0"/>
        <v>6.0768489540134775E-6</v>
      </c>
      <c r="D40">
        <f t="shared" si="1"/>
        <v>4.7922993561077594E-4</v>
      </c>
      <c r="E40">
        <f t="shared" si="2"/>
        <v>2.2966133118550844E-7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B0EF-7D7E-4E92-BD92-A7DB3C5D206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6.2508185075E-2</v>
      </c>
      <c r="B1">
        <v>0.10905409696960346</v>
      </c>
      <c r="C1">
        <f>$H$3*(1+$H$1)*(A1^($H$1))*EXP(-$H$3*(A1^(1+$H$1)))</f>
        <v>0.15587963974992664</v>
      </c>
      <c r="D1">
        <f>B1-C1</f>
        <v>-4.6825542780323179E-2</v>
      </c>
      <c r="E1">
        <f>D1^2</f>
        <v>2.1926314566718761E-3</v>
      </c>
      <c r="G1" t="s">
        <v>0</v>
      </c>
      <c r="H1">
        <v>0.80497675062672114</v>
      </c>
    </row>
    <row r="2" spans="1:8" x14ac:dyDescent="0.25">
      <c r="A2">
        <v>0.18741955522499998</v>
      </c>
      <c r="B2">
        <v>0.36636145940479686</v>
      </c>
      <c r="C2">
        <f t="shared" ref="C2:C40" si="0">$H$3*(1+$H$1)*(A2^($H$1))*EXP(-$H$3*(A2^(1+$H$1)))</f>
        <v>0.36468361328325982</v>
      </c>
      <c r="D2">
        <f t="shared" ref="D2:D40" si="1">B2-C2</f>
        <v>1.677846121537041E-3</v>
      </c>
      <c r="E2">
        <f t="shared" ref="E2:E40" si="2">D2^2</f>
        <v>2.8151676075568912E-6</v>
      </c>
    </row>
    <row r="3" spans="1:8" x14ac:dyDescent="0.25">
      <c r="A3">
        <v>0.31233092537500001</v>
      </c>
      <c r="B3">
        <v>0.52516834715776783</v>
      </c>
      <c r="C3">
        <f t="shared" si="0"/>
        <v>0.51827910220980666</v>
      </c>
      <c r="D3">
        <f t="shared" si="1"/>
        <v>6.8892449479611706E-3</v>
      </c>
      <c r="E3">
        <f t="shared" si="2"/>
        <v>4.7461695953008512E-5</v>
      </c>
      <c r="G3" t="s">
        <v>1</v>
      </c>
      <c r="H3">
        <f>(_xlfn.GAMMA((2+$H$1)/(1+$H$1)))^(1+$H$1)</f>
        <v>0.80894275576138797</v>
      </c>
    </row>
    <row r="4" spans="1:8" x14ac:dyDescent="0.25">
      <c r="A4">
        <v>0.43724229552499999</v>
      </c>
      <c r="B4">
        <v>0.65834500935567064</v>
      </c>
      <c r="C4">
        <f t="shared" si="0"/>
        <v>0.62553874253027875</v>
      </c>
      <c r="D4">
        <f t="shared" si="1"/>
        <v>3.2806266825391894E-2</v>
      </c>
      <c r="E4">
        <f t="shared" si="2"/>
        <v>1.0762511430188087E-3</v>
      </c>
    </row>
    <row r="5" spans="1:8" x14ac:dyDescent="0.25">
      <c r="A5">
        <v>0.56215366567500002</v>
      </c>
      <c r="B5">
        <v>0.70659013981226937</v>
      </c>
      <c r="C5">
        <f t="shared" si="0"/>
        <v>0.68993340296430283</v>
      </c>
      <c r="D5">
        <f t="shared" si="1"/>
        <v>1.6656736847966536E-2</v>
      </c>
      <c r="E5">
        <f t="shared" si="2"/>
        <v>2.7744688242240618E-4</v>
      </c>
      <c r="G5" t="s">
        <v>2</v>
      </c>
      <c r="H5">
        <f>SUM(E1:E40)</f>
        <v>8.9097762649062908E-3</v>
      </c>
    </row>
    <row r="6" spans="1:8" x14ac:dyDescent="0.25">
      <c r="A6">
        <v>0.687065035825</v>
      </c>
      <c r="B6">
        <v>0.74076377388569359</v>
      </c>
      <c r="C6">
        <f t="shared" si="0"/>
        <v>0.71571249540983939</v>
      </c>
      <c r="D6">
        <f t="shared" si="1"/>
        <v>2.50512784758542E-2</v>
      </c>
      <c r="E6">
        <f t="shared" si="2"/>
        <v>6.2756655327479585E-4</v>
      </c>
    </row>
    <row r="7" spans="1:8" x14ac:dyDescent="0.25">
      <c r="A7">
        <v>0.81197640597499998</v>
      </c>
      <c r="B7">
        <v>0.75131739617307458</v>
      </c>
      <c r="C7">
        <f t="shared" si="0"/>
        <v>0.7085078214064755</v>
      </c>
      <c r="D7">
        <f t="shared" si="1"/>
        <v>4.2809574766599079E-2</v>
      </c>
      <c r="E7">
        <f t="shared" si="2"/>
        <v>1.8326596916970366E-3</v>
      </c>
    </row>
    <row r="8" spans="1:8" x14ac:dyDescent="0.25">
      <c r="A8">
        <v>0.93688777612499996</v>
      </c>
      <c r="B8">
        <v>0.65884756279792689</v>
      </c>
      <c r="C8">
        <f t="shared" si="0"/>
        <v>0.67496189054958089</v>
      </c>
      <c r="D8">
        <f t="shared" si="1"/>
        <v>-1.6114327751654001E-2</v>
      </c>
      <c r="E8">
        <f t="shared" si="2"/>
        <v>2.596715588877263E-4</v>
      </c>
    </row>
    <row r="9" spans="1:8" x14ac:dyDescent="0.25">
      <c r="A9">
        <v>1.061799146275</v>
      </c>
      <c r="B9">
        <v>0.59753604284266593</v>
      </c>
      <c r="C9">
        <f t="shared" si="0"/>
        <v>0.62212026855749236</v>
      </c>
      <c r="D9">
        <f t="shared" si="1"/>
        <v>-2.4584225714826435E-2</v>
      </c>
      <c r="E9">
        <f t="shared" si="2"/>
        <v>6.0438415399753339E-4</v>
      </c>
    </row>
    <row r="10" spans="1:8" x14ac:dyDescent="0.25">
      <c r="A10">
        <v>1.186710516425</v>
      </c>
      <c r="B10">
        <v>0.5311989884648427</v>
      </c>
      <c r="C10">
        <f t="shared" si="0"/>
        <v>0.55683093508294301</v>
      </c>
      <c r="D10">
        <f t="shared" si="1"/>
        <v>-2.563194661810031E-2</v>
      </c>
      <c r="E10">
        <f t="shared" si="2"/>
        <v>6.5699668743314391E-4</v>
      </c>
    </row>
    <row r="11" spans="1:8" x14ac:dyDescent="0.25">
      <c r="A11">
        <v>1.311621886575</v>
      </c>
      <c r="B11">
        <v>0.47240023572086293</v>
      </c>
      <c r="C11">
        <f t="shared" si="0"/>
        <v>0.48525803421710006</v>
      </c>
      <c r="D11">
        <f t="shared" si="1"/>
        <v>-1.2857798496237138E-2</v>
      </c>
      <c r="E11">
        <f t="shared" si="2"/>
        <v>1.6532298216983803E-4</v>
      </c>
    </row>
    <row r="12" spans="1:8" x14ac:dyDescent="0.25">
      <c r="A12">
        <v>1.436533256725</v>
      </c>
      <c r="B12">
        <v>0.41159126920785821</v>
      </c>
      <c r="C12">
        <f t="shared" si="0"/>
        <v>0.4125546361326955</v>
      </c>
      <c r="D12">
        <f t="shared" si="1"/>
        <v>-9.6336692483728337E-4</v>
      </c>
      <c r="E12">
        <f t="shared" si="2"/>
        <v>9.2807583187044393E-7</v>
      </c>
    </row>
    <row r="13" spans="1:8" x14ac:dyDescent="0.25">
      <c r="A13">
        <v>1.561444626875</v>
      </c>
      <c r="B13">
        <v>0.32967505812009157</v>
      </c>
      <c r="C13">
        <f t="shared" si="0"/>
        <v>0.34270031106169491</v>
      </c>
      <c r="D13">
        <f t="shared" si="1"/>
        <v>-1.3025252941603338E-2</v>
      </c>
      <c r="E13">
        <f t="shared" si="2"/>
        <v>1.6965721419274642E-4</v>
      </c>
    </row>
    <row r="14" spans="1:8" x14ac:dyDescent="0.25">
      <c r="A14">
        <v>1.6863559970249999</v>
      </c>
      <c r="B14">
        <v>0.28293758799026153</v>
      </c>
      <c r="C14">
        <f t="shared" si="0"/>
        <v>0.27848418954477511</v>
      </c>
      <c r="D14">
        <f t="shared" si="1"/>
        <v>4.4533984454864228E-3</v>
      </c>
      <c r="E14">
        <f t="shared" si="2"/>
        <v>1.9832757714260888E-5</v>
      </c>
    </row>
    <row r="15" spans="1:8" x14ac:dyDescent="0.25">
      <c r="A15">
        <v>1.8112673671749999</v>
      </c>
      <c r="B15">
        <v>0.22614904901530672</v>
      </c>
      <c r="C15">
        <f t="shared" si="0"/>
        <v>0.22159991467497511</v>
      </c>
      <c r="D15">
        <f t="shared" si="1"/>
        <v>4.5491343403316065E-3</v>
      </c>
      <c r="E15">
        <f t="shared" si="2"/>
        <v>2.0694623246384279E-5</v>
      </c>
    </row>
    <row r="16" spans="1:8" x14ac:dyDescent="0.25">
      <c r="A16">
        <v>1.9361787373249999</v>
      </c>
      <c r="B16">
        <v>0.1447353913697963</v>
      </c>
      <c r="C16">
        <f t="shared" si="0"/>
        <v>0.1728136483035371</v>
      </c>
      <c r="D16">
        <f t="shared" si="1"/>
        <v>-2.8078256933740803E-2</v>
      </c>
      <c r="E16">
        <f t="shared" si="2"/>
        <v>7.8838851243716345E-4</v>
      </c>
    </row>
    <row r="17" spans="1:5" x14ac:dyDescent="0.25">
      <c r="A17">
        <v>2.0610901074749997</v>
      </c>
      <c r="B17">
        <v>0.13669453629369649</v>
      </c>
      <c r="C17">
        <f t="shared" si="0"/>
        <v>0.13216795897925124</v>
      </c>
      <c r="D17">
        <f t="shared" si="1"/>
        <v>4.5265773144452515E-3</v>
      </c>
      <c r="E17">
        <f t="shared" si="2"/>
        <v>2.0489902183650384E-5</v>
      </c>
    </row>
    <row r="18" spans="1:5" x14ac:dyDescent="0.25">
      <c r="A18">
        <v>2.1860014776250001</v>
      </c>
      <c r="B18">
        <v>9.8500474682222477E-2</v>
      </c>
      <c r="C18">
        <f t="shared" si="0"/>
        <v>9.9190628025856029E-2</v>
      </c>
      <c r="D18">
        <f t="shared" si="1"/>
        <v>-6.9015334363355108E-4</v>
      </c>
      <c r="E18">
        <f t="shared" si="2"/>
        <v>4.7631163772857043E-7</v>
      </c>
    </row>
    <row r="19" spans="1:5" x14ac:dyDescent="0.25">
      <c r="A19">
        <v>2.3109128477749996</v>
      </c>
      <c r="B19">
        <v>7.0357481915873196E-2</v>
      </c>
      <c r="C19">
        <f t="shared" si="0"/>
        <v>7.3085871861267415E-2</v>
      </c>
      <c r="D19">
        <f t="shared" si="1"/>
        <v>-2.728389945394219E-3</v>
      </c>
      <c r="E19">
        <f t="shared" si="2"/>
        <v>7.4441116941282695E-6</v>
      </c>
    </row>
    <row r="20" spans="1:5" x14ac:dyDescent="0.25">
      <c r="A20">
        <v>2.435824217925</v>
      </c>
      <c r="B20">
        <v>4.975279078336748E-2</v>
      </c>
      <c r="C20">
        <f t="shared" si="0"/>
        <v>5.2894285052507768E-2</v>
      </c>
      <c r="D20">
        <f t="shared" si="1"/>
        <v>-3.1414942691402881E-3</v>
      </c>
      <c r="E20">
        <f t="shared" si="2"/>
        <v>9.8689862430412726E-6</v>
      </c>
    </row>
    <row r="21" spans="1:5" x14ac:dyDescent="0.25">
      <c r="A21">
        <v>2.560735588075</v>
      </c>
      <c r="B21">
        <v>3.3671080631167888E-2</v>
      </c>
      <c r="C21">
        <f t="shared" si="0"/>
        <v>3.7615607979222615E-2</v>
      </c>
      <c r="D21">
        <f t="shared" si="1"/>
        <v>-3.9445273480547272E-3</v>
      </c>
      <c r="E21">
        <f t="shared" si="2"/>
        <v>1.555929599955166E-5</v>
      </c>
    </row>
    <row r="22" spans="1:5" x14ac:dyDescent="0.25">
      <c r="A22">
        <v>2.685646958225</v>
      </c>
      <c r="B22">
        <v>3.1660866862142943E-2</v>
      </c>
      <c r="C22">
        <f t="shared" si="0"/>
        <v>2.6294454971821396E-2</v>
      </c>
      <c r="D22">
        <f t="shared" si="1"/>
        <v>5.3664118903215471E-3</v>
      </c>
      <c r="E22">
        <f t="shared" si="2"/>
        <v>2.8798376576584482E-5</v>
      </c>
    </row>
    <row r="23" spans="1:5" x14ac:dyDescent="0.25">
      <c r="A23">
        <v>2.8105583283749995</v>
      </c>
      <c r="B23">
        <v>1.7589370478968299E-2</v>
      </c>
      <c r="C23">
        <f t="shared" si="0"/>
        <v>1.8073160036791928E-2</v>
      </c>
      <c r="D23">
        <f t="shared" si="1"/>
        <v>-4.837895578236294E-4</v>
      </c>
      <c r="E23">
        <f t="shared" si="2"/>
        <v>2.3405233625918286E-7</v>
      </c>
    </row>
    <row r="24" spans="1:5" x14ac:dyDescent="0.25">
      <c r="A24">
        <v>2.9354696985249999</v>
      </c>
      <c r="B24">
        <v>2.0102137690249485E-2</v>
      </c>
      <c r="C24">
        <f t="shared" si="0"/>
        <v>1.2218045038280955E-2</v>
      </c>
      <c r="D24">
        <f t="shared" si="1"/>
        <v>7.88409265196853E-3</v>
      </c>
      <c r="E24">
        <f t="shared" si="2"/>
        <v>6.2158916944824171E-5</v>
      </c>
    </row>
    <row r="25" spans="1:5" x14ac:dyDescent="0.25">
      <c r="A25">
        <v>3.0603810686749995</v>
      </c>
      <c r="B25">
        <v>9.0459619606122685E-3</v>
      </c>
      <c r="C25">
        <f t="shared" si="0"/>
        <v>8.1260536684057017E-3</v>
      </c>
      <c r="D25">
        <f t="shared" si="1"/>
        <v>9.1990829220656677E-4</v>
      </c>
      <c r="E25">
        <f t="shared" si="2"/>
        <v>8.4623126607040227E-7</v>
      </c>
    </row>
    <row r="26" spans="1:5" x14ac:dyDescent="0.25">
      <c r="A26">
        <v>3.1852924388249999</v>
      </c>
      <c r="B26">
        <v>8.5434085183560306E-3</v>
      </c>
      <c r="C26">
        <f t="shared" si="0"/>
        <v>5.3182771959582511E-3</v>
      </c>
      <c r="D26">
        <f t="shared" si="1"/>
        <v>3.2251313223977795E-3</v>
      </c>
      <c r="E26">
        <f t="shared" si="2"/>
        <v>1.040147204671125E-5</v>
      </c>
    </row>
    <row r="27" spans="1:5" x14ac:dyDescent="0.25">
      <c r="A27">
        <v>3.3102038089749999</v>
      </c>
      <c r="B27">
        <v>4.5229809803061342E-3</v>
      </c>
      <c r="C27">
        <f t="shared" si="0"/>
        <v>3.4258647096887351E-3</v>
      </c>
      <c r="D27">
        <f t="shared" si="1"/>
        <v>1.0971162706173991E-3</v>
      </c>
      <c r="E27">
        <f t="shared" si="2"/>
        <v>1.2036641112534301E-6</v>
      </c>
    </row>
    <row r="28" spans="1:5" x14ac:dyDescent="0.25">
      <c r="A28">
        <v>3.4351151791249999</v>
      </c>
      <c r="B28">
        <v>3.5178740957936602E-3</v>
      </c>
      <c r="C28">
        <f t="shared" si="0"/>
        <v>2.172524944374944E-3</v>
      </c>
      <c r="D28">
        <f t="shared" si="1"/>
        <v>1.3453491514187161E-3</v>
      </c>
      <c r="E28">
        <f t="shared" si="2"/>
        <v>1.8099643392230595E-6</v>
      </c>
    </row>
    <row r="29" spans="1:5" x14ac:dyDescent="0.25">
      <c r="A29">
        <v>3.5600265492749998</v>
      </c>
      <c r="B29">
        <v>2.5127672112811856E-3</v>
      </c>
      <c r="C29">
        <f t="shared" si="0"/>
        <v>1.3565495417839138E-3</v>
      </c>
      <c r="D29">
        <f t="shared" si="1"/>
        <v>1.1562176694972718E-3</v>
      </c>
      <c r="E29">
        <f t="shared" si="2"/>
        <v>1.3368392992577026E-6</v>
      </c>
    </row>
    <row r="30" spans="1:5" x14ac:dyDescent="0.25">
      <c r="A30">
        <v>3.6849379194249998</v>
      </c>
      <c r="B30">
        <v>5.0255344225623715E-4</v>
      </c>
      <c r="C30">
        <f t="shared" si="0"/>
        <v>8.3417708202131213E-4</v>
      </c>
      <c r="D30">
        <f t="shared" si="1"/>
        <v>-3.3162363976507498E-4</v>
      </c>
      <c r="E30">
        <f t="shared" si="2"/>
        <v>1.0997423845103622E-7</v>
      </c>
    </row>
    <row r="31" spans="1:5" x14ac:dyDescent="0.25">
      <c r="A31">
        <v>3.8098492895750002</v>
      </c>
      <c r="B31">
        <v>2.0102137690249486E-3</v>
      </c>
      <c r="C31">
        <f t="shared" si="0"/>
        <v>5.0524608988110743E-4</v>
      </c>
      <c r="D31">
        <f t="shared" si="1"/>
        <v>1.5049676791438413E-3</v>
      </c>
      <c r="E31">
        <f t="shared" si="2"/>
        <v>2.2649277152676001E-6</v>
      </c>
    </row>
    <row r="32" spans="1:5" x14ac:dyDescent="0.25">
      <c r="A32">
        <v>3.9347606597249998</v>
      </c>
      <c r="B32">
        <v>2.0102137690249486E-3</v>
      </c>
      <c r="C32">
        <f t="shared" si="0"/>
        <v>3.0146420250363098E-4</v>
      </c>
      <c r="D32">
        <f t="shared" si="1"/>
        <v>1.7087495665213176E-3</v>
      </c>
      <c r="E32">
        <f t="shared" si="2"/>
        <v>2.9198250810867906E-6</v>
      </c>
    </row>
    <row r="33" spans="1:5" x14ac:dyDescent="0.25">
      <c r="A33">
        <v>4.0596720298749993</v>
      </c>
      <c r="B33">
        <v>1.0051068845124743E-3</v>
      </c>
      <c r="C33">
        <f t="shared" si="0"/>
        <v>1.7722240032488508E-4</v>
      </c>
      <c r="D33">
        <f t="shared" si="1"/>
        <v>8.278844841875892E-4</v>
      </c>
      <c r="E33">
        <f t="shared" si="2"/>
        <v>6.8539271915855058E-7</v>
      </c>
    </row>
    <row r="34" spans="1:5" x14ac:dyDescent="0.25">
      <c r="A34">
        <v>4.1845834000249997</v>
      </c>
      <c r="B34">
        <v>0</v>
      </c>
      <c r="C34">
        <f t="shared" si="0"/>
        <v>1.0266206194788889E-4</v>
      </c>
      <c r="D34">
        <f t="shared" si="1"/>
        <v>-1.0266206194788889E-4</v>
      </c>
      <c r="E34">
        <f t="shared" si="2"/>
        <v>1.0539498963392175E-8</v>
      </c>
    </row>
    <row r="35" spans="1:5" x14ac:dyDescent="0.25">
      <c r="A35">
        <v>4.3094947701750002</v>
      </c>
      <c r="B35">
        <v>5.0255344225623715E-4</v>
      </c>
      <c r="C35">
        <f t="shared" si="0"/>
        <v>5.860910034084902E-5</v>
      </c>
      <c r="D35">
        <f t="shared" si="1"/>
        <v>4.4394434191538814E-4</v>
      </c>
      <c r="E35">
        <f t="shared" si="2"/>
        <v>1.9708657871868705E-7</v>
      </c>
    </row>
    <row r="36" spans="1:5" x14ac:dyDescent="0.25">
      <c r="A36">
        <v>4.4344061403250006</v>
      </c>
      <c r="B36">
        <v>0</v>
      </c>
      <c r="C36">
        <f t="shared" si="0"/>
        <v>3.2978895700718424E-5</v>
      </c>
      <c r="D36">
        <f t="shared" si="1"/>
        <v>-3.2978895700718424E-5</v>
      </c>
      <c r="E36">
        <f t="shared" si="2"/>
        <v>1.0876075616388642E-9</v>
      </c>
    </row>
    <row r="37" spans="1:5" x14ac:dyDescent="0.25">
      <c r="A37">
        <v>4.5593175104749992</v>
      </c>
      <c r="B37">
        <v>0</v>
      </c>
      <c r="C37">
        <f t="shared" si="0"/>
        <v>1.8292487414868687E-5</v>
      </c>
      <c r="D37">
        <f t="shared" si="1"/>
        <v>-1.8292487414868687E-5</v>
      </c>
      <c r="E37">
        <f t="shared" si="2"/>
        <v>3.3461509582312928E-10</v>
      </c>
    </row>
    <row r="38" spans="1:5" x14ac:dyDescent="0.25">
      <c r="A38">
        <v>4.6842288806249996</v>
      </c>
      <c r="B38">
        <v>0</v>
      </c>
      <c r="C38">
        <f t="shared" si="0"/>
        <v>1.0002814496435868E-5</v>
      </c>
      <c r="D38">
        <f t="shared" si="1"/>
        <v>-1.0002814496435868E-5</v>
      </c>
      <c r="E38">
        <f t="shared" si="2"/>
        <v>1.0005629785010755E-10</v>
      </c>
    </row>
    <row r="39" spans="1:5" x14ac:dyDescent="0.25">
      <c r="A39">
        <v>4.8091402507750001</v>
      </c>
      <c r="B39">
        <v>0</v>
      </c>
      <c r="C39">
        <f t="shared" si="0"/>
        <v>5.3929876980634986E-6</v>
      </c>
      <c r="D39">
        <f t="shared" si="1"/>
        <v>-5.3929876980634986E-6</v>
      </c>
      <c r="E39">
        <f t="shared" si="2"/>
        <v>2.9084316311464234E-11</v>
      </c>
    </row>
    <row r="40" spans="1:5" x14ac:dyDescent="0.25">
      <c r="A40">
        <v>4.9340516209250005</v>
      </c>
      <c r="B40">
        <v>5.0255344225623715E-4</v>
      </c>
      <c r="C40">
        <f t="shared" si="0"/>
        <v>2.8670636811106842E-6</v>
      </c>
      <c r="D40">
        <f t="shared" si="1"/>
        <v>4.9968637857512649E-4</v>
      </c>
      <c r="E40">
        <f t="shared" si="2"/>
        <v>2.4968647693352463E-7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9814-BD99-48AF-81F7-5AC7D2DA29B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6.1750034537499998E-2</v>
      </c>
      <c r="B1">
        <v>6.8191884929989136E-2</v>
      </c>
      <c r="C1">
        <f>$H$3*(1+$H$1)*(A1^($H$1))*EXP(-$H$3*(A1^(1+$H$1)))</f>
        <v>0.12229837098709993</v>
      </c>
      <c r="D1">
        <f>B1-C1</f>
        <v>-5.4106486057110798E-2</v>
      </c>
      <c r="E1">
        <f>D1^2</f>
        <v>2.9275118334483249E-3</v>
      </c>
      <c r="G1" t="s">
        <v>0</v>
      </c>
      <c r="H1">
        <v>0.90245386013896467</v>
      </c>
    </row>
    <row r="2" spans="1:8" x14ac:dyDescent="0.25">
      <c r="A2">
        <v>0.18247965361249999</v>
      </c>
      <c r="B2">
        <v>0.29202784309712904</v>
      </c>
      <c r="C2">
        <f t="shared" ref="C2:C40" si="0">$H$3*(1+$H$1)*(A2^($H$1))*EXP(-$H$3*(A2^(1+$H$1)))</f>
        <v>0.31639285141751355</v>
      </c>
      <c r="D2">
        <f t="shared" ref="D2:D40" si="1">B2-C2</f>
        <v>-2.4365008320384518E-2</v>
      </c>
      <c r="E2">
        <f t="shared" ref="E2:E40" si="2">D2^2</f>
        <v>5.9365363045240684E-4</v>
      </c>
    </row>
    <row r="3" spans="1:8" x14ac:dyDescent="0.25">
      <c r="A3">
        <v>0.30320927268749998</v>
      </c>
      <c r="B3">
        <v>0.49243910796770779</v>
      </c>
      <c r="C3">
        <f t="shared" si="0"/>
        <v>0.47545601946512162</v>
      </c>
      <c r="D3">
        <f t="shared" si="1"/>
        <v>1.6983088502586174E-2</v>
      </c>
      <c r="E3">
        <f t="shared" si="2"/>
        <v>2.8842529508667469E-4</v>
      </c>
      <c r="G3" t="s">
        <v>1</v>
      </c>
      <c r="H3">
        <f>(_xlfn.GAMMA((2+$H$1)/(1+$H$1)))^(1+$H$1)</f>
        <v>0.79658387388445984</v>
      </c>
    </row>
    <row r="4" spans="1:8" x14ac:dyDescent="0.25">
      <c r="A4">
        <v>0.42393889176249999</v>
      </c>
      <c r="B4">
        <v>0.63454891396684543</v>
      </c>
      <c r="C4">
        <f t="shared" si="0"/>
        <v>0.59785964666067193</v>
      </c>
      <c r="D4">
        <f t="shared" si="1"/>
        <v>3.6689267306173501E-2</v>
      </c>
      <c r="E4">
        <f t="shared" si="2"/>
        <v>1.3461023354638516E-3</v>
      </c>
    </row>
    <row r="5" spans="1:8" x14ac:dyDescent="0.25">
      <c r="A5">
        <v>0.54466851083750001</v>
      </c>
      <c r="B5">
        <v>0.71263122495538267</v>
      </c>
      <c r="C5">
        <f t="shared" si="0"/>
        <v>0.68158379559208093</v>
      </c>
      <c r="D5">
        <f t="shared" si="1"/>
        <v>3.1047429363301737E-2</v>
      </c>
      <c r="E5">
        <f t="shared" si="2"/>
        <v>9.6394287006921087E-4</v>
      </c>
      <c r="G5" t="s">
        <v>2</v>
      </c>
      <c r="H5">
        <f>SUM(E1:E40)</f>
        <v>1.330216676297998E-2</v>
      </c>
    </row>
    <row r="6" spans="1:8" x14ac:dyDescent="0.25">
      <c r="A6">
        <v>0.66539812991250002</v>
      </c>
      <c r="B6">
        <v>0.76989158634697663</v>
      </c>
      <c r="C6">
        <f t="shared" si="0"/>
        <v>0.72694889136180196</v>
      </c>
      <c r="D6">
        <f t="shared" si="1"/>
        <v>4.2942694985174668E-2</v>
      </c>
      <c r="E6">
        <f t="shared" si="2"/>
        <v>1.8440750525897456E-3</v>
      </c>
    </row>
    <row r="7" spans="1:8" x14ac:dyDescent="0.25">
      <c r="A7">
        <v>0.78612774898749993</v>
      </c>
      <c r="B7">
        <v>0.77665871996598312</v>
      </c>
      <c r="C7">
        <f t="shared" si="0"/>
        <v>0.73681410685982496</v>
      </c>
      <c r="D7">
        <f t="shared" si="1"/>
        <v>3.9844613106158167E-2</v>
      </c>
      <c r="E7">
        <f t="shared" si="2"/>
        <v>1.5875931935794311E-3</v>
      </c>
    </row>
    <row r="8" spans="1:8" x14ac:dyDescent="0.25">
      <c r="A8">
        <v>0.90685736806249995</v>
      </c>
      <c r="B8">
        <v>0.72564494345347219</v>
      </c>
      <c r="C8">
        <f t="shared" si="0"/>
        <v>0.71613126173650277</v>
      </c>
      <c r="D8">
        <f t="shared" si="1"/>
        <v>9.5136817169694243E-3</v>
      </c>
      <c r="E8">
        <f t="shared" si="2"/>
        <v>9.05101398117983E-5</v>
      </c>
    </row>
    <row r="9" spans="1:8" x14ac:dyDescent="0.25">
      <c r="A9">
        <v>1.0275869871375001</v>
      </c>
      <c r="B9">
        <v>0.63350781648699828</v>
      </c>
      <c r="C9">
        <f t="shared" si="0"/>
        <v>0.67123871971806282</v>
      </c>
      <c r="D9">
        <f t="shared" si="1"/>
        <v>-3.7730903231064539E-2</v>
      </c>
      <c r="E9">
        <f t="shared" si="2"/>
        <v>1.4236210586319564E-3</v>
      </c>
    </row>
    <row r="10" spans="1:8" x14ac:dyDescent="0.25">
      <c r="A10">
        <v>1.1483166062125001</v>
      </c>
      <c r="B10">
        <v>0.58093239375471661</v>
      </c>
      <c r="C10">
        <f t="shared" si="0"/>
        <v>0.60908545950633697</v>
      </c>
      <c r="D10">
        <f t="shared" si="1"/>
        <v>-2.8153065751620354E-2</v>
      </c>
      <c r="E10">
        <f t="shared" si="2"/>
        <v>7.9259511121505897E-4</v>
      </c>
    </row>
    <row r="11" spans="1:8" x14ac:dyDescent="0.25">
      <c r="A11">
        <v>1.2690462252875001</v>
      </c>
      <c r="B11">
        <v>0.51586380126426901</v>
      </c>
      <c r="C11">
        <f t="shared" si="0"/>
        <v>0.53651386330867878</v>
      </c>
      <c r="D11">
        <f t="shared" si="1"/>
        <v>-2.0650062044409778E-2</v>
      </c>
      <c r="E11">
        <f t="shared" si="2"/>
        <v>4.2642506243797333E-4</v>
      </c>
    </row>
    <row r="12" spans="1:8" x14ac:dyDescent="0.25">
      <c r="A12">
        <v>1.3897758443625001</v>
      </c>
      <c r="B12">
        <v>0.45548014743313353</v>
      </c>
      <c r="C12">
        <f t="shared" si="0"/>
        <v>0.45968597044055404</v>
      </c>
      <c r="D12">
        <f t="shared" si="1"/>
        <v>-4.2058230074205061E-3</v>
      </c>
      <c r="E12">
        <f t="shared" si="2"/>
        <v>1.7688947169747671E-5</v>
      </c>
    </row>
    <row r="13" spans="1:8" x14ac:dyDescent="0.25">
      <c r="A13">
        <v>1.5105054634374999</v>
      </c>
      <c r="B13">
        <v>0.37427454400505489</v>
      </c>
      <c r="C13">
        <f t="shared" si="0"/>
        <v>0.38369695486245847</v>
      </c>
      <c r="D13">
        <f t="shared" si="1"/>
        <v>-9.4224108574035847E-3</v>
      </c>
      <c r="E13">
        <f t="shared" si="2"/>
        <v>8.878182636571696E-5</v>
      </c>
    </row>
    <row r="14" spans="1:8" x14ac:dyDescent="0.25">
      <c r="A14">
        <v>1.6312350825124999</v>
      </c>
      <c r="B14">
        <v>0.29515113553667055</v>
      </c>
      <c r="C14">
        <f t="shared" si="0"/>
        <v>0.31238291875838353</v>
      </c>
      <c r="D14">
        <f t="shared" si="1"/>
        <v>-1.7231783221712982E-2</v>
      </c>
      <c r="E14">
        <f t="shared" si="2"/>
        <v>2.9693435300010902E-4</v>
      </c>
    </row>
    <row r="15" spans="1:8" x14ac:dyDescent="0.25">
      <c r="A15">
        <v>1.7519647015874997</v>
      </c>
      <c r="B15">
        <v>0.25298668760286047</v>
      </c>
      <c r="C15">
        <f t="shared" si="0"/>
        <v>0.24830145624414246</v>
      </c>
      <c r="D15">
        <f t="shared" si="1"/>
        <v>4.6852313587180117E-3</v>
      </c>
      <c r="E15">
        <f t="shared" si="2"/>
        <v>2.1951392884714627E-5</v>
      </c>
    </row>
    <row r="16" spans="1:8" x14ac:dyDescent="0.25">
      <c r="A16">
        <v>1.8726943206624997</v>
      </c>
      <c r="B16">
        <v>0.17230163291470538</v>
      </c>
      <c r="C16">
        <f t="shared" si="0"/>
        <v>0.19284519299059236</v>
      </c>
      <c r="D16">
        <f t="shared" si="1"/>
        <v>-2.054356007588698E-2</v>
      </c>
      <c r="E16">
        <f t="shared" si="2"/>
        <v>4.2203786059157744E-4</v>
      </c>
    </row>
    <row r="17" spans="1:5" x14ac:dyDescent="0.25">
      <c r="A17">
        <v>1.9934239397374998</v>
      </c>
      <c r="B17">
        <v>0.15095913457783855</v>
      </c>
      <c r="C17">
        <f t="shared" si="0"/>
        <v>0.14644089098223761</v>
      </c>
      <c r="D17">
        <f t="shared" si="1"/>
        <v>4.5182435956009348E-3</v>
      </c>
      <c r="E17">
        <f t="shared" si="2"/>
        <v>2.0414525189188865E-5</v>
      </c>
    </row>
    <row r="18" spans="1:5" x14ac:dyDescent="0.25">
      <c r="A18">
        <v>2.1141535588125002</v>
      </c>
      <c r="B18">
        <v>0.10410974798471624</v>
      </c>
      <c r="C18">
        <f t="shared" si="0"/>
        <v>0.10878812728855862</v>
      </c>
      <c r="D18">
        <f t="shared" si="1"/>
        <v>-4.6783793038423782E-3</v>
      </c>
      <c r="E18">
        <f t="shared" si="2"/>
        <v>2.1887232910620697E-5</v>
      </c>
    </row>
    <row r="19" spans="1:5" x14ac:dyDescent="0.25">
      <c r="A19">
        <v>2.2348831778875002</v>
      </c>
      <c r="B19">
        <v>7.6520664768766442E-2</v>
      </c>
      <c r="C19">
        <f t="shared" si="0"/>
        <v>7.9099294668900325E-2</v>
      </c>
      <c r="D19">
        <f t="shared" si="1"/>
        <v>-2.578629900133883E-3</v>
      </c>
      <c r="E19">
        <f t="shared" si="2"/>
        <v>6.6493321618644794E-6</v>
      </c>
    </row>
    <row r="20" spans="1:5" x14ac:dyDescent="0.25">
      <c r="A20">
        <v>2.3556127969624998</v>
      </c>
      <c r="B20">
        <v>5.778091013151751E-2</v>
      </c>
      <c r="C20">
        <f t="shared" si="0"/>
        <v>5.6313687937991096E-2</v>
      </c>
      <c r="D20">
        <f t="shared" si="1"/>
        <v>1.4672221935264143E-3</v>
      </c>
      <c r="E20">
        <f t="shared" si="2"/>
        <v>2.1527409651764628E-6</v>
      </c>
    </row>
    <row r="21" spans="1:5" x14ac:dyDescent="0.25">
      <c r="A21">
        <v>2.4763424160374998</v>
      </c>
      <c r="B21">
        <v>3.8000058014421426E-2</v>
      </c>
      <c r="C21">
        <f t="shared" si="0"/>
        <v>3.9270020060271076E-2</v>
      </c>
      <c r="D21">
        <f t="shared" si="1"/>
        <v>-1.2699620458496499E-3</v>
      </c>
      <c r="E21">
        <f t="shared" si="2"/>
        <v>1.6128035978986283E-6</v>
      </c>
    </row>
    <row r="22" spans="1:5" x14ac:dyDescent="0.25">
      <c r="A22">
        <v>2.5970720351124998</v>
      </c>
      <c r="B22">
        <v>2.7068534476026224E-2</v>
      </c>
      <c r="C22">
        <f t="shared" si="0"/>
        <v>2.6831873727726128E-2</v>
      </c>
      <c r="D22">
        <f t="shared" si="1"/>
        <v>2.3666074830009515E-4</v>
      </c>
      <c r="E22">
        <f t="shared" si="2"/>
        <v>5.6008309785960989E-8</v>
      </c>
    </row>
    <row r="23" spans="1:5" x14ac:dyDescent="0.25">
      <c r="A23">
        <v>2.7178016541874999</v>
      </c>
      <c r="B23">
        <v>2.3424693296561154E-2</v>
      </c>
      <c r="C23">
        <f t="shared" si="0"/>
        <v>1.796822273574614E-2</v>
      </c>
      <c r="D23">
        <f t="shared" si="1"/>
        <v>5.4564705608150139E-3</v>
      </c>
      <c r="E23">
        <f t="shared" si="2"/>
        <v>2.9773070981040914E-5</v>
      </c>
    </row>
    <row r="24" spans="1:5" x14ac:dyDescent="0.25">
      <c r="A24">
        <v>2.8385312732624999</v>
      </c>
      <c r="B24">
        <v>1.7698657157401761E-2</v>
      </c>
      <c r="C24">
        <f t="shared" si="0"/>
        <v>1.1795928001648711E-2</v>
      </c>
      <c r="D24">
        <f t="shared" si="1"/>
        <v>5.90272915575305E-3</v>
      </c>
      <c r="E24">
        <f t="shared" si="2"/>
        <v>3.4842211486177111E-5</v>
      </c>
    </row>
    <row r="25" spans="1:5" x14ac:dyDescent="0.25">
      <c r="A25">
        <v>2.9592608923374999</v>
      </c>
      <c r="B25">
        <v>8.8493285787008807E-3</v>
      </c>
      <c r="C25">
        <f t="shared" si="0"/>
        <v>7.5932853397279636E-3</v>
      </c>
      <c r="D25">
        <f t="shared" si="1"/>
        <v>1.2560432389729171E-3</v>
      </c>
      <c r="E25">
        <f t="shared" si="2"/>
        <v>1.5776446181695764E-6</v>
      </c>
    </row>
    <row r="26" spans="1:5" x14ac:dyDescent="0.25">
      <c r="A26">
        <v>3.0799905114124999</v>
      </c>
      <c r="B26">
        <v>9.8904260585480422E-3</v>
      </c>
      <c r="C26">
        <f t="shared" si="0"/>
        <v>4.7938719630553125E-3</v>
      </c>
      <c r="D26">
        <f t="shared" si="1"/>
        <v>5.0965540954927297E-3</v>
      </c>
      <c r="E26">
        <f t="shared" si="2"/>
        <v>2.5974863648283717E-5</v>
      </c>
    </row>
    <row r="27" spans="1:5" x14ac:dyDescent="0.25">
      <c r="A27">
        <v>3.2007201304874999</v>
      </c>
      <c r="B27">
        <v>3.6438411794650683E-3</v>
      </c>
      <c r="C27">
        <f t="shared" si="0"/>
        <v>2.9688126405398715E-3</v>
      </c>
      <c r="D27">
        <f t="shared" si="1"/>
        <v>6.7502853892519683E-4</v>
      </c>
      <c r="E27">
        <f t="shared" si="2"/>
        <v>4.5566352836348596E-7</v>
      </c>
    </row>
    <row r="28" spans="1:5" x14ac:dyDescent="0.25">
      <c r="A28">
        <v>3.3214497495624999</v>
      </c>
      <c r="B28">
        <v>5.7260361391593935E-3</v>
      </c>
      <c r="C28">
        <f t="shared" si="0"/>
        <v>1.803817049542078E-3</v>
      </c>
      <c r="D28">
        <f t="shared" si="1"/>
        <v>3.9222190896173155E-3</v>
      </c>
      <c r="E28">
        <f t="shared" si="2"/>
        <v>1.5383802586958483E-5</v>
      </c>
    </row>
    <row r="29" spans="1:5" x14ac:dyDescent="0.25">
      <c r="A29">
        <v>3.4421793686375</v>
      </c>
      <c r="B29">
        <v>0</v>
      </c>
      <c r="C29">
        <f t="shared" si="0"/>
        <v>1.0754327239822872E-3</v>
      </c>
      <c r="D29">
        <f t="shared" si="1"/>
        <v>-1.0754327239822872E-3</v>
      </c>
      <c r="E29">
        <f t="shared" si="2"/>
        <v>1.1565555438119622E-6</v>
      </c>
    </row>
    <row r="30" spans="1:5" x14ac:dyDescent="0.25">
      <c r="A30">
        <v>3.5629089877124995</v>
      </c>
      <c r="B30">
        <v>2.602743699617906E-3</v>
      </c>
      <c r="C30">
        <f t="shared" si="0"/>
        <v>6.2924182456664023E-4</v>
      </c>
      <c r="D30">
        <f t="shared" si="1"/>
        <v>1.9735018750512657E-3</v>
      </c>
      <c r="E30">
        <f t="shared" si="2"/>
        <v>3.8947096508308616E-6</v>
      </c>
    </row>
    <row r="31" spans="1:5" x14ac:dyDescent="0.25">
      <c r="A31">
        <v>3.6836386067874995</v>
      </c>
      <c r="B31">
        <v>1.0410974798471624E-3</v>
      </c>
      <c r="C31">
        <f t="shared" si="0"/>
        <v>3.6137109942201129E-4</v>
      </c>
      <c r="D31">
        <f t="shared" si="1"/>
        <v>6.7972638042515109E-4</v>
      </c>
      <c r="E31">
        <f t="shared" si="2"/>
        <v>4.620279522458772E-7</v>
      </c>
    </row>
    <row r="32" spans="1:5" x14ac:dyDescent="0.25">
      <c r="A32">
        <v>3.8043682258624996</v>
      </c>
      <c r="B32">
        <v>2.0821949596943248E-3</v>
      </c>
      <c r="C32">
        <f t="shared" si="0"/>
        <v>2.0372514063528904E-4</v>
      </c>
      <c r="D32">
        <f t="shared" si="1"/>
        <v>1.8784698190590357E-3</v>
      </c>
      <c r="E32">
        <f t="shared" si="2"/>
        <v>3.5286488611156862E-6</v>
      </c>
    </row>
    <row r="33" spans="1:5" x14ac:dyDescent="0.25">
      <c r="A33">
        <v>3.9250978449374996</v>
      </c>
      <c r="B33">
        <v>0</v>
      </c>
      <c r="C33">
        <f t="shared" si="0"/>
        <v>1.1275647270571939E-4</v>
      </c>
      <c r="D33">
        <f t="shared" si="1"/>
        <v>-1.1275647270571939E-4</v>
      </c>
      <c r="E33">
        <f t="shared" si="2"/>
        <v>1.2714022137035641E-8</v>
      </c>
    </row>
    <row r="34" spans="1:5" x14ac:dyDescent="0.25">
      <c r="A34">
        <v>4.0458274640124996</v>
      </c>
      <c r="B34">
        <v>5.2054873992358119E-4</v>
      </c>
      <c r="C34">
        <f t="shared" si="0"/>
        <v>6.1276089514761259E-5</v>
      </c>
      <c r="D34">
        <f t="shared" si="1"/>
        <v>4.5927265040881995E-4</v>
      </c>
      <c r="E34">
        <f t="shared" si="2"/>
        <v>2.1093136741354214E-7</v>
      </c>
    </row>
    <row r="35" spans="1:5" x14ac:dyDescent="0.25">
      <c r="A35">
        <v>4.1665570830874996</v>
      </c>
      <c r="B35">
        <v>0</v>
      </c>
      <c r="C35">
        <f t="shared" si="0"/>
        <v>3.2699227014895617E-5</v>
      </c>
      <c r="D35">
        <f t="shared" si="1"/>
        <v>-3.2699227014895617E-5</v>
      </c>
      <c r="E35">
        <f t="shared" si="2"/>
        <v>1.0692394473716793E-9</v>
      </c>
    </row>
    <row r="36" spans="1:5" x14ac:dyDescent="0.25">
      <c r="A36">
        <v>4.2872867021625005</v>
      </c>
      <c r="B36">
        <v>0</v>
      </c>
      <c r="C36">
        <f t="shared" si="0"/>
        <v>1.7136510966607455E-5</v>
      </c>
      <c r="D36">
        <f t="shared" si="1"/>
        <v>-1.7136510966607455E-5</v>
      </c>
      <c r="E36">
        <f t="shared" si="2"/>
        <v>2.9366000810865757E-10</v>
      </c>
    </row>
    <row r="37" spans="1:5" x14ac:dyDescent="0.25">
      <c r="A37">
        <v>4.4080163212375005</v>
      </c>
      <c r="B37">
        <v>0</v>
      </c>
      <c r="C37">
        <f t="shared" si="0"/>
        <v>8.8203341977328524E-6</v>
      </c>
      <c r="D37">
        <f t="shared" si="1"/>
        <v>-8.8203341977328524E-6</v>
      </c>
      <c r="E37">
        <f t="shared" si="2"/>
        <v>7.7798295359695635E-11</v>
      </c>
    </row>
    <row r="38" spans="1:5" x14ac:dyDescent="0.25">
      <c r="A38">
        <v>4.5287459403124997</v>
      </c>
      <c r="B38">
        <v>0</v>
      </c>
      <c r="C38">
        <f t="shared" si="0"/>
        <v>4.4592572380281409E-6</v>
      </c>
      <c r="D38">
        <f t="shared" si="1"/>
        <v>-4.4592572380281409E-6</v>
      </c>
      <c r="E38">
        <f t="shared" si="2"/>
        <v>1.9884975114906363E-11</v>
      </c>
    </row>
    <row r="39" spans="1:5" x14ac:dyDescent="0.25">
      <c r="A39">
        <v>4.6494755593874997</v>
      </c>
      <c r="B39">
        <v>0</v>
      </c>
      <c r="C39">
        <f t="shared" si="0"/>
        <v>2.214573290693611E-6</v>
      </c>
      <c r="D39">
        <f t="shared" si="1"/>
        <v>-2.214573290693611E-6</v>
      </c>
      <c r="E39">
        <f t="shared" si="2"/>
        <v>4.9043348598535285E-12</v>
      </c>
    </row>
    <row r="40" spans="1:5" x14ac:dyDescent="0.25">
      <c r="A40">
        <v>4.7702051784624997</v>
      </c>
      <c r="B40">
        <v>5.2054873992358119E-4</v>
      </c>
      <c r="C40">
        <f t="shared" si="0"/>
        <v>1.0804410474343087E-6</v>
      </c>
      <c r="D40">
        <f t="shared" si="1"/>
        <v>5.1946829887614685E-4</v>
      </c>
      <c r="E40">
        <f t="shared" si="2"/>
        <v>2.6984731353727781E-7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09A9-E8BC-4058-9D16-CDD347965B5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5.8099127625000004E-2</v>
      </c>
      <c r="B1">
        <v>4.3785425184460873E-2</v>
      </c>
      <c r="C1">
        <f>$H$3*(1+$H$1)*(A1^($H$1))*EXP(-$H$3*(A1^(1+$H$1)))</f>
        <v>8.6813868932205357E-2</v>
      </c>
      <c r="D1">
        <f>B1-C1</f>
        <v>-4.3028443747744484E-2</v>
      </c>
      <c r="E1">
        <f>D1^2</f>
        <v>1.8514469713528114E-3</v>
      </c>
      <c r="G1" t="s">
        <v>0</v>
      </c>
      <c r="H1">
        <v>1.0190927644120207</v>
      </c>
    </row>
    <row r="2" spans="1:8" x14ac:dyDescent="0.25">
      <c r="A2">
        <v>0.17429350287500001</v>
      </c>
      <c r="B2">
        <v>0.21189983546060079</v>
      </c>
      <c r="C2">
        <f t="shared" ref="C2:C40" si="0">$H$3*(1+$H$1)*(A2^($H$1))*EXP(-$H$3*(A2^(1+$H$1)))</f>
        <v>0.26055663388815942</v>
      </c>
      <c r="D2">
        <f t="shared" ref="D2:D40" si="1">B2-C2</f>
        <v>-4.8656798427558628E-2</v>
      </c>
      <c r="E2">
        <f t="shared" ref="E2:E40" si="2">D2^2</f>
        <v>2.3674840332200717E-3</v>
      </c>
    </row>
    <row r="3" spans="1:8" x14ac:dyDescent="0.25">
      <c r="A3">
        <v>0.29048787812499999</v>
      </c>
      <c r="B3">
        <v>0.40325836034083717</v>
      </c>
      <c r="C3">
        <f t="shared" si="0"/>
        <v>0.42067128949069521</v>
      </c>
      <c r="D3">
        <f t="shared" si="1"/>
        <v>-1.7412929149858036E-2</v>
      </c>
      <c r="E3">
        <f t="shared" si="2"/>
        <v>3.0321010157797573E-4</v>
      </c>
      <c r="G3" t="s">
        <v>1</v>
      </c>
      <c r="H3">
        <f>(_xlfn.GAMMA((2+$H$1)/(1+$H$1)))^(1+$H$1)</f>
        <v>0.78333270452507542</v>
      </c>
    </row>
    <row r="4" spans="1:8" x14ac:dyDescent="0.25">
      <c r="A4">
        <v>0.40668225337499997</v>
      </c>
      <c r="B4">
        <v>0.62759109431060589</v>
      </c>
      <c r="C4">
        <f t="shared" si="0"/>
        <v>0.55666035127461144</v>
      </c>
      <c r="D4">
        <f t="shared" si="1"/>
        <v>7.0930743035994448E-2</v>
      </c>
      <c r="E4">
        <f t="shared" si="2"/>
        <v>5.0311703076382748E-3</v>
      </c>
    </row>
    <row r="5" spans="1:8" x14ac:dyDescent="0.25">
      <c r="A5">
        <v>0.52287662862499995</v>
      </c>
      <c r="B5">
        <v>0.70056680295137397</v>
      </c>
      <c r="C5">
        <f t="shared" si="0"/>
        <v>0.66108866959113477</v>
      </c>
      <c r="D5">
        <f t="shared" si="1"/>
        <v>3.9478133360239198E-2</v>
      </c>
      <c r="E5">
        <f t="shared" si="2"/>
        <v>1.5585230136088311E-3</v>
      </c>
      <c r="G5" t="s">
        <v>2</v>
      </c>
      <c r="H5">
        <f>SUM(E1:E40)</f>
        <v>1.9951962416972269E-2</v>
      </c>
    </row>
    <row r="6" spans="1:8" x14ac:dyDescent="0.25">
      <c r="A6">
        <v>0.63907100387500004</v>
      </c>
      <c r="B6">
        <v>0.77570475481112788</v>
      </c>
      <c r="C6">
        <f t="shared" si="0"/>
        <v>0.72976199425824329</v>
      </c>
      <c r="D6">
        <f t="shared" si="1"/>
        <v>4.5942760552884598E-2</v>
      </c>
      <c r="E6">
        <f t="shared" si="2"/>
        <v>2.1107372472196893E-3</v>
      </c>
    </row>
    <row r="7" spans="1:8" x14ac:dyDescent="0.25">
      <c r="A7">
        <v>0.75526537912499991</v>
      </c>
      <c r="B7">
        <v>0.8108412071196458</v>
      </c>
      <c r="C7">
        <f t="shared" si="0"/>
        <v>0.7618240762930728</v>
      </c>
      <c r="D7">
        <f t="shared" si="1"/>
        <v>4.9017130826572997E-2</v>
      </c>
      <c r="E7">
        <f t="shared" si="2"/>
        <v>2.4026791144693728E-3</v>
      </c>
    </row>
    <row r="8" spans="1:8" x14ac:dyDescent="0.25">
      <c r="A8">
        <v>0.87145975437500001</v>
      </c>
      <c r="B8">
        <v>0.78489428849181719</v>
      </c>
      <c r="C8">
        <f t="shared" si="0"/>
        <v>0.75949835299561119</v>
      </c>
      <c r="D8">
        <f t="shared" si="1"/>
        <v>2.5395935496206001E-2</v>
      </c>
      <c r="E8">
        <f t="shared" si="2"/>
        <v>6.4495353972745596E-4</v>
      </c>
    </row>
    <row r="9" spans="1:8" x14ac:dyDescent="0.25">
      <c r="A9">
        <v>0.9876541296250001</v>
      </c>
      <c r="B9">
        <v>0.70110736375612048</v>
      </c>
      <c r="C9">
        <f t="shared" si="0"/>
        <v>0.72750208337578959</v>
      </c>
      <c r="D9">
        <f t="shared" si="1"/>
        <v>-2.6394719619669105E-2</v>
      </c>
      <c r="E9">
        <f t="shared" si="2"/>
        <v>6.9668122380094522E-4</v>
      </c>
    </row>
    <row r="10" spans="1:8" x14ac:dyDescent="0.25">
      <c r="A10">
        <v>1.1038485048750002</v>
      </c>
      <c r="B10">
        <v>0.6448890400624917</v>
      </c>
      <c r="C10">
        <f t="shared" si="0"/>
        <v>0.67224056869945281</v>
      </c>
      <c r="D10">
        <f t="shared" si="1"/>
        <v>-2.7351528636961109E-2</v>
      </c>
      <c r="E10">
        <f t="shared" si="2"/>
        <v>7.4810611877850364E-4</v>
      </c>
    </row>
    <row r="11" spans="1:8" x14ac:dyDescent="0.25">
      <c r="A11">
        <v>1.2200428801250001</v>
      </c>
      <c r="B11">
        <v>0.57407557464070924</v>
      </c>
      <c r="C11">
        <f t="shared" si="0"/>
        <v>0.60091813087159296</v>
      </c>
      <c r="D11">
        <f t="shared" si="1"/>
        <v>-2.6842556230883718E-2</v>
      </c>
      <c r="E11">
        <f t="shared" si="2"/>
        <v>7.2052282500815437E-4</v>
      </c>
    </row>
    <row r="12" spans="1:8" x14ac:dyDescent="0.25">
      <c r="A12">
        <v>1.3362372553749999</v>
      </c>
      <c r="B12">
        <v>0.49785650117146257</v>
      </c>
      <c r="C12">
        <f t="shared" si="0"/>
        <v>0.52069875087312012</v>
      </c>
      <c r="D12">
        <f t="shared" si="1"/>
        <v>-2.2842249701657547E-2</v>
      </c>
      <c r="E12">
        <f t="shared" si="2"/>
        <v>5.2176837143287429E-4</v>
      </c>
    </row>
    <row r="13" spans="1:8" x14ac:dyDescent="0.25">
      <c r="A13">
        <v>1.452431630625</v>
      </c>
      <c r="B13">
        <v>0.4259619141401873</v>
      </c>
      <c r="C13">
        <f t="shared" si="0"/>
        <v>0.4380213557422486</v>
      </c>
      <c r="D13">
        <f t="shared" si="1"/>
        <v>-1.2059441602061294E-2</v>
      </c>
      <c r="E13">
        <f t="shared" si="2"/>
        <v>1.4543013175352668E-4</v>
      </c>
    </row>
    <row r="14" spans="1:8" x14ac:dyDescent="0.25">
      <c r="A14">
        <v>1.5686260058750001</v>
      </c>
      <c r="B14">
        <v>0.35082396228043344</v>
      </c>
      <c r="C14">
        <f t="shared" si="0"/>
        <v>0.35813275584016824</v>
      </c>
      <c r="D14">
        <f t="shared" si="1"/>
        <v>-7.3087935597347942E-3</v>
      </c>
      <c r="E14">
        <f t="shared" si="2"/>
        <v>5.3418463298820805E-5</v>
      </c>
    </row>
    <row r="15" spans="1:8" x14ac:dyDescent="0.25">
      <c r="A15">
        <v>1.6848203811249998</v>
      </c>
      <c r="B15">
        <v>0.26433423352100455</v>
      </c>
      <c r="C15">
        <f t="shared" si="0"/>
        <v>0.28485596245071898</v>
      </c>
      <c r="D15">
        <f t="shared" si="1"/>
        <v>-2.0521728929714433E-2</v>
      </c>
      <c r="E15">
        <f t="shared" si="2"/>
        <v>4.2114135826467833E-4</v>
      </c>
    </row>
    <row r="16" spans="1:8" x14ac:dyDescent="0.25">
      <c r="A16">
        <v>1.8010147563749999</v>
      </c>
      <c r="B16">
        <v>0.21189983546060079</v>
      </c>
      <c r="C16">
        <f t="shared" si="0"/>
        <v>0.22057238639861038</v>
      </c>
      <c r="D16">
        <f t="shared" si="1"/>
        <v>-8.6725509380095878E-3</v>
      </c>
      <c r="E16">
        <f t="shared" si="2"/>
        <v>7.5213139772370977E-5</v>
      </c>
    </row>
    <row r="17" spans="1:5" x14ac:dyDescent="0.25">
      <c r="A17">
        <v>1.917209131625</v>
      </c>
      <c r="B17">
        <v>0.15784375498595773</v>
      </c>
      <c r="C17">
        <f t="shared" si="0"/>
        <v>0.16636937695254922</v>
      </c>
      <c r="D17">
        <f t="shared" si="1"/>
        <v>-8.5256219665914845E-3</v>
      </c>
      <c r="E17">
        <f t="shared" si="2"/>
        <v>7.2686229917227253E-5</v>
      </c>
    </row>
    <row r="18" spans="1:5" x14ac:dyDescent="0.25">
      <c r="A18">
        <v>2.033403506875</v>
      </c>
      <c r="B18">
        <v>0.1237884242869326</v>
      </c>
      <c r="C18">
        <f t="shared" si="0"/>
        <v>0.12229199127602558</v>
      </c>
      <c r="D18">
        <f t="shared" si="1"/>
        <v>1.4964330109070167E-3</v>
      </c>
      <c r="E18">
        <f t="shared" si="2"/>
        <v>2.2393117561322398E-6</v>
      </c>
    </row>
    <row r="19" spans="1:5" x14ac:dyDescent="0.25">
      <c r="A19">
        <v>2.1495978821249997</v>
      </c>
      <c r="B19">
        <v>8.2165242321457443E-2</v>
      </c>
      <c r="C19">
        <f t="shared" si="0"/>
        <v>8.7638587338059418E-2</v>
      </c>
      <c r="D19">
        <f t="shared" si="1"/>
        <v>-5.4733450166019743E-3</v>
      </c>
      <c r="E19">
        <f t="shared" si="2"/>
        <v>2.9957505670761667E-5</v>
      </c>
    </row>
    <row r="20" spans="1:5" x14ac:dyDescent="0.25">
      <c r="A20">
        <v>2.2657922573749998</v>
      </c>
      <c r="B20">
        <v>6.7029539788557385E-2</v>
      </c>
      <c r="C20">
        <f t="shared" si="0"/>
        <v>6.1250234475081822E-2</v>
      </c>
      <c r="D20">
        <f t="shared" si="1"/>
        <v>5.7793053134755634E-3</v>
      </c>
      <c r="E20">
        <f t="shared" si="2"/>
        <v>3.3400369906366882E-5</v>
      </c>
    </row>
    <row r="21" spans="1:5" x14ac:dyDescent="0.25">
      <c r="A21">
        <v>2.3819866326249999</v>
      </c>
      <c r="B21">
        <v>3.8920377941743002E-2</v>
      </c>
      <c r="C21">
        <f t="shared" si="0"/>
        <v>4.1759483729257384E-2</v>
      </c>
      <c r="D21">
        <f t="shared" si="1"/>
        <v>-2.8391057875143816E-3</v>
      </c>
      <c r="E21">
        <f t="shared" si="2"/>
        <v>8.060521672697657E-6</v>
      </c>
    </row>
    <row r="22" spans="1:5" x14ac:dyDescent="0.25">
      <c r="A22">
        <v>2.498181007875</v>
      </c>
      <c r="B22">
        <v>3.3514769894278693E-2</v>
      </c>
      <c r="C22">
        <f t="shared" si="0"/>
        <v>2.7780454909430697E-2</v>
      </c>
      <c r="D22">
        <f t="shared" si="1"/>
        <v>5.7343149848479956E-3</v>
      </c>
      <c r="E22">
        <f t="shared" si="2"/>
        <v>3.2882368345452265E-5</v>
      </c>
    </row>
    <row r="23" spans="1:5" x14ac:dyDescent="0.25">
      <c r="A23">
        <v>2.6143753831250001</v>
      </c>
      <c r="B23">
        <v>1.8919628166125069E-2</v>
      </c>
      <c r="C23">
        <f t="shared" si="0"/>
        <v>1.803630680148121E-2</v>
      </c>
      <c r="D23">
        <f t="shared" si="1"/>
        <v>8.8332136464385966E-4</v>
      </c>
      <c r="E23">
        <f t="shared" si="2"/>
        <v>7.8025663323629052E-7</v>
      </c>
    </row>
    <row r="24" spans="1:5" x14ac:dyDescent="0.25">
      <c r="A24">
        <v>2.7305697583749997</v>
      </c>
      <c r="B24">
        <v>1.8919628166125069E-2</v>
      </c>
      <c r="C24">
        <f t="shared" si="0"/>
        <v>1.1430229181114962E-2</v>
      </c>
      <c r="D24">
        <f t="shared" si="1"/>
        <v>7.4893989850101077E-3</v>
      </c>
      <c r="E24">
        <f t="shared" si="2"/>
        <v>5.6091097156670433E-5</v>
      </c>
    </row>
    <row r="25" spans="1:5" x14ac:dyDescent="0.25">
      <c r="A25">
        <v>2.8467641336249998</v>
      </c>
      <c r="B25">
        <v>9.7300944854357505E-3</v>
      </c>
      <c r="C25">
        <f t="shared" si="0"/>
        <v>7.0717400254950461E-3</v>
      </c>
      <c r="D25">
        <f t="shared" si="1"/>
        <v>2.6583544599407044E-3</v>
      </c>
      <c r="E25">
        <f t="shared" si="2"/>
        <v>7.0668484346866337E-6</v>
      </c>
    </row>
    <row r="26" spans="1:5" x14ac:dyDescent="0.25">
      <c r="A26">
        <v>2.9629585088749999</v>
      </c>
      <c r="B26">
        <v>9.7300944854357505E-3</v>
      </c>
      <c r="C26">
        <f t="shared" si="0"/>
        <v>4.2718715680275295E-3</v>
      </c>
      <c r="D26">
        <f t="shared" si="1"/>
        <v>5.458222917408221E-3</v>
      </c>
      <c r="E26">
        <f t="shared" si="2"/>
        <v>2.9792197416120312E-5</v>
      </c>
    </row>
    <row r="27" spans="1:5" x14ac:dyDescent="0.25">
      <c r="A27">
        <v>3.0791528841250004</v>
      </c>
      <c r="B27">
        <v>6.4867296569571667E-3</v>
      </c>
      <c r="C27">
        <f t="shared" si="0"/>
        <v>2.5198811559203802E-3</v>
      </c>
      <c r="D27">
        <f t="shared" si="1"/>
        <v>3.966848501036787E-3</v>
      </c>
      <c r="E27">
        <f t="shared" si="2"/>
        <v>1.5735887030177803E-5</v>
      </c>
    </row>
    <row r="28" spans="1:5" x14ac:dyDescent="0.25">
      <c r="A28">
        <v>3.1953472593750005</v>
      </c>
      <c r="B28">
        <v>1.6216824142392917E-3</v>
      </c>
      <c r="C28">
        <f t="shared" si="0"/>
        <v>1.4516278269202743E-3</v>
      </c>
      <c r="D28">
        <f t="shared" si="1"/>
        <v>1.7005458731901742E-4</v>
      </c>
      <c r="E28">
        <f t="shared" si="2"/>
        <v>2.8918562668241321E-8</v>
      </c>
    </row>
    <row r="29" spans="1:5" x14ac:dyDescent="0.25">
      <c r="A29">
        <v>3.3115416346250002</v>
      </c>
      <c r="B29">
        <v>2.702804023732153E-3</v>
      </c>
      <c r="C29">
        <f t="shared" si="0"/>
        <v>8.167367479935654E-4</v>
      </c>
      <c r="D29">
        <f t="shared" si="1"/>
        <v>1.8860672757385877E-3</v>
      </c>
      <c r="E29">
        <f t="shared" si="2"/>
        <v>3.557249768611978E-6</v>
      </c>
    </row>
    <row r="30" spans="1:5" x14ac:dyDescent="0.25">
      <c r="A30">
        <v>3.4277360098749998</v>
      </c>
      <c r="B30">
        <v>2.1622432189857222E-3</v>
      </c>
      <c r="C30">
        <f t="shared" si="0"/>
        <v>4.4884283947419607E-4</v>
      </c>
      <c r="D30">
        <f t="shared" si="1"/>
        <v>1.7134003795115263E-3</v>
      </c>
      <c r="E30">
        <f t="shared" si="2"/>
        <v>2.9357408605102422E-6</v>
      </c>
    </row>
    <row r="31" spans="1:5" x14ac:dyDescent="0.25">
      <c r="A31">
        <v>3.5439303851249999</v>
      </c>
      <c r="B31">
        <v>2.1622432189857222E-3</v>
      </c>
      <c r="C31">
        <f t="shared" si="0"/>
        <v>2.4094720195692792E-4</v>
      </c>
      <c r="D31">
        <f t="shared" si="1"/>
        <v>1.9212960170287942E-3</v>
      </c>
      <c r="E31">
        <f t="shared" si="2"/>
        <v>3.6913783850507087E-6</v>
      </c>
    </row>
    <row r="32" spans="1:5" x14ac:dyDescent="0.25">
      <c r="A32">
        <v>3.660124760375</v>
      </c>
      <c r="B32">
        <v>0</v>
      </c>
      <c r="C32">
        <f t="shared" si="0"/>
        <v>1.2635473825824554E-4</v>
      </c>
      <c r="D32">
        <f t="shared" si="1"/>
        <v>-1.2635473825824554E-4</v>
      </c>
      <c r="E32">
        <f t="shared" si="2"/>
        <v>1.5965519880309739E-8</v>
      </c>
    </row>
    <row r="33" spans="1:5" x14ac:dyDescent="0.25">
      <c r="A33">
        <v>3.7763191356250001</v>
      </c>
      <c r="B33">
        <v>0</v>
      </c>
      <c r="C33">
        <f t="shared" si="0"/>
        <v>6.4733192979123409E-5</v>
      </c>
      <c r="D33">
        <f t="shared" si="1"/>
        <v>-6.4733192979123409E-5</v>
      </c>
      <c r="E33">
        <f t="shared" si="2"/>
        <v>4.1903862732724326E-9</v>
      </c>
    </row>
    <row r="34" spans="1:5" x14ac:dyDescent="0.25">
      <c r="A34">
        <v>3.8925135108749997</v>
      </c>
      <c r="B34">
        <v>5.4056080474643056E-4</v>
      </c>
      <c r="C34">
        <f t="shared" si="0"/>
        <v>3.2400345937570454E-5</v>
      </c>
      <c r="D34">
        <f t="shared" si="1"/>
        <v>5.0816045880886006E-4</v>
      </c>
      <c r="E34">
        <f t="shared" si="2"/>
        <v>2.5822705189683118E-7</v>
      </c>
    </row>
    <row r="35" spans="1:5" x14ac:dyDescent="0.25">
      <c r="A35">
        <v>4.0087078861249994</v>
      </c>
      <c r="B35">
        <v>0</v>
      </c>
      <c r="C35">
        <f t="shared" si="0"/>
        <v>1.5844496400179658E-5</v>
      </c>
      <c r="D35">
        <f t="shared" si="1"/>
        <v>-1.5844496400179658E-5</v>
      </c>
      <c r="E35">
        <f t="shared" si="2"/>
        <v>2.5104806617530613E-10</v>
      </c>
    </row>
    <row r="36" spans="1:5" x14ac:dyDescent="0.25">
      <c r="A36">
        <v>4.1249022613750004</v>
      </c>
      <c r="B36">
        <v>0</v>
      </c>
      <c r="C36">
        <f t="shared" si="0"/>
        <v>7.5706036408438257E-6</v>
      </c>
      <c r="D36">
        <f t="shared" si="1"/>
        <v>-7.5706036408438257E-6</v>
      </c>
      <c r="E36">
        <f t="shared" si="2"/>
        <v>5.7314039486757791E-11</v>
      </c>
    </row>
    <row r="37" spans="1:5" x14ac:dyDescent="0.25">
      <c r="A37">
        <v>4.2410966366250005</v>
      </c>
      <c r="B37">
        <v>0</v>
      </c>
      <c r="C37">
        <f t="shared" si="0"/>
        <v>3.5344450062373069E-6</v>
      </c>
      <c r="D37">
        <f t="shared" si="1"/>
        <v>-3.5344450062373069E-6</v>
      </c>
      <c r="E37">
        <f t="shared" si="2"/>
        <v>1.2492301502115837E-11</v>
      </c>
    </row>
    <row r="38" spans="1:5" x14ac:dyDescent="0.25">
      <c r="A38">
        <v>4.3572910118749997</v>
      </c>
      <c r="B38">
        <v>0</v>
      </c>
      <c r="C38">
        <f t="shared" si="0"/>
        <v>1.6123690035556645E-6</v>
      </c>
      <c r="D38">
        <f t="shared" si="1"/>
        <v>-1.6123690035556645E-6</v>
      </c>
      <c r="E38">
        <f t="shared" si="2"/>
        <v>2.5997338036270865E-12</v>
      </c>
    </row>
    <row r="39" spans="1:5" x14ac:dyDescent="0.25">
      <c r="A39">
        <v>4.4734853871249998</v>
      </c>
      <c r="B39">
        <v>0</v>
      </c>
      <c r="C39">
        <f t="shared" si="0"/>
        <v>7.1874133832808363E-7</v>
      </c>
      <c r="D39">
        <f t="shared" si="1"/>
        <v>-7.1874133832808363E-7</v>
      </c>
      <c r="E39">
        <f t="shared" si="2"/>
        <v>5.1658911142164478E-13</v>
      </c>
    </row>
    <row r="40" spans="1:5" x14ac:dyDescent="0.25">
      <c r="A40">
        <v>4.5896797623749999</v>
      </c>
      <c r="B40">
        <v>5.4056080474643056E-4</v>
      </c>
      <c r="C40">
        <f t="shared" si="0"/>
        <v>3.1308123712410291E-7</v>
      </c>
      <c r="D40">
        <f t="shared" si="1"/>
        <v>5.402477235093065E-4</v>
      </c>
      <c r="E40">
        <f t="shared" si="2"/>
        <v>2.9186760275698807E-7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CE95-0616-49C9-98C0-035D7C000F0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5.6044364137500004E-2</v>
      </c>
      <c r="B1">
        <v>2.247635855065969E-2</v>
      </c>
      <c r="C1">
        <f>$H$3*(1+$H$1)*(A1^($H$1))*EXP(-$H$3*(A1^(1+$H$1)))</f>
        <v>5.9185849834229039E-2</v>
      </c>
      <c r="D1">
        <f>B1-C1</f>
        <v>-3.6709491283569345E-2</v>
      </c>
      <c r="E1">
        <f>D1^2</f>
        <v>1.3475867502984538E-3</v>
      </c>
      <c r="G1" t="s">
        <v>0</v>
      </c>
      <c r="H1">
        <v>1.1562850909828455</v>
      </c>
    </row>
    <row r="2" spans="1:8" x14ac:dyDescent="0.25">
      <c r="A2">
        <v>0.16777513441250003</v>
      </c>
      <c r="B2">
        <v>0.1444106036879885</v>
      </c>
      <c r="C2">
        <f t="shared" ref="C2:C40" si="0">$H$3*(1+$H$1)*(A2^($H$1))*EXP(-$H$3*(A2^(1+$H$1)))</f>
        <v>0.20719902266403639</v>
      </c>
      <c r="D2">
        <f t="shared" ref="D2:D40" si="1">B2-C2</f>
        <v>-6.2788418976047894E-2</v>
      </c>
      <c r="E2">
        <f t="shared" ref="E2:E40" si="2">D2^2</f>
        <v>3.9423855575117309E-3</v>
      </c>
    </row>
    <row r="3" spans="1:8" x14ac:dyDescent="0.25">
      <c r="A3">
        <v>0.27950590468750003</v>
      </c>
      <c r="B3">
        <v>0.33770728722366183</v>
      </c>
      <c r="C3">
        <f t="shared" si="0"/>
        <v>0.36175753566770497</v>
      </c>
      <c r="D3">
        <f t="shared" si="1"/>
        <v>-2.4050248444043132E-2</v>
      </c>
      <c r="E3">
        <f t="shared" si="2"/>
        <v>5.7841445022019909E-4</v>
      </c>
      <c r="G3" t="s">
        <v>1</v>
      </c>
      <c r="H3">
        <f>(_xlfn.GAMMA((2+$H$1)/(1+$H$1)))^(1+$H$1)</f>
        <v>0.76954614975261126</v>
      </c>
    </row>
    <row r="4" spans="1:8" x14ac:dyDescent="0.25">
      <c r="A4">
        <v>0.39123667496250003</v>
      </c>
      <c r="B4">
        <v>0.52707060801296979</v>
      </c>
      <c r="C4">
        <f t="shared" si="0"/>
        <v>0.50641568891281152</v>
      </c>
      <c r="D4">
        <f t="shared" si="1"/>
        <v>2.0654919100158264E-2</v>
      </c>
      <c r="E4">
        <f t="shared" si="2"/>
        <v>4.2662568303408266E-4</v>
      </c>
    </row>
    <row r="5" spans="1:8" x14ac:dyDescent="0.25">
      <c r="A5">
        <v>0.50296744523750014</v>
      </c>
      <c r="B5">
        <v>0.71980538258487659</v>
      </c>
      <c r="C5">
        <f t="shared" si="0"/>
        <v>0.62935948684157794</v>
      </c>
      <c r="D5">
        <f t="shared" si="1"/>
        <v>9.0445895743298643E-2</v>
      </c>
      <c r="E5">
        <f t="shared" si="2"/>
        <v>8.1804600568076476E-3</v>
      </c>
      <c r="G5" t="s">
        <v>2</v>
      </c>
      <c r="H5">
        <f>SUM(E1:E40)</f>
        <v>3.126541818743158E-2</v>
      </c>
    </row>
    <row r="6" spans="1:8" x14ac:dyDescent="0.25">
      <c r="A6">
        <v>0.61469821551250003</v>
      </c>
      <c r="B6">
        <v>0.77599627896152579</v>
      </c>
      <c r="C6">
        <f t="shared" si="0"/>
        <v>0.722003523944722</v>
      </c>
      <c r="D6">
        <f t="shared" si="1"/>
        <v>5.3992755016803784E-2</v>
      </c>
      <c r="E6">
        <f t="shared" si="2"/>
        <v>2.9152175943045902E-3</v>
      </c>
    </row>
    <row r="7" spans="1:8" x14ac:dyDescent="0.25">
      <c r="A7">
        <v>0.72642898578749993</v>
      </c>
      <c r="B7">
        <v>0.84173962772220545</v>
      </c>
      <c r="C7">
        <f t="shared" si="0"/>
        <v>0.77924049856767552</v>
      </c>
      <c r="D7">
        <f t="shared" si="1"/>
        <v>6.2499129154529931E-2</v>
      </c>
      <c r="E7">
        <f t="shared" si="2"/>
        <v>3.906141145074613E-3</v>
      </c>
    </row>
    <row r="8" spans="1:8" x14ac:dyDescent="0.25">
      <c r="A8">
        <v>0.83815975606250004</v>
      </c>
      <c r="B8">
        <v>0.85466353388883476</v>
      </c>
      <c r="C8">
        <f t="shared" si="0"/>
        <v>0.79962826285160815</v>
      </c>
      <c r="D8">
        <f t="shared" si="1"/>
        <v>5.5035271037226607E-2</v>
      </c>
      <c r="E8">
        <f t="shared" si="2"/>
        <v>3.028881058140994E-3</v>
      </c>
    </row>
    <row r="9" spans="1:8" x14ac:dyDescent="0.25">
      <c r="A9">
        <v>0.94989052633750015</v>
      </c>
      <c r="B9">
        <v>0.77487246103399288</v>
      </c>
      <c r="C9">
        <f t="shared" si="0"/>
        <v>0.78520584162954554</v>
      </c>
      <c r="D9">
        <f t="shared" si="1"/>
        <v>-1.0333380595552666E-2</v>
      </c>
      <c r="E9">
        <f t="shared" si="2"/>
        <v>1.0677875453254437E-4</v>
      </c>
    </row>
    <row r="10" spans="1:8" x14ac:dyDescent="0.25">
      <c r="A10">
        <v>1.0616212966125</v>
      </c>
      <c r="B10">
        <v>0.67822411926615611</v>
      </c>
      <c r="C10">
        <f t="shared" si="0"/>
        <v>0.7409091432603071</v>
      </c>
      <c r="D10">
        <f t="shared" si="1"/>
        <v>-6.268502399415099E-2</v>
      </c>
      <c r="E10">
        <f t="shared" si="2"/>
        <v>3.9294122331472855E-3</v>
      </c>
    </row>
    <row r="11" spans="1:8" x14ac:dyDescent="0.25">
      <c r="A11">
        <v>1.1733520668875002</v>
      </c>
      <c r="B11">
        <v>0.66136685035316134</v>
      </c>
      <c r="C11">
        <f t="shared" si="0"/>
        <v>0.67368083890648855</v>
      </c>
      <c r="D11">
        <f t="shared" si="1"/>
        <v>-1.2313988553327215E-2</v>
      </c>
      <c r="E11">
        <f t="shared" si="2"/>
        <v>1.5163431409147369E-4</v>
      </c>
    </row>
    <row r="12" spans="1:8" x14ac:dyDescent="0.25">
      <c r="A12">
        <v>1.2850828371625003</v>
      </c>
      <c r="B12">
        <v>0.57089950718675608</v>
      </c>
      <c r="C12">
        <f t="shared" si="0"/>
        <v>0.59143181336526784</v>
      </c>
      <c r="D12">
        <f t="shared" si="1"/>
        <v>-2.0532306178511761E-2</v>
      </c>
      <c r="E12">
        <f t="shared" si="2"/>
        <v>4.2157559700815221E-4</v>
      </c>
    </row>
    <row r="13" spans="1:8" x14ac:dyDescent="0.25">
      <c r="A13">
        <v>1.3968136074375002</v>
      </c>
      <c r="B13">
        <v>0.47762261920151844</v>
      </c>
      <c r="C13">
        <f t="shared" si="0"/>
        <v>0.5020272229346644</v>
      </c>
      <c r="D13">
        <f t="shared" si="1"/>
        <v>-2.4404603733145958E-2</v>
      </c>
      <c r="E13">
        <f t="shared" si="2"/>
        <v>5.9558468337188157E-4</v>
      </c>
    </row>
    <row r="14" spans="1:8" x14ac:dyDescent="0.25">
      <c r="A14">
        <v>1.5085443777125001</v>
      </c>
      <c r="B14">
        <v>0.39614581945537702</v>
      </c>
      <c r="C14">
        <f t="shared" si="0"/>
        <v>0.41244595130467027</v>
      </c>
      <c r="D14">
        <f t="shared" si="1"/>
        <v>-1.6300131849293242E-2</v>
      </c>
      <c r="E14">
        <f t="shared" si="2"/>
        <v>2.6569429830434392E-4</v>
      </c>
    </row>
    <row r="15" spans="1:8" x14ac:dyDescent="0.25">
      <c r="A15">
        <v>1.6202751479874999</v>
      </c>
      <c r="B15">
        <v>0.30286893147013932</v>
      </c>
      <c r="C15">
        <f t="shared" si="0"/>
        <v>0.32821042264184336</v>
      </c>
      <c r="D15">
        <f t="shared" si="1"/>
        <v>-2.5341491171704034E-2</v>
      </c>
      <c r="E15">
        <f t="shared" si="2"/>
        <v>6.4219117480555346E-4</v>
      </c>
    </row>
    <row r="16" spans="1:8" x14ac:dyDescent="0.25">
      <c r="A16">
        <v>1.7320059182625003</v>
      </c>
      <c r="B16">
        <v>0.24162085441959166</v>
      </c>
      <c r="C16">
        <f t="shared" si="0"/>
        <v>0.25312048902269513</v>
      </c>
      <c r="D16">
        <f t="shared" si="1"/>
        <v>-1.1499634603103465E-2</v>
      </c>
      <c r="E16">
        <f t="shared" si="2"/>
        <v>1.3224159600489459E-4</v>
      </c>
    </row>
    <row r="17" spans="1:5" x14ac:dyDescent="0.25">
      <c r="A17">
        <v>1.8437366885375002</v>
      </c>
      <c r="B17">
        <v>0.1674488712024147</v>
      </c>
      <c r="C17">
        <f t="shared" si="0"/>
        <v>0.18926649580348359</v>
      </c>
      <c r="D17">
        <f t="shared" si="1"/>
        <v>-2.1817624601068897E-2</v>
      </c>
      <c r="E17">
        <f t="shared" si="2"/>
        <v>4.7600874323316673E-4</v>
      </c>
    </row>
    <row r="18" spans="1:5" x14ac:dyDescent="0.25">
      <c r="A18">
        <v>1.9554674588125001</v>
      </c>
      <c r="B18">
        <v>0.13485815130395815</v>
      </c>
      <c r="C18">
        <f t="shared" si="0"/>
        <v>0.13725460348458124</v>
      </c>
      <c r="D18">
        <f t="shared" si="1"/>
        <v>-2.3964521806230932E-3</v>
      </c>
      <c r="E18">
        <f t="shared" si="2"/>
        <v>5.7429830540131786E-6</v>
      </c>
    </row>
    <row r="19" spans="1:5" x14ac:dyDescent="0.25">
      <c r="A19">
        <v>2.0671982290874999</v>
      </c>
      <c r="B19">
        <v>0.10339124933303458</v>
      </c>
      <c r="C19">
        <f t="shared" si="0"/>
        <v>9.6557605512668607E-2</v>
      </c>
      <c r="D19">
        <f t="shared" si="1"/>
        <v>6.83364382036597E-3</v>
      </c>
      <c r="E19">
        <f t="shared" si="2"/>
        <v>4.6698687863626009E-5</v>
      </c>
    </row>
    <row r="20" spans="1:5" x14ac:dyDescent="0.25">
      <c r="A20">
        <v>2.1789289993625003</v>
      </c>
      <c r="B20">
        <v>6.9676711507045047E-2</v>
      </c>
      <c r="C20">
        <f t="shared" si="0"/>
        <v>6.5905948955820207E-2</v>
      </c>
      <c r="D20">
        <f t="shared" si="1"/>
        <v>3.7707625512248405E-3</v>
      </c>
      <c r="E20">
        <f t="shared" si="2"/>
        <v>1.4218650217719668E-5</v>
      </c>
    </row>
    <row r="21" spans="1:5" x14ac:dyDescent="0.25">
      <c r="A21">
        <v>2.2906597696375002</v>
      </c>
      <c r="B21">
        <v>4.3828899173786399E-2</v>
      </c>
      <c r="C21">
        <f t="shared" si="0"/>
        <v>4.3650780842216748E-2</v>
      </c>
      <c r="D21">
        <f t="shared" si="1"/>
        <v>1.7811833156965162E-4</v>
      </c>
      <c r="E21">
        <f t="shared" si="2"/>
        <v>3.1726140041156352E-8</v>
      </c>
    </row>
    <row r="22" spans="1:5" x14ac:dyDescent="0.25">
      <c r="A22">
        <v>2.4023905399125001</v>
      </c>
      <c r="B22">
        <v>3.2028810934690059E-2</v>
      </c>
      <c r="C22">
        <f t="shared" si="0"/>
        <v>2.8055787218610927E-2</v>
      </c>
      <c r="D22">
        <f t="shared" si="1"/>
        <v>3.9730237160791326E-3</v>
      </c>
      <c r="E22">
        <f t="shared" si="2"/>
        <v>1.5784917448527241E-5</v>
      </c>
    </row>
    <row r="23" spans="1:5" x14ac:dyDescent="0.25">
      <c r="A23">
        <v>2.5141213101875</v>
      </c>
      <c r="B23">
        <v>2.0228722695593723E-2</v>
      </c>
      <c r="C23">
        <f t="shared" si="0"/>
        <v>1.7499927495871724E-2</v>
      </c>
      <c r="D23">
        <f t="shared" si="1"/>
        <v>2.7287951997219985E-3</v>
      </c>
      <c r="E23">
        <f t="shared" si="2"/>
        <v>7.4463232420258214E-6</v>
      </c>
    </row>
    <row r="24" spans="1:5" x14ac:dyDescent="0.25">
      <c r="A24">
        <v>2.6258520804624998</v>
      </c>
      <c r="B24">
        <v>1.6857268912994768E-2</v>
      </c>
      <c r="C24">
        <f t="shared" si="0"/>
        <v>1.0593583713473482E-2</v>
      </c>
      <c r="D24">
        <f t="shared" si="1"/>
        <v>6.2636851995212864E-3</v>
      </c>
      <c r="E24">
        <f t="shared" si="2"/>
        <v>3.9233752278702014E-5</v>
      </c>
    </row>
    <row r="25" spans="1:5" x14ac:dyDescent="0.25">
      <c r="A25">
        <v>2.7375828507374997</v>
      </c>
      <c r="B25">
        <v>1.2923906166629322E-2</v>
      </c>
      <c r="C25">
        <f t="shared" si="0"/>
        <v>6.2236224433036861E-3</v>
      </c>
      <c r="D25">
        <f t="shared" si="1"/>
        <v>6.700283723325636E-3</v>
      </c>
      <c r="E25">
        <f t="shared" si="2"/>
        <v>4.4893801973062447E-5</v>
      </c>
    </row>
    <row r="26" spans="1:5" x14ac:dyDescent="0.25">
      <c r="A26">
        <v>2.8493136210125005</v>
      </c>
      <c r="B26">
        <v>8.9905434202638759E-3</v>
      </c>
      <c r="C26">
        <f t="shared" si="0"/>
        <v>3.5483874135742248E-3</v>
      </c>
      <c r="D26">
        <f t="shared" si="1"/>
        <v>5.4421560066896506E-3</v>
      </c>
      <c r="E26">
        <f t="shared" si="2"/>
        <v>2.9617062001148245E-5</v>
      </c>
    </row>
    <row r="27" spans="1:5" x14ac:dyDescent="0.25">
      <c r="A27">
        <v>2.9610443912875004</v>
      </c>
      <c r="B27">
        <v>3.9333627463654462E-3</v>
      </c>
      <c r="C27">
        <f t="shared" si="0"/>
        <v>1.9633346175120252E-3</v>
      </c>
      <c r="D27">
        <f t="shared" si="1"/>
        <v>1.970028128853421E-3</v>
      </c>
      <c r="E27">
        <f t="shared" si="2"/>
        <v>3.8810108284737113E-6</v>
      </c>
    </row>
    <row r="28" spans="1:5" x14ac:dyDescent="0.25">
      <c r="A28">
        <v>3.0727751615625003</v>
      </c>
      <c r="B28">
        <v>2.247635855065969E-3</v>
      </c>
      <c r="C28">
        <f t="shared" si="0"/>
        <v>1.0541841759231061E-3</v>
      </c>
      <c r="D28">
        <f t="shared" si="1"/>
        <v>1.1934516791428629E-3</v>
      </c>
      <c r="E28">
        <f t="shared" si="2"/>
        <v>1.4243269104489191E-6</v>
      </c>
    </row>
    <row r="29" spans="1:5" x14ac:dyDescent="0.25">
      <c r="A29">
        <v>3.1845059318375002</v>
      </c>
      <c r="B29">
        <v>2.8095448188324612E-3</v>
      </c>
      <c r="C29">
        <f t="shared" si="0"/>
        <v>5.4925888182625737E-4</v>
      </c>
      <c r="D29">
        <f t="shared" si="1"/>
        <v>2.2602859370062039E-3</v>
      </c>
      <c r="E29">
        <f t="shared" si="2"/>
        <v>5.1088925170280133E-6</v>
      </c>
    </row>
    <row r="30" spans="1:5" x14ac:dyDescent="0.25">
      <c r="A30">
        <v>3.2962367021125001</v>
      </c>
      <c r="B30">
        <v>2.247635855065969E-3</v>
      </c>
      <c r="C30">
        <f t="shared" si="0"/>
        <v>2.7768507411547267E-4</v>
      </c>
      <c r="D30">
        <f t="shared" si="1"/>
        <v>1.9699507809504964E-3</v>
      </c>
      <c r="E30">
        <f t="shared" si="2"/>
        <v>3.8807060793674705E-6</v>
      </c>
    </row>
    <row r="31" spans="1:5" x14ac:dyDescent="0.25">
      <c r="A31">
        <v>3.4079674723875</v>
      </c>
      <c r="B31">
        <v>0</v>
      </c>
      <c r="C31">
        <f t="shared" si="0"/>
        <v>1.3621241848818806E-4</v>
      </c>
      <c r="D31">
        <f t="shared" si="1"/>
        <v>-1.3621241848818806E-4</v>
      </c>
      <c r="E31">
        <f t="shared" si="2"/>
        <v>1.8553822950401276E-8</v>
      </c>
    </row>
    <row r="32" spans="1:5" x14ac:dyDescent="0.25">
      <c r="A32">
        <v>3.5196982426625008</v>
      </c>
      <c r="B32">
        <v>0</v>
      </c>
      <c r="C32">
        <f t="shared" si="0"/>
        <v>6.4824826876558694E-5</v>
      </c>
      <c r="D32">
        <f t="shared" si="1"/>
        <v>-6.4824826876558694E-5</v>
      </c>
      <c r="E32">
        <f t="shared" si="2"/>
        <v>4.2022581795758062E-9</v>
      </c>
    </row>
    <row r="33" spans="1:5" x14ac:dyDescent="0.25">
      <c r="A33">
        <v>3.6314290129375002</v>
      </c>
      <c r="B33">
        <v>5.6190896376649225E-4</v>
      </c>
      <c r="C33">
        <f t="shared" si="0"/>
        <v>2.9929302103215796E-5</v>
      </c>
      <c r="D33">
        <f t="shared" si="1"/>
        <v>5.3197966166327649E-4</v>
      </c>
      <c r="E33">
        <f t="shared" si="2"/>
        <v>2.8300236042337414E-7</v>
      </c>
    </row>
    <row r="34" spans="1:5" x14ac:dyDescent="0.25">
      <c r="A34">
        <v>3.7431597832124996</v>
      </c>
      <c r="B34">
        <v>0</v>
      </c>
      <c r="C34">
        <f t="shared" si="0"/>
        <v>1.3404513613068443E-5</v>
      </c>
      <c r="D34">
        <f t="shared" si="1"/>
        <v>-1.3404513613068443E-5</v>
      </c>
      <c r="E34">
        <f t="shared" si="2"/>
        <v>1.796809852029372E-10</v>
      </c>
    </row>
    <row r="35" spans="1:5" x14ac:dyDescent="0.25">
      <c r="A35">
        <v>3.8548905534875004</v>
      </c>
      <c r="B35">
        <v>0</v>
      </c>
      <c r="C35">
        <f t="shared" si="0"/>
        <v>5.8233425798800666E-6</v>
      </c>
      <c r="D35">
        <f t="shared" si="1"/>
        <v>-5.8233425798800666E-6</v>
      </c>
      <c r="E35">
        <f t="shared" si="2"/>
        <v>3.3911318802644233E-11</v>
      </c>
    </row>
    <row r="36" spans="1:5" x14ac:dyDescent="0.25">
      <c r="A36">
        <v>3.9666213237625003</v>
      </c>
      <c r="B36">
        <v>0</v>
      </c>
      <c r="C36">
        <f t="shared" si="0"/>
        <v>2.453731835137348E-6</v>
      </c>
      <c r="D36">
        <f t="shared" si="1"/>
        <v>-2.453731835137348E-6</v>
      </c>
      <c r="E36">
        <f t="shared" si="2"/>
        <v>6.0207999187664973E-12</v>
      </c>
    </row>
    <row r="37" spans="1:5" x14ac:dyDescent="0.25">
      <c r="A37">
        <v>4.0783520940375002</v>
      </c>
      <c r="B37">
        <v>0</v>
      </c>
      <c r="C37">
        <f t="shared" si="0"/>
        <v>1.0027237302878767E-6</v>
      </c>
      <c r="D37">
        <f t="shared" si="1"/>
        <v>-1.0027237302878767E-6</v>
      </c>
      <c r="E37">
        <f t="shared" si="2"/>
        <v>1.0054548792824345E-12</v>
      </c>
    </row>
    <row r="38" spans="1:5" x14ac:dyDescent="0.25">
      <c r="A38">
        <v>4.1900828643125001</v>
      </c>
      <c r="B38">
        <v>0</v>
      </c>
      <c r="C38">
        <f t="shared" si="0"/>
        <v>3.973748115562161E-7</v>
      </c>
      <c r="D38">
        <f t="shared" si="1"/>
        <v>-3.973748115562161E-7</v>
      </c>
      <c r="E38">
        <f t="shared" si="2"/>
        <v>1.5790674085933826E-13</v>
      </c>
    </row>
    <row r="39" spans="1:5" x14ac:dyDescent="0.25">
      <c r="A39">
        <v>4.3018136345875</v>
      </c>
      <c r="B39">
        <v>0</v>
      </c>
      <c r="C39">
        <f t="shared" si="0"/>
        <v>1.5270357830097235E-7</v>
      </c>
      <c r="D39">
        <f t="shared" si="1"/>
        <v>-1.5270357830097235E-7</v>
      </c>
      <c r="E39">
        <f t="shared" si="2"/>
        <v>2.3318382825921193E-14</v>
      </c>
    </row>
    <row r="40" spans="1:5" x14ac:dyDescent="0.25">
      <c r="A40">
        <v>4.4135444048625008</v>
      </c>
      <c r="B40">
        <v>5.6190896376649225E-4</v>
      </c>
      <c r="C40">
        <f t="shared" si="0"/>
        <v>5.6897425320543561E-8</v>
      </c>
      <c r="D40">
        <f t="shared" si="1"/>
        <v>5.6185206634117165E-4</v>
      </c>
      <c r="E40">
        <f t="shared" si="2"/>
        <v>3.1567774445184433E-7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732F-138E-4626-8541-6BE483A9AEC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5.4070950224999997E-2</v>
      </c>
      <c r="B1">
        <v>1.2284205970974599E-2</v>
      </c>
      <c r="C1">
        <f>$H$3*(1+$H$1)*(A1^($H$1))*EXP(-$H$3*(A1^(1+$H$1)))</f>
        <v>3.5445086359591954E-2</v>
      </c>
      <c r="D1">
        <f>B1-C1</f>
        <v>-2.3160880388617355E-2</v>
      </c>
      <c r="E1">
        <f>D1^2</f>
        <v>5.3642638037583999E-4</v>
      </c>
      <c r="G1" t="s">
        <v>0</v>
      </c>
      <c r="H1">
        <v>1.3387576665483583</v>
      </c>
    </row>
    <row r="2" spans="1:8" x14ac:dyDescent="0.25">
      <c r="A2">
        <v>0.161391698675</v>
      </c>
      <c r="B2">
        <v>6.3175916422155073E-2</v>
      </c>
      <c r="C2">
        <f t="shared" ref="C2:C40" si="0">$H$3*(1+$H$1)*(A2^($H$1))*EXP(-$H$3*(A2^(1+$H$1)))</f>
        <v>0.15174525924769078</v>
      </c>
      <c r="D2">
        <f t="shared" ref="D2:D40" si="1">B2-C2</f>
        <v>-8.8569342825535705E-2</v>
      </c>
      <c r="E2">
        <f t="shared" ref="E2:E40" si="2">D2^2</f>
        <v>7.8445284885472737E-3</v>
      </c>
    </row>
    <row r="3" spans="1:8" x14ac:dyDescent="0.25">
      <c r="A3">
        <v>0.26871244712499998</v>
      </c>
      <c r="B3">
        <v>0.25855328757956059</v>
      </c>
      <c r="C3">
        <f t="shared" si="0"/>
        <v>0.29307458978364165</v>
      </c>
      <c r="D3">
        <f t="shared" si="1"/>
        <v>-3.4521302204081061E-2</v>
      </c>
      <c r="E3">
        <f t="shared" si="2"/>
        <v>1.1917203058654919E-3</v>
      </c>
      <c r="G3" t="s">
        <v>1</v>
      </c>
      <c r="H3">
        <f>(_xlfn.GAMMA((2+$H$1)/(1+$H$1)))^(1+$H$1)</f>
        <v>0.75366987398082452</v>
      </c>
    </row>
    <row r="4" spans="1:8" x14ac:dyDescent="0.25">
      <c r="A4">
        <v>0.37603319557500003</v>
      </c>
      <c r="B4">
        <v>0.45919531843881239</v>
      </c>
      <c r="C4">
        <f t="shared" si="0"/>
        <v>0.44082659015923753</v>
      </c>
      <c r="D4">
        <f t="shared" si="1"/>
        <v>1.8368728279574864E-2</v>
      </c>
      <c r="E4">
        <f t="shared" si="2"/>
        <v>3.3741017860885336E-4</v>
      </c>
    </row>
    <row r="5" spans="1:8" x14ac:dyDescent="0.25">
      <c r="A5">
        <v>0.48335394402499998</v>
      </c>
      <c r="B5">
        <v>0.62707946670879855</v>
      </c>
      <c r="C5">
        <f t="shared" si="0"/>
        <v>0.58035868770796473</v>
      </c>
      <c r="D5">
        <f t="shared" si="1"/>
        <v>4.6720779000833823E-2</v>
      </c>
      <c r="E5">
        <f t="shared" si="2"/>
        <v>2.1828311904447547E-3</v>
      </c>
      <c r="G5" t="s">
        <v>2</v>
      </c>
      <c r="H5">
        <f>SUM(E1:E40)</f>
        <v>4.0573715344766531E-2</v>
      </c>
    </row>
    <row r="6" spans="1:8" x14ac:dyDescent="0.25">
      <c r="A6">
        <v>0.59067469247499993</v>
      </c>
      <c r="B6">
        <v>0.80490797219338317</v>
      </c>
      <c r="C6">
        <f t="shared" si="0"/>
        <v>0.69905760917290383</v>
      </c>
      <c r="D6">
        <f t="shared" si="1"/>
        <v>0.10585036302047934</v>
      </c>
      <c r="E6">
        <f t="shared" si="2"/>
        <v>1.1204299351567261E-2</v>
      </c>
    </row>
    <row r="7" spans="1:8" x14ac:dyDescent="0.25">
      <c r="A7">
        <v>0.69799544092499999</v>
      </c>
      <c r="B7">
        <v>0.87334854831738451</v>
      </c>
      <c r="C7">
        <f t="shared" si="0"/>
        <v>0.78694141276645735</v>
      </c>
      <c r="D7">
        <f t="shared" si="1"/>
        <v>8.6407135550927161E-2</v>
      </c>
      <c r="E7">
        <f t="shared" si="2"/>
        <v>7.4661930741163002E-3</v>
      </c>
    </row>
    <row r="8" spans="1:8" x14ac:dyDescent="0.25">
      <c r="A8">
        <v>0.80531618937500005</v>
      </c>
      <c r="B8">
        <v>0.88621771647745318</v>
      </c>
      <c r="C8">
        <f t="shared" si="0"/>
        <v>0.83756029240450491</v>
      </c>
      <c r="D8">
        <f t="shared" si="1"/>
        <v>4.8657424072948263E-2</v>
      </c>
      <c r="E8">
        <f t="shared" si="2"/>
        <v>2.367544917414725E-3</v>
      </c>
    </row>
    <row r="9" spans="1:8" x14ac:dyDescent="0.25">
      <c r="A9">
        <v>0.91263693782499999</v>
      </c>
      <c r="B9">
        <v>0.86457411548097407</v>
      </c>
      <c r="C9">
        <f t="shared" si="0"/>
        <v>0.84860565776347707</v>
      </c>
      <c r="D9">
        <f t="shared" si="1"/>
        <v>1.5968457717496998E-2</v>
      </c>
      <c r="E9">
        <f t="shared" si="2"/>
        <v>2.5499164187548943E-4</v>
      </c>
    </row>
    <row r="10" spans="1:8" x14ac:dyDescent="0.25">
      <c r="A10">
        <v>1.0199576862749999</v>
      </c>
      <c r="B10">
        <v>0.79847338811334889</v>
      </c>
      <c r="C10">
        <f t="shared" si="0"/>
        <v>0.82197531968565962</v>
      </c>
      <c r="D10">
        <f t="shared" si="1"/>
        <v>-2.350193157231073E-2</v>
      </c>
      <c r="E10">
        <f t="shared" si="2"/>
        <v>5.5234078762957594E-4</v>
      </c>
    </row>
    <row r="11" spans="1:8" x14ac:dyDescent="0.25">
      <c r="A11">
        <v>1.127278434725</v>
      </c>
      <c r="B11">
        <v>0.73412754731300578</v>
      </c>
      <c r="C11">
        <f t="shared" si="0"/>
        <v>0.76323464068719671</v>
      </c>
      <c r="D11">
        <f t="shared" si="1"/>
        <v>-2.9107093374190929E-2</v>
      </c>
      <c r="E11">
        <f t="shared" si="2"/>
        <v>8.472228846938695E-4</v>
      </c>
    </row>
    <row r="12" spans="1:8" x14ac:dyDescent="0.25">
      <c r="A12">
        <v>1.2345991831749998</v>
      </c>
      <c r="B12">
        <v>0.64872306770527766</v>
      </c>
      <c r="C12">
        <f t="shared" si="0"/>
        <v>0.68057030378247352</v>
      </c>
      <c r="D12">
        <f t="shared" si="1"/>
        <v>-3.1847236077195862E-2</v>
      </c>
      <c r="E12">
        <f t="shared" si="2"/>
        <v>1.0142464457566457E-3</v>
      </c>
    </row>
    <row r="13" spans="1:8" x14ac:dyDescent="0.25">
      <c r="A13">
        <v>1.3419199316250001</v>
      </c>
      <c r="B13">
        <v>0.55044941993748087</v>
      </c>
      <c r="C13">
        <f t="shared" si="0"/>
        <v>0.5834482753472191</v>
      </c>
      <c r="D13">
        <f t="shared" si="1"/>
        <v>-3.2998855409738237E-2</v>
      </c>
      <c r="E13">
        <f t="shared" si="2"/>
        <v>1.0889244583528106E-3</v>
      </c>
    </row>
    <row r="14" spans="1:8" x14ac:dyDescent="0.25">
      <c r="A14">
        <v>1.449240680075</v>
      </c>
      <c r="B14">
        <v>0.44457126371146166</v>
      </c>
      <c r="C14">
        <f t="shared" si="0"/>
        <v>0.48124057354201005</v>
      </c>
      <c r="D14">
        <f t="shared" si="1"/>
        <v>-3.6669309830548391E-2</v>
      </c>
      <c r="E14">
        <f t="shared" si="2"/>
        <v>1.344638283448753E-3</v>
      </c>
    </row>
    <row r="15" spans="1:8" x14ac:dyDescent="0.25">
      <c r="A15">
        <v>1.5565614285249998</v>
      </c>
      <c r="B15">
        <v>0.34746754032185295</v>
      </c>
      <c r="C15">
        <f t="shared" si="0"/>
        <v>0.38206885782913508</v>
      </c>
      <c r="D15">
        <f t="shared" si="1"/>
        <v>-3.4601317507282126E-2</v>
      </c>
      <c r="E15">
        <f t="shared" si="2"/>
        <v>1.1972511732397486E-3</v>
      </c>
    </row>
    <row r="16" spans="1:8" x14ac:dyDescent="0.25">
      <c r="A16">
        <v>1.6638821769750001</v>
      </c>
      <c r="B16">
        <v>0.26440290947050088</v>
      </c>
      <c r="C16">
        <f t="shared" si="0"/>
        <v>0.29203791652354349</v>
      </c>
      <c r="D16">
        <f t="shared" si="1"/>
        <v>-2.7635007053042615E-2</v>
      </c>
      <c r="E16">
        <f t="shared" si="2"/>
        <v>7.636936148217151E-4</v>
      </c>
    </row>
    <row r="17" spans="1:5" x14ac:dyDescent="0.25">
      <c r="A17">
        <v>1.7712029254249999</v>
      </c>
      <c r="B17">
        <v>0.20941646369566219</v>
      </c>
      <c r="C17">
        <f t="shared" si="0"/>
        <v>0.21492565534931793</v>
      </c>
      <c r="D17">
        <f t="shared" si="1"/>
        <v>-5.5091916536557373E-3</v>
      </c>
      <c r="E17">
        <f t="shared" si="2"/>
        <v>3.0351192676710037E-5</v>
      </c>
    </row>
    <row r="18" spans="1:5" x14ac:dyDescent="0.25">
      <c r="A18">
        <v>1.8785236738749997</v>
      </c>
      <c r="B18">
        <v>0.15033528259716533</v>
      </c>
      <c r="C18">
        <f t="shared" si="0"/>
        <v>0.15229084588293565</v>
      </c>
      <c r="D18">
        <f t="shared" si="1"/>
        <v>-1.9555632857703176E-3</v>
      </c>
      <c r="E18">
        <f t="shared" si="2"/>
        <v>3.8242277646528007E-6</v>
      </c>
    </row>
    <row r="19" spans="1:5" x14ac:dyDescent="0.25">
      <c r="A19">
        <v>1.9858444223249998</v>
      </c>
      <c r="B19">
        <v>0.10236838309145499</v>
      </c>
      <c r="C19">
        <f t="shared" si="0"/>
        <v>0.10388316503481464</v>
      </c>
      <c r="D19">
        <f t="shared" si="1"/>
        <v>-1.5147819433596471E-3</v>
      </c>
      <c r="E19">
        <f t="shared" si="2"/>
        <v>2.2945643359284293E-6</v>
      </c>
    </row>
    <row r="20" spans="1:5" x14ac:dyDescent="0.25">
      <c r="A20">
        <v>2.0931651707749999</v>
      </c>
      <c r="B20">
        <v>7.4875160204035646E-2</v>
      </c>
      <c r="C20">
        <f t="shared" si="0"/>
        <v>6.8206354002693412E-2</v>
      </c>
      <c r="D20">
        <f t="shared" si="1"/>
        <v>6.6688062013422339E-3</v>
      </c>
      <c r="E20">
        <f t="shared" si="2"/>
        <v>4.4472976151060635E-5</v>
      </c>
    </row>
    <row r="21" spans="1:5" x14ac:dyDescent="0.25">
      <c r="A21">
        <v>2.2004859192249997</v>
      </c>
      <c r="B21">
        <v>4.0362391047487969E-2</v>
      </c>
      <c r="C21">
        <f t="shared" si="0"/>
        <v>4.3093815878365312E-2</v>
      </c>
      <c r="D21">
        <f t="shared" si="1"/>
        <v>-2.7314248308773423E-3</v>
      </c>
      <c r="E21">
        <f t="shared" si="2"/>
        <v>7.4606816067333179E-6</v>
      </c>
    </row>
    <row r="22" spans="1:5" x14ac:dyDescent="0.25">
      <c r="A22">
        <v>2.307806667675</v>
      </c>
      <c r="B22">
        <v>3.4512769156547683E-2</v>
      </c>
      <c r="C22">
        <f t="shared" si="0"/>
        <v>2.6194029645394731E-2</v>
      </c>
      <c r="D22">
        <f t="shared" si="1"/>
        <v>8.3187395111529519E-3</v>
      </c>
      <c r="E22">
        <f t="shared" si="2"/>
        <v>6.9201427054417251E-5</v>
      </c>
    </row>
    <row r="23" spans="1:5" x14ac:dyDescent="0.25">
      <c r="A23">
        <v>2.4151274161249998</v>
      </c>
      <c r="B23">
        <v>2.2228563185573084E-2</v>
      </c>
      <c r="C23">
        <f t="shared" si="0"/>
        <v>1.5313062276878399E-2</v>
      </c>
      <c r="D23">
        <f t="shared" si="1"/>
        <v>6.9155009086946852E-3</v>
      </c>
      <c r="E23">
        <f t="shared" si="2"/>
        <v>4.7824152818157015E-5</v>
      </c>
    </row>
    <row r="24" spans="1:5" x14ac:dyDescent="0.25">
      <c r="A24">
        <v>2.5224481645749997</v>
      </c>
      <c r="B24">
        <v>1.6963903483726825E-2</v>
      </c>
      <c r="C24">
        <f t="shared" si="0"/>
        <v>8.6071713508867106E-3</v>
      </c>
      <c r="D24">
        <f t="shared" si="1"/>
        <v>8.3567321328401143E-3</v>
      </c>
      <c r="E24">
        <f t="shared" si="2"/>
        <v>6.9834971940042483E-5</v>
      </c>
    </row>
    <row r="25" spans="1:5" x14ac:dyDescent="0.25">
      <c r="A25">
        <v>2.6297689130249999</v>
      </c>
      <c r="B25">
        <v>1.2869168160068627E-2</v>
      </c>
      <c r="C25">
        <f t="shared" si="0"/>
        <v>4.6500451169619811E-3</v>
      </c>
      <c r="D25">
        <f t="shared" si="1"/>
        <v>8.219123043106645E-3</v>
      </c>
      <c r="E25">
        <f t="shared" si="2"/>
        <v>6.7553983597726632E-5</v>
      </c>
    </row>
    <row r="26" spans="1:5" x14ac:dyDescent="0.25">
      <c r="A26">
        <v>2.7370896614750002</v>
      </c>
      <c r="B26">
        <v>7.0195462691283418E-3</v>
      </c>
      <c r="C26">
        <f t="shared" si="0"/>
        <v>2.4138312734838367E-3</v>
      </c>
      <c r="D26">
        <f t="shared" si="1"/>
        <v>4.6057149956445047E-3</v>
      </c>
      <c r="E26">
        <f t="shared" si="2"/>
        <v>2.1212610621104661E-5</v>
      </c>
    </row>
    <row r="27" spans="1:5" x14ac:dyDescent="0.25">
      <c r="A27">
        <v>2.844410409925</v>
      </c>
      <c r="B27">
        <v>3.5097731345641709E-3</v>
      </c>
      <c r="C27">
        <f t="shared" si="0"/>
        <v>1.2035406782018557E-3</v>
      </c>
      <c r="D27">
        <f t="shared" si="1"/>
        <v>2.3062324563623152E-3</v>
      </c>
      <c r="E27">
        <f t="shared" si="2"/>
        <v>5.3187081427789583E-6</v>
      </c>
    </row>
    <row r="28" spans="1:5" x14ac:dyDescent="0.25">
      <c r="A28">
        <v>2.9517311583749999</v>
      </c>
      <c r="B28">
        <v>3.5097731345641709E-3</v>
      </c>
      <c r="C28">
        <f t="shared" si="0"/>
        <v>5.7619208645126737E-4</v>
      </c>
      <c r="D28">
        <f t="shared" si="1"/>
        <v>2.9335810481129036E-3</v>
      </c>
      <c r="E28">
        <f t="shared" si="2"/>
        <v>8.6058977658472027E-6</v>
      </c>
    </row>
    <row r="29" spans="1:5" x14ac:dyDescent="0.25">
      <c r="A29">
        <v>3.0590519068249993</v>
      </c>
      <c r="B29">
        <v>1.169924378188057E-3</v>
      </c>
      <c r="C29">
        <f t="shared" si="0"/>
        <v>2.6477273043426535E-4</v>
      </c>
      <c r="D29">
        <f t="shared" si="1"/>
        <v>9.0515164775379167E-4</v>
      </c>
      <c r="E29">
        <f t="shared" si="2"/>
        <v>8.1929950543140419E-7</v>
      </c>
    </row>
    <row r="30" spans="1:5" x14ac:dyDescent="0.25">
      <c r="A30">
        <v>3.1663726552749996</v>
      </c>
      <c r="B30">
        <v>0</v>
      </c>
      <c r="C30">
        <f t="shared" si="0"/>
        <v>1.1674126361544389E-4</v>
      </c>
      <c r="D30">
        <f t="shared" si="1"/>
        <v>-1.1674126361544389E-4</v>
      </c>
      <c r="E30">
        <f t="shared" si="2"/>
        <v>1.3628522630530562E-8</v>
      </c>
    </row>
    <row r="31" spans="1:5" x14ac:dyDescent="0.25">
      <c r="A31">
        <v>3.2736934037249998</v>
      </c>
      <c r="B31">
        <v>0</v>
      </c>
      <c r="C31">
        <f t="shared" si="0"/>
        <v>4.9370311722183517E-5</v>
      </c>
      <c r="D31">
        <f t="shared" si="1"/>
        <v>-4.9370311722183517E-5</v>
      </c>
      <c r="E31">
        <f t="shared" si="2"/>
        <v>2.4374276795455713E-9</v>
      </c>
    </row>
    <row r="32" spans="1:5" x14ac:dyDescent="0.25">
      <c r="A32">
        <v>3.3810141521750001</v>
      </c>
      <c r="B32">
        <v>5.8496218909402848E-4</v>
      </c>
      <c r="C32">
        <f t="shared" si="0"/>
        <v>2.0019016424207222E-5</v>
      </c>
      <c r="D32">
        <f t="shared" si="1"/>
        <v>5.649431726698213E-4</v>
      </c>
      <c r="E32">
        <f t="shared" si="2"/>
        <v>3.1916078834624352E-7</v>
      </c>
    </row>
    <row r="33" spans="1:5" x14ac:dyDescent="0.25">
      <c r="A33">
        <v>3.488334900625</v>
      </c>
      <c r="B33">
        <v>0</v>
      </c>
      <c r="C33">
        <f t="shared" si="0"/>
        <v>7.7803697904488419E-6</v>
      </c>
      <c r="D33">
        <f t="shared" si="1"/>
        <v>-7.7803697904488419E-6</v>
      </c>
      <c r="E33">
        <f t="shared" si="2"/>
        <v>6.0534154076128951E-11</v>
      </c>
    </row>
    <row r="34" spans="1:5" x14ac:dyDescent="0.25">
      <c r="A34">
        <v>3.5956556490749998</v>
      </c>
      <c r="B34">
        <v>0</v>
      </c>
      <c r="C34">
        <f t="shared" si="0"/>
        <v>2.8972375311307699E-6</v>
      </c>
      <c r="D34">
        <f t="shared" si="1"/>
        <v>-2.8972375311307699E-6</v>
      </c>
      <c r="E34">
        <f t="shared" si="2"/>
        <v>8.3939853117927194E-12</v>
      </c>
    </row>
    <row r="35" spans="1:5" x14ac:dyDescent="0.25">
      <c r="A35">
        <v>3.7029763975250001</v>
      </c>
      <c r="B35">
        <v>0</v>
      </c>
      <c r="C35">
        <f t="shared" si="0"/>
        <v>1.0333340476674963E-6</v>
      </c>
      <c r="D35">
        <f t="shared" si="1"/>
        <v>-1.0333340476674963E-6</v>
      </c>
      <c r="E35">
        <f t="shared" si="2"/>
        <v>1.0677792540688916E-12</v>
      </c>
    </row>
    <row r="36" spans="1:5" x14ac:dyDescent="0.25">
      <c r="A36">
        <v>3.8102971459749995</v>
      </c>
      <c r="B36">
        <v>0</v>
      </c>
      <c r="C36">
        <f t="shared" si="0"/>
        <v>3.5287218093555581E-7</v>
      </c>
      <c r="D36">
        <f t="shared" si="1"/>
        <v>-3.5287218093555581E-7</v>
      </c>
      <c r="E36">
        <f t="shared" si="2"/>
        <v>1.2451877607821562E-13</v>
      </c>
    </row>
    <row r="37" spans="1:5" x14ac:dyDescent="0.25">
      <c r="A37">
        <v>3.9176178944249997</v>
      </c>
      <c r="B37">
        <v>0</v>
      </c>
      <c r="C37">
        <f t="shared" si="0"/>
        <v>1.1533534414037027E-7</v>
      </c>
      <c r="D37">
        <f t="shared" si="1"/>
        <v>-1.1533534414037027E-7</v>
      </c>
      <c r="E37">
        <f t="shared" si="2"/>
        <v>1.3302241607977643E-14</v>
      </c>
    </row>
    <row r="38" spans="1:5" x14ac:dyDescent="0.25">
      <c r="A38">
        <v>4.024938642875</v>
      </c>
      <c r="B38">
        <v>0</v>
      </c>
      <c r="C38">
        <f t="shared" si="0"/>
        <v>3.6068251480287659E-8</v>
      </c>
      <c r="D38">
        <f t="shared" si="1"/>
        <v>-3.6068251480287659E-8</v>
      </c>
      <c r="E38">
        <f t="shared" si="2"/>
        <v>1.3009187648452729E-15</v>
      </c>
    </row>
    <row r="39" spans="1:5" x14ac:dyDescent="0.25">
      <c r="A39">
        <v>4.1322593913250003</v>
      </c>
      <c r="B39">
        <v>0</v>
      </c>
      <c r="C39">
        <f t="shared" si="0"/>
        <v>1.0788373956287633E-8</v>
      </c>
      <c r="D39">
        <f t="shared" si="1"/>
        <v>-1.0788373956287633E-8</v>
      </c>
      <c r="E39">
        <f t="shared" si="2"/>
        <v>1.1638901262070527E-16</v>
      </c>
    </row>
    <row r="40" spans="1:5" x14ac:dyDescent="0.25">
      <c r="A40">
        <v>4.2395801397749997</v>
      </c>
      <c r="B40">
        <v>5.8496218909402848E-4</v>
      </c>
      <c r="C40">
        <f t="shared" si="0"/>
        <v>3.0853676525961838E-9</v>
      </c>
      <c r="D40">
        <f t="shared" si="1"/>
        <v>5.8495910372637593E-4</v>
      </c>
      <c r="E40">
        <f t="shared" si="2"/>
        <v>3.4217715303236503E-7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38CC-093F-421B-BDFD-B206F5BAF41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5.21850726E-2</v>
      </c>
      <c r="B1">
        <v>1.2227589087780806E-3</v>
      </c>
      <c r="C1">
        <f>$H$3*(1+$H$1)*(A1^($H$1))*EXP(-$H$3*(A1^(1+$H$1)))</f>
        <v>1.7229958996666257E-2</v>
      </c>
      <c r="D1">
        <f>B1-C1</f>
        <v>-1.6007200087888175E-2</v>
      </c>
      <c r="E1">
        <f>D1^2</f>
        <v>2.5623045465368718E-4</v>
      </c>
      <c r="G1" t="s">
        <v>0</v>
      </c>
      <c r="H1">
        <v>1.5937201277089397</v>
      </c>
    </row>
    <row r="2" spans="1:8" x14ac:dyDescent="0.25">
      <c r="A2">
        <v>0.1549718138</v>
      </c>
      <c r="B2">
        <v>2.323241926678353E-2</v>
      </c>
      <c r="C2">
        <f t="shared" ref="C2:C40" si="0">$H$3*(1+$H$1)*(A2^($H$1))*EXP(-$H$3*(A2^(1+$H$1)))</f>
        <v>9.7109559970990147E-2</v>
      </c>
      <c r="D2">
        <f t="shared" ref="D2:D40" si="1">B2-C2</f>
        <v>-7.3877140704206617E-2</v>
      </c>
      <c r="E2">
        <f t="shared" ref="E2:E40" si="2">D2^2</f>
        <v>5.4578319186291422E-3</v>
      </c>
    </row>
    <row r="3" spans="1:8" x14ac:dyDescent="0.25">
      <c r="A3">
        <v>0.25775855499999994</v>
      </c>
      <c r="B3">
        <v>0.13572623887436694</v>
      </c>
      <c r="C3">
        <f t="shared" si="0"/>
        <v>0.21501114240548155</v>
      </c>
      <c r="D3">
        <f t="shared" si="1"/>
        <v>-7.9284903531114614E-2</v>
      </c>
      <c r="E3">
        <f t="shared" si="2"/>
        <v>6.286095927938151E-3</v>
      </c>
      <c r="G3" t="s">
        <v>1</v>
      </c>
      <c r="H3">
        <f>(_xlfn.GAMMA((2+$H$1)/(1+$H$1)))^(1+$H$1)</f>
        <v>0.7351636494775482</v>
      </c>
    </row>
    <row r="4" spans="1:8" x14ac:dyDescent="0.25">
      <c r="A4">
        <v>0.36054529619999998</v>
      </c>
      <c r="B4">
        <v>0.34237249445786255</v>
      </c>
      <c r="C4">
        <f t="shared" si="0"/>
        <v>0.35610351301107424</v>
      </c>
      <c r="D4">
        <f t="shared" si="1"/>
        <v>-1.3731018553211682E-2</v>
      </c>
      <c r="E4">
        <f t="shared" si="2"/>
        <v>1.8854087050864345E-4</v>
      </c>
    </row>
    <row r="5" spans="1:8" x14ac:dyDescent="0.25">
      <c r="A5">
        <v>0.46333203740000001</v>
      </c>
      <c r="B5">
        <v>0.56552599530986225</v>
      </c>
      <c r="C5">
        <f t="shared" si="0"/>
        <v>0.50631797241106802</v>
      </c>
      <c r="D5">
        <f t="shared" si="1"/>
        <v>5.9208022898794233E-2</v>
      </c>
      <c r="E5">
        <f t="shared" si="2"/>
        <v>3.505589975584142E-3</v>
      </c>
      <c r="G5" t="s">
        <v>2</v>
      </c>
      <c r="H5">
        <f>SUM(E1:E40)</f>
        <v>6.3425483139544062E-2</v>
      </c>
    </row>
    <row r="6" spans="1:8" x14ac:dyDescent="0.25">
      <c r="A6">
        <v>0.56611877859999993</v>
      </c>
      <c r="B6">
        <v>0.72142775617906751</v>
      </c>
      <c r="C6">
        <f t="shared" si="0"/>
        <v>0.65090588413195893</v>
      </c>
      <c r="D6">
        <f t="shared" si="1"/>
        <v>7.052187204710858E-2</v>
      </c>
      <c r="E6">
        <f t="shared" si="2"/>
        <v>4.9733344370287546E-3</v>
      </c>
    </row>
    <row r="7" spans="1:8" x14ac:dyDescent="0.25">
      <c r="A7">
        <v>0.6689055197999999</v>
      </c>
      <c r="B7">
        <v>0.89383676231677689</v>
      </c>
      <c r="C7">
        <f t="shared" si="0"/>
        <v>0.77530339866738829</v>
      </c>
      <c r="D7">
        <f t="shared" si="1"/>
        <v>0.1185333636493886</v>
      </c>
      <c r="E7">
        <f t="shared" si="2"/>
        <v>1.4050158298038198E-2</v>
      </c>
    </row>
    <row r="8" spans="1:8" x14ac:dyDescent="0.25">
      <c r="A8">
        <v>0.77169226099999999</v>
      </c>
      <c r="B8">
        <v>0.97576160920490829</v>
      </c>
      <c r="C8">
        <f t="shared" si="0"/>
        <v>0.86677966035683907</v>
      </c>
      <c r="D8">
        <f t="shared" si="1"/>
        <v>0.10898194884806922</v>
      </c>
      <c r="E8">
        <f t="shared" si="2"/>
        <v>1.1877065174723176E-2</v>
      </c>
    </row>
    <row r="9" spans="1:8" x14ac:dyDescent="0.25">
      <c r="A9">
        <v>0.87447900219999997</v>
      </c>
      <c r="B9">
        <v>0.92501711449061796</v>
      </c>
      <c r="C9">
        <f t="shared" si="0"/>
        <v>0.91623143858508638</v>
      </c>
      <c r="D9">
        <f t="shared" si="1"/>
        <v>8.7856759055315869E-3</v>
      </c>
      <c r="E9">
        <f t="shared" si="2"/>
        <v>7.7188101117038266E-5</v>
      </c>
    </row>
    <row r="10" spans="1:8" x14ac:dyDescent="0.25">
      <c r="A10">
        <v>0.97726574339999994</v>
      </c>
      <c r="B10">
        <v>0.95436332830129189</v>
      </c>
      <c r="C10">
        <f t="shared" si="0"/>
        <v>0.91960158075673626</v>
      </c>
      <c r="D10">
        <f t="shared" si="1"/>
        <v>3.4761747544555632E-2</v>
      </c>
      <c r="E10">
        <f t="shared" si="2"/>
        <v>1.2083790923514196E-3</v>
      </c>
    </row>
    <row r="11" spans="1:8" x14ac:dyDescent="0.25">
      <c r="A11">
        <v>1.0800524845999999</v>
      </c>
      <c r="B11">
        <v>0.84064674978493037</v>
      </c>
      <c r="C11">
        <f t="shared" si="0"/>
        <v>0.87850302256691282</v>
      </c>
      <c r="D11">
        <f t="shared" si="1"/>
        <v>-3.7856272781982447E-2</v>
      </c>
      <c r="E11">
        <f t="shared" si="2"/>
        <v>1.4330973889438651E-3</v>
      </c>
    </row>
    <row r="12" spans="1:8" x14ac:dyDescent="0.25">
      <c r="A12">
        <v>1.1828392258</v>
      </c>
      <c r="B12">
        <v>0.78073156325480442</v>
      </c>
      <c r="C12">
        <f t="shared" si="0"/>
        <v>0.79982714127030463</v>
      </c>
      <c r="D12">
        <f t="shared" si="1"/>
        <v>-1.9095578015500214E-2</v>
      </c>
      <c r="E12">
        <f t="shared" si="2"/>
        <v>3.6464109974605508E-4</v>
      </c>
    </row>
    <row r="13" spans="1:8" x14ac:dyDescent="0.25">
      <c r="A13">
        <v>1.2856259669999999</v>
      </c>
      <c r="B13">
        <v>0.61076807493465124</v>
      </c>
      <c r="C13">
        <f t="shared" si="0"/>
        <v>0.69438358443842974</v>
      </c>
      <c r="D13">
        <f t="shared" si="1"/>
        <v>-8.3615509503778496E-2</v>
      </c>
      <c r="E13">
        <f t="shared" si="2"/>
        <v>6.9915534295764718E-3</v>
      </c>
    </row>
    <row r="14" spans="1:8" x14ac:dyDescent="0.25">
      <c r="A14">
        <v>1.3884127082</v>
      </c>
      <c r="B14">
        <v>0.52395219241140756</v>
      </c>
      <c r="C14">
        <f t="shared" si="0"/>
        <v>0.57488312123559593</v>
      </c>
      <c r="D14">
        <f t="shared" si="1"/>
        <v>-5.0930928824188371E-2</v>
      </c>
      <c r="E14">
        <f t="shared" si="2"/>
        <v>2.5939595108945418E-3</v>
      </c>
    </row>
    <row r="15" spans="1:8" x14ac:dyDescent="0.25">
      <c r="A15">
        <v>1.4911994493999998</v>
      </c>
      <c r="B15">
        <v>0.4053445782599337</v>
      </c>
      <c r="C15">
        <f t="shared" si="0"/>
        <v>0.45374779210870564</v>
      </c>
      <c r="D15">
        <f t="shared" si="1"/>
        <v>-4.8403213848771942E-2</v>
      </c>
      <c r="E15">
        <f t="shared" si="2"/>
        <v>2.3428711108899481E-3</v>
      </c>
    </row>
    <row r="16" spans="1:8" x14ac:dyDescent="0.25">
      <c r="A16">
        <v>1.5939861905999999</v>
      </c>
      <c r="B16">
        <v>0.31119214228402148</v>
      </c>
      <c r="C16">
        <f t="shared" si="0"/>
        <v>0.34125404042309848</v>
      </c>
      <c r="D16">
        <f t="shared" si="1"/>
        <v>-3.0061898139077003E-2</v>
      </c>
      <c r="E16">
        <f t="shared" si="2"/>
        <v>9.0371771972424142E-4</v>
      </c>
    </row>
    <row r="17" spans="1:5" x14ac:dyDescent="0.25">
      <c r="A17">
        <v>1.6967729318</v>
      </c>
      <c r="B17">
        <v>0.22621039812394489</v>
      </c>
      <c r="C17">
        <f t="shared" si="0"/>
        <v>0.24438126336733351</v>
      </c>
      <c r="D17">
        <f t="shared" si="1"/>
        <v>-1.8170865243388623E-2</v>
      </c>
      <c r="E17">
        <f t="shared" si="2"/>
        <v>3.301803436933887E-4</v>
      </c>
    </row>
    <row r="18" spans="1:5" x14ac:dyDescent="0.25">
      <c r="A18">
        <v>1.7995596730000001</v>
      </c>
      <c r="B18">
        <v>0.16751797050259704</v>
      </c>
      <c r="C18">
        <f t="shared" si="0"/>
        <v>0.16650567003418065</v>
      </c>
      <c r="D18">
        <f t="shared" si="1"/>
        <v>1.0123004684163828E-3</v>
      </c>
      <c r="E18">
        <f t="shared" si="2"/>
        <v>1.0247522383560279E-6</v>
      </c>
    </row>
    <row r="19" spans="1:5" x14ac:dyDescent="0.25">
      <c r="A19">
        <v>1.9023464141999999</v>
      </c>
      <c r="B19">
        <v>0.11677347578830669</v>
      </c>
      <c r="C19">
        <f t="shared" si="0"/>
        <v>0.10783647214831019</v>
      </c>
      <c r="D19">
        <f t="shared" si="1"/>
        <v>8.9370036399964992E-3</v>
      </c>
      <c r="E19">
        <f t="shared" si="2"/>
        <v>7.9870034061310676E-5</v>
      </c>
    </row>
    <row r="20" spans="1:5" x14ac:dyDescent="0.25">
      <c r="A20">
        <v>2.0051331553999998</v>
      </c>
      <c r="B20">
        <v>7.2754155072295795E-2</v>
      </c>
      <c r="C20">
        <f t="shared" si="0"/>
        <v>6.6321331867198421E-2</v>
      </c>
      <c r="D20">
        <f t="shared" si="1"/>
        <v>6.4328232050973738E-3</v>
      </c>
      <c r="E20">
        <f t="shared" si="2"/>
        <v>4.1381214388039252E-5</v>
      </c>
    </row>
    <row r="21" spans="1:5" x14ac:dyDescent="0.25">
      <c r="A21">
        <v>2.1079198965999999</v>
      </c>
      <c r="B21">
        <v>4.5242079624788982E-2</v>
      </c>
      <c r="C21">
        <f t="shared" si="0"/>
        <v>3.8694193260796907E-2</v>
      </c>
      <c r="D21">
        <f t="shared" si="1"/>
        <v>6.5478863639920754E-3</v>
      </c>
      <c r="E21">
        <f t="shared" si="2"/>
        <v>4.2874815835753361E-5</v>
      </c>
    </row>
    <row r="22" spans="1:5" x14ac:dyDescent="0.25">
      <c r="A22">
        <v>2.2107066378</v>
      </c>
      <c r="B22">
        <v>3.4848628900175295E-2</v>
      </c>
      <c r="C22">
        <f t="shared" si="0"/>
        <v>2.1393500855887527E-2</v>
      </c>
      <c r="D22">
        <f t="shared" si="1"/>
        <v>1.3455128044287768E-2</v>
      </c>
      <c r="E22">
        <f t="shared" si="2"/>
        <v>1.8104047068817918E-4</v>
      </c>
    </row>
    <row r="23" spans="1:5" x14ac:dyDescent="0.25">
      <c r="A23">
        <v>2.3134933789999996</v>
      </c>
      <c r="B23">
        <v>1.9564142540449289E-2</v>
      </c>
      <c r="C23">
        <f t="shared" si="0"/>
        <v>1.119666652447085E-2</v>
      </c>
      <c r="D23">
        <f t="shared" si="1"/>
        <v>8.3674760159784395E-3</v>
      </c>
      <c r="E23">
        <f t="shared" si="2"/>
        <v>7.0014654877974424E-5</v>
      </c>
    </row>
    <row r="24" spans="1:5" x14ac:dyDescent="0.25">
      <c r="A24">
        <v>2.4162801201999997</v>
      </c>
      <c r="B24">
        <v>1.5895865814115048E-2</v>
      </c>
      <c r="C24">
        <f t="shared" si="0"/>
        <v>5.5409710275263263E-3</v>
      </c>
      <c r="D24">
        <f t="shared" si="1"/>
        <v>1.0354894786588721E-2</v>
      </c>
      <c r="E24">
        <f t="shared" si="2"/>
        <v>1.0722384604132227E-4</v>
      </c>
    </row>
    <row r="25" spans="1:5" x14ac:dyDescent="0.25">
      <c r="A25">
        <v>2.5190668613999998</v>
      </c>
      <c r="B25">
        <v>9.1706918158356038E-3</v>
      </c>
      <c r="C25">
        <f t="shared" si="0"/>
        <v>2.5899259211718127E-3</v>
      </c>
      <c r="D25">
        <f t="shared" si="1"/>
        <v>6.5807658946637915E-3</v>
      </c>
      <c r="E25">
        <f t="shared" si="2"/>
        <v>4.3306479760370132E-5</v>
      </c>
    </row>
    <row r="26" spans="1:5" x14ac:dyDescent="0.25">
      <c r="A26">
        <v>2.6218536025999999</v>
      </c>
      <c r="B26">
        <v>4.2796561807232816E-3</v>
      </c>
      <c r="C26">
        <f t="shared" si="0"/>
        <v>1.1420991655209302E-3</v>
      </c>
      <c r="D26">
        <f t="shared" si="1"/>
        <v>3.1375570152023515E-3</v>
      </c>
      <c r="E26">
        <f t="shared" si="2"/>
        <v>9.8442640236454886E-6</v>
      </c>
    </row>
    <row r="27" spans="1:5" x14ac:dyDescent="0.25">
      <c r="A27">
        <v>2.7246403438</v>
      </c>
      <c r="B27">
        <v>3.0568972719452014E-3</v>
      </c>
      <c r="C27">
        <f t="shared" si="0"/>
        <v>4.7461788754686596E-4</v>
      </c>
      <c r="D27">
        <f t="shared" si="1"/>
        <v>2.5822793843983355E-3</v>
      </c>
      <c r="E27">
        <f t="shared" si="2"/>
        <v>6.6681668190886462E-6</v>
      </c>
    </row>
    <row r="28" spans="1:5" x14ac:dyDescent="0.25">
      <c r="A28">
        <v>2.8274270850000001</v>
      </c>
      <c r="B28">
        <v>1.2227589087780806E-3</v>
      </c>
      <c r="C28">
        <f t="shared" si="0"/>
        <v>1.8565913464187032E-4</v>
      </c>
      <c r="D28">
        <f t="shared" si="1"/>
        <v>1.0370997741362103E-3</v>
      </c>
      <c r="E28">
        <f t="shared" si="2"/>
        <v>1.0755759415133784E-6</v>
      </c>
    </row>
    <row r="29" spans="1:5" x14ac:dyDescent="0.25">
      <c r="A29">
        <v>2.9302138261999997</v>
      </c>
      <c r="B29">
        <v>0</v>
      </c>
      <c r="C29">
        <f t="shared" si="0"/>
        <v>6.8285552101943659E-5</v>
      </c>
      <c r="D29">
        <f t="shared" si="1"/>
        <v>-6.8285552101943659E-5</v>
      </c>
      <c r="E29">
        <f t="shared" si="2"/>
        <v>4.6629166258672621E-9</v>
      </c>
    </row>
    <row r="30" spans="1:5" x14ac:dyDescent="0.25">
      <c r="A30">
        <v>3.0330005673999998</v>
      </c>
      <c r="B30">
        <v>6.1137945438904029E-4</v>
      </c>
      <c r="C30">
        <f t="shared" si="0"/>
        <v>2.3587989346162445E-5</v>
      </c>
      <c r="D30">
        <f t="shared" si="1"/>
        <v>5.8779146504287785E-4</v>
      </c>
      <c r="E30">
        <f t="shared" si="2"/>
        <v>3.4549880637725267E-7</v>
      </c>
    </row>
    <row r="31" spans="1:5" x14ac:dyDescent="0.25">
      <c r="A31">
        <v>3.1357873085999999</v>
      </c>
      <c r="B31">
        <v>0</v>
      </c>
      <c r="C31">
        <f t="shared" si="0"/>
        <v>7.6438728427038955E-6</v>
      </c>
      <c r="D31">
        <f t="shared" si="1"/>
        <v>-7.6438728427038955E-6</v>
      </c>
      <c r="E31">
        <f t="shared" si="2"/>
        <v>5.8428792035426129E-11</v>
      </c>
    </row>
    <row r="32" spans="1:5" x14ac:dyDescent="0.25">
      <c r="A32">
        <v>3.2385740498</v>
      </c>
      <c r="B32">
        <v>0</v>
      </c>
      <c r="C32">
        <f t="shared" si="0"/>
        <v>2.3211821760870657E-6</v>
      </c>
      <c r="D32">
        <f t="shared" si="1"/>
        <v>-2.3211821760870657E-6</v>
      </c>
      <c r="E32">
        <f t="shared" si="2"/>
        <v>5.3878866945842854E-12</v>
      </c>
    </row>
    <row r="33" spans="1:5" x14ac:dyDescent="0.25">
      <c r="A33">
        <v>3.3413607909999996</v>
      </c>
      <c r="B33">
        <v>0</v>
      </c>
      <c r="C33">
        <f t="shared" si="0"/>
        <v>6.597712204689417E-7</v>
      </c>
      <c r="D33">
        <f t="shared" si="1"/>
        <v>-6.597712204689417E-7</v>
      </c>
      <c r="E33">
        <f t="shared" si="2"/>
        <v>4.3529806335907686E-13</v>
      </c>
    </row>
    <row r="34" spans="1:5" x14ac:dyDescent="0.25">
      <c r="A34">
        <v>3.4441475321999997</v>
      </c>
      <c r="B34">
        <v>0</v>
      </c>
      <c r="C34">
        <f t="shared" si="0"/>
        <v>1.7534104200158753E-7</v>
      </c>
      <c r="D34">
        <f t="shared" si="1"/>
        <v>-1.7534104200158753E-7</v>
      </c>
      <c r="E34">
        <f t="shared" si="2"/>
        <v>3.0744481010202481E-14</v>
      </c>
    </row>
    <row r="35" spans="1:5" x14ac:dyDescent="0.25">
      <c r="A35">
        <v>3.5469342733999998</v>
      </c>
      <c r="B35">
        <v>0</v>
      </c>
      <c r="C35">
        <f t="shared" si="0"/>
        <v>4.3521150653762619E-8</v>
      </c>
      <c r="D35">
        <f t="shared" si="1"/>
        <v>-4.3521150653762619E-8</v>
      </c>
      <c r="E35">
        <f t="shared" si="2"/>
        <v>1.8940905542275023E-15</v>
      </c>
    </row>
    <row r="36" spans="1:5" x14ac:dyDescent="0.25">
      <c r="A36">
        <v>3.6497210145999999</v>
      </c>
      <c r="B36">
        <v>0</v>
      </c>
      <c r="C36">
        <f t="shared" si="0"/>
        <v>1.0077833118012505E-8</v>
      </c>
      <c r="D36">
        <f t="shared" si="1"/>
        <v>-1.0077833118012505E-8</v>
      </c>
      <c r="E36">
        <f t="shared" si="2"/>
        <v>1.0156272035450966E-16</v>
      </c>
    </row>
    <row r="37" spans="1:5" x14ac:dyDescent="0.25">
      <c r="A37">
        <v>3.7525077558</v>
      </c>
      <c r="B37">
        <v>0</v>
      </c>
      <c r="C37">
        <f t="shared" si="0"/>
        <v>2.1747555891134932E-9</v>
      </c>
      <c r="D37">
        <f t="shared" si="1"/>
        <v>-2.1747555891134932E-9</v>
      </c>
      <c r="E37">
        <f t="shared" si="2"/>
        <v>4.7295618723803768E-18</v>
      </c>
    </row>
    <row r="38" spans="1:5" x14ac:dyDescent="0.25">
      <c r="A38">
        <v>3.855294497</v>
      </c>
      <c r="B38">
        <v>0</v>
      </c>
      <c r="C38">
        <f t="shared" si="0"/>
        <v>4.3687770121361689E-10</v>
      </c>
      <c r="D38">
        <f t="shared" si="1"/>
        <v>-4.3687770121361689E-10</v>
      </c>
      <c r="E38">
        <f t="shared" si="2"/>
        <v>1.9086212581769432E-19</v>
      </c>
    </row>
    <row r="39" spans="1:5" x14ac:dyDescent="0.25">
      <c r="A39">
        <v>3.9580812381999997</v>
      </c>
      <c r="B39">
        <v>0</v>
      </c>
      <c r="C39">
        <f t="shared" si="0"/>
        <v>8.1610915991525369E-11</v>
      </c>
      <c r="D39">
        <f t="shared" si="1"/>
        <v>-8.1610915991525369E-11</v>
      </c>
      <c r="E39">
        <f t="shared" si="2"/>
        <v>6.6603416089758109E-21</v>
      </c>
    </row>
    <row r="40" spans="1:5" x14ac:dyDescent="0.25">
      <c r="A40">
        <v>4.0608679793999993</v>
      </c>
      <c r="B40">
        <v>6.1137945438904029E-4</v>
      </c>
      <c r="C40">
        <f t="shared" si="0"/>
        <v>1.4161577245126052E-11</v>
      </c>
      <c r="D40">
        <f t="shared" si="1"/>
        <v>6.1137944022746299E-4</v>
      </c>
      <c r="E40">
        <f t="shared" si="2"/>
        <v>3.7378481993284597E-7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AE42-76AB-4778-9487-C522B3EA386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4.9339921268355881E-2</v>
      </c>
      <c r="B1">
        <v>5.0926725945050393E-3</v>
      </c>
      <c r="C1">
        <f>$H$3*(1+$H$1)*(A1^($H$1))*EXP(-$H$3*(A1^(1+$H$1)))</f>
        <v>5.7595979738888107E-3</v>
      </c>
      <c r="D1">
        <f>B1-C1</f>
        <v>-6.6692537938377143E-4</v>
      </c>
      <c r="E1">
        <f>D1^2</f>
        <v>4.4478946166618745E-7</v>
      </c>
      <c r="G1" t="s">
        <v>0</v>
      </c>
      <c r="H1">
        <v>1.9627436585530083</v>
      </c>
    </row>
    <row r="2" spans="1:8" x14ac:dyDescent="0.25">
      <c r="A2">
        <v>0.14801976379320764</v>
      </c>
      <c r="B2">
        <v>6.3658407431312991E-4</v>
      </c>
      <c r="C2">
        <f t="shared" ref="C2:C40" si="0">$H$3*(1+$H$1)*(A2^($H$1))*EXP(-$H$3*(A2^(1+$H$1)))</f>
        <v>4.9638749155807807E-2</v>
      </c>
      <c r="D2">
        <f t="shared" ref="D2:D40" si="1">B2-C2</f>
        <v>-4.9002165081494679E-2</v>
      </c>
      <c r="E2">
        <f t="shared" ref="E2:E40" si="2">D2^2</f>
        <v>2.4012121826740567E-3</v>
      </c>
    </row>
    <row r="3" spans="1:8" x14ac:dyDescent="0.25">
      <c r="A3">
        <v>0.24669960631805937</v>
      </c>
      <c r="B3">
        <v>4.2651132978979704E-2</v>
      </c>
      <c r="C3">
        <f t="shared" si="0"/>
        <v>0.13409985584631179</v>
      </c>
      <c r="D3">
        <f t="shared" si="1"/>
        <v>-9.1448722867332077E-2</v>
      </c>
      <c r="E3">
        <f t="shared" si="2"/>
        <v>8.3628689140661048E-3</v>
      </c>
      <c r="G3" t="s">
        <v>1</v>
      </c>
      <c r="H3">
        <f>(_xlfn.GAMMA((2+$H$1)/(1+$H$1)))^(1+$H$1)</f>
        <v>0.71393094123645806</v>
      </c>
    </row>
    <row r="4" spans="1:8" x14ac:dyDescent="0.25">
      <c r="A4">
        <v>0.34537944884291116</v>
      </c>
      <c r="B4">
        <v>0.19288497451687836</v>
      </c>
      <c r="C4">
        <f t="shared" si="0"/>
        <v>0.25459768693470758</v>
      </c>
      <c r="D4">
        <f t="shared" si="1"/>
        <v>-6.1712712417829219E-2</v>
      </c>
      <c r="E4">
        <f t="shared" si="2"/>
        <v>3.8084588739656926E-3</v>
      </c>
    </row>
    <row r="5" spans="1:8" x14ac:dyDescent="0.25">
      <c r="A5">
        <v>0.4440592913677629</v>
      </c>
      <c r="B5">
        <v>0.38895286940532237</v>
      </c>
      <c r="C5">
        <f t="shared" si="0"/>
        <v>0.4030732663952869</v>
      </c>
      <c r="D5">
        <f t="shared" si="1"/>
        <v>-1.4120396989964534E-2</v>
      </c>
      <c r="E5">
        <f t="shared" si="2"/>
        <v>1.9938561115419949E-4</v>
      </c>
      <c r="G5" t="s">
        <v>2</v>
      </c>
      <c r="H5">
        <f>SUM(E1:E40)</f>
        <v>0.102283611962815</v>
      </c>
    </row>
    <row r="6" spans="1:8" x14ac:dyDescent="0.25">
      <c r="A6">
        <v>0.54273913389261463</v>
      </c>
      <c r="B6">
        <v>0.63849382653606923</v>
      </c>
      <c r="C6">
        <f t="shared" si="0"/>
        <v>0.56716540047464314</v>
      </c>
      <c r="D6">
        <f t="shared" si="1"/>
        <v>7.1328426061426087E-2</v>
      </c>
      <c r="E6">
        <f t="shared" si="2"/>
        <v>5.0877443644003284E-3</v>
      </c>
    </row>
    <row r="7" spans="1:8" x14ac:dyDescent="0.25">
      <c r="A7">
        <v>0.64141897641746637</v>
      </c>
      <c r="B7">
        <v>0.85365924365390722</v>
      </c>
      <c r="C7">
        <f t="shared" si="0"/>
        <v>0.73052135004245922</v>
      </c>
      <c r="D7">
        <f t="shared" si="1"/>
        <v>0.123137893611448</v>
      </c>
      <c r="E7">
        <f t="shared" si="2"/>
        <v>1.5162940843064287E-2</v>
      </c>
    </row>
    <row r="8" spans="1:8" x14ac:dyDescent="0.25">
      <c r="A8">
        <v>0.7400988189423181</v>
      </c>
      <c r="B8">
        <v>1.0236271914955128</v>
      </c>
      <c r="C8">
        <f t="shared" si="0"/>
        <v>0.87435857525243954</v>
      </c>
      <c r="D8">
        <f t="shared" si="1"/>
        <v>0.1492686162430733</v>
      </c>
      <c r="E8">
        <f t="shared" si="2"/>
        <v>2.2281119795121887E-2</v>
      </c>
    </row>
    <row r="9" spans="1:8" x14ac:dyDescent="0.25">
      <c r="A9">
        <v>0.83877866146716995</v>
      </c>
      <c r="B9">
        <v>1.1044733689332804</v>
      </c>
      <c r="C9">
        <f t="shared" si="0"/>
        <v>0.980203163134855</v>
      </c>
      <c r="D9">
        <f t="shared" si="1"/>
        <v>0.1242702057984254</v>
      </c>
      <c r="E9">
        <f t="shared" si="2"/>
        <v>1.5443084049183002E-2</v>
      </c>
    </row>
    <row r="10" spans="1:8" x14ac:dyDescent="0.25">
      <c r="A10">
        <v>0.9374585039920218</v>
      </c>
      <c r="B10">
        <v>1.0599124837313612</v>
      </c>
      <c r="C10">
        <f t="shared" si="0"/>
        <v>1.0333308894684794</v>
      </c>
      <c r="D10">
        <f t="shared" si="1"/>
        <v>2.6581594262881758E-2</v>
      </c>
      <c r="E10">
        <f t="shared" si="2"/>
        <v>7.0658115355646839E-4</v>
      </c>
    </row>
    <row r="11" spans="1:8" x14ac:dyDescent="0.25">
      <c r="A11">
        <v>1.0361383465168734</v>
      </c>
      <c r="B11">
        <v>1.0249003596441391</v>
      </c>
      <c r="C11">
        <f t="shared" si="0"/>
        <v>1.0260459081583473</v>
      </c>
      <c r="D11">
        <f t="shared" si="1"/>
        <v>-1.1455485142082278E-3</v>
      </c>
      <c r="E11">
        <f t="shared" si="2"/>
        <v>1.3122813984046782E-6</v>
      </c>
    </row>
    <row r="12" spans="1:8" x14ac:dyDescent="0.25">
      <c r="A12">
        <v>1.134818189041725</v>
      </c>
      <c r="B12">
        <v>0.90840547404483629</v>
      </c>
      <c r="C12">
        <f t="shared" si="0"/>
        <v>0.95975449511970723</v>
      </c>
      <c r="D12">
        <f t="shared" si="1"/>
        <v>-5.1349021074870937E-2</v>
      </c>
      <c r="E12">
        <f t="shared" si="2"/>
        <v>2.6367219653475396E-3</v>
      </c>
    </row>
    <row r="13" spans="1:8" x14ac:dyDescent="0.25">
      <c r="A13">
        <v>1.2334980315665769</v>
      </c>
      <c r="B13">
        <v>0.74416678287204885</v>
      </c>
      <c r="C13">
        <f t="shared" si="0"/>
        <v>0.84499371261220246</v>
      </c>
      <c r="D13">
        <f t="shared" si="1"/>
        <v>-0.10082692974015361</v>
      </c>
      <c r="E13">
        <f t="shared" si="2"/>
        <v>1.0166069760825873E-2</v>
      </c>
    </row>
    <row r="14" spans="1:8" x14ac:dyDescent="0.25">
      <c r="A14">
        <v>1.3321778740914287</v>
      </c>
      <c r="B14">
        <v>0.60666462282041278</v>
      </c>
      <c r="C14">
        <f t="shared" si="0"/>
        <v>0.69917543575677621</v>
      </c>
      <c r="D14">
        <f t="shared" si="1"/>
        <v>-9.2510812936363429E-2</v>
      </c>
      <c r="E14">
        <f t="shared" si="2"/>
        <v>8.5582505101468274E-3</v>
      </c>
    </row>
    <row r="15" spans="1:8" x14ac:dyDescent="0.25">
      <c r="A15">
        <v>1.4308577166162804</v>
      </c>
      <c r="B15">
        <v>0.47871122388347365</v>
      </c>
      <c r="C15">
        <f t="shared" si="0"/>
        <v>0.54261088755577469</v>
      </c>
      <c r="D15">
        <f t="shared" si="1"/>
        <v>-6.3899663672301044E-2</v>
      </c>
      <c r="E15">
        <f t="shared" si="2"/>
        <v>4.0831670174331898E-3</v>
      </c>
    </row>
    <row r="16" spans="1:8" x14ac:dyDescent="0.25">
      <c r="A16">
        <v>1.5295375591411322</v>
      </c>
      <c r="B16">
        <v>0.35521391346672648</v>
      </c>
      <c r="C16">
        <f t="shared" si="0"/>
        <v>0.39403837252994856</v>
      </c>
      <c r="D16">
        <f t="shared" si="1"/>
        <v>-3.8824459063222072E-2</v>
      </c>
      <c r="E16">
        <f t="shared" si="2"/>
        <v>1.5073386215518065E-3</v>
      </c>
    </row>
    <row r="17" spans="1:5" x14ac:dyDescent="0.25">
      <c r="A17">
        <v>1.6282174016659838</v>
      </c>
      <c r="B17">
        <v>0.2425385323133025</v>
      </c>
      <c r="C17">
        <f t="shared" si="0"/>
        <v>0.26705510822622769</v>
      </c>
      <c r="D17">
        <f t="shared" si="1"/>
        <v>-2.4516575912925193E-2</v>
      </c>
      <c r="E17">
        <f t="shared" si="2"/>
        <v>6.0106249449422375E-4</v>
      </c>
    </row>
    <row r="18" spans="1:5" x14ac:dyDescent="0.25">
      <c r="A18">
        <v>1.7268972441908357</v>
      </c>
      <c r="B18">
        <v>0.18142646117924202</v>
      </c>
      <c r="C18">
        <f t="shared" si="0"/>
        <v>0.16844355930491217</v>
      </c>
      <c r="D18">
        <f t="shared" si="1"/>
        <v>1.298290187432985E-2</v>
      </c>
      <c r="E18">
        <f t="shared" si="2"/>
        <v>1.6855574107847753E-4</v>
      </c>
    </row>
    <row r="19" spans="1:5" x14ac:dyDescent="0.25">
      <c r="A19">
        <v>1.8255770867156875</v>
      </c>
      <c r="B19">
        <v>0.11012904485617148</v>
      </c>
      <c r="C19">
        <f t="shared" si="0"/>
        <v>9.8585197490161494E-2</v>
      </c>
      <c r="D19">
        <f t="shared" si="1"/>
        <v>1.1543847366009982E-2</v>
      </c>
      <c r="E19">
        <f t="shared" si="2"/>
        <v>1.3326041200973561E-4</v>
      </c>
    </row>
    <row r="20" spans="1:5" x14ac:dyDescent="0.25">
      <c r="A20">
        <v>1.9242569292405391</v>
      </c>
      <c r="B20">
        <v>6.238523928268673E-2</v>
      </c>
      <c r="C20">
        <f t="shared" si="0"/>
        <v>5.3374494962104099E-2</v>
      </c>
      <c r="D20">
        <f t="shared" si="1"/>
        <v>9.010744320582631E-3</v>
      </c>
      <c r="E20">
        <f t="shared" si="2"/>
        <v>8.1193513210912142E-5</v>
      </c>
    </row>
    <row r="21" spans="1:5" x14ac:dyDescent="0.25">
      <c r="A21">
        <v>2.0229367717653908</v>
      </c>
      <c r="B21">
        <v>4.5834053350545349E-2</v>
      </c>
      <c r="C21">
        <f t="shared" si="0"/>
        <v>2.6646538198377447E-2</v>
      </c>
      <c r="D21">
        <f t="shared" si="1"/>
        <v>1.9187515152167902E-2</v>
      </c>
      <c r="E21">
        <f t="shared" si="2"/>
        <v>3.6816073771467285E-4</v>
      </c>
    </row>
    <row r="22" spans="1:5" x14ac:dyDescent="0.25">
      <c r="A22">
        <v>2.1216166142902431</v>
      </c>
      <c r="B22">
        <v>2.8646283344090844E-2</v>
      </c>
      <c r="C22">
        <f t="shared" si="0"/>
        <v>1.2227012916179192E-2</v>
      </c>
      <c r="D22">
        <f t="shared" si="1"/>
        <v>1.641927042791165E-2</v>
      </c>
      <c r="E22">
        <f t="shared" si="2"/>
        <v>2.6959244138489405E-4</v>
      </c>
    </row>
    <row r="23" spans="1:5" x14ac:dyDescent="0.25">
      <c r="A23">
        <v>2.2202964568150945</v>
      </c>
      <c r="B23">
        <v>1.9097522229393895E-2</v>
      </c>
      <c r="C23">
        <f t="shared" si="0"/>
        <v>5.1396539651251821E-3</v>
      </c>
      <c r="D23">
        <f t="shared" si="1"/>
        <v>1.3957868264268713E-2</v>
      </c>
      <c r="E23">
        <f t="shared" si="2"/>
        <v>1.948220864826797E-4</v>
      </c>
    </row>
    <row r="24" spans="1:5" x14ac:dyDescent="0.25">
      <c r="A24">
        <v>2.3189762993399459</v>
      </c>
      <c r="B24">
        <v>8.9121770403838181E-3</v>
      </c>
      <c r="C24">
        <f t="shared" si="0"/>
        <v>1.9725199394711587E-3</v>
      </c>
      <c r="D24">
        <f t="shared" si="1"/>
        <v>6.9396571009126594E-3</v>
      </c>
      <c r="E24">
        <f t="shared" si="2"/>
        <v>4.8158840678247497E-5</v>
      </c>
    </row>
    <row r="25" spans="1:5" x14ac:dyDescent="0.25">
      <c r="A25">
        <v>2.4176561418647982</v>
      </c>
      <c r="B25">
        <v>3.8195044458787793E-3</v>
      </c>
      <c r="C25">
        <f t="shared" si="0"/>
        <v>6.8881977853575509E-4</v>
      </c>
      <c r="D25">
        <f t="shared" si="1"/>
        <v>3.1306846673430241E-3</v>
      </c>
      <c r="E25">
        <f t="shared" si="2"/>
        <v>9.8011864863367013E-6</v>
      </c>
    </row>
    <row r="26" spans="1:5" x14ac:dyDescent="0.25">
      <c r="A26">
        <v>2.5163359843896496</v>
      </c>
      <c r="B26">
        <v>0</v>
      </c>
      <c r="C26">
        <f t="shared" si="0"/>
        <v>2.1811968748801179E-4</v>
      </c>
      <c r="D26">
        <f t="shared" si="1"/>
        <v>-2.1811968748801179E-4</v>
      </c>
      <c r="E26">
        <f t="shared" si="2"/>
        <v>4.7576198069867928E-8</v>
      </c>
    </row>
    <row r="27" spans="1:5" x14ac:dyDescent="0.25">
      <c r="A27">
        <v>2.6150158269145019</v>
      </c>
      <c r="B27">
        <v>1.2731681486262598E-3</v>
      </c>
      <c r="C27">
        <f t="shared" si="0"/>
        <v>6.2414532734455063E-5</v>
      </c>
      <c r="D27">
        <f t="shared" si="1"/>
        <v>1.2107536158918047E-3</v>
      </c>
      <c r="E27">
        <f t="shared" si="2"/>
        <v>1.4659243183950798E-6</v>
      </c>
    </row>
    <row r="28" spans="1:5" x14ac:dyDescent="0.25">
      <c r="A28">
        <v>2.7136956694393533</v>
      </c>
      <c r="B28">
        <v>6.3658407431312991E-4</v>
      </c>
      <c r="C28">
        <f t="shared" si="0"/>
        <v>1.6082920838597911E-5</v>
      </c>
      <c r="D28">
        <f t="shared" si="1"/>
        <v>6.2050115347453199E-4</v>
      </c>
      <c r="E28">
        <f t="shared" si="2"/>
        <v>3.8502168146322469E-7</v>
      </c>
    </row>
    <row r="29" spans="1:5" x14ac:dyDescent="0.25">
      <c r="A29">
        <v>2.8123755119642047</v>
      </c>
      <c r="B29">
        <v>0</v>
      </c>
      <c r="C29">
        <f t="shared" si="0"/>
        <v>3.7188705200805197E-6</v>
      </c>
      <c r="D29">
        <f t="shared" si="1"/>
        <v>-3.7188705200805197E-6</v>
      </c>
      <c r="E29">
        <f t="shared" si="2"/>
        <v>1.3829997945123956E-11</v>
      </c>
    </row>
    <row r="30" spans="1:5" x14ac:dyDescent="0.25">
      <c r="A30">
        <v>2.9110553544890569</v>
      </c>
      <c r="B30">
        <v>0</v>
      </c>
      <c r="C30">
        <f t="shared" si="0"/>
        <v>7.689461176374255E-7</v>
      </c>
      <c r="D30">
        <f t="shared" si="1"/>
        <v>-7.689461176374255E-7</v>
      </c>
      <c r="E30">
        <f t="shared" si="2"/>
        <v>5.9127813182966945E-13</v>
      </c>
    </row>
    <row r="31" spans="1:5" x14ac:dyDescent="0.25">
      <c r="A31">
        <v>3.0097351970139083</v>
      </c>
      <c r="B31">
        <v>0</v>
      </c>
      <c r="C31">
        <f t="shared" si="0"/>
        <v>1.4167250602283972E-7</v>
      </c>
      <c r="D31">
        <f t="shared" si="1"/>
        <v>-1.4167250602283972E-7</v>
      </c>
      <c r="E31">
        <f t="shared" si="2"/>
        <v>2.0071098962791559E-14</v>
      </c>
    </row>
    <row r="32" spans="1:5" x14ac:dyDescent="0.25">
      <c r="A32">
        <v>3.1084150395387606</v>
      </c>
      <c r="B32">
        <v>0</v>
      </c>
      <c r="C32">
        <f t="shared" si="0"/>
        <v>2.317615603278154E-8</v>
      </c>
      <c r="D32">
        <f t="shared" si="1"/>
        <v>-2.317615603278154E-8</v>
      </c>
      <c r="E32">
        <f t="shared" si="2"/>
        <v>5.3713420845583618E-16</v>
      </c>
    </row>
    <row r="33" spans="1:5" x14ac:dyDescent="0.25">
      <c r="A33">
        <v>3.207094882063612</v>
      </c>
      <c r="B33">
        <v>0</v>
      </c>
      <c r="C33">
        <f t="shared" si="0"/>
        <v>3.3544457202111123E-9</v>
      </c>
      <c r="D33">
        <f t="shared" si="1"/>
        <v>-3.3544457202111123E-9</v>
      </c>
      <c r="E33">
        <f t="shared" si="2"/>
        <v>1.1252306089842647E-17</v>
      </c>
    </row>
    <row r="34" spans="1:5" x14ac:dyDescent="0.25">
      <c r="A34">
        <v>3.3057747245884634</v>
      </c>
      <c r="B34">
        <v>0</v>
      </c>
      <c r="C34">
        <f t="shared" si="0"/>
        <v>4.2803345454469555E-10</v>
      </c>
      <c r="D34">
        <f t="shared" si="1"/>
        <v>-4.2803345454469555E-10</v>
      </c>
      <c r="E34">
        <f t="shared" si="2"/>
        <v>1.8321263820946595E-19</v>
      </c>
    </row>
    <row r="35" spans="1:5" x14ac:dyDescent="0.25">
      <c r="A35">
        <v>3.4044545671133157</v>
      </c>
      <c r="B35">
        <v>0</v>
      </c>
      <c r="C35">
        <f t="shared" si="0"/>
        <v>4.7980362558241617E-11</v>
      </c>
      <c r="D35">
        <f t="shared" si="1"/>
        <v>-4.7980362558241617E-11</v>
      </c>
      <c r="E35">
        <f t="shared" si="2"/>
        <v>2.3021151912203141E-21</v>
      </c>
    </row>
    <row r="36" spans="1:5" x14ac:dyDescent="0.25">
      <c r="A36">
        <v>3.5031344096381671</v>
      </c>
      <c r="B36">
        <v>0</v>
      </c>
      <c r="C36">
        <f t="shared" si="0"/>
        <v>4.7078995360174834E-12</v>
      </c>
      <c r="D36">
        <f t="shared" si="1"/>
        <v>-4.7078995360174834E-12</v>
      </c>
      <c r="E36">
        <f t="shared" si="2"/>
        <v>2.2164318041233635E-23</v>
      </c>
    </row>
    <row r="37" spans="1:5" x14ac:dyDescent="0.25">
      <c r="A37">
        <v>3.6018142521630194</v>
      </c>
      <c r="B37">
        <v>0</v>
      </c>
      <c r="C37">
        <f t="shared" si="0"/>
        <v>4.0291717838579984E-13</v>
      </c>
      <c r="D37">
        <f t="shared" si="1"/>
        <v>-4.0291717838579984E-13</v>
      </c>
      <c r="E37">
        <f t="shared" si="2"/>
        <v>1.6234225263837445E-25</v>
      </c>
    </row>
    <row r="38" spans="1:5" x14ac:dyDescent="0.25">
      <c r="A38">
        <v>3.7004940946878708</v>
      </c>
      <c r="B38">
        <v>0</v>
      </c>
      <c r="C38">
        <f t="shared" si="0"/>
        <v>2.9969178969010369E-14</v>
      </c>
      <c r="D38">
        <f t="shared" si="1"/>
        <v>-2.9969178969010369E-14</v>
      </c>
      <c r="E38">
        <f t="shared" si="2"/>
        <v>8.9815168807657348E-28</v>
      </c>
    </row>
    <row r="39" spans="1:5" x14ac:dyDescent="0.25">
      <c r="A39">
        <v>3.7991739372127222</v>
      </c>
      <c r="B39">
        <v>0</v>
      </c>
      <c r="C39">
        <f t="shared" si="0"/>
        <v>1.9304058876219572E-15</v>
      </c>
      <c r="D39">
        <f t="shared" si="1"/>
        <v>-1.9304058876219572E-15</v>
      </c>
      <c r="E39">
        <f t="shared" si="2"/>
        <v>3.7264668909655164E-30</v>
      </c>
    </row>
    <row r="40" spans="1:5" x14ac:dyDescent="0.25">
      <c r="A40">
        <v>3.8978537797375745</v>
      </c>
      <c r="B40">
        <v>6.3658407431312991E-4</v>
      </c>
      <c r="C40">
        <f t="shared" si="0"/>
        <v>1.0729522574056021E-16</v>
      </c>
      <c r="D40">
        <f t="shared" si="1"/>
        <v>6.3658407431302258E-4</v>
      </c>
      <c r="E40">
        <f t="shared" si="2"/>
        <v>4.0523928366896787E-7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44A7-BB57-4DF9-9E54-023855BB2DD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0.29685866280000001</v>
      </c>
      <c r="B1">
        <v>1.9102119513766815E-2</v>
      </c>
      <c r="C1">
        <f>$H$3*(1+$H$1)*(A1^($H$1))*EXP(-$H$3*(A1^(1+$H$1)))</f>
        <v>0.10641350725374171</v>
      </c>
      <c r="D1">
        <f>B1-C1</f>
        <v>-8.7311387739974905E-2</v>
      </c>
      <c r="E1">
        <f>D1^2</f>
        <v>7.6232784290802399E-3</v>
      </c>
      <c r="G1" t="s">
        <v>0</v>
      </c>
      <c r="H1">
        <v>2.579596313325613</v>
      </c>
    </row>
    <row r="2" spans="1:8" x14ac:dyDescent="0.25">
      <c r="A2">
        <v>0.38569379040000001</v>
      </c>
      <c r="B2">
        <v>0.10612288618759341</v>
      </c>
      <c r="C2">
        <f t="shared" ref="C2:C40" si="0">$H$3*(1+$H$1)*(A2^($H$1))*EXP(-$H$3*(A2^(1+$H$1)))</f>
        <v>0.2061935224392083</v>
      </c>
      <c r="D2">
        <f t="shared" ref="D2:D40" si="1">B2-C2</f>
        <v>-0.10007063625161489</v>
      </c>
      <c r="E2">
        <f t="shared" ref="E2:E40" si="2">D2^2</f>
        <v>1.001413223980302E-2</v>
      </c>
    </row>
    <row r="3" spans="1:8" x14ac:dyDescent="0.25">
      <c r="A3">
        <v>0.47452891800000002</v>
      </c>
      <c r="B3">
        <v>0.28794676452233675</v>
      </c>
      <c r="C3">
        <f t="shared" si="0"/>
        <v>0.34326701481202587</v>
      </c>
      <c r="D3">
        <f t="shared" si="1"/>
        <v>-5.5320250289689121E-2</v>
      </c>
      <c r="E3">
        <f t="shared" si="2"/>
        <v>3.0603300921138491E-3</v>
      </c>
      <c r="G3" t="s">
        <v>1</v>
      </c>
      <c r="H3">
        <f>(_xlfn.GAMMA((2+$H$1)/(1+$H$1)))^(1+$H$1)</f>
        <v>0.68807913946092936</v>
      </c>
    </row>
    <row r="4" spans="1:8" x14ac:dyDescent="0.25">
      <c r="A4">
        <v>0.56336404559999997</v>
      </c>
      <c r="B4">
        <v>0.54476414909631277</v>
      </c>
      <c r="C4">
        <f t="shared" si="0"/>
        <v>0.51321081203926899</v>
      </c>
      <c r="D4">
        <f t="shared" si="1"/>
        <v>3.1553337057043773E-2</v>
      </c>
      <c r="E4">
        <f t="shared" si="2"/>
        <v>9.9561307943541182E-4</v>
      </c>
    </row>
    <row r="5" spans="1:8" x14ac:dyDescent="0.25">
      <c r="A5">
        <v>0.65219917320000009</v>
      </c>
      <c r="B5">
        <v>0.83271091361864957</v>
      </c>
      <c r="C5">
        <f t="shared" si="0"/>
        <v>0.70459131621014437</v>
      </c>
      <c r="D5">
        <f t="shared" si="1"/>
        <v>0.1281195974085052</v>
      </c>
      <c r="E5">
        <f t="shared" si="2"/>
        <v>1.6414631240117453E-2</v>
      </c>
      <c r="G5" t="s">
        <v>2</v>
      </c>
      <c r="H5">
        <f>SUM(E1:E40)</f>
        <v>0.19553100509788227</v>
      </c>
    </row>
    <row r="6" spans="1:8" x14ac:dyDescent="0.25">
      <c r="A6">
        <v>0.74103430079999999</v>
      </c>
      <c r="B6">
        <v>1.0958956713638812</v>
      </c>
      <c r="C6">
        <f t="shared" si="0"/>
        <v>0.89845663759076999</v>
      </c>
      <c r="D6">
        <f t="shared" si="1"/>
        <v>0.19743903377311123</v>
      </c>
      <c r="E6">
        <f t="shared" si="2"/>
        <v>3.8982172057259755E-2</v>
      </c>
    </row>
    <row r="7" spans="1:8" x14ac:dyDescent="0.25">
      <c r="A7">
        <v>0.8298694284</v>
      </c>
      <c r="B7">
        <v>1.296114183304474</v>
      </c>
      <c r="C7">
        <f t="shared" si="0"/>
        <v>1.0696989198417814</v>
      </c>
      <c r="D7">
        <f t="shared" si="1"/>
        <v>0.22641526346269258</v>
      </c>
      <c r="E7">
        <f t="shared" si="2"/>
        <v>5.1263871528880497E-2</v>
      </c>
    </row>
    <row r="8" spans="1:8" x14ac:dyDescent="0.25">
      <c r="A8">
        <v>0.91870455600000012</v>
      </c>
      <c r="B8">
        <v>1.2826719510540456</v>
      </c>
      <c r="C8">
        <f t="shared" si="0"/>
        <v>1.1909134579906862</v>
      </c>
      <c r="D8">
        <f t="shared" si="1"/>
        <v>9.1758493063359481E-2</v>
      </c>
      <c r="E8">
        <f t="shared" si="2"/>
        <v>8.4196210492585907E-3</v>
      </c>
    </row>
    <row r="9" spans="1:8" x14ac:dyDescent="0.25">
      <c r="A9">
        <v>1.0075396836000001</v>
      </c>
      <c r="B9">
        <v>1.2550800006452714</v>
      </c>
      <c r="C9">
        <f t="shared" si="0"/>
        <v>1.2385532498570644</v>
      </c>
      <c r="D9">
        <f t="shared" si="1"/>
        <v>1.6526750788206979E-2</v>
      </c>
      <c r="E9">
        <f t="shared" si="2"/>
        <v>2.7313349161549999E-4</v>
      </c>
    </row>
    <row r="10" spans="1:8" x14ac:dyDescent="0.25">
      <c r="A10">
        <v>1.0963748112</v>
      </c>
      <c r="B10">
        <v>1.1043855022588887</v>
      </c>
      <c r="C10">
        <f t="shared" si="0"/>
        <v>1.1999327310182999</v>
      </c>
      <c r="D10">
        <f t="shared" si="1"/>
        <v>-9.554722875941124E-2</v>
      </c>
      <c r="E10">
        <f t="shared" si="2"/>
        <v>9.1292729236032624E-3</v>
      </c>
    </row>
    <row r="11" spans="1:8" x14ac:dyDescent="0.25">
      <c r="A11">
        <v>1.1852099387999999</v>
      </c>
      <c r="B11">
        <v>0.99118775699212236</v>
      </c>
      <c r="C11">
        <f t="shared" si="0"/>
        <v>1.0785114748007307</v>
      </c>
      <c r="D11">
        <f t="shared" si="1"/>
        <v>-8.732371780860837E-2</v>
      </c>
      <c r="E11">
        <f t="shared" si="2"/>
        <v>7.6254316919174663E-3</v>
      </c>
    </row>
    <row r="12" spans="1:8" x14ac:dyDescent="0.25">
      <c r="A12">
        <v>1.2740450664</v>
      </c>
      <c r="B12">
        <v>0.74215271740523658</v>
      </c>
      <c r="C12">
        <f t="shared" si="0"/>
        <v>0.89472288592981009</v>
      </c>
      <c r="D12">
        <f t="shared" si="1"/>
        <v>-0.1525701685245735</v>
      </c>
      <c r="E12">
        <f t="shared" si="2"/>
        <v>2.3277656323616759E-2</v>
      </c>
    </row>
    <row r="13" spans="1:8" x14ac:dyDescent="0.25">
      <c r="A13">
        <v>1.3628801940000002</v>
      </c>
      <c r="B13">
        <v>0.57377107132092164</v>
      </c>
      <c r="C13">
        <f t="shared" si="0"/>
        <v>0.68101349359525398</v>
      </c>
      <c r="D13">
        <f t="shared" si="1"/>
        <v>-0.10724242227433234</v>
      </c>
      <c r="E13">
        <f t="shared" si="2"/>
        <v>1.1500937135266212E-2</v>
      </c>
    </row>
    <row r="14" spans="1:8" x14ac:dyDescent="0.25">
      <c r="A14">
        <v>1.4517153216000001</v>
      </c>
      <c r="B14">
        <v>0.40821936886827598</v>
      </c>
      <c r="C14">
        <f t="shared" si="0"/>
        <v>0.4724219845073821</v>
      </c>
      <c r="D14">
        <f t="shared" si="1"/>
        <v>-6.420261563910612E-2</v>
      </c>
      <c r="E14">
        <f t="shared" si="2"/>
        <v>4.1219758549027935E-3</v>
      </c>
    </row>
    <row r="15" spans="1:8" x14ac:dyDescent="0.25">
      <c r="A15">
        <v>1.5405504491999999</v>
      </c>
      <c r="B15">
        <v>0.28440933498275034</v>
      </c>
      <c r="C15">
        <f t="shared" si="0"/>
        <v>0.2965201705199399</v>
      </c>
      <c r="D15">
        <f t="shared" si="1"/>
        <v>-1.2110835537189557E-2</v>
      </c>
      <c r="E15">
        <f t="shared" si="2"/>
        <v>1.4667233740885347E-4</v>
      </c>
    </row>
    <row r="16" spans="1:8" x14ac:dyDescent="0.25">
      <c r="A16">
        <v>1.6293855768000003</v>
      </c>
      <c r="B16">
        <v>0.19314365286141999</v>
      </c>
      <c r="C16">
        <f t="shared" si="0"/>
        <v>0.16708623826479357</v>
      </c>
      <c r="D16">
        <f t="shared" si="1"/>
        <v>2.6057414596626416E-2</v>
      </c>
      <c r="E16">
        <f t="shared" si="2"/>
        <v>6.7898885546047942E-4</v>
      </c>
    </row>
    <row r="17" spans="1:5" x14ac:dyDescent="0.25">
      <c r="A17">
        <v>1.7182207044000002</v>
      </c>
      <c r="B17">
        <v>9.6925569384668647E-2</v>
      </c>
      <c r="C17">
        <f t="shared" si="0"/>
        <v>8.3829247132875623E-2</v>
      </c>
      <c r="D17">
        <f t="shared" si="1"/>
        <v>1.3096322251793024E-2</v>
      </c>
      <c r="E17">
        <f t="shared" si="2"/>
        <v>1.7151365652280911E-4</v>
      </c>
    </row>
    <row r="18" spans="1:5" x14ac:dyDescent="0.25">
      <c r="A18">
        <v>1.8070558320000001</v>
      </c>
      <c r="B18">
        <v>6.7211161252142493E-2</v>
      </c>
      <c r="C18">
        <f t="shared" si="0"/>
        <v>3.7122470863289861E-2</v>
      </c>
      <c r="D18">
        <f t="shared" si="1"/>
        <v>3.0088690388852632E-2</v>
      </c>
      <c r="E18">
        <f t="shared" si="2"/>
        <v>9.0532928931623272E-4</v>
      </c>
    </row>
    <row r="19" spans="1:5" x14ac:dyDescent="0.25">
      <c r="A19">
        <v>1.8958909596</v>
      </c>
      <c r="B19">
        <v>3.5374295395864466E-2</v>
      </c>
      <c r="C19">
        <f t="shared" si="0"/>
        <v>1.437834116156551E-2</v>
      </c>
      <c r="D19">
        <f t="shared" si="1"/>
        <v>2.0995954234298956E-2</v>
      </c>
      <c r="E19">
        <f t="shared" si="2"/>
        <v>4.4083009420877627E-4</v>
      </c>
    </row>
    <row r="20" spans="1:5" x14ac:dyDescent="0.25">
      <c r="A20">
        <v>1.9847260871999999</v>
      </c>
      <c r="B20">
        <v>2.5469492685022417E-2</v>
      </c>
      <c r="C20">
        <f t="shared" si="0"/>
        <v>4.8249539929739174E-3</v>
      </c>
      <c r="D20">
        <f t="shared" si="1"/>
        <v>2.0644538692048499E-2</v>
      </c>
      <c r="E20">
        <f t="shared" si="2"/>
        <v>4.2619697780748754E-4</v>
      </c>
    </row>
    <row r="21" spans="1:5" x14ac:dyDescent="0.25">
      <c r="A21">
        <v>2.0735612148000002</v>
      </c>
      <c r="B21">
        <v>8.4898308950074729E-3</v>
      </c>
      <c r="C21">
        <f t="shared" si="0"/>
        <v>1.3890536997702978E-3</v>
      </c>
      <c r="D21">
        <f t="shared" si="1"/>
        <v>7.1007771952371753E-3</v>
      </c>
      <c r="E21">
        <f t="shared" si="2"/>
        <v>5.0421036776400329E-5</v>
      </c>
    </row>
    <row r="22" spans="1:5" x14ac:dyDescent="0.25">
      <c r="A22">
        <v>2.1623963424000001</v>
      </c>
      <c r="B22">
        <v>2.8299436316691576E-3</v>
      </c>
      <c r="C22">
        <f t="shared" si="0"/>
        <v>3.3960198437815476E-4</v>
      </c>
      <c r="D22">
        <f t="shared" si="1"/>
        <v>2.490341647291003E-3</v>
      </c>
      <c r="E22">
        <f t="shared" si="2"/>
        <v>6.2018015202320668E-6</v>
      </c>
    </row>
    <row r="23" spans="1:5" x14ac:dyDescent="0.25">
      <c r="A23">
        <v>2.25123147</v>
      </c>
      <c r="B23">
        <v>1.4149718158345788E-3</v>
      </c>
      <c r="C23">
        <f t="shared" si="0"/>
        <v>6.9773738209511841E-5</v>
      </c>
      <c r="D23">
        <f t="shared" si="1"/>
        <v>1.3451980776250669E-3</v>
      </c>
      <c r="E23">
        <f t="shared" si="2"/>
        <v>1.8095578680461754E-6</v>
      </c>
    </row>
    <row r="24" spans="1:5" x14ac:dyDescent="0.25">
      <c r="A24">
        <v>2.3400665975999999</v>
      </c>
      <c r="B24">
        <v>7.0748590791728941E-4</v>
      </c>
      <c r="C24">
        <f t="shared" si="0"/>
        <v>1.1917813265842814E-5</v>
      </c>
      <c r="D24">
        <f t="shared" si="1"/>
        <v>6.9556809465144654E-4</v>
      </c>
      <c r="E24">
        <f t="shared" si="2"/>
        <v>4.8381497429704369E-7</v>
      </c>
    </row>
    <row r="25" spans="1:5" x14ac:dyDescent="0.25">
      <c r="A25">
        <v>2.4289017252000003</v>
      </c>
      <c r="B25">
        <v>0</v>
      </c>
      <c r="C25">
        <f t="shared" si="0"/>
        <v>1.6736627156851291E-6</v>
      </c>
      <c r="D25">
        <f t="shared" si="1"/>
        <v>-1.6736627156851291E-6</v>
      </c>
      <c r="E25">
        <f t="shared" si="2"/>
        <v>2.8011468858745213E-12</v>
      </c>
    </row>
    <row r="26" spans="1:5" x14ac:dyDescent="0.25">
      <c r="A26">
        <v>2.5177368528000001</v>
      </c>
      <c r="B26">
        <v>0</v>
      </c>
      <c r="C26">
        <f t="shared" si="0"/>
        <v>1.9105832176438012E-7</v>
      </c>
      <c r="D26">
        <f t="shared" si="1"/>
        <v>-1.9105832176438012E-7</v>
      </c>
      <c r="E26">
        <f t="shared" si="2"/>
        <v>3.6503282315421405E-14</v>
      </c>
    </row>
    <row r="27" spans="1:5" x14ac:dyDescent="0.25">
      <c r="A27">
        <v>2.6065719804</v>
      </c>
      <c r="B27">
        <v>0</v>
      </c>
      <c r="C27">
        <f t="shared" si="0"/>
        <v>1.7523871641405224E-8</v>
      </c>
      <c r="D27">
        <f t="shared" si="1"/>
        <v>-1.7523871641405224E-8</v>
      </c>
      <c r="E27">
        <f t="shared" si="2"/>
        <v>3.0708607730444626E-16</v>
      </c>
    </row>
    <row r="28" spans="1:5" x14ac:dyDescent="0.25">
      <c r="A28">
        <v>2.6954071080000004</v>
      </c>
      <c r="B28">
        <v>0</v>
      </c>
      <c r="C28">
        <f t="shared" si="0"/>
        <v>1.2760935091947742E-9</v>
      </c>
      <c r="D28">
        <f t="shared" si="1"/>
        <v>-1.2760935091947742E-9</v>
      </c>
      <c r="E28">
        <f t="shared" si="2"/>
        <v>1.6284146442090334E-18</v>
      </c>
    </row>
    <row r="29" spans="1:5" x14ac:dyDescent="0.25">
      <c r="A29">
        <v>2.7842422355999998</v>
      </c>
      <c r="B29">
        <v>0</v>
      </c>
      <c r="C29">
        <f t="shared" si="0"/>
        <v>7.2883836078924135E-11</v>
      </c>
      <c r="D29">
        <f t="shared" si="1"/>
        <v>-7.2883836078924135E-11</v>
      </c>
      <c r="E29">
        <f t="shared" si="2"/>
        <v>5.3120535615794835E-21</v>
      </c>
    </row>
    <row r="30" spans="1:5" x14ac:dyDescent="0.25">
      <c r="A30">
        <v>2.8730773632000002</v>
      </c>
      <c r="B30">
        <v>0</v>
      </c>
      <c r="C30">
        <f t="shared" si="0"/>
        <v>3.2245752463232541E-12</v>
      </c>
      <c r="D30">
        <f t="shared" si="1"/>
        <v>-3.2245752463232541E-12</v>
      </c>
      <c r="E30">
        <f t="shared" si="2"/>
        <v>1.0397885519200675E-23</v>
      </c>
    </row>
    <row r="31" spans="1:5" x14ac:dyDescent="0.25">
      <c r="A31">
        <v>2.9619124908000005</v>
      </c>
      <c r="B31">
        <v>0</v>
      </c>
      <c r="C31">
        <f t="shared" si="0"/>
        <v>1.0911723809017508E-13</v>
      </c>
      <c r="D31">
        <f t="shared" si="1"/>
        <v>-1.0911723809017508E-13</v>
      </c>
      <c r="E31">
        <f t="shared" si="2"/>
        <v>1.1906571648427956E-26</v>
      </c>
    </row>
    <row r="32" spans="1:5" x14ac:dyDescent="0.25">
      <c r="A32">
        <v>3.0507476184000004</v>
      </c>
      <c r="B32">
        <v>0</v>
      </c>
      <c r="C32">
        <f t="shared" si="0"/>
        <v>2.7878771207584436E-15</v>
      </c>
      <c r="D32">
        <f t="shared" si="1"/>
        <v>-2.7878771207584436E-15</v>
      </c>
      <c r="E32">
        <f t="shared" si="2"/>
        <v>7.7722588404483901E-30</v>
      </c>
    </row>
    <row r="33" spans="1:5" x14ac:dyDescent="0.25">
      <c r="A33">
        <v>3.1395827460000003</v>
      </c>
      <c r="B33">
        <v>0</v>
      </c>
      <c r="C33">
        <f t="shared" si="0"/>
        <v>5.3074758522471707E-17</v>
      </c>
      <c r="D33">
        <f t="shared" si="1"/>
        <v>-5.3074758522471707E-17</v>
      </c>
      <c r="E33">
        <f t="shared" si="2"/>
        <v>2.8169299922186831E-33</v>
      </c>
    </row>
    <row r="34" spans="1:5" x14ac:dyDescent="0.25">
      <c r="A34">
        <v>3.2284178735999998</v>
      </c>
      <c r="B34">
        <v>0</v>
      </c>
      <c r="C34">
        <f t="shared" si="0"/>
        <v>7.4286173710048745E-19</v>
      </c>
      <c r="D34">
        <f t="shared" si="1"/>
        <v>-7.4286173710048745E-19</v>
      </c>
      <c r="E34">
        <f t="shared" si="2"/>
        <v>5.5184356044795372E-37</v>
      </c>
    </row>
    <row r="35" spans="1:5" x14ac:dyDescent="0.25">
      <c r="A35">
        <v>3.3172530012000001</v>
      </c>
      <c r="B35">
        <v>0</v>
      </c>
      <c r="C35">
        <f t="shared" si="0"/>
        <v>7.5405557540312143E-21</v>
      </c>
      <c r="D35">
        <f t="shared" si="1"/>
        <v>-7.5405557540312143E-21</v>
      </c>
      <c r="E35">
        <f t="shared" si="2"/>
        <v>5.6859981079653255E-41</v>
      </c>
    </row>
    <row r="36" spans="1:5" x14ac:dyDescent="0.25">
      <c r="A36">
        <v>3.4060881288</v>
      </c>
      <c r="B36">
        <v>0</v>
      </c>
      <c r="C36">
        <f t="shared" si="0"/>
        <v>5.4744938016766478E-23</v>
      </c>
      <c r="D36">
        <f t="shared" si="1"/>
        <v>-5.4744938016766478E-23</v>
      </c>
      <c r="E36">
        <f t="shared" si="2"/>
        <v>2.9970082384596036E-45</v>
      </c>
    </row>
    <row r="37" spans="1:5" x14ac:dyDescent="0.25">
      <c r="A37">
        <v>3.4949232563999999</v>
      </c>
      <c r="B37">
        <v>0</v>
      </c>
      <c r="C37">
        <f t="shared" si="0"/>
        <v>2.8028584492273686E-25</v>
      </c>
      <c r="D37">
        <f t="shared" si="1"/>
        <v>-2.8028584492273686E-25</v>
      </c>
      <c r="E37">
        <f t="shared" si="2"/>
        <v>7.8560154864052496E-50</v>
      </c>
    </row>
    <row r="38" spans="1:5" x14ac:dyDescent="0.25">
      <c r="A38">
        <v>3.5837583840000002</v>
      </c>
      <c r="B38">
        <v>0</v>
      </c>
      <c r="C38">
        <f t="shared" si="0"/>
        <v>9.9758331150047281E-28</v>
      </c>
      <c r="D38">
        <f t="shared" si="1"/>
        <v>-9.9758331150047281E-28</v>
      </c>
      <c r="E38">
        <f t="shared" si="2"/>
        <v>9.9517246338424934E-55</v>
      </c>
    </row>
    <row r="39" spans="1:5" x14ac:dyDescent="0.25">
      <c r="A39">
        <v>3.6725935115999997</v>
      </c>
      <c r="B39">
        <v>0</v>
      </c>
      <c r="C39">
        <f t="shared" si="0"/>
        <v>2.4325761010227217E-30</v>
      </c>
      <c r="D39">
        <f t="shared" si="1"/>
        <v>-2.4325761010227217E-30</v>
      </c>
      <c r="E39">
        <f t="shared" si="2"/>
        <v>5.9174264872669072E-60</v>
      </c>
    </row>
    <row r="40" spans="1:5" x14ac:dyDescent="0.25">
      <c r="A40">
        <v>3.7614286392</v>
      </c>
      <c r="B40">
        <v>7.0748590791728941E-4</v>
      </c>
      <c r="C40">
        <f t="shared" si="0"/>
        <v>4.004394341483216E-33</v>
      </c>
      <c r="D40">
        <f t="shared" si="1"/>
        <v>7.0748590791728941E-4</v>
      </c>
      <c r="E40">
        <f t="shared" si="2"/>
        <v>5.0053630990155128E-7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D748-D9BD-49C8-8909-7CC1EF53C38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4.5381375862500004E-2</v>
      </c>
      <c r="B1">
        <v>4.1539424665486121E-3</v>
      </c>
      <c r="C1">
        <f>$H$3*(1+$H$1)*(A1^($H$1))*EXP(-$H$3*(A1^(1+$H$1)))</f>
        <v>1.9031287855392152E-4</v>
      </c>
      <c r="D1">
        <f>B1-C1</f>
        <v>3.9636295879946909E-3</v>
      </c>
      <c r="E1">
        <f>D1^2</f>
        <v>1.5710359510826962E-5</v>
      </c>
      <c r="G1" t="s">
        <v>0</v>
      </c>
      <c r="H1">
        <v>3.0977368924567164</v>
      </c>
    </row>
    <row r="2" spans="1:8" x14ac:dyDescent="0.25">
      <c r="A2">
        <v>0.13612780758750001</v>
      </c>
      <c r="B2">
        <v>0</v>
      </c>
      <c r="C2">
        <f t="shared" ref="C2:C40" si="0">$H$3*(1+$H$1)*(A2^($H$1))*EXP(-$H$3*(A2^(1+$H$1)))</f>
        <v>5.7177007407279452E-3</v>
      </c>
      <c r="D2">
        <f t="shared" ref="D2:D40" si="1">B2-C2</f>
        <v>-5.7177007407279452E-3</v>
      </c>
      <c r="E2">
        <f t="shared" ref="E2:E40" si="2">D2^2</f>
        <v>3.2692101760520893E-5</v>
      </c>
    </row>
    <row r="3" spans="1:8" x14ac:dyDescent="0.25">
      <c r="A3">
        <v>0.22687423931250003</v>
      </c>
      <c r="B3">
        <v>0</v>
      </c>
      <c r="C3">
        <f t="shared" si="0"/>
        <v>2.778635450215838E-2</v>
      </c>
      <c r="D3">
        <f t="shared" si="1"/>
        <v>-2.778635450215838E-2</v>
      </c>
      <c r="E3">
        <f t="shared" si="2"/>
        <v>7.7208149651961729E-4</v>
      </c>
      <c r="G3" t="s">
        <v>1</v>
      </c>
      <c r="H3">
        <f>(_xlfn.GAMMA((2+$H$1)/(1+$H$1)))^(1+$H$1)</f>
        <v>0.67230238482830906</v>
      </c>
    </row>
    <row r="4" spans="1:8" x14ac:dyDescent="0.25">
      <c r="A4">
        <v>0.31762067103750002</v>
      </c>
      <c r="B4">
        <v>3.4616187221238439E-3</v>
      </c>
      <c r="C4">
        <f t="shared" si="0"/>
        <v>7.8432607883755334E-2</v>
      </c>
      <c r="D4">
        <f t="shared" si="1"/>
        <v>-7.4970989161631488E-2</v>
      </c>
      <c r="E4">
        <f t="shared" si="2"/>
        <v>5.6206492158734659E-3</v>
      </c>
    </row>
    <row r="5" spans="1:8" x14ac:dyDescent="0.25">
      <c r="A5">
        <v>0.40836710276250004</v>
      </c>
      <c r="B5">
        <v>5.1924280831857655E-2</v>
      </c>
      <c r="C5">
        <f t="shared" si="0"/>
        <v>0.16896894336608145</v>
      </c>
      <c r="D5">
        <f t="shared" si="1"/>
        <v>-0.1170446625342238</v>
      </c>
      <c r="E5">
        <f t="shared" si="2"/>
        <v>1.3699453027750332E-2</v>
      </c>
      <c r="G5" t="s">
        <v>2</v>
      </c>
      <c r="H5">
        <f>SUM(E1:E40)</f>
        <v>0.25278303852133627</v>
      </c>
    </row>
    <row r="6" spans="1:8" x14ac:dyDescent="0.25">
      <c r="A6">
        <v>0.49911353448750007</v>
      </c>
      <c r="B6">
        <v>0.22777451191574891</v>
      </c>
      <c r="C6">
        <f t="shared" si="0"/>
        <v>0.30780807074144317</v>
      </c>
      <c r="D6">
        <f t="shared" si="1"/>
        <v>-8.0033558825694268E-2</v>
      </c>
      <c r="E6">
        <f t="shared" si="2"/>
        <v>6.4053705383058648E-3</v>
      </c>
    </row>
    <row r="7" spans="1:8" x14ac:dyDescent="0.25">
      <c r="A7">
        <v>0.58985996621250003</v>
      </c>
      <c r="B7">
        <v>0.49985774347468304</v>
      </c>
      <c r="C7">
        <f t="shared" si="0"/>
        <v>0.49702725194984093</v>
      </c>
      <c r="D7">
        <f t="shared" si="1"/>
        <v>2.8304915248421048E-3</v>
      </c>
      <c r="E7">
        <f t="shared" si="2"/>
        <v>8.0116822722029829E-6</v>
      </c>
    </row>
    <row r="8" spans="1:8" x14ac:dyDescent="0.25">
      <c r="A8">
        <v>0.68060639793750011</v>
      </c>
      <c r="B8">
        <v>0.89448227779680123</v>
      </c>
      <c r="C8">
        <f t="shared" si="0"/>
        <v>0.72798964121964183</v>
      </c>
      <c r="D8">
        <f t="shared" si="1"/>
        <v>0.1664926365771594</v>
      </c>
      <c r="E8">
        <f t="shared" si="2"/>
        <v>2.7719798034414076E-2</v>
      </c>
    </row>
    <row r="9" spans="1:8" x14ac:dyDescent="0.25">
      <c r="A9">
        <v>0.77135282966250007</v>
      </c>
      <c r="B9">
        <v>1.200489372832549</v>
      </c>
      <c r="C9">
        <f t="shared" si="0"/>
        <v>0.97740822059239563</v>
      </c>
      <c r="D9">
        <f t="shared" si="1"/>
        <v>0.22308115224015335</v>
      </c>
      <c r="E9">
        <f t="shared" si="2"/>
        <v>4.9765200484794478E-2</v>
      </c>
    </row>
    <row r="10" spans="1:8" x14ac:dyDescent="0.25">
      <c r="A10">
        <v>0.86209926138750004</v>
      </c>
      <c r="B10">
        <v>1.4497259208254658</v>
      </c>
      <c r="C10">
        <f t="shared" si="0"/>
        <v>1.2064938746472882</v>
      </c>
      <c r="D10">
        <f t="shared" si="1"/>
        <v>0.24323204617817762</v>
      </c>
      <c r="E10">
        <f t="shared" si="2"/>
        <v>5.9161828288023133E-2</v>
      </c>
    </row>
    <row r="11" spans="1:8" x14ac:dyDescent="0.25">
      <c r="A11">
        <v>0.9528456931125</v>
      </c>
      <c r="B11">
        <v>1.4753418993691823</v>
      </c>
      <c r="C11">
        <f t="shared" si="0"/>
        <v>1.3664071914830138</v>
      </c>
      <c r="D11">
        <f t="shared" si="1"/>
        <v>0.10893470788616844</v>
      </c>
      <c r="E11">
        <f t="shared" si="2"/>
        <v>1.1866770582244848E-2</v>
      </c>
    </row>
    <row r="12" spans="1:8" x14ac:dyDescent="0.25">
      <c r="A12">
        <v>1.0435921248375002</v>
      </c>
      <c r="B12">
        <v>1.3493389778838742</v>
      </c>
      <c r="C12">
        <f t="shared" si="0"/>
        <v>1.4117224458914668</v>
      </c>
      <c r="D12">
        <f t="shared" si="1"/>
        <v>-6.2383468007592535E-2</v>
      </c>
      <c r="E12">
        <f t="shared" si="2"/>
        <v>3.8916970806543213E-3</v>
      </c>
    </row>
    <row r="13" spans="1:8" x14ac:dyDescent="0.25">
      <c r="A13">
        <v>1.1343385565625002</v>
      </c>
      <c r="B13">
        <v>1.2025663440658232</v>
      </c>
      <c r="C13">
        <f t="shared" si="0"/>
        <v>1.3191076781242652</v>
      </c>
      <c r="D13">
        <f t="shared" si="1"/>
        <v>-0.11654133405844203</v>
      </c>
      <c r="E13">
        <f t="shared" si="2"/>
        <v>1.358188254412138E-2</v>
      </c>
    </row>
    <row r="14" spans="1:8" x14ac:dyDescent="0.25">
      <c r="A14">
        <v>1.2250849882875001</v>
      </c>
      <c r="B14">
        <v>0.9304831125068892</v>
      </c>
      <c r="C14">
        <f t="shared" si="0"/>
        <v>1.1024679332708318</v>
      </c>
      <c r="D14">
        <f t="shared" si="1"/>
        <v>-0.17198482076394261</v>
      </c>
      <c r="E14">
        <f t="shared" si="2"/>
        <v>2.9578778573205466E-2</v>
      </c>
    </row>
    <row r="15" spans="1:8" x14ac:dyDescent="0.25">
      <c r="A15">
        <v>1.3158314200125001</v>
      </c>
      <c r="B15">
        <v>0.66740008962547703</v>
      </c>
      <c r="C15">
        <f t="shared" si="0"/>
        <v>0.81334689173929342</v>
      </c>
      <c r="D15">
        <f t="shared" si="1"/>
        <v>-0.14594680211381639</v>
      </c>
      <c r="E15">
        <f t="shared" si="2"/>
        <v>2.1300469047249481E-2</v>
      </c>
    </row>
    <row r="16" spans="1:8" x14ac:dyDescent="0.25">
      <c r="A16">
        <v>1.4065778517375001</v>
      </c>
      <c r="B16">
        <v>0.44516416766512629</v>
      </c>
      <c r="C16">
        <f t="shared" si="0"/>
        <v>0.52172453794174922</v>
      </c>
      <c r="D16">
        <f t="shared" si="1"/>
        <v>-7.6560370276622935E-2</v>
      </c>
      <c r="E16">
        <f t="shared" si="2"/>
        <v>5.8614902968936082E-3</v>
      </c>
    </row>
    <row r="17" spans="1:5" x14ac:dyDescent="0.25">
      <c r="A17">
        <v>1.4973242834625</v>
      </c>
      <c r="B17">
        <v>0.29423759138052669</v>
      </c>
      <c r="C17">
        <f t="shared" si="0"/>
        <v>0.28609732738987198</v>
      </c>
      <c r="D17">
        <f t="shared" si="1"/>
        <v>8.1402639906547059E-3</v>
      </c>
      <c r="E17">
        <f t="shared" si="2"/>
        <v>6.6263897837549681E-5</v>
      </c>
    </row>
    <row r="18" spans="1:5" x14ac:dyDescent="0.25">
      <c r="A18">
        <v>1.5880707151875</v>
      </c>
      <c r="B18">
        <v>0.16338840368424543</v>
      </c>
      <c r="C18">
        <f t="shared" si="0"/>
        <v>0.13164511189970587</v>
      </c>
      <c r="D18">
        <f t="shared" si="1"/>
        <v>3.1743291784539551E-2</v>
      </c>
      <c r="E18">
        <f t="shared" si="2"/>
        <v>1.0076365733184161E-3</v>
      </c>
    </row>
    <row r="19" spans="1:5" x14ac:dyDescent="0.25">
      <c r="A19">
        <v>1.6788171469124999</v>
      </c>
      <c r="B19">
        <v>7.9617230608848399E-2</v>
      </c>
      <c r="C19">
        <f t="shared" si="0"/>
        <v>4.9809606397540229E-2</v>
      </c>
      <c r="D19">
        <f t="shared" si="1"/>
        <v>2.980762421130817E-2</v>
      </c>
      <c r="E19">
        <f t="shared" si="2"/>
        <v>8.8849446112256503E-4</v>
      </c>
    </row>
    <row r="20" spans="1:5" x14ac:dyDescent="0.25">
      <c r="A20">
        <v>1.7695635786374999</v>
      </c>
      <c r="B20">
        <v>4.9847309598583349E-2</v>
      </c>
      <c r="C20">
        <f t="shared" si="0"/>
        <v>1.5161614091318385E-2</v>
      </c>
      <c r="D20">
        <f t="shared" si="1"/>
        <v>3.4685695507264962E-2</v>
      </c>
      <c r="E20">
        <f t="shared" si="2"/>
        <v>1.2030974728227007E-3</v>
      </c>
    </row>
    <row r="21" spans="1:5" x14ac:dyDescent="0.25">
      <c r="A21">
        <v>1.8603100103625003</v>
      </c>
      <c r="B21">
        <v>2.0769712332743061E-2</v>
      </c>
      <c r="C21">
        <f t="shared" si="0"/>
        <v>3.6268521637299357E-3</v>
      </c>
      <c r="D21">
        <f t="shared" si="1"/>
        <v>1.7142860169013126E-2</v>
      </c>
      <c r="E21">
        <f t="shared" si="2"/>
        <v>2.9387765477433675E-4</v>
      </c>
    </row>
    <row r="22" spans="1:5" x14ac:dyDescent="0.25">
      <c r="A22">
        <v>1.9510564420875003</v>
      </c>
      <c r="B22">
        <v>6.9232374442476877E-3</v>
      </c>
      <c r="C22">
        <f t="shared" si="0"/>
        <v>6.6500700316569341E-4</v>
      </c>
      <c r="D22">
        <f t="shared" si="1"/>
        <v>6.2582304410819939E-3</v>
      </c>
      <c r="E22">
        <f t="shared" si="2"/>
        <v>3.9165448253685325E-5</v>
      </c>
    </row>
    <row r="23" spans="1:5" x14ac:dyDescent="0.25">
      <c r="A23">
        <v>2.0418028738125003</v>
      </c>
      <c r="B23">
        <v>1.3846474888495374E-3</v>
      </c>
      <c r="C23">
        <f t="shared" si="0"/>
        <v>9.1019276934219375E-5</v>
      </c>
      <c r="D23">
        <f t="shared" si="1"/>
        <v>1.293628211915318E-3</v>
      </c>
      <c r="E23">
        <f t="shared" si="2"/>
        <v>1.6734739506632229E-6</v>
      </c>
    </row>
    <row r="24" spans="1:5" x14ac:dyDescent="0.25">
      <c r="A24">
        <v>2.1325493055375002</v>
      </c>
      <c r="B24">
        <v>6.9232374442476869E-4</v>
      </c>
      <c r="C24">
        <f t="shared" si="0"/>
        <v>9.0426207520561273E-6</v>
      </c>
      <c r="D24">
        <f t="shared" si="1"/>
        <v>6.8328112367271258E-4</v>
      </c>
      <c r="E24">
        <f t="shared" si="2"/>
        <v>4.6687309396744476E-7</v>
      </c>
    </row>
    <row r="25" spans="1:5" x14ac:dyDescent="0.25">
      <c r="A25">
        <v>2.2232957372625002</v>
      </c>
      <c r="B25">
        <v>0</v>
      </c>
      <c r="C25">
        <f t="shared" si="0"/>
        <v>6.3313996390063673E-7</v>
      </c>
      <c r="D25">
        <f t="shared" si="1"/>
        <v>-6.3313996390063673E-7</v>
      </c>
      <c r="E25">
        <f t="shared" si="2"/>
        <v>4.0086621388809956E-13</v>
      </c>
    </row>
    <row r="26" spans="1:5" x14ac:dyDescent="0.25">
      <c r="A26">
        <v>2.3140421689875001</v>
      </c>
      <c r="B26">
        <v>0</v>
      </c>
      <c r="C26">
        <f t="shared" si="0"/>
        <v>3.0289385912804944E-8</v>
      </c>
      <c r="D26">
        <f t="shared" si="1"/>
        <v>-3.0289385912804944E-8</v>
      </c>
      <c r="E26">
        <f t="shared" si="2"/>
        <v>9.1744689897482665E-16</v>
      </c>
    </row>
    <row r="27" spans="1:5" x14ac:dyDescent="0.25">
      <c r="A27">
        <v>2.4047886007125001</v>
      </c>
      <c r="B27">
        <v>0</v>
      </c>
      <c r="C27">
        <f t="shared" si="0"/>
        <v>9.5842715068463639E-10</v>
      </c>
      <c r="D27">
        <f t="shared" si="1"/>
        <v>-9.5842715068463639E-10</v>
      </c>
      <c r="E27">
        <f t="shared" si="2"/>
        <v>9.1858260316947072E-19</v>
      </c>
    </row>
    <row r="28" spans="1:5" x14ac:dyDescent="0.25">
      <c r="A28">
        <v>2.4955350324375001</v>
      </c>
      <c r="B28">
        <v>0</v>
      </c>
      <c r="C28">
        <f t="shared" si="0"/>
        <v>1.9388794599678016E-11</v>
      </c>
      <c r="D28">
        <f t="shared" si="1"/>
        <v>-1.9388794599678016E-11</v>
      </c>
      <c r="E28">
        <f t="shared" si="2"/>
        <v>3.7592535602850339E-22</v>
      </c>
    </row>
    <row r="29" spans="1:5" x14ac:dyDescent="0.25">
      <c r="A29">
        <v>2.5862814641625</v>
      </c>
      <c r="B29">
        <v>0</v>
      </c>
      <c r="C29">
        <f t="shared" si="0"/>
        <v>2.42026940345067E-13</v>
      </c>
      <c r="D29">
        <f t="shared" si="1"/>
        <v>-2.42026940345067E-13</v>
      </c>
      <c r="E29">
        <f t="shared" si="2"/>
        <v>5.8577039852794619E-26</v>
      </c>
    </row>
    <row r="30" spans="1:5" x14ac:dyDescent="0.25">
      <c r="A30">
        <v>2.6770278958875</v>
      </c>
      <c r="B30">
        <v>0</v>
      </c>
      <c r="C30">
        <f t="shared" si="0"/>
        <v>1.7965896821990069E-15</v>
      </c>
      <c r="D30">
        <f t="shared" si="1"/>
        <v>-1.7965896821990069E-15</v>
      </c>
      <c r="E30">
        <f t="shared" si="2"/>
        <v>3.2277344861839286E-30</v>
      </c>
    </row>
    <row r="31" spans="1:5" x14ac:dyDescent="0.25">
      <c r="A31">
        <v>2.7677743276125</v>
      </c>
      <c r="B31">
        <v>0</v>
      </c>
      <c r="C31">
        <f t="shared" si="0"/>
        <v>7.6315034344155084E-18</v>
      </c>
      <c r="D31">
        <f t="shared" si="1"/>
        <v>-7.6315034344155084E-18</v>
      </c>
      <c r="E31">
        <f t="shared" si="2"/>
        <v>5.8239844669495698E-35</v>
      </c>
    </row>
    <row r="32" spans="1:5" x14ac:dyDescent="0.25">
      <c r="A32">
        <v>2.8585207593375004</v>
      </c>
      <c r="B32">
        <v>0</v>
      </c>
      <c r="C32">
        <f t="shared" si="0"/>
        <v>1.7823915455650979E-20</v>
      </c>
      <c r="D32">
        <f t="shared" si="1"/>
        <v>-1.7823915455650979E-20</v>
      </c>
      <c r="E32">
        <f t="shared" si="2"/>
        <v>3.1769196217019382E-40</v>
      </c>
    </row>
    <row r="33" spans="1:5" x14ac:dyDescent="0.25">
      <c r="A33">
        <v>2.9492671910624999</v>
      </c>
      <c r="B33">
        <v>0</v>
      </c>
      <c r="C33">
        <f t="shared" si="0"/>
        <v>2.1960137455783629E-23</v>
      </c>
      <c r="D33">
        <f t="shared" si="1"/>
        <v>-2.1960137455783629E-23</v>
      </c>
      <c r="E33">
        <f t="shared" si="2"/>
        <v>4.8224763707691112E-46</v>
      </c>
    </row>
    <row r="34" spans="1:5" x14ac:dyDescent="0.25">
      <c r="A34">
        <v>3.0400136227874999</v>
      </c>
      <c r="B34">
        <v>0</v>
      </c>
      <c r="C34">
        <f t="shared" si="0"/>
        <v>1.3672989994768929E-26</v>
      </c>
      <c r="D34">
        <f t="shared" si="1"/>
        <v>-1.3672989994768929E-26</v>
      </c>
      <c r="E34">
        <f t="shared" si="2"/>
        <v>1.8695065539705123E-52</v>
      </c>
    </row>
    <row r="35" spans="1:5" x14ac:dyDescent="0.25">
      <c r="A35">
        <v>3.1307600545124998</v>
      </c>
      <c r="B35">
        <v>0</v>
      </c>
      <c r="C35">
        <f t="shared" si="0"/>
        <v>4.1152427652824705E-30</v>
      </c>
      <c r="D35">
        <f t="shared" si="1"/>
        <v>-4.1152427652824705E-30</v>
      </c>
      <c r="E35">
        <f t="shared" si="2"/>
        <v>1.6935223017209714E-59</v>
      </c>
    </row>
    <row r="36" spans="1:5" x14ac:dyDescent="0.25">
      <c r="A36">
        <v>3.2215064862375002</v>
      </c>
      <c r="B36">
        <v>0</v>
      </c>
      <c r="C36">
        <f t="shared" si="0"/>
        <v>5.7185554907171485E-34</v>
      </c>
      <c r="D36">
        <f t="shared" si="1"/>
        <v>-5.7185554907171485E-34</v>
      </c>
      <c r="E36">
        <f t="shared" si="2"/>
        <v>3.2701876900411247E-67</v>
      </c>
    </row>
    <row r="37" spans="1:5" x14ac:dyDescent="0.25">
      <c r="A37">
        <v>3.3122529179625002</v>
      </c>
      <c r="B37">
        <v>0</v>
      </c>
      <c r="C37">
        <f t="shared" si="0"/>
        <v>3.49895822027596E-38</v>
      </c>
      <c r="D37">
        <f t="shared" si="1"/>
        <v>-3.49895822027596E-38</v>
      </c>
      <c r="E37">
        <f t="shared" si="2"/>
        <v>1.2242708627236714E-75</v>
      </c>
    </row>
    <row r="38" spans="1:5" x14ac:dyDescent="0.25">
      <c r="A38">
        <v>3.4029993496874997</v>
      </c>
      <c r="B38">
        <v>0</v>
      </c>
      <c r="C38">
        <f t="shared" si="0"/>
        <v>8.9763829016293752E-43</v>
      </c>
      <c r="D38">
        <f t="shared" si="1"/>
        <v>-8.9763829016293752E-43</v>
      </c>
      <c r="E38">
        <f t="shared" si="2"/>
        <v>8.0575449996664197E-85</v>
      </c>
    </row>
    <row r="39" spans="1:5" x14ac:dyDescent="0.25">
      <c r="A39">
        <v>3.4937457814124997</v>
      </c>
      <c r="B39">
        <v>0</v>
      </c>
      <c r="C39">
        <f t="shared" si="0"/>
        <v>9.1805277133013719E-48</v>
      </c>
      <c r="D39">
        <f t="shared" si="1"/>
        <v>-9.1805277133013719E-48</v>
      </c>
      <c r="E39">
        <f t="shared" si="2"/>
        <v>8.4282089094694518E-95</v>
      </c>
    </row>
    <row r="40" spans="1:5" x14ac:dyDescent="0.25">
      <c r="A40">
        <v>3.5844922131375001</v>
      </c>
      <c r="B40">
        <v>6.9232374442476869E-4</v>
      </c>
      <c r="C40">
        <f t="shared" si="0"/>
        <v>3.5536496352371263E-53</v>
      </c>
      <c r="D40">
        <f t="shared" si="1"/>
        <v>6.9232374442476869E-4</v>
      </c>
      <c r="E40">
        <f t="shared" si="2"/>
        <v>4.7931216709433247E-7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6FA2-4D1D-440D-9DFC-6F2237BE72E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0.43529048931250003</v>
      </c>
      <c r="B1">
        <v>1.2628098919652168E-2</v>
      </c>
      <c r="C1">
        <f>$H$3*(1+$H$1)*(A1^($H$1))*EXP(-$H$3*(A1^(1+$H$1)))</f>
        <v>0.11650747116315849</v>
      </c>
      <c r="D1">
        <f>B1-C1</f>
        <v>-0.10387937224350632</v>
      </c>
      <c r="E1">
        <f>D1^2</f>
        <v>1.0790923977704953E-2</v>
      </c>
      <c r="G1" t="s">
        <v>0</v>
      </c>
      <c r="H1">
        <v>3.9926242688787759</v>
      </c>
    </row>
    <row r="2" spans="1:8" x14ac:dyDescent="0.25">
      <c r="A2">
        <v>0.51491691793750005</v>
      </c>
      <c r="B2">
        <v>7.9714874430304311E-2</v>
      </c>
      <c r="C2">
        <f t="shared" ref="C2:C40" si="0">$H$3*(1+$H$1)*(A2^($H$1))*EXP(-$H$3*(A2^(1+$H$1)))</f>
        <v>0.22479865161893467</v>
      </c>
      <c r="D2">
        <f t="shared" ref="D2:D40" si="1">B2-C2</f>
        <v>-0.14508377718863036</v>
      </c>
      <c r="E2">
        <f t="shared" ref="E2:E40" si="2">D2^2</f>
        <v>2.104930240332014E-2</v>
      </c>
    </row>
    <row r="3" spans="1:8" x14ac:dyDescent="0.25">
      <c r="A3">
        <v>0.59454334656250007</v>
      </c>
      <c r="B3">
        <v>0.3172809853562607</v>
      </c>
      <c r="C3">
        <f t="shared" si="0"/>
        <v>0.38930614384298973</v>
      </c>
      <c r="D3">
        <f t="shared" si="1"/>
        <v>-7.2025158486729024E-2</v>
      </c>
      <c r="E3">
        <f t="shared" si="2"/>
        <v>5.1876234550384337E-3</v>
      </c>
      <c r="G3" t="s">
        <v>1</v>
      </c>
      <c r="H3">
        <f>(_xlfn.GAMMA((2+$H$1)/(1+$H$1)))^(1+$H$1)</f>
        <v>0.65268095430194006</v>
      </c>
    </row>
    <row r="4" spans="1:8" x14ac:dyDescent="0.25">
      <c r="A4">
        <v>0.6741697751875001</v>
      </c>
      <c r="B4">
        <v>0.68586362257360833</v>
      </c>
      <c r="C4">
        <f t="shared" si="0"/>
        <v>0.61628139723938291</v>
      </c>
      <c r="D4">
        <f t="shared" si="1"/>
        <v>6.9582225334225423E-2</v>
      </c>
      <c r="E4">
        <f t="shared" si="2"/>
        <v>4.8416860824629223E-3</v>
      </c>
    </row>
    <row r="5" spans="1:8" x14ac:dyDescent="0.25">
      <c r="A5">
        <v>0.75379620381250001</v>
      </c>
      <c r="B5">
        <v>1.1436322084109996</v>
      </c>
      <c r="C5">
        <f t="shared" si="0"/>
        <v>0.89912886757782251</v>
      </c>
      <c r="D5">
        <f t="shared" si="1"/>
        <v>0.24450334083317704</v>
      </c>
      <c r="E5">
        <f t="shared" si="2"/>
        <v>5.9781883678584738E-2</v>
      </c>
      <c r="G5" t="s">
        <v>2</v>
      </c>
      <c r="H5">
        <f>SUM(E1:E40)</f>
        <v>0.42616727680240585</v>
      </c>
    </row>
    <row r="6" spans="1:8" x14ac:dyDescent="0.25">
      <c r="A6">
        <v>0.83342263243750003</v>
      </c>
      <c r="B6">
        <v>1.4956404657963036</v>
      </c>
      <c r="C6">
        <f t="shared" si="0"/>
        <v>1.2104471337452574</v>
      </c>
      <c r="D6">
        <f t="shared" si="1"/>
        <v>0.28519333205104624</v>
      </c>
      <c r="E6">
        <f t="shared" si="2"/>
        <v>8.1335236646378317E-2</v>
      </c>
    </row>
    <row r="7" spans="1:8" x14ac:dyDescent="0.25">
      <c r="A7">
        <v>0.91304906106250006</v>
      </c>
      <c r="B7">
        <v>1.7979255836854775</v>
      </c>
      <c r="C7">
        <f t="shared" si="0"/>
        <v>1.4972976736808445</v>
      </c>
      <c r="D7">
        <f t="shared" si="1"/>
        <v>0.30062791000463296</v>
      </c>
      <c r="E7">
        <f t="shared" si="2"/>
        <v>9.0377140273753695E-2</v>
      </c>
    </row>
    <row r="8" spans="1:8" x14ac:dyDescent="0.25">
      <c r="A8">
        <v>0.99267548968750008</v>
      </c>
      <c r="B8">
        <v>1.7410991385470427</v>
      </c>
      <c r="C8">
        <f t="shared" si="0"/>
        <v>1.6867158545480754</v>
      </c>
      <c r="D8">
        <f t="shared" si="1"/>
        <v>5.4383283998967302E-2</v>
      </c>
      <c r="E8">
        <f t="shared" si="2"/>
        <v>2.9575415785123328E-3</v>
      </c>
    </row>
    <row r="9" spans="1:8" x14ac:dyDescent="0.25">
      <c r="A9">
        <v>1.0723019183125002</v>
      </c>
      <c r="B9">
        <v>1.6140288931680427</v>
      </c>
      <c r="C9">
        <f t="shared" si="0"/>
        <v>1.7077535890128992</v>
      </c>
      <c r="D9">
        <f t="shared" si="1"/>
        <v>-9.3724695844856543E-2</v>
      </c>
      <c r="E9">
        <f t="shared" si="2"/>
        <v>8.7843186112108694E-3</v>
      </c>
    </row>
    <row r="10" spans="1:8" x14ac:dyDescent="0.25">
      <c r="A10">
        <v>1.1519283469375001</v>
      </c>
      <c r="B10">
        <v>1.2809627841622169</v>
      </c>
      <c r="C10">
        <f t="shared" si="0"/>
        <v>1.5273945875178077</v>
      </c>
      <c r="D10">
        <f t="shared" si="1"/>
        <v>-0.24643180335559078</v>
      </c>
      <c r="E10">
        <f t="shared" si="2"/>
        <v>6.0728633705088568E-2</v>
      </c>
    </row>
    <row r="11" spans="1:8" x14ac:dyDescent="0.25">
      <c r="A11">
        <v>1.2315547755625003</v>
      </c>
      <c r="B11">
        <v>0.94631816279143433</v>
      </c>
      <c r="C11">
        <f t="shared" si="0"/>
        <v>1.1812433430695091</v>
      </c>
      <c r="D11">
        <f t="shared" si="1"/>
        <v>-0.23492518027807474</v>
      </c>
      <c r="E11">
        <f t="shared" si="2"/>
        <v>5.5189840328685916E-2</v>
      </c>
    </row>
    <row r="12" spans="1:8" x14ac:dyDescent="0.25">
      <c r="A12">
        <v>1.3111812041875002</v>
      </c>
      <c r="B12">
        <v>0.6321942021650867</v>
      </c>
      <c r="C12">
        <f t="shared" si="0"/>
        <v>0.77003220341487777</v>
      </c>
      <c r="D12">
        <f t="shared" si="1"/>
        <v>-0.13783800124979106</v>
      </c>
      <c r="E12">
        <f t="shared" si="2"/>
        <v>1.8999314588537403E-2</v>
      </c>
    </row>
    <row r="13" spans="1:8" x14ac:dyDescent="0.25">
      <c r="A13">
        <v>1.3908076328125001</v>
      </c>
      <c r="B13">
        <v>0.41041321488869548</v>
      </c>
      <c r="C13">
        <f t="shared" si="0"/>
        <v>0.41070420114952283</v>
      </c>
      <c r="D13">
        <f t="shared" si="1"/>
        <v>-2.9098626082735279E-4</v>
      </c>
      <c r="E13">
        <f t="shared" si="2"/>
        <v>8.4673003990284196E-8</v>
      </c>
    </row>
    <row r="14" spans="1:8" x14ac:dyDescent="0.25">
      <c r="A14">
        <v>1.4704340614375</v>
      </c>
      <c r="B14">
        <v>0.2138884254516086</v>
      </c>
      <c r="C14">
        <f t="shared" si="0"/>
        <v>0.17320235562091107</v>
      </c>
      <c r="D14">
        <f t="shared" si="1"/>
        <v>4.068606983069753E-2</v>
      </c>
      <c r="E14">
        <f t="shared" si="2"/>
        <v>1.6553562782683957E-3</v>
      </c>
    </row>
    <row r="15" spans="1:8" x14ac:dyDescent="0.25">
      <c r="A15">
        <v>1.5500604900625001</v>
      </c>
      <c r="B15">
        <v>0.10418181608713038</v>
      </c>
      <c r="C15">
        <f t="shared" si="0"/>
        <v>5.5557693583100767E-2</v>
      </c>
      <c r="D15">
        <f t="shared" si="1"/>
        <v>4.8624122504029615E-2</v>
      </c>
      <c r="E15">
        <f t="shared" si="2"/>
        <v>2.3643052892868793E-3</v>
      </c>
    </row>
    <row r="16" spans="1:8" x14ac:dyDescent="0.25">
      <c r="A16">
        <v>1.6296869186875003</v>
      </c>
      <c r="B16">
        <v>5.5247932773478232E-2</v>
      </c>
      <c r="C16">
        <f t="shared" si="0"/>
        <v>1.2977330781042719E-2</v>
      </c>
      <c r="D16">
        <f t="shared" si="1"/>
        <v>4.2270601992435514E-2</v>
      </c>
      <c r="E16">
        <f t="shared" si="2"/>
        <v>1.7868037928028932E-3</v>
      </c>
    </row>
    <row r="17" spans="1:5" x14ac:dyDescent="0.25">
      <c r="A17">
        <v>1.7093133473125</v>
      </c>
      <c r="B17">
        <v>1.9731404561956514E-2</v>
      </c>
      <c r="C17">
        <f t="shared" si="0"/>
        <v>2.1027924822128864E-3</v>
      </c>
      <c r="D17">
        <f t="shared" si="1"/>
        <v>1.7628612079743627E-2</v>
      </c>
      <c r="E17">
        <f t="shared" si="2"/>
        <v>3.1076796385808291E-4</v>
      </c>
    </row>
    <row r="18" spans="1:5" x14ac:dyDescent="0.25">
      <c r="A18">
        <v>1.7889397759375001</v>
      </c>
      <c r="B18">
        <v>4.7355370948695633E-3</v>
      </c>
      <c r="C18">
        <f t="shared" si="0"/>
        <v>2.2399442899300335E-4</v>
      </c>
      <c r="D18">
        <f t="shared" si="1"/>
        <v>4.51154266587656E-3</v>
      </c>
      <c r="E18">
        <f t="shared" si="2"/>
        <v>2.0354017226024577E-5</v>
      </c>
    </row>
    <row r="19" spans="1:5" x14ac:dyDescent="0.25">
      <c r="A19">
        <v>1.8685662045625002</v>
      </c>
      <c r="B19">
        <v>2.3677685474347817E-3</v>
      </c>
      <c r="C19">
        <f t="shared" si="0"/>
        <v>1.4784688925610603E-5</v>
      </c>
      <c r="D19">
        <f t="shared" si="1"/>
        <v>2.3529838585091712E-3</v>
      </c>
      <c r="E19">
        <f t="shared" si="2"/>
        <v>5.5365330384047073E-6</v>
      </c>
    </row>
    <row r="20" spans="1:5" x14ac:dyDescent="0.25">
      <c r="A20">
        <v>1.9481926331875001</v>
      </c>
      <c r="B20">
        <v>0</v>
      </c>
      <c r="C20">
        <f t="shared" si="0"/>
        <v>5.6672438876400505E-7</v>
      </c>
      <c r="D20">
        <f t="shared" si="1"/>
        <v>-5.6672438876400505E-7</v>
      </c>
      <c r="E20">
        <f t="shared" si="2"/>
        <v>3.2117653281993515E-13</v>
      </c>
    </row>
    <row r="21" spans="1:5" x14ac:dyDescent="0.25">
      <c r="A21">
        <v>2.0278190618125</v>
      </c>
      <c r="B21">
        <v>0</v>
      </c>
      <c r="C21">
        <f t="shared" si="0"/>
        <v>1.1754741288345432E-8</v>
      </c>
      <c r="D21">
        <f t="shared" si="1"/>
        <v>-1.1754741288345432E-8</v>
      </c>
      <c r="E21">
        <f t="shared" si="2"/>
        <v>1.3817394275593285E-16</v>
      </c>
    </row>
    <row r="22" spans="1:5" x14ac:dyDescent="0.25">
      <c r="A22">
        <v>2.1074454904375006</v>
      </c>
      <c r="B22">
        <v>0</v>
      </c>
      <c r="C22">
        <f t="shared" si="0"/>
        <v>1.221735975039006E-10</v>
      </c>
      <c r="D22">
        <f t="shared" si="1"/>
        <v>-1.221735975039006E-10</v>
      </c>
      <c r="E22">
        <f t="shared" si="2"/>
        <v>1.4926387927045107E-20</v>
      </c>
    </row>
    <row r="23" spans="1:5" x14ac:dyDescent="0.25">
      <c r="A23">
        <v>2.1870719190625003</v>
      </c>
      <c r="B23">
        <v>0</v>
      </c>
      <c r="C23">
        <f t="shared" si="0"/>
        <v>5.8553001677594835E-13</v>
      </c>
      <c r="D23">
        <f t="shared" si="1"/>
        <v>-5.8553001677594835E-13</v>
      </c>
      <c r="E23">
        <f t="shared" si="2"/>
        <v>3.4284540054564236E-25</v>
      </c>
    </row>
    <row r="24" spans="1:5" x14ac:dyDescent="0.25">
      <c r="A24">
        <v>2.2666983476875</v>
      </c>
      <c r="B24">
        <v>0</v>
      </c>
      <c r="C24">
        <f t="shared" si="0"/>
        <v>1.1829127060251743E-15</v>
      </c>
      <c r="D24">
        <f t="shared" si="1"/>
        <v>-1.1829127060251743E-15</v>
      </c>
      <c r="E24">
        <f t="shared" si="2"/>
        <v>1.3992824700758004E-30</v>
      </c>
    </row>
    <row r="25" spans="1:5" x14ac:dyDescent="0.25">
      <c r="A25">
        <v>2.3463247763125001</v>
      </c>
      <c r="B25">
        <v>0</v>
      </c>
      <c r="C25">
        <f t="shared" si="0"/>
        <v>9.1463640124427362E-19</v>
      </c>
      <c r="D25">
        <f t="shared" si="1"/>
        <v>-9.1463640124427362E-19</v>
      </c>
      <c r="E25">
        <f t="shared" si="2"/>
        <v>8.3655974648107593E-37</v>
      </c>
    </row>
    <row r="26" spans="1:5" x14ac:dyDescent="0.25">
      <c r="A26">
        <v>2.4259512049375003</v>
      </c>
      <c r="B26">
        <v>0</v>
      </c>
      <c r="C26">
        <f t="shared" si="0"/>
        <v>2.4402221604863428E-22</v>
      </c>
      <c r="D26">
        <f t="shared" si="1"/>
        <v>-2.4402221604863428E-22</v>
      </c>
      <c r="E26">
        <f t="shared" si="2"/>
        <v>5.9546841925286341E-44</v>
      </c>
    </row>
    <row r="27" spans="1:5" x14ac:dyDescent="0.25">
      <c r="A27">
        <v>2.5055776335625004</v>
      </c>
      <c r="B27">
        <v>0</v>
      </c>
      <c r="C27">
        <f t="shared" si="0"/>
        <v>2.0105560390383126E-26</v>
      </c>
      <c r="D27">
        <f t="shared" si="1"/>
        <v>-2.0105560390383126E-26</v>
      </c>
      <c r="E27">
        <f t="shared" si="2"/>
        <v>4.0423355861134287E-52</v>
      </c>
    </row>
    <row r="28" spans="1:5" x14ac:dyDescent="0.25">
      <c r="A28">
        <v>2.5852040621875005</v>
      </c>
      <c r="B28">
        <v>0</v>
      </c>
      <c r="C28">
        <f t="shared" si="0"/>
        <v>4.5441546335130028E-31</v>
      </c>
      <c r="D28">
        <f t="shared" si="1"/>
        <v>-4.5441546335130028E-31</v>
      </c>
      <c r="E28">
        <f t="shared" si="2"/>
        <v>2.0649341333277693E-61</v>
      </c>
    </row>
    <row r="29" spans="1:5" x14ac:dyDescent="0.25">
      <c r="A29">
        <v>2.6648304908125002</v>
      </c>
      <c r="B29">
        <v>0</v>
      </c>
      <c r="C29">
        <f t="shared" si="0"/>
        <v>2.4831488989287854E-36</v>
      </c>
      <c r="D29">
        <f t="shared" si="1"/>
        <v>-2.4831488989287854E-36</v>
      </c>
      <c r="E29">
        <f t="shared" si="2"/>
        <v>6.1660284542512395E-72</v>
      </c>
    </row>
    <row r="30" spans="1:5" x14ac:dyDescent="0.25">
      <c r="A30">
        <v>2.7444569194374999</v>
      </c>
      <c r="B30">
        <v>0</v>
      </c>
      <c r="C30">
        <f t="shared" si="0"/>
        <v>2.8684098048412368E-42</v>
      </c>
      <c r="D30">
        <f t="shared" si="1"/>
        <v>-2.8684098048412368E-42</v>
      </c>
      <c r="E30">
        <f t="shared" si="2"/>
        <v>8.2277748085093423E-84</v>
      </c>
    </row>
    <row r="31" spans="1:5" x14ac:dyDescent="0.25">
      <c r="A31">
        <v>2.8240833480625005</v>
      </c>
      <c r="B31">
        <v>0</v>
      </c>
      <c r="C31">
        <f t="shared" si="0"/>
        <v>6.0736899093501145E-49</v>
      </c>
      <c r="D31">
        <f t="shared" si="1"/>
        <v>-6.0736899093501145E-49</v>
      </c>
      <c r="E31">
        <f t="shared" si="2"/>
        <v>3.6889709114941401E-97</v>
      </c>
    </row>
    <row r="32" spans="1:5" x14ac:dyDescent="0.25">
      <c r="A32">
        <v>2.9037097766875002</v>
      </c>
      <c r="B32">
        <v>0</v>
      </c>
      <c r="C32">
        <f t="shared" si="0"/>
        <v>2.0268613438652955E-56</v>
      </c>
      <c r="D32">
        <f t="shared" si="1"/>
        <v>-2.0268613438652955E-56</v>
      </c>
      <c r="E32">
        <f t="shared" si="2"/>
        <v>4.1081669072554315E-112</v>
      </c>
    </row>
    <row r="33" spans="1:5" x14ac:dyDescent="0.25">
      <c r="A33">
        <v>2.9833362053124999</v>
      </c>
      <c r="B33">
        <v>0</v>
      </c>
      <c r="C33">
        <f t="shared" si="0"/>
        <v>9.085312436181958E-65</v>
      </c>
      <c r="D33">
        <f t="shared" si="1"/>
        <v>-9.085312436181958E-65</v>
      </c>
      <c r="E33">
        <f t="shared" si="2"/>
        <v>8.2542902063042548E-129</v>
      </c>
    </row>
    <row r="34" spans="1:5" x14ac:dyDescent="0.25">
      <c r="A34">
        <v>3.0629626339374996</v>
      </c>
      <c r="B34">
        <v>0</v>
      </c>
      <c r="C34">
        <f t="shared" si="0"/>
        <v>4.6203654019932027E-74</v>
      </c>
      <c r="D34">
        <f t="shared" si="1"/>
        <v>-4.6203654019932027E-74</v>
      </c>
      <c r="E34">
        <f t="shared" si="2"/>
        <v>2.134777644793581E-147</v>
      </c>
    </row>
    <row r="35" spans="1:5" x14ac:dyDescent="0.25">
      <c r="A35">
        <v>3.1425890625625001</v>
      </c>
      <c r="B35">
        <v>0</v>
      </c>
      <c r="C35">
        <f t="shared" si="0"/>
        <v>2.2309809577459508E-84</v>
      </c>
      <c r="D35">
        <f t="shared" si="1"/>
        <v>-2.2309809577459508E-84</v>
      </c>
      <c r="E35">
        <f t="shared" si="2"/>
        <v>4.9772760338250398E-168</v>
      </c>
    </row>
    <row r="36" spans="1:5" x14ac:dyDescent="0.25">
      <c r="A36">
        <v>3.2222154911875003</v>
      </c>
      <c r="B36">
        <v>0</v>
      </c>
      <c r="C36">
        <f t="shared" si="0"/>
        <v>8.4789390216549336E-96</v>
      </c>
      <c r="D36">
        <f t="shared" si="1"/>
        <v>-8.4789390216549336E-96</v>
      </c>
      <c r="E36">
        <f t="shared" si="2"/>
        <v>7.1892406932942717E-191</v>
      </c>
    </row>
    <row r="37" spans="1:5" x14ac:dyDescent="0.25">
      <c r="A37">
        <v>3.3018419198125004</v>
      </c>
      <c r="B37">
        <v>0</v>
      </c>
      <c r="C37">
        <f t="shared" si="0"/>
        <v>2.0822417923625611E-108</v>
      </c>
      <c r="D37">
        <f t="shared" si="1"/>
        <v>-2.0822417923625611E-108</v>
      </c>
      <c r="E37">
        <f t="shared" si="2"/>
        <v>4.3357308818612511E-216</v>
      </c>
    </row>
    <row r="38" spans="1:5" x14ac:dyDescent="0.25">
      <c r="A38">
        <v>3.3814683484375001</v>
      </c>
      <c r="B38">
        <v>0</v>
      </c>
      <c r="C38">
        <f t="shared" si="0"/>
        <v>2.6856648918309289E-122</v>
      </c>
      <c r="D38">
        <f t="shared" si="1"/>
        <v>-2.6856648918309289E-122</v>
      </c>
      <c r="E38">
        <f t="shared" si="2"/>
        <v>7.2127959112132344E-244</v>
      </c>
    </row>
    <row r="39" spans="1:5" x14ac:dyDescent="0.25">
      <c r="A39">
        <v>3.4610947770625002</v>
      </c>
      <c r="B39">
        <v>0</v>
      </c>
      <c r="C39">
        <f t="shared" si="0"/>
        <v>1.4637060874779697E-137</v>
      </c>
      <c r="D39">
        <f t="shared" si="1"/>
        <v>-1.4637060874779697E-137</v>
      </c>
      <c r="E39">
        <f t="shared" si="2"/>
        <v>2.1424355105200658E-274</v>
      </c>
    </row>
    <row r="40" spans="1:5" x14ac:dyDescent="0.25">
      <c r="A40">
        <v>3.5407212056875004</v>
      </c>
      <c r="B40">
        <v>7.8925618247826048E-4</v>
      </c>
      <c r="C40">
        <f t="shared" si="0"/>
        <v>2.6837699096660983E-154</v>
      </c>
      <c r="D40">
        <f t="shared" si="1"/>
        <v>7.8925618247826048E-4</v>
      </c>
      <c r="E40">
        <f t="shared" si="2"/>
        <v>6.2292532158015717E-7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1AB6-BF9B-4B6F-BCE1-45A64235D57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4.2224278125E-2</v>
      </c>
      <c r="B1">
        <v>1.712809977409166E-2</v>
      </c>
      <c r="C1">
        <f>$H$3*(1+$H$1)*(A1^($H$1))*EXP(-$H$3*(A1^(1+$H$1)))</f>
        <v>2.5079560494171124E-8</v>
      </c>
      <c r="D1">
        <f>B1-C1</f>
        <v>1.7128074694531165E-2</v>
      </c>
      <c r="E1">
        <f>D1^2</f>
        <v>2.9337094274143889E-4</v>
      </c>
      <c r="G1" t="s">
        <v>0</v>
      </c>
      <c r="H1">
        <v>5.9971603911280509</v>
      </c>
    </row>
    <row r="2" spans="1:8" x14ac:dyDescent="0.25">
      <c r="A2">
        <v>0.12649303437500001</v>
      </c>
      <c r="B2">
        <v>0</v>
      </c>
      <c r="C2">
        <f t="shared" ref="C2:C40" si="0">$H$3*(1+$H$1)*(A2^($H$1))*EXP(-$H$3*(A2^(1+$H$1)))</f>
        <v>1.8071448192881432E-5</v>
      </c>
      <c r="D2">
        <f t="shared" ref="D2:D40" si="1">B2-C2</f>
        <v>-1.8071448192881432E-5</v>
      </c>
      <c r="E2">
        <f t="shared" ref="E2:E40" si="2">D2^2</f>
        <v>3.2657723978799757E-10</v>
      </c>
    </row>
    <row r="3" spans="1:8" x14ac:dyDescent="0.25">
      <c r="A3">
        <v>0.210761790625</v>
      </c>
      <c r="B3">
        <v>0</v>
      </c>
      <c r="C3">
        <f t="shared" si="0"/>
        <v>3.8610910978294677E-4</v>
      </c>
      <c r="D3">
        <f t="shared" si="1"/>
        <v>-3.8610910978294677E-4</v>
      </c>
      <c r="E3">
        <f t="shared" si="2"/>
        <v>1.4908024465737964E-7</v>
      </c>
      <c r="G3" t="s">
        <v>1</v>
      </c>
      <c r="H3">
        <f>(_xlfn.GAMMA((2+$H$1)/(1+$H$1)))^(1+$H$1)</f>
        <v>0.62678966326777197</v>
      </c>
    </row>
    <row r="4" spans="1:8" x14ac:dyDescent="0.25">
      <c r="A4">
        <v>0.29503054687499997</v>
      </c>
      <c r="B4">
        <v>0</v>
      </c>
      <c r="C4">
        <f t="shared" si="0"/>
        <v>2.902002509732994E-3</v>
      </c>
      <c r="D4">
        <f t="shared" si="1"/>
        <v>-2.902002509732994E-3</v>
      </c>
      <c r="E4">
        <f t="shared" si="2"/>
        <v>8.4216185664965957E-6</v>
      </c>
    </row>
    <row r="5" spans="1:8" x14ac:dyDescent="0.25">
      <c r="A5">
        <v>0.37929930312499999</v>
      </c>
      <c r="B5">
        <v>0</v>
      </c>
      <c r="C5">
        <f t="shared" si="0"/>
        <v>1.3086489107911199E-2</v>
      </c>
      <c r="D5">
        <f t="shared" si="1"/>
        <v>-1.3086489107911199E-2</v>
      </c>
      <c r="E5">
        <f t="shared" si="2"/>
        <v>1.7125619717147845E-4</v>
      </c>
      <c r="G5" t="s">
        <v>2</v>
      </c>
      <c r="H5">
        <f>SUM(E1:E40)</f>
        <v>0.69537642563151292</v>
      </c>
    </row>
    <row r="6" spans="1:8" x14ac:dyDescent="0.25">
      <c r="A6">
        <v>0.46356805937500001</v>
      </c>
      <c r="B6">
        <v>0</v>
      </c>
      <c r="C6">
        <f t="shared" si="0"/>
        <v>4.3492840818026554E-2</v>
      </c>
      <c r="D6">
        <f t="shared" si="1"/>
        <v>-4.3492840818026554E-2</v>
      </c>
      <c r="E6">
        <f t="shared" si="2"/>
        <v>1.8916272024221967E-3</v>
      </c>
    </row>
    <row r="7" spans="1:8" x14ac:dyDescent="0.25">
      <c r="A7">
        <v>0.54783681562499997</v>
      </c>
      <c r="B7">
        <v>5.2128999312452875E-3</v>
      </c>
      <c r="C7">
        <f t="shared" si="0"/>
        <v>0.11766700314751648</v>
      </c>
      <c r="D7">
        <f t="shared" si="1"/>
        <v>-0.1124541032162712</v>
      </c>
      <c r="E7">
        <f t="shared" si="2"/>
        <v>1.2645925330175776E-2</v>
      </c>
    </row>
    <row r="8" spans="1:8" x14ac:dyDescent="0.25">
      <c r="A8">
        <v>0.63210557187499994</v>
      </c>
      <c r="B8">
        <v>9.8300398703482561E-2</v>
      </c>
      <c r="C8">
        <f t="shared" si="0"/>
        <v>0.27312220428721462</v>
      </c>
      <c r="D8">
        <f t="shared" si="1"/>
        <v>-0.17482180558373206</v>
      </c>
      <c r="E8">
        <f t="shared" si="2"/>
        <v>3.0562663707556208E-2</v>
      </c>
    </row>
    <row r="9" spans="1:8" x14ac:dyDescent="0.25">
      <c r="A9">
        <v>0.71637432812500001</v>
      </c>
      <c r="B9">
        <v>0.51905589315399503</v>
      </c>
      <c r="C9">
        <f t="shared" si="0"/>
        <v>0.55835923163247092</v>
      </c>
      <c r="D9">
        <f t="shared" si="1"/>
        <v>-3.9303338478475891E-2</v>
      </c>
      <c r="E9">
        <f t="shared" si="2"/>
        <v>1.5447524155536435E-3</v>
      </c>
    </row>
    <row r="10" spans="1:8" x14ac:dyDescent="0.25">
      <c r="A10">
        <v>0.80064308437499998</v>
      </c>
      <c r="B10">
        <v>1.2741816831943837</v>
      </c>
      <c r="C10">
        <f t="shared" si="0"/>
        <v>1.012759872670844</v>
      </c>
      <c r="D10">
        <f t="shared" si="1"/>
        <v>0.26142181052353974</v>
      </c>
      <c r="E10">
        <f t="shared" si="2"/>
        <v>6.834136301740551E-2</v>
      </c>
    </row>
    <row r="11" spans="1:8" x14ac:dyDescent="0.25">
      <c r="A11">
        <v>0.88491184062500006</v>
      </c>
      <c r="B11">
        <v>2.0464355730088641</v>
      </c>
      <c r="C11">
        <f t="shared" si="0"/>
        <v>1.6139429781056436</v>
      </c>
      <c r="D11">
        <f t="shared" si="1"/>
        <v>0.43249259490322056</v>
      </c>
      <c r="E11">
        <f t="shared" si="2"/>
        <v>0.18704984464612123</v>
      </c>
    </row>
    <row r="12" spans="1:8" x14ac:dyDescent="0.25">
      <c r="A12">
        <v>0.96918059687500002</v>
      </c>
      <c r="B12">
        <v>2.5245329667030747</v>
      </c>
      <c r="C12">
        <f t="shared" si="0"/>
        <v>2.1970822165464834</v>
      </c>
      <c r="D12">
        <f t="shared" si="1"/>
        <v>0.32745075015659131</v>
      </c>
      <c r="E12">
        <f t="shared" si="2"/>
        <v>0.10722399377811438</v>
      </c>
    </row>
    <row r="13" spans="1:8" x14ac:dyDescent="0.25">
      <c r="A13">
        <v>1.053449353125</v>
      </c>
      <c r="B13">
        <v>2.2430363704158292</v>
      </c>
      <c r="C13">
        <f t="shared" si="0"/>
        <v>2.4310586550687239</v>
      </c>
      <c r="D13">
        <f t="shared" si="1"/>
        <v>-0.18802228465289472</v>
      </c>
      <c r="E13">
        <f t="shared" si="2"/>
        <v>3.5352379526094171E-2</v>
      </c>
    </row>
    <row r="14" spans="1:8" x14ac:dyDescent="0.25">
      <c r="A14">
        <v>1.137718109375</v>
      </c>
      <c r="B14">
        <v>1.5832321791182116</v>
      </c>
      <c r="C14">
        <f t="shared" si="0"/>
        <v>2.0261873915097603</v>
      </c>
      <c r="D14">
        <f t="shared" si="1"/>
        <v>-0.44295521239154878</v>
      </c>
      <c r="E14">
        <f t="shared" si="2"/>
        <v>0.19620932018484208</v>
      </c>
    </row>
    <row r="15" spans="1:8" x14ac:dyDescent="0.25">
      <c r="A15">
        <v>1.2219868656249999</v>
      </c>
      <c r="B15">
        <v>0.93608788765361806</v>
      </c>
      <c r="C15">
        <f t="shared" si="0"/>
        <v>1.1409172658290601</v>
      </c>
      <c r="D15">
        <f t="shared" si="1"/>
        <v>-0.204829378175442</v>
      </c>
      <c r="E15">
        <f t="shared" si="2"/>
        <v>4.1955074163738233E-2</v>
      </c>
    </row>
    <row r="16" spans="1:8" x14ac:dyDescent="0.25">
      <c r="A16">
        <v>1.3062556218750001</v>
      </c>
      <c r="B16">
        <v>0.42596839438175776</v>
      </c>
      <c r="C16">
        <f t="shared" si="0"/>
        <v>0.37390795138489186</v>
      </c>
      <c r="D16">
        <f t="shared" si="1"/>
        <v>5.2060442996865908E-2</v>
      </c>
      <c r="E16">
        <f t="shared" si="2"/>
        <v>2.7102897250299244E-3</v>
      </c>
    </row>
    <row r="17" spans="1:5" x14ac:dyDescent="0.25">
      <c r="A17">
        <v>1.3905243781249998</v>
      </c>
      <c r="B17">
        <v>0.14893999803557964</v>
      </c>
      <c r="C17">
        <f t="shared" si="0"/>
        <v>5.8481062442556193E-2</v>
      </c>
      <c r="D17">
        <f t="shared" si="1"/>
        <v>9.0458935593023454E-2</v>
      </c>
      <c r="E17">
        <f t="shared" si="2"/>
        <v>8.1828190286227648E-3</v>
      </c>
    </row>
    <row r="18" spans="1:5" x14ac:dyDescent="0.25">
      <c r="A18">
        <v>1.474793134375</v>
      </c>
      <c r="B18">
        <v>3.797969949907281E-2</v>
      </c>
      <c r="C18">
        <f t="shared" si="0"/>
        <v>3.3713480696113828E-3</v>
      </c>
      <c r="D18">
        <f t="shared" si="1"/>
        <v>3.4608351429461427E-2</v>
      </c>
      <c r="E18">
        <f t="shared" si="2"/>
        <v>1.1977379886651048E-3</v>
      </c>
    </row>
    <row r="19" spans="1:5" x14ac:dyDescent="0.25">
      <c r="A19">
        <v>1.5590618906249998</v>
      </c>
      <c r="B19">
        <v>5.9575999214231852E-3</v>
      </c>
      <c r="C19">
        <f t="shared" si="0"/>
        <v>5.1486666821267306E-5</v>
      </c>
      <c r="D19">
        <f t="shared" si="1"/>
        <v>5.9061132546019178E-3</v>
      </c>
      <c r="E19">
        <f t="shared" si="2"/>
        <v>3.4882173776184458E-5</v>
      </c>
    </row>
    <row r="20" spans="1:5" x14ac:dyDescent="0.25">
      <c r="A20">
        <v>1.643330646875</v>
      </c>
      <c r="B20">
        <v>0</v>
      </c>
      <c r="C20">
        <f t="shared" si="0"/>
        <v>1.3743556087338579E-7</v>
      </c>
      <c r="D20">
        <f t="shared" si="1"/>
        <v>-1.3743556087338579E-7</v>
      </c>
      <c r="E20">
        <f t="shared" si="2"/>
        <v>1.8888533392582131E-14</v>
      </c>
    </row>
    <row r="21" spans="1:5" x14ac:dyDescent="0.25">
      <c r="A21">
        <v>1.7275994031249999</v>
      </c>
      <c r="B21">
        <v>0</v>
      </c>
      <c r="C21">
        <f t="shared" si="0"/>
        <v>3.8248853196492277E-11</v>
      </c>
      <c r="D21">
        <f t="shared" si="1"/>
        <v>-3.8248853196492277E-11</v>
      </c>
      <c r="E21">
        <f t="shared" si="2"/>
        <v>1.4629747708468175E-21</v>
      </c>
    </row>
    <row r="22" spans="1:5" x14ac:dyDescent="0.25">
      <c r="A22">
        <v>1.8118681593749999</v>
      </c>
      <c r="B22">
        <v>0</v>
      </c>
      <c r="C22">
        <f t="shared" si="0"/>
        <v>5.8833221333682999E-16</v>
      </c>
      <c r="D22">
        <f t="shared" si="1"/>
        <v>-5.8833221333682999E-16</v>
      </c>
      <c r="E22">
        <f t="shared" si="2"/>
        <v>3.4613479324981322E-31</v>
      </c>
    </row>
    <row r="23" spans="1:5" x14ac:dyDescent="0.25">
      <c r="A23">
        <v>1.8961369156249999</v>
      </c>
      <c r="B23">
        <v>0</v>
      </c>
      <c r="C23">
        <f t="shared" si="0"/>
        <v>2.3121612118706372E-22</v>
      </c>
      <c r="D23">
        <f t="shared" si="1"/>
        <v>-2.3121612118706372E-22</v>
      </c>
      <c r="E23">
        <f t="shared" si="2"/>
        <v>5.3460894696790939E-44</v>
      </c>
    </row>
    <row r="24" spans="1:5" x14ac:dyDescent="0.25">
      <c r="A24">
        <v>1.9804056718749998</v>
      </c>
      <c r="B24">
        <v>0</v>
      </c>
      <c r="C24">
        <f t="shared" si="0"/>
        <v>9.165749259876597E-31</v>
      </c>
      <c r="D24">
        <f t="shared" si="1"/>
        <v>-9.165749259876597E-31</v>
      </c>
      <c r="E24">
        <f t="shared" si="2"/>
        <v>8.4010959494928386E-61</v>
      </c>
    </row>
    <row r="25" spans="1:5" x14ac:dyDescent="0.25">
      <c r="A25">
        <v>2.064674428125</v>
      </c>
      <c r="B25">
        <v>0</v>
      </c>
      <c r="C25">
        <f t="shared" si="0"/>
        <v>1.2076039387655119E-41</v>
      </c>
      <c r="D25">
        <f t="shared" si="1"/>
        <v>-1.2076039387655119E-41</v>
      </c>
      <c r="E25">
        <f t="shared" si="2"/>
        <v>1.4583072729219782E-82</v>
      </c>
    </row>
    <row r="26" spans="1:5" x14ac:dyDescent="0.25">
      <c r="A26">
        <v>2.1489431843750002</v>
      </c>
      <c r="B26">
        <v>0</v>
      </c>
      <c r="C26">
        <f t="shared" si="0"/>
        <v>1.4181873743750738E-55</v>
      </c>
      <c r="D26">
        <f t="shared" si="1"/>
        <v>-1.4181873743750738E-55</v>
      </c>
      <c r="E26">
        <f t="shared" si="2"/>
        <v>2.0112554288368657E-110</v>
      </c>
    </row>
    <row r="27" spans="1:5" x14ac:dyDescent="0.25">
      <c r="A27">
        <v>2.2332119406249999</v>
      </c>
      <c r="B27">
        <v>0</v>
      </c>
      <c r="C27">
        <f t="shared" si="0"/>
        <v>3.1533373573218299E-73</v>
      </c>
      <c r="D27">
        <f t="shared" si="1"/>
        <v>-3.1533373573218299E-73</v>
      </c>
      <c r="E27">
        <f t="shared" si="2"/>
        <v>9.9435364890814218E-146</v>
      </c>
    </row>
    <row r="28" spans="1:5" x14ac:dyDescent="0.25">
      <c r="A28">
        <v>2.3174806968750001</v>
      </c>
      <c r="B28">
        <v>0</v>
      </c>
      <c r="C28">
        <f t="shared" si="0"/>
        <v>2.1680340711853512E-95</v>
      </c>
      <c r="D28">
        <f t="shared" si="1"/>
        <v>-2.1680340711853512E-95</v>
      </c>
      <c r="E28">
        <f t="shared" si="2"/>
        <v>4.7003717338205281E-190</v>
      </c>
    </row>
    <row r="29" spans="1:5" x14ac:dyDescent="0.25">
      <c r="A29">
        <v>2.4017494531249999</v>
      </c>
      <c r="B29">
        <v>0</v>
      </c>
      <c r="C29">
        <f t="shared" si="0"/>
        <v>5.6051136982877713E-123</v>
      </c>
      <c r="D29">
        <f t="shared" si="1"/>
        <v>-5.6051136982877713E-123</v>
      </c>
      <c r="E29">
        <f t="shared" si="2"/>
        <v>3.1417299570733219E-245</v>
      </c>
    </row>
    <row r="30" spans="1:5" x14ac:dyDescent="0.25">
      <c r="A30">
        <v>2.4860182093750001</v>
      </c>
      <c r="B30">
        <v>0</v>
      </c>
      <c r="C30">
        <f t="shared" si="0"/>
        <v>4.7665926902882821E-157</v>
      </c>
      <c r="D30">
        <f t="shared" si="1"/>
        <v>-4.7665926902882821E-157</v>
      </c>
      <c r="E30">
        <f t="shared" si="2"/>
        <v>0</v>
      </c>
    </row>
    <row r="31" spans="1:5" x14ac:dyDescent="0.25">
      <c r="A31">
        <v>2.5702869656249998</v>
      </c>
      <c r="B31">
        <v>0</v>
      </c>
      <c r="C31">
        <f t="shared" si="0"/>
        <v>8.0833820527809423E-199</v>
      </c>
      <c r="D31">
        <f t="shared" si="1"/>
        <v>-8.0833820527809423E-199</v>
      </c>
      <c r="E31">
        <f t="shared" si="2"/>
        <v>0</v>
      </c>
    </row>
    <row r="32" spans="1:5" x14ac:dyDescent="0.25">
      <c r="A32">
        <v>2.654555721875</v>
      </c>
      <c r="B32">
        <v>0</v>
      </c>
      <c r="C32">
        <f t="shared" si="0"/>
        <v>1.1037016411264673E-249</v>
      </c>
      <c r="D32">
        <f t="shared" si="1"/>
        <v>-1.1037016411264673E-249</v>
      </c>
      <c r="E32">
        <f t="shared" si="2"/>
        <v>0</v>
      </c>
    </row>
    <row r="33" spans="1:5" x14ac:dyDescent="0.25">
      <c r="A33">
        <v>2.7388244781250002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2.8230932343749999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2.9073619906249997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2.9916307468749999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3.075899503125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3.1601682593750002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3.2444370156249995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3.3287057718749997</v>
      </c>
      <c r="B40">
        <v>7.4469999017789815E-4</v>
      </c>
      <c r="C40">
        <f t="shared" si="0"/>
        <v>0</v>
      </c>
      <c r="D40">
        <f t="shared" si="1"/>
        <v>7.4469999017789815E-4</v>
      </c>
      <c r="E40">
        <f t="shared" si="2"/>
        <v>5.5457807537096161E-7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46F9-A47D-4064-9276-7ABB0BAB8BB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0.73378209378749992</v>
      </c>
      <c r="B1">
        <v>7.2662264088530507E-2</v>
      </c>
      <c r="C1">
        <f>$H$3*(1+$H$1)*(A1^($H$1))*EXP(-$H$3*(A1^(1+$H$1)))</f>
        <v>0.29768291632533234</v>
      </c>
      <c r="D1">
        <f>B1-C1</f>
        <v>-0.22502065223680184</v>
      </c>
      <c r="E1">
        <f>D1^2</f>
        <v>5.0634293933075718E-2</v>
      </c>
      <c r="G1" t="s">
        <v>0</v>
      </c>
      <c r="H1">
        <v>9.9477497759474556</v>
      </c>
    </row>
    <row r="2" spans="1:8" x14ac:dyDescent="0.25">
      <c r="A2">
        <v>0.79951455536250005</v>
      </c>
      <c r="B2">
        <v>0.52966966190849862</v>
      </c>
      <c r="C2">
        <f t="shared" ref="C2:C40" si="0">$H$3*(1+$H$1)*(A2^($H$1))*EXP(-$H$3*(A2^(1+$H$1)))</f>
        <v>0.67705095071791443</v>
      </c>
      <c r="D2">
        <f t="shared" ref="D2:D40" si="1">B2-C2</f>
        <v>-0.14738128880941581</v>
      </c>
      <c r="E2">
        <f t="shared" ref="E2:E40" si="2">D2^2</f>
        <v>2.1721244291124434E-2</v>
      </c>
    </row>
    <row r="3" spans="1:8" x14ac:dyDescent="0.25">
      <c r="A3">
        <v>0.86524701693749995</v>
      </c>
      <c r="B3">
        <v>1.7582355744579947</v>
      </c>
      <c r="C3">
        <f t="shared" si="0"/>
        <v>1.3831248067279862</v>
      </c>
      <c r="D3">
        <f t="shared" si="1"/>
        <v>0.37511076773000851</v>
      </c>
      <c r="E3">
        <f t="shared" si="2"/>
        <v>0.14070808806699639</v>
      </c>
      <c r="G3" t="s">
        <v>1</v>
      </c>
      <c r="H3">
        <f>(_xlfn.GAMMA((2+$H$1)/(1+$H$1)))^(1+$H$1)</f>
        <v>0.60336109044389352</v>
      </c>
    </row>
    <row r="4" spans="1:8" x14ac:dyDescent="0.25">
      <c r="A4">
        <v>0.93097947851250007</v>
      </c>
      <c r="B4">
        <v>3.25163631796174</v>
      </c>
      <c r="C4">
        <f t="shared" si="0"/>
        <v>2.4612872163871358</v>
      </c>
      <c r="D4">
        <f t="shared" si="1"/>
        <v>0.79034910157460425</v>
      </c>
      <c r="E4">
        <f t="shared" si="2"/>
        <v>0.62465170235978407</v>
      </c>
    </row>
    <row r="5" spans="1:8" x14ac:dyDescent="0.25">
      <c r="A5">
        <v>0.99671194008749997</v>
      </c>
      <c r="B5">
        <v>3.8845628814697295</v>
      </c>
      <c r="C5">
        <f t="shared" si="0"/>
        <v>3.5720443460605025</v>
      </c>
      <c r="D5">
        <f t="shared" si="1"/>
        <v>0.31251853540922703</v>
      </c>
      <c r="E5">
        <f t="shared" si="2"/>
        <v>9.7667834974328294E-2</v>
      </c>
      <c r="G5" t="s">
        <v>2</v>
      </c>
      <c r="H5">
        <f>SUM(E1:E40)</f>
        <v>1.6616861151965578</v>
      </c>
    </row>
    <row r="6" spans="1:8" x14ac:dyDescent="0.25">
      <c r="A6">
        <v>1.0624444016624999</v>
      </c>
      <c r="B6">
        <v>3.0824097292292412</v>
      </c>
      <c r="C6">
        <f t="shared" si="0"/>
        <v>3.7412288285614186</v>
      </c>
      <c r="D6">
        <f t="shared" si="1"/>
        <v>-0.65881909933217742</v>
      </c>
      <c r="E6">
        <f t="shared" si="2"/>
        <v>0.43404260564486147</v>
      </c>
    </row>
    <row r="7" spans="1:8" x14ac:dyDescent="0.25">
      <c r="A7">
        <v>1.1281768632375</v>
      </c>
      <c r="B7">
        <v>1.7725768107912574</v>
      </c>
      <c r="C7">
        <f t="shared" si="0"/>
        <v>2.2892868351778524</v>
      </c>
      <c r="D7">
        <f t="shared" si="1"/>
        <v>-0.51671002438659497</v>
      </c>
      <c r="E7">
        <f t="shared" si="2"/>
        <v>0.26698924930159557</v>
      </c>
    </row>
    <row r="8" spans="1:8" x14ac:dyDescent="0.25">
      <c r="A8">
        <v>1.1939093248125001</v>
      </c>
      <c r="B8">
        <v>0.67499419008555972</v>
      </c>
      <c r="C8">
        <f t="shared" si="0"/>
        <v>0.57755680098841133</v>
      </c>
      <c r="D8">
        <f t="shared" si="1"/>
        <v>9.7437389097148386E-2</v>
      </c>
      <c r="E8">
        <f t="shared" si="2"/>
        <v>9.4940447940690918E-3</v>
      </c>
    </row>
    <row r="9" spans="1:8" x14ac:dyDescent="0.25">
      <c r="A9">
        <v>1.2596417863875002</v>
      </c>
      <c r="B9">
        <v>0.15679751724367108</v>
      </c>
      <c r="C9">
        <f t="shared" si="0"/>
        <v>3.4465165454791273E-2</v>
      </c>
      <c r="D9">
        <f t="shared" si="1"/>
        <v>0.1223323517888798</v>
      </c>
      <c r="E9">
        <f t="shared" si="2"/>
        <v>1.4965204294198243E-2</v>
      </c>
    </row>
    <row r="10" spans="1:8" x14ac:dyDescent="0.25">
      <c r="A10">
        <v>1.3253742479624999</v>
      </c>
      <c r="B10">
        <v>2.86824726665252E-2</v>
      </c>
      <c r="C10">
        <f t="shared" si="0"/>
        <v>2.0557952620125396E-4</v>
      </c>
      <c r="D10">
        <f t="shared" si="1"/>
        <v>2.8476893140323947E-2</v>
      </c>
      <c r="E10">
        <f t="shared" si="2"/>
        <v>8.1093344292542909E-4</v>
      </c>
    </row>
    <row r="11" spans="1:8" x14ac:dyDescent="0.25">
      <c r="A11">
        <v>1.3911067095375</v>
      </c>
      <c r="B11">
        <v>0</v>
      </c>
      <c r="C11">
        <f t="shared" si="0"/>
        <v>3.3282716538381397E-8</v>
      </c>
      <c r="D11">
        <f t="shared" si="1"/>
        <v>-3.3282716538381397E-8</v>
      </c>
      <c r="E11">
        <f t="shared" si="2"/>
        <v>1.1077392201742466E-15</v>
      </c>
    </row>
    <row r="12" spans="1:8" x14ac:dyDescent="0.25">
      <c r="A12">
        <v>1.4568391711124999</v>
      </c>
      <c r="B12">
        <v>0</v>
      </c>
      <c r="C12">
        <f t="shared" si="0"/>
        <v>2.1183606628111436E-14</v>
      </c>
      <c r="D12">
        <f t="shared" si="1"/>
        <v>-2.1183606628111436E-14</v>
      </c>
      <c r="E12">
        <f t="shared" si="2"/>
        <v>4.4874518977456672E-28</v>
      </c>
    </row>
    <row r="13" spans="1:8" x14ac:dyDescent="0.25">
      <c r="A13">
        <v>1.5225716326874998</v>
      </c>
      <c r="B13">
        <v>0</v>
      </c>
      <c r="C13">
        <f t="shared" si="0"/>
        <v>3.1906595737135968E-24</v>
      </c>
      <c r="D13">
        <f t="shared" si="1"/>
        <v>-3.1906595737135968E-24</v>
      </c>
      <c r="E13">
        <f t="shared" si="2"/>
        <v>1.0180308515330231E-47</v>
      </c>
    </row>
    <row r="14" spans="1:8" x14ac:dyDescent="0.25">
      <c r="A14">
        <v>1.5883040942625</v>
      </c>
      <c r="B14">
        <v>0</v>
      </c>
      <c r="C14">
        <f t="shared" si="0"/>
        <v>2.0446864170601373E-39</v>
      </c>
      <c r="D14">
        <f t="shared" si="1"/>
        <v>-2.0446864170601373E-39</v>
      </c>
      <c r="E14">
        <f t="shared" si="2"/>
        <v>4.1807425441102216E-78</v>
      </c>
    </row>
    <row r="15" spans="1:8" x14ac:dyDescent="0.25">
      <c r="A15">
        <v>1.6540365558375001</v>
      </c>
      <c r="B15">
        <v>0</v>
      </c>
      <c r="C15">
        <f t="shared" si="0"/>
        <v>1.9444785588028798E-62</v>
      </c>
      <c r="D15">
        <f t="shared" si="1"/>
        <v>-1.9444785588028798E-62</v>
      </c>
      <c r="E15">
        <f t="shared" si="2"/>
        <v>3.7809968656441248E-124</v>
      </c>
    </row>
    <row r="16" spans="1:8" x14ac:dyDescent="0.25">
      <c r="A16">
        <v>1.7197690174125002</v>
      </c>
      <c r="B16">
        <v>0</v>
      </c>
      <c r="C16">
        <f t="shared" si="0"/>
        <v>1.0634460955718187E-96</v>
      </c>
      <c r="D16">
        <f t="shared" si="1"/>
        <v>-1.0634460955718187E-96</v>
      </c>
      <c r="E16">
        <f t="shared" si="2"/>
        <v>1.1309175981869458E-192</v>
      </c>
    </row>
    <row r="17" spans="1:5" x14ac:dyDescent="0.25">
      <c r="A17">
        <v>1.7855014789875001</v>
      </c>
      <c r="B17">
        <v>0</v>
      </c>
      <c r="C17">
        <f t="shared" si="0"/>
        <v>7.0639466408410191E-147</v>
      </c>
      <c r="D17">
        <f t="shared" si="1"/>
        <v>-7.0639466408410191E-147</v>
      </c>
      <c r="E17">
        <f t="shared" si="2"/>
        <v>4.9899342144649118E-293</v>
      </c>
    </row>
    <row r="18" spans="1:5" x14ac:dyDescent="0.25">
      <c r="A18">
        <v>1.8512339405625</v>
      </c>
      <c r="B18">
        <v>0</v>
      </c>
      <c r="C18">
        <f t="shared" si="0"/>
        <v>2.6625131091578195E-219</v>
      </c>
      <c r="D18">
        <f t="shared" si="1"/>
        <v>-2.6625131091578195E-219</v>
      </c>
      <c r="E18">
        <f t="shared" si="2"/>
        <v>0</v>
      </c>
    </row>
    <row r="19" spans="1:5" x14ac:dyDescent="0.25">
      <c r="A19">
        <v>1.9169664021374999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1.9826988637124998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2.0484313252874999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2.1141637868625001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2.1798962484375002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2.2456287100124999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2.3113611715875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2.3770936331625001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2.4428260947375002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2.5085585563124999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2.5742910178875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2.6400234794625002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2.7057559410375003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2.7714884026125004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2.8372208641875001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2.9029533257624998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2.9686857873374999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3.0344182489125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3.1001507104875001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3.1658831720625003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3.2316156336374999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3.2973480952125001</v>
      </c>
      <c r="B40">
        <v>9.5608242221750664E-4</v>
      </c>
      <c r="C40">
        <f t="shared" si="0"/>
        <v>0</v>
      </c>
      <c r="D40">
        <f t="shared" si="1"/>
        <v>9.5608242221750664E-4</v>
      </c>
      <c r="E40">
        <f t="shared" si="2"/>
        <v>9.1409359807329464E-7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BD16-9BCF-442B-912B-1B2A32FF791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0.81378250273750008</v>
      </c>
      <c r="B1">
        <v>0.13599788805502538</v>
      </c>
      <c r="C1">
        <f>$H$3*(1+$H$1)*(A1^($H$1))*EXP(-$H$3*(A1^(1+$H$1)))</f>
        <v>0.47325506736786616</v>
      </c>
      <c r="D1">
        <f>B1-C1</f>
        <v>-0.33725717931284077</v>
      </c>
      <c r="E1">
        <f>D1^2</f>
        <v>0.11374240499805363</v>
      </c>
      <c r="G1" t="s">
        <v>0</v>
      </c>
      <c r="H1">
        <v>14.147528844741148</v>
      </c>
    </row>
    <row r="2" spans="1:8" x14ac:dyDescent="0.25">
      <c r="A2">
        <v>0.87616702221249998</v>
      </c>
      <c r="B2">
        <v>1.347890179389807</v>
      </c>
      <c r="C2">
        <f t="shared" ref="C2:C40" si="0">$H$3*(1+$H$1)*(A2^($H$1))*EXP(-$H$3*(A2^(1+$H$1)))</f>
        <v>1.2751596330357544</v>
      </c>
      <c r="D2">
        <f t="shared" ref="D2:D40" si="1">B2-C2</f>
        <v>7.2730546354052628E-2</v>
      </c>
      <c r="E2">
        <f t="shared" ref="E2:E40" si="2">D2^2</f>
        <v>5.289732372958998E-3</v>
      </c>
    </row>
    <row r="3" spans="1:8" x14ac:dyDescent="0.25">
      <c r="A3">
        <v>0.93855154168749999</v>
      </c>
      <c r="B3">
        <v>4.0063970429247107</v>
      </c>
      <c r="C3">
        <f t="shared" si="0"/>
        <v>2.9141865433473901</v>
      </c>
      <c r="D3">
        <f t="shared" si="1"/>
        <v>1.0922104995773205</v>
      </c>
      <c r="E3">
        <f t="shared" si="2"/>
        <v>1.1929237753869402</v>
      </c>
      <c r="G3" t="s">
        <v>1</v>
      </c>
      <c r="H3">
        <f>(_xlfn.GAMMA((2+$H$1)/(1+$H$1)))^(1+$H$1)</f>
        <v>0.5917975101471461</v>
      </c>
    </row>
    <row r="4" spans="1:8" x14ac:dyDescent="0.25">
      <c r="A4">
        <v>1.0009360611625</v>
      </c>
      <c r="B4">
        <v>5.3563020058412585</v>
      </c>
      <c r="C4">
        <f t="shared" si="0"/>
        <v>4.9840310568744384</v>
      </c>
      <c r="D4">
        <f t="shared" si="1"/>
        <v>0.37227094896682011</v>
      </c>
      <c r="E4">
        <f t="shared" si="2"/>
        <v>0.13858565944465678</v>
      </c>
    </row>
    <row r="5" spans="1:8" x14ac:dyDescent="0.25">
      <c r="A5">
        <v>1.0633205806375001</v>
      </c>
      <c r="B5">
        <v>3.6669060186688323</v>
      </c>
      <c r="C5">
        <f t="shared" si="0"/>
        <v>4.7680153800793832</v>
      </c>
      <c r="D5">
        <f t="shared" si="1"/>
        <v>-1.1011093614105509</v>
      </c>
      <c r="E5">
        <f t="shared" si="2"/>
        <v>1.2124418257859513</v>
      </c>
      <c r="G5" t="s">
        <v>2</v>
      </c>
      <c r="H5">
        <f>SUM(E1:E40)</f>
        <v>2.691730858299338</v>
      </c>
    </row>
    <row r="6" spans="1:8" x14ac:dyDescent="0.25">
      <c r="A6">
        <v>1.1257051001125</v>
      </c>
      <c r="B6">
        <v>1.309609292381726</v>
      </c>
      <c r="C6">
        <f t="shared" si="0"/>
        <v>1.3648957288528696</v>
      </c>
      <c r="D6">
        <f t="shared" si="1"/>
        <v>-5.5286436471143618E-2</v>
      </c>
      <c r="E6">
        <f t="shared" si="2"/>
        <v>3.0565900576777993E-3</v>
      </c>
    </row>
    <row r="7" spans="1:8" x14ac:dyDescent="0.25">
      <c r="A7">
        <v>1.1880896195874999</v>
      </c>
      <c r="B7">
        <v>0.19241182680377664</v>
      </c>
      <c r="C7">
        <f t="shared" si="0"/>
        <v>3.2666750472350098E-2</v>
      </c>
      <c r="D7">
        <f t="shared" si="1"/>
        <v>0.15974507633142654</v>
      </c>
      <c r="E7">
        <f t="shared" si="2"/>
        <v>2.5518489412133291E-2</v>
      </c>
    </row>
    <row r="8" spans="1:8" x14ac:dyDescent="0.25">
      <c r="A8">
        <v>1.2504741390625</v>
      </c>
      <c r="B8">
        <v>1.3096092923817259E-2</v>
      </c>
      <c r="C8">
        <f t="shared" si="0"/>
        <v>5.4091066557278017E-6</v>
      </c>
      <c r="D8">
        <f t="shared" si="1"/>
        <v>1.3090683817161532E-2</v>
      </c>
      <c r="E8">
        <f t="shared" si="2"/>
        <v>1.7136600280089482E-4</v>
      </c>
    </row>
    <row r="9" spans="1:8" x14ac:dyDescent="0.25">
      <c r="A9">
        <v>1.3128586585374999</v>
      </c>
      <c r="B9">
        <v>0</v>
      </c>
      <c r="C9">
        <f t="shared" si="0"/>
        <v>5.6453837739923135E-14</v>
      </c>
      <c r="D9">
        <f t="shared" si="1"/>
        <v>-5.6453837739923135E-14</v>
      </c>
      <c r="E9">
        <f t="shared" si="2"/>
        <v>3.1870357955655697E-27</v>
      </c>
    </row>
    <row r="10" spans="1:8" x14ac:dyDescent="0.25">
      <c r="A10">
        <v>1.3752431780125001</v>
      </c>
      <c r="B10">
        <v>0</v>
      </c>
      <c r="C10">
        <f t="shared" si="0"/>
        <v>6.9623806944022079E-30</v>
      </c>
      <c r="D10">
        <f t="shared" si="1"/>
        <v>-6.9623806944022079E-30</v>
      </c>
      <c r="E10">
        <f t="shared" si="2"/>
        <v>4.8474744933784571E-59</v>
      </c>
    </row>
    <row r="11" spans="1:8" x14ac:dyDescent="0.25">
      <c r="A11">
        <v>1.4376276974875</v>
      </c>
      <c r="B11">
        <v>0</v>
      </c>
      <c r="C11">
        <f t="shared" si="0"/>
        <v>2.4536408543855229E-60</v>
      </c>
      <c r="D11">
        <f t="shared" si="1"/>
        <v>-2.4536408543855229E-60</v>
      </c>
      <c r="E11">
        <f t="shared" si="2"/>
        <v>6.0203534423097187E-120</v>
      </c>
    </row>
    <row r="12" spans="1:8" x14ac:dyDescent="0.25">
      <c r="A12">
        <v>1.5000122169624999</v>
      </c>
      <c r="B12">
        <v>0</v>
      </c>
      <c r="C12">
        <f t="shared" si="0"/>
        <v>8.8394004420586865E-117</v>
      </c>
      <c r="D12">
        <f t="shared" si="1"/>
        <v>-8.8394004420586865E-117</v>
      </c>
      <c r="E12">
        <f t="shared" si="2"/>
        <v>7.8135000175067303E-233</v>
      </c>
    </row>
    <row r="13" spans="1:8" x14ac:dyDescent="0.25">
      <c r="A13">
        <v>1.5623967364375</v>
      </c>
      <c r="B13">
        <v>0</v>
      </c>
      <c r="C13">
        <f t="shared" si="0"/>
        <v>1.4861473513559657E-218</v>
      </c>
      <c r="D13">
        <f t="shared" si="1"/>
        <v>-1.4861473513559657E-218</v>
      </c>
      <c r="E13">
        <f t="shared" si="2"/>
        <v>0</v>
      </c>
    </row>
    <row r="14" spans="1:8" x14ac:dyDescent="0.25">
      <c r="A14">
        <v>1.6247812559124999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1.6871657753875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1.7495502948625001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1.8119348143375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1.8743193338125002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1.9367038532875001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1.9990883727625002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2.0614728922375001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2.1238574117124998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2.1862419311875003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2.2486264506625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2.3110109701374997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2.3733954896125002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2.4357800090874999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2.4981645285625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2.5605490480375002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2.6229335675124998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2.6853180869875004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2.7477026064625001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2.8100871259374998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2.8724716454124999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2.9348561648875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2.9972406843625001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3.0596252038375003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3.1220097233124999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3.1843942427875001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3.2467787622625002</v>
      </c>
      <c r="B40">
        <v>1.0073917633705584E-3</v>
      </c>
      <c r="C40">
        <f t="shared" si="0"/>
        <v>0</v>
      </c>
      <c r="D40">
        <f t="shared" si="1"/>
        <v>1.0073917633705584E-3</v>
      </c>
      <c r="E40">
        <f t="shared" si="2"/>
        <v>1.0148381649068432E-6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684A-C51C-4DFB-A408-B04F44914AA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3.9989779675000003E-2</v>
      </c>
      <c r="B1">
        <v>1.6729450052566902E-2</v>
      </c>
      <c r="C1">
        <f>$H$3*(1+$H$1)*(A1^($H$1))*EXP(-$H$3*(A1^(1+$H$1)))</f>
        <v>3.2364828429988386E-42</v>
      </c>
      <c r="D1">
        <f>B1-C1</f>
        <v>1.6729450052566902E-2</v>
      </c>
      <c r="E1">
        <f>D1^2</f>
        <v>2.7987449906133072E-4</v>
      </c>
      <c r="G1" t="s">
        <v>0</v>
      </c>
      <c r="H1">
        <v>30.578120742088352</v>
      </c>
    </row>
    <row r="2" spans="1:8" x14ac:dyDescent="0.25">
      <c r="A2">
        <v>0.118774151025</v>
      </c>
      <c r="B2">
        <v>0</v>
      </c>
      <c r="C2">
        <f t="shared" ref="C2:C40" si="0">$H$3*(1+$H$1)*(A2^($H$1))*EXP(-$H$3*(A2^(1+$H$1)))</f>
        <v>9.2593573751130615E-28</v>
      </c>
      <c r="D2">
        <f t="shared" ref="D2:D40" si="1">B2-C2</f>
        <v>-9.2593573751130615E-28</v>
      </c>
      <c r="E2">
        <f t="shared" ref="E2:E40" si="2">D2^2</f>
        <v>8.5735699000060638E-55</v>
      </c>
    </row>
    <row r="3" spans="1:8" x14ac:dyDescent="0.25">
      <c r="A3">
        <v>0.19755852237499999</v>
      </c>
      <c r="B3">
        <v>0</v>
      </c>
      <c r="C3">
        <f t="shared" si="0"/>
        <v>5.2910934861272748E-21</v>
      </c>
      <c r="D3">
        <f t="shared" si="1"/>
        <v>-5.2910934861272748E-21</v>
      </c>
      <c r="E3">
        <f t="shared" si="2"/>
        <v>2.7995670278938479E-41</v>
      </c>
      <c r="G3" t="s">
        <v>1</v>
      </c>
      <c r="H3">
        <f>(_xlfn.GAMMA((2+$H$1)/(1+$H$1)))^(1+$H$1)</f>
        <v>0.57604838282650472</v>
      </c>
    </row>
    <row r="4" spans="1:8" x14ac:dyDescent="0.25">
      <c r="A4">
        <v>0.27634289372499998</v>
      </c>
      <c r="B4">
        <v>0</v>
      </c>
      <c r="C4">
        <f t="shared" si="0"/>
        <v>1.5148999449763715E-16</v>
      </c>
      <c r="D4">
        <f t="shared" si="1"/>
        <v>-1.5148999449763715E-16</v>
      </c>
      <c r="E4">
        <f t="shared" si="2"/>
        <v>2.2949218432894135E-32</v>
      </c>
    </row>
    <row r="5" spans="1:8" x14ac:dyDescent="0.25">
      <c r="A5">
        <v>0.35512726507500003</v>
      </c>
      <c r="B5">
        <v>0</v>
      </c>
      <c r="C5">
        <f t="shared" si="0"/>
        <v>3.2466346517337603E-13</v>
      </c>
      <c r="D5">
        <f t="shared" si="1"/>
        <v>-3.2466346517337603E-13</v>
      </c>
      <c r="E5">
        <f t="shared" si="2"/>
        <v>1.0540636561838396E-25</v>
      </c>
      <c r="G5" t="s">
        <v>2</v>
      </c>
      <c r="H5">
        <f>SUM(E1:E40)</f>
        <v>2.5013887465770512</v>
      </c>
    </row>
    <row r="6" spans="1:8" x14ac:dyDescent="0.25">
      <c r="A6">
        <v>0.43391163642499997</v>
      </c>
      <c r="B6">
        <v>0</v>
      </c>
      <c r="C6">
        <f t="shared" si="0"/>
        <v>1.4868197479448197E-10</v>
      </c>
      <c r="D6">
        <f t="shared" si="1"/>
        <v>-1.4868197479448197E-10</v>
      </c>
      <c r="E6">
        <f t="shared" si="2"/>
        <v>2.210632962878697E-20</v>
      </c>
    </row>
    <row r="7" spans="1:8" x14ac:dyDescent="0.25">
      <c r="A7">
        <v>0.51269600777500002</v>
      </c>
      <c r="B7">
        <v>0</v>
      </c>
      <c r="C7">
        <f t="shared" si="0"/>
        <v>2.4429091988924352E-8</v>
      </c>
      <c r="D7">
        <f t="shared" si="1"/>
        <v>-2.4429091988924352E-8</v>
      </c>
      <c r="E7">
        <f t="shared" si="2"/>
        <v>5.9678053540332792E-16</v>
      </c>
    </row>
    <row r="8" spans="1:8" x14ac:dyDescent="0.25">
      <c r="A8">
        <v>0.59148037912499996</v>
      </c>
      <c r="B8">
        <v>0</v>
      </c>
      <c r="C8">
        <f t="shared" si="0"/>
        <v>1.9329004441056539E-6</v>
      </c>
      <c r="D8">
        <f t="shared" si="1"/>
        <v>-1.9329004441056539E-6</v>
      </c>
      <c r="E8">
        <f t="shared" si="2"/>
        <v>3.7361041268238337E-12</v>
      </c>
    </row>
    <row r="9" spans="1:8" x14ac:dyDescent="0.25">
      <c r="A9">
        <v>0.670264750475</v>
      </c>
      <c r="B9">
        <v>0</v>
      </c>
      <c r="C9">
        <f t="shared" si="0"/>
        <v>8.8467807275667624E-5</v>
      </c>
      <c r="D9">
        <f t="shared" si="1"/>
        <v>-8.8467807275667624E-5</v>
      </c>
      <c r="E9">
        <f t="shared" si="2"/>
        <v>7.8265529241646697E-9</v>
      </c>
    </row>
    <row r="10" spans="1:8" x14ac:dyDescent="0.25">
      <c r="A10">
        <v>0.74904912182499994</v>
      </c>
      <c r="B10">
        <v>0</v>
      </c>
      <c r="C10">
        <f t="shared" si="0"/>
        <v>2.645932496811396E-3</v>
      </c>
      <c r="D10">
        <f t="shared" si="1"/>
        <v>-2.645932496811396E-3</v>
      </c>
      <c r="E10">
        <f t="shared" si="2"/>
        <v>7.0009587776825877E-6</v>
      </c>
    </row>
    <row r="11" spans="1:8" x14ac:dyDescent="0.25">
      <c r="A11">
        <v>0.82783349317499999</v>
      </c>
      <c r="B11">
        <v>0</v>
      </c>
      <c r="C11">
        <f t="shared" si="0"/>
        <v>5.6241244831037374E-2</v>
      </c>
      <c r="D11">
        <f t="shared" si="1"/>
        <v>-5.6241244831037374E-2</v>
      </c>
      <c r="E11">
        <f t="shared" si="2"/>
        <v>3.163077620144688E-3</v>
      </c>
    </row>
    <row r="12" spans="1:8" x14ac:dyDescent="0.25">
      <c r="A12">
        <v>0.90661786452500004</v>
      </c>
      <c r="B12">
        <v>0.48993389439660212</v>
      </c>
      <c r="C12">
        <f t="shared" si="0"/>
        <v>0.88438463287020297</v>
      </c>
      <c r="D12">
        <f t="shared" si="1"/>
        <v>-0.39445073847360085</v>
      </c>
      <c r="E12">
        <f t="shared" si="2"/>
        <v>0.15559138508236905</v>
      </c>
    </row>
    <row r="13" spans="1:8" x14ac:dyDescent="0.25">
      <c r="A13">
        <v>0.98540223587499998</v>
      </c>
      <c r="B13">
        <v>9.3868147604474199</v>
      </c>
      <c r="C13">
        <f t="shared" si="0"/>
        <v>8.0782358008128519</v>
      </c>
      <c r="D13">
        <f t="shared" si="1"/>
        <v>1.3085789596345681</v>
      </c>
      <c r="E13">
        <f t="shared" si="2"/>
        <v>1.7123788935982884</v>
      </c>
    </row>
    <row r="14" spans="1:8" x14ac:dyDescent="0.25">
      <c r="A14">
        <v>1.0641866072249999</v>
      </c>
      <c r="B14">
        <v>2.7978013611721408</v>
      </c>
      <c r="C14">
        <f t="shared" si="0"/>
        <v>2.004096606420088</v>
      </c>
      <c r="D14">
        <f t="shared" si="1"/>
        <v>0.79370475475205282</v>
      </c>
      <c r="E14">
        <f t="shared" si="2"/>
        <v>0.62996723771601637</v>
      </c>
    </row>
    <row r="15" spans="1:8" x14ac:dyDescent="0.25">
      <c r="A15">
        <v>1.1429709785749997</v>
      </c>
      <c r="B15">
        <v>7.9664047869366201E-4</v>
      </c>
      <c r="C15">
        <f t="shared" si="0"/>
        <v>1.0407295265485173E-14</v>
      </c>
      <c r="D15">
        <f t="shared" si="1"/>
        <v>7.9664047868325475E-4</v>
      </c>
      <c r="E15">
        <f t="shared" si="2"/>
        <v>6.3463605227668527E-7</v>
      </c>
    </row>
    <row r="16" spans="1:8" x14ac:dyDescent="0.25">
      <c r="A16">
        <v>1.221755349925</v>
      </c>
      <c r="B16">
        <v>0</v>
      </c>
      <c r="C16">
        <f t="shared" si="0"/>
        <v>1.8586144811854011E-136</v>
      </c>
      <c r="D16">
        <f t="shared" si="1"/>
        <v>-1.8586144811854011E-136</v>
      </c>
      <c r="E16">
        <f t="shared" si="2"/>
        <v>3.4544477896720777E-272</v>
      </c>
    </row>
    <row r="17" spans="1:5" x14ac:dyDescent="0.25">
      <c r="A17">
        <v>1.3005397212749998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1.3793240926250001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1.4581084639749999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1.5368928353249998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1.615677206675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1.6944615780249999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1.7732459493750001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1.852030320725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1.9308146920750002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2.0095990634250001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2.0883834347750003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2.1671678061249997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2.245952177475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2.3247365488249998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2.4035209201749996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2.4823052915249999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2.5610896628750002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2.639874034225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2.7186584055749998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2.7974427769250001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2.8762271482750004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2.9550115196249997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3.033795890975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3.1125802623249998</v>
      </c>
      <c r="B40">
        <v>7.9664047869366201E-4</v>
      </c>
      <c r="C40">
        <f t="shared" si="0"/>
        <v>0</v>
      </c>
      <c r="D40">
        <f t="shared" si="1"/>
        <v>7.9664047869366201E-4</v>
      </c>
      <c r="E40">
        <f t="shared" si="2"/>
        <v>6.34636052293267E-7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172B-FDEE-4C7F-968A-4CD0280CE0DD}">
  <dimension ref="A1:H40"/>
  <sheetViews>
    <sheetView tabSelected="1"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3.91623696375E-2</v>
      </c>
      <c r="B1">
        <v>9.639581762098795E-3</v>
      </c>
      <c r="C1">
        <f>$H$3*(1+$H$1)*(A1^($H$1))*EXP(-$H$3*(A1^(1+$H$1)))</f>
        <v>6.0743104090767075E-70</v>
      </c>
      <c r="D1">
        <f>B1-C1</f>
        <v>9.639581762098795E-3</v>
      </c>
      <c r="E1">
        <f>D1^2</f>
        <v>9.2921536548187716E-5</v>
      </c>
      <c r="G1" t="s">
        <v>0</v>
      </c>
      <c r="H1">
        <v>50.231473179192101</v>
      </c>
    </row>
    <row r="2" spans="1:8" x14ac:dyDescent="0.25">
      <c r="A2">
        <v>0.11733790891250001</v>
      </c>
      <c r="B2">
        <v>0</v>
      </c>
      <c r="C2">
        <f t="shared" ref="C2:C40" si="0">$H$3*(1+$H$1)*(A2^($H$1))*EXP(-$H$3*(A2^(1+$H$1)))</f>
        <v>5.2756881712561093E-46</v>
      </c>
      <c r="D2">
        <f t="shared" ref="D2:D40" si="1">B2-C2</f>
        <v>-5.2756881712561093E-46</v>
      </c>
      <c r="E2">
        <f t="shared" ref="E2:E40" si="2">D2^2</f>
        <v>2.7832885680331631E-91</v>
      </c>
    </row>
    <row r="3" spans="1:8" x14ac:dyDescent="0.25">
      <c r="A3">
        <v>0.19551344818749999</v>
      </c>
      <c r="B3">
        <v>0</v>
      </c>
      <c r="C3">
        <f t="shared" si="0"/>
        <v>7.2530409551444028E-35</v>
      </c>
      <c r="D3">
        <f t="shared" si="1"/>
        <v>-7.2530409551444028E-35</v>
      </c>
      <c r="E3">
        <f t="shared" si="2"/>
        <v>5.2606603097002029E-69</v>
      </c>
      <c r="G3" t="s">
        <v>1</v>
      </c>
      <c r="H3">
        <f>(_xlfn.GAMMA((2+$H$1)/(1+$H$1)))^(1+$H$1)</f>
        <v>0.57045989893431437</v>
      </c>
    </row>
    <row r="4" spans="1:8" x14ac:dyDescent="0.25">
      <c r="A4">
        <v>0.27368898746250003</v>
      </c>
      <c r="B4">
        <v>0</v>
      </c>
      <c r="C4">
        <f t="shared" si="0"/>
        <v>1.578949616708759E-27</v>
      </c>
      <c r="D4">
        <f t="shared" si="1"/>
        <v>-1.578949616708759E-27</v>
      </c>
      <c r="E4">
        <f t="shared" si="2"/>
        <v>2.4930818921047368E-54</v>
      </c>
    </row>
    <row r="5" spans="1:8" x14ac:dyDescent="0.25">
      <c r="A5">
        <v>0.35186452673750002</v>
      </c>
      <c r="B5">
        <v>0</v>
      </c>
      <c r="C5">
        <f t="shared" si="0"/>
        <v>4.7811716556342794E-22</v>
      </c>
      <c r="D5">
        <f t="shared" si="1"/>
        <v>-4.7811716556342794E-22</v>
      </c>
      <c r="E5">
        <f t="shared" si="2"/>
        <v>2.2859602400640637E-43</v>
      </c>
      <c r="G5" t="s">
        <v>2</v>
      </c>
      <c r="H5">
        <f>SUM(E1:E40)</f>
        <v>19.926418480667817</v>
      </c>
    </row>
    <row r="6" spans="1:8" x14ac:dyDescent="0.25">
      <c r="A6">
        <v>0.43004006601249994</v>
      </c>
      <c r="B6">
        <v>0</v>
      </c>
      <c r="C6">
        <f t="shared" si="0"/>
        <v>1.1386102842824555E-17</v>
      </c>
      <c r="D6">
        <f t="shared" si="1"/>
        <v>-1.1386102842824555E-17</v>
      </c>
      <c r="E6">
        <f t="shared" si="2"/>
        <v>1.2964333794737743E-34</v>
      </c>
    </row>
    <row r="7" spans="1:8" x14ac:dyDescent="0.25">
      <c r="A7">
        <v>0.50821560528749998</v>
      </c>
      <c r="B7">
        <v>0</v>
      </c>
      <c r="C7">
        <f t="shared" si="0"/>
        <v>5.0132548112456236E-14</v>
      </c>
      <c r="D7">
        <f t="shared" si="1"/>
        <v>-5.0132548112456236E-14</v>
      </c>
      <c r="E7">
        <f t="shared" si="2"/>
        <v>2.5132723802477392E-27</v>
      </c>
    </row>
    <row r="8" spans="1:8" x14ac:dyDescent="0.25">
      <c r="A8">
        <v>0.58639114456249997</v>
      </c>
      <c r="B8">
        <v>0</v>
      </c>
      <c r="C8">
        <f t="shared" si="0"/>
        <v>6.6293923612181412E-11</v>
      </c>
      <c r="D8">
        <f t="shared" si="1"/>
        <v>-6.6293923612181412E-11</v>
      </c>
      <c r="E8">
        <f t="shared" si="2"/>
        <v>4.3948843078977445E-21</v>
      </c>
    </row>
    <row r="9" spans="1:8" x14ac:dyDescent="0.25">
      <c r="A9">
        <v>0.66456668383749995</v>
      </c>
      <c r="B9">
        <v>0</v>
      </c>
      <c r="C9">
        <f t="shared" si="0"/>
        <v>3.5613337116455404E-8</v>
      </c>
      <c r="D9">
        <f t="shared" si="1"/>
        <v>-3.5613337116455404E-8</v>
      </c>
      <c r="E9">
        <f t="shared" si="2"/>
        <v>1.2683097805703002E-15</v>
      </c>
    </row>
    <row r="10" spans="1:8" x14ac:dyDescent="0.25">
      <c r="A10">
        <v>0.74274222311250004</v>
      </c>
      <c r="B10">
        <v>0</v>
      </c>
      <c r="C10">
        <f t="shared" si="0"/>
        <v>9.5010160867121043E-6</v>
      </c>
      <c r="D10">
        <f t="shared" si="1"/>
        <v>-9.5010160867121043E-6</v>
      </c>
      <c r="E10">
        <f t="shared" si="2"/>
        <v>9.0269306679962189E-11</v>
      </c>
    </row>
    <row r="11" spans="1:8" x14ac:dyDescent="0.25">
      <c r="A11">
        <v>0.82091776238750003</v>
      </c>
      <c r="B11">
        <v>0</v>
      </c>
      <c r="C11">
        <f t="shared" si="0"/>
        <v>1.4484289220847437E-3</v>
      </c>
      <c r="D11">
        <f t="shared" si="1"/>
        <v>-1.4484289220847437E-3</v>
      </c>
      <c r="E11">
        <f t="shared" si="2"/>
        <v>2.0979463423315728E-6</v>
      </c>
    </row>
    <row r="12" spans="1:8" x14ac:dyDescent="0.25">
      <c r="A12">
        <v>0.89909330166250001</v>
      </c>
      <c r="B12">
        <v>0</v>
      </c>
      <c r="C12">
        <f t="shared" si="0"/>
        <v>0.1393933609148709</v>
      </c>
      <c r="D12">
        <f t="shared" si="1"/>
        <v>-0.1393933609148709</v>
      </c>
      <c r="E12">
        <f t="shared" si="2"/>
        <v>1.9430509067143456E-2</v>
      </c>
    </row>
    <row r="13" spans="1:8" x14ac:dyDescent="0.25">
      <c r="A13">
        <v>0.97726884093749988</v>
      </c>
      <c r="B13">
        <v>12.148282915685007</v>
      </c>
      <c r="C13">
        <f t="shared" si="0"/>
        <v>7.7245359421704176</v>
      </c>
      <c r="D13">
        <f t="shared" si="1"/>
        <v>4.4237469735145893</v>
      </c>
      <c r="E13">
        <f t="shared" si="2"/>
        <v>19.569537285679488</v>
      </c>
    </row>
    <row r="14" spans="1:8" x14ac:dyDescent="0.25">
      <c r="A14">
        <v>1.0554443802124998</v>
      </c>
      <c r="B14">
        <v>0.63219590389764602</v>
      </c>
      <c r="C14">
        <f t="shared" si="0"/>
        <v>5.1373748869855553E-2</v>
      </c>
      <c r="D14">
        <f t="shared" si="1"/>
        <v>0.58082215502779044</v>
      </c>
      <c r="E14">
        <f t="shared" si="2"/>
        <v>0.33735437577112665</v>
      </c>
    </row>
    <row r="15" spans="1:8" x14ac:dyDescent="0.25">
      <c r="A15">
        <v>1.1336199194874998</v>
      </c>
      <c r="B15">
        <v>8.0329848017489966E-4</v>
      </c>
      <c r="C15">
        <f t="shared" si="0"/>
        <v>1.922770559951019E-149</v>
      </c>
      <c r="D15">
        <f t="shared" si="1"/>
        <v>8.0329848017489966E-4</v>
      </c>
      <c r="E15">
        <f t="shared" si="2"/>
        <v>6.4528844825130368E-7</v>
      </c>
    </row>
    <row r="16" spans="1:8" x14ac:dyDescent="0.25">
      <c r="A16">
        <v>1.2117954587624999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1.2899709980375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1.3681465373124999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1.4463220765874998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1.5244976158624999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1.6026731551375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1.6808486944125001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1.7590242336874999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1.8371997729624998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1.9153753122374999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1.9935508515125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2.0717263907875001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2.1499019300624997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2.2280774693374998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2.3062530086124999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2.3844285478874996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2.4626040871625001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2.5407796264374998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2.6189551657124999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2.6971307049875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2.7753062442625001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2.8534817835375001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2.9316573228124998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3.0098328620874999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3.0880084013625</v>
      </c>
      <c r="B40">
        <v>8.0329848017489966E-4</v>
      </c>
      <c r="C40">
        <f t="shared" si="0"/>
        <v>0</v>
      </c>
      <c r="D40">
        <f t="shared" si="1"/>
        <v>8.0329848017489966E-4</v>
      </c>
      <c r="E40">
        <f t="shared" si="2"/>
        <v>6.4528844825130368E-7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2024-10-07T22:33:11Z</dcterms:modified>
</cp:coreProperties>
</file>