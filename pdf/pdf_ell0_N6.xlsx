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2501" documentId="115_{16A845C6-DAA2-4762-8247-5DBB253287DF}" xr6:coauthVersionLast="47" xr6:coauthVersionMax="47" xr10:uidLastSave="{C9BD8702-D7F0-4393-B635-3557D9077E04}"/>
  <bookViews>
    <workbookView xWindow="-120" yWindow="-120" windowWidth="29040" windowHeight="15720" xr2:uid="{52D9C27D-0EF6-DD41-9728-0267E68F7539}"/>
  </bookViews>
  <sheets>
    <sheet name="Brody" sheetId="33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2" l="1"/>
  <c r="C5" i="32" s="1"/>
  <c r="D5" i="32" s="1"/>
  <c r="E5" i="32" s="1"/>
  <c r="H3" i="31"/>
  <c r="C5" i="31" s="1"/>
  <c r="D5" i="31" s="1"/>
  <c r="E5" i="31" s="1"/>
  <c r="H3" i="30"/>
  <c r="C5" i="30" s="1"/>
  <c r="D5" i="30" s="1"/>
  <c r="E5" i="30" s="1"/>
  <c r="H3" i="29"/>
  <c r="C5" i="29" s="1"/>
  <c r="D5" i="29" s="1"/>
  <c r="E5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5" i="25" s="1"/>
  <c r="D5" i="25" s="1"/>
  <c r="E5" i="25" s="1"/>
  <c r="H3" i="24"/>
  <c r="C5" i="24" s="1"/>
  <c r="D5" i="24" s="1"/>
  <c r="E5" i="24" s="1"/>
  <c r="H3" i="23"/>
  <c r="C5" i="23" s="1"/>
  <c r="D5" i="23" s="1"/>
  <c r="E5" i="23" s="1"/>
  <c r="H3" i="22"/>
  <c r="C5" i="22" s="1"/>
  <c r="D5" i="22" s="1"/>
  <c r="E5" i="22" s="1"/>
  <c r="H3" i="21"/>
  <c r="C5" i="21" s="1"/>
  <c r="D5" i="21" s="1"/>
  <c r="E5" i="21" s="1"/>
  <c r="H3" i="20"/>
  <c r="C5" i="20" s="1"/>
  <c r="D5" i="20" s="1"/>
  <c r="E5" i="20" s="1"/>
  <c r="H3" i="19"/>
  <c r="C5" i="19" s="1"/>
  <c r="D5" i="19" s="1"/>
  <c r="E5" i="19" s="1"/>
  <c r="H3" i="18"/>
  <c r="C5" i="18" s="1"/>
  <c r="D5" i="18" s="1"/>
  <c r="E5" i="18" s="1"/>
  <c r="H3" i="17"/>
  <c r="C5" i="17" s="1"/>
  <c r="D5" i="17" s="1"/>
  <c r="E5" i="17" s="1"/>
  <c r="H3" i="16"/>
  <c r="C5" i="16" s="1"/>
  <c r="D5" i="16" s="1"/>
  <c r="E5" i="16" s="1"/>
  <c r="H3" i="15"/>
  <c r="C5" i="15" s="1"/>
  <c r="D5" i="15" s="1"/>
  <c r="E5" i="15" s="1"/>
  <c r="H3" i="14"/>
  <c r="C5" i="14" s="1"/>
  <c r="D5" i="14" s="1"/>
  <c r="E5" i="14" s="1"/>
  <c r="H3" i="13"/>
  <c r="C5" i="13" s="1"/>
  <c r="D5" i="13" s="1"/>
  <c r="E5" i="13" s="1"/>
  <c r="H3" i="12"/>
  <c r="C5" i="12" s="1"/>
  <c r="D5" i="12" s="1"/>
  <c r="E5" i="12" s="1"/>
  <c r="H3" i="11"/>
  <c r="C5" i="11" s="1"/>
  <c r="D5" i="11" s="1"/>
  <c r="E5" i="11" s="1"/>
  <c r="H3" i="10"/>
  <c r="C5" i="10" s="1"/>
  <c r="D5" i="10" s="1"/>
  <c r="E5" i="10" s="1"/>
  <c r="H3" i="9"/>
  <c r="C5" i="9" s="1"/>
  <c r="D5" i="9" s="1"/>
  <c r="E5" i="9" s="1"/>
  <c r="H3" i="8"/>
  <c r="C5" i="8" s="1"/>
  <c r="D5" i="8" s="1"/>
  <c r="E5" i="8" s="1"/>
  <c r="H3" i="7"/>
  <c r="C5" i="7" s="1"/>
  <c r="D5" i="7" s="1"/>
  <c r="E5" i="7" s="1"/>
  <c r="H3" i="6"/>
  <c r="C5" i="6" s="1"/>
  <c r="D5" i="6" s="1"/>
  <c r="E5" i="6" s="1"/>
  <c r="H3" i="5"/>
  <c r="C5" i="5" s="1"/>
  <c r="D5" i="5" s="1"/>
  <c r="E5" i="5" s="1"/>
  <c r="H3" i="4"/>
  <c r="C5" i="4" s="1"/>
  <c r="D5" i="4" s="1"/>
  <c r="E5" i="4" s="1"/>
  <c r="H3" i="3"/>
  <c r="C5" i="3" s="1"/>
  <c r="D5" i="3" s="1"/>
  <c r="E5" i="3" s="1"/>
  <c r="H3" i="2"/>
  <c r="C1" i="2" s="1"/>
  <c r="D1" i="2" s="1"/>
  <c r="E1" i="2" s="1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1" i="33"/>
  <c r="C9" i="32" l="1"/>
  <c r="D9" i="32" s="1"/>
  <c r="E9" i="32" s="1"/>
  <c r="C13" i="32"/>
  <c r="D13" i="32" s="1"/>
  <c r="E13" i="32" s="1"/>
  <c r="C17" i="32"/>
  <c r="D17" i="32" s="1"/>
  <c r="E17" i="32" s="1"/>
  <c r="C21" i="32"/>
  <c r="D21" i="32" s="1"/>
  <c r="E21" i="32" s="1"/>
  <c r="C25" i="32"/>
  <c r="D25" i="32" s="1"/>
  <c r="E25" i="32" s="1"/>
  <c r="C29" i="32"/>
  <c r="D29" i="32" s="1"/>
  <c r="E29" i="32" s="1"/>
  <c r="C33" i="32"/>
  <c r="D33" i="32" s="1"/>
  <c r="E33" i="32" s="1"/>
  <c r="C37" i="32"/>
  <c r="D37" i="32" s="1"/>
  <c r="E37" i="32" s="1"/>
  <c r="C36" i="31"/>
  <c r="D36" i="31" s="1"/>
  <c r="E36" i="31" s="1"/>
  <c r="C2" i="31"/>
  <c r="D2" i="31" s="1"/>
  <c r="E2" i="31" s="1"/>
  <c r="C39" i="31"/>
  <c r="D39" i="31" s="1"/>
  <c r="E39" i="31" s="1"/>
  <c r="C10" i="31"/>
  <c r="D10" i="31" s="1"/>
  <c r="E10" i="31" s="1"/>
  <c r="C11" i="31"/>
  <c r="D11" i="31" s="1"/>
  <c r="E11" i="31" s="1"/>
  <c r="C12" i="31"/>
  <c r="D12" i="31" s="1"/>
  <c r="E12" i="31" s="1"/>
  <c r="C19" i="31"/>
  <c r="D19" i="31" s="1"/>
  <c r="E19" i="31" s="1"/>
  <c r="C40" i="31"/>
  <c r="D40" i="31" s="1"/>
  <c r="E40" i="31" s="1"/>
  <c r="C21" i="31"/>
  <c r="D21" i="31" s="1"/>
  <c r="E21" i="31" s="1"/>
  <c r="C22" i="31"/>
  <c r="D22" i="31" s="1"/>
  <c r="E22" i="31" s="1"/>
  <c r="C20" i="31"/>
  <c r="D20" i="31" s="1"/>
  <c r="E20" i="31" s="1"/>
  <c r="C29" i="31"/>
  <c r="D29" i="31" s="1"/>
  <c r="E29" i="31" s="1"/>
  <c r="C30" i="31"/>
  <c r="D30" i="31" s="1"/>
  <c r="E30" i="31" s="1"/>
  <c r="C31" i="31"/>
  <c r="D31" i="31" s="1"/>
  <c r="E31" i="31" s="1"/>
  <c r="C13" i="31"/>
  <c r="D13" i="31" s="1"/>
  <c r="E13" i="31" s="1"/>
  <c r="C32" i="31"/>
  <c r="D32" i="31" s="1"/>
  <c r="E32" i="31" s="1"/>
  <c r="C3" i="31"/>
  <c r="D3" i="31" s="1"/>
  <c r="E3" i="31" s="1"/>
  <c r="C14" i="31"/>
  <c r="D14" i="31" s="1"/>
  <c r="E14" i="31" s="1"/>
  <c r="C23" i="31"/>
  <c r="D23" i="31" s="1"/>
  <c r="E23" i="31" s="1"/>
  <c r="C33" i="31"/>
  <c r="D33" i="31" s="1"/>
  <c r="E33" i="31" s="1"/>
  <c r="C24" i="31"/>
  <c r="D24" i="31" s="1"/>
  <c r="E24" i="31" s="1"/>
  <c r="C34" i="31"/>
  <c r="D34" i="31" s="1"/>
  <c r="E34" i="31" s="1"/>
  <c r="C6" i="31"/>
  <c r="D6" i="31" s="1"/>
  <c r="E6" i="31" s="1"/>
  <c r="C15" i="31"/>
  <c r="D15" i="31" s="1"/>
  <c r="E15" i="31" s="1"/>
  <c r="C25" i="31"/>
  <c r="D25" i="31" s="1"/>
  <c r="E25" i="31" s="1"/>
  <c r="C16" i="31"/>
  <c r="D16" i="31" s="1"/>
  <c r="E16" i="31" s="1"/>
  <c r="C26" i="31"/>
  <c r="D26" i="31" s="1"/>
  <c r="E26" i="31" s="1"/>
  <c r="C35" i="31"/>
  <c r="D35" i="31" s="1"/>
  <c r="E35" i="31" s="1"/>
  <c r="C7" i="31"/>
  <c r="D7" i="31" s="1"/>
  <c r="E7" i="31" s="1"/>
  <c r="C8" i="31"/>
  <c r="D8" i="31" s="1"/>
  <c r="E8" i="31" s="1"/>
  <c r="C18" i="31"/>
  <c r="D18" i="31" s="1"/>
  <c r="E18" i="31" s="1"/>
  <c r="C27" i="31"/>
  <c r="D27" i="31" s="1"/>
  <c r="E27" i="31" s="1"/>
  <c r="C37" i="31"/>
  <c r="D37" i="31" s="1"/>
  <c r="E37" i="31" s="1"/>
  <c r="C17" i="31"/>
  <c r="D17" i="31" s="1"/>
  <c r="E17" i="31" s="1"/>
  <c r="C9" i="31"/>
  <c r="D9" i="31" s="1"/>
  <c r="E9" i="31" s="1"/>
  <c r="C28" i="31"/>
  <c r="D28" i="31" s="1"/>
  <c r="E28" i="31" s="1"/>
  <c r="C38" i="31"/>
  <c r="D38" i="31" s="1"/>
  <c r="E38" i="31" s="1"/>
  <c r="C10" i="30"/>
  <c r="D10" i="30" s="1"/>
  <c r="E10" i="30" s="1"/>
  <c r="C25" i="30"/>
  <c r="D25" i="30" s="1"/>
  <c r="E25" i="30" s="1"/>
  <c r="C34" i="30"/>
  <c r="D34" i="30" s="1"/>
  <c r="E34" i="30" s="1"/>
  <c r="C13" i="30"/>
  <c r="D13" i="30" s="1"/>
  <c r="E13" i="30" s="1"/>
  <c r="C37" i="30"/>
  <c r="D37" i="30" s="1"/>
  <c r="E37" i="30" s="1"/>
  <c r="C14" i="30"/>
  <c r="D14" i="30" s="1"/>
  <c r="E14" i="30" s="1"/>
  <c r="C17" i="30"/>
  <c r="D17" i="30" s="1"/>
  <c r="E17" i="30" s="1"/>
  <c r="C18" i="30"/>
  <c r="D18" i="30" s="1"/>
  <c r="E18" i="30" s="1"/>
  <c r="C21" i="30"/>
  <c r="D21" i="30" s="1"/>
  <c r="E21" i="30" s="1"/>
  <c r="C38" i="30"/>
  <c r="D38" i="30" s="1"/>
  <c r="E38" i="30" s="1"/>
  <c r="C22" i="30"/>
  <c r="D22" i="30" s="1"/>
  <c r="E22" i="30" s="1"/>
  <c r="C26" i="30"/>
  <c r="D26" i="30" s="1"/>
  <c r="E26" i="30" s="1"/>
  <c r="C29" i="30"/>
  <c r="D29" i="30" s="1"/>
  <c r="E29" i="30" s="1"/>
  <c r="C30" i="30"/>
  <c r="D30" i="30" s="1"/>
  <c r="E30" i="30" s="1"/>
  <c r="C6" i="30"/>
  <c r="D6" i="30" s="1"/>
  <c r="E6" i="30" s="1"/>
  <c r="C9" i="30"/>
  <c r="D9" i="30" s="1"/>
  <c r="E9" i="30" s="1"/>
  <c r="C33" i="30"/>
  <c r="D33" i="30" s="1"/>
  <c r="E33" i="30" s="1"/>
  <c r="C6" i="29"/>
  <c r="D6" i="29" s="1"/>
  <c r="E6" i="29" s="1"/>
  <c r="C22" i="29"/>
  <c r="D22" i="29" s="1"/>
  <c r="E22" i="29" s="1"/>
  <c r="C7" i="29"/>
  <c r="D7" i="29" s="1"/>
  <c r="E7" i="29" s="1"/>
  <c r="C9" i="29"/>
  <c r="D9" i="29" s="1"/>
  <c r="E9" i="29" s="1"/>
  <c r="C25" i="29"/>
  <c r="D25" i="29" s="1"/>
  <c r="E25" i="29" s="1"/>
  <c r="C23" i="29"/>
  <c r="D23" i="29" s="1"/>
  <c r="E23" i="29" s="1"/>
  <c r="C10" i="29"/>
  <c r="D10" i="29" s="1"/>
  <c r="E10" i="29" s="1"/>
  <c r="C26" i="29"/>
  <c r="D26" i="29" s="1"/>
  <c r="E26" i="29" s="1"/>
  <c r="C11" i="29"/>
  <c r="D11" i="29" s="1"/>
  <c r="E11" i="29" s="1"/>
  <c r="C14" i="29"/>
  <c r="D14" i="29" s="1"/>
  <c r="E14" i="29" s="1"/>
  <c r="C15" i="29"/>
  <c r="D15" i="29" s="1"/>
  <c r="E15" i="29" s="1"/>
  <c r="C34" i="29"/>
  <c r="D34" i="29" s="1"/>
  <c r="E34" i="29" s="1"/>
  <c r="C30" i="29"/>
  <c r="D30" i="29" s="1"/>
  <c r="E30" i="29" s="1"/>
  <c r="C33" i="29"/>
  <c r="D33" i="29" s="1"/>
  <c r="E33" i="29" s="1"/>
  <c r="C17" i="29"/>
  <c r="D17" i="29" s="1"/>
  <c r="E17" i="29" s="1"/>
  <c r="C37" i="29"/>
  <c r="D37" i="29" s="1"/>
  <c r="E37" i="29" s="1"/>
  <c r="C3" i="29"/>
  <c r="D3" i="29" s="1"/>
  <c r="E3" i="29" s="1"/>
  <c r="C29" i="29"/>
  <c r="D29" i="29" s="1"/>
  <c r="E29" i="29" s="1"/>
  <c r="C13" i="29"/>
  <c r="D13" i="29" s="1"/>
  <c r="E13" i="29" s="1"/>
  <c r="C1" i="29"/>
  <c r="D1" i="29" s="1"/>
  <c r="E1" i="29" s="1"/>
  <c r="C18" i="29"/>
  <c r="D18" i="29" s="1"/>
  <c r="E18" i="29" s="1"/>
  <c r="C38" i="29"/>
  <c r="D38" i="29" s="1"/>
  <c r="E38" i="29" s="1"/>
  <c r="C19" i="29"/>
  <c r="D19" i="29" s="1"/>
  <c r="E19" i="29" s="1"/>
  <c r="C21" i="29"/>
  <c r="D21" i="29" s="1"/>
  <c r="E21" i="29" s="1"/>
  <c r="C4" i="28"/>
  <c r="D4" i="28" s="1"/>
  <c r="E4" i="28" s="1"/>
  <c r="C26" i="28"/>
  <c r="D26" i="28" s="1"/>
  <c r="E26" i="28" s="1"/>
  <c r="C9" i="28"/>
  <c r="D9" i="28" s="1"/>
  <c r="E9" i="28" s="1"/>
  <c r="C10" i="28"/>
  <c r="D10" i="28" s="1"/>
  <c r="E10" i="28" s="1"/>
  <c r="C33" i="28"/>
  <c r="D33" i="28" s="1"/>
  <c r="E33" i="28" s="1"/>
  <c r="C25" i="28"/>
  <c r="D25" i="28" s="1"/>
  <c r="E25" i="28" s="1"/>
  <c r="C32" i="28"/>
  <c r="D32" i="28" s="1"/>
  <c r="E32" i="28" s="1"/>
  <c r="C13" i="28"/>
  <c r="D13" i="28" s="1"/>
  <c r="E13" i="28" s="1"/>
  <c r="C14" i="28"/>
  <c r="D14" i="28" s="1"/>
  <c r="E14" i="28" s="1"/>
  <c r="C34" i="28"/>
  <c r="D34" i="28" s="1"/>
  <c r="E34" i="28" s="1"/>
  <c r="C6" i="28"/>
  <c r="D6" i="28" s="1"/>
  <c r="E6" i="28" s="1"/>
  <c r="C12" i="28"/>
  <c r="D12" i="28" s="1"/>
  <c r="E12" i="28" s="1"/>
  <c r="C16" i="28"/>
  <c r="D16" i="28" s="1"/>
  <c r="E16" i="28" s="1"/>
  <c r="C28" i="28"/>
  <c r="D28" i="28" s="1"/>
  <c r="E28" i="28" s="1"/>
  <c r="C29" i="28"/>
  <c r="D29" i="28" s="1"/>
  <c r="E29" i="28" s="1"/>
  <c r="C30" i="28"/>
  <c r="D30" i="28" s="1"/>
  <c r="E30" i="28" s="1"/>
  <c r="C1" i="28"/>
  <c r="D1" i="28" s="1"/>
  <c r="E1" i="28" s="1"/>
  <c r="C18" i="28"/>
  <c r="D18" i="28" s="1"/>
  <c r="E18" i="28" s="1"/>
  <c r="C17" i="28"/>
  <c r="D17" i="28" s="1"/>
  <c r="E17" i="28" s="1"/>
  <c r="C3" i="28"/>
  <c r="D3" i="28" s="1"/>
  <c r="E3" i="28" s="1"/>
  <c r="C22" i="28"/>
  <c r="D22" i="28" s="1"/>
  <c r="E22" i="28" s="1"/>
  <c r="C20" i="28"/>
  <c r="D20" i="28" s="1"/>
  <c r="E20" i="28" s="1"/>
  <c r="C37" i="28"/>
  <c r="D37" i="28" s="1"/>
  <c r="E37" i="28" s="1"/>
  <c r="C21" i="28"/>
  <c r="D21" i="28" s="1"/>
  <c r="E21" i="28" s="1"/>
  <c r="C38" i="28"/>
  <c r="D38" i="28" s="1"/>
  <c r="E38" i="28" s="1"/>
  <c r="C8" i="28"/>
  <c r="D8" i="28" s="1"/>
  <c r="E8" i="28" s="1"/>
  <c r="C24" i="28"/>
  <c r="D24" i="28" s="1"/>
  <c r="E24" i="28" s="1"/>
  <c r="C18" i="27"/>
  <c r="D18" i="27" s="1"/>
  <c r="E18" i="27" s="1"/>
  <c r="C36" i="27"/>
  <c r="D36" i="27" s="1"/>
  <c r="E36" i="27" s="1"/>
  <c r="C39" i="27"/>
  <c r="D39" i="27" s="1"/>
  <c r="E39" i="27" s="1"/>
  <c r="C40" i="27"/>
  <c r="D40" i="27" s="1"/>
  <c r="E40" i="27" s="1"/>
  <c r="C1" i="27"/>
  <c r="D1" i="27" s="1"/>
  <c r="E1" i="27" s="1"/>
  <c r="C2" i="27"/>
  <c r="D2" i="27" s="1"/>
  <c r="E2" i="27" s="1"/>
  <c r="C12" i="27"/>
  <c r="D12" i="27" s="1"/>
  <c r="E12" i="27" s="1"/>
  <c r="C15" i="27"/>
  <c r="D15" i="27" s="1"/>
  <c r="E15" i="27" s="1"/>
  <c r="C17" i="27"/>
  <c r="D17" i="27" s="1"/>
  <c r="E17" i="27" s="1"/>
  <c r="C37" i="27"/>
  <c r="D37" i="27" s="1"/>
  <c r="E37" i="27" s="1"/>
  <c r="C19" i="27"/>
  <c r="D19" i="27" s="1"/>
  <c r="E19" i="27" s="1"/>
  <c r="C21" i="27"/>
  <c r="D21" i="27" s="1"/>
  <c r="E21" i="27" s="1"/>
  <c r="C6" i="27"/>
  <c r="D6" i="27" s="1"/>
  <c r="E6" i="27" s="1"/>
  <c r="C22" i="27"/>
  <c r="D22" i="27" s="1"/>
  <c r="E22" i="27" s="1"/>
  <c r="C7" i="27"/>
  <c r="D7" i="27" s="1"/>
  <c r="E7" i="27" s="1"/>
  <c r="C25" i="27"/>
  <c r="D25" i="27" s="1"/>
  <c r="E25" i="27" s="1"/>
  <c r="C8" i="27"/>
  <c r="D8" i="27" s="1"/>
  <c r="E8" i="27" s="1"/>
  <c r="C9" i="27"/>
  <c r="D9" i="27" s="1"/>
  <c r="E9" i="27" s="1"/>
  <c r="C28" i="27"/>
  <c r="D28" i="27" s="1"/>
  <c r="E28" i="27" s="1"/>
  <c r="C27" i="27"/>
  <c r="D27" i="27" s="1"/>
  <c r="E27" i="27" s="1"/>
  <c r="C10" i="27"/>
  <c r="D10" i="27" s="1"/>
  <c r="E10" i="27" s="1"/>
  <c r="C29" i="27"/>
  <c r="D29" i="27" s="1"/>
  <c r="E29" i="27" s="1"/>
  <c r="C11" i="27"/>
  <c r="D11" i="27" s="1"/>
  <c r="E11" i="27" s="1"/>
  <c r="C31" i="27"/>
  <c r="D31" i="27" s="1"/>
  <c r="E31" i="27" s="1"/>
  <c r="C20" i="27"/>
  <c r="D20" i="27" s="1"/>
  <c r="E20" i="27" s="1"/>
  <c r="C30" i="27"/>
  <c r="D30" i="27" s="1"/>
  <c r="E30" i="27" s="1"/>
  <c r="C13" i="27"/>
  <c r="D13" i="27" s="1"/>
  <c r="E13" i="27" s="1"/>
  <c r="C32" i="27"/>
  <c r="D32" i="27" s="1"/>
  <c r="E32" i="27" s="1"/>
  <c r="C3" i="27"/>
  <c r="D3" i="27" s="1"/>
  <c r="E3" i="27" s="1"/>
  <c r="C14" i="27"/>
  <c r="D14" i="27" s="1"/>
  <c r="E14" i="27" s="1"/>
  <c r="C23" i="27"/>
  <c r="D23" i="27" s="1"/>
  <c r="E23" i="27" s="1"/>
  <c r="C33" i="27"/>
  <c r="D33" i="27" s="1"/>
  <c r="E33" i="27" s="1"/>
  <c r="C24" i="27"/>
  <c r="D24" i="27" s="1"/>
  <c r="E24" i="27" s="1"/>
  <c r="C34" i="27"/>
  <c r="D34" i="27" s="1"/>
  <c r="E34" i="27" s="1"/>
  <c r="C16" i="27"/>
  <c r="D16" i="27" s="1"/>
  <c r="E16" i="27" s="1"/>
  <c r="C26" i="27"/>
  <c r="D26" i="27" s="1"/>
  <c r="E26" i="27" s="1"/>
  <c r="C35" i="27"/>
  <c r="D35" i="27" s="1"/>
  <c r="E35" i="27" s="1"/>
  <c r="C25" i="26"/>
  <c r="D25" i="26" s="1"/>
  <c r="E25" i="26" s="1"/>
  <c r="C29" i="26"/>
  <c r="D29" i="26" s="1"/>
  <c r="E29" i="26" s="1"/>
  <c r="C9" i="26"/>
  <c r="D9" i="26" s="1"/>
  <c r="E9" i="26" s="1"/>
  <c r="C21" i="26"/>
  <c r="D21" i="26" s="1"/>
  <c r="E21" i="26" s="1"/>
  <c r="C33" i="26"/>
  <c r="D33" i="26" s="1"/>
  <c r="E33" i="26" s="1"/>
  <c r="C37" i="26"/>
  <c r="D37" i="26" s="1"/>
  <c r="E37" i="26" s="1"/>
  <c r="C13" i="26"/>
  <c r="D13" i="26" s="1"/>
  <c r="E13" i="26" s="1"/>
  <c r="C17" i="26"/>
  <c r="D17" i="26" s="1"/>
  <c r="E17" i="26" s="1"/>
  <c r="C24" i="25"/>
  <c r="D24" i="25" s="1"/>
  <c r="E24" i="25" s="1"/>
  <c r="C26" i="25"/>
  <c r="D26" i="25" s="1"/>
  <c r="E26" i="25" s="1"/>
  <c r="C3" i="25"/>
  <c r="D3" i="25" s="1"/>
  <c r="E3" i="25" s="1"/>
  <c r="C32" i="25"/>
  <c r="D32" i="25" s="1"/>
  <c r="E32" i="25" s="1"/>
  <c r="C33" i="25"/>
  <c r="D33" i="25" s="1"/>
  <c r="E33" i="25" s="1"/>
  <c r="C8" i="25"/>
  <c r="D8" i="25" s="1"/>
  <c r="E8" i="25" s="1"/>
  <c r="C9" i="25"/>
  <c r="D9" i="25" s="1"/>
  <c r="E9" i="25" s="1"/>
  <c r="C34" i="25"/>
  <c r="D34" i="25" s="1"/>
  <c r="E34" i="25" s="1"/>
  <c r="C36" i="25"/>
  <c r="D36" i="25" s="1"/>
  <c r="E36" i="25" s="1"/>
  <c r="C38" i="25"/>
  <c r="D38" i="25" s="1"/>
  <c r="E38" i="25" s="1"/>
  <c r="C10" i="25"/>
  <c r="D10" i="25" s="1"/>
  <c r="E10" i="25" s="1"/>
  <c r="C14" i="25"/>
  <c r="D14" i="25" s="1"/>
  <c r="E14" i="25" s="1"/>
  <c r="C12" i="25"/>
  <c r="D12" i="25" s="1"/>
  <c r="E12" i="25" s="1"/>
  <c r="C21" i="25"/>
  <c r="D21" i="25" s="1"/>
  <c r="E21" i="25" s="1"/>
  <c r="C20" i="25"/>
  <c r="D20" i="25" s="1"/>
  <c r="E20" i="25" s="1"/>
  <c r="C22" i="25"/>
  <c r="D22" i="25" s="1"/>
  <c r="E22" i="25" s="1"/>
  <c r="C13" i="25"/>
  <c r="D13" i="25" s="1"/>
  <c r="E13" i="25" s="1"/>
  <c r="C25" i="25"/>
  <c r="D25" i="25" s="1"/>
  <c r="E25" i="25" s="1"/>
  <c r="C37" i="25"/>
  <c r="D37" i="25" s="1"/>
  <c r="E37" i="25" s="1"/>
  <c r="C1" i="25"/>
  <c r="D1" i="25" s="1"/>
  <c r="E1" i="25" s="1"/>
  <c r="C16" i="25"/>
  <c r="D16" i="25" s="1"/>
  <c r="E16" i="25" s="1"/>
  <c r="C28" i="25"/>
  <c r="D28" i="25" s="1"/>
  <c r="E28" i="25" s="1"/>
  <c r="C40" i="25"/>
  <c r="D40" i="25" s="1"/>
  <c r="E40" i="25" s="1"/>
  <c r="C17" i="25"/>
  <c r="D17" i="25" s="1"/>
  <c r="E17" i="25" s="1"/>
  <c r="C29" i="25"/>
  <c r="D29" i="25" s="1"/>
  <c r="E29" i="25" s="1"/>
  <c r="C6" i="25"/>
  <c r="D6" i="25" s="1"/>
  <c r="E6" i="25" s="1"/>
  <c r="C18" i="25"/>
  <c r="D18" i="25" s="1"/>
  <c r="E18" i="25" s="1"/>
  <c r="C30" i="25"/>
  <c r="D30" i="25" s="1"/>
  <c r="E30" i="25" s="1"/>
  <c r="C17" i="24"/>
  <c r="D17" i="24" s="1"/>
  <c r="E17" i="24" s="1"/>
  <c r="C21" i="24"/>
  <c r="D21" i="24" s="1"/>
  <c r="E21" i="24" s="1"/>
  <c r="C33" i="24"/>
  <c r="D33" i="24" s="1"/>
  <c r="E33" i="24" s="1"/>
  <c r="C25" i="24"/>
  <c r="D25" i="24" s="1"/>
  <c r="E25" i="24" s="1"/>
  <c r="C13" i="24"/>
  <c r="D13" i="24" s="1"/>
  <c r="E13" i="24" s="1"/>
  <c r="C29" i="24"/>
  <c r="D29" i="24" s="1"/>
  <c r="E29" i="24" s="1"/>
  <c r="C37" i="24"/>
  <c r="D37" i="24" s="1"/>
  <c r="E37" i="24" s="1"/>
  <c r="C9" i="24"/>
  <c r="D9" i="24" s="1"/>
  <c r="E9" i="24" s="1"/>
  <c r="C21" i="23"/>
  <c r="D21" i="23" s="1"/>
  <c r="E21" i="23" s="1"/>
  <c r="C6" i="23"/>
  <c r="D6" i="23" s="1"/>
  <c r="E6" i="23" s="1"/>
  <c r="C7" i="23"/>
  <c r="D7" i="23" s="1"/>
  <c r="E7" i="23" s="1"/>
  <c r="C25" i="23"/>
  <c r="D25" i="23" s="1"/>
  <c r="E25" i="23" s="1"/>
  <c r="C9" i="23"/>
  <c r="D9" i="23" s="1"/>
  <c r="E9" i="23" s="1"/>
  <c r="C27" i="23"/>
  <c r="D27" i="23" s="1"/>
  <c r="E27" i="23" s="1"/>
  <c r="C10" i="23"/>
  <c r="D10" i="23" s="1"/>
  <c r="E10" i="23" s="1"/>
  <c r="C29" i="23"/>
  <c r="D29" i="23" s="1"/>
  <c r="E29" i="23" s="1"/>
  <c r="C23" i="23"/>
  <c r="D23" i="23" s="1"/>
  <c r="E23" i="23" s="1"/>
  <c r="C11" i="23"/>
  <c r="D11" i="23" s="1"/>
  <c r="E11" i="23" s="1"/>
  <c r="C31" i="23"/>
  <c r="D31" i="23" s="1"/>
  <c r="E31" i="23" s="1"/>
  <c r="C13" i="23"/>
  <c r="D13" i="23" s="1"/>
  <c r="E13" i="23" s="1"/>
  <c r="C33" i="23"/>
  <c r="D33" i="23" s="1"/>
  <c r="E33" i="23" s="1"/>
  <c r="C2" i="23"/>
  <c r="D2" i="23" s="1"/>
  <c r="E2" i="23" s="1"/>
  <c r="C14" i="23"/>
  <c r="D14" i="23" s="1"/>
  <c r="E14" i="23" s="1"/>
  <c r="C15" i="23"/>
  <c r="D15" i="23" s="1"/>
  <c r="E15" i="23" s="1"/>
  <c r="C37" i="23"/>
  <c r="D37" i="23" s="1"/>
  <c r="E37" i="23" s="1"/>
  <c r="C35" i="23"/>
  <c r="D35" i="23" s="1"/>
  <c r="E35" i="23" s="1"/>
  <c r="C17" i="23"/>
  <c r="D17" i="23" s="1"/>
  <c r="E17" i="23" s="1"/>
  <c r="C39" i="23"/>
  <c r="D39" i="23" s="1"/>
  <c r="E39" i="23" s="1"/>
  <c r="C18" i="23"/>
  <c r="D18" i="23" s="1"/>
  <c r="E18" i="23" s="1"/>
  <c r="C19" i="23"/>
  <c r="D19" i="23" s="1"/>
  <c r="E19" i="23" s="1"/>
  <c r="C19" i="22"/>
  <c r="D19" i="22" s="1"/>
  <c r="E19" i="22" s="1"/>
  <c r="C21" i="22"/>
  <c r="D21" i="22" s="1"/>
  <c r="E21" i="22" s="1"/>
  <c r="C23" i="22"/>
  <c r="D23" i="22" s="1"/>
  <c r="E23" i="22" s="1"/>
  <c r="C25" i="22"/>
  <c r="D25" i="22" s="1"/>
  <c r="E25" i="22" s="1"/>
  <c r="C29" i="22"/>
  <c r="D29" i="22" s="1"/>
  <c r="E29" i="22" s="1"/>
  <c r="C7" i="22"/>
  <c r="D7" i="22" s="1"/>
  <c r="E7" i="22" s="1"/>
  <c r="C9" i="22"/>
  <c r="D9" i="22" s="1"/>
  <c r="E9" i="22" s="1"/>
  <c r="C11" i="22"/>
  <c r="D11" i="22" s="1"/>
  <c r="E11" i="22" s="1"/>
  <c r="C33" i="22"/>
  <c r="D33" i="22" s="1"/>
  <c r="E33" i="22" s="1"/>
  <c r="C13" i="22"/>
  <c r="D13" i="22" s="1"/>
  <c r="E13" i="22" s="1"/>
  <c r="C35" i="22"/>
  <c r="D35" i="22" s="1"/>
  <c r="E35" i="22" s="1"/>
  <c r="C27" i="22"/>
  <c r="D27" i="22" s="1"/>
  <c r="E27" i="22" s="1"/>
  <c r="C31" i="22"/>
  <c r="D31" i="22" s="1"/>
  <c r="E31" i="22" s="1"/>
  <c r="C15" i="22"/>
  <c r="D15" i="22" s="1"/>
  <c r="E15" i="22" s="1"/>
  <c r="C37" i="22"/>
  <c r="D37" i="22" s="1"/>
  <c r="E37" i="22" s="1"/>
  <c r="C2" i="22"/>
  <c r="D2" i="22" s="1"/>
  <c r="E2" i="22" s="1"/>
  <c r="C17" i="22"/>
  <c r="D17" i="22" s="1"/>
  <c r="E17" i="22" s="1"/>
  <c r="C9" i="21"/>
  <c r="D9" i="21" s="1"/>
  <c r="E9" i="21" s="1"/>
  <c r="C33" i="21"/>
  <c r="D33" i="21" s="1"/>
  <c r="E33" i="21" s="1"/>
  <c r="C12" i="21"/>
  <c r="D12" i="21" s="1"/>
  <c r="E12" i="21" s="1"/>
  <c r="C36" i="21"/>
  <c r="D36" i="21" s="1"/>
  <c r="E36" i="21" s="1"/>
  <c r="C13" i="21"/>
  <c r="D13" i="21" s="1"/>
  <c r="E13" i="21" s="1"/>
  <c r="C37" i="21"/>
  <c r="D37" i="21" s="1"/>
  <c r="E37" i="21" s="1"/>
  <c r="C16" i="21"/>
  <c r="D16" i="21" s="1"/>
  <c r="E16" i="21" s="1"/>
  <c r="C40" i="21"/>
  <c r="D40" i="21" s="1"/>
  <c r="E40" i="21" s="1"/>
  <c r="C17" i="21"/>
  <c r="D17" i="21" s="1"/>
  <c r="E17" i="21" s="1"/>
  <c r="C20" i="21"/>
  <c r="D20" i="21" s="1"/>
  <c r="E20" i="21" s="1"/>
  <c r="C21" i="21"/>
  <c r="D21" i="21" s="1"/>
  <c r="E21" i="21" s="1"/>
  <c r="C24" i="21"/>
  <c r="D24" i="21" s="1"/>
  <c r="E24" i="21" s="1"/>
  <c r="C25" i="21"/>
  <c r="D25" i="21" s="1"/>
  <c r="E25" i="21" s="1"/>
  <c r="C3" i="21"/>
  <c r="D3" i="21" s="1"/>
  <c r="E3" i="21" s="1"/>
  <c r="C28" i="21"/>
  <c r="D28" i="21" s="1"/>
  <c r="E28" i="21" s="1"/>
  <c r="C29" i="21"/>
  <c r="D29" i="21" s="1"/>
  <c r="E29" i="21" s="1"/>
  <c r="C8" i="21"/>
  <c r="D8" i="21" s="1"/>
  <c r="E8" i="21" s="1"/>
  <c r="C32" i="21"/>
  <c r="D32" i="21" s="1"/>
  <c r="E32" i="21" s="1"/>
  <c r="C9" i="20"/>
  <c r="D9" i="20" s="1"/>
  <c r="E9" i="20" s="1"/>
  <c r="C13" i="20"/>
  <c r="D13" i="20" s="1"/>
  <c r="E13" i="20" s="1"/>
  <c r="C17" i="20"/>
  <c r="D17" i="20" s="1"/>
  <c r="E17" i="20" s="1"/>
  <c r="C21" i="20"/>
  <c r="D21" i="20" s="1"/>
  <c r="E21" i="20" s="1"/>
  <c r="C25" i="20"/>
  <c r="D25" i="20" s="1"/>
  <c r="E25" i="20" s="1"/>
  <c r="C29" i="20"/>
  <c r="D29" i="20" s="1"/>
  <c r="E29" i="20" s="1"/>
  <c r="C33" i="20"/>
  <c r="D33" i="20" s="1"/>
  <c r="E33" i="20" s="1"/>
  <c r="C37" i="20"/>
  <c r="D37" i="20" s="1"/>
  <c r="E37" i="20" s="1"/>
  <c r="C9" i="19"/>
  <c r="D9" i="19" s="1"/>
  <c r="E9" i="19" s="1"/>
  <c r="C10" i="19"/>
  <c r="D10" i="19" s="1"/>
  <c r="E10" i="19" s="1"/>
  <c r="C25" i="19"/>
  <c r="D25" i="19" s="1"/>
  <c r="E25" i="19" s="1"/>
  <c r="C34" i="19"/>
  <c r="D34" i="19" s="1"/>
  <c r="E34" i="19" s="1"/>
  <c r="C14" i="19"/>
  <c r="D14" i="19" s="1"/>
  <c r="E14" i="19" s="1"/>
  <c r="C17" i="19"/>
  <c r="D17" i="19" s="1"/>
  <c r="E17" i="19" s="1"/>
  <c r="C18" i="19"/>
  <c r="D18" i="19" s="1"/>
  <c r="E18" i="19" s="1"/>
  <c r="C22" i="19"/>
  <c r="D22" i="19" s="1"/>
  <c r="E22" i="19" s="1"/>
  <c r="C21" i="19"/>
  <c r="D21" i="19" s="1"/>
  <c r="E21" i="19" s="1"/>
  <c r="C33" i="19"/>
  <c r="D33" i="19" s="1"/>
  <c r="E33" i="19" s="1"/>
  <c r="C26" i="19"/>
  <c r="D26" i="19" s="1"/>
  <c r="E26" i="19" s="1"/>
  <c r="C29" i="19"/>
  <c r="D29" i="19" s="1"/>
  <c r="E29" i="19" s="1"/>
  <c r="C6" i="19"/>
  <c r="D6" i="19" s="1"/>
  <c r="E6" i="19" s="1"/>
  <c r="C30" i="19"/>
  <c r="D30" i="19" s="1"/>
  <c r="E30" i="19" s="1"/>
  <c r="C13" i="19"/>
  <c r="D13" i="19" s="1"/>
  <c r="E13" i="19" s="1"/>
  <c r="C37" i="19"/>
  <c r="D37" i="19" s="1"/>
  <c r="E37" i="19" s="1"/>
  <c r="C17" i="18"/>
  <c r="D17" i="18" s="1"/>
  <c r="E17" i="18" s="1"/>
  <c r="C25" i="18"/>
  <c r="D25" i="18" s="1"/>
  <c r="E25" i="18" s="1"/>
  <c r="C26" i="18"/>
  <c r="D26" i="18" s="1"/>
  <c r="E26" i="18" s="1"/>
  <c r="C29" i="18"/>
  <c r="D29" i="18" s="1"/>
  <c r="E29" i="18" s="1"/>
  <c r="C33" i="18"/>
  <c r="D33" i="18" s="1"/>
  <c r="E33" i="18" s="1"/>
  <c r="C18" i="18"/>
  <c r="D18" i="18" s="1"/>
  <c r="E18" i="18" s="1"/>
  <c r="C34" i="18"/>
  <c r="D34" i="18" s="1"/>
  <c r="E34" i="18" s="1"/>
  <c r="C3" i="18"/>
  <c r="D3" i="18" s="1"/>
  <c r="E3" i="18" s="1"/>
  <c r="C9" i="18"/>
  <c r="D9" i="18" s="1"/>
  <c r="E9" i="18" s="1"/>
  <c r="C13" i="18"/>
  <c r="D13" i="18" s="1"/>
  <c r="E13" i="18" s="1"/>
  <c r="C14" i="18"/>
  <c r="D14" i="18" s="1"/>
  <c r="E14" i="18" s="1"/>
  <c r="C30" i="18"/>
  <c r="D30" i="18" s="1"/>
  <c r="E30" i="18" s="1"/>
  <c r="C16" i="18"/>
  <c r="D16" i="18" s="1"/>
  <c r="E16" i="18" s="1"/>
  <c r="C32" i="18"/>
  <c r="D32" i="18" s="1"/>
  <c r="E32" i="18" s="1"/>
  <c r="C20" i="18"/>
  <c r="D20" i="18" s="1"/>
  <c r="E20" i="18" s="1"/>
  <c r="C37" i="18"/>
  <c r="D37" i="18" s="1"/>
  <c r="E37" i="18" s="1"/>
  <c r="C4" i="18"/>
  <c r="D4" i="18" s="1"/>
  <c r="E4" i="18" s="1"/>
  <c r="C21" i="18"/>
  <c r="D21" i="18" s="1"/>
  <c r="E21" i="18" s="1"/>
  <c r="C38" i="18"/>
  <c r="D38" i="18" s="1"/>
  <c r="E38" i="18" s="1"/>
  <c r="C6" i="18"/>
  <c r="D6" i="18" s="1"/>
  <c r="E6" i="18" s="1"/>
  <c r="C22" i="18"/>
  <c r="D22" i="18" s="1"/>
  <c r="E22" i="18" s="1"/>
  <c r="C8" i="18"/>
  <c r="D8" i="18" s="1"/>
  <c r="E8" i="18" s="1"/>
  <c r="C24" i="18"/>
  <c r="D24" i="18" s="1"/>
  <c r="E24" i="18" s="1"/>
  <c r="C10" i="18"/>
  <c r="D10" i="18" s="1"/>
  <c r="E10" i="18" s="1"/>
  <c r="C12" i="18"/>
  <c r="D12" i="18" s="1"/>
  <c r="E12" i="18" s="1"/>
  <c r="C28" i="18"/>
  <c r="D28" i="18" s="1"/>
  <c r="E28" i="18" s="1"/>
  <c r="C15" i="17"/>
  <c r="D15" i="17" s="1"/>
  <c r="E15" i="17" s="1"/>
  <c r="C26" i="17"/>
  <c r="D26" i="17" s="1"/>
  <c r="E26" i="17" s="1"/>
  <c r="C1" i="17"/>
  <c r="D1" i="17" s="1"/>
  <c r="E1" i="17" s="1"/>
  <c r="C33" i="17"/>
  <c r="D33" i="17" s="1"/>
  <c r="E33" i="17" s="1"/>
  <c r="C38" i="17"/>
  <c r="D38" i="17" s="1"/>
  <c r="E38" i="17" s="1"/>
  <c r="C14" i="17"/>
  <c r="D14" i="17" s="1"/>
  <c r="E14" i="17" s="1"/>
  <c r="C9" i="17"/>
  <c r="D9" i="17" s="1"/>
  <c r="E9" i="17" s="1"/>
  <c r="C13" i="17"/>
  <c r="D13" i="17" s="1"/>
  <c r="E13" i="17" s="1"/>
  <c r="C25" i="17"/>
  <c r="D25" i="17" s="1"/>
  <c r="E25" i="17" s="1"/>
  <c r="C37" i="17"/>
  <c r="D37" i="17" s="1"/>
  <c r="E37" i="17" s="1"/>
  <c r="C3" i="17"/>
  <c r="D3" i="17" s="1"/>
  <c r="E3" i="17" s="1"/>
  <c r="C16" i="17"/>
  <c r="D16" i="17" s="1"/>
  <c r="E16" i="17" s="1"/>
  <c r="C28" i="17"/>
  <c r="D28" i="17" s="1"/>
  <c r="E28" i="17" s="1"/>
  <c r="C40" i="17"/>
  <c r="D40" i="17" s="1"/>
  <c r="E40" i="17" s="1"/>
  <c r="C4" i="17"/>
  <c r="D4" i="17" s="1"/>
  <c r="E4" i="17" s="1"/>
  <c r="C17" i="17"/>
  <c r="D17" i="17" s="1"/>
  <c r="E17" i="17" s="1"/>
  <c r="C29" i="17"/>
  <c r="D29" i="17" s="1"/>
  <c r="E29" i="17" s="1"/>
  <c r="C6" i="17"/>
  <c r="D6" i="17" s="1"/>
  <c r="E6" i="17" s="1"/>
  <c r="C18" i="17"/>
  <c r="D18" i="17" s="1"/>
  <c r="E18" i="17" s="1"/>
  <c r="C30" i="17"/>
  <c r="D30" i="17" s="1"/>
  <c r="E30" i="17" s="1"/>
  <c r="C39" i="17"/>
  <c r="D39" i="17" s="1"/>
  <c r="E39" i="17" s="1"/>
  <c r="C7" i="17"/>
  <c r="D7" i="17" s="1"/>
  <c r="E7" i="17" s="1"/>
  <c r="C19" i="17"/>
  <c r="D19" i="17" s="1"/>
  <c r="E19" i="17" s="1"/>
  <c r="C31" i="17"/>
  <c r="D31" i="17" s="1"/>
  <c r="E31" i="17" s="1"/>
  <c r="C27" i="17"/>
  <c r="D27" i="17" s="1"/>
  <c r="E27" i="17" s="1"/>
  <c r="C8" i="17"/>
  <c r="D8" i="17" s="1"/>
  <c r="E8" i="17" s="1"/>
  <c r="C20" i="17"/>
  <c r="D20" i="17" s="1"/>
  <c r="E20" i="17" s="1"/>
  <c r="C32" i="17"/>
  <c r="D32" i="17" s="1"/>
  <c r="E32" i="17" s="1"/>
  <c r="C10" i="17"/>
  <c r="D10" i="17" s="1"/>
  <c r="E10" i="17" s="1"/>
  <c r="C22" i="17"/>
  <c r="D22" i="17" s="1"/>
  <c r="E22" i="17" s="1"/>
  <c r="C34" i="17"/>
  <c r="D34" i="17" s="1"/>
  <c r="E34" i="17" s="1"/>
  <c r="C11" i="17"/>
  <c r="D11" i="17" s="1"/>
  <c r="E11" i="17" s="1"/>
  <c r="C23" i="17"/>
  <c r="D23" i="17" s="1"/>
  <c r="E23" i="17" s="1"/>
  <c r="C35" i="17"/>
  <c r="D35" i="17" s="1"/>
  <c r="E35" i="17" s="1"/>
  <c r="C21" i="17"/>
  <c r="D21" i="17" s="1"/>
  <c r="E21" i="17" s="1"/>
  <c r="C12" i="17"/>
  <c r="D12" i="17" s="1"/>
  <c r="E12" i="17" s="1"/>
  <c r="C24" i="17"/>
  <c r="D24" i="17" s="1"/>
  <c r="E24" i="17" s="1"/>
  <c r="C36" i="17"/>
  <c r="D36" i="17" s="1"/>
  <c r="E36" i="17" s="1"/>
  <c r="C37" i="16"/>
  <c r="D37" i="16" s="1"/>
  <c r="E37" i="16" s="1"/>
  <c r="C25" i="16"/>
  <c r="D25" i="16" s="1"/>
  <c r="E25" i="16" s="1"/>
  <c r="C9" i="16"/>
  <c r="D9" i="16" s="1"/>
  <c r="E9" i="16" s="1"/>
  <c r="C13" i="16"/>
  <c r="D13" i="16" s="1"/>
  <c r="E13" i="16" s="1"/>
  <c r="C17" i="16"/>
  <c r="D17" i="16" s="1"/>
  <c r="E17" i="16" s="1"/>
  <c r="C21" i="16"/>
  <c r="D21" i="16" s="1"/>
  <c r="E21" i="16" s="1"/>
  <c r="C29" i="16"/>
  <c r="D29" i="16" s="1"/>
  <c r="E29" i="16" s="1"/>
  <c r="C33" i="16"/>
  <c r="D33" i="16" s="1"/>
  <c r="E33" i="16" s="1"/>
  <c r="C14" i="15"/>
  <c r="D14" i="15" s="1"/>
  <c r="E14" i="15" s="1"/>
  <c r="C30" i="15"/>
  <c r="D30" i="15" s="1"/>
  <c r="E30" i="15" s="1"/>
  <c r="C16" i="15"/>
  <c r="D16" i="15" s="1"/>
  <c r="E16" i="15" s="1"/>
  <c r="C32" i="15"/>
  <c r="D32" i="15" s="1"/>
  <c r="E32" i="15" s="1"/>
  <c r="C17" i="15"/>
  <c r="D17" i="15" s="1"/>
  <c r="E17" i="15" s="1"/>
  <c r="C33" i="15"/>
  <c r="D33" i="15" s="1"/>
  <c r="E33" i="15" s="1"/>
  <c r="C18" i="15"/>
  <c r="D18" i="15" s="1"/>
  <c r="E18" i="15" s="1"/>
  <c r="C34" i="15"/>
  <c r="D34" i="15" s="1"/>
  <c r="E34" i="15" s="1"/>
  <c r="C20" i="15"/>
  <c r="D20" i="15" s="1"/>
  <c r="E20" i="15" s="1"/>
  <c r="C37" i="15"/>
  <c r="D37" i="15" s="1"/>
  <c r="E37" i="15" s="1"/>
  <c r="C21" i="15"/>
  <c r="D21" i="15" s="1"/>
  <c r="E21" i="15" s="1"/>
  <c r="C6" i="15"/>
  <c r="D6" i="15" s="1"/>
  <c r="E6" i="15" s="1"/>
  <c r="C8" i="15"/>
  <c r="D8" i="15" s="1"/>
  <c r="E8" i="15" s="1"/>
  <c r="C24" i="15"/>
  <c r="D24" i="15" s="1"/>
  <c r="E24" i="15" s="1"/>
  <c r="C22" i="15"/>
  <c r="D22" i="15" s="1"/>
  <c r="E22" i="15" s="1"/>
  <c r="C9" i="15"/>
  <c r="D9" i="15" s="1"/>
  <c r="E9" i="15" s="1"/>
  <c r="C25" i="15"/>
  <c r="D25" i="15" s="1"/>
  <c r="E25" i="15" s="1"/>
  <c r="C1" i="15"/>
  <c r="D1" i="15" s="1"/>
  <c r="E1" i="15" s="1"/>
  <c r="C38" i="15"/>
  <c r="D38" i="15" s="1"/>
  <c r="E38" i="15" s="1"/>
  <c r="C10" i="15"/>
  <c r="D10" i="15" s="1"/>
  <c r="E10" i="15" s="1"/>
  <c r="C26" i="15"/>
  <c r="D26" i="15" s="1"/>
  <c r="E26" i="15" s="1"/>
  <c r="C12" i="15"/>
  <c r="D12" i="15" s="1"/>
  <c r="E12" i="15" s="1"/>
  <c r="C28" i="15"/>
  <c r="D28" i="15" s="1"/>
  <c r="E28" i="15" s="1"/>
  <c r="C13" i="15"/>
  <c r="D13" i="15" s="1"/>
  <c r="E13" i="15" s="1"/>
  <c r="C29" i="15"/>
  <c r="D29" i="15" s="1"/>
  <c r="E29" i="15" s="1"/>
  <c r="C25" i="14"/>
  <c r="D25" i="14" s="1"/>
  <c r="E25" i="14" s="1"/>
  <c r="C33" i="14"/>
  <c r="D33" i="14" s="1"/>
  <c r="E33" i="14" s="1"/>
  <c r="C2" i="14"/>
  <c r="D2" i="14" s="1"/>
  <c r="E2" i="14" s="1"/>
  <c r="C37" i="14"/>
  <c r="D37" i="14" s="1"/>
  <c r="E37" i="14" s="1"/>
  <c r="C3" i="14"/>
  <c r="D3" i="14" s="1"/>
  <c r="E3" i="14" s="1"/>
  <c r="C9" i="14"/>
  <c r="D9" i="14" s="1"/>
  <c r="E9" i="14" s="1"/>
  <c r="C13" i="14"/>
  <c r="D13" i="14" s="1"/>
  <c r="E13" i="14" s="1"/>
  <c r="C17" i="14"/>
  <c r="D17" i="14" s="1"/>
  <c r="E17" i="14" s="1"/>
  <c r="C21" i="14"/>
  <c r="D21" i="14" s="1"/>
  <c r="E21" i="14" s="1"/>
  <c r="C29" i="14"/>
  <c r="D29" i="14" s="1"/>
  <c r="E29" i="14" s="1"/>
  <c r="C34" i="13"/>
  <c r="D34" i="13" s="1"/>
  <c r="E34" i="13" s="1"/>
  <c r="C37" i="13"/>
  <c r="D37" i="13" s="1"/>
  <c r="E37" i="13" s="1"/>
  <c r="C13" i="13"/>
  <c r="D13" i="13" s="1"/>
  <c r="E13" i="13" s="1"/>
  <c r="C10" i="13"/>
  <c r="D10" i="13" s="1"/>
  <c r="E10" i="13" s="1"/>
  <c r="C17" i="13"/>
  <c r="D17" i="13" s="1"/>
  <c r="E17" i="13" s="1"/>
  <c r="C22" i="13"/>
  <c r="D22" i="13" s="1"/>
  <c r="E22" i="13" s="1"/>
  <c r="C14" i="13"/>
  <c r="D14" i="13" s="1"/>
  <c r="E14" i="13" s="1"/>
  <c r="C38" i="13"/>
  <c r="D38" i="13" s="1"/>
  <c r="E38" i="13" s="1"/>
  <c r="C18" i="13"/>
  <c r="D18" i="13" s="1"/>
  <c r="E18" i="13" s="1"/>
  <c r="C21" i="13"/>
  <c r="D21" i="13" s="1"/>
  <c r="E21" i="13" s="1"/>
  <c r="C25" i="13"/>
  <c r="D25" i="13" s="1"/>
  <c r="E25" i="13" s="1"/>
  <c r="C1" i="13"/>
  <c r="D1" i="13" s="1"/>
  <c r="E1" i="13" s="1"/>
  <c r="C26" i="13"/>
  <c r="D26" i="13" s="1"/>
  <c r="E26" i="13" s="1"/>
  <c r="C29" i="13"/>
  <c r="D29" i="13" s="1"/>
  <c r="E29" i="13" s="1"/>
  <c r="C6" i="13"/>
  <c r="D6" i="13" s="1"/>
  <c r="E6" i="13" s="1"/>
  <c r="C30" i="13"/>
  <c r="D30" i="13" s="1"/>
  <c r="E30" i="13" s="1"/>
  <c r="C9" i="13"/>
  <c r="D9" i="13" s="1"/>
  <c r="E9" i="13" s="1"/>
  <c r="C33" i="13"/>
  <c r="D33" i="13" s="1"/>
  <c r="E33" i="13" s="1"/>
  <c r="C27" i="12"/>
  <c r="D27" i="12" s="1"/>
  <c r="E27" i="12" s="1"/>
  <c r="C31" i="12"/>
  <c r="D31" i="12" s="1"/>
  <c r="E31" i="12" s="1"/>
  <c r="C9" i="12"/>
  <c r="D9" i="12" s="1"/>
  <c r="E9" i="12" s="1"/>
  <c r="C33" i="12"/>
  <c r="D33" i="12" s="1"/>
  <c r="E33" i="12" s="1"/>
  <c r="C7" i="12"/>
  <c r="D7" i="12" s="1"/>
  <c r="E7" i="12" s="1"/>
  <c r="C11" i="12"/>
  <c r="D11" i="12" s="1"/>
  <c r="E11" i="12" s="1"/>
  <c r="C35" i="12"/>
  <c r="D35" i="12" s="1"/>
  <c r="E35" i="12" s="1"/>
  <c r="C15" i="12"/>
  <c r="D15" i="12" s="1"/>
  <c r="E15" i="12" s="1"/>
  <c r="C39" i="12"/>
  <c r="D39" i="12" s="1"/>
  <c r="E39" i="12" s="1"/>
  <c r="C17" i="12"/>
  <c r="D17" i="12" s="1"/>
  <c r="E17" i="12" s="1"/>
  <c r="C29" i="12"/>
  <c r="D29" i="12" s="1"/>
  <c r="E29" i="12" s="1"/>
  <c r="C19" i="12"/>
  <c r="D19" i="12" s="1"/>
  <c r="E19" i="12" s="1"/>
  <c r="C1" i="12"/>
  <c r="D1" i="12" s="1"/>
  <c r="E1" i="12" s="1"/>
  <c r="C21" i="12"/>
  <c r="D21" i="12" s="1"/>
  <c r="E21" i="12" s="1"/>
  <c r="C13" i="12"/>
  <c r="D13" i="12" s="1"/>
  <c r="E13" i="12" s="1"/>
  <c r="C23" i="12"/>
  <c r="D23" i="12" s="1"/>
  <c r="E23" i="12" s="1"/>
  <c r="C37" i="12"/>
  <c r="D37" i="12" s="1"/>
  <c r="E37" i="12" s="1"/>
  <c r="C25" i="12"/>
  <c r="D25" i="12" s="1"/>
  <c r="E25" i="12" s="1"/>
  <c r="C11" i="11"/>
  <c r="D11" i="11" s="1"/>
  <c r="E11" i="11" s="1"/>
  <c r="C13" i="11"/>
  <c r="D13" i="11" s="1"/>
  <c r="E13" i="11" s="1"/>
  <c r="C23" i="11"/>
  <c r="D23" i="11" s="1"/>
  <c r="E23" i="11" s="1"/>
  <c r="C25" i="11"/>
  <c r="D25" i="11" s="1"/>
  <c r="E25" i="11" s="1"/>
  <c r="C17" i="11"/>
  <c r="D17" i="11" s="1"/>
  <c r="E17" i="11" s="1"/>
  <c r="C29" i="11"/>
  <c r="D29" i="11" s="1"/>
  <c r="E29" i="11" s="1"/>
  <c r="C35" i="11"/>
  <c r="D35" i="11" s="1"/>
  <c r="E35" i="11" s="1"/>
  <c r="C37" i="11"/>
  <c r="D37" i="11" s="1"/>
  <c r="E37" i="11" s="1"/>
  <c r="C6" i="11"/>
  <c r="D6" i="11" s="1"/>
  <c r="E6" i="11" s="1"/>
  <c r="C18" i="11"/>
  <c r="D18" i="11" s="1"/>
  <c r="E18" i="11" s="1"/>
  <c r="C30" i="11"/>
  <c r="D30" i="11" s="1"/>
  <c r="E30" i="11" s="1"/>
  <c r="C7" i="11"/>
  <c r="D7" i="11" s="1"/>
  <c r="E7" i="11" s="1"/>
  <c r="C19" i="11"/>
  <c r="D19" i="11" s="1"/>
  <c r="E19" i="11" s="1"/>
  <c r="C31" i="11"/>
  <c r="D31" i="11" s="1"/>
  <c r="E31" i="11" s="1"/>
  <c r="C8" i="11"/>
  <c r="D8" i="11" s="1"/>
  <c r="E8" i="11" s="1"/>
  <c r="C20" i="11"/>
  <c r="D20" i="11" s="1"/>
  <c r="E20" i="11" s="1"/>
  <c r="C32" i="11"/>
  <c r="D32" i="11" s="1"/>
  <c r="E32" i="11" s="1"/>
  <c r="C9" i="11"/>
  <c r="D9" i="11" s="1"/>
  <c r="E9" i="11" s="1"/>
  <c r="C21" i="11"/>
  <c r="D21" i="11" s="1"/>
  <c r="E21" i="11" s="1"/>
  <c r="C33" i="11"/>
  <c r="D33" i="11" s="1"/>
  <c r="E33" i="11" s="1"/>
  <c r="C10" i="11"/>
  <c r="D10" i="11" s="1"/>
  <c r="E10" i="11" s="1"/>
  <c r="C22" i="11"/>
  <c r="D22" i="11" s="1"/>
  <c r="E22" i="11" s="1"/>
  <c r="C34" i="11"/>
  <c r="D34" i="11" s="1"/>
  <c r="E34" i="11" s="1"/>
  <c r="C12" i="11"/>
  <c r="D12" i="11" s="1"/>
  <c r="E12" i="11" s="1"/>
  <c r="C24" i="11"/>
  <c r="D24" i="11" s="1"/>
  <c r="E24" i="11" s="1"/>
  <c r="C36" i="11"/>
  <c r="D36" i="11" s="1"/>
  <c r="E36" i="11" s="1"/>
  <c r="C1" i="11"/>
  <c r="D1" i="11" s="1"/>
  <c r="E1" i="11" s="1"/>
  <c r="C14" i="11"/>
  <c r="D14" i="11" s="1"/>
  <c r="E14" i="11" s="1"/>
  <c r="C26" i="11"/>
  <c r="D26" i="11" s="1"/>
  <c r="E26" i="11" s="1"/>
  <c r="C38" i="11"/>
  <c r="D38" i="11" s="1"/>
  <c r="E38" i="11" s="1"/>
  <c r="C15" i="11"/>
  <c r="D15" i="11" s="1"/>
  <c r="E15" i="11" s="1"/>
  <c r="C27" i="11"/>
  <c r="D27" i="11" s="1"/>
  <c r="E27" i="11" s="1"/>
  <c r="C39" i="11"/>
  <c r="D39" i="11" s="1"/>
  <c r="E39" i="11" s="1"/>
  <c r="C4" i="11"/>
  <c r="D4" i="11" s="1"/>
  <c r="E4" i="11" s="1"/>
  <c r="C16" i="11"/>
  <c r="D16" i="11" s="1"/>
  <c r="E16" i="11" s="1"/>
  <c r="C28" i="11"/>
  <c r="D28" i="11" s="1"/>
  <c r="E28" i="11" s="1"/>
  <c r="C40" i="11"/>
  <c r="D40" i="11" s="1"/>
  <c r="E40" i="11" s="1"/>
  <c r="C7" i="10"/>
  <c r="D7" i="10" s="1"/>
  <c r="E7" i="10" s="1"/>
  <c r="C11" i="10"/>
  <c r="D11" i="10" s="1"/>
  <c r="E11" i="10" s="1"/>
  <c r="C15" i="10"/>
  <c r="D15" i="10" s="1"/>
  <c r="E15" i="10" s="1"/>
  <c r="C19" i="10"/>
  <c r="D19" i="10" s="1"/>
  <c r="E19" i="10" s="1"/>
  <c r="C23" i="10"/>
  <c r="D23" i="10" s="1"/>
  <c r="E23" i="10" s="1"/>
  <c r="C27" i="10"/>
  <c r="D27" i="10" s="1"/>
  <c r="E27" i="10" s="1"/>
  <c r="C31" i="10"/>
  <c r="D31" i="10" s="1"/>
  <c r="E31" i="10" s="1"/>
  <c r="C35" i="10"/>
  <c r="D35" i="10" s="1"/>
  <c r="E35" i="10" s="1"/>
  <c r="C13" i="9"/>
  <c r="D13" i="9" s="1"/>
  <c r="E13" i="9" s="1"/>
  <c r="C17" i="9"/>
  <c r="D17" i="9" s="1"/>
  <c r="E17" i="9" s="1"/>
  <c r="C25" i="9"/>
  <c r="D25" i="9" s="1"/>
  <c r="E25" i="9" s="1"/>
  <c r="C9" i="9"/>
  <c r="D9" i="9" s="1"/>
  <c r="E9" i="9" s="1"/>
  <c r="C21" i="9"/>
  <c r="D21" i="9" s="1"/>
  <c r="E21" i="9" s="1"/>
  <c r="C29" i="9"/>
  <c r="D29" i="9" s="1"/>
  <c r="E29" i="9" s="1"/>
  <c r="C33" i="9"/>
  <c r="D33" i="9" s="1"/>
  <c r="E33" i="9" s="1"/>
  <c r="C37" i="9"/>
  <c r="D37" i="9" s="1"/>
  <c r="E37" i="9" s="1"/>
  <c r="C6" i="8"/>
  <c r="D6" i="8" s="1"/>
  <c r="E6" i="8" s="1"/>
  <c r="C8" i="8"/>
  <c r="D8" i="8" s="1"/>
  <c r="E8" i="8" s="1"/>
  <c r="C24" i="8"/>
  <c r="D24" i="8" s="1"/>
  <c r="E24" i="8" s="1"/>
  <c r="C40" i="8"/>
  <c r="D40" i="8" s="1"/>
  <c r="E40" i="8" s="1"/>
  <c r="C21" i="8"/>
  <c r="D21" i="8" s="1"/>
  <c r="E21" i="8" s="1"/>
  <c r="C9" i="8"/>
  <c r="D9" i="8" s="1"/>
  <c r="E9" i="8" s="1"/>
  <c r="C25" i="8"/>
  <c r="D25" i="8" s="1"/>
  <c r="E25" i="8" s="1"/>
  <c r="C38" i="8"/>
  <c r="D38" i="8" s="1"/>
  <c r="E38" i="8" s="1"/>
  <c r="C10" i="8"/>
  <c r="D10" i="8" s="1"/>
  <c r="E10" i="8" s="1"/>
  <c r="C26" i="8"/>
  <c r="D26" i="8" s="1"/>
  <c r="E26" i="8" s="1"/>
  <c r="C12" i="8"/>
  <c r="D12" i="8" s="1"/>
  <c r="E12" i="8" s="1"/>
  <c r="C28" i="8"/>
  <c r="D28" i="8" s="1"/>
  <c r="E28" i="8" s="1"/>
  <c r="C22" i="8"/>
  <c r="D22" i="8" s="1"/>
  <c r="E22" i="8" s="1"/>
  <c r="C13" i="8"/>
  <c r="D13" i="8" s="1"/>
  <c r="E13" i="8" s="1"/>
  <c r="C29" i="8"/>
  <c r="D29" i="8" s="1"/>
  <c r="E29" i="8" s="1"/>
  <c r="C30" i="8"/>
  <c r="D30" i="8" s="1"/>
  <c r="E30" i="8" s="1"/>
  <c r="C16" i="8"/>
  <c r="D16" i="8" s="1"/>
  <c r="E16" i="8" s="1"/>
  <c r="C32" i="8"/>
  <c r="D32" i="8" s="1"/>
  <c r="E32" i="8" s="1"/>
  <c r="C37" i="8"/>
  <c r="D37" i="8" s="1"/>
  <c r="E37" i="8" s="1"/>
  <c r="C14" i="8"/>
  <c r="D14" i="8" s="1"/>
  <c r="E14" i="8" s="1"/>
  <c r="C17" i="8"/>
  <c r="D17" i="8" s="1"/>
  <c r="E17" i="8" s="1"/>
  <c r="C33" i="8"/>
  <c r="D33" i="8" s="1"/>
  <c r="E33" i="8" s="1"/>
  <c r="C18" i="8"/>
  <c r="D18" i="8" s="1"/>
  <c r="E18" i="8" s="1"/>
  <c r="C34" i="8"/>
  <c r="D34" i="8" s="1"/>
  <c r="E34" i="8" s="1"/>
  <c r="C20" i="8"/>
  <c r="D20" i="8" s="1"/>
  <c r="E20" i="8" s="1"/>
  <c r="C36" i="8"/>
  <c r="D36" i="8" s="1"/>
  <c r="E36" i="8" s="1"/>
  <c r="C1" i="7"/>
  <c r="D1" i="7" s="1"/>
  <c r="E1" i="7" s="1"/>
  <c r="C2" i="7"/>
  <c r="D2" i="7" s="1"/>
  <c r="E2" i="7" s="1"/>
  <c r="C6" i="7"/>
  <c r="D6" i="7" s="1"/>
  <c r="E6" i="7" s="1"/>
  <c r="C16" i="7"/>
  <c r="D16" i="7" s="1"/>
  <c r="E16" i="7" s="1"/>
  <c r="C17" i="7"/>
  <c r="D17" i="7" s="1"/>
  <c r="E17" i="7" s="1"/>
  <c r="C20" i="7"/>
  <c r="D20" i="7" s="1"/>
  <c r="E20" i="7" s="1"/>
  <c r="C28" i="7"/>
  <c r="D28" i="7" s="1"/>
  <c r="E28" i="7" s="1"/>
  <c r="C21" i="7"/>
  <c r="D21" i="7" s="1"/>
  <c r="E21" i="7" s="1"/>
  <c r="C3" i="7"/>
  <c r="D3" i="7" s="1"/>
  <c r="E3" i="7" s="1"/>
  <c r="C24" i="7"/>
  <c r="D24" i="7" s="1"/>
  <c r="E24" i="7" s="1"/>
  <c r="C25" i="7"/>
  <c r="D25" i="7" s="1"/>
  <c r="E25" i="7" s="1"/>
  <c r="C8" i="7"/>
  <c r="D8" i="7" s="1"/>
  <c r="E8" i="7" s="1"/>
  <c r="C29" i="7"/>
  <c r="D29" i="7" s="1"/>
  <c r="E29" i="7" s="1"/>
  <c r="C9" i="7"/>
  <c r="D9" i="7" s="1"/>
  <c r="E9" i="7" s="1"/>
  <c r="C32" i="7"/>
  <c r="D32" i="7" s="1"/>
  <c r="E32" i="7" s="1"/>
  <c r="C10" i="7"/>
  <c r="D10" i="7" s="1"/>
  <c r="E10" i="7" s="1"/>
  <c r="C33" i="7"/>
  <c r="D33" i="7" s="1"/>
  <c r="E33" i="7" s="1"/>
  <c r="C12" i="7"/>
  <c r="D12" i="7" s="1"/>
  <c r="E12" i="7" s="1"/>
  <c r="C36" i="7"/>
  <c r="D36" i="7" s="1"/>
  <c r="E36" i="7" s="1"/>
  <c r="C13" i="7"/>
  <c r="D13" i="7" s="1"/>
  <c r="E13" i="7" s="1"/>
  <c r="C37" i="7"/>
  <c r="D37" i="7" s="1"/>
  <c r="E37" i="7" s="1"/>
  <c r="C40" i="7"/>
  <c r="D40" i="7" s="1"/>
  <c r="E40" i="7" s="1"/>
  <c r="C7" i="6"/>
  <c r="D7" i="6" s="1"/>
  <c r="E7" i="6" s="1"/>
  <c r="C9" i="6"/>
  <c r="D9" i="6" s="1"/>
  <c r="E9" i="6" s="1"/>
  <c r="C11" i="6"/>
  <c r="D11" i="6" s="1"/>
  <c r="E11" i="6" s="1"/>
  <c r="C15" i="6"/>
  <c r="D15" i="6" s="1"/>
  <c r="E15" i="6" s="1"/>
  <c r="C17" i="6"/>
  <c r="D17" i="6" s="1"/>
  <c r="E17" i="6" s="1"/>
  <c r="C21" i="6"/>
  <c r="D21" i="6" s="1"/>
  <c r="E21" i="6" s="1"/>
  <c r="C25" i="6"/>
  <c r="D25" i="6" s="1"/>
  <c r="E25" i="6" s="1"/>
  <c r="C13" i="6"/>
  <c r="D13" i="6" s="1"/>
  <c r="E13" i="6" s="1"/>
  <c r="C29" i="6"/>
  <c r="D29" i="6" s="1"/>
  <c r="E29" i="6" s="1"/>
  <c r="C33" i="6"/>
  <c r="D33" i="6" s="1"/>
  <c r="E33" i="6" s="1"/>
  <c r="C2" i="6"/>
  <c r="D2" i="6" s="1"/>
  <c r="E2" i="6" s="1"/>
  <c r="C37" i="6"/>
  <c r="D37" i="6" s="1"/>
  <c r="E37" i="6" s="1"/>
  <c r="C6" i="5"/>
  <c r="D6" i="5" s="1"/>
  <c r="E6" i="5" s="1"/>
  <c r="C22" i="5"/>
  <c r="D22" i="5" s="1"/>
  <c r="E22" i="5" s="1"/>
  <c r="C8" i="5"/>
  <c r="D8" i="5" s="1"/>
  <c r="E8" i="5" s="1"/>
  <c r="C25" i="5"/>
  <c r="D25" i="5" s="1"/>
  <c r="E25" i="5" s="1"/>
  <c r="C20" i="5"/>
  <c r="D20" i="5" s="1"/>
  <c r="E20" i="5" s="1"/>
  <c r="C9" i="5"/>
  <c r="D9" i="5" s="1"/>
  <c r="E9" i="5" s="1"/>
  <c r="C26" i="5"/>
  <c r="D26" i="5" s="1"/>
  <c r="E26" i="5" s="1"/>
  <c r="C21" i="5"/>
  <c r="D21" i="5" s="1"/>
  <c r="E21" i="5" s="1"/>
  <c r="C10" i="5"/>
  <c r="D10" i="5" s="1"/>
  <c r="E10" i="5" s="1"/>
  <c r="C29" i="5"/>
  <c r="D29" i="5" s="1"/>
  <c r="E29" i="5" s="1"/>
  <c r="C12" i="5"/>
  <c r="D12" i="5" s="1"/>
  <c r="E12" i="5" s="1"/>
  <c r="C30" i="5"/>
  <c r="D30" i="5" s="1"/>
  <c r="E30" i="5" s="1"/>
  <c r="C13" i="5"/>
  <c r="D13" i="5" s="1"/>
  <c r="E13" i="5" s="1"/>
  <c r="C33" i="5"/>
  <c r="D33" i="5" s="1"/>
  <c r="E33" i="5" s="1"/>
  <c r="C14" i="5"/>
  <c r="D14" i="5" s="1"/>
  <c r="E14" i="5" s="1"/>
  <c r="C34" i="5"/>
  <c r="D34" i="5" s="1"/>
  <c r="E34" i="5" s="1"/>
  <c r="C16" i="5"/>
  <c r="D16" i="5" s="1"/>
  <c r="E16" i="5" s="1"/>
  <c r="C37" i="5"/>
  <c r="D37" i="5" s="1"/>
  <c r="E37" i="5" s="1"/>
  <c r="C1" i="5"/>
  <c r="D1" i="5" s="1"/>
  <c r="E1" i="5" s="1"/>
  <c r="C17" i="5"/>
  <c r="D17" i="5" s="1"/>
  <c r="E17" i="5" s="1"/>
  <c r="C38" i="5"/>
  <c r="D38" i="5" s="1"/>
  <c r="E38" i="5" s="1"/>
  <c r="C18" i="5"/>
  <c r="D18" i="5" s="1"/>
  <c r="E18" i="5" s="1"/>
  <c r="C3" i="4"/>
  <c r="D3" i="4" s="1"/>
  <c r="E3" i="4" s="1"/>
  <c r="C9" i="4"/>
  <c r="D9" i="4" s="1"/>
  <c r="E9" i="4" s="1"/>
  <c r="C13" i="4"/>
  <c r="D13" i="4" s="1"/>
  <c r="E13" i="4" s="1"/>
  <c r="C17" i="4"/>
  <c r="D17" i="4" s="1"/>
  <c r="E17" i="4" s="1"/>
  <c r="C21" i="4"/>
  <c r="D21" i="4" s="1"/>
  <c r="E21" i="4" s="1"/>
  <c r="C25" i="4"/>
  <c r="D25" i="4" s="1"/>
  <c r="E25" i="4" s="1"/>
  <c r="C29" i="4"/>
  <c r="D29" i="4" s="1"/>
  <c r="E29" i="4" s="1"/>
  <c r="C33" i="4"/>
  <c r="D33" i="4" s="1"/>
  <c r="E33" i="4" s="1"/>
  <c r="C37" i="4"/>
  <c r="D37" i="4" s="1"/>
  <c r="E37" i="4" s="1"/>
  <c r="C33" i="3"/>
  <c r="D33" i="3" s="1"/>
  <c r="E33" i="3" s="1"/>
  <c r="C37" i="3"/>
  <c r="D37" i="3" s="1"/>
  <c r="E37" i="3" s="1"/>
  <c r="C1" i="3"/>
  <c r="D1" i="3" s="1"/>
  <c r="E1" i="3" s="1"/>
  <c r="C9" i="3"/>
  <c r="D9" i="3" s="1"/>
  <c r="E9" i="3" s="1"/>
  <c r="C13" i="3"/>
  <c r="D13" i="3" s="1"/>
  <c r="E13" i="3" s="1"/>
  <c r="C17" i="3"/>
  <c r="D17" i="3" s="1"/>
  <c r="E17" i="3" s="1"/>
  <c r="C21" i="3"/>
  <c r="D21" i="3" s="1"/>
  <c r="E21" i="3" s="1"/>
  <c r="C25" i="3"/>
  <c r="D25" i="3" s="1"/>
  <c r="E25" i="3" s="1"/>
  <c r="C29" i="3"/>
  <c r="D29" i="3" s="1"/>
  <c r="E29" i="3" s="1"/>
  <c r="C15" i="2"/>
  <c r="D15" i="2" s="1"/>
  <c r="E15" i="2" s="1"/>
  <c r="C27" i="2"/>
  <c r="D27" i="2" s="1"/>
  <c r="E27" i="2" s="1"/>
  <c r="C4" i="2"/>
  <c r="D4" i="2" s="1"/>
  <c r="E4" i="2" s="1"/>
  <c r="C31" i="2"/>
  <c r="D31" i="2" s="1"/>
  <c r="E31" i="2" s="1"/>
  <c r="C35" i="2"/>
  <c r="D35" i="2" s="1"/>
  <c r="E35" i="2" s="1"/>
  <c r="C39" i="2"/>
  <c r="D39" i="2" s="1"/>
  <c r="E39" i="2" s="1"/>
  <c r="C5" i="2"/>
  <c r="D5" i="2" s="1"/>
  <c r="E5" i="2" s="1"/>
  <c r="C7" i="2"/>
  <c r="D7" i="2" s="1"/>
  <c r="E7" i="2" s="1"/>
  <c r="C11" i="2"/>
  <c r="D11" i="2" s="1"/>
  <c r="E11" i="2" s="1"/>
  <c r="C19" i="2"/>
  <c r="D19" i="2" s="1"/>
  <c r="E19" i="2" s="1"/>
  <c r="C23" i="2"/>
  <c r="D23" i="2" s="1"/>
  <c r="E23" i="2" s="1"/>
  <c r="C2" i="32"/>
  <c r="D2" i="32" s="1"/>
  <c r="E2" i="32" s="1"/>
  <c r="C6" i="32"/>
  <c r="D6" i="32" s="1"/>
  <c r="E6" i="32" s="1"/>
  <c r="C10" i="32"/>
  <c r="D10" i="32" s="1"/>
  <c r="E10" i="32" s="1"/>
  <c r="C14" i="32"/>
  <c r="D14" i="32" s="1"/>
  <c r="E14" i="32" s="1"/>
  <c r="C18" i="32"/>
  <c r="D18" i="32" s="1"/>
  <c r="E18" i="32" s="1"/>
  <c r="C22" i="32"/>
  <c r="D22" i="32" s="1"/>
  <c r="E22" i="32" s="1"/>
  <c r="C26" i="32"/>
  <c r="D26" i="32" s="1"/>
  <c r="E26" i="32" s="1"/>
  <c r="C30" i="32"/>
  <c r="D30" i="32" s="1"/>
  <c r="E30" i="32" s="1"/>
  <c r="C34" i="32"/>
  <c r="D34" i="32" s="1"/>
  <c r="E34" i="32" s="1"/>
  <c r="C38" i="32"/>
  <c r="D38" i="32" s="1"/>
  <c r="E38" i="32" s="1"/>
  <c r="C3" i="32"/>
  <c r="D3" i="32" s="1"/>
  <c r="E3" i="32" s="1"/>
  <c r="C7" i="32"/>
  <c r="D7" i="32" s="1"/>
  <c r="E7" i="32" s="1"/>
  <c r="C11" i="32"/>
  <c r="D11" i="32" s="1"/>
  <c r="E11" i="32" s="1"/>
  <c r="C15" i="32"/>
  <c r="D15" i="32" s="1"/>
  <c r="E15" i="32" s="1"/>
  <c r="C19" i="32"/>
  <c r="D19" i="32" s="1"/>
  <c r="E19" i="32" s="1"/>
  <c r="C23" i="32"/>
  <c r="D23" i="32" s="1"/>
  <c r="E23" i="32" s="1"/>
  <c r="C27" i="32"/>
  <c r="D27" i="32" s="1"/>
  <c r="E27" i="32" s="1"/>
  <c r="C31" i="32"/>
  <c r="D31" i="32" s="1"/>
  <c r="E31" i="32" s="1"/>
  <c r="C35" i="32"/>
  <c r="D35" i="32" s="1"/>
  <c r="E35" i="32" s="1"/>
  <c r="C39" i="32"/>
  <c r="D39" i="32" s="1"/>
  <c r="E39" i="32" s="1"/>
  <c r="C4" i="32"/>
  <c r="D4" i="32" s="1"/>
  <c r="E4" i="32" s="1"/>
  <c r="C8" i="32"/>
  <c r="D8" i="32" s="1"/>
  <c r="E8" i="32" s="1"/>
  <c r="C12" i="32"/>
  <c r="D12" i="32" s="1"/>
  <c r="E12" i="32" s="1"/>
  <c r="C16" i="32"/>
  <c r="D16" i="32" s="1"/>
  <c r="E16" i="32" s="1"/>
  <c r="C20" i="32"/>
  <c r="D20" i="32" s="1"/>
  <c r="E20" i="32" s="1"/>
  <c r="C24" i="32"/>
  <c r="D24" i="32" s="1"/>
  <c r="E24" i="32" s="1"/>
  <c r="C28" i="32"/>
  <c r="D28" i="32" s="1"/>
  <c r="E28" i="32" s="1"/>
  <c r="C32" i="32"/>
  <c r="D32" i="32" s="1"/>
  <c r="E32" i="32" s="1"/>
  <c r="C36" i="32"/>
  <c r="D36" i="32" s="1"/>
  <c r="E36" i="32" s="1"/>
  <c r="C40" i="32"/>
  <c r="D40" i="32" s="1"/>
  <c r="E40" i="32" s="1"/>
  <c r="C1" i="32"/>
  <c r="D1" i="32" s="1"/>
  <c r="E1" i="32" s="1"/>
  <c r="C4" i="31"/>
  <c r="D4" i="31" s="1"/>
  <c r="E4" i="31" s="1"/>
  <c r="C1" i="31"/>
  <c r="D1" i="31" s="1"/>
  <c r="E1" i="31" s="1"/>
  <c r="C2" i="30"/>
  <c r="D2" i="30" s="1"/>
  <c r="E2" i="30" s="1"/>
  <c r="C3" i="30"/>
  <c r="D3" i="30" s="1"/>
  <c r="E3" i="30" s="1"/>
  <c r="C7" i="30"/>
  <c r="D7" i="30" s="1"/>
  <c r="E7" i="30" s="1"/>
  <c r="C11" i="30"/>
  <c r="D11" i="30" s="1"/>
  <c r="E11" i="30" s="1"/>
  <c r="C15" i="30"/>
  <c r="D15" i="30" s="1"/>
  <c r="E15" i="30" s="1"/>
  <c r="C19" i="30"/>
  <c r="D19" i="30" s="1"/>
  <c r="E19" i="30" s="1"/>
  <c r="C23" i="30"/>
  <c r="D23" i="30" s="1"/>
  <c r="E23" i="30" s="1"/>
  <c r="C27" i="30"/>
  <c r="D27" i="30" s="1"/>
  <c r="E27" i="30" s="1"/>
  <c r="C31" i="30"/>
  <c r="D31" i="30" s="1"/>
  <c r="E31" i="30" s="1"/>
  <c r="C35" i="30"/>
  <c r="D35" i="30" s="1"/>
  <c r="E35" i="30" s="1"/>
  <c r="C39" i="30"/>
  <c r="D39" i="30" s="1"/>
  <c r="E39" i="30" s="1"/>
  <c r="C4" i="30"/>
  <c r="D4" i="30" s="1"/>
  <c r="E4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40" i="30"/>
  <c r="D40" i="30" s="1"/>
  <c r="E40" i="30" s="1"/>
  <c r="C1" i="30"/>
  <c r="D1" i="30" s="1"/>
  <c r="E1" i="30" s="1"/>
  <c r="C2" i="29"/>
  <c r="D2" i="29" s="1"/>
  <c r="E2" i="29" s="1"/>
  <c r="C27" i="29"/>
  <c r="D27" i="29" s="1"/>
  <c r="E27" i="29" s="1"/>
  <c r="C31" i="29"/>
  <c r="D31" i="29" s="1"/>
  <c r="E31" i="29" s="1"/>
  <c r="C35" i="29"/>
  <c r="D35" i="29" s="1"/>
  <c r="E35" i="29" s="1"/>
  <c r="C39" i="29"/>
  <c r="D39" i="29" s="1"/>
  <c r="E39" i="29" s="1"/>
  <c r="C4" i="29"/>
  <c r="D4" i="29" s="1"/>
  <c r="E4" i="29" s="1"/>
  <c r="C8" i="29"/>
  <c r="D8" i="29" s="1"/>
  <c r="E8" i="29" s="1"/>
  <c r="C12" i="29"/>
  <c r="D12" i="29" s="1"/>
  <c r="E12" i="29" s="1"/>
  <c r="C16" i="29"/>
  <c r="D16" i="29" s="1"/>
  <c r="E16" i="29" s="1"/>
  <c r="C20" i="29"/>
  <c r="D20" i="29" s="1"/>
  <c r="E20" i="29" s="1"/>
  <c r="C24" i="29"/>
  <c r="D24" i="29" s="1"/>
  <c r="E24" i="29" s="1"/>
  <c r="C28" i="29"/>
  <c r="D28" i="29" s="1"/>
  <c r="E28" i="29" s="1"/>
  <c r="C32" i="29"/>
  <c r="D32" i="29" s="1"/>
  <c r="E32" i="29" s="1"/>
  <c r="C36" i="29"/>
  <c r="D36" i="29" s="1"/>
  <c r="E36" i="29" s="1"/>
  <c r="C40" i="29"/>
  <c r="D40" i="29" s="1"/>
  <c r="E40" i="29" s="1"/>
  <c r="C2" i="28"/>
  <c r="D2" i="28" s="1"/>
  <c r="E2" i="28" s="1"/>
  <c r="C7" i="28"/>
  <c r="D7" i="28" s="1"/>
  <c r="E7" i="28" s="1"/>
  <c r="C11" i="28"/>
  <c r="D11" i="28" s="1"/>
  <c r="E11" i="28" s="1"/>
  <c r="C15" i="28"/>
  <c r="D15" i="28" s="1"/>
  <c r="E15" i="28" s="1"/>
  <c r="C19" i="28"/>
  <c r="D19" i="28" s="1"/>
  <c r="E19" i="28" s="1"/>
  <c r="C23" i="28"/>
  <c r="D23" i="28" s="1"/>
  <c r="E23" i="28" s="1"/>
  <c r="C27" i="28"/>
  <c r="D27" i="28" s="1"/>
  <c r="E27" i="28" s="1"/>
  <c r="C31" i="28"/>
  <c r="D31" i="28" s="1"/>
  <c r="E31" i="28" s="1"/>
  <c r="C35" i="28"/>
  <c r="D35" i="28" s="1"/>
  <c r="E35" i="28" s="1"/>
  <c r="C39" i="28"/>
  <c r="D39" i="28" s="1"/>
  <c r="E39" i="28" s="1"/>
  <c r="C36" i="28"/>
  <c r="D36" i="28" s="1"/>
  <c r="E36" i="28" s="1"/>
  <c r="C40" i="28"/>
  <c r="D40" i="28" s="1"/>
  <c r="E40" i="28" s="1"/>
  <c r="C38" i="27"/>
  <c r="D38" i="27" s="1"/>
  <c r="E38" i="27" s="1"/>
  <c r="C4" i="27"/>
  <c r="D4" i="27" s="1"/>
  <c r="E4" i="27" s="1"/>
  <c r="C2" i="26"/>
  <c r="D2" i="26" s="1"/>
  <c r="E2" i="26" s="1"/>
  <c r="C6" i="26"/>
  <c r="D6" i="26" s="1"/>
  <c r="E6" i="26" s="1"/>
  <c r="C10" i="26"/>
  <c r="D10" i="26" s="1"/>
  <c r="E10" i="26" s="1"/>
  <c r="C14" i="26"/>
  <c r="D14" i="26" s="1"/>
  <c r="E14" i="26" s="1"/>
  <c r="C18" i="26"/>
  <c r="D18" i="26" s="1"/>
  <c r="E18" i="26" s="1"/>
  <c r="C22" i="26"/>
  <c r="D22" i="26" s="1"/>
  <c r="E22" i="26" s="1"/>
  <c r="C26" i="26"/>
  <c r="D26" i="26" s="1"/>
  <c r="E26" i="26" s="1"/>
  <c r="C30" i="26"/>
  <c r="D30" i="26" s="1"/>
  <c r="E30" i="26" s="1"/>
  <c r="C34" i="26"/>
  <c r="D34" i="26" s="1"/>
  <c r="E34" i="26" s="1"/>
  <c r="C38" i="26"/>
  <c r="D38" i="26" s="1"/>
  <c r="E38" i="26" s="1"/>
  <c r="C3" i="26"/>
  <c r="D3" i="26" s="1"/>
  <c r="E3" i="26" s="1"/>
  <c r="C7" i="26"/>
  <c r="D7" i="26" s="1"/>
  <c r="E7" i="26" s="1"/>
  <c r="C11" i="26"/>
  <c r="D11" i="26" s="1"/>
  <c r="E11" i="26" s="1"/>
  <c r="C15" i="26"/>
  <c r="D15" i="26" s="1"/>
  <c r="E15" i="26" s="1"/>
  <c r="C19" i="26"/>
  <c r="D19" i="26" s="1"/>
  <c r="E19" i="26" s="1"/>
  <c r="C23" i="26"/>
  <c r="D23" i="26" s="1"/>
  <c r="E23" i="26" s="1"/>
  <c r="C27" i="26"/>
  <c r="D27" i="26" s="1"/>
  <c r="E27" i="26" s="1"/>
  <c r="C31" i="26"/>
  <c r="D31" i="26" s="1"/>
  <c r="E31" i="26" s="1"/>
  <c r="C35" i="26"/>
  <c r="D35" i="26" s="1"/>
  <c r="E35" i="26" s="1"/>
  <c r="C39" i="26"/>
  <c r="D39" i="26" s="1"/>
  <c r="E39" i="26" s="1"/>
  <c r="C4" i="26"/>
  <c r="D4" i="26" s="1"/>
  <c r="E4" i="26" s="1"/>
  <c r="C8" i="26"/>
  <c r="D8" i="26" s="1"/>
  <c r="E8" i="26" s="1"/>
  <c r="C12" i="26"/>
  <c r="D12" i="26" s="1"/>
  <c r="E12" i="26" s="1"/>
  <c r="C16" i="26"/>
  <c r="D16" i="26" s="1"/>
  <c r="E16" i="26" s="1"/>
  <c r="C20" i="26"/>
  <c r="D20" i="26" s="1"/>
  <c r="E20" i="26" s="1"/>
  <c r="C24" i="26"/>
  <c r="D24" i="26" s="1"/>
  <c r="E24" i="26" s="1"/>
  <c r="C28" i="26"/>
  <c r="D28" i="26" s="1"/>
  <c r="E28" i="26" s="1"/>
  <c r="C32" i="26"/>
  <c r="D32" i="26" s="1"/>
  <c r="E32" i="26" s="1"/>
  <c r="C36" i="26"/>
  <c r="D36" i="26" s="1"/>
  <c r="E36" i="26" s="1"/>
  <c r="C40" i="26"/>
  <c r="D40" i="26" s="1"/>
  <c r="E40" i="26" s="1"/>
  <c r="C1" i="26"/>
  <c r="D1" i="26" s="1"/>
  <c r="E1" i="26" s="1"/>
  <c r="C2" i="25"/>
  <c r="D2" i="25" s="1"/>
  <c r="E2" i="25" s="1"/>
  <c r="C7" i="25"/>
  <c r="D7" i="25" s="1"/>
  <c r="E7" i="25" s="1"/>
  <c r="C11" i="25"/>
  <c r="D11" i="25" s="1"/>
  <c r="E11" i="25" s="1"/>
  <c r="C15" i="25"/>
  <c r="D15" i="25" s="1"/>
  <c r="E15" i="25" s="1"/>
  <c r="C19" i="25"/>
  <c r="D19" i="25" s="1"/>
  <c r="E19" i="25" s="1"/>
  <c r="C23" i="25"/>
  <c r="D23" i="25" s="1"/>
  <c r="E23" i="25" s="1"/>
  <c r="C27" i="25"/>
  <c r="D27" i="25" s="1"/>
  <c r="E27" i="25" s="1"/>
  <c r="C31" i="25"/>
  <c r="D31" i="25" s="1"/>
  <c r="E31" i="25" s="1"/>
  <c r="C35" i="25"/>
  <c r="D35" i="25" s="1"/>
  <c r="E35" i="25" s="1"/>
  <c r="C39" i="25"/>
  <c r="D39" i="25" s="1"/>
  <c r="E39" i="25" s="1"/>
  <c r="C4" i="25"/>
  <c r="D4" i="25" s="1"/>
  <c r="E4" i="25" s="1"/>
  <c r="C2" i="24"/>
  <c r="D2" i="24" s="1"/>
  <c r="E2" i="24" s="1"/>
  <c r="C6" i="24"/>
  <c r="D6" i="24" s="1"/>
  <c r="E6" i="24" s="1"/>
  <c r="C10" i="24"/>
  <c r="D10" i="24" s="1"/>
  <c r="E10" i="24" s="1"/>
  <c r="C14" i="24"/>
  <c r="D14" i="24" s="1"/>
  <c r="E14" i="24" s="1"/>
  <c r="C18" i="24"/>
  <c r="D18" i="24" s="1"/>
  <c r="E18" i="24" s="1"/>
  <c r="C22" i="24"/>
  <c r="D22" i="24" s="1"/>
  <c r="E22" i="24" s="1"/>
  <c r="C26" i="24"/>
  <c r="D26" i="24" s="1"/>
  <c r="E26" i="24" s="1"/>
  <c r="C30" i="24"/>
  <c r="D30" i="24" s="1"/>
  <c r="E30" i="24" s="1"/>
  <c r="C34" i="24"/>
  <c r="D34" i="24" s="1"/>
  <c r="E34" i="24" s="1"/>
  <c r="C38" i="24"/>
  <c r="D38" i="24" s="1"/>
  <c r="E38" i="24" s="1"/>
  <c r="C3" i="24"/>
  <c r="D3" i="24" s="1"/>
  <c r="E3" i="24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4" i="24"/>
  <c r="D4" i="24" s="1"/>
  <c r="E4" i="24" s="1"/>
  <c r="C8" i="24"/>
  <c r="D8" i="24" s="1"/>
  <c r="E8" i="24" s="1"/>
  <c r="C12" i="24"/>
  <c r="D12" i="24" s="1"/>
  <c r="E12" i="24" s="1"/>
  <c r="C16" i="24"/>
  <c r="D16" i="24" s="1"/>
  <c r="E16" i="24" s="1"/>
  <c r="C20" i="24"/>
  <c r="D20" i="24" s="1"/>
  <c r="E20" i="24" s="1"/>
  <c r="C24" i="24"/>
  <c r="D24" i="24" s="1"/>
  <c r="E24" i="24" s="1"/>
  <c r="C28" i="24"/>
  <c r="D28" i="24" s="1"/>
  <c r="E28" i="24" s="1"/>
  <c r="C32" i="24"/>
  <c r="D32" i="24" s="1"/>
  <c r="E32" i="24" s="1"/>
  <c r="C36" i="24"/>
  <c r="D36" i="24" s="1"/>
  <c r="E36" i="24" s="1"/>
  <c r="C40" i="24"/>
  <c r="D40" i="24" s="1"/>
  <c r="E40" i="24" s="1"/>
  <c r="C1" i="24"/>
  <c r="D1" i="24" s="1"/>
  <c r="E1" i="24" s="1"/>
  <c r="C22" i="23"/>
  <c r="D22" i="23" s="1"/>
  <c r="E22" i="23" s="1"/>
  <c r="C26" i="23"/>
  <c r="D26" i="23" s="1"/>
  <c r="E26" i="23" s="1"/>
  <c r="C30" i="23"/>
  <c r="D30" i="23" s="1"/>
  <c r="E30" i="23" s="1"/>
  <c r="C34" i="23"/>
  <c r="D34" i="23" s="1"/>
  <c r="E34" i="23" s="1"/>
  <c r="C38" i="23"/>
  <c r="D38" i="23" s="1"/>
  <c r="E38" i="23" s="1"/>
  <c r="C3" i="23"/>
  <c r="D3" i="23" s="1"/>
  <c r="E3" i="23" s="1"/>
  <c r="C4" i="23"/>
  <c r="D4" i="23" s="1"/>
  <c r="E4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1" i="23"/>
  <c r="D1" i="23" s="1"/>
  <c r="E1" i="23" s="1"/>
  <c r="C6" i="22"/>
  <c r="D6" i="22" s="1"/>
  <c r="E6" i="22" s="1"/>
  <c r="C10" i="22"/>
  <c r="D10" i="22" s="1"/>
  <c r="E10" i="22" s="1"/>
  <c r="C14" i="22"/>
  <c r="D14" i="22" s="1"/>
  <c r="E14" i="22" s="1"/>
  <c r="C18" i="22"/>
  <c r="D18" i="22" s="1"/>
  <c r="E18" i="22" s="1"/>
  <c r="C22" i="22"/>
  <c r="D22" i="22" s="1"/>
  <c r="E22" i="22" s="1"/>
  <c r="C26" i="22"/>
  <c r="D26" i="22" s="1"/>
  <c r="E26" i="22" s="1"/>
  <c r="C30" i="22"/>
  <c r="D30" i="22" s="1"/>
  <c r="E30" i="22" s="1"/>
  <c r="C34" i="22"/>
  <c r="D34" i="22" s="1"/>
  <c r="E34" i="22" s="1"/>
  <c r="C38" i="22"/>
  <c r="D38" i="22" s="1"/>
  <c r="E38" i="22" s="1"/>
  <c r="C3" i="22"/>
  <c r="D3" i="22" s="1"/>
  <c r="E3" i="22" s="1"/>
  <c r="C39" i="22"/>
  <c r="D39" i="22" s="1"/>
  <c r="E39" i="22" s="1"/>
  <c r="C4" i="22"/>
  <c r="D4" i="22" s="1"/>
  <c r="E4" i="22" s="1"/>
  <c r="C8" i="22"/>
  <c r="D8" i="22" s="1"/>
  <c r="E8" i="22" s="1"/>
  <c r="C12" i="22"/>
  <c r="D12" i="22" s="1"/>
  <c r="E12" i="22" s="1"/>
  <c r="C16" i="22"/>
  <c r="D16" i="22" s="1"/>
  <c r="E16" i="22" s="1"/>
  <c r="C20" i="22"/>
  <c r="D20" i="22" s="1"/>
  <c r="E20" i="22" s="1"/>
  <c r="C24" i="22"/>
  <c r="D24" i="22" s="1"/>
  <c r="E24" i="22" s="1"/>
  <c r="C28" i="22"/>
  <c r="D28" i="22" s="1"/>
  <c r="E28" i="22" s="1"/>
  <c r="C32" i="22"/>
  <c r="D32" i="22" s="1"/>
  <c r="E32" i="22" s="1"/>
  <c r="C36" i="22"/>
  <c r="D36" i="22" s="1"/>
  <c r="E36" i="22" s="1"/>
  <c r="C40" i="22"/>
  <c r="D40" i="22" s="1"/>
  <c r="E40" i="22" s="1"/>
  <c r="C1" i="22"/>
  <c r="D1" i="22" s="1"/>
  <c r="E1" i="22" s="1"/>
  <c r="C2" i="21"/>
  <c r="D2" i="21" s="1"/>
  <c r="E2" i="21" s="1"/>
  <c r="C6" i="21"/>
  <c r="D6" i="21" s="1"/>
  <c r="E6" i="21" s="1"/>
  <c r="C10" i="21"/>
  <c r="D10" i="21" s="1"/>
  <c r="E10" i="21" s="1"/>
  <c r="C14" i="21"/>
  <c r="D14" i="21" s="1"/>
  <c r="E14" i="21" s="1"/>
  <c r="C18" i="21"/>
  <c r="D18" i="21" s="1"/>
  <c r="E18" i="21" s="1"/>
  <c r="C22" i="21"/>
  <c r="D22" i="21" s="1"/>
  <c r="E22" i="21" s="1"/>
  <c r="C26" i="21"/>
  <c r="D26" i="21" s="1"/>
  <c r="E26" i="21" s="1"/>
  <c r="C30" i="21"/>
  <c r="D30" i="21" s="1"/>
  <c r="E30" i="21" s="1"/>
  <c r="C34" i="21"/>
  <c r="D34" i="21" s="1"/>
  <c r="E34" i="21" s="1"/>
  <c r="C38" i="21"/>
  <c r="D38" i="21" s="1"/>
  <c r="E38" i="21" s="1"/>
  <c r="C7" i="21"/>
  <c r="D7" i="21" s="1"/>
  <c r="E7" i="21" s="1"/>
  <c r="C11" i="21"/>
  <c r="D11" i="21" s="1"/>
  <c r="E11" i="21" s="1"/>
  <c r="C15" i="21"/>
  <c r="D15" i="21" s="1"/>
  <c r="E15" i="21" s="1"/>
  <c r="C19" i="21"/>
  <c r="D19" i="21" s="1"/>
  <c r="E19" i="21" s="1"/>
  <c r="C23" i="21"/>
  <c r="D23" i="21" s="1"/>
  <c r="E23" i="21" s="1"/>
  <c r="C27" i="21"/>
  <c r="D27" i="21" s="1"/>
  <c r="E27" i="21" s="1"/>
  <c r="C31" i="21"/>
  <c r="D31" i="21" s="1"/>
  <c r="E31" i="21" s="1"/>
  <c r="C35" i="21"/>
  <c r="D35" i="21" s="1"/>
  <c r="E35" i="21" s="1"/>
  <c r="C39" i="21"/>
  <c r="D39" i="21" s="1"/>
  <c r="E39" i="21" s="1"/>
  <c r="C4" i="21"/>
  <c r="D4" i="21" s="1"/>
  <c r="E4" i="21" s="1"/>
  <c r="C1" i="21"/>
  <c r="D1" i="21" s="1"/>
  <c r="E1" i="21" s="1"/>
  <c r="C2" i="20"/>
  <c r="D2" i="20" s="1"/>
  <c r="E2" i="20" s="1"/>
  <c r="C6" i="20"/>
  <c r="D6" i="20" s="1"/>
  <c r="E6" i="20" s="1"/>
  <c r="C10" i="20"/>
  <c r="D10" i="20" s="1"/>
  <c r="E10" i="20" s="1"/>
  <c r="C14" i="20"/>
  <c r="D14" i="20" s="1"/>
  <c r="E14" i="20" s="1"/>
  <c r="C18" i="20"/>
  <c r="D18" i="20" s="1"/>
  <c r="E18" i="20" s="1"/>
  <c r="C22" i="20"/>
  <c r="D22" i="20" s="1"/>
  <c r="E22" i="20" s="1"/>
  <c r="C26" i="20"/>
  <c r="D26" i="20" s="1"/>
  <c r="E26" i="20" s="1"/>
  <c r="C30" i="20"/>
  <c r="D30" i="20" s="1"/>
  <c r="E30" i="20" s="1"/>
  <c r="C34" i="20"/>
  <c r="D34" i="20" s="1"/>
  <c r="E34" i="20" s="1"/>
  <c r="C38" i="20"/>
  <c r="D38" i="20" s="1"/>
  <c r="E38" i="20" s="1"/>
  <c r="C3" i="20"/>
  <c r="D3" i="20" s="1"/>
  <c r="E3" i="20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4" i="20"/>
  <c r="D4" i="20" s="1"/>
  <c r="E4" i="20" s="1"/>
  <c r="C8" i="20"/>
  <c r="D8" i="20" s="1"/>
  <c r="E8" i="20" s="1"/>
  <c r="C12" i="20"/>
  <c r="D12" i="20" s="1"/>
  <c r="E12" i="20" s="1"/>
  <c r="C16" i="20"/>
  <c r="D16" i="20" s="1"/>
  <c r="E16" i="20" s="1"/>
  <c r="C20" i="20"/>
  <c r="D20" i="20" s="1"/>
  <c r="E20" i="20" s="1"/>
  <c r="C24" i="20"/>
  <c r="D24" i="20" s="1"/>
  <c r="E24" i="20" s="1"/>
  <c r="C28" i="20"/>
  <c r="D28" i="20" s="1"/>
  <c r="E28" i="20" s="1"/>
  <c r="C32" i="20"/>
  <c r="D32" i="20" s="1"/>
  <c r="E32" i="20" s="1"/>
  <c r="C36" i="20"/>
  <c r="D36" i="20" s="1"/>
  <c r="E36" i="20" s="1"/>
  <c r="C40" i="20"/>
  <c r="D40" i="20" s="1"/>
  <c r="E40" i="20" s="1"/>
  <c r="C1" i="20"/>
  <c r="D1" i="20" s="1"/>
  <c r="E1" i="20" s="1"/>
  <c r="C2" i="19"/>
  <c r="D2" i="19" s="1"/>
  <c r="E2" i="19" s="1"/>
  <c r="C38" i="19"/>
  <c r="D38" i="19" s="1"/>
  <c r="E38" i="19" s="1"/>
  <c r="C3" i="19"/>
  <c r="D3" i="19" s="1"/>
  <c r="E3" i="19" s="1"/>
  <c r="C7" i="19"/>
  <c r="D7" i="19" s="1"/>
  <c r="E7" i="19" s="1"/>
  <c r="C11" i="19"/>
  <c r="D11" i="19" s="1"/>
  <c r="E11" i="19" s="1"/>
  <c r="C15" i="19"/>
  <c r="D15" i="19" s="1"/>
  <c r="E15" i="19" s="1"/>
  <c r="C19" i="19"/>
  <c r="D19" i="19" s="1"/>
  <c r="E19" i="19" s="1"/>
  <c r="C23" i="19"/>
  <c r="D23" i="19" s="1"/>
  <c r="E23" i="19" s="1"/>
  <c r="C27" i="19"/>
  <c r="D27" i="19" s="1"/>
  <c r="E27" i="19" s="1"/>
  <c r="C31" i="19"/>
  <c r="D31" i="19" s="1"/>
  <c r="E31" i="19" s="1"/>
  <c r="C35" i="19"/>
  <c r="D35" i="19" s="1"/>
  <c r="E35" i="19" s="1"/>
  <c r="C39" i="19"/>
  <c r="D39" i="19" s="1"/>
  <c r="E39" i="19" s="1"/>
  <c r="C4" i="19"/>
  <c r="D4" i="19" s="1"/>
  <c r="E4" i="19" s="1"/>
  <c r="C8" i="19"/>
  <c r="D8" i="19" s="1"/>
  <c r="E8" i="19" s="1"/>
  <c r="C12" i="19"/>
  <c r="D12" i="19" s="1"/>
  <c r="E12" i="19" s="1"/>
  <c r="C16" i="19"/>
  <c r="D16" i="19" s="1"/>
  <c r="E16" i="19" s="1"/>
  <c r="C20" i="19"/>
  <c r="D20" i="19" s="1"/>
  <c r="E20" i="19" s="1"/>
  <c r="C24" i="19"/>
  <c r="D24" i="19" s="1"/>
  <c r="E24" i="19" s="1"/>
  <c r="C28" i="19"/>
  <c r="D28" i="19" s="1"/>
  <c r="E28" i="19" s="1"/>
  <c r="C32" i="19"/>
  <c r="D32" i="19" s="1"/>
  <c r="E32" i="19" s="1"/>
  <c r="C36" i="19"/>
  <c r="D36" i="19" s="1"/>
  <c r="E36" i="19" s="1"/>
  <c r="C40" i="19"/>
  <c r="D40" i="19" s="1"/>
  <c r="E40" i="19" s="1"/>
  <c r="C1" i="19"/>
  <c r="D1" i="19" s="1"/>
  <c r="E1" i="19" s="1"/>
  <c r="C2" i="18"/>
  <c r="D2" i="18" s="1"/>
  <c r="E2" i="18" s="1"/>
  <c r="C7" i="18"/>
  <c r="D7" i="18" s="1"/>
  <c r="E7" i="18" s="1"/>
  <c r="C11" i="18"/>
  <c r="D11" i="18" s="1"/>
  <c r="E11" i="18" s="1"/>
  <c r="C15" i="18"/>
  <c r="D15" i="18" s="1"/>
  <c r="E15" i="18" s="1"/>
  <c r="C19" i="18"/>
  <c r="D19" i="18" s="1"/>
  <c r="E19" i="18" s="1"/>
  <c r="C23" i="18"/>
  <c r="D23" i="18" s="1"/>
  <c r="E23" i="18" s="1"/>
  <c r="C27" i="18"/>
  <c r="D27" i="18" s="1"/>
  <c r="E27" i="18" s="1"/>
  <c r="C31" i="18"/>
  <c r="D31" i="18" s="1"/>
  <c r="E31" i="18" s="1"/>
  <c r="C35" i="18"/>
  <c r="D35" i="18" s="1"/>
  <c r="E35" i="18" s="1"/>
  <c r="C39" i="18"/>
  <c r="D39" i="18" s="1"/>
  <c r="E39" i="18" s="1"/>
  <c r="C36" i="18"/>
  <c r="D36" i="18" s="1"/>
  <c r="E36" i="18" s="1"/>
  <c r="C40" i="18"/>
  <c r="D40" i="18" s="1"/>
  <c r="E40" i="18" s="1"/>
  <c r="C1" i="18"/>
  <c r="D1" i="18" s="1"/>
  <c r="E1" i="18" s="1"/>
  <c r="C2" i="17"/>
  <c r="D2" i="17" s="1"/>
  <c r="E2" i="17" s="1"/>
  <c r="C2" i="16"/>
  <c r="D2" i="16" s="1"/>
  <c r="E2" i="16" s="1"/>
  <c r="C6" i="16"/>
  <c r="D6" i="16" s="1"/>
  <c r="E6" i="16" s="1"/>
  <c r="C10" i="16"/>
  <c r="D10" i="16" s="1"/>
  <c r="E10" i="16" s="1"/>
  <c r="C14" i="16"/>
  <c r="D14" i="16" s="1"/>
  <c r="E14" i="16" s="1"/>
  <c r="C18" i="16"/>
  <c r="D18" i="16" s="1"/>
  <c r="E18" i="16" s="1"/>
  <c r="C22" i="16"/>
  <c r="D22" i="16" s="1"/>
  <c r="E22" i="16" s="1"/>
  <c r="C26" i="16"/>
  <c r="D26" i="16" s="1"/>
  <c r="E26" i="16" s="1"/>
  <c r="C30" i="16"/>
  <c r="D30" i="16" s="1"/>
  <c r="E30" i="16" s="1"/>
  <c r="C34" i="16"/>
  <c r="D34" i="16" s="1"/>
  <c r="E34" i="16" s="1"/>
  <c r="C38" i="16"/>
  <c r="D38" i="16" s="1"/>
  <c r="E38" i="16" s="1"/>
  <c r="C3" i="16"/>
  <c r="D3" i="16" s="1"/>
  <c r="E3" i="16" s="1"/>
  <c r="C7" i="16"/>
  <c r="D7" i="16" s="1"/>
  <c r="E7" i="16" s="1"/>
  <c r="C11" i="16"/>
  <c r="D11" i="16" s="1"/>
  <c r="E11" i="16" s="1"/>
  <c r="C15" i="16"/>
  <c r="D15" i="16" s="1"/>
  <c r="E15" i="16" s="1"/>
  <c r="C19" i="16"/>
  <c r="D19" i="16" s="1"/>
  <c r="E19" i="16" s="1"/>
  <c r="C23" i="16"/>
  <c r="D23" i="16" s="1"/>
  <c r="E23" i="16" s="1"/>
  <c r="C27" i="16"/>
  <c r="D27" i="16" s="1"/>
  <c r="E27" i="16" s="1"/>
  <c r="C31" i="16"/>
  <c r="D31" i="16" s="1"/>
  <c r="E31" i="16" s="1"/>
  <c r="C35" i="16"/>
  <c r="D35" i="16" s="1"/>
  <c r="E35" i="16" s="1"/>
  <c r="C39" i="16"/>
  <c r="D39" i="16" s="1"/>
  <c r="E39" i="16" s="1"/>
  <c r="C4" i="16"/>
  <c r="D4" i="16" s="1"/>
  <c r="E4" i="16" s="1"/>
  <c r="C8" i="16"/>
  <c r="D8" i="16" s="1"/>
  <c r="E8" i="16" s="1"/>
  <c r="C12" i="16"/>
  <c r="D12" i="16" s="1"/>
  <c r="E12" i="16" s="1"/>
  <c r="C16" i="16"/>
  <c r="D16" i="16" s="1"/>
  <c r="E16" i="16" s="1"/>
  <c r="C20" i="16"/>
  <c r="D20" i="16" s="1"/>
  <c r="E20" i="16" s="1"/>
  <c r="C24" i="16"/>
  <c r="D24" i="16" s="1"/>
  <c r="E24" i="16" s="1"/>
  <c r="C28" i="16"/>
  <c r="D28" i="16" s="1"/>
  <c r="E28" i="16" s="1"/>
  <c r="C32" i="16"/>
  <c r="D32" i="16" s="1"/>
  <c r="E32" i="16" s="1"/>
  <c r="C36" i="16"/>
  <c r="D36" i="16" s="1"/>
  <c r="E36" i="16" s="1"/>
  <c r="C40" i="16"/>
  <c r="D40" i="16" s="1"/>
  <c r="E40" i="16" s="1"/>
  <c r="C1" i="16"/>
  <c r="D1" i="16" s="1"/>
  <c r="E1" i="16" s="1"/>
  <c r="C2" i="15"/>
  <c r="D2" i="15" s="1"/>
  <c r="E2" i="15" s="1"/>
  <c r="C3" i="15"/>
  <c r="D3" i="15" s="1"/>
  <c r="E3" i="15" s="1"/>
  <c r="C7" i="15"/>
  <c r="D7" i="15" s="1"/>
  <c r="E7" i="15" s="1"/>
  <c r="C11" i="15"/>
  <c r="D11" i="15" s="1"/>
  <c r="E11" i="15" s="1"/>
  <c r="C15" i="15"/>
  <c r="D15" i="15" s="1"/>
  <c r="E15" i="15" s="1"/>
  <c r="C19" i="15"/>
  <c r="D19" i="15" s="1"/>
  <c r="E19" i="15" s="1"/>
  <c r="C23" i="15"/>
  <c r="D23" i="15" s="1"/>
  <c r="E23" i="15" s="1"/>
  <c r="C27" i="15"/>
  <c r="D27" i="15" s="1"/>
  <c r="E27" i="15" s="1"/>
  <c r="C31" i="15"/>
  <c r="D31" i="15" s="1"/>
  <c r="E31" i="15" s="1"/>
  <c r="C35" i="15"/>
  <c r="D35" i="15" s="1"/>
  <c r="E35" i="15" s="1"/>
  <c r="C39" i="15"/>
  <c r="D39" i="15" s="1"/>
  <c r="E39" i="15" s="1"/>
  <c r="C4" i="15"/>
  <c r="D4" i="15" s="1"/>
  <c r="E4" i="15" s="1"/>
  <c r="C36" i="15"/>
  <c r="D36" i="15" s="1"/>
  <c r="E36" i="15" s="1"/>
  <c r="C40" i="15"/>
  <c r="D40" i="15" s="1"/>
  <c r="E40" i="15" s="1"/>
  <c r="C6" i="14"/>
  <c r="D6" i="14" s="1"/>
  <c r="E6" i="14" s="1"/>
  <c r="C10" i="14"/>
  <c r="D10" i="14" s="1"/>
  <c r="E10" i="14" s="1"/>
  <c r="C14" i="14"/>
  <c r="D14" i="14" s="1"/>
  <c r="E14" i="14" s="1"/>
  <c r="C18" i="14"/>
  <c r="D18" i="14" s="1"/>
  <c r="E18" i="14" s="1"/>
  <c r="C22" i="14"/>
  <c r="D22" i="14" s="1"/>
  <c r="E22" i="14" s="1"/>
  <c r="C26" i="14"/>
  <c r="D26" i="14" s="1"/>
  <c r="E26" i="14" s="1"/>
  <c r="C30" i="14"/>
  <c r="D30" i="14" s="1"/>
  <c r="E30" i="14" s="1"/>
  <c r="C34" i="14"/>
  <c r="D34" i="14" s="1"/>
  <c r="E34" i="14" s="1"/>
  <c r="C38" i="14"/>
  <c r="D38" i="14" s="1"/>
  <c r="E38" i="14" s="1"/>
  <c r="C7" i="14"/>
  <c r="D7" i="14" s="1"/>
  <c r="E7" i="14" s="1"/>
  <c r="C11" i="14"/>
  <c r="D11" i="14" s="1"/>
  <c r="E11" i="14" s="1"/>
  <c r="C15" i="14"/>
  <c r="D15" i="14" s="1"/>
  <c r="E15" i="14" s="1"/>
  <c r="C19" i="14"/>
  <c r="D19" i="14" s="1"/>
  <c r="E19" i="14" s="1"/>
  <c r="C23" i="14"/>
  <c r="D23" i="14" s="1"/>
  <c r="E23" i="14" s="1"/>
  <c r="C27" i="14"/>
  <c r="D27" i="14" s="1"/>
  <c r="E27" i="14" s="1"/>
  <c r="C31" i="14"/>
  <c r="D31" i="14" s="1"/>
  <c r="E31" i="14" s="1"/>
  <c r="C35" i="14"/>
  <c r="D35" i="14" s="1"/>
  <c r="E35" i="14" s="1"/>
  <c r="C39" i="14"/>
  <c r="D39" i="14" s="1"/>
  <c r="E39" i="14" s="1"/>
  <c r="C4" i="14"/>
  <c r="D4" i="14" s="1"/>
  <c r="E4" i="14" s="1"/>
  <c r="C8" i="14"/>
  <c r="D8" i="14" s="1"/>
  <c r="E8" i="14" s="1"/>
  <c r="C12" i="14"/>
  <c r="D12" i="14" s="1"/>
  <c r="E12" i="14" s="1"/>
  <c r="C16" i="14"/>
  <c r="D16" i="14" s="1"/>
  <c r="E16" i="14" s="1"/>
  <c r="C20" i="14"/>
  <c r="D20" i="14" s="1"/>
  <c r="E20" i="14" s="1"/>
  <c r="C24" i="14"/>
  <c r="D24" i="14" s="1"/>
  <c r="E24" i="14" s="1"/>
  <c r="C28" i="14"/>
  <c r="D28" i="14" s="1"/>
  <c r="E28" i="14" s="1"/>
  <c r="C32" i="14"/>
  <c r="D32" i="14" s="1"/>
  <c r="E32" i="14" s="1"/>
  <c r="C36" i="14"/>
  <c r="D36" i="14" s="1"/>
  <c r="E36" i="14" s="1"/>
  <c r="C40" i="14"/>
  <c r="D40" i="14" s="1"/>
  <c r="E40" i="14" s="1"/>
  <c r="C1" i="14"/>
  <c r="D1" i="14" s="1"/>
  <c r="E1" i="14" s="1"/>
  <c r="C2" i="13"/>
  <c r="D2" i="13" s="1"/>
  <c r="E2" i="13" s="1"/>
  <c r="C3" i="13"/>
  <c r="D3" i="13" s="1"/>
  <c r="E3" i="13" s="1"/>
  <c r="C7" i="13"/>
  <c r="D7" i="13" s="1"/>
  <c r="E7" i="13" s="1"/>
  <c r="C11" i="13"/>
  <c r="D11" i="13" s="1"/>
  <c r="E11" i="13" s="1"/>
  <c r="C15" i="13"/>
  <c r="D15" i="13" s="1"/>
  <c r="E15" i="13" s="1"/>
  <c r="C19" i="13"/>
  <c r="D19" i="13" s="1"/>
  <c r="E19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4" i="13"/>
  <c r="D4" i="13" s="1"/>
  <c r="E4" i="13" s="1"/>
  <c r="C8" i="13"/>
  <c r="D8" i="13" s="1"/>
  <c r="E8" i="13" s="1"/>
  <c r="C12" i="13"/>
  <c r="D12" i="13" s="1"/>
  <c r="E12" i="13" s="1"/>
  <c r="C16" i="13"/>
  <c r="D16" i="13" s="1"/>
  <c r="E16" i="13" s="1"/>
  <c r="C20" i="13"/>
  <c r="D20" i="13" s="1"/>
  <c r="E20" i="13" s="1"/>
  <c r="C24" i="13"/>
  <c r="D24" i="13" s="1"/>
  <c r="E24" i="13" s="1"/>
  <c r="C28" i="13"/>
  <c r="D28" i="13" s="1"/>
  <c r="E28" i="13" s="1"/>
  <c r="C32" i="13"/>
  <c r="D32" i="13" s="1"/>
  <c r="E32" i="13" s="1"/>
  <c r="C36" i="13"/>
  <c r="D36" i="13" s="1"/>
  <c r="E36" i="13" s="1"/>
  <c r="C40" i="13"/>
  <c r="D40" i="13" s="1"/>
  <c r="E40" i="13" s="1"/>
  <c r="C2" i="12"/>
  <c r="D2" i="12" s="1"/>
  <c r="E2" i="12" s="1"/>
  <c r="C6" i="12"/>
  <c r="D6" i="12" s="1"/>
  <c r="E6" i="12" s="1"/>
  <c r="C10" i="12"/>
  <c r="D10" i="12" s="1"/>
  <c r="E10" i="12" s="1"/>
  <c r="C14" i="12"/>
  <c r="D14" i="12" s="1"/>
  <c r="E14" i="12" s="1"/>
  <c r="C18" i="12"/>
  <c r="D18" i="12" s="1"/>
  <c r="E18" i="12" s="1"/>
  <c r="C22" i="12"/>
  <c r="D22" i="12" s="1"/>
  <c r="E22" i="12" s="1"/>
  <c r="C26" i="12"/>
  <c r="D26" i="12" s="1"/>
  <c r="E26" i="12" s="1"/>
  <c r="C30" i="12"/>
  <c r="D30" i="12" s="1"/>
  <c r="E30" i="12" s="1"/>
  <c r="C34" i="12"/>
  <c r="D34" i="12" s="1"/>
  <c r="E34" i="12" s="1"/>
  <c r="C38" i="12"/>
  <c r="D38" i="12" s="1"/>
  <c r="E38" i="12" s="1"/>
  <c r="C3" i="12"/>
  <c r="D3" i="12" s="1"/>
  <c r="E3" i="12" s="1"/>
  <c r="C4" i="12"/>
  <c r="D4" i="12" s="1"/>
  <c r="E4" i="12" s="1"/>
  <c r="C8" i="12"/>
  <c r="D8" i="12" s="1"/>
  <c r="E8" i="12" s="1"/>
  <c r="C12" i="12"/>
  <c r="D12" i="12" s="1"/>
  <c r="E12" i="12" s="1"/>
  <c r="C16" i="12"/>
  <c r="D16" i="12" s="1"/>
  <c r="E16" i="12" s="1"/>
  <c r="C20" i="12"/>
  <c r="D20" i="12" s="1"/>
  <c r="E20" i="12" s="1"/>
  <c r="C24" i="12"/>
  <c r="D24" i="12" s="1"/>
  <c r="E24" i="12" s="1"/>
  <c r="C28" i="12"/>
  <c r="D28" i="12" s="1"/>
  <c r="E28" i="12" s="1"/>
  <c r="C32" i="12"/>
  <c r="D32" i="12" s="1"/>
  <c r="E32" i="12" s="1"/>
  <c r="C36" i="12"/>
  <c r="D36" i="12" s="1"/>
  <c r="E36" i="12" s="1"/>
  <c r="C40" i="12"/>
  <c r="D40" i="12" s="1"/>
  <c r="E40" i="12" s="1"/>
  <c r="C2" i="11"/>
  <c r="D2" i="11" s="1"/>
  <c r="E2" i="11" s="1"/>
  <c r="C3" i="11"/>
  <c r="D3" i="11" s="1"/>
  <c r="E3" i="11" s="1"/>
  <c r="C37" i="10"/>
  <c r="D37" i="10" s="1"/>
  <c r="E37" i="10" s="1"/>
  <c r="C2" i="10"/>
  <c r="D2" i="10" s="1"/>
  <c r="E2" i="10" s="1"/>
  <c r="C13" i="10"/>
  <c r="D13" i="10" s="1"/>
  <c r="E13" i="10" s="1"/>
  <c r="C17" i="10"/>
  <c r="D17" i="10" s="1"/>
  <c r="E17" i="10" s="1"/>
  <c r="C25" i="10"/>
  <c r="D25" i="10" s="1"/>
  <c r="E25" i="10" s="1"/>
  <c r="C6" i="10"/>
  <c r="D6" i="10" s="1"/>
  <c r="E6" i="10" s="1"/>
  <c r="C10" i="10"/>
  <c r="D10" i="10" s="1"/>
  <c r="E10" i="10" s="1"/>
  <c r="C14" i="10"/>
  <c r="D14" i="10" s="1"/>
  <c r="E14" i="10" s="1"/>
  <c r="C18" i="10"/>
  <c r="D18" i="10" s="1"/>
  <c r="E18" i="10" s="1"/>
  <c r="C22" i="10"/>
  <c r="D22" i="10" s="1"/>
  <c r="E22" i="10" s="1"/>
  <c r="C26" i="10"/>
  <c r="D26" i="10" s="1"/>
  <c r="E26" i="10" s="1"/>
  <c r="C30" i="10"/>
  <c r="D30" i="10" s="1"/>
  <c r="E30" i="10" s="1"/>
  <c r="C34" i="10"/>
  <c r="D34" i="10" s="1"/>
  <c r="E34" i="10" s="1"/>
  <c r="C38" i="10"/>
  <c r="D38" i="10" s="1"/>
  <c r="E38" i="10" s="1"/>
  <c r="C21" i="10"/>
  <c r="D21" i="10" s="1"/>
  <c r="E21" i="10" s="1"/>
  <c r="C29" i="10"/>
  <c r="D29" i="10" s="1"/>
  <c r="E29" i="10" s="1"/>
  <c r="C3" i="10"/>
  <c r="D3" i="10" s="1"/>
  <c r="E3" i="10" s="1"/>
  <c r="C9" i="10"/>
  <c r="D9" i="10" s="1"/>
  <c r="E9" i="10" s="1"/>
  <c r="C33" i="10"/>
  <c r="D33" i="10" s="1"/>
  <c r="E33" i="10" s="1"/>
  <c r="C39" i="10"/>
  <c r="D39" i="10" s="1"/>
  <c r="E39" i="10" s="1"/>
  <c r="C8" i="10"/>
  <c r="D8" i="10" s="1"/>
  <c r="E8" i="10" s="1"/>
  <c r="C12" i="10"/>
  <c r="D12" i="10" s="1"/>
  <c r="E12" i="10" s="1"/>
  <c r="C16" i="10"/>
  <c r="D16" i="10" s="1"/>
  <c r="E16" i="10" s="1"/>
  <c r="C20" i="10"/>
  <c r="D20" i="10" s="1"/>
  <c r="E20" i="10" s="1"/>
  <c r="C24" i="10"/>
  <c r="D24" i="10" s="1"/>
  <c r="E24" i="10" s="1"/>
  <c r="C28" i="10"/>
  <c r="D28" i="10" s="1"/>
  <c r="E28" i="10" s="1"/>
  <c r="C32" i="10"/>
  <c r="D32" i="10" s="1"/>
  <c r="E32" i="10" s="1"/>
  <c r="C36" i="10"/>
  <c r="D36" i="10" s="1"/>
  <c r="E36" i="10" s="1"/>
  <c r="C40" i="10"/>
  <c r="D40" i="10" s="1"/>
  <c r="E40" i="10" s="1"/>
  <c r="C4" i="10"/>
  <c r="D4" i="10" s="1"/>
  <c r="E4" i="10" s="1"/>
  <c r="C1" i="10"/>
  <c r="D1" i="10" s="1"/>
  <c r="E1" i="10" s="1"/>
  <c r="C2" i="9"/>
  <c r="D2" i="9" s="1"/>
  <c r="E2" i="9" s="1"/>
  <c r="C6" i="9"/>
  <c r="D6" i="9" s="1"/>
  <c r="E6" i="9" s="1"/>
  <c r="C10" i="9"/>
  <c r="D10" i="9" s="1"/>
  <c r="E10" i="9" s="1"/>
  <c r="C14" i="9"/>
  <c r="D14" i="9" s="1"/>
  <c r="E14" i="9" s="1"/>
  <c r="C18" i="9"/>
  <c r="D18" i="9" s="1"/>
  <c r="E18" i="9" s="1"/>
  <c r="C22" i="9"/>
  <c r="D22" i="9" s="1"/>
  <c r="E22" i="9" s="1"/>
  <c r="C26" i="9"/>
  <c r="D26" i="9" s="1"/>
  <c r="E26" i="9" s="1"/>
  <c r="C30" i="9"/>
  <c r="D30" i="9" s="1"/>
  <c r="E30" i="9" s="1"/>
  <c r="C34" i="9"/>
  <c r="D34" i="9" s="1"/>
  <c r="E34" i="9" s="1"/>
  <c r="C38" i="9"/>
  <c r="D38" i="9" s="1"/>
  <c r="E38" i="9" s="1"/>
  <c r="C3" i="9"/>
  <c r="D3" i="9" s="1"/>
  <c r="E3" i="9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4" i="9"/>
  <c r="D4" i="9" s="1"/>
  <c r="E4" i="9" s="1"/>
  <c r="C8" i="9"/>
  <c r="D8" i="9" s="1"/>
  <c r="E8" i="9" s="1"/>
  <c r="C12" i="9"/>
  <c r="D12" i="9" s="1"/>
  <c r="E12" i="9" s="1"/>
  <c r="C16" i="9"/>
  <c r="D16" i="9" s="1"/>
  <c r="E16" i="9" s="1"/>
  <c r="C20" i="9"/>
  <c r="D20" i="9" s="1"/>
  <c r="E20" i="9" s="1"/>
  <c r="C24" i="9"/>
  <c r="D24" i="9" s="1"/>
  <c r="E24" i="9" s="1"/>
  <c r="C28" i="9"/>
  <c r="D28" i="9" s="1"/>
  <c r="E28" i="9" s="1"/>
  <c r="C32" i="9"/>
  <c r="D32" i="9" s="1"/>
  <c r="E32" i="9" s="1"/>
  <c r="C36" i="9"/>
  <c r="D36" i="9" s="1"/>
  <c r="E36" i="9" s="1"/>
  <c r="C40" i="9"/>
  <c r="D40" i="9" s="1"/>
  <c r="E40" i="9" s="1"/>
  <c r="C1" i="9"/>
  <c r="D1" i="9" s="1"/>
  <c r="E1" i="9" s="1"/>
  <c r="C2" i="8"/>
  <c r="D2" i="8" s="1"/>
  <c r="E2" i="8" s="1"/>
  <c r="C3" i="8"/>
  <c r="D3" i="8" s="1"/>
  <c r="E3" i="8" s="1"/>
  <c r="C7" i="8"/>
  <c r="D7" i="8" s="1"/>
  <c r="E7" i="8" s="1"/>
  <c r="C11" i="8"/>
  <c r="D11" i="8" s="1"/>
  <c r="E11" i="8" s="1"/>
  <c r="C15" i="8"/>
  <c r="D15" i="8" s="1"/>
  <c r="E15" i="8" s="1"/>
  <c r="C19" i="8"/>
  <c r="D19" i="8" s="1"/>
  <c r="E19" i="8" s="1"/>
  <c r="C23" i="8"/>
  <c r="D23" i="8" s="1"/>
  <c r="E23" i="8" s="1"/>
  <c r="C27" i="8"/>
  <c r="D27" i="8" s="1"/>
  <c r="E27" i="8" s="1"/>
  <c r="C31" i="8"/>
  <c r="D31" i="8" s="1"/>
  <c r="E31" i="8" s="1"/>
  <c r="C35" i="8"/>
  <c r="D35" i="8" s="1"/>
  <c r="E35" i="8" s="1"/>
  <c r="C39" i="8"/>
  <c r="D39" i="8" s="1"/>
  <c r="E39" i="8" s="1"/>
  <c r="C4" i="8"/>
  <c r="D4" i="8" s="1"/>
  <c r="E4" i="8" s="1"/>
  <c r="C1" i="8"/>
  <c r="D1" i="8" s="1"/>
  <c r="E1" i="8" s="1"/>
  <c r="C14" i="7"/>
  <c r="D14" i="7" s="1"/>
  <c r="E14" i="7" s="1"/>
  <c r="C18" i="7"/>
  <c r="D18" i="7" s="1"/>
  <c r="E18" i="7" s="1"/>
  <c r="C22" i="7"/>
  <c r="D22" i="7" s="1"/>
  <c r="E22" i="7" s="1"/>
  <c r="C26" i="7"/>
  <c r="D26" i="7" s="1"/>
  <c r="E26" i="7" s="1"/>
  <c r="C30" i="7"/>
  <c r="D30" i="7" s="1"/>
  <c r="E30" i="7" s="1"/>
  <c r="C34" i="7"/>
  <c r="D34" i="7" s="1"/>
  <c r="E34" i="7" s="1"/>
  <c r="C38" i="7"/>
  <c r="D38" i="7" s="1"/>
  <c r="E38" i="7" s="1"/>
  <c r="C7" i="7"/>
  <c r="D7" i="7" s="1"/>
  <c r="E7" i="7" s="1"/>
  <c r="C11" i="7"/>
  <c r="D11" i="7" s="1"/>
  <c r="E11" i="7" s="1"/>
  <c r="C15" i="7"/>
  <c r="D15" i="7" s="1"/>
  <c r="E15" i="7" s="1"/>
  <c r="C19" i="7"/>
  <c r="D19" i="7" s="1"/>
  <c r="E19" i="7" s="1"/>
  <c r="C23" i="7"/>
  <c r="D23" i="7" s="1"/>
  <c r="E23" i="7" s="1"/>
  <c r="C27" i="7"/>
  <c r="D27" i="7" s="1"/>
  <c r="E27" i="7" s="1"/>
  <c r="C31" i="7"/>
  <c r="D31" i="7" s="1"/>
  <c r="E31" i="7" s="1"/>
  <c r="C35" i="7"/>
  <c r="D35" i="7" s="1"/>
  <c r="E35" i="7" s="1"/>
  <c r="C39" i="7"/>
  <c r="D39" i="7" s="1"/>
  <c r="E39" i="7" s="1"/>
  <c r="C4" i="7"/>
  <c r="D4" i="7" s="1"/>
  <c r="E4" i="7" s="1"/>
  <c r="C6" i="6"/>
  <c r="D6" i="6" s="1"/>
  <c r="E6" i="6" s="1"/>
  <c r="C10" i="6"/>
  <c r="D10" i="6" s="1"/>
  <c r="E10" i="6" s="1"/>
  <c r="C14" i="6"/>
  <c r="D14" i="6" s="1"/>
  <c r="E14" i="6" s="1"/>
  <c r="C18" i="6"/>
  <c r="D18" i="6" s="1"/>
  <c r="E18" i="6" s="1"/>
  <c r="C22" i="6"/>
  <c r="D22" i="6" s="1"/>
  <c r="E22" i="6" s="1"/>
  <c r="C26" i="6"/>
  <c r="D26" i="6" s="1"/>
  <c r="E26" i="6" s="1"/>
  <c r="C30" i="6"/>
  <c r="D30" i="6" s="1"/>
  <c r="E30" i="6" s="1"/>
  <c r="C34" i="6"/>
  <c r="D34" i="6" s="1"/>
  <c r="E34" i="6" s="1"/>
  <c r="C38" i="6"/>
  <c r="D38" i="6" s="1"/>
  <c r="E38" i="6" s="1"/>
  <c r="C3" i="6"/>
  <c r="D3" i="6" s="1"/>
  <c r="E3" i="6" s="1"/>
  <c r="C19" i="6"/>
  <c r="D19" i="6" s="1"/>
  <c r="E19" i="6" s="1"/>
  <c r="C23" i="6"/>
  <c r="D23" i="6" s="1"/>
  <c r="E23" i="6" s="1"/>
  <c r="C27" i="6"/>
  <c r="D27" i="6" s="1"/>
  <c r="E27" i="6" s="1"/>
  <c r="C31" i="6"/>
  <c r="D31" i="6" s="1"/>
  <c r="E31" i="6" s="1"/>
  <c r="C35" i="6"/>
  <c r="D35" i="6" s="1"/>
  <c r="E35" i="6" s="1"/>
  <c r="C39" i="6"/>
  <c r="D39" i="6" s="1"/>
  <c r="E39" i="6" s="1"/>
  <c r="C4" i="6"/>
  <c r="D4" i="6" s="1"/>
  <c r="E4" i="6" s="1"/>
  <c r="C8" i="6"/>
  <c r="D8" i="6" s="1"/>
  <c r="E8" i="6" s="1"/>
  <c r="C12" i="6"/>
  <c r="D12" i="6" s="1"/>
  <c r="E12" i="6" s="1"/>
  <c r="C16" i="6"/>
  <c r="D16" i="6" s="1"/>
  <c r="E16" i="6" s="1"/>
  <c r="C20" i="6"/>
  <c r="D20" i="6" s="1"/>
  <c r="E20" i="6" s="1"/>
  <c r="C24" i="6"/>
  <c r="D24" i="6" s="1"/>
  <c r="E24" i="6" s="1"/>
  <c r="C28" i="6"/>
  <c r="D28" i="6" s="1"/>
  <c r="E28" i="6" s="1"/>
  <c r="C32" i="6"/>
  <c r="D32" i="6" s="1"/>
  <c r="E32" i="6" s="1"/>
  <c r="C36" i="6"/>
  <c r="D36" i="6" s="1"/>
  <c r="E36" i="6" s="1"/>
  <c r="C40" i="6"/>
  <c r="D40" i="6" s="1"/>
  <c r="E40" i="6" s="1"/>
  <c r="C1" i="6"/>
  <c r="D1" i="6" s="1"/>
  <c r="E1" i="6" s="1"/>
  <c r="C2" i="5"/>
  <c r="D2" i="5" s="1"/>
  <c r="E2" i="5" s="1"/>
  <c r="C3" i="5"/>
  <c r="D3" i="5" s="1"/>
  <c r="E3" i="5" s="1"/>
  <c r="C7" i="5"/>
  <c r="D7" i="5" s="1"/>
  <c r="E7" i="5" s="1"/>
  <c r="C11" i="5"/>
  <c r="D11" i="5" s="1"/>
  <c r="E11" i="5" s="1"/>
  <c r="C15" i="5"/>
  <c r="D15" i="5" s="1"/>
  <c r="E15" i="5" s="1"/>
  <c r="C19" i="5"/>
  <c r="D19" i="5" s="1"/>
  <c r="E19" i="5" s="1"/>
  <c r="C23" i="5"/>
  <c r="D23" i="5" s="1"/>
  <c r="E23" i="5" s="1"/>
  <c r="C27" i="5"/>
  <c r="D27" i="5" s="1"/>
  <c r="E27" i="5" s="1"/>
  <c r="C31" i="5"/>
  <c r="D31" i="5" s="1"/>
  <c r="E31" i="5" s="1"/>
  <c r="C35" i="5"/>
  <c r="D35" i="5" s="1"/>
  <c r="E35" i="5" s="1"/>
  <c r="C39" i="5"/>
  <c r="D39" i="5" s="1"/>
  <c r="E39" i="5" s="1"/>
  <c r="C4" i="5"/>
  <c r="D4" i="5" s="1"/>
  <c r="E4" i="5" s="1"/>
  <c r="C24" i="5"/>
  <c r="D24" i="5" s="1"/>
  <c r="E24" i="5" s="1"/>
  <c r="C28" i="5"/>
  <c r="D28" i="5" s="1"/>
  <c r="E28" i="5" s="1"/>
  <c r="C32" i="5"/>
  <c r="D32" i="5" s="1"/>
  <c r="E32" i="5" s="1"/>
  <c r="C36" i="5"/>
  <c r="D36" i="5" s="1"/>
  <c r="E36" i="5" s="1"/>
  <c r="C40" i="5"/>
  <c r="D40" i="5" s="1"/>
  <c r="E40" i="5" s="1"/>
  <c r="C2" i="4"/>
  <c r="D2" i="4" s="1"/>
  <c r="E2" i="4" s="1"/>
  <c r="C6" i="4"/>
  <c r="D6" i="4" s="1"/>
  <c r="E6" i="4" s="1"/>
  <c r="C10" i="4"/>
  <c r="D10" i="4" s="1"/>
  <c r="E10" i="4" s="1"/>
  <c r="C14" i="4"/>
  <c r="D14" i="4" s="1"/>
  <c r="E14" i="4" s="1"/>
  <c r="C18" i="4"/>
  <c r="D18" i="4" s="1"/>
  <c r="E18" i="4" s="1"/>
  <c r="C22" i="4"/>
  <c r="D22" i="4" s="1"/>
  <c r="E22" i="4" s="1"/>
  <c r="C26" i="4"/>
  <c r="D26" i="4" s="1"/>
  <c r="E26" i="4" s="1"/>
  <c r="C30" i="4"/>
  <c r="D30" i="4" s="1"/>
  <c r="E30" i="4" s="1"/>
  <c r="C34" i="4"/>
  <c r="D34" i="4" s="1"/>
  <c r="E34" i="4" s="1"/>
  <c r="C38" i="4"/>
  <c r="D38" i="4" s="1"/>
  <c r="E38" i="4" s="1"/>
  <c r="C7" i="4"/>
  <c r="D7" i="4" s="1"/>
  <c r="E7" i="4" s="1"/>
  <c r="C11" i="4"/>
  <c r="D11" i="4" s="1"/>
  <c r="E11" i="4" s="1"/>
  <c r="C15" i="4"/>
  <c r="D15" i="4" s="1"/>
  <c r="E15" i="4" s="1"/>
  <c r="C19" i="4"/>
  <c r="D19" i="4" s="1"/>
  <c r="E19" i="4" s="1"/>
  <c r="C23" i="4"/>
  <c r="D23" i="4" s="1"/>
  <c r="E23" i="4" s="1"/>
  <c r="C27" i="4"/>
  <c r="D27" i="4" s="1"/>
  <c r="E27" i="4" s="1"/>
  <c r="C31" i="4"/>
  <c r="D31" i="4" s="1"/>
  <c r="E31" i="4" s="1"/>
  <c r="C35" i="4"/>
  <c r="D35" i="4" s="1"/>
  <c r="E35" i="4" s="1"/>
  <c r="C39" i="4"/>
  <c r="D39" i="4" s="1"/>
  <c r="E39" i="4" s="1"/>
  <c r="C4" i="4"/>
  <c r="D4" i="4" s="1"/>
  <c r="E4" i="4" s="1"/>
  <c r="C8" i="4"/>
  <c r="D8" i="4" s="1"/>
  <c r="E8" i="4" s="1"/>
  <c r="C12" i="4"/>
  <c r="D12" i="4" s="1"/>
  <c r="E12" i="4" s="1"/>
  <c r="C16" i="4"/>
  <c r="D16" i="4" s="1"/>
  <c r="E16" i="4" s="1"/>
  <c r="C20" i="4"/>
  <c r="D20" i="4" s="1"/>
  <c r="E20" i="4" s="1"/>
  <c r="C24" i="4"/>
  <c r="D24" i="4" s="1"/>
  <c r="E24" i="4" s="1"/>
  <c r="C28" i="4"/>
  <c r="D28" i="4" s="1"/>
  <c r="E28" i="4" s="1"/>
  <c r="C32" i="4"/>
  <c r="D32" i="4" s="1"/>
  <c r="E32" i="4" s="1"/>
  <c r="C36" i="4"/>
  <c r="D36" i="4" s="1"/>
  <c r="E36" i="4" s="1"/>
  <c r="C40" i="4"/>
  <c r="D40" i="4" s="1"/>
  <c r="E40" i="4" s="1"/>
  <c r="C1" i="4"/>
  <c r="D1" i="4" s="1"/>
  <c r="E1" i="4" s="1"/>
  <c r="C2" i="3"/>
  <c r="D2" i="3" s="1"/>
  <c r="E2" i="3" s="1"/>
  <c r="C6" i="3"/>
  <c r="D6" i="3" s="1"/>
  <c r="E6" i="3" s="1"/>
  <c r="C10" i="3"/>
  <c r="D10" i="3" s="1"/>
  <c r="E10" i="3" s="1"/>
  <c r="C14" i="3"/>
  <c r="D14" i="3" s="1"/>
  <c r="E14" i="3" s="1"/>
  <c r="C18" i="3"/>
  <c r="D18" i="3" s="1"/>
  <c r="E18" i="3" s="1"/>
  <c r="C22" i="3"/>
  <c r="D22" i="3" s="1"/>
  <c r="E22" i="3" s="1"/>
  <c r="C26" i="3"/>
  <c r="D26" i="3" s="1"/>
  <c r="E26" i="3" s="1"/>
  <c r="C30" i="3"/>
  <c r="D30" i="3" s="1"/>
  <c r="E30" i="3" s="1"/>
  <c r="C34" i="3"/>
  <c r="D34" i="3" s="1"/>
  <c r="E34" i="3" s="1"/>
  <c r="C38" i="3"/>
  <c r="D38" i="3" s="1"/>
  <c r="E38" i="3" s="1"/>
  <c r="C3" i="3"/>
  <c r="D3" i="3" s="1"/>
  <c r="E3" i="3" s="1"/>
  <c r="C7" i="3"/>
  <c r="D7" i="3" s="1"/>
  <c r="E7" i="3" s="1"/>
  <c r="C11" i="3"/>
  <c r="D11" i="3" s="1"/>
  <c r="E11" i="3" s="1"/>
  <c r="C15" i="3"/>
  <c r="D15" i="3" s="1"/>
  <c r="E15" i="3" s="1"/>
  <c r="C19" i="3"/>
  <c r="D19" i="3" s="1"/>
  <c r="E19" i="3" s="1"/>
  <c r="C23" i="3"/>
  <c r="D23" i="3" s="1"/>
  <c r="E23" i="3" s="1"/>
  <c r="C27" i="3"/>
  <c r="D27" i="3" s="1"/>
  <c r="E27" i="3" s="1"/>
  <c r="C31" i="3"/>
  <c r="D31" i="3" s="1"/>
  <c r="E31" i="3" s="1"/>
  <c r="C35" i="3"/>
  <c r="D35" i="3" s="1"/>
  <c r="E35" i="3" s="1"/>
  <c r="C39" i="3"/>
  <c r="D39" i="3" s="1"/>
  <c r="E39" i="3" s="1"/>
  <c r="C4" i="3"/>
  <c r="D4" i="3" s="1"/>
  <c r="E4" i="3" s="1"/>
  <c r="C8" i="3"/>
  <c r="D8" i="3" s="1"/>
  <c r="E8" i="3" s="1"/>
  <c r="C12" i="3"/>
  <c r="D12" i="3" s="1"/>
  <c r="E12" i="3" s="1"/>
  <c r="C16" i="3"/>
  <c r="D16" i="3" s="1"/>
  <c r="E16" i="3" s="1"/>
  <c r="C20" i="3"/>
  <c r="D20" i="3" s="1"/>
  <c r="E20" i="3" s="1"/>
  <c r="C24" i="3"/>
  <c r="D24" i="3" s="1"/>
  <c r="E24" i="3" s="1"/>
  <c r="C28" i="3"/>
  <c r="D28" i="3" s="1"/>
  <c r="E28" i="3" s="1"/>
  <c r="C32" i="3"/>
  <c r="D32" i="3" s="1"/>
  <c r="E32" i="3" s="1"/>
  <c r="C36" i="3"/>
  <c r="D36" i="3" s="1"/>
  <c r="E36" i="3" s="1"/>
  <c r="C40" i="3"/>
  <c r="D40" i="3" s="1"/>
  <c r="E40" i="3" s="1"/>
  <c r="C9" i="2"/>
  <c r="D9" i="2" s="1"/>
  <c r="E9" i="2" s="1"/>
  <c r="C13" i="2"/>
  <c r="D13" i="2" s="1"/>
  <c r="E13" i="2" s="1"/>
  <c r="C17" i="2"/>
  <c r="D17" i="2" s="1"/>
  <c r="E17" i="2" s="1"/>
  <c r="C21" i="2"/>
  <c r="D21" i="2" s="1"/>
  <c r="E21" i="2" s="1"/>
  <c r="C25" i="2"/>
  <c r="D25" i="2" s="1"/>
  <c r="E25" i="2" s="1"/>
  <c r="C29" i="2"/>
  <c r="D29" i="2" s="1"/>
  <c r="E29" i="2" s="1"/>
  <c r="C33" i="2"/>
  <c r="D33" i="2" s="1"/>
  <c r="E33" i="2" s="1"/>
  <c r="C37" i="2"/>
  <c r="D37" i="2" s="1"/>
  <c r="E37" i="2" s="1"/>
  <c r="C2" i="2"/>
  <c r="D2" i="2" s="1"/>
  <c r="E2" i="2" s="1"/>
  <c r="C6" i="2"/>
  <c r="D6" i="2" s="1"/>
  <c r="E6" i="2" s="1"/>
  <c r="C10" i="2"/>
  <c r="D10" i="2" s="1"/>
  <c r="E10" i="2" s="1"/>
  <c r="C14" i="2"/>
  <c r="D14" i="2" s="1"/>
  <c r="E14" i="2" s="1"/>
  <c r="C18" i="2"/>
  <c r="D18" i="2" s="1"/>
  <c r="E18" i="2" s="1"/>
  <c r="C22" i="2"/>
  <c r="D22" i="2" s="1"/>
  <c r="E22" i="2" s="1"/>
  <c r="C26" i="2"/>
  <c r="D26" i="2" s="1"/>
  <c r="E26" i="2" s="1"/>
  <c r="C30" i="2"/>
  <c r="D30" i="2" s="1"/>
  <c r="E30" i="2" s="1"/>
  <c r="C34" i="2"/>
  <c r="D34" i="2" s="1"/>
  <c r="E34" i="2" s="1"/>
  <c r="C38" i="2"/>
  <c r="D38" i="2" s="1"/>
  <c r="E38" i="2" s="1"/>
  <c r="C3" i="2"/>
  <c r="D3" i="2" s="1"/>
  <c r="E3" i="2" s="1"/>
  <c r="C8" i="2"/>
  <c r="D8" i="2" s="1"/>
  <c r="E8" i="2" s="1"/>
  <c r="C12" i="2"/>
  <c r="D12" i="2" s="1"/>
  <c r="E12" i="2" s="1"/>
  <c r="C16" i="2"/>
  <c r="D16" i="2" s="1"/>
  <c r="E16" i="2" s="1"/>
  <c r="C20" i="2"/>
  <c r="D20" i="2" s="1"/>
  <c r="E20" i="2" s="1"/>
  <c r="C24" i="2"/>
  <c r="D24" i="2" s="1"/>
  <c r="E24" i="2" s="1"/>
  <c r="C28" i="2"/>
  <c r="D28" i="2" s="1"/>
  <c r="E28" i="2" s="1"/>
  <c r="C32" i="2"/>
  <c r="D32" i="2" s="1"/>
  <c r="E32" i="2" s="1"/>
  <c r="C36" i="2"/>
  <c r="D36" i="2" s="1"/>
  <c r="E36" i="2" s="1"/>
  <c r="C40" i="2"/>
  <c r="D40" i="2" s="1"/>
  <c r="E40" i="2" s="1"/>
  <c r="H5" i="31" l="1"/>
  <c r="H5" i="29"/>
  <c r="H5" i="28"/>
  <c r="H5" i="27"/>
  <c r="H5" i="25"/>
  <c r="H5" i="22"/>
  <c r="H5" i="17"/>
  <c r="H5" i="15"/>
  <c r="H5" i="13"/>
  <c r="H5" i="12"/>
  <c r="H5" i="11"/>
  <c r="H5" i="7"/>
  <c r="H5" i="5"/>
  <c r="H5" i="3"/>
  <c r="H5" i="2"/>
  <c r="H5" i="32"/>
  <c r="H5" i="30"/>
  <c r="H5" i="26"/>
  <c r="H5" i="24"/>
  <c r="H5" i="23"/>
  <c r="H5" i="21"/>
  <c r="H5" i="20"/>
  <c r="H5" i="19"/>
  <c r="H5" i="18"/>
  <c r="H5" i="16"/>
  <c r="H5" i="14"/>
  <c r="H5" i="10"/>
  <c r="H5" i="9"/>
  <c r="H5" i="8"/>
  <c r="H5" i="6"/>
  <c r="H5" i="4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<sst xmlns="http://schemas.openxmlformats.org/spreadsheetml/2006/main" count="93" uniqueCount="3">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</sst>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23FA-456B-4C84-A68D-0CB7CD84D406}">
  <dimension ref="A1:B31"/>
  <sheetViews>
    <sheetView tabSelected="1" workbookViewId="0">
      <selection activeCell="J17" sqref="J17"/>
    </sheetView>
  </sheetViews>
  <sheetFormatPr defaultRowHeight="15.75" x14ac:dyDescent="0.25"/>
  <sheetData>
    <row r="1" spans="1:2" x14ac:dyDescent="0.25">
      <c r="A1">
        <v>1E-4</v>
      </c>
      <c r="B1">
        <f>'0.0001'!$H$1</f>
        <v>8.5814754639664731E-2</v>
      </c>
    </row>
    <row r="2" spans="1:2" x14ac:dyDescent="0.25">
      <c r="A2">
        <v>1E-3</v>
      </c>
      <c r="B2">
        <f>'0.001'!$H$1</f>
        <v>9.325241853915478E-2</v>
      </c>
    </row>
    <row r="3" spans="1:2" x14ac:dyDescent="0.25">
      <c r="A3">
        <v>5.0000000000000001E-3</v>
      </c>
      <c r="B3">
        <f>'0.005'!$H$1</f>
        <v>0.14562196651669751</v>
      </c>
    </row>
    <row r="4" spans="1:2" x14ac:dyDescent="0.25">
      <c r="A4">
        <v>0.01</v>
      </c>
      <c r="B4">
        <f>'0.01'!$H$1</f>
        <v>0.16908262829745871</v>
      </c>
    </row>
    <row r="5" spans="1:2" x14ac:dyDescent="0.25">
      <c r="A5">
        <v>2.5000000000000001E-2</v>
      </c>
      <c r="B5">
        <f>'0.025'!$H$1</f>
        <v>0.22534449105694032</v>
      </c>
    </row>
    <row r="6" spans="1:2" x14ac:dyDescent="0.25">
      <c r="A6">
        <v>0.05</v>
      </c>
      <c r="B6">
        <f>'0.05'!$H$1</f>
        <v>0.28090710015166809</v>
      </c>
    </row>
    <row r="7" spans="1:2" x14ac:dyDescent="0.25">
      <c r="A7">
        <v>7.4999999999999997E-2</v>
      </c>
      <c r="B7">
        <f>'0.075'!$H$1</f>
        <v>0.32142490707916016</v>
      </c>
    </row>
    <row r="8" spans="1:2" x14ac:dyDescent="0.25">
      <c r="A8">
        <v>0.1</v>
      </c>
      <c r="B8">
        <f>'0.1'!$H$1</f>
        <v>0.3603532427587488</v>
      </c>
    </row>
    <row r="9" spans="1:2" x14ac:dyDescent="0.25">
      <c r="A9">
        <v>0.15</v>
      </c>
      <c r="B9">
        <f>'0.15'!$H$1</f>
        <v>0.42905279442793204</v>
      </c>
    </row>
    <row r="10" spans="1:2" x14ac:dyDescent="0.25">
      <c r="A10">
        <v>0.2</v>
      </c>
      <c r="B10">
        <f>'0.2'!$H$1</f>
        <v>0.48723022459935827</v>
      </c>
    </row>
    <row r="11" spans="1:2" x14ac:dyDescent="0.25">
      <c r="A11">
        <v>0.25</v>
      </c>
      <c r="B11">
        <f>'0.25'!$H$1</f>
        <v>0.54749614329289442</v>
      </c>
    </row>
    <row r="12" spans="1:2" x14ac:dyDescent="0.25">
      <c r="A12">
        <v>0.3</v>
      </c>
      <c r="B12">
        <f>'0.3'!$H$1</f>
        <v>0.61010355594107524</v>
      </c>
    </row>
    <row r="13" spans="1:2" x14ac:dyDescent="0.25">
      <c r="A13">
        <v>0.35</v>
      </c>
      <c r="B13">
        <f>'0.35'!$H$1</f>
        <v>0.67485924944841069</v>
      </c>
    </row>
    <row r="14" spans="1:2" x14ac:dyDescent="0.25">
      <c r="A14">
        <v>0.4</v>
      </c>
      <c r="B14">
        <f>'0.4'!$H$1</f>
        <v>0.74643416875817103</v>
      </c>
    </row>
    <row r="15" spans="1:2" x14ac:dyDescent="0.25">
      <c r="A15">
        <v>0.45</v>
      </c>
      <c r="B15">
        <f>'0.45'!$H$1</f>
        <v>0.82396008849384561</v>
      </c>
    </row>
    <row r="16" spans="1:2" x14ac:dyDescent="0.25">
      <c r="A16">
        <v>0.5</v>
      </c>
      <c r="B16">
        <f>'0.5'!$H$1</f>
        <v>0.91418781615408828</v>
      </c>
    </row>
    <row r="17" spans="1:2" x14ac:dyDescent="0.25">
      <c r="A17">
        <v>0.55000000000000004</v>
      </c>
      <c r="B17">
        <f>'0.55'!$H$1</f>
        <v>1.013040365930346</v>
      </c>
    </row>
    <row r="18" spans="1:2" x14ac:dyDescent="0.25">
      <c r="A18">
        <v>0.6</v>
      </c>
      <c r="B18">
        <f>'0.6'!$H$1</f>
        <v>1.1292069886012164</v>
      </c>
    </row>
    <row r="19" spans="1:2" x14ac:dyDescent="0.25">
      <c r="A19">
        <v>0.65</v>
      </c>
      <c r="B19">
        <f>'0.65'!$H$1</f>
        <v>1.2636231396304878</v>
      </c>
    </row>
    <row r="20" spans="1:2" x14ac:dyDescent="0.25">
      <c r="A20">
        <v>0.7</v>
      </c>
      <c r="B20">
        <f>'0.7'!$H$1</f>
        <v>1.4343404023117068</v>
      </c>
    </row>
    <row r="21" spans="1:2" x14ac:dyDescent="0.25">
      <c r="A21">
        <v>0.75</v>
      </c>
      <c r="B21">
        <f>'0.75'!$H$1</f>
        <v>1.6572176953858306</v>
      </c>
    </row>
    <row r="22" spans="1:2" x14ac:dyDescent="0.25">
      <c r="A22">
        <v>0.8</v>
      </c>
      <c r="B22">
        <f>'0.8'!$H$1</f>
        <v>1.957364974103605</v>
      </c>
    </row>
    <row r="23" spans="1:2" x14ac:dyDescent="0.25">
      <c r="A23">
        <v>0.85</v>
      </c>
      <c r="B23">
        <f>'0.85'!$H$1</f>
        <v>2.3983273581272249</v>
      </c>
    </row>
    <row r="24" spans="1:2" x14ac:dyDescent="0.25">
      <c r="A24">
        <v>0.9</v>
      </c>
      <c r="B24">
        <f>'0.9'!$H$1</f>
        <v>3.1487047722038635</v>
      </c>
    </row>
    <row r="25" spans="1:2" x14ac:dyDescent="0.25">
      <c r="A25">
        <v>0.92500000000000004</v>
      </c>
      <c r="B25">
        <f>'0.925'!$H$1</f>
        <v>3.7782085917924153</v>
      </c>
    </row>
    <row r="26" spans="1:2" x14ac:dyDescent="0.25">
      <c r="A26">
        <v>0.95</v>
      </c>
      <c r="B26">
        <f>'0.95'!$H$1</f>
        <v>4.8379028724558619</v>
      </c>
    </row>
    <row r="27" spans="1:2" x14ac:dyDescent="0.25">
      <c r="A27">
        <v>0.97499999999999998</v>
      </c>
      <c r="B27">
        <f>'0.975'!$H$1</f>
        <v>7.2464290536229194</v>
      </c>
    </row>
    <row r="28" spans="1:2" x14ac:dyDescent="0.25">
      <c r="A28">
        <v>0.99</v>
      </c>
      <c r="B28">
        <f>'0.99'!$H$1</f>
        <v>12.061120542110764</v>
      </c>
    </row>
    <row r="29" spans="1:2" x14ac:dyDescent="0.25">
      <c r="A29">
        <v>0.995</v>
      </c>
      <c r="B29">
        <f>'0.995'!$H$1</f>
        <v>17.492247738893521</v>
      </c>
    </row>
    <row r="30" spans="1:2" x14ac:dyDescent="0.25">
      <c r="A30">
        <v>0.999</v>
      </c>
      <c r="B30">
        <f>'0.999'!$H$1</f>
        <v>40.491000610139992</v>
      </c>
    </row>
    <row r="31" spans="1:2" x14ac:dyDescent="0.25">
      <c r="A31">
        <v>0.99990000000000001</v>
      </c>
      <c r="B31">
        <f>'0.9999'!$H$1</f>
        <v>128.43678092881566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4CD9-E818-4087-BF2B-15E9FE0AFC96}">
  <dimension ref="A1:H40"/>
  <sheetViews>
    <sheetView workbookViewId="0">
      <selection activeCell="M16" sqref="M16"/>
    </sheetView>
  </sheetViews>
  <sheetFormatPr defaultColWidth="11" defaultRowHeight="15.75" x14ac:dyDescent="0.25"/>
  <sheetData>
    <row r="1" spans="1:8" x14ac:dyDescent="0.25">
      <c r="A1">
        <v>7.0741036350000008E-2</v>
      </c>
      <c r="B1">
        <v>0.79261295337471016</v>
      </c>
      <c r="C1">
        <f>$H$3*(1+$H$1)*(A1^($H$1))*EXP(-$H$3*(A1^(1+$H$1)))</f>
        <v>0.79175952869459321</v>
      </c>
      <c r="D1">
        <f>B1-C1</f>
        <v>8.5342468011695427E-4</v>
      </c>
      <c r="E1">
        <f>D1^2</f>
        <v>7.2833368463272576E-7</v>
      </c>
      <c r="G1" t="s">
        <v>0</v>
      </c>
      <c r="H1">
        <v>8.5814754639664731E-2</v>
      </c>
    </row>
    <row r="2" spans="1:8" x14ac:dyDescent="0.25">
      <c r="A2">
        <v>0.21142689505000001</v>
      </c>
      <c r="B2">
        <v>0.74209673017598354</v>
      </c>
      <c r="C2">
        <f t="shared" ref="C2:C40" si="0">$H$3*(1+$H$1)*(A2^($H$1))*EXP(-$H$3*(A2^(1+$H$1)))</f>
        <v>0.76804319092441786</v>
      </c>
      <c r="D2">
        <f t="shared" ref="D2:D40" si="1">B2-C2</f>
        <v>-2.5946460748434319E-2</v>
      </c>
      <c r="E2">
        <f t="shared" ref="E2:E40" si="2">D2^2</f>
        <v>6.7321882537004277E-4</v>
      </c>
    </row>
    <row r="3" spans="1:8" x14ac:dyDescent="0.25">
      <c r="A3">
        <v>0.35211275375000001</v>
      </c>
      <c r="B3">
        <v>0.68666299852428359</v>
      </c>
      <c r="C3">
        <f t="shared" si="0"/>
        <v>0.70295359904343557</v>
      </c>
      <c r="D3">
        <f t="shared" si="1"/>
        <v>-1.6290600519151988E-2</v>
      </c>
      <c r="E3">
        <f t="shared" si="2"/>
        <v>2.6538366527459502E-4</v>
      </c>
      <c r="G3" t="s">
        <v>1</v>
      </c>
      <c r="H3">
        <f>(_xlfn.GAMMA((2+$H$1)/(1+$H$1)))^(1+$H$1)</f>
        <v>0.9665163041981758</v>
      </c>
    </row>
    <row r="4" spans="1:8" x14ac:dyDescent="0.25">
      <c r="A4">
        <v>0.49279861245000001</v>
      </c>
      <c r="B4">
        <v>0.60485353971572631</v>
      </c>
      <c r="C4">
        <f t="shared" si="0"/>
        <v>0.63084942365501173</v>
      </c>
      <c r="D4">
        <f t="shared" si="1"/>
        <v>-2.5995883939285425E-2</v>
      </c>
      <c r="E4">
        <f t="shared" si="2"/>
        <v>6.7578598178479792E-4</v>
      </c>
    </row>
    <row r="5" spans="1:8" x14ac:dyDescent="0.25">
      <c r="A5">
        <v>0.63348447115000006</v>
      </c>
      <c r="B5">
        <v>0.5324320515901183</v>
      </c>
      <c r="C5">
        <f t="shared" si="0"/>
        <v>0.56009270460099747</v>
      </c>
      <c r="D5">
        <f t="shared" si="1"/>
        <v>-2.7660653010879166E-2</v>
      </c>
      <c r="E5">
        <f t="shared" si="2"/>
        <v>7.6511172498825862E-4</v>
      </c>
      <c r="G5" t="s">
        <v>2</v>
      </c>
      <c r="H5">
        <f>SUM(E1:E40)</f>
        <v>7.4053103202822912E-3</v>
      </c>
    </row>
    <row r="6" spans="1:8" x14ac:dyDescent="0.25">
      <c r="A6">
        <v>0.77417032985000001</v>
      </c>
      <c r="B6">
        <v>0.45464600878853934</v>
      </c>
      <c r="C6">
        <f t="shared" si="0"/>
        <v>0.49377084026380452</v>
      </c>
      <c r="D6">
        <f t="shared" si="1"/>
        <v>-3.9124831475265187E-2</v>
      </c>
      <c r="E6">
        <f t="shared" si="2"/>
        <v>1.5307524379679016E-3</v>
      </c>
    </row>
    <row r="7" spans="1:8" x14ac:dyDescent="0.25">
      <c r="A7">
        <v>0.91485618854999995</v>
      </c>
      <c r="B7">
        <v>0.42201163450971596</v>
      </c>
      <c r="C7">
        <f t="shared" si="0"/>
        <v>0.4330683336580648</v>
      </c>
      <c r="D7">
        <f t="shared" si="1"/>
        <v>-1.1056699148348836E-2</v>
      </c>
      <c r="E7">
        <f t="shared" si="2"/>
        <v>1.2225059605709787E-4</v>
      </c>
    </row>
    <row r="8" spans="1:8" x14ac:dyDescent="0.25">
      <c r="A8">
        <v>1.0555420472499999</v>
      </c>
      <c r="B8">
        <v>0.38848316778489739</v>
      </c>
      <c r="C8">
        <f t="shared" si="0"/>
        <v>0.37831436863150802</v>
      </c>
      <c r="D8">
        <f t="shared" si="1"/>
        <v>1.0168799153389363E-2</v>
      </c>
      <c r="E8">
        <f t="shared" si="2"/>
        <v>1.0340447622197222E-4</v>
      </c>
    </row>
    <row r="9" spans="1:8" x14ac:dyDescent="0.25">
      <c r="A9">
        <v>1.1962279059500003</v>
      </c>
      <c r="B9">
        <v>0.33975512947816117</v>
      </c>
      <c r="C9">
        <f t="shared" si="0"/>
        <v>0.32941434729810204</v>
      </c>
      <c r="D9">
        <f t="shared" si="1"/>
        <v>1.0340782180059127E-2</v>
      </c>
      <c r="E9">
        <f t="shared" si="2"/>
        <v>1.069317760954284E-4</v>
      </c>
    </row>
    <row r="10" spans="1:8" x14ac:dyDescent="0.25">
      <c r="A10">
        <v>1.3369137646500002</v>
      </c>
      <c r="B10">
        <v>0.2932623222864128</v>
      </c>
      <c r="C10">
        <f t="shared" si="0"/>
        <v>0.28605832933999914</v>
      </c>
      <c r="D10">
        <f t="shared" si="1"/>
        <v>7.2039929464136621E-3</v>
      </c>
      <c r="E10">
        <f t="shared" si="2"/>
        <v>5.1897514371977799E-5</v>
      </c>
    </row>
    <row r="11" spans="1:8" x14ac:dyDescent="0.25">
      <c r="A11">
        <v>1.4775996233500002</v>
      </c>
      <c r="B11">
        <v>0.25794567066960394</v>
      </c>
      <c r="C11">
        <f t="shared" si="0"/>
        <v>0.2478318194371239</v>
      </c>
      <c r="D11">
        <f t="shared" si="1"/>
        <v>1.0113851232480042E-2</v>
      </c>
      <c r="E11">
        <f t="shared" si="2"/>
        <v>1.0228998675273807E-4</v>
      </c>
    </row>
    <row r="12" spans="1:8" x14ac:dyDescent="0.25">
      <c r="A12">
        <v>1.6182854820500001</v>
      </c>
      <c r="B12">
        <v>0.22531129639078054</v>
      </c>
      <c r="C12">
        <f t="shared" si="0"/>
        <v>0.21427803595529055</v>
      </c>
      <c r="D12">
        <f t="shared" si="1"/>
        <v>1.1033260435489994E-2</v>
      </c>
      <c r="E12">
        <f t="shared" si="2"/>
        <v>1.2173283583734886E-4</v>
      </c>
    </row>
    <row r="13" spans="1:8" x14ac:dyDescent="0.25">
      <c r="A13">
        <v>1.7589713407500001</v>
      </c>
      <c r="B13">
        <v>0.18999464477397168</v>
      </c>
      <c r="C13">
        <f t="shared" si="0"/>
        <v>0.18493385549613495</v>
      </c>
      <c r="D13">
        <f t="shared" si="1"/>
        <v>5.0607892778367358E-3</v>
      </c>
      <c r="E13">
        <f t="shared" si="2"/>
        <v>2.5611588114667269E-5</v>
      </c>
    </row>
    <row r="14" spans="1:8" x14ac:dyDescent="0.25">
      <c r="A14">
        <v>1.89965719945</v>
      </c>
      <c r="B14">
        <v>0.18641827498999106</v>
      </c>
      <c r="C14">
        <f t="shared" si="0"/>
        <v>0.15935057122098623</v>
      </c>
      <c r="D14">
        <f t="shared" si="1"/>
        <v>2.7067703769004831E-2</v>
      </c>
      <c r="E14">
        <f t="shared" si="2"/>
        <v>7.3266058732659827E-4</v>
      </c>
    </row>
    <row r="15" spans="1:8" x14ac:dyDescent="0.25">
      <c r="A15">
        <v>2.0403430581499999</v>
      </c>
      <c r="B15">
        <v>0.16764233362409267</v>
      </c>
      <c r="C15">
        <f t="shared" si="0"/>
        <v>0.13710551761593232</v>
      </c>
      <c r="D15">
        <f t="shared" si="1"/>
        <v>3.0536816008160356E-2</v>
      </c>
      <c r="E15">
        <f t="shared" si="2"/>
        <v>9.3249713191623858E-4</v>
      </c>
    </row>
    <row r="16" spans="1:8" x14ac:dyDescent="0.25">
      <c r="A16">
        <v>2.1810289168499999</v>
      </c>
      <c r="B16">
        <v>0.13277272823028138</v>
      </c>
      <c r="C16">
        <f t="shared" si="0"/>
        <v>0.11780805713883871</v>
      </c>
      <c r="D16">
        <f t="shared" si="1"/>
        <v>1.4964671091442672E-2</v>
      </c>
      <c r="E16">
        <f t="shared" si="2"/>
        <v>2.2394138087506E-4</v>
      </c>
    </row>
    <row r="17" spans="1:5" x14ac:dyDescent="0.25">
      <c r="A17">
        <v>2.3217147755499998</v>
      </c>
      <c r="B17">
        <v>0.10773813974241689</v>
      </c>
      <c r="C17">
        <f t="shared" si="0"/>
        <v>0.10110204286988517</v>
      </c>
      <c r="D17">
        <f t="shared" si="1"/>
        <v>6.6360968725317215E-3</v>
      </c>
      <c r="E17">
        <f t="shared" si="2"/>
        <v>4.4037781701625297E-5</v>
      </c>
    </row>
    <row r="18" spans="1:5" x14ac:dyDescent="0.25">
      <c r="A18">
        <v>2.4624006342499998</v>
      </c>
      <c r="B18">
        <v>0.1072910935194193</v>
      </c>
      <c r="C18">
        <f t="shared" si="0"/>
        <v>8.6666080680829982E-2</v>
      </c>
      <c r="D18">
        <f t="shared" si="1"/>
        <v>2.0625012838589321E-2</v>
      </c>
      <c r="E18">
        <f t="shared" si="2"/>
        <v>4.2539115459197432E-4</v>
      </c>
    </row>
    <row r="19" spans="1:5" x14ac:dyDescent="0.25">
      <c r="A19">
        <v>2.6030864929500002</v>
      </c>
      <c r="B19">
        <v>7.7338996578581412E-2</v>
      </c>
      <c r="C19">
        <f t="shared" si="0"/>
        <v>7.4212440202645211E-2</v>
      </c>
      <c r="D19">
        <f t="shared" si="1"/>
        <v>3.1265563759362014E-3</v>
      </c>
      <c r="E19">
        <f t="shared" si="2"/>
        <v>9.7753547719073137E-6</v>
      </c>
    </row>
    <row r="20" spans="1:5" x14ac:dyDescent="0.25">
      <c r="A20">
        <v>2.7437723516499997</v>
      </c>
      <c r="B20">
        <v>7.242148812560803E-2</v>
      </c>
      <c r="C20">
        <f t="shared" si="0"/>
        <v>6.3485168460456778E-2</v>
      </c>
      <c r="D20">
        <f t="shared" si="1"/>
        <v>8.9363196651512516E-3</v>
      </c>
      <c r="E20">
        <f t="shared" si="2"/>
        <v>7.9857809157768978E-5</v>
      </c>
    </row>
    <row r="21" spans="1:5" x14ac:dyDescent="0.25">
      <c r="A21">
        <v>2.8844582103500001</v>
      </c>
      <c r="B21">
        <v>6.5715794780644321E-2</v>
      </c>
      <c r="C21">
        <f t="shared" si="0"/>
        <v>5.4257770424773061E-2</v>
      </c>
      <c r="D21">
        <f t="shared" si="1"/>
        <v>1.145802435587126E-2</v>
      </c>
      <c r="E21">
        <f t="shared" si="2"/>
        <v>1.31286322139739E-4</v>
      </c>
    </row>
    <row r="22" spans="1:5" x14ac:dyDescent="0.25">
      <c r="A22">
        <v>3.0251440690500004</v>
      </c>
      <c r="B22">
        <v>5.2751454313714495E-2</v>
      </c>
      <c r="C22">
        <f t="shared" si="0"/>
        <v>4.63306961471334E-2</v>
      </c>
      <c r="D22">
        <f t="shared" si="1"/>
        <v>6.4207581665810948E-3</v>
      </c>
      <c r="E22">
        <f t="shared" si="2"/>
        <v>4.1226135433717824E-5</v>
      </c>
    </row>
    <row r="23" spans="1:5" x14ac:dyDescent="0.25">
      <c r="A23">
        <v>3.1658299277499999</v>
      </c>
      <c r="B23">
        <v>3.9787113846784662E-2</v>
      </c>
      <c r="C23">
        <f t="shared" si="0"/>
        <v>3.9528790865040679E-2</v>
      </c>
      <c r="D23">
        <f t="shared" si="1"/>
        <v>2.5832298174398305E-4</v>
      </c>
      <c r="E23">
        <f t="shared" si="2"/>
        <v>6.6730762897102204E-8</v>
      </c>
    </row>
    <row r="24" spans="1:5" x14ac:dyDescent="0.25">
      <c r="A24">
        <v>3.3065157864499999</v>
      </c>
      <c r="B24">
        <v>4.023416006978224E-2</v>
      </c>
      <c r="C24">
        <f t="shared" si="0"/>
        <v>3.3698808113382418E-2</v>
      </c>
      <c r="D24">
        <f t="shared" si="1"/>
        <v>6.5353519563998222E-3</v>
      </c>
      <c r="E24">
        <f t="shared" si="2"/>
        <v>4.2710825194018981E-5</v>
      </c>
    </row>
    <row r="25" spans="1:5" x14ac:dyDescent="0.25">
      <c r="A25">
        <v>3.4472016451499998</v>
      </c>
      <c r="B25">
        <v>2.3246403595874182E-2</v>
      </c>
      <c r="C25">
        <f t="shared" si="0"/>
        <v>2.8707047490095835E-2</v>
      </c>
      <c r="D25">
        <f t="shared" si="1"/>
        <v>-5.4606438942216527E-3</v>
      </c>
      <c r="E25">
        <f t="shared" si="2"/>
        <v>2.9818631739500215E-5</v>
      </c>
    </row>
    <row r="26" spans="1:5" x14ac:dyDescent="0.25">
      <c r="A26">
        <v>3.5878875038500002</v>
      </c>
      <c r="B26">
        <v>2.5481634710862084E-2</v>
      </c>
      <c r="C26">
        <f t="shared" si="0"/>
        <v>2.4437152519447069E-2</v>
      </c>
      <c r="D26">
        <f t="shared" si="1"/>
        <v>1.0444821914150151E-3</v>
      </c>
      <c r="E26">
        <f t="shared" si="2"/>
        <v>1.0909430481831123E-6</v>
      </c>
    </row>
    <row r="27" spans="1:5" x14ac:dyDescent="0.25">
      <c r="A27">
        <v>3.7285733625500002</v>
      </c>
      <c r="B27">
        <v>1.6093664027912895E-2</v>
      </c>
      <c r="C27">
        <f t="shared" si="0"/>
        <v>2.0788086232719296E-2</v>
      </c>
      <c r="D27">
        <f t="shared" si="1"/>
        <v>-4.6944222048064012E-3</v>
      </c>
      <c r="E27">
        <f t="shared" si="2"/>
        <v>2.2037599836979392E-5</v>
      </c>
    </row>
    <row r="28" spans="1:5" x14ac:dyDescent="0.25">
      <c r="A28">
        <v>3.8692592212500001</v>
      </c>
      <c r="B28">
        <v>1.3858432912924995E-2</v>
      </c>
      <c r="C28">
        <f t="shared" si="0"/>
        <v>1.7672290083973943E-2</v>
      </c>
      <c r="D28">
        <f t="shared" si="1"/>
        <v>-3.8138571710489479E-3</v>
      </c>
      <c r="E28">
        <f t="shared" si="2"/>
        <v>1.4545506521161484E-5</v>
      </c>
    </row>
    <row r="29" spans="1:5" x14ac:dyDescent="0.25">
      <c r="A29">
        <v>4.0099450799500005</v>
      </c>
      <c r="B29">
        <v>1.4752525358920155E-2</v>
      </c>
      <c r="C29">
        <f t="shared" si="0"/>
        <v>1.5014023885872897E-2</v>
      </c>
      <c r="D29">
        <f t="shared" si="1"/>
        <v>-2.6149852695274249E-4</v>
      </c>
      <c r="E29">
        <f t="shared" si="2"/>
        <v>6.8381479598454187E-8</v>
      </c>
    </row>
    <row r="30" spans="1:5" x14ac:dyDescent="0.25">
      <c r="A30">
        <v>4.15063093865</v>
      </c>
      <c r="B30">
        <v>8.0468320139564474E-3</v>
      </c>
      <c r="C30">
        <f t="shared" si="0"/>
        <v>1.2747879370789221E-2</v>
      </c>
      <c r="D30">
        <f t="shared" si="1"/>
        <v>-4.7010473568327733E-3</v>
      </c>
      <c r="E30">
        <f t="shared" si="2"/>
        <v>2.2099846251184402E-5</v>
      </c>
    </row>
    <row r="31" spans="1:5" x14ac:dyDescent="0.25">
      <c r="A31">
        <v>4.2913167973499995</v>
      </c>
      <c r="B31">
        <v>9.3879706829491892E-3</v>
      </c>
      <c r="C31">
        <f t="shared" si="0"/>
        <v>1.081745690122788E-2</v>
      </c>
      <c r="D31">
        <f t="shared" si="1"/>
        <v>-1.4294862182786909E-3</v>
      </c>
      <c r="E31">
        <f t="shared" si="2"/>
        <v>2.0434308482487133E-6</v>
      </c>
    </row>
    <row r="32" spans="1:5" x14ac:dyDescent="0.25">
      <c r="A32">
        <v>4.4320026560500008</v>
      </c>
      <c r="B32">
        <v>5.3645546759709655E-3</v>
      </c>
      <c r="C32">
        <f t="shared" si="0"/>
        <v>9.1741931656938881E-3</v>
      </c>
      <c r="D32">
        <f t="shared" si="1"/>
        <v>-3.8096384897229225E-3</v>
      </c>
      <c r="E32">
        <f t="shared" si="2"/>
        <v>1.451334542237835E-5</v>
      </c>
    </row>
    <row r="33" spans="1:5" x14ac:dyDescent="0.25">
      <c r="A33">
        <v>4.5726885147500003</v>
      </c>
      <c r="B33">
        <v>5.3645546759709655E-3</v>
      </c>
      <c r="C33">
        <f t="shared" si="0"/>
        <v>7.7763269702458742E-3</v>
      </c>
      <c r="D33">
        <f t="shared" si="1"/>
        <v>-2.4117722942749087E-3</v>
      </c>
      <c r="E33">
        <f t="shared" si="2"/>
        <v>5.8166455994320565E-6</v>
      </c>
    </row>
    <row r="34" spans="1:5" x14ac:dyDescent="0.25">
      <c r="A34">
        <v>4.7133743734499998</v>
      </c>
      <c r="B34">
        <v>2.6822773379854828E-3</v>
      </c>
      <c r="C34">
        <f t="shared" si="0"/>
        <v>6.5879901635647244E-3</v>
      </c>
      <c r="D34">
        <f t="shared" si="1"/>
        <v>-3.9057128255792417E-3</v>
      </c>
      <c r="E34">
        <f t="shared" si="2"/>
        <v>1.5254592675894183E-5</v>
      </c>
    </row>
    <row r="35" spans="1:5" x14ac:dyDescent="0.25">
      <c r="A35">
        <v>4.8540602321499993</v>
      </c>
      <c r="B35">
        <v>8.9409244599516092E-4</v>
      </c>
      <c r="C35">
        <f t="shared" si="0"/>
        <v>5.5784110936152745E-3</v>
      </c>
      <c r="D35">
        <f t="shared" si="1"/>
        <v>-4.6843186476201136E-3</v>
      </c>
      <c r="E35">
        <f t="shared" si="2"/>
        <v>2.194284119244153E-5</v>
      </c>
    </row>
    <row r="36" spans="1:5" x14ac:dyDescent="0.25">
      <c r="A36">
        <v>4.9947460908500005</v>
      </c>
      <c r="B36">
        <v>4.4704622299758046E-4</v>
      </c>
      <c r="C36">
        <f t="shared" si="0"/>
        <v>4.7212186290842666E-3</v>
      </c>
      <c r="D36">
        <f t="shared" si="1"/>
        <v>-4.2741724060866865E-3</v>
      </c>
      <c r="E36">
        <f t="shared" si="2"/>
        <v>1.8268549756952854E-5</v>
      </c>
    </row>
    <row r="37" spans="1:5" x14ac:dyDescent="0.25">
      <c r="A37">
        <v>5.13543194955</v>
      </c>
      <c r="B37">
        <v>4.4704622299758046E-4</v>
      </c>
      <c r="C37">
        <f t="shared" si="0"/>
        <v>3.9938355765450186E-3</v>
      </c>
      <c r="D37">
        <f t="shared" si="1"/>
        <v>-3.5467893535474381E-3</v>
      </c>
      <c r="E37">
        <f t="shared" si="2"/>
        <v>1.2579714718437455E-5</v>
      </c>
    </row>
    <row r="38" spans="1:5" x14ac:dyDescent="0.25">
      <c r="A38">
        <v>5.2761178082500004</v>
      </c>
      <c r="B38">
        <v>4.4704622299758046E-4</v>
      </c>
      <c r="C38">
        <f t="shared" si="0"/>
        <v>3.3769512056473238E-3</v>
      </c>
      <c r="D38">
        <f t="shared" si="1"/>
        <v>-2.9299049826497434E-3</v>
      </c>
      <c r="E38">
        <f t="shared" si="2"/>
        <v>8.5843432073557926E-6</v>
      </c>
    </row>
    <row r="39" spans="1:5" x14ac:dyDescent="0.25">
      <c r="A39">
        <v>5.4168036669499999</v>
      </c>
      <c r="B39">
        <v>4.4704622299758046E-4</v>
      </c>
      <c r="C39">
        <f t="shared" si="0"/>
        <v>2.8540635045761083E-3</v>
      </c>
      <c r="D39">
        <f t="shared" si="1"/>
        <v>-2.4070172815785279E-3</v>
      </c>
      <c r="E39">
        <f t="shared" si="2"/>
        <v>5.7937321938176861E-6</v>
      </c>
    </row>
    <row r="40" spans="1:5" x14ac:dyDescent="0.25">
      <c r="A40">
        <v>5.5574895256500003</v>
      </c>
      <c r="B40">
        <v>8.9409244599516092E-4</v>
      </c>
      <c r="C40">
        <f t="shared" si="0"/>
        <v>2.4110826891149189E-3</v>
      </c>
      <c r="D40">
        <f t="shared" si="1"/>
        <v>-1.516990243119758E-3</v>
      </c>
      <c r="E40">
        <f t="shared" si="2"/>
        <v>2.3012593977205424E-6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31E4-CBF0-4C0F-9DEE-D7DAFB35F980}">
  <dimension ref="A1:H40"/>
  <sheetViews>
    <sheetView workbookViewId="0">
      <selection activeCell="G26" sqref="G26"/>
    </sheetView>
  </sheetViews>
  <sheetFormatPr defaultColWidth="11" defaultRowHeight="15.75" x14ac:dyDescent="0.25"/>
  <sheetData>
    <row r="1" spans="1:8" x14ac:dyDescent="0.25">
      <c r="A1">
        <v>7.0374307087500004E-2</v>
      </c>
      <c r="B1">
        <v>0.77292130336357412</v>
      </c>
      <c r="C1">
        <f>$H$3*(1+$H$1)*(A1^($H$1))*EXP(-$H$3*(A1^(1+$H$1)))</f>
        <v>0.78028086453107948</v>
      </c>
      <c r="D1">
        <f>B1-C1</f>
        <v>-7.3595611675053574E-3</v>
      </c>
      <c r="E1">
        <f>D1^2</f>
        <v>5.4163140578252818E-5</v>
      </c>
      <c r="G1" t="s">
        <v>0</v>
      </c>
      <c r="H1">
        <v>9.325241853915478E-2</v>
      </c>
    </row>
    <row r="2" spans="1:8" x14ac:dyDescent="0.25">
      <c r="A2">
        <v>0.21052976526250003</v>
      </c>
      <c r="B2">
        <v>0.75541611705046174</v>
      </c>
      <c r="C2">
        <f t="shared" ref="C2:C40" si="0">$H$3*(1+$H$1)*(A2^($H$1))*EXP(-$H$3*(A2^(1+$H$1)))</f>
        <v>0.7645759440544786</v>
      </c>
      <c r="D2">
        <f t="shared" ref="D2:D40" si="1">B2-C2</f>
        <v>-9.1598270040168517E-3</v>
      </c>
      <c r="E2">
        <f t="shared" ref="E2:E40" si="2">D2^2</f>
        <v>8.3902430743516333E-5</v>
      </c>
    </row>
    <row r="3" spans="1:8" x14ac:dyDescent="0.25">
      <c r="A3">
        <v>0.35068522343749997</v>
      </c>
      <c r="B3">
        <v>0.68943503017796148</v>
      </c>
      <c r="C3">
        <f t="shared" si="0"/>
        <v>0.70333916682003972</v>
      </c>
      <c r="D3">
        <f t="shared" si="1"/>
        <v>-1.3904136642078235E-2</v>
      </c>
      <c r="E3">
        <f t="shared" si="2"/>
        <v>1.9332501576158263E-4</v>
      </c>
      <c r="G3" t="s">
        <v>1</v>
      </c>
      <c r="H3">
        <f>(_xlfn.GAMMA((2+$H$1)/(1+$H$1)))^(1+$H$1)</f>
        <v>0.96385563768320692</v>
      </c>
    </row>
    <row r="4" spans="1:8" x14ac:dyDescent="0.25">
      <c r="A4">
        <v>0.4908406816125</v>
      </c>
      <c r="B4">
        <v>0.60953956444119251</v>
      </c>
      <c r="C4">
        <f t="shared" si="0"/>
        <v>0.63334417204908366</v>
      </c>
      <c r="D4">
        <f t="shared" si="1"/>
        <v>-2.3804607607891159E-2</v>
      </c>
      <c r="E4">
        <f t="shared" si="2"/>
        <v>5.6665934336566962E-4</v>
      </c>
    </row>
    <row r="5" spans="1:8" x14ac:dyDescent="0.25">
      <c r="A5">
        <v>0.63099613978750002</v>
      </c>
      <c r="B5">
        <v>0.53817226639542703</v>
      </c>
      <c r="C5">
        <f t="shared" si="0"/>
        <v>0.56370605430205334</v>
      </c>
      <c r="D5">
        <f t="shared" si="1"/>
        <v>-2.5533787906626304E-2</v>
      </c>
      <c r="E5">
        <f t="shared" si="2"/>
        <v>6.5197432486057566E-4</v>
      </c>
      <c r="G5" t="s">
        <v>2</v>
      </c>
      <c r="H5">
        <f>SUM(E1:E40)</f>
        <v>6.6725881862376513E-3</v>
      </c>
    </row>
    <row r="6" spans="1:8" x14ac:dyDescent="0.25">
      <c r="A6">
        <v>0.77115159796249999</v>
      </c>
      <c r="B6">
        <v>0.45603254600313081</v>
      </c>
      <c r="C6">
        <f t="shared" si="0"/>
        <v>0.49789144862542756</v>
      </c>
      <c r="D6">
        <f t="shared" si="1"/>
        <v>-4.1858902622296745E-2</v>
      </c>
      <c r="E6">
        <f t="shared" si="2"/>
        <v>1.7521677287429213E-3</v>
      </c>
    </row>
    <row r="7" spans="1:8" x14ac:dyDescent="0.25">
      <c r="A7">
        <v>0.91130705613749996</v>
      </c>
      <c r="B7">
        <v>0.422817577101328</v>
      </c>
      <c r="C7">
        <f t="shared" si="0"/>
        <v>0.43731070073619499</v>
      </c>
      <c r="D7">
        <f t="shared" si="1"/>
        <v>-1.4493123634866989E-2</v>
      </c>
      <c r="E7">
        <f t="shared" si="2"/>
        <v>2.1005063269554012E-4</v>
      </c>
    </row>
    <row r="8" spans="1:8" x14ac:dyDescent="0.25">
      <c r="A8">
        <v>1.0514625143125</v>
      </c>
      <c r="B8">
        <v>0.38780720447510336</v>
      </c>
      <c r="C8">
        <f t="shared" si="0"/>
        <v>0.38243797715404682</v>
      </c>
      <c r="D8">
        <f t="shared" si="1"/>
        <v>5.3692273210565467E-3</v>
      </c>
      <c r="E8">
        <f t="shared" si="2"/>
        <v>2.8828602025180059E-5</v>
      </c>
    </row>
    <row r="9" spans="1:8" x14ac:dyDescent="0.25">
      <c r="A9">
        <v>1.1916179724875002</v>
      </c>
      <c r="B9">
        <v>0.34426866415787533</v>
      </c>
      <c r="C9">
        <f t="shared" si="0"/>
        <v>0.33327505203603869</v>
      </c>
      <c r="D9">
        <f t="shared" si="1"/>
        <v>1.0993612121836638E-2</v>
      </c>
      <c r="E9">
        <f t="shared" si="2"/>
        <v>1.2085950748539346E-4</v>
      </c>
    </row>
    <row r="10" spans="1:8" x14ac:dyDescent="0.25">
      <c r="A10">
        <v>1.3317734306625</v>
      </c>
      <c r="B10">
        <v>0.29938357104733093</v>
      </c>
      <c r="C10">
        <f t="shared" si="0"/>
        <v>0.28957689276358617</v>
      </c>
      <c r="D10">
        <f t="shared" si="1"/>
        <v>9.806678283744763E-3</v>
      </c>
      <c r="E10">
        <f t="shared" si="2"/>
        <v>9.6170938960871128E-5</v>
      </c>
    </row>
    <row r="11" spans="1:8" x14ac:dyDescent="0.25">
      <c r="A11">
        <v>1.4719288888375002</v>
      </c>
      <c r="B11">
        <v>0.25449847793678659</v>
      </c>
      <c r="C11">
        <f t="shared" si="0"/>
        <v>0.2509726632646132</v>
      </c>
      <c r="D11">
        <f t="shared" si="1"/>
        <v>3.5258146721733885E-3</v>
      </c>
      <c r="E11">
        <f t="shared" si="2"/>
        <v>1.2431369102513139E-5</v>
      </c>
    </row>
    <row r="12" spans="1:8" x14ac:dyDescent="0.25">
      <c r="A12">
        <v>1.6120843470124999</v>
      </c>
      <c r="B12">
        <v>0.22801627300156541</v>
      </c>
      <c r="C12">
        <f t="shared" si="0"/>
        <v>0.21703454726222687</v>
      </c>
      <c r="D12">
        <f t="shared" si="1"/>
        <v>1.0981725739338533E-2</v>
      </c>
      <c r="E12">
        <f t="shared" si="2"/>
        <v>1.2059830021405044E-4</v>
      </c>
    </row>
    <row r="13" spans="1:8" x14ac:dyDescent="0.25">
      <c r="A13">
        <v>1.7522398051874999</v>
      </c>
      <c r="B13">
        <v>0.18851739106428636</v>
      </c>
      <c r="C13">
        <f t="shared" si="0"/>
        <v>0.18731810649828057</v>
      </c>
      <c r="D13">
        <f t="shared" si="1"/>
        <v>1.1992845660057927E-3</v>
      </c>
      <c r="E13">
        <f t="shared" si="2"/>
        <v>1.4382834702597024E-6</v>
      </c>
    </row>
    <row r="14" spans="1:8" x14ac:dyDescent="0.25">
      <c r="A14">
        <v>1.8923952633624999</v>
      </c>
      <c r="B14">
        <v>0.18761968920207547</v>
      </c>
      <c r="C14">
        <f t="shared" si="0"/>
        <v>0.16138610550941224</v>
      </c>
      <c r="D14">
        <f t="shared" si="1"/>
        <v>2.6233583692663237E-2</v>
      </c>
      <c r="E14">
        <f t="shared" si="2"/>
        <v>6.8820091335996657E-4</v>
      </c>
    </row>
    <row r="15" spans="1:8" x14ac:dyDescent="0.25">
      <c r="A15">
        <v>2.0325507215374996</v>
      </c>
      <c r="B15">
        <v>0.16697254637122505</v>
      </c>
      <c r="C15">
        <f t="shared" si="0"/>
        <v>0.13882230911580526</v>
      </c>
      <c r="D15">
        <f t="shared" si="1"/>
        <v>2.8150237255419791E-2</v>
      </c>
      <c r="E15">
        <f t="shared" si="2"/>
        <v>7.9243585753642433E-4</v>
      </c>
    </row>
    <row r="16" spans="1:8" x14ac:dyDescent="0.25">
      <c r="A16">
        <v>2.1727061797124998</v>
      </c>
      <c r="B16">
        <v>0.13196217374500044</v>
      </c>
      <c r="C16">
        <f t="shared" si="0"/>
        <v>0.11923902624659423</v>
      </c>
      <c r="D16">
        <f t="shared" si="1"/>
        <v>1.2723147498406209E-2</v>
      </c>
      <c r="E16">
        <f t="shared" si="2"/>
        <v>1.6187848226620018E-4</v>
      </c>
    </row>
    <row r="17" spans="1:5" x14ac:dyDescent="0.25">
      <c r="A17">
        <v>2.3128616378875</v>
      </c>
      <c r="B17">
        <v>0.10996847812083371</v>
      </c>
      <c r="C17">
        <f t="shared" si="0"/>
        <v>0.10228069455206154</v>
      </c>
      <c r="D17">
        <f t="shared" si="1"/>
        <v>7.6877835687721718E-3</v>
      </c>
      <c r="E17">
        <f t="shared" si="2"/>
        <v>5.9102016200283388E-5</v>
      </c>
    </row>
    <row r="18" spans="1:5" x14ac:dyDescent="0.25">
      <c r="A18">
        <v>2.4530170960625002</v>
      </c>
      <c r="B18">
        <v>0.10951962718972827</v>
      </c>
      <c r="C18">
        <f t="shared" si="0"/>
        <v>8.762495126561054E-2</v>
      </c>
      <c r="D18">
        <f t="shared" si="1"/>
        <v>2.1894675924117729E-2</v>
      </c>
      <c r="E18">
        <f t="shared" si="2"/>
        <v>4.7937683382214051E-4</v>
      </c>
    </row>
    <row r="19" spans="1:5" x14ac:dyDescent="0.25">
      <c r="A19">
        <v>2.5931725542375004</v>
      </c>
      <c r="B19">
        <v>7.6753509219030874E-2</v>
      </c>
      <c r="C19">
        <f t="shared" si="0"/>
        <v>7.4982124736411512E-2</v>
      </c>
      <c r="D19">
        <f t="shared" si="1"/>
        <v>1.771384482619362E-3</v>
      </c>
      <c r="E19">
        <f t="shared" si="2"/>
        <v>3.1378029852646647E-6</v>
      </c>
    </row>
    <row r="20" spans="1:5" x14ac:dyDescent="0.25">
      <c r="A20">
        <v>2.7333280124125001</v>
      </c>
      <c r="B20">
        <v>7.2713850839081884E-2</v>
      </c>
      <c r="C20">
        <f t="shared" si="0"/>
        <v>6.4093761366873225E-2</v>
      </c>
      <c r="D20">
        <f t="shared" si="1"/>
        <v>8.6200894722086585E-3</v>
      </c>
      <c r="E20">
        <f t="shared" si="2"/>
        <v>7.4305942508882546E-5</v>
      </c>
    </row>
    <row r="21" spans="1:5" x14ac:dyDescent="0.25">
      <c r="A21">
        <v>2.8734834705874999</v>
      </c>
      <c r="B21">
        <v>6.6429937803605663E-2</v>
      </c>
      <c r="C21">
        <f t="shared" si="0"/>
        <v>5.4730596466108249E-2</v>
      </c>
      <c r="D21">
        <f t="shared" si="1"/>
        <v>1.1699341337497414E-2</v>
      </c>
      <c r="E21">
        <f t="shared" si="2"/>
        <v>1.3687458773127577E-4</v>
      </c>
    </row>
    <row r="22" spans="1:5" x14ac:dyDescent="0.25">
      <c r="A22">
        <v>3.0136389287625001</v>
      </c>
      <c r="B22">
        <v>5.4310962663758691E-2</v>
      </c>
      <c r="C22">
        <f t="shared" si="0"/>
        <v>4.6690241264400058E-2</v>
      </c>
      <c r="D22">
        <f t="shared" si="1"/>
        <v>7.6207213993586334E-3</v>
      </c>
      <c r="E22">
        <f t="shared" si="2"/>
        <v>5.8075394646642611E-5</v>
      </c>
    </row>
    <row r="23" spans="1:5" x14ac:dyDescent="0.25">
      <c r="A23">
        <v>3.1537943869375002</v>
      </c>
      <c r="B23">
        <v>4.2640838455017149E-2</v>
      </c>
      <c r="C23">
        <f t="shared" si="0"/>
        <v>3.979476664157771E-2</v>
      </c>
      <c r="D23">
        <f t="shared" si="1"/>
        <v>2.8460718134394394E-3</v>
      </c>
      <c r="E23">
        <f t="shared" si="2"/>
        <v>8.1001247672544592E-6</v>
      </c>
    </row>
    <row r="24" spans="1:5" x14ac:dyDescent="0.25">
      <c r="A24">
        <v>3.2939498451124996</v>
      </c>
      <c r="B24">
        <v>4.1743136592806263E-2</v>
      </c>
      <c r="C24">
        <f t="shared" si="0"/>
        <v>3.3888301620548129E-2</v>
      </c>
      <c r="D24">
        <f t="shared" si="1"/>
        <v>7.8548349722581332E-3</v>
      </c>
      <c r="E24">
        <f t="shared" si="2"/>
        <v>6.1698432441409428E-5</v>
      </c>
    </row>
    <row r="25" spans="1:5" x14ac:dyDescent="0.25">
      <c r="A25">
        <v>3.4341053032874997</v>
      </c>
      <c r="B25">
        <v>1.8851739106428636E-2</v>
      </c>
      <c r="C25">
        <f t="shared" si="0"/>
        <v>2.883472172736273E-2</v>
      </c>
      <c r="D25">
        <f t="shared" si="1"/>
        <v>-9.9829826209340937E-3</v>
      </c>
      <c r="E25">
        <f t="shared" si="2"/>
        <v>9.9659942009872141E-5</v>
      </c>
    </row>
    <row r="26" spans="1:5" x14ac:dyDescent="0.25">
      <c r="A26">
        <v>3.5742607614624999</v>
      </c>
      <c r="B26">
        <v>2.6931055866326624E-2</v>
      </c>
      <c r="C26">
        <f t="shared" si="0"/>
        <v>2.4515472704966481E-2</v>
      </c>
      <c r="D26">
        <f t="shared" si="1"/>
        <v>2.4155831613601429E-3</v>
      </c>
      <c r="E26">
        <f t="shared" si="2"/>
        <v>5.8350420094466619E-6</v>
      </c>
    </row>
    <row r="27" spans="1:5" x14ac:dyDescent="0.25">
      <c r="A27">
        <v>3.7144162196375001</v>
      </c>
      <c r="B27">
        <v>1.8402888175323193E-2</v>
      </c>
      <c r="C27">
        <f t="shared" si="0"/>
        <v>2.0827554679251795E-2</v>
      </c>
      <c r="D27">
        <f t="shared" si="1"/>
        <v>-2.4246665039286026E-3</v>
      </c>
      <c r="E27">
        <f t="shared" si="2"/>
        <v>5.8790076552733522E-6</v>
      </c>
    </row>
    <row r="28" spans="1:5" x14ac:dyDescent="0.25">
      <c r="A28">
        <v>3.8545716778125003</v>
      </c>
      <c r="B28">
        <v>1.2567826070952423E-2</v>
      </c>
      <c r="C28">
        <f t="shared" si="0"/>
        <v>1.7681677937550731E-2</v>
      </c>
      <c r="D28">
        <f t="shared" si="1"/>
        <v>-5.1138518665983079E-3</v>
      </c>
      <c r="E28">
        <f t="shared" si="2"/>
        <v>2.6151480913510997E-5</v>
      </c>
    </row>
    <row r="29" spans="1:5" x14ac:dyDescent="0.25">
      <c r="A29">
        <v>3.9947271359874996</v>
      </c>
      <c r="B29">
        <v>1.5260931657585085E-2</v>
      </c>
      <c r="C29">
        <f t="shared" si="0"/>
        <v>1.5000592082942004E-2</v>
      </c>
      <c r="D29">
        <f t="shared" si="1"/>
        <v>2.6033957464308144E-4</v>
      </c>
      <c r="E29">
        <f t="shared" si="2"/>
        <v>6.7776694125340574E-8</v>
      </c>
    </row>
    <row r="30" spans="1:5" x14ac:dyDescent="0.25">
      <c r="A30">
        <v>4.1348825941624998</v>
      </c>
      <c r="B30">
        <v>8.0793167598979861E-3</v>
      </c>
      <c r="C30">
        <f t="shared" si="0"/>
        <v>1.2717584141311869E-2</v>
      </c>
      <c r="D30">
        <f t="shared" si="1"/>
        <v>-4.6382673814138829E-3</v>
      </c>
      <c r="E30">
        <f t="shared" si="2"/>
        <v>2.1513524301487997E-5</v>
      </c>
    </row>
    <row r="31" spans="1:5" x14ac:dyDescent="0.25">
      <c r="A31">
        <v>4.2750380523375</v>
      </c>
      <c r="B31">
        <v>9.425869553214318E-3</v>
      </c>
      <c r="C31">
        <f t="shared" si="0"/>
        <v>1.0775137282010551E-2</v>
      </c>
      <c r="D31">
        <f t="shared" si="1"/>
        <v>-1.3492677287962329E-3</v>
      </c>
      <c r="E31">
        <f t="shared" si="2"/>
        <v>1.8205234039709448E-6</v>
      </c>
    </row>
    <row r="32" spans="1:5" x14ac:dyDescent="0.25">
      <c r="A32">
        <v>4.4151935105125002</v>
      </c>
      <c r="B32">
        <v>6.732763966581656E-3</v>
      </c>
      <c r="C32">
        <f t="shared" si="0"/>
        <v>9.1237394974778615E-3</v>
      </c>
      <c r="D32">
        <f t="shared" si="1"/>
        <v>-2.3909755308962055E-3</v>
      </c>
      <c r="E32">
        <f t="shared" si="2"/>
        <v>5.7167639893443915E-6</v>
      </c>
    </row>
    <row r="33" spans="1:5" x14ac:dyDescent="0.25">
      <c r="A33">
        <v>4.5553489686875004</v>
      </c>
      <c r="B33">
        <v>3.5908074488435497E-3</v>
      </c>
      <c r="C33">
        <f t="shared" si="0"/>
        <v>7.7208303920694304E-3</v>
      </c>
      <c r="D33">
        <f t="shared" si="1"/>
        <v>-4.1300229432258808E-3</v>
      </c>
      <c r="E33">
        <f t="shared" si="2"/>
        <v>1.7057089511572165E-5</v>
      </c>
    </row>
    <row r="34" spans="1:5" x14ac:dyDescent="0.25">
      <c r="A34">
        <v>4.6955044268624997</v>
      </c>
      <c r="B34">
        <v>3.5908074488435497E-3</v>
      </c>
      <c r="C34">
        <f t="shared" si="0"/>
        <v>6.5298738095876064E-3</v>
      </c>
      <c r="D34">
        <f t="shared" si="1"/>
        <v>-2.9390663607440567E-3</v>
      </c>
      <c r="E34">
        <f t="shared" si="2"/>
        <v>8.6381110728573132E-6</v>
      </c>
    </row>
    <row r="35" spans="1:5" x14ac:dyDescent="0.25">
      <c r="A35">
        <v>4.8356598850374999</v>
      </c>
      <c r="B35">
        <v>1.346552793316331E-3</v>
      </c>
      <c r="C35">
        <f t="shared" si="0"/>
        <v>5.5195441331707829E-3</v>
      </c>
      <c r="D35">
        <f t="shared" si="1"/>
        <v>-4.1729913398544519E-3</v>
      </c>
      <c r="E35">
        <f t="shared" si="2"/>
        <v>1.7413856722500255E-5</v>
      </c>
    </row>
    <row r="36" spans="1:5" x14ac:dyDescent="0.25">
      <c r="A36">
        <v>4.9758153432125001</v>
      </c>
      <c r="B36">
        <v>4.4885093110544371E-4</v>
      </c>
      <c r="C36">
        <f t="shared" si="0"/>
        <v>4.6630145403371058E-3</v>
      </c>
      <c r="D36">
        <f t="shared" si="1"/>
        <v>-4.2141636092316625E-3</v>
      </c>
      <c r="E36">
        <f t="shared" si="2"/>
        <v>1.7759174925372432E-5</v>
      </c>
    </row>
    <row r="37" spans="1:5" x14ac:dyDescent="0.25">
      <c r="A37">
        <v>5.1159708013875003</v>
      </c>
      <c r="B37">
        <v>4.4885093110544371E-4</v>
      </c>
      <c r="C37">
        <f t="shared" si="0"/>
        <v>3.9373361609065134E-3</v>
      </c>
      <c r="D37">
        <f t="shared" si="1"/>
        <v>-3.4884852298010696E-3</v>
      </c>
      <c r="E37">
        <f t="shared" si="2"/>
        <v>1.2169529198540222E-5</v>
      </c>
    </row>
    <row r="38" spans="1:5" x14ac:dyDescent="0.25">
      <c r="A38">
        <v>5.2561262595625005</v>
      </c>
      <c r="B38">
        <v>4.4885093110544371E-4</v>
      </c>
      <c r="C38">
        <f t="shared" si="0"/>
        <v>3.3228978740520625E-3</v>
      </c>
      <c r="D38">
        <f t="shared" si="1"/>
        <v>-2.8740469429466187E-3</v>
      </c>
      <c r="E38">
        <f t="shared" si="2"/>
        <v>8.2601458302608043E-6</v>
      </c>
    </row>
    <row r="39" spans="1:5" x14ac:dyDescent="0.25">
      <c r="A39">
        <v>5.3962817177374998</v>
      </c>
      <c r="B39">
        <v>0</v>
      </c>
      <c r="C39">
        <f t="shared" si="0"/>
        <v>2.8029573277879504E-3</v>
      </c>
      <c r="D39">
        <f t="shared" si="1"/>
        <v>-2.8029573277879504E-3</v>
      </c>
      <c r="E39">
        <f t="shared" si="2"/>
        <v>7.8565697814001679E-6</v>
      </c>
    </row>
    <row r="40" spans="1:5" x14ac:dyDescent="0.25">
      <c r="A40">
        <v>5.5364371759125</v>
      </c>
      <c r="B40">
        <v>1.346552793316331E-3</v>
      </c>
      <c r="C40">
        <f t="shared" si="0"/>
        <v>2.3632346245914819E-3</v>
      </c>
      <c r="D40">
        <f t="shared" si="1"/>
        <v>-1.0166818312751509E-3</v>
      </c>
      <c r="E40">
        <f t="shared" si="2"/>
        <v>1.0336419460449944E-6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6CD7-358E-46E7-8C7E-831D20A16B0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6.9684551324999996E-2</v>
      </c>
      <c r="B1">
        <v>0.61628319275652421</v>
      </c>
      <c r="C1">
        <f>$H$3*(1+$H$1)*(A1^($H$1))*EXP(-$H$3*(A1^(1+$H$1)))</f>
        <v>0.70319616725431255</v>
      </c>
      <c r="D1">
        <f>B1-C1</f>
        <v>-8.6912974497788342E-2</v>
      </c>
      <c r="E1">
        <f>D1^2</f>
        <v>7.5538651360532068E-3</v>
      </c>
      <c r="G1" t="s">
        <v>0</v>
      </c>
      <c r="H1">
        <v>0.14562196651669751</v>
      </c>
    </row>
    <row r="2" spans="1:8" x14ac:dyDescent="0.25">
      <c r="A2">
        <v>0.20872928797499998</v>
      </c>
      <c r="B2">
        <v>0.85501945524767964</v>
      </c>
      <c r="C2">
        <f t="shared" ref="C2:C40" si="0">$H$3*(1+$H$1)*(A2^($H$1))*EXP(-$H$3*(A2^(1+$H$1)))</f>
        <v>0.73725325849620993</v>
      </c>
      <c r="D2">
        <f t="shared" ref="D2:D40" si="1">B2-C2</f>
        <v>0.11776619675146971</v>
      </c>
      <c r="E2">
        <f t="shared" ref="E2:E40" si="2">D2^2</f>
        <v>1.3868877097305875E-2</v>
      </c>
    </row>
    <row r="3" spans="1:8" x14ac:dyDescent="0.25">
      <c r="A3">
        <v>0.34777402462500001</v>
      </c>
      <c r="B3">
        <v>0.74017284412504047</v>
      </c>
      <c r="C3">
        <f t="shared" si="0"/>
        <v>0.70088874025454295</v>
      </c>
      <c r="D3">
        <f t="shared" si="1"/>
        <v>3.9284103870497522E-2</v>
      </c>
      <c r="E3">
        <f t="shared" si="2"/>
        <v>1.5432408169080384E-3</v>
      </c>
      <c r="G3" t="s">
        <v>1</v>
      </c>
      <c r="H3">
        <f>(_xlfn.GAMMA((2+$H$1)/(1+$H$1)))^(1+$H$1)</f>
        <v>0.94607558211727472</v>
      </c>
    </row>
    <row r="4" spans="1:8" x14ac:dyDescent="0.25">
      <c r="A4">
        <v>0.48681876127500001</v>
      </c>
      <c r="B4">
        <v>0.61763964879340583</v>
      </c>
      <c r="C4">
        <f t="shared" si="0"/>
        <v>0.6446521052793579</v>
      </c>
      <c r="D4">
        <f t="shared" si="1"/>
        <v>-2.7012456485952074E-2</v>
      </c>
      <c r="E4">
        <f t="shared" si="2"/>
        <v>7.2967280540545425E-4</v>
      </c>
    </row>
    <row r="5" spans="1:8" x14ac:dyDescent="0.25">
      <c r="A5">
        <v>0.62586349792499996</v>
      </c>
      <c r="B5">
        <v>0.55252975902309076</v>
      </c>
      <c r="C5">
        <f t="shared" si="0"/>
        <v>0.58229269335675549</v>
      </c>
      <c r="D5">
        <f t="shared" si="1"/>
        <v>-2.9762934333664726E-2</v>
      </c>
      <c r="E5">
        <f t="shared" si="2"/>
        <v>8.8583226015003847E-4</v>
      </c>
      <c r="G5" t="s">
        <v>2</v>
      </c>
      <c r="H5">
        <f>SUM(E1:E40)</f>
        <v>3.1747167286894515E-2</v>
      </c>
    </row>
    <row r="6" spans="1:8" x14ac:dyDescent="0.25">
      <c r="A6">
        <v>0.76490823457500001</v>
      </c>
      <c r="B6">
        <v>0.46390796461349515</v>
      </c>
      <c r="C6">
        <f t="shared" si="0"/>
        <v>0.51971499961672385</v>
      </c>
      <c r="D6">
        <f t="shared" si="1"/>
        <v>-5.58070350032287E-2</v>
      </c>
      <c r="E6">
        <f t="shared" si="2"/>
        <v>3.1144251558515934E-3</v>
      </c>
    </row>
    <row r="7" spans="1:8" x14ac:dyDescent="0.25">
      <c r="A7">
        <v>0.90395297122500007</v>
      </c>
      <c r="B7">
        <v>0.41959706740869734</v>
      </c>
      <c r="C7">
        <f t="shared" si="0"/>
        <v>0.45982280165758238</v>
      </c>
      <c r="D7">
        <f t="shared" si="1"/>
        <v>-4.0225734248885037E-2</v>
      </c>
      <c r="E7">
        <f t="shared" si="2"/>
        <v>1.6181096958619227E-3</v>
      </c>
    </row>
    <row r="8" spans="1:8" x14ac:dyDescent="0.25">
      <c r="A8">
        <v>1.0429977078750001</v>
      </c>
      <c r="B8">
        <v>0.39246794667106605</v>
      </c>
      <c r="C8">
        <f t="shared" si="0"/>
        <v>0.40406595141580848</v>
      </c>
      <c r="D8">
        <f t="shared" si="1"/>
        <v>-1.1598004744742429E-2</v>
      </c>
      <c r="E8">
        <f t="shared" si="2"/>
        <v>1.345137140590679E-4</v>
      </c>
    </row>
    <row r="9" spans="1:8" x14ac:dyDescent="0.25">
      <c r="A9">
        <v>1.182042444525</v>
      </c>
      <c r="B9">
        <v>0.35086996154003142</v>
      </c>
      <c r="C9">
        <f t="shared" si="0"/>
        <v>0.35310064877565667</v>
      </c>
      <c r="D9">
        <f t="shared" si="1"/>
        <v>-2.2306872356252505E-3</v>
      </c>
      <c r="E9">
        <f t="shared" si="2"/>
        <v>4.9759655431814221E-6</v>
      </c>
    </row>
    <row r="10" spans="1:8" x14ac:dyDescent="0.25">
      <c r="A10">
        <v>1.321087181175</v>
      </c>
      <c r="B10">
        <v>0.29525526402788727</v>
      </c>
      <c r="C10">
        <f t="shared" si="0"/>
        <v>0.30712325100786869</v>
      </c>
      <c r="D10">
        <f t="shared" si="1"/>
        <v>-1.1867986979981426E-2</v>
      </c>
      <c r="E10">
        <f t="shared" si="2"/>
        <v>1.4084911495700867E-4</v>
      </c>
    </row>
    <row r="11" spans="1:8" x14ac:dyDescent="0.25">
      <c r="A11">
        <v>1.4601319178250001</v>
      </c>
      <c r="B11">
        <v>0.26134386310584812</v>
      </c>
      <c r="C11">
        <f t="shared" si="0"/>
        <v>0.26605793452477072</v>
      </c>
      <c r="D11">
        <f t="shared" si="1"/>
        <v>-4.7140714189226052E-3</v>
      </c>
      <c r="E11">
        <f t="shared" si="2"/>
        <v>2.2222469342702983E-5</v>
      </c>
    </row>
    <row r="12" spans="1:8" x14ac:dyDescent="0.25">
      <c r="A12">
        <v>1.5991766544749999</v>
      </c>
      <c r="B12">
        <v>0.23014537425757214</v>
      </c>
      <c r="C12">
        <f t="shared" si="0"/>
        <v>0.22966955413656034</v>
      </c>
      <c r="D12">
        <f t="shared" si="1"/>
        <v>4.758201210117996E-4</v>
      </c>
      <c r="E12">
        <f t="shared" si="2"/>
        <v>2.2640478755968363E-7</v>
      </c>
    </row>
    <row r="13" spans="1:8" x14ac:dyDescent="0.25">
      <c r="A13">
        <v>1.7382213911250002</v>
      </c>
      <c r="B13">
        <v>0.19306890924947606</v>
      </c>
      <c r="C13">
        <f t="shared" si="0"/>
        <v>0.19763438200512728</v>
      </c>
      <c r="D13">
        <f t="shared" si="1"/>
        <v>-4.5654727556512231E-3</v>
      </c>
      <c r="E13">
        <f t="shared" si="2"/>
        <v>2.0843541482593573E-5</v>
      </c>
    </row>
    <row r="14" spans="1:8" x14ac:dyDescent="0.25">
      <c r="A14">
        <v>1.877266127775</v>
      </c>
      <c r="B14">
        <v>0.18899954113883136</v>
      </c>
      <c r="C14">
        <f t="shared" si="0"/>
        <v>0.1695854455534074</v>
      </c>
      <c r="D14">
        <f t="shared" si="1"/>
        <v>1.9414095585423952E-2</v>
      </c>
      <c r="E14">
        <f t="shared" si="2"/>
        <v>3.7690710739997775E-4</v>
      </c>
    </row>
    <row r="15" spans="1:8" x14ac:dyDescent="0.25">
      <c r="A15">
        <v>2.0163108644249998</v>
      </c>
      <c r="B15">
        <v>0.16593978851184477</v>
      </c>
      <c r="C15">
        <f t="shared" si="0"/>
        <v>0.14514178137045261</v>
      </c>
      <c r="D15">
        <f t="shared" si="1"/>
        <v>2.0798007141392155E-2</v>
      </c>
      <c r="E15">
        <f t="shared" si="2"/>
        <v>4.3255710105339907E-4</v>
      </c>
    </row>
    <row r="16" spans="1:8" x14ac:dyDescent="0.25">
      <c r="A16">
        <v>2.1553556010749997</v>
      </c>
      <c r="B16">
        <v>0.14016712381109503</v>
      </c>
      <c r="C16">
        <f t="shared" si="0"/>
        <v>0.12392715564668753</v>
      </c>
      <c r="D16">
        <f t="shared" si="1"/>
        <v>1.6239968164407495E-2</v>
      </c>
      <c r="E16">
        <f t="shared" si="2"/>
        <v>2.6373656598096894E-4</v>
      </c>
    </row>
    <row r="17" spans="1:5" x14ac:dyDescent="0.25">
      <c r="A17">
        <v>2.294400337725</v>
      </c>
      <c r="B17">
        <v>0.10535141886446819</v>
      </c>
      <c r="C17">
        <f t="shared" si="0"/>
        <v>0.10558173365320751</v>
      </c>
      <c r="D17">
        <f t="shared" si="1"/>
        <v>-2.3031478873931921E-4</v>
      </c>
      <c r="E17">
        <f t="shared" si="2"/>
        <v>5.3044901912037241E-8</v>
      </c>
    </row>
    <row r="18" spans="1:5" x14ac:dyDescent="0.25">
      <c r="A18">
        <v>2.4334450743750002</v>
      </c>
      <c r="B18">
        <v>0.11077724301199446</v>
      </c>
      <c r="C18">
        <f t="shared" si="0"/>
        <v>8.9768971564587491E-2</v>
      </c>
      <c r="D18">
        <f t="shared" si="1"/>
        <v>2.1008271447406968E-2</v>
      </c>
      <c r="E18">
        <f t="shared" si="2"/>
        <v>4.4134746920793485E-4</v>
      </c>
    </row>
    <row r="19" spans="1:5" x14ac:dyDescent="0.25">
      <c r="A19">
        <v>2.5724898110250001</v>
      </c>
      <c r="B19">
        <v>7.8222298126836898E-2</v>
      </c>
      <c r="C19">
        <f t="shared" si="0"/>
        <v>7.6179259141105474E-2</v>
      </c>
      <c r="D19">
        <f t="shared" si="1"/>
        <v>2.0430389857314241E-3</v>
      </c>
      <c r="E19">
        <f t="shared" si="2"/>
        <v>4.1740082972184863E-6</v>
      </c>
    </row>
    <row r="20" spans="1:5" x14ac:dyDescent="0.25">
      <c r="A20">
        <v>2.7115345476749999</v>
      </c>
      <c r="B20">
        <v>7.6413690077661481E-2</v>
      </c>
      <c r="C20">
        <f t="shared" si="0"/>
        <v>6.4531363121427862E-2</v>
      </c>
      <c r="D20">
        <f t="shared" si="1"/>
        <v>1.1882326956233619E-2</v>
      </c>
      <c r="E20">
        <f t="shared" si="2"/>
        <v>1.411896938948361E-4</v>
      </c>
    </row>
    <row r="21" spans="1:5" x14ac:dyDescent="0.25">
      <c r="A21">
        <v>2.8505792843249997</v>
      </c>
      <c r="B21">
        <v>6.4205585745727392E-2</v>
      </c>
      <c r="C21">
        <f t="shared" si="0"/>
        <v>5.4572402815875248E-2</v>
      </c>
      <c r="D21">
        <f t="shared" si="1"/>
        <v>9.6331829298521437E-3</v>
      </c>
      <c r="E21">
        <f t="shared" si="2"/>
        <v>9.2798213359994726E-5</v>
      </c>
    </row>
    <row r="22" spans="1:5" x14ac:dyDescent="0.25">
      <c r="A22">
        <v>2.989624020975</v>
      </c>
      <c r="B22">
        <v>5.3353937450674883E-2</v>
      </c>
      <c r="C22">
        <f t="shared" si="0"/>
        <v>4.60768718390452E-2</v>
      </c>
      <c r="D22">
        <f t="shared" si="1"/>
        <v>7.2770656116296836E-3</v>
      </c>
      <c r="E22">
        <f t="shared" si="2"/>
        <v>5.2955683915963301E-5</v>
      </c>
    </row>
    <row r="23" spans="1:5" x14ac:dyDescent="0.25">
      <c r="A23">
        <v>3.1286687576249999</v>
      </c>
      <c r="B23">
        <v>4.9736721352324043E-2</v>
      </c>
      <c r="C23">
        <f t="shared" si="0"/>
        <v>3.884506813207967E-2</v>
      </c>
      <c r="D23">
        <f t="shared" si="1"/>
        <v>1.0891653220244372E-2</v>
      </c>
      <c r="E23">
        <f t="shared" si="2"/>
        <v>1.1862810987005961E-4</v>
      </c>
    </row>
    <row r="24" spans="1:5" x14ac:dyDescent="0.25">
      <c r="A24">
        <v>3.2677134942750001</v>
      </c>
      <c r="B24">
        <v>3.7528617020389961E-2</v>
      </c>
      <c r="C24">
        <f t="shared" si="0"/>
        <v>3.2701186877286202E-2</v>
      </c>
      <c r="D24">
        <f t="shared" si="1"/>
        <v>4.8274301431037586E-3</v>
      </c>
      <c r="E24">
        <f t="shared" si="2"/>
        <v>2.3304081786546776E-5</v>
      </c>
    </row>
    <row r="25" spans="1:5" x14ac:dyDescent="0.25">
      <c r="A25">
        <v>3.406758230925</v>
      </c>
      <c r="B25">
        <v>2.125114457781118E-2</v>
      </c>
      <c r="C25">
        <f t="shared" si="0"/>
        <v>2.7491253887085586E-2</v>
      </c>
      <c r="D25">
        <f t="shared" si="1"/>
        <v>-6.2401093092744053E-3</v>
      </c>
      <c r="E25">
        <f t="shared" si="2"/>
        <v>3.8938964191693093E-5</v>
      </c>
    </row>
    <row r="26" spans="1:5" x14ac:dyDescent="0.25">
      <c r="A26">
        <v>3.5458029675750002</v>
      </c>
      <c r="B26">
        <v>2.8033424762219004E-2</v>
      </c>
      <c r="C26">
        <f t="shared" si="0"/>
        <v>2.3081021527689666E-2</v>
      </c>
      <c r="D26">
        <f t="shared" si="1"/>
        <v>4.952403234529338E-3</v>
      </c>
      <c r="E26">
        <f t="shared" si="2"/>
        <v>2.4526297797376648E-5</v>
      </c>
    </row>
    <row r="27" spans="1:5" x14ac:dyDescent="0.25">
      <c r="A27">
        <v>3.6848477042250001</v>
      </c>
      <c r="B27">
        <v>1.8990384516341906E-2</v>
      </c>
      <c r="C27">
        <f t="shared" si="0"/>
        <v>1.9353909102601669E-2</v>
      </c>
      <c r="D27">
        <f t="shared" si="1"/>
        <v>-3.6352458625976344E-4</v>
      </c>
      <c r="E27">
        <f t="shared" si="2"/>
        <v>1.3215012481533219E-7</v>
      </c>
    </row>
    <row r="28" spans="1:5" x14ac:dyDescent="0.25">
      <c r="A28">
        <v>3.8238924408749999</v>
      </c>
      <c r="B28">
        <v>1.1755952319640228E-2</v>
      </c>
      <c r="C28">
        <f t="shared" si="0"/>
        <v>1.6209040631740706E-2</v>
      </c>
      <c r="D28">
        <f t="shared" si="1"/>
        <v>-4.4530883121004783E-3</v>
      </c>
      <c r="E28">
        <f t="shared" si="2"/>
        <v>1.9829995515365888E-5</v>
      </c>
    </row>
    <row r="29" spans="1:5" x14ac:dyDescent="0.25">
      <c r="A29">
        <v>3.9629371775250002</v>
      </c>
      <c r="B29">
        <v>1.6729624454872631E-2</v>
      </c>
      <c r="C29">
        <f t="shared" si="0"/>
        <v>1.3559412117517201E-2</v>
      </c>
      <c r="D29">
        <f t="shared" si="1"/>
        <v>3.1702123373554304E-3</v>
      </c>
      <c r="E29">
        <f t="shared" si="2"/>
        <v>1.0050246263920582E-5</v>
      </c>
    </row>
    <row r="30" spans="1:5" x14ac:dyDescent="0.25">
      <c r="A30">
        <v>4.101981914175</v>
      </c>
      <c r="B30">
        <v>6.782280184407824E-3</v>
      </c>
      <c r="C30">
        <f t="shared" si="0"/>
        <v>1.1330205529849631E-2</v>
      </c>
      <c r="D30">
        <f t="shared" si="1"/>
        <v>-4.5479253454418066E-3</v>
      </c>
      <c r="E30">
        <f t="shared" si="2"/>
        <v>2.0683624947711977E-5</v>
      </c>
    </row>
    <row r="31" spans="1:5" x14ac:dyDescent="0.25">
      <c r="A31">
        <v>4.2410266508249999</v>
      </c>
      <c r="B31">
        <v>9.4951922581709529E-3</v>
      </c>
      <c r="C31">
        <f t="shared" si="0"/>
        <v>9.4572562931822413E-3</v>
      </c>
      <c r="D31">
        <f t="shared" si="1"/>
        <v>3.793596498871156E-5</v>
      </c>
      <c r="E31">
        <f t="shared" si="2"/>
        <v>1.4391374396247493E-9</v>
      </c>
    </row>
    <row r="32" spans="1:5" x14ac:dyDescent="0.25">
      <c r="A32">
        <v>4.3800713874749997</v>
      </c>
      <c r="B32">
        <v>7.2344321967016791E-3</v>
      </c>
      <c r="C32">
        <f t="shared" si="0"/>
        <v>7.8856738600459539E-3</v>
      </c>
      <c r="D32">
        <f t="shared" si="1"/>
        <v>-6.5124166334427479E-4</v>
      </c>
      <c r="E32">
        <f t="shared" si="2"/>
        <v>4.2411570407541774E-7</v>
      </c>
    </row>
    <row r="33" spans="1:5" x14ac:dyDescent="0.25">
      <c r="A33">
        <v>4.5191161241250004</v>
      </c>
      <c r="B33">
        <v>3.6172160983508395E-3</v>
      </c>
      <c r="C33">
        <f t="shared" si="0"/>
        <v>6.5686101467157245E-3</v>
      </c>
      <c r="D33">
        <f t="shared" si="1"/>
        <v>-2.951394048364885E-3</v>
      </c>
      <c r="E33">
        <f t="shared" si="2"/>
        <v>8.7107268287236649E-6</v>
      </c>
    </row>
    <row r="34" spans="1:5" x14ac:dyDescent="0.25">
      <c r="A34">
        <v>4.6581608607750002</v>
      </c>
      <c r="B34">
        <v>4.9736721352324044E-3</v>
      </c>
      <c r="C34">
        <f t="shared" si="0"/>
        <v>5.4661675449299858E-3</v>
      </c>
      <c r="D34">
        <f t="shared" si="1"/>
        <v>-4.9249540969758133E-4</v>
      </c>
      <c r="E34">
        <f t="shared" si="2"/>
        <v>2.425517285731885E-7</v>
      </c>
    </row>
    <row r="35" spans="1:5" x14ac:dyDescent="0.25">
      <c r="A35">
        <v>4.7972055974250001</v>
      </c>
      <c r="B35">
        <v>9.0430402458770989E-4</v>
      </c>
      <c r="C35">
        <f t="shared" si="0"/>
        <v>4.5444364291343745E-3</v>
      </c>
      <c r="D35">
        <f t="shared" si="1"/>
        <v>-3.6401324045466647E-3</v>
      </c>
      <c r="E35">
        <f t="shared" si="2"/>
        <v>1.3250563922630684E-5</v>
      </c>
    </row>
    <row r="36" spans="1:5" x14ac:dyDescent="0.25">
      <c r="A36">
        <v>4.9362503340749999</v>
      </c>
      <c r="B36">
        <v>1.3564560368815647E-3</v>
      </c>
      <c r="C36">
        <f t="shared" si="0"/>
        <v>3.7746511917503365E-3</v>
      </c>
      <c r="D36">
        <f t="shared" si="1"/>
        <v>-2.418195154868772E-3</v>
      </c>
      <c r="E36">
        <f t="shared" si="2"/>
        <v>5.8476678070308046E-6</v>
      </c>
    </row>
    <row r="37" spans="1:5" x14ac:dyDescent="0.25">
      <c r="A37">
        <v>5.0752950707249997</v>
      </c>
      <c r="B37">
        <v>0</v>
      </c>
      <c r="C37">
        <f t="shared" si="0"/>
        <v>3.1324535907434549E-3</v>
      </c>
      <c r="D37">
        <f t="shared" si="1"/>
        <v>-3.1324535907434549E-3</v>
      </c>
      <c r="E37">
        <f t="shared" si="2"/>
        <v>9.812265498161564E-6</v>
      </c>
    </row>
    <row r="38" spans="1:5" x14ac:dyDescent="0.25">
      <c r="A38">
        <v>5.2143398073749996</v>
      </c>
      <c r="B38">
        <v>4.5215201229385494E-4</v>
      </c>
      <c r="C38">
        <f t="shared" si="0"/>
        <v>2.59725238397404E-3</v>
      </c>
      <c r="D38">
        <f t="shared" si="1"/>
        <v>-2.1451003716801849E-3</v>
      </c>
      <c r="E38">
        <f t="shared" si="2"/>
        <v>4.6014556045824675E-6</v>
      </c>
    </row>
    <row r="39" spans="1:5" x14ac:dyDescent="0.25">
      <c r="A39">
        <v>5.3533845440250003</v>
      </c>
      <c r="B39">
        <v>0</v>
      </c>
      <c r="C39">
        <f t="shared" si="0"/>
        <v>2.1516687050015092E-3</v>
      </c>
      <c r="D39">
        <f t="shared" si="1"/>
        <v>-2.1516687050015092E-3</v>
      </c>
      <c r="E39">
        <f t="shared" si="2"/>
        <v>4.6296782160828717E-6</v>
      </c>
    </row>
    <row r="40" spans="1:5" x14ac:dyDescent="0.25">
      <c r="A40">
        <v>5.4924292806750001</v>
      </c>
      <c r="B40">
        <v>1.3564560368815647E-3</v>
      </c>
      <c r="C40">
        <f t="shared" si="0"/>
        <v>1.7810572960387861E-3</v>
      </c>
      <c r="D40">
        <f t="shared" si="1"/>
        <v>-4.2460125915722144E-4</v>
      </c>
      <c r="E40">
        <f t="shared" si="2"/>
        <v>1.8028622927789792E-7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0C4D-AA1B-4787-8669-11164A8253B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6.9607972399999996E-2</v>
      </c>
      <c r="B1">
        <v>0.58034787804249421</v>
      </c>
      <c r="C1">
        <f>$H$3*(1+$H$1)*(A1^($H$1))*EXP(-$H$3*(A1^(1+$H$1)))</f>
        <v>0.6707555295009735</v>
      </c>
      <c r="D1">
        <f>B1-C1</f>
        <v>-9.0407651458479288E-2</v>
      </c>
      <c r="E1">
        <f>D1^2</f>
        <v>8.1735434422378715E-3</v>
      </c>
      <c r="G1" t="s">
        <v>0</v>
      </c>
      <c r="H1">
        <v>0.16908262829745871</v>
      </c>
    </row>
    <row r="2" spans="1:8" x14ac:dyDescent="0.25">
      <c r="A2">
        <v>0.2078028972</v>
      </c>
      <c r="B2">
        <v>0.81958219140483901</v>
      </c>
      <c r="C2">
        <f t="shared" ref="C2:C40" si="0">$H$3*(1+$H$1)*(A2^($H$1))*EXP(-$H$3*(A2^(1+$H$1)))</f>
        <v>0.72445856065314096</v>
      </c>
      <c r="D2">
        <f t="shared" ref="D2:D40" si="1">B2-C2</f>
        <v>9.5123630751698052E-2</v>
      </c>
      <c r="E2">
        <f t="shared" ref="E2:E40" si="2">D2^2</f>
        <v>9.0485051273853957E-3</v>
      </c>
    </row>
    <row r="3" spans="1:8" x14ac:dyDescent="0.25">
      <c r="A3">
        <v>0.34599782199999995</v>
      </c>
      <c r="B3">
        <v>0.77501001895329946</v>
      </c>
      <c r="C3">
        <f t="shared" si="0"/>
        <v>0.69907836690012626</v>
      </c>
      <c r="D3">
        <f t="shared" si="1"/>
        <v>7.5931652053173204E-2</v>
      </c>
      <c r="E3">
        <f t="shared" si="2"/>
        <v>5.7656157835241622E-3</v>
      </c>
      <c r="G3" t="s">
        <v>1</v>
      </c>
      <c r="H3">
        <f>(_xlfn.GAMMA((2+$H$1)/(1+$H$1)))^(1+$H$1)</f>
        <v>0.93861442270260576</v>
      </c>
    </row>
    <row r="4" spans="1:8" x14ac:dyDescent="0.25">
      <c r="A4">
        <v>0.48419274679999996</v>
      </c>
      <c r="B4">
        <v>0.63947422925372011</v>
      </c>
      <c r="C4">
        <f t="shared" si="0"/>
        <v>0.64935092484940082</v>
      </c>
      <c r="D4">
        <f t="shared" si="1"/>
        <v>-9.8766955956807179E-3</v>
      </c>
      <c r="E4">
        <f t="shared" si="2"/>
        <v>9.7549115889738897E-5</v>
      </c>
    </row>
    <row r="5" spans="1:8" x14ac:dyDescent="0.25">
      <c r="A5">
        <v>0.62238767159999997</v>
      </c>
      <c r="B5">
        <v>0.57898342378377365</v>
      </c>
      <c r="C5">
        <f t="shared" si="0"/>
        <v>0.5906799199922671</v>
      </c>
      <c r="D5">
        <f t="shared" si="1"/>
        <v>-1.1696496208493445E-2</v>
      </c>
      <c r="E5">
        <f t="shared" si="2"/>
        <v>1.3680802355530154E-4</v>
      </c>
      <c r="G5" t="s">
        <v>2</v>
      </c>
      <c r="H5">
        <f>SUM(E1:E40)</f>
        <v>3.2767475051936786E-2</v>
      </c>
    </row>
    <row r="6" spans="1:8" x14ac:dyDescent="0.25">
      <c r="A6">
        <v>0.76058259639999992</v>
      </c>
      <c r="B6">
        <v>0.46345962987876299</v>
      </c>
      <c r="C6">
        <f t="shared" si="0"/>
        <v>0.52992671694773508</v>
      </c>
      <c r="D6">
        <f t="shared" si="1"/>
        <v>-6.6467087068972086E-2</v>
      </c>
      <c r="E6">
        <f t="shared" si="2"/>
        <v>4.4178736634343163E-3</v>
      </c>
    </row>
    <row r="7" spans="1:8" x14ac:dyDescent="0.25">
      <c r="A7">
        <v>0.89877752119999998</v>
      </c>
      <c r="B7">
        <v>0.43116754575570887</v>
      </c>
      <c r="C7">
        <f t="shared" si="0"/>
        <v>0.47062425599739699</v>
      </c>
      <c r="D7">
        <f t="shared" si="1"/>
        <v>-3.945671024168812E-2</v>
      </c>
      <c r="E7">
        <f t="shared" si="2"/>
        <v>1.5568319830965361E-3</v>
      </c>
    </row>
    <row r="8" spans="1:8" x14ac:dyDescent="0.25">
      <c r="A8">
        <v>1.0369724459999998</v>
      </c>
      <c r="B8">
        <v>0.38614055521792912</v>
      </c>
      <c r="C8">
        <f t="shared" si="0"/>
        <v>0.41465724241094176</v>
      </c>
      <c r="D8">
        <f t="shared" si="1"/>
        <v>-2.8516687193012646E-2</v>
      </c>
      <c r="E8">
        <f t="shared" si="2"/>
        <v>8.1320144846413144E-4</v>
      </c>
    </row>
    <row r="9" spans="1:8" x14ac:dyDescent="0.25">
      <c r="A9">
        <v>1.1751673707999999</v>
      </c>
      <c r="B9">
        <v>0.36294483281967899</v>
      </c>
      <c r="C9">
        <f t="shared" si="0"/>
        <v>0.36298760832729965</v>
      </c>
      <c r="D9">
        <f t="shared" si="1"/>
        <v>-4.2775507620662623E-5</v>
      </c>
      <c r="E9">
        <f t="shared" si="2"/>
        <v>1.8297440522053661E-9</v>
      </c>
    </row>
    <row r="10" spans="1:8" x14ac:dyDescent="0.25">
      <c r="A10">
        <v>1.3133622956</v>
      </c>
      <c r="B10">
        <v>0.29790584648733048</v>
      </c>
      <c r="C10">
        <f t="shared" si="0"/>
        <v>0.31602664390190144</v>
      </c>
      <c r="D10">
        <f t="shared" si="1"/>
        <v>-1.8120797414570955E-2</v>
      </c>
      <c r="E10">
        <f t="shared" si="2"/>
        <v>3.283632989399214E-4</v>
      </c>
    </row>
    <row r="11" spans="1:8" x14ac:dyDescent="0.25">
      <c r="A11">
        <v>1.4515572203999998</v>
      </c>
      <c r="B11">
        <v>0.25515294638075176</v>
      </c>
      <c r="C11">
        <f t="shared" si="0"/>
        <v>0.27384786277274553</v>
      </c>
      <c r="D11">
        <f t="shared" si="1"/>
        <v>-1.8694916391993777E-2</v>
      </c>
      <c r="E11">
        <f t="shared" si="2"/>
        <v>3.4949989890363758E-4</v>
      </c>
    </row>
    <row r="12" spans="1:8" x14ac:dyDescent="0.25">
      <c r="A12">
        <v>1.5897521451999999</v>
      </c>
      <c r="B12">
        <v>0.24332767613850659</v>
      </c>
      <c r="C12">
        <f t="shared" si="0"/>
        <v>0.23631756683428806</v>
      </c>
      <c r="D12">
        <f t="shared" si="1"/>
        <v>7.0101093042185258E-3</v>
      </c>
      <c r="E12">
        <f t="shared" si="2"/>
        <v>4.9141632457091143E-5</v>
      </c>
    </row>
    <row r="13" spans="1:8" x14ac:dyDescent="0.25">
      <c r="A13">
        <v>1.7279470699999999</v>
      </c>
      <c r="B13">
        <v>0.18647541535848167</v>
      </c>
      <c r="C13">
        <f t="shared" si="0"/>
        <v>0.20317849354374889</v>
      </c>
      <c r="D13">
        <f t="shared" si="1"/>
        <v>-1.6703078185267228E-2</v>
      </c>
      <c r="E13">
        <f t="shared" si="2"/>
        <v>2.7899282086314996E-4</v>
      </c>
    </row>
    <row r="14" spans="1:8" x14ac:dyDescent="0.25">
      <c r="A14">
        <v>1.8661419948</v>
      </c>
      <c r="B14">
        <v>0.19011396004840328</v>
      </c>
      <c r="C14">
        <f t="shared" si="0"/>
        <v>0.1741047497735311</v>
      </c>
      <c r="D14">
        <f t="shared" si="1"/>
        <v>1.6009210274872177E-2</v>
      </c>
      <c r="E14">
        <f t="shared" si="2"/>
        <v>2.5629481362507287E-4</v>
      </c>
    </row>
    <row r="15" spans="1:8" x14ac:dyDescent="0.25">
      <c r="A15">
        <v>2.0043369196</v>
      </c>
      <c r="B15">
        <v>0.16691823765015312</v>
      </c>
      <c r="C15">
        <f t="shared" si="0"/>
        <v>0.14873826009932012</v>
      </c>
      <c r="D15">
        <f t="shared" si="1"/>
        <v>1.8179977550833004E-2</v>
      </c>
      <c r="E15">
        <f t="shared" si="2"/>
        <v>3.30511583748792E-4</v>
      </c>
    </row>
    <row r="16" spans="1:8" x14ac:dyDescent="0.25">
      <c r="A16">
        <v>2.1425318443999997</v>
      </c>
      <c r="B16">
        <v>0.14099360673446176</v>
      </c>
      <c r="C16">
        <f t="shared" si="0"/>
        <v>0.12671288834722366</v>
      </c>
      <c r="D16">
        <f t="shared" si="1"/>
        <v>1.42807183872381E-2</v>
      </c>
      <c r="E16">
        <f t="shared" si="2"/>
        <v>2.0393891765560038E-4</v>
      </c>
    </row>
    <row r="17" spans="1:5" x14ac:dyDescent="0.25">
      <c r="A17">
        <v>2.2807267692000002</v>
      </c>
      <c r="B17">
        <v>0.10642743218020662</v>
      </c>
      <c r="C17">
        <f t="shared" si="0"/>
        <v>0.10767014684761408</v>
      </c>
      <c r="D17">
        <f t="shared" si="1"/>
        <v>-1.2427146674074685E-3</v>
      </c>
      <c r="E17">
        <f t="shared" si="2"/>
        <v>1.5443397445896552E-6</v>
      </c>
    </row>
    <row r="18" spans="1:5" x14ac:dyDescent="0.25">
      <c r="A18">
        <v>2.4189216939999998</v>
      </c>
      <c r="B18">
        <v>0.11234006730132921</v>
      </c>
      <c r="C18">
        <f t="shared" si="0"/>
        <v>9.1269086399335272E-2</v>
      </c>
      <c r="D18">
        <f t="shared" si="1"/>
        <v>2.1070980901993941E-2</v>
      </c>
      <c r="E18">
        <f t="shared" si="2"/>
        <v>4.439862361721934E-4</v>
      </c>
    </row>
    <row r="19" spans="1:5" x14ac:dyDescent="0.25">
      <c r="A19">
        <v>2.5571166187999994</v>
      </c>
      <c r="B19">
        <v>8.3231709781956459E-2</v>
      </c>
      <c r="C19">
        <f t="shared" si="0"/>
        <v>7.7192138411678587E-2</v>
      </c>
      <c r="D19">
        <f t="shared" si="1"/>
        <v>6.0395713702778714E-3</v>
      </c>
      <c r="E19">
        <f t="shared" si="2"/>
        <v>3.6476422336680122E-5</v>
      </c>
    </row>
    <row r="20" spans="1:5" x14ac:dyDescent="0.25">
      <c r="A20">
        <v>2.6953115435999999</v>
      </c>
      <c r="B20">
        <v>7.3225711884672071E-2</v>
      </c>
      <c r="C20">
        <f t="shared" si="0"/>
        <v>6.5148146582454131E-2</v>
      </c>
      <c r="D20">
        <f t="shared" si="1"/>
        <v>8.07756530221794E-3</v>
      </c>
      <c r="E20">
        <f t="shared" si="2"/>
        <v>6.5247061211595194E-5</v>
      </c>
    </row>
    <row r="21" spans="1:5" x14ac:dyDescent="0.25">
      <c r="A21">
        <v>2.8335064683999995</v>
      </c>
      <c r="B21">
        <v>6.6858258677309282E-2</v>
      </c>
      <c r="C21">
        <f t="shared" si="0"/>
        <v>5.4873465476957178E-2</v>
      </c>
      <c r="D21">
        <f t="shared" si="1"/>
        <v>1.1984793200352103E-2</v>
      </c>
      <c r="E21">
        <f t="shared" si="2"/>
        <v>1.4363526805520602E-4</v>
      </c>
    </row>
    <row r="22" spans="1:5" x14ac:dyDescent="0.25">
      <c r="A22">
        <v>2.9717013932</v>
      </c>
      <c r="B22">
        <v>5.6397442693784702E-2</v>
      </c>
      <c r="C22">
        <f t="shared" si="0"/>
        <v>4.6131753750591885E-2</v>
      </c>
      <c r="D22">
        <f t="shared" si="1"/>
        <v>1.0265688943192817E-2</v>
      </c>
      <c r="E22">
        <f t="shared" si="2"/>
        <v>1.0538436947839126E-4</v>
      </c>
    </row>
    <row r="23" spans="1:5" x14ac:dyDescent="0.25">
      <c r="A23">
        <v>3.1098963179999997</v>
      </c>
      <c r="B23">
        <v>4.7755899055220916E-2</v>
      </c>
      <c r="C23">
        <f t="shared" si="0"/>
        <v>3.871291287546965E-2</v>
      </c>
      <c r="D23">
        <f t="shared" si="1"/>
        <v>9.0429861797512653E-3</v>
      </c>
      <c r="E23">
        <f t="shared" si="2"/>
        <v>8.177559904717239E-5</v>
      </c>
    </row>
    <row r="24" spans="1:5" x14ac:dyDescent="0.25">
      <c r="A24">
        <v>3.2480912427999997</v>
      </c>
      <c r="B24">
        <v>3.638544689921594E-2</v>
      </c>
      <c r="C24">
        <f t="shared" si="0"/>
        <v>3.2431494880945148E-2</v>
      </c>
      <c r="D24">
        <f t="shared" si="1"/>
        <v>3.9539520182707913E-3</v>
      </c>
      <c r="E24">
        <f t="shared" si="2"/>
        <v>1.5633736562787665E-5</v>
      </c>
    </row>
    <row r="25" spans="1:5" x14ac:dyDescent="0.25">
      <c r="A25">
        <v>3.3862861675999998</v>
      </c>
      <c r="B25">
        <v>2.4560176656970759E-2</v>
      </c>
      <c r="C25">
        <f t="shared" si="0"/>
        <v>2.7124809914822232E-2</v>
      </c>
      <c r="D25">
        <f t="shared" si="1"/>
        <v>-2.564633257851473E-3</v>
      </c>
      <c r="E25">
        <f t="shared" si="2"/>
        <v>6.5773437472778599E-6</v>
      </c>
    </row>
    <row r="26" spans="1:5" x14ac:dyDescent="0.25">
      <c r="A26">
        <v>3.5244810924000003</v>
      </c>
      <c r="B26">
        <v>2.5469812829451155E-2</v>
      </c>
      <c r="C26">
        <f t="shared" si="0"/>
        <v>2.2650896490317079E-2</v>
      </c>
      <c r="D26">
        <f t="shared" si="1"/>
        <v>2.8189163391340762E-3</v>
      </c>
      <c r="E26">
        <f t="shared" si="2"/>
        <v>7.9462893270370615E-6</v>
      </c>
    </row>
    <row r="27" spans="1:5" x14ac:dyDescent="0.25">
      <c r="A27">
        <v>3.6626760171999999</v>
      </c>
      <c r="B27">
        <v>2.0466813880808964E-2</v>
      </c>
      <c r="C27">
        <f t="shared" si="0"/>
        <v>1.8886467336276094E-2</v>
      </c>
      <c r="D27">
        <f t="shared" si="1"/>
        <v>1.58034654453287E-3</v>
      </c>
      <c r="E27">
        <f t="shared" si="2"/>
        <v>2.4974952008169825E-6</v>
      </c>
    </row>
    <row r="28" spans="1:5" x14ac:dyDescent="0.25">
      <c r="A28">
        <v>3.8008709419999995</v>
      </c>
      <c r="B28">
        <v>1.3189724500965777E-2</v>
      </c>
      <c r="C28">
        <f t="shared" si="0"/>
        <v>1.5724907060219031E-2</v>
      </c>
      <c r="D28">
        <f t="shared" si="1"/>
        <v>-2.5351825592532535E-3</v>
      </c>
      <c r="E28">
        <f t="shared" si="2"/>
        <v>6.427150608741876E-6</v>
      </c>
    </row>
    <row r="29" spans="1:5" x14ac:dyDescent="0.25">
      <c r="A29">
        <v>3.9390658668</v>
      </c>
      <c r="B29">
        <v>1.5008996845926574E-2</v>
      </c>
      <c r="C29">
        <f t="shared" si="0"/>
        <v>1.3074370952857834E-2</v>
      </c>
      <c r="D29">
        <f t="shared" si="1"/>
        <v>1.9346258930687393E-3</v>
      </c>
      <c r="E29">
        <f t="shared" si="2"/>
        <v>3.742777346132017E-6</v>
      </c>
    </row>
    <row r="30" spans="1:5" x14ac:dyDescent="0.25">
      <c r="A30">
        <v>4.0772607916000005</v>
      </c>
      <c r="B30">
        <v>9.0963617248039849E-3</v>
      </c>
      <c r="C30">
        <f t="shared" si="0"/>
        <v>1.0856014716281894E-2</v>
      </c>
      <c r="D30">
        <f t="shared" si="1"/>
        <v>-1.7596529914779089E-3</v>
      </c>
      <c r="E30">
        <f t="shared" si="2"/>
        <v>3.0963786504171535E-6</v>
      </c>
    </row>
    <row r="31" spans="1:5" x14ac:dyDescent="0.25">
      <c r="A31">
        <v>4.2154557164000002</v>
      </c>
      <c r="B31">
        <v>9.0963617248039849E-3</v>
      </c>
      <c r="C31">
        <f t="shared" si="0"/>
        <v>9.0023708404628269E-3</v>
      </c>
      <c r="D31">
        <f t="shared" si="1"/>
        <v>9.3990884341157988E-5</v>
      </c>
      <c r="E31">
        <f t="shared" si="2"/>
        <v>8.8342863392329384E-9</v>
      </c>
    </row>
    <row r="32" spans="1:5" x14ac:dyDescent="0.25">
      <c r="A32">
        <v>4.3536506411999998</v>
      </c>
      <c r="B32">
        <v>5.9126351211225897E-3</v>
      </c>
      <c r="C32">
        <f t="shared" si="0"/>
        <v>7.4558774035263925E-3</v>
      </c>
      <c r="D32">
        <f t="shared" si="1"/>
        <v>-1.5432422824038028E-3</v>
      </c>
      <c r="E32">
        <f t="shared" si="2"/>
        <v>2.3815967421988986E-6</v>
      </c>
    </row>
    <row r="33" spans="1:5" x14ac:dyDescent="0.25">
      <c r="A33">
        <v>4.4918455659999985</v>
      </c>
      <c r="B33">
        <v>3.6385446899215939E-3</v>
      </c>
      <c r="C33">
        <f t="shared" si="0"/>
        <v>6.1675581899459375E-3</v>
      </c>
      <c r="D33">
        <f t="shared" si="1"/>
        <v>-2.5290135000243436E-3</v>
      </c>
      <c r="E33">
        <f t="shared" si="2"/>
        <v>6.3959092833053807E-6</v>
      </c>
    </row>
    <row r="34" spans="1:5" x14ac:dyDescent="0.25">
      <c r="A34">
        <v>4.630040490799999</v>
      </c>
      <c r="B34">
        <v>4.5481808624019925E-3</v>
      </c>
      <c r="C34">
        <f t="shared" si="0"/>
        <v>5.0958484196469162E-3</v>
      </c>
      <c r="D34">
        <f t="shared" si="1"/>
        <v>-5.4766755724492376E-4</v>
      </c>
      <c r="E34">
        <f t="shared" si="2"/>
        <v>2.9993975325862185E-7</v>
      </c>
    </row>
    <row r="35" spans="1:5" x14ac:dyDescent="0.25">
      <c r="A35">
        <v>4.7682354155999995</v>
      </c>
      <c r="B35">
        <v>1.8192723449607969E-3</v>
      </c>
      <c r="C35">
        <f t="shared" si="0"/>
        <v>4.2055574619881009E-3</v>
      </c>
      <c r="D35">
        <f t="shared" si="1"/>
        <v>-2.3862851170273038E-3</v>
      </c>
      <c r="E35">
        <f t="shared" si="2"/>
        <v>5.6943566597460129E-6</v>
      </c>
    </row>
    <row r="36" spans="1:5" x14ac:dyDescent="0.25">
      <c r="A36">
        <v>4.9064303404</v>
      </c>
      <c r="B36">
        <v>9.0963617248039847E-4</v>
      </c>
      <c r="C36">
        <f t="shared" si="0"/>
        <v>3.4669582175916786E-3</v>
      </c>
      <c r="D36">
        <f t="shared" si="1"/>
        <v>-2.5573220451112801E-3</v>
      </c>
      <c r="E36">
        <f t="shared" si="2"/>
        <v>6.5398960424121396E-6</v>
      </c>
    </row>
    <row r="37" spans="1:5" x14ac:dyDescent="0.25">
      <c r="A37">
        <v>5.0446252651999997</v>
      </c>
      <c r="B37">
        <v>0</v>
      </c>
      <c r="C37">
        <f t="shared" si="0"/>
        <v>2.8549920436976065E-3</v>
      </c>
      <c r="D37">
        <f t="shared" si="1"/>
        <v>-2.8549920436976065E-3</v>
      </c>
      <c r="E37">
        <f t="shared" si="2"/>
        <v>8.1509795695766358E-6</v>
      </c>
    </row>
    <row r="38" spans="1:5" x14ac:dyDescent="0.25">
      <c r="A38">
        <v>5.1828201899999993</v>
      </c>
      <c r="B38">
        <v>4.5481808624019923E-4</v>
      </c>
      <c r="C38">
        <f t="shared" si="0"/>
        <v>2.3485779148832799E-3</v>
      </c>
      <c r="D38">
        <f t="shared" si="1"/>
        <v>-1.8937598286430807E-3</v>
      </c>
      <c r="E38">
        <f t="shared" si="2"/>
        <v>3.5863262885822703E-6</v>
      </c>
    </row>
    <row r="39" spans="1:5" x14ac:dyDescent="0.25">
      <c r="A39">
        <v>5.3210151147999998</v>
      </c>
      <c r="B39">
        <v>0</v>
      </c>
      <c r="C39">
        <f t="shared" si="0"/>
        <v>1.9300147549782569E-3</v>
      </c>
      <c r="D39">
        <f t="shared" si="1"/>
        <v>-1.9300147549782569E-3</v>
      </c>
      <c r="E39">
        <f t="shared" si="2"/>
        <v>3.7249569544337806E-6</v>
      </c>
    </row>
    <row r="40" spans="1:5" x14ac:dyDescent="0.25">
      <c r="A40">
        <v>5.4592100395999994</v>
      </c>
      <c r="B40">
        <v>1.3644542587205977E-3</v>
      </c>
      <c r="C40">
        <f t="shared" si="0"/>
        <v>1.5844664018124686E-3</v>
      </c>
      <c r="D40">
        <f t="shared" si="1"/>
        <v>-2.2001214309187093E-4</v>
      </c>
      <c r="E40">
        <f t="shared" si="2"/>
        <v>4.8405343107877894E-8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A3D2-421E-4D52-8621-8DF5390F0F3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6.8267800012500005E-2</v>
      </c>
      <c r="B1">
        <v>0.55863156634745625</v>
      </c>
      <c r="C1">
        <f>$H$3*(1+$H$1)*(A1^($H$1))*EXP(-$H$3*(A1^(1+$H$1)))</f>
        <v>0.59606341442709909</v>
      </c>
      <c r="D1">
        <f>B1-C1</f>
        <v>-3.7431848079642838E-2</v>
      </c>
      <c r="E1">
        <f>D1^2</f>
        <v>1.4011432506574612E-3</v>
      </c>
      <c r="G1" t="s">
        <v>0</v>
      </c>
      <c r="H1">
        <v>0.22534449105694032</v>
      </c>
    </row>
    <row r="2" spans="1:8" x14ac:dyDescent="0.25">
      <c r="A2">
        <v>0.20427943403750001</v>
      </c>
      <c r="B2">
        <v>0.61361680736924884</v>
      </c>
      <c r="C2">
        <f t="shared" ref="C2:C40" si="0">$H$3*(1+$H$1)*(A2^($H$1))*EXP(-$H$3*(A2^(1+$H$1)))</f>
        <v>0.69231879613811254</v>
      </c>
      <c r="D2">
        <f t="shared" ref="D2:D40" si="1">B2-C2</f>
        <v>-7.8701988768863695E-2</v>
      </c>
      <c r="E2">
        <f t="shared" ref="E2:E40" si="2">D2^2</f>
        <v>6.1940030361743474E-3</v>
      </c>
    </row>
    <row r="3" spans="1:8" x14ac:dyDescent="0.25">
      <c r="A3">
        <v>0.34029106806249998</v>
      </c>
      <c r="B3">
        <v>0.8358680757010325</v>
      </c>
      <c r="C3">
        <f t="shared" si="0"/>
        <v>0.69273954557100048</v>
      </c>
      <c r="D3">
        <f t="shared" si="1"/>
        <v>0.14312853013003202</v>
      </c>
      <c r="E3">
        <f t="shared" si="2"/>
        <v>2.0485776137183484E-2</v>
      </c>
      <c r="G3" t="s">
        <v>1</v>
      </c>
      <c r="H3">
        <f>(_xlfn.GAMMA((2+$H$1)/(1+$H$1)))^(1+$H$1)</f>
        <v>0.92185771216908075</v>
      </c>
    </row>
    <row r="4" spans="1:8" x14ac:dyDescent="0.25">
      <c r="A4">
        <v>0.47630270208749997</v>
      </c>
      <c r="B4">
        <v>0.75777979223310854</v>
      </c>
      <c r="C4">
        <f t="shared" si="0"/>
        <v>0.65916494461328978</v>
      </c>
      <c r="D4">
        <f t="shared" si="1"/>
        <v>9.8614847619818757E-2</v>
      </c>
      <c r="E4">
        <f t="shared" si="2"/>
        <v>9.724888171080073E-3</v>
      </c>
    </row>
    <row r="5" spans="1:8" x14ac:dyDescent="0.25">
      <c r="A5">
        <v>0.61231433611249997</v>
      </c>
      <c r="B5">
        <v>0.62978893708154082</v>
      </c>
      <c r="C5">
        <f t="shared" si="0"/>
        <v>0.6101351691937108</v>
      </c>
      <c r="D5">
        <f t="shared" si="1"/>
        <v>1.965376788783002E-2</v>
      </c>
      <c r="E5">
        <f t="shared" si="2"/>
        <v>3.862705921886985E-4</v>
      </c>
      <c r="G5" t="s">
        <v>2</v>
      </c>
      <c r="H5">
        <f>SUM(E1:E40)</f>
        <v>5.0828985957675474E-2</v>
      </c>
    </row>
    <row r="6" spans="1:8" x14ac:dyDescent="0.25">
      <c r="A6">
        <v>0.74832597013750002</v>
      </c>
      <c r="B6">
        <v>0.49717747344074681</v>
      </c>
      <c r="C6">
        <f t="shared" si="0"/>
        <v>0.55449608803755401</v>
      </c>
      <c r="D6">
        <f t="shared" si="1"/>
        <v>-5.7318614596807205E-2</v>
      </c>
      <c r="E6">
        <f t="shared" si="2"/>
        <v>3.2854235792973202E-3</v>
      </c>
    </row>
    <row r="7" spans="1:8" x14ac:dyDescent="0.25">
      <c r="A7">
        <v>0.88433760416249996</v>
      </c>
      <c r="B7">
        <v>0.43526131968511478</v>
      </c>
      <c r="C7">
        <f t="shared" si="0"/>
        <v>0.49717985697279665</v>
      </c>
      <c r="D7">
        <f t="shared" si="1"/>
        <v>-6.1918537287681874E-2</v>
      </c>
      <c r="E7">
        <f t="shared" si="2"/>
        <v>3.8339052598460508E-3</v>
      </c>
    </row>
    <row r="8" spans="1:8" x14ac:dyDescent="0.25">
      <c r="A8">
        <v>1.0203492381874999</v>
      </c>
      <c r="B8">
        <v>0.40522736450514402</v>
      </c>
      <c r="C8">
        <f t="shared" si="0"/>
        <v>0.44109309831222376</v>
      </c>
      <c r="D8">
        <f t="shared" si="1"/>
        <v>-3.5865733807079747E-2</v>
      </c>
      <c r="E8">
        <f t="shared" si="2"/>
        <v>1.2863508615203031E-3</v>
      </c>
    </row>
    <row r="9" spans="1:8" x14ac:dyDescent="0.25">
      <c r="A9">
        <v>1.1563608722124998</v>
      </c>
      <c r="B9">
        <v>0.36456600979995285</v>
      </c>
      <c r="C9">
        <f t="shared" si="0"/>
        <v>0.38794924018627613</v>
      </c>
      <c r="D9">
        <f t="shared" si="1"/>
        <v>-2.3383230386323284E-2</v>
      </c>
      <c r="E9">
        <f t="shared" si="2"/>
        <v>5.4677546329987253E-4</v>
      </c>
    </row>
    <row r="10" spans="1:8" x14ac:dyDescent="0.25">
      <c r="A10">
        <v>1.2923725062374998</v>
      </c>
      <c r="B10">
        <v>0.31466343811630909</v>
      </c>
      <c r="C10">
        <f t="shared" si="0"/>
        <v>0.33870832435852638</v>
      </c>
      <c r="D10">
        <f t="shared" si="1"/>
        <v>-2.4044886242217289E-2</v>
      </c>
      <c r="E10">
        <f t="shared" si="2"/>
        <v>5.7815655440117029E-4</v>
      </c>
    </row>
    <row r="11" spans="1:8" x14ac:dyDescent="0.25">
      <c r="A11">
        <v>1.4283841402625002</v>
      </c>
      <c r="B11">
        <v>0.2532093452095997</v>
      </c>
      <c r="C11">
        <f t="shared" si="0"/>
        <v>0.29383812765179906</v>
      </c>
      <c r="D11">
        <f t="shared" si="1"/>
        <v>-4.0628782442199363E-2</v>
      </c>
      <c r="E11">
        <f t="shared" si="2"/>
        <v>1.6506979627355673E-3</v>
      </c>
    </row>
    <row r="12" spans="1:8" x14ac:dyDescent="0.25">
      <c r="A12">
        <v>1.5643957742875001</v>
      </c>
      <c r="B12">
        <v>0.23149248531023622</v>
      </c>
      <c r="C12">
        <f t="shared" si="0"/>
        <v>0.25348128924790764</v>
      </c>
      <c r="D12">
        <f t="shared" si="1"/>
        <v>-2.1988803937671414E-2</v>
      </c>
      <c r="E12">
        <f t="shared" si="2"/>
        <v>4.8350749860935388E-4</v>
      </c>
    </row>
    <row r="13" spans="1:8" x14ac:dyDescent="0.25">
      <c r="A13">
        <v>1.7004074083125</v>
      </c>
      <c r="B13">
        <v>0.21901684238932528</v>
      </c>
      <c r="C13">
        <f t="shared" si="0"/>
        <v>0.21756743454780172</v>
      </c>
      <c r="D13">
        <f t="shared" si="1"/>
        <v>1.4494078415235589E-3</v>
      </c>
      <c r="E13">
        <f t="shared" si="2"/>
        <v>2.1007830910699823E-6</v>
      </c>
    </row>
    <row r="14" spans="1:8" x14ac:dyDescent="0.25">
      <c r="A14">
        <v>1.8364190423375</v>
      </c>
      <c r="B14">
        <v>0.18805876551150927</v>
      </c>
      <c r="C14">
        <f t="shared" si="0"/>
        <v>0.18589050059532713</v>
      </c>
      <c r="D14">
        <f t="shared" si="1"/>
        <v>2.1682649161821332E-3</v>
      </c>
      <c r="E14">
        <f t="shared" si="2"/>
        <v>4.7013727467463136E-6</v>
      </c>
    </row>
    <row r="15" spans="1:8" x14ac:dyDescent="0.25">
      <c r="A15">
        <v>1.9724306763624999</v>
      </c>
      <c r="B15">
        <v>0.16172129712291952</v>
      </c>
      <c r="C15">
        <f t="shared" si="0"/>
        <v>0.15816278624851635</v>
      </c>
      <c r="D15">
        <f t="shared" si="1"/>
        <v>3.5585108744031757E-3</v>
      </c>
      <c r="E15">
        <f t="shared" si="2"/>
        <v>1.2662999643245654E-5</v>
      </c>
    </row>
    <row r="16" spans="1:8" x14ac:dyDescent="0.25">
      <c r="A16">
        <v>2.1084423103874999</v>
      </c>
      <c r="B16">
        <v>0.14693534995739543</v>
      </c>
      <c r="C16">
        <f t="shared" si="0"/>
        <v>0.13405282825276418</v>
      </c>
      <c r="D16">
        <f t="shared" si="1"/>
        <v>1.288252170463125E-2</v>
      </c>
      <c r="E16">
        <f t="shared" si="2"/>
        <v>1.6595936547029525E-4</v>
      </c>
    </row>
    <row r="17" spans="1:5" x14ac:dyDescent="0.25">
      <c r="A17">
        <v>2.2444539444125002</v>
      </c>
      <c r="B17">
        <v>0.11505315138173416</v>
      </c>
      <c r="C17">
        <f t="shared" si="0"/>
        <v>0.11321175546060813</v>
      </c>
      <c r="D17">
        <f t="shared" si="1"/>
        <v>1.8413959211260322E-3</v>
      </c>
      <c r="E17">
        <f t="shared" si="2"/>
        <v>3.3907389383395886E-6</v>
      </c>
    </row>
    <row r="18" spans="1:5" x14ac:dyDescent="0.25">
      <c r="A18">
        <v>2.3804655784374997</v>
      </c>
      <c r="B18">
        <v>0.10303956930974587</v>
      </c>
      <c r="C18">
        <f t="shared" si="0"/>
        <v>9.5291314757170065E-2</v>
      </c>
      <c r="D18">
        <f t="shared" si="1"/>
        <v>7.7482545525758006E-3</v>
      </c>
      <c r="E18">
        <f t="shared" si="2"/>
        <v>6.0035448611511624E-5</v>
      </c>
    </row>
    <row r="19" spans="1:5" x14ac:dyDescent="0.25">
      <c r="A19">
        <v>2.5164772124625001</v>
      </c>
      <c r="B19">
        <v>9.4260413180215941E-2</v>
      </c>
      <c r="C19">
        <f t="shared" si="0"/>
        <v>7.9955837168325633E-2</v>
      </c>
      <c r="D19">
        <f t="shared" si="1"/>
        <v>1.4304576011890308E-2</v>
      </c>
      <c r="E19">
        <f t="shared" si="2"/>
        <v>2.0462089487994763E-4</v>
      </c>
    </row>
    <row r="20" spans="1:5" x14ac:dyDescent="0.25">
      <c r="A20">
        <v>2.6524888464874996</v>
      </c>
      <c r="B20">
        <v>7.2081492431929836E-2</v>
      </c>
      <c r="C20">
        <f t="shared" si="0"/>
        <v>6.6889794362709892E-2</v>
      </c>
      <c r="D20">
        <f t="shared" si="1"/>
        <v>5.1916980692199438E-3</v>
      </c>
      <c r="E20">
        <f t="shared" si="2"/>
        <v>2.6953728841942092E-5</v>
      </c>
    </row>
    <row r="21" spans="1:5" x14ac:dyDescent="0.25">
      <c r="A21">
        <v>2.7885004805125</v>
      </c>
      <c r="B21">
        <v>6.699882309378094E-2</v>
      </c>
      <c r="C21">
        <f t="shared" si="0"/>
        <v>5.5802164732771914E-2</v>
      </c>
      <c r="D21">
        <f t="shared" si="1"/>
        <v>1.1196658361009026E-2</v>
      </c>
      <c r="E21">
        <f t="shared" si="2"/>
        <v>1.2536515845315333E-4</v>
      </c>
    </row>
    <row r="22" spans="1:5" x14ac:dyDescent="0.25">
      <c r="A22">
        <v>2.9245121145375004</v>
      </c>
      <c r="B22">
        <v>5.4523180172870007E-2</v>
      </c>
      <c r="C22">
        <f t="shared" si="0"/>
        <v>4.6428517812518028E-2</v>
      </c>
      <c r="D22">
        <f t="shared" si="1"/>
        <v>8.0946623603519799E-3</v>
      </c>
      <c r="E22">
        <f t="shared" si="2"/>
        <v>6.5523558728099082E-5</v>
      </c>
    </row>
    <row r="23" spans="1:5" x14ac:dyDescent="0.25">
      <c r="A23">
        <v>3.0605237485624999</v>
      </c>
      <c r="B23">
        <v>5.2212875928256873E-2</v>
      </c>
      <c r="C23">
        <f t="shared" si="0"/>
        <v>3.8531496808163215E-2</v>
      </c>
      <c r="D23">
        <f t="shared" si="1"/>
        <v>1.3681379120093658E-2</v>
      </c>
      <c r="E23">
        <f t="shared" si="2"/>
        <v>1.8718013462773469E-4</v>
      </c>
    </row>
    <row r="24" spans="1:5" x14ac:dyDescent="0.25">
      <c r="A24">
        <v>3.1965353825874994</v>
      </c>
      <c r="B24">
        <v>4.0661354705191194E-2</v>
      </c>
      <c r="C24">
        <f t="shared" si="0"/>
        <v>3.1900207286968199E-2</v>
      </c>
      <c r="D24">
        <f t="shared" si="1"/>
        <v>8.7611474182229948E-3</v>
      </c>
      <c r="E24">
        <f t="shared" si="2"/>
        <v>7.6757704083835448E-5</v>
      </c>
    </row>
    <row r="25" spans="1:5" x14ac:dyDescent="0.25">
      <c r="A25">
        <v>3.3325470166124997</v>
      </c>
      <c r="B25">
        <v>2.7723650935357631E-2</v>
      </c>
      <c r="C25">
        <f t="shared" si="0"/>
        <v>2.6348889901442768E-2</v>
      </c>
      <c r="D25">
        <f t="shared" si="1"/>
        <v>1.3747610339148626E-3</v>
      </c>
      <c r="E25">
        <f t="shared" si="2"/>
        <v>1.889967900370662E-6</v>
      </c>
    </row>
    <row r="26" spans="1:5" x14ac:dyDescent="0.25">
      <c r="A26">
        <v>3.4685586506375001</v>
      </c>
      <c r="B26">
        <v>2.4027164143976612E-2</v>
      </c>
      <c r="C26">
        <f t="shared" si="0"/>
        <v>2.1715155789812261E-2</v>
      </c>
      <c r="D26">
        <f t="shared" si="1"/>
        <v>2.3120083541643514E-3</v>
      </c>
      <c r="E26">
        <f t="shared" si="2"/>
        <v>5.3453826297257532E-6</v>
      </c>
    </row>
    <row r="27" spans="1:5" x14ac:dyDescent="0.25">
      <c r="A27">
        <v>3.6045702846624996</v>
      </c>
      <c r="B27">
        <v>2.0792738201518224E-2</v>
      </c>
      <c r="C27">
        <f t="shared" si="0"/>
        <v>1.7857987497645614E-2</v>
      </c>
      <c r="D27">
        <f t="shared" si="1"/>
        <v>2.9347507038726094E-3</v>
      </c>
      <c r="E27">
        <f t="shared" si="2"/>
        <v>8.612761693880776E-6</v>
      </c>
    </row>
    <row r="28" spans="1:5" x14ac:dyDescent="0.25">
      <c r="A28">
        <v>3.7405819186875</v>
      </c>
      <c r="B28">
        <v>1.5248008014446696E-2</v>
      </c>
      <c r="C28">
        <f t="shared" si="0"/>
        <v>1.4655650453785123E-2</v>
      </c>
      <c r="D28">
        <f t="shared" si="1"/>
        <v>5.9235756066157268E-4</v>
      </c>
      <c r="E28">
        <f t="shared" si="2"/>
        <v>3.5088747967292877E-7</v>
      </c>
    </row>
    <row r="29" spans="1:5" x14ac:dyDescent="0.25">
      <c r="A29">
        <v>3.8765935527124995</v>
      </c>
      <c r="B29">
        <v>1.3861825467678815E-2</v>
      </c>
      <c r="C29">
        <f t="shared" si="0"/>
        <v>1.2003616126225426E-2</v>
      </c>
      <c r="D29">
        <f t="shared" si="1"/>
        <v>1.8582093414533894E-3</v>
      </c>
      <c r="E29">
        <f t="shared" si="2"/>
        <v>3.4529419566646394E-6</v>
      </c>
    </row>
    <row r="30" spans="1:5" x14ac:dyDescent="0.25">
      <c r="A30">
        <v>4.0126051867374999</v>
      </c>
      <c r="B30">
        <v>1.0165338676297798E-2</v>
      </c>
      <c r="C30">
        <f t="shared" si="0"/>
        <v>9.8125648674892534E-3</v>
      </c>
      <c r="D30">
        <f t="shared" si="1"/>
        <v>3.5277380880854511E-4</v>
      </c>
      <c r="E30">
        <f t="shared" si="2"/>
        <v>1.2444936018128793E-7</v>
      </c>
    </row>
    <row r="31" spans="1:5" x14ac:dyDescent="0.25">
      <c r="A31">
        <v>4.1486168207625003</v>
      </c>
      <c r="B31">
        <v>8.3170952806072892E-3</v>
      </c>
      <c r="C31">
        <f t="shared" si="0"/>
        <v>8.0065117248430163E-3</v>
      </c>
      <c r="D31">
        <f t="shared" si="1"/>
        <v>3.1058355576427284E-4</v>
      </c>
      <c r="E31">
        <f t="shared" si="2"/>
        <v>9.6462145111179179E-8</v>
      </c>
    </row>
    <row r="32" spans="1:5" x14ac:dyDescent="0.25">
      <c r="A32">
        <v>4.2846284547874998</v>
      </c>
      <c r="B32">
        <v>5.5447301870715261E-3</v>
      </c>
      <c r="C32">
        <f t="shared" si="0"/>
        <v>6.521080255340414E-3</v>
      </c>
      <c r="D32">
        <f t="shared" si="1"/>
        <v>-9.763500682688879E-4</v>
      </c>
      <c r="E32">
        <f t="shared" si="2"/>
        <v>9.5325945580866207E-7</v>
      </c>
    </row>
    <row r="33" spans="1:5" x14ac:dyDescent="0.25">
      <c r="A33">
        <v>4.4206400888125001</v>
      </c>
      <c r="B33">
        <v>4.6206084892262715E-3</v>
      </c>
      <c r="C33">
        <f t="shared" si="0"/>
        <v>5.3019361692077643E-3</v>
      </c>
      <c r="D33">
        <f t="shared" si="1"/>
        <v>-6.8132767998149279E-4</v>
      </c>
      <c r="E33">
        <f t="shared" si="2"/>
        <v>4.6420740750896343E-7</v>
      </c>
    </row>
    <row r="34" spans="1:5" x14ac:dyDescent="0.25">
      <c r="A34">
        <v>4.5566517228374996</v>
      </c>
      <c r="B34">
        <v>4.6206084892262715E-3</v>
      </c>
      <c r="C34">
        <f t="shared" si="0"/>
        <v>4.3033832614201781E-3</v>
      </c>
      <c r="D34">
        <f t="shared" si="1"/>
        <v>3.1722522780609341E-4</v>
      </c>
      <c r="E34">
        <f t="shared" si="2"/>
        <v>1.0063184515662786E-7</v>
      </c>
    </row>
    <row r="35" spans="1:5" x14ac:dyDescent="0.25">
      <c r="A35">
        <v>4.6926633568625</v>
      </c>
      <c r="B35">
        <v>3.2344259424583904E-3</v>
      </c>
      <c r="C35">
        <f t="shared" si="0"/>
        <v>3.4871176617678758E-3</v>
      </c>
      <c r="D35">
        <f t="shared" si="1"/>
        <v>-2.5269171930948544E-4</v>
      </c>
      <c r="E35">
        <f t="shared" si="2"/>
        <v>6.385310500758377E-8</v>
      </c>
    </row>
    <row r="36" spans="1:5" x14ac:dyDescent="0.25">
      <c r="A36">
        <v>4.8286749908874995</v>
      </c>
      <c r="B36">
        <v>0</v>
      </c>
      <c r="C36">
        <f t="shared" si="0"/>
        <v>2.8211322160106725E-3</v>
      </c>
      <c r="D36">
        <f t="shared" si="1"/>
        <v>-2.8211322160106725E-3</v>
      </c>
      <c r="E36">
        <f t="shared" si="2"/>
        <v>7.9587869802132885E-6</v>
      </c>
    </row>
    <row r="37" spans="1:5" x14ac:dyDescent="0.25">
      <c r="A37">
        <v>4.964686624912499</v>
      </c>
      <c r="B37">
        <v>4.6206084892262716E-4</v>
      </c>
      <c r="C37">
        <f t="shared" si="0"/>
        <v>2.2787602392354825E-3</v>
      </c>
      <c r="D37">
        <f t="shared" si="1"/>
        <v>-1.8166993903128553E-3</v>
      </c>
      <c r="E37">
        <f t="shared" si="2"/>
        <v>3.3003966747631002E-6</v>
      </c>
    </row>
    <row r="38" spans="1:5" x14ac:dyDescent="0.25">
      <c r="A38">
        <v>5.1006982589375003</v>
      </c>
      <c r="B38">
        <v>4.6206084892262716E-4</v>
      </c>
      <c r="C38">
        <f t="shared" si="0"/>
        <v>1.8378465167056338E-3</v>
      </c>
      <c r="D38">
        <f t="shared" si="1"/>
        <v>-1.3757856677830067E-3</v>
      </c>
      <c r="E38">
        <f t="shared" si="2"/>
        <v>1.8927862036771335E-6</v>
      </c>
    </row>
    <row r="39" spans="1:5" x14ac:dyDescent="0.25">
      <c r="A39">
        <v>5.2367098929624998</v>
      </c>
      <c r="B39">
        <v>0</v>
      </c>
      <c r="C39">
        <f t="shared" si="0"/>
        <v>1.4800329265492788E-3</v>
      </c>
      <c r="D39">
        <f t="shared" si="1"/>
        <v>-1.4800329265492788E-3</v>
      </c>
      <c r="E39">
        <f t="shared" si="2"/>
        <v>2.1904974636700228E-6</v>
      </c>
    </row>
    <row r="40" spans="1:5" x14ac:dyDescent="0.25">
      <c r="A40">
        <v>5.3727215269874993</v>
      </c>
      <c r="B40">
        <v>1.3861825467678815E-3</v>
      </c>
      <c r="C40">
        <f t="shared" si="0"/>
        <v>1.1901461612307202E-3</v>
      </c>
      <c r="D40">
        <f t="shared" si="1"/>
        <v>1.9603638553716135E-4</v>
      </c>
      <c r="E40">
        <f t="shared" si="2"/>
        <v>3.8430264454474567E-8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FA32-7AF5-424F-AF78-56479E8B7FB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6.7073298575000009E-2</v>
      </c>
      <c r="B1">
        <v>0.52983843569367395</v>
      </c>
      <c r="C1">
        <f>$H$3*(1+$H$1)*(A1^($H$1))*EXP(-$H$3*(A1^(1+$H$1)))</f>
        <v>0.52844004584047011</v>
      </c>
      <c r="D1">
        <f>B1-C1</f>
        <v>1.3983898532038408E-3</v>
      </c>
      <c r="E1">
        <f>D1^2</f>
        <v>1.9554941815434594E-6</v>
      </c>
      <c r="G1" t="s">
        <v>0</v>
      </c>
      <c r="H1">
        <v>0.28090710015166809</v>
      </c>
    </row>
    <row r="2" spans="1:8" x14ac:dyDescent="0.25">
      <c r="A2">
        <v>0.19971581772500002</v>
      </c>
      <c r="B2">
        <v>0.59950413341010522</v>
      </c>
      <c r="C2">
        <f t="shared" ref="C2:C40" si="0">$H$3*(1+$H$1)*(A2^($H$1))*EXP(-$H$3*(A2^(1+$H$1)))</f>
        <v>0.65834088724165385</v>
      </c>
      <c r="D2">
        <f t="shared" ref="D2:D40" si="1">B2-C2</f>
        <v>-5.8836753831548627E-2</v>
      </c>
      <c r="E2">
        <f t="shared" ref="E2:E40" si="2">D2^2</f>
        <v>3.4617636014342519E-3</v>
      </c>
    </row>
    <row r="3" spans="1:8" x14ac:dyDescent="0.25">
      <c r="A3">
        <v>0.33235833687500005</v>
      </c>
      <c r="B3">
        <v>0.62888694469186524</v>
      </c>
      <c r="C3">
        <f t="shared" si="0"/>
        <v>0.68321989944822814</v>
      </c>
      <c r="D3">
        <f t="shared" si="1"/>
        <v>-5.4332954756362906E-2</v>
      </c>
      <c r="E3">
        <f t="shared" si="2"/>
        <v>2.9520699725569784E-3</v>
      </c>
      <c r="G3" t="s">
        <v>1</v>
      </c>
      <c r="H3">
        <f>(_xlfn.GAMMA((2+$H$1)/(1+$H$1)))^(1+$H$1)</f>
        <v>0.90671984188084442</v>
      </c>
    </row>
    <row r="4" spans="1:8" x14ac:dyDescent="0.25">
      <c r="A4">
        <v>0.46500085602500008</v>
      </c>
      <c r="B4">
        <v>0.81134472442537553</v>
      </c>
      <c r="C4">
        <f t="shared" si="0"/>
        <v>0.66666044245959877</v>
      </c>
      <c r="D4">
        <f t="shared" si="1"/>
        <v>0.14468428196577676</v>
      </c>
      <c r="E4">
        <f t="shared" si="2"/>
        <v>2.0933541447952394E-2</v>
      </c>
    </row>
    <row r="5" spans="1:8" x14ac:dyDescent="0.25">
      <c r="A5">
        <v>0.5976433751750001</v>
      </c>
      <c r="B5">
        <v>0.74736602244089789</v>
      </c>
      <c r="C5">
        <f t="shared" si="0"/>
        <v>0.62883135888891373</v>
      </c>
      <c r="D5">
        <f t="shared" si="1"/>
        <v>0.11853466355198417</v>
      </c>
      <c r="E5">
        <f t="shared" si="2"/>
        <v>1.4050466463382084E-2</v>
      </c>
      <c r="G5" t="s">
        <v>2</v>
      </c>
      <c r="H5">
        <f>SUM(E1:E40)</f>
        <v>5.4401820812265203E-2</v>
      </c>
    </row>
    <row r="6" spans="1:8" x14ac:dyDescent="0.25">
      <c r="A6">
        <v>0.73028589432500002</v>
      </c>
      <c r="B6">
        <v>0.5886040582571942</v>
      </c>
      <c r="C6">
        <f t="shared" si="0"/>
        <v>0.57992659695811444</v>
      </c>
      <c r="D6">
        <f t="shared" si="1"/>
        <v>8.6774612990797584E-3</v>
      </c>
      <c r="E6">
        <f t="shared" si="2"/>
        <v>7.5298334597026961E-5</v>
      </c>
    </row>
    <row r="7" spans="1:8" x14ac:dyDescent="0.25">
      <c r="A7">
        <v>0.86292841347499993</v>
      </c>
      <c r="B7">
        <v>0.47675980886210734</v>
      </c>
      <c r="C7">
        <f t="shared" si="0"/>
        <v>0.52599727884664904</v>
      </c>
      <c r="D7">
        <f t="shared" si="1"/>
        <v>-4.9237469984541704E-2</v>
      </c>
      <c r="E7">
        <f t="shared" si="2"/>
        <v>2.4243284504786452E-3</v>
      </c>
    </row>
    <row r="8" spans="1:8" x14ac:dyDescent="0.25">
      <c r="A8">
        <v>0.99557093262499996</v>
      </c>
      <c r="B8">
        <v>0.41752026998759106</v>
      </c>
      <c r="C8">
        <f t="shared" si="0"/>
        <v>0.47086718846373665</v>
      </c>
      <c r="D8">
        <f t="shared" si="1"/>
        <v>-5.3346918476145588E-2</v>
      </c>
      <c r="E8">
        <f t="shared" si="2"/>
        <v>2.8458937109005237E-3</v>
      </c>
    </row>
    <row r="9" spans="1:8" x14ac:dyDescent="0.25">
      <c r="A9">
        <v>1.128213451775</v>
      </c>
      <c r="B9">
        <v>0.39003312394981549</v>
      </c>
      <c r="C9">
        <f t="shared" si="0"/>
        <v>0.4169873665238012</v>
      </c>
      <c r="D9">
        <f t="shared" si="1"/>
        <v>-2.6954242573985709E-2</v>
      </c>
      <c r="E9">
        <f t="shared" si="2"/>
        <v>7.2653119273726374E-4</v>
      </c>
    </row>
    <row r="10" spans="1:8" x14ac:dyDescent="0.25">
      <c r="A10">
        <v>1.260855970925</v>
      </c>
      <c r="B10">
        <v>0.32036742623338427</v>
      </c>
      <c r="C10">
        <f t="shared" si="0"/>
        <v>0.36589822294728763</v>
      </c>
      <c r="D10">
        <f t="shared" si="1"/>
        <v>-4.5530796713903365E-2</v>
      </c>
      <c r="E10">
        <f t="shared" si="2"/>
        <v>2.0730534494027937E-3</v>
      </c>
    </row>
    <row r="11" spans="1:8" x14ac:dyDescent="0.25">
      <c r="A11">
        <v>1.3934984900750003</v>
      </c>
      <c r="B11">
        <v>0.28482370290867448</v>
      </c>
      <c r="C11">
        <f t="shared" si="0"/>
        <v>0.3185132126735411</v>
      </c>
      <c r="D11">
        <f t="shared" si="1"/>
        <v>-3.3689509764866621E-2</v>
      </c>
      <c r="E11">
        <f t="shared" si="2"/>
        <v>1.1349830681970435E-3</v>
      </c>
    </row>
    <row r="12" spans="1:8" x14ac:dyDescent="0.25">
      <c r="A12">
        <v>1.5261410092250003</v>
      </c>
      <c r="B12">
        <v>0.22747982927814267</v>
      </c>
      <c r="C12">
        <f t="shared" si="0"/>
        <v>0.27530789714200649</v>
      </c>
      <c r="D12">
        <f t="shared" si="1"/>
        <v>-4.7828067863863816E-2</v>
      </c>
      <c r="E12">
        <f t="shared" si="2"/>
        <v>2.2875240755903625E-3</v>
      </c>
    </row>
    <row r="13" spans="1:8" x14ac:dyDescent="0.25">
      <c r="A13">
        <v>1.6587835283750001</v>
      </c>
      <c r="B13">
        <v>0.23174507607710784</v>
      </c>
      <c r="C13">
        <f t="shared" si="0"/>
        <v>0.23645253254772147</v>
      </c>
      <c r="D13">
        <f t="shared" si="1"/>
        <v>-4.7074564706136302E-3</v>
      </c>
      <c r="E13">
        <f t="shared" si="2"/>
        <v>2.2160146422722137E-5</v>
      </c>
    </row>
    <row r="14" spans="1:8" x14ac:dyDescent="0.25">
      <c r="A14">
        <v>1.7914260475249999</v>
      </c>
      <c r="B14">
        <v>0.19288393857542516</v>
      </c>
      <c r="C14">
        <f t="shared" si="0"/>
        <v>0.20190781531387686</v>
      </c>
      <c r="D14">
        <f t="shared" si="1"/>
        <v>-9.0238767384517027E-3</v>
      </c>
      <c r="E14">
        <f t="shared" si="2"/>
        <v>8.1430351390769738E-5</v>
      </c>
    </row>
    <row r="15" spans="1:8" x14ac:dyDescent="0.25">
      <c r="A15">
        <v>1.9240685666749999</v>
      </c>
      <c r="B15">
        <v>0.16207937836067665</v>
      </c>
      <c r="C15">
        <f t="shared" si="0"/>
        <v>0.17149501535446757</v>
      </c>
      <c r="D15">
        <f t="shared" si="1"/>
        <v>-9.4156369937909157E-3</v>
      </c>
      <c r="E15">
        <f t="shared" si="2"/>
        <v>8.8654219998844034E-5</v>
      </c>
    </row>
    <row r="16" spans="1:8" x14ac:dyDescent="0.25">
      <c r="A16">
        <v>2.056711085825</v>
      </c>
      <c r="B16">
        <v>0.15591846631772696</v>
      </c>
      <c r="C16">
        <f t="shared" si="0"/>
        <v>0.14494752885446591</v>
      </c>
      <c r="D16">
        <f t="shared" si="1"/>
        <v>1.0970937463261055E-2</v>
      </c>
      <c r="E16">
        <f t="shared" si="2"/>
        <v>1.203614688227849E-4</v>
      </c>
    </row>
    <row r="17" spans="1:5" x14ac:dyDescent="0.25">
      <c r="A17">
        <v>2.189353604975</v>
      </c>
      <c r="B17">
        <v>0.11610949619405199</v>
      </c>
      <c r="C17">
        <f t="shared" si="0"/>
        <v>0.12194858962601429</v>
      </c>
      <c r="D17">
        <f t="shared" si="1"/>
        <v>-5.8390934319623028E-3</v>
      </c>
      <c r="E17">
        <f t="shared" si="2"/>
        <v>3.4095012107185302E-5</v>
      </c>
    </row>
    <row r="18" spans="1:5" x14ac:dyDescent="0.25">
      <c r="A18">
        <v>2.321996124125</v>
      </c>
      <c r="B18">
        <v>0.10283983948616034</v>
      </c>
      <c r="C18">
        <f t="shared" si="0"/>
        <v>0.1021585178803958</v>
      </c>
      <c r="D18">
        <f t="shared" si="1"/>
        <v>6.8132160576453438E-4</v>
      </c>
      <c r="E18">
        <f t="shared" si="2"/>
        <v>4.641991304815636E-7</v>
      </c>
    </row>
    <row r="19" spans="1:5" x14ac:dyDescent="0.25">
      <c r="A19">
        <v>2.454638643275</v>
      </c>
      <c r="B19">
        <v>0.1037876721081526</v>
      </c>
      <c r="C19">
        <f t="shared" si="0"/>
        <v>8.5234013862681118E-2</v>
      </c>
      <c r="D19">
        <f t="shared" si="1"/>
        <v>1.8553658245471477E-2</v>
      </c>
      <c r="E19">
        <f t="shared" si="2"/>
        <v>3.4423823428975174E-4</v>
      </c>
    </row>
    <row r="20" spans="1:5" x14ac:dyDescent="0.25">
      <c r="A20">
        <v>2.5872811624250001</v>
      </c>
      <c r="B20">
        <v>7.1087446649419586E-2</v>
      </c>
      <c r="C20">
        <f t="shared" si="0"/>
        <v>7.0841406731625034E-2</v>
      </c>
      <c r="D20">
        <f t="shared" si="1"/>
        <v>2.4603991779455214E-4</v>
      </c>
      <c r="E20">
        <f t="shared" si="2"/>
        <v>6.0535641148349974E-8</v>
      </c>
    </row>
    <row r="21" spans="1:5" x14ac:dyDescent="0.25">
      <c r="A21">
        <v>2.7199236815750001</v>
      </c>
      <c r="B21">
        <v>7.2035279271411845E-2</v>
      </c>
      <c r="C21">
        <f t="shared" si="0"/>
        <v>5.8665336996636487E-2</v>
      </c>
      <c r="D21">
        <f t="shared" si="1"/>
        <v>1.3369942274775358E-2</v>
      </c>
      <c r="E21">
        <f t="shared" si="2"/>
        <v>1.7875535643082526E-4</v>
      </c>
    </row>
    <row r="22" spans="1:5" x14ac:dyDescent="0.25">
      <c r="A22">
        <v>2.8525662007250006</v>
      </c>
      <c r="B22">
        <v>6.0661287807504717E-2</v>
      </c>
      <c r="C22">
        <f t="shared" si="0"/>
        <v>4.8414025110140382E-2</v>
      </c>
      <c r="D22">
        <f t="shared" si="1"/>
        <v>1.2247262697364335E-2</v>
      </c>
      <c r="E22">
        <f t="shared" si="2"/>
        <v>1.4999544357825192E-4</v>
      </c>
    </row>
    <row r="23" spans="1:5" x14ac:dyDescent="0.25">
      <c r="A23">
        <v>2.9852087198750006</v>
      </c>
      <c r="B23">
        <v>5.497429207555115E-2</v>
      </c>
      <c r="C23">
        <f t="shared" si="0"/>
        <v>3.9822026295071471E-2</v>
      </c>
      <c r="D23">
        <f t="shared" si="1"/>
        <v>1.5152265780479679E-2</v>
      </c>
      <c r="E23">
        <f t="shared" si="2"/>
        <v>2.2959115828229546E-4</v>
      </c>
    </row>
    <row r="24" spans="1:5" x14ac:dyDescent="0.25">
      <c r="A24">
        <v>3.1178512390250002</v>
      </c>
      <c r="B24">
        <v>4.1230719056663361E-2</v>
      </c>
      <c r="C24">
        <f t="shared" si="0"/>
        <v>3.2651172480243774E-2</v>
      </c>
      <c r="D24">
        <f t="shared" si="1"/>
        <v>8.5795465764195861E-3</v>
      </c>
      <c r="E24">
        <f t="shared" si="2"/>
        <v>7.3608619456953035E-5</v>
      </c>
    </row>
    <row r="25" spans="1:5" x14ac:dyDescent="0.25">
      <c r="A25">
        <v>3.2504937581750002</v>
      </c>
      <c r="B25">
        <v>3.2700225458733009E-2</v>
      </c>
      <c r="C25">
        <f t="shared" si="0"/>
        <v>2.6690243612091231E-2</v>
      </c>
      <c r="D25">
        <f t="shared" si="1"/>
        <v>6.0099818466417786E-3</v>
      </c>
      <c r="E25">
        <f t="shared" si="2"/>
        <v>3.6119881796963719E-5</v>
      </c>
    </row>
    <row r="26" spans="1:5" x14ac:dyDescent="0.25">
      <c r="A26">
        <v>3.3831362773250002</v>
      </c>
      <c r="B26">
        <v>2.4169731860802658E-2</v>
      </c>
      <c r="C26">
        <f t="shared" si="0"/>
        <v>2.1753783932154647E-2</v>
      </c>
      <c r="D26">
        <f t="shared" si="1"/>
        <v>2.4159479286480108E-3</v>
      </c>
      <c r="E26">
        <f t="shared" si="2"/>
        <v>5.8368043939386141E-6</v>
      </c>
    </row>
    <row r="27" spans="1:5" x14ac:dyDescent="0.25">
      <c r="A27">
        <v>3.5157787964750002</v>
      </c>
      <c r="B27">
        <v>2.3221899238810399E-2</v>
      </c>
      <c r="C27">
        <f t="shared" si="0"/>
        <v>1.7680377751832954E-2</v>
      </c>
      <c r="D27">
        <f t="shared" si="1"/>
        <v>5.5415214869774451E-3</v>
      </c>
      <c r="E27">
        <f t="shared" si="2"/>
        <v>3.0708460390632713E-5</v>
      </c>
    </row>
    <row r="28" spans="1:5" x14ac:dyDescent="0.25">
      <c r="A28">
        <v>3.6484213156249998</v>
      </c>
      <c r="B28">
        <v>1.4217489329883917E-2</v>
      </c>
      <c r="C28">
        <f t="shared" si="0"/>
        <v>1.4330618995907098E-2</v>
      </c>
      <c r="D28">
        <f t="shared" si="1"/>
        <v>-1.1312966602318106E-4</v>
      </c>
      <c r="E28">
        <f t="shared" si="2"/>
        <v>1.2798321334516486E-8</v>
      </c>
    </row>
    <row r="29" spans="1:5" x14ac:dyDescent="0.25">
      <c r="A29">
        <v>3.7810638347749999</v>
      </c>
      <c r="B29">
        <v>1.611315457386844E-2</v>
      </c>
      <c r="C29">
        <f t="shared" si="0"/>
        <v>1.1584945487956936E-2</v>
      </c>
      <c r="D29">
        <f t="shared" si="1"/>
        <v>4.5282090859115037E-3</v>
      </c>
      <c r="E29">
        <f t="shared" si="2"/>
        <v>2.0504677525731494E-5</v>
      </c>
    </row>
    <row r="30" spans="1:5" x14ac:dyDescent="0.25">
      <c r="A30">
        <v>3.9137063539249999</v>
      </c>
      <c r="B30">
        <v>7.5826609759380896E-3</v>
      </c>
      <c r="C30">
        <f t="shared" si="0"/>
        <v>9.3414594839617508E-3</v>
      </c>
      <c r="D30">
        <f t="shared" si="1"/>
        <v>-1.7587985080236611E-3</v>
      </c>
      <c r="E30">
        <f t="shared" si="2"/>
        <v>3.0933721918262564E-6</v>
      </c>
    </row>
    <row r="31" spans="1:5" x14ac:dyDescent="0.25">
      <c r="A31">
        <v>4.0463488730749999</v>
      </c>
      <c r="B31">
        <v>1.0426158841914872E-2</v>
      </c>
      <c r="C31">
        <f t="shared" si="0"/>
        <v>7.5138177335644287E-3</v>
      </c>
      <c r="D31">
        <f t="shared" si="1"/>
        <v>2.9123411083504438E-3</v>
      </c>
      <c r="E31">
        <f t="shared" si="2"/>
        <v>8.4817307313878905E-6</v>
      </c>
    </row>
    <row r="32" spans="1:5" x14ac:dyDescent="0.25">
      <c r="A32">
        <v>4.1789913922249999</v>
      </c>
      <c r="B32">
        <v>6.6348283539458281E-3</v>
      </c>
      <c r="C32">
        <f t="shared" si="0"/>
        <v>6.0292452021306611E-3</v>
      </c>
      <c r="D32">
        <f t="shared" si="1"/>
        <v>6.0558315181516702E-4</v>
      </c>
      <c r="E32">
        <f t="shared" si="2"/>
        <v>3.6673095376239161E-7</v>
      </c>
    </row>
    <row r="33" spans="1:5" x14ac:dyDescent="0.25">
      <c r="A33">
        <v>4.311633911375</v>
      </c>
      <c r="B33">
        <v>4.2652467989651756E-3</v>
      </c>
      <c r="C33">
        <f t="shared" si="0"/>
        <v>4.8267047199188409E-3</v>
      </c>
      <c r="D33">
        <f t="shared" si="1"/>
        <v>-5.6145792095366534E-4</v>
      </c>
      <c r="E33">
        <f t="shared" si="2"/>
        <v>3.1523499700161229E-7</v>
      </c>
    </row>
    <row r="34" spans="1:5" x14ac:dyDescent="0.25">
      <c r="A34">
        <v>4.444276430525</v>
      </c>
      <c r="B34">
        <v>4.2652467989651756E-3</v>
      </c>
      <c r="C34">
        <f t="shared" si="0"/>
        <v>3.8552387401693967E-3</v>
      </c>
      <c r="D34">
        <f t="shared" si="1"/>
        <v>4.1000805879577891E-4</v>
      </c>
      <c r="E34">
        <f t="shared" si="2"/>
        <v>1.681066082774829E-7</v>
      </c>
    </row>
    <row r="35" spans="1:5" x14ac:dyDescent="0.25">
      <c r="A35">
        <v>4.576918949675</v>
      </c>
      <c r="B35">
        <v>3.3174141769729141E-3</v>
      </c>
      <c r="C35">
        <f t="shared" si="0"/>
        <v>3.0724878480049393E-3</v>
      </c>
      <c r="D35">
        <f t="shared" si="1"/>
        <v>2.4492632896797473E-4</v>
      </c>
      <c r="E35">
        <f t="shared" si="2"/>
        <v>5.9988906621728574E-8</v>
      </c>
    </row>
    <row r="36" spans="1:5" x14ac:dyDescent="0.25">
      <c r="A36">
        <v>4.709561468825</v>
      </c>
      <c r="B36">
        <v>1.8956652439845224E-3</v>
      </c>
      <c r="C36">
        <f t="shared" si="0"/>
        <v>2.4433826510230246E-3</v>
      </c>
      <c r="D36">
        <f t="shared" si="1"/>
        <v>-5.4771740703850216E-4</v>
      </c>
      <c r="E36">
        <f t="shared" si="2"/>
        <v>2.9999435797298024E-7</v>
      </c>
    </row>
    <row r="37" spans="1:5" x14ac:dyDescent="0.25">
      <c r="A37">
        <v>4.8422039879750001</v>
      </c>
      <c r="B37">
        <v>9.478326219922612E-4</v>
      </c>
      <c r="C37">
        <f t="shared" si="0"/>
        <v>1.9390003740408742E-3</v>
      </c>
      <c r="D37">
        <f t="shared" si="1"/>
        <v>-9.9116775204861288E-4</v>
      </c>
      <c r="E37">
        <f t="shared" si="2"/>
        <v>9.8241351270110061E-7</v>
      </c>
    </row>
    <row r="38" spans="1:5" x14ac:dyDescent="0.25">
      <c r="A38">
        <v>4.9748465071250001</v>
      </c>
      <c r="B38">
        <v>0</v>
      </c>
      <c r="C38">
        <f t="shared" si="0"/>
        <v>1.5355742087663567E-3</v>
      </c>
      <c r="D38">
        <f t="shared" si="1"/>
        <v>-1.5355742087663567E-3</v>
      </c>
      <c r="E38">
        <f t="shared" si="2"/>
        <v>2.3579881506284223E-6</v>
      </c>
    </row>
    <row r="39" spans="1:5" x14ac:dyDescent="0.25">
      <c r="A39">
        <v>5.1074890262750001</v>
      </c>
      <c r="B39">
        <v>0</v>
      </c>
      <c r="C39">
        <f t="shared" si="0"/>
        <v>1.2136417032792507E-3</v>
      </c>
      <c r="D39">
        <f t="shared" si="1"/>
        <v>-1.2136417032792507E-3</v>
      </c>
      <c r="E39">
        <f t="shared" si="2"/>
        <v>1.4729261839385609E-6</v>
      </c>
    </row>
    <row r="40" spans="1:5" x14ac:dyDescent="0.25">
      <c r="A40">
        <v>5.2401315454250001</v>
      </c>
      <c r="B40">
        <v>1.4217489329883916E-3</v>
      </c>
      <c r="C40">
        <f t="shared" si="0"/>
        <v>9.5731779755235007E-4</v>
      </c>
      <c r="D40">
        <f t="shared" si="1"/>
        <v>4.6443113543604157E-4</v>
      </c>
      <c r="E40">
        <f t="shared" si="2"/>
        <v>2.156962795624108E-7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FF9A-62B4-436B-8FAB-A2FF7F44B2B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6.7530449162500006E-2</v>
      </c>
      <c r="B1">
        <v>0.49357406431875483</v>
      </c>
      <c r="C1">
        <f>$H$3*(1+$H$1)*(A1^($H$1))*EXP(-$H$3*(A1^(1+$H$1)))</f>
        <v>0.48561477755775523</v>
      </c>
      <c r="D1">
        <f>B1-C1</f>
        <v>7.9592867609996065E-3</v>
      </c>
      <c r="E1">
        <f>D1^2</f>
        <v>6.3350245743823614E-5</v>
      </c>
      <c r="G1" t="s">
        <v>0</v>
      </c>
      <c r="H1">
        <v>0.32142490707916016</v>
      </c>
    </row>
    <row r="2" spans="1:8" x14ac:dyDescent="0.25">
      <c r="A2">
        <v>0.1970227214875</v>
      </c>
      <c r="B2">
        <v>0.61344898456136299</v>
      </c>
      <c r="C2">
        <f t="shared" ref="C2:C40" si="0">$H$3*(1+$H$1)*(A2^($H$1))*EXP(-$H$3*(A2^(1+$H$1)))</f>
        <v>0.63286208330824156</v>
      </c>
      <c r="D2">
        <f t="shared" ref="D2:D40" si="1">B2-C2</f>
        <v>-1.9413098746878577E-2</v>
      </c>
      <c r="E2">
        <f t="shared" ref="E2:E40" si="2">D2^2</f>
        <v>3.7686840295605853E-4</v>
      </c>
    </row>
    <row r="3" spans="1:8" x14ac:dyDescent="0.25">
      <c r="A3">
        <v>0.32651499381250004</v>
      </c>
      <c r="B3">
        <v>0.6056838075415989</v>
      </c>
      <c r="C3">
        <f t="shared" si="0"/>
        <v>0.6739397982647517</v>
      </c>
      <c r="D3">
        <f t="shared" si="1"/>
        <v>-6.8255990723152804E-2</v>
      </c>
      <c r="E3">
        <f t="shared" si="2"/>
        <v>4.6588802695991215E-3</v>
      </c>
      <c r="G3" t="s">
        <v>1</v>
      </c>
      <c r="H3">
        <f>(_xlfn.GAMMA((2+$H$1)/(1+$H$1)))^(1+$H$1)</f>
        <v>0.89646460921825832</v>
      </c>
    </row>
    <row r="4" spans="1:8" x14ac:dyDescent="0.25">
      <c r="A4">
        <v>0.45600726613749998</v>
      </c>
      <c r="B4">
        <v>0.67217313577332882</v>
      </c>
      <c r="C4">
        <f t="shared" si="0"/>
        <v>0.66992431314329737</v>
      </c>
      <c r="D4">
        <f t="shared" si="1"/>
        <v>2.2488226300314551E-3</v>
      </c>
      <c r="E4">
        <f t="shared" si="2"/>
        <v>5.0572032213415908E-6</v>
      </c>
    </row>
    <row r="5" spans="1:8" x14ac:dyDescent="0.25">
      <c r="A5">
        <v>0.58549953846250002</v>
      </c>
      <c r="B5">
        <v>0.79398935027087802</v>
      </c>
      <c r="C5">
        <f t="shared" si="0"/>
        <v>0.64110981918795029</v>
      </c>
      <c r="D5">
        <f t="shared" si="1"/>
        <v>0.15287953108292773</v>
      </c>
      <c r="E5">
        <f t="shared" si="2"/>
        <v>2.3372151024135868E-2</v>
      </c>
      <c r="G5" t="s">
        <v>2</v>
      </c>
      <c r="H5">
        <f>SUM(E1:E40)</f>
        <v>5.1004620315625054E-2</v>
      </c>
    </row>
    <row r="6" spans="1:8" x14ac:dyDescent="0.25">
      <c r="A6">
        <v>0.71499181078750007</v>
      </c>
      <c r="B6">
        <v>0.6998365789062384</v>
      </c>
      <c r="C6">
        <f t="shared" si="0"/>
        <v>0.5981805451181309</v>
      </c>
      <c r="D6">
        <f t="shared" si="1"/>
        <v>0.1016560337881075</v>
      </c>
      <c r="E6">
        <f t="shared" si="2"/>
        <v>1.0333949205528855E-2</v>
      </c>
    </row>
    <row r="7" spans="1:8" x14ac:dyDescent="0.25">
      <c r="A7">
        <v>0.84448408311250001</v>
      </c>
      <c r="B7">
        <v>0.5207521838879291</v>
      </c>
      <c r="C7">
        <f t="shared" si="0"/>
        <v>0.54775190830381271</v>
      </c>
      <c r="D7">
        <f t="shared" si="1"/>
        <v>-2.6999724415883608E-2</v>
      </c>
      <c r="E7">
        <f t="shared" si="2"/>
        <v>7.2898511853366143E-4</v>
      </c>
    </row>
    <row r="8" spans="1:8" x14ac:dyDescent="0.25">
      <c r="A8">
        <v>0.97397635543750005</v>
      </c>
      <c r="B8">
        <v>0.45766012060234595</v>
      </c>
      <c r="C8">
        <f t="shared" si="0"/>
        <v>0.49419373203748307</v>
      </c>
      <c r="D8">
        <f t="shared" si="1"/>
        <v>-3.6533611435137114E-2</v>
      </c>
      <c r="E8">
        <f t="shared" si="2"/>
        <v>1.3347047644935814E-3</v>
      </c>
    </row>
    <row r="9" spans="1:8" x14ac:dyDescent="0.25">
      <c r="A9">
        <v>1.1034686277625001</v>
      </c>
      <c r="B9">
        <v>0.40815711710134989</v>
      </c>
      <c r="C9">
        <f t="shared" si="0"/>
        <v>0.44044667106302365</v>
      </c>
      <c r="D9">
        <f t="shared" si="1"/>
        <v>-3.2289553961673767E-2</v>
      </c>
      <c r="E9">
        <f t="shared" si="2"/>
        <v>1.042615295043842E-3</v>
      </c>
    </row>
    <row r="10" spans="1:8" x14ac:dyDescent="0.25">
      <c r="A10">
        <v>1.2329609000874999</v>
      </c>
      <c r="B10">
        <v>0.33293196472238529</v>
      </c>
      <c r="C10">
        <f t="shared" si="0"/>
        <v>0.38846927079102095</v>
      </c>
      <c r="D10">
        <f t="shared" si="1"/>
        <v>-5.5537306068635661E-2</v>
      </c>
      <c r="E10">
        <f t="shared" si="2"/>
        <v>3.0843923653613155E-3</v>
      </c>
    </row>
    <row r="11" spans="1:8" x14ac:dyDescent="0.25">
      <c r="A11">
        <v>1.3624531724125002</v>
      </c>
      <c r="B11">
        <v>0.30187125664332892</v>
      </c>
      <c r="C11">
        <f t="shared" si="0"/>
        <v>0.33951864877260718</v>
      </c>
      <c r="D11">
        <f t="shared" si="1"/>
        <v>-3.7647392129278257E-2</v>
      </c>
      <c r="E11">
        <f t="shared" si="2"/>
        <v>1.4173261341356425E-3</v>
      </c>
    </row>
    <row r="12" spans="1:8" x14ac:dyDescent="0.25">
      <c r="A12">
        <v>1.4919454447375</v>
      </c>
      <c r="B12">
        <v>0.24217645830389251</v>
      </c>
      <c r="C12">
        <f t="shared" si="0"/>
        <v>0.29434322135204355</v>
      </c>
      <c r="D12">
        <f t="shared" si="1"/>
        <v>-5.2166763048151044E-2</v>
      </c>
      <c r="E12">
        <f t="shared" si="2"/>
        <v>2.721371166921937E-3</v>
      </c>
    </row>
    <row r="13" spans="1:8" x14ac:dyDescent="0.25">
      <c r="A13">
        <v>1.6214377170625003</v>
      </c>
      <c r="B13">
        <v>0.22616078070062906</v>
      </c>
      <c r="C13">
        <f t="shared" si="0"/>
        <v>0.2533224965360058</v>
      </c>
      <c r="D13">
        <f t="shared" si="1"/>
        <v>-2.7161715835376743E-2</v>
      </c>
      <c r="E13">
        <f t="shared" si="2"/>
        <v>7.3775880712175575E-4</v>
      </c>
    </row>
    <row r="14" spans="1:8" x14ac:dyDescent="0.25">
      <c r="A14">
        <v>1.7509299893875001</v>
      </c>
      <c r="B14">
        <v>0.21014510309736564</v>
      </c>
      <c r="C14">
        <f t="shared" si="0"/>
        <v>0.21657162414284009</v>
      </c>
      <c r="D14">
        <f t="shared" si="1"/>
        <v>-6.4265210454744481E-3</v>
      </c>
      <c r="E14">
        <f t="shared" si="2"/>
        <v>4.1300172747925991E-5</v>
      </c>
    </row>
    <row r="15" spans="1:8" x14ac:dyDescent="0.25">
      <c r="A15">
        <v>1.8804222617125002</v>
      </c>
      <c r="B15">
        <v>0.17277518868975095</v>
      </c>
      <c r="C15">
        <f t="shared" si="0"/>
        <v>0.18402070980328675</v>
      </c>
      <c r="D15">
        <f t="shared" si="1"/>
        <v>-1.12455211135358E-2</v>
      </c>
      <c r="E15">
        <f t="shared" si="2"/>
        <v>1.2646174511497948E-4</v>
      </c>
    </row>
    <row r="16" spans="1:8" x14ac:dyDescent="0.25">
      <c r="A16">
        <v>2.0099145340375002</v>
      </c>
      <c r="B16">
        <v>0.15870080534142855</v>
      </c>
      <c r="C16">
        <f t="shared" si="0"/>
        <v>0.15547517118852147</v>
      </c>
      <c r="D16">
        <f t="shared" si="1"/>
        <v>3.2256341529070809E-3</v>
      </c>
      <c r="E16">
        <f t="shared" si="2"/>
        <v>1.0404715688400581E-5</v>
      </c>
    </row>
    <row r="17" spans="1:5" x14ac:dyDescent="0.25">
      <c r="A17">
        <v>2.1394068063625005</v>
      </c>
      <c r="B17">
        <v>0.12084556737007862</v>
      </c>
      <c r="C17">
        <f t="shared" si="0"/>
        <v>0.13066144245338632</v>
      </c>
      <c r="D17">
        <f t="shared" si="1"/>
        <v>-9.8158750833076958E-3</v>
      </c>
      <c r="E17">
        <f t="shared" si="2"/>
        <v>9.6351403651100866E-5</v>
      </c>
    </row>
    <row r="18" spans="1:5" x14ac:dyDescent="0.25">
      <c r="A18">
        <v>2.2688990786875003</v>
      </c>
      <c r="B18">
        <v>0.1155070081689908</v>
      </c>
      <c r="C18">
        <f t="shared" si="0"/>
        <v>0.1092611913637877</v>
      </c>
      <c r="D18">
        <f t="shared" si="1"/>
        <v>6.2458168052030999E-3</v>
      </c>
      <c r="E18">
        <f t="shared" si="2"/>
        <v>3.901022756415746E-5</v>
      </c>
    </row>
    <row r="19" spans="1:5" x14ac:dyDescent="0.25">
      <c r="A19">
        <v>2.3983913510125001</v>
      </c>
      <c r="B19">
        <v>0.10288859551187417</v>
      </c>
      <c r="C19">
        <f t="shared" si="0"/>
        <v>9.0936488851081201E-2</v>
      </c>
      <c r="D19">
        <f t="shared" si="1"/>
        <v>1.1952106660792966E-2</v>
      </c>
      <c r="E19">
        <f t="shared" si="2"/>
        <v>1.4285285363097158E-4</v>
      </c>
    </row>
    <row r="20" spans="1:5" x14ac:dyDescent="0.25">
      <c r="A20">
        <v>2.5278836233374999</v>
      </c>
      <c r="B20">
        <v>7.7166446633905622E-2</v>
      </c>
      <c r="C20">
        <f t="shared" si="0"/>
        <v>7.5347868324444289E-2</v>
      </c>
      <c r="D20">
        <f t="shared" si="1"/>
        <v>1.8185783094613328E-3</v>
      </c>
      <c r="E20">
        <f t="shared" si="2"/>
        <v>3.3072270676432393E-6</v>
      </c>
    </row>
    <row r="21" spans="1:5" x14ac:dyDescent="0.25">
      <c r="A21">
        <v>2.6573758956625007</v>
      </c>
      <c r="B21">
        <v>7.4739828815229351E-2</v>
      </c>
      <c r="C21">
        <f t="shared" si="0"/>
        <v>6.2166837139400764E-2</v>
      </c>
      <c r="D21">
        <f t="shared" si="1"/>
        <v>1.2572991675828586E-2</v>
      </c>
      <c r="E21">
        <f t="shared" si="2"/>
        <v>1.5808011968045492E-4</v>
      </c>
    </row>
    <row r="22" spans="1:5" x14ac:dyDescent="0.25">
      <c r="A22">
        <v>2.7868681679875005</v>
      </c>
      <c r="B22">
        <v>6.1150769030642191E-2</v>
      </c>
      <c r="C22">
        <f t="shared" si="0"/>
        <v>5.108410738020696E-2</v>
      </c>
      <c r="D22">
        <f t="shared" si="1"/>
        <v>1.0066661650435231E-2</v>
      </c>
      <c r="E22">
        <f t="shared" si="2"/>
        <v>1.0133767678434337E-4</v>
      </c>
    </row>
    <row r="23" spans="1:5" x14ac:dyDescent="0.25">
      <c r="A23">
        <v>2.9163604403125003</v>
      </c>
      <c r="B23">
        <v>5.4841562702083874E-2</v>
      </c>
      <c r="C23">
        <f t="shared" si="0"/>
        <v>4.1814572605251815E-2</v>
      </c>
      <c r="D23">
        <f t="shared" si="1"/>
        <v>1.3026990096832058E-2</v>
      </c>
      <c r="E23">
        <f t="shared" si="2"/>
        <v>1.6970247098296051E-4</v>
      </c>
    </row>
    <row r="24" spans="1:5" x14ac:dyDescent="0.25">
      <c r="A24">
        <v>3.0458527126375001</v>
      </c>
      <c r="B24">
        <v>4.3193797172437737E-2</v>
      </c>
      <c r="C24">
        <f t="shared" si="0"/>
        <v>3.4099857720913396E-2</v>
      </c>
      <c r="D24">
        <f t="shared" si="1"/>
        <v>9.093939451524341E-3</v>
      </c>
      <c r="E24">
        <f t="shared" si="2"/>
        <v>8.2699734747990831E-5</v>
      </c>
    </row>
    <row r="25" spans="1:5" x14ac:dyDescent="0.25">
      <c r="A25">
        <v>3.1753449849625004</v>
      </c>
      <c r="B25">
        <v>3.4457973025203141E-2</v>
      </c>
      <c r="C25">
        <f t="shared" si="0"/>
        <v>2.7709102571271491E-2</v>
      </c>
      <c r="D25">
        <f t="shared" si="1"/>
        <v>6.7488704539316498E-3</v>
      </c>
      <c r="E25">
        <f t="shared" si="2"/>
        <v>4.554725240395159E-5</v>
      </c>
    </row>
    <row r="26" spans="1:5" x14ac:dyDescent="0.25">
      <c r="A26">
        <v>3.3048372572875002</v>
      </c>
      <c r="B26">
        <v>2.6692796005439053E-2</v>
      </c>
      <c r="C26">
        <f t="shared" si="0"/>
        <v>2.2438500821786167E-2</v>
      </c>
      <c r="D26">
        <f t="shared" si="1"/>
        <v>4.2542951836528863E-3</v>
      </c>
      <c r="E26">
        <f t="shared" si="2"/>
        <v>1.8099027509652146E-5</v>
      </c>
    </row>
    <row r="27" spans="1:5" x14ac:dyDescent="0.25">
      <c r="A27">
        <v>3.4343295296125005</v>
      </c>
      <c r="B27">
        <v>2.475150175049803E-2</v>
      </c>
      <c r="C27">
        <f t="shared" si="0"/>
        <v>1.8110000334426023E-2</v>
      </c>
      <c r="D27">
        <f t="shared" si="1"/>
        <v>6.6415014160720078E-3</v>
      </c>
      <c r="E27">
        <f t="shared" si="2"/>
        <v>4.4109541059686482E-5</v>
      </c>
    </row>
    <row r="28" spans="1:5" x14ac:dyDescent="0.25">
      <c r="A28">
        <v>3.5638218019375003</v>
      </c>
      <c r="B28">
        <v>1.5530354039528176E-2</v>
      </c>
      <c r="C28">
        <f t="shared" si="0"/>
        <v>1.4569476266215657E-2</v>
      </c>
      <c r="D28">
        <f t="shared" si="1"/>
        <v>9.6087777331251879E-4</v>
      </c>
      <c r="E28">
        <f t="shared" si="2"/>
        <v>9.2328609524602429E-7</v>
      </c>
    </row>
    <row r="29" spans="1:5" x14ac:dyDescent="0.25">
      <c r="A29">
        <v>3.6933140742625001</v>
      </c>
      <c r="B29">
        <v>1.6986324730733943E-2</v>
      </c>
      <c r="C29">
        <f t="shared" si="0"/>
        <v>1.1684610775286961E-2</v>
      </c>
      <c r="D29">
        <f t="shared" si="1"/>
        <v>5.3017139554469815E-3</v>
      </c>
      <c r="E29">
        <f t="shared" si="2"/>
        <v>2.8108170865381278E-5</v>
      </c>
    </row>
    <row r="30" spans="1:5" x14ac:dyDescent="0.25">
      <c r="A30">
        <v>3.8228063465875</v>
      </c>
      <c r="B30">
        <v>9.2211477109698549E-3</v>
      </c>
      <c r="C30">
        <f t="shared" si="0"/>
        <v>9.3426509742160543E-3</v>
      </c>
      <c r="D30">
        <f t="shared" si="1"/>
        <v>-1.2150326324619938E-4</v>
      </c>
      <c r="E30">
        <f t="shared" si="2"/>
        <v>1.4763042979475225E-8</v>
      </c>
    </row>
    <row r="31" spans="1:5" x14ac:dyDescent="0.25">
      <c r="A31">
        <v>3.9522986189125002</v>
      </c>
      <c r="B31">
        <v>8.7358241472345992E-3</v>
      </c>
      <c r="C31">
        <f t="shared" si="0"/>
        <v>7.4481673500783555E-3</v>
      </c>
      <c r="D31">
        <f t="shared" si="1"/>
        <v>1.2876567971562437E-3</v>
      </c>
      <c r="E31">
        <f t="shared" si="2"/>
        <v>1.6580600272626757E-6</v>
      </c>
    </row>
    <row r="32" spans="1:5" x14ac:dyDescent="0.25">
      <c r="A32">
        <v>4.0817908912374996</v>
      </c>
      <c r="B32">
        <v>8.2505005834993435E-3</v>
      </c>
      <c r="C32">
        <f t="shared" si="0"/>
        <v>5.9208962156524752E-3</v>
      </c>
      <c r="D32">
        <f t="shared" si="1"/>
        <v>2.3296043678468683E-3</v>
      </c>
      <c r="E32">
        <f t="shared" si="2"/>
        <v>5.4270565106912069E-6</v>
      </c>
    </row>
    <row r="33" spans="1:5" x14ac:dyDescent="0.25">
      <c r="A33">
        <v>4.2112831635625003</v>
      </c>
      <c r="B33">
        <v>3.8825885098820439E-3</v>
      </c>
      <c r="C33">
        <f t="shared" si="0"/>
        <v>4.693720027125264E-3</v>
      </c>
      <c r="D33">
        <f t="shared" si="1"/>
        <v>-8.1113151724322013E-4</v>
      </c>
      <c r="E33">
        <f t="shared" si="2"/>
        <v>6.5793433826528831E-7</v>
      </c>
    </row>
    <row r="34" spans="1:5" x14ac:dyDescent="0.25">
      <c r="A34">
        <v>4.3407754358875001</v>
      </c>
      <c r="B34">
        <v>6.3092063285583215E-3</v>
      </c>
      <c r="C34">
        <f t="shared" si="0"/>
        <v>3.7108169789960275E-3</v>
      </c>
      <c r="D34">
        <f t="shared" si="1"/>
        <v>2.598389349562294E-3</v>
      </c>
      <c r="E34">
        <f t="shared" si="2"/>
        <v>6.7516272119187618E-6</v>
      </c>
    </row>
    <row r="35" spans="1:5" x14ac:dyDescent="0.25">
      <c r="A35">
        <v>4.4702677082125</v>
      </c>
      <c r="B35">
        <v>2.9119413824115329E-3</v>
      </c>
      <c r="C35">
        <f t="shared" si="0"/>
        <v>2.9259947579624891E-3</v>
      </c>
      <c r="D35">
        <f t="shared" si="1"/>
        <v>-1.4053375550956201E-5</v>
      </c>
      <c r="E35">
        <f t="shared" si="2"/>
        <v>1.974973643762135E-10</v>
      </c>
    </row>
    <row r="36" spans="1:5" x14ac:dyDescent="0.25">
      <c r="A36">
        <v>4.5997599805375007</v>
      </c>
      <c r="B36">
        <v>1.4559706912057665E-3</v>
      </c>
      <c r="C36">
        <f t="shared" si="0"/>
        <v>2.3012114986212355E-3</v>
      </c>
      <c r="D36">
        <f t="shared" si="1"/>
        <v>-8.4524080741546904E-4</v>
      </c>
      <c r="E36">
        <f t="shared" si="2"/>
        <v>7.1443202252035405E-7</v>
      </c>
    </row>
    <row r="37" spans="1:5" x14ac:dyDescent="0.25">
      <c r="A37">
        <v>4.7292522528625005</v>
      </c>
      <c r="B37">
        <v>1.4559706912057665E-3</v>
      </c>
      <c r="C37">
        <f t="shared" si="0"/>
        <v>1.8052788178478331E-3</v>
      </c>
      <c r="D37">
        <f t="shared" si="1"/>
        <v>-3.4930812664206662E-4</v>
      </c>
      <c r="E37">
        <f t="shared" si="2"/>
        <v>1.2201616733819005E-7</v>
      </c>
    </row>
    <row r="38" spans="1:5" x14ac:dyDescent="0.25">
      <c r="A38">
        <v>4.8587445251875003</v>
      </c>
      <c r="B38">
        <v>0</v>
      </c>
      <c r="C38">
        <f t="shared" si="0"/>
        <v>1.4127364664307928E-3</v>
      </c>
      <c r="D38">
        <f t="shared" si="1"/>
        <v>-1.4127364664307928E-3</v>
      </c>
      <c r="E38">
        <f t="shared" si="2"/>
        <v>1.9958243235833624E-6</v>
      </c>
    </row>
    <row r="39" spans="1:5" x14ac:dyDescent="0.25">
      <c r="A39">
        <v>4.9882367975125002</v>
      </c>
      <c r="B39">
        <v>0</v>
      </c>
      <c r="C39">
        <f t="shared" si="0"/>
        <v>1.1028849334662029E-3</v>
      </c>
      <c r="D39">
        <f t="shared" si="1"/>
        <v>-1.1028849334662029E-3</v>
      </c>
      <c r="E39">
        <f t="shared" si="2"/>
        <v>1.2163551764667509E-6</v>
      </c>
    </row>
    <row r="40" spans="1:5" x14ac:dyDescent="0.25">
      <c r="A40">
        <v>5.1177290698375</v>
      </c>
      <c r="B40">
        <v>1.4559706912057665E-3</v>
      </c>
      <c r="C40">
        <f t="shared" si="0"/>
        <v>8.5896071223052627E-4</v>
      </c>
      <c r="D40">
        <f t="shared" si="1"/>
        <v>5.9700997897524019E-4</v>
      </c>
      <c r="E40">
        <f t="shared" si="2"/>
        <v>3.5642091499601672E-7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5BA7-5723-4255-988E-DAF900EAC29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6.4539167374999998E-2</v>
      </c>
      <c r="B1">
        <v>0.42931495735834058</v>
      </c>
      <c r="C1">
        <f>$H$3*(1+$H$1)*(A1^($H$1))*EXP(-$H$3*(A1^(1+$H$1)))</f>
        <v>0.44006184005153848</v>
      </c>
      <c r="D1">
        <f>B1-C1</f>
        <v>-1.0746882693197901E-2</v>
      </c>
      <c r="E1">
        <f>D1^2</f>
        <v>1.1549548762135657E-4</v>
      </c>
      <c r="G1" t="s">
        <v>0</v>
      </c>
      <c r="H1">
        <v>0.3603532427587488</v>
      </c>
    </row>
    <row r="2" spans="1:8" x14ac:dyDescent="0.25">
      <c r="A2">
        <v>0.191162960125</v>
      </c>
      <c r="B2">
        <v>0.63826478053505886</v>
      </c>
      <c r="C2">
        <f t="shared" ref="C2:C40" si="0">$H$3*(1+$H$1)*(A2^($H$1))*EXP(-$H$3*(A2^(1+$H$1)))</f>
        <v>0.60553295769486215</v>
      </c>
      <c r="D2">
        <f t="shared" ref="D2:D40" si="1">B2-C2</f>
        <v>3.2731822840196712E-2</v>
      </c>
      <c r="E2">
        <f t="shared" ref="E2:E40" si="2">D2^2</f>
        <v>1.071372226442023E-3</v>
      </c>
    </row>
    <row r="3" spans="1:8" x14ac:dyDescent="0.25">
      <c r="A3">
        <v>0.31778675287500002</v>
      </c>
      <c r="B3">
        <v>0.60600411899946105</v>
      </c>
      <c r="C3">
        <f t="shared" si="0"/>
        <v>0.66259244381404703</v>
      </c>
      <c r="D3">
        <f t="shared" si="1"/>
        <v>-5.6588324814585977E-2</v>
      </c>
      <c r="E3">
        <f t="shared" si="2"/>
        <v>3.2022385053210871E-3</v>
      </c>
      <c r="G3" t="s">
        <v>1</v>
      </c>
      <c r="H3">
        <f>(_xlfn.GAMMA((2+$H$1)/(1+$H$1)))^(1+$H$1)</f>
        <v>0.88717360608429952</v>
      </c>
    </row>
    <row r="4" spans="1:8" x14ac:dyDescent="0.25">
      <c r="A4">
        <v>0.44441054562500004</v>
      </c>
      <c r="B4">
        <v>0.63131633035816093</v>
      </c>
      <c r="C4">
        <f t="shared" si="0"/>
        <v>0.67127682491658569</v>
      </c>
      <c r="D4">
        <f t="shared" si="1"/>
        <v>-3.9960494558424764E-2</v>
      </c>
      <c r="E4">
        <f t="shared" si="2"/>
        <v>1.5968411253538951E-3</v>
      </c>
    </row>
    <row r="5" spans="1:8" x14ac:dyDescent="0.25">
      <c r="A5">
        <v>0.57103433837500006</v>
      </c>
      <c r="B5">
        <v>0.70080083212714084</v>
      </c>
      <c r="C5">
        <f t="shared" si="0"/>
        <v>0.65190137912589075</v>
      </c>
      <c r="D5">
        <f t="shared" si="1"/>
        <v>4.8899453001250093E-2</v>
      </c>
      <c r="E5">
        <f t="shared" si="2"/>
        <v>2.3911565038214665E-3</v>
      </c>
      <c r="G5" t="s">
        <v>2</v>
      </c>
      <c r="H5">
        <f>SUM(E1:E40)</f>
        <v>4.3541480101189682E-2</v>
      </c>
    </row>
    <row r="6" spans="1:8" x14ac:dyDescent="0.25">
      <c r="A6">
        <v>0.69765813112500008</v>
      </c>
      <c r="B6">
        <v>0.76184793010988761</v>
      </c>
      <c r="C6">
        <f t="shared" si="0"/>
        <v>0.61548682342540872</v>
      </c>
      <c r="D6">
        <f t="shared" si="1"/>
        <v>0.14636110668447888</v>
      </c>
      <c r="E6">
        <f t="shared" si="2"/>
        <v>2.1421573549905409E-2</v>
      </c>
    </row>
    <row r="7" spans="1:8" x14ac:dyDescent="0.25">
      <c r="A7">
        <v>0.82428192387499988</v>
      </c>
      <c r="B7">
        <v>0.6104709798274669</v>
      </c>
      <c r="C7">
        <f t="shared" si="0"/>
        <v>0.56910157508454817</v>
      </c>
      <c r="D7">
        <f t="shared" si="1"/>
        <v>4.1369404742918725E-2</v>
      </c>
      <c r="E7">
        <f t="shared" si="2"/>
        <v>1.7114276487834262E-3</v>
      </c>
    </row>
    <row r="8" spans="1:8" x14ac:dyDescent="0.25">
      <c r="A8">
        <v>0.9509057166249999</v>
      </c>
      <c r="B8">
        <v>0.50227368421576957</v>
      </c>
      <c r="C8">
        <f t="shared" si="0"/>
        <v>0.51759436470622699</v>
      </c>
      <c r="D8">
        <f t="shared" si="1"/>
        <v>-1.5320680490457428E-2</v>
      </c>
      <c r="E8">
        <f t="shared" si="2"/>
        <v>2.3472325069068286E-4</v>
      </c>
    </row>
    <row r="9" spans="1:8" x14ac:dyDescent="0.25">
      <c r="A9">
        <v>1.0775295093750001</v>
      </c>
      <c r="B9">
        <v>0.42881863948856214</v>
      </c>
      <c r="C9">
        <f t="shared" si="0"/>
        <v>0.46436240365547904</v>
      </c>
      <c r="D9">
        <f t="shared" si="1"/>
        <v>-3.5543764166916902E-2</v>
      </c>
      <c r="E9">
        <f t="shared" si="2"/>
        <v>1.263359171153406E-3</v>
      </c>
    </row>
    <row r="10" spans="1:8" x14ac:dyDescent="0.25">
      <c r="A10">
        <v>1.2041533021249999</v>
      </c>
      <c r="B10">
        <v>0.37471999168271342</v>
      </c>
      <c r="C10">
        <f t="shared" si="0"/>
        <v>0.41177289836870767</v>
      </c>
      <c r="D10">
        <f t="shared" si="1"/>
        <v>-3.7052906685994258E-2</v>
      </c>
      <c r="E10">
        <f t="shared" si="2"/>
        <v>1.3729178938809981E-3</v>
      </c>
    </row>
    <row r="11" spans="1:8" x14ac:dyDescent="0.25">
      <c r="A11">
        <v>1.3307770948750002</v>
      </c>
      <c r="B11">
        <v>0.31119130435107462</v>
      </c>
      <c r="C11">
        <f t="shared" si="0"/>
        <v>0.36143204662940198</v>
      </c>
      <c r="D11">
        <f t="shared" si="1"/>
        <v>-5.0240742278327366E-2</v>
      </c>
      <c r="E11">
        <f t="shared" si="2"/>
        <v>2.5241321846773109E-3</v>
      </c>
    </row>
    <row r="12" spans="1:8" x14ac:dyDescent="0.25">
      <c r="A12">
        <v>1.4574008876250002</v>
      </c>
      <c r="B12">
        <v>0.25957424589411804</v>
      </c>
      <c r="C12">
        <f t="shared" si="0"/>
        <v>0.31437484278254996</v>
      </c>
      <c r="D12">
        <f t="shared" si="1"/>
        <v>-5.4800596888431918E-2</v>
      </c>
      <c r="E12">
        <f t="shared" si="2"/>
        <v>3.0031054193284138E-3</v>
      </c>
    </row>
    <row r="13" spans="1:8" x14ac:dyDescent="0.25">
      <c r="A13">
        <v>1.5840246803750002</v>
      </c>
      <c r="B13">
        <v>0.22582463074918491</v>
      </c>
      <c r="C13">
        <f t="shared" si="0"/>
        <v>0.2712073922809935</v>
      </c>
      <c r="D13">
        <f t="shared" si="1"/>
        <v>-4.5382761531808591E-2</v>
      </c>
      <c r="E13">
        <f t="shared" si="2"/>
        <v>2.0595950442530058E-3</v>
      </c>
    </row>
    <row r="14" spans="1:8" x14ac:dyDescent="0.25">
      <c r="A14">
        <v>1.710648473125</v>
      </c>
      <c r="B14">
        <v>0.21292036613494578</v>
      </c>
      <c r="C14">
        <f t="shared" si="0"/>
        <v>0.23221714930789136</v>
      </c>
      <c r="D14">
        <f t="shared" si="1"/>
        <v>-1.9296783172945586E-2</v>
      </c>
      <c r="E14">
        <f t="shared" si="2"/>
        <v>3.7236584082367592E-4</v>
      </c>
    </row>
    <row r="15" spans="1:8" x14ac:dyDescent="0.25">
      <c r="A15">
        <v>1.837272265875</v>
      </c>
      <c r="B15">
        <v>0.19108237986469492</v>
      </c>
      <c r="C15">
        <f t="shared" si="0"/>
        <v>0.19745950731868647</v>
      </c>
      <c r="D15">
        <f t="shared" si="1"/>
        <v>-6.377127453991549E-3</v>
      </c>
      <c r="E15">
        <f t="shared" si="2"/>
        <v>4.0667754564452739E-5</v>
      </c>
    </row>
    <row r="16" spans="1:8" x14ac:dyDescent="0.25">
      <c r="A16">
        <v>1.9638960586250001</v>
      </c>
      <c r="B16">
        <v>0.15832540045931864</v>
      </c>
      <c r="C16">
        <f t="shared" si="0"/>
        <v>0.16682594733593212</v>
      </c>
      <c r="D16">
        <f t="shared" si="1"/>
        <v>-8.500546876613474E-3</v>
      </c>
      <c r="E16">
        <f t="shared" si="2"/>
        <v>7.2259297201503087E-5</v>
      </c>
    </row>
    <row r="17" spans="1:5" x14ac:dyDescent="0.25">
      <c r="A17">
        <v>2.0905198513750003</v>
      </c>
      <c r="B17">
        <v>0.12805001040283454</v>
      </c>
      <c r="C17">
        <f t="shared" si="0"/>
        <v>0.14009734704454616</v>
      </c>
      <c r="D17">
        <f t="shared" si="1"/>
        <v>-1.204733664171162E-2</v>
      </c>
      <c r="E17">
        <f t="shared" si="2"/>
        <v>1.4513832015872742E-4</v>
      </c>
    </row>
    <row r="18" spans="1:5" x14ac:dyDescent="0.25">
      <c r="A18">
        <v>2.2171436441250001</v>
      </c>
      <c r="B18">
        <v>0.12259051383527181</v>
      </c>
      <c r="C18">
        <f t="shared" si="0"/>
        <v>0.11698518519081848</v>
      </c>
      <c r="D18">
        <f t="shared" si="1"/>
        <v>5.6053286444533307E-3</v>
      </c>
      <c r="E18">
        <f t="shared" si="2"/>
        <v>3.1419709212329013E-5</v>
      </c>
    </row>
    <row r="19" spans="1:5" x14ac:dyDescent="0.25">
      <c r="A19">
        <v>2.3437674368749999</v>
      </c>
      <c r="B19">
        <v>9.8767256085907251E-2</v>
      </c>
      <c r="C19">
        <f t="shared" si="0"/>
        <v>9.7162848968593438E-2</v>
      </c>
      <c r="D19">
        <f t="shared" si="1"/>
        <v>1.6044071173138136E-3</v>
      </c>
      <c r="E19">
        <f t="shared" si="2"/>
        <v>2.574122198087221E-6</v>
      </c>
    </row>
    <row r="20" spans="1:5" x14ac:dyDescent="0.25">
      <c r="A20">
        <v>2.4703912296250001</v>
      </c>
      <c r="B20">
        <v>8.5862991471668107E-2</v>
      </c>
      <c r="C20">
        <f t="shared" si="0"/>
        <v>8.0288889126241422E-2</v>
      </c>
      <c r="D20">
        <f t="shared" si="1"/>
        <v>5.5741023454266847E-3</v>
      </c>
      <c r="E20">
        <f t="shared" si="2"/>
        <v>3.1070616957291271E-5</v>
      </c>
    </row>
    <row r="21" spans="1:5" x14ac:dyDescent="0.25">
      <c r="A21">
        <v>2.5970150223750004</v>
      </c>
      <c r="B21">
        <v>7.7921905555213264E-2</v>
      </c>
      <c r="C21">
        <f t="shared" si="0"/>
        <v>6.6023786806902157E-2</v>
      </c>
      <c r="D21">
        <f t="shared" si="1"/>
        <v>1.1898118748311107E-2</v>
      </c>
      <c r="E21">
        <f t="shared" si="2"/>
        <v>1.4156522974891227E-4</v>
      </c>
    </row>
    <row r="22" spans="1:5" x14ac:dyDescent="0.25">
      <c r="A22">
        <v>2.7236388151250006</v>
      </c>
      <c r="B22">
        <v>6.2536051592081976E-2</v>
      </c>
      <c r="C22">
        <f t="shared" si="0"/>
        <v>5.4041560640780473E-2</v>
      </c>
      <c r="D22">
        <f t="shared" si="1"/>
        <v>8.4944909513015032E-3</v>
      </c>
      <c r="E22">
        <f t="shared" si="2"/>
        <v>7.2156376521743124E-5</v>
      </c>
    </row>
    <row r="23" spans="1:5" x14ac:dyDescent="0.25">
      <c r="A23">
        <v>2.850262607875</v>
      </c>
      <c r="B23">
        <v>6.2536051592081976E-2</v>
      </c>
      <c r="C23">
        <f t="shared" si="0"/>
        <v>4.4037336224902274E-2</v>
      </c>
      <c r="D23">
        <f t="shared" si="1"/>
        <v>1.8498715367179702E-2</v>
      </c>
      <c r="E23">
        <f t="shared" si="2"/>
        <v>3.4220247023593049E-4</v>
      </c>
    </row>
    <row r="24" spans="1:5" x14ac:dyDescent="0.25">
      <c r="A24">
        <v>2.9768864006250002</v>
      </c>
      <c r="B24">
        <v>4.1690701061387982E-2</v>
      </c>
      <c r="C24">
        <f t="shared" si="0"/>
        <v>3.5731816316384328E-2</v>
      </c>
      <c r="D24">
        <f t="shared" si="1"/>
        <v>5.9588847450036536E-3</v>
      </c>
      <c r="E24">
        <f t="shared" si="2"/>
        <v>3.5508307404237258E-5</v>
      </c>
    </row>
    <row r="25" spans="1:5" x14ac:dyDescent="0.25">
      <c r="A25">
        <v>3.1035101933750004</v>
      </c>
      <c r="B25">
        <v>4.1194383191609556E-2</v>
      </c>
      <c r="C25">
        <f t="shared" si="0"/>
        <v>2.8873426416952661E-2</v>
      </c>
      <c r="D25">
        <f t="shared" si="1"/>
        <v>1.2320956774656895E-2</v>
      </c>
      <c r="E25">
        <f t="shared" si="2"/>
        <v>1.5180597584296365E-4</v>
      </c>
    </row>
    <row r="26" spans="1:5" x14ac:dyDescent="0.25">
      <c r="A26">
        <v>3.2301339861249998</v>
      </c>
      <c r="B26">
        <v>2.5808529228478275E-2</v>
      </c>
      <c r="C26">
        <f t="shared" si="0"/>
        <v>2.3238766036878231E-2</v>
      </c>
      <c r="D26">
        <f t="shared" si="1"/>
        <v>2.5697631916000441E-3</v>
      </c>
      <c r="E26">
        <f t="shared" si="2"/>
        <v>6.6036828609024451E-6</v>
      </c>
    </row>
    <row r="27" spans="1:5" x14ac:dyDescent="0.25">
      <c r="A27">
        <v>3.356757778875</v>
      </c>
      <c r="B27">
        <v>2.7793800707591989E-2</v>
      </c>
      <c r="C27">
        <f t="shared" si="0"/>
        <v>1.8631870207553324E-2</v>
      </c>
      <c r="D27">
        <f t="shared" si="1"/>
        <v>9.1619305000386654E-3</v>
      </c>
      <c r="E27">
        <f t="shared" si="2"/>
        <v>8.3940970487538747E-5</v>
      </c>
    </row>
    <row r="28" spans="1:5" x14ac:dyDescent="0.25">
      <c r="A28">
        <v>3.4833815716250003</v>
      </c>
      <c r="B28">
        <v>1.6874807572466566E-2</v>
      </c>
      <c r="C28">
        <f t="shared" si="0"/>
        <v>1.4882678001815823E-2</v>
      </c>
      <c r="D28">
        <f t="shared" si="1"/>
        <v>1.9921295706507424E-3</v>
      </c>
      <c r="E28">
        <f t="shared" si="2"/>
        <v>3.9685802262611111E-6</v>
      </c>
    </row>
    <row r="29" spans="1:5" x14ac:dyDescent="0.25">
      <c r="A29">
        <v>3.6100053643749996</v>
      </c>
      <c r="B29">
        <v>1.5882171832909707E-2</v>
      </c>
      <c r="C29">
        <f t="shared" si="0"/>
        <v>1.1845013844990452E-2</v>
      </c>
      <c r="D29">
        <f t="shared" si="1"/>
        <v>4.0371579879192546E-3</v>
      </c>
      <c r="E29">
        <f t="shared" si="2"/>
        <v>1.6298644619420243E-5</v>
      </c>
    </row>
    <row r="30" spans="1:5" x14ac:dyDescent="0.25">
      <c r="A30">
        <v>3.7366291571249999</v>
      </c>
      <c r="B30">
        <v>1.240794674446071E-2</v>
      </c>
      <c r="C30">
        <f t="shared" si="0"/>
        <v>9.3943118913945352E-3</v>
      </c>
      <c r="D30">
        <f t="shared" si="1"/>
        <v>3.0136348530661744E-3</v>
      </c>
      <c r="E30">
        <f t="shared" si="2"/>
        <v>9.0819950276151834E-6</v>
      </c>
    </row>
    <row r="31" spans="1:5" x14ac:dyDescent="0.25">
      <c r="A31">
        <v>3.8632529498750001</v>
      </c>
      <c r="B31">
        <v>6.9484501768979972E-3</v>
      </c>
      <c r="C31">
        <f t="shared" si="0"/>
        <v>7.4252521295163189E-3</v>
      </c>
      <c r="D31">
        <f t="shared" si="1"/>
        <v>-4.7680195261832169E-4</v>
      </c>
      <c r="E31">
        <f t="shared" si="2"/>
        <v>2.2734010202064428E-7</v>
      </c>
    </row>
    <row r="32" spans="1:5" x14ac:dyDescent="0.25">
      <c r="A32">
        <v>3.9898767426250004</v>
      </c>
      <c r="B32">
        <v>7.9410859164548535E-3</v>
      </c>
      <c r="C32">
        <f t="shared" si="0"/>
        <v>5.8494274885732027E-3</v>
      </c>
      <c r="D32">
        <f t="shared" si="1"/>
        <v>2.0916584278816508E-3</v>
      </c>
      <c r="E32">
        <f t="shared" si="2"/>
        <v>4.3750349789283389E-6</v>
      </c>
    </row>
    <row r="33" spans="1:5" x14ac:dyDescent="0.25">
      <c r="A33">
        <v>4.1165005353749997</v>
      </c>
      <c r="B33">
        <v>4.4668608280058553E-3</v>
      </c>
      <c r="C33">
        <f t="shared" si="0"/>
        <v>4.5931223615223995E-3</v>
      </c>
      <c r="D33">
        <f t="shared" si="1"/>
        <v>-1.2626153351654422E-4</v>
      </c>
      <c r="E33">
        <f t="shared" si="2"/>
        <v>1.594197484594942E-8</v>
      </c>
    </row>
    <row r="34" spans="1:5" x14ac:dyDescent="0.25">
      <c r="A34">
        <v>4.2431243281250008</v>
      </c>
      <c r="B34">
        <v>5.955814437341141E-3</v>
      </c>
      <c r="C34">
        <f t="shared" si="0"/>
        <v>3.595253007443594E-3</v>
      </c>
      <c r="D34">
        <f t="shared" si="1"/>
        <v>2.360561429897547E-3</v>
      </c>
      <c r="E34">
        <f t="shared" si="2"/>
        <v>5.5722502643199514E-6</v>
      </c>
    </row>
    <row r="35" spans="1:5" x14ac:dyDescent="0.25">
      <c r="A35">
        <v>4.3697481208750002</v>
      </c>
      <c r="B35">
        <v>3.9705429582274267E-3</v>
      </c>
      <c r="C35">
        <f t="shared" si="0"/>
        <v>2.8054977354553374E-3</v>
      </c>
      <c r="D35">
        <f t="shared" si="1"/>
        <v>1.1650452227720894E-3</v>
      </c>
      <c r="E35">
        <f t="shared" si="2"/>
        <v>1.3573303711040674E-6</v>
      </c>
    </row>
    <row r="36" spans="1:5" x14ac:dyDescent="0.25">
      <c r="A36">
        <v>4.4963719136249996</v>
      </c>
      <c r="B36">
        <v>1.9852714791137134E-3</v>
      </c>
      <c r="C36">
        <f t="shared" si="0"/>
        <v>2.1826282352992873E-3</v>
      </c>
      <c r="D36">
        <f t="shared" si="1"/>
        <v>-1.9735675618557389E-4</v>
      </c>
      <c r="E36">
        <f t="shared" si="2"/>
        <v>3.8949689212092059E-8</v>
      </c>
    </row>
    <row r="37" spans="1:5" x14ac:dyDescent="0.25">
      <c r="A37">
        <v>4.6229957063750007</v>
      </c>
      <c r="B37">
        <v>1.9852714791137134E-3</v>
      </c>
      <c r="C37">
        <f t="shared" si="0"/>
        <v>1.6930417020534852E-3</v>
      </c>
      <c r="D37">
        <f t="shared" si="1"/>
        <v>2.922297770602282E-4</v>
      </c>
      <c r="E37">
        <f t="shared" si="2"/>
        <v>8.5398242600670674E-8</v>
      </c>
    </row>
    <row r="38" spans="1:5" x14ac:dyDescent="0.25">
      <c r="A38">
        <v>4.749619499125</v>
      </c>
      <c r="B38">
        <v>0</v>
      </c>
      <c r="C38">
        <f t="shared" si="0"/>
        <v>1.3094854672041415E-3</v>
      </c>
      <c r="D38">
        <f t="shared" si="1"/>
        <v>-1.3094854672041415E-3</v>
      </c>
      <c r="E38">
        <f t="shared" si="2"/>
        <v>1.7147521888188486E-6</v>
      </c>
    </row>
    <row r="39" spans="1:5" x14ac:dyDescent="0.25">
      <c r="A39">
        <v>4.8762432918750003</v>
      </c>
      <c r="B39">
        <v>0</v>
      </c>
      <c r="C39">
        <f t="shared" si="0"/>
        <v>1.0099608210195682E-3</v>
      </c>
      <c r="D39">
        <f t="shared" si="1"/>
        <v>-1.0099608210195682E-3</v>
      </c>
      <c r="E39">
        <f t="shared" si="2"/>
        <v>1.0200208599945202E-6</v>
      </c>
    </row>
    <row r="40" spans="1:5" x14ac:dyDescent="0.25">
      <c r="A40">
        <v>5.0028670846250005</v>
      </c>
      <c r="B40">
        <v>1.4889536093352852E-3</v>
      </c>
      <c r="C40">
        <f t="shared" si="0"/>
        <v>7.7678986849855915E-4</v>
      </c>
      <c r="D40">
        <f t="shared" si="1"/>
        <v>7.1216374083672609E-4</v>
      </c>
      <c r="E40">
        <f t="shared" si="2"/>
        <v>5.0717719376255957E-7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CA4C-CF20-4D75-BB89-C497E5855AC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6.3166729125000001E-2</v>
      </c>
      <c r="B1">
        <v>0.35829414667521159</v>
      </c>
      <c r="C1">
        <f>$H$3*(1+$H$1)*(A1^($H$1))*EXP(-$H$3*(A1^(1+$H$1)))</f>
        <v>0.37461858532334358</v>
      </c>
      <c r="D1">
        <f>B1-C1</f>
        <v>-1.6324438648131989E-2</v>
      </c>
      <c r="E1">
        <f>D1^2</f>
        <v>2.6648729717662536E-4</v>
      </c>
      <c r="G1" t="s">
        <v>0</v>
      </c>
      <c r="H1">
        <v>0.42905279442793204</v>
      </c>
    </row>
    <row r="2" spans="1:8" x14ac:dyDescent="0.25">
      <c r="A2">
        <v>0.18436978337500001</v>
      </c>
      <c r="B2">
        <v>0.59836678040983238</v>
      </c>
      <c r="C2">
        <f t="shared" ref="C2:C40" si="0">$H$3*(1+$H$1)*(A2^($H$1))*EXP(-$H$3*(A2^(1+$H$1)))</f>
        <v>0.55808221447757711</v>
      </c>
      <c r="D2">
        <f t="shared" ref="D2:D40" si="1">B2-C2</f>
        <v>4.0284565932255267E-2</v>
      </c>
      <c r="E2">
        <f t="shared" ref="E2:E40" si="2">D2^2</f>
        <v>1.6228462523502217E-3</v>
      </c>
    </row>
    <row r="3" spans="1:8" x14ac:dyDescent="0.25">
      <c r="A3">
        <v>0.30557283762499998</v>
      </c>
      <c r="B3">
        <v>0.63569988975949265</v>
      </c>
      <c r="C3">
        <f t="shared" si="0"/>
        <v>0.63835474774992218</v>
      </c>
      <c r="D3">
        <f t="shared" si="1"/>
        <v>-2.6548579904295266E-3</v>
      </c>
      <c r="E3">
        <f t="shared" si="2"/>
        <v>7.0482709493475049E-6</v>
      </c>
      <c r="G3" t="s">
        <v>1</v>
      </c>
      <c r="H3">
        <f>(_xlfn.GAMMA((2+$H$1)/(1+$H$1)))^(1+$H$1)</f>
        <v>0.87198374380501087</v>
      </c>
    </row>
    <row r="4" spans="1:8" x14ac:dyDescent="0.25">
      <c r="A4">
        <v>0.42677589187499998</v>
      </c>
      <c r="B4">
        <v>0.62688512782971173</v>
      </c>
      <c r="C4">
        <f t="shared" si="0"/>
        <v>0.66793663135066694</v>
      </c>
      <c r="D4">
        <f t="shared" si="1"/>
        <v>-4.1051503520955213E-2</v>
      </c>
      <c r="E4">
        <f t="shared" si="2"/>
        <v>1.6852259413309982E-3</v>
      </c>
    </row>
    <row r="5" spans="1:8" x14ac:dyDescent="0.25">
      <c r="A5">
        <v>0.54797894612500009</v>
      </c>
      <c r="B5">
        <v>0.62584809701444344</v>
      </c>
      <c r="C5">
        <f t="shared" si="0"/>
        <v>0.66551552455207286</v>
      </c>
      <c r="D5">
        <f t="shared" si="1"/>
        <v>-3.9667427537629418E-2</v>
      </c>
      <c r="E5">
        <f t="shared" si="2"/>
        <v>1.5735048074530806E-3</v>
      </c>
      <c r="G5" t="s">
        <v>2</v>
      </c>
      <c r="H5">
        <f>SUM(E1:E40)</f>
        <v>3.724089626023927E-2</v>
      </c>
    </row>
    <row r="6" spans="1:8" x14ac:dyDescent="0.25">
      <c r="A6">
        <v>0.66918200037499997</v>
      </c>
      <c r="B6">
        <v>0.66421823717937201</v>
      </c>
      <c r="C6">
        <f t="shared" si="0"/>
        <v>0.6418125574391419</v>
      </c>
      <c r="D6">
        <f t="shared" si="1"/>
        <v>2.2405679740230111E-2</v>
      </c>
      <c r="E6">
        <f t="shared" si="2"/>
        <v>5.0201448462175804E-4</v>
      </c>
    </row>
    <row r="7" spans="1:8" x14ac:dyDescent="0.25">
      <c r="A7">
        <v>0.79038505462499997</v>
      </c>
      <c r="B7">
        <v>0.72695860150310665</v>
      </c>
      <c r="C7">
        <f t="shared" si="0"/>
        <v>0.60414630033331418</v>
      </c>
      <c r="D7">
        <f t="shared" si="1"/>
        <v>0.12281230116979247</v>
      </c>
      <c r="E7">
        <f t="shared" si="2"/>
        <v>1.5082861318619809E-2</v>
      </c>
    </row>
    <row r="8" spans="1:8" x14ac:dyDescent="0.25">
      <c r="A8">
        <v>0.91158810887500008</v>
      </c>
      <c r="B8">
        <v>0.62066294293810176</v>
      </c>
      <c r="C8">
        <f t="shared" si="0"/>
        <v>0.55787098983558103</v>
      </c>
      <c r="D8">
        <f t="shared" si="1"/>
        <v>6.2791953102520726E-2</v>
      </c>
      <c r="E8">
        <f t="shared" si="2"/>
        <v>3.9428293744291623E-3</v>
      </c>
    </row>
    <row r="9" spans="1:8" x14ac:dyDescent="0.25">
      <c r="A9">
        <v>1.0327911631250002</v>
      </c>
      <c r="B9">
        <v>0.50555252244331594</v>
      </c>
      <c r="C9">
        <f t="shared" si="0"/>
        <v>0.50699197593400236</v>
      </c>
      <c r="D9">
        <f t="shared" si="1"/>
        <v>-1.4394534906864154E-3</v>
      </c>
      <c r="E9">
        <f t="shared" si="2"/>
        <v>2.0720263518493062E-6</v>
      </c>
    </row>
    <row r="10" spans="1:8" x14ac:dyDescent="0.25">
      <c r="A10">
        <v>1.1539942173750002</v>
      </c>
      <c r="B10">
        <v>0.44851582760355724</v>
      </c>
      <c r="C10">
        <f t="shared" si="0"/>
        <v>0.45449817177784302</v>
      </c>
      <c r="D10">
        <f t="shared" si="1"/>
        <v>-5.9823441742857808E-3</v>
      </c>
      <c r="E10">
        <f t="shared" si="2"/>
        <v>3.5788441819611018E-5</v>
      </c>
    </row>
    <row r="11" spans="1:8" x14ac:dyDescent="0.25">
      <c r="A11">
        <v>1.2751972716250002</v>
      </c>
      <c r="B11">
        <v>0.34377571526145484</v>
      </c>
      <c r="C11">
        <f t="shared" si="0"/>
        <v>0.40257847004396097</v>
      </c>
      <c r="D11">
        <f t="shared" si="1"/>
        <v>-5.8802754782506128E-2</v>
      </c>
      <c r="E11">
        <f t="shared" si="2"/>
        <v>3.4577639700115472E-3</v>
      </c>
    </row>
    <row r="12" spans="1:8" x14ac:dyDescent="0.25">
      <c r="A12">
        <v>1.3964003258750002</v>
      </c>
      <c r="B12">
        <v>0.29659081316674535</v>
      </c>
      <c r="C12">
        <f t="shared" si="0"/>
        <v>0.35278250392089333</v>
      </c>
      <c r="D12">
        <f t="shared" si="1"/>
        <v>-5.6191690754147983E-2</v>
      </c>
      <c r="E12">
        <f t="shared" si="2"/>
        <v>3.1575061098097997E-3</v>
      </c>
    </row>
    <row r="13" spans="1:8" x14ac:dyDescent="0.25">
      <c r="A13">
        <v>1.5176033801250002</v>
      </c>
      <c r="B13">
        <v>0.25614661137128009</v>
      </c>
      <c r="C13">
        <f t="shared" si="0"/>
        <v>0.30614974057201155</v>
      </c>
      <c r="D13">
        <f t="shared" si="1"/>
        <v>-5.0003129200731466E-2</v>
      </c>
      <c r="E13">
        <f t="shared" si="2"/>
        <v>2.5003129298650437E-3</v>
      </c>
    </row>
    <row r="14" spans="1:8" x14ac:dyDescent="0.25">
      <c r="A14">
        <v>1.6388064343750002</v>
      </c>
      <c r="B14">
        <v>0.22762826395140073</v>
      </c>
      <c r="C14">
        <f t="shared" si="0"/>
        <v>0.26331708278830945</v>
      </c>
      <c r="D14">
        <f t="shared" si="1"/>
        <v>-3.568881883690872E-2</v>
      </c>
      <c r="E14">
        <f t="shared" si="2"/>
        <v>1.2736917899736906E-3</v>
      </c>
    </row>
    <row r="15" spans="1:8" x14ac:dyDescent="0.25">
      <c r="A15">
        <v>1.7600094886250002</v>
      </c>
      <c r="B15">
        <v>0.19755437030861886</v>
      </c>
      <c r="C15">
        <f t="shared" si="0"/>
        <v>0.22460962961761627</v>
      </c>
      <c r="D15">
        <f t="shared" si="1"/>
        <v>-2.7055259308997409E-2</v>
      </c>
      <c r="E15">
        <f t="shared" si="2"/>
        <v>7.3198705627709098E-4</v>
      </c>
    </row>
    <row r="16" spans="1:8" x14ac:dyDescent="0.25">
      <c r="A16">
        <v>1.8812125428750002</v>
      </c>
      <c r="B16">
        <v>0.17318414614981284</v>
      </c>
      <c r="C16">
        <f t="shared" si="0"/>
        <v>0.19011703060807889</v>
      </c>
      <c r="D16">
        <f t="shared" si="1"/>
        <v>-1.6932884458266045E-2</v>
      </c>
      <c r="E16">
        <f t="shared" si="2"/>
        <v>2.8672257607698776E-4</v>
      </c>
    </row>
    <row r="17" spans="1:5" x14ac:dyDescent="0.25">
      <c r="A17">
        <v>2.0024155971250002</v>
      </c>
      <c r="B17">
        <v>0.14414728332229931</v>
      </c>
      <c r="C17">
        <f t="shared" si="0"/>
        <v>0.15975702814346987</v>
      </c>
      <c r="D17">
        <f t="shared" si="1"/>
        <v>-1.5609744821170557E-2</v>
      </c>
      <c r="E17">
        <f t="shared" si="2"/>
        <v>2.4366413338206103E-4</v>
      </c>
    </row>
    <row r="18" spans="1:5" x14ac:dyDescent="0.25">
      <c r="A18">
        <v>2.1236186513750002</v>
      </c>
      <c r="B18">
        <v>0.13118439813144506</v>
      </c>
      <c r="C18">
        <f t="shared" si="0"/>
        <v>0.13332750885600175</v>
      </c>
      <c r="D18">
        <f t="shared" si="1"/>
        <v>-2.143110724556696E-3</v>
      </c>
      <c r="E18">
        <f t="shared" si="2"/>
        <v>4.5929235777099271E-6</v>
      </c>
    </row>
    <row r="19" spans="1:5" x14ac:dyDescent="0.25">
      <c r="A19">
        <v>2.2448217056250002</v>
      </c>
      <c r="B19">
        <v>0.11407338967951744</v>
      </c>
      <c r="C19">
        <f t="shared" si="0"/>
        <v>0.11054832432802496</v>
      </c>
      <c r="D19">
        <f t="shared" si="1"/>
        <v>3.5250653514924818E-3</v>
      </c>
      <c r="E19">
        <f t="shared" si="2"/>
        <v>1.2426085732292814E-5</v>
      </c>
    </row>
    <row r="20" spans="1:5" x14ac:dyDescent="0.25">
      <c r="A20">
        <v>2.3660247598750002</v>
      </c>
      <c r="B20">
        <v>9.6962381227589822E-2</v>
      </c>
      <c r="C20">
        <f t="shared" si="0"/>
        <v>9.109413770637223E-2</v>
      </c>
      <c r="D20">
        <f t="shared" si="1"/>
        <v>5.8682435212175921E-3</v>
      </c>
      <c r="E20">
        <f t="shared" si="2"/>
        <v>3.4436282024312243E-5</v>
      </c>
    </row>
    <row r="21" spans="1:5" x14ac:dyDescent="0.25">
      <c r="A21">
        <v>2.4872278141250002</v>
      </c>
      <c r="B21">
        <v>7.9332857368028045E-2</v>
      </c>
      <c r="C21">
        <f t="shared" si="0"/>
        <v>7.4619541822725094E-2</v>
      </c>
      <c r="D21">
        <f t="shared" si="1"/>
        <v>4.7133155453029513E-3</v>
      </c>
      <c r="E21">
        <f t="shared" si="2"/>
        <v>2.2215343429594458E-5</v>
      </c>
    </row>
    <row r="22" spans="1:5" x14ac:dyDescent="0.25">
      <c r="A22">
        <v>2.6084308683750006</v>
      </c>
      <c r="B22">
        <v>7.2073641661149657E-2</v>
      </c>
      <c r="C22">
        <f t="shared" si="0"/>
        <v>6.0777653945473818E-2</v>
      </c>
      <c r="D22">
        <f t="shared" si="1"/>
        <v>1.1295987715675838E-2</v>
      </c>
      <c r="E22">
        <f t="shared" si="2"/>
        <v>1.2759933847269944E-4</v>
      </c>
    </row>
    <row r="23" spans="1:5" x14ac:dyDescent="0.25">
      <c r="A23">
        <v>2.7296339226250002</v>
      </c>
      <c r="B23">
        <v>6.0666302693197914E-2</v>
      </c>
      <c r="C23">
        <f t="shared" si="0"/>
        <v>4.9233320108371122E-2</v>
      </c>
      <c r="D23">
        <f t="shared" si="1"/>
        <v>1.1432982584826792E-2</v>
      </c>
      <c r="E23">
        <f t="shared" si="2"/>
        <v>1.3071309078495274E-4</v>
      </c>
    </row>
    <row r="24" spans="1:5" x14ac:dyDescent="0.25">
      <c r="A24">
        <v>2.8508369768749997</v>
      </c>
      <c r="B24">
        <v>4.8740448317611998E-2</v>
      </c>
      <c r="C24">
        <f t="shared" si="0"/>
        <v>3.967196420626453E-2</v>
      </c>
      <c r="D24">
        <f t="shared" si="1"/>
        <v>9.0684841113474676E-3</v>
      </c>
      <c r="E24">
        <f t="shared" si="2"/>
        <v>8.2237404077761464E-5</v>
      </c>
    </row>
    <row r="25" spans="1:5" x14ac:dyDescent="0.25">
      <c r="A25">
        <v>2.9720400311250001</v>
      </c>
      <c r="B25">
        <v>4.5110840464172811E-2</v>
      </c>
      <c r="C25">
        <f t="shared" si="0"/>
        <v>3.1805002600200576E-2</v>
      </c>
      <c r="D25">
        <f t="shared" si="1"/>
        <v>1.3305837863972235E-2</v>
      </c>
      <c r="E25">
        <f t="shared" si="2"/>
        <v>1.770453212623172E-4</v>
      </c>
    </row>
    <row r="26" spans="1:5" x14ac:dyDescent="0.25">
      <c r="A26">
        <v>3.0932430853750001</v>
      </c>
      <c r="B26">
        <v>2.95553782351477E-2</v>
      </c>
      <c r="C26">
        <f t="shared" si="0"/>
        <v>2.5372622670657093E-2</v>
      </c>
      <c r="D26">
        <f t="shared" si="1"/>
        <v>4.1827555644906068E-3</v>
      </c>
      <c r="E26">
        <f t="shared" si="2"/>
        <v>1.7495444112277137E-5</v>
      </c>
    </row>
    <row r="27" spans="1:5" x14ac:dyDescent="0.25">
      <c r="A27">
        <v>3.2144461396250001</v>
      </c>
      <c r="B27">
        <v>3.1629439865684381E-2</v>
      </c>
      <c r="C27">
        <f t="shared" si="0"/>
        <v>2.0144601124461269E-2</v>
      </c>
      <c r="D27">
        <f t="shared" si="1"/>
        <v>1.1484838741223111E-2</v>
      </c>
      <c r="E27">
        <f t="shared" si="2"/>
        <v>1.3190152091189925E-4</v>
      </c>
    </row>
    <row r="28" spans="1:5" x14ac:dyDescent="0.25">
      <c r="A28">
        <v>3.3356491938750006</v>
      </c>
      <c r="B28">
        <v>2.3851708751171829E-2</v>
      </c>
      <c r="C28">
        <f t="shared" si="0"/>
        <v>1.5919720661794257E-2</v>
      </c>
      <c r="D28">
        <f t="shared" si="1"/>
        <v>7.9319880893775722E-3</v>
      </c>
      <c r="E28">
        <f t="shared" si="2"/>
        <v>6.2916435050027665E-5</v>
      </c>
    </row>
    <row r="29" spans="1:5" x14ac:dyDescent="0.25">
      <c r="A29">
        <v>3.4568522481250001</v>
      </c>
      <c r="B29">
        <v>1.5555462229025107E-2</v>
      </c>
      <c r="C29">
        <f t="shared" si="0"/>
        <v>1.2524235827518321E-2</v>
      </c>
      <c r="D29">
        <f t="shared" si="1"/>
        <v>3.0312264015067859E-3</v>
      </c>
      <c r="E29">
        <f t="shared" si="2"/>
        <v>9.1883334971917789E-6</v>
      </c>
    </row>
    <row r="30" spans="1:5" x14ac:dyDescent="0.25">
      <c r="A30">
        <v>3.5780553023750006</v>
      </c>
      <c r="B30">
        <v>1.0370308152683404E-2</v>
      </c>
      <c r="C30">
        <f t="shared" si="0"/>
        <v>9.8097429045592242E-3</v>
      </c>
      <c r="D30">
        <f t="shared" si="1"/>
        <v>5.605652481241799E-4</v>
      </c>
      <c r="E30">
        <f t="shared" si="2"/>
        <v>3.1423339740452336E-7</v>
      </c>
    </row>
    <row r="31" spans="1:5" x14ac:dyDescent="0.25">
      <c r="A31">
        <v>3.6992583566250001</v>
      </c>
      <c r="B31">
        <v>1.1925854375585914E-2</v>
      </c>
      <c r="C31">
        <f t="shared" si="0"/>
        <v>7.6507256572851973E-3</v>
      </c>
      <c r="D31">
        <f t="shared" si="1"/>
        <v>4.2751287183007171E-3</v>
      </c>
      <c r="E31">
        <f t="shared" si="2"/>
        <v>1.8276725558039531E-5</v>
      </c>
    </row>
    <row r="32" spans="1:5" x14ac:dyDescent="0.25">
      <c r="A32">
        <v>3.8204614108750006</v>
      </c>
      <c r="B32">
        <v>4.6666386687075319E-3</v>
      </c>
      <c r="C32">
        <f t="shared" si="0"/>
        <v>5.9419787089954098E-3</v>
      </c>
      <c r="D32">
        <f t="shared" si="1"/>
        <v>-1.2753400402878779E-3</v>
      </c>
      <c r="E32">
        <f t="shared" si="2"/>
        <v>1.6264922183614859E-6</v>
      </c>
    </row>
    <row r="33" spans="1:5" x14ac:dyDescent="0.25">
      <c r="A33">
        <v>3.9416644651250001</v>
      </c>
      <c r="B33">
        <v>8.2962465221467236E-3</v>
      </c>
      <c r="C33">
        <f t="shared" si="0"/>
        <v>4.5960527429881074E-3</v>
      </c>
      <c r="D33">
        <f t="shared" si="1"/>
        <v>3.7001937791586162E-3</v>
      </c>
      <c r="E33">
        <f t="shared" si="2"/>
        <v>1.3691434003324122E-5</v>
      </c>
    </row>
    <row r="34" spans="1:5" x14ac:dyDescent="0.25">
      <c r="A34">
        <v>4.0628675193750006</v>
      </c>
      <c r="B34">
        <v>3.6296078534391913E-3</v>
      </c>
      <c r="C34">
        <f t="shared" si="0"/>
        <v>3.5408194949709082E-3</v>
      </c>
      <c r="D34">
        <f t="shared" si="1"/>
        <v>8.878835846828307E-5</v>
      </c>
      <c r="E34">
        <f t="shared" si="2"/>
        <v>7.8833725994923343E-9</v>
      </c>
    </row>
    <row r="35" spans="1:5" x14ac:dyDescent="0.25">
      <c r="A35">
        <v>4.1840705736250001</v>
      </c>
      <c r="B35">
        <v>7.2592157068783825E-3</v>
      </c>
      <c r="C35">
        <f t="shared" si="0"/>
        <v>2.7172183402230971E-3</v>
      </c>
      <c r="D35">
        <f t="shared" si="1"/>
        <v>4.541997366655285E-3</v>
      </c>
      <c r="E35">
        <f t="shared" si="2"/>
        <v>2.0629740078703543E-5</v>
      </c>
    </row>
    <row r="36" spans="1:5" x14ac:dyDescent="0.25">
      <c r="A36">
        <v>4.3052736278749997</v>
      </c>
      <c r="B36">
        <v>1.5555462229025106E-3</v>
      </c>
      <c r="C36">
        <f t="shared" si="0"/>
        <v>2.0772187508086909E-3</v>
      </c>
      <c r="D36">
        <f t="shared" si="1"/>
        <v>-5.2167252790618029E-4</v>
      </c>
      <c r="E36">
        <f t="shared" si="2"/>
        <v>2.7214222637202447E-7</v>
      </c>
    </row>
    <row r="37" spans="1:5" x14ac:dyDescent="0.25">
      <c r="A37">
        <v>4.4264766821250001</v>
      </c>
      <c r="B37">
        <v>2.0740616305366809E-3</v>
      </c>
      <c r="C37">
        <f t="shared" si="0"/>
        <v>1.5820125912972766E-3</v>
      </c>
      <c r="D37">
        <f t="shared" si="1"/>
        <v>4.9204903923940431E-4</v>
      </c>
      <c r="E37">
        <f t="shared" si="2"/>
        <v>2.4211225701642082E-7</v>
      </c>
    </row>
    <row r="38" spans="1:5" x14ac:dyDescent="0.25">
      <c r="A38">
        <v>4.5476797363750006</v>
      </c>
      <c r="B38">
        <v>5.1851540763417023E-4</v>
      </c>
      <c r="C38">
        <f t="shared" si="0"/>
        <v>1.2004358026844136E-3</v>
      </c>
      <c r="D38">
        <f t="shared" si="1"/>
        <v>-6.8192039505024342E-4</v>
      </c>
      <c r="E38">
        <f t="shared" si="2"/>
        <v>4.6501542518548004E-7</v>
      </c>
    </row>
    <row r="39" spans="1:5" x14ac:dyDescent="0.25">
      <c r="A39">
        <v>4.6688827906250001</v>
      </c>
      <c r="B39">
        <v>5.1851540763417023E-4</v>
      </c>
      <c r="C39">
        <f t="shared" si="0"/>
        <v>9.0760928855375801E-4</v>
      </c>
      <c r="D39">
        <f t="shared" si="1"/>
        <v>-3.8909388091958779E-4</v>
      </c>
      <c r="E39">
        <f t="shared" si="2"/>
        <v>1.5139404816906637E-7</v>
      </c>
    </row>
    <row r="40" spans="1:5" x14ac:dyDescent="0.25">
      <c r="A40">
        <v>4.7900858448750006</v>
      </c>
      <c r="B40">
        <v>1.0370308152683405E-3</v>
      </c>
      <c r="C40">
        <f t="shared" si="0"/>
        <v>6.8378271211920515E-4</v>
      </c>
      <c r="D40">
        <f t="shared" si="1"/>
        <v>3.532481031491353E-4</v>
      </c>
      <c r="E40">
        <f t="shared" si="2"/>
        <v>1.2478422237846213E-7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570D-1221-4143-B7B9-8B63F8560BA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6.2806281650000004E-2</v>
      </c>
      <c r="B1">
        <v>0.30676629540932265</v>
      </c>
      <c r="C1">
        <f>$H$3*(1+$H$1)*(A1^($H$1))*EXP(-$H$3*(A1^(1+$H$1)))</f>
        <v>0.32751653936372005</v>
      </c>
      <c r="D1">
        <f>B1-C1</f>
        <v>-2.0750243954397396E-2</v>
      </c>
      <c r="E1">
        <f>D1^2</f>
        <v>4.3057262416700568E-4</v>
      </c>
      <c r="G1" t="s">
        <v>0</v>
      </c>
      <c r="H1">
        <v>0.48723022459935827</v>
      </c>
    </row>
    <row r="2" spans="1:8" x14ac:dyDescent="0.25">
      <c r="A2">
        <v>0.17895738895000002</v>
      </c>
      <c r="B2">
        <v>0.53724679248934282</v>
      </c>
      <c r="C2">
        <f t="shared" ref="C2:C40" si="0">$H$3*(1+$H$1)*(A2^($H$1))*EXP(-$H$3*(A2^(1+$H$1)))</f>
        <v>0.51758444913320123</v>
      </c>
      <c r="D2">
        <f t="shared" ref="D2:D40" si="1">B2-C2</f>
        <v>1.9662343356141587E-2</v>
      </c>
      <c r="E2">
        <f t="shared" ref="E2:E40" si="2">D2^2</f>
        <v>3.866077462548052E-4</v>
      </c>
    </row>
    <row r="3" spans="1:8" x14ac:dyDescent="0.25">
      <c r="A3">
        <v>0.29510849625000002</v>
      </c>
      <c r="B3">
        <v>0.66060255148991698</v>
      </c>
      <c r="C3">
        <f t="shared" si="0"/>
        <v>0.6136245521328052</v>
      </c>
      <c r="D3">
        <f t="shared" si="1"/>
        <v>4.6977999357111777E-2</v>
      </c>
      <c r="E3">
        <f t="shared" si="2"/>
        <v>2.2069324235967944E-3</v>
      </c>
      <c r="G3" t="s">
        <v>1</v>
      </c>
      <c r="H3">
        <f>(_xlfn.GAMMA((2+$H$1)/(1+$H$1)))^(1+$H$1)</f>
        <v>0.86019299066430122</v>
      </c>
    </row>
    <row r="4" spans="1:8" x14ac:dyDescent="0.25">
      <c r="A4">
        <v>0.41125960355000002</v>
      </c>
      <c r="B4">
        <v>0.64437153056878882</v>
      </c>
      <c r="C4">
        <f t="shared" si="0"/>
        <v>0.65964263177360127</v>
      </c>
      <c r="D4">
        <f t="shared" si="1"/>
        <v>-1.5271101204812454E-2</v>
      </c>
      <c r="E4">
        <f t="shared" si="2"/>
        <v>2.3320653200762439E-4</v>
      </c>
    </row>
    <row r="5" spans="1:8" x14ac:dyDescent="0.25">
      <c r="A5">
        <v>0.52741071085000002</v>
      </c>
      <c r="B5">
        <v>0.61894293112568799</v>
      </c>
      <c r="C5">
        <f t="shared" si="0"/>
        <v>0.67194657573448535</v>
      </c>
      <c r="D5">
        <f t="shared" si="1"/>
        <v>-5.3003644608797362E-2</v>
      </c>
      <c r="E5">
        <f t="shared" si="2"/>
        <v>2.8093863418156939E-3</v>
      </c>
      <c r="G5" t="s">
        <v>2</v>
      </c>
      <c r="H5">
        <f>SUM(E1:E40)</f>
        <v>3.1070169876073691E-2</v>
      </c>
    </row>
    <row r="6" spans="1:8" x14ac:dyDescent="0.25">
      <c r="A6">
        <v>0.64356181815000002</v>
      </c>
      <c r="B6">
        <v>0.63355084995470334</v>
      </c>
      <c r="C6">
        <f t="shared" si="0"/>
        <v>0.66032011013447656</v>
      </c>
      <c r="D6">
        <f t="shared" si="1"/>
        <v>-2.6769260179773213E-2</v>
      </c>
      <c r="E6">
        <f t="shared" si="2"/>
        <v>7.1659329057239185E-4</v>
      </c>
    </row>
    <row r="7" spans="1:8" x14ac:dyDescent="0.25">
      <c r="A7">
        <v>0.75971292544999991</v>
      </c>
      <c r="B7">
        <v>0.66763599388907258</v>
      </c>
      <c r="C7">
        <f t="shared" si="0"/>
        <v>0.63179917133687025</v>
      </c>
      <c r="D7">
        <f t="shared" si="1"/>
        <v>3.583682255220233E-2</v>
      </c>
      <c r="E7">
        <f t="shared" si="2"/>
        <v>1.2842778506380376E-3</v>
      </c>
    </row>
    <row r="8" spans="1:8" x14ac:dyDescent="0.25">
      <c r="A8">
        <v>0.87586403275000002</v>
      </c>
      <c r="B8">
        <v>0.67737460644174941</v>
      </c>
      <c r="C8">
        <f t="shared" si="0"/>
        <v>0.59181720278072047</v>
      </c>
      <c r="D8">
        <f t="shared" si="1"/>
        <v>8.555740366102893E-2</v>
      </c>
      <c r="E8">
        <f t="shared" si="2"/>
        <v>7.3200693212162465E-3</v>
      </c>
    </row>
    <row r="9" spans="1:8" x14ac:dyDescent="0.25">
      <c r="A9">
        <v>0.99201514005000013</v>
      </c>
      <c r="B9">
        <v>0.61515569291075811</v>
      </c>
      <c r="C9">
        <f t="shared" si="0"/>
        <v>0.5446635988773163</v>
      </c>
      <c r="D9">
        <f t="shared" si="1"/>
        <v>7.049209403344181E-2</v>
      </c>
      <c r="E9">
        <f t="shared" si="2"/>
        <v>4.9691353212196025E-3</v>
      </c>
    </row>
    <row r="10" spans="1:8" x14ac:dyDescent="0.25">
      <c r="A10">
        <v>1.10816624735</v>
      </c>
      <c r="B10">
        <v>0.49991544437074797</v>
      </c>
      <c r="C10">
        <f t="shared" si="0"/>
        <v>0.4937166782749724</v>
      </c>
      <c r="D10">
        <f t="shared" si="1"/>
        <v>6.1987660957755764E-3</v>
      </c>
      <c r="E10">
        <f t="shared" si="2"/>
        <v>3.8424701110136781E-5</v>
      </c>
    </row>
    <row r="11" spans="1:8" x14ac:dyDescent="0.25">
      <c r="A11">
        <v>1.2243173546500001</v>
      </c>
      <c r="B11">
        <v>0.41443206751947292</v>
      </c>
      <c r="C11">
        <f t="shared" si="0"/>
        <v>0.44159338789535552</v>
      </c>
      <c r="D11">
        <f t="shared" si="1"/>
        <v>-2.7161320375882592E-2</v>
      </c>
      <c r="E11">
        <f t="shared" si="2"/>
        <v>7.3773732456133487E-4</v>
      </c>
    </row>
    <row r="12" spans="1:8" x14ac:dyDescent="0.25">
      <c r="A12">
        <v>1.34046846195</v>
      </c>
      <c r="B12">
        <v>0.34788488174284737</v>
      </c>
      <c r="C12">
        <f t="shared" si="0"/>
        <v>0.39026555546986635</v>
      </c>
      <c r="D12">
        <f t="shared" si="1"/>
        <v>-4.238067372701898E-2</v>
      </c>
      <c r="E12">
        <f t="shared" si="2"/>
        <v>1.7961215055560368E-3</v>
      </c>
    </row>
    <row r="13" spans="1:8" x14ac:dyDescent="0.25">
      <c r="A13">
        <v>1.4566195692499999</v>
      </c>
      <c r="B13">
        <v>0.2937814786724201</v>
      </c>
      <c r="C13">
        <f t="shared" si="0"/>
        <v>0.34116073820652321</v>
      </c>
      <c r="D13">
        <f t="shared" si="1"/>
        <v>-4.7379259534103102E-2</v>
      </c>
      <c r="E13">
        <f t="shared" si="2"/>
        <v>2.2447942339998998E-3</v>
      </c>
    </row>
    <row r="14" spans="1:8" x14ac:dyDescent="0.25">
      <c r="A14">
        <v>1.57277067655</v>
      </c>
      <c r="B14">
        <v>0.25915530070734666</v>
      </c>
      <c r="C14">
        <f t="shared" si="0"/>
        <v>0.29525372335165601</v>
      </c>
      <c r="D14">
        <f t="shared" si="1"/>
        <v>-3.6098422644309347E-2</v>
      </c>
      <c r="E14">
        <f t="shared" si="2"/>
        <v>1.3030961174071859E-3</v>
      </c>
    </row>
    <row r="15" spans="1:8" x14ac:dyDescent="0.25">
      <c r="A15">
        <v>1.6889217838499999</v>
      </c>
      <c r="B15">
        <v>0.20775706779044073</v>
      </c>
      <c r="C15">
        <f t="shared" si="0"/>
        <v>0.25315012852505109</v>
      </c>
      <c r="D15">
        <f t="shared" si="1"/>
        <v>-4.5393060734610358E-2</v>
      </c>
      <c r="E15">
        <f t="shared" si="2"/>
        <v>2.0605299628560247E-3</v>
      </c>
    </row>
    <row r="16" spans="1:8" x14ac:dyDescent="0.25">
      <c r="A16">
        <v>1.80507289115</v>
      </c>
      <c r="B16">
        <v>0.1866567405929741</v>
      </c>
      <c r="C16">
        <f t="shared" si="0"/>
        <v>0.21516194262336952</v>
      </c>
      <c r="D16">
        <f t="shared" si="1"/>
        <v>-2.8505202030395416E-2</v>
      </c>
      <c r="E16">
        <f t="shared" si="2"/>
        <v>8.1254654279365891E-4</v>
      </c>
    </row>
    <row r="17" spans="1:5" x14ac:dyDescent="0.25">
      <c r="A17">
        <v>1.9212239984500001</v>
      </c>
      <c r="B17">
        <v>0.16176917518057754</v>
      </c>
      <c r="C17">
        <f t="shared" si="0"/>
        <v>0.1813745017310984</v>
      </c>
      <c r="D17">
        <f t="shared" si="1"/>
        <v>-1.9605326550520857E-2</v>
      </c>
      <c r="E17">
        <f t="shared" si="2"/>
        <v>3.8436882915255809E-4</v>
      </c>
    </row>
    <row r="18" spans="1:5" x14ac:dyDescent="0.25">
      <c r="A18">
        <v>2.0373751057500002</v>
      </c>
      <c r="B18">
        <v>0.13850471186029381</v>
      </c>
      <c r="C18">
        <f t="shared" si="0"/>
        <v>0.15170455679880918</v>
      </c>
      <c r="D18">
        <f t="shared" si="1"/>
        <v>-1.3199844938515365E-2</v>
      </c>
      <c r="E18">
        <f t="shared" si="2"/>
        <v>1.7423590640084971E-4</v>
      </c>
    </row>
    <row r="19" spans="1:5" x14ac:dyDescent="0.25">
      <c r="A19">
        <v>2.1535262130500001</v>
      </c>
      <c r="B19">
        <v>0.11902748675494</v>
      </c>
      <c r="C19">
        <f t="shared" si="0"/>
        <v>0.12594941835431603</v>
      </c>
      <c r="D19">
        <f t="shared" si="1"/>
        <v>-6.9219315993760272E-3</v>
      </c>
      <c r="E19">
        <f t="shared" si="2"/>
        <v>4.7913137066440365E-5</v>
      </c>
    </row>
    <row r="20" spans="1:5" x14ac:dyDescent="0.25">
      <c r="A20">
        <v>2.2696773203500005</v>
      </c>
      <c r="B20">
        <v>0.107124738079446</v>
      </c>
      <c r="C20">
        <f t="shared" si="0"/>
        <v>0.10382750072712546</v>
      </c>
      <c r="D20">
        <f t="shared" si="1"/>
        <v>3.2972373523205423E-3</v>
      </c>
      <c r="E20">
        <f t="shared" si="2"/>
        <v>1.087177415753778E-5</v>
      </c>
    </row>
    <row r="21" spans="1:5" x14ac:dyDescent="0.25">
      <c r="A21">
        <v>2.3858284276499999</v>
      </c>
      <c r="B21">
        <v>9.630405746536054E-2</v>
      </c>
      <c r="C21">
        <f t="shared" si="0"/>
        <v>8.5010866065913945E-2</v>
      </c>
      <c r="D21">
        <f t="shared" si="1"/>
        <v>1.1293191399446595E-2</v>
      </c>
      <c r="E21">
        <f t="shared" si="2"/>
        <v>1.2753617198453453E-4</v>
      </c>
    </row>
    <row r="22" spans="1:5" x14ac:dyDescent="0.25">
      <c r="A22">
        <v>2.5019795349500003</v>
      </c>
      <c r="B22">
        <v>7.5203730267893912E-2</v>
      </c>
      <c r="C22">
        <f t="shared" si="0"/>
        <v>6.9150563670940399E-2</v>
      </c>
      <c r="D22">
        <f t="shared" si="1"/>
        <v>6.0531665969535131E-3</v>
      </c>
      <c r="E22">
        <f t="shared" si="2"/>
        <v>3.6640825850473776E-5</v>
      </c>
    </row>
    <row r="23" spans="1:5" x14ac:dyDescent="0.25">
      <c r="A23">
        <v>2.6181306422500001</v>
      </c>
      <c r="B23">
        <v>6.2759947561695631E-2</v>
      </c>
      <c r="C23">
        <f t="shared" si="0"/>
        <v>5.5895672486074306E-2</v>
      </c>
      <c r="D23">
        <f t="shared" si="1"/>
        <v>6.8642750756213247E-3</v>
      </c>
      <c r="E23">
        <f t="shared" si="2"/>
        <v>4.7118272313796145E-5</v>
      </c>
    </row>
    <row r="24" spans="1:5" x14ac:dyDescent="0.25">
      <c r="A24">
        <v>2.73428174955</v>
      </c>
      <c r="B24">
        <v>6.2759947561695631E-2</v>
      </c>
      <c r="C24">
        <f t="shared" si="0"/>
        <v>4.4906994596797332E-2</v>
      </c>
      <c r="D24">
        <f t="shared" si="1"/>
        <v>1.7852952964898298E-2</v>
      </c>
      <c r="E24">
        <f t="shared" si="2"/>
        <v>3.1872792956687095E-4</v>
      </c>
    </row>
    <row r="25" spans="1:5" x14ac:dyDescent="0.25">
      <c r="A25">
        <v>2.8504328568499999</v>
      </c>
      <c r="B25">
        <v>4.1659620364229002E-2</v>
      </c>
      <c r="C25">
        <f t="shared" si="0"/>
        <v>3.5866330270945365E-2</v>
      </c>
      <c r="D25">
        <f t="shared" si="1"/>
        <v>5.7932900932836373E-3</v>
      </c>
      <c r="E25">
        <f t="shared" si="2"/>
        <v>3.3562210104938332E-5</v>
      </c>
    </row>
    <row r="26" spans="1:5" x14ac:dyDescent="0.25">
      <c r="A26">
        <v>2.9665839641499998</v>
      </c>
      <c r="B26">
        <v>3.1379973780847815E-2</v>
      </c>
      <c r="C26">
        <f t="shared" si="0"/>
        <v>2.8482206213243898E-2</v>
      </c>
      <c r="D26">
        <f t="shared" si="1"/>
        <v>2.8977675676039177E-3</v>
      </c>
      <c r="E26">
        <f t="shared" si="2"/>
        <v>8.3970568758571253E-6</v>
      </c>
    </row>
    <row r="27" spans="1:5" x14ac:dyDescent="0.25">
      <c r="A27">
        <v>3.0827350714500001</v>
      </c>
      <c r="B27">
        <v>4.1118586333524727E-2</v>
      </c>
      <c r="C27">
        <f t="shared" si="0"/>
        <v>2.2492842795623854E-2</v>
      </c>
      <c r="D27">
        <f t="shared" si="1"/>
        <v>1.8625743537900873E-2</v>
      </c>
      <c r="E27">
        <f t="shared" si="2"/>
        <v>3.4691832233965615E-4</v>
      </c>
    </row>
    <row r="28" spans="1:5" x14ac:dyDescent="0.25">
      <c r="A28">
        <v>3.1988861787500005</v>
      </c>
      <c r="B28">
        <v>2.1641361228170911E-2</v>
      </c>
      <c r="C28">
        <f t="shared" si="0"/>
        <v>1.7667045373414163E-2</v>
      </c>
      <c r="D28">
        <f t="shared" si="1"/>
        <v>3.9743158547567471E-3</v>
      </c>
      <c r="E28">
        <f t="shared" si="2"/>
        <v>1.5795186513370853E-5</v>
      </c>
    </row>
    <row r="29" spans="1:5" x14ac:dyDescent="0.25">
      <c r="A29">
        <v>3.3150372860499999</v>
      </c>
      <c r="B29">
        <v>2.2182395258875182E-2</v>
      </c>
      <c r="C29">
        <f t="shared" si="0"/>
        <v>1.3803599147492348E-2</v>
      </c>
      <c r="D29">
        <f t="shared" si="1"/>
        <v>8.3787961113828344E-3</v>
      </c>
      <c r="E29">
        <f t="shared" si="2"/>
        <v>7.0204224276124101E-5</v>
      </c>
    </row>
    <row r="30" spans="1:5" x14ac:dyDescent="0.25">
      <c r="A30">
        <v>3.4311883933500003</v>
      </c>
      <c r="B30">
        <v>7.0334423991555454E-3</v>
      </c>
      <c r="C30">
        <f t="shared" si="0"/>
        <v>1.0729643608068664E-2</v>
      </c>
      <c r="D30">
        <f t="shared" si="1"/>
        <v>-3.6962012089131182E-3</v>
      </c>
      <c r="E30">
        <f t="shared" si="2"/>
        <v>1.3661903376770797E-5</v>
      </c>
    </row>
    <row r="31" spans="1:5" x14ac:dyDescent="0.25">
      <c r="A31">
        <v>3.5473395006500001</v>
      </c>
      <c r="B31">
        <v>1.4607918829015364E-2</v>
      </c>
      <c r="C31">
        <f t="shared" si="0"/>
        <v>8.2984063496272763E-3</v>
      </c>
      <c r="D31">
        <f t="shared" si="1"/>
        <v>6.309512479388088E-3</v>
      </c>
      <c r="E31">
        <f t="shared" si="2"/>
        <v>3.9809947727554019E-5</v>
      </c>
    </row>
    <row r="32" spans="1:5" x14ac:dyDescent="0.25">
      <c r="A32">
        <v>3.66349060795</v>
      </c>
      <c r="B32">
        <v>7.0334423991555454E-3</v>
      </c>
      <c r="C32">
        <f t="shared" si="0"/>
        <v>6.3865900159096904E-3</v>
      </c>
      <c r="D32">
        <f t="shared" si="1"/>
        <v>6.4685238324585503E-4</v>
      </c>
      <c r="E32">
        <f t="shared" si="2"/>
        <v>4.1841800571084252E-7</v>
      </c>
    </row>
    <row r="33" spans="1:5" x14ac:dyDescent="0.25">
      <c r="A33">
        <v>3.7796417152499999</v>
      </c>
      <c r="B33">
        <v>1.0279646583381182E-2</v>
      </c>
      <c r="C33">
        <f t="shared" si="0"/>
        <v>4.8916318298416143E-3</v>
      </c>
      <c r="D33">
        <f t="shared" si="1"/>
        <v>5.3880147535395675E-3</v>
      </c>
      <c r="E33">
        <f t="shared" si="2"/>
        <v>2.9030702984360046E-5</v>
      </c>
    </row>
    <row r="34" spans="1:5" x14ac:dyDescent="0.25">
      <c r="A34">
        <v>3.8957928225499998</v>
      </c>
      <c r="B34">
        <v>3.787238214929909E-3</v>
      </c>
      <c r="C34">
        <f t="shared" si="0"/>
        <v>3.7289929479177794E-3</v>
      </c>
      <c r="D34">
        <f t="shared" si="1"/>
        <v>5.8245267012129592E-5</v>
      </c>
      <c r="E34">
        <f t="shared" si="2"/>
        <v>3.3925111293142716E-9</v>
      </c>
    </row>
    <row r="35" spans="1:5" x14ac:dyDescent="0.25">
      <c r="A35">
        <v>4.0119439298500001</v>
      </c>
      <c r="B35">
        <v>4.3282722456341816E-3</v>
      </c>
      <c r="C35">
        <f t="shared" si="0"/>
        <v>2.829584302244208E-3</v>
      </c>
      <c r="D35">
        <f t="shared" si="1"/>
        <v>1.4986879433899736E-3</v>
      </c>
      <c r="E35">
        <f t="shared" si="2"/>
        <v>2.2460655516624688E-6</v>
      </c>
    </row>
    <row r="36" spans="1:5" x14ac:dyDescent="0.25">
      <c r="A36">
        <v>4.1280950371500005</v>
      </c>
      <c r="B36">
        <v>5.4103403070427276E-3</v>
      </c>
      <c r="C36">
        <f t="shared" si="0"/>
        <v>2.1373956803286188E-3</v>
      </c>
      <c r="D36">
        <f t="shared" si="1"/>
        <v>3.2729446267141088E-3</v>
      </c>
      <c r="E36">
        <f t="shared" si="2"/>
        <v>1.0712166529536758E-5</v>
      </c>
    </row>
    <row r="37" spans="1:5" x14ac:dyDescent="0.25">
      <c r="A37">
        <v>4.2442461444500008</v>
      </c>
      <c r="B37">
        <v>2.1641361228170908E-3</v>
      </c>
      <c r="C37">
        <f t="shared" si="0"/>
        <v>1.6073642691218034E-3</v>
      </c>
      <c r="D37">
        <f t="shared" si="1"/>
        <v>5.5677185369528738E-4</v>
      </c>
      <c r="E37">
        <f t="shared" si="2"/>
        <v>3.0999489706728651E-7</v>
      </c>
    </row>
    <row r="38" spans="1:5" x14ac:dyDescent="0.25">
      <c r="A38">
        <v>4.3603972517500003</v>
      </c>
      <c r="B38">
        <v>0</v>
      </c>
      <c r="C38">
        <f t="shared" si="0"/>
        <v>1.2034963582028882E-3</v>
      </c>
      <c r="D38">
        <f t="shared" si="1"/>
        <v>-1.2034963582028882E-3</v>
      </c>
      <c r="E38">
        <f t="shared" si="2"/>
        <v>1.4484034842076147E-6</v>
      </c>
    </row>
    <row r="39" spans="1:5" x14ac:dyDescent="0.25">
      <c r="A39">
        <v>4.4765483590499997</v>
      </c>
      <c r="B39">
        <v>1.0820680614085454E-3</v>
      </c>
      <c r="C39">
        <f t="shared" si="0"/>
        <v>8.972399610669749E-4</v>
      </c>
      <c r="D39">
        <f t="shared" si="1"/>
        <v>1.848281003415705E-4</v>
      </c>
      <c r="E39">
        <f t="shared" si="2"/>
        <v>3.4161426675873655E-8</v>
      </c>
    </row>
    <row r="40" spans="1:5" x14ac:dyDescent="0.25">
      <c r="A40">
        <v>4.59269946635</v>
      </c>
      <c r="B40">
        <v>1.0820680614085454E-3</v>
      </c>
      <c r="C40">
        <f t="shared" si="0"/>
        <v>6.6609546192423466E-4</v>
      </c>
      <c r="D40">
        <f t="shared" si="1"/>
        <v>4.1597259948431074E-4</v>
      </c>
      <c r="E40">
        <f t="shared" si="2"/>
        <v>1.7303320352173479E-7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EF6C6-4ACB-494B-A9AA-4AB1C070699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6.4991115899999993E-2</v>
      </c>
      <c r="B1">
        <v>0.26938339964947666</v>
      </c>
      <c r="C1">
        <f>$H$3*(1+$H$1)*(A1^($H$1))*EXP(-$H$3*(A1^(1+$H$1)))</f>
        <v>0.29050933566142711</v>
      </c>
      <c r="D1">
        <f>B1-C1</f>
        <v>-2.1125936011950452E-2</v>
      </c>
      <c r="E1">
        <f>D1^2</f>
        <v>4.4630517238102501E-4</v>
      </c>
      <c r="G1" t="s">
        <v>0</v>
      </c>
      <c r="H1">
        <v>0.54749614329289442</v>
      </c>
    </row>
    <row r="2" spans="1:8" x14ac:dyDescent="0.25">
      <c r="A2">
        <v>0.17626557370000001</v>
      </c>
      <c r="B2">
        <v>0.45744350883873391</v>
      </c>
      <c r="C2">
        <f t="shared" ref="C2:C40" si="0">$H$3*(1+$H$1)*(A2^($H$1))*EXP(-$H$3*(A2^(1+$H$1)))</f>
        <v>0.47933415237811899</v>
      </c>
      <c r="D2">
        <f t="shared" ref="D2:D40" si="1">B2-C2</f>
        <v>-2.189064353938508E-2</v>
      </c>
      <c r="E2">
        <f t="shared" ref="E2:E40" si="2">D2^2</f>
        <v>4.792002745684217E-4</v>
      </c>
    </row>
    <row r="3" spans="1:8" x14ac:dyDescent="0.25">
      <c r="A3">
        <v>0.28754003149999996</v>
      </c>
      <c r="B3">
        <v>0.67374087166001184</v>
      </c>
      <c r="C3">
        <f t="shared" si="0"/>
        <v>0.58687463787484218</v>
      </c>
      <c r="D3">
        <f t="shared" si="1"/>
        <v>8.6866233785169666E-2</v>
      </c>
      <c r="E3">
        <f t="shared" si="2"/>
        <v>7.5457425720197521E-3</v>
      </c>
      <c r="G3" t="s">
        <v>1</v>
      </c>
      <c r="H3">
        <f>(_xlfn.GAMMA((2+$H$1)/(1+$H$1)))^(1+$H$1)</f>
        <v>0.8488929537025407</v>
      </c>
    </row>
    <row r="4" spans="1:8" x14ac:dyDescent="0.25">
      <c r="A4">
        <v>0.39881448929999996</v>
      </c>
      <c r="B4">
        <v>0.66018698991664193</v>
      </c>
      <c r="C4">
        <f t="shared" si="0"/>
        <v>0.64717308696400611</v>
      </c>
      <c r="D4">
        <f t="shared" si="1"/>
        <v>1.3013902952635825E-2</v>
      </c>
      <c r="E4">
        <f t="shared" si="2"/>
        <v>1.6936167006062345E-4</v>
      </c>
    </row>
    <row r="5" spans="1:8" x14ac:dyDescent="0.25">
      <c r="A5">
        <v>0.51008894709999997</v>
      </c>
      <c r="B5">
        <v>0.64437412788271042</v>
      </c>
      <c r="C5">
        <f t="shared" si="0"/>
        <v>0.67349876975149225</v>
      </c>
      <c r="D5">
        <f t="shared" si="1"/>
        <v>-2.9124641868781831E-2</v>
      </c>
      <c r="E5">
        <f t="shared" si="2"/>
        <v>8.4824476398479964E-4</v>
      </c>
      <c r="G5" t="s">
        <v>2</v>
      </c>
      <c r="H5">
        <f>SUM(E1:E40)</f>
        <v>3.38534601954266E-2</v>
      </c>
    </row>
    <row r="6" spans="1:8" x14ac:dyDescent="0.25">
      <c r="A6">
        <v>0.62136340489999997</v>
      </c>
      <c r="B6">
        <v>0.66018698991664193</v>
      </c>
      <c r="C6">
        <f t="shared" si="0"/>
        <v>0.67421923249387661</v>
      </c>
      <c r="D6">
        <f t="shared" si="1"/>
        <v>-1.4032242577234677E-2</v>
      </c>
      <c r="E6">
        <f t="shared" si="2"/>
        <v>1.969038317463577E-4</v>
      </c>
    </row>
    <row r="7" spans="1:8" x14ac:dyDescent="0.25">
      <c r="A7">
        <v>0.73263786269999986</v>
      </c>
      <c r="B7">
        <v>0.61500738410540889</v>
      </c>
      <c r="C7">
        <f t="shared" si="0"/>
        <v>0.65570693802852553</v>
      </c>
      <c r="D7">
        <f t="shared" si="1"/>
        <v>-4.0699553923116638E-2</v>
      </c>
      <c r="E7">
        <f t="shared" si="2"/>
        <v>1.6564536895406789E-3</v>
      </c>
    </row>
    <row r="8" spans="1:8" x14ac:dyDescent="0.25">
      <c r="A8">
        <v>0.84391232049999987</v>
      </c>
      <c r="B8">
        <v>0.65228055889967618</v>
      </c>
      <c r="C8">
        <f t="shared" si="0"/>
        <v>0.62317678775209184</v>
      </c>
      <c r="D8">
        <f t="shared" si="1"/>
        <v>2.9103771147584334E-2</v>
      </c>
      <c r="E8">
        <f t="shared" si="2"/>
        <v>8.4702949501096235E-4</v>
      </c>
    </row>
    <row r="9" spans="1:8" x14ac:dyDescent="0.25">
      <c r="A9">
        <v>0.95518677830000009</v>
      </c>
      <c r="B9">
        <v>0.66414020542512486</v>
      </c>
      <c r="C9">
        <f t="shared" si="0"/>
        <v>0.58098137058280475</v>
      </c>
      <c r="D9">
        <f t="shared" si="1"/>
        <v>8.3158834842320117E-2</v>
      </c>
      <c r="E9">
        <f t="shared" si="2"/>
        <v>6.9153918123322743E-3</v>
      </c>
    </row>
    <row r="10" spans="1:8" x14ac:dyDescent="0.25">
      <c r="A10">
        <v>1.0664612360999999</v>
      </c>
      <c r="B10">
        <v>0.60258299250731984</v>
      </c>
      <c r="C10">
        <f t="shared" si="0"/>
        <v>0.53273667105812861</v>
      </c>
      <c r="D10">
        <f t="shared" si="1"/>
        <v>6.9846321449191229E-2</v>
      </c>
      <c r="E10">
        <f t="shared" si="2"/>
        <v>4.8785086199837511E-3</v>
      </c>
    </row>
    <row r="11" spans="1:8" x14ac:dyDescent="0.25">
      <c r="A11">
        <v>1.1777356938999999</v>
      </c>
      <c r="B11">
        <v>0.46817366521890175</v>
      </c>
      <c r="C11">
        <f t="shared" si="0"/>
        <v>0.48139474124710568</v>
      </c>
      <c r="D11">
        <f t="shared" si="1"/>
        <v>-1.3221076028203937E-2</v>
      </c>
      <c r="E11">
        <f t="shared" si="2"/>
        <v>1.7479685134354881E-4</v>
      </c>
    </row>
    <row r="12" spans="1:8" x14ac:dyDescent="0.25">
      <c r="A12">
        <v>1.2890101516999999</v>
      </c>
      <c r="B12">
        <v>0.40548696215581598</v>
      </c>
      <c r="C12">
        <f t="shared" si="0"/>
        <v>0.42930369277967856</v>
      </c>
      <c r="D12">
        <f t="shared" si="1"/>
        <v>-2.3816730623862581E-2</v>
      </c>
      <c r="E12">
        <f t="shared" si="2"/>
        <v>5.6723665760963367E-4</v>
      </c>
    </row>
    <row r="13" spans="1:8" x14ac:dyDescent="0.25">
      <c r="A13">
        <v>1.4002846094999999</v>
      </c>
      <c r="B13">
        <v>0.34336500416537064</v>
      </c>
      <c r="C13">
        <f t="shared" si="0"/>
        <v>0.37826843297520235</v>
      </c>
      <c r="D13">
        <f t="shared" si="1"/>
        <v>-3.4903428809831716E-2</v>
      </c>
      <c r="E13">
        <f t="shared" si="2"/>
        <v>1.2182493426829907E-3</v>
      </c>
    </row>
    <row r="14" spans="1:8" x14ac:dyDescent="0.25">
      <c r="A14">
        <v>1.5115590672999999</v>
      </c>
      <c r="B14">
        <v>0.2902789673371719</v>
      </c>
      <c r="C14">
        <f t="shared" si="0"/>
        <v>0.32961511638268243</v>
      </c>
      <c r="D14">
        <f t="shared" si="1"/>
        <v>-3.9336149045510527E-2</v>
      </c>
      <c r="E14">
        <f t="shared" si="2"/>
        <v>1.5473326217306188E-3</v>
      </c>
    </row>
    <row r="15" spans="1:8" x14ac:dyDescent="0.25">
      <c r="A15">
        <v>1.6228335250999999</v>
      </c>
      <c r="B15">
        <v>0.23267496992784986</v>
      </c>
      <c r="C15">
        <f t="shared" si="0"/>
        <v>0.28425820912727473</v>
      </c>
      <c r="D15">
        <f t="shared" si="1"/>
        <v>-5.1583239199424868E-2</v>
      </c>
      <c r="E15">
        <f t="shared" si="2"/>
        <v>2.6608305663050821E-3</v>
      </c>
    </row>
    <row r="16" spans="1:8" x14ac:dyDescent="0.25">
      <c r="A16">
        <v>1.7341079828999999</v>
      </c>
      <c r="B16">
        <v>0.20669669658639089</v>
      </c>
      <c r="C16">
        <f t="shared" si="0"/>
        <v>0.24276771609666437</v>
      </c>
      <c r="D16">
        <f t="shared" si="1"/>
        <v>-3.6071019510273472E-2</v>
      </c>
      <c r="E16">
        <f t="shared" si="2"/>
        <v>1.3011184485105295E-3</v>
      </c>
    </row>
    <row r="17" spans="1:5" x14ac:dyDescent="0.25">
      <c r="A17">
        <v>1.8453824406999999</v>
      </c>
      <c r="B17">
        <v>0.17789469788172987</v>
      </c>
      <c r="C17">
        <f t="shared" si="0"/>
        <v>0.20543399748797883</v>
      </c>
      <c r="D17">
        <f t="shared" si="1"/>
        <v>-2.7539299606248957E-2</v>
      </c>
      <c r="E17">
        <f t="shared" si="2"/>
        <v>7.5841302280274395E-4</v>
      </c>
    </row>
    <row r="18" spans="1:5" x14ac:dyDescent="0.25">
      <c r="A18">
        <v>1.9566568984999999</v>
      </c>
      <c r="B18">
        <v>0.14965744424970925</v>
      </c>
      <c r="C18">
        <f t="shared" si="0"/>
        <v>0.17232801429029834</v>
      </c>
      <c r="D18">
        <f t="shared" si="1"/>
        <v>-2.2670570040589089E-2</v>
      </c>
      <c r="E18">
        <f t="shared" si="2"/>
        <v>5.1395474596525556E-4</v>
      </c>
    </row>
    <row r="19" spans="1:5" x14ac:dyDescent="0.25">
      <c r="A19">
        <v>2.0679313562999999</v>
      </c>
      <c r="B19">
        <v>0.14005677801482225</v>
      </c>
      <c r="C19">
        <f t="shared" si="0"/>
        <v>0.14335545211000114</v>
      </c>
      <c r="D19">
        <f t="shared" si="1"/>
        <v>-3.298674095178894E-3</v>
      </c>
      <c r="E19">
        <f t="shared" si="2"/>
        <v>1.0881250786204294E-5</v>
      </c>
    </row>
    <row r="20" spans="1:5" x14ac:dyDescent="0.25">
      <c r="A20">
        <v>2.1792058140999995</v>
      </c>
      <c r="B20">
        <v>0.10673681872903791</v>
      </c>
      <c r="C20">
        <f t="shared" si="0"/>
        <v>0.11830380460151074</v>
      </c>
      <c r="D20">
        <f t="shared" si="1"/>
        <v>-1.1566985872472832E-2</v>
      </c>
      <c r="E20">
        <f t="shared" si="2"/>
        <v>1.3379516217398608E-4</v>
      </c>
    </row>
    <row r="21" spans="1:5" x14ac:dyDescent="0.25">
      <c r="A21">
        <v>2.2904802718999999</v>
      </c>
      <c r="B21">
        <v>9.8830387712072143E-2</v>
      </c>
      <c r="C21">
        <f t="shared" si="0"/>
        <v>9.6882063179166575E-2</v>
      </c>
      <c r="D21">
        <f t="shared" si="1"/>
        <v>1.9483245329055682E-3</v>
      </c>
      <c r="E21">
        <f t="shared" si="2"/>
        <v>3.7959684855217004E-6</v>
      </c>
    </row>
    <row r="22" spans="1:5" x14ac:dyDescent="0.25">
      <c r="A22">
        <v>2.4017547297000004</v>
      </c>
      <c r="B22">
        <v>8.3582270750781021E-2</v>
      </c>
      <c r="C22">
        <f t="shared" si="0"/>
        <v>7.8753118731596364E-2</v>
      </c>
      <c r="D22">
        <f t="shared" si="1"/>
        <v>4.8291520191846571E-3</v>
      </c>
      <c r="E22">
        <f t="shared" si="2"/>
        <v>2.332070922439525E-5</v>
      </c>
    </row>
    <row r="23" spans="1:5" x14ac:dyDescent="0.25">
      <c r="A23">
        <v>2.5130291874999999</v>
      </c>
      <c r="B23">
        <v>7.5675839733815239E-2</v>
      </c>
      <c r="C23">
        <f t="shared" si="0"/>
        <v>6.3559322210253857E-2</v>
      </c>
      <c r="D23">
        <f t="shared" si="1"/>
        <v>1.2116517523561382E-2</v>
      </c>
      <c r="E23">
        <f t="shared" si="2"/>
        <v>1.4680999689877005E-4</v>
      </c>
    </row>
    <row r="24" spans="1:5" x14ac:dyDescent="0.25">
      <c r="A24">
        <v>2.6243036452999995</v>
      </c>
      <c r="B24">
        <v>6.7769408716849472E-2</v>
      </c>
      <c r="C24">
        <f t="shared" si="0"/>
        <v>5.0941879243266687E-2</v>
      </c>
      <c r="D24">
        <f t="shared" si="1"/>
        <v>1.6827529473582785E-2</v>
      </c>
      <c r="E24">
        <f t="shared" si="2"/>
        <v>2.8316574818429733E-4</v>
      </c>
    </row>
    <row r="25" spans="1:5" x14ac:dyDescent="0.25">
      <c r="A25">
        <v>2.7355781030999999</v>
      </c>
      <c r="B25">
        <v>5.0262311464996691E-2</v>
      </c>
      <c r="C25">
        <f t="shared" si="0"/>
        <v>4.0554883427586091E-2</v>
      </c>
      <c r="D25">
        <f t="shared" si="1"/>
        <v>9.7074280374105995E-3</v>
      </c>
      <c r="E25">
        <f t="shared" si="2"/>
        <v>9.42341591015054E-5</v>
      </c>
    </row>
    <row r="26" spans="1:5" x14ac:dyDescent="0.25">
      <c r="A26">
        <v>2.8468525608999999</v>
      </c>
      <c r="B26">
        <v>3.3884704358424736E-2</v>
      </c>
      <c r="C26">
        <f t="shared" si="0"/>
        <v>3.2074841931806174E-2</v>
      </c>
      <c r="D26">
        <f t="shared" si="1"/>
        <v>1.8098624266185623E-3</v>
      </c>
      <c r="E26">
        <f t="shared" si="2"/>
        <v>3.2756020032856307E-6</v>
      </c>
    </row>
    <row r="27" spans="1:5" x14ac:dyDescent="0.25">
      <c r="A27">
        <v>2.9581270186999999</v>
      </c>
      <c r="B27">
        <v>3.5578939576345975E-2</v>
      </c>
      <c r="C27">
        <f t="shared" si="0"/>
        <v>2.5206534697818757E-2</v>
      </c>
      <c r="D27">
        <f t="shared" si="1"/>
        <v>1.0372404878527218E-2</v>
      </c>
      <c r="E27">
        <f t="shared" si="2"/>
        <v>1.0758678296409523E-4</v>
      </c>
    </row>
    <row r="28" spans="1:5" x14ac:dyDescent="0.25">
      <c r="A28">
        <v>3.0694014764999999</v>
      </c>
      <c r="B28">
        <v>3.4449449431065149E-2</v>
      </c>
      <c r="C28">
        <f t="shared" si="0"/>
        <v>1.9685992971847244E-2</v>
      </c>
      <c r="D28">
        <f t="shared" si="1"/>
        <v>1.4763456459217904E-2</v>
      </c>
      <c r="E28">
        <f t="shared" si="2"/>
        <v>2.1795964662322287E-4</v>
      </c>
    </row>
    <row r="29" spans="1:5" x14ac:dyDescent="0.25">
      <c r="A29">
        <v>3.1806759343</v>
      </c>
      <c r="B29">
        <v>1.9201332469774016E-2</v>
      </c>
      <c r="C29">
        <f t="shared" si="0"/>
        <v>1.5281299971681034E-2</v>
      </c>
      <c r="D29">
        <f t="shared" si="1"/>
        <v>3.9200324980929822E-3</v>
      </c>
      <c r="E29">
        <f t="shared" si="2"/>
        <v>1.5366654786105106E-5</v>
      </c>
    </row>
    <row r="30" spans="1:5" x14ac:dyDescent="0.25">
      <c r="A30">
        <v>3.2919503920999995</v>
      </c>
      <c r="B30">
        <v>1.4118626816010307E-2</v>
      </c>
      <c r="C30">
        <f t="shared" si="0"/>
        <v>1.1791819237169742E-2</v>
      </c>
      <c r="D30">
        <f t="shared" si="1"/>
        <v>2.3268075788405642E-3</v>
      </c>
      <c r="E30">
        <f t="shared" si="2"/>
        <v>5.4140335089498883E-6</v>
      </c>
    </row>
    <row r="31" spans="1:5" x14ac:dyDescent="0.25">
      <c r="A31">
        <v>3.4032248499</v>
      </c>
      <c r="B31">
        <v>1.3553881743369894E-2</v>
      </c>
      <c r="C31">
        <f t="shared" si="0"/>
        <v>9.0463547071365329E-3</v>
      </c>
      <c r="D31">
        <f t="shared" si="1"/>
        <v>4.5075270362333608E-3</v>
      </c>
      <c r="E31">
        <f t="shared" si="2"/>
        <v>2.0317799982374705E-5</v>
      </c>
    </row>
    <row r="32" spans="1:5" x14ac:dyDescent="0.25">
      <c r="A32">
        <v>3.5144993077</v>
      </c>
      <c r="B32">
        <v>7.906431016965771E-3</v>
      </c>
      <c r="C32">
        <f t="shared" si="0"/>
        <v>6.900648136837168E-3</v>
      </c>
      <c r="D32">
        <f t="shared" si="1"/>
        <v>1.005782880128603E-3</v>
      </c>
      <c r="E32">
        <f t="shared" si="2"/>
        <v>1.0115992019597878E-6</v>
      </c>
    </row>
    <row r="33" spans="1:5" x14ac:dyDescent="0.25">
      <c r="A33">
        <v>3.6257737655</v>
      </c>
      <c r="B33">
        <v>1.1859646525448658E-2</v>
      </c>
      <c r="C33">
        <f t="shared" si="0"/>
        <v>5.2345289976402443E-3</v>
      </c>
      <c r="D33">
        <f t="shared" si="1"/>
        <v>6.625117527808414E-3</v>
      </c>
      <c r="E33">
        <f t="shared" si="2"/>
        <v>4.3892182257274268E-5</v>
      </c>
    </row>
    <row r="34" spans="1:5" x14ac:dyDescent="0.25">
      <c r="A34">
        <v>3.7370482232999995</v>
      </c>
      <c r="B34">
        <v>3.3884704358424734E-3</v>
      </c>
      <c r="C34">
        <f t="shared" si="0"/>
        <v>3.9489523475604053E-3</v>
      </c>
      <c r="D34">
        <f t="shared" si="1"/>
        <v>-5.6048191171793188E-4</v>
      </c>
      <c r="E34">
        <f t="shared" si="2"/>
        <v>3.1413997336298759E-7</v>
      </c>
    </row>
    <row r="35" spans="1:5" x14ac:dyDescent="0.25">
      <c r="A35">
        <v>3.8483226811</v>
      </c>
      <c r="B35">
        <v>5.0827056537637106E-3</v>
      </c>
      <c r="C35">
        <f t="shared" si="0"/>
        <v>2.9630926094146044E-3</v>
      </c>
      <c r="D35">
        <f t="shared" si="1"/>
        <v>2.1196130443491062E-3</v>
      </c>
      <c r="E35">
        <f t="shared" si="2"/>
        <v>4.4927594577748863E-6</v>
      </c>
    </row>
    <row r="36" spans="1:5" x14ac:dyDescent="0.25">
      <c r="A36">
        <v>3.9595971389000004</v>
      </c>
      <c r="B36">
        <v>5.6474507264041227E-3</v>
      </c>
      <c r="C36">
        <f t="shared" si="0"/>
        <v>2.2116058582255203E-3</v>
      </c>
      <c r="D36">
        <f t="shared" si="1"/>
        <v>3.4358448681786023E-3</v>
      </c>
      <c r="E36">
        <f t="shared" si="2"/>
        <v>1.1805029958189237E-5</v>
      </c>
    </row>
    <row r="37" spans="1:5" x14ac:dyDescent="0.25">
      <c r="A37">
        <v>4.0708715967</v>
      </c>
      <c r="B37">
        <v>2.2589802905616492E-3</v>
      </c>
      <c r="C37">
        <f t="shared" si="0"/>
        <v>1.64212941638295E-3</v>
      </c>
      <c r="D37">
        <f t="shared" si="1"/>
        <v>6.1685087417869921E-4</v>
      </c>
      <c r="E37">
        <f t="shared" si="2"/>
        <v>3.8050500097502543E-7</v>
      </c>
    </row>
    <row r="38" spans="1:5" x14ac:dyDescent="0.25">
      <c r="A38">
        <v>4.1821460545000004</v>
      </c>
      <c r="B38">
        <v>1.6942352179212367E-3</v>
      </c>
      <c r="C38">
        <f t="shared" si="0"/>
        <v>1.2130541037289303E-3</v>
      </c>
      <c r="D38">
        <f t="shared" si="1"/>
        <v>4.8118111419230645E-4</v>
      </c>
      <c r="E38">
        <f t="shared" si="2"/>
        <v>2.3153526465534946E-7</v>
      </c>
    </row>
    <row r="39" spans="1:5" x14ac:dyDescent="0.25">
      <c r="A39">
        <v>4.2934205122999991</v>
      </c>
      <c r="B39">
        <v>5.6474507264041231E-4</v>
      </c>
      <c r="C39">
        <f t="shared" si="0"/>
        <v>8.9157995437164897E-4</v>
      </c>
      <c r="D39">
        <f t="shared" si="1"/>
        <v>-3.2683488173123666E-4</v>
      </c>
      <c r="E39">
        <f t="shared" si="2"/>
        <v>1.0682103991627146E-7</v>
      </c>
    </row>
    <row r="40" spans="1:5" x14ac:dyDescent="0.25">
      <c r="A40">
        <v>4.4046949700999996</v>
      </c>
      <c r="B40">
        <v>1.1294901452808246E-3</v>
      </c>
      <c r="C40">
        <f t="shared" si="0"/>
        <v>6.5204908009407008E-4</v>
      </c>
      <c r="D40">
        <f t="shared" si="1"/>
        <v>4.7744106518675454E-4</v>
      </c>
      <c r="E40">
        <f t="shared" si="2"/>
        <v>2.2794997072666279E-7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00B8-8AE1-4BA2-B2A2-8970FF18DD0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6.3433349987499998E-2</v>
      </c>
      <c r="B1">
        <v>0.20038430963198595</v>
      </c>
      <c r="C1">
        <f>$H$3*(1+$H$1)*(A1^($H$1))*EXP(-$H$3*(A1^(1+$H$1)))</f>
        <v>0.24837690713565683</v>
      </c>
      <c r="D1">
        <f>B1-C1</f>
        <v>-4.7992597503670881E-2</v>
      </c>
      <c r="E1">
        <f>D1^2</f>
        <v>2.3032894151493563E-3</v>
      </c>
      <c r="G1" t="s">
        <v>0</v>
      </c>
      <c r="H1">
        <v>0.61010355594107524</v>
      </c>
    </row>
    <row r="2" spans="1:8" x14ac:dyDescent="0.25">
      <c r="A2">
        <v>0.17005935596250002</v>
      </c>
      <c r="B2">
        <v>0.453222159138227</v>
      </c>
      <c r="C2">
        <f t="shared" ref="C2:C40" si="0">$H$3*(1+$H$1)*(A2^($H$1))*EXP(-$H$3*(A2^(1+$H$1)))</f>
        <v>0.43621387102549214</v>
      </c>
      <c r="D2">
        <f t="shared" ref="D2:D40" si="1">B2-C2</f>
        <v>1.700828811273486E-2</v>
      </c>
      <c r="E2">
        <f t="shared" ref="E2:E40" si="2">D2^2</f>
        <v>2.8928186452579791E-4</v>
      </c>
    </row>
    <row r="3" spans="1:8" x14ac:dyDescent="0.25">
      <c r="A3">
        <v>0.27668536193749999</v>
      </c>
      <c r="B3">
        <v>0.56873781998490125</v>
      </c>
      <c r="C3">
        <f t="shared" si="0"/>
        <v>0.55422434963006739</v>
      </c>
      <c r="D3">
        <f t="shared" si="1"/>
        <v>1.4513470354833857E-2</v>
      </c>
      <c r="E3">
        <f t="shared" si="2"/>
        <v>2.1064082174064122E-4</v>
      </c>
      <c r="G3" t="s">
        <v>1</v>
      </c>
      <c r="H3">
        <f>(_xlfn.GAMMA((2+$H$1)/(1+$H$1)))^(1+$H$1)</f>
        <v>0.83803003576703616</v>
      </c>
    </row>
    <row r="4" spans="1:8" x14ac:dyDescent="0.25">
      <c r="A4">
        <v>0.38331136791249998</v>
      </c>
      <c r="B4">
        <v>0.70075571809538606</v>
      </c>
      <c r="C4">
        <f t="shared" si="0"/>
        <v>0.62852024560732589</v>
      </c>
      <c r="D4">
        <f t="shared" si="1"/>
        <v>7.2235472488060171E-2</v>
      </c>
      <c r="E4">
        <f t="shared" si="2"/>
        <v>5.2179634855732977E-3</v>
      </c>
    </row>
    <row r="5" spans="1:8" x14ac:dyDescent="0.25">
      <c r="A5">
        <v>0.48993737388750003</v>
      </c>
      <c r="B5">
        <v>0.67718109343279953</v>
      </c>
      <c r="C5">
        <f t="shared" si="0"/>
        <v>0.66939896533963439</v>
      </c>
      <c r="D5">
        <f t="shared" si="1"/>
        <v>7.7821280931651415E-3</v>
      </c>
      <c r="E5">
        <f t="shared" si="2"/>
        <v>6.0561517658430124E-5</v>
      </c>
      <c r="G5" t="s">
        <v>2</v>
      </c>
      <c r="H5">
        <f>SUM(E1:E40)</f>
        <v>2.7223212735066806E-2</v>
      </c>
    </row>
    <row r="6" spans="1:8" x14ac:dyDescent="0.25">
      <c r="A6">
        <v>0.59656337986249997</v>
      </c>
      <c r="B6">
        <v>0.6618575874021182</v>
      </c>
      <c r="C6">
        <f t="shared" si="0"/>
        <v>0.68361912042947104</v>
      </c>
      <c r="D6">
        <f t="shared" si="1"/>
        <v>-2.1761533027352842E-2</v>
      </c>
      <c r="E6">
        <f t="shared" si="2"/>
        <v>4.7356431970056853E-4</v>
      </c>
    </row>
    <row r="7" spans="1:8" x14ac:dyDescent="0.25">
      <c r="A7">
        <v>0.70318938583750001</v>
      </c>
      <c r="B7">
        <v>0.65596393123647156</v>
      </c>
      <c r="C7">
        <f t="shared" si="0"/>
        <v>0.67664653315108247</v>
      </c>
      <c r="D7">
        <f t="shared" si="1"/>
        <v>-2.068260191461091E-2</v>
      </c>
      <c r="E7">
        <f t="shared" si="2"/>
        <v>4.2777002195826686E-4</v>
      </c>
    </row>
    <row r="8" spans="1:8" x14ac:dyDescent="0.25">
      <c r="A8">
        <v>0.80981539181249995</v>
      </c>
      <c r="B8">
        <v>0.64240852205548427</v>
      </c>
      <c r="C8">
        <f t="shared" si="0"/>
        <v>0.65324863836757385</v>
      </c>
      <c r="D8">
        <f t="shared" si="1"/>
        <v>-1.0840116312089587E-2</v>
      </c>
      <c r="E8">
        <f t="shared" si="2"/>
        <v>1.1750812165963075E-4</v>
      </c>
    </row>
    <row r="9" spans="1:8" x14ac:dyDescent="0.25">
      <c r="A9">
        <v>0.91644139778750011</v>
      </c>
      <c r="B9">
        <v>0.63121057534075564</v>
      </c>
      <c r="C9">
        <f t="shared" si="0"/>
        <v>0.61765333412994694</v>
      </c>
      <c r="D9">
        <f t="shared" si="1"/>
        <v>1.3557241210808701E-2</v>
      </c>
      <c r="E9">
        <f t="shared" si="2"/>
        <v>1.8379878924804977E-4</v>
      </c>
    </row>
    <row r="10" spans="1:8" x14ac:dyDescent="0.25">
      <c r="A10">
        <v>1.0230674037625</v>
      </c>
      <c r="B10">
        <v>0.65419583438677764</v>
      </c>
      <c r="C10">
        <f t="shared" si="0"/>
        <v>0.57357716404483827</v>
      </c>
      <c r="D10">
        <f t="shared" si="1"/>
        <v>8.0618670341939369E-2</v>
      </c>
      <c r="E10">
        <f t="shared" si="2"/>
        <v>6.4993700077022945E-3</v>
      </c>
    </row>
    <row r="11" spans="1:8" x14ac:dyDescent="0.25">
      <c r="A11">
        <v>1.1296934097375</v>
      </c>
      <c r="B11">
        <v>0.56579099190207793</v>
      </c>
      <c r="C11">
        <f t="shared" si="0"/>
        <v>0.52422095771288402</v>
      </c>
      <c r="D11">
        <f t="shared" si="1"/>
        <v>4.1570034189193916E-2</v>
      </c>
      <c r="E11">
        <f t="shared" si="2"/>
        <v>1.7280677424907512E-3</v>
      </c>
    </row>
    <row r="12" spans="1:8" x14ac:dyDescent="0.25">
      <c r="A12">
        <v>1.2363194157124999</v>
      </c>
      <c r="B12">
        <v>0.462062643386697</v>
      </c>
      <c r="C12">
        <f t="shared" si="0"/>
        <v>0.47226784246898107</v>
      </c>
      <c r="D12">
        <f t="shared" si="1"/>
        <v>-1.0205199082284067E-2</v>
      </c>
      <c r="E12">
        <f t="shared" si="2"/>
        <v>1.0414608830905156E-4</v>
      </c>
    </row>
    <row r="13" spans="1:8" x14ac:dyDescent="0.25">
      <c r="A13">
        <v>1.3429454216875001</v>
      </c>
      <c r="B13">
        <v>0.39251750063206658</v>
      </c>
      <c r="C13">
        <f t="shared" si="0"/>
        <v>0.41989516870187504</v>
      </c>
      <c r="D13">
        <f t="shared" si="1"/>
        <v>-2.7377668069808458E-2</v>
      </c>
      <c r="E13">
        <f t="shared" si="2"/>
        <v>7.4953670894060964E-4</v>
      </c>
    </row>
    <row r="14" spans="1:8" x14ac:dyDescent="0.25">
      <c r="A14">
        <v>1.4495714276625002</v>
      </c>
      <c r="B14">
        <v>0.33711713267498811</v>
      </c>
      <c r="C14">
        <f t="shared" si="0"/>
        <v>0.36880219847648715</v>
      </c>
      <c r="D14">
        <f t="shared" si="1"/>
        <v>-3.1685065801499046E-2</v>
      </c>
      <c r="E14">
        <f t="shared" si="2"/>
        <v>1.0039433948453244E-3</v>
      </c>
    </row>
    <row r="15" spans="1:8" x14ac:dyDescent="0.25">
      <c r="A15">
        <v>1.5561974336375002</v>
      </c>
      <c r="B15">
        <v>0.28761042088355626</v>
      </c>
      <c r="C15">
        <f t="shared" si="0"/>
        <v>0.32025125678783184</v>
      </c>
      <c r="D15">
        <f t="shared" si="1"/>
        <v>-3.2640835904275578E-2</v>
      </c>
      <c r="E15">
        <f t="shared" si="2"/>
        <v>1.0654241685298456E-3</v>
      </c>
    </row>
    <row r="16" spans="1:8" x14ac:dyDescent="0.25">
      <c r="A16">
        <v>1.6628234396125001</v>
      </c>
      <c r="B16">
        <v>0.2174759125123612</v>
      </c>
      <c r="C16">
        <f t="shared" si="0"/>
        <v>0.2751184504627141</v>
      </c>
      <c r="D16">
        <f t="shared" si="1"/>
        <v>-5.7642537950352901E-2</v>
      </c>
      <c r="E16">
        <f t="shared" si="2"/>
        <v>3.3226621813578746E-3</v>
      </c>
    </row>
    <row r="17" spans="1:5" x14ac:dyDescent="0.25">
      <c r="A17">
        <v>1.7694494455875001</v>
      </c>
      <c r="B17">
        <v>0.19566938469946862</v>
      </c>
      <c r="C17">
        <f t="shared" si="0"/>
        <v>0.23394974989478673</v>
      </c>
      <c r="D17">
        <f t="shared" si="1"/>
        <v>-3.8280365195318106E-2</v>
      </c>
      <c r="E17">
        <f t="shared" si="2"/>
        <v>1.4653863594869217E-3</v>
      </c>
    </row>
    <row r="18" spans="1:5" x14ac:dyDescent="0.25">
      <c r="A18">
        <v>1.8760754515625</v>
      </c>
      <c r="B18">
        <v>0.17327349127001138</v>
      </c>
      <c r="C18">
        <f t="shared" si="0"/>
        <v>0.19701858176884679</v>
      </c>
      <c r="D18">
        <f t="shared" si="1"/>
        <v>-2.3745090498835414E-2</v>
      </c>
      <c r="E18">
        <f t="shared" si="2"/>
        <v>5.6382932279788387E-4</v>
      </c>
    </row>
    <row r="19" spans="1:5" x14ac:dyDescent="0.25">
      <c r="A19">
        <v>1.9827014575375002</v>
      </c>
      <c r="B19">
        <v>0.15146696345711877</v>
      </c>
      <c r="C19">
        <f t="shared" si="0"/>
        <v>0.16438175518679182</v>
      </c>
      <c r="D19">
        <f t="shared" si="1"/>
        <v>-1.2914791729673053E-2</v>
      </c>
      <c r="E19">
        <f t="shared" si="2"/>
        <v>1.667918454208315E-4</v>
      </c>
    </row>
    <row r="20" spans="1:5" x14ac:dyDescent="0.25">
      <c r="A20">
        <v>2.0893274635125003</v>
      </c>
      <c r="B20">
        <v>0.12494551071170888</v>
      </c>
      <c r="C20">
        <f t="shared" si="0"/>
        <v>0.13593133634614968</v>
      </c>
      <c r="D20">
        <f t="shared" si="1"/>
        <v>-1.0985825634440796E-2</v>
      </c>
      <c r="E20">
        <f t="shared" si="2"/>
        <v>1.2068836487033652E-4</v>
      </c>
    </row>
    <row r="21" spans="1:5" x14ac:dyDescent="0.25">
      <c r="A21">
        <v>2.1959534694874998</v>
      </c>
      <c r="B21">
        <v>0.10726454221476894</v>
      </c>
      <c r="C21">
        <f t="shared" si="0"/>
        <v>0.11144087429955517</v>
      </c>
      <c r="D21">
        <f t="shared" si="1"/>
        <v>-4.1763320847862245E-3</v>
      </c>
      <c r="E21">
        <f t="shared" si="2"/>
        <v>1.7441749682414852E-5</v>
      </c>
    </row>
    <row r="22" spans="1:5" x14ac:dyDescent="0.25">
      <c r="A22">
        <v>2.3025794754625002</v>
      </c>
      <c r="B22">
        <v>8.4279283168747027E-2</v>
      </c>
      <c r="C22">
        <f t="shared" si="0"/>
        <v>9.0605088917113913E-2</v>
      </c>
      <c r="D22">
        <f t="shared" si="1"/>
        <v>-6.3258057483668861E-3</v>
      </c>
      <c r="E22">
        <f t="shared" si="2"/>
        <v>4.0015818366071539E-5</v>
      </c>
    </row>
    <row r="23" spans="1:5" x14ac:dyDescent="0.25">
      <c r="A23">
        <v>2.4092054814375001</v>
      </c>
      <c r="B23">
        <v>9.1351670567522997E-2</v>
      </c>
      <c r="C23">
        <f t="shared" si="0"/>
        <v>7.3072723070328083E-2</v>
      </c>
      <c r="D23">
        <f t="shared" si="1"/>
        <v>1.8278947497194914E-2</v>
      </c>
      <c r="E23">
        <f t="shared" si="2"/>
        <v>3.3411992160520824E-4</v>
      </c>
    </row>
    <row r="24" spans="1:5" x14ac:dyDescent="0.25">
      <c r="A24">
        <v>2.5158314874125001</v>
      </c>
      <c r="B24">
        <v>6.9545142754630418E-2</v>
      </c>
      <c r="C24">
        <f t="shared" si="0"/>
        <v>5.8472719466380052E-2</v>
      </c>
      <c r="D24">
        <f t="shared" si="1"/>
        <v>1.1072423288250366E-2</v>
      </c>
      <c r="E24">
        <f t="shared" si="2"/>
        <v>1.2259855747418904E-4</v>
      </c>
    </row>
    <row r="25" spans="1:5" x14ac:dyDescent="0.25">
      <c r="A25">
        <v>2.6224574933874996</v>
      </c>
      <c r="B25">
        <v>5.1864174257690479E-2</v>
      </c>
      <c r="C25">
        <f t="shared" si="0"/>
        <v>4.6434210200647447E-2</v>
      </c>
      <c r="D25">
        <f t="shared" si="1"/>
        <v>5.4299640570430324E-3</v>
      </c>
      <c r="E25">
        <f t="shared" si="2"/>
        <v>2.9484509660779228E-5</v>
      </c>
    </row>
    <row r="26" spans="1:5" x14ac:dyDescent="0.25">
      <c r="A26">
        <v>2.7290834993624999</v>
      </c>
      <c r="B26">
        <v>4.5970518092043833E-2</v>
      </c>
      <c r="C26">
        <f t="shared" si="0"/>
        <v>3.6601016274300714E-2</v>
      </c>
      <c r="D26">
        <f t="shared" si="1"/>
        <v>9.3695018177431186E-3</v>
      </c>
      <c r="E26">
        <f t="shared" si="2"/>
        <v>8.7787564312691605E-5</v>
      </c>
    </row>
    <row r="27" spans="1:5" x14ac:dyDescent="0.25">
      <c r="A27">
        <v>2.8357095053375003</v>
      </c>
      <c r="B27">
        <v>3.5361936993879871E-2</v>
      </c>
      <c r="C27">
        <f t="shared" si="0"/>
        <v>2.864146333365624E-2</v>
      </c>
      <c r="D27">
        <f t="shared" si="1"/>
        <v>6.7204736602236304E-3</v>
      </c>
      <c r="E27">
        <f t="shared" si="2"/>
        <v>4.5164766217759599E-5</v>
      </c>
    </row>
    <row r="28" spans="1:5" x14ac:dyDescent="0.25">
      <c r="A28">
        <v>2.9423355113125003</v>
      </c>
      <c r="B28">
        <v>4.0666227542961848E-2</v>
      </c>
      <c r="C28">
        <f t="shared" si="0"/>
        <v>2.2254349489369222E-2</v>
      </c>
      <c r="D28">
        <f t="shared" si="1"/>
        <v>1.8411878053592626E-2</v>
      </c>
      <c r="E28">
        <f t="shared" si="2"/>
        <v>3.3899725346036582E-4</v>
      </c>
    </row>
    <row r="29" spans="1:5" x14ac:dyDescent="0.25">
      <c r="A29">
        <v>3.0489615172875002</v>
      </c>
      <c r="B29">
        <v>2.1806527812892586E-2</v>
      </c>
      <c r="C29">
        <f t="shared" si="0"/>
        <v>1.7171871961939582E-2</v>
      </c>
      <c r="D29">
        <f t="shared" si="1"/>
        <v>4.6346558509530039E-3</v>
      </c>
      <c r="E29">
        <f t="shared" si="2"/>
        <v>2.1480034856772912E-5</v>
      </c>
    </row>
    <row r="30" spans="1:5" x14ac:dyDescent="0.25">
      <c r="A30">
        <v>3.1555875232625001</v>
      </c>
      <c r="B30">
        <v>1.4144774797551949E-2</v>
      </c>
      <c r="C30">
        <f t="shared" si="0"/>
        <v>1.316025041473705E-2</v>
      </c>
      <c r="D30">
        <f t="shared" si="1"/>
        <v>9.8452438281489835E-4</v>
      </c>
      <c r="E30">
        <f t="shared" si="2"/>
        <v>9.6928826035705653E-7</v>
      </c>
    </row>
    <row r="31" spans="1:5" x14ac:dyDescent="0.25">
      <c r="A31">
        <v>3.2622135292375001</v>
      </c>
      <c r="B31">
        <v>1.7680968496939935E-2</v>
      </c>
      <c r="C31">
        <f t="shared" si="0"/>
        <v>1.0018692371807116E-2</v>
      </c>
      <c r="D31">
        <f t="shared" si="1"/>
        <v>7.6622761251328199E-3</v>
      </c>
      <c r="E31">
        <f t="shared" si="2"/>
        <v>5.8710475417780419E-5</v>
      </c>
    </row>
    <row r="32" spans="1:5" x14ac:dyDescent="0.25">
      <c r="A32">
        <v>3.3688395352125005</v>
      </c>
      <c r="B32">
        <v>1.1787312331293291E-2</v>
      </c>
      <c r="C32">
        <f t="shared" si="0"/>
        <v>7.5772430904320906E-3</v>
      </c>
      <c r="D32">
        <f t="shared" si="1"/>
        <v>4.2100692408612002E-3</v>
      </c>
      <c r="E32">
        <f t="shared" si="2"/>
        <v>1.7724683012845604E-5</v>
      </c>
    </row>
    <row r="33" spans="1:5" x14ac:dyDescent="0.25">
      <c r="A33">
        <v>3.4754655411875</v>
      </c>
      <c r="B33">
        <v>1.0019215481599297E-2</v>
      </c>
      <c r="C33">
        <f t="shared" si="0"/>
        <v>5.6939584760673798E-3</v>
      </c>
      <c r="D33">
        <f t="shared" si="1"/>
        <v>4.3252570055319168E-3</v>
      </c>
      <c r="E33">
        <f t="shared" si="2"/>
        <v>1.8707848163902924E-5</v>
      </c>
    </row>
    <row r="34" spans="1:5" x14ac:dyDescent="0.25">
      <c r="A34">
        <v>3.5820915471624999</v>
      </c>
      <c r="B34">
        <v>6.4830217822113099E-3</v>
      </c>
      <c r="C34">
        <f t="shared" si="0"/>
        <v>4.2517419392038821E-3</v>
      </c>
      <c r="D34">
        <f t="shared" si="1"/>
        <v>2.2312798430074278E-3</v>
      </c>
      <c r="E34">
        <f t="shared" si="2"/>
        <v>4.9786097378112519E-6</v>
      </c>
    </row>
    <row r="35" spans="1:5" x14ac:dyDescent="0.25">
      <c r="A35">
        <v>3.6887175531375003</v>
      </c>
      <c r="B35">
        <v>4.1255593159526512E-3</v>
      </c>
      <c r="C35">
        <f t="shared" si="0"/>
        <v>3.1550988017194927E-3</v>
      </c>
      <c r="D35">
        <f t="shared" si="1"/>
        <v>9.7046051423315847E-4</v>
      </c>
      <c r="E35">
        <f t="shared" si="2"/>
        <v>9.4179360968568633E-7</v>
      </c>
    </row>
    <row r="36" spans="1:5" x14ac:dyDescent="0.25">
      <c r="A36">
        <v>3.7953435591125002</v>
      </c>
      <c r="B36">
        <v>4.1255593159526512E-3</v>
      </c>
      <c r="C36">
        <f t="shared" si="0"/>
        <v>2.3269872038745583E-3</v>
      </c>
      <c r="D36">
        <f t="shared" si="1"/>
        <v>1.7985721120780929E-3</v>
      </c>
      <c r="E36">
        <f t="shared" si="2"/>
        <v>3.2348616423450521E-6</v>
      </c>
    </row>
    <row r="37" spans="1:5" x14ac:dyDescent="0.25">
      <c r="A37">
        <v>3.9019695650875006</v>
      </c>
      <c r="B37">
        <v>3.5361936993879872E-3</v>
      </c>
      <c r="C37">
        <f t="shared" si="0"/>
        <v>1.7058831126942938E-3</v>
      </c>
      <c r="D37">
        <f t="shared" si="1"/>
        <v>1.8303105866936933E-3</v>
      </c>
      <c r="E37">
        <f t="shared" si="2"/>
        <v>3.350036843763012E-6</v>
      </c>
    </row>
    <row r="38" spans="1:5" x14ac:dyDescent="0.25">
      <c r="A38">
        <v>4.0085955710625001</v>
      </c>
      <c r="B38">
        <v>2.9468280828233227E-3</v>
      </c>
      <c r="C38">
        <f t="shared" si="0"/>
        <v>1.2431285460580469E-3</v>
      </c>
      <c r="D38">
        <f t="shared" si="1"/>
        <v>1.7036995367652758E-3</v>
      </c>
      <c r="E38">
        <f t="shared" si="2"/>
        <v>2.9025921115742153E-6</v>
      </c>
    </row>
    <row r="39" spans="1:5" x14ac:dyDescent="0.25">
      <c r="A39">
        <v>4.1152215770375005</v>
      </c>
      <c r="B39">
        <v>5.8936561656466446E-4</v>
      </c>
      <c r="C39">
        <f t="shared" si="0"/>
        <v>9.0059534386915962E-4</v>
      </c>
      <c r="D39">
        <f t="shared" si="1"/>
        <v>-3.1122972730449516E-4</v>
      </c>
      <c r="E39">
        <f t="shared" si="2"/>
        <v>9.6863943158030425E-8</v>
      </c>
    </row>
    <row r="40" spans="1:5" x14ac:dyDescent="0.25">
      <c r="A40">
        <v>4.2218475830125</v>
      </c>
      <c r="B40">
        <v>1.1787312331293289E-3</v>
      </c>
      <c r="C40">
        <f t="shared" si="0"/>
        <v>6.4867017856166118E-4</v>
      </c>
      <c r="D40">
        <f t="shared" si="1"/>
        <v>5.3006105456766773E-4</v>
      </c>
      <c r="E40">
        <f t="shared" si="2"/>
        <v>2.8096472156938801E-7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15A4-02F1-4977-BF70-5F7A0279A10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6.6190616400000013E-2</v>
      </c>
      <c r="B1">
        <v>0.15351535093068805</v>
      </c>
      <c r="C1">
        <f>$H$3*(1+$H$1)*(A1^($H$1))*EXP(-$H$3*(A1^(1+$H$1)))</f>
        <v>0.21989275114222728</v>
      </c>
      <c r="D1">
        <f>B1-C1</f>
        <v>-6.6377400211539234E-2</v>
      </c>
      <c r="E1">
        <f>D1^2</f>
        <v>4.4059592588428483E-3</v>
      </c>
      <c r="G1" t="s">
        <v>0</v>
      </c>
      <c r="H1">
        <v>0.67485924944841069</v>
      </c>
    </row>
    <row r="2" spans="1:8" x14ac:dyDescent="0.25">
      <c r="A2">
        <v>0.16811907920000002</v>
      </c>
      <c r="B2">
        <v>0.42602051202050384</v>
      </c>
      <c r="C2">
        <f t="shared" ref="C2:C40" si="0">$H$3*(1+$H$1)*(A2^($H$1))*EXP(-$H$3*(A2^(1+$H$1)))</f>
        <v>0.39909392655080383</v>
      </c>
      <c r="D2">
        <f t="shared" ref="D2:D40" si="1">B2-C2</f>
        <v>2.6926585469700004E-2</v>
      </c>
      <c r="E2">
        <f t="shared" ref="E2:E40" si="2">D2^2</f>
        <v>7.2504100505705943E-4</v>
      </c>
    </row>
    <row r="3" spans="1:8" x14ac:dyDescent="0.25">
      <c r="A3">
        <v>0.27004754200000003</v>
      </c>
      <c r="B3">
        <v>0.51911616660096127</v>
      </c>
      <c r="C3">
        <f t="shared" si="0"/>
        <v>0.52239217515967284</v>
      </c>
      <c r="D3">
        <f t="shared" si="1"/>
        <v>-3.2760085587115739E-3</v>
      </c>
      <c r="E3">
        <f t="shared" si="2"/>
        <v>1.0732232076751484E-5</v>
      </c>
      <c r="G3" t="s">
        <v>1</v>
      </c>
      <c r="H3">
        <f>(_xlfn.GAMMA((2+$H$1)/(1+$H$1)))^(1+$H$1)</f>
        <v>0.82763027211848317</v>
      </c>
    </row>
    <row r="4" spans="1:8" x14ac:dyDescent="0.25">
      <c r="A4">
        <v>0.37197600480000004</v>
      </c>
      <c r="B4">
        <v>0.67263151753164929</v>
      </c>
      <c r="C4">
        <f t="shared" si="0"/>
        <v>0.60726398308528051</v>
      </c>
      <c r="D4">
        <f t="shared" si="1"/>
        <v>6.536753444636878E-2</v>
      </c>
      <c r="E4">
        <f t="shared" si="2"/>
        <v>4.2729145595972089E-3</v>
      </c>
    </row>
    <row r="5" spans="1:8" x14ac:dyDescent="0.25">
      <c r="A5">
        <v>0.47390446760000005</v>
      </c>
      <c r="B5">
        <v>0.70592400327565397</v>
      </c>
      <c r="C5">
        <f t="shared" si="0"/>
        <v>0.6607600724129834</v>
      </c>
      <c r="D5">
        <f t="shared" si="1"/>
        <v>4.5163930862670565E-2</v>
      </c>
      <c r="E5">
        <f t="shared" si="2"/>
        <v>2.0397806509680869E-3</v>
      </c>
      <c r="G5" t="s">
        <v>2</v>
      </c>
      <c r="H5">
        <f>SUM(E1:E40)</f>
        <v>3.1421993739652189E-2</v>
      </c>
    </row>
    <row r="6" spans="1:8" x14ac:dyDescent="0.25">
      <c r="A6">
        <v>0.57583293040000005</v>
      </c>
      <c r="B6">
        <v>0.68619512283476225</v>
      </c>
      <c r="C6">
        <f t="shared" si="0"/>
        <v>0.68776204659669404</v>
      </c>
      <c r="D6">
        <f t="shared" si="1"/>
        <v>-1.5669237619317933E-3</v>
      </c>
      <c r="E6">
        <f t="shared" si="2"/>
        <v>2.4552500757064834E-6</v>
      </c>
    </row>
    <row r="7" spans="1:8" x14ac:dyDescent="0.25">
      <c r="A7">
        <v>0.67776139320000017</v>
      </c>
      <c r="B7">
        <v>0.70962316835832118</v>
      </c>
      <c r="C7">
        <f t="shared" si="0"/>
        <v>0.69254204438752376</v>
      </c>
      <c r="D7">
        <f t="shared" si="1"/>
        <v>1.7081123970797418E-2</v>
      </c>
      <c r="E7">
        <f t="shared" si="2"/>
        <v>2.9176479610575014E-4</v>
      </c>
    </row>
    <row r="8" spans="1:8" x14ac:dyDescent="0.25">
      <c r="A8">
        <v>0.77968985600000007</v>
      </c>
      <c r="B8">
        <v>0.64180514184275617</v>
      </c>
      <c r="C8">
        <f t="shared" si="0"/>
        <v>0.67913381426387931</v>
      </c>
      <c r="D8">
        <f t="shared" si="1"/>
        <v>-3.7328672421123144E-2</v>
      </c>
      <c r="E8">
        <f t="shared" si="2"/>
        <v>1.3934297847235195E-3</v>
      </c>
    </row>
    <row r="9" spans="1:8" x14ac:dyDescent="0.25">
      <c r="A9">
        <v>0.88161831880000019</v>
      </c>
      <c r="B9">
        <v>0.62330931642942022</v>
      </c>
      <c r="C9">
        <f t="shared" si="0"/>
        <v>0.65137773969345159</v>
      </c>
      <c r="D9">
        <f t="shared" si="1"/>
        <v>-2.8068423264031361E-2</v>
      </c>
      <c r="E9">
        <f t="shared" si="2"/>
        <v>7.8783638452881697E-4</v>
      </c>
    </row>
    <row r="10" spans="1:8" x14ac:dyDescent="0.25">
      <c r="A10">
        <v>0.98354678160000009</v>
      </c>
      <c r="B10">
        <v>0.63255722913608814</v>
      </c>
      <c r="C10">
        <f t="shared" si="0"/>
        <v>0.61286791097580751</v>
      </c>
      <c r="D10">
        <f t="shared" si="1"/>
        <v>1.9689318160280633E-2</v>
      </c>
      <c r="E10">
        <f t="shared" si="2"/>
        <v>3.8766924961675673E-4</v>
      </c>
    </row>
    <row r="11" spans="1:8" x14ac:dyDescent="0.25">
      <c r="A11">
        <v>1.0854752444000002</v>
      </c>
      <c r="B11">
        <v>0.64057208681520039</v>
      </c>
      <c r="C11">
        <f t="shared" si="0"/>
        <v>0.56687948300623991</v>
      </c>
      <c r="D11">
        <f t="shared" si="1"/>
        <v>7.3692603808960477E-2</v>
      </c>
      <c r="E11">
        <f t="shared" si="2"/>
        <v>5.4305998561444161E-3</v>
      </c>
    </row>
    <row r="12" spans="1:8" x14ac:dyDescent="0.25">
      <c r="A12">
        <v>1.1874037072000001</v>
      </c>
      <c r="B12">
        <v>0.55734087245518882</v>
      </c>
      <c r="C12">
        <f t="shared" si="0"/>
        <v>0.5163066117372529</v>
      </c>
      <c r="D12">
        <f t="shared" si="1"/>
        <v>4.1034260717935922E-2</v>
      </c>
      <c r="E12">
        <f t="shared" si="2"/>
        <v>1.6838105526675391E-3</v>
      </c>
    </row>
    <row r="13" spans="1:8" x14ac:dyDescent="0.25">
      <c r="A13">
        <v>1.2893321700000002</v>
      </c>
      <c r="B13">
        <v>0.45006508505784049</v>
      </c>
      <c r="C13">
        <f t="shared" si="0"/>
        <v>0.46362225812001195</v>
      </c>
      <c r="D13">
        <f t="shared" si="1"/>
        <v>-1.3557173062171468E-2</v>
      </c>
      <c r="E13">
        <f t="shared" si="2"/>
        <v>1.8379694143766769E-4</v>
      </c>
    </row>
    <row r="14" spans="1:8" x14ac:dyDescent="0.25">
      <c r="A14">
        <v>1.3912606328000003</v>
      </c>
      <c r="B14">
        <v>0.37978094848716404</v>
      </c>
      <c r="C14">
        <f t="shared" si="0"/>
        <v>0.41086238574437978</v>
      </c>
      <c r="D14">
        <f t="shared" si="1"/>
        <v>-3.1081437257215738E-2</v>
      </c>
      <c r="E14">
        <f t="shared" si="2"/>
        <v>9.6605574197423862E-4</v>
      </c>
    </row>
    <row r="15" spans="1:8" x14ac:dyDescent="0.25">
      <c r="A15">
        <v>1.4931890956000002</v>
      </c>
      <c r="B15">
        <v>0.32552652727471204</v>
      </c>
      <c r="C15">
        <f t="shared" si="0"/>
        <v>0.35963270429540756</v>
      </c>
      <c r="D15">
        <f t="shared" si="1"/>
        <v>-3.4106177020695516E-2</v>
      </c>
      <c r="E15">
        <f t="shared" si="2"/>
        <v>1.1632313109670189E-3</v>
      </c>
    </row>
    <row r="16" spans="1:8" x14ac:dyDescent="0.25">
      <c r="A16">
        <v>1.5951175584000001</v>
      </c>
      <c r="B16">
        <v>0.27250516108981576</v>
      </c>
      <c r="C16">
        <f t="shared" si="0"/>
        <v>0.31113396511216451</v>
      </c>
      <c r="D16">
        <f t="shared" si="1"/>
        <v>-3.8628804022348751E-2</v>
      </c>
      <c r="E16">
        <f t="shared" si="2"/>
        <v>1.4921845001970269E-3</v>
      </c>
    </row>
    <row r="17" spans="1:5" x14ac:dyDescent="0.25">
      <c r="A17">
        <v>1.6970460212000003</v>
      </c>
      <c r="B17">
        <v>0.20900282717069579</v>
      </c>
      <c r="C17">
        <f t="shared" si="0"/>
        <v>0.26620095569770891</v>
      </c>
      <c r="D17">
        <f t="shared" si="1"/>
        <v>-5.7198128527013115E-2</v>
      </c>
      <c r="E17">
        <f t="shared" si="2"/>
        <v>3.2716259069927116E-3</v>
      </c>
    </row>
    <row r="18" spans="1:5" x14ac:dyDescent="0.25">
      <c r="A18">
        <v>1.7989744840000002</v>
      </c>
      <c r="B18">
        <v>0.18742436418847055</v>
      </c>
      <c r="C18">
        <f t="shared" si="0"/>
        <v>0.22535027525863227</v>
      </c>
      <c r="D18">
        <f t="shared" si="1"/>
        <v>-3.7925911070161716E-2</v>
      </c>
      <c r="E18">
        <f t="shared" si="2"/>
        <v>1.4383747305018149E-3</v>
      </c>
    </row>
    <row r="19" spans="1:5" x14ac:dyDescent="0.25">
      <c r="A19">
        <v>1.9009029468</v>
      </c>
      <c r="B19">
        <v>0.16831201126135678</v>
      </c>
      <c r="C19">
        <f t="shared" si="0"/>
        <v>0.1888323996622811</v>
      </c>
      <c r="D19">
        <f t="shared" si="1"/>
        <v>-2.0520388400924322E-2</v>
      </c>
      <c r="E19">
        <f t="shared" si="2"/>
        <v>4.2108634012478943E-4</v>
      </c>
    </row>
    <row r="20" spans="1:5" x14ac:dyDescent="0.25">
      <c r="A20">
        <v>2.0028314096000002</v>
      </c>
      <c r="B20">
        <v>0.14981618584802087</v>
      </c>
      <c r="C20">
        <f t="shared" si="0"/>
        <v>0.15668425117714257</v>
      </c>
      <c r="D20">
        <f t="shared" si="1"/>
        <v>-6.8680653291217086E-3</v>
      </c>
      <c r="E20">
        <f t="shared" si="2"/>
        <v>4.7170321365083684E-5</v>
      </c>
    </row>
    <row r="21" spans="1:5" x14ac:dyDescent="0.25">
      <c r="A21">
        <v>2.1047598723999998</v>
      </c>
      <c r="B21">
        <v>0.1239220302693506</v>
      </c>
      <c r="C21">
        <f t="shared" si="0"/>
        <v>0.12877932268437839</v>
      </c>
      <c r="D21">
        <f t="shared" si="1"/>
        <v>-4.8572924150277891E-3</v>
      </c>
      <c r="E21">
        <f t="shared" si="2"/>
        <v>2.359328960508649E-5</v>
      </c>
    </row>
    <row r="22" spans="1:5" x14ac:dyDescent="0.25">
      <c r="A22">
        <v>2.2066883352</v>
      </c>
      <c r="B22">
        <v>9.494523712179101E-2</v>
      </c>
      <c r="C22">
        <f t="shared" si="0"/>
        <v>0.10487325654032276</v>
      </c>
      <c r="D22">
        <f t="shared" si="1"/>
        <v>-9.9280194185317472E-3</v>
      </c>
      <c r="E22">
        <f t="shared" si="2"/>
        <v>9.8565569574743451E-5</v>
      </c>
    </row>
    <row r="23" spans="1:5" x14ac:dyDescent="0.25">
      <c r="A23">
        <v>2.3086167980000001</v>
      </c>
      <c r="B23">
        <v>9.6794819663124601E-2</v>
      </c>
      <c r="C23">
        <f t="shared" si="0"/>
        <v>8.464356818866238E-2</v>
      </c>
      <c r="D23">
        <f t="shared" si="1"/>
        <v>1.2151251474462221E-2</v>
      </c>
      <c r="E23">
        <f t="shared" si="2"/>
        <v>1.4765291239562031E-4</v>
      </c>
    </row>
    <row r="24" spans="1:5" x14ac:dyDescent="0.25">
      <c r="A24">
        <v>2.4105452608000002</v>
      </c>
      <c r="B24">
        <v>7.2133719112010053E-2</v>
      </c>
      <c r="C24">
        <f t="shared" si="0"/>
        <v>6.7722886036757954E-2</v>
      </c>
      <c r="D24">
        <f t="shared" si="1"/>
        <v>4.4108330752520991E-3</v>
      </c>
      <c r="E24">
        <f t="shared" si="2"/>
        <v>1.9455448417737891E-5</v>
      </c>
    </row>
    <row r="25" spans="1:5" x14ac:dyDescent="0.25">
      <c r="A25">
        <v>2.5124737236000003</v>
      </c>
      <c r="B25">
        <v>6.5968443974231419E-2</v>
      </c>
      <c r="C25">
        <f t="shared" si="0"/>
        <v>5.3725627662844749E-2</v>
      </c>
      <c r="D25">
        <f t="shared" si="1"/>
        <v>1.224281631138667E-2</v>
      </c>
      <c r="E25">
        <f t="shared" si="2"/>
        <v>1.4988655123435551E-4</v>
      </c>
    </row>
    <row r="26" spans="1:5" x14ac:dyDescent="0.25">
      <c r="A26">
        <v>2.6144021864000004</v>
      </c>
      <c r="B26">
        <v>4.6856091047117639E-2</v>
      </c>
      <c r="C26">
        <f t="shared" si="0"/>
        <v>4.2268442099943994E-2</v>
      </c>
      <c r="D26">
        <f t="shared" si="1"/>
        <v>4.5876489471736448E-3</v>
      </c>
      <c r="E26">
        <f t="shared" si="2"/>
        <v>2.1046522862503451E-5</v>
      </c>
    </row>
    <row r="27" spans="1:5" x14ac:dyDescent="0.25">
      <c r="A27">
        <v>2.7163306492000006</v>
      </c>
      <c r="B27">
        <v>4.4389980992006188E-2</v>
      </c>
      <c r="C27">
        <f t="shared" si="0"/>
        <v>3.2985026033433243E-2</v>
      </c>
      <c r="D27">
        <f t="shared" si="1"/>
        <v>1.1404954958572945E-2</v>
      </c>
      <c r="E27">
        <f t="shared" si="2"/>
        <v>1.3007299760707761E-4</v>
      </c>
    </row>
    <row r="28" spans="1:5" x14ac:dyDescent="0.25">
      <c r="A28">
        <v>2.8182591120000002</v>
      </c>
      <c r="B28">
        <v>3.7608178340449688E-2</v>
      </c>
      <c r="C28">
        <f t="shared" si="0"/>
        <v>2.5536084205028141E-2</v>
      </c>
      <c r="D28">
        <f t="shared" si="1"/>
        <v>1.2072094135421547E-2</v>
      </c>
      <c r="E28">
        <f t="shared" si="2"/>
        <v>1.4573545681447931E-4</v>
      </c>
    </row>
    <row r="29" spans="1:5" x14ac:dyDescent="0.25">
      <c r="A29">
        <v>2.9201875747999999</v>
      </c>
      <c r="B29">
        <v>2.7743738120003868E-2</v>
      </c>
      <c r="C29">
        <f t="shared" si="0"/>
        <v>1.961527178771599E-2</v>
      </c>
      <c r="D29">
        <f t="shared" si="1"/>
        <v>8.1284663322878786E-3</v>
      </c>
      <c r="E29">
        <f t="shared" si="2"/>
        <v>6.6071964915137563E-5</v>
      </c>
    </row>
    <row r="30" spans="1:5" x14ac:dyDescent="0.25">
      <c r="A30">
        <v>3.0221160376</v>
      </c>
      <c r="B30">
        <v>1.972888044089164E-2</v>
      </c>
      <c r="C30">
        <f t="shared" si="0"/>
        <v>1.4951951161761992E-2</v>
      </c>
      <c r="D30">
        <f t="shared" si="1"/>
        <v>4.7769292791296474E-3</v>
      </c>
      <c r="E30">
        <f t="shared" si="2"/>
        <v>2.2819053337806092E-5</v>
      </c>
    </row>
    <row r="31" spans="1:5" x14ac:dyDescent="0.25">
      <c r="A31">
        <v>3.1240445004000001</v>
      </c>
      <c r="B31">
        <v>1.4796660330668728E-2</v>
      </c>
      <c r="C31">
        <f t="shared" si="0"/>
        <v>1.131153874886307E-2</v>
      </c>
      <c r="D31">
        <f t="shared" si="1"/>
        <v>3.4851215818056582E-3</v>
      </c>
      <c r="E31">
        <f t="shared" si="2"/>
        <v>1.2146072439967573E-5</v>
      </c>
    </row>
    <row r="32" spans="1:5" x14ac:dyDescent="0.25">
      <c r="A32">
        <v>3.2259729632000003</v>
      </c>
      <c r="B32">
        <v>1.972888044089164E-2</v>
      </c>
      <c r="C32">
        <f t="shared" si="0"/>
        <v>8.4941283604727282E-3</v>
      </c>
      <c r="D32">
        <f t="shared" si="1"/>
        <v>1.1234752080418912E-2</v>
      </c>
      <c r="E32">
        <f t="shared" si="2"/>
        <v>1.2621965430847706E-4</v>
      </c>
    </row>
    <row r="33" spans="1:5" x14ac:dyDescent="0.25">
      <c r="A33">
        <v>3.3279014260000004</v>
      </c>
      <c r="B33">
        <v>8.6313851928900912E-3</v>
      </c>
      <c r="C33">
        <f t="shared" si="0"/>
        <v>6.3319716806416052E-3</v>
      </c>
      <c r="D33">
        <f t="shared" si="1"/>
        <v>2.299413512248486E-3</v>
      </c>
      <c r="E33">
        <f t="shared" si="2"/>
        <v>5.2873025003109182E-6</v>
      </c>
    </row>
    <row r="34" spans="1:5" x14ac:dyDescent="0.25">
      <c r="A34">
        <v>3.4298298888000001</v>
      </c>
      <c r="B34">
        <v>8.0148576791122285E-3</v>
      </c>
      <c r="C34">
        <f t="shared" si="0"/>
        <v>4.6862862996486484E-3</v>
      </c>
      <c r="D34">
        <f t="shared" si="1"/>
        <v>3.3285713794635801E-3</v>
      </c>
      <c r="E34">
        <f t="shared" si="2"/>
        <v>1.1079387428184081E-5</v>
      </c>
    </row>
    <row r="35" spans="1:5" x14ac:dyDescent="0.25">
      <c r="A35">
        <v>3.5317583516000002</v>
      </c>
      <c r="B35">
        <v>5.5487476240007735E-3</v>
      </c>
      <c r="C35">
        <f t="shared" si="0"/>
        <v>3.4437559764122052E-3</v>
      </c>
      <c r="D35">
        <f t="shared" si="1"/>
        <v>2.1049916475885683E-3</v>
      </c>
      <c r="E35">
        <f t="shared" si="2"/>
        <v>4.4309898364176351E-6</v>
      </c>
    </row>
    <row r="36" spans="1:5" x14ac:dyDescent="0.25">
      <c r="A36">
        <v>3.6336868144000003</v>
      </c>
      <c r="B36">
        <v>4.3156925964450456E-3</v>
      </c>
      <c r="C36">
        <f t="shared" si="0"/>
        <v>2.5129922994588088E-3</v>
      </c>
      <c r="D36">
        <f t="shared" si="1"/>
        <v>1.8027002969862368E-3</v>
      </c>
      <c r="E36">
        <f t="shared" si="2"/>
        <v>3.2497283607542663E-6</v>
      </c>
    </row>
    <row r="37" spans="1:5" x14ac:dyDescent="0.25">
      <c r="A37">
        <v>3.7356152772000004</v>
      </c>
      <c r="B37">
        <v>1.849582541333591E-3</v>
      </c>
      <c r="C37">
        <f t="shared" si="0"/>
        <v>1.821144842848868E-3</v>
      </c>
      <c r="D37">
        <f t="shared" si="1"/>
        <v>2.8437698484723049E-5</v>
      </c>
      <c r="E37">
        <f t="shared" si="2"/>
        <v>8.0870269510801957E-10</v>
      </c>
    </row>
    <row r="38" spans="1:5" x14ac:dyDescent="0.25">
      <c r="A38">
        <v>3.8375437400000001</v>
      </c>
      <c r="B38">
        <v>5.5487476240007735E-3</v>
      </c>
      <c r="C38">
        <f t="shared" si="0"/>
        <v>1.3107794842470363E-3</v>
      </c>
      <c r="D38">
        <f t="shared" si="1"/>
        <v>4.2379681397537372E-3</v>
      </c>
      <c r="E38">
        <f t="shared" si="2"/>
        <v>1.7960373953567752E-5</v>
      </c>
    </row>
    <row r="39" spans="1:5" x14ac:dyDescent="0.25">
      <c r="A39">
        <v>3.9394722028000002</v>
      </c>
      <c r="B39">
        <v>0</v>
      </c>
      <c r="C39">
        <f t="shared" si="0"/>
        <v>9.3709153057132193E-4</v>
      </c>
      <c r="D39">
        <f t="shared" si="1"/>
        <v>-9.3709153057132193E-4</v>
      </c>
      <c r="E39">
        <f t="shared" si="2"/>
        <v>8.7814053666850274E-7</v>
      </c>
    </row>
    <row r="40" spans="1:5" x14ac:dyDescent="0.25">
      <c r="A40">
        <v>4.0414006656000003</v>
      </c>
      <c r="B40">
        <v>1.2330550275557275E-3</v>
      </c>
      <c r="C40">
        <f t="shared" si="0"/>
        <v>6.6548048991028018E-4</v>
      </c>
      <c r="D40">
        <f t="shared" si="1"/>
        <v>5.6757453764544731E-4</v>
      </c>
      <c r="E40">
        <f t="shared" si="2"/>
        <v>3.221408557834433E-7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B085-A0F2-4173-87F9-C6DF9DD1E96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6.7990081050000012E-2</v>
      </c>
      <c r="B1">
        <v>0.12339192305033184</v>
      </c>
      <c r="C1">
        <f>$H$3*(1+$H$1)*(A1^($H$1))*EXP(-$H$3*(A1^(1+$H$1)))</f>
        <v>0.19038638460273855</v>
      </c>
      <c r="D1">
        <f>B1-C1</f>
        <v>-6.6994461552406709E-2</v>
      </c>
      <c r="E1">
        <f>D1^2</f>
        <v>4.4882578786969007E-3</v>
      </c>
      <c r="G1" t="s">
        <v>0</v>
      </c>
      <c r="H1">
        <v>0.74643416875817103</v>
      </c>
    </row>
    <row r="2" spans="1:8" x14ac:dyDescent="0.25">
      <c r="A2">
        <v>0.16525747515000003</v>
      </c>
      <c r="B2">
        <v>0.37599004824760801</v>
      </c>
      <c r="C2">
        <f t="shared" ref="C2:C40" si="0">$H$3*(1+$H$1)*(A2^($H$1))*EXP(-$H$3*(A2^(1+$H$1)))</f>
        <v>0.35933045913395534</v>
      </c>
      <c r="D2">
        <f t="shared" ref="D2:D40" si="1">B2-C2</f>
        <v>1.6659589113652673E-2</v>
      </c>
      <c r="E2">
        <f t="shared" ref="E2:E40" si="2">D2^2</f>
        <v>2.7754190943573464E-4</v>
      </c>
    </row>
    <row r="3" spans="1:8" x14ac:dyDescent="0.25">
      <c r="A3">
        <v>0.26252486925000001</v>
      </c>
      <c r="B3">
        <v>0.47483279289002039</v>
      </c>
      <c r="C3">
        <f t="shared" si="0"/>
        <v>0.48585165959061916</v>
      </c>
      <c r="D3">
        <f t="shared" si="1"/>
        <v>-1.1018866700598762E-2</v>
      </c>
      <c r="E3">
        <f t="shared" si="2"/>
        <v>1.2141542336556425E-4</v>
      </c>
      <c r="G3" t="s">
        <v>1</v>
      </c>
      <c r="H3">
        <f>(_xlfn.GAMMA((2+$H$1)/(1+$H$1)))^(1+$H$1)</f>
        <v>0.81701356632426103</v>
      </c>
    </row>
    <row r="4" spans="1:8" x14ac:dyDescent="0.25">
      <c r="A4">
        <v>0.35979226335000003</v>
      </c>
      <c r="B4">
        <v>0.60662311907990363</v>
      </c>
      <c r="C4">
        <f t="shared" si="0"/>
        <v>0.58006953214125012</v>
      </c>
      <c r="D4">
        <f t="shared" si="1"/>
        <v>2.6553586938653506E-2</v>
      </c>
      <c r="E4">
        <f t="shared" si="2"/>
        <v>7.0509297930863011E-4</v>
      </c>
    </row>
    <row r="5" spans="1:8" x14ac:dyDescent="0.25">
      <c r="A5">
        <v>0.45705965744999999</v>
      </c>
      <c r="B5">
        <v>0.73130710415170486</v>
      </c>
      <c r="C5">
        <f t="shared" si="0"/>
        <v>0.64590926503309221</v>
      </c>
      <c r="D5">
        <f t="shared" si="1"/>
        <v>8.5397839118612651E-2</v>
      </c>
      <c r="E5">
        <f t="shared" si="2"/>
        <v>7.2927909261284495E-3</v>
      </c>
      <c r="G5" t="s">
        <v>2</v>
      </c>
      <c r="H5">
        <f>SUM(E1:E40)</f>
        <v>3.2881681780736388E-2</v>
      </c>
    </row>
    <row r="6" spans="1:8" x14ac:dyDescent="0.25">
      <c r="A6">
        <v>0.55432705154999995</v>
      </c>
      <c r="B6">
        <v>0.70352777069011185</v>
      </c>
      <c r="C6">
        <f t="shared" si="0"/>
        <v>0.68627027047166422</v>
      </c>
      <c r="D6">
        <f t="shared" si="1"/>
        <v>1.725750021844763E-2</v>
      </c>
      <c r="E6">
        <f t="shared" si="2"/>
        <v>2.9782131378971999E-4</v>
      </c>
    </row>
    <row r="7" spans="1:8" x14ac:dyDescent="0.25">
      <c r="A7">
        <v>0.65159444564999991</v>
      </c>
      <c r="B7">
        <v>0.76942293378505344</v>
      </c>
      <c r="C7">
        <f t="shared" si="0"/>
        <v>0.70403517058513865</v>
      </c>
      <c r="D7">
        <f t="shared" si="1"/>
        <v>6.5387763199914795E-2</v>
      </c>
      <c r="E7">
        <f t="shared" si="2"/>
        <v>4.2755595762881318E-3</v>
      </c>
    </row>
    <row r="8" spans="1:8" x14ac:dyDescent="0.25">
      <c r="A8">
        <v>0.74886183974999998</v>
      </c>
      <c r="B8">
        <v>0.67768653026072301</v>
      </c>
      <c r="C8">
        <f t="shared" si="0"/>
        <v>0.70227479884726318</v>
      </c>
      <c r="D8">
        <f t="shared" si="1"/>
        <v>-2.4588268586540174E-2</v>
      </c>
      <c r="E8">
        <f t="shared" si="2"/>
        <v>6.045829520838383E-4</v>
      </c>
    </row>
    <row r="9" spans="1:8" x14ac:dyDescent="0.25">
      <c r="A9">
        <v>0.84612923385000005</v>
      </c>
      <c r="B9">
        <v>0.63440245254149663</v>
      </c>
      <c r="C9">
        <f t="shared" si="0"/>
        <v>0.68421554722498035</v>
      </c>
      <c r="D9">
        <f t="shared" si="1"/>
        <v>-4.9813094683483716E-2</v>
      </c>
      <c r="E9">
        <f t="shared" si="2"/>
        <v>2.4813444019457136E-3</v>
      </c>
    </row>
    <row r="10" spans="1:8" x14ac:dyDescent="0.25">
      <c r="A10">
        <v>0.94339662795000001</v>
      </c>
      <c r="B10">
        <v>0.6550754448850078</v>
      </c>
      <c r="C10">
        <f t="shared" si="0"/>
        <v>0.65312938352872263</v>
      </c>
      <c r="D10">
        <f t="shared" si="1"/>
        <v>1.946061356285167E-3</v>
      </c>
      <c r="E10">
        <f t="shared" si="2"/>
        <v>3.7871548024264634E-6</v>
      </c>
    </row>
    <row r="11" spans="1:8" x14ac:dyDescent="0.25">
      <c r="A11">
        <v>1.0406640220500001</v>
      </c>
      <c r="B11">
        <v>0.63117229748782311</v>
      </c>
      <c r="C11">
        <f t="shared" si="0"/>
        <v>0.61220725332136039</v>
      </c>
      <c r="D11">
        <f t="shared" si="1"/>
        <v>1.8965044166462719E-2</v>
      </c>
      <c r="E11">
        <f t="shared" si="2"/>
        <v>3.5967290023588162E-4</v>
      </c>
    </row>
    <row r="12" spans="1:8" x14ac:dyDescent="0.25">
      <c r="A12">
        <v>1.13793141615</v>
      </c>
      <c r="B12">
        <v>0.58982631280080089</v>
      </c>
      <c r="C12">
        <f t="shared" si="0"/>
        <v>0.56444308530311449</v>
      </c>
      <c r="D12">
        <f t="shared" si="1"/>
        <v>2.53832274976864E-2</v>
      </c>
      <c r="E12">
        <f t="shared" si="2"/>
        <v>6.4430823819930296E-4</v>
      </c>
    </row>
    <row r="13" spans="1:8" x14ac:dyDescent="0.25">
      <c r="A13">
        <v>1.23519881025</v>
      </c>
      <c r="B13">
        <v>0.54912635912451335</v>
      </c>
      <c r="C13">
        <f t="shared" si="0"/>
        <v>0.51254111574587913</v>
      </c>
      <c r="D13">
        <f t="shared" si="1"/>
        <v>3.6585243378634225E-2</v>
      </c>
      <c r="E13">
        <f t="shared" si="2"/>
        <v>1.3384800330738993E-3</v>
      </c>
    </row>
    <row r="14" spans="1:8" x14ac:dyDescent="0.25">
      <c r="A14">
        <v>1.33246620435</v>
      </c>
      <c r="B14">
        <v>0.44705345942842739</v>
      </c>
      <c r="C14">
        <f t="shared" si="0"/>
        <v>0.45885155999828048</v>
      </c>
      <c r="D14">
        <f t="shared" si="1"/>
        <v>-1.1798100569853087E-2</v>
      </c>
      <c r="E14">
        <f t="shared" si="2"/>
        <v>1.3919517705636775E-4</v>
      </c>
    </row>
    <row r="15" spans="1:8" x14ac:dyDescent="0.25">
      <c r="A15">
        <v>1.4297335984499999</v>
      </c>
      <c r="B15">
        <v>0.39278685452671075</v>
      </c>
      <c r="C15">
        <f t="shared" si="0"/>
        <v>0.40533503362538392</v>
      </c>
      <c r="D15">
        <f t="shared" si="1"/>
        <v>-1.2548179098673173E-2</v>
      </c>
      <c r="E15">
        <f t="shared" si="2"/>
        <v>1.5745679869237828E-4</v>
      </c>
    </row>
    <row r="16" spans="1:8" x14ac:dyDescent="0.25">
      <c r="A16">
        <v>1.5270009925500001</v>
      </c>
      <c r="B16">
        <v>0.29394410988429837</v>
      </c>
      <c r="C16">
        <f t="shared" si="0"/>
        <v>0.35355323135129513</v>
      </c>
      <c r="D16">
        <f t="shared" si="1"/>
        <v>-5.9609121466996762E-2</v>
      </c>
      <c r="E16">
        <f t="shared" si="2"/>
        <v>3.5532473620671742E-3</v>
      </c>
    </row>
    <row r="17" spans="1:5" x14ac:dyDescent="0.25">
      <c r="A17">
        <v>1.6242683866500001</v>
      </c>
      <c r="B17">
        <v>0.26939493147637894</v>
      </c>
      <c r="C17">
        <f t="shared" si="0"/>
        <v>0.30468165115725021</v>
      </c>
      <c r="D17">
        <f t="shared" si="1"/>
        <v>-3.528671968087127E-2</v>
      </c>
      <c r="E17">
        <f t="shared" si="2"/>
        <v>1.2451525858363879E-3</v>
      </c>
    </row>
    <row r="18" spans="1:5" x14ac:dyDescent="0.25">
      <c r="A18">
        <v>1.72153578075</v>
      </c>
      <c r="B18">
        <v>0.20737595444584564</v>
      </c>
      <c r="C18">
        <f t="shared" si="0"/>
        <v>0.25953930489086263</v>
      </c>
      <c r="D18">
        <f t="shared" si="1"/>
        <v>-5.2163350445016993E-2</v>
      </c>
      <c r="E18">
        <f t="shared" si="2"/>
        <v>2.7210151296496545E-3</v>
      </c>
    </row>
    <row r="19" spans="1:5" x14ac:dyDescent="0.25">
      <c r="A19">
        <v>1.81880317485</v>
      </c>
      <c r="B19">
        <v>0.19380930322041651</v>
      </c>
      <c r="C19">
        <f t="shared" si="0"/>
        <v>0.21863017452826752</v>
      </c>
      <c r="D19">
        <f t="shared" si="1"/>
        <v>-2.4820871307851017E-2</v>
      </c>
      <c r="E19">
        <f t="shared" si="2"/>
        <v>6.1607565248090188E-4</v>
      </c>
    </row>
    <row r="20" spans="1:5" x14ac:dyDescent="0.25">
      <c r="A20">
        <v>1.9160705689499999</v>
      </c>
      <c r="B20">
        <v>0.15827759763000682</v>
      </c>
      <c r="C20">
        <f t="shared" si="0"/>
        <v>0.18219147648231276</v>
      </c>
      <c r="D20">
        <f t="shared" si="1"/>
        <v>-2.3913878852305948E-2</v>
      </c>
      <c r="E20">
        <f t="shared" si="2"/>
        <v>5.7187360176276557E-4</v>
      </c>
    </row>
    <row r="21" spans="1:5" x14ac:dyDescent="0.25">
      <c r="A21">
        <v>2.0133379630500001</v>
      </c>
      <c r="B21">
        <v>0.1401887293294346</v>
      </c>
      <c r="C21">
        <f t="shared" si="0"/>
        <v>0.15024442571925173</v>
      </c>
      <c r="D21">
        <f t="shared" si="1"/>
        <v>-1.0055696389817126E-2</v>
      </c>
      <c r="E21">
        <f t="shared" si="2"/>
        <v>1.0111702988418118E-4</v>
      </c>
    </row>
    <row r="22" spans="1:5" x14ac:dyDescent="0.25">
      <c r="A22">
        <v>2.1106053571500003</v>
      </c>
      <c r="B22">
        <v>0.11434748890004573</v>
      </c>
      <c r="C22">
        <f t="shared" si="0"/>
        <v>0.12264400684423576</v>
      </c>
      <c r="D22">
        <f t="shared" si="1"/>
        <v>-8.296517944190035E-3</v>
      </c>
      <c r="E22">
        <f t="shared" si="2"/>
        <v>6.8832209998267251E-5</v>
      </c>
    </row>
    <row r="23" spans="1:5" x14ac:dyDescent="0.25">
      <c r="A23">
        <v>2.20787275125</v>
      </c>
      <c r="B23">
        <v>0.10142686868535129</v>
      </c>
      <c r="C23">
        <f t="shared" si="0"/>
        <v>9.9125143589026354E-2</v>
      </c>
      <c r="D23">
        <f t="shared" si="1"/>
        <v>2.3017250963249386E-3</v>
      </c>
      <c r="E23">
        <f t="shared" si="2"/>
        <v>5.2979384190520479E-6</v>
      </c>
    </row>
    <row r="24" spans="1:5" x14ac:dyDescent="0.25">
      <c r="A24">
        <v>2.3051401453500002</v>
      </c>
      <c r="B24">
        <v>8.2691969374044369E-2</v>
      </c>
      <c r="C24">
        <f t="shared" si="0"/>
        <v>7.9343519961048062E-2</v>
      </c>
      <c r="D24">
        <f t="shared" si="1"/>
        <v>3.3484494129963072E-3</v>
      </c>
      <c r="E24">
        <f t="shared" si="2"/>
        <v>1.1212113471395314E-5</v>
      </c>
    </row>
    <row r="25" spans="1:5" x14ac:dyDescent="0.25">
      <c r="A25">
        <v>2.40240753945</v>
      </c>
      <c r="B25">
        <v>6.8479287137880498E-2</v>
      </c>
      <c r="C25">
        <f t="shared" si="0"/>
        <v>6.2910080930644985E-2</v>
      </c>
      <c r="D25">
        <f t="shared" si="1"/>
        <v>5.5692062072355136E-3</v>
      </c>
      <c r="E25">
        <f t="shared" si="2"/>
        <v>3.1016057778710577E-5</v>
      </c>
    </row>
    <row r="26" spans="1:5" x14ac:dyDescent="0.25">
      <c r="A26">
        <v>2.4996749335500001</v>
      </c>
      <c r="B26">
        <v>6.6541194105676327E-2</v>
      </c>
      <c r="C26">
        <f t="shared" si="0"/>
        <v>4.9418888218342887E-2</v>
      </c>
      <c r="D26">
        <f t="shared" si="1"/>
        <v>1.712230588733344E-2</v>
      </c>
      <c r="E26">
        <f t="shared" si="2"/>
        <v>2.9317335889941337E-4</v>
      </c>
    </row>
    <row r="27" spans="1:5" x14ac:dyDescent="0.25">
      <c r="A27">
        <v>2.5969423276500003</v>
      </c>
      <c r="B27">
        <v>4.8452325805104127E-2</v>
      </c>
      <c r="C27">
        <f t="shared" si="0"/>
        <v>3.8468509504490933E-2</v>
      </c>
      <c r="D27">
        <f t="shared" si="1"/>
        <v>9.9838163006131936E-3</v>
      </c>
      <c r="E27">
        <f t="shared" si="2"/>
        <v>9.9676587924389713E-5</v>
      </c>
    </row>
    <row r="28" spans="1:5" x14ac:dyDescent="0.25">
      <c r="A28">
        <v>2.6942097217500001</v>
      </c>
      <c r="B28">
        <v>3.940789165481802E-2</v>
      </c>
      <c r="C28">
        <f t="shared" si="0"/>
        <v>2.9677476570297463E-2</v>
      </c>
      <c r="D28">
        <f t="shared" si="1"/>
        <v>9.7304150845205564E-3</v>
      </c>
      <c r="E28">
        <f t="shared" si="2"/>
        <v>9.4680977717065182E-5</v>
      </c>
    </row>
    <row r="29" spans="1:5" x14ac:dyDescent="0.25">
      <c r="A29">
        <v>2.7914771158500002</v>
      </c>
      <c r="B29">
        <v>2.8425364472327751E-2</v>
      </c>
      <c r="C29">
        <f t="shared" si="0"/>
        <v>2.2694571389814608E-2</v>
      </c>
      <c r="D29">
        <f t="shared" si="1"/>
        <v>5.7307930825131435E-3</v>
      </c>
      <c r="E29">
        <f t="shared" si="2"/>
        <v>3.2841989354580499E-5</v>
      </c>
    </row>
    <row r="30" spans="1:5" x14ac:dyDescent="0.25">
      <c r="A30">
        <v>2.8887445099500004</v>
      </c>
      <c r="B30">
        <v>2.3903147397184701E-2</v>
      </c>
      <c r="C30">
        <f t="shared" si="0"/>
        <v>1.7204808845052239E-2</v>
      </c>
      <c r="D30">
        <f t="shared" si="1"/>
        <v>6.6983385521324629E-3</v>
      </c>
      <c r="E30">
        <f t="shared" si="2"/>
        <v>4.4867739358984019E-5</v>
      </c>
    </row>
    <row r="31" spans="1:5" x14ac:dyDescent="0.25">
      <c r="A31">
        <v>2.9860119040500002</v>
      </c>
      <c r="B31">
        <v>2.2611085375715257E-2</v>
      </c>
      <c r="C31">
        <f t="shared" si="0"/>
        <v>1.2932004218309532E-2</v>
      </c>
      <c r="D31">
        <f t="shared" si="1"/>
        <v>9.6790811574057247E-3</v>
      </c>
      <c r="E31">
        <f t="shared" si="2"/>
        <v>9.368461205164654E-5</v>
      </c>
    </row>
    <row r="32" spans="1:5" x14ac:dyDescent="0.25">
      <c r="A32">
        <v>3.0832792981500003</v>
      </c>
      <c r="B32">
        <v>1.3566651225429155E-2</v>
      </c>
      <c r="C32">
        <f t="shared" si="0"/>
        <v>9.6387672439707771E-3</v>
      </c>
      <c r="D32">
        <f t="shared" si="1"/>
        <v>3.9278839814583782E-3</v>
      </c>
      <c r="E32">
        <f t="shared" si="2"/>
        <v>1.5428272571797322E-5</v>
      </c>
    </row>
    <row r="33" spans="1:5" x14ac:dyDescent="0.25">
      <c r="A33">
        <v>3.1805466922500001</v>
      </c>
      <c r="B33">
        <v>1.2920620214694433E-2</v>
      </c>
      <c r="C33">
        <f t="shared" si="0"/>
        <v>7.1246748807646514E-3</v>
      </c>
      <c r="D33">
        <f t="shared" si="1"/>
        <v>5.7959453339297817E-3</v>
      </c>
      <c r="E33">
        <f t="shared" si="2"/>
        <v>3.3592982313902407E-5</v>
      </c>
    </row>
    <row r="34" spans="1:5" x14ac:dyDescent="0.25">
      <c r="A34">
        <v>3.2778140863500003</v>
      </c>
      <c r="B34">
        <v>1.0982527182490268E-2</v>
      </c>
      <c r="C34">
        <f t="shared" si="0"/>
        <v>5.2232615067415852E-3</v>
      </c>
      <c r="D34">
        <f t="shared" si="1"/>
        <v>5.7592656757486831E-3</v>
      </c>
      <c r="E34">
        <f t="shared" si="2"/>
        <v>3.3169141123856938E-5</v>
      </c>
    </row>
    <row r="35" spans="1:5" x14ac:dyDescent="0.25">
      <c r="A35">
        <v>3.3750814804500004</v>
      </c>
      <c r="B35">
        <v>8.3984031395513813E-3</v>
      </c>
      <c r="C35">
        <f t="shared" si="0"/>
        <v>3.7983434311267715E-3</v>
      </c>
      <c r="D35">
        <f t="shared" si="1"/>
        <v>4.6000597084246099E-3</v>
      </c>
      <c r="E35">
        <f t="shared" si="2"/>
        <v>2.1160549321071507E-5</v>
      </c>
    </row>
    <row r="36" spans="1:5" x14ac:dyDescent="0.25">
      <c r="A36">
        <v>3.4723488745500006</v>
      </c>
      <c r="B36">
        <v>3.87618606440833E-3</v>
      </c>
      <c r="C36">
        <f t="shared" si="0"/>
        <v>2.7400758834383778E-3</v>
      </c>
      <c r="D36">
        <f t="shared" si="1"/>
        <v>1.1361101809699522E-3</v>
      </c>
      <c r="E36">
        <f t="shared" si="2"/>
        <v>1.2907463433035775E-6</v>
      </c>
    </row>
    <row r="37" spans="1:5" x14ac:dyDescent="0.25">
      <c r="A37">
        <v>3.5696162686500004</v>
      </c>
      <c r="B37">
        <v>3.2301550536736083E-3</v>
      </c>
      <c r="C37">
        <f t="shared" si="0"/>
        <v>1.9610326197693306E-3</v>
      </c>
      <c r="D37">
        <f t="shared" si="1"/>
        <v>1.2691224339042777E-3</v>
      </c>
      <c r="E37">
        <f t="shared" si="2"/>
        <v>1.6106717522391175E-6</v>
      </c>
    </row>
    <row r="38" spans="1:5" x14ac:dyDescent="0.25">
      <c r="A38">
        <v>3.6668836627500001</v>
      </c>
      <c r="B38">
        <v>2.5841240429388865E-3</v>
      </c>
      <c r="C38">
        <f t="shared" si="0"/>
        <v>1.3925053727609558E-3</v>
      </c>
      <c r="D38">
        <f t="shared" si="1"/>
        <v>1.1916186701779307E-3</v>
      </c>
      <c r="E38">
        <f t="shared" si="2"/>
        <v>1.41995505511662E-6</v>
      </c>
    </row>
    <row r="39" spans="1:5" x14ac:dyDescent="0.25">
      <c r="A39">
        <v>3.7641510568500003</v>
      </c>
      <c r="B39">
        <v>2.5841240429388865E-3</v>
      </c>
      <c r="C39">
        <f t="shared" si="0"/>
        <v>9.8114437791399847E-4</v>
      </c>
      <c r="D39">
        <f t="shared" si="1"/>
        <v>1.6029796650248881E-3</v>
      </c>
      <c r="E39">
        <f t="shared" si="2"/>
        <v>2.5695438064833022E-6</v>
      </c>
    </row>
    <row r="40" spans="1:5" x14ac:dyDescent="0.25">
      <c r="A40">
        <v>3.8614184509500005</v>
      </c>
      <c r="B40">
        <v>1.2920620214694433E-3</v>
      </c>
      <c r="C40">
        <f t="shared" si="0"/>
        <v>6.8600204826943013E-4</v>
      </c>
      <c r="D40">
        <f t="shared" si="1"/>
        <v>6.0605997320001314E-4</v>
      </c>
      <c r="E40">
        <f t="shared" si="2"/>
        <v>3.6730869111520065E-7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A017-4FD6-4A0A-B802-F09E9909AD1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7.6911596249999992E-2</v>
      </c>
      <c r="B1">
        <v>0.11559957677333547</v>
      </c>
      <c r="C1">
        <f>$H$3*(1+$H$1)*(A1^($H$1))*EXP(-$H$3*(A1^(1+$H$1)))</f>
        <v>0.17637294371996814</v>
      </c>
      <c r="D1">
        <f>B1-C1</f>
        <v>-6.077336694663267E-2</v>
      </c>
      <c r="E1">
        <f>D1^2</f>
        <v>3.6934021300300646E-3</v>
      </c>
      <c r="G1" t="s">
        <v>0</v>
      </c>
      <c r="H1">
        <v>0.82396008849384561</v>
      </c>
    </row>
    <row r="2" spans="1:8" x14ac:dyDescent="0.25">
      <c r="A2">
        <v>0.16932039474999999</v>
      </c>
      <c r="B2">
        <v>0.31279885479843716</v>
      </c>
      <c r="C2">
        <f t="shared" ref="C2:C40" si="0">$H$3*(1+$H$1)*(A2^($H$1))*EXP(-$H$3*(A2^(1+$H$1)))</f>
        <v>0.32987203114183</v>
      </c>
      <c r="D2">
        <f t="shared" ref="D2:D40" si="1">B2-C2</f>
        <v>-1.7073176343392837E-2</v>
      </c>
      <c r="E2">
        <f t="shared" ref="E2:E40" si="2">D2^2</f>
        <v>2.9149335045258881E-4</v>
      </c>
    </row>
    <row r="3" spans="1:8" x14ac:dyDescent="0.25">
      <c r="A3">
        <v>0.26172919324999999</v>
      </c>
      <c r="B3">
        <v>0.46851828468722434</v>
      </c>
      <c r="C3">
        <f t="shared" si="0"/>
        <v>0.45450774458845455</v>
      </c>
      <c r="D3">
        <f t="shared" si="1"/>
        <v>1.4010540098769786E-2</v>
      </c>
      <c r="E3">
        <f t="shared" si="2"/>
        <v>1.9629523385923607E-4</v>
      </c>
      <c r="G3" t="s">
        <v>1</v>
      </c>
      <c r="H3">
        <f>(_xlfn.GAMMA((2+$H$1)/(1+$H$1)))^(1+$H$1)</f>
        <v>0.80643455312162227</v>
      </c>
    </row>
    <row r="4" spans="1:8" x14ac:dyDescent="0.25">
      <c r="A4">
        <v>0.35413799174999999</v>
      </c>
      <c r="B4">
        <v>0.55079798344942188</v>
      </c>
      <c r="C4">
        <f t="shared" si="0"/>
        <v>0.55384734956802939</v>
      </c>
      <c r="D4">
        <f t="shared" si="1"/>
        <v>-3.0493661186075105E-3</v>
      </c>
      <c r="E4">
        <f t="shared" si="2"/>
        <v>9.2986337253114342E-6</v>
      </c>
    </row>
    <row r="5" spans="1:8" x14ac:dyDescent="0.25">
      <c r="A5">
        <v>0.44654679024999999</v>
      </c>
      <c r="B5">
        <v>0.6983574432130325</v>
      </c>
      <c r="C5">
        <f t="shared" si="0"/>
        <v>0.62892954604315998</v>
      </c>
      <c r="D5">
        <f t="shared" si="1"/>
        <v>6.9427897169872521E-2</v>
      </c>
      <c r="E5">
        <f t="shared" si="2"/>
        <v>4.8202329054303928E-3</v>
      </c>
      <c r="G5" t="s">
        <v>2</v>
      </c>
      <c r="H5">
        <f>SUM(E1:E40)</f>
        <v>3.1902963843525832E-2</v>
      </c>
    </row>
    <row r="6" spans="1:8" x14ac:dyDescent="0.25">
      <c r="A6">
        <v>0.53895558874999994</v>
      </c>
      <c r="B6">
        <v>0.76499719923530829</v>
      </c>
      <c r="C6">
        <f t="shared" si="0"/>
        <v>0.68071878985188272</v>
      </c>
      <c r="D6">
        <f t="shared" si="1"/>
        <v>8.4278409383425568E-2</v>
      </c>
      <c r="E6">
        <f t="shared" si="2"/>
        <v>7.1028502882002744E-3</v>
      </c>
    </row>
    <row r="7" spans="1:8" x14ac:dyDescent="0.25">
      <c r="A7">
        <v>0.63136438724999988</v>
      </c>
      <c r="B7">
        <v>0.75547723408926881</v>
      </c>
      <c r="C7">
        <f t="shared" si="0"/>
        <v>0.71062732023144626</v>
      </c>
      <c r="D7">
        <f t="shared" si="1"/>
        <v>4.4849913857822554E-2</v>
      </c>
      <c r="E7">
        <f t="shared" si="2"/>
        <v>2.0115147730541036E-3</v>
      </c>
    </row>
    <row r="8" spans="1:8" x14ac:dyDescent="0.25">
      <c r="A8">
        <v>0.72377318574999994</v>
      </c>
      <c r="B8">
        <v>0.74527727143279809</v>
      </c>
      <c r="C8">
        <f t="shared" si="0"/>
        <v>0.72059532859369535</v>
      </c>
      <c r="D8">
        <f t="shared" si="1"/>
        <v>2.4681942839102744E-2</v>
      </c>
      <c r="E8">
        <f t="shared" si="2"/>
        <v>6.0919830231273521E-4</v>
      </c>
    </row>
    <row r="9" spans="1:8" x14ac:dyDescent="0.25">
      <c r="A9">
        <v>0.81618198424999999</v>
      </c>
      <c r="B9">
        <v>0.6772775203896596</v>
      </c>
      <c r="C9">
        <f t="shared" si="0"/>
        <v>0.71301781721964252</v>
      </c>
      <c r="D9">
        <f t="shared" si="1"/>
        <v>-3.574029682998292E-2</v>
      </c>
      <c r="E9">
        <f t="shared" si="2"/>
        <v>1.2773688174952873E-3</v>
      </c>
    </row>
    <row r="10" spans="1:8" x14ac:dyDescent="0.25">
      <c r="A10">
        <v>0.90859078274999994</v>
      </c>
      <c r="B10">
        <v>0.66435756769146326</v>
      </c>
      <c r="C10">
        <f t="shared" si="0"/>
        <v>0.6906104543695506</v>
      </c>
      <c r="D10">
        <f t="shared" si="1"/>
        <v>-2.6252886678087339E-2</v>
      </c>
      <c r="E10">
        <f t="shared" si="2"/>
        <v>6.8921405893249566E-4</v>
      </c>
    </row>
    <row r="11" spans="1:8" x14ac:dyDescent="0.25">
      <c r="A11">
        <v>1.0009995812499999</v>
      </c>
      <c r="B11">
        <v>0.66231757516016909</v>
      </c>
      <c r="C11">
        <f t="shared" si="0"/>
        <v>0.65625570798596877</v>
      </c>
      <c r="D11">
        <f t="shared" si="1"/>
        <v>6.0618671742003194E-3</v>
      </c>
      <c r="E11">
        <f t="shared" si="2"/>
        <v>3.6746233637647366E-5</v>
      </c>
    </row>
    <row r="12" spans="1:8" x14ac:dyDescent="0.25">
      <c r="A12">
        <v>1.09340837975</v>
      </c>
      <c r="B12">
        <v>0.60587778179436413</v>
      </c>
      <c r="C12">
        <f t="shared" si="0"/>
        <v>0.61285219207804431</v>
      </c>
      <c r="D12">
        <f t="shared" si="1"/>
        <v>-6.9744102836801769E-3</v>
      </c>
      <c r="E12">
        <f t="shared" si="2"/>
        <v>4.8642398805103808E-5</v>
      </c>
    </row>
    <row r="13" spans="1:8" x14ac:dyDescent="0.25">
      <c r="A13">
        <v>1.18581717825</v>
      </c>
      <c r="B13">
        <v>0.58479785897099124</v>
      </c>
      <c r="C13">
        <f t="shared" si="0"/>
        <v>0.56318116593164247</v>
      </c>
      <c r="D13">
        <f t="shared" si="1"/>
        <v>2.1616693039348767E-2</v>
      </c>
      <c r="E13">
        <f t="shared" si="2"/>
        <v>4.6728141795742941E-4</v>
      </c>
    </row>
    <row r="14" spans="1:8" x14ac:dyDescent="0.25">
      <c r="A14">
        <v>1.2782259767499999</v>
      </c>
      <c r="B14">
        <v>0.54467800585553949</v>
      </c>
      <c r="C14">
        <f t="shared" si="0"/>
        <v>0.50979837955649654</v>
      </c>
      <c r="D14">
        <f t="shared" si="1"/>
        <v>3.4879626299042954E-2</v>
      </c>
      <c r="E14">
        <f t="shared" si="2"/>
        <v>1.2165883307608889E-3</v>
      </c>
    </row>
    <row r="15" spans="1:8" x14ac:dyDescent="0.25">
      <c r="A15">
        <v>1.3706347752499999</v>
      </c>
      <c r="B15">
        <v>0.44131838426996894</v>
      </c>
      <c r="C15">
        <f t="shared" si="0"/>
        <v>0.45495517607499736</v>
      </c>
      <c r="D15">
        <f t="shared" si="1"/>
        <v>-1.3636791805028414E-2</v>
      </c>
      <c r="E15">
        <f t="shared" si="2"/>
        <v>1.8596209073369011E-4</v>
      </c>
    </row>
    <row r="16" spans="1:8" x14ac:dyDescent="0.25">
      <c r="A16">
        <v>1.4630435737499998</v>
      </c>
      <c r="B16">
        <v>0.36447866559122244</v>
      </c>
      <c r="C16">
        <f t="shared" si="0"/>
        <v>0.40054942211307309</v>
      </c>
      <c r="D16">
        <f t="shared" si="1"/>
        <v>-3.6070756521850655E-2</v>
      </c>
      <c r="E16">
        <f t="shared" si="2"/>
        <v>1.3010994760586315E-3</v>
      </c>
    </row>
    <row r="17" spans="1:5" x14ac:dyDescent="0.25">
      <c r="A17">
        <v>1.55545237225</v>
      </c>
      <c r="B17">
        <v>0.30191889463153498</v>
      </c>
      <c r="C17">
        <f t="shared" si="0"/>
        <v>0.34810430127444103</v>
      </c>
      <c r="D17">
        <f t="shared" si="1"/>
        <v>-4.6185406642906046E-2</v>
      </c>
      <c r="E17">
        <f t="shared" si="2"/>
        <v>2.1330917867705898E-3</v>
      </c>
    </row>
    <row r="18" spans="1:5" x14ac:dyDescent="0.25">
      <c r="A18">
        <v>1.6478611707500002</v>
      </c>
      <c r="B18">
        <v>0.25159907885961247</v>
      </c>
      <c r="C18">
        <f t="shared" si="0"/>
        <v>0.29877122830268499</v>
      </c>
      <c r="D18">
        <f t="shared" si="1"/>
        <v>-4.717214944307252E-2</v>
      </c>
      <c r="E18">
        <f t="shared" si="2"/>
        <v>2.2252116830795672E-3</v>
      </c>
    </row>
    <row r="19" spans="1:5" x14ac:dyDescent="0.25">
      <c r="A19">
        <v>1.7402699692499999</v>
      </c>
      <c r="B19">
        <v>0.22099919089020015</v>
      </c>
      <c r="C19">
        <f t="shared" si="0"/>
        <v>0.25335207437445301</v>
      </c>
      <c r="D19">
        <f t="shared" si="1"/>
        <v>-3.2352883484252859E-2</v>
      </c>
      <c r="E19">
        <f t="shared" si="2"/>
        <v>1.0467090697456414E-3</v>
      </c>
    </row>
    <row r="20" spans="1:5" x14ac:dyDescent="0.25">
      <c r="A20">
        <v>1.83267876775</v>
      </c>
      <c r="B20">
        <v>0.18087933777474843</v>
      </c>
      <c r="C20">
        <f t="shared" si="0"/>
        <v>0.21233545833565712</v>
      </c>
      <c r="D20">
        <f t="shared" si="1"/>
        <v>-3.1456120560908685E-2</v>
      </c>
      <c r="E20">
        <f t="shared" si="2"/>
        <v>9.8948752074242211E-4</v>
      </c>
    </row>
    <row r="21" spans="1:5" x14ac:dyDescent="0.25">
      <c r="A21">
        <v>1.9250875662499998</v>
      </c>
      <c r="B21">
        <v>0.15843941993051272</v>
      </c>
      <c r="C21">
        <f t="shared" si="0"/>
        <v>0.17594194550155673</v>
      </c>
      <c r="D21">
        <f t="shared" si="1"/>
        <v>-1.7502525571044009E-2</v>
      </c>
      <c r="E21">
        <f t="shared" si="2"/>
        <v>3.063384013650494E-4</v>
      </c>
    </row>
    <row r="22" spans="1:5" x14ac:dyDescent="0.25">
      <c r="A22">
        <v>2.0174963647499999</v>
      </c>
      <c r="B22">
        <v>0.13871949212800255</v>
      </c>
      <c r="C22">
        <f t="shared" si="0"/>
        <v>0.144173476690306</v>
      </c>
      <c r="D22">
        <f t="shared" si="1"/>
        <v>-5.4539845623034489E-3</v>
      </c>
      <c r="E22">
        <f t="shared" si="2"/>
        <v>2.9745947605844342E-5</v>
      </c>
    </row>
    <row r="23" spans="1:5" x14ac:dyDescent="0.25">
      <c r="A23">
        <v>2.1099051632499997</v>
      </c>
      <c r="B23">
        <v>0.10131962905427638</v>
      </c>
      <c r="C23">
        <f t="shared" si="0"/>
        <v>0.11686309225996874</v>
      </c>
      <c r="D23">
        <f t="shared" si="1"/>
        <v>-1.5543463205692359E-2</v>
      </c>
      <c r="E23">
        <f t="shared" si="2"/>
        <v>2.415992484267122E-4</v>
      </c>
    </row>
    <row r="24" spans="1:5" x14ac:dyDescent="0.25">
      <c r="A24">
        <v>2.2023139617499998</v>
      </c>
      <c r="B24">
        <v>0.10675960913772746</v>
      </c>
      <c r="C24">
        <f t="shared" si="0"/>
        <v>9.3721893882115992E-2</v>
      </c>
      <c r="D24">
        <f t="shared" si="1"/>
        <v>1.3037715255611468E-2</v>
      </c>
      <c r="E24">
        <f t="shared" si="2"/>
        <v>1.6998201908640401E-4</v>
      </c>
    </row>
    <row r="25" spans="1:5" x14ac:dyDescent="0.25">
      <c r="A25">
        <v>2.29472276025</v>
      </c>
      <c r="B25">
        <v>7.4119728637020973E-2</v>
      </c>
      <c r="C25">
        <f t="shared" si="0"/>
        <v>7.4381093258060194E-2</v>
      </c>
      <c r="D25">
        <f t="shared" si="1"/>
        <v>-2.6136462103922009E-4</v>
      </c>
      <c r="E25">
        <f t="shared" si="2"/>
        <v>6.8311465130975131E-8</v>
      </c>
    </row>
    <row r="26" spans="1:5" x14ac:dyDescent="0.25">
      <c r="A26">
        <v>2.3871315587500002</v>
      </c>
      <c r="B26">
        <v>6.5959758511844352E-2</v>
      </c>
      <c r="C26">
        <f t="shared" si="0"/>
        <v>5.8427848399134459E-2</v>
      </c>
      <c r="D26">
        <f t="shared" si="1"/>
        <v>7.5319101127098928E-3</v>
      </c>
      <c r="E26">
        <f t="shared" si="2"/>
        <v>5.6729669945941549E-5</v>
      </c>
    </row>
    <row r="27" spans="1:5" x14ac:dyDescent="0.25">
      <c r="A27">
        <v>2.4795403572500003</v>
      </c>
      <c r="B27">
        <v>5.9839780917961889E-2</v>
      </c>
      <c r="C27">
        <f t="shared" si="0"/>
        <v>4.5434326826051967E-2</v>
      </c>
      <c r="D27">
        <f t="shared" si="1"/>
        <v>1.4405454091909922E-2</v>
      </c>
      <c r="E27">
        <f t="shared" si="2"/>
        <v>2.0751710759412431E-4</v>
      </c>
    </row>
    <row r="28" spans="1:5" x14ac:dyDescent="0.25">
      <c r="A28">
        <v>2.57194915575</v>
      </c>
      <c r="B28">
        <v>4.5559833198902805E-2</v>
      </c>
      <c r="C28">
        <f t="shared" si="0"/>
        <v>3.4980028393787548E-2</v>
      </c>
      <c r="D28">
        <f t="shared" si="1"/>
        <v>1.0579804805115257E-2</v>
      </c>
      <c r="E28">
        <f t="shared" si="2"/>
        <v>1.1193226971433989E-4</v>
      </c>
    </row>
    <row r="29" spans="1:5" x14ac:dyDescent="0.25">
      <c r="A29">
        <v>2.6643579542499998</v>
      </c>
      <c r="B29">
        <v>3.6719865563294797E-2</v>
      </c>
      <c r="C29">
        <f t="shared" si="0"/>
        <v>2.6667837324921295E-2</v>
      </c>
      <c r="D29">
        <f t="shared" si="1"/>
        <v>1.0052028238373503E-2</v>
      </c>
      <c r="E29">
        <f t="shared" si="2"/>
        <v>1.010432717050583E-4</v>
      </c>
    </row>
    <row r="30" spans="1:5" x14ac:dyDescent="0.25">
      <c r="A30">
        <v>2.7567667527499999</v>
      </c>
      <c r="B30">
        <v>2.651990290682402E-2</v>
      </c>
      <c r="C30">
        <f t="shared" si="0"/>
        <v>2.013455928474988E-2</v>
      </c>
      <c r="D30">
        <f t="shared" si="1"/>
        <v>6.3853436220741404E-3</v>
      </c>
      <c r="E30">
        <f t="shared" si="2"/>
        <v>4.07726131719629E-5</v>
      </c>
    </row>
    <row r="31" spans="1:5" x14ac:dyDescent="0.25">
      <c r="A31">
        <v>2.8491755512500001</v>
      </c>
      <c r="B31">
        <v>2.5159907885961248E-2</v>
      </c>
      <c r="C31">
        <f t="shared" si="0"/>
        <v>1.5056852594790423E-2</v>
      </c>
      <c r="D31">
        <f t="shared" si="1"/>
        <v>1.0103055291170825E-2</v>
      </c>
      <c r="E31">
        <f t="shared" si="2"/>
        <v>1.020717262164548E-4</v>
      </c>
    </row>
    <row r="32" spans="1:5" x14ac:dyDescent="0.25">
      <c r="A32">
        <v>2.9415843497499998</v>
      </c>
      <c r="B32">
        <v>1.8359932781647399E-2</v>
      </c>
      <c r="C32">
        <f t="shared" si="0"/>
        <v>1.1153507444065708E-2</v>
      </c>
      <c r="D32">
        <f t="shared" si="1"/>
        <v>7.2064253375816907E-3</v>
      </c>
      <c r="E32">
        <f t="shared" si="2"/>
        <v>5.1932566146139386E-5</v>
      </c>
    </row>
    <row r="33" spans="1:5" x14ac:dyDescent="0.25">
      <c r="A33">
        <v>3.0339931482499995</v>
      </c>
      <c r="B33">
        <v>1.3599950208627701E-2</v>
      </c>
      <c r="C33">
        <f t="shared" si="0"/>
        <v>8.1849902989776565E-3</v>
      </c>
      <c r="D33">
        <f t="shared" si="1"/>
        <v>5.414959909650045E-3</v>
      </c>
      <c r="E33">
        <f t="shared" si="2"/>
        <v>2.9321790823117223E-5</v>
      </c>
    </row>
    <row r="34" spans="1:5" x14ac:dyDescent="0.25">
      <c r="A34">
        <v>3.1264019467499997</v>
      </c>
      <c r="B34">
        <v>1.4959945229490472E-2</v>
      </c>
      <c r="C34">
        <f t="shared" si="0"/>
        <v>5.9510790038477214E-3</v>
      </c>
      <c r="D34">
        <f t="shared" si="1"/>
        <v>9.0088662256427518E-3</v>
      </c>
      <c r="E34">
        <f t="shared" si="2"/>
        <v>8.1159670671526683E-5</v>
      </c>
    </row>
    <row r="35" spans="1:5" x14ac:dyDescent="0.25">
      <c r="A35">
        <v>3.2188107452499999</v>
      </c>
      <c r="B35">
        <v>6.1199775938824662E-3</v>
      </c>
      <c r="C35">
        <f t="shared" si="0"/>
        <v>4.2872907017013941E-3</v>
      </c>
      <c r="D35">
        <f t="shared" si="1"/>
        <v>1.8326868921810721E-3</v>
      </c>
      <c r="E35">
        <f t="shared" si="2"/>
        <v>3.3587412447723168E-6</v>
      </c>
    </row>
    <row r="36" spans="1:5" x14ac:dyDescent="0.25">
      <c r="A36">
        <v>3.31121954375</v>
      </c>
      <c r="B36">
        <v>4.0799850625883108E-3</v>
      </c>
      <c r="C36">
        <f t="shared" si="0"/>
        <v>3.0606688152074357E-3</v>
      </c>
      <c r="D36">
        <f t="shared" si="1"/>
        <v>1.019316247380875E-3</v>
      </c>
      <c r="E36">
        <f t="shared" si="2"/>
        <v>1.0390056121746293E-6</v>
      </c>
    </row>
    <row r="37" spans="1:5" x14ac:dyDescent="0.25">
      <c r="A37">
        <v>3.4036283422500002</v>
      </c>
      <c r="B37">
        <v>5.4399800834510808E-3</v>
      </c>
      <c r="C37">
        <f t="shared" si="0"/>
        <v>2.1653612906850353E-3</v>
      </c>
      <c r="D37">
        <f t="shared" si="1"/>
        <v>3.2746187927660455E-3</v>
      </c>
      <c r="E37">
        <f t="shared" si="2"/>
        <v>1.0723128237936553E-5</v>
      </c>
    </row>
    <row r="38" spans="1:5" x14ac:dyDescent="0.25">
      <c r="A38">
        <v>3.4960371407500004</v>
      </c>
      <c r="B38">
        <v>2.7199900417255404E-3</v>
      </c>
      <c r="C38">
        <f t="shared" si="0"/>
        <v>1.5182998977592459E-3</v>
      </c>
      <c r="D38">
        <f t="shared" si="1"/>
        <v>1.2016901439662944E-3</v>
      </c>
      <c r="E38">
        <f t="shared" si="2"/>
        <v>1.4440592021057335E-6</v>
      </c>
    </row>
    <row r="39" spans="1:5" x14ac:dyDescent="0.25">
      <c r="A39">
        <v>3.5884459392499997</v>
      </c>
      <c r="B39">
        <v>2.7199900417255404E-3</v>
      </c>
      <c r="C39">
        <f t="shared" si="0"/>
        <v>1.0551853131809045E-3</v>
      </c>
      <c r="D39">
        <f t="shared" si="1"/>
        <v>1.6648047285446358E-3</v>
      </c>
      <c r="E39">
        <f t="shared" si="2"/>
        <v>2.7715747841845785E-6</v>
      </c>
    </row>
    <row r="40" spans="1:5" x14ac:dyDescent="0.25">
      <c r="A40">
        <v>3.6808547377499998</v>
      </c>
      <c r="B40">
        <v>2.0399925312941554E-3</v>
      </c>
      <c r="C40">
        <f t="shared" si="0"/>
        <v>7.2689743848993696E-4</v>
      </c>
      <c r="D40">
        <f t="shared" si="1"/>
        <v>1.3130950928042185E-3</v>
      </c>
      <c r="E40">
        <f t="shared" si="2"/>
        <v>1.7242187227465192E-6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A080-4430-4221-B366-E74C50980F8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7.4898284637500007E-2</v>
      </c>
      <c r="B1">
        <v>6.9429574781288875E-2</v>
      </c>
      <c r="C1">
        <f>$H$3*(1+$H$1)*(A1^($H$1))*EXP(-$H$3*(A1^(1+$H$1)))</f>
        <v>0.14160732319109637</v>
      </c>
      <c r="D1">
        <f>B1-C1</f>
        <v>-7.2177748409807493E-2</v>
      </c>
      <c r="E1">
        <f>D1^2</f>
        <v>5.2096273655094678E-3</v>
      </c>
      <c r="G1" t="s">
        <v>0</v>
      </c>
      <c r="H1">
        <v>0.91418781615408828</v>
      </c>
    </row>
    <row r="2" spans="1:8" x14ac:dyDescent="0.25">
      <c r="A2">
        <v>0.16268885591250001</v>
      </c>
      <c r="B2">
        <v>0.23334063277010489</v>
      </c>
      <c r="C2">
        <f t="shared" ref="C2:C40" si="0">$H$3*(1+$H$1)*(A2^($H$1))*EXP(-$H$3*(A2^(1+$H$1)))</f>
        <v>0.28235847233552713</v>
      </c>
      <c r="D2">
        <f t="shared" ref="D2:D40" si="1">B2-C2</f>
        <v>-4.9017839565422244E-2</v>
      </c>
      <c r="E2">
        <f t="shared" ref="E2:E40" si="2">D2^2</f>
        <v>2.4027485956614743E-3</v>
      </c>
    </row>
    <row r="3" spans="1:8" x14ac:dyDescent="0.25">
      <c r="A3">
        <v>0.25047942718749999</v>
      </c>
      <c r="B3">
        <v>0.42445090562169385</v>
      </c>
      <c r="C3">
        <f t="shared" si="0"/>
        <v>0.40589579439282175</v>
      </c>
      <c r="D3">
        <f t="shared" si="1"/>
        <v>1.8555111228872101E-2</v>
      </c>
      <c r="E3">
        <f t="shared" si="2"/>
        <v>3.4429215271581553E-4</v>
      </c>
      <c r="G3" t="s">
        <v>1</v>
      </c>
      <c r="H3">
        <f>(_xlfn.GAMMA((2+$H$1)/(1+$H$1)))^(1+$H$1)</f>
        <v>0.79517927921662834</v>
      </c>
    </row>
    <row r="4" spans="1:8" x14ac:dyDescent="0.25">
      <c r="A4">
        <v>0.3382699984625</v>
      </c>
      <c r="B4">
        <v>0.51535354476832984</v>
      </c>
      <c r="C4">
        <f t="shared" si="0"/>
        <v>0.51137539309563373</v>
      </c>
      <c r="D4">
        <f t="shared" si="1"/>
        <v>3.9781516726961064E-3</v>
      </c>
      <c r="E4">
        <f t="shared" si="2"/>
        <v>1.582569073097483E-5</v>
      </c>
    </row>
    <row r="5" spans="1:8" x14ac:dyDescent="0.25">
      <c r="A5">
        <v>0.42606056973749995</v>
      </c>
      <c r="B5">
        <v>0.64061308689952112</v>
      </c>
      <c r="C5">
        <f t="shared" si="0"/>
        <v>0.59740092624368557</v>
      </c>
      <c r="D5">
        <f t="shared" si="1"/>
        <v>4.3212160655835552E-2</v>
      </c>
      <c r="E5">
        <f t="shared" si="2"/>
        <v>1.867290828545742E-3</v>
      </c>
      <c r="G5" t="s">
        <v>2</v>
      </c>
      <c r="H5">
        <f>SUM(E1:E40)</f>
        <v>4.4364207457217419E-2</v>
      </c>
    </row>
    <row r="6" spans="1:8" x14ac:dyDescent="0.25">
      <c r="A6">
        <v>0.51385114101249996</v>
      </c>
      <c r="B6">
        <v>0.7486941775384347</v>
      </c>
      <c r="C6">
        <f t="shared" si="0"/>
        <v>0.66306155784743093</v>
      </c>
      <c r="D6">
        <f t="shared" si="1"/>
        <v>8.5632619691003775E-2</v>
      </c>
      <c r="E6">
        <f t="shared" si="2"/>
        <v>7.3329455551440874E-3</v>
      </c>
    </row>
    <row r="7" spans="1:8" x14ac:dyDescent="0.25">
      <c r="A7">
        <v>0.60164171228749996</v>
      </c>
      <c r="B7">
        <v>0.80667145132487184</v>
      </c>
      <c r="C7">
        <f t="shared" si="0"/>
        <v>0.70818679279302299</v>
      </c>
      <c r="D7">
        <f t="shared" si="1"/>
        <v>9.8484658531848845E-2</v>
      </c>
      <c r="E7">
        <f t="shared" si="2"/>
        <v>9.6992279661348678E-3</v>
      </c>
    </row>
    <row r="8" spans="1:8" x14ac:dyDescent="0.25">
      <c r="A8">
        <v>0.68943228356249997</v>
      </c>
      <c r="B8">
        <v>0.77159877952813827</v>
      </c>
      <c r="C8">
        <f t="shared" si="0"/>
        <v>0.73338316247663693</v>
      </c>
      <c r="D8">
        <f t="shared" si="1"/>
        <v>3.8215617051501338E-2</v>
      </c>
      <c r="E8">
        <f t="shared" si="2"/>
        <v>1.4604333866269999E-3</v>
      </c>
    </row>
    <row r="9" spans="1:8" x14ac:dyDescent="0.25">
      <c r="A9">
        <v>0.77722285483749998</v>
      </c>
      <c r="B9">
        <v>0.75227302159932585</v>
      </c>
      <c r="C9">
        <f t="shared" si="0"/>
        <v>0.73997029757204213</v>
      </c>
      <c r="D9">
        <f t="shared" si="1"/>
        <v>1.2302724027283718E-2</v>
      </c>
      <c r="E9">
        <f t="shared" si="2"/>
        <v>1.5135701849150411E-4</v>
      </c>
    </row>
    <row r="10" spans="1:8" x14ac:dyDescent="0.25">
      <c r="A10">
        <v>0.86501342611249998</v>
      </c>
      <c r="B10">
        <v>0.71075843049298826</v>
      </c>
      <c r="C10">
        <f t="shared" si="0"/>
        <v>0.72986004909356428</v>
      </c>
      <c r="D10">
        <f t="shared" si="1"/>
        <v>-1.910161860057602E-2</v>
      </c>
      <c r="E10">
        <f t="shared" si="2"/>
        <v>3.6487183316187181E-4</v>
      </c>
    </row>
    <row r="11" spans="1:8" x14ac:dyDescent="0.25">
      <c r="A11">
        <v>0.95280399738749999</v>
      </c>
      <c r="B11">
        <v>0.66208615126486814</v>
      </c>
      <c r="C11">
        <f t="shared" si="0"/>
        <v>0.70540391224151033</v>
      </c>
      <c r="D11">
        <f t="shared" si="1"/>
        <v>-4.3317760976642194E-2</v>
      </c>
      <c r="E11">
        <f t="shared" si="2"/>
        <v>1.8764284160295054E-3</v>
      </c>
    </row>
    <row r="12" spans="1:8" x14ac:dyDescent="0.25">
      <c r="A12">
        <v>1.0405945686625</v>
      </c>
      <c r="B12">
        <v>0.68355921563021527</v>
      </c>
      <c r="C12">
        <f t="shared" si="0"/>
        <v>0.66922758650051339</v>
      </c>
      <c r="D12">
        <f t="shared" si="1"/>
        <v>1.4331629129701873E-2</v>
      </c>
      <c r="E12">
        <f t="shared" si="2"/>
        <v>2.0539559351131925E-4</v>
      </c>
    </row>
    <row r="13" spans="1:8" x14ac:dyDescent="0.25">
      <c r="A13">
        <v>1.1283851399375</v>
      </c>
      <c r="B13">
        <v>0.59194080767140111</v>
      </c>
      <c r="C13">
        <f t="shared" si="0"/>
        <v>0.62406786317249252</v>
      </c>
      <c r="D13">
        <f t="shared" si="1"/>
        <v>-3.2127055501091406E-2</v>
      </c>
      <c r="E13">
        <f t="shared" si="2"/>
        <v>1.0321476951702076E-3</v>
      </c>
    </row>
    <row r="14" spans="1:8" x14ac:dyDescent="0.25">
      <c r="A14">
        <v>1.2161757112124998</v>
      </c>
      <c r="B14">
        <v>0.5776254314278364</v>
      </c>
      <c r="C14">
        <f t="shared" si="0"/>
        <v>0.57262383170266185</v>
      </c>
      <c r="D14">
        <f t="shared" si="1"/>
        <v>5.0015997251745548E-3</v>
      </c>
      <c r="E14">
        <f t="shared" si="2"/>
        <v>2.5015999810866182E-5</v>
      </c>
    </row>
    <row r="15" spans="1:8" x14ac:dyDescent="0.25">
      <c r="A15">
        <v>1.3039662824875</v>
      </c>
      <c r="B15">
        <v>0.55042621656506341</v>
      </c>
      <c r="C15">
        <f t="shared" si="0"/>
        <v>0.5174311156227559</v>
      </c>
      <c r="D15">
        <f t="shared" si="1"/>
        <v>3.2995100942307509E-2</v>
      </c>
      <c r="E15">
        <f t="shared" si="2"/>
        <v>1.0886766861930618E-3</v>
      </c>
    </row>
    <row r="16" spans="1:8" x14ac:dyDescent="0.25">
      <c r="A16">
        <v>1.3917568537625</v>
      </c>
      <c r="B16">
        <v>0.45952357741842742</v>
      </c>
      <c r="C16">
        <f t="shared" si="0"/>
        <v>0.4607645245117587</v>
      </c>
      <c r="D16">
        <f t="shared" si="1"/>
        <v>-1.2409470933312794E-3</v>
      </c>
      <c r="E16">
        <f t="shared" si="2"/>
        <v>1.539949688447351E-6</v>
      </c>
    </row>
    <row r="17" spans="1:5" x14ac:dyDescent="0.25">
      <c r="A17">
        <v>1.4795474250375</v>
      </c>
      <c r="B17">
        <v>0.34356902984555321</v>
      </c>
      <c r="C17">
        <f t="shared" si="0"/>
        <v>0.40457134414792606</v>
      </c>
      <c r="D17">
        <f t="shared" si="1"/>
        <v>-6.1002314302372851E-2</v>
      </c>
      <c r="E17">
        <f t="shared" si="2"/>
        <v>3.7212823502454835E-3</v>
      </c>
    </row>
    <row r="18" spans="1:5" x14ac:dyDescent="0.25">
      <c r="A18">
        <v>1.5673379963124998</v>
      </c>
      <c r="B18">
        <v>0.32424327191674085</v>
      </c>
      <c r="C18">
        <f t="shared" si="0"/>
        <v>0.350434703885942</v>
      </c>
      <c r="D18">
        <f t="shared" si="1"/>
        <v>-2.6191431969201151E-2</v>
      </c>
      <c r="E18">
        <f t="shared" si="2"/>
        <v>6.8599110859729213E-4</v>
      </c>
    </row>
    <row r="19" spans="1:5" x14ac:dyDescent="0.25">
      <c r="A19">
        <v>1.6551285675874998</v>
      </c>
      <c r="B19">
        <v>0.25767677238416492</v>
      </c>
      <c r="C19">
        <f t="shared" si="0"/>
        <v>0.29956423092144863</v>
      </c>
      <c r="D19">
        <f t="shared" si="1"/>
        <v>-4.1887458537283706E-2</v>
      </c>
      <c r="E19">
        <f t="shared" si="2"/>
        <v>1.7545591827126616E-3</v>
      </c>
    </row>
    <row r="20" spans="1:5" x14ac:dyDescent="0.25">
      <c r="A20">
        <v>1.7429191388624998</v>
      </c>
      <c r="B20">
        <v>0.21043603078040135</v>
      </c>
      <c r="C20">
        <f t="shared" si="0"/>
        <v>0.25280962385006395</v>
      </c>
      <c r="D20">
        <f t="shared" si="1"/>
        <v>-4.2373593069662596E-2</v>
      </c>
      <c r="E20">
        <f t="shared" si="2"/>
        <v>1.7955213896333579E-3</v>
      </c>
    </row>
    <row r="21" spans="1:5" x14ac:dyDescent="0.25">
      <c r="A21">
        <v>1.8307097101375001</v>
      </c>
      <c r="B21">
        <v>0.17321605254713307</v>
      </c>
      <c r="C21">
        <f t="shared" si="0"/>
        <v>0.2106918726607967</v>
      </c>
      <c r="D21">
        <f t="shared" si="1"/>
        <v>-3.7475820113663627E-2</v>
      </c>
      <c r="E21">
        <f t="shared" si="2"/>
        <v>1.4044370931916752E-3</v>
      </c>
    </row>
    <row r="22" spans="1:5" x14ac:dyDescent="0.25">
      <c r="A22">
        <v>1.9185002814125003</v>
      </c>
      <c r="B22">
        <v>0.17106874611059839</v>
      </c>
      <c r="C22">
        <f t="shared" si="0"/>
        <v>0.17344656989439983</v>
      </c>
      <c r="D22">
        <f t="shared" si="1"/>
        <v>-2.3778237838014415E-3</v>
      </c>
      <c r="E22">
        <f t="shared" si="2"/>
        <v>5.6540459468118049E-6</v>
      </c>
    </row>
    <row r="23" spans="1:5" x14ac:dyDescent="0.25">
      <c r="A23">
        <v>2.0062908526875001</v>
      </c>
      <c r="B23">
        <v>0.11881762282158716</v>
      </c>
      <c r="C23">
        <f t="shared" si="0"/>
        <v>0.14107399739747967</v>
      </c>
      <c r="D23">
        <f t="shared" si="1"/>
        <v>-2.225637457589251E-2</v>
      </c>
      <c r="E23">
        <f t="shared" si="2"/>
        <v>4.9534620926243444E-4</v>
      </c>
    </row>
    <row r="24" spans="1:5" x14ac:dyDescent="0.25">
      <c r="A24">
        <v>2.0940814239624999</v>
      </c>
      <c r="B24">
        <v>0.1016391713293095</v>
      </c>
      <c r="C24">
        <f t="shared" si="0"/>
        <v>0.11339130326882284</v>
      </c>
      <c r="D24">
        <f t="shared" si="1"/>
        <v>-1.1752131939513341E-2</v>
      </c>
      <c r="E24">
        <f t="shared" si="2"/>
        <v>1.381126051237296E-4</v>
      </c>
    </row>
    <row r="25" spans="1:5" x14ac:dyDescent="0.25">
      <c r="A25">
        <v>2.1818719952374996</v>
      </c>
      <c r="B25">
        <v>0.10736532182673537</v>
      </c>
      <c r="C25">
        <f t="shared" si="0"/>
        <v>9.0082962089354623E-2</v>
      </c>
      <c r="D25">
        <f t="shared" si="1"/>
        <v>1.7282359737380751E-2</v>
      </c>
      <c r="E25">
        <f t="shared" si="2"/>
        <v>2.9867995809223927E-4</v>
      </c>
    </row>
    <row r="26" spans="1:5" x14ac:dyDescent="0.25">
      <c r="A26">
        <v>2.2696625665124994</v>
      </c>
      <c r="B26">
        <v>7.4439956466536533E-2</v>
      </c>
      <c r="C26">
        <f t="shared" si="0"/>
        <v>7.0746703149213802E-2</v>
      </c>
      <c r="D26">
        <f t="shared" si="1"/>
        <v>3.6932533173227311E-3</v>
      </c>
      <c r="E26">
        <f t="shared" si="2"/>
        <v>1.3640120065915358E-5</v>
      </c>
    </row>
    <row r="27" spans="1:5" x14ac:dyDescent="0.25">
      <c r="A27">
        <v>2.3574531377875001</v>
      </c>
      <c r="B27">
        <v>6.7998037156932409E-2</v>
      </c>
      <c r="C27">
        <f t="shared" si="0"/>
        <v>5.4933080709125531E-2</v>
      </c>
      <c r="D27">
        <f t="shared" si="1"/>
        <v>1.3064956447806877E-2</v>
      </c>
      <c r="E27">
        <f t="shared" si="2"/>
        <v>1.7069308698309049E-4</v>
      </c>
    </row>
    <row r="28" spans="1:5" x14ac:dyDescent="0.25">
      <c r="A28">
        <v>2.4452437090624999</v>
      </c>
      <c r="B28">
        <v>5.3682660913367687E-2</v>
      </c>
      <c r="C28">
        <f t="shared" si="0"/>
        <v>4.217775937348222E-2</v>
      </c>
      <c r="D28">
        <f t="shared" si="1"/>
        <v>1.1504901539885468E-2</v>
      </c>
      <c r="E28">
        <f t="shared" si="2"/>
        <v>1.32362759442459E-4</v>
      </c>
    </row>
    <row r="29" spans="1:5" x14ac:dyDescent="0.25">
      <c r="A29">
        <v>2.5330342803374997</v>
      </c>
      <c r="B29">
        <v>4.3661897542872391E-2</v>
      </c>
      <c r="C29">
        <f t="shared" si="0"/>
        <v>3.2026338592603454E-2</v>
      </c>
      <c r="D29">
        <f t="shared" si="1"/>
        <v>1.1635558950268937E-2</v>
      </c>
      <c r="E29">
        <f t="shared" si="2"/>
        <v>1.3538623208518357E-4</v>
      </c>
    </row>
    <row r="30" spans="1:5" x14ac:dyDescent="0.25">
      <c r="A30">
        <v>2.6208248516124995</v>
      </c>
      <c r="B30">
        <v>3.0062290111485906E-2</v>
      </c>
      <c r="C30">
        <f t="shared" si="0"/>
        <v>2.4052114139389107E-2</v>
      </c>
      <c r="D30">
        <f t="shared" si="1"/>
        <v>6.0101759720967984E-3</v>
      </c>
      <c r="E30">
        <f t="shared" si="2"/>
        <v>3.6122215215569694E-5</v>
      </c>
    </row>
    <row r="31" spans="1:5" x14ac:dyDescent="0.25">
      <c r="A31">
        <v>2.7086154228875001</v>
      </c>
      <c r="B31">
        <v>3.4356902984555321E-2</v>
      </c>
      <c r="C31">
        <f t="shared" si="0"/>
        <v>1.7867566633094543E-2</v>
      </c>
      <c r="D31">
        <f t="shared" si="1"/>
        <v>1.6489336351460777E-2</v>
      </c>
      <c r="E31">
        <f t="shared" si="2"/>
        <v>2.7189821331160581E-4</v>
      </c>
    </row>
    <row r="32" spans="1:5" x14ac:dyDescent="0.25">
      <c r="A32">
        <v>2.7964059941624999</v>
      </c>
      <c r="B32">
        <v>1.6462682680099424E-2</v>
      </c>
      <c r="C32">
        <f t="shared" si="0"/>
        <v>1.3130591910056102E-2</v>
      </c>
      <c r="D32">
        <f t="shared" si="1"/>
        <v>3.3320907700433219E-3</v>
      </c>
      <c r="E32">
        <f t="shared" si="2"/>
        <v>1.1102828899807897E-5</v>
      </c>
    </row>
    <row r="33" spans="1:5" x14ac:dyDescent="0.25">
      <c r="A33">
        <v>2.8841965654375001</v>
      </c>
      <c r="B33">
        <v>1.717845149227766E-2</v>
      </c>
      <c r="C33">
        <f t="shared" si="0"/>
        <v>9.5465715108146512E-3</v>
      </c>
      <c r="D33">
        <f t="shared" si="1"/>
        <v>7.6318799814630092E-3</v>
      </c>
      <c r="E33">
        <f t="shared" si="2"/>
        <v>5.8245592051455823E-5</v>
      </c>
    </row>
    <row r="34" spans="1:5" x14ac:dyDescent="0.25">
      <c r="A34">
        <v>2.9719871367124999</v>
      </c>
      <c r="B34">
        <v>1.717845149227766E-2</v>
      </c>
      <c r="C34">
        <f t="shared" si="0"/>
        <v>6.8673561072240697E-3</v>
      </c>
      <c r="D34">
        <f t="shared" si="1"/>
        <v>1.0311095385053591E-2</v>
      </c>
      <c r="E34">
        <f t="shared" si="2"/>
        <v>1.0631868803967346E-4</v>
      </c>
    </row>
    <row r="35" spans="1:5" x14ac:dyDescent="0.25">
      <c r="A35">
        <v>3.0597777079874997</v>
      </c>
      <c r="B35">
        <v>7.8734569339605938E-3</v>
      </c>
      <c r="C35">
        <f t="shared" si="0"/>
        <v>4.8881337385729088E-3</v>
      </c>
      <c r="D35">
        <f t="shared" si="1"/>
        <v>2.985323195387685E-3</v>
      </c>
      <c r="E35">
        <f t="shared" si="2"/>
        <v>8.9121545809197388E-6</v>
      </c>
    </row>
    <row r="36" spans="1:5" x14ac:dyDescent="0.25">
      <c r="A36">
        <v>3.1475682792624999</v>
      </c>
      <c r="B36">
        <v>7.1576881217823591E-3</v>
      </c>
      <c r="C36">
        <f t="shared" si="0"/>
        <v>3.4430090207660351E-3</v>
      </c>
      <c r="D36">
        <f t="shared" si="1"/>
        <v>3.714679101016324E-3</v>
      </c>
      <c r="E36">
        <f t="shared" si="2"/>
        <v>1.3798840823527446E-5</v>
      </c>
    </row>
    <row r="37" spans="1:5" x14ac:dyDescent="0.25">
      <c r="A37">
        <v>3.2353588505374997</v>
      </c>
      <c r="B37">
        <v>7.1576881217823591E-3</v>
      </c>
      <c r="C37">
        <f t="shared" si="0"/>
        <v>2.399954809571695E-3</v>
      </c>
      <c r="D37">
        <f t="shared" si="1"/>
        <v>4.7577333122106637E-3</v>
      </c>
      <c r="E37">
        <f t="shared" si="2"/>
        <v>2.2636026270119053E-5</v>
      </c>
    </row>
    <row r="38" spans="1:5" x14ac:dyDescent="0.25">
      <c r="A38">
        <v>3.3231494218124995</v>
      </c>
      <c r="B38">
        <v>2.1473064365347076E-3</v>
      </c>
      <c r="C38">
        <f t="shared" si="0"/>
        <v>1.6556338294598304E-3</v>
      </c>
      <c r="D38">
        <f t="shared" si="1"/>
        <v>4.916726070748772E-4</v>
      </c>
      <c r="E38">
        <f t="shared" si="2"/>
        <v>2.4174195254780657E-7</v>
      </c>
    </row>
    <row r="39" spans="1:5" x14ac:dyDescent="0.25">
      <c r="A39">
        <v>3.4109399930874993</v>
      </c>
      <c r="B39">
        <v>2.1473064365347076E-3</v>
      </c>
      <c r="C39">
        <f t="shared" si="0"/>
        <v>1.1304380335121016E-3</v>
      </c>
      <c r="D39">
        <f t="shared" si="1"/>
        <v>1.0168684030226059E-3</v>
      </c>
      <c r="E39">
        <f t="shared" si="2"/>
        <v>1.034021349065745E-6</v>
      </c>
    </row>
    <row r="40" spans="1:5" x14ac:dyDescent="0.25">
      <c r="A40">
        <v>3.4987305643625</v>
      </c>
      <c r="B40">
        <v>2.8630752487129436E-3</v>
      </c>
      <c r="C40">
        <f t="shared" si="0"/>
        <v>7.6396586266959095E-4</v>
      </c>
      <c r="D40">
        <f t="shared" si="1"/>
        <v>2.0991093860433527E-3</v>
      </c>
      <c r="E40">
        <f t="shared" si="2"/>
        <v>4.4062602145753009E-6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F706-5228-4100-A0AA-873E5917CC8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0.1012481441375</v>
      </c>
      <c r="B1">
        <v>7.4733260898179166E-2</v>
      </c>
      <c r="C1">
        <f>$H$3*(1+$H$1)*(A1^($H$1))*EXP(-$H$3*(A1^(1+$H$1)))</f>
        <v>0.1538822848446969</v>
      </c>
      <c r="D1">
        <f>B1-C1</f>
        <v>-7.9149023946517738E-2</v>
      </c>
      <c r="E1">
        <f>D1^2</f>
        <v>6.2645679916864382E-3</v>
      </c>
      <c r="G1" t="s">
        <v>0</v>
      </c>
      <c r="H1">
        <v>1.013040365930346</v>
      </c>
    </row>
    <row r="2" spans="1:8" x14ac:dyDescent="0.25">
      <c r="A2">
        <v>0.18364920241249999</v>
      </c>
      <c r="B2">
        <v>0.23716371570748693</v>
      </c>
      <c r="C2">
        <f t="shared" ref="C2:C40" si="0">$H$3*(1+$H$1)*(A2^($H$1))*EXP(-$H$3*(A2^(1+$H$1)))</f>
        <v>0.27626007168705152</v>
      </c>
      <c r="D2">
        <f t="shared" ref="D2:D40" si="1">B2-C2</f>
        <v>-3.9096355979564595E-2</v>
      </c>
      <c r="E2">
        <f t="shared" ref="E2:E40" si="2">D2^2</f>
        <v>1.5285250508808362E-3</v>
      </c>
    </row>
    <row r="3" spans="1:8" x14ac:dyDescent="0.25">
      <c r="A3">
        <v>0.26605026068749998</v>
      </c>
      <c r="B3">
        <v>0.37366630449089583</v>
      </c>
      <c r="C3">
        <f t="shared" si="0"/>
        <v>0.3907839942684545</v>
      </c>
      <c r="D3">
        <f t="shared" si="1"/>
        <v>-1.7117689777558676E-2</v>
      </c>
      <c r="E3">
        <f t="shared" si="2"/>
        <v>2.9301530332073679E-4</v>
      </c>
      <c r="G3" t="s">
        <v>1</v>
      </c>
      <c r="H3">
        <f>(_xlfn.GAMMA((2+$H$1)/(1+$H$1)))^(1+$H$1)</f>
        <v>0.7839832992851723</v>
      </c>
    </row>
    <row r="4" spans="1:8" x14ac:dyDescent="0.25">
      <c r="A4">
        <v>0.34845131896250003</v>
      </c>
      <c r="B4">
        <v>0.52999608494116857</v>
      </c>
      <c r="C4">
        <f t="shared" si="0"/>
        <v>0.4938041829233808</v>
      </c>
      <c r="D4">
        <f t="shared" si="1"/>
        <v>3.6191902017787769E-2</v>
      </c>
      <c r="E4">
        <f t="shared" si="2"/>
        <v>1.3098537716651503E-3</v>
      </c>
    </row>
    <row r="5" spans="1:8" x14ac:dyDescent="0.25">
      <c r="A5">
        <v>0.43085237723750003</v>
      </c>
      <c r="B5">
        <v>0.62074361603181472</v>
      </c>
      <c r="C5">
        <f t="shared" si="0"/>
        <v>0.58237800256952366</v>
      </c>
      <c r="D5">
        <f t="shared" si="1"/>
        <v>3.8365613462291059E-2</v>
      </c>
      <c r="E5">
        <f t="shared" si="2"/>
        <v>1.4719202963379291E-3</v>
      </c>
      <c r="G5" t="s">
        <v>2</v>
      </c>
      <c r="H5">
        <f>SUM(E1:E40)</f>
        <v>5.2205764131330309E-2</v>
      </c>
    </row>
    <row r="6" spans="1:8" x14ac:dyDescent="0.25">
      <c r="A6">
        <v>0.51325343551250002</v>
      </c>
      <c r="B6">
        <v>0.72750541731492779</v>
      </c>
      <c r="C6">
        <f t="shared" si="0"/>
        <v>0.65433218326215148</v>
      </c>
      <c r="D6">
        <f t="shared" si="1"/>
        <v>7.3173234052776315E-2</v>
      </c>
      <c r="E6">
        <f t="shared" si="2"/>
        <v>5.3543221817423832E-3</v>
      </c>
    </row>
    <row r="7" spans="1:8" x14ac:dyDescent="0.25">
      <c r="A7">
        <v>0.59565449378749991</v>
      </c>
      <c r="B7">
        <v>0.82816654423900582</v>
      </c>
      <c r="C7">
        <f t="shared" si="0"/>
        <v>0.70831975193073782</v>
      </c>
      <c r="D7">
        <f t="shared" si="1"/>
        <v>0.119846792308268</v>
      </c>
      <c r="E7">
        <f t="shared" si="2"/>
        <v>1.4363253626581127E-2</v>
      </c>
    </row>
    <row r="8" spans="1:8" x14ac:dyDescent="0.25">
      <c r="A8">
        <v>0.67805555206250001</v>
      </c>
      <c r="B8">
        <v>0.80833935257214196</v>
      </c>
      <c r="C8">
        <f t="shared" si="0"/>
        <v>0.74383502937924495</v>
      </c>
      <c r="D8">
        <f t="shared" si="1"/>
        <v>6.4504323192897006E-2</v>
      </c>
      <c r="E8">
        <f t="shared" si="2"/>
        <v>4.1608077105737109E-3</v>
      </c>
    </row>
    <row r="9" spans="1:8" x14ac:dyDescent="0.25">
      <c r="A9">
        <v>0.76045661033750012</v>
      </c>
      <c r="B9">
        <v>0.77402305930256987</v>
      </c>
      <c r="C9">
        <f t="shared" si="0"/>
        <v>0.76117995716924891</v>
      </c>
      <c r="D9">
        <f t="shared" si="1"/>
        <v>1.2843102133320961E-2</v>
      </c>
      <c r="E9">
        <f t="shared" si="2"/>
        <v>1.6494527240691341E-4</v>
      </c>
    </row>
    <row r="10" spans="1:8" x14ac:dyDescent="0.25">
      <c r="A10">
        <v>0.8428576686125</v>
      </c>
      <c r="B10">
        <v>0.77402305930256987</v>
      </c>
      <c r="C10">
        <f t="shared" si="0"/>
        <v>0.76138475080129586</v>
      </c>
      <c r="D10">
        <f t="shared" si="1"/>
        <v>1.2638308501274009E-2</v>
      </c>
      <c r="E10">
        <f t="shared" si="2"/>
        <v>1.5972684177337489E-4</v>
      </c>
    </row>
    <row r="11" spans="1:8" x14ac:dyDescent="0.25">
      <c r="A11">
        <v>0.92525872688749999</v>
      </c>
      <c r="B11">
        <v>0.70920339423782264</v>
      </c>
      <c r="C11">
        <f t="shared" si="0"/>
        <v>0.74609100320621458</v>
      </c>
      <c r="D11">
        <f t="shared" si="1"/>
        <v>-3.6887608968391938E-2</v>
      </c>
      <c r="E11">
        <f t="shared" si="2"/>
        <v>1.3606956954049893E-3</v>
      </c>
    </row>
    <row r="12" spans="1:8" x14ac:dyDescent="0.25">
      <c r="A12">
        <v>1.0076597851625</v>
      </c>
      <c r="B12">
        <v>0.71987957436613403</v>
      </c>
      <c r="C12">
        <f t="shared" si="0"/>
        <v>0.71740836260128227</v>
      </c>
      <c r="D12">
        <f t="shared" si="1"/>
        <v>2.4712117648517662E-3</v>
      </c>
      <c r="E12">
        <f t="shared" si="2"/>
        <v>6.1068875867417811E-6</v>
      </c>
    </row>
    <row r="13" spans="1:8" x14ac:dyDescent="0.25">
      <c r="A13">
        <v>1.0900608434375001</v>
      </c>
      <c r="B13">
        <v>0.68327552821192383</v>
      </c>
      <c r="C13">
        <f t="shared" si="0"/>
        <v>0.67775730264112399</v>
      </c>
      <c r="D13">
        <f t="shared" si="1"/>
        <v>5.5182255707998396E-3</v>
      </c>
      <c r="E13">
        <f t="shared" si="2"/>
        <v>3.0450813450229215E-5</v>
      </c>
    </row>
    <row r="14" spans="1:8" x14ac:dyDescent="0.25">
      <c r="A14">
        <v>1.1724619017125</v>
      </c>
      <c r="B14">
        <v>0.58108923269808699</v>
      </c>
      <c r="C14">
        <f t="shared" si="0"/>
        <v>0.62971049285317304</v>
      </c>
      <c r="D14">
        <f t="shared" si="1"/>
        <v>-4.8621260155086055E-2</v>
      </c>
      <c r="E14">
        <f t="shared" si="2"/>
        <v>2.364026939068559E-3</v>
      </c>
    </row>
    <row r="15" spans="1:8" x14ac:dyDescent="0.25">
      <c r="A15">
        <v>1.2548629599874999</v>
      </c>
      <c r="B15">
        <v>0.56888788398001688</v>
      </c>
      <c r="C15">
        <f t="shared" si="0"/>
        <v>0.57584407491800116</v>
      </c>
      <c r="D15">
        <f t="shared" si="1"/>
        <v>-6.9561909379842746E-3</v>
      </c>
      <c r="E15">
        <f t="shared" si="2"/>
        <v>4.838859236569454E-5</v>
      </c>
    </row>
    <row r="16" spans="1:8" x14ac:dyDescent="0.25">
      <c r="A16">
        <v>1.3372640182625</v>
      </c>
      <c r="B16">
        <v>0.55211102949267055</v>
      </c>
      <c r="C16">
        <f t="shared" si="0"/>
        <v>0.5186080347857186</v>
      </c>
      <c r="D16">
        <f t="shared" si="1"/>
        <v>3.350299470695195E-2</v>
      </c>
      <c r="E16">
        <f t="shared" si="2"/>
        <v>1.1224506543340504E-3</v>
      </c>
    </row>
    <row r="17" spans="1:5" x14ac:dyDescent="0.25">
      <c r="A17">
        <v>1.4196650765375001</v>
      </c>
      <c r="B17">
        <v>0.42857237372221113</v>
      </c>
      <c r="C17">
        <f t="shared" si="0"/>
        <v>0.46022216473624833</v>
      </c>
      <c r="D17">
        <f t="shared" si="1"/>
        <v>-3.1649791014037199E-2</v>
      </c>
      <c r="E17">
        <f t="shared" si="2"/>
        <v>1.0017092712322298E-3</v>
      </c>
    </row>
    <row r="18" spans="1:5" x14ac:dyDescent="0.25">
      <c r="A18">
        <v>1.5020661348125</v>
      </c>
      <c r="B18">
        <v>0.35078877564451444</v>
      </c>
      <c r="C18">
        <f t="shared" si="0"/>
        <v>0.40260118260351235</v>
      </c>
      <c r="D18">
        <f t="shared" si="1"/>
        <v>-5.1812406958997914E-2</v>
      </c>
      <c r="E18">
        <f t="shared" si="2"/>
        <v>2.6845255148848154E-3</v>
      </c>
    </row>
    <row r="19" spans="1:5" x14ac:dyDescent="0.25">
      <c r="A19">
        <v>1.5844671930875001</v>
      </c>
      <c r="B19">
        <v>0.33477450545204746</v>
      </c>
      <c r="C19">
        <f t="shared" si="0"/>
        <v>0.34730974300811174</v>
      </c>
      <c r="D19">
        <f t="shared" si="1"/>
        <v>-1.2535237556064283E-2</v>
      </c>
      <c r="E19">
        <f t="shared" si="2"/>
        <v>1.5713218058696445E-4</v>
      </c>
    </row>
    <row r="20" spans="1:5" x14ac:dyDescent="0.25">
      <c r="A20">
        <v>1.6668682513625002</v>
      </c>
      <c r="B20">
        <v>0.24097663718188383</v>
      </c>
      <c r="C20">
        <f t="shared" si="0"/>
        <v>0.2955456053248221</v>
      </c>
      <c r="D20">
        <f t="shared" si="1"/>
        <v>-5.4568968142938268E-2</v>
      </c>
      <c r="E20">
        <f t="shared" si="2"/>
        <v>2.9777722841850115E-3</v>
      </c>
    </row>
    <row r="21" spans="1:5" x14ac:dyDescent="0.25">
      <c r="A21">
        <v>1.7492693096375</v>
      </c>
      <c r="B21">
        <v>0.19140865801472418</v>
      </c>
      <c r="C21">
        <f t="shared" si="0"/>
        <v>0.2481473026321761</v>
      </c>
      <c r="D21">
        <f t="shared" si="1"/>
        <v>-5.6738644617451928E-2</v>
      </c>
      <c r="E21">
        <f t="shared" si="2"/>
        <v>3.2192737930255067E-3</v>
      </c>
    </row>
    <row r="22" spans="1:5" x14ac:dyDescent="0.25">
      <c r="A22">
        <v>1.8316703679124999</v>
      </c>
      <c r="B22">
        <v>0.17691955641201598</v>
      </c>
      <c r="C22">
        <f t="shared" si="0"/>
        <v>0.2056213827940811</v>
      </c>
      <c r="D22">
        <f t="shared" si="1"/>
        <v>-2.8701826382065115E-2</v>
      </c>
      <c r="E22">
        <f t="shared" si="2"/>
        <v>8.2379483766620906E-4</v>
      </c>
    </row>
    <row r="23" spans="1:5" x14ac:dyDescent="0.25">
      <c r="A23">
        <v>1.9140714261874998</v>
      </c>
      <c r="B23">
        <v>0.16395562339906652</v>
      </c>
      <c r="C23">
        <f t="shared" si="0"/>
        <v>0.16818367865220388</v>
      </c>
      <c r="D23">
        <f t="shared" si="1"/>
        <v>-4.2280552531373528E-3</v>
      </c>
      <c r="E23">
        <f t="shared" si="2"/>
        <v>1.7876451223582363E-5</v>
      </c>
    </row>
    <row r="24" spans="1:5" x14ac:dyDescent="0.25">
      <c r="A24">
        <v>1.9964724844624997</v>
      </c>
      <c r="B24">
        <v>0.12277607147558006</v>
      </c>
      <c r="C24">
        <f t="shared" si="0"/>
        <v>0.13580904809831856</v>
      </c>
      <c r="D24">
        <f t="shared" si="1"/>
        <v>-1.3032976622738501E-2</v>
      </c>
      <c r="E24">
        <f t="shared" si="2"/>
        <v>1.6985847964884828E-4</v>
      </c>
    </row>
    <row r="25" spans="1:5" x14ac:dyDescent="0.25">
      <c r="A25">
        <v>2.0788735427375</v>
      </c>
      <c r="B25">
        <v>0.10523663269335433</v>
      </c>
      <c r="C25">
        <f t="shared" si="0"/>
        <v>0.10828449342053875</v>
      </c>
      <c r="D25">
        <f t="shared" si="1"/>
        <v>-3.0478607271844232E-3</v>
      </c>
      <c r="E25">
        <f t="shared" si="2"/>
        <v>9.2894550123131621E-6</v>
      </c>
    </row>
    <row r="26" spans="1:5" x14ac:dyDescent="0.25">
      <c r="A26">
        <v>2.1612746010124999</v>
      </c>
      <c r="B26">
        <v>9.3797868270163648E-2</v>
      </c>
      <c r="C26">
        <f t="shared" si="0"/>
        <v>8.5261380548854779E-2</v>
      </c>
      <c r="D26">
        <f t="shared" si="1"/>
        <v>8.5364877213088691E-3</v>
      </c>
      <c r="E26">
        <f t="shared" si="2"/>
        <v>7.2871622616057087E-5</v>
      </c>
    </row>
    <row r="27" spans="1:5" x14ac:dyDescent="0.25">
      <c r="A27">
        <v>2.2436756592874998</v>
      </c>
      <c r="B27">
        <v>7.9308766667455441E-2</v>
      </c>
      <c r="C27">
        <f t="shared" si="0"/>
        <v>6.6303483508512381E-2</v>
      </c>
      <c r="D27">
        <f t="shared" si="1"/>
        <v>1.300528315894306E-2</v>
      </c>
      <c r="E27">
        <f t="shared" si="2"/>
        <v>1.6913739004428797E-4</v>
      </c>
    </row>
    <row r="28" spans="1:5" x14ac:dyDescent="0.25">
      <c r="A28">
        <v>2.3260767175624997</v>
      </c>
      <c r="B28">
        <v>5.9481575000591577E-2</v>
      </c>
      <c r="C28">
        <f t="shared" si="0"/>
        <v>5.0928639942322565E-2</v>
      </c>
      <c r="D28">
        <f t="shared" si="1"/>
        <v>8.5529350582690122E-3</v>
      </c>
      <c r="E28">
        <f t="shared" si="2"/>
        <v>7.3152698110967153E-5</v>
      </c>
    </row>
    <row r="29" spans="1:5" x14ac:dyDescent="0.25">
      <c r="A29">
        <v>2.4084777758374996</v>
      </c>
      <c r="B29">
        <v>4.9567979167159652E-2</v>
      </c>
      <c r="C29">
        <f t="shared" si="0"/>
        <v>3.8642807110128026E-2</v>
      </c>
      <c r="D29">
        <f t="shared" si="1"/>
        <v>1.0925172057031626E-2</v>
      </c>
      <c r="E29">
        <f t="shared" si="2"/>
        <v>1.1935938447574465E-4</v>
      </c>
    </row>
    <row r="30" spans="1:5" x14ac:dyDescent="0.25">
      <c r="A30">
        <v>2.4908788341124999</v>
      </c>
      <c r="B30">
        <v>3.965438333372772E-2</v>
      </c>
      <c r="C30">
        <f t="shared" si="0"/>
        <v>2.896617334254916E-2</v>
      </c>
      <c r="D30">
        <f t="shared" si="1"/>
        <v>1.068820999117856E-2</v>
      </c>
      <c r="E30">
        <f t="shared" si="2"/>
        <v>1.142378328155292E-4</v>
      </c>
    </row>
    <row r="31" spans="1:5" x14ac:dyDescent="0.25">
      <c r="A31">
        <v>2.5732798923875002</v>
      </c>
      <c r="B31">
        <v>3.8129214743968964E-2</v>
      </c>
      <c r="C31">
        <f t="shared" si="0"/>
        <v>2.145166009116958E-2</v>
      </c>
      <c r="D31">
        <f t="shared" si="1"/>
        <v>1.6677554652799385E-2</v>
      </c>
      <c r="E31">
        <f t="shared" si="2"/>
        <v>2.7814082919711041E-4</v>
      </c>
    </row>
    <row r="32" spans="1:5" x14ac:dyDescent="0.25">
      <c r="A32">
        <v>2.6556809506625001</v>
      </c>
      <c r="B32">
        <v>2.4402697436140135E-2</v>
      </c>
      <c r="C32">
        <f t="shared" si="0"/>
        <v>1.5696627777346477E-2</v>
      </c>
      <c r="D32">
        <f t="shared" si="1"/>
        <v>8.7060696587936588E-3</v>
      </c>
      <c r="E32">
        <f t="shared" si="2"/>
        <v>7.579564890376754E-5</v>
      </c>
    </row>
    <row r="33" spans="1:5" x14ac:dyDescent="0.25">
      <c r="A33">
        <v>2.7380820089375</v>
      </c>
      <c r="B33">
        <v>1.7539438782225723E-2</v>
      </c>
      <c r="C33">
        <f t="shared" si="0"/>
        <v>1.1348882777831977E-2</v>
      </c>
      <c r="D33">
        <f t="shared" si="1"/>
        <v>6.1905560043937456E-3</v>
      </c>
      <c r="E33">
        <f t="shared" si="2"/>
        <v>3.8322983643535456E-5</v>
      </c>
    </row>
    <row r="34" spans="1:5" x14ac:dyDescent="0.25">
      <c r="A34">
        <v>2.8204830672124999</v>
      </c>
      <c r="B34">
        <v>1.8302023077105101E-2</v>
      </c>
      <c r="C34">
        <f t="shared" si="0"/>
        <v>8.1081988119252879E-3</v>
      </c>
      <c r="D34">
        <f t="shared" si="1"/>
        <v>1.0193824265179813E-2</v>
      </c>
      <c r="E34">
        <f t="shared" si="2"/>
        <v>1.0391405314936874E-4</v>
      </c>
    </row>
    <row r="35" spans="1:5" x14ac:dyDescent="0.25">
      <c r="A35">
        <v>2.9028841254874997</v>
      </c>
      <c r="B35">
        <v>1.2963933012949447E-2</v>
      </c>
      <c r="C35">
        <f t="shared" si="0"/>
        <v>5.7245494424051106E-3</v>
      </c>
      <c r="D35">
        <f t="shared" si="1"/>
        <v>7.2393835705443369E-3</v>
      </c>
      <c r="E35">
        <f t="shared" si="2"/>
        <v>5.240867448146727E-5</v>
      </c>
    </row>
    <row r="36" spans="1:5" x14ac:dyDescent="0.25">
      <c r="A36">
        <v>2.9852851837624996</v>
      </c>
      <c r="B36">
        <v>8.3884272436731723E-3</v>
      </c>
      <c r="C36">
        <f t="shared" si="0"/>
        <v>3.9941384411186394E-3</v>
      </c>
      <c r="D36">
        <f t="shared" si="1"/>
        <v>4.3942888025545329E-3</v>
      </c>
      <c r="E36">
        <f t="shared" si="2"/>
        <v>1.930977408025615E-5</v>
      </c>
    </row>
    <row r="37" spans="1:5" x14ac:dyDescent="0.25">
      <c r="A37">
        <v>3.0676862420375</v>
      </c>
      <c r="B37">
        <v>6.1006743590350338E-3</v>
      </c>
      <c r="C37">
        <f t="shared" si="0"/>
        <v>2.7541485969438282E-3</v>
      </c>
      <c r="D37">
        <f t="shared" si="1"/>
        <v>3.3465257620912056E-3</v>
      </c>
      <c r="E37">
        <f t="shared" si="2"/>
        <v>1.1199234676340124E-5</v>
      </c>
    </row>
    <row r="38" spans="1:5" x14ac:dyDescent="0.25">
      <c r="A38">
        <v>3.1500873003124998</v>
      </c>
      <c r="B38">
        <v>3.8129214743968963E-3</v>
      </c>
      <c r="C38">
        <f t="shared" si="0"/>
        <v>1.8769389838666547E-3</v>
      </c>
      <c r="D38">
        <f t="shared" si="1"/>
        <v>1.9359824905302416E-3</v>
      </c>
      <c r="E38">
        <f t="shared" si="2"/>
        <v>3.748028203639677E-6</v>
      </c>
    </row>
    <row r="39" spans="1:5" x14ac:dyDescent="0.25">
      <c r="A39">
        <v>3.2324883585874997</v>
      </c>
      <c r="B39">
        <v>2.2877528846381376E-3</v>
      </c>
      <c r="C39">
        <f t="shared" si="0"/>
        <v>1.2642303731908019E-3</v>
      </c>
      <c r="D39">
        <f t="shared" si="1"/>
        <v>1.0235225114473357E-3</v>
      </c>
      <c r="E39">
        <f t="shared" si="2"/>
        <v>1.0475983314394614E-6</v>
      </c>
    </row>
    <row r="40" spans="1:5" x14ac:dyDescent="0.25">
      <c r="A40">
        <v>3.3148894168625</v>
      </c>
      <c r="B40">
        <v>3.8129214743968963E-3</v>
      </c>
      <c r="C40">
        <f t="shared" si="0"/>
        <v>8.4164532491805494E-4</v>
      </c>
      <c r="D40">
        <f t="shared" si="1"/>
        <v>2.9712761494788413E-3</v>
      </c>
      <c r="E40">
        <f t="shared" si="2"/>
        <v>8.8284819564618096E-6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8B53-05B2-41FA-9D5F-8DB6026C0CA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0.1196298910875</v>
      </c>
      <c r="B1">
        <v>5.7640731303581487E-2</v>
      </c>
      <c r="C1">
        <f>$H$3*(1+$H$1)*(A1^($H$1))*EXP(-$H$3*(A1^(1+$H$1)))</f>
        <v>0.14823491016560825</v>
      </c>
      <c r="D1">
        <f>B1-C1</f>
        <v>-9.0594178862026753E-2</v>
      </c>
      <c r="E1">
        <f>D1^2</f>
        <v>8.207305243684895E-3</v>
      </c>
      <c r="G1" t="s">
        <v>0</v>
      </c>
      <c r="H1">
        <v>1.1292069886012164</v>
      </c>
    </row>
    <row r="2" spans="1:8" x14ac:dyDescent="0.25">
      <c r="A2">
        <v>0.19703141526250001</v>
      </c>
      <c r="B2">
        <v>0.18185244805636977</v>
      </c>
      <c r="C2">
        <f t="shared" ref="C2:C40" si="0">$H$3*(1+$H$1)*(A2^($H$1))*EXP(-$H$3*(A2^(1+$H$1)))</f>
        <v>0.25629433046695665</v>
      </c>
      <c r="D2">
        <f t="shared" ref="D2:D40" si="1">B2-C2</f>
        <v>-7.4441882410586885E-2</v>
      </c>
      <c r="E2">
        <f t="shared" ref="E2:E40" si="2">D2^2</f>
        <v>5.5415938568316447E-3</v>
      </c>
    </row>
    <row r="3" spans="1:8" x14ac:dyDescent="0.25">
      <c r="A3">
        <v>0.27443293943750002</v>
      </c>
      <c r="B3">
        <v>0.36289305482677359</v>
      </c>
      <c r="C3">
        <f t="shared" si="0"/>
        <v>0.36342680983164266</v>
      </c>
      <c r="D3">
        <f t="shared" si="1"/>
        <v>-5.3375500486907423E-4</v>
      </c>
      <c r="E3">
        <f t="shared" si="2"/>
        <v>2.8489440522278544E-7</v>
      </c>
      <c r="G3" t="s">
        <v>1</v>
      </c>
      <c r="H3">
        <f>(_xlfn.GAMMA((2+$H$1)/(1+$H$1)))^(1+$H$1)</f>
        <v>0.77212930081458986</v>
      </c>
    </row>
    <row r="4" spans="1:8" x14ac:dyDescent="0.25">
      <c r="A4">
        <v>0.35183446361250004</v>
      </c>
      <c r="B4">
        <v>0.48791661286552779</v>
      </c>
      <c r="C4">
        <f t="shared" si="0"/>
        <v>0.46490166723040305</v>
      </c>
      <c r="D4">
        <f t="shared" si="1"/>
        <v>2.3014945635124739E-2</v>
      </c>
      <c r="E4">
        <f t="shared" si="2"/>
        <v>5.2968772258774727E-4</v>
      </c>
    </row>
    <row r="5" spans="1:8" x14ac:dyDescent="0.25">
      <c r="A5">
        <v>0.42923598778750005</v>
      </c>
      <c r="B5">
        <v>0.62511779019377101</v>
      </c>
      <c r="C5">
        <f t="shared" si="0"/>
        <v>0.55687631683755523</v>
      </c>
      <c r="D5">
        <f t="shared" si="1"/>
        <v>6.8241473356215776E-2</v>
      </c>
      <c r="E5">
        <f t="shared" si="2"/>
        <v>4.6568986858271074E-3</v>
      </c>
      <c r="G5" t="s">
        <v>2</v>
      </c>
      <c r="H5">
        <f>SUM(E1:E40)</f>
        <v>6.4980747739299793E-2</v>
      </c>
    </row>
    <row r="6" spans="1:8" x14ac:dyDescent="0.25">
      <c r="A6">
        <v>0.50663751196249995</v>
      </c>
      <c r="B6">
        <v>0.69574798207280752</v>
      </c>
      <c r="C6">
        <f t="shared" si="0"/>
        <v>0.63623277432963576</v>
      </c>
      <c r="D6">
        <f t="shared" si="1"/>
        <v>5.9515207743171761E-2</v>
      </c>
      <c r="E6">
        <f t="shared" si="2"/>
        <v>3.5420599527128918E-3</v>
      </c>
    </row>
    <row r="7" spans="1:8" x14ac:dyDescent="0.25">
      <c r="A7">
        <v>0.58403903613749986</v>
      </c>
      <c r="B7">
        <v>0.8102176033940045</v>
      </c>
      <c r="C7">
        <f t="shared" si="0"/>
        <v>0.70059726371375464</v>
      </c>
      <c r="D7">
        <f t="shared" si="1"/>
        <v>0.10962033968024987</v>
      </c>
      <c r="E7">
        <f t="shared" si="2"/>
        <v>1.2016618871613363E-2</v>
      </c>
    </row>
    <row r="8" spans="1:8" x14ac:dyDescent="0.25">
      <c r="A8">
        <v>0.66144056031249998</v>
      </c>
      <c r="B8">
        <v>0.84187941354667606</v>
      </c>
      <c r="C8">
        <f t="shared" si="0"/>
        <v>0.74838609515094201</v>
      </c>
      <c r="D8">
        <f t="shared" si="1"/>
        <v>9.3493318395734049E-2</v>
      </c>
      <c r="E8">
        <f t="shared" si="2"/>
        <v>8.7410005846461029E-3</v>
      </c>
    </row>
    <row r="9" spans="1:8" x14ac:dyDescent="0.25">
      <c r="A9">
        <v>0.73884208448749999</v>
      </c>
      <c r="B9">
        <v>0.82807811168525514</v>
      </c>
      <c r="C9">
        <f t="shared" si="0"/>
        <v>0.77883007427189166</v>
      </c>
      <c r="D9">
        <f t="shared" si="1"/>
        <v>4.9248037413363477E-2</v>
      </c>
      <c r="E9">
        <f t="shared" si="2"/>
        <v>2.4253691890680487E-3</v>
      </c>
    </row>
    <row r="10" spans="1:8" x14ac:dyDescent="0.25">
      <c r="A10">
        <v>0.81624360866250001</v>
      </c>
      <c r="B10">
        <v>0.81590049239576612</v>
      </c>
      <c r="C10">
        <f t="shared" si="0"/>
        <v>0.79196023115906344</v>
      </c>
      <c r="D10">
        <f t="shared" si="1"/>
        <v>2.3940261236702676E-2</v>
      </c>
      <c r="E10">
        <f t="shared" si="2"/>
        <v>5.7313610808156867E-4</v>
      </c>
    </row>
    <row r="11" spans="1:8" x14ac:dyDescent="0.25">
      <c r="A11">
        <v>0.89364513283749991</v>
      </c>
      <c r="B11">
        <v>0.79641630153258358</v>
      </c>
      <c r="C11">
        <f t="shared" si="0"/>
        <v>0.78855061505588164</v>
      </c>
      <c r="D11">
        <f t="shared" si="1"/>
        <v>7.8656864767019385E-3</v>
      </c>
      <c r="E11">
        <f t="shared" si="2"/>
        <v>6.1869023749771762E-5</v>
      </c>
    </row>
    <row r="12" spans="1:8" x14ac:dyDescent="0.25">
      <c r="A12">
        <v>0.97104665701250004</v>
      </c>
      <c r="B12">
        <v>0.74608214180269561</v>
      </c>
      <c r="C12">
        <f t="shared" si="0"/>
        <v>0.77002130547351455</v>
      </c>
      <c r="D12">
        <f t="shared" si="1"/>
        <v>-2.3939163670818941E-2</v>
      </c>
      <c r="E12">
        <f t="shared" si="2"/>
        <v>5.7308355725825739E-4</v>
      </c>
    </row>
    <row r="13" spans="1:8" x14ac:dyDescent="0.25">
      <c r="A13">
        <v>1.0484481811875002</v>
      </c>
      <c r="B13">
        <v>0.75338871337638902</v>
      </c>
      <c r="C13">
        <f t="shared" si="0"/>
        <v>0.73830958883777209</v>
      </c>
      <c r="D13">
        <f t="shared" si="1"/>
        <v>1.5079124538616928E-2</v>
      </c>
      <c r="E13">
        <f t="shared" si="2"/>
        <v>2.2737999685111919E-4</v>
      </c>
    </row>
    <row r="14" spans="1:8" x14ac:dyDescent="0.25">
      <c r="A14">
        <v>1.1258497053625001</v>
      </c>
      <c r="B14">
        <v>0.66652169577803377</v>
      </c>
      <c r="C14">
        <f t="shared" si="0"/>
        <v>0.69572021499835734</v>
      </c>
      <c r="D14">
        <f t="shared" si="1"/>
        <v>-2.9198519220323571E-2</v>
      </c>
      <c r="E14">
        <f t="shared" si="2"/>
        <v>8.5255352465960497E-4</v>
      </c>
    </row>
    <row r="15" spans="1:8" x14ac:dyDescent="0.25">
      <c r="A15">
        <v>1.2032512295375</v>
      </c>
      <c r="B15">
        <v>0.58696124975337205</v>
      </c>
      <c r="C15">
        <f t="shared" si="0"/>
        <v>0.64476700680558907</v>
      </c>
      <c r="D15">
        <f t="shared" si="1"/>
        <v>-5.7805757052217022E-2</v>
      </c>
      <c r="E15">
        <f t="shared" si="2"/>
        <v>3.3415055483799381E-3</v>
      </c>
    </row>
    <row r="16" spans="1:8" x14ac:dyDescent="0.25">
      <c r="A16">
        <v>1.2806527537124999</v>
      </c>
      <c r="B16">
        <v>0.56910074146212142</v>
      </c>
      <c r="C16">
        <f t="shared" si="0"/>
        <v>0.58801799712426006</v>
      </c>
      <c r="D16">
        <f t="shared" si="1"/>
        <v>-1.8917255662138643E-2</v>
      </c>
      <c r="E16">
        <f t="shared" si="2"/>
        <v>3.5786256178671656E-4</v>
      </c>
    </row>
    <row r="17" spans="1:5" x14ac:dyDescent="0.25">
      <c r="A17">
        <v>1.3580542778875</v>
      </c>
      <c r="B17">
        <v>0.54880470931297298</v>
      </c>
      <c r="C17">
        <f t="shared" si="0"/>
        <v>0.52795492158494728</v>
      </c>
      <c r="D17">
        <f t="shared" si="1"/>
        <v>2.0849787728025704E-2</v>
      </c>
      <c r="E17">
        <f t="shared" si="2"/>
        <v>4.3471364830373127E-4</v>
      </c>
    </row>
    <row r="18" spans="1:5" x14ac:dyDescent="0.25">
      <c r="A18">
        <v>1.4354558020624999</v>
      </c>
      <c r="B18">
        <v>0.44164165956546941</v>
      </c>
      <c r="C18">
        <f t="shared" si="0"/>
        <v>0.46685559962266249</v>
      </c>
      <c r="D18">
        <f t="shared" si="1"/>
        <v>-2.5213940057193074E-2</v>
      </c>
      <c r="E18">
        <f t="shared" si="2"/>
        <v>6.3574277320772551E-4</v>
      </c>
    </row>
    <row r="19" spans="1:5" x14ac:dyDescent="0.25">
      <c r="A19">
        <v>1.5128573262375</v>
      </c>
      <c r="B19">
        <v>0.35802200711097798</v>
      </c>
      <c r="C19">
        <f t="shared" si="0"/>
        <v>0.40670485266259093</v>
      </c>
      <c r="D19">
        <f t="shared" si="1"/>
        <v>-4.8682845551612952E-2</v>
      </c>
      <c r="E19">
        <f t="shared" si="2"/>
        <v>2.370019451002201E-3</v>
      </c>
    </row>
    <row r="20" spans="1:5" x14ac:dyDescent="0.25">
      <c r="A20">
        <v>1.5902588504124999</v>
      </c>
      <c r="B20">
        <v>0.32311283181444267</v>
      </c>
      <c r="C20">
        <f t="shared" si="0"/>
        <v>0.34913651985536731</v>
      </c>
      <c r="D20">
        <f t="shared" si="1"/>
        <v>-2.6023688040924642E-2</v>
      </c>
      <c r="E20">
        <f t="shared" si="2"/>
        <v>6.7723233925136425E-4</v>
      </c>
    </row>
    <row r="21" spans="1:5" x14ac:dyDescent="0.25">
      <c r="A21">
        <v>1.6676603745874998</v>
      </c>
      <c r="B21">
        <v>0.22406819492659846</v>
      </c>
      <c r="C21">
        <f t="shared" si="0"/>
        <v>0.29540619636062071</v>
      </c>
      <c r="D21">
        <f t="shared" si="1"/>
        <v>-7.1338001434022247E-2</v>
      </c>
      <c r="E21">
        <f t="shared" si="2"/>
        <v>5.0891104486005603E-3</v>
      </c>
    </row>
    <row r="22" spans="1:5" x14ac:dyDescent="0.25">
      <c r="A22">
        <v>1.7450618987625</v>
      </c>
      <c r="B22">
        <v>0.21189057563710939</v>
      </c>
      <c r="C22">
        <f t="shared" si="0"/>
        <v>0.24639182890779798</v>
      </c>
      <c r="D22">
        <f t="shared" si="1"/>
        <v>-3.4501253270688592E-2</v>
      </c>
      <c r="E22">
        <f t="shared" si="2"/>
        <v>1.1903364772482003E-3</v>
      </c>
    </row>
    <row r="23" spans="1:5" x14ac:dyDescent="0.25">
      <c r="A23">
        <v>1.8224634229374999</v>
      </c>
      <c r="B23">
        <v>0.17535771776864226</v>
      </c>
      <c r="C23">
        <f t="shared" si="0"/>
        <v>0.20261745713035856</v>
      </c>
      <c r="D23">
        <f t="shared" si="1"/>
        <v>-2.7259739361716301E-2</v>
      </c>
      <c r="E23">
        <f t="shared" si="2"/>
        <v>7.4309339006870499E-4</v>
      </c>
    </row>
    <row r="24" spans="1:5" x14ac:dyDescent="0.25">
      <c r="A24">
        <v>1.8998649471125</v>
      </c>
      <c r="B24">
        <v>0.15019063790369824</v>
      </c>
      <c r="C24">
        <f t="shared" si="0"/>
        <v>0.16429428122616033</v>
      </c>
      <c r="D24">
        <f t="shared" si="1"/>
        <v>-1.4103643322462084E-2</v>
      </c>
      <c r="E24">
        <f t="shared" si="2"/>
        <v>1.9891275496722934E-4</v>
      </c>
    </row>
    <row r="25" spans="1:5" x14ac:dyDescent="0.25">
      <c r="A25">
        <v>1.9772664712874999</v>
      </c>
      <c r="B25">
        <v>0.11284593874926516</v>
      </c>
      <c r="C25">
        <f t="shared" si="0"/>
        <v>0.13137286071793311</v>
      </c>
      <c r="D25">
        <f t="shared" si="1"/>
        <v>-1.8526921968667953E-2</v>
      </c>
      <c r="E25">
        <f t="shared" si="2"/>
        <v>3.4324683763311121E-4</v>
      </c>
    </row>
    <row r="26" spans="1:5" x14ac:dyDescent="0.25">
      <c r="A26">
        <v>2.0546679954625002</v>
      </c>
      <c r="B26">
        <v>0.12421171675278828</v>
      </c>
      <c r="C26">
        <f t="shared" si="0"/>
        <v>0.10360051616009201</v>
      </c>
      <c r="D26">
        <f t="shared" si="1"/>
        <v>2.0611200592696263E-2</v>
      </c>
      <c r="E26">
        <f t="shared" si="2"/>
        <v>4.2482158987236279E-4</v>
      </c>
    </row>
    <row r="27" spans="1:5" x14ac:dyDescent="0.25">
      <c r="A27">
        <v>2.1320695196375001</v>
      </c>
      <c r="B27">
        <v>9.3361747886082688E-2</v>
      </c>
      <c r="C27">
        <f t="shared" si="0"/>
        <v>8.057876866268314E-2</v>
      </c>
      <c r="D27">
        <f t="shared" si="1"/>
        <v>1.2782979223399549E-2</v>
      </c>
      <c r="E27">
        <f t="shared" si="2"/>
        <v>1.6340455782586454E-4</v>
      </c>
    </row>
    <row r="28" spans="1:5" x14ac:dyDescent="0.25">
      <c r="A28">
        <v>2.2094710438125</v>
      </c>
      <c r="B28">
        <v>6.9818350593070538E-2</v>
      </c>
      <c r="C28">
        <f t="shared" si="0"/>
        <v>6.1816735470541097E-2</v>
      </c>
      <c r="D28">
        <f t="shared" si="1"/>
        <v>8.0016151225294416E-3</v>
      </c>
      <c r="E28">
        <f t="shared" si="2"/>
        <v>6.4025844569091852E-5</v>
      </c>
    </row>
    <row r="29" spans="1:5" x14ac:dyDescent="0.25">
      <c r="A29">
        <v>2.2868725679874995</v>
      </c>
      <c r="B29">
        <v>5.1146001015853995E-2</v>
      </c>
      <c r="C29">
        <f t="shared" si="0"/>
        <v>4.6777626592802601E-2</v>
      </c>
      <c r="D29">
        <f t="shared" si="1"/>
        <v>4.3683744230513938E-3</v>
      </c>
      <c r="E29">
        <f t="shared" si="2"/>
        <v>1.9082695099969599E-5</v>
      </c>
    </row>
    <row r="30" spans="1:5" x14ac:dyDescent="0.25">
      <c r="A30">
        <v>2.3642740921624998</v>
      </c>
      <c r="B30">
        <v>5.0334159729888056E-2</v>
      </c>
      <c r="C30">
        <f t="shared" si="0"/>
        <v>3.4916701500987996E-2</v>
      </c>
      <c r="D30">
        <f t="shared" si="1"/>
        <v>1.5417458228900061E-2</v>
      </c>
      <c r="E30">
        <f t="shared" si="2"/>
        <v>2.376980182398782E-4</v>
      </c>
    </row>
    <row r="31" spans="1:5" x14ac:dyDescent="0.25">
      <c r="A31">
        <v>2.4416756163375002</v>
      </c>
      <c r="B31">
        <v>4.0592064298296822E-2</v>
      </c>
      <c r="C31">
        <f t="shared" si="0"/>
        <v>2.5710125717514611E-2</v>
      </c>
      <c r="D31">
        <f t="shared" si="1"/>
        <v>1.4881938580782211E-2</v>
      </c>
      <c r="E31">
        <f t="shared" si="2"/>
        <v>2.2147209592217405E-4</v>
      </c>
    </row>
    <row r="32" spans="1:5" x14ac:dyDescent="0.25">
      <c r="A32">
        <v>2.5190771405125005</v>
      </c>
      <c r="B32">
        <v>3.0038127580739649E-2</v>
      </c>
      <c r="C32">
        <f t="shared" si="0"/>
        <v>1.8675036706710009E-2</v>
      </c>
      <c r="D32">
        <f t="shared" si="1"/>
        <v>1.136309087402964E-2</v>
      </c>
      <c r="E32">
        <f t="shared" si="2"/>
        <v>1.2911983421145569E-4</v>
      </c>
    </row>
    <row r="33" spans="1:5" x14ac:dyDescent="0.25">
      <c r="A33">
        <v>2.5964786646875</v>
      </c>
      <c r="B33">
        <v>2.3543397293012157E-2</v>
      </c>
      <c r="C33">
        <f t="shared" si="0"/>
        <v>1.3381751014001179E-2</v>
      </c>
      <c r="D33">
        <f t="shared" si="1"/>
        <v>1.0161646279010977E-2</v>
      </c>
      <c r="E33">
        <f t="shared" si="2"/>
        <v>1.0325905509973765E-4</v>
      </c>
    </row>
    <row r="34" spans="1:5" x14ac:dyDescent="0.25">
      <c r="A34">
        <v>2.6738801888624995</v>
      </c>
      <c r="B34">
        <v>1.9484190863182475E-2</v>
      </c>
      <c r="C34">
        <f t="shared" si="0"/>
        <v>9.4594205462778472E-3</v>
      </c>
      <c r="D34">
        <f t="shared" si="1"/>
        <v>1.0024770316904628E-2</v>
      </c>
      <c r="E34">
        <f t="shared" si="2"/>
        <v>1.0049601990669212E-4</v>
      </c>
    </row>
    <row r="35" spans="1:5" x14ac:dyDescent="0.25">
      <c r="A35">
        <v>2.7512817130374998</v>
      </c>
      <c r="B35">
        <v>1.7860508291250601E-2</v>
      </c>
      <c r="C35">
        <f t="shared" si="0"/>
        <v>6.5966028416186125E-3</v>
      </c>
      <c r="D35">
        <f t="shared" si="1"/>
        <v>1.1263905449631989E-2</v>
      </c>
      <c r="E35">
        <f t="shared" si="2"/>
        <v>1.2687556597824922E-4</v>
      </c>
    </row>
    <row r="36" spans="1:5" x14ac:dyDescent="0.25">
      <c r="A36">
        <v>2.8286832372125001</v>
      </c>
      <c r="B36">
        <v>8.9302541456253003E-3</v>
      </c>
      <c r="C36">
        <f t="shared" si="0"/>
        <v>4.5381924513713118E-3</v>
      </c>
      <c r="D36">
        <f t="shared" si="1"/>
        <v>4.3920616942539886E-3</v>
      </c>
      <c r="E36">
        <f t="shared" si="2"/>
        <v>1.9290205926133218E-5</v>
      </c>
    </row>
    <row r="37" spans="1:5" x14ac:dyDescent="0.25">
      <c r="A37">
        <v>2.9060847613874996</v>
      </c>
      <c r="B37">
        <v>8.1184128596593647E-3</v>
      </c>
      <c r="C37">
        <f t="shared" si="0"/>
        <v>3.0800193414472136E-3</v>
      </c>
      <c r="D37">
        <f t="shared" si="1"/>
        <v>5.0383935182121507E-3</v>
      </c>
      <c r="E37">
        <f t="shared" si="2"/>
        <v>2.5385409244362213E-5</v>
      </c>
    </row>
    <row r="38" spans="1:5" x14ac:dyDescent="0.25">
      <c r="A38">
        <v>2.9834862855625</v>
      </c>
      <c r="B38">
        <v>4.0592064298296824E-3</v>
      </c>
      <c r="C38">
        <f t="shared" si="0"/>
        <v>2.0622055376928227E-3</v>
      </c>
      <c r="D38">
        <f t="shared" si="1"/>
        <v>1.9970008921368597E-3</v>
      </c>
      <c r="E38">
        <f t="shared" si="2"/>
        <v>3.9880125631954136E-6</v>
      </c>
    </row>
    <row r="39" spans="1:5" x14ac:dyDescent="0.25">
      <c r="A39">
        <v>3.0608878097374999</v>
      </c>
      <c r="B39">
        <v>2.4355238578978094E-3</v>
      </c>
      <c r="C39">
        <f t="shared" si="0"/>
        <v>1.3621263364137852E-3</v>
      </c>
      <c r="D39">
        <f t="shared" si="1"/>
        <v>1.0733975214840242E-3</v>
      </c>
      <c r="E39">
        <f t="shared" si="2"/>
        <v>1.1521822391280462E-6</v>
      </c>
    </row>
    <row r="40" spans="1:5" x14ac:dyDescent="0.25">
      <c r="A40">
        <v>3.1382893339124998</v>
      </c>
      <c r="B40">
        <v>4.0592064298296824E-3</v>
      </c>
      <c r="C40">
        <f t="shared" si="0"/>
        <v>8.8758063622256422E-4</v>
      </c>
      <c r="D40">
        <f t="shared" si="1"/>
        <v>3.1716257936071184E-3</v>
      </c>
      <c r="E40">
        <f t="shared" si="2"/>
        <v>1.0059210174673983E-5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543A-4F33-4B54-88DD-FF2942FC400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0.14239467052499999</v>
      </c>
      <c r="B1">
        <v>4.3473017890175748E-2</v>
      </c>
      <c r="C1">
        <f>$H$3*(1+$H$1)*(A1^($H$1))*EXP(-$H$3*(A1^(1+$H$1)))</f>
        <v>0.1451758996033197</v>
      </c>
      <c r="D1">
        <f>B1-C1</f>
        <v>-0.10170288171314396</v>
      </c>
      <c r="E1">
        <f>D1^2</f>
        <v>1.0343476148757752E-2</v>
      </c>
      <c r="G1" t="s">
        <v>0</v>
      </c>
      <c r="H1">
        <v>1.2636231396304878</v>
      </c>
    </row>
    <row r="2" spans="1:8" x14ac:dyDescent="0.25">
      <c r="A2">
        <v>0.21466680157500001</v>
      </c>
      <c r="B2">
        <v>0.15302502297341863</v>
      </c>
      <c r="C2">
        <f t="shared" ref="C2:C40" si="0">$H$3*(1+$H$1)*(A2^($H$1))*EXP(-$H$3*(A2^(1+$H$1)))</f>
        <v>0.24045174430643365</v>
      </c>
      <c r="D2">
        <f t="shared" ref="D2:D40" si="1">B2-C2</f>
        <v>-8.7426721333015017E-2</v>
      </c>
      <c r="E2">
        <f t="shared" ref="E2:E40" si="2">D2^2</f>
        <v>7.6434316030406634E-3</v>
      </c>
    </row>
    <row r="3" spans="1:8" x14ac:dyDescent="0.25">
      <c r="A3">
        <v>0.28693893262499998</v>
      </c>
      <c r="B3">
        <v>0.31909195131388995</v>
      </c>
      <c r="C3">
        <f t="shared" si="0"/>
        <v>0.33951654404932891</v>
      </c>
      <c r="D3">
        <f t="shared" si="1"/>
        <v>-2.0424592735438951E-2</v>
      </c>
      <c r="E3">
        <f t="shared" si="2"/>
        <v>4.1716398840854557E-4</v>
      </c>
      <c r="G3" t="s">
        <v>1</v>
      </c>
      <c r="H3">
        <f>(_xlfn.GAMMA((2+$H$1)/(1+$H$1)))^(1+$H$1)</f>
        <v>0.75990302568484458</v>
      </c>
    </row>
    <row r="4" spans="1:8" x14ac:dyDescent="0.25">
      <c r="A4">
        <v>0.359211063675</v>
      </c>
      <c r="B4">
        <v>0.47559481571852269</v>
      </c>
      <c r="C4">
        <f t="shared" si="0"/>
        <v>0.43770502794333133</v>
      </c>
      <c r="D4">
        <f t="shared" si="1"/>
        <v>3.7889787775191364E-2</v>
      </c>
      <c r="E4">
        <f t="shared" si="2"/>
        <v>1.435636017649041E-3</v>
      </c>
    </row>
    <row r="5" spans="1:8" x14ac:dyDescent="0.25">
      <c r="A5">
        <v>0.43148319472500002</v>
      </c>
      <c r="B5">
        <v>0.60688332974685344</v>
      </c>
      <c r="C5">
        <f t="shared" si="0"/>
        <v>0.53096177843434333</v>
      </c>
      <c r="D5">
        <f t="shared" si="1"/>
        <v>7.5921551312510105E-2</v>
      </c>
      <c r="E5">
        <f t="shared" si="2"/>
        <v>5.7640819536981048E-3</v>
      </c>
      <c r="G5" t="s">
        <v>2</v>
      </c>
      <c r="H5">
        <f>SUM(E1:E40)</f>
        <v>8.6473910755416647E-2</v>
      </c>
    </row>
    <row r="6" spans="1:8" x14ac:dyDescent="0.25">
      <c r="A6">
        <v>0.50375532577500004</v>
      </c>
      <c r="B6">
        <v>0.68078746016015224</v>
      </c>
      <c r="C6">
        <f t="shared" si="0"/>
        <v>0.61571495844000679</v>
      </c>
      <c r="D6">
        <f t="shared" si="1"/>
        <v>6.5072501720145448E-2</v>
      </c>
      <c r="E6">
        <f t="shared" si="2"/>
        <v>4.2344304801183322E-3</v>
      </c>
    </row>
    <row r="7" spans="1:8" x14ac:dyDescent="0.25">
      <c r="A7">
        <v>0.57602745682499989</v>
      </c>
      <c r="B7">
        <v>0.75643051128905803</v>
      </c>
      <c r="C7">
        <f t="shared" si="0"/>
        <v>0.68892011338072978</v>
      </c>
      <c r="D7">
        <f t="shared" si="1"/>
        <v>6.7510397908328246E-2</v>
      </c>
      <c r="E7">
        <f t="shared" si="2"/>
        <v>4.5576538257408108E-3</v>
      </c>
    </row>
    <row r="8" spans="1:8" x14ac:dyDescent="0.25">
      <c r="A8">
        <v>0.64829958787499997</v>
      </c>
      <c r="B8">
        <v>0.88858848567519222</v>
      </c>
      <c r="C8">
        <f t="shared" si="0"/>
        <v>0.7481490816137073</v>
      </c>
      <c r="D8">
        <f t="shared" si="1"/>
        <v>0.14043940406148492</v>
      </c>
      <c r="E8">
        <f t="shared" si="2"/>
        <v>1.9723226213145026E-2</v>
      </c>
    </row>
    <row r="9" spans="1:8" x14ac:dyDescent="0.25">
      <c r="A9">
        <v>0.72057171892500005</v>
      </c>
      <c r="B9">
        <v>0.87206873887692549</v>
      </c>
      <c r="C9">
        <f t="shared" si="0"/>
        <v>0.79167540498231004</v>
      </c>
      <c r="D9">
        <f t="shared" si="1"/>
        <v>8.0393333894615449E-2</v>
      </c>
      <c r="E9">
        <f t="shared" si="2"/>
        <v>6.4630881346911251E-3</v>
      </c>
    </row>
    <row r="10" spans="1:8" x14ac:dyDescent="0.25">
      <c r="A10">
        <v>0.7928438499749999</v>
      </c>
      <c r="B10">
        <v>0.85294061100524809</v>
      </c>
      <c r="C10">
        <f t="shared" si="0"/>
        <v>0.81853211313634355</v>
      </c>
      <c r="D10">
        <f t="shared" si="1"/>
        <v>3.4408497868904542E-2</v>
      </c>
      <c r="E10">
        <f t="shared" si="2"/>
        <v>1.1839447255944085E-3</v>
      </c>
    </row>
    <row r="11" spans="1:8" x14ac:dyDescent="0.25">
      <c r="A11">
        <v>0.86511598102499998</v>
      </c>
      <c r="B11">
        <v>0.88337172352837112</v>
      </c>
      <c r="C11">
        <f t="shared" si="0"/>
        <v>0.82852924658972105</v>
      </c>
      <c r="D11">
        <f t="shared" si="1"/>
        <v>5.4842476938650075E-2</v>
      </c>
      <c r="E11">
        <f t="shared" si="2"/>
        <v>3.0076972767663652E-3</v>
      </c>
    </row>
    <row r="12" spans="1:8" x14ac:dyDescent="0.25">
      <c r="A12">
        <v>0.93738811207499995</v>
      </c>
      <c r="B12">
        <v>0.81729273633530408</v>
      </c>
      <c r="C12">
        <f t="shared" si="0"/>
        <v>0.82222603072946199</v>
      </c>
      <c r="D12">
        <f t="shared" si="1"/>
        <v>-4.9332943941579055E-3</v>
      </c>
      <c r="E12">
        <f t="shared" si="2"/>
        <v>2.4337393579429817E-5</v>
      </c>
    </row>
    <row r="13" spans="1:8" x14ac:dyDescent="0.25">
      <c r="A13">
        <v>1.0096602431249999</v>
      </c>
      <c r="B13">
        <v>0.78860054452778805</v>
      </c>
      <c r="C13">
        <f t="shared" si="0"/>
        <v>0.8008585930255766</v>
      </c>
      <c r="D13">
        <f t="shared" si="1"/>
        <v>-1.2258048497788554E-2</v>
      </c>
      <c r="E13">
        <f t="shared" si="2"/>
        <v>1.5025975297413622E-4</v>
      </c>
    </row>
    <row r="14" spans="1:8" x14ac:dyDescent="0.25">
      <c r="A14">
        <v>1.081932374175</v>
      </c>
      <c r="B14">
        <v>0.76251673379368257</v>
      </c>
      <c r="C14">
        <f t="shared" si="0"/>
        <v>0.7662290288473409</v>
      </c>
      <c r="D14">
        <f t="shared" si="1"/>
        <v>-3.7122950536583321E-3</v>
      </c>
      <c r="E14">
        <f t="shared" si="2"/>
        <v>1.3781134565416119E-5</v>
      </c>
    </row>
    <row r="15" spans="1:8" x14ac:dyDescent="0.25">
      <c r="A15">
        <v>1.1542045052250001</v>
      </c>
      <c r="B15">
        <v>0.66165933228847484</v>
      </c>
      <c r="C15">
        <f t="shared" si="0"/>
        <v>0.72056539758914329</v>
      </c>
      <c r="D15">
        <f t="shared" si="1"/>
        <v>-5.8906065300668442E-2</v>
      </c>
      <c r="E15">
        <f t="shared" si="2"/>
        <v>3.4699245292066148E-3</v>
      </c>
    </row>
    <row r="16" spans="1:8" x14ac:dyDescent="0.25">
      <c r="A16">
        <v>1.2264766362749999</v>
      </c>
      <c r="B16">
        <v>0.60688332974685344</v>
      </c>
      <c r="C16">
        <f t="shared" si="0"/>
        <v>0.66636467826390766</v>
      </c>
      <c r="D16">
        <f t="shared" si="1"/>
        <v>-5.9481348517054222E-2</v>
      </c>
      <c r="E16">
        <f t="shared" si="2"/>
        <v>3.5380308214072683E-3</v>
      </c>
    </row>
    <row r="17" spans="1:5" x14ac:dyDescent="0.25">
      <c r="A17">
        <v>1.2987487673249998</v>
      </c>
      <c r="B17">
        <v>0.6025360279578359</v>
      </c>
      <c r="C17">
        <f t="shared" si="0"/>
        <v>0.60623170251887826</v>
      </c>
      <c r="D17">
        <f t="shared" si="1"/>
        <v>-3.6956745610423614E-3</v>
      </c>
      <c r="E17">
        <f t="shared" si="2"/>
        <v>1.3658010461135651E-5</v>
      </c>
    </row>
    <row r="18" spans="1:5" x14ac:dyDescent="0.25">
      <c r="A18">
        <v>1.3710208983749999</v>
      </c>
      <c r="B18">
        <v>0.53993488219598273</v>
      </c>
      <c r="C18">
        <f t="shared" si="0"/>
        <v>0.54272662306502595</v>
      </c>
      <c r="D18">
        <f t="shared" si="1"/>
        <v>-2.7917408690432133E-3</v>
      </c>
      <c r="E18">
        <f t="shared" si="2"/>
        <v>7.7938170798861553E-6</v>
      </c>
    </row>
    <row r="19" spans="1:5" x14ac:dyDescent="0.25">
      <c r="A19">
        <v>1.4432930294249999</v>
      </c>
      <c r="B19">
        <v>0.44342478247979261</v>
      </c>
      <c r="C19">
        <f t="shared" si="0"/>
        <v>0.47823173548651793</v>
      </c>
      <c r="D19">
        <f t="shared" si="1"/>
        <v>-3.4806953006725316E-2</v>
      </c>
      <c r="E19">
        <f t="shared" si="2"/>
        <v>1.2115239776123844E-3</v>
      </c>
    </row>
    <row r="20" spans="1:5" x14ac:dyDescent="0.25">
      <c r="A20">
        <v>1.5155651604749998</v>
      </c>
      <c r="B20">
        <v>0.36256496920406572</v>
      </c>
      <c r="C20">
        <f t="shared" si="0"/>
        <v>0.41484575888868858</v>
      </c>
      <c r="D20">
        <f t="shared" si="1"/>
        <v>-5.2280789684622853E-2</v>
      </c>
      <c r="E20">
        <f t="shared" si="2"/>
        <v>2.7332809700477672E-3</v>
      </c>
    </row>
    <row r="21" spans="1:5" x14ac:dyDescent="0.25">
      <c r="A21">
        <v>1.5878372915250001</v>
      </c>
      <c r="B21">
        <v>0.31039734773585481</v>
      </c>
      <c r="C21">
        <f t="shared" si="0"/>
        <v>0.35431039633187605</v>
      </c>
      <c r="D21">
        <f t="shared" si="1"/>
        <v>-4.3913048596021242E-2</v>
      </c>
      <c r="E21">
        <f t="shared" si="2"/>
        <v>1.9283558369965232E-3</v>
      </c>
    </row>
    <row r="22" spans="1:5" x14ac:dyDescent="0.25">
      <c r="A22">
        <v>1.6601094225750002</v>
      </c>
      <c r="B22">
        <v>0.23214591553353847</v>
      </c>
      <c r="C22">
        <f t="shared" si="0"/>
        <v>0.29797057313285008</v>
      </c>
      <c r="D22">
        <f t="shared" si="1"/>
        <v>-6.5824657599311609E-2</v>
      </c>
      <c r="E22">
        <f t="shared" si="2"/>
        <v>4.3328855480666119E-3</v>
      </c>
    </row>
    <row r="23" spans="1:5" x14ac:dyDescent="0.25">
      <c r="A23">
        <v>1.7323815536249998</v>
      </c>
      <c r="B23">
        <v>0.22519023267111035</v>
      </c>
      <c r="C23">
        <f t="shared" si="0"/>
        <v>0.24676659538491719</v>
      </c>
      <c r="D23">
        <f t="shared" si="1"/>
        <v>-2.1576362713806835E-2</v>
      </c>
      <c r="E23">
        <f t="shared" si="2"/>
        <v>4.6553942795775382E-4</v>
      </c>
    </row>
    <row r="24" spans="1:5" x14ac:dyDescent="0.25">
      <c r="A24">
        <v>1.8046536846749999</v>
      </c>
      <c r="B24">
        <v>0.1634585472670608</v>
      </c>
      <c r="C24">
        <f t="shared" si="0"/>
        <v>0.20125390765959261</v>
      </c>
      <c r="D24">
        <f t="shared" si="1"/>
        <v>-3.7795360392531813E-2</v>
      </c>
      <c r="E24">
        <f t="shared" si="2"/>
        <v>1.4284892672013624E-3</v>
      </c>
    </row>
    <row r="25" spans="1:5" x14ac:dyDescent="0.25">
      <c r="A25">
        <v>1.8769258157249999</v>
      </c>
      <c r="B25">
        <v>0.13824419689075887</v>
      </c>
      <c r="C25">
        <f t="shared" si="0"/>
        <v>0.16164436774327928</v>
      </c>
      <c r="D25">
        <f t="shared" si="1"/>
        <v>-2.3400170852520413E-2</v>
      </c>
      <c r="E25">
        <f t="shared" si="2"/>
        <v>5.4756799592714598E-4</v>
      </c>
    </row>
    <row r="26" spans="1:5" x14ac:dyDescent="0.25">
      <c r="A26">
        <v>1.949197946775</v>
      </c>
      <c r="B26">
        <v>0.14780826082659754</v>
      </c>
      <c r="C26">
        <f t="shared" si="0"/>
        <v>0.12786207824461462</v>
      </c>
      <c r="D26">
        <f t="shared" si="1"/>
        <v>1.9946182581982913E-2</v>
      </c>
      <c r="E26">
        <f t="shared" si="2"/>
        <v>3.9785019959379857E-4</v>
      </c>
    </row>
    <row r="27" spans="1:5" x14ac:dyDescent="0.25">
      <c r="A27">
        <v>2.0214700778250001</v>
      </c>
      <c r="B27">
        <v>0.11129092579884992</v>
      </c>
      <c r="C27">
        <f t="shared" si="0"/>
        <v>9.9606778756513012E-2</v>
      </c>
      <c r="D27">
        <f t="shared" si="1"/>
        <v>1.1684147042336904E-2</v>
      </c>
      <c r="E27">
        <f t="shared" si="2"/>
        <v>1.3651929210695021E-4</v>
      </c>
    </row>
    <row r="28" spans="1:5" x14ac:dyDescent="0.25">
      <c r="A28">
        <v>2.0937422088749997</v>
      </c>
      <c r="B28">
        <v>8.4337654706940948E-2</v>
      </c>
      <c r="C28">
        <f t="shared" si="0"/>
        <v>7.6418468872819501E-2</v>
      </c>
      <c r="D28">
        <f t="shared" si="1"/>
        <v>7.9191858341214477E-3</v>
      </c>
      <c r="E28">
        <f t="shared" si="2"/>
        <v>6.2713504275349811E-5</v>
      </c>
    </row>
    <row r="29" spans="1:5" x14ac:dyDescent="0.25">
      <c r="A29">
        <v>2.1660143399249998</v>
      </c>
      <c r="B29">
        <v>6.6948447550870649E-2</v>
      </c>
      <c r="C29">
        <f t="shared" si="0"/>
        <v>5.7738099698379584E-2</v>
      </c>
      <c r="D29">
        <f t="shared" si="1"/>
        <v>9.2103478524910645E-3</v>
      </c>
      <c r="E29">
        <f t="shared" si="2"/>
        <v>8.4830507563886766E-5</v>
      </c>
    </row>
    <row r="30" spans="1:5" x14ac:dyDescent="0.25">
      <c r="A30">
        <v>2.2382864709749999</v>
      </c>
      <c r="B30">
        <v>5.0428700752603868E-2</v>
      </c>
      <c r="C30">
        <f t="shared" si="0"/>
        <v>4.2960612987578424E-2</v>
      </c>
      <c r="D30">
        <f t="shared" si="1"/>
        <v>7.468087765025444E-3</v>
      </c>
      <c r="E30">
        <f t="shared" si="2"/>
        <v>5.5772334866122733E-5</v>
      </c>
    </row>
    <row r="31" spans="1:5" x14ac:dyDescent="0.25">
      <c r="A31">
        <v>2.310558602025</v>
      </c>
      <c r="B31">
        <v>5.0428700752603868E-2</v>
      </c>
      <c r="C31">
        <f t="shared" si="0"/>
        <v>3.1478106817301239E-2</v>
      </c>
      <c r="D31">
        <f t="shared" si="1"/>
        <v>1.8950593935302629E-2</v>
      </c>
      <c r="E31">
        <f t="shared" si="2"/>
        <v>3.5912501050072877E-4</v>
      </c>
    </row>
    <row r="32" spans="1:5" x14ac:dyDescent="0.25">
      <c r="A32">
        <v>2.382830733075</v>
      </c>
      <c r="B32">
        <v>3.1300572880926539E-2</v>
      </c>
      <c r="C32">
        <f t="shared" si="0"/>
        <v>2.2712286508390821E-2</v>
      </c>
      <c r="D32">
        <f t="shared" si="1"/>
        <v>8.5882863725357181E-3</v>
      </c>
      <c r="E32">
        <f t="shared" si="2"/>
        <v>7.3758662816682718E-5</v>
      </c>
    </row>
    <row r="33" spans="1:5" x14ac:dyDescent="0.25">
      <c r="A33">
        <v>2.4551028641250001</v>
      </c>
      <c r="B33">
        <v>3.564787466994411E-2</v>
      </c>
      <c r="C33">
        <f t="shared" si="0"/>
        <v>1.6136494788393244E-2</v>
      </c>
      <c r="D33">
        <f t="shared" si="1"/>
        <v>1.9511379881550866E-2</v>
      </c>
      <c r="E33">
        <f t="shared" si="2"/>
        <v>3.8069394488218788E-4</v>
      </c>
    </row>
    <row r="34" spans="1:5" x14ac:dyDescent="0.25">
      <c r="A34">
        <v>2.5273749951749997</v>
      </c>
      <c r="B34">
        <v>1.9128127871677329E-2</v>
      </c>
      <c r="C34">
        <f t="shared" si="0"/>
        <v>1.1288439824903889E-2</v>
      </c>
      <c r="D34">
        <f t="shared" si="1"/>
        <v>7.8396880467734402E-3</v>
      </c>
      <c r="E34">
        <f t="shared" si="2"/>
        <v>6.1460708670722363E-5</v>
      </c>
    </row>
    <row r="35" spans="1:5" x14ac:dyDescent="0.25">
      <c r="A35">
        <v>2.5996471262249998</v>
      </c>
      <c r="B35">
        <v>1.8258667513873814E-2</v>
      </c>
      <c r="C35">
        <f t="shared" si="0"/>
        <v>7.7752413013384052E-3</v>
      </c>
      <c r="D35">
        <f t="shared" si="1"/>
        <v>1.048342621253541E-2</v>
      </c>
      <c r="E35">
        <f t="shared" si="2"/>
        <v>1.0990222515367453E-4</v>
      </c>
    </row>
    <row r="36" spans="1:5" x14ac:dyDescent="0.25">
      <c r="A36">
        <v>2.6719192572749995</v>
      </c>
      <c r="B36">
        <v>1.3041905367052724E-2</v>
      </c>
      <c r="C36">
        <f t="shared" si="0"/>
        <v>5.2726229211636309E-3</v>
      </c>
      <c r="D36">
        <f t="shared" si="1"/>
        <v>7.7692824458890936E-3</v>
      </c>
      <c r="E36">
        <f t="shared" si="2"/>
        <v>6.0361749724000418E-5</v>
      </c>
    </row>
    <row r="37" spans="1:5" x14ac:dyDescent="0.25">
      <c r="A37">
        <v>2.7441913883249995</v>
      </c>
      <c r="B37">
        <v>7.8251432202316347E-3</v>
      </c>
      <c r="C37">
        <f t="shared" si="0"/>
        <v>3.5200518770690369E-3</v>
      </c>
      <c r="D37">
        <f t="shared" si="1"/>
        <v>4.3050913431625978E-3</v>
      </c>
      <c r="E37">
        <f t="shared" si="2"/>
        <v>1.853381147297354E-5</v>
      </c>
    </row>
    <row r="38" spans="1:5" x14ac:dyDescent="0.25">
      <c r="A38">
        <v>2.8164635193749996</v>
      </c>
      <c r="B38">
        <v>6.9556828624281197E-3</v>
      </c>
      <c r="C38">
        <f t="shared" si="0"/>
        <v>2.3134317908122377E-3</v>
      </c>
      <c r="D38">
        <f t="shared" si="1"/>
        <v>4.6422510716158816E-3</v>
      </c>
      <c r="E38">
        <f t="shared" si="2"/>
        <v>2.15504950119188E-5</v>
      </c>
    </row>
    <row r="39" spans="1:5" x14ac:dyDescent="0.25">
      <c r="A39">
        <v>2.8887356504249997</v>
      </c>
      <c r="B39">
        <v>1.7389207156070299E-3</v>
      </c>
      <c r="C39">
        <f t="shared" si="0"/>
        <v>1.4966652300136675E-3</v>
      </c>
      <c r="D39">
        <f t="shared" si="1"/>
        <v>2.4225548559336243E-4</v>
      </c>
      <c r="E39">
        <f t="shared" si="2"/>
        <v>5.8687720300075827E-8</v>
      </c>
    </row>
    <row r="40" spans="1:5" x14ac:dyDescent="0.25">
      <c r="A40">
        <v>2.9610077814749998</v>
      </c>
      <c r="B40">
        <v>4.3473017890175748E-3</v>
      </c>
      <c r="C40">
        <f t="shared" si="0"/>
        <v>9.5307575592039763E-4</v>
      </c>
      <c r="D40">
        <f t="shared" si="1"/>
        <v>3.3942260330971771E-3</v>
      </c>
      <c r="E40">
        <f t="shared" si="2"/>
        <v>1.1520770363754599E-5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525A-6754-4350-A231-FF1EBBF9B39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0.18053703877499999</v>
      </c>
      <c r="B1">
        <v>5.0078724313106643E-2</v>
      </c>
      <c r="C1">
        <f>$H$3*(1+$H$1)*(A1^($H$1))*EXP(-$H$3*(A1^(1+$H$1)))</f>
        <v>0.15414424464411305</v>
      </c>
      <c r="D1">
        <f>B1-C1</f>
        <v>-0.10406552033100641</v>
      </c>
      <c r="E1">
        <f>D1^2</f>
        <v>1.0829632521763109E-2</v>
      </c>
      <c r="G1" t="s">
        <v>0</v>
      </c>
      <c r="H1">
        <v>1.4343404023117068</v>
      </c>
    </row>
    <row r="2" spans="1:8" x14ac:dyDescent="0.25">
      <c r="A2">
        <v>0.24704034832499999</v>
      </c>
      <c r="B2">
        <v>0.14551176498525326</v>
      </c>
      <c r="C2">
        <f t="shared" ref="C2:C40" si="0">$H$3*(1+$H$1)*(A2^($H$1))*EXP(-$H$3*(A2^(1+$H$1)))</f>
        <v>0.23852432130374254</v>
      </c>
      <c r="D2">
        <f t="shared" ref="D2:D40" si="1">B2-C2</f>
        <v>-9.3012556318489287E-2</v>
      </c>
      <c r="E2">
        <f t="shared" ref="E2:E40" si="2">D2^2</f>
        <v>8.6513356329001416E-3</v>
      </c>
    </row>
    <row r="3" spans="1:8" x14ac:dyDescent="0.25">
      <c r="A3">
        <v>0.31354365787499999</v>
      </c>
      <c r="B3">
        <v>0.29480305633375986</v>
      </c>
      <c r="C3">
        <f t="shared" si="0"/>
        <v>0.32927083424812648</v>
      </c>
      <c r="D3">
        <f t="shared" si="1"/>
        <v>-3.4467777914366615E-2</v>
      </c>
      <c r="E3">
        <f t="shared" si="2"/>
        <v>1.188027714354099E-3</v>
      </c>
      <c r="G3" t="s">
        <v>1</v>
      </c>
      <c r="H3">
        <f>(_xlfn.GAMMA((2+$H$1)/(1+$H$1)))^(1+$H$1)</f>
        <v>0.74628629904013633</v>
      </c>
    </row>
    <row r="4" spans="1:8" x14ac:dyDescent="0.25">
      <c r="A4">
        <v>0.38004696742499999</v>
      </c>
      <c r="B4">
        <v>0.42803136063843977</v>
      </c>
      <c r="C4">
        <f t="shared" si="0"/>
        <v>0.42255046998095985</v>
      </c>
      <c r="D4">
        <f t="shared" si="1"/>
        <v>5.4808906574799199E-3</v>
      </c>
      <c r="E4">
        <f t="shared" si="2"/>
        <v>3.0040162399250667E-5</v>
      </c>
    </row>
    <row r="5" spans="1:8" x14ac:dyDescent="0.25">
      <c r="A5">
        <v>0.44655027697499999</v>
      </c>
      <c r="B5">
        <v>0.62267696834598629</v>
      </c>
      <c r="C5">
        <f t="shared" si="0"/>
        <v>0.51468993133857965</v>
      </c>
      <c r="D5">
        <f t="shared" si="1"/>
        <v>0.10798703700740664</v>
      </c>
      <c r="E5">
        <f t="shared" si="2"/>
        <v>1.1661200161639011E-2</v>
      </c>
      <c r="G5" t="s">
        <v>2</v>
      </c>
      <c r="H5">
        <f>SUM(E1:E40)</f>
        <v>0.11451506949085274</v>
      </c>
    </row>
    <row r="6" spans="1:8" x14ac:dyDescent="0.25">
      <c r="A6">
        <v>0.51305358652499999</v>
      </c>
      <c r="B6">
        <v>0.68314939015803966</v>
      </c>
      <c r="C6">
        <f t="shared" si="0"/>
        <v>0.60216626433550491</v>
      </c>
      <c r="D6">
        <f t="shared" si="1"/>
        <v>8.0983125822534752E-2</v>
      </c>
      <c r="E6">
        <f t="shared" si="2"/>
        <v>6.5582666679884945E-3</v>
      </c>
    </row>
    <row r="7" spans="1:8" x14ac:dyDescent="0.25">
      <c r="A7">
        <v>0.57955689607499994</v>
      </c>
      <c r="B7">
        <v>0.74740133833334632</v>
      </c>
      <c r="C7">
        <f t="shared" si="0"/>
        <v>0.68169094481741377</v>
      </c>
      <c r="D7">
        <f t="shared" si="1"/>
        <v>6.5710393515932553E-2</v>
      </c>
      <c r="E7">
        <f t="shared" si="2"/>
        <v>4.3178558160187107E-3</v>
      </c>
    </row>
    <row r="8" spans="1:8" x14ac:dyDescent="0.25">
      <c r="A8">
        <v>0.64606020562499999</v>
      </c>
      <c r="B8">
        <v>0.89574774809103952</v>
      </c>
      <c r="C8">
        <f t="shared" si="0"/>
        <v>0.75033252469362488</v>
      </c>
      <c r="D8">
        <f t="shared" si="1"/>
        <v>0.14541522339741464</v>
      </c>
      <c r="E8">
        <f t="shared" si="2"/>
        <v>2.1145587195720007E-2</v>
      </c>
    </row>
    <row r="9" spans="1:8" x14ac:dyDescent="0.25">
      <c r="A9">
        <v>0.71256351517500005</v>
      </c>
      <c r="B9">
        <v>0.91653514308893291</v>
      </c>
      <c r="C9">
        <f t="shared" si="0"/>
        <v>0.80564768672145914</v>
      </c>
      <c r="D9">
        <f t="shared" si="1"/>
        <v>0.11088745636747377</v>
      </c>
      <c r="E9">
        <f t="shared" si="2"/>
        <v>1.2296027979648398E-2</v>
      </c>
    </row>
    <row r="10" spans="1:8" x14ac:dyDescent="0.25">
      <c r="A10">
        <v>0.77906682472500011</v>
      </c>
      <c r="B10">
        <v>0.91653514308893291</v>
      </c>
      <c r="C10">
        <f t="shared" si="0"/>
        <v>0.84579982920880181</v>
      </c>
      <c r="D10">
        <f t="shared" si="1"/>
        <v>7.0735313880131101E-2</v>
      </c>
      <c r="E10">
        <f t="shared" si="2"/>
        <v>5.0034846297206679E-3</v>
      </c>
    </row>
    <row r="11" spans="1:8" x14ac:dyDescent="0.25">
      <c r="A11">
        <v>0.84557013427500005</v>
      </c>
      <c r="B11">
        <v>0.94393670922251949</v>
      </c>
      <c r="C11">
        <f t="shared" si="0"/>
        <v>0.86964941514646565</v>
      </c>
      <c r="D11">
        <f t="shared" si="1"/>
        <v>7.4287294076053834E-2</v>
      </c>
      <c r="E11">
        <f t="shared" si="2"/>
        <v>5.5186020611421027E-3</v>
      </c>
    </row>
    <row r="12" spans="1:8" x14ac:dyDescent="0.25">
      <c r="A12">
        <v>0.912073443825</v>
      </c>
      <c r="B12">
        <v>0.88346428741046623</v>
      </c>
      <c r="C12">
        <f t="shared" si="0"/>
        <v>0.87680467010557128</v>
      </c>
      <c r="D12">
        <f t="shared" si="1"/>
        <v>6.6596173048949492E-3</v>
      </c>
      <c r="E12">
        <f t="shared" si="2"/>
        <v>4.4350502647656266E-5</v>
      </c>
    </row>
    <row r="13" spans="1:8" x14ac:dyDescent="0.25">
      <c r="A13">
        <v>0.97857675337499994</v>
      </c>
      <c r="B13">
        <v>0.86362177400338624</v>
      </c>
      <c r="C13">
        <f t="shared" si="0"/>
        <v>0.86762579526824835</v>
      </c>
      <c r="D13">
        <f t="shared" si="1"/>
        <v>-4.004021264862101E-3</v>
      </c>
      <c r="E13">
        <f t="shared" si="2"/>
        <v>1.6032186289467899E-5</v>
      </c>
    </row>
    <row r="14" spans="1:8" x14ac:dyDescent="0.25">
      <c r="A14">
        <v>1.0450800629249999</v>
      </c>
      <c r="B14">
        <v>0.84377926059630626</v>
      </c>
      <c r="C14">
        <f t="shared" si="0"/>
        <v>0.84318077630979693</v>
      </c>
      <c r="D14">
        <f t="shared" si="1"/>
        <v>5.984842865093265E-4</v>
      </c>
      <c r="E14">
        <f t="shared" si="2"/>
        <v>3.5818344119857759E-7</v>
      </c>
    </row>
    <row r="15" spans="1:8" x14ac:dyDescent="0.25">
      <c r="A15">
        <v>1.1115833724749997</v>
      </c>
      <c r="B15">
        <v>0.78047219401181289</v>
      </c>
      <c r="C15">
        <f t="shared" si="0"/>
        <v>0.80515582030237387</v>
      </c>
      <c r="D15">
        <f t="shared" si="1"/>
        <v>-2.4683626290560978E-2</v>
      </c>
      <c r="E15">
        <f t="shared" si="2"/>
        <v>6.0928140685207312E-4</v>
      </c>
    </row>
    <row r="16" spans="1:8" x14ac:dyDescent="0.25">
      <c r="A16">
        <v>1.178086682025</v>
      </c>
      <c r="B16">
        <v>0.69448796924779965</v>
      </c>
      <c r="C16">
        <f t="shared" si="0"/>
        <v>0.75572797849290063</v>
      </c>
      <c r="D16">
        <f t="shared" si="1"/>
        <v>-6.1240009245100979E-2</v>
      </c>
      <c r="E16">
        <f t="shared" si="2"/>
        <v>3.7503387323400534E-3</v>
      </c>
    </row>
    <row r="17" spans="1:5" x14ac:dyDescent="0.25">
      <c r="A17">
        <v>1.2445899915749998</v>
      </c>
      <c r="B17">
        <v>0.63968483698062628</v>
      </c>
      <c r="C17">
        <f t="shared" si="0"/>
        <v>0.69741112585029097</v>
      </c>
      <c r="D17">
        <f t="shared" si="1"/>
        <v>-5.7726288869664688E-2</v>
      </c>
      <c r="E17">
        <f t="shared" si="2"/>
        <v>3.332324426663973E-3</v>
      </c>
    </row>
    <row r="18" spans="1:5" x14ac:dyDescent="0.25">
      <c r="A18">
        <v>1.3110933011250001</v>
      </c>
      <c r="B18">
        <v>0.61228327084703971</v>
      </c>
      <c r="C18">
        <f t="shared" si="0"/>
        <v>0.63288876534512384</v>
      </c>
      <c r="D18">
        <f t="shared" si="1"/>
        <v>-2.0605494498084131E-2</v>
      </c>
      <c r="E18">
        <f t="shared" si="2"/>
        <v>4.2458640351057539E-4</v>
      </c>
    </row>
    <row r="19" spans="1:5" x14ac:dyDescent="0.25">
      <c r="A19">
        <v>1.3775966106749999</v>
      </c>
      <c r="B19">
        <v>0.53858250676359976</v>
      </c>
      <c r="C19">
        <f t="shared" si="0"/>
        <v>0.56484786440169521</v>
      </c>
      <c r="D19">
        <f t="shared" si="1"/>
        <v>-2.6265357638095455E-2</v>
      </c>
      <c r="E19">
        <f t="shared" si="2"/>
        <v>6.8986901185705924E-4</v>
      </c>
    </row>
    <row r="20" spans="1:5" x14ac:dyDescent="0.25">
      <c r="A20">
        <v>1.4440999202249998</v>
      </c>
      <c r="B20">
        <v>0.45921245313527975</v>
      </c>
      <c r="C20">
        <f t="shared" si="0"/>
        <v>0.49582707749195087</v>
      </c>
      <c r="D20">
        <f t="shared" si="1"/>
        <v>-3.6614624356671122E-2</v>
      </c>
      <c r="E20">
        <f t="shared" si="2"/>
        <v>1.3406307167801342E-3</v>
      </c>
    </row>
    <row r="21" spans="1:5" x14ac:dyDescent="0.25">
      <c r="A21">
        <v>1.5106032297750001</v>
      </c>
      <c r="B21">
        <v>0.34677154382849318</v>
      </c>
      <c r="C21">
        <f t="shared" si="0"/>
        <v>0.42809044010589281</v>
      </c>
      <c r="D21">
        <f t="shared" si="1"/>
        <v>-8.1318896277399633E-2</v>
      </c>
      <c r="E21">
        <f t="shared" si="2"/>
        <v>6.6127628917744801E-3</v>
      </c>
    </row>
    <row r="22" spans="1:5" x14ac:dyDescent="0.25">
      <c r="A22">
        <v>1.5771065393249999</v>
      </c>
      <c r="B22">
        <v>0.3108660433775865</v>
      </c>
      <c r="C22">
        <f t="shared" si="0"/>
        <v>0.36353429573757395</v>
      </c>
      <c r="D22">
        <f t="shared" si="1"/>
        <v>-5.2668252359987455E-2</v>
      </c>
      <c r="E22">
        <f t="shared" si="2"/>
        <v>2.7739448066553241E-3</v>
      </c>
    </row>
    <row r="23" spans="1:5" x14ac:dyDescent="0.25">
      <c r="A23">
        <v>1.6436098488749999</v>
      </c>
      <c r="B23">
        <v>0.26362196383691988</v>
      </c>
      <c r="C23">
        <f t="shared" si="0"/>
        <v>0.30363132161713841</v>
      </c>
      <c r="D23">
        <f t="shared" si="1"/>
        <v>-4.0009357780218524E-2</v>
      </c>
      <c r="E23">
        <f t="shared" si="2"/>
        <v>1.6007487099855325E-3</v>
      </c>
    </row>
    <row r="24" spans="1:5" x14ac:dyDescent="0.25">
      <c r="A24">
        <v>1.710113158425</v>
      </c>
      <c r="B24">
        <v>0.22866134497682655</v>
      </c>
      <c r="C24">
        <f t="shared" si="0"/>
        <v>0.24941157669733022</v>
      </c>
      <c r="D24">
        <f t="shared" si="1"/>
        <v>-2.0750231720503665E-2</v>
      </c>
      <c r="E24">
        <f t="shared" si="2"/>
        <v>4.3057211645459645E-4</v>
      </c>
    </row>
    <row r="25" spans="1:5" x14ac:dyDescent="0.25">
      <c r="A25">
        <v>1.7766164679749998</v>
      </c>
      <c r="B25">
        <v>0.14078735703118658</v>
      </c>
      <c r="C25">
        <f t="shared" si="0"/>
        <v>0.20147699461164517</v>
      </c>
      <c r="D25">
        <f t="shared" si="1"/>
        <v>-6.0689637580458589E-2</v>
      </c>
      <c r="E25">
        <f t="shared" si="2"/>
        <v>3.6832321096474112E-3</v>
      </c>
    </row>
    <row r="26" spans="1:5" x14ac:dyDescent="0.25">
      <c r="A26">
        <v>1.8431197775250001</v>
      </c>
      <c r="B26">
        <v>0.16913380475558659</v>
      </c>
      <c r="C26">
        <f t="shared" si="0"/>
        <v>0.16004306464254037</v>
      </c>
      <c r="D26">
        <f t="shared" si="1"/>
        <v>9.0907401130462251E-3</v>
      </c>
      <c r="E26">
        <f t="shared" si="2"/>
        <v>8.264155580294769E-5</v>
      </c>
    </row>
    <row r="27" spans="1:5" x14ac:dyDescent="0.25">
      <c r="A27">
        <v>1.9096230870749999</v>
      </c>
      <c r="B27">
        <v>0.13511806748630659</v>
      </c>
      <c r="C27">
        <f t="shared" si="0"/>
        <v>0.124999810579354</v>
      </c>
      <c r="D27">
        <f t="shared" si="1"/>
        <v>1.0118256906952589E-2</v>
      </c>
      <c r="E27">
        <f t="shared" si="2"/>
        <v>1.0237912283509376E-4</v>
      </c>
    </row>
    <row r="28" spans="1:5" x14ac:dyDescent="0.25">
      <c r="A28">
        <v>1.9761263966249998</v>
      </c>
      <c r="B28">
        <v>0.11055114612515994</v>
      </c>
      <c r="C28">
        <f t="shared" si="0"/>
        <v>9.5983645481951665E-2</v>
      </c>
      <c r="D28">
        <f t="shared" si="1"/>
        <v>1.4567500643208275E-2</v>
      </c>
      <c r="E28">
        <f t="shared" si="2"/>
        <v>2.1221207498987353E-4</v>
      </c>
    </row>
    <row r="29" spans="1:5" x14ac:dyDescent="0.25">
      <c r="A29">
        <v>2.0426297061750001</v>
      </c>
      <c r="B29">
        <v>8.409446158238662E-2</v>
      </c>
      <c r="C29">
        <f t="shared" si="0"/>
        <v>7.2452147372041878E-2</v>
      </c>
      <c r="D29">
        <f t="shared" si="1"/>
        <v>1.1642314210344742E-2</v>
      </c>
      <c r="E29">
        <f t="shared" si="2"/>
        <v>1.3554348017239513E-4</v>
      </c>
    </row>
    <row r="30" spans="1:5" x14ac:dyDescent="0.25">
      <c r="A30">
        <v>2.1091330157249999</v>
      </c>
      <c r="B30">
        <v>5.8582658630426637E-2</v>
      </c>
      <c r="C30">
        <f t="shared" si="0"/>
        <v>5.3755044546561506E-2</v>
      </c>
      <c r="D30">
        <f t="shared" si="1"/>
        <v>4.827614083865131E-3</v>
      </c>
      <c r="E30">
        <f t="shared" si="2"/>
        <v>2.3305857742732968E-5</v>
      </c>
    </row>
    <row r="31" spans="1:5" x14ac:dyDescent="0.25">
      <c r="A31">
        <v>2.1756363252749997</v>
      </c>
      <c r="B31">
        <v>6.0472421812053305E-2</v>
      </c>
      <c r="C31">
        <f t="shared" si="0"/>
        <v>3.9196429241249629E-2</v>
      </c>
      <c r="D31">
        <f t="shared" si="1"/>
        <v>2.1275992570803676E-2</v>
      </c>
      <c r="E31">
        <f t="shared" si="2"/>
        <v>4.5266785987289318E-4</v>
      </c>
    </row>
    <row r="32" spans="1:5" x14ac:dyDescent="0.25">
      <c r="A32">
        <v>2.242139634825</v>
      </c>
      <c r="B32">
        <v>3.6850382041719983E-2</v>
      </c>
      <c r="C32">
        <f t="shared" si="0"/>
        <v>2.8085131086009001E-2</v>
      </c>
      <c r="D32">
        <f t="shared" si="1"/>
        <v>8.7652509557109813E-3</v>
      </c>
      <c r="E32">
        <f t="shared" si="2"/>
        <v>7.6829624316592272E-5</v>
      </c>
    </row>
    <row r="33" spans="1:5" x14ac:dyDescent="0.25">
      <c r="A33">
        <v>2.3086429443749998</v>
      </c>
      <c r="B33">
        <v>3.6850382041719983E-2</v>
      </c>
      <c r="C33">
        <f t="shared" si="0"/>
        <v>1.9772007743821714E-2</v>
      </c>
      <c r="D33">
        <f t="shared" si="1"/>
        <v>1.7078374297898269E-2</v>
      </c>
      <c r="E33">
        <f t="shared" si="2"/>
        <v>2.916708686591122E-4</v>
      </c>
    </row>
    <row r="34" spans="1:5" x14ac:dyDescent="0.25">
      <c r="A34">
        <v>2.3751462539250001</v>
      </c>
      <c r="B34">
        <v>3.1181092496839983E-2</v>
      </c>
      <c r="C34">
        <f t="shared" si="0"/>
        <v>1.3674447422089746E-2</v>
      </c>
      <c r="D34">
        <f t="shared" si="1"/>
        <v>1.7506645074750235E-2</v>
      </c>
      <c r="E34">
        <f t="shared" si="2"/>
        <v>3.0648262177327665E-4</v>
      </c>
    </row>
    <row r="35" spans="1:5" x14ac:dyDescent="0.25">
      <c r="A35">
        <v>2.441649563475</v>
      </c>
      <c r="B35">
        <v>2.0787394997893324E-2</v>
      </c>
      <c r="C35">
        <f t="shared" si="0"/>
        <v>9.2895080484271773E-3</v>
      </c>
      <c r="D35">
        <f t="shared" si="1"/>
        <v>1.1497886949466147E-2</v>
      </c>
      <c r="E35">
        <f t="shared" si="2"/>
        <v>1.3220140430270395E-4</v>
      </c>
    </row>
    <row r="36" spans="1:5" x14ac:dyDescent="0.25">
      <c r="A36">
        <v>2.5081528730249998</v>
      </c>
      <c r="B36">
        <v>1.7007868634639992E-2</v>
      </c>
      <c r="C36">
        <f t="shared" si="0"/>
        <v>6.1978046070893531E-3</v>
      </c>
      <c r="D36">
        <f t="shared" si="1"/>
        <v>1.081006402755064E-2</v>
      </c>
      <c r="E36">
        <f t="shared" si="2"/>
        <v>1.1685748427974437E-4</v>
      </c>
    </row>
    <row r="37" spans="1:5" x14ac:dyDescent="0.25">
      <c r="A37">
        <v>2.5746561825750001</v>
      </c>
      <c r="B37">
        <v>1.0393697498946662E-2</v>
      </c>
      <c r="C37">
        <f t="shared" si="0"/>
        <v>4.060531499410637E-3</v>
      </c>
      <c r="D37">
        <f t="shared" si="1"/>
        <v>6.3331659995360251E-3</v>
      </c>
      <c r="E37">
        <f t="shared" si="2"/>
        <v>4.010899157767914E-5</v>
      </c>
    </row>
    <row r="38" spans="1:5" x14ac:dyDescent="0.25">
      <c r="A38">
        <v>2.6411594921249999</v>
      </c>
      <c r="B38">
        <v>6.6141711356933301E-3</v>
      </c>
      <c r="C38">
        <f t="shared" si="0"/>
        <v>2.6119494403258315E-3</v>
      </c>
      <c r="D38">
        <f t="shared" si="1"/>
        <v>4.0022216953674982E-3</v>
      </c>
      <c r="E38">
        <f t="shared" si="2"/>
        <v>1.6017778498870291E-5</v>
      </c>
    </row>
    <row r="39" spans="1:5" x14ac:dyDescent="0.25">
      <c r="A39">
        <v>2.7076628016749997</v>
      </c>
      <c r="B39">
        <v>4.7244079540666641E-3</v>
      </c>
      <c r="C39">
        <f t="shared" si="0"/>
        <v>1.6493777733513132E-3</v>
      </c>
      <c r="D39">
        <f t="shared" si="1"/>
        <v>3.075030180715351E-3</v>
      </c>
      <c r="E39">
        <f t="shared" si="2"/>
        <v>9.4558106123102844E-6</v>
      </c>
    </row>
    <row r="40" spans="1:5" x14ac:dyDescent="0.25">
      <c r="A40">
        <v>2.774166111225</v>
      </c>
      <c r="B40">
        <v>3.7795263632533316E-3</v>
      </c>
      <c r="C40">
        <f t="shared" si="0"/>
        <v>1.0223163199339017E-3</v>
      </c>
      <c r="D40">
        <f t="shared" si="1"/>
        <v>2.75721004331943E-3</v>
      </c>
      <c r="E40">
        <f t="shared" si="2"/>
        <v>7.6022072229815333E-6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FEE2-AF0E-410F-86F1-5CE8F5C4154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0.2167792090125</v>
      </c>
      <c r="B1">
        <v>4.5511441582023859E-2</v>
      </c>
      <c r="C1">
        <f>$H$3*(1+$H$1)*(A1^($H$1))*EXP(-$H$3*(A1^(1+$H$1)))</f>
        <v>0.15225667935092477</v>
      </c>
      <c r="D1">
        <f>B1-C1</f>
        <v>-0.10674523776890091</v>
      </c>
      <c r="E1">
        <f>D1^2</f>
        <v>1.1394545786339189E-2</v>
      </c>
      <c r="G1" t="s">
        <v>0</v>
      </c>
      <c r="H1">
        <v>1.6572176953858306</v>
      </c>
    </row>
    <row r="2" spans="1:8" x14ac:dyDescent="0.25">
      <c r="A2">
        <v>0.27753011103749997</v>
      </c>
      <c r="B2">
        <v>0.13239692096588759</v>
      </c>
      <c r="C2">
        <f t="shared" ref="C2:C40" si="0">$H$3*(1+$H$1)*(A2^($H$1))*EXP(-$H$3*(A2^(1+$H$1)))</f>
        <v>0.22662826517698376</v>
      </c>
      <c r="D2">
        <f t="shared" ref="D2:D40" si="1">B2-C2</f>
        <v>-9.4231344211096163E-2</v>
      </c>
      <c r="E2">
        <f t="shared" ref="E2:E40" si="2">D2^2</f>
        <v>8.8795462318300867E-3</v>
      </c>
    </row>
    <row r="3" spans="1:8" x14ac:dyDescent="0.25">
      <c r="A3">
        <v>0.33828101306249997</v>
      </c>
      <c r="B3">
        <v>0.27410300043718916</v>
      </c>
      <c r="C3">
        <f t="shared" si="0"/>
        <v>0.30937938679898569</v>
      </c>
      <c r="D3">
        <f t="shared" si="1"/>
        <v>-3.527638636179653E-2</v>
      </c>
      <c r="E3">
        <f t="shared" si="2"/>
        <v>1.2444234347467442E-3</v>
      </c>
      <c r="G3" t="s">
        <v>1</v>
      </c>
      <c r="H3">
        <f>(_xlfn.GAMMA((2+$H$1)/(1+$H$1)))^(1+$H$1)</f>
        <v>0.73109756634163514</v>
      </c>
    </row>
    <row r="4" spans="1:8" x14ac:dyDescent="0.25">
      <c r="A4">
        <v>0.39903191508749997</v>
      </c>
      <c r="B4">
        <v>0.37236634021655884</v>
      </c>
      <c r="C4">
        <f t="shared" si="0"/>
        <v>0.39768984064179141</v>
      </c>
      <c r="D4">
        <f t="shared" si="1"/>
        <v>-2.532350042523257E-2</v>
      </c>
      <c r="E4">
        <f t="shared" si="2"/>
        <v>6.4127967378675417E-4</v>
      </c>
    </row>
    <row r="5" spans="1:8" x14ac:dyDescent="0.25">
      <c r="A5">
        <v>0.45978281711249996</v>
      </c>
      <c r="B5">
        <v>0.54199989520410241</v>
      </c>
      <c r="C5">
        <f t="shared" si="0"/>
        <v>0.48853868474342904</v>
      </c>
      <c r="D5">
        <f t="shared" si="1"/>
        <v>5.346121046067337E-2</v>
      </c>
      <c r="E5">
        <f t="shared" si="2"/>
        <v>2.8581010239204117E-3</v>
      </c>
      <c r="G5" t="s">
        <v>2</v>
      </c>
      <c r="H5">
        <f>SUM(E1:E40)</f>
        <v>0.15336046417592769</v>
      </c>
    </row>
    <row r="6" spans="1:8" x14ac:dyDescent="0.25">
      <c r="A6">
        <v>0.52053371913749991</v>
      </c>
      <c r="B6">
        <v>0.69094643129072586</v>
      </c>
      <c r="C6">
        <f t="shared" si="0"/>
        <v>0.57873766679028682</v>
      </c>
      <c r="D6">
        <f t="shared" si="1"/>
        <v>0.11220876450043904</v>
      </c>
      <c r="E6">
        <f t="shared" si="2"/>
        <v>1.2590806830714988E-2</v>
      </c>
    </row>
    <row r="7" spans="1:8" x14ac:dyDescent="0.25">
      <c r="A7">
        <v>0.58128462116250001</v>
      </c>
      <c r="B7">
        <v>0.78403801634486558</v>
      </c>
      <c r="C7">
        <f t="shared" si="0"/>
        <v>0.66502031174737242</v>
      </c>
      <c r="D7">
        <f t="shared" si="1"/>
        <v>0.11901770459749317</v>
      </c>
      <c r="E7">
        <f t="shared" si="2"/>
        <v>1.4165214007656147E-2</v>
      </c>
    </row>
    <row r="8" spans="1:8" x14ac:dyDescent="0.25">
      <c r="A8">
        <v>0.6420355231874999</v>
      </c>
      <c r="B8">
        <v>0.84196166926744143</v>
      </c>
      <c r="C8">
        <f t="shared" si="0"/>
        <v>0.74416918009583843</v>
      </c>
      <c r="D8">
        <f t="shared" si="1"/>
        <v>9.7792489171602992E-2</v>
      </c>
      <c r="E8">
        <f t="shared" si="2"/>
        <v>9.5633709383780886E-3</v>
      </c>
    </row>
    <row r="9" spans="1:8" x14ac:dyDescent="0.25">
      <c r="A9">
        <v>0.70278642521250001</v>
      </c>
      <c r="B9">
        <v>0.96711813361800703</v>
      </c>
      <c r="C9">
        <f t="shared" si="0"/>
        <v>0.81316675617899559</v>
      </c>
      <c r="D9">
        <f t="shared" si="1"/>
        <v>0.15395137743901144</v>
      </c>
      <c r="E9">
        <f t="shared" si="2"/>
        <v>2.3701026615368961E-2</v>
      </c>
    </row>
    <row r="10" spans="1:8" x14ac:dyDescent="0.25">
      <c r="A10">
        <v>0.7635373272374999</v>
      </c>
      <c r="B10">
        <v>0.96504943172791502</v>
      </c>
      <c r="C10">
        <f t="shared" si="0"/>
        <v>0.86935526711517441</v>
      </c>
      <c r="D10">
        <f t="shared" si="1"/>
        <v>9.5694164612740606E-2</v>
      </c>
      <c r="E10">
        <f t="shared" si="2"/>
        <v>9.1573731409302968E-3</v>
      </c>
    </row>
    <row r="11" spans="1:8" x14ac:dyDescent="0.25">
      <c r="A11">
        <v>0.82428822926250001</v>
      </c>
      <c r="B11">
        <v>1.0178013299252608</v>
      </c>
      <c r="C11">
        <f t="shared" si="0"/>
        <v>0.91059009202726438</v>
      </c>
      <c r="D11">
        <f t="shared" si="1"/>
        <v>0.10721123789799647</v>
      </c>
      <c r="E11">
        <f t="shared" si="2"/>
        <v>1.1494249531620794E-2</v>
      </c>
    </row>
    <row r="12" spans="1:8" x14ac:dyDescent="0.25">
      <c r="A12">
        <v>0.8850391312875</v>
      </c>
      <c r="B12">
        <v>1.0105608733099389</v>
      </c>
      <c r="C12">
        <f t="shared" si="0"/>
        <v>0.93537147365976181</v>
      </c>
      <c r="D12">
        <f t="shared" si="1"/>
        <v>7.5189399650177124E-2</v>
      </c>
      <c r="E12">
        <f t="shared" si="2"/>
        <v>5.6534458197540563E-3</v>
      </c>
    </row>
    <row r="13" spans="1:8" x14ac:dyDescent="0.25">
      <c r="A13">
        <v>0.9457900333125</v>
      </c>
      <c r="B13">
        <v>0.94849981660717908</v>
      </c>
      <c r="C13">
        <f t="shared" si="0"/>
        <v>0.9429405718481183</v>
      </c>
      <c r="D13">
        <f t="shared" si="1"/>
        <v>5.5592447590607774E-3</v>
      </c>
      <c r="E13">
        <f t="shared" si="2"/>
        <v>3.0905202291144722E-5</v>
      </c>
    </row>
    <row r="14" spans="1:8" x14ac:dyDescent="0.25">
      <c r="A14">
        <v>1.0065409353374999</v>
      </c>
      <c r="B14">
        <v>0.90505707691524728</v>
      </c>
      <c r="C14">
        <f t="shared" si="0"/>
        <v>0.93332871430766473</v>
      </c>
      <c r="D14">
        <f t="shared" si="1"/>
        <v>-2.8271637392417448E-2</v>
      </c>
      <c r="E14">
        <f t="shared" si="2"/>
        <v>7.9928548084833646E-4</v>
      </c>
    </row>
    <row r="15" spans="1:8" x14ac:dyDescent="0.25">
      <c r="A15">
        <v>1.0672918373625</v>
      </c>
      <c r="B15">
        <v>0.94125935999185717</v>
      </c>
      <c r="C15">
        <f t="shared" si="0"/>
        <v>0.90735291133081186</v>
      </c>
      <c r="D15">
        <f t="shared" si="1"/>
        <v>3.3906448661045308E-2</v>
      </c>
      <c r="E15">
        <f t="shared" si="2"/>
        <v>1.1496472608041011E-3</v>
      </c>
    </row>
    <row r="16" spans="1:8" x14ac:dyDescent="0.25">
      <c r="A16">
        <v>1.1280427393874999</v>
      </c>
      <c r="B16">
        <v>0.80989678997101555</v>
      </c>
      <c r="C16">
        <f t="shared" si="0"/>
        <v>0.86655594207409237</v>
      </c>
      <c r="D16">
        <f t="shared" si="1"/>
        <v>-5.6659152103076815E-2</v>
      </c>
      <c r="E16">
        <f t="shared" si="2"/>
        <v>3.2102595170395939E-3</v>
      </c>
    </row>
    <row r="17" spans="1:5" x14ac:dyDescent="0.25">
      <c r="A17">
        <v>1.1887936414125</v>
      </c>
      <c r="B17">
        <v>0.73956092570788778</v>
      </c>
      <c r="C17">
        <f t="shared" si="0"/>
        <v>0.81309500940093149</v>
      </c>
      <c r="D17">
        <f t="shared" si="1"/>
        <v>-7.3534083693043706E-2</v>
      </c>
      <c r="E17">
        <f t="shared" si="2"/>
        <v>5.407261464575556E-3</v>
      </c>
    </row>
    <row r="18" spans="1:5" x14ac:dyDescent="0.25">
      <c r="A18">
        <v>1.2495445434375001</v>
      </c>
      <c r="B18">
        <v>0.66819071049971401</v>
      </c>
      <c r="C18">
        <f t="shared" si="0"/>
        <v>0.74958838631110103</v>
      </c>
      <c r="D18">
        <f t="shared" si="1"/>
        <v>-8.1397675811387016E-2</v>
      </c>
      <c r="E18">
        <f t="shared" si="2"/>
        <v>6.6255816274956589E-3</v>
      </c>
    </row>
    <row r="19" spans="1:5" x14ac:dyDescent="0.25">
      <c r="A19">
        <v>1.3102954454625</v>
      </c>
      <c r="B19">
        <v>0.64853804254384007</v>
      </c>
      <c r="C19">
        <f t="shared" si="0"/>
        <v>0.67893391244905776</v>
      </c>
      <c r="D19">
        <f t="shared" si="1"/>
        <v>-3.0395869905217698E-2</v>
      </c>
      <c r="E19">
        <f t="shared" si="2"/>
        <v>9.2390890729491897E-4</v>
      </c>
    </row>
    <row r="20" spans="1:5" x14ac:dyDescent="0.25">
      <c r="A20">
        <v>1.3710463474874999</v>
      </c>
      <c r="B20">
        <v>0.54717164992933232</v>
      </c>
      <c r="C20">
        <f t="shared" si="0"/>
        <v>0.60411602449533341</v>
      </c>
      <c r="D20">
        <f t="shared" si="1"/>
        <v>-5.6944374566001099E-2</v>
      </c>
      <c r="E20">
        <f t="shared" si="2"/>
        <v>3.2426617947130328E-3</v>
      </c>
    </row>
    <row r="21" spans="1:5" x14ac:dyDescent="0.25">
      <c r="A21">
        <v>1.4317972495125</v>
      </c>
      <c r="B21">
        <v>0.46856097810583658</v>
      </c>
      <c r="C21">
        <f t="shared" si="0"/>
        <v>0.52801881919787796</v>
      </c>
      <c r="D21">
        <f t="shared" si="1"/>
        <v>-5.9457841092041386E-2</v>
      </c>
      <c r="E21">
        <f t="shared" si="2"/>
        <v>3.535234867326445E-3</v>
      </c>
    </row>
    <row r="22" spans="1:5" x14ac:dyDescent="0.25">
      <c r="A22">
        <v>1.4925481515375001</v>
      </c>
      <c r="B22">
        <v>0.39098465722738679</v>
      </c>
      <c r="C22">
        <f t="shared" si="0"/>
        <v>0.4532613479734402</v>
      </c>
      <c r="D22">
        <f t="shared" si="1"/>
        <v>-6.2276690746053409E-2</v>
      </c>
      <c r="E22">
        <f t="shared" si="2"/>
        <v>3.8783862102795743E-3</v>
      </c>
    </row>
    <row r="23" spans="1:5" x14ac:dyDescent="0.25">
      <c r="A23">
        <v>1.5532990535625</v>
      </c>
      <c r="B23">
        <v>0.30927093256875304</v>
      </c>
      <c r="C23">
        <f t="shared" si="0"/>
        <v>0.38206814301626285</v>
      </c>
      <c r="D23">
        <f t="shared" si="1"/>
        <v>-7.2797210447509808E-2</v>
      </c>
      <c r="E23">
        <f t="shared" si="2"/>
        <v>5.2994338489390311E-3</v>
      </c>
    </row>
    <row r="24" spans="1:5" x14ac:dyDescent="0.25">
      <c r="A24">
        <v>1.6140499555874999</v>
      </c>
      <c r="B24">
        <v>0.2916869665029711</v>
      </c>
      <c r="C24">
        <f t="shared" si="0"/>
        <v>0.31618337748749842</v>
      </c>
      <c r="D24">
        <f t="shared" si="1"/>
        <v>-2.4496410984527317E-2</v>
      </c>
      <c r="E24">
        <f t="shared" si="2"/>
        <v>6.0007415112287065E-4</v>
      </c>
    </row>
    <row r="25" spans="1:5" x14ac:dyDescent="0.25">
      <c r="A25">
        <v>1.6748008576125</v>
      </c>
      <c r="B25">
        <v>0.19342362672360142</v>
      </c>
      <c r="C25">
        <f t="shared" si="0"/>
        <v>0.25683176440661964</v>
      </c>
      <c r="D25">
        <f t="shared" si="1"/>
        <v>-6.3408137683018229E-2</v>
      </c>
      <c r="E25">
        <f t="shared" si="2"/>
        <v>4.0205919244285966E-3</v>
      </c>
    </row>
    <row r="26" spans="1:5" x14ac:dyDescent="0.25">
      <c r="A26">
        <v>1.7355517596375001</v>
      </c>
      <c r="B26">
        <v>0.1985953814488314</v>
      </c>
      <c r="C26">
        <f t="shared" si="0"/>
        <v>0.20472407118648936</v>
      </c>
      <c r="D26">
        <f t="shared" si="1"/>
        <v>-6.1286897376579552E-3</v>
      </c>
      <c r="E26">
        <f t="shared" si="2"/>
        <v>3.7560837900473939E-5</v>
      </c>
    </row>
    <row r="27" spans="1:5" x14ac:dyDescent="0.25">
      <c r="A27">
        <v>1.7963026616625002</v>
      </c>
      <c r="B27">
        <v>0.15308393986680754</v>
      </c>
      <c r="C27">
        <f t="shared" si="0"/>
        <v>0.16010067927998503</v>
      </c>
      <c r="D27">
        <f t="shared" si="1"/>
        <v>-7.0167394131774863E-3</v>
      </c>
      <c r="E27">
        <f t="shared" si="2"/>
        <v>4.9234631992438332E-5</v>
      </c>
    </row>
    <row r="28" spans="1:5" x14ac:dyDescent="0.25">
      <c r="A28">
        <v>1.8570535636874999</v>
      </c>
      <c r="B28">
        <v>0.14998088703166954</v>
      </c>
      <c r="C28">
        <f t="shared" si="0"/>
        <v>0.1228034836231283</v>
      </c>
      <c r="D28">
        <f t="shared" si="1"/>
        <v>2.7177403408541231E-2</v>
      </c>
      <c r="E28">
        <f t="shared" si="2"/>
        <v>7.3861125603058857E-4</v>
      </c>
    </row>
    <row r="29" spans="1:5" x14ac:dyDescent="0.25">
      <c r="A29">
        <v>1.9178044657125</v>
      </c>
      <c r="B29">
        <v>9.5160286944231717E-2</v>
      </c>
      <c r="C29">
        <f t="shared" si="0"/>
        <v>9.2364883415405094E-2</v>
      </c>
      <c r="D29">
        <f t="shared" si="1"/>
        <v>2.7954035288266232E-3</v>
      </c>
      <c r="E29">
        <f t="shared" si="2"/>
        <v>7.8142808889763376E-6</v>
      </c>
    </row>
    <row r="30" spans="1:5" x14ac:dyDescent="0.25">
      <c r="A30">
        <v>1.9785553677375001</v>
      </c>
      <c r="B30">
        <v>7.7576320878449762E-2</v>
      </c>
      <c r="C30">
        <f t="shared" si="0"/>
        <v>6.8102666996346151E-2</v>
      </c>
      <c r="D30">
        <f t="shared" si="1"/>
        <v>9.4736538821036109E-3</v>
      </c>
      <c r="E30">
        <f t="shared" si="2"/>
        <v>8.9750117877896815E-5</v>
      </c>
    </row>
    <row r="31" spans="1:5" x14ac:dyDescent="0.25">
      <c r="A31">
        <v>2.0393062697625002</v>
      </c>
      <c r="B31">
        <v>7.7576320878449762E-2</v>
      </c>
      <c r="C31">
        <f t="shared" si="0"/>
        <v>4.9210996728575727E-2</v>
      </c>
      <c r="D31">
        <f t="shared" si="1"/>
        <v>2.8365324149874034E-2</v>
      </c>
      <c r="E31">
        <f t="shared" si="2"/>
        <v>8.0459161412742709E-4</v>
      </c>
    </row>
    <row r="32" spans="1:5" x14ac:dyDescent="0.25">
      <c r="A32">
        <v>2.1000571717875003</v>
      </c>
      <c r="B32">
        <v>4.2408388746885871E-2</v>
      </c>
      <c r="C32">
        <f t="shared" si="0"/>
        <v>3.4840040576420934E-2</v>
      </c>
      <c r="D32">
        <f t="shared" si="1"/>
        <v>7.5683481704649364E-3</v>
      </c>
      <c r="E32">
        <f t="shared" si="2"/>
        <v>5.7279894029379952E-5</v>
      </c>
    </row>
    <row r="33" spans="1:5" x14ac:dyDescent="0.25">
      <c r="A33">
        <v>2.1608080738124995</v>
      </c>
      <c r="B33">
        <v>4.3442739691931867E-2</v>
      </c>
      <c r="C33">
        <f t="shared" si="0"/>
        <v>2.4159585043888578E-2</v>
      </c>
      <c r="D33">
        <f t="shared" si="1"/>
        <v>1.9283154648043289E-2</v>
      </c>
      <c r="E33">
        <f t="shared" si="2"/>
        <v>3.7184005318035353E-4</v>
      </c>
    </row>
    <row r="34" spans="1:5" x14ac:dyDescent="0.25">
      <c r="A34">
        <v>2.2215589758374996</v>
      </c>
      <c r="B34">
        <v>4.2408388746885871E-2</v>
      </c>
      <c r="C34">
        <f t="shared" si="0"/>
        <v>1.6404728540067692E-2</v>
      </c>
      <c r="D34">
        <f t="shared" si="1"/>
        <v>2.6003660206818179E-2</v>
      </c>
      <c r="E34">
        <f t="shared" si="2"/>
        <v>6.7619034415165923E-4</v>
      </c>
    </row>
    <row r="35" spans="1:5" x14ac:dyDescent="0.25">
      <c r="A35">
        <v>2.2823098778624997</v>
      </c>
      <c r="B35">
        <v>2.4824422681103925E-2</v>
      </c>
      <c r="C35">
        <f t="shared" si="0"/>
        <v>1.0904120338265898E-2</v>
      </c>
      <c r="D35">
        <f t="shared" si="1"/>
        <v>1.3920302342838028E-2</v>
      </c>
      <c r="E35">
        <f t="shared" si="2"/>
        <v>1.9377481731602187E-4</v>
      </c>
    </row>
    <row r="36" spans="1:5" x14ac:dyDescent="0.25">
      <c r="A36">
        <v>2.3430607798874998</v>
      </c>
      <c r="B36">
        <v>1.8618317010827945E-2</v>
      </c>
      <c r="C36">
        <f t="shared" si="0"/>
        <v>7.0929440334791512E-3</v>
      </c>
      <c r="D36">
        <f t="shared" si="1"/>
        <v>1.1525372977348795E-2</v>
      </c>
      <c r="E36">
        <f t="shared" si="2"/>
        <v>1.3283422226700181E-4</v>
      </c>
    </row>
    <row r="37" spans="1:5" x14ac:dyDescent="0.25">
      <c r="A37">
        <v>2.4038116819124999</v>
      </c>
      <c r="B37">
        <v>1.3446562285597959E-2</v>
      </c>
      <c r="C37">
        <f t="shared" si="0"/>
        <v>4.513862071020407E-3</v>
      </c>
      <c r="D37">
        <f t="shared" si="1"/>
        <v>8.9327002145775519E-3</v>
      </c>
      <c r="E37">
        <f t="shared" si="2"/>
        <v>7.979313312351384E-5</v>
      </c>
    </row>
    <row r="38" spans="1:5" x14ac:dyDescent="0.25">
      <c r="A38">
        <v>2.4645625839375001</v>
      </c>
      <c r="B38">
        <v>7.2404566153219784E-3</v>
      </c>
      <c r="C38">
        <f t="shared" si="0"/>
        <v>2.8094858274557446E-3</v>
      </c>
      <c r="D38">
        <f t="shared" si="1"/>
        <v>4.4309707878662334E-3</v>
      </c>
      <c r="E38">
        <f t="shared" si="2"/>
        <v>1.9633502122923908E-5</v>
      </c>
    </row>
    <row r="39" spans="1:5" x14ac:dyDescent="0.25">
      <c r="A39">
        <v>2.5253134859625002</v>
      </c>
      <c r="B39">
        <v>7.2404566153219784E-3</v>
      </c>
      <c r="C39">
        <f t="shared" si="0"/>
        <v>1.7097504614864336E-3</v>
      </c>
      <c r="D39">
        <f t="shared" si="1"/>
        <v>5.5307061538355448E-3</v>
      </c>
      <c r="E39">
        <f t="shared" si="2"/>
        <v>3.0588710560074368E-5</v>
      </c>
    </row>
    <row r="40" spans="1:5" x14ac:dyDescent="0.25">
      <c r="A40">
        <v>2.5860643879874998</v>
      </c>
      <c r="B40">
        <v>3.1030528351379907E-3</v>
      </c>
      <c r="C40">
        <f t="shared" si="0"/>
        <v>1.0170355404922409E-3</v>
      </c>
      <c r="D40">
        <f t="shared" si="1"/>
        <v>2.0860172946457495E-3</v>
      </c>
      <c r="E40">
        <f t="shared" si="2"/>
        <v>4.3514681535611718E-6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A9A7-9C76-4009-BF66-17F8F944BD1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0.24548895430000001</v>
      </c>
      <c r="B1">
        <v>2.860697418700393E-2</v>
      </c>
      <c r="C1">
        <f>$H$3*(1+$H$1)*(A1^($H$1))*EXP(-$H$3*(A1^(1+$H$1)))</f>
        <v>0.13363631561304817</v>
      </c>
      <c r="D1">
        <f>B1-C1</f>
        <v>-0.10502934142604424</v>
      </c>
      <c r="E1">
        <f>D1^2</f>
        <v>1.1031162560388573E-2</v>
      </c>
      <c r="G1" t="s">
        <v>0</v>
      </c>
      <c r="H1">
        <v>1.957364974103605</v>
      </c>
    </row>
    <row r="2" spans="1:8" x14ac:dyDescent="0.25">
      <c r="A2">
        <v>0.30040366890000003</v>
      </c>
      <c r="B2">
        <v>7.7810969788650694E-2</v>
      </c>
      <c r="C2">
        <f t="shared" ref="C2:C40" si="0">$H$3*(1+$H$1)*(A2^($H$1))*EXP(-$H$3*(A2^(1+$H$1)))</f>
        <v>0.19658670972613235</v>
      </c>
      <c r="D2">
        <f t="shared" ref="D2:D40" si="1">B2-C2</f>
        <v>-0.11877573993748165</v>
      </c>
      <c r="E2">
        <f t="shared" ref="E2:E40" si="2">D2^2</f>
        <v>1.4107676397696275E-2</v>
      </c>
    </row>
    <row r="3" spans="1:8" x14ac:dyDescent="0.25">
      <c r="A3">
        <v>0.3553183835</v>
      </c>
      <c r="B3">
        <v>0.18537319273178549</v>
      </c>
      <c r="C3">
        <f t="shared" si="0"/>
        <v>0.26951290052409616</v>
      </c>
      <c r="D3">
        <f t="shared" si="1"/>
        <v>-8.413970779231067E-2</v>
      </c>
      <c r="E3">
        <f t="shared" si="2"/>
        <v>7.0794904273754249E-3</v>
      </c>
      <c r="G3" t="s">
        <v>1</v>
      </c>
      <c r="H3">
        <f>(_xlfn.GAMMA((2+$H$1)/(1+$H$1)))^(1+$H$1)</f>
        <v>0.71420298275714822</v>
      </c>
    </row>
    <row r="4" spans="1:8" x14ac:dyDescent="0.25">
      <c r="A4">
        <v>0.41023309809999997</v>
      </c>
      <c r="B4">
        <v>0.33298517953672574</v>
      </c>
      <c r="C4">
        <f t="shared" si="0"/>
        <v>0.35078681678168794</v>
      </c>
      <c r="D4">
        <f t="shared" si="1"/>
        <v>-1.7801637244962198E-2</v>
      </c>
      <c r="E4">
        <f t="shared" si="2"/>
        <v>3.1689828860122536E-4</v>
      </c>
    </row>
    <row r="5" spans="1:8" x14ac:dyDescent="0.25">
      <c r="A5">
        <v>0.46514781270000005</v>
      </c>
      <c r="B5">
        <v>0.43253744970749941</v>
      </c>
      <c r="C5">
        <f t="shared" si="0"/>
        <v>0.43835828942636818</v>
      </c>
      <c r="D5">
        <f t="shared" si="1"/>
        <v>-5.8208397188687644E-3</v>
      </c>
      <c r="E5">
        <f t="shared" si="2"/>
        <v>3.3882175032760196E-5</v>
      </c>
      <c r="G5" t="s">
        <v>2</v>
      </c>
      <c r="H5">
        <f>SUM(E1:E40)</f>
        <v>0.23810202459589222</v>
      </c>
    </row>
    <row r="6" spans="1:8" x14ac:dyDescent="0.25">
      <c r="A6">
        <v>0.52006252730000002</v>
      </c>
      <c r="B6">
        <v>0.60417929482952304</v>
      </c>
      <c r="C6">
        <f t="shared" si="0"/>
        <v>0.52976307813871859</v>
      </c>
      <c r="D6">
        <f t="shared" si="1"/>
        <v>7.4416216690804449E-2</v>
      </c>
      <c r="E6">
        <f t="shared" si="2"/>
        <v>5.537773306572763E-3</v>
      </c>
    </row>
    <row r="7" spans="1:8" x14ac:dyDescent="0.25">
      <c r="A7">
        <v>0.57497724189999999</v>
      </c>
      <c r="B7">
        <v>0.73691565505722123</v>
      </c>
      <c r="C7">
        <f t="shared" si="0"/>
        <v>0.6221676288724477</v>
      </c>
      <c r="D7">
        <f t="shared" si="1"/>
        <v>0.11474802618477353</v>
      </c>
      <c r="E7">
        <f t="shared" si="2"/>
        <v>1.3167109513301472E-2</v>
      </c>
    </row>
    <row r="8" spans="1:8" x14ac:dyDescent="0.25">
      <c r="A8">
        <v>0.62989195650000007</v>
      </c>
      <c r="B8">
        <v>0.89253759463452265</v>
      </c>
      <c r="C8">
        <f t="shared" si="0"/>
        <v>0.71245260489672046</v>
      </c>
      <c r="D8">
        <f t="shared" si="1"/>
        <v>0.18008498973780218</v>
      </c>
      <c r="E8">
        <f t="shared" si="2"/>
        <v>3.2430603528864316E-2</v>
      </c>
    </row>
    <row r="9" spans="1:8" x14ac:dyDescent="0.25">
      <c r="A9">
        <v>0.68480667110000004</v>
      </c>
      <c r="B9">
        <v>0.92114456882152662</v>
      </c>
      <c r="C9">
        <f t="shared" si="0"/>
        <v>0.79733438177114813</v>
      </c>
      <c r="D9">
        <f t="shared" si="1"/>
        <v>0.1238101870503785</v>
      </c>
      <c r="E9">
        <f t="shared" si="2"/>
        <v>1.532896241744971E-2</v>
      </c>
    </row>
    <row r="10" spans="1:8" x14ac:dyDescent="0.25">
      <c r="A10">
        <v>0.73972138570000001</v>
      </c>
      <c r="B10">
        <v>1.0161197231223795</v>
      </c>
      <c r="C10">
        <f t="shared" si="0"/>
        <v>0.87351997810378013</v>
      </c>
      <c r="D10">
        <f t="shared" si="1"/>
        <v>0.1425997450185994</v>
      </c>
      <c r="E10">
        <f t="shared" si="2"/>
        <v>2.0334687279369563E-2</v>
      </c>
    </row>
    <row r="11" spans="1:8" x14ac:dyDescent="0.25">
      <c r="A11">
        <v>0.79463610029999998</v>
      </c>
      <c r="B11">
        <v>1.1179605512281137</v>
      </c>
      <c r="C11">
        <f t="shared" si="0"/>
        <v>0.93788673259609356</v>
      </c>
      <c r="D11">
        <f t="shared" si="1"/>
        <v>0.1800738186320201</v>
      </c>
      <c r="E11">
        <f t="shared" si="2"/>
        <v>3.242658015671767E-2</v>
      </c>
    </row>
    <row r="12" spans="1:8" x14ac:dyDescent="0.25">
      <c r="A12">
        <v>0.84955081490000006</v>
      </c>
      <c r="B12">
        <v>1.0458709762768637</v>
      </c>
      <c r="C12">
        <f t="shared" si="0"/>
        <v>0.98767397292749215</v>
      </c>
      <c r="D12">
        <f t="shared" si="1"/>
        <v>5.8197003349371501E-2</v>
      </c>
      <c r="E12">
        <f t="shared" si="2"/>
        <v>3.3868911988467576E-3</v>
      </c>
    </row>
    <row r="13" spans="1:8" x14ac:dyDescent="0.25">
      <c r="A13">
        <v>0.90446552950000003</v>
      </c>
      <c r="B13">
        <v>1.1740302206346414</v>
      </c>
      <c r="C13">
        <f t="shared" si="0"/>
        <v>1.0206705860911935</v>
      </c>
      <c r="D13">
        <f t="shared" si="1"/>
        <v>0.15335963454344781</v>
      </c>
      <c r="E13">
        <f t="shared" si="2"/>
        <v>2.3519177507299871E-2</v>
      </c>
    </row>
    <row r="14" spans="1:8" x14ac:dyDescent="0.25">
      <c r="A14">
        <v>0.9593802441</v>
      </c>
      <c r="B14">
        <v>1.0195525600248201</v>
      </c>
      <c r="C14">
        <f t="shared" si="0"/>
        <v>1.0353804453920272</v>
      </c>
      <c r="D14">
        <f t="shared" si="1"/>
        <v>-1.582788536720714E-2</v>
      </c>
      <c r="E14">
        <f t="shared" si="2"/>
        <v>2.5052195519744991E-4</v>
      </c>
    </row>
    <row r="15" spans="1:8" x14ac:dyDescent="0.25">
      <c r="A15">
        <v>1.0142949586999999</v>
      </c>
      <c r="B15">
        <v>1.0550252080167051</v>
      </c>
      <c r="C15">
        <f t="shared" si="0"/>
        <v>1.0311476414007439</v>
      </c>
      <c r="D15">
        <f t="shared" si="1"/>
        <v>2.3877566615961188E-2</v>
      </c>
      <c r="E15">
        <f t="shared" si="2"/>
        <v>5.7013818749966421E-4</v>
      </c>
    </row>
    <row r="16" spans="1:8" x14ac:dyDescent="0.25">
      <c r="A16">
        <v>1.0692096733000001</v>
      </c>
      <c r="B16">
        <v>0.9726371223581336</v>
      </c>
      <c r="C16">
        <f t="shared" si="0"/>
        <v>1.0082257584844878</v>
      </c>
      <c r="D16">
        <f t="shared" si="1"/>
        <v>-3.5588636126354212E-2</v>
      </c>
      <c r="E16">
        <f t="shared" si="2"/>
        <v>1.2665510213340442E-3</v>
      </c>
    </row>
    <row r="17" spans="1:5" x14ac:dyDescent="0.25">
      <c r="A17">
        <v>1.1241243879</v>
      </c>
      <c r="B17">
        <v>0.91199033708168531</v>
      </c>
      <c r="C17">
        <f t="shared" si="0"/>
        <v>0.96778007170620872</v>
      </c>
      <c r="D17">
        <f t="shared" si="1"/>
        <v>-5.5789734624523413E-2</v>
      </c>
      <c r="E17">
        <f t="shared" si="2"/>
        <v>3.1124944894747467E-3</v>
      </c>
    </row>
    <row r="18" spans="1:5" x14ac:dyDescent="0.25">
      <c r="A18">
        <v>1.1790391025</v>
      </c>
      <c r="B18">
        <v>0.81815946174831244</v>
      </c>
      <c r="C18">
        <f t="shared" si="0"/>
        <v>0.91181815895134199</v>
      </c>
      <c r="D18">
        <f t="shared" si="1"/>
        <v>-9.3658697203029551E-2</v>
      </c>
      <c r="E18">
        <f t="shared" si="2"/>
        <v>8.7719515617687756E-3</v>
      </c>
    </row>
    <row r="19" spans="1:5" x14ac:dyDescent="0.25">
      <c r="A19">
        <v>1.2339538171000002</v>
      </c>
      <c r="B19">
        <v>0.76323407130926491</v>
      </c>
      <c r="C19">
        <f t="shared" si="0"/>
        <v>0.84305228656492603</v>
      </c>
      <c r="D19">
        <f t="shared" si="1"/>
        <v>-7.9818215255661129E-2</v>
      </c>
      <c r="E19">
        <f t="shared" si="2"/>
        <v>6.3709474865990554E-3</v>
      </c>
    </row>
    <row r="20" spans="1:5" x14ac:dyDescent="0.25">
      <c r="A20">
        <v>1.2888685316999999</v>
      </c>
      <c r="B20">
        <v>0.65681612733361028</v>
      </c>
      <c r="C20">
        <f t="shared" si="0"/>
        <v>0.76470497705402862</v>
      </c>
      <c r="D20">
        <f t="shared" si="1"/>
        <v>-0.10788884972041834</v>
      </c>
      <c r="E20">
        <f t="shared" si="2"/>
        <v>1.1640003893995013E-2</v>
      </c>
    </row>
    <row r="21" spans="1:5" x14ac:dyDescent="0.25">
      <c r="A21">
        <v>1.3437832463000001</v>
      </c>
      <c r="B21">
        <v>0.60189073689456274</v>
      </c>
      <c r="C21">
        <f t="shared" si="0"/>
        <v>0.68027619307943277</v>
      </c>
      <c r="D21">
        <f t="shared" si="1"/>
        <v>-7.8385456184870028E-2</v>
      </c>
      <c r="E21">
        <f t="shared" si="2"/>
        <v>6.1442797413101789E-3</v>
      </c>
    </row>
    <row r="22" spans="1:5" x14ac:dyDescent="0.25">
      <c r="A22">
        <v>1.3986979608999999</v>
      </c>
      <c r="B22">
        <v>0.53895539368315404</v>
      </c>
      <c r="C22">
        <f t="shared" si="0"/>
        <v>0.59329542123099854</v>
      </c>
      <c r="D22">
        <f t="shared" si="1"/>
        <v>-5.4340027547844505E-2</v>
      </c>
      <c r="E22">
        <f t="shared" si="2"/>
        <v>2.9528385939004997E-3</v>
      </c>
    </row>
    <row r="23" spans="1:5" x14ac:dyDescent="0.25">
      <c r="A23">
        <v>1.4536126755000001</v>
      </c>
      <c r="B23">
        <v>0.44054740247986052</v>
      </c>
      <c r="C23">
        <f t="shared" si="0"/>
        <v>0.50708374937333001</v>
      </c>
      <c r="D23">
        <f t="shared" si="1"/>
        <v>-6.6536346893469489E-2</v>
      </c>
      <c r="E23">
        <f t="shared" si="2"/>
        <v>4.4270854579281068E-3</v>
      </c>
    </row>
    <row r="24" spans="1:5" x14ac:dyDescent="0.25">
      <c r="A24">
        <v>1.5085273901000003</v>
      </c>
      <c r="B24">
        <v>0.34328369024404715</v>
      </c>
      <c r="C24">
        <f t="shared" si="0"/>
        <v>0.42454942168571863</v>
      </c>
      <c r="D24">
        <f t="shared" si="1"/>
        <v>-8.1265731441671485E-2</v>
      </c>
      <c r="E24">
        <f t="shared" si="2"/>
        <v>6.6041191067498731E-3</v>
      </c>
    </row>
    <row r="25" spans="1:5" x14ac:dyDescent="0.25">
      <c r="A25">
        <v>1.5634421047</v>
      </c>
      <c r="B25">
        <v>0.30552248431720197</v>
      </c>
      <c r="C25">
        <f t="shared" si="0"/>
        <v>0.34803553186651898</v>
      </c>
      <c r="D25">
        <f t="shared" si="1"/>
        <v>-4.2513047549317007E-2</v>
      </c>
      <c r="E25">
        <f t="shared" si="2"/>
        <v>1.8073592119304887E-3</v>
      </c>
    </row>
    <row r="26" spans="1:5" x14ac:dyDescent="0.25">
      <c r="A26">
        <v>1.6183568193000002</v>
      </c>
      <c r="B26">
        <v>0.2380100252358727</v>
      </c>
      <c r="C26">
        <f t="shared" si="0"/>
        <v>0.27923125528502901</v>
      </c>
      <c r="D26">
        <f t="shared" si="1"/>
        <v>-4.1221230049156316E-2</v>
      </c>
      <c r="E26">
        <f t="shared" si="2"/>
        <v>1.6991898067654676E-3</v>
      </c>
    </row>
    <row r="27" spans="1:5" x14ac:dyDescent="0.25">
      <c r="A27">
        <v>1.6732715338999999</v>
      </c>
      <c r="B27">
        <v>0.20825877208138863</v>
      </c>
      <c r="C27">
        <f t="shared" si="0"/>
        <v>0.21914953468842005</v>
      </c>
      <c r="D27">
        <f t="shared" si="1"/>
        <v>-1.0890762607031423E-2</v>
      </c>
      <c r="E27">
        <f t="shared" si="2"/>
        <v>1.1860871016271389E-4</v>
      </c>
    </row>
    <row r="28" spans="1:5" x14ac:dyDescent="0.25">
      <c r="A28">
        <v>1.7281862485000001</v>
      </c>
      <c r="B28">
        <v>0.17278612408950375</v>
      </c>
      <c r="C28">
        <f t="shared" si="0"/>
        <v>0.16816582386774911</v>
      </c>
      <c r="D28">
        <f t="shared" si="1"/>
        <v>4.6203002217546363E-3</v>
      </c>
      <c r="E28">
        <f t="shared" si="2"/>
        <v>2.1347174139145941E-5</v>
      </c>
    </row>
    <row r="29" spans="1:5" x14ac:dyDescent="0.25">
      <c r="A29">
        <v>1.7831009630999999</v>
      </c>
      <c r="B29">
        <v>0.14761198680494028</v>
      </c>
      <c r="C29">
        <f t="shared" si="0"/>
        <v>0.12610567231352676</v>
      </c>
      <c r="D29">
        <f t="shared" si="1"/>
        <v>2.150631449141352E-2</v>
      </c>
      <c r="E29">
        <f t="shared" si="2"/>
        <v>4.6252156300358318E-4</v>
      </c>
    </row>
    <row r="30" spans="1:5" x14ac:dyDescent="0.25">
      <c r="A30">
        <v>1.8380156777000001</v>
      </c>
      <c r="B30">
        <v>0.101840828105734</v>
      </c>
      <c r="C30">
        <f t="shared" si="0"/>
        <v>9.2364565969263582E-2</v>
      </c>
      <c r="D30">
        <f t="shared" si="1"/>
        <v>9.4762621364704175E-3</v>
      </c>
      <c r="E30">
        <f t="shared" si="2"/>
        <v>8.9799544079102882E-5</v>
      </c>
    </row>
    <row r="31" spans="1:5" x14ac:dyDescent="0.25">
      <c r="A31">
        <v>1.8929303923000003</v>
      </c>
      <c r="B31">
        <v>7.7810969788650694E-2</v>
      </c>
      <c r="C31">
        <f t="shared" si="0"/>
        <v>6.6041968571585632E-2</v>
      </c>
      <c r="D31">
        <f t="shared" si="1"/>
        <v>1.1769001217065062E-2</v>
      </c>
      <c r="E31">
        <f t="shared" si="2"/>
        <v>1.3850938964727889E-4</v>
      </c>
    </row>
    <row r="32" spans="1:5" x14ac:dyDescent="0.25">
      <c r="A32">
        <v>1.9478451069</v>
      </c>
      <c r="B32">
        <v>7.2089574951249902E-2</v>
      </c>
      <c r="C32">
        <f t="shared" si="0"/>
        <v>4.607281026601779E-2</v>
      </c>
      <c r="D32">
        <f t="shared" si="1"/>
        <v>2.6016764685232112E-2</v>
      </c>
      <c r="E32">
        <f t="shared" si="2"/>
        <v>6.7687204468674076E-4</v>
      </c>
    </row>
    <row r="33" spans="1:5" x14ac:dyDescent="0.25">
      <c r="A33">
        <v>2.0027598215000002</v>
      </c>
      <c r="B33">
        <v>4.9203995601646761E-2</v>
      </c>
      <c r="C33">
        <f t="shared" si="0"/>
        <v>3.1343134445451719E-2</v>
      </c>
      <c r="D33">
        <f t="shared" si="1"/>
        <v>1.7860861156195042E-2</v>
      </c>
      <c r="E33">
        <f t="shared" si="2"/>
        <v>3.1901036124087689E-4</v>
      </c>
    </row>
    <row r="34" spans="1:5" x14ac:dyDescent="0.25">
      <c r="A34">
        <v>2.0576745361000004</v>
      </c>
      <c r="B34">
        <v>4.6915437666686446E-2</v>
      </c>
      <c r="C34">
        <f t="shared" si="0"/>
        <v>2.0781324840520903E-2</v>
      </c>
      <c r="D34">
        <f t="shared" si="1"/>
        <v>2.6134112826165543E-2</v>
      </c>
      <c r="E34">
        <f t="shared" si="2"/>
        <v>6.829918532107504E-4</v>
      </c>
    </row>
    <row r="35" spans="1:5" x14ac:dyDescent="0.25">
      <c r="A35">
        <v>2.1125892507000001</v>
      </c>
      <c r="B35">
        <v>4.3482600764245975E-2</v>
      </c>
      <c r="C35">
        <f t="shared" si="0"/>
        <v>1.342130070330088E-2</v>
      </c>
      <c r="D35">
        <f t="shared" si="1"/>
        <v>3.0061300060945095E-2</v>
      </c>
      <c r="E35">
        <f t="shared" si="2"/>
        <v>9.0368176135417755E-4</v>
      </c>
    </row>
    <row r="36" spans="1:5" x14ac:dyDescent="0.25">
      <c r="A36">
        <v>2.1675039652999999</v>
      </c>
      <c r="B36">
        <v>1.9452742447162674E-2</v>
      </c>
      <c r="C36">
        <f t="shared" si="0"/>
        <v>8.4384321097944158E-3</v>
      </c>
      <c r="D36">
        <f t="shared" si="1"/>
        <v>1.1014310337368258E-2</v>
      </c>
      <c r="E36">
        <f t="shared" si="2"/>
        <v>1.2131503220785726E-4</v>
      </c>
    </row>
    <row r="37" spans="1:5" x14ac:dyDescent="0.25">
      <c r="A37">
        <v>2.2224186799000001</v>
      </c>
      <c r="B37">
        <v>1.6019905544722202E-2</v>
      </c>
      <c r="C37">
        <f t="shared" si="0"/>
        <v>5.1621173389812614E-3</v>
      </c>
      <c r="D37">
        <f t="shared" si="1"/>
        <v>1.0857788205740942E-2</v>
      </c>
      <c r="E37">
        <f t="shared" si="2"/>
        <v>1.178915647207271E-4</v>
      </c>
    </row>
    <row r="38" spans="1:5" x14ac:dyDescent="0.25">
      <c r="A38">
        <v>2.2773333945000003</v>
      </c>
      <c r="B38">
        <v>1.2587068642281729E-2</v>
      </c>
      <c r="C38">
        <f t="shared" si="0"/>
        <v>3.0707489525934333E-3</v>
      </c>
      <c r="D38">
        <f t="shared" si="1"/>
        <v>9.5163196896882966E-3</v>
      </c>
      <c r="E38">
        <f t="shared" si="2"/>
        <v>9.0560340436349155E-5</v>
      </c>
    </row>
    <row r="39" spans="1:5" x14ac:dyDescent="0.25">
      <c r="A39">
        <v>2.3322481091</v>
      </c>
      <c r="B39">
        <v>8.0099527723611012E-3</v>
      </c>
      <c r="C39">
        <f t="shared" si="0"/>
        <v>1.7752553786050272E-3</v>
      </c>
      <c r="D39">
        <f t="shared" si="1"/>
        <v>6.2346973937560737E-3</v>
      </c>
      <c r="E39">
        <f t="shared" si="2"/>
        <v>3.8871451591708778E-5</v>
      </c>
    </row>
    <row r="40" spans="1:5" x14ac:dyDescent="0.25">
      <c r="A40">
        <v>2.3871628236999998</v>
      </c>
      <c r="B40">
        <v>2.2885579349603146E-3</v>
      </c>
      <c r="C40">
        <f t="shared" si="0"/>
        <v>9.9684068978010448E-4</v>
      </c>
      <c r="D40">
        <f t="shared" si="1"/>
        <v>1.2917172451802101E-3</v>
      </c>
      <c r="E40">
        <f t="shared" si="2"/>
        <v>1.668533441495951E-6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D6FC-0FB3-462F-84F1-176F08CF16C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0.30051998745000008</v>
      </c>
      <c r="B1">
        <v>1.7056569999166979E-2</v>
      </c>
      <c r="C1">
        <f>$H$3*(1+$H$1)*(A1^($H$1))*EXP(-$H$3*(A1^(1+$H$1)))</f>
        <v>0.1305478718276758</v>
      </c>
      <c r="D1">
        <f>B1-C1</f>
        <v>-0.11349130182850882</v>
      </c>
      <c r="E1">
        <f>D1^2</f>
        <v>1.2880275590729689E-2</v>
      </c>
      <c r="G1" t="s">
        <v>0</v>
      </c>
      <c r="H1">
        <v>2.3983273581272249</v>
      </c>
    </row>
    <row r="2" spans="1:8" x14ac:dyDescent="0.25">
      <c r="A2">
        <v>0.34841000635000008</v>
      </c>
      <c r="B2">
        <v>6.8226279996667916E-2</v>
      </c>
      <c r="C2">
        <f t="shared" ref="C2:C40" si="0">$H$3*(1+$H$1)*(A2^($H$1))*EXP(-$H$3*(A2^(1+$H$1)))</f>
        <v>0.18470224076658961</v>
      </c>
      <c r="D2">
        <f t="shared" ref="D2:D40" si="1">B2-C2</f>
        <v>-0.1164759607699217</v>
      </c>
      <c r="E2">
        <f t="shared" ref="E2:E40" si="2">D2^2</f>
        <v>1.3566649437276338E-2</v>
      </c>
    </row>
    <row r="3" spans="1:8" x14ac:dyDescent="0.25">
      <c r="A3">
        <v>0.39630002525000002</v>
      </c>
      <c r="B3">
        <v>0.12464416537852793</v>
      </c>
      <c r="C3">
        <f t="shared" si="0"/>
        <v>0.24889439916864858</v>
      </c>
      <c r="D3">
        <f t="shared" si="1"/>
        <v>-0.12425023379012065</v>
      </c>
      <c r="E3">
        <f t="shared" si="2"/>
        <v>1.543812059689964E-2</v>
      </c>
      <c r="G3" t="s">
        <v>1</v>
      </c>
      <c r="H3">
        <f>(_xlfn.GAMMA((2+$H$1)/(1+$H$1)))^(1+$H$1)</f>
        <v>0.69471685383805548</v>
      </c>
    </row>
    <row r="4" spans="1:8" x14ac:dyDescent="0.25">
      <c r="A4">
        <v>0.44419004415000007</v>
      </c>
      <c r="B4">
        <v>0.27159307614058192</v>
      </c>
      <c r="C4">
        <f t="shared" si="0"/>
        <v>0.32261820158413823</v>
      </c>
      <c r="D4">
        <f t="shared" si="1"/>
        <v>-5.1025125443556307E-2</v>
      </c>
      <c r="E4">
        <f t="shared" si="2"/>
        <v>2.6035634265306573E-3</v>
      </c>
    </row>
    <row r="5" spans="1:8" x14ac:dyDescent="0.25">
      <c r="A5">
        <v>0.49208006305000007</v>
      </c>
      <c r="B5">
        <v>0.38705293459648143</v>
      </c>
      <c r="C5">
        <f t="shared" si="0"/>
        <v>0.4049209894437662</v>
      </c>
      <c r="D5">
        <f t="shared" si="1"/>
        <v>-1.7868054847284764E-2</v>
      </c>
      <c r="E5">
        <f t="shared" si="2"/>
        <v>3.1926738402557656E-4</v>
      </c>
      <c r="G5" t="s">
        <v>2</v>
      </c>
      <c r="H5">
        <f>SUM(E1:E40)</f>
        <v>0.38176257575303174</v>
      </c>
    </row>
    <row r="6" spans="1:8" x14ac:dyDescent="0.25">
      <c r="A6">
        <v>0.53997008194999996</v>
      </c>
      <c r="B6">
        <v>0.52219345074372747</v>
      </c>
      <c r="C6">
        <f t="shared" si="0"/>
        <v>0.49436323832368806</v>
      </c>
      <c r="D6">
        <f t="shared" si="1"/>
        <v>2.7830212420039413E-2</v>
      </c>
      <c r="E6">
        <f t="shared" si="2"/>
        <v>7.7452072334451602E-4</v>
      </c>
    </row>
    <row r="7" spans="1:8" x14ac:dyDescent="0.25">
      <c r="A7">
        <v>0.58786010084999996</v>
      </c>
      <c r="B7">
        <v>0.69144710688930755</v>
      </c>
      <c r="C7">
        <f t="shared" si="0"/>
        <v>0.58899735055956559</v>
      </c>
      <c r="D7">
        <f t="shared" si="1"/>
        <v>0.10244975632974196</v>
      </c>
      <c r="E7">
        <f t="shared" si="2"/>
        <v>1.0495952572023503E-2</v>
      </c>
    </row>
    <row r="8" spans="1:8" x14ac:dyDescent="0.25">
      <c r="A8">
        <v>0.63575011974999995</v>
      </c>
      <c r="B8">
        <v>0.83708397380527177</v>
      </c>
      <c r="C8">
        <f t="shared" si="0"/>
        <v>0.68637447448938105</v>
      </c>
      <c r="D8">
        <f t="shared" si="1"/>
        <v>0.15070949931589073</v>
      </c>
      <c r="E8">
        <f t="shared" si="2"/>
        <v>2.2713353184046468E-2</v>
      </c>
    </row>
    <row r="9" spans="1:8" x14ac:dyDescent="0.25">
      <c r="A9">
        <v>0.68364013865000006</v>
      </c>
      <c r="B9">
        <v>0.98796901610559507</v>
      </c>
      <c r="C9">
        <f t="shared" si="0"/>
        <v>0.78358738489103119</v>
      </c>
      <c r="D9">
        <f t="shared" si="1"/>
        <v>0.20438163121456387</v>
      </c>
      <c r="E9">
        <f t="shared" si="2"/>
        <v>4.1771851177925992E-2</v>
      </c>
    </row>
    <row r="10" spans="1:8" x14ac:dyDescent="0.25">
      <c r="A10">
        <v>0.73153015755000006</v>
      </c>
      <c r="B10">
        <v>1.0653796030248914</v>
      </c>
      <c r="C10">
        <f t="shared" si="0"/>
        <v>0.8773555446480702</v>
      </c>
      <c r="D10">
        <f t="shared" si="1"/>
        <v>0.18802405837682123</v>
      </c>
      <c r="E10">
        <f t="shared" si="2"/>
        <v>3.5353046528490278E-2</v>
      </c>
    </row>
    <row r="11" spans="1:8" x14ac:dyDescent="0.25">
      <c r="A11">
        <v>0.77942017645000017</v>
      </c>
      <c r="B11">
        <v>1.1099890937919434</v>
      </c>
      <c r="C11">
        <f t="shared" si="0"/>
        <v>0.964155284132587</v>
      </c>
      <c r="D11">
        <f t="shared" si="1"/>
        <v>0.14583380965935644</v>
      </c>
      <c r="E11">
        <f t="shared" si="2"/>
        <v>2.1267500039761404E-2</v>
      </c>
    </row>
    <row r="12" spans="1:8" x14ac:dyDescent="0.25">
      <c r="A12">
        <v>0.82731019535000005</v>
      </c>
      <c r="B12">
        <v>1.2779307060914338</v>
      </c>
      <c r="C12">
        <f t="shared" si="0"/>
        <v>1.0403935709109964</v>
      </c>
      <c r="D12">
        <f t="shared" si="1"/>
        <v>0.2375371351804374</v>
      </c>
      <c r="E12">
        <f t="shared" si="2"/>
        <v>5.6423890589729388E-2</v>
      </c>
    </row>
    <row r="13" spans="1:8" x14ac:dyDescent="0.25">
      <c r="A13">
        <v>0.87520021425000005</v>
      </c>
      <c r="B13">
        <v>1.1926478560955989</v>
      </c>
      <c r="C13">
        <f t="shared" si="0"/>
        <v>1.1026183319866669</v>
      </c>
      <c r="D13">
        <f t="shared" si="1"/>
        <v>9.0029524108931946E-2</v>
      </c>
      <c r="E13">
        <f t="shared" si="2"/>
        <v>8.1053152112807586E-3</v>
      </c>
    </row>
    <row r="14" spans="1:8" x14ac:dyDescent="0.25">
      <c r="A14">
        <v>0.92309023315000005</v>
      </c>
      <c r="B14">
        <v>1.3330365476272039</v>
      </c>
      <c r="C14">
        <f t="shared" si="0"/>
        <v>1.1477522503444415</v>
      </c>
      <c r="D14">
        <f t="shared" si="1"/>
        <v>0.18528429728276241</v>
      </c>
      <c r="E14">
        <f t="shared" si="2"/>
        <v>3.4330270819567077E-2</v>
      </c>
    </row>
    <row r="15" spans="1:8" x14ac:dyDescent="0.25">
      <c r="A15">
        <v>0.97098025204999994</v>
      </c>
      <c r="B15">
        <v>1.1900237684034192</v>
      </c>
      <c r="C15">
        <f t="shared" si="0"/>
        <v>1.1733311808483387</v>
      </c>
      <c r="D15">
        <f t="shared" si="1"/>
        <v>1.6692587555080518E-2</v>
      </c>
      <c r="E15">
        <f t="shared" si="2"/>
        <v>2.7864247928402898E-4</v>
      </c>
    </row>
    <row r="16" spans="1:8" x14ac:dyDescent="0.25">
      <c r="A16">
        <v>1.0188702709500002</v>
      </c>
      <c r="B16">
        <v>1.1755912860964317</v>
      </c>
      <c r="C16">
        <f t="shared" si="0"/>
        <v>1.1777238204026272</v>
      </c>
      <c r="D16">
        <f t="shared" si="1"/>
        <v>-2.1325343061955326E-3</v>
      </c>
      <c r="E16">
        <f t="shared" si="2"/>
        <v>4.5477025671008615E-6</v>
      </c>
    </row>
    <row r="17" spans="1:5" x14ac:dyDescent="0.25">
      <c r="A17">
        <v>1.0667602898499999</v>
      </c>
      <c r="B17">
        <v>1.1113011376380333</v>
      </c>
      <c r="C17">
        <f t="shared" si="0"/>
        <v>1.1603070944086304</v>
      </c>
      <c r="D17">
        <f t="shared" si="1"/>
        <v>-4.9005956770597159E-2</v>
      </c>
      <c r="E17">
        <f t="shared" si="2"/>
        <v>2.4015837990016375E-3</v>
      </c>
    </row>
    <row r="18" spans="1:5" x14ac:dyDescent="0.25">
      <c r="A18">
        <v>1.1146503087499999</v>
      </c>
      <c r="B18">
        <v>0.99715332302822346</v>
      </c>
      <c r="C18">
        <f t="shared" si="0"/>
        <v>1.121572817799164</v>
      </c>
      <c r="D18">
        <f t="shared" si="1"/>
        <v>-0.1244194947709405</v>
      </c>
      <c r="E18">
        <f t="shared" si="2"/>
        <v>1.548021067905609E-2</v>
      </c>
    </row>
    <row r="19" spans="1:5" x14ac:dyDescent="0.25">
      <c r="A19">
        <v>1.1625403276500001</v>
      </c>
      <c r="B19">
        <v>1.0247062437961085</v>
      </c>
      <c r="C19">
        <f t="shared" si="0"/>
        <v>1.0631461048921951</v>
      </c>
      <c r="D19">
        <f t="shared" si="1"/>
        <v>-3.8439861096086547E-2</v>
      </c>
      <c r="E19">
        <f t="shared" si="2"/>
        <v>1.4776229210864281E-3</v>
      </c>
    </row>
    <row r="20" spans="1:5" x14ac:dyDescent="0.25">
      <c r="A20">
        <v>1.2104303465500001</v>
      </c>
      <c r="B20">
        <v>0.83577192995918204</v>
      </c>
      <c r="C20">
        <f t="shared" si="0"/>
        <v>0.98770468092655161</v>
      </c>
      <c r="D20">
        <f t="shared" si="1"/>
        <v>-0.15193275096736958</v>
      </c>
      <c r="E20">
        <f t="shared" si="2"/>
        <v>2.3083560816512742E-2</v>
      </c>
    </row>
    <row r="21" spans="1:5" x14ac:dyDescent="0.25">
      <c r="A21">
        <v>1.2583203654500001</v>
      </c>
      <c r="B21">
        <v>0.78066608842341179</v>
      </c>
      <c r="C21">
        <f t="shared" si="0"/>
        <v>0.8987998807402745</v>
      </c>
      <c r="D21">
        <f t="shared" si="1"/>
        <v>-0.11813379231686272</v>
      </c>
      <c r="E21">
        <f t="shared" si="2"/>
        <v>1.3955592887163653E-2</v>
      </c>
    </row>
    <row r="22" spans="1:5" x14ac:dyDescent="0.25">
      <c r="A22">
        <v>1.3062103843500001</v>
      </c>
      <c r="B22">
        <v>0.66258214227533263</v>
      </c>
      <c r="C22">
        <f t="shared" si="0"/>
        <v>0.80059314914694013</v>
      </c>
      <c r="D22">
        <f t="shared" si="1"/>
        <v>-0.1380110068716075</v>
      </c>
      <c r="E22">
        <f t="shared" si="2"/>
        <v>1.9047038017714894E-2</v>
      </c>
    </row>
    <row r="23" spans="1:5" x14ac:dyDescent="0.25">
      <c r="A23">
        <v>1.3541004032499999</v>
      </c>
      <c r="B23">
        <v>0.6140365199700113</v>
      </c>
      <c r="C23">
        <f t="shared" si="0"/>
        <v>0.69753416753800057</v>
      </c>
      <c r="D23">
        <f t="shared" si="1"/>
        <v>-8.3497647567989275E-2</v>
      </c>
      <c r="E23">
        <f t="shared" si="2"/>
        <v>6.9718571493881457E-3</v>
      </c>
    </row>
    <row r="24" spans="1:5" x14ac:dyDescent="0.25">
      <c r="A24">
        <v>1.4019904221499999</v>
      </c>
      <c r="B24">
        <v>0.5261295822819968</v>
      </c>
      <c r="C24">
        <f t="shared" si="0"/>
        <v>0.59401602282409727</v>
      </c>
      <c r="D24">
        <f t="shared" si="1"/>
        <v>-6.7886440542100468E-2</v>
      </c>
      <c r="E24">
        <f t="shared" si="2"/>
        <v>4.6085688094761419E-3</v>
      </c>
    </row>
    <row r="25" spans="1:5" x14ac:dyDescent="0.25">
      <c r="A25">
        <v>1.4498804410499999</v>
      </c>
      <c r="B25">
        <v>0.40410950459564843</v>
      </c>
      <c r="C25">
        <f t="shared" si="0"/>
        <v>0.49404712200079787</v>
      </c>
      <c r="D25">
        <f t="shared" si="1"/>
        <v>-8.9937617405149439E-2</v>
      </c>
      <c r="E25">
        <f t="shared" si="2"/>
        <v>8.0887750245150387E-3</v>
      </c>
    </row>
    <row r="26" spans="1:5" x14ac:dyDescent="0.25">
      <c r="A26">
        <v>1.4977704599499999</v>
      </c>
      <c r="B26">
        <v>0.3529397945981475</v>
      </c>
      <c r="C26">
        <f t="shared" si="0"/>
        <v>0.40097767040556792</v>
      </c>
      <c r="D26">
        <f t="shared" si="1"/>
        <v>-4.8037875807420416E-2</v>
      </c>
      <c r="E26">
        <f t="shared" si="2"/>
        <v>2.3076375120891475E-3</v>
      </c>
    </row>
    <row r="27" spans="1:5" x14ac:dyDescent="0.25">
      <c r="A27">
        <v>1.5456604788500001</v>
      </c>
      <c r="B27">
        <v>0.27421716383276146</v>
      </c>
      <c r="C27">
        <f t="shared" si="0"/>
        <v>0.31731049457182559</v>
      </c>
      <c r="D27">
        <f t="shared" si="1"/>
        <v>-4.3093330739064128E-2</v>
      </c>
      <c r="E27">
        <f t="shared" si="2"/>
        <v>1.8570351541863693E-3</v>
      </c>
    </row>
    <row r="28" spans="1:5" x14ac:dyDescent="0.25">
      <c r="A28">
        <v>1.5935504977499999</v>
      </c>
      <c r="B28">
        <v>0.22829562921961957</v>
      </c>
      <c r="C28">
        <f t="shared" si="0"/>
        <v>0.24461311827227533</v>
      </c>
      <c r="D28">
        <f t="shared" si="1"/>
        <v>-1.6317489052655759E-2</v>
      </c>
      <c r="E28">
        <f t="shared" si="2"/>
        <v>2.6626044898354055E-4</v>
      </c>
    </row>
    <row r="29" spans="1:5" x14ac:dyDescent="0.25">
      <c r="A29">
        <v>1.6414405166499999</v>
      </c>
      <c r="B29">
        <v>0.18893431383692655</v>
      </c>
      <c r="C29">
        <f t="shared" si="0"/>
        <v>0.18353268457958621</v>
      </c>
      <c r="D29">
        <f t="shared" si="1"/>
        <v>5.4016292573403346E-3</v>
      </c>
      <c r="E29">
        <f t="shared" si="2"/>
        <v>2.9177598633755094E-5</v>
      </c>
    </row>
    <row r="30" spans="1:5" x14ac:dyDescent="0.25">
      <c r="A30">
        <v>1.6893305355500001</v>
      </c>
      <c r="B30">
        <v>0.15875730537686189</v>
      </c>
      <c r="C30">
        <f t="shared" si="0"/>
        <v>0.13390050159875047</v>
      </c>
      <c r="D30">
        <f t="shared" si="1"/>
        <v>2.4856803778111419E-2</v>
      </c>
      <c r="E30">
        <f t="shared" si="2"/>
        <v>6.178606940635341E-4</v>
      </c>
    </row>
    <row r="31" spans="1:5" x14ac:dyDescent="0.25">
      <c r="A31">
        <v>1.7372205544500001</v>
      </c>
      <c r="B31">
        <v>0.12070803384025862</v>
      </c>
      <c r="C31">
        <f t="shared" si="0"/>
        <v>9.4901475257399934E-2</v>
      </c>
      <c r="D31">
        <f t="shared" si="1"/>
        <v>2.5806558582858685E-2</v>
      </c>
      <c r="E31">
        <f t="shared" si="2"/>
        <v>6.6597846589051726E-4</v>
      </c>
    </row>
    <row r="32" spans="1:5" x14ac:dyDescent="0.25">
      <c r="A32">
        <v>1.7851105733500003</v>
      </c>
      <c r="B32">
        <v>8.0034674611475828E-2</v>
      </c>
      <c r="C32">
        <f t="shared" si="0"/>
        <v>6.5277460880294888E-2</v>
      </c>
      <c r="D32">
        <f t="shared" si="1"/>
        <v>1.475721373118094E-2</v>
      </c>
      <c r="E32">
        <f t="shared" si="2"/>
        <v>2.1777535710775528E-4</v>
      </c>
    </row>
    <row r="33" spans="1:5" x14ac:dyDescent="0.25">
      <c r="A33">
        <v>1.8330005922500003</v>
      </c>
      <c r="B33">
        <v>8.1346718457565595E-2</v>
      </c>
      <c r="C33">
        <f t="shared" si="0"/>
        <v>4.3533325370263436E-2</v>
      </c>
      <c r="D33">
        <f t="shared" si="1"/>
        <v>3.7813393087302159E-2</v>
      </c>
      <c r="E33">
        <f t="shared" si="2"/>
        <v>1.4298526967748307E-3</v>
      </c>
    </row>
    <row r="34" spans="1:5" x14ac:dyDescent="0.25">
      <c r="A34">
        <v>1.8808906111500001</v>
      </c>
      <c r="B34">
        <v>5.1169709997500937E-2</v>
      </c>
      <c r="C34">
        <f t="shared" si="0"/>
        <v>2.8119602268290786E-2</v>
      </c>
      <c r="D34">
        <f t="shared" si="1"/>
        <v>2.3050107729210151E-2</v>
      </c>
      <c r="E34">
        <f t="shared" si="2"/>
        <v>5.3130746632819358E-4</v>
      </c>
    </row>
    <row r="35" spans="1:5" x14ac:dyDescent="0.25">
      <c r="A35">
        <v>1.9287806300500001</v>
      </c>
      <c r="B35">
        <v>5.3793797689680477E-2</v>
      </c>
      <c r="C35">
        <f t="shared" si="0"/>
        <v>1.7574289022133045E-2</v>
      </c>
      <c r="D35">
        <f t="shared" si="1"/>
        <v>3.6219508667547431E-2</v>
      </c>
      <c r="E35">
        <f t="shared" si="2"/>
        <v>1.3118528081185435E-3</v>
      </c>
    </row>
    <row r="36" spans="1:5" x14ac:dyDescent="0.25">
      <c r="A36">
        <v>1.9766706489500001</v>
      </c>
      <c r="B36">
        <v>3.6737227690513491E-2</v>
      </c>
      <c r="C36">
        <f t="shared" si="0"/>
        <v>1.0616285150756284E-2</v>
      </c>
      <c r="D36">
        <f t="shared" si="1"/>
        <v>2.6120942539757205E-2</v>
      </c>
      <c r="E36">
        <f t="shared" si="2"/>
        <v>6.8230363916529761E-4</v>
      </c>
    </row>
    <row r="37" spans="1:5" x14ac:dyDescent="0.25">
      <c r="A37">
        <v>2.0245606678500003</v>
      </c>
      <c r="B37">
        <v>1.4432482306987444E-2</v>
      </c>
      <c r="C37">
        <f t="shared" si="0"/>
        <v>6.1920054870491159E-3</v>
      </c>
      <c r="D37">
        <f t="shared" si="1"/>
        <v>8.2404768199383291E-3</v>
      </c>
      <c r="E37">
        <f t="shared" si="2"/>
        <v>6.7905458219940921E-5</v>
      </c>
    </row>
    <row r="38" spans="1:5" x14ac:dyDescent="0.25">
      <c r="A38">
        <v>2.0724506867499999</v>
      </c>
      <c r="B38">
        <v>2.0992701537436282E-2</v>
      </c>
      <c r="C38">
        <f t="shared" si="0"/>
        <v>3.4832514352373446E-3</v>
      </c>
      <c r="D38">
        <f t="shared" si="1"/>
        <v>1.7509450102198936E-2</v>
      </c>
      <c r="E38">
        <f t="shared" si="2"/>
        <v>3.0658084288139433E-4</v>
      </c>
    </row>
    <row r="39" spans="1:5" x14ac:dyDescent="0.25">
      <c r="A39">
        <v>2.1203407056500003</v>
      </c>
      <c r="B39">
        <v>5.2481753843590705E-3</v>
      </c>
      <c r="C39">
        <f t="shared" si="0"/>
        <v>1.887805147873105E-3</v>
      </c>
      <c r="D39">
        <f t="shared" si="1"/>
        <v>3.3603702364859655E-3</v>
      </c>
      <c r="E39">
        <f t="shared" si="2"/>
        <v>1.1292088126260744E-5</v>
      </c>
    </row>
    <row r="40" spans="1:5" x14ac:dyDescent="0.25">
      <c r="A40">
        <v>2.1682307245499999</v>
      </c>
      <c r="B40">
        <v>5.2481753843590705E-3</v>
      </c>
      <c r="C40">
        <f t="shared" si="0"/>
        <v>9.8461407184127769E-4</v>
      </c>
      <c r="D40">
        <f t="shared" si="1"/>
        <v>4.2635613125177928E-3</v>
      </c>
      <c r="E40">
        <f t="shared" si="2"/>
        <v>1.8177955065598444E-5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6053-3F7B-4B22-B979-15AE36C6708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0.37278889650000002</v>
      </c>
      <c r="B1">
        <v>1.1093307555052617E-2</v>
      </c>
      <c r="C1">
        <f>$H$3*(1+$H$1)*(A1^($H$1))*EXP(-$H$3*(A1^(1+$H$1)))</f>
        <v>0.12314400219950103</v>
      </c>
      <c r="D1">
        <f>B1-C1</f>
        <v>-0.11205069464444842</v>
      </c>
      <c r="E1">
        <f>D1^2</f>
        <v>1.2555358170303422E-2</v>
      </c>
      <c r="G1" t="s">
        <v>0</v>
      </c>
      <c r="H1">
        <v>3.1487047722038635</v>
      </c>
    </row>
    <row r="2" spans="1:8" x14ac:dyDescent="0.25">
      <c r="A2">
        <v>0.41243772349999996</v>
      </c>
      <c r="B2">
        <v>4.2788471998060094E-2</v>
      </c>
      <c r="C2">
        <f t="shared" ref="C2:C40" si="0">$H$3*(1+$H$1)*(A2^($H$1))*EXP(-$H$3*(A2^(1+$H$1)))</f>
        <v>0.16830437603997589</v>
      </c>
      <c r="D2">
        <f t="shared" ref="D2:D40" si="1">B2-C2</f>
        <v>-0.12551590404191579</v>
      </c>
      <c r="E2">
        <f t="shared" ref="E2:E40" si="2">D2^2</f>
        <v>1.5754242167459413E-2</v>
      </c>
    </row>
    <row r="3" spans="1:8" x14ac:dyDescent="0.25">
      <c r="A3">
        <v>0.45208655050000002</v>
      </c>
      <c r="B3">
        <v>8.2407427551819443E-2</v>
      </c>
      <c r="C3">
        <f t="shared" si="0"/>
        <v>0.22293966258027006</v>
      </c>
      <c r="D3">
        <f t="shared" si="1"/>
        <v>-0.14053223502845064</v>
      </c>
      <c r="E3">
        <f t="shared" si="2"/>
        <v>1.9749309082091687E-2</v>
      </c>
      <c r="G3" t="s">
        <v>1</v>
      </c>
      <c r="H3">
        <f>(_xlfn.GAMMA((2+$H$1)/(1+$H$1)))^(1+$H$1)</f>
        <v>0.67096058675875736</v>
      </c>
    </row>
    <row r="4" spans="1:8" x14ac:dyDescent="0.25">
      <c r="A4">
        <v>0.49173537750000001</v>
      </c>
      <c r="B4">
        <v>0.15689106399288702</v>
      </c>
      <c r="C4">
        <f t="shared" si="0"/>
        <v>0.28749616342917356</v>
      </c>
      <c r="D4">
        <f t="shared" si="1"/>
        <v>-0.13060509943628654</v>
      </c>
      <c r="E4">
        <f t="shared" si="2"/>
        <v>1.7057691998762295E-2</v>
      </c>
    </row>
    <row r="5" spans="1:8" x14ac:dyDescent="0.25">
      <c r="A5">
        <v>0.53138420450000001</v>
      </c>
      <c r="B5">
        <v>0.28367172176491695</v>
      </c>
      <c r="C5">
        <f t="shared" si="0"/>
        <v>0.3621210394557442</v>
      </c>
      <c r="D5">
        <f t="shared" si="1"/>
        <v>-7.8449317690827247E-2</v>
      </c>
      <c r="E5">
        <f t="shared" si="2"/>
        <v>6.1542954461563408E-3</v>
      </c>
      <c r="G5" t="s">
        <v>2</v>
      </c>
      <c r="H5">
        <f>SUM(E1:E40)</f>
        <v>0.6800218139906633</v>
      </c>
    </row>
    <row r="6" spans="1:8" x14ac:dyDescent="0.25">
      <c r="A6">
        <v>0.57103303149999995</v>
      </c>
      <c r="B6">
        <v>0.45957988442360842</v>
      </c>
      <c r="C6">
        <f t="shared" si="0"/>
        <v>0.44658210129820297</v>
      </c>
      <c r="D6">
        <f t="shared" si="1"/>
        <v>1.2997783125405449E-2</v>
      </c>
      <c r="E6">
        <f t="shared" si="2"/>
        <v>1.6894236617507463E-4</v>
      </c>
    </row>
    <row r="7" spans="1:8" x14ac:dyDescent="0.25">
      <c r="A7">
        <v>0.61068185850000001</v>
      </c>
      <c r="B7">
        <v>0.6085471573057436</v>
      </c>
      <c r="C7">
        <f t="shared" si="0"/>
        <v>0.54018601371439545</v>
      </c>
      <c r="D7">
        <f t="shared" si="1"/>
        <v>6.836114359134815E-2</v>
      </c>
      <c r="E7">
        <f t="shared" si="2"/>
        <v>4.6732459531169199E-3</v>
      </c>
    </row>
    <row r="8" spans="1:8" x14ac:dyDescent="0.25">
      <c r="A8">
        <v>0.65033068549999995</v>
      </c>
      <c r="B8">
        <v>0.71155644174551791</v>
      </c>
      <c r="C8">
        <f t="shared" si="0"/>
        <v>0.64170182644534512</v>
      </c>
      <c r="D8">
        <f t="shared" si="1"/>
        <v>6.9854615300172784E-2</v>
      </c>
      <c r="E8">
        <f t="shared" si="2"/>
        <v>4.8796672787351338E-3</v>
      </c>
    </row>
    <row r="9" spans="1:8" x14ac:dyDescent="0.25">
      <c r="A9">
        <v>0.6899795125</v>
      </c>
      <c r="B9">
        <v>0.92391404351366802</v>
      </c>
      <c r="C9">
        <f t="shared" si="0"/>
        <v>0.74929897961464254</v>
      </c>
      <c r="D9">
        <f t="shared" si="1"/>
        <v>0.17461506389902548</v>
      </c>
      <c r="E9">
        <f t="shared" si="2"/>
        <v>3.049042054046075E-2</v>
      </c>
    </row>
    <row r="10" spans="1:8" x14ac:dyDescent="0.25">
      <c r="A10">
        <v>0.72962833949999994</v>
      </c>
      <c r="B10">
        <v>1.1029917226166601</v>
      </c>
      <c r="C10">
        <f t="shared" si="0"/>
        <v>0.86051091691883108</v>
      </c>
      <c r="D10">
        <f t="shared" si="1"/>
        <v>0.24248080569782904</v>
      </c>
      <c r="E10">
        <f t="shared" si="2"/>
        <v>5.879694113186832E-2</v>
      </c>
    </row>
    <row r="11" spans="1:8" x14ac:dyDescent="0.25">
      <c r="A11">
        <v>0.7692771665</v>
      </c>
      <c r="B11">
        <v>1.2297723803886902</v>
      </c>
      <c r="C11">
        <f t="shared" si="0"/>
        <v>0.97223673894512919</v>
      </c>
      <c r="D11">
        <f t="shared" si="1"/>
        <v>0.257535641443561</v>
      </c>
      <c r="E11">
        <f t="shared" si="2"/>
        <v>6.6324606613746409E-2</v>
      </c>
    </row>
    <row r="12" spans="1:8" x14ac:dyDescent="0.25">
      <c r="A12">
        <v>0.80892599350000005</v>
      </c>
      <c r="B12">
        <v>1.3597225546050209</v>
      </c>
      <c r="C12">
        <f t="shared" si="0"/>
        <v>1.0807934041668108</v>
      </c>
      <c r="D12">
        <f t="shared" si="1"/>
        <v>0.27892915043821009</v>
      </c>
      <c r="E12">
        <f t="shared" si="2"/>
        <v>7.7801470964181635E-2</v>
      </c>
    </row>
    <row r="13" spans="1:8" x14ac:dyDescent="0.25">
      <c r="A13">
        <v>0.8485748205000001</v>
      </c>
      <c r="B13">
        <v>1.4769946630441484</v>
      </c>
      <c r="C13">
        <f t="shared" si="0"/>
        <v>1.1820292583406531</v>
      </c>
      <c r="D13">
        <f t="shared" si="1"/>
        <v>0.2949654047034953</v>
      </c>
      <c r="E13">
        <f t="shared" si="2"/>
        <v>8.7004589971896765E-2</v>
      </c>
    </row>
    <row r="14" spans="1:8" x14ac:dyDescent="0.25">
      <c r="A14">
        <v>0.88822364750000005</v>
      </c>
      <c r="B14">
        <v>1.4452994986011409</v>
      </c>
      <c r="C14">
        <f t="shared" si="0"/>
        <v>1.2715056337409762</v>
      </c>
      <c r="D14">
        <f t="shared" si="1"/>
        <v>0.17379386486016468</v>
      </c>
      <c r="E14">
        <f t="shared" si="2"/>
        <v>3.0204307463033184E-2</v>
      </c>
    </row>
    <row r="15" spans="1:8" x14ac:dyDescent="0.25">
      <c r="A15">
        <v>0.92787247449999999</v>
      </c>
      <c r="B15">
        <v>1.5007660363764042</v>
      </c>
      <c r="C15">
        <f t="shared" si="0"/>
        <v>1.3447466195851818</v>
      </c>
      <c r="D15">
        <f t="shared" si="1"/>
        <v>0.15601941679122233</v>
      </c>
      <c r="E15">
        <f t="shared" si="2"/>
        <v>2.4342058415873148E-2</v>
      </c>
    </row>
    <row r="16" spans="1:8" x14ac:dyDescent="0.25">
      <c r="A16">
        <v>0.96752130149999993</v>
      </c>
      <c r="B16">
        <v>1.5102745857093063</v>
      </c>
      <c r="C16">
        <f t="shared" si="0"/>
        <v>1.3975479820571906</v>
      </c>
      <c r="D16">
        <f t="shared" si="1"/>
        <v>0.11272660365211573</v>
      </c>
      <c r="E16">
        <f t="shared" si="2"/>
        <v>1.2707287170941191E-2</v>
      </c>
    </row>
    <row r="17" spans="1:5" x14ac:dyDescent="0.25">
      <c r="A17">
        <v>1.0071701284999999</v>
      </c>
      <c r="B17">
        <v>1.4690708719333967</v>
      </c>
      <c r="C17">
        <f t="shared" si="0"/>
        <v>1.4263253076478692</v>
      </c>
      <c r="D17">
        <f t="shared" si="1"/>
        <v>4.2745564285527449E-2</v>
      </c>
      <c r="E17">
        <f t="shared" si="2"/>
        <v>1.8271832660881598E-3</v>
      </c>
    </row>
    <row r="18" spans="1:5" x14ac:dyDescent="0.25">
      <c r="A18">
        <v>1.0468189555</v>
      </c>
      <c r="B18">
        <v>1.3660615874936224</v>
      </c>
      <c r="C18">
        <f t="shared" si="0"/>
        <v>1.4284701529151731</v>
      </c>
      <c r="D18">
        <f t="shared" si="1"/>
        <v>-6.240856542155071E-2</v>
      </c>
      <c r="E18">
        <f t="shared" si="2"/>
        <v>3.8948290379759751E-3</v>
      </c>
    </row>
    <row r="19" spans="1:5" x14ac:dyDescent="0.25">
      <c r="A19">
        <v>1.0864677824999998</v>
      </c>
      <c r="B19">
        <v>1.2646370612759983</v>
      </c>
      <c r="C19">
        <f t="shared" si="0"/>
        <v>1.4026733716205435</v>
      </c>
      <c r="D19">
        <f t="shared" si="1"/>
        <v>-0.13803631034454522</v>
      </c>
      <c r="E19">
        <f t="shared" si="2"/>
        <v>1.9054022973535603E-2</v>
      </c>
    </row>
    <row r="20" spans="1:5" x14ac:dyDescent="0.25">
      <c r="A20">
        <v>1.1261166094999999</v>
      </c>
      <c r="B20">
        <v>1.2614675448316977</v>
      </c>
      <c r="C20">
        <f t="shared" si="0"/>
        <v>1.3491693586674347</v>
      </c>
      <c r="D20">
        <f t="shared" si="1"/>
        <v>-8.7701813835737052E-2</v>
      </c>
      <c r="E20">
        <f t="shared" si="2"/>
        <v>7.6916081500782787E-3</v>
      </c>
    </row>
    <row r="21" spans="1:5" x14ac:dyDescent="0.25">
      <c r="A21">
        <v>1.1657654365000001</v>
      </c>
      <c r="B21">
        <v>1.0823898657287054</v>
      </c>
      <c r="C21">
        <f t="shared" si="0"/>
        <v>1.2698561706361866</v>
      </c>
      <c r="D21">
        <f t="shared" si="1"/>
        <v>-0.18746630490748117</v>
      </c>
      <c r="E21">
        <f t="shared" si="2"/>
        <v>3.5143615475664698E-2</v>
      </c>
    </row>
    <row r="22" spans="1:5" x14ac:dyDescent="0.25">
      <c r="A22">
        <v>1.2054142635</v>
      </c>
      <c r="B22">
        <v>0.96670251551172803</v>
      </c>
      <c r="C22">
        <f t="shared" si="0"/>
        <v>1.1682561240334919</v>
      </c>
      <c r="D22">
        <f t="shared" si="1"/>
        <v>-0.20155360852176385</v>
      </c>
      <c r="E22">
        <f t="shared" si="2"/>
        <v>4.0623857108144437E-2</v>
      </c>
    </row>
    <row r="23" spans="1:5" x14ac:dyDescent="0.25">
      <c r="A23">
        <v>1.2450630905</v>
      </c>
      <c r="B23">
        <v>0.85576943996120192</v>
      </c>
      <c r="C23">
        <f t="shared" si="0"/>
        <v>1.0492998557709114</v>
      </c>
      <c r="D23">
        <f t="shared" si="1"/>
        <v>-0.19353041580970953</v>
      </c>
      <c r="E23">
        <f t="shared" si="2"/>
        <v>3.7454021843479068E-2</v>
      </c>
    </row>
    <row r="24" spans="1:5" x14ac:dyDescent="0.25">
      <c r="A24">
        <v>1.2847119174999999</v>
      </c>
      <c r="B24">
        <v>0.77811628707583358</v>
      </c>
      <c r="C24">
        <f t="shared" si="0"/>
        <v>0.91894222984451213</v>
      </c>
      <c r="D24">
        <f t="shared" si="1"/>
        <v>-0.14082594276867855</v>
      </c>
      <c r="E24">
        <f t="shared" si="2"/>
        <v>1.9831946156687125E-2</v>
      </c>
    </row>
    <row r="25" spans="1:5" x14ac:dyDescent="0.25">
      <c r="A25">
        <v>1.3243607444999999</v>
      </c>
      <c r="B25">
        <v>0.69253934307971343</v>
      </c>
      <c r="C25">
        <f t="shared" si="0"/>
        <v>0.78364693387135376</v>
      </c>
      <c r="D25">
        <f t="shared" si="1"/>
        <v>-9.1107590791640325E-2</v>
      </c>
      <c r="E25">
        <f t="shared" si="2"/>
        <v>8.3005930998569857E-3</v>
      </c>
    </row>
    <row r="26" spans="1:5" x14ac:dyDescent="0.25">
      <c r="A26">
        <v>1.3640095715</v>
      </c>
      <c r="B26">
        <v>0.53247876264252558</v>
      </c>
      <c r="C26">
        <f t="shared" si="0"/>
        <v>0.64980240649348053</v>
      </c>
      <c r="D26">
        <f t="shared" si="1"/>
        <v>-0.11732364385095495</v>
      </c>
      <c r="E26">
        <f t="shared" si="2"/>
        <v>1.3764837406465719E-2</v>
      </c>
    </row>
    <row r="27" spans="1:5" x14ac:dyDescent="0.25">
      <c r="A27">
        <v>1.4036583985000002</v>
      </c>
      <c r="B27">
        <v>0.44690181864640544</v>
      </c>
      <c r="C27">
        <f t="shared" si="0"/>
        <v>0.52314856273664234</v>
      </c>
      <c r="D27">
        <f t="shared" si="1"/>
        <v>-7.6246744090236906E-2</v>
      </c>
      <c r="E27">
        <f t="shared" si="2"/>
        <v>5.8135659843620768E-3</v>
      </c>
    </row>
    <row r="28" spans="1:5" x14ac:dyDescent="0.25">
      <c r="A28">
        <v>1.4433072254999999</v>
      </c>
      <c r="B28">
        <v>0.3692486657610371</v>
      </c>
      <c r="C28">
        <f t="shared" si="0"/>
        <v>0.40829645527874048</v>
      </c>
      <c r="D28">
        <f t="shared" si="1"/>
        <v>-3.904778951770338E-2</v>
      </c>
      <c r="E28">
        <f t="shared" si="2"/>
        <v>1.524729866218866E-3</v>
      </c>
    </row>
    <row r="29" spans="1:5" x14ac:dyDescent="0.25">
      <c r="A29">
        <v>1.4829560525000001</v>
      </c>
      <c r="B29">
        <v>0.24563752443330794</v>
      </c>
      <c r="C29">
        <f t="shared" si="0"/>
        <v>0.30840924339990844</v>
      </c>
      <c r="D29">
        <f t="shared" si="1"/>
        <v>-6.2771718966600498E-2</v>
      </c>
      <c r="E29">
        <f t="shared" si="2"/>
        <v>3.940288702021873E-3</v>
      </c>
    </row>
    <row r="30" spans="1:5" x14ac:dyDescent="0.25">
      <c r="A30">
        <v>1.5226048794999998</v>
      </c>
      <c r="B30">
        <v>0.23454421687825533</v>
      </c>
      <c r="C30">
        <f t="shared" si="0"/>
        <v>0.22508446037347102</v>
      </c>
      <c r="D30">
        <f t="shared" si="1"/>
        <v>9.4597565047843113E-3</v>
      </c>
      <c r="E30">
        <f t="shared" si="2"/>
        <v>8.9486993129809093E-5</v>
      </c>
    </row>
    <row r="31" spans="1:5" x14ac:dyDescent="0.25">
      <c r="A31">
        <v>1.5622537065</v>
      </c>
      <c r="B31">
        <v>0.21552711821245085</v>
      </c>
      <c r="C31">
        <f t="shared" si="0"/>
        <v>0.15844054052352122</v>
      </c>
      <c r="D31">
        <f t="shared" si="1"/>
        <v>5.7086577688929635E-2</v>
      </c>
      <c r="E31">
        <f t="shared" si="2"/>
        <v>3.2588773522341987E-3</v>
      </c>
    </row>
    <row r="32" spans="1:5" x14ac:dyDescent="0.25">
      <c r="A32">
        <v>1.6019025334999999</v>
      </c>
      <c r="B32">
        <v>0.13628920710493214</v>
      </c>
      <c r="C32">
        <f t="shared" si="0"/>
        <v>0.10737362661345856</v>
      </c>
      <c r="D32">
        <f t="shared" si="1"/>
        <v>2.891558049147358E-2</v>
      </c>
      <c r="E32">
        <f t="shared" si="2"/>
        <v>8.3611079515888745E-4</v>
      </c>
    </row>
    <row r="33" spans="1:5" x14ac:dyDescent="0.25">
      <c r="A33">
        <v>1.6415513604999998</v>
      </c>
      <c r="B33">
        <v>0.11727210843912766</v>
      </c>
      <c r="C33">
        <f t="shared" si="0"/>
        <v>6.9922836690158918E-2</v>
      </c>
      <c r="D33">
        <f t="shared" si="1"/>
        <v>4.7349271748968746E-2</v>
      </c>
      <c r="E33">
        <f t="shared" si="2"/>
        <v>2.24195353515769E-3</v>
      </c>
    </row>
    <row r="34" spans="1:5" x14ac:dyDescent="0.25">
      <c r="A34">
        <v>1.6812001875</v>
      </c>
      <c r="B34">
        <v>8.3992185773969816E-2</v>
      </c>
      <c r="C34">
        <f t="shared" si="0"/>
        <v>4.3669898592975508E-2</v>
      </c>
      <c r="D34">
        <f t="shared" si="1"/>
        <v>4.0322287180994308E-2</v>
      </c>
      <c r="E34">
        <f t="shared" si="2"/>
        <v>1.625886843506578E-3</v>
      </c>
    </row>
    <row r="35" spans="1:5" x14ac:dyDescent="0.25">
      <c r="A35">
        <v>1.7208490144999997</v>
      </c>
      <c r="B35">
        <v>6.6559845330315698E-2</v>
      </c>
      <c r="C35">
        <f t="shared" si="0"/>
        <v>2.6104229645586622E-2</v>
      </c>
      <c r="D35">
        <f t="shared" si="1"/>
        <v>4.0455615684729079E-2</v>
      </c>
      <c r="E35">
        <f t="shared" si="2"/>
        <v>1.6366568404304976E-3</v>
      </c>
    </row>
    <row r="36" spans="1:5" x14ac:dyDescent="0.25">
      <c r="A36">
        <v>1.7604978414999999</v>
      </c>
      <c r="B36">
        <v>5.5466537775263086E-2</v>
      </c>
      <c r="C36">
        <f t="shared" si="0"/>
        <v>1.4903948203746336E-2</v>
      </c>
      <c r="D36">
        <f t="shared" si="1"/>
        <v>4.0562589571516747E-2</v>
      </c>
      <c r="E36">
        <f t="shared" si="2"/>
        <v>1.6453236727473192E-3</v>
      </c>
    </row>
    <row r="37" spans="1:5" x14ac:dyDescent="0.25">
      <c r="A37">
        <v>1.8001466685</v>
      </c>
      <c r="B37">
        <v>3.1695164443007476E-2</v>
      </c>
      <c r="C37">
        <f t="shared" si="0"/>
        <v>8.1100260752873486E-3</v>
      </c>
      <c r="D37">
        <f t="shared" si="1"/>
        <v>2.3585138367720127E-2</v>
      </c>
      <c r="E37">
        <f t="shared" si="2"/>
        <v>5.5625875182450403E-4</v>
      </c>
    </row>
    <row r="38" spans="1:5" x14ac:dyDescent="0.25">
      <c r="A38">
        <v>1.8397954954999998</v>
      </c>
      <c r="B38">
        <v>2.6940889776556357E-2</v>
      </c>
      <c r="C38">
        <f t="shared" si="0"/>
        <v>4.1967681674523038E-3</v>
      </c>
      <c r="D38">
        <f t="shared" si="1"/>
        <v>2.2744121609104051E-2</v>
      </c>
      <c r="E38">
        <f t="shared" si="2"/>
        <v>5.1729506776971386E-4</v>
      </c>
    </row>
    <row r="39" spans="1:5" x14ac:dyDescent="0.25">
      <c r="A39">
        <v>1.8794443224999999</v>
      </c>
      <c r="B39">
        <v>9.5085493329022438E-3</v>
      </c>
      <c r="C39">
        <f t="shared" si="0"/>
        <v>2.0605994939630716E-3</v>
      </c>
      <c r="D39">
        <f t="shared" si="1"/>
        <v>7.4479498389391722E-3</v>
      </c>
      <c r="E39">
        <f t="shared" si="2"/>
        <v>5.547195680335404E-5</v>
      </c>
    </row>
    <row r="40" spans="1:5" x14ac:dyDescent="0.25">
      <c r="A40">
        <v>1.9190931495000001</v>
      </c>
      <c r="B40">
        <v>6.3390328886014959E-3</v>
      </c>
      <c r="C40">
        <f t="shared" si="0"/>
        <v>9.5773411227958506E-4</v>
      </c>
      <c r="D40">
        <f t="shared" si="1"/>
        <v>5.3812987763219109E-3</v>
      </c>
      <c r="E40">
        <f t="shared" si="2"/>
        <v>2.8958376520043696E-5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D4B6-C56F-46FE-9334-CDF413E979A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0.42498594516249999</v>
      </c>
      <c r="B1">
        <v>1.0877318214284271E-2</v>
      </c>
      <c r="C1">
        <f>$H$3*(1+$H$1)*(A1^($H$1))*EXP(-$H$3*(A1^(1+$H$1)))</f>
        <v>0.1224015799559498</v>
      </c>
      <c r="D1">
        <f>B1-C1</f>
        <v>-0.11152426174166553</v>
      </c>
      <c r="E1">
        <f>D1^2</f>
        <v>1.2437660957023523E-2</v>
      </c>
      <c r="G1" t="s">
        <v>0</v>
      </c>
      <c r="H1">
        <v>3.7782085917924153</v>
      </c>
    </row>
    <row r="2" spans="1:8" x14ac:dyDescent="0.25">
      <c r="A2">
        <v>0.45964548348750001</v>
      </c>
      <c r="B2">
        <v>1.9941750059521163E-2</v>
      </c>
      <c r="C2">
        <f t="shared" ref="C2:C40" si="0">$H$3*(1+$H$1)*(A2^($H$1))*EXP(-$H$3*(A2^(1+$H$1)))</f>
        <v>0.16377846177508956</v>
      </c>
      <c r="D2">
        <f t="shared" ref="D2:D40" si="1">B2-C2</f>
        <v>-0.14383671171556839</v>
      </c>
      <c r="E2">
        <f t="shared" ref="E2:E40" si="2">D2^2</f>
        <v>2.0688999637147529E-2</v>
      </c>
    </row>
    <row r="3" spans="1:8" x14ac:dyDescent="0.25">
      <c r="A3">
        <v>0.49430502181249997</v>
      </c>
      <c r="B3">
        <v>6.1638136547610869E-2</v>
      </c>
      <c r="C3">
        <f t="shared" si="0"/>
        <v>0.21411881594564305</v>
      </c>
      <c r="D3">
        <f t="shared" si="1"/>
        <v>-0.15248067939803217</v>
      </c>
      <c r="E3">
        <f t="shared" si="2"/>
        <v>2.3250357589685473E-2</v>
      </c>
      <c r="G3" t="s">
        <v>1</v>
      </c>
      <c r="H3">
        <f>(_xlfn.GAMMA((2+$H$1)/(1+$H$1)))^(1+$H$1)</f>
        <v>0.65672067131550238</v>
      </c>
    </row>
    <row r="4" spans="1:8" x14ac:dyDescent="0.25">
      <c r="A4">
        <v>0.52896456013749993</v>
      </c>
      <c r="B4">
        <v>0.12508915946426913</v>
      </c>
      <c r="C4">
        <f t="shared" si="0"/>
        <v>0.27421458744497557</v>
      </c>
      <c r="D4">
        <f t="shared" si="1"/>
        <v>-0.14912542798070644</v>
      </c>
      <c r="E4">
        <f t="shared" si="2"/>
        <v>2.2238393270428862E-2</v>
      </c>
    </row>
    <row r="5" spans="1:8" x14ac:dyDescent="0.25">
      <c r="A5">
        <v>0.56362409846249995</v>
      </c>
      <c r="B5">
        <v>0.24655254619044348</v>
      </c>
      <c r="C5">
        <f t="shared" si="0"/>
        <v>0.34467532869805451</v>
      </c>
      <c r="D5">
        <f t="shared" si="1"/>
        <v>-9.8122782507611028E-2</v>
      </c>
      <c r="E5">
        <f t="shared" si="2"/>
        <v>9.6280804470359367E-3</v>
      </c>
      <c r="G5" t="s">
        <v>2</v>
      </c>
      <c r="H5">
        <f>SUM(E1:E40)</f>
        <v>1.0317048653230336</v>
      </c>
    </row>
    <row r="6" spans="1:8" x14ac:dyDescent="0.25">
      <c r="A6">
        <v>0.59828363678749996</v>
      </c>
      <c r="B6">
        <v>0.33900975101185976</v>
      </c>
      <c r="C6">
        <f t="shared" si="0"/>
        <v>0.42584695805663492</v>
      </c>
      <c r="D6">
        <f t="shared" si="1"/>
        <v>-8.6837207044775155E-2</v>
      </c>
      <c r="E6">
        <f t="shared" si="2"/>
        <v>7.5407005273371479E-3</v>
      </c>
    </row>
    <row r="7" spans="1:8" x14ac:dyDescent="0.25">
      <c r="A7">
        <v>0.63294317511249998</v>
      </c>
      <c r="B7">
        <v>0.56562054714278209</v>
      </c>
      <c r="C7">
        <f t="shared" si="0"/>
        <v>0.5177192557521626</v>
      </c>
      <c r="D7">
        <f t="shared" si="1"/>
        <v>4.7901291390619494E-2</v>
      </c>
      <c r="E7">
        <f t="shared" si="2"/>
        <v>2.2945337168890374E-3</v>
      </c>
    </row>
    <row r="8" spans="1:8" x14ac:dyDescent="0.25">
      <c r="A8">
        <v>0.66760271343749999</v>
      </c>
      <c r="B8">
        <v>0.71609011577371451</v>
      </c>
      <c r="C8">
        <f t="shared" si="0"/>
        <v>0.61982553695256659</v>
      </c>
      <c r="D8">
        <f t="shared" si="1"/>
        <v>9.6264578821147917E-2</v>
      </c>
      <c r="E8">
        <f t="shared" si="2"/>
        <v>9.2668691356130005E-3</v>
      </c>
    </row>
    <row r="9" spans="1:8" x14ac:dyDescent="0.25">
      <c r="A9">
        <v>0.70226225176250001</v>
      </c>
      <c r="B9">
        <v>0.86112102529750478</v>
      </c>
      <c r="C9">
        <f t="shared" si="0"/>
        <v>0.73114046913632824</v>
      </c>
      <c r="D9">
        <f t="shared" si="1"/>
        <v>0.12998055616117654</v>
      </c>
      <c r="E9">
        <f t="shared" si="2"/>
        <v>1.6894944979968768E-2</v>
      </c>
    </row>
    <row r="10" spans="1:8" x14ac:dyDescent="0.25">
      <c r="A10">
        <v>0.73692179008750003</v>
      </c>
      <c r="B10">
        <v>1.0714158441070007</v>
      </c>
      <c r="C10">
        <f t="shared" si="0"/>
        <v>0.84998498153760915</v>
      </c>
      <c r="D10">
        <f t="shared" si="1"/>
        <v>0.2214308625693916</v>
      </c>
      <c r="E10">
        <f t="shared" si="2"/>
        <v>4.9031626898224788E-2</v>
      </c>
    </row>
    <row r="11" spans="1:8" x14ac:dyDescent="0.25">
      <c r="A11">
        <v>0.77158132841249993</v>
      </c>
      <c r="B11">
        <v>1.2309498445831699</v>
      </c>
      <c r="C11">
        <f t="shared" si="0"/>
        <v>0.97395040647299558</v>
      </c>
      <c r="D11">
        <f t="shared" si="1"/>
        <v>0.25699943811017434</v>
      </c>
      <c r="E11">
        <f t="shared" si="2"/>
        <v>6.6048711188945328E-2</v>
      </c>
    </row>
    <row r="12" spans="1:8" x14ac:dyDescent="0.25">
      <c r="A12">
        <v>0.80624086673749995</v>
      </c>
      <c r="B12">
        <v>1.4466833224998081</v>
      </c>
      <c r="C12">
        <f t="shared" si="0"/>
        <v>1.0998569655286778</v>
      </c>
      <c r="D12">
        <f t="shared" si="1"/>
        <v>0.34682635697113029</v>
      </c>
      <c r="E12">
        <f t="shared" si="2"/>
        <v>0.1202885218898659</v>
      </c>
    </row>
    <row r="13" spans="1:8" x14ac:dyDescent="0.25">
      <c r="A13">
        <v>0.84090040506249997</v>
      </c>
      <c r="B13">
        <v>1.5790240274402667</v>
      </c>
      <c r="C13">
        <f t="shared" si="0"/>
        <v>1.2237638233727686</v>
      </c>
      <c r="D13">
        <f t="shared" si="1"/>
        <v>0.35526020406749814</v>
      </c>
      <c r="E13">
        <f t="shared" si="2"/>
        <v>0.12620981259408043</v>
      </c>
    </row>
    <row r="14" spans="1:8" x14ac:dyDescent="0.25">
      <c r="A14">
        <v>0.87555994338749998</v>
      </c>
      <c r="B14">
        <v>1.676919891368825</v>
      </c>
      <c r="C14">
        <f t="shared" si="0"/>
        <v>1.3410483342041475</v>
      </c>
      <c r="D14">
        <f t="shared" si="1"/>
        <v>0.33587155716467754</v>
      </c>
      <c r="E14">
        <f t="shared" si="2"/>
        <v>0.11280970291222525</v>
      </c>
    </row>
    <row r="15" spans="1:8" x14ac:dyDescent="0.25">
      <c r="A15">
        <v>0.9102194817125</v>
      </c>
      <c r="B15">
        <v>1.6533523685712093</v>
      </c>
      <c r="C15">
        <f t="shared" si="0"/>
        <v>1.4465698362732013</v>
      </c>
      <c r="D15">
        <f t="shared" si="1"/>
        <v>0.20678253229800792</v>
      </c>
      <c r="E15">
        <f t="shared" si="2"/>
        <v>4.2759015663576684E-2</v>
      </c>
    </row>
    <row r="16" spans="1:8" x14ac:dyDescent="0.25">
      <c r="A16">
        <v>0.94487902003750002</v>
      </c>
      <c r="B16">
        <v>1.7385580279164359</v>
      </c>
      <c r="C16">
        <f t="shared" si="0"/>
        <v>1.5349274921973168</v>
      </c>
      <c r="D16">
        <f t="shared" si="1"/>
        <v>0.20363053571911904</v>
      </c>
      <c r="E16">
        <f t="shared" si="2"/>
        <v>4.1465395077255419E-2</v>
      </c>
    </row>
    <row r="17" spans="1:5" x14ac:dyDescent="0.25">
      <c r="A17">
        <v>0.97953855836249992</v>
      </c>
      <c r="B17">
        <v>1.7131776187497727</v>
      </c>
      <c r="C17">
        <f t="shared" si="0"/>
        <v>1.6008116255568343</v>
      </c>
      <c r="D17">
        <f t="shared" si="1"/>
        <v>0.11236599319293838</v>
      </c>
      <c r="E17">
        <f t="shared" si="2"/>
        <v>1.2626116426235475E-2</v>
      </c>
    </row>
    <row r="18" spans="1:5" x14ac:dyDescent="0.25">
      <c r="A18">
        <v>1.0141980966874999</v>
      </c>
      <c r="B18">
        <v>1.6642296867854935</v>
      </c>
      <c r="C18">
        <f t="shared" si="0"/>
        <v>1.6394338287912733</v>
      </c>
      <c r="D18">
        <f t="shared" si="1"/>
        <v>2.4795857994220238E-2</v>
      </c>
      <c r="E18">
        <f t="shared" si="2"/>
        <v>6.1483457366953568E-4</v>
      </c>
    </row>
    <row r="19" spans="1:5" x14ac:dyDescent="0.25">
      <c r="A19">
        <v>1.0488576350124998</v>
      </c>
      <c r="B19">
        <v>1.542766300059319</v>
      </c>
      <c r="C19">
        <f t="shared" si="0"/>
        <v>1.6470039039891065</v>
      </c>
      <c r="D19">
        <f t="shared" si="1"/>
        <v>-0.10423760392978743</v>
      </c>
      <c r="E19">
        <f t="shared" si="2"/>
        <v>1.0865478073023235E-2</v>
      </c>
    </row>
    <row r="20" spans="1:5" x14ac:dyDescent="0.25">
      <c r="A20">
        <v>1.0835171733375</v>
      </c>
      <c r="B20">
        <v>1.4503090952379027</v>
      </c>
      <c r="C20">
        <f t="shared" si="0"/>
        <v>1.6212038352198677</v>
      </c>
      <c r="D20">
        <f t="shared" si="1"/>
        <v>-0.17089473998196492</v>
      </c>
      <c r="E20">
        <f t="shared" si="2"/>
        <v>2.9205012153503396E-2</v>
      </c>
    </row>
    <row r="21" spans="1:5" x14ac:dyDescent="0.25">
      <c r="A21">
        <v>1.1181767116625001</v>
      </c>
      <c r="B21">
        <v>1.4684379589283765</v>
      </c>
      <c r="C21">
        <f t="shared" si="0"/>
        <v>1.5615941768032826</v>
      </c>
      <c r="D21">
        <f t="shared" si="1"/>
        <v>-9.3156217874906133E-2</v>
      </c>
      <c r="E21">
        <f t="shared" si="2"/>
        <v>8.6780809287569805E-3</v>
      </c>
    </row>
    <row r="22" spans="1:5" x14ac:dyDescent="0.25">
      <c r="A22">
        <v>1.1528362499875</v>
      </c>
      <c r="B22">
        <v>1.1892534580950802</v>
      </c>
      <c r="C22">
        <f t="shared" si="0"/>
        <v>1.4698810700347285</v>
      </c>
      <c r="D22">
        <f t="shared" si="1"/>
        <v>-0.28062761193964825</v>
      </c>
      <c r="E22">
        <f t="shared" si="2"/>
        <v>7.8751856582949809E-2</v>
      </c>
    </row>
    <row r="23" spans="1:5" x14ac:dyDescent="0.25">
      <c r="A23">
        <v>1.1874957883124999</v>
      </c>
      <c r="B23">
        <v>1.1384926397617536</v>
      </c>
      <c r="C23">
        <f t="shared" si="0"/>
        <v>1.3499771151167479</v>
      </c>
      <c r="D23">
        <f t="shared" si="1"/>
        <v>-0.21148447535499426</v>
      </c>
      <c r="E23">
        <f t="shared" si="2"/>
        <v>4.4725683316177177E-2</v>
      </c>
    </row>
    <row r="24" spans="1:5" x14ac:dyDescent="0.25">
      <c r="A24">
        <v>1.2221553266375</v>
      </c>
      <c r="B24">
        <v>0.95176534374987376</v>
      </c>
      <c r="C24">
        <f t="shared" si="0"/>
        <v>1.2078095938260536</v>
      </c>
      <c r="D24">
        <f t="shared" si="1"/>
        <v>-0.25604425007617981</v>
      </c>
      <c r="E24">
        <f t="shared" si="2"/>
        <v>6.5558657997073305E-2</v>
      </c>
    </row>
    <row r="25" spans="1:5" x14ac:dyDescent="0.25">
      <c r="A25">
        <v>1.2568148649624999</v>
      </c>
      <c r="B25">
        <v>0.8629339116665522</v>
      </c>
      <c r="C25">
        <f t="shared" si="0"/>
        <v>1.0508650400130186</v>
      </c>
      <c r="D25">
        <f t="shared" si="1"/>
        <v>-0.18793112834646641</v>
      </c>
      <c r="E25">
        <f t="shared" si="2"/>
        <v>3.5318109001576031E-2</v>
      </c>
    </row>
    <row r="26" spans="1:5" x14ac:dyDescent="0.25">
      <c r="A26">
        <v>1.2914744032874999</v>
      </c>
      <c r="B26">
        <v>0.76322516136894636</v>
      </c>
      <c r="C26">
        <f t="shared" si="0"/>
        <v>0.88750551784248577</v>
      </c>
      <c r="D26">
        <f t="shared" si="1"/>
        <v>-0.12428035647353941</v>
      </c>
      <c r="E26">
        <f t="shared" si="2"/>
        <v>1.5445607005190029E-2</v>
      </c>
    </row>
    <row r="27" spans="1:5" x14ac:dyDescent="0.25">
      <c r="A27">
        <v>1.3261339416125</v>
      </c>
      <c r="B27">
        <v>0.5928138426784928</v>
      </c>
      <c r="C27">
        <f t="shared" si="0"/>
        <v>0.7261402557119524</v>
      </c>
      <c r="D27">
        <f t="shared" si="1"/>
        <v>-0.1333264130334596</v>
      </c>
      <c r="E27">
        <f t="shared" si="2"/>
        <v>1.7775932412368665E-2</v>
      </c>
    </row>
    <row r="28" spans="1:5" x14ac:dyDescent="0.25">
      <c r="A28">
        <v>1.3607934799374999</v>
      </c>
      <c r="B28">
        <v>0.52936281976183452</v>
      </c>
      <c r="C28">
        <f t="shared" si="0"/>
        <v>0.57437440063679546</v>
      </c>
      <c r="D28">
        <f t="shared" si="1"/>
        <v>-4.5011580874960933E-2</v>
      </c>
      <c r="E28">
        <f t="shared" si="2"/>
        <v>2.0260424128631487E-3</v>
      </c>
    </row>
    <row r="29" spans="1:5" x14ac:dyDescent="0.25">
      <c r="A29">
        <v>1.3954530182624998</v>
      </c>
      <c r="B29">
        <v>0.36257727380947569</v>
      </c>
      <c r="C29">
        <f t="shared" si="0"/>
        <v>0.43827247286037513</v>
      </c>
      <c r="D29">
        <f t="shared" si="1"/>
        <v>-7.5695199050899442E-2</v>
      </c>
      <c r="E29">
        <f t="shared" si="2"/>
        <v>5.7297631593552882E-3</v>
      </c>
    </row>
    <row r="30" spans="1:5" x14ac:dyDescent="0.25">
      <c r="A30">
        <v>1.4301125565874999</v>
      </c>
      <c r="B30">
        <v>0.27555872809520154</v>
      </c>
      <c r="C30">
        <f t="shared" si="0"/>
        <v>0.321859634199124</v>
      </c>
      <c r="D30">
        <f t="shared" si="1"/>
        <v>-4.6300906103922457E-2</v>
      </c>
      <c r="E30">
        <f t="shared" si="2"/>
        <v>2.1437739060442438E-3</v>
      </c>
    </row>
    <row r="31" spans="1:5" x14ac:dyDescent="0.25">
      <c r="A31">
        <v>1.4647720949125</v>
      </c>
      <c r="B31">
        <v>0.2628685235118699</v>
      </c>
      <c r="C31">
        <f t="shared" si="0"/>
        <v>0.2269391105968647</v>
      </c>
      <c r="D31">
        <f t="shared" si="1"/>
        <v>3.5929412915005204E-2</v>
      </c>
      <c r="E31">
        <f t="shared" si="2"/>
        <v>1.2909227124169428E-3</v>
      </c>
    </row>
    <row r="32" spans="1:5" x14ac:dyDescent="0.25">
      <c r="A32">
        <v>1.4994316332375</v>
      </c>
      <c r="B32">
        <v>0.23386234160711183</v>
      </c>
      <c r="C32">
        <f t="shared" si="0"/>
        <v>0.15323858084190511</v>
      </c>
      <c r="D32">
        <f t="shared" si="1"/>
        <v>8.062376076520672E-2</v>
      </c>
      <c r="E32">
        <f t="shared" si="2"/>
        <v>6.5001907999252869E-3</v>
      </c>
    </row>
    <row r="33" spans="1:5" x14ac:dyDescent="0.25">
      <c r="A33">
        <v>1.5340911715624999</v>
      </c>
      <c r="B33">
        <v>0.13959225041664813</v>
      </c>
      <c r="C33">
        <f t="shared" si="0"/>
        <v>9.8829308966955631E-2</v>
      </c>
      <c r="D33">
        <f t="shared" si="1"/>
        <v>4.0762941449692502E-2</v>
      </c>
      <c r="E33">
        <f t="shared" si="2"/>
        <v>1.6616173956310592E-3</v>
      </c>
    </row>
    <row r="34" spans="1:5" x14ac:dyDescent="0.25">
      <c r="A34">
        <v>1.5687507098874998</v>
      </c>
      <c r="B34">
        <v>0.10877318214284271</v>
      </c>
      <c r="C34">
        <f t="shared" si="0"/>
        <v>6.0708857783573718E-2</v>
      </c>
      <c r="D34">
        <f t="shared" si="1"/>
        <v>4.8064324359268988E-2</v>
      </c>
      <c r="E34">
        <f t="shared" si="2"/>
        <v>2.3101792761130182E-3</v>
      </c>
    </row>
    <row r="35" spans="1:5" x14ac:dyDescent="0.25">
      <c r="A35">
        <v>1.6034102482124999</v>
      </c>
      <c r="B35">
        <v>9.0644318452368922E-2</v>
      </c>
      <c r="C35">
        <f t="shared" si="0"/>
        <v>3.5416288719510323E-2</v>
      </c>
      <c r="D35">
        <f t="shared" si="1"/>
        <v>5.5228029732858598E-2</v>
      </c>
      <c r="E35">
        <f t="shared" si="2"/>
        <v>3.0501352681735132E-3</v>
      </c>
    </row>
    <row r="36" spans="1:5" x14ac:dyDescent="0.25">
      <c r="A36">
        <v>1.6380697865374998</v>
      </c>
      <c r="B36">
        <v>6.707679565475301E-2</v>
      </c>
      <c r="C36">
        <f t="shared" si="0"/>
        <v>1.9562316423141209E-2</v>
      </c>
      <c r="D36">
        <f t="shared" si="1"/>
        <v>4.7514479231611798E-2</v>
      </c>
      <c r="E36">
        <f t="shared" si="2"/>
        <v>2.2576257366512687E-3</v>
      </c>
    </row>
    <row r="37" spans="1:5" x14ac:dyDescent="0.25">
      <c r="A37">
        <v>1.6727293248624999</v>
      </c>
      <c r="B37">
        <v>4.7135045595231843E-2</v>
      </c>
      <c r="C37">
        <f t="shared" si="0"/>
        <v>1.0198355621390201E-2</v>
      </c>
      <c r="D37">
        <f t="shared" si="1"/>
        <v>3.6936689973841641E-2</v>
      </c>
      <c r="E37">
        <f t="shared" si="2"/>
        <v>1.3643190662236935E-3</v>
      </c>
    </row>
    <row r="38" spans="1:5" x14ac:dyDescent="0.25">
      <c r="A38">
        <v>1.7073888631875</v>
      </c>
      <c r="B38">
        <v>3.263195464285281E-2</v>
      </c>
      <c r="C38">
        <f t="shared" si="0"/>
        <v>5.0015336671436431E-3</v>
      </c>
      <c r="D38">
        <f t="shared" si="1"/>
        <v>2.7630420975709169E-2</v>
      </c>
      <c r="E38">
        <f t="shared" si="2"/>
        <v>7.6344016329490927E-4</v>
      </c>
    </row>
    <row r="39" spans="1:5" x14ac:dyDescent="0.25">
      <c r="A39">
        <v>1.7420484015124997</v>
      </c>
      <c r="B39">
        <v>1.4503090952379028E-2</v>
      </c>
      <c r="C39">
        <f t="shared" si="0"/>
        <v>2.2996055359672386E-3</v>
      </c>
      <c r="D39">
        <f t="shared" si="1"/>
        <v>1.2203485416411789E-2</v>
      </c>
      <c r="E39">
        <f t="shared" si="2"/>
        <v>1.4892505630857521E-4</v>
      </c>
    </row>
    <row r="40" spans="1:5" x14ac:dyDescent="0.25">
      <c r="A40">
        <v>1.7767079398374999</v>
      </c>
      <c r="B40">
        <v>7.2515454761895139E-3</v>
      </c>
      <c r="C40">
        <f t="shared" si="0"/>
        <v>9.8772761436346362E-4</v>
      </c>
      <c r="D40">
        <f t="shared" si="1"/>
        <v>6.2638178618260503E-3</v>
      </c>
      <c r="E40">
        <f t="shared" si="2"/>
        <v>3.923541420613107E-5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FDC0-AFC7-4AB3-B0DA-BDDD2950367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0.50878453719999994</v>
      </c>
      <c r="B1">
        <v>1.1044804370138576E-2</v>
      </c>
      <c r="C1">
        <f>$H$3*(1+$H$1)*(A1^($H$1))*EXP(-$H$3*(A1^(1+$H$1)))</f>
        <v>0.14029440983977254</v>
      </c>
      <c r="D1">
        <f>B1-C1</f>
        <v>-0.12924960546963396</v>
      </c>
      <c r="E1">
        <f>D1^2</f>
        <v>1.6705460514056032E-2</v>
      </c>
      <c r="G1" t="s">
        <v>0</v>
      </c>
      <c r="H1">
        <v>4.8379028724558619</v>
      </c>
    </row>
    <row r="2" spans="1:8" x14ac:dyDescent="0.25">
      <c r="A2">
        <v>0.53722949760000005</v>
      </c>
      <c r="B2">
        <v>1.9880647866249435E-2</v>
      </c>
      <c r="C2">
        <f t="shared" ref="C2:C40" si="0">$H$3*(1+$H$1)*(A2^($H$1))*EXP(-$H$3*(A2^(1+$H$1)))</f>
        <v>0.18168987396438563</v>
      </c>
      <c r="D2">
        <f t="shared" ref="D2:D40" si="1">B2-C2</f>
        <v>-0.16180922609813619</v>
      </c>
      <c r="E2">
        <f t="shared" ref="E2:E40" si="2">D2^2</f>
        <v>2.6182225650477758E-2</v>
      </c>
    </row>
    <row r="3" spans="1:8" x14ac:dyDescent="0.25">
      <c r="A3">
        <v>0.56567445800000005</v>
      </c>
      <c r="B3">
        <v>6.1850904472776025E-2</v>
      </c>
      <c r="C3">
        <f t="shared" si="0"/>
        <v>0.23181219874334086</v>
      </c>
      <c r="D3">
        <f t="shared" si="1"/>
        <v>-0.16996129427056483</v>
      </c>
      <c r="E3">
        <f t="shared" si="2"/>
        <v>2.8886841550125535E-2</v>
      </c>
      <c r="G3" t="s">
        <v>1</v>
      </c>
      <c r="H3">
        <f>(_xlfn.GAMMA((2+$H$1)/(1+$H$1)))^(1+$H$1)</f>
        <v>0.63961730014224882</v>
      </c>
    </row>
    <row r="4" spans="1:8" x14ac:dyDescent="0.25">
      <c r="A4">
        <v>0.59411941840000004</v>
      </c>
      <c r="B4">
        <v>0.13032869156763519</v>
      </c>
      <c r="C4">
        <f t="shared" si="0"/>
        <v>0.29168082531449474</v>
      </c>
      <c r="D4">
        <f t="shared" si="1"/>
        <v>-0.16135213374685956</v>
      </c>
      <c r="E4">
        <f t="shared" si="2"/>
        <v>2.6034511064664454E-2</v>
      </c>
    </row>
    <row r="5" spans="1:8" x14ac:dyDescent="0.25">
      <c r="A5">
        <v>0.62256437879999993</v>
      </c>
      <c r="B5">
        <v>0.19880647866249437</v>
      </c>
      <c r="C5">
        <f t="shared" si="0"/>
        <v>0.36223916057416805</v>
      </c>
      <c r="D5">
        <f t="shared" si="1"/>
        <v>-0.16343268191167368</v>
      </c>
      <c r="E5">
        <f t="shared" si="2"/>
        <v>2.6710241516842308E-2</v>
      </c>
      <c r="G5" t="s">
        <v>2</v>
      </c>
      <c r="H5">
        <f>SUM(E1:E40)</f>
        <v>1.6986885252386867</v>
      </c>
    </row>
    <row r="6" spans="1:8" x14ac:dyDescent="0.25">
      <c r="A6">
        <v>0.65100933920000004</v>
      </c>
      <c r="B6">
        <v>0.34901581809637899</v>
      </c>
      <c r="C6">
        <f t="shared" si="0"/>
        <v>0.44428381093201941</v>
      </c>
      <c r="D6">
        <f t="shared" si="1"/>
        <v>-9.5267992835640414E-2</v>
      </c>
      <c r="E6">
        <f t="shared" si="2"/>
        <v>9.0759904589316331E-3</v>
      </c>
    </row>
    <row r="7" spans="1:8" x14ac:dyDescent="0.25">
      <c r="A7">
        <v>0.67945429959999992</v>
      </c>
      <c r="B7">
        <v>0.54119541413679018</v>
      </c>
      <c r="C7">
        <f t="shared" si="0"/>
        <v>0.53837643999759566</v>
      </c>
      <c r="D7">
        <f t="shared" si="1"/>
        <v>2.8189741391945189E-3</v>
      </c>
      <c r="E7">
        <f t="shared" si="2"/>
        <v>7.9466151974474784E-6</v>
      </c>
    </row>
    <row r="8" spans="1:8" x14ac:dyDescent="0.25">
      <c r="A8">
        <v>0.70789926000000003</v>
      </c>
      <c r="B8">
        <v>0.75767357979150629</v>
      </c>
      <c r="C8">
        <f t="shared" si="0"/>
        <v>0.64473804545932811</v>
      </c>
      <c r="D8">
        <f t="shared" si="1"/>
        <v>0.11293553433217818</v>
      </c>
      <c r="E8">
        <f t="shared" si="2"/>
        <v>1.2754434914894596E-2</v>
      </c>
    </row>
    <row r="9" spans="1:8" x14ac:dyDescent="0.25">
      <c r="A9">
        <v>0.73634422040000014</v>
      </c>
      <c r="B9">
        <v>0.88579331048511378</v>
      </c>
      <c r="C9">
        <f t="shared" si="0"/>
        <v>0.76312733753951112</v>
      </c>
      <c r="D9">
        <f t="shared" si="1"/>
        <v>0.12266597294560266</v>
      </c>
      <c r="E9">
        <f t="shared" si="2"/>
        <v>1.5046940918691324E-2</v>
      </c>
    </row>
    <row r="10" spans="1:8" x14ac:dyDescent="0.25">
      <c r="A10">
        <v>0.76478918080000002</v>
      </c>
      <c r="B10">
        <v>1.0757639456514974</v>
      </c>
      <c r="C10">
        <f t="shared" si="0"/>
        <v>0.89270763861368241</v>
      </c>
      <c r="D10">
        <f t="shared" si="1"/>
        <v>0.18305630703781495</v>
      </c>
      <c r="E10">
        <f t="shared" si="2"/>
        <v>3.350961154632278E-2</v>
      </c>
    </row>
    <row r="11" spans="1:8" x14ac:dyDescent="0.25">
      <c r="A11">
        <v>0.79323414120000002</v>
      </c>
      <c r="B11">
        <v>1.3585109375270448</v>
      </c>
      <c r="C11">
        <f t="shared" si="0"/>
        <v>1.0319103805439951</v>
      </c>
      <c r="D11">
        <f t="shared" si="1"/>
        <v>0.32660055698304968</v>
      </c>
      <c r="E11">
        <f t="shared" si="2"/>
        <v>0.10666792382163828</v>
      </c>
    </row>
    <row r="12" spans="1:8" x14ac:dyDescent="0.25">
      <c r="A12">
        <v>0.82167910160000002</v>
      </c>
      <c r="B12">
        <v>1.5860339075518994</v>
      </c>
      <c r="C12">
        <f t="shared" si="0"/>
        <v>1.1783077826883075</v>
      </c>
      <c r="D12">
        <f t="shared" si="1"/>
        <v>0.40772612486359194</v>
      </c>
      <c r="E12">
        <f t="shared" si="2"/>
        <v>0.16624059289628138</v>
      </c>
    </row>
    <row r="13" spans="1:8" x14ac:dyDescent="0.25">
      <c r="A13">
        <v>0.85012406200000001</v>
      </c>
      <c r="B13">
        <v>1.7517059731039781</v>
      </c>
      <c r="C13">
        <f t="shared" si="0"/>
        <v>1.3285123498847284</v>
      </c>
      <c r="D13">
        <f t="shared" si="1"/>
        <v>0.42319362321924969</v>
      </c>
      <c r="E13">
        <f t="shared" si="2"/>
        <v>0.17909284273343629</v>
      </c>
    </row>
    <row r="14" spans="1:8" x14ac:dyDescent="0.25">
      <c r="A14">
        <v>0.87856902240000001</v>
      </c>
      <c r="B14">
        <v>1.884243625545641</v>
      </c>
      <c r="C14">
        <f t="shared" si="0"/>
        <v>1.4781258095357532</v>
      </c>
      <c r="D14">
        <f t="shared" si="1"/>
        <v>0.40611781600988772</v>
      </c>
      <c r="E14">
        <f t="shared" si="2"/>
        <v>0.16493168048064102</v>
      </c>
    </row>
    <row r="15" spans="1:8" x14ac:dyDescent="0.25">
      <c r="A15">
        <v>0.90701398280000012</v>
      </c>
      <c r="B15">
        <v>2.0211991997353596</v>
      </c>
      <c r="C15">
        <f t="shared" si="0"/>
        <v>1.6217639753208339</v>
      </c>
      <c r="D15">
        <f t="shared" si="1"/>
        <v>0.39943522441452561</v>
      </c>
      <c r="E15">
        <f t="shared" si="2"/>
        <v>0.15954849850308245</v>
      </c>
    </row>
    <row r="16" spans="1:8" x14ac:dyDescent="0.25">
      <c r="A16">
        <v>0.9354589432</v>
      </c>
      <c r="B16">
        <v>2.0079454344911931</v>
      </c>
      <c r="C16">
        <f t="shared" si="0"/>
        <v>1.7531853152121688</v>
      </c>
      <c r="D16">
        <f t="shared" si="1"/>
        <v>0.25476011927902431</v>
      </c>
      <c r="E16">
        <f t="shared" si="2"/>
        <v>6.4902718375062687E-2</v>
      </c>
    </row>
    <row r="17" spans="1:5" x14ac:dyDescent="0.25">
      <c r="A17">
        <v>0.96390390360000011</v>
      </c>
      <c r="B17">
        <v>2.1161845173185512</v>
      </c>
      <c r="C17">
        <f t="shared" si="0"/>
        <v>1.8655479081351891</v>
      </c>
      <c r="D17">
        <f t="shared" si="1"/>
        <v>0.25063660918336206</v>
      </c>
      <c r="E17">
        <f t="shared" si="2"/>
        <v>6.2818709862933364E-2</v>
      </c>
    </row>
    <row r="18" spans="1:5" x14ac:dyDescent="0.25">
      <c r="A18">
        <v>0.99234886400000011</v>
      </c>
      <c r="B18">
        <v>2.0653784172159138</v>
      </c>
      <c r="C18">
        <f t="shared" si="0"/>
        <v>1.9518101306786109</v>
      </c>
      <c r="D18">
        <f t="shared" si="1"/>
        <v>0.11356828653730289</v>
      </c>
      <c r="E18">
        <f t="shared" si="2"/>
        <v>1.2897755707018932E-2</v>
      </c>
    </row>
    <row r="19" spans="1:5" x14ac:dyDescent="0.25">
      <c r="A19">
        <v>1.0207938244000001</v>
      </c>
      <c r="B19">
        <v>1.9571393343885557</v>
      </c>
      <c r="C19">
        <f t="shared" si="0"/>
        <v>2.0052734093090483</v>
      </c>
      <c r="D19">
        <f t="shared" si="1"/>
        <v>-4.8134074920492598E-2</v>
      </c>
      <c r="E19">
        <f t="shared" si="2"/>
        <v>2.3168891684515946E-3</v>
      </c>
    </row>
    <row r="20" spans="1:5" x14ac:dyDescent="0.25">
      <c r="A20">
        <v>1.0492387848</v>
      </c>
      <c r="B20">
        <v>1.9505124517664725</v>
      </c>
      <c r="C20">
        <f t="shared" si="0"/>
        <v>2.0202404920411081</v>
      </c>
      <c r="D20">
        <f t="shared" si="1"/>
        <v>-6.9728040274635639E-2</v>
      </c>
      <c r="E20">
        <f t="shared" si="2"/>
        <v>4.8619996005412093E-3</v>
      </c>
    </row>
    <row r="21" spans="1:5" x14ac:dyDescent="0.25">
      <c r="A21">
        <v>1.0776837451999999</v>
      </c>
      <c r="B21">
        <v>1.7737955818442552</v>
      </c>
      <c r="C21">
        <f t="shared" si="0"/>
        <v>1.9927318007593271</v>
      </c>
      <c r="D21">
        <f t="shared" si="1"/>
        <v>-0.21893621891507187</v>
      </c>
      <c r="E21">
        <f t="shared" si="2"/>
        <v>4.793306795282827E-2</v>
      </c>
    </row>
    <row r="22" spans="1:5" x14ac:dyDescent="0.25">
      <c r="A22">
        <v>1.1061287056000002</v>
      </c>
      <c r="B22">
        <v>1.7185715599935623</v>
      </c>
      <c r="C22">
        <f t="shared" si="0"/>
        <v>1.9211702081567945</v>
      </c>
      <c r="D22">
        <f t="shared" si="1"/>
        <v>-0.20259864816323225</v>
      </c>
      <c r="E22">
        <f t="shared" si="2"/>
        <v>4.1046212237569171E-2</v>
      </c>
    </row>
    <row r="23" spans="1:5" x14ac:dyDescent="0.25">
      <c r="A23">
        <v>1.1345736660000001</v>
      </c>
      <c r="B23">
        <v>1.4446604116141257</v>
      </c>
      <c r="C23">
        <f t="shared" si="0"/>
        <v>1.8069187489595746</v>
      </c>
      <c r="D23">
        <f t="shared" si="1"/>
        <v>-0.36225833734544888</v>
      </c>
      <c r="E23">
        <f t="shared" si="2"/>
        <v>0.13123110297628904</v>
      </c>
    </row>
    <row r="24" spans="1:5" x14ac:dyDescent="0.25">
      <c r="A24">
        <v>1.1630186264</v>
      </c>
      <c r="B24">
        <v>1.3430482114088509</v>
      </c>
      <c r="C24">
        <f t="shared" si="0"/>
        <v>1.6545462037406491</v>
      </c>
      <c r="D24">
        <f t="shared" si="1"/>
        <v>-0.3114979923317982</v>
      </c>
      <c r="E24">
        <f t="shared" si="2"/>
        <v>9.7030999226741008E-2</v>
      </c>
    </row>
    <row r="25" spans="1:5" x14ac:dyDescent="0.25">
      <c r="A25">
        <v>1.1914635867999999</v>
      </c>
      <c r="B25">
        <v>1.1199431631320516</v>
      </c>
      <c r="C25">
        <f t="shared" si="0"/>
        <v>1.471711962873955</v>
      </c>
      <c r="D25">
        <f t="shared" si="1"/>
        <v>-0.35176879974190345</v>
      </c>
      <c r="E25">
        <f t="shared" si="2"/>
        <v>0.12374128847185938</v>
      </c>
    </row>
    <row r="26" spans="1:5" x14ac:dyDescent="0.25">
      <c r="A26">
        <v>1.2199085472000002</v>
      </c>
      <c r="B26">
        <v>1.1044804370138575</v>
      </c>
      <c r="C26">
        <f t="shared" si="0"/>
        <v>1.2686101121622881</v>
      </c>
      <c r="D26">
        <f t="shared" si="1"/>
        <v>-0.16412967514843069</v>
      </c>
      <c r="E26">
        <f t="shared" si="2"/>
        <v>2.6938550264329387E-2</v>
      </c>
    </row>
    <row r="27" spans="1:5" x14ac:dyDescent="0.25">
      <c r="A27">
        <v>1.2483535076000001</v>
      </c>
      <c r="B27">
        <v>0.83940513213053169</v>
      </c>
      <c r="C27">
        <f t="shared" si="0"/>
        <v>1.0569913284052697</v>
      </c>
      <c r="D27">
        <f t="shared" si="1"/>
        <v>-0.21758619627473796</v>
      </c>
      <c r="E27">
        <f t="shared" si="2"/>
        <v>4.7343752809308796E-2</v>
      </c>
    </row>
    <row r="28" spans="1:5" x14ac:dyDescent="0.25">
      <c r="A28">
        <v>1.276798468</v>
      </c>
      <c r="B28">
        <v>0.72233020580706286</v>
      </c>
      <c r="C28">
        <f t="shared" si="0"/>
        <v>0.8488768888881284</v>
      </c>
      <c r="D28">
        <f t="shared" si="1"/>
        <v>-0.12654668308106554</v>
      </c>
      <c r="E28">
        <f t="shared" si="2"/>
        <v>1.6014062998819637E-2</v>
      </c>
    </row>
    <row r="29" spans="1:5" x14ac:dyDescent="0.25">
      <c r="A29">
        <v>1.3052434284000001</v>
      </c>
      <c r="B29">
        <v>0.55224021850692873</v>
      </c>
      <c r="C29">
        <f t="shared" si="0"/>
        <v>0.65516793517643224</v>
      </c>
      <c r="D29">
        <f t="shared" si="1"/>
        <v>-0.10292771666950351</v>
      </c>
      <c r="E29">
        <f t="shared" si="2"/>
        <v>1.059411485879759E-2</v>
      </c>
    </row>
    <row r="30" spans="1:5" x14ac:dyDescent="0.25">
      <c r="A30">
        <v>1.3336883888000002</v>
      </c>
      <c r="B30">
        <v>0.41970256606526585</v>
      </c>
      <c r="C30">
        <f t="shared" si="0"/>
        <v>0.48440546086506664</v>
      </c>
      <c r="D30">
        <f t="shared" si="1"/>
        <v>-6.4702894799800792E-2</v>
      </c>
      <c r="E30">
        <f t="shared" si="2"/>
        <v>4.1864645954740884E-3</v>
      </c>
    </row>
    <row r="31" spans="1:5" x14ac:dyDescent="0.25">
      <c r="A31">
        <v>1.3621333492000001</v>
      </c>
      <c r="B31">
        <v>0.333553091978185</v>
      </c>
      <c r="C31">
        <f t="shared" si="0"/>
        <v>0.34192715675385554</v>
      </c>
      <c r="D31">
        <f t="shared" si="1"/>
        <v>-8.3740647756705422E-3</v>
      </c>
      <c r="E31">
        <f t="shared" si="2"/>
        <v>7.0124960867126121E-5</v>
      </c>
    </row>
    <row r="32" spans="1:5" x14ac:dyDescent="0.25">
      <c r="A32">
        <v>1.3905783096000002</v>
      </c>
      <c r="B32">
        <v>0.31146348323790785</v>
      </c>
      <c r="C32">
        <f t="shared" si="0"/>
        <v>0.2295876034967041</v>
      </c>
      <c r="D32">
        <f t="shared" si="1"/>
        <v>8.187587974120375E-2</v>
      </c>
      <c r="E32">
        <f t="shared" si="2"/>
        <v>6.7036596833960583E-3</v>
      </c>
    </row>
    <row r="33" spans="1:5" x14ac:dyDescent="0.25">
      <c r="A33">
        <v>1.4190232700000001</v>
      </c>
      <c r="B33">
        <v>0.2341498526469378</v>
      </c>
      <c r="C33">
        <f t="shared" si="0"/>
        <v>0.14607453847223778</v>
      </c>
      <c r="D33">
        <f t="shared" si="1"/>
        <v>8.807531417470002E-2</v>
      </c>
      <c r="E33">
        <f t="shared" si="2"/>
        <v>7.7572609669721146E-3</v>
      </c>
    </row>
    <row r="34" spans="1:5" x14ac:dyDescent="0.25">
      <c r="A34">
        <v>1.4474682304000002</v>
      </c>
      <c r="B34">
        <v>0.16346310467805092</v>
      </c>
      <c r="C34">
        <f t="shared" si="0"/>
        <v>8.77057499994673E-2</v>
      </c>
      <c r="D34">
        <f t="shared" si="1"/>
        <v>7.5757354678583619E-2</v>
      </c>
      <c r="E34">
        <f t="shared" si="2"/>
        <v>5.7391767878967152E-3</v>
      </c>
    </row>
    <row r="35" spans="1:5" x14ac:dyDescent="0.25">
      <c r="A35">
        <v>1.4759131908000001</v>
      </c>
      <c r="B35">
        <v>0.1170749263234689</v>
      </c>
      <c r="C35">
        <f t="shared" si="0"/>
        <v>4.9478530490553022E-2</v>
      </c>
      <c r="D35">
        <f t="shared" si="1"/>
        <v>6.7596395832915879E-2</v>
      </c>
      <c r="E35">
        <f t="shared" si="2"/>
        <v>4.5692727296002475E-3</v>
      </c>
    </row>
    <row r="36" spans="1:5" x14ac:dyDescent="0.25">
      <c r="A36">
        <v>1.5043581511999999</v>
      </c>
      <c r="B36">
        <v>9.4985317583191745E-2</v>
      </c>
      <c r="C36">
        <f t="shared" si="0"/>
        <v>2.6105748338140333E-2</v>
      </c>
      <c r="D36">
        <f t="shared" si="1"/>
        <v>6.8879569245051411E-2</v>
      </c>
      <c r="E36">
        <f t="shared" si="2"/>
        <v>4.7443950593838323E-3</v>
      </c>
    </row>
    <row r="37" spans="1:5" x14ac:dyDescent="0.25">
      <c r="A37">
        <v>1.5328031116000003</v>
      </c>
      <c r="B37">
        <v>5.3015060976665161E-2</v>
      </c>
      <c r="C37">
        <f t="shared" si="0"/>
        <v>1.281933267594867E-2</v>
      </c>
      <c r="D37">
        <f t="shared" si="1"/>
        <v>4.0195728300716493E-2</v>
      </c>
      <c r="E37">
        <f t="shared" si="2"/>
        <v>1.6156965736250208E-3</v>
      </c>
    </row>
    <row r="38" spans="1:5" x14ac:dyDescent="0.25">
      <c r="A38">
        <v>1.5612480720000002</v>
      </c>
      <c r="B38">
        <v>4.8597139228609733E-2</v>
      </c>
      <c r="C38">
        <f t="shared" si="0"/>
        <v>5.8285936469083654E-3</v>
      </c>
      <c r="D38">
        <f t="shared" si="1"/>
        <v>4.2768545581701366E-2</v>
      </c>
      <c r="E38">
        <f t="shared" si="2"/>
        <v>1.8291484911740674E-3</v>
      </c>
    </row>
    <row r="39" spans="1:5" x14ac:dyDescent="0.25">
      <c r="A39">
        <v>1.5896930324</v>
      </c>
      <c r="B39">
        <v>1.9880647866249435E-2</v>
      </c>
      <c r="C39">
        <f t="shared" si="0"/>
        <v>2.4404294217829172E-3</v>
      </c>
      <c r="D39">
        <f t="shared" si="1"/>
        <v>1.7440218444466516E-2</v>
      </c>
      <c r="E39">
        <f t="shared" si="2"/>
        <v>3.0416121939071008E-4</v>
      </c>
    </row>
    <row r="40" spans="1:5" x14ac:dyDescent="0.25">
      <c r="A40">
        <v>1.6181379928000001</v>
      </c>
      <c r="B40">
        <v>1.1044804370138576E-2</v>
      </c>
      <c r="C40">
        <f t="shared" si="0"/>
        <v>9.3557714579381641E-4</v>
      </c>
      <c r="D40">
        <f t="shared" si="1"/>
        <v>1.010922722434476E-2</v>
      </c>
      <c r="E40">
        <f t="shared" si="2"/>
        <v>1.0219647507343327E-4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B2B8-5D83-43A9-A190-AF7A5351E73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0.62717753573750001</v>
      </c>
      <c r="B1">
        <v>9.2345700611884025E-3</v>
      </c>
      <c r="C1">
        <f>$H$3*(1+$H$1)*(A1^($H$1))*EXP(-$H$3*(A1^(1+$H$1)))</f>
        <v>0.17085145617860389</v>
      </c>
      <c r="D1">
        <f>B1-C1</f>
        <v>-0.16161688611741548</v>
      </c>
      <c r="E1">
        <f>D1^2</f>
        <v>2.6120017878289645E-2</v>
      </c>
      <c r="G1" t="s">
        <v>0</v>
      </c>
      <c r="H1">
        <v>7.2464290536229194</v>
      </c>
    </row>
    <row r="2" spans="1:8" x14ac:dyDescent="0.25">
      <c r="A2">
        <v>0.64759011721250004</v>
      </c>
      <c r="B2">
        <v>1.8469140122376805E-2</v>
      </c>
      <c r="C2">
        <f t="shared" ref="C2:C40" si="0">$H$3*(1+$H$1)*(A2^($H$1))*EXP(-$H$3*(A2^(1+$H$1)))</f>
        <v>0.21462781655578372</v>
      </c>
      <c r="D2">
        <f t="shared" ref="D2:D40" si="1">B2-C2</f>
        <v>-0.19615867643340693</v>
      </c>
      <c r="E2">
        <f t="shared" ref="E2:E40" si="2">D2^2</f>
        <v>3.8478226340106031E-2</v>
      </c>
    </row>
    <row r="3" spans="1:8" x14ac:dyDescent="0.25">
      <c r="A3">
        <v>0.66800269868750006</v>
      </c>
      <c r="B3">
        <v>4.6172850305942009E-2</v>
      </c>
      <c r="C3">
        <f t="shared" si="0"/>
        <v>0.26741245606590303</v>
      </c>
      <c r="D3">
        <f t="shared" si="1"/>
        <v>-0.22123960575996102</v>
      </c>
      <c r="E3">
        <f t="shared" si="2"/>
        <v>4.8946963156822974E-2</v>
      </c>
      <c r="G3" t="s">
        <v>1</v>
      </c>
      <c r="H3">
        <f>(_xlfn.GAMMA((2+$H$1)/(1+$H$1)))^(1+$H$1)</f>
        <v>0.61697303658726643</v>
      </c>
    </row>
    <row r="4" spans="1:8" x14ac:dyDescent="0.25">
      <c r="A4">
        <v>0.68841528016250009</v>
      </c>
      <c r="B4">
        <v>0.11081484073426083</v>
      </c>
      <c r="C4">
        <f t="shared" si="0"/>
        <v>0.33052108803156022</v>
      </c>
      <c r="D4">
        <f t="shared" si="1"/>
        <v>-0.21970624729729937</v>
      </c>
      <c r="E4">
        <f t="shared" si="2"/>
        <v>4.8270835101462066E-2</v>
      </c>
    </row>
    <row r="5" spans="1:8" x14ac:dyDescent="0.25">
      <c r="A5">
        <v>0.70882786163750011</v>
      </c>
      <c r="B5">
        <v>0.17853502118297579</v>
      </c>
      <c r="C5">
        <f t="shared" si="0"/>
        <v>0.4053211526127502</v>
      </c>
      <c r="D5">
        <f t="shared" si="1"/>
        <v>-0.22678613142977441</v>
      </c>
      <c r="E5">
        <f t="shared" si="2"/>
        <v>5.1431949408882911E-2</v>
      </c>
      <c r="G5" t="s">
        <v>2</v>
      </c>
      <c r="H5">
        <f>SUM(E1:E40)</f>
        <v>3.9247597428089338</v>
      </c>
    </row>
    <row r="6" spans="1:8" x14ac:dyDescent="0.25">
      <c r="A6">
        <v>0.72924044311250003</v>
      </c>
      <c r="B6">
        <v>0.3262881421619902</v>
      </c>
      <c r="C6">
        <f t="shared" si="0"/>
        <v>0.4931842714980218</v>
      </c>
      <c r="D6">
        <f t="shared" si="1"/>
        <v>-0.1668961293360316</v>
      </c>
      <c r="E6">
        <f t="shared" si="2"/>
        <v>2.7854317987349386E-2</v>
      </c>
    </row>
    <row r="7" spans="1:8" x14ac:dyDescent="0.25">
      <c r="A7">
        <v>0.74965302458749994</v>
      </c>
      <c r="B7">
        <v>0.48327583320219308</v>
      </c>
      <c r="C7">
        <f t="shared" si="0"/>
        <v>0.5954182314424068</v>
      </c>
      <c r="D7">
        <f t="shared" si="1"/>
        <v>-0.11214239824021371</v>
      </c>
      <c r="E7">
        <f t="shared" si="2"/>
        <v>1.2575917483066688E-2</v>
      </c>
    </row>
    <row r="8" spans="1:8" x14ac:dyDescent="0.25">
      <c r="A8">
        <v>0.77006560606249996</v>
      </c>
      <c r="B8">
        <v>0.7510783649766567</v>
      </c>
      <c r="C8">
        <f t="shared" si="0"/>
        <v>0.71317417557975493</v>
      </c>
      <c r="D8">
        <f t="shared" si="1"/>
        <v>3.7904189396901766E-2</v>
      </c>
      <c r="E8">
        <f t="shared" si="2"/>
        <v>1.4367275738362002E-3</v>
      </c>
    </row>
    <row r="9" spans="1:8" x14ac:dyDescent="0.25">
      <c r="A9">
        <v>0.79047818753749999</v>
      </c>
      <c r="B9">
        <v>0.98809899654715905</v>
      </c>
      <c r="C9">
        <f t="shared" si="0"/>
        <v>0.84732498972720349</v>
      </c>
      <c r="D9">
        <f t="shared" si="1"/>
        <v>0.14077400681995555</v>
      </c>
      <c r="E9">
        <f t="shared" si="2"/>
        <v>1.9817320996144892E-2</v>
      </c>
    </row>
    <row r="10" spans="1:8" x14ac:dyDescent="0.25">
      <c r="A10">
        <v>0.81089076901250001</v>
      </c>
      <c r="B10">
        <v>1.2712924784236035</v>
      </c>
      <c r="C10">
        <f t="shared" si="0"/>
        <v>0.99831195549007923</v>
      </c>
      <c r="D10">
        <f t="shared" si="1"/>
        <v>0.27298052293352426</v>
      </c>
      <c r="E10">
        <f t="shared" si="2"/>
        <v>7.4518365901060368E-2</v>
      </c>
    </row>
    <row r="11" spans="1:8" x14ac:dyDescent="0.25">
      <c r="A11">
        <v>0.83130335048750004</v>
      </c>
      <c r="B11">
        <v>1.4806093998105405</v>
      </c>
      <c r="C11">
        <f t="shared" si="0"/>
        <v>1.165958977018106</v>
      </c>
      <c r="D11">
        <f t="shared" si="1"/>
        <v>0.31465042279243449</v>
      </c>
      <c r="E11">
        <f t="shared" si="2"/>
        <v>9.900488856345778E-2</v>
      </c>
    </row>
    <row r="12" spans="1:8" x14ac:dyDescent="0.25">
      <c r="A12">
        <v>0.85171593196250006</v>
      </c>
      <c r="B12">
        <v>1.8068975419725308</v>
      </c>
      <c r="C12">
        <f t="shared" si="0"/>
        <v>1.349257502673777</v>
      </c>
      <c r="D12">
        <f t="shared" si="1"/>
        <v>0.45764003929875385</v>
      </c>
      <c r="E12">
        <f t="shared" si="2"/>
        <v>0.20943440556936496</v>
      </c>
    </row>
    <row r="13" spans="1:8" x14ac:dyDescent="0.25">
      <c r="A13">
        <v>0.87212851343750009</v>
      </c>
      <c r="B13">
        <v>2.0623873136654098</v>
      </c>
      <c r="C13">
        <f t="shared" si="0"/>
        <v>1.5461310784727218</v>
      </c>
      <c r="D13">
        <f t="shared" si="1"/>
        <v>0.51625623519268804</v>
      </c>
      <c r="E13">
        <f t="shared" si="2"/>
        <v>0.26652050037532804</v>
      </c>
    </row>
    <row r="14" spans="1:8" x14ac:dyDescent="0.25">
      <c r="A14">
        <v>0.89254109491250011</v>
      </c>
      <c r="B14">
        <v>2.456395636276115</v>
      </c>
      <c r="C14">
        <f t="shared" si="0"/>
        <v>1.7531965816577559</v>
      </c>
      <c r="D14">
        <f t="shared" si="1"/>
        <v>0.70319905461835908</v>
      </c>
      <c r="E14">
        <f t="shared" si="2"/>
        <v>0.49448891041615395</v>
      </c>
    </row>
    <row r="15" spans="1:8" x14ac:dyDescent="0.25">
      <c r="A15">
        <v>0.91295367638750013</v>
      </c>
      <c r="B15">
        <v>2.5241158167248301</v>
      </c>
      <c r="C15">
        <f t="shared" si="0"/>
        <v>1.9655495608143823</v>
      </c>
      <c r="D15">
        <f t="shared" si="1"/>
        <v>0.55856625591044784</v>
      </c>
      <c r="E15">
        <f t="shared" si="2"/>
        <v>0.31199626224181592</v>
      </c>
    </row>
    <row r="16" spans="1:8" x14ac:dyDescent="0.25">
      <c r="A16">
        <v>0.93336625786250005</v>
      </c>
      <c r="B16">
        <v>2.801152918560482</v>
      </c>
      <c r="C16">
        <f t="shared" si="0"/>
        <v>2.1766131178024235</v>
      </c>
      <c r="D16">
        <f t="shared" si="1"/>
        <v>0.62453980075805848</v>
      </c>
      <c r="E16">
        <f t="shared" si="2"/>
        <v>0.39004996273091541</v>
      </c>
    </row>
    <row r="17" spans="1:5" x14ac:dyDescent="0.25">
      <c r="A17">
        <v>0.95377883933749996</v>
      </c>
      <c r="B17">
        <v>2.8134656786420664</v>
      </c>
      <c r="C17">
        <f t="shared" si="0"/>
        <v>2.378101815802002</v>
      </c>
      <c r="D17">
        <f t="shared" si="1"/>
        <v>0.43536386284006445</v>
      </c>
      <c r="E17">
        <f t="shared" si="2"/>
        <v>0.18954169306702245</v>
      </c>
    </row>
    <row r="18" spans="1:5" x14ac:dyDescent="0.25">
      <c r="A18">
        <v>0.97419142081249999</v>
      </c>
      <c r="B18">
        <v>2.841169388825632</v>
      </c>
      <c r="C18">
        <f t="shared" si="0"/>
        <v>2.5601612976441768</v>
      </c>
      <c r="D18">
        <f t="shared" si="1"/>
        <v>0.2810080911814552</v>
      </c>
      <c r="E18">
        <f t="shared" si="2"/>
        <v>7.8965547309445036E-2</v>
      </c>
    </row>
    <row r="19" spans="1:5" x14ac:dyDescent="0.25">
      <c r="A19">
        <v>0.99460400228750001</v>
      </c>
      <c r="B19">
        <v>2.9581406096006848</v>
      </c>
      <c r="C19">
        <f t="shared" si="0"/>
        <v>2.7117462736917428</v>
      </c>
      <c r="D19">
        <f t="shared" si="1"/>
        <v>0.246394335908942</v>
      </c>
      <c r="E19">
        <f t="shared" si="2"/>
        <v>6.0710168768008541E-2</v>
      </c>
    </row>
    <row r="20" spans="1:5" x14ac:dyDescent="0.25">
      <c r="A20">
        <v>1.0150165837625</v>
      </c>
      <c r="B20">
        <v>2.8042311085808782</v>
      </c>
      <c r="C20">
        <f t="shared" si="0"/>
        <v>2.821288643900389</v>
      </c>
      <c r="D20">
        <f t="shared" si="1"/>
        <v>-1.7057535319510819E-2</v>
      </c>
      <c r="E20">
        <f t="shared" si="2"/>
        <v>2.9095951117635908E-4</v>
      </c>
    </row>
    <row r="21" spans="1:5" x14ac:dyDescent="0.25">
      <c r="A21">
        <v>1.0354291652375001</v>
      </c>
      <c r="B21">
        <v>2.7888401584788975</v>
      </c>
      <c r="C21">
        <f t="shared" si="0"/>
        <v>2.877677787987218</v>
      </c>
      <c r="D21">
        <f t="shared" si="1"/>
        <v>-8.8837629508320415E-2</v>
      </c>
      <c r="E21">
        <f t="shared" si="2"/>
        <v>7.8921244166576029E-3</v>
      </c>
    </row>
    <row r="22" spans="1:5" x14ac:dyDescent="0.25">
      <c r="A22">
        <v>1.0558417467125001</v>
      </c>
      <c r="B22">
        <v>2.4533174462557188</v>
      </c>
      <c r="C22">
        <f t="shared" si="0"/>
        <v>2.8715221895124867</v>
      </c>
      <c r="D22">
        <f t="shared" si="1"/>
        <v>-0.41820474325676793</v>
      </c>
      <c r="E22">
        <f t="shared" si="2"/>
        <v>0.17489520728245919</v>
      </c>
    </row>
    <row r="23" spans="1:5" x14ac:dyDescent="0.25">
      <c r="A23">
        <v>1.0762543281874999</v>
      </c>
      <c r="B23">
        <v>2.502568486582057</v>
      </c>
      <c r="C23">
        <f t="shared" si="0"/>
        <v>2.7965860198557233</v>
      </c>
      <c r="D23">
        <f t="shared" si="1"/>
        <v>-0.29401753327366631</v>
      </c>
      <c r="E23">
        <f t="shared" si="2"/>
        <v>8.644630987233147E-2</v>
      </c>
    </row>
    <row r="24" spans="1:5" x14ac:dyDescent="0.25">
      <c r="A24">
        <v>1.0966669096624999</v>
      </c>
      <c r="B24">
        <v>2.1054819739509556</v>
      </c>
      <c r="C24">
        <f t="shared" si="0"/>
        <v>2.651205067042397</v>
      </c>
      <c r="D24">
        <f t="shared" si="1"/>
        <v>-0.5457230930914414</v>
      </c>
      <c r="E24">
        <f t="shared" si="2"/>
        <v>0.29781369433329002</v>
      </c>
    </row>
    <row r="25" spans="1:5" x14ac:dyDescent="0.25">
      <c r="A25">
        <v>1.1170794911374999</v>
      </c>
      <c r="B25">
        <v>1.9146341926863955</v>
      </c>
      <c r="C25">
        <f t="shared" si="0"/>
        <v>2.4394039177796145</v>
      </c>
      <c r="D25">
        <f t="shared" si="1"/>
        <v>-0.52476972509321906</v>
      </c>
      <c r="E25">
        <f t="shared" si="2"/>
        <v>0.27538326437441268</v>
      </c>
    </row>
    <row r="26" spans="1:5" x14ac:dyDescent="0.25">
      <c r="A26">
        <v>1.1374920726125</v>
      </c>
      <c r="B26">
        <v>1.6776135611158931</v>
      </c>
      <c r="C26">
        <f t="shared" si="0"/>
        <v>2.1713924001948204</v>
      </c>
      <c r="D26">
        <f t="shared" si="1"/>
        <v>-0.49377883907892728</v>
      </c>
      <c r="E26">
        <f t="shared" si="2"/>
        <v>0.24381754192213317</v>
      </c>
    </row>
    <row r="27" spans="1:5" x14ac:dyDescent="0.25">
      <c r="A27">
        <v>1.1579046540875</v>
      </c>
      <c r="B27">
        <v>1.489843969871729</v>
      </c>
      <c r="C27">
        <f t="shared" si="0"/>
        <v>1.8631509809991127</v>
      </c>
      <c r="D27">
        <f t="shared" si="1"/>
        <v>-0.37330701112738374</v>
      </c>
      <c r="E27">
        <f t="shared" si="2"/>
        <v>0.13935812455686061</v>
      </c>
    </row>
    <row r="28" spans="1:5" x14ac:dyDescent="0.25">
      <c r="A28">
        <v>1.1783172355625</v>
      </c>
      <c r="B28">
        <v>1.2589797183420188</v>
      </c>
      <c r="C28">
        <f t="shared" si="0"/>
        <v>1.5349504110623504</v>
      </c>
      <c r="D28">
        <f t="shared" si="1"/>
        <v>-0.27597069272033159</v>
      </c>
      <c r="E28">
        <f t="shared" si="2"/>
        <v>7.6159823240539673E-2</v>
      </c>
    </row>
    <row r="29" spans="1:5" x14ac:dyDescent="0.25">
      <c r="A29">
        <v>1.1987298170375</v>
      </c>
      <c r="B29">
        <v>0.96347347638398995</v>
      </c>
      <c r="C29">
        <f t="shared" si="0"/>
        <v>1.208890325070366</v>
      </c>
      <c r="D29">
        <f t="shared" si="1"/>
        <v>-0.24541684868637603</v>
      </c>
      <c r="E29">
        <f t="shared" si="2"/>
        <v>6.0229429619151592E-2</v>
      </c>
    </row>
    <row r="30" spans="1:5" x14ac:dyDescent="0.25">
      <c r="A30">
        <v>1.2191423985125001</v>
      </c>
      <c r="B30">
        <v>0.7510783649766567</v>
      </c>
      <c r="C30">
        <f t="shared" si="0"/>
        <v>0.90583834047231071</v>
      </c>
      <c r="D30">
        <f t="shared" si="1"/>
        <v>-0.15475997549565401</v>
      </c>
      <c r="E30">
        <f t="shared" si="2"/>
        <v>2.395065001541543E-2</v>
      </c>
    </row>
    <row r="31" spans="1:5" x14ac:dyDescent="0.25">
      <c r="A31">
        <v>1.2395549799875001</v>
      </c>
      <c r="B31">
        <v>0.6525762843239804</v>
      </c>
      <c r="C31">
        <f t="shared" si="0"/>
        <v>0.6424100226129702</v>
      </c>
      <c r="D31">
        <f t="shared" si="1"/>
        <v>1.0166261711010205E-2</v>
      </c>
      <c r="E31">
        <f t="shared" si="2"/>
        <v>1.0335287717675214E-4</v>
      </c>
    </row>
    <row r="32" spans="1:5" x14ac:dyDescent="0.25">
      <c r="A32">
        <v>1.2599675614625001</v>
      </c>
      <c r="B32">
        <v>0.41555565275347811</v>
      </c>
      <c r="C32">
        <f t="shared" si="0"/>
        <v>0.42873145817393277</v>
      </c>
      <c r="D32">
        <f t="shared" si="1"/>
        <v>-1.3175805420454656E-2</v>
      </c>
      <c r="E32">
        <f t="shared" si="2"/>
        <v>1.736018484776823E-4</v>
      </c>
    </row>
    <row r="33" spans="1:5" x14ac:dyDescent="0.25">
      <c r="A33">
        <v>1.2803801429375001</v>
      </c>
      <c r="B33">
        <v>0.45557212301862787</v>
      </c>
      <c r="C33">
        <f t="shared" si="0"/>
        <v>0.26758092676672779</v>
      </c>
      <c r="D33">
        <f t="shared" si="1"/>
        <v>0.18799119625190008</v>
      </c>
      <c r="E33">
        <f t="shared" si="2"/>
        <v>3.5340689868220414E-2</v>
      </c>
    </row>
    <row r="34" spans="1:5" x14ac:dyDescent="0.25">
      <c r="A34">
        <v>1.3007927244125002</v>
      </c>
      <c r="B34">
        <v>0.23394244155010618</v>
      </c>
      <c r="C34">
        <f t="shared" si="0"/>
        <v>0.15511812348410714</v>
      </c>
      <c r="D34">
        <f t="shared" si="1"/>
        <v>7.8824318065999044E-2</v>
      </c>
      <c r="E34">
        <f t="shared" si="2"/>
        <v>6.2132731185697834E-3</v>
      </c>
    </row>
    <row r="35" spans="1:5" x14ac:dyDescent="0.25">
      <c r="A35">
        <v>1.3212053058875002</v>
      </c>
      <c r="B35">
        <v>0.22162968146852166</v>
      </c>
      <c r="C35">
        <f t="shared" si="0"/>
        <v>8.2906151264003206E-2</v>
      </c>
      <c r="D35">
        <f t="shared" si="1"/>
        <v>0.13872353020451844</v>
      </c>
      <c r="E35">
        <f t="shared" si="2"/>
        <v>1.9244217832403942E-2</v>
      </c>
    </row>
    <row r="36" spans="1:5" x14ac:dyDescent="0.25">
      <c r="A36">
        <v>1.3416178873625002</v>
      </c>
      <c r="B36">
        <v>0.17237864114218351</v>
      </c>
      <c r="C36">
        <f t="shared" si="0"/>
        <v>4.0525411133653412E-2</v>
      </c>
      <c r="D36">
        <f t="shared" si="1"/>
        <v>0.13185323000853011</v>
      </c>
      <c r="E36">
        <f t="shared" si="2"/>
        <v>1.7385274263682346E-2</v>
      </c>
    </row>
    <row r="37" spans="1:5" x14ac:dyDescent="0.25">
      <c r="A37">
        <v>1.3620304688375</v>
      </c>
      <c r="B37">
        <v>8.0032940530299482E-2</v>
      </c>
      <c r="C37">
        <f t="shared" si="0"/>
        <v>1.7959144721051458E-2</v>
      </c>
      <c r="D37">
        <f t="shared" si="1"/>
        <v>6.2073795809248024E-2</v>
      </c>
      <c r="E37">
        <f t="shared" si="2"/>
        <v>3.8531561261682173E-3</v>
      </c>
    </row>
    <row r="38" spans="1:5" x14ac:dyDescent="0.25">
      <c r="A38">
        <v>1.3824430503125</v>
      </c>
      <c r="B38">
        <v>8.0032940530299482E-2</v>
      </c>
      <c r="C38">
        <f t="shared" si="0"/>
        <v>7.1473327210560449E-3</v>
      </c>
      <c r="D38">
        <f t="shared" si="1"/>
        <v>7.2885607809243441E-2</v>
      </c>
      <c r="E38">
        <f t="shared" si="2"/>
        <v>5.3123118257228487E-3</v>
      </c>
    </row>
    <row r="39" spans="1:5" x14ac:dyDescent="0.25">
      <c r="A39">
        <v>1.4028556317875001</v>
      </c>
      <c r="B39">
        <v>1.5390950101980671E-2</v>
      </c>
      <c r="C39">
        <f t="shared" si="0"/>
        <v>2.5283989541972584E-3</v>
      </c>
      <c r="D39">
        <f t="shared" si="1"/>
        <v>1.2862551147783412E-2</v>
      </c>
      <c r="E39">
        <f t="shared" si="2"/>
        <v>1.6544522202934436E-4</v>
      </c>
    </row>
    <row r="40" spans="1:5" x14ac:dyDescent="0.25">
      <c r="A40">
        <v>1.4232682132625001</v>
      </c>
      <c r="B40">
        <v>2.4625520163169073E-2</v>
      </c>
      <c r="C40">
        <f t="shared" si="0"/>
        <v>7.8627073032980623E-4</v>
      </c>
      <c r="D40">
        <f t="shared" si="1"/>
        <v>2.3839249432839268E-2</v>
      </c>
      <c r="E40">
        <f t="shared" si="2"/>
        <v>5.6830981352112733E-4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04FC-CB53-4F18-9659-F54EB6935D7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0.75402864981249995</v>
      </c>
      <c r="B1">
        <v>9.7221301624729681E-3</v>
      </c>
      <c r="C1">
        <f>$H$3*(1+$H$1)*(A1^($H$1))*EXP(-$H$3*(A1^(1+$H$1)))</f>
        <v>0.25488818502043215</v>
      </c>
      <c r="D1">
        <f>B1-C1</f>
        <v>-0.24516605485795917</v>
      </c>
      <c r="E1">
        <f>D1^2</f>
        <v>6.0106394454615845E-2</v>
      </c>
      <c r="G1" t="s">
        <v>0</v>
      </c>
      <c r="H1">
        <v>12.061120542110764</v>
      </c>
    </row>
    <row r="2" spans="1:8" x14ac:dyDescent="0.25">
      <c r="A2">
        <v>0.7669545834375</v>
      </c>
      <c r="B2">
        <v>3.8888520649891872E-2</v>
      </c>
      <c r="C2">
        <f t="shared" ref="C2:C40" si="0">$H$3*(1+$H$1)*(A2^($H$1))*EXP(-$H$3*(A2^(1+$H$1)))</f>
        <v>0.31172385212067111</v>
      </c>
      <c r="D2">
        <f t="shared" ref="D2:D40" si="1">B2-C2</f>
        <v>-0.27283533147077921</v>
      </c>
      <c r="E2">
        <f t="shared" ref="E2:E40" si="2">D2^2</f>
        <v>7.4439118098769963E-2</v>
      </c>
    </row>
    <row r="3" spans="1:8" x14ac:dyDescent="0.25">
      <c r="A3">
        <v>0.77988051706250006</v>
      </c>
      <c r="B3">
        <v>5.3471715893601321E-2</v>
      </c>
      <c r="C3">
        <f t="shared" si="0"/>
        <v>0.3796111413985766</v>
      </c>
      <c r="D3">
        <f t="shared" si="1"/>
        <v>-0.32613942550497527</v>
      </c>
      <c r="E3">
        <f t="shared" si="2"/>
        <v>0.10636692486871531</v>
      </c>
      <c r="G3" t="s">
        <v>1</v>
      </c>
      <c r="H3">
        <f>(_xlfn.GAMMA((2+$H$1)/(1+$H$1)))^(1+$H$1)</f>
        <v>0.59661749458841162</v>
      </c>
    </row>
    <row r="4" spans="1:8" x14ac:dyDescent="0.25">
      <c r="A4">
        <v>0.79280645068750011</v>
      </c>
      <c r="B4">
        <v>0.14583195243709451</v>
      </c>
      <c r="C4">
        <f t="shared" si="0"/>
        <v>0.4602900975249764</v>
      </c>
      <c r="D4">
        <f t="shared" si="1"/>
        <v>-0.31445814508788189</v>
      </c>
      <c r="E4">
        <f t="shared" si="2"/>
        <v>9.8883925012111379E-2</v>
      </c>
    </row>
    <row r="5" spans="1:8" x14ac:dyDescent="0.25">
      <c r="A5">
        <v>0.80573238431249994</v>
      </c>
      <c r="B5">
        <v>0.21874792865564177</v>
      </c>
      <c r="C5">
        <f t="shared" si="0"/>
        <v>0.55565792244317136</v>
      </c>
      <c r="D5">
        <f t="shared" si="1"/>
        <v>-0.33690999378752962</v>
      </c>
      <c r="E5">
        <f t="shared" si="2"/>
        <v>0.11350834391391325</v>
      </c>
      <c r="G5" t="s">
        <v>2</v>
      </c>
      <c r="H5">
        <f>SUM(E1:E40)</f>
        <v>11.291455518510508</v>
      </c>
    </row>
    <row r="6" spans="1:8" x14ac:dyDescent="0.25">
      <c r="A6">
        <v>0.81865831793749999</v>
      </c>
      <c r="B6">
        <v>0.41319053190510113</v>
      </c>
      <c r="C6">
        <f t="shared" si="0"/>
        <v>0.66774135894178721</v>
      </c>
      <c r="D6">
        <f t="shared" si="1"/>
        <v>-0.25455082703668608</v>
      </c>
      <c r="E6">
        <f t="shared" si="2"/>
        <v>6.4796123545060869E-2</v>
      </c>
    </row>
    <row r="7" spans="1:8" x14ac:dyDescent="0.25">
      <c r="A7">
        <v>0.83158425156250004</v>
      </c>
      <c r="B7">
        <v>0.59791100499208749</v>
      </c>
      <c r="C7">
        <f t="shared" si="0"/>
        <v>0.79864829308075691</v>
      </c>
      <c r="D7">
        <f t="shared" si="1"/>
        <v>-0.20073728808866942</v>
      </c>
      <c r="E7">
        <f t="shared" si="2"/>
        <v>4.0295458829193463E-2</v>
      </c>
    </row>
    <row r="8" spans="1:8" x14ac:dyDescent="0.25">
      <c r="A8">
        <v>0.8445101851875001</v>
      </c>
      <c r="B8">
        <v>0.95276875592235089</v>
      </c>
      <c r="C8">
        <f t="shared" si="0"/>
        <v>0.95049167042652605</v>
      </c>
      <c r="D8">
        <f t="shared" si="1"/>
        <v>2.2770854958248377E-3</v>
      </c>
      <c r="E8">
        <f t="shared" si="2"/>
        <v>5.1851183552958469E-6</v>
      </c>
    </row>
    <row r="9" spans="1:8" x14ac:dyDescent="0.25">
      <c r="A9">
        <v>0.85743611881250004</v>
      </c>
      <c r="B9">
        <v>1.2104052052278844</v>
      </c>
      <c r="C9">
        <f t="shared" si="0"/>
        <v>1.1252776643661411</v>
      </c>
      <c r="D9">
        <f t="shared" si="1"/>
        <v>8.5127540861743345E-2</v>
      </c>
      <c r="E9">
        <f t="shared" si="2"/>
        <v>7.2466982131677831E-3</v>
      </c>
    </row>
    <row r="10" spans="1:8" x14ac:dyDescent="0.25">
      <c r="A10">
        <v>0.87036205243749998</v>
      </c>
      <c r="B10">
        <v>1.6381789323766951</v>
      </c>
      <c r="C10">
        <f t="shared" si="0"/>
        <v>1.3247492148737117</v>
      </c>
      <c r="D10">
        <f t="shared" si="1"/>
        <v>0.31342971750298343</v>
      </c>
      <c r="E10">
        <f t="shared" si="2"/>
        <v>9.8238187813999997E-2</v>
      </c>
    </row>
    <row r="11" spans="1:8" x14ac:dyDescent="0.25">
      <c r="A11">
        <v>0.88328798606250003</v>
      </c>
      <c r="B11">
        <v>2.0999801150941608</v>
      </c>
      <c r="C11">
        <f t="shared" si="0"/>
        <v>1.5501759857261828</v>
      </c>
      <c r="D11">
        <f t="shared" si="1"/>
        <v>0.54980412936797807</v>
      </c>
      <c r="E11">
        <f t="shared" si="2"/>
        <v>0.30228458067008035</v>
      </c>
    </row>
    <row r="12" spans="1:8" x14ac:dyDescent="0.25">
      <c r="A12">
        <v>0.89621391968749997</v>
      </c>
      <c r="B12">
        <v>2.3527554993184583</v>
      </c>
      <c r="C12">
        <f t="shared" si="0"/>
        <v>1.8020830812309929</v>
      </c>
      <c r="D12">
        <f t="shared" si="1"/>
        <v>0.55067241808746537</v>
      </c>
      <c r="E12">
        <f t="shared" si="2"/>
        <v>0.30324011204229623</v>
      </c>
    </row>
    <row r="13" spans="1:8" x14ac:dyDescent="0.25">
      <c r="A13">
        <v>0.90913985331249991</v>
      </c>
      <c r="B13">
        <v>2.8485841376045795</v>
      </c>
      <c r="C13">
        <f t="shared" si="0"/>
        <v>2.0799143700401679</v>
      </c>
      <c r="D13">
        <f t="shared" si="1"/>
        <v>0.76866976756441163</v>
      </c>
      <c r="E13">
        <f t="shared" si="2"/>
        <v>0.59085321156752657</v>
      </c>
    </row>
    <row r="14" spans="1:8" x14ac:dyDescent="0.25">
      <c r="A14">
        <v>0.92206578693749996</v>
      </c>
      <c r="B14">
        <v>3.2714967996721538</v>
      </c>
      <c r="C14">
        <f t="shared" si="0"/>
        <v>2.3816330674218369</v>
      </c>
      <c r="D14">
        <f t="shared" si="1"/>
        <v>0.8898637322503169</v>
      </c>
      <c r="E14">
        <f t="shared" si="2"/>
        <v>0.79185746197446372</v>
      </c>
    </row>
    <row r="15" spans="1:8" x14ac:dyDescent="0.25">
      <c r="A15">
        <v>0.93499172056250002</v>
      </c>
      <c r="B15">
        <v>3.8256582189331128</v>
      </c>
      <c r="C15">
        <f t="shared" si="0"/>
        <v>2.7032735632407983</v>
      </c>
      <c r="D15">
        <f t="shared" si="1"/>
        <v>1.1223846556923145</v>
      </c>
      <c r="E15">
        <f t="shared" si="2"/>
        <v>1.2597473153335554</v>
      </c>
    </row>
    <row r="16" spans="1:8" x14ac:dyDescent="0.25">
      <c r="A16">
        <v>0.94791765418750007</v>
      </c>
      <c r="B16">
        <v>4.0638504079137006</v>
      </c>
      <c r="C16">
        <f t="shared" si="0"/>
        <v>3.0384755085405573</v>
      </c>
      <c r="D16">
        <f t="shared" si="1"/>
        <v>1.0253748993731433</v>
      </c>
      <c r="E16">
        <f t="shared" si="2"/>
        <v>1.0513936842644838</v>
      </c>
    </row>
    <row r="17" spans="1:5" x14ac:dyDescent="0.25">
      <c r="A17">
        <v>0.96084358781250012</v>
      </c>
      <c r="B17">
        <v>4.3506532477066528</v>
      </c>
      <c r="C17">
        <f t="shared" si="0"/>
        <v>3.3780545139100129</v>
      </c>
      <c r="D17">
        <f t="shared" si="1"/>
        <v>0.97259873379663997</v>
      </c>
      <c r="E17">
        <f t="shared" si="2"/>
        <v>0.94594829698282734</v>
      </c>
    </row>
    <row r="18" spans="1:5" x14ac:dyDescent="0.25">
      <c r="A18">
        <v>0.97376952143750006</v>
      </c>
      <c r="B18">
        <v>4.1853770349446124</v>
      </c>
      <c r="C18">
        <f t="shared" si="0"/>
        <v>3.7096927955981913</v>
      </c>
      <c r="D18">
        <f t="shared" si="1"/>
        <v>0.47568423934642112</v>
      </c>
      <c r="E18">
        <f t="shared" si="2"/>
        <v>0.22627549556258325</v>
      </c>
    </row>
    <row r="19" spans="1:5" x14ac:dyDescent="0.25">
      <c r="A19">
        <v>0.9866954550625</v>
      </c>
      <c r="B19">
        <v>4.7055109986369166</v>
      </c>
      <c r="C19">
        <f t="shared" si="0"/>
        <v>4.0178646570403433</v>
      </c>
      <c r="D19">
        <f t="shared" si="1"/>
        <v>0.68764634159657323</v>
      </c>
      <c r="E19">
        <f t="shared" si="2"/>
        <v>0.47285749111115105</v>
      </c>
    </row>
    <row r="20" spans="1:5" x14ac:dyDescent="0.25">
      <c r="A20">
        <v>0.99962138868750006</v>
      </c>
      <c r="B20">
        <v>4.6763446081494973</v>
      </c>
      <c r="C20">
        <f t="shared" si="0"/>
        <v>4.2841390042403447</v>
      </c>
      <c r="D20">
        <f t="shared" si="1"/>
        <v>0.3922056039091526</v>
      </c>
      <c r="E20">
        <f t="shared" si="2"/>
        <v>0.15382523573774309</v>
      </c>
    </row>
    <row r="21" spans="1:5" x14ac:dyDescent="0.25">
      <c r="A21">
        <v>1.0125473223125001</v>
      </c>
      <c r="B21">
        <v>4.4089860286814906</v>
      </c>
      <c r="C21">
        <f t="shared" si="0"/>
        <v>4.4880124419470873</v>
      </c>
      <c r="D21">
        <f t="shared" si="1"/>
        <v>-7.9026413265596673E-2</v>
      </c>
      <c r="E21">
        <f t="shared" si="2"/>
        <v>6.2451739936248739E-3</v>
      </c>
    </row>
    <row r="22" spans="1:5" x14ac:dyDescent="0.25">
      <c r="A22">
        <v>1.0254732559375002</v>
      </c>
      <c r="B22">
        <v>4.3069036619755243</v>
      </c>
      <c r="C22">
        <f t="shared" si="0"/>
        <v>4.6084050641139704</v>
      </c>
      <c r="D22">
        <f t="shared" si="1"/>
        <v>-0.30150140213844612</v>
      </c>
      <c r="E22">
        <f t="shared" si="2"/>
        <v>9.0903095491448996E-2</v>
      </c>
    </row>
    <row r="23" spans="1:5" x14ac:dyDescent="0.25">
      <c r="A23">
        <v>1.0383991895625</v>
      </c>
      <c r="B23">
        <v>4.020100822182572</v>
      </c>
      <c r="C23">
        <f t="shared" si="0"/>
        <v>4.6258770658060318</v>
      </c>
      <c r="D23">
        <f t="shared" si="1"/>
        <v>-0.60577624362345972</v>
      </c>
      <c r="E23">
        <f t="shared" si="2"/>
        <v>0.36696485733854922</v>
      </c>
    </row>
    <row r="24" spans="1:5" x14ac:dyDescent="0.25">
      <c r="A24">
        <v>1.0513251231875</v>
      </c>
      <c r="B24">
        <v>3.7916307633644575</v>
      </c>
      <c r="C24">
        <f t="shared" si="0"/>
        <v>4.5254811732738336</v>
      </c>
      <c r="D24">
        <f t="shared" si="1"/>
        <v>-0.73385040990937611</v>
      </c>
      <c r="E24">
        <f t="shared" si="2"/>
        <v>0.53853642412415936</v>
      </c>
    </row>
    <row r="25" spans="1:5" x14ac:dyDescent="0.25">
      <c r="A25">
        <v>1.0642510568125001</v>
      </c>
      <c r="B25">
        <v>3.3978844917843021</v>
      </c>
      <c r="C25">
        <f t="shared" si="0"/>
        <v>4.2999514667990466</v>
      </c>
      <c r="D25">
        <f t="shared" si="1"/>
        <v>-0.90206697501474453</v>
      </c>
      <c r="E25">
        <f t="shared" si="2"/>
        <v>0.81372482741225172</v>
      </c>
    </row>
    <row r="26" spans="1:5" x14ac:dyDescent="0.25">
      <c r="A26">
        <v>1.0771769904374999</v>
      </c>
      <c r="B26">
        <v>3.0041382202041471</v>
      </c>
      <c r="C26">
        <f t="shared" si="0"/>
        <v>3.9526711452514189</v>
      </c>
      <c r="D26">
        <f t="shared" si="1"/>
        <v>-0.94853292504727182</v>
      </c>
      <c r="E26">
        <f t="shared" si="2"/>
        <v>0.89971470989873337</v>
      </c>
    </row>
    <row r="27" spans="1:5" x14ac:dyDescent="0.25">
      <c r="A27">
        <v>1.0901029240625</v>
      </c>
      <c r="B27">
        <v>2.6055308835427553</v>
      </c>
      <c r="C27">
        <f t="shared" si="0"/>
        <v>3.4996317449961918</v>
      </c>
      <c r="D27">
        <f t="shared" si="1"/>
        <v>-0.89410086145343648</v>
      </c>
      <c r="E27">
        <f t="shared" si="2"/>
        <v>0.79941635045177717</v>
      </c>
    </row>
    <row r="28" spans="1:5" x14ac:dyDescent="0.25">
      <c r="A28">
        <v>1.1030288576875</v>
      </c>
      <c r="B28">
        <v>2.3673386945621675</v>
      </c>
      <c r="C28">
        <f t="shared" si="0"/>
        <v>2.9695110144333738</v>
      </c>
      <c r="D28">
        <f t="shared" si="1"/>
        <v>-0.60217231987120634</v>
      </c>
      <c r="E28">
        <f t="shared" si="2"/>
        <v>0.36261150281907045</v>
      </c>
    </row>
    <row r="29" spans="1:5" x14ac:dyDescent="0.25">
      <c r="A29">
        <v>1.1159547913125001</v>
      </c>
      <c r="B29">
        <v>1.9006764467634651</v>
      </c>
      <c r="C29">
        <f t="shared" si="0"/>
        <v>2.4011907399390666</v>
      </c>
      <c r="D29">
        <f t="shared" si="1"/>
        <v>-0.50051429317560148</v>
      </c>
      <c r="E29">
        <f t="shared" si="2"/>
        <v>0.25051455767307196</v>
      </c>
    </row>
    <row r="30" spans="1:5" x14ac:dyDescent="0.25">
      <c r="A30">
        <v>1.1288807249375001</v>
      </c>
      <c r="B30">
        <v>1.4729027196146547</v>
      </c>
      <c r="C30">
        <f t="shared" si="0"/>
        <v>1.8385957687326611</v>
      </c>
      <c r="D30">
        <f t="shared" si="1"/>
        <v>-0.36569304911800637</v>
      </c>
      <c r="E30">
        <f t="shared" si="2"/>
        <v>0.13373140617322463</v>
      </c>
    </row>
    <row r="31" spans="1:5" x14ac:dyDescent="0.25">
      <c r="A31">
        <v>1.1418066585625</v>
      </c>
      <c r="B31">
        <v>1.1472113591718103</v>
      </c>
      <c r="C31">
        <f t="shared" si="0"/>
        <v>1.3236058781754989</v>
      </c>
      <c r="D31">
        <f t="shared" si="1"/>
        <v>-0.17639451900368863</v>
      </c>
      <c r="E31">
        <f t="shared" si="2"/>
        <v>3.1115026334542668E-2</v>
      </c>
    </row>
    <row r="32" spans="1:5" x14ac:dyDescent="0.25">
      <c r="A32">
        <v>1.1547325921875</v>
      </c>
      <c r="B32">
        <v>0.93332449559740494</v>
      </c>
      <c r="C32">
        <f t="shared" si="0"/>
        <v>0.88870455187399655</v>
      </c>
      <c r="D32">
        <f t="shared" si="1"/>
        <v>4.4619943723408384E-2</v>
      </c>
      <c r="E32">
        <f t="shared" si="2"/>
        <v>1.9909393778801314E-3</v>
      </c>
    </row>
    <row r="33" spans="1:5" x14ac:dyDescent="0.25">
      <c r="A33">
        <v>1.1676585258125001</v>
      </c>
      <c r="B33">
        <v>0.69999337169805365</v>
      </c>
      <c r="C33">
        <f t="shared" si="0"/>
        <v>0.55153489443754056</v>
      </c>
      <c r="D33">
        <f t="shared" si="1"/>
        <v>0.14845847726051309</v>
      </c>
      <c r="E33">
        <f t="shared" si="2"/>
        <v>2.2039919470510282E-2</v>
      </c>
    </row>
    <row r="34" spans="1:5" x14ac:dyDescent="0.25">
      <c r="A34">
        <v>1.1805844594375001</v>
      </c>
      <c r="B34">
        <v>0.54930035417972267</v>
      </c>
      <c r="C34">
        <f t="shared" si="0"/>
        <v>0.31320440551187262</v>
      </c>
      <c r="D34">
        <f t="shared" si="1"/>
        <v>0.23609594866785005</v>
      </c>
      <c r="E34">
        <f t="shared" si="2"/>
        <v>5.5741296977372089E-2</v>
      </c>
    </row>
    <row r="35" spans="1:5" x14ac:dyDescent="0.25">
      <c r="A35">
        <v>1.1935103930625002</v>
      </c>
      <c r="B35">
        <v>0.38402414141768221</v>
      </c>
      <c r="C35">
        <f t="shared" si="0"/>
        <v>0.16092615544298713</v>
      </c>
      <c r="D35">
        <f t="shared" si="1"/>
        <v>0.22309798597469507</v>
      </c>
      <c r="E35">
        <f t="shared" si="2"/>
        <v>4.977271134596524E-2</v>
      </c>
    </row>
    <row r="36" spans="1:5" x14ac:dyDescent="0.25">
      <c r="A36">
        <v>1.2064363266875</v>
      </c>
      <c r="B36">
        <v>0.34027455568655385</v>
      </c>
      <c r="C36">
        <f t="shared" si="0"/>
        <v>7.3875756528433034E-2</v>
      </c>
      <c r="D36">
        <f t="shared" si="1"/>
        <v>0.26639879915812081</v>
      </c>
      <c r="E36">
        <f t="shared" si="2"/>
        <v>7.096832019288879E-2</v>
      </c>
    </row>
    <row r="37" spans="1:5" x14ac:dyDescent="0.25">
      <c r="A37">
        <v>1.2193622603125001</v>
      </c>
      <c r="B37">
        <v>0.1798594080057499</v>
      </c>
      <c r="C37">
        <f t="shared" si="0"/>
        <v>2.9878250832847789E-2</v>
      </c>
      <c r="D37">
        <f t="shared" si="1"/>
        <v>0.14998115717290211</v>
      </c>
      <c r="E37">
        <f t="shared" si="2"/>
        <v>2.2494347506922766E-2</v>
      </c>
    </row>
    <row r="38" spans="1:5" x14ac:dyDescent="0.25">
      <c r="A38">
        <v>1.2322881939375001</v>
      </c>
      <c r="B38">
        <v>0.10694343178720264</v>
      </c>
      <c r="C38">
        <f t="shared" si="0"/>
        <v>1.0480737397811924E-2</v>
      </c>
      <c r="D38">
        <f t="shared" si="1"/>
        <v>9.6462694389390716E-2</v>
      </c>
      <c r="E38">
        <f t="shared" si="2"/>
        <v>9.3050514088609919E-3</v>
      </c>
    </row>
    <row r="39" spans="1:5" x14ac:dyDescent="0.25">
      <c r="A39">
        <v>1.2452141275624999</v>
      </c>
      <c r="B39">
        <v>4.3749585731128353E-2</v>
      </c>
      <c r="C39">
        <f t="shared" si="0"/>
        <v>3.1336546828962895E-3</v>
      </c>
      <c r="D39">
        <f t="shared" si="1"/>
        <v>4.0615931048232065E-2</v>
      </c>
      <c r="E39">
        <f t="shared" si="2"/>
        <v>1.6496538549147415E-3</v>
      </c>
    </row>
    <row r="40" spans="1:5" x14ac:dyDescent="0.25">
      <c r="A40">
        <v>1.2581400611875</v>
      </c>
      <c r="B40">
        <v>4.3749585731128353E-2</v>
      </c>
      <c r="C40">
        <f t="shared" si="0"/>
        <v>7.833018549699962E-4</v>
      </c>
      <c r="D40">
        <f t="shared" si="1"/>
        <v>4.2966283876158355E-2</v>
      </c>
      <c r="E40">
        <f t="shared" si="2"/>
        <v>1.8461015501266254E-3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45E3-662E-4D13-A744-1DEB384E3B7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0.82320027654999994</v>
      </c>
      <c r="B1">
        <v>1.3714477392539538E-2</v>
      </c>
      <c r="C1">
        <f>$H$3*(1+$H$1)*(A1^($H$1))*EXP(-$H$3*(A1^(1+$H$1)))</f>
        <v>0.35494501909750037</v>
      </c>
      <c r="D1">
        <f>B1-C1</f>
        <v>-0.34123054170496081</v>
      </c>
      <c r="E1">
        <f>D1^2</f>
        <v>0.11643828259226099</v>
      </c>
      <c r="G1" t="s">
        <v>0</v>
      </c>
      <c r="H1">
        <v>17.492247738893521</v>
      </c>
    </row>
    <row r="2" spans="1:8" x14ac:dyDescent="0.25">
      <c r="A2">
        <v>0.83236341165000005</v>
      </c>
      <c r="B2">
        <v>6.1715148266427919E-2</v>
      </c>
      <c r="C2">
        <f t="shared" ref="C2:C40" si="0">$H$3*(1+$H$1)*(A2^($H$1))*EXP(-$H$3*(A2^(1+$H$1)))</f>
        <v>0.42921073401825061</v>
      </c>
      <c r="D2">
        <f t="shared" ref="D2:D40" si="1">B2-C2</f>
        <v>-0.36749558575182267</v>
      </c>
      <c r="E2">
        <f t="shared" ref="E2:E40" si="2">D2^2</f>
        <v>0.13505300554707525</v>
      </c>
    </row>
    <row r="3" spans="1:8" x14ac:dyDescent="0.25">
      <c r="A3">
        <v>0.84152654674999994</v>
      </c>
      <c r="B3">
        <v>6.8572386962697685E-2</v>
      </c>
      <c r="C3">
        <f t="shared" si="0"/>
        <v>0.51751511902205416</v>
      </c>
      <c r="D3">
        <f t="shared" si="1"/>
        <v>-0.44894273205935648</v>
      </c>
      <c r="E3">
        <f t="shared" si="2"/>
        <v>0.20154957666891915</v>
      </c>
      <c r="G3" t="s">
        <v>1</v>
      </c>
      <c r="H3">
        <f>(_xlfn.GAMMA((2+$H$1)/(1+$H$1)))^(1+$H$1)</f>
        <v>0.58633148145191682</v>
      </c>
    </row>
    <row r="4" spans="1:8" x14ac:dyDescent="0.25">
      <c r="A4">
        <v>0.85068968185000005</v>
      </c>
      <c r="B4">
        <v>0.19200268349555352</v>
      </c>
      <c r="C4">
        <f t="shared" si="0"/>
        <v>0.62211675527555754</v>
      </c>
      <c r="D4">
        <f t="shared" si="1"/>
        <v>-0.43011407178000405</v>
      </c>
      <c r="E4">
        <f t="shared" si="2"/>
        <v>0.18499811474317449</v>
      </c>
    </row>
    <row r="5" spans="1:8" x14ac:dyDescent="0.25">
      <c r="A5">
        <v>0.85985281695000004</v>
      </c>
      <c r="B5">
        <v>0.2880040252433303</v>
      </c>
      <c r="C5">
        <f t="shared" si="0"/>
        <v>0.74551724103453854</v>
      </c>
      <c r="D5">
        <f t="shared" si="1"/>
        <v>-0.45751321579120824</v>
      </c>
      <c r="E5">
        <f t="shared" si="2"/>
        <v>0.20931834262361268</v>
      </c>
      <c r="G5" t="s">
        <v>2</v>
      </c>
      <c r="H5">
        <f>SUM(E1:E40)</f>
        <v>24.457272451344835</v>
      </c>
    </row>
    <row r="6" spans="1:8" x14ac:dyDescent="0.25">
      <c r="A6">
        <v>0.86901595205000004</v>
      </c>
      <c r="B6">
        <v>0.55543633439785123</v>
      </c>
      <c r="C6">
        <f t="shared" si="0"/>
        <v>0.89044287072342776</v>
      </c>
      <c r="D6">
        <f t="shared" si="1"/>
        <v>-0.33500653632557653</v>
      </c>
      <c r="E6">
        <f t="shared" si="2"/>
        <v>0.11222937938085983</v>
      </c>
    </row>
    <row r="7" spans="1:8" x14ac:dyDescent="0.25">
      <c r="A7">
        <v>0.87817908714999993</v>
      </c>
      <c r="B7">
        <v>0.83658312094491183</v>
      </c>
      <c r="C7">
        <f t="shared" si="0"/>
        <v>1.0598035321740427</v>
      </c>
      <c r="D7">
        <f t="shared" si="1"/>
        <v>-0.22322041122913083</v>
      </c>
      <c r="E7">
        <f t="shared" si="2"/>
        <v>4.9827351989302278E-2</v>
      </c>
    </row>
    <row r="8" spans="1:8" x14ac:dyDescent="0.25">
      <c r="A8">
        <v>0.88734222225000003</v>
      </c>
      <c r="B8">
        <v>1.1177299074919724</v>
      </c>
      <c r="C8">
        <f t="shared" si="0"/>
        <v>1.2566198677728269</v>
      </c>
      <c r="D8">
        <f t="shared" si="1"/>
        <v>-0.13888996028085443</v>
      </c>
      <c r="E8">
        <f t="shared" si="2"/>
        <v>1.9290421066817321E-2</v>
      </c>
    </row>
    <row r="9" spans="1:8" x14ac:dyDescent="0.25">
      <c r="A9">
        <v>0.89650535735000003</v>
      </c>
      <c r="B9">
        <v>1.7074524353711724</v>
      </c>
      <c r="C9">
        <f t="shared" si="0"/>
        <v>1.4839076158728146</v>
      </c>
      <c r="D9">
        <f t="shared" si="1"/>
        <v>0.22354481949835781</v>
      </c>
      <c r="E9">
        <f t="shared" si="2"/>
        <v>4.9972286324553375E-2</v>
      </c>
    </row>
    <row r="10" spans="1:8" x14ac:dyDescent="0.25">
      <c r="A10">
        <v>0.90566849245000003</v>
      </c>
      <c r="B10">
        <v>2.0023136993107724</v>
      </c>
      <c r="C10">
        <f t="shared" si="0"/>
        <v>1.7445059616340202</v>
      </c>
      <c r="D10">
        <f t="shared" si="1"/>
        <v>0.25780773767675225</v>
      </c>
      <c r="E10">
        <f t="shared" si="2"/>
        <v>6.6464829606005096E-2</v>
      </c>
    </row>
    <row r="11" spans="1:8" x14ac:dyDescent="0.25">
      <c r="A11">
        <v>0.91483162755000003</v>
      </c>
      <c r="B11">
        <v>2.7566099559004469</v>
      </c>
      <c r="C11">
        <f t="shared" si="0"/>
        <v>2.0408350916555782</v>
      </c>
      <c r="D11">
        <f t="shared" si="1"/>
        <v>0.71577486424486869</v>
      </c>
      <c r="E11">
        <f t="shared" si="2"/>
        <v>0.51233365628476024</v>
      </c>
    </row>
    <row r="12" spans="1:8" x14ac:dyDescent="0.25">
      <c r="A12">
        <v>0.92399476265000002</v>
      </c>
      <c r="B12">
        <v>3.0446139811437773</v>
      </c>
      <c r="C12">
        <f t="shared" si="0"/>
        <v>2.3745676524013897</v>
      </c>
      <c r="D12">
        <f t="shared" si="1"/>
        <v>0.67004632874238768</v>
      </c>
      <c r="E12">
        <f t="shared" si="2"/>
        <v>0.44896208266115184</v>
      </c>
    </row>
    <row r="13" spans="1:8" x14ac:dyDescent="0.25">
      <c r="A13">
        <v>0.93315789775000002</v>
      </c>
      <c r="B13">
        <v>3.9977701599252753</v>
      </c>
      <c r="C13">
        <f t="shared" si="0"/>
        <v>2.7462005239863569</v>
      </c>
      <c r="D13">
        <f t="shared" si="1"/>
        <v>1.2515696359389183</v>
      </c>
      <c r="E13">
        <f t="shared" si="2"/>
        <v>1.5664265536042765</v>
      </c>
    </row>
    <row r="14" spans="1:8" x14ac:dyDescent="0.25">
      <c r="A14">
        <v>0.94232103285000002</v>
      </c>
      <c r="B14">
        <v>4.3749182882201127</v>
      </c>
      <c r="C14">
        <f t="shared" si="0"/>
        <v>3.1545187715236014</v>
      </c>
      <c r="D14">
        <f t="shared" si="1"/>
        <v>1.2203995166965114</v>
      </c>
      <c r="E14">
        <f t="shared" si="2"/>
        <v>1.4893749803530785</v>
      </c>
    </row>
    <row r="15" spans="1:8" x14ac:dyDescent="0.25">
      <c r="A15">
        <v>0.95148416795000013</v>
      </c>
      <c r="B15">
        <v>5.1017855900247078</v>
      </c>
      <c r="C15">
        <f t="shared" si="0"/>
        <v>3.595954860708408</v>
      </c>
      <c r="D15">
        <f t="shared" si="1"/>
        <v>1.5058307293162998</v>
      </c>
      <c r="E15">
        <f t="shared" si="2"/>
        <v>2.2675261853532596</v>
      </c>
    </row>
    <row r="16" spans="1:8" x14ac:dyDescent="0.25">
      <c r="A16">
        <v>0.96064730305000001</v>
      </c>
      <c r="B16">
        <v>5.5132199118008938</v>
      </c>
      <c r="C16">
        <f t="shared" si="0"/>
        <v>4.0638656509031632</v>
      </c>
      <c r="D16">
        <f t="shared" si="1"/>
        <v>1.4493542608977306</v>
      </c>
      <c r="E16">
        <f t="shared" si="2"/>
        <v>2.1006277735824068</v>
      </c>
    </row>
    <row r="17" spans="1:5" x14ac:dyDescent="0.25">
      <c r="A17">
        <v>0.96981043815000001</v>
      </c>
      <c r="B17">
        <v>6.1097996783763637</v>
      </c>
      <c r="C17">
        <f t="shared" si="0"/>
        <v>4.5477797413471093</v>
      </c>
      <c r="D17">
        <f t="shared" si="1"/>
        <v>1.5620199370292545</v>
      </c>
      <c r="E17">
        <f t="shared" si="2"/>
        <v>2.4399062836768759</v>
      </c>
    </row>
    <row r="18" spans="1:5" x14ac:dyDescent="0.25">
      <c r="A18">
        <v>0.97897357325000001</v>
      </c>
      <c r="B18">
        <v>5.9246542335770807</v>
      </c>
      <c r="C18">
        <f t="shared" si="0"/>
        <v>5.032710023684718</v>
      </c>
      <c r="D18">
        <f t="shared" si="1"/>
        <v>0.89194420989236267</v>
      </c>
      <c r="E18">
        <f t="shared" si="2"/>
        <v>0.79556447356051108</v>
      </c>
    </row>
    <row r="19" spans="1:5" x14ac:dyDescent="0.25">
      <c r="A19">
        <v>0.98813670835</v>
      </c>
      <c r="B19">
        <v>6.3703747488346156</v>
      </c>
      <c r="C19">
        <f t="shared" si="0"/>
        <v>5.4986799666687514</v>
      </c>
      <c r="D19">
        <f t="shared" si="1"/>
        <v>0.87169478216586427</v>
      </c>
      <c r="E19">
        <f t="shared" si="2"/>
        <v>0.75985179325519359</v>
      </c>
    </row>
    <row r="20" spans="1:5" x14ac:dyDescent="0.25">
      <c r="A20">
        <v>0.99729984345</v>
      </c>
      <c r="B20">
        <v>6.7338083997369127</v>
      </c>
      <c r="C20">
        <f t="shared" si="0"/>
        <v>5.9206716384743263</v>
      </c>
      <c r="D20">
        <f t="shared" si="1"/>
        <v>0.81313676126258638</v>
      </c>
      <c r="E20">
        <f t="shared" si="2"/>
        <v>0.66119139251660841</v>
      </c>
    </row>
    <row r="21" spans="1:5" x14ac:dyDescent="0.25">
      <c r="A21">
        <v>1.0064629785500001</v>
      </c>
      <c r="B21">
        <v>6.3498030327458057</v>
      </c>
      <c r="C21">
        <f t="shared" si="0"/>
        <v>6.2692553647987506</v>
      </c>
      <c r="D21">
        <f t="shared" si="1"/>
        <v>8.0547667947055146E-2</v>
      </c>
      <c r="E21">
        <f t="shared" si="2"/>
        <v>6.4879268117090548E-3</v>
      </c>
    </row>
    <row r="22" spans="1:5" x14ac:dyDescent="0.25">
      <c r="A22">
        <v>1.01562611365</v>
      </c>
      <c r="B22">
        <v>6.1646575879465226</v>
      </c>
      <c r="C22">
        <f t="shared" si="0"/>
        <v>6.512181129303432</v>
      </c>
      <c r="D22">
        <f t="shared" si="1"/>
        <v>-0.34752354135690933</v>
      </c>
      <c r="E22">
        <f t="shared" si="2"/>
        <v>0.12077261179724746</v>
      </c>
    </row>
    <row r="23" spans="1:5" x14ac:dyDescent="0.25">
      <c r="A23">
        <v>1.0247892487499999</v>
      </c>
      <c r="B23">
        <v>5.7257943113852567</v>
      </c>
      <c r="C23">
        <f t="shared" si="0"/>
        <v>6.617164714964086</v>
      </c>
      <c r="D23">
        <f t="shared" si="1"/>
        <v>-0.89137040357882924</v>
      </c>
      <c r="E23">
        <f t="shared" si="2"/>
        <v>0.79454119637628495</v>
      </c>
    </row>
    <row r="24" spans="1:5" x14ac:dyDescent="0.25">
      <c r="A24">
        <v>1.03395238385</v>
      </c>
      <c r="B24">
        <v>5.5612205826747827</v>
      </c>
      <c r="C24">
        <f t="shared" si="0"/>
        <v>6.5559446017467975</v>
      </c>
      <c r="D24">
        <f t="shared" si="1"/>
        <v>-0.9947240190720148</v>
      </c>
      <c r="E24">
        <f t="shared" si="2"/>
        <v>0.98947587411878202</v>
      </c>
    </row>
    <row r="25" spans="1:5" x14ac:dyDescent="0.25">
      <c r="A25">
        <v>1.0431155189500001</v>
      </c>
      <c r="B25">
        <v>4.9166401452254247</v>
      </c>
      <c r="C25">
        <f t="shared" si="0"/>
        <v>6.309383739671107</v>
      </c>
      <c r="D25">
        <f t="shared" si="1"/>
        <v>-1.3927435944456823</v>
      </c>
      <c r="E25">
        <f t="shared" si="2"/>
        <v>1.9397347198694792</v>
      </c>
    </row>
    <row r="26" spans="1:5" x14ac:dyDescent="0.25">
      <c r="A26">
        <v>1.05227865405</v>
      </c>
      <c r="B26">
        <v>4.7794953713000288</v>
      </c>
      <c r="C26">
        <f t="shared" si="0"/>
        <v>5.8729435769935829</v>
      </c>
      <c r="D26">
        <f t="shared" si="1"/>
        <v>-1.0934482056935542</v>
      </c>
      <c r="E26">
        <f t="shared" si="2"/>
        <v>1.1956289785344532</v>
      </c>
    </row>
    <row r="27" spans="1:5" x14ac:dyDescent="0.25">
      <c r="A27">
        <v>1.0614417891499999</v>
      </c>
      <c r="B27">
        <v>3.7371950894670243</v>
      </c>
      <c r="C27">
        <f t="shared" si="0"/>
        <v>5.2613394435484819</v>
      </c>
      <c r="D27">
        <f t="shared" si="1"/>
        <v>-1.5241443540814577</v>
      </c>
      <c r="E27">
        <f t="shared" si="2"/>
        <v>2.3230160120783836</v>
      </c>
    </row>
    <row r="28" spans="1:5" x14ac:dyDescent="0.25">
      <c r="A28">
        <v>1.07060492425</v>
      </c>
      <c r="B28">
        <v>3.3051890516020288</v>
      </c>
      <c r="C28">
        <f t="shared" si="0"/>
        <v>4.5107762276864891</v>
      </c>
      <c r="D28">
        <f t="shared" si="1"/>
        <v>-1.2055871760844603</v>
      </c>
      <c r="E28">
        <f t="shared" si="2"/>
        <v>1.4534404391393034</v>
      </c>
    </row>
    <row r="29" spans="1:5" x14ac:dyDescent="0.25">
      <c r="A29">
        <v>1.0797680593500001</v>
      </c>
      <c r="B29">
        <v>2.9417554006997308</v>
      </c>
      <c r="C29">
        <f t="shared" si="0"/>
        <v>3.67714194386794</v>
      </c>
      <c r="D29">
        <f t="shared" si="1"/>
        <v>-0.73538654316820917</v>
      </c>
      <c r="E29">
        <f t="shared" si="2"/>
        <v>0.54079336787288834</v>
      </c>
    </row>
    <row r="30" spans="1:5" x14ac:dyDescent="0.25">
      <c r="A30">
        <v>1.08893119445</v>
      </c>
      <c r="B30">
        <v>2.2011736215025959</v>
      </c>
      <c r="C30">
        <f t="shared" si="0"/>
        <v>2.8291981650355611</v>
      </c>
      <c r="D30">
        <f t="shared" si="1"/>
        <v>-0.62802454353296522</v>
      </c>
      <c r="E30">
        <f t="shared" si="2"/>
        <v>0.39441482727978933</v>
      </c>
    </row>
    <row r="31" spans="1:5" x14ac:dyDescent="0.25">
      <c r="A31">
        <v>1.0980943295500001</v>
      </c>
      <c r="B31">
        <v>1.8994551188667259</v>
      </c>
      <c r="C31">
        <f t="shared" si="0"/>
        <v>2.0372645060552337</v>
      </c>
      <c r="D31">
        <f t="shared" si="1"/>
        <v>-0.13780938718850777</v>
      </c>
      <c r="E31">
        <f t="shared" si="2"/>
        <v>1.8991427197272051E-2</v>
      </c>
    </row>
    <row r="32" spans="1:5" x14ac:dyDescent="0.25">
      <c r="A32">
        <v>1.10725746465</v>
      </c>
      <c r="B32">
        <v>1.3988766940390329</v>
      </c>
      <c r="C32">
        <f t="shared" si="0"/>
        <v>1.3598417740735267</v>
      </c>
      <c r="D32">
        <f t="shared" si="1"/>
        <v>3.9034919965506232E-2</v>
      </c>
      <c r="E32">
        <f t="shared" si="2"/>
        <v>1.523724976713477E-3</v>
      </c>
    </row>
    <row r="33" spans="1:5" x14ac:dyDescent="0.25">
      <c r="A33">
        <v>1.1164205997500001</v>
      </c>
      <c r="B33">
        <v>0.9874423722628467</v>
      </c>
      <c r="C33">
        <f t="shared" si="0"/>
        <v>0.8322134295636765</v>
      </c>
      <c r="D33">
        <f t="shared" si="1"/>
        <v>0.1552289426991702</v>
      </c>
      <c r="E33">
        <f t="shared" si="2"/>
        <v>2.4096024651502266E-2</v>
      </c>
    </row>
    <row r="34" spans="1:5" x14ac:dyDescent="0.25">
      <c r="A34">
        <v>1.12558373485</v>
      </c>
      <c r="B34">
        <v>0.76801073398221409</v>
      </c>
      <c r="C34">
        <f t="shared" si="0"/>
        <v>0.4611940832306175</v>
      </c>
      <c r="D34">
        <f t="shared" si="1"/>
        <v>0.30681665075159659</v>
      </c>
      <c r="E34">
        <f t="shared" si="2"/>
        <v>9.4136457178427196E-2</v>
      </c>
    </row>
    <row r="35" spans="1:5" x14ac:dyDescent="0.25">
      <c r="A35">
        <v>1.1347468699500001</v>
      </c>
      <c r="B35">
        <v>0.62400872136054897</v>
      </c>
      <c r="C35">
        <f t="shared" si="0"/>
        <v>0.228191227590055</v>
      </c>
      <c r="D35">
        <f t="shared" si="1"/>
        <v>0.39581749377049397</v>
      </c>
      <c r="E35">
        <f t="shared" si="2"/>
        <v>0.15667148837475503</v>
      </c>
    </row>
    <row r="36" spans="1:5" x14ac:dyDescent="0.25">
      <c r="A36">
        <v>1.14391000505</v>
      </c>
      <c r="B36">
        <v>0.47314947004261404</v>
      </c>
      <c r="C36">
        <f t="shared" si="0"/>
        <v>9.9201436875455101E-2</v>
      </c>
      <c r="D36">
        <f t="shared" si="1"/>
        <v>0.37394803316715897</v>
      </c>
      <c r="E36">
        <f t="shared" si="2"/>
        <v>0.13983713150958663</v>
      </c>
    </row>
    <row r="37" spans="1:5" x14ac:dyDescent="0.25">
      <c r="A37">
        <v>1.1530731401500001</v>
      </c>
      <c r="B37">
        <v>0.26057507045825123</v>
      </c>
      <c r="C37">
        <f t="shared" si="0"/>
        <v>3.7209128425295175E-2</v>
      </c>
      <c r="D37">
        <f t="shared" si="1"/>
        <v>0.22336594203295607</v>
      </c>
      <c r="E37">
        <f t="shared" si="2"/>
        <v>4.9892344060269891E-2</v>
      </c>
    </row>
    <row r="38" spans="1:5" x14ac:dyDescent="0.25">
      <c r="A38">
        <v>1.1622362752500002</v>
      </c>
      <c r="B38">
        <v>0.15771649001420468</v>
      </c>
      <c r="C38">
        <f t="shared" si="0"/>
        <v>1.1796648250346884E-2</v>
      </c>
      <c r="D38">
        <f t="shared" si="1"/>
        <v>0.1459198417638578</v>
      </c>
      <c r="E38">
        <f t="shared" si="2"/>
        <v>2.1292600220389299E-2</v>
      </c>
    </row>
    <row r="39" spans="1:5" x14ac:dyDescent="0.25">
      <c r="A39">
        <v>1.1713994103499998</v>
      </c>
      <c r="B39">
        <v>5.4857909570158153E-2</v>
      </c>
      <c r="C39">
        <f t="shared" si="0"/>
        <v>3.0884384443161401E-3</v>
      </c>
      <c r="D39">
        <f t="shared" si="1"/>
        <v>5.1769471125842015E-2</v>
      </c>
      <c r="E39">
        <f t="shared" si="2"/>
        <v>2.6800781406493899E-3</v>
      </c>
    </row>
    <row r="40" spans="1:5" x14ac:dyDescent="0.25">
      <c r="A40">
        <v>1.1805625454499999</v>
      </c>
      <c r="B40">
        <v>5.4857909570158153E-2</v>
      </c>
      <c r="C40">
        <f t="shared" si="0"/>
        <v>6.5038457364586773E-4</v>
      </c>
      <c r="D40">
        <f t="shared" si="1"/>
        <v>5.4207524996512282E-2</v>
      </c>
      <c r="E40">
        <f t="shared" si="2"/>
        <v>2.9384557662475038E-3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7562-3D81-460E-9417-E9FA35E38EE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0.84963351146249999</v>
      </c>
      <c r="B1">
        <v>1.0704986263886589E-2</v>
      </c>
      <c r="C1">
        <f>$H$3*(1+$H$1)*(A1^($H$1))*EXP(-$H$3*(A1^(1+$H$1)))</f>
        <v>3.2360248001326218E-2</v>
      </c>
      <c r="D1">
        <f>B1-C1</f>
        <v>-2.1655261737439629E-2</v>
      </c>
      <c r="E1">
        <f>D1^2</f>
        <v>4.689503609170168E-4</v>
      </c>
      <c r="G1" t="s">
        <v>0</v>
      </c>
      <c r="H1">
        <v>40.491000610139992</v>
      </c>
    </row>
    <row r="2" spans="1:8" x14ac:dyDescent="0.25">
      <c r="A2">
        <v>0.85550309438749994</v>
      </c>
      <c r="B2">
        <v>0</v>
      </c>
      <c r="C2">
        <f t="shared" ref="C2:C40" si="0">$H$3*(1+$H$1)*(A2^($H$1))*EXP(-$H$3*(A2^(1+$H$1)))</f>
        <v>4.2754589391700813E-2</v>
      </c>
      <c r="D2">
        <f t="shared" ref="D2:D40" si="1">B2-C2</f>
        <v>-4.2754589391700813E-2</v>
      </c>
      <c r="E2">
        <f t="shared" ref="E2:E40" si="2">D2^2</f>
        <v>1.8279549140529357E-3</v>
      </c>
    </row>
    <row r="3" spans="1:8" x14ac:dyDescent="0.25">
      <c r="A3">
        <v>0.8613726773125</v>
      </c>
      <c r="B3">
        <v>0</v>
      </c>
      <c r="C3">
        <f t="shared" si="0"/>
        <v>5.6376142381775268E-2</v>
      </c>
      <c r="D3">
        <f t="shared" si="1"/>
        <v>-5.6376142381775268E-2</v>
      </c>
      <c r="E3">
        <f t="shared" si="2"/>
        <v>3.1782694298501976E-3</v>
      </c>
      <c r="G3" t="s">
        <v>1</v>
      </c>
      <c r="H3">
        <f>(_xlfn.GAMMA((2+$H$1)/(1+$H$1)))^(1+$H$1)</f>
        <v>0.57256906269125885</v>
      </c>
    </row>
    <row r="4" spans="1:8" x14ac:dyDescent="0.25">
      <c r="A4">
        <v>0.86724226023750006</v>
      </c>
      <c r="B4">
        <v>0</v>
      </c>
      <c r="C4">
        <f t="shared" si="0"/>
        <v>7.4191044279210708E-2</v>
      </c>
      <c r="D4">
        <f t="shared" si="1"/>
        <v>-7.4191044279210708E-2</v>
      </c>
      <c r="E4">
        <f t="shared" si="2"/>
        <v>5.5043110512398036E-3</v>
      </c>
    </row>
    <row r="5" spans="1:8" x14ac:dyDescent="0.25">
      <c r="A5">
        <v>0.87311184316250001</v>
      </c>
      <c r="B5">
        <v>0</v>
      </c>
      <c r="C5">
        <f t="shared" si="0"/>
        <v>9.7442824328288102E-2</v>
      </c>
      <c r="D5">
        <f t="shared" si="1"/>
        <v>-9.7442824328288102E-2</v>
      </c>
      <c r="E5">
        <f t="shared" si="2"/>
        <v>9.4951040130736158E-3</v>
      </c>
      <c r="G5" t="s">
        <v>2</v>
      </c>
      <c r="H5">
        <f>SUM(E1:E40)</f>
        <v>92.524610311702972</v>
      </c>
    </row>
    <row r="6" spans="1:8" x14ac:dyDescent="0.25">
      <c r="A6">
        <v>0.87898142608749996</v>
      </c>
      <c r="B6">
        <v>0</v>
      </c>
      <c r="C6">
        <f t="shared" si="0"/>
        <v>0.12772777780975808</v>
      </c>
      <c r="D6">
        <f t="shared" si="1"/>
        <v>-0.12772777780975808</v>
      </c>
      <c r="E6">
        <f t="shared" si="2"/>
        <v>1.6314385224218929E-2</v>
      </c>
    </row>
    <row r="7" spans="1:8" x14ac:dyDescent="0.25">
      <c r="A7">
        <v>0.88485100901249991</v>
      </c>
      <c r="B7">
        <v>0</v>
      </c>
      <c r="C7">
        <f t="shared" si="0"/>
        <v>0.16708901891407313</v>
      </c>
      <c r="D7">
        <f t="shared" si="1"/>
        <v>-0.16708901891407313</v>
      </c>
      <c r="E7">
        <f t="shared" si="2"/>
        <v>2.7918740241667489E-2</v>
      </c>
    </row>
    <row r="8" spans="1:8" x14ac:dyDescent="0.25">
      <c r="A8">
        <v>0.89072059193750008</v>
      </c>
      <c r="B8">
        <v>0</v>
      </c>
      <c r="C8">
        <f t="shared" si="0"/>
        <v>0.21813291947675395</v>
      </c>
      <c r="D8">
        <f t="shared" si="1"/>
        <v>-0.21813291947675395</v>
      </c>
      <c r="E8">
        <f t="shared" si="2"/>
        <v>4.7581970559452021E-2</v>
      </c>
    </row>
    <row r="9" spans="1:8" x14ac:dyDescent="0.25">
      <c r="A9">
        <v>0.89659017486250003</v>
      </c>
      <c r="B9">
        <v>0</v>
      </c>
      <c r="C9">
        <f t="shared" si="0"/>
        <v>0.28417181126260738</v>
      </c>
      <c r="D9">
        <f t="shared" si="1"/>
        <v>-0.28417181126260738</v>
      </c>
      <c r="E9">
        <f t="shared" si="2"/>
        <v>8.0753618316270953E-2</v>
      </c>
    </row>
    <row r="10" spans="1:8" x14ac:dyDescent="0.25">
      <c r="A10">
        <v>0.90245975778749998</v>
      </c>
      <c r="B10">
        <v>0</v>
      </c>
      <c r="C10">
        <f t="shared" si="0"/>
        <v>0.3693965654564359</v>
      </c>
      <c r="D10">
        <f t="shared" si="1"/>
        <v>-0.3693965654564359</v>
      </c>
      <c r="E10">
        <f t="shared" si="2"/>
        <v>0.13645382257101094</v>
      </c>
    </row>
    <row r="11" spans="1:8" x14ac:dyDescent="0.25">
      <c r="A11">
        <v>0.90832934071249993</v>
      </c>
      <c r="B11">
        <v>0</v>
      </c>
      <c r="C11">
        <f t="shared" si="0"/>
        <v>0.47908158217189839</v>
      </c>
      <c r="D11">
        <f t="shared" si="1"/>
        <v>-0.47908158217189839</v>
      </c>
      <c r="E11">
        <f t="shared" si="2"/>
        <v>0.22951916237632944</v>
      </c>
    </row>
    <row r="12" spans="1:8" x14ac:dyDescent="0.25">
      <c r="A12">
        <v>0.91419892363749999</v>
      </c>
      <c r="B12">
        <v>0</v>
      </c>
      <c r="C12">
        <f t="shared" si="0"/>
        <v>0.61982220615651618</v>
      </c>
      <c r="D12">
        <f t="shared" si="1"/>
        <v>-0.61982220615651618</v>
      </c>
      <c r="E12">
        <f t="shared" si="2"/>
        <v>0.38417956724473085</v>
      </c>
    </row>
    <row r="13" spans="1:8" x14ac:dyDescent="0.25">
      <c r="A13">
        <v>0.92006850656250005</v>
      </c>
      <c r="B13">
        <v>4.2819945055546357E-2</v>
      </c>
      <c r="C13">
        <f t="shared" si="0"/>
        <v>0.79979965871928937</v>
      </c>
      <c r="D13">
        <f t="shared" si="1"/>
        <v>-0.75697971366374306</v>
      </c>
      <c r="E13">
        <f t="shared" si="2"/>
        <v>0.57301828689844247</v>
      </c>
    </row>
    <row r="14" spans="1:8" x14ac:dyDescent="0.25">
      <c r="A14">
        <v>0.9259380894875</v>
      </c>
      <c r="B14">
        <v>0.14986980769441224</v>
      </c>
      <c r="C14">
        <f t="shared" si="0"/>
        <v>1.029059755071879</v>
      </c>
      <c r="D14">
        <f t="shared" si="1"/>
        <v>-0.8791899473774667</v>
      </c>
      <c r="E14">
        <f t="shared" si="2"/>
        <v>0.77297496356959261</v>
      </c>
    </row>
    <row r="15" spans="1:8" x14ac:dyDescent="0.25">
      <c r="A15">
        <v>0.93180767241249995</v>
      </c>
      <c r="B15">
        <v>0.37467451923603062</v>
      </c>
      <c r="C15">
        <f t="shared" si="0"/>
        <v>1.3197767776269953</v>
      </c>
      <c r="D15">
        <f t="shared" si="1"/>
        <v>-0.94510225839096473</v>
      </c>
      <c r="E15">
        <f t="shared" si="2"/>
        <v>0.89321827881570182</v>
      </c>
    </row>
    <row r="16" spans="1:8" x14ac:dyDescent="0.25">
      <c r="A16">
        <v>0.93767725533750002</v>
      </c>
      <c r="B16">
        <v>0.89921884616647352</v>
      </c>
      <c r="C16">
        <f t="shared" si="0"/>
        <v>1.6864498440089084</v>
      </c>
      <c r="D16">
        <f t="shared" si="1"/>
        <v>-0.78723099784243489</v>
      </c>
      <c r="E16">
        <f t="shared" si="2"/>
        <v>0.61973264396399574</v>
      </c>
    </row>
    <row r="17" spans="1:5" x14ac:dyDescent="0.25">
      <c r="A17">
        <v>0.94354683826249997</v>
      </c>
      <c r="B17">
        <v>1.6592728709024214</v>
      </c>
      <c r="C17">
        <f t="shared" si="0"/>
        <v>2.1459419699394484</v>
      </c>
      <c r="D17">
        <f t="shared" si="1"/>
        <v>-0.48666909903702704</v>
      </c>
      <c r="E17">
        <f t="shared" si="2"/>
        <v>0.23684681195751164</v>
      </c>
    </row>
    <row r="18" spans="1:5" x14ac:dyDescent="0.25">
      <c r="A18">
        <v>0.94941642118750003</v>
      </c>
      <c r="B18">
        <v>2.558491717068895</v>
      </c>
      <c r="C18">
        <f t="shared" si="0"/>
        <v>2.7172172353021429</v>
      </c>
      <c r="D18">
        <f t="shared" si="1"/>
        <v>-0.15872551823324788</v>
      </c>
      <c r="E18">
        <f t="shared" si="2"/>
        <v>2.5193790138413105E-2</v>
      </c>
    </row>
    <row r="19" spans="1:5" x14ac:dyDescent="0.25">
      <c r="A19">
        <v>0.95528600411249998</v>
      </c>
      <c r="B19">
        <v>4.0143698489574708</v>
      </c>
      <c r="C19">
        <f t="shared" si="0"/>
        <v>3.4205551682823798</v>
      </c>
      <c r="D19">
        <f t="shared" si="1"/>
        <v>0.59381468067509102</v>
      </c>
      <c r="E19">
        <f t="shared" si="2"/>
        <v>0.35261587498526031</v>
      </c>
    </row>
    <row r="20" spans="1:5" x14ac:dyDescent="0.25">
      <c r="A20">
        <v>0.96115558703750004</v>
      </c>
      <c r="B20">
        <v>5.7913975687626449</v>
      </c>
      <c r="C20">
        <f t="shared" si="0"/>
        <v>4.2759236910160583</v>
      </c>
      <c r="D20">
        <f t="shared" si="1"/>
        <v>1.5154738777465866</v>
      </c>
      <c r="E20">
        <f t="shared" si="2"/>
        <v>2.2966610741322762</v>
      </c>
    </row>
    <row r="21" spans="1:5" x14ac:dyDescent="0.25">
      <c r="A21">
        <v>0.96702516996249999</v>
      </c>
      <c r="B21">
        <v>7.2579806869151078</v>
      </c>
      <c r="C21">
        <f t="shared" si="0"/>
        <v>5.3000832810241301</v>
      </c>
      <c r="D21">
        <f t="shared" si="1"/>
        <v>1.9578974058909777</v>
      </c>
      <c r="E21">
        <f t="shared" si="2"/>
        <v>3.83336225199462</v>
      </c>
    </row>
    <row r="22" spans="1:5" x14ac:dyDescent="0.25">
      <c r="A22">
        <v>0.97289475288750005</v>
      </c>
      <c r="B22">
        <v>9.2062881869424675</v>
      </c>
      <c r="C22">
        <f t="shared" si="0"/>
        <v>6.5019087957507793</v>
      </c>
      <c r="D22">
        <f t="shared" si="1"/>
        <v>2.7043793911916882</v>
      </c>
      <c r="E22">
        <f t="shared" si="2"/>
        <v>7.3136678915023268</v>
      </c>
    </row>
    <row r="23" spans="1:5" x14ac:dyDescent="0.25">
      <c r="A23">
        <v>0.9787643358125</v>
      </c>
      <c r="B23">
        <v>11.068955796858734</v>
      </c>
      <c r="C23">
        <f t="shared" si="0"/>
        <v>7.8754276846544871</v>
      </c>
      <c r="D23">
        <f t="shared" si="1"/>
        <v>3.1935281122042474</v>
      </c>
      <c r="E23">
        <f t="shared" si="2"/>
        <v>10.198621803438824</v>
      </c>
    </row>
    <row r="24" spans="1:5" x14ac:dyDescent="0.25">
      <c r="A24">
        <v>0.98463391873749995</v>
      </c>
      <c r="B24">
        <v>12.974443351830546</v>
      </c>
      <c r="C24">
        <f t="shared" si="0"/>
        <v>9.3903283733301208</v>
      </c>
      <c r="D24">
        <f t="shared" si="1"/>
        <v>3.5841149785004252</v>
      </c>
      <c r="E24">
        <f t="shared" si="2"/>
        <v>12.845880179111104</v>
      </c>
    </row>
    <row r="25" spans="1:5" x14ac:dyDescent="0.25">
      <c r="A25">
        <v>0.99050350166250001</v>
      </c>
      <c r="B25">
        <v>13.595332555135968</v>
      </c>
      <c r="C25">
        <f t="shared" si="0"/>
        <v>10.980422367717212</v>
      </c>
      <c r="D25">
        <f t="shared" si="1"/>
        <v>2.6149101874187561</v>
      </c>
      <c r="E25">
        <f t="shared" si="2"/>
        <v>6.8377552882663943</v>
      </c>
    </row>
    <row r="26" spans="1:5" x14ac:dyDescent="0.25">
      <c r="A26">
        <v>0.99637308458750007</v>
      </c>
      <c r="B26">
        <v>14.633716222732968</v>
      </c>
      <c r="C26">
        <f t="shared" si="0"/>
        <v>12.532043467028448</v>
      </c>
      <c r="D26">
        <f t="shared" si="1"/>
        <v>2.1016727557045201</v>
      </c>
      <c r="E26">
        <f t="shared" si="2"/>
        <v>4.4170283720706314</v>
      </c>
    </row>
    <row r="27" spans="1:5" x14ac:dyDescent="0.25">
      <c r="A27">
        <v>1.0022426675125</v>
      </c>
      <c r="B27">
        <v>14.066351950746979</v>
      </c>
      <c r="C27">
        <f t="shared" si="0"/>
        <v>13.87684877032533</v>
      </c>
      <c r="D27">
        <f t="shared" si="1"/>
        <v>0.18950318042164938</v>
      </c>
      <c r="E27">
        <f t="shared" si="2"/>
        <v>3.5911455389920195E-2</v>
      </c>
    </row>
    <row r="28" spans="1:5" x14ac:dyDescent="0.25">
      <c r="A28">
        <v>1.0081122504375</v>
      </c>
      <c r="B28">
        <v>13.648857486455402</v>
      </c>
      <c r="C28">
        <f t="shared" si="0"/>
        <v>14.796683646558487</v>
      </c>
      <c r="D28">
        <f t="shared" si="1"/>
        <v>-1.1478261601030848</v>
      </c>
      <c r="E28">
        <f t="shared" si="2"/>
        <v>1.3175048938169924</v>
      </c>
    </row>
    <row r="29" spans="1:5" x14ac:dyDescent="0.25">
      <c r="A29">
        <v>1.0139818333624999</v>
      </c>
      <c r="B29">
        <v>12.760343626552816</v>
      </c>
      <c r="C29">
        <f t="shared" si="0"/>
        <v>15.050628430697223</v>
      </c>
      <c r="D29">
        <f t="shared" si="1"/>
        <v>-2.2902848041444077</v>
      </c>
      <c r="E29">
        <f t="shared" si="2"/>
        <v>5.245404484094788</v>
      </c>
    </row>
    <row r="30" spans="1:5" x14ac:dyDescent="0.25">
      <c r="A30">
        <v>1.0198514162875001</v>
      </c>
      <c r="B30">
        <v>11.422220343566991</v>
      </c>
      <c r="C30">
        <f t="shared" si="0"/>
        <v>14.432624681405612</v>
      </c>
      <c r="D30">
        <f t="shared" si="1"/>
        <v>-3.0104043378386205</v>
      </c>
      <c r="E30">
        <f t="shared" si="2"/>
        <v>9.0625342772775834</v>
      </c>
    </row>
    <row r="31" spans="1:5" x14ac:dyDescent="0.25">
      <c r="A31">
        <v>1.0257209992125</v>
      </c>
      <c r="B31">
        <v>9.3775679671646532</v>
      </c>
      <c r="C31">
        <f t="shared" si="0"/>
        <v>12.857064826534431</v>
      </c>
      <c r="D31">
        <f t="shared" si="1"/>
        <v>-3.4794968593697782</v>
      </c>
      <c r="E31">
        <f t="shared" si="2"/>
        <v>12.106898394364149</v>
      </c>
    </row>
    <row r="32" spans="1:5" x14ac:dyDescent="0.25">
      <c r="A32">
        <v>1.0315905821375</v>
      </c>
      <c r="B32">
        <v>7.6540651786789118</v>
      </c>
      <c r="C32">
        <f t="shared" si="0"/>
        <v>10.446301894482898</v>
      </c>
      <c r="D32">
        <f t="shared" si="1"/>
        <v>-2.7922367158039867</v>
      </c>
      <c r="E32">
        <f t="shared" si="2"/>
        <v>7.7965858770838334</v>
      </c>
    </row>
    <row r="33" spans="1:5" x14ac:dyDescent="0.25">
      <c r="A33">
        <v>1.0374601650624999</v>
      </c>
      <c r="B33">
        <v>6.005497294040377</v>
      </c>
      <c r="C33">
        <f t="shared" si="0"/>
        <v>7.5658575376390971</v>
      </c>
      <c r="D33">
        <f t="shared" si="1"/>
        <v>-1.5603602435987201</v>
      </c>
      <c r="E33">
        <f t="shared" si="2"/>
        <v>2.4347240898034568</v>
      </c>
    </row>
    <row r="34" spans="1:5" x14ac:dyDescent="0.25">
      <c r="A34">
        <v>1.0433297479875001</v>
      </c>
      <c r="B34">
        <v>4.2498795467629762</v>
      </c>
      <c r="C34">
        <f t="shared" si="0"/>
        <v>4.7472522771868579</v>
      </c>
      <c r="D34">
        <f t="shared" si="1"/>
        <v>-0.49737273042388175</v>
      </c>
      <c r="E34">
        <f t="shared" si="2"/>
        <v>0.24737963296930734</v>
      </c>
    </row>
    <row r="35" spans="1:5" x14ac:dyDescent="0.25">
      <c r="A35">
        <v>1.0491993309125001</v>
      </c>
      <c r="B35">
        <v>2.7618864560827401</v>
      </c>
      <c r="C35">
        <f t="shared" si="0"/>
        <v>2.4906603052863261</v>
      </c>
      <c r="D35">
        <f t="shared" si="1"/>
        <v>0.27122615079641399</v>
      </c>
      <c r="E35">
        <f t="shared" si="2"/>
        <v>7.3563624875839104E-2</v>
      </c>
    </row>
    <row r="36" spans="1:5" x14ac:dyDescent="0.25">
      <c r="A36">
        <v>1.0550689138375</v>
      </c>
      <c r="B36">
        <v>1.7877327060690604</v>
      </c>
      <c r="C36">
        <f t="shared" si="0"/>
        <v>1.0455631883904766</v>
      </c>
      <c r="D36">
        <f t="shared" si="1"/>
        <v>0.74216951767858386</v>
      </c>
      <c r="E36">
        <f t="shared" si="2"/>
        <v>0.55081559297126181</v>
      </c>
    </row>
    <row r="37" spans="1:5" x14ac:dyDescent="0.25">
      <c r="A37">
        <v>1.0609384967625</v>
      </c>
      <c r="B37">
        <v>1.3488282692497102</v>
      </c>
      <c r="C37">
        <f t="shared" si="0"/>
        <v>0.33252937851481018</v>
      </c>
      <c r="D37">
        <f t="shared" si="1"/>
        <v>1.0162988907349</v>
      </c>
      <c r="E37">
        <f t="shared" si="2"/>
        <v>1.0328634353089883</v>
      </c>
    </row>
    <row r="38" spans="1:5" x14ac:dyDescent="0.25">
      <c r="A38">
        <v>1.0668080796875001</v>
      </c>
      <c r="B38">
        <v>0.70652909341651493</v>
      </c>
      <c r="C38">
        <f t="shared" si="0"/>
        <v>7.4880774469806455E-2</v>
      </c>
      <c r="D38">
        <f t="shared" si="1"/>
        <v>0.63164831894670848</v>
      </c>
      <c r="E38">
        <f t="shared" si="2"/>
        <v>0.39897959882820277</v>
      </c>
    </row>
    <row r="39" spans="1:5" x14ac:dyDescent="0.25">
      <c r="A39">
        <v>1.0726776626125001</v>
      </c>
      <c r="B39">
        <v>0.23550969780550499</v>
      </c>
      <c r="C39">
        <f t="shared" si="0"/>
        <v>1.0980324604779575E-2</v>
      </c>
      <c r="D39">
        <f t="shared" si="1"/>
        <v>0.22452937320072541</v>
      </c>
      <c r="E39">
        <f t="shared" si="2"/>
        <v>5.0413439429910632E-2</v>
      </c>
    </row>
    <row r="40" spans="1:5" x14ac:dyDescent="0.25">
      <c r="A40">
        <v>1.0785472455375</v>
      </c>
      <c r="B40">
        <v>0.1070498626388659</v>
      </c>
      <c r="C40">
        <f t="shared" si="0"/>
        <v>9.454407667852634E-4</v>
      </c>
      <c r="D40">
        <f t="shared" si="1"/>
        <v>0.10610442187208063</v>
      </c>
      <c r="E40">
        <f t="shared" si="2"/>
        <v>1.1258148340808464E-2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A62B-F809-4A72-A5C1-A554DF80EA4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0.79241891913749996</v>
      </c>
      <c r="B1">
        <v>1.0647808097321644E-2</v>
      </c>
      <c r="C1">
        <f>$H$3*(1+$H$1)*(A1^($H$1))*EXP(-$H$3*(A1^(1+$H$1)))</f>
        <v>7.6950203688305254E-12</v>
      </c>
      <c r="D1">
        <f>B1-C1</f>
        <v>1.0647808089626624E-2</v>
      </c>
      <c r="E1">
        <f>D1^2</f>
        <v>1.1337581711351817E-4</v>
      </c>
      <c r="G1" t="s">
        <v>0</v>
      </c>
      <c r="H1">
        <v>128.43678092881566</v>
      </c>
    </row>
    <row r="2" spans="1:8" x14ac:dyDescent="0.25">
      <c r="A2">
        <v>0.79832002141249991</v>
      </c>
      <c r="B2">
        <v>0</v>
      </c>
      <c r="C2">
        <f t="shared" ref="C2:C40" si="0">$H$3*(1+$H$1)*(A2^($H$1))*EXP(-$H$3*(A2^(1+$H$1)))</f>
        <v>1.9955237307620267E-11</v>
      </c>
      <c r="D2">
        <f t="shared" ref="D2:D40" si="1">B2-C2</f>
        <v>-1.9955237307620267E-11</v>
      </c>
      <c r="E2">
        <f t="shared" ref="E2:E40" si="2">D2^2</f>
        <v>3.9821149600343979E-22</v>
      </c>
    </row>
    <row r="3" spans="1:8" x14ac:dyDescent="0.25">
      <c r="A3">
        <v>0.80422112368749987</v>
      </c>
      <c r="B3">
        <v>0</v>
      </c>
      <c r="C3">
        <f t="shared" si="0"/>
        <v>5.1387340293567012E-11</v>
      </c>
      <c r="D3">
        <f t="shared" si="1"/>
        <v>-5.1387340293567012E-11</v>
      </c>
      <c r="E3">
        <f t="shared" si="2"/>
        <v>2.6406587424468558E-21</v>
      </c>
      <c r="G3" t="s">
        <v>1</v>
      </c>
      <c r="H3">
        <f>(_xlfn.GAMMA((2+$H$1)/(1+$H$1)))^(1+$H$1)</f>
        <v>0.56502502426178558</v>
      </c>
    </row>
    <row r="4" spans="1:8" x14ac:dyDescent="0.25">
      <c r="A4">
        <v>0.81012222596249994</v>
      </c>
      <c r="B4">
        <v>0</v>
      </c>
      <c r="C4">
        <f t="shared" si="0"/>
        <v>1.3141715748092312E-10</v>
      </c>
      <c r="D4">
        <f t="shared" si="1"/>
        <v>-1.3141715748092312E-10</v>
      </c>
      <c r="E4">
        <f t="shared" si="2"/>
        <v>1.7270469280365747E-20</v>
      </c>
    </row>
    <row r="5" spans="1:8" x14ac:dyDescent="0.25">
      <c r="A5">
        <v>0.81602332823750001</v>
      </c>
      <c r="B5">
        <v>0</v>
      </c>
      <c r="C5">
        <f t="shared" si="0"/>
        <v>3.338014968430141E-10</v>
      </c>
      <c r="D5">
        <f t="shared" si="1"/>
        <v>-3.338014968430141E-10</v>
      </c>
      <c r="E5">
        <f t="shared" si="2"/>
        <v>1.1142343929463676E-19</v>
      </c>
      <c r="G5" t="s">
        <v>2</v>
      </c>
      <c r="H5">
        <f>SUM(E1:E40)</f>
        <v>298.47753909469225</v>
      </c>
    </row>
    <row r="6" spans="1:8" x14ac:dyDescent="0.25">
      <c r="A6">
        <v>0.82192443051249997</v>
      </c>
      <c r="B6">
        <v>0</v>
      </c>
      <c r="C6">
        <f t="shared" si="0"/>
        <v>8.421848499679582E-10</v>
      </c>
      <c r="D6">
        <f t="shared" si="1"/>
        <v>-8.421848499679582E-10</v>
      </c>
      <c r="E6">
        <f t="shared" si="2"/>
        <v>7.0927532151555229E-19</v>
      </c>
    </row>
    <row r="7" spans="1:8" x14ac:dyDescent="0.25">
      <c r="A7">
        <v>0.82782553278749993</v>
      </c>
      <c r="B7">
        <v>0</v>
      </c>
      <c r="C7">
        <f t="shared" si="0"/>
        <v>2.1108201984102073E-9</v>
      </c>
      <c r="D7">
        <f t="shared" si="1"/>
        <v>-2.1108201984102073E-9</v>
      </c>
      <c r="E7">
        <f t="shared" si="2"/>
        <v>4.4555619100165067E-18</v>
      </c>
    </row>
    <row r="8" spans="1:8" x14ac:dyDescent="0.25">
      <c r="A8">
        <v>0.83372663506249989</v>
      </c>
      <c r="B8">
        <v>0</v>
      </c>
      <c r="C8">
        <f t="shared" si="0"/>
        <v>5.256063190558632E-9</v>
      </c>
      <c r="D8">
        <f t="shared" si="1"/>
        <v>-5.256063190558632E-9</v>
      </c>
      <c r="E8">
        <f t="shared" si="2"/>
        <v>2.7626200263145384E-17</v>
      </c>
    </row>
    <row r="9" spans="1:8" x14ac:dyDescent="0.25">
      <c r="A9">
        <v>0.83962773733749996</v>
      </c>
      <c r="B9">
        <v>0</v>
      </c>
      <c r="C9">
        <f t="shared" si="0"/>
        <v>1.3003953807793041E-8</v>
      </c>
      <c r="D9">
        <f t="shared" si="1"/>
        <v>-1.3003953807793041E-8</v>
      </c>
      <c r="E9">
        <f t="shared" si="2"/>
        <v>1.6910281463521513E-16</v>
      </c>
    </row>
    <row r="10" spans="1:8" x14ac:dyDescent="0.25">
      <c r="A10">
        <v>0.84552883961249992</v>
      </c>
      <c r="B10">
        <v>0</v>
      </c>
      <c r="C10">
        <f t="shared" si="0"/>
        <v>3.1969430938710822E-8</v>
      </c>
      <c r="D10">
        <f t="shared" si="1"/>
        <v>-3.1969430938710822E-8</v>
      </c>
      <c r="E10">
        <f t="shared" si="2"/>
        <v>1.0220445145450007E-15</v>
      </c>
    </row>
    <row r="11" spans="1:8" x14ac:dyDescent="0.25">
      <c r="A11">
        <v>0.85142994188749999</v>
      </c>
      <c r="B11">
        <v>0</v>
      </c>
      <c r="C11">
        <f t="shared" si="0"/>
        <v>7.810473582495706E-8</v>
      </c>
      <c r="D11">
        <f t="shared" si="1"/>
        <v>-7.810473582495706E-8</v>
      </c>
      <c r="E11">
        <f t="shared" si="2"/>
        <v>6.1003497582863305E-15</v>
      </c>
    </row>
    <row r="12" spans="1:8" x14ac:dyDescent="0.25">
      <c r="A12">
        <v>0.85733104416249994</v>
      </c>
      <c r="B12">
        <v>0</v>
      </c>
      <c r="C12">
        <f t="shared" si="0"/>
        <v>1.8964453702945731E-7</v>
      </c>
      <c r="D12">
        <f t="shared" si="1"/>
        <v>-1.8964453702945731E-7</v>
      </c>
      <c r="E12">
        <f t="shared" si="2"/>
        <v>3.5965050425117203E-14</v>
      </c>
    </row>
    <row r="13" spans="1:8" x14ac:dyDescent="0.25">
      <c r="A13">
        <v>0.86323214643750013</v>
      </c>
      <c r="B13">
        <v>0</v>
      </c>
      <c r="C13">
        <f t="shared" si="0"/>
        <v>4.5767856474830907E-7</v>
      </c>
      <c r="D13">
        <f t="shared" si="1"/>
        <v>-4.5767856474830907E-7</v>
      </c>
      <c r="E13">
        <f t="shared" si="2"/>
        <v>2.0946966863007214E-13</v>
      </c>
    </row>
    <row r="14" spans="1:8" x14ac:dyDescent="0.25">
      <c r="A14">
        <v>0.86913324871250008</v>
      </c>
      <c r="B14">
        <v>0</v>
      </c>
      <c r="C14">
        <f t="shared" si="0"/>
        <v>1.0979285652554508E-6</v>
      </c>
      <c r="D14">
        <f t="shared" si="1"/>
        <v>-1.0979285652554508E-6</v>
      </c>
      <c r="E14">
        <f t="shared" si="2"/>
        <v>1.2054471344038927E-12</v>
      </c>
    </row>
    <row r="15" spans="1:8" x14ac:dyDescent="0.25">
      <c r="A15">
        <v>0.87503435098750004</v>
      </c>
      <c r="B15">
        <v>0</v>
      </c>
      <c r="C15">
        <f t="shared" si="0"/>
        <v>2.6182803605942951E-6</v>
      </c>
      <c r="D15">
        <f t="shared" si="1"/>
        <v>-2.6182803605942951E-6</v>
      </c>
      <c r="E15">
        <f t="shared" si="2"/>
        <v>6.8553920466737924E-12</v>
      </c>
    </row>
    <row r="16" spans="1:8" x14ac:dyDescent="0.25">
      <c r="A16">
        <v>0.8809354532625</v>
      </c>
      <c r="B16">
        <v>0</v>
      </c>
      <c r="C16">
        <f t="shared" si="0"/>
        <v>6.2075657337108518E-6</v>
      </c>
      <c r="D16">
        <f t="shared" si="1"/>
        <v>-6.2075657337108518E-6</v>
      </c>
      <c r="E16">
        <f t="shared" si="2"/>
        <v>3.8533872338341144E-11</v>
      </c>
    </row>
    <row r="17" spans="1:5" x14ac:dyDescent="0.25">
      <c r="A17">
        <v>0.88683655553749996</v>
      </c>
      <c r="B17">
        <v>0</v>
      </c>
      <c r="C17">
        <f t="shared" si="0"/>
        <v>1.4632666934190622E-5</v>
      </c>
      <c r="D17">
        <f t="shared" si="1"/>
        <v>-1.4632666934190622E-5</v>
      </c>
      <c r="E17">
        <f t="shared" si="2"/>
        <v>2.1411494160695556E-10</v>
      </c>
    </row>
    <row r="18" spans="1:5" x14ac:dyDescent="0.25">
      <c r="A18">
        <v>0.89273765781249992</v>
      </c>
      <c r="B18">
        <v>0</v>
      </c>
      <c r="C18">
        <f t="shared" si="0"/>
        <v>3.4296974448243665E-5</v>
      </c>
      <c r="D18">
        <f t="shared" si="1"/>
        <v>-3.4296974448243665E-5</v>
      </c>
      <c r="E18">
        <f t="shared" si="2"/>
        <v>1.1762824563034789E-9</v>
      </c>
    </row>
    <row r="19" spans="1:5" x14ac:dyDescent="0.25">
      <c r="A19">
        <v>0.89863876008749999</v>
      </c>
      <c r="B19">
        <v>0</v>
      </c>
      <c r="C19">
        <f t="shared" si="0"/>
        <v>7.9937542681392693E-5</v>
      </c>
      <c r="D19">
        <f t="shared" si="1"/>
        <v>-7.9937542681392693E-5</v>
      </c>
      <c r="E19">
        <f t="shared" si="2"/>
        <v>6.3900107299394786E-9</v>
      </c>
    </row>
    <row r="20" spans="1:5" x14ac:dyDescent="0.25">
      <c r="A20">
        <v>0.90453986236249995</v>
      </c>
      <c r="B20">
        <v>0</v>
      </c>
      <c r="C20">
        <f t="shared" si="0"/>
        <v>1.852849907214011E-4</v>
      </c>
      <c r="D20">
        <f t="shared" si="1"/>
        <v>-1.852849907214011E-4</v>
      </c>
      <c r="E20">
        <f t="shared" si="2"/>
        <v>3.4330527786629694E-8</v>
      </c>
    </row>
    <row r="21" spans="1:5" x14ac:dyDescent="0.25">
      <c r="A21">
        <v>0.91044096463749991</v>
      </c>
      <c r="B21">
        <v>0</v>
      </c>
      <c r="C21">
        <f t="shared" si="0"/>
        <v>4.2712519852637637E-4</v>
      </c>
      <c r="D21">
        <f t="shared" si="1"/>
        <v>-4.2712519852637637E-4</v>
      </c>
      <c r="E21">
        <f t="shared" si="2"/>
        <v>1.8243593521619643E-7</v>
      </c>
    </row>
    <row r="22" spans="1:5" x14ac:dyDescent="0.25">
      <c r="A22">
        <v>0.91634206691249998</v>
      </c>
      <c r="B22">
        <v>0</v>
      </c>
      <c r="C22">
        <f t="shared" si="0"/>
        <v>9.7932262537461334E-4</v>
      </c>
      <c r="D22">
        <f t="shared" si="1"/>
        <v>-9.7932262537461334E-4</v>
      </c>
      <c r="E22">
        <f t="shared" si="2"/>
        <v>9.5907280457062522E-7</v>
      </c>
    </row>
    <row r="23" spans="1:5" x14ac:dyDescent="0.25">
      <c r="A23">
        <v>0.92224316918750004</v>
      </c>
      <c r="B23">
        <v>0</v>
      </c>
      <c r="C23">
        <f t="shared" si="0"/>
        <v>2.2334738858931151E-3</v>
      </c>
      <c r="D23">
        <f t="shared" si="1"/>
        <v>-2.2334738858931151E-3</v>
      </c>
      <c r="E23">
        <f t="shared" si="2"/>
        <v>4.9884055989664914E-6</v>
      </c>
    </row>
    <row r="24" spans="1:5" x14ac:dyDescent="0.25">
      <c r="A24">
        <v>0.9281442714625</v>
      </c>
      <c r="B24">
        <v>0</v>
      </c>
      <c r="C24">
        <f t="shared" si="0"/>
        <v>5.0669568029762706E-3</v>
      </c>
      <c r="D24">
        <f t="shared" si="1"/>
        <v>-5.0669568029762706E-3</v>
      </c>
      <c r="E24">
        <f t="shared" si="2"/>
        <v>2.5674051243227508E-5</v>
      </c>
    </row>
    <row r="25" spans="1:5" x14ac:dyDescent="0.25">
      <c r="A25">
        <v>0.93404537373749996</v>
      </c>
      <c r="B25">
        <v>0</v>
      </c>
      <c r="C25">
        <f t="shared" si="0"/>
        <v>1.1435297867815327E-2</v>
      </c>
      <c r="D25">
        <f t="shared" si="1"/>
        <v>-1.1435297867815327E-2</v>
      </c>
      <c r="E25">
        <f t="shared" si="2"/>
        <v>1.3076603732566175E-4</v>
      </c>
    </row>
    <row r="26" spans="1:5" x14ac:dyDescent="0.25">
      <c r="A26">
        <v>0.93994647601250003</v>
      </c>
      <c r="B26">
        <v>0</v>
      </c>
      <c r="C26">
        <f t="shared" si="0"/>
        <v>2.5674159139736884E-2</v>
      </c>
      <c r="D26">
        <f t="shared" si="1"/>
        <v>-2.5674159139736884E-2</v>
      </c>
      <c r="E26">
        <f t="shared" si="2"/>
        <v>6.5916244753253493E-4</v>
      </c>
    </row>
    <row r="27" spans="1:5" x14ac:dyDescent="0.25">
      <c r="A27">
        <v>0.9458475782875001</v>
      </c>
      <c r="B27">
        <v>0</v>
      </c>
      <c r="C27">
        <f t="shared" si="0"/>
        <v>5.7344327431005711E-2</v>
      </c>
      <c r="D27">
        <f t="shared" si="1"/>
        <v>-5.7344327431005711E-2</v>
      </c>
      <c r="E27">
        <f t="shared" si="2"/>
        <v>3.288371888514394E-3</v>
      </c>
    </row>
    <row r="28" spans="1:5" x14ac:dyDescent="0.25">
      <c r="A28">
        <v>0.95174868056250006</v>
      </c>
      <c r="B28">
        <v>0</v>
      </c>
      <c r="C28">
        <f t="shared" si="0"/>
        <v>0.12740585024656481</v>
      </c>
      <c r="D28">
        <f t="shared" si="1"/>
        <v>-0.12740585024656481</v>
      </c>
      <c r="E28">
        <f t="shared" si="2"/>
        <v>1.62322506770501E-2</v>
      </c>
    </row>
    <row r="29" spans="1:5" x14ac:dyDescent="0.25">
      <c r="A29">
        <v>0.95764978283750002</v>
      </c>
      <c r="B29">
        <v>0</v>
      </c>
      <c r="C29">
        <f t="shared" si="0"/>
        <v>0.28149450224123462</v>
      </c>
      <c r="D29">
        <f t="shared" si="1"/>
        <v>-0.28149450224123462</v>
      </c>
      <c r="E29">
        <f t="shared" si="2"/>
        <v>7.9239154792040439E-2</v>
      </c>
    </row>
    <row r="30" spans="1:5" x14ac:dyDescent="0.25">
      <c r="A30">
        <v>0.96355088511250009</v>
      </c>
      <c r="B30">
        <v>0</v>
      </c>
      <c r="C30">
        <f t="shared" si="0"/>
        <v>0.61805982991368225</v>
      </c>
      <c r="D30">
        <f t="shared" si="1"/>
        <v>-0.61805982991368225</v>
      </c>
      <c r="E30">
        <f t="shared" si="2"/>
        <v>0.38199795335292985</v>
      </c>
    </row>
    <row r="31" spans="1:5" x14ac:dyDescent="0.25">
      <c r="A31">
        <v>0.96945198738750005</v>
      </c>
      <c r="B31">
        <v>0</v>
      </c>
      <c r="C31">
        <f t="shared" si="0"/>
        <v>1.3464274267003791</v>
      </c>
      <c r="D31">
        <f t="shared" si="1"/>
        <v>-1.3464274267003791</v>
      </c>
      <c r="E31">
        <f t="shared" si="2"/>
        <v>1.8128668153710046</v>
      </c>
    </row>
    <row r="32" spans="1:5" x14ac:dyDescent="0.25">
      <c r="A32">
        <v>0.97535308966250001</v>
      </c>
      <c r="B32">
        <v>0.36202547530893592</v>
      </c>
      <c r="C32">
        <f t="shared" si="0"/>
        <v>2.9000469208466026</v>
      </c>
      <c r="D32">
        <f t="shared" si="1"/>
        <v>-2.5380214455376668</v>
      </c>
      <c r="E32">
        <f t="shared" si="2"/>
        <v>6.4415528580091079</v>
      </c>
    </row>
    <row r="33" spans="1:5" x14ac:dyDescent="0.25">
      <c r="A33">
        <v>0.98125419193749996</v>
      </c>
      <c r="B33">
        <v>4.2804188551233011</v>
      </c>
      <c r="C33">
        <f t="shared" si="0"/>
        <v>6.128912970711081</v>
      </c>
      <c r="D33">
        <f t="shared" si="1"/>
        <v>-1.8484941155877799</v>
      </c>
      <c r="E33">
        <f t="shared" si="2"/>
        <v>3.4169304953626485</v>
      </c>
    </row>
    <row r="34" spans="1:5" x14ac:dyDescent="0.25">
      <c r="A34">
        <v>0.98715529421249992</v>
      </c>
      <c r="B34">
        <v>16.355033237486047</v>
      </c>
      <c r="C34">
        <f t="shared" si="0"/>
        <v>12.501879922031151</v>
      </c>
      <c r="D34">
        <f t="shared" si="1"/>
        <v>3.8531533154548967</v>
      </c>
      <c r="E34">
        <f t="shared" si="2"/>
        <v>14.846790472401063</v>
      </c>
    </row>
    <row r="35" spans="1:5" x14ac:dyDescent="0.25">
      <c r="A35">
        <v>0.99305639648749988</v>
      </c>
      <c r="B35">
        <v>33.753551668509616</v>
      </c>
      <c r="C35">
        <f t="shared" si="0"/>
        <v>23.762172906782119</v>
      </c>
      <c r="D35">
        <f t="shared" si="1"/>
        <v>9.9913787617274963</v>
      </c>
      <c r="E35">
        <f t="shared" si="2"/>
        <v>99.827649560299278</v>
      </c>
    </row>
    <row r="36" spans="1:5" x14ac:dyDescent="0.25">
      <c r="A36">
        <v>0.99895749876249995</v>
      </c>
      <c r="B36">
        <v>44.731441816848225</v>
      </c>
      <c r="C36">
        <f t="shared" si="0"/>
        <v>39.043435944175876</v>
      </c>
      <c r="D36">
        <f t="shared" si="1"/>
        <v>5.688005872672349</v>
      </c>
      <c r="E36">
        <f t="shared" si="2"/>
        <v>32.353410807555129</v>
      </c>
    </row>
    <row r="37" spans="1:5" x14ac:dyDescent="0.25">
      <c r="A37">
        <v>1.0048586010374998</v>
      </c>
      <c r="B37">
        <v>38.992273252391861</v>
      </c>
      <c r="C37">
        <f t="shared" si="0"/>
        <v>47.309951598493448</v>
      </c>
      <c r="D37">
        <f t="shared" si="1"/>
        <v>-8.3176783461015873</v>
      </c>
      <c r="E37">
        <f t="shared" si="2"/>
        <v>69.183773069207234</v>
      </c>
    </row>
    <row r="38" spans="1:5" x14ac:dyDescent="0.25">
      <c r="A38">
        <v>1.0107597033125</v>
      </c>
      <c r="B38">
        <v>22.307157963888844</v>
      </c>
      <c r="C38">
        <f t="shared" si="0"/>
        <v>30.23798294485891</v>
      </c>
      <c r="D38">
        <f t="shared" si="1"/>
        <v>-7.9308249809700655</v>
      </c>
      <c r="E38">
        <f t="shared" si="2"/>
        <v>62.897984878778843</v>
      </c>
    </row>
    <row r="39" spans="1:5" x14ac:dyDescent="0.25">
      <c r="A39">
        <v>1.0166608055874999</v>
      </c>
      <c r="B39">
        <v>7.4747612843197944</v>
      </c>
      <c r="C39">
        <f t="shared" si="0"/>
        <v>5.0436249243226712</v>
      </c>
      <c r="D39">
        <f t="shared" si="1"/>
        <v>2.4311363599971232</v>
      </c>
      <c r="E39">
        <f t="shared" si="2"/>
        <v>5.9104240009000621</v>
      </c>
    </row>
    <row r="40" spans="1:5" x14ac:dyDescent="0.25">
      <c r="A40">
        <v>1.0225619078624999</v>
      </c>
      <c r="B40">
        <v>1.1925545069000241</v>
      </c>
      <c r="C40">
        <f t="shared" si="0"/>
        <v>5.0423491791853604E-2</v>
      </c>
      <c r="D40">
        <f t="shared" si="1"/>
        <v>1.1421310151081705</v>
      </c>
      <c r="E40">
        <f t="shared" si="2"/>
        <v>1.3044632556720199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2024-10-02T23:45:11Z</dcterms:modified>
</cp:coreProperties>
</file>